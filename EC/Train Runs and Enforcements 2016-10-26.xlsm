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6" i="1" l="1"/>
  <c r="L36" i="1"/>
  <c r="M36" i="1"/>
  <c r="N36" i="1" s="1"/>
  <c r="V36" i="1"/>
  <c r="AA36" i="1"/>
  <c r="AB36" i="1"/>
  <c r="AC36" i="1"/>
  <c r="AD36" i="1"/>
  <c r="T36" i="1" s="1"/>
  <c r="AE36" i="1"/>
  <c r="AF36" i="1"/>
  <c r="AH36" i="1"/>
  <c r="K23" i="1"/>
  <c r="L23" i="1"/>
  <c r="M23" i="1"/>
  <c r="V23" i="1"/>
  <c r="Y23" i="1"/>
  <c r="Z23" i="1"/>
  <c r="AA23" i="1" s="1"/>
  <c r="AB23" i="1"/>
  <c r="AC23" i="1"/>
  <c r="AD23" i="1"/>
  <c r="AE23" i="1"/>
  <c r="AF23" i="1"/>
  <c r="AH2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A14" i="1" l="1"/>
  <c r="T23" i="1"/>
  <c r="U23" i="1" s="1"/>
  <c r="S23" i="1" s="1"/>
  <c r="AG36" i="1"/>
  <c r="W36" i="1" s="1"/>
  <c r="AG23" i="1"/>
  <c r="W23" i="1" s="1"/>
  <c r="AG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R23" i="3" s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X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X22" i="1" s="1"/>
  <c r="AE22" i="1"/>
  <c r="AF22" i="1"/>
  <c r="AH22" i="1"/>
  <c r="K24" i="1"/>
  <c r="L24" i="1"/>
  <c r="M24" i="1"/>
  <c r="N24" i="1" s="1"/>
  <c r="V24" i="1"/>
  <c r="Y24" i="1"/>
  <c r="Z24" i="1"/>
  <c r="AB24" i="1"/>
  <c r="AC24" i="1"/>
  <c r="AD24" i="1"/>
  <c r="X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V26" i="1"/>
  <c r="Y26" i="1"/>
  <c r="Z26" i="1"/>
  <c r="AB26" i="1"/>
  <c r="AC26" i="1"/>
  <c r="AD26" i="1"/>
  <c r="X26" i="1" s="1"/>
  <c r="AE26" i="1"/>
  <c r="AF26" i="1"/>
  <c r="AH26" i="1"/>
  <c r="K27" i="1"/>
  <c r="L27" i="1"/>
  <c r="M27" i="1"/>
  <c r="V27" i="1"/>
  <c r="Y27" i="1"/>
  <c r="Z27" i="1"/>
  <c r="AB27" i="1"/>
  <c r="AC27" i="1"/>
  <c r="AD27" i="1"/>
  <c r="AE27" i="1"/>
  <c r="AF27" i="1"/>
  <c r="AH27" i="1"/>
  <c r="K28" i="1"/>
  <c r="L28" i="1"/>
  <c r="M28" i="1"/>
  <c r="V28" i="1"/>
  <c r="S16" i="3" s="1"/>
  <c r="Y28" i="1"/>
  <c r="Z28" i="1"/>
  <c r="AB28" i="1"/>
  <c r="AC28" i="1"/>
  <c r="AD28" i="1"/>
  <c r="AG28" i="1" s="1"/>
  <c r="AE28" i="1"/>
  <c r="R16" i="3" s="1"/>
  <c r="AF28" i="1"/>
  <c r="AH28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15" i="3" s="1"/>
  <c r="Y34" i="1"/>
  <c r="Z34" i="1"/>
  <c r="AB34" i="1"/>
  <c r="AC34" i="1"/>
  <c r="AD34" i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H35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A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R7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A41" i="1" s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R13" i="3" s="1"/>
  <c r="AF43" i="1"/>
  <c r="AH43" i="1"/>
  <c r="K44" i="1"/>
  <c r="L44" i="1"/>
  <c r="M44" i="1"/>
  <c r="N44" i="1" s="1"/>
  <c r="V44" i="1"/>
  <c r="S10" i="3" s="1"/>
  <c r="Y44" i="1"/>
  <c r="Z44" i="1"/>
  <c r="AI44" i="1" s="1"/>
  <c r="AB44" i="1"/>
  <c r="AC44" i="1"/>
  <c r="AD44" i="1"/>
  <c r="AG44" i="1" s="1"/>
  <c r="AE44" i="1"/>
  <c r="R10" i="3" s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R12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R17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R9" i="3" s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I64" i="1" s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P72" i="1" s="1"/>
  <c r="V72" i="1"/>
  <c r="Y72" i="1"/>
  <c r="Z72" i="1"/>
  <c r="AB72" i="1"/>
  <c r="AC72" i="1"/>
  <c r="AD72" i="1"/>
  <c r="AG72" i="1" s="1"/>
  <c r="AE72" i="1"/>
  <c r="AF72" i="1"/>
  <c r="AH72" i="1"/>
  <c r="AI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R18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19" i="3" s="1"/>
  <c r="Y90" i="1"/>
  <c r="Z90" i="1"/>
  <c r="AB90" i="1"/>
  <c r="AC90" i="1"/>
  <c r="AD90" i="1"/>
  <c r="AE90" i="1"/>
  <c r="R19" i="3" s="1"/>
  <c r="AF90" i="1"/>
  <c r="AH90" i="1"/>
  <c r="K91" i="1"/>
  <c r="L91" i="1"/>
  <c r="M91" i="1"/>
  <c r="N91" i="1" s="1"/>
  <c r="V91" i="1"/>
  <c r="S8" i="3" s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R20" i="3" s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S25" i="3" s="1"/>
  <c r="Y125" i="1"/>
  <c r="Z125" i="1"/>
  <c r="AB125" i="1"/>
  <c r="AC125" i="1"/>
  <c r="AD125" i="1"/>
  <c r="T125" i="1" s="1"/>
  <c r="AE125" i="1"/>
  <c r="R25" i="3" s="1"/>
  <c r="AF125" i="1"/>
  <c r="AH125" i="1"/>
  <c r="K126" i="1"/>
  <c r="L126" i="1"/>
  <c r="M126" i="1"/>
  <c r="N126" i="1" s="1"/>
  <c r="V126" i="1"/>
  <c r="Y126" i="1"/>
  <c r="AA126" i="1" s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T131" i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R21" i="3" s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S22" i="3" s="1"/>
  <c r="Y150" i="1"/>
  <c r="Z150" i="1"/>
  <c r="AB150" i="1"/>
  <c r="AC150" i="1"/>
  <c r="AD150" i="1"/>
  <c r="AG150" i="1" s="1"/>
  <c r="AE150" i="1"/>
  <c r="R22" i="3" s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R11" i="3" s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K212" i="1"/>
  <c r="L212" i="1"/>
  <c r="M212" i="1"/>
  <c r="N212" i="1" s="1"/>
  <c r="V212" i="1"/>
  <c r="S42" i="3" s="1"/>
  <c r="Y212" i="1"/>
  <c r="Z212" i="1"/>
  <c r="AB212" i="1"/>
  <c r="AC212" i="1"/>
  <c r="AD212" i="1"/>
  <c r="AE212" i="1"/>
  <c r="R42" i="3" s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23" i="1"/>
  <c r="L223" i="1"/>
  <c r="M223" i="1"/>
  <c r="N223" i="1" s="1"/>
  <c r="V223" i="1"/>
  <c r="Y223" i="1"/>
  <c r="Z223" i="1"/>
  <c r="AB223" i="1"/>
  <c r="AC223" i="1"/>
  <c r="AD223" i="1"/>
  <c r="AG223" i="1" s="1"/>
  <c r="AI223" i="1" s="1"/>
  <c r="AE223" i="1"/>
  <c r="R43" i="3" s="1"/>
  <c r="AF223" i="1"/>
  <c r="AH171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5" i="1"/>
  <c r="K228" i="1"/>
  <c r="L228" i="1"/>
  <c r="M228" i="1"/>
  <c r="N228" i="1" s="1"/>
  <c r="V228" i="1"/>
  <c r="S44" i="3" s="1"/>
  <c r="Y228" i="1"/>
  <c r="Z228" i="1"/>
  <c r="AB228" i="1"/>
  <c r="AC228" i="1"/>
  <c r="AD228" i="1"/>
  <c r="AG228" i="1" s="1"/>
  <c r="AE228" i="1"/>
  <c r="R44" i="3" s="1"/>
  <c r="AF228" i="1"/>
  <c r="AH17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7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9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80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1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2" i="1"/>
  <c r="K235" i="1"/>
  <c r="L235" i="1"/>
  <c r="M235" i="1"/>
  <c r="N235" i="1" s="1"/>
  <c r="V235" i="1"/>
  <c r="S40" i="3" s="1"/>
  <c r="Y235" i="1"/>
  <c r="Z235" i="1"/>
  <c r="AB235" i="1"/>
  <c r="AC235" i="1"/>
  <c r="AD235" i="1"/>
  <c r="AE235" i="1"/>
  <c r="R40" i="3" s="1"/>
  <c r="AF235" i="1"/>
  <c r="AH183" i="1"/>
  <c r="K159" i="1"/>
  <c r="L159" i="1"/>
  <c r="M159" i="1"/>
  <c r="N159" i="1" s="1"/>
  <c r="V159" i="1"/>
  <c r="S31" i="3" s="1"/>
  <c r="Y159" i="1"/>
  <c r="Z159" i="1"/>
  <c r="AB159" i="1"/>
  <c r="AC159" i="1"/>
  <c r="AD159" i="1"/>
  <c r="AG159" i="1" s="1"/>
  <c r="AE159" i="1"/>
  <c r="R31" i="3" s="1"/>
  <c r="AF159" i="1"/>
  <c r="AH18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R35" i="3" s="1"/>
  <c r="AF160" i="1"/>
  <c r="AH18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6" i="1"/>
  <c r="K162" i="1"/>
  <c r="L162" i="1"/>
  <c r="M162" i="1"/>
  <c r="N162" i="1" s="1"/>
  <c r="V162" i="1"/>
  <c r="S27" i="3" s="1"/>
  <c r="Y162" i="1"/>
  <c r="Z162" i="1"/>
  <c r="AB162" i="1"/>
  <c r="AC162" i="1"/>
  <c r="AD162" i="1"/>
  <c r="AG162" i="1" s="1"/>
  <c r="AE162" i="1"/>
  <c r="R27" i="3" s="1"/>
  <c r="AF162" i="1"/>
  <c r="AH187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G164" i="1"/>
  <c r="AH189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R32" i="3" s="1"/>
  <c r="AF165" i="1"/>
  <c r="AH19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2" i="1"/>
  <c r="K168" i="1"/>
  <c r="L168" i="1"/>
  <c r="M168" i="1"/>
  <c r="N168" i="1" s="1"/>
  <c r="V168" i="1"/>
  <c r="S36" i="3" s="1"/>
  <c r="Y168" i="1"/>
  <c r="Z168" i="1"/>
  <c r="AB168" i="1"/>
  <c r="AC168" i="1"/>
  <c r="AD168" i="1"/>
  <c r="T168" i="1" s="1"/>
  <c r="AE168" i="1"/>
  <c r="R36" i="3" s="1"/>
  <c r="AF168" i="1"/>
  <c r="AH193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4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5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6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8" i="1"/>
  <c r="K174" i="1"/>
  <c r="L174" i="1"/>
  <c r="M174" i="1"/>
  <c r="N174" i="1" s="1"/>
  <c r="V174" i="1"/>
  <c r="S28" i="3" s="1"/>
  <c r="Y174" i="1"/>
  <c r="Z174" i="1"/>
  <c r="AB174" i="1"/>
  <c r="AC174" i="1"/>
  <c r="AD174" i="1"/>
  <c r="AE174" i="1"/>
  <c r="R28" i="3" s="1"/>
  <c r="AF174" i="1"/>
  <c r="AH199" i="1"/>
  <c r="K175" i="1"/>
  <c r="L175" i="1"/>
  <c r="M175" i="1"/>
  <c r="N175" i="1" s="1"/>
  <c r="V175" i="1"/>
  <c r="S26" i="3" s="1"/>
  <c r="Y175" i="1"/>
  <c r="Z175" i="1"/>
  <c r="AB175" i="1"/>
  <c r="AC175" i="1"/>
  <c r="AD175" i="1"/>
  <c r="AG175" i="1" s="1"/>
  <c r="AE175" i="1"/>
  <c r="R26" i="3" s="1"/>
  <c r="AF175" i="1"/>
  <c r="AH20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G177" i="1"/>
  <c r="AH20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20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5" i="1"/>
  <c r="K181" i="1"/>
  <c r="L181" i="1"/>
  <c r="M181" i="1"/>
  <c r="N181" i="1" s="1"/>
  <c r="V181" i="1"/>
  <c r="S33" i="3" s="1"/>
  <c r="Y181" i="1"/>
  <c r="Z181" i="1"/>
  <c r="AB181" i="1"/>
  <c r="AC181" i="1"/>
  <c r="AD181" i="1"/>
  <c r="T181" i="1" s="1"/>
  <c r="AE181" i="1"/>
  <c r="R33" i="3" s="1"/>
  <c r="AF181" i="1"/>
  <c r="AH206" i="1"/>
  <c r="K182" i="1"/>
  <c r="L182" i="1"/>
  <c r="M182" i="1"/>
  <c r="N182" i="1" s="1"/>
  <c r="V182" i="1"/>
  <c r="S37" i="3" s="1"/>
  <c r="Y182" i="1"/>
  <c r="Z182" i="1"/>
  <c r="AB182" i="1"/>
  <c r="AC182" i="1"/>
  <c r="AD182" i="1"/>
  <c r="T182" i="1" s="1"/>
  <c r="AE182" i="1"/>
  <c r="R37" i="3" s="1"/>
  <c r="AF182" i="1"/>
  <c r="AH20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1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R30" i="3" s="1"/>
  <c r="AF187" i="1"/>
  <c r="AH21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5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R38" i="3" s="1"/>
  <c r="AF192" i="1"/>
  <c r="AH217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8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9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20" i="1"/>
  <c r="K196" i="1"/>
  <c r="L196" i="1"/>
  <c r="M196" i="1"/>
  <c r="N196" i="1" s="1"/>
  <c r="V196" i="1"/>
  <c r="S39" i="3" s="1"/>
  <c r="Y196" i="1"/>
  <c r="Z196" i="1"/>
  <c r="AB196" i="1"/>
  <c r="AC196" i="1"/>
  <c r="AD196" i="1"/>
  <c r="T196" i="1" s="1"/>
  <c r="AE196" i="1"/>
  <c r="R39" i="3" s="1"/>
  <c r="AF196" i="1"/>
  <c r="AH221" i="1"/>
  <c r="K197" i="1"/>
  <c r="L197" i="1"/>
  <c r="M197" i="1"/>
  <c r="N197" i="1" s="1"/>
  <c r="V197" i="1"/>
  <c r="Y197" i="1"/>
  <c r="Z197" i="1"/>
  <c r="AB197" i="1"/>
  <c r="AC197" i="1"/>
  <c r="AD197" i="1"/>
  <c r="AE197" i="1"/>
  <c r="R34" i="3" s="1"/>
  <c r="AF197" i="1"/>
  <c r="AH22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3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5" i="1"/>
  <c r="K201" i="1"/>
  <c r="L201" i="1"/>
  <c r="M201" i="1"/>
  <c r="N201" i="1" s="1"/>
  <c r="V201" i="1"/>
  <c r="S29" i="3" s="1"/>
  <c r="Y201" i="1"/>
  <c r="Z201" i="1"/>
  <c r="AB201" i="1"/>
  <c r="AC201" i="1"/>
  <c r="AD201" i="1"/>
  <c r="AG201" i="1" s="1"/>
  <c r="AE201" i="1"/>
  <c r="R29" i="3" s="1"/>
  <c r="AF201" i="1"/>
  <c r="AH226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27" i="1"/>
  <c r="K203" i="1"/>
  <c r="L203" i="1"/>
  <c r="M203" i="1"/>
  <c r="N203" i="1" s="1"/>
  <c r="V203" i="1"/>
  <c r="Y203" i="1"/>
  <c r="Z203" i="1"/>
  <c r="AA203" i="1" s="1"/>
  <c r="AB203" i="1"/>
  <c r="AC203" i="1"/>
  <c r="AD203" i="1"/>
  <c r="AG203" i="1" s="1"/>
  <c r="AE203" i="1"/>
  <c r="AF203" i="1"/>
  <c r="AH228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29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30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23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32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3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3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5" i="1"/>
  <c r="M42" i="3"/>
  <c r="N42" i="3"/>
  <c r="U42" i="3"/>
  <c r="T42" i="3" s="1"/>
  <c r="V42" i="3"/>
  <c r="W42" i="3"/>
  <c r="X42" i="3"/>
  <c r="M23" i="3"/>
  <c r="N23" i="3"/>
  <c r="S23" i="3"/>
  <c r="U23" i="3"/>
  <c r="T23" i="3" s="1"/>
  <c r="V23" i="3"/>
  <c r="W23" i="3"/>
  <c r="X23" i="3"/>
  <c r="AC23" i="3"/>
  <c r="M31" i="3"/>
  <c r="N31" i="3"/>
  <c r="U31" i="3"/>
  <c r="AC31" i="3" s="1"/>
  <c r="V31" i="3"/>
  <c r="W31" i="3"/>
  <c r="X31" i="3"/>
  <c r="M16" i="3"/>
  <c r="N16" i="3"/>
  <c r="U16" i="3"/>
  <c r="T16" i="3" s="1"/>
  <c r="V16" i="3"/>
  <c r="W16" i="3"/>
  <c r="X16" i="3"/>
  <c r="Y16" i="3"/>
  <c r="M35" i="3"/>
  <c r="N35" i="3"/>
  <c r="S35" i="3"/>
  <c r="U35" i="3"/>
  <c r="T35" i="3" s="1"/>
  <c r="V35" i="3"/>
  <c r="W35" i="3"/>
  <c r="X35" i="3"/>
  <c r="AC35" i="3"/>
  <c r="M27" i="3"/>
  <c r="N27" i="3"/>
  <c r="U27" i="3"/>
  <c r="AC27" i="3" s="1"/>
  <c r="V27" i="3"/>
  <c r="W27" i="3"/>
  <c r="X27" i="3"/>
  <c r="M7" i="3"/>
  <c r="N7" i="3"/>
  <c r="S7" i="3"/>
  <c r="U7" i="3"/>
  <c r="AC7" i="3" s="1"/>
  <c r="V7" i="3"/>
  <c r="W7" i="3"/>
  <c r="X7" i="3"/>
  <c r="M15" i="3"/>
  <c r="N15" i="3"/>
  <c r="R15" i="3"/>
  <c r="U15" i="3"/>
  <c r="T15" i="3" s="1"/>
  <c r="V15" i="3"/>
  <c r="W15" i="3"/>
  <c r="Y15" i="3" s="1"/>
  <c r="X15" i="3"/>
  <c r="M32" i="3"/>
  <c r="N32" i="3"/>
  <c r="S32" i="3"/>
  <c r="U32" i="3"/>
  <c r="T32" i="3" s="1"/>
  <c r="V32" i="3"/>
  <c r="W32" i="3"/>
  <c r="X32" i="3"/>
  <c r="M13" i="3"/>
  <c r="N13" i="3"/>
  <c r="S13" i="3"/>
  <c r="U13" i="3"/>
  <c r="T13" i="3" s="1"/>
  <c r="V13" i="3"/>
  <c r="W13" i="3"/>
  <c r="X13" i="3"/>
  <c r="AC13" i="3"/>
  <c r="M24" i="3"/>
  <c r="N24" i="3"/>
  <c r="S24" i="3"/>
  <c r="U24" i="3"/>
  <c r="AC24" i="3" s="1"/>
  <c r="V24" i="3"/>
  <c r="W24" i="3"/>
  <c r="X24" i="3"/>
  <c r="M36" i="3"/>
  <c r="N36" i="3"/>
  <c r="U36" i="3"/>
  <c r="T36" i="3" s="1"/>
  <c r="V36" i="3"/>
  <c r="W36" i="3"/>
  <c r="X36" i="3"/>
  <c r="M10" i="3"/>
  <c r="N10" i="3"/>
  <c r="U10" i="3"/>
  <c r="T10" i="3" s="1"/>
  <c r="V10" i="3"/>
  <c r="W10" i="3"/>
  <c r="X10" i="3"/>
  <c r="AC10" i="3"/>
  <c r="M12" i="3"/>
  <c r="N12" i="3"/>
  <c r="S12" i="3"/>
  <c r="U12" i="3"/>
  <c r="T12" i="3" s="1"/>
  <c r="V12" i="3"/>
  <c r="W12" i="3"/>
  <c r="X12" i="3"/>
  <c r="AC12" i="3"/>
  <c r="M14" i="3"/>
  <c r="N14" i="3"/>
  <c r="S14" i="3"/>
  <c r="U14" i="3"/>
  <c r="AC14" i="3" s="1"/>
  <c r="V14" i="3"/>
  <c r="W14" i="3"/>
  <c r="X14" i="3"/>
  <c r="M17" i="3"/>
  <c r="N17" i="3"/>
  <c r="S17" i="3"/>
  <c r="U17" i="3"/>
  <c r="T17" i="3" s="1"/>
  <c r="V17" i="3"/>
  <c r="W17" i="3"/>
  <c r="X17" i="3"/>
  <c r="M9" i="3"/>
  <c r="N9" i="3"/>
  <c r="S9" i="3"/>
  <c r="U9" i="3"/>
  <c r="T9" i="3" s="1"/>
  <c r="V9" i="3"/>
  <c r="W9" i="3"/>
  <c r="X9" i="3"/>
  <c r="M28" i="3"/>
  <c r="N28" i="3"/>
  <c r="U28" i="3"/>
  <c r="T28" i="3" s="1"/>
  <c r="V28" i="3"/>
  <c r="W28" i="3"/>
  <c r="X28" i="3"/>
  <c r="AC28" i="3"/>
  <c r="M43" i="3"/>
  <c r="N43" i="3"/>
  <c r="S43" i="3"/>
  <c r="U43" i="3"/>
  <c r="AC43" i="3" s="1"/>
  <c r="V43" i="3"/>
  <c r="W43" i="3"/>
  <c r="X43" i="3"/>
  <c r="M26" i="3"/>
  <c r="N26" i="3"/>
  <c r="U26" i="3"/>
  <c r="T26" i="3" s="1"/>
  <c r="V26" i="3"/>
  <c r="W26" i="3"/>
  <c r="X26" i="3"/>
  <c r="M8" i="3"/>
  <c r="N8" i="3"/>
  <c r="R8" i="3"/>
  <c r="U8" i="3"/>
  <c r="T8" i="3" s="1"/>
  <c r="V8" i="3"/>
  <c r="W8" i="3"/>
  <c r="X8" i="3"/>
  <c r="AC8" i="3"/>
  <c r="M33" i="3"/>
  <c r="N33" i="3"/>
  <c r="U33" i="3"/>
  <c r="T33" i="3" s="1"/>
  <c r="V33" i="3"/>
  <c r="W33" i="3"/>
  <c r="X33" i="3"/>
  <c r="AC33" i="3"/>
  <c r="M18" i="3"/>
  <c r="N18" i="3"/>
  <c r="S18" i="3"/>
  <c r="U18" i="3"/>
  <c r="AC18" i="3" s="1"/>
  <c r="V18" i="3"/>
  <c r="W18" i="3"/>
  <c r="X18" i="3"/>
  <c r="M37" i="3"/>
  <c r="N37" i="3"/>
  <c r="U37" i="3"/>
  <c r="T37" i="3" s="1"/>
  <c r="V37" i="3"/>
  <c r="W37" i="3"/>
  <c r="X37" i="3"/>
  <c r="M19" i="3"/>
  <c r="N19" i="3"/>
  <c r="U19" i="3"/>
  <c r="T19" i="3" s="1"/>
  <c r="V19" i="3"/>
  <c r="W19" i="3"/>
  <c r="X19" i="3"/>
  <c r="M30" i="3"/>
  <c r="N30" i="3"/>
  <c r="S30" i="3"/>
  <c r="U30" i="3"/>
  <c r="T30" i="3" s="1"/>
  <c r="V30" i="3"/>
  <c r="W30" i="3"/>
  <c r="X30" i="3"/>
  <c r="AC30" i="3"/>
  <c r="M44" i="3"/>
  <c r="N44" i="3"/>
  <c r="U44" i="3"/>
  <c r="AC44" i="3" s="1"/>
  <c r="V44" i="3"/>
  <c r="W44" i="3"/>
  <c r="X44" i="3"/>
  <c r="M38" i="3"/>
  <c r="N38" i="3"/>
  <c r="S38" i="3"/>
  <c r="U38" i="3"/>
  <c r="T38" i="3" s="1"/>
  <c r="V38" i="3"/>
  <c r="W38" i="3"/>
  <c r="X38" i="3"/>
  <c r="M20" i="3"/>
  <c r="N20" i="3"/>
  <c r="S20" i="3"/>
  <c r="U20" i="3"/>
  <c r="T20" i="3" s="1"/>
  <c r="V20" i="3"/>
  <c r="W20" i="3"/>
  <c r="X20" i="3"/>
  <c r="AC20" i="3"/>
  <c r="M40" i="3"/>
  <c r="N40" i="3"/>
  <c r="U40" i="3"/>
  <c r="T40" i="3" s="1"/>
  <c r="V40" i="3"/>
  <c r="W40" i="3"/>
  <c r="Y40" i="3" s="1"/>
  <c r="X40" i="3"/>
  <c r="AC40" i="3"/>
  <c r="M25" i="3"/>
  <c r="N25" i="3"/>
  <c r="U25" i="3"/>
  <c r="AC25" i="3" s="1"/>
  <c r="V25" i="3"/>
  <c r="W25" i="3"/>
  <c r="X25" i="3"/>
  <c r="M39" i="3"/>
  <c r="N39" i="3"/>
  <c r="U39" i="3"/>
  <c r="T39" i="3" s="1"/>
  <c r="V39" i="3"/>
  <c r="W39" i="3"/>
  <c r="X39" i="3"/>
  <c r="M34" i="3"/>
  <c r="N34" i="3"/>
  <c r="S34" i="3"/>
  <c r="U34" i="3"/>
  <c r="T34" i="3" s="1"/>
  <c r="V34" i="3"/>
  <c r="W34" i="3"/>
  <c r="X34" i="3"/>
  <c r="AC34" i="3"/>
  <c r="M29" i="3"/>
  <c r="N29" i="3"/>
  <c r="U29" i="3"/>
  <c r="T29" i="3" s="1"/>
  <c r="V29" i="3"/>
  <c r="W29" i="3"/>
  <c r="X29" i="3"/>
  <c r="AC29" i="3"/>
  <c r="M21" i="3"/>
  <c r="N21" i="3"/>
  <c r="S21" i="3"/>
  <c r="U21" i="3"/>
  <c r="AC21" i="3" s="1"/>
  <c r="V21" i="3"/>
  <c r="W21" i="3"/>
  <c r="X21" i="3"/>
  <c r="M22" i="3"/>
  <c r="N22" i="3"/>
  <c r="U22" i="3"/>
  <c r="T22" i="3" s="1"/>
  <c r="V22" i="3"/>
  <c r="W22" i="3"/>
  <c r="X22" i="3"/>
  <c r="M11" i="3"/>
  <c r="N11" i="3"/>
  <c r="S11" i="3"/>
  <c r="U11" i="3"/>
  <c r="T11" i="3" s="1"/>
  <c r="V11" i="3"/>
  <c r="W11" i="3"/>
  <c r="X11" i="3"/>
  <c r="AC11" i="3"/>
  <c r="AA200" i="1" l="1"/>
  <c r="AA105" i="1"/>
  <c r="AA104" i="1"/>
  <c r="AA103" i="1"/>
  <c r="W103" i="1" s="1"/>
  <c r="AI195" i="1"/>
  <c r="AA194" i="1"/>
  <c r="AG225" i="1"/>
  <c r="AI199" i="1"/>
  <c r="AI167" i="1"/>
  <c r="AA164" i="1"/>
  <c r="AA163" i="1"/>
  <c r="AA162" i="1"/>
  <c r="W162" i="1" s="1"/>
  <c r="AG214" i="1"/>
  <c r="T103" i="1"/>
  <c r="AI23" i="1"/>
  <c r="AA166" i="1"/>
  <c r="AA223" i="1"/>
  <c r="AG157" i="1"/>
  <c r="U157" i="1" s="1"/>
  <c r="S157" i="1" s="1"/>
  <c r="AA143" i="1"/>
  <c r="W143" i="1" s="1"/>
  <c r="AA141" i="1"/>
  <c r="W141" i="1" s="1"/>
  <c r="AA128" i="1"/>
  <c r="AA65" i="1"/>
  <c r="T21" i="1"/>
  <c r="X21" i="1"/>
  <c r="AG20" i="1"/>
  <c r="X20" i="1"/>
  <c r="T19" i="1"/>
  <c r="X19" i="1"/>
  <c r="T17" i="1"/>
  <c r="X17" i="1"/>
  <c r="AG16" i="1"/>
  <c r="X16" i="1"/>
  <c r="AA227" i="1"/>
  <c r="AA208" i="1"/>
  <c r="AI207" i="1"/>
  <c r="T154" i="1"/>
  <c r="U154" i="1" s="1"/>
  <c r="S154" i="1" s="1"/>
  <c r="AA136" i="1"/>
  <c r="AA132" i="1"/>
  <c r="AA131" i="1"/>
  <c r="X83" i="1"/>
  <c r="AA44" i="1"/>
  <c r="AG40" i="1"/>
  <c r="AI40" i="1" s="1"/>
  <c r="X40" i="1"/>
  <c r="AG39" i="1"/>
  <c r="X39" i="1"/>
  <c r="T38" i="1"/>
  <c r="X38" i="1"/>
  <c r="T20" i="1"/>
  <c r="T15" i="1"/>
  <c r="X15" i="1"/>
  <c r="T114" i="1"/>
  <c r="AA101" i="1"/>
  <c r="W101" i="1" s="1"/>
  <c r="AA100" i="1"/>
  <c r="W100" i="1" s="1"/>
  <c r="AA98" i="1"/>
  <c r="AA96" i="1"/>
  <c r="AA87" i="1"/>
  <c r="W87" i="1" s="1"/>
  <c r="AG37" i="1"/>
  <c r="X37" i="1"/>
  <c r="AA25" i="1"/>
  <c r="X36" i="1"/>
  <c r="X23" i="1"/>
  <c r="AI36" i="1"/>
  <c r="U36" i="1"/>
  <c r="S36" i="1" s="1"/>
  <c r="Y32" i="3"/>
  <c r="Y42" i="3"/>
  <c r="R24" i="3"/>
  <c r="Y25" i="3"/>
  <c r="AC42" i="3"/>
  <c r="Y23" i="3"/>
  <c r="AI14" i="1"/>
  <c r="U14" i="1"/>
  <c r="S14" i="1" s="1"/>
  <c r="W14" i="1"/>
  <c r="Y36" i="3"/>
  <c r="AG172" i="1"/>
  <c r="T27" i="3"/>
  <c r="AA222" i="1"/>
  <c r="AG191" i="1"/>
  <c r="AI175" i="1"/>
  <c r="AA174" i="1"/>
  <c r="AI159" i="1"/>
  <c r="AA235" i="1"/>
  <c r="AG227" i="1"/>
  <c r="W227" i="1" s="1"/>
  <c r="T223" i="1"/>
  <c r="U223" i="1" s="1"/>
  <c r="S223" i="1" s="1"/>
  <c r="X217" i="1"/>
  <c r="AI213" i="1"/>
  <c r="AI143" i="1"/>
  <c r="X95" i="1"/>
  <c r="AI75" i="1"/>
  <c r="AI48" i="1"/>
  <c r="AG41" i="1"/>
  <c r="W41" i="1" s="1"/>
  <c r="T31" i="1"/>
  <c r="T25" i="1"/>
  <c r="AG24" i="1"/>
  <c r="AA18" i="1"/>
  <c r="AA17" i="1"/>
  <c r="AA172" i="1"/>
  <c r="AA171" i="1"/>
  <c r="AA170" i="1"/>
  <c r="AA233" i="1"/>
  <c r="AA232" i="1"/>
  <c r="W232" i="1" s="1"/>
  <c r="AA210" i="1"/>
  <c r="AA117" i="1"/>
  <c r="AA116" i="1"/>
  <c r="AA79" i="1"/>
  <c r="AA33" i="1"/>
  <c r="AA32" i="1"/>
  <c r="W32" i="1" s="1"/>
  <c r="P28" i="1"/>
  <c r="P26" i="1"/>
  <c r="Y17" i="3"/>
  <c r="AG196" i="1"/>
  <c r="U196" i="1" s="1"/>
  <c r="S196" i="1" s="1"/>
  <c r="AI187" i="1"/>
  <c r="AG233" i="1"/>
  <c r="AI233" i="1" s="1"/>
  <c r="AG210" i="1"/>
  <c r="AA69" i="1"/>
  <c r="AI68" i="1"/>
  <c r="AA21" i="1"/>
  <c r="AA20" i="1"/>
  <c r="W20" i="1" s="1"/>
  <c r="T16" i="1"/>
  <c r="U16" i="1" s="1"/>
  <c r="S16" i="1" s="1"/>
  <c r="AA29" i="1"/>
  <c r="AG27" i="1"/>
  <c r="AI27" i="1" s="1"/>
  <c r="X27" i="1"/>
  <c r="AA26" i="1"/>
  <c r="R14" i="3"/>
  <c r="AG194" i="1"/>
  <c r="U194" i="1" s="1"/>
  <c r="S194" i="1" s="1"/>
  <c r="AG188" i="1"/>
  <c r="AG180" i="1"/>
  <c r="U180" i="1" s="1"/>
  <c r="S180" i="1" s="1"/>
  <c r="AA178" i="1"/>
  <c r="W178" i="1" s="1"/>
  <c r="AG176" i="1"/>
  <c r="U176" i="1" s="1"/>
  <c r="S176" i="1" s="1"/>
  <c r="AG168" i="1"/>
  <c r="AG231" i="1"/>
  <c r="AI231" i="1" s="1"/>
  <c r="AG208" i="1"/>
  <c r="U208" i="1" s="1"/>
  <c r="S208" i="1" s="1"/>
  <c r="AG136" i="1"/>
  <c r="U136" i="1" s="1"/>
  <c r="S136" i="1" s="1"/>
  <c r="AA134" i="1"/>
  <c r="AI101" i="1"/>
  <c r="AA55" i="1"/>
  <c r="AG43" i="1"/>
  <c r="AI43" i="1" s="1"/>
  <c r="X43" i="1"/>
  <c r="AI227" i="1"/>
  <c r="T186" i="1"/>
  <c r="AA231" i="1"/>
  <c r="AA230" i="1"/>
  <c r="W230" i="1" s="1"/>
  <c r="AA150" i="1"/>
  <c r="AI144" i="1"/>
  <c r="AA144" i="1"/>
  <c r="AA138" i="1"/>
  <c r="W138" i="1" s="1"/>
  <c r="X131" i="1"/>
  <c r="AG110" i="1"/>
  <c r="U110" i="1" s="1"/>
  <c r="S110" i="1" s="1"/>
  <c r="AG99" i="1"/>
  <c r="X99" i="1"/>
  <c r="AA95" i="1"/>
  <c r="AG86" i="1"/>
  <c r="AI86" i="1" s="1"/>
  <c r="AG78" i="1"/>
  <c r="AA67" i="1"/>
  <c r="W67" i="1" s="1"/>
  <c r="W44" i="1"/>
  <c r="AI41" i="1"/>
  <c r="U15" i="1"/>
  <c r="S15" i="1" s="1"/>
  <c r="W223" i="1"/>
  <c r="AG222" i="1"/>
  <c r="U222" i="1" s="1"/>
  <c r="S222" i="1" s="1"/>
  <c r="X193" i="1"/>
  <c r="AG160" i="1"/>
  <c r="AG51" i="1"/>
  <c r="AI51" i="1" s="1"/>
  <c r="Y37" i="3"/>
  <c r="T220" i="1"/>
  <c r="U220" i="1" s="1"/>
  <c r="S220" i="1" s="1"/>
  <c r="AG178" i="1"/>
  <c r="X178" i="1"/>
  <c r="X173" i="1"/>
  <c r="W172" i="1"/>
  <c r="X165" i="1"/>
  <c r="W164" i="1"/>
  <c r="X234" i="1"/>
  <c r="W233" i="1"/>
  <c r="T230" i="1"/>
  <c r="AG216" i="1"/>
  <c r="AI216" i="1" s="1"/>
  <c r="AI211" i="1"/>
  <c r="W210" i="1"/>
  <c r="AA157" i="1"/>
  <c r="AA154" i="1"/>
  <c r="W154" i="1" s="1"/>
  <c r="T150" i="1"/>
  <c r="U150" i="1" s="1"/>
  <c r="S150" i="1" s="1"/>
  <c r="AA147" i="1"/>
  <c r="AA140" i="1"/>
  <c r="T130" i="1"/>
  <c r="U130" i="1" s="1"/>
  <c r="S130" i="1" s="1"/>
  <c r="T119" i="1"/>
  <c r="U119" i="1" s="1"/>
  <c r="S119" i="1" s="1"/>
  <c r="X115" i="1"/>
  <c r="AG112" i="1"/>
  <c r="AA110" i="1"/>
  <c r="AA99" i="1"/>
  <c r="W99" i="1" s="1"/>
  <c r="T94" i="1"/>
  <c r="U94" i="1" s="1"/>
  <c r="S94" i="1" s="1"/>
  <c r="AG79" i="1"/>
  <c r="AG71" i="1"/>
  <c r="U71" i="1" s="1"/>
  <c r="S71" i="1" s="1"/>
  <c r="AA68" i="1"/>
  <c r="AA39" i="1"/>
  <c r="W39" i="1" s="1"/>
  <c r="AG38" i="1"/>
  <c r="AG33" i="1"/>
  <c r="U33" i="1" s="1"/>
  <c r="S33" i="1" s="1"/>
  <c r="T27" i="1"/>
  <c r="AA16" i="1"/>
  <c r="W16" i="1" s="1"/>
  <c r="Y22" i="3"/>
  <c r="Y21" i="3"/>
  <c r="Y19" i="3"/>
  <c r="Y9" i="3"/>
  <c r="Y39" i="3"/>
  <c r="Y33" i="3"/>
  <c r="T44" i="3"/>
  <c r="AG197" i="1"/>
  <c r="AI197" i="1" s="1"/>
  <c r="T197" i="1"/>
  <c r="AG174" i="1"/>
  <c r="T174" i="1"/>
  <c r="AG166" i="1"/>
  <c r="W166" i="1" s="1"/>
  <c r="T166" i="1"/>
  <c r="AG235" i="1"/>
  <c r="T235" i="1"/>
  <c r="T229" i="1"/>
  <c r="AG229" i="1"/>
  <c r="AI229" i="1" s="1"/>
  <c r="AA142" i="1"/>
  <c r="T124" i="1"/>
  <c r="AG124" i="1"/>
  <c r="T218" i="1"/>
  <c r="AG218" i="1"/>
  <c r="W218" i="1" s="1"/>
  <c r="AG226" i="1"/>
  <c r="T226" i="1"/>
  <c r="X226" i="1"/>
  <c r="T212" i="1"/>
  <c r="AG212" i="1"/>
  <c r="AI212" i="1" s="1"/>
  <c r="AG118" i="1"/>
  <c r="AI118" i="1" s="1"/>
  <c r="T118" i="1"/>
  <c r="AG169" i="1"/>
  <c r="T169" i="1"/>
  <c r="X169" i="1"/>
  <c r="AG161" i="1"/>
  <c r="T161" i="1"/>
  <c r="X161" i="1"/>
  <c r="X221" i="1"/>
  <c r="AA198" i="1"/>
  <c r="AA197" i="1"/>
  <c r="T153" i="1"/>
  <c r="AG153" i="1"/>
  <c r="AI153" i="1" s="1"/>
  <c r="AA220" i="1"/>
  <c r="AA204" i="1"/>
  <c r="W204" i="1" s="1"/>
  <c r="AI203" i="1"/>
  <c r="AA192" i="1"/>
  <c r="AA188" i="1"/>
  <c r="W188" i="1" s="1"/>
  <c r="AI179" i="1"/>
  <c r="AA173" i="1"/>
  <c r="W173" i="1" s="1"/>
  <c r="T173" i="1"/>
  <c r="U173" i="1" s="1"/>
  <c r="S173" i="1" s="1"/>
  <c r="AI171" i="1"/>
  <c r="T170" i="1"/>
  <c r="U170" i="1" s="1"/>
  <c r="S170" i="1" s="1"/>
  <c r="AA165" i="1"/>
  <c r="W165" i="1" s="1"/>
  <c r="T165" i="1"/>
  <c r="U165" i="1" s="1"/>
  <c r="S165" i="1" s="1"/>
  <c r="AI163" i="1"/>
  <c r="T162" i="1"/>
  <c r="U162" i="1" s="1"/>
  <c r="S162" i="1" s="1"/>
  <c r="AA234" i="1"/>
  <c r="W234" i="1" s="1"/>
  <c r="T234" i="1"/>
  <c r="U234" i="1" s="1"/>
  <c r="S234" i="1" s="1"/>
  <c r="AA206" i="1"/>
  <c r="X142" i="1"/>
  <c r="AA121" i="1"/>
  <c r="AA120" i="1"/>
  <c r="AA119" i="1"/>
  <c r="W119" i="1" s="1"/>
  <c r="AA112" i="1"/>
  <c r="W112" i="1" s="1"/>
  <c r="AG108" i="1"/>
  <c r="U108" i="1" s="1"/>
  <c r="S108" i="1" s="1"/>
  <c r="AA106" i="1"/>
  <c r="W106" i="1" s="1"/>
  <c r="AG89" i="1"/>
  <c r="U89" i="1" s="1"/>
  <c r="AG85" i="1"/>
  <c r="AI85" i="1" s="1"/>
  <c r="AG77" i="1"/>
  <c r="AI77" i="1" s="1"/>
  <c r="AA72" i="1"/>
  <c r="W72" i="1" s="1"/>
  <c r="AA64" i="1"/>
  <c r="AG63" i="1"/>
  <c r="U63" i="1" s="1"/>
  <c r="S63" i="1" s="1"/>
  <c r="AA61" i="1"/>
  <c r="AG59" i="1"/>
  <c r="AI59" i="1" s="1"/>
  <c r="AA57" i="1"/>
  <c r="AA56" i="1"/>
  <c r="W56" i="1" s="1"/>
  <c r="AG55" i="1"/>
  <c r="AA49" i="1"/>
  <c r="AG47" i="1"/>
  <c r="X47" i="1"/>
  <c r="AA46" i="1"/>
  <c r="AA45" i="1"/>
  <c r="X44" i="1"/>
  <c r="AA43" i="1"/>
  <c r="T42" i="1"/>
  <c r="AA37" i="1"/>
  <c r="W37" i="1" s="1"/>
  <c r="T37" i="1"/>
  <c r="AA34" i="1"/>
  <c r="T32" i="1"/>
  <c r="U31" i="1"/>
  <c r="S31" i="1" s="1"/>
  <c r="AG29" i="1"/>
  <c r="U29" i="1" s="1"/>
  <c r="AA24" i="1"/>
  <c r="W24" i="1" s="1"/>
  <c r="AG21" i="1"/>
  <c r="W21" i="1" s="1"/>
  <c r="AG19" i="1"/>
  <c r="U19" i="1" s="1"/>
  <c r="S19" i="1" s="1"/>
  <c r="AI219" i="1"/>
  <c r="AA199" i="1"/>
  <c r="W199" i="1" s="1"/>
  <c r="AG192" i="1"/>
  <c r="X192" i="1"/>
  <c r="AA191" i="1"/>
  <c r="W191" i="1" s="1"/>
  <c r="AA187" i="1"/>
  <c r="W187" i="1" s="1"/>
  <c r="AA183" i="1"/>
  <c r="X177" i="1"/>
  <c r="AA176" i="1"/>
  <c r="AA175" i="1"/>
  <c r="W175" i="1" s="1"/>
  <c r="AA168" i="1"/>
  <c r="W168" i="1" s="1"/>
  <c r="AA167" i="1"/>
  <c r="W167" i="1" s="1"/>
  <c r="AA160" i="1"/>
  <c r="W160" i="1" s="1"/>
  <c r="AA159" i="1"/>
  <c r="X230" i="1"/>
  <c r="AA217" i="1"/>
  <c r="W217" i="1" s="1"/>
  <c r="T217" i="1"/>
  <c r="U217" i="1" s="1"/>
  <c r="S217" i="1" s="1"/>
  <c r="AA214" i="1"/>
  <c r="W214" i="1" s="1"/>
  <c r="X209" i="1"/>
  <c r="AG206" i="1"/>
  <c r="AI206" i="1" s="1"/>
  <c r="X158" i="1"/>
  <c r="AG155" i="1"/>
  <c r="AI155" i="1" s="1"/>
  <c r="X154" i="1"/>
  <c r="AA148" i="1"/>
  <c r="AG128" i="1"/>
  <c r="X127" i="1"/>
  <c r="AA122" i="1"/>
  <c r="AA115" i="1"/>
  <c r="W115" i="1" s="1"/>
  <c r="T115" i="1"/>
  <c r="U112" i="1"/>
  <c r="S112" i="1" s="1"/>
  <c r="AA102" i="1"/>
  <c r="AI100" i="1"/>
  <c r="AG98" i="1"/>
  <c r="AG94" i="1"/>
  <c r="AA92" i="1"/>
  <c r="AA91" i="1"/>
  <c r="W91" i="1" s="1"/>
  <c r="AG87" i="1"/>
  <c r="AI87" i="1" s="1"/>
  <c r="AA82" i="1"/>
  <c r="AI79" i="1"/>
  <c r="W68" i="1"/>
  <c r="AA48" i="1"/>
  <c r="W48" i="1" s="1"/>
  <c r="AA42" i="1"/>
  <c r="U35" i="1"/>
  <c r="S35" i="1" s="1"/>
  <c r="T28" i="1"/>
  <c r="U28" i="1" s="1"/>
  <c r="AA182" i="1"/>
  <c r="AA169" i="1"/>
  <c r="W169" i="1" s="1"/>
  <c r="AA161" i="1"/>
  <c r="AA229" i="1"/>
  <c r="AA226" i="1"/>
  <c r="AA152" i="1"/>
  <c r="W152" i="1" s="1"/>
  <c r="AA137" i="1"/>
  <c r="W137" i="1" s="1"/>
  <c r="AA124" i="1"/>
  <c r="AA123" i="1"/>
  <c r="AA108" i="1"/>
  <c r="W108" i="1" s="1"/>
  <c r="X90" i="1"/>
  <c r="X86" i="1"/>
  <c r="AA85" i="1"/>
  <c r="AA84" i="1"/>
  <c r="X82" i="1"/>
  <c r="X78" i="1"/>
  <c r="AA77" i="1"/>
  <c r="AA76" i="1"/>
  <c r="X56" i="1"/>
  <c r="AA28" i="1"/>
  <c r="W28" i="1" s="1"/>
  <c r="AG25" i="1"/>
  <c r="AA221" i="1"/>
  <c r="W221" i="1" s="1"/>
  <c r="T221" i="1"/>
  <c r="T204" i="1"/>
  <c r="U204" i="1" s="1"/>
  <c r="S204" i="1" s="1"/>
  <c r="X201" i="1"/>
  <c r="AG200" i="1"/>
  <c r="U200" i="1" s="1"/>
  <c r="S200" i="1" s="1"/>
  <c r="AG198" i="1"/>
  <c r="W198" i="1" s="1"/>
  <c r="AA196" i="1"/>
  <c r="AA195" i="1"/>
  <c r="AA193" i="1"/>
  <c r="W193" i="1" s="1"/>
  <c r="T193" i="1"/>
  <c r="U193" i="1" s="1"/>
  <c r="S193" i="1" s="1"/>
  <c r="AG190" i="1"/>
  <c r="X188" i="1"/>
  <c r="X187" i="1"/>
  <c r="AA186" i="1"/>
  <c r="W186" i="1" s="1"/>
  <c r="AG185" i="1"/>
  <c r="U185" i="1" s="1"/>
  <c r="S185" i="1" s="1"/>
  <c r="X185" i="1"/>
  <c r="AG184" i="1"/>
  <c r="U184" i="1" s="1"/>
  <c r="S184" i="1" s="1"/>
  <c r="AG182" i="1"/>
  <c r="U182" i="1" s="1"/>
  <c r="S182" i="1" s="1"/>
  <c r="AG181" i="1"/>
  <c r="X181" i="1"/>
  <c r="AA177" i="1"/>
  <c r="W177" i="1" s="1"/>
  <c r="U227" i="1"/>
  <c r="S227" i="1" s="1"/>
  <c r="AA215" i="1"/>
  <c r="W215" i="1" s="1"/>
  <c r="AA212" i="1"/>
  <c r="AA211" i="1"/>
  <c r="W211" i="1" s="1"/>
  <c r="AA209" i="1"/>
  <c r="W209" i="1" s="1"/>
  <c r="T209" i="1"/>
  <c r="U209" i="1" s="1"/>
  <c r="S209" i="1" s="1"/>
  <c r="AA207" i="1"/>
  <c r="W207" i="1" s="1"/>
  <c r="AA158" i="1"/>
  <c r="W158" i="1" s="1"/>
  <c r="T158" i="1"/>
  <c r="AA156" i="1"/>
  <c r="W156" i="1" s="1"/>
  <c r="AA155" i="1"/>
  <c r="W155" i="1" s="1"/>
  <c r="AA153" i="1"/>
  <c r="AG151" i="1"/>
  <c r="AI151" i="1" s="1"/>
  <c r="X150" i="1"/>
  <c r="AG149" i="1"/>
  <c r="AI149" i="1" s="1"/>
  <c r="AG142" i="1"/>
  <c r="AG141" i="1"/>
  <c r="X141" i="1"/>
  <c r="AG140" i="1"/>
  <c r="AI140" i="1" s="1"/>
  <c r="T138" i="1"/>
  <c r="X135" i="1"/>
  <c r="AG134" i="1"/>
  <c r="W134" i="1" s="1"/>
  <c r="X205" i="1"/>
  <c r="W220" i="1"/>
  <c r="AA219" i="1"/>
  <c r="W219" i="1" s="1"/>
  <c r="AA205" i="1"/>
  <c r="W205" i="1" s="1"/>
  <c r="T205" i="1"/>
  <c r="U205" i="1" s="1"/>
  <c r="S205" i="1" s="1"/>
  <c r="X197" i="1"/>
  <c r="U191" i="1"/>
  <c r="S191" i="1" s="1"/>
  <c r="X191" i="1"/>
  <c r="U186" i="1"/>
  <c r="S186" i="1" s="1"/>
  <c r="X186" i="1"/>
  <c r="X182" i="1"/>
  <c r="AA180" i="1"/>
  <c r="AA179" i="1"/>
  <c r="W179" i="1" s="1"/>
  <c r="AA216" i="1"/>
  <c r="W216" i="1" s="1"/>
  <c r="U214" i="1"/>
  <c r="S214" i="1" s="1"/>
  <c r="AA213" i="1"/>
  <c r="W213" i="1" s="1"/>
  <c r="T213" i="1"/>
  <c r="U213" i="1" s="1"/>
  <c r="S213" i="1" s="1"/>
  <c r="W157" i="1"/>
  <c r="AA146" i="1"/>
  <c r="T146" i="1"/>
  <c r="AA145" i="1"/>
  <c r="AA125" i="1"/>
  <c r="AG122" i="1"/>
  <c r="AI122" i="1" s="1"/>
  <c r="T122" i="1"/>
  <c r="T120" i="1"/>
  <c r="AG120" i="1"/>
  <c r="AI120" i="1" s="1"/>
  <c r="AA201" i="1"/>
  <c r="W201" i="1" s="1"/>
  <c r="T201" i="1"/>
  <c r="AA190" i="1"/>
  <c r="AA189" i="1"/>
  <c r="T187" i="1"/>
  <c r="U187" i="1" s="1"/>
  <c r="S187" i="1" s="1"/>
  <c r="AA185" i="1"/>
  <c r="W185" i="1" s="1"/>
  <c r="AA184" i="1"/>
  <c r="AA181" i="1"/>
  <c r="U178" i="1"/>
  <c r="S178" i="1" s="1"/>
  <c r="W170" i="1"/>
  <c r="AI191" i="1"/>
  <c r="W235" i="1"/>
  <c r="W144" i="1"/>
  <c r="AA135" i="1"/>
  <c r="W135" i="1" s="1"/>
  <c r="T135" i="1"/>
  <c r="U135" i="1" s="1"/>
  <c r="S135" i="1" s="1"/>
  <c r="T132" i="1"/>
  <c r="AG132" i="1"/>
  <c r="AI91" i="1"/>
  <c r="AG202" i="1"/>
  <c r="U202" i="1" s="1"/>
  <c r="S202" i="1" s="1"/>
  <c r="U188" i="1"/>
  <c r="S188" i="1" s="1"/>
  <c r="AA228" i="1"/>
  <c r="W228" i="1" s="1"/>
  <c r="AA225" i="1"/>
  <c r="W225" i="1" s="1"/>
  <c r="AA224" i="1"/>
  <c r="X213" i="1"/>
  <c r="AA151" i="1"/>
  <c r="W151" i="1" s="1"/>
  <c r="AA149" i="1"/>
  <c r="AG147" i="1"/>
  <c r="AI147" i="1" s="1"/>
  <c r="X146" i="1"/>
  <c r="AG145" i="1"/>
  <c r="U145" i="1" s="1"/>
  <c r="X145" i="1"/>
  <c r="AA139" i="1"/>
  <c r="AA133" i="1"/>
  <c r="AG127" i="1"/>
  <c r="AI127" i="1" s="1"/>
  <c r="T127" i="1"/>
  <c r="AG126" i="1"/>
  <c r="W126" i="1" s="1"/>
  <c r="AG123" i="1"/>
  <c r="AI123" i="1" s="1"/>
  <c r="X123" i="1"/>
  <c r="AA130" i="1"/>
  <c r="W130" i="1" s="1"/>
  <c r="AA129" i="1"/>
  <c r="AA127" i="1"/>
  <c r="X119" i="1"/>
  <c r="AG116" i="1"/>
  <c r="AA114" i="1"/>
  <c r="W114" i="1" s="1"/>
  <c r="AA113" i="1"/>
  <c r="AA111" i="1"/>
  <c r="W111" i="1" s="1"/>
  <c r="T111" i="1"/>
  <c r="U111" i="1" s="1"/>
  <c r="S111" i="1" s="1"/>
  <c r="T106" i="1"/>
  <c r="U106" i="1" s="1"/>
  <c r="S106" i="1" s="1"/>
  <c r="X103" i="1"/>
  <c r="AG102" i="1"/>
  <c r="AI102" i="1" s="1"/>
  <c r="X102" i="1"/>
  <c r="T100" i="1"/>
  <c r="U100" i="1" s="1"/>
  <c r="S100" i="1" s="1"/>
  <c r="AG95" i="1"/>
  <c r="W95" i="1" s="1"/>
  <c r="X91" i="1"/>
  <c r="AA89" i="1"/>
  <c r="AA86" i="1"/>
  <c r="AG83" i="1"/>
  <c r="W83" i="1" s="1"/>
  <c r="AG82" i="1"/>
  <c r="U82" i="1" s="1"/>
  <c r="S82" i="1" s="1"/>
  <c r="AA78" i="1"/>
  <c r="W78" i="1" s="1"/>
  <c r="X72" i="1"/>
  <c r="X71" i="1"/>
  <c r="T67" i="1"/>
  <c r="U67" i="1" s="1"/>
  <c r="S67" i="1" s="1"/>
  <c r="X64" i="1"/>
  <c r="AA59" i="1"/>
  <c r="AA58" i="1"/>
  <c r="T56" i="1"/>
  <c r="U56" i="1" s="1"/>
  <c r="S56" i="1" s="1"/>
  <c r="AA52" i="1"/>
  <c r="X51" i="1"/>
  <c r="X48" i="1"/>
  <c r="AA40" i="1"/>
  <c r="T40" i="1"/>
  <c r="T39" i="1"/>
  <c r="AA35" i="1"/>
  <c r="W35" i="1" s="1"/>
  <c r="AI33" i="1"/>
  <c r="X32" i="1"/>
  <c r="AA30" i="1"/>
  <c r="T24" i="1"/>
  <c r="U24" i="1" s="1"/>
  <c r="S24" i="1" s="1"/>
  <c r="AA19" i="1"/>
  <c r="W19" i="1" s="1"/>
  <c r="AA109" i="1"/>
  <c r="AA107" i="1"/>
  <c r="W107" i="1" s="1"/>
  <c r="T107" i="1"/>
  <c r="AA90" i="1"/>
  <c r="T90" i="1"/>
  <c r="AA88" i="1"/>
  <c r="T87" i="1"/>
  <c r="AA81" i="1"/>
  <c r="AA80" i="1"/>
  <c r="T79" i="1"/>
  <c r="U75" i="1"/>
  <c r="S75" i="1" s="1"/>
  <c r="AA70" i="1"/>
  <c r="W70" i="1" s="1"/>
  <c r="T68" i="1"/>
  <c r="X60" i="1"/>
  <c r="AA54" i="1"/>
  <c r="AA50" i="1"/>
  <c r="W50" i="1" s="1"/>
  <c r="X111" i="1"/>
  <c r="T91" i="1"/>
  <c r="U91" i="1" s="1"/>
  <c r="S91" i="1" s="1"/>
  <c r="U79" i="1"/>
  <c r="S79" i="1" s="1"/>
  <c r="U78" i="1"/>
  <c r="S78" i="1" s="1"/>
  <c r="T72" i="1"/>
  <c r="U72" i="1" s="1"/>
  <c r="S72" i="1" s="1"/>
  <c r="T64" i="1"/>
  <c r="T48" i="1"/>
  <c r="AA27" i="1"/>
  <c r="AA22" i="1"/>
  <c r="AG17" i="1"/>
  <c r="W17" i="1" s="1"/>
  <c r="AA118" i="1"/>
  <c r="AI112" i="1"/>
  <c r="X107" i="1"/>
  <c r="AG104" i="1"/>
  <c r="AI104" i="1" s="1"/>
  <c r="AG90" i="1"/>
  <c r="AI90" i="1" s="1"/>
  <c r="AG81" i="1"/>
  <c r="AA75" i="1"/>
  <c r="W75" i="1" s="1"/>
  <c r="AA73" i="1"/>
  <c r="AA71" i="1"/>
  <c r="X68" i="1"/>
  <c r="AA63" i="1"/>
  <c r="AA62" i="1"/>
  <c r="T60" i="1"/>
  <c r="AA51" i="1"/>
  <c r="W51" i="1" s="1"/>
  <c r="AG50" i="1"/>
  <c r="X50" i="1"/>
  <c r="AA47" i="1"/>
  <c r="U41" i="1"/>
  <c r="S41" i="1" s="1"/>
  <c r="AA31" i="1"/>
  <c r="W31" i="1" s="1"/>
  <c r="AI29" i="1"/>
  <c r="X28" i="1"/>
  <c r="AI224" i="1"/>
  <c r="W195" i="1"/>
  <c r="AI234" i="1"/>
  <c r="U221" i="1"/>
  <c r="S221" i="1" s="1"/>
  <c r="AI220" i="1"/>
  <c r="AI218" i="1"/>
  <c r="AI232" i="1"/>
  <c r="U218" i="1"/>
  <c r="S218" i="1" s="1"/>
  <c r="AI230" i="1"/>
  <c r="W203" i="1"/>
  <c r="AI228" i="1"/>
  <c r="U201" i="1"/>
  <c r="S201" i="1" s="1"/>
  <c r="X219" i="1"/>
  <c r="T219" i="1"/>
  <c r="U219" i="1" s="1"/>
  <c r="S219" i="1" s="1"/>
  <c r="X203" i="1"/>
  <c r="T203" i="1"/>
  <c r="U203" i="1" s="1"/>
  <c r="S203" i="1" s="1"/>
  <c r="AI225" i="1"/>
  <c r="X199" i="1"/>
  <c r="T199" i="1"/>
  <c r="U199" i="1" s="1"/>
  <c r="S199" i="1" s="1"/>
  <c r="AI221" i="1"/>
  <c r="X195" i="1"/>
  <c r="T195" i="1"/>
  <c r="U195" i="1" s="1"/>
  <c r="S195" i="1" s="1"/>
  <c r="AI217" i="1"/>
  <c r="U190" i="1"/>
  <c r="S190" i="1" s="1"/>
  <c r="AI188" i="1"/>
  <c r="AI172" i="1"/>
  <c r="AI154" i="1"/>
  <c r="AI152" i="1"/>
  <c r="U149" i="1"/>
  <c r="S149" i="1" s="1"/>
  <c r="X222" i="1"/>
  <c r="X218" i="1"/>
  <c r="X202" i="1"/>
  <c r="X198" i="1"/>
  <c r="X194" i="1"/>
  <c r="X190" i="1"/>
  <c r="AG189" i="1"/>
  <c r="AI189" i="1" s="1"/>
  <c r="AI210" i="1"/>
  <c r="AI209" i="1"/>
  <c r="AG183" i="1"/>
  <c r="AI183" i="1" s="1"/>
  <c r="T183" i="1"/>
  <c r="X183" i="1"/>
  <c r="AI198" i="1"/>
  <c r="U172" i="1"/>
  <c r="S172" i="1" s="1"/>
  <c r="U168" i="1"/>
  <c r="S168" i="1" s="1"/>
  <c r="AI190" i="1"/>
  <c r="U164" i="1"/>
  <c r="S164" i="1" s="1"/>
  <c r="AI186" i="1"/>
  <c r="U161" i="1"/>
  <c r="S161" i="1" s="1"/>
  <c r="U160" i="1"/>
  <c r="S160" i="1" s="1"/>
  <c r="AI182" i="1"/>
  <c r="U233" i="1"/>
  <c r="S233" i="1" s="1"/>
  <c r="AI178" i="1"/>
  <c r="U230" i="1"/>
  <c r="S230" i="1" s="1"/>
  <c r="U225" i="1"/>
  <c r="AI170" i="1"/>
  <c r="AI168" i="1"/>
  <c r="AI164" i="1"/>
  <c r="U210" i="1"/>
  <c r="S210" i="1" s="1"/>
  <c r="AI162" i="1"/>
  <c r="AI160" i="1"/>
  <c r="AI158" i="1"/>
  <c r="U158" i="1"/>
  <c r="S158" i="1" s="1"/>
  <c r="AI156" i="1"/>
  <c r="W146" i="1"/>
  <c r="AI215" i="1"/>
  <c r="X189" i="1"/>
  <c r="AI205" i="1"/>
  <c r="AI204" i="1"/>
  <c r="U216" i="1"/>
  <c r="S216" i="1" s="1"/>
  <c r="W150" i="1"/>
  <c r="W148" i="1"/>
  <c r="AI146" i="1"/>
  <c r="U146" i="1"/>
  <c r="S146" i="1" s="1"/>
  <c r="X220" i="1"/>
  <c r="X204" i="1"/>
  <c r="X200" i="1"/>
  <c r="X196" i="1"/>
  <c r="W171" i="1"/>
  <c r="W163" i="1"/>
  <c r="W159" i="1"/>
  <c r="W224" i="1"/>
  <c r="AI150" i="1"/>
  <c r="AI148" i="1"/>
  <c r="X179" i="1"/>
  <c r="T179" i="1"/>
  <c r="U179" i="1" s="1"/>
  <c r="S179" i="1" s="1"/>
  <c r="AI201" i="1"/>
  <c r="X175" i="1"/>
  <c r="T175" i="1"/>
  <c r="U175" i="1" s="1"/>
  <c r="S175" i="1" s="1"/>
  <c r="X171" i="1"/>
  <c r="T171" i="1"/>
  <c r="U171" i="1" s="1"/>
  <c r="S171" i="1" s="1"/>
  <c r="AI193" i="1"/>
  <c r="X167" i="1"/>
  <c r="T167" i="1"/>
  <c r="U167" i="1" s="1"/>
  <c r="S167" i="1" s="1"/>
  <c r="X163" i="1"/>
  <c r="T163" i="1"/>
  <c r="U163" i="1" s="1"/>
  <c r="S163" i="1" s="1"/>
  <c r="AI185" i="1"/>
  <c r="X159" i="1"/>
  <c r="T159" i="1"/>
  <c r="U159" i="1" s="1"/>
  <c r="S159" i="1" s="1"/>
  <c r="AI181" i="1"/>
  <c r="X232" i="1"/>
  <c r="T232" i="1"/>
  <c r="U232" i="1" s="1"/>
  <c r="S232" i="1" s="1"/>
  <c r="AI177" i="1"/>
  <c r="X228" i="1"/>
  <c r="T228" i="1"/>
  <c r="U228" i="1" s="1"/>
  <c r="S228" i="1" s="1"/>
  <c r="AI173" i="1"/>
  <c r="S225" i="1"/>
  <c r="X224" i="1"/>
  <c r="T224" i="1"/>
  <c r="U224" i="1" s="1"/>
  <c r="S224" i="1" s="1"/>
  <c r="AI169" i="1"/>
  <c r="X215" i="1"/>
  <c r="T215" i="1"/>
  <c r="U215" i="1" s="1"/>
  <c r="S215" i="1" s="1"/>
  <c r="AI165" i="1"/>
  <c r="X211" i="1"/>
  <c r="T211" i="1"/>
  <c r="U211" i="1" s="1"/>
  <c r="S211" i="1" s="1"/>
  <c r="AI161" i="1"/>
  <c r="X207" i="1"/>
  <c r="T207" i="1"/>
  <c r="U207" i="1" s="1"/>
  <c r="S207" i="1" s="1"/>
  <c r="U206" i="1"/>
  <c r="S206" i="1" s="1"/>
  <c r="X156" i="1"/>
  <c r="T156" i="1"/>
  <c r="U156" i="1" s="1"/>
  <c r="S156" i="1" s="1"/>
  <c r="U155" i="1"/>
  <c r="S155" i="1" s="1"/>
  <c r="X152" i="1"/>
  <c r="T152" i="1"/>
  <c r="U152" i="1" s="1"/>
  <c r="S152" i="1" s="1"/>
  <c r="U151" i="1"/>
  <c r="S151" i="1" s="1"/>
  <c r="X148" i="1"/>
  <c r="T148" i="1"/>
  <c r="U148" i="1" s="1"/>
  <c r="S148" i="1" s="1"/>
  <c r="U138" i="1"/>
  <c r="S138" i="1" s="1"/>
  <c r="T137" i="1"/>
  <c r="X137" i="1"/>
  <c r="AG137" i="1"/>
  <c r="X138" i="1"/>
  <c r="U131" i="1"/>
  <c r="S131" i="1" s="1"/>
  <c r="AI131" i="1"/>
  <c r="U115" i="1"/>
  <c r="S115" i="1" s="1"/>
  <c r="AI115" i="1"/>
  <c r="U181" i="1"/>
  <c r="S181" i="1" s="1"/>
  <c r="U177" i="1"/>
  <c r="S177" i="1" s="1"/>
  <c r="X174" i="1"/>
  <c r="X170" i="1"/>
  <c r="X166" i="1"/>
  <c r="X162" i="1"/>
  <c r="X235" i="1"/>
  <c r="X231" i="1"/>
  <c r="X227" i="1"/>
  <c r="X223" i="1"/>
  <c r="X214" i="1"/>
  <c r="X210" i="1"/>
  <c r="X206" i="1"/>
  <c r="X155" i="1"/>
  <c r="X151" i="1"/>
  <c r="X147" i="1"/>
  <c r="AI141" i="1"/>
  <c r="W139" i="1"/>
  <c r="T139" i="1"/>
  <c r="U139" i="1" s="1"/>
  <c r="S139" i="1" s="1"/>
  <c r="W123" i="1"/>
  <c r="AI111" i="1"/>
  <c r="U98" i="1"/>
  <c r="S98" i="1" s="1"/>
  <c r="S145" i="1"/>
  <c r="T143" i="1"/>
  <c r="U143" i="1" s="1"/>
  <c r="S143" i="1" s="1"/>
  <c r="AI139" i="1"/>
  <c r="AI135" i="1"/>
  <c r="U123" i="1"/>
  <c r="S123" i="1" s="1"/>
  <c r="U107" i="1"/>
  <c r="S107" i="1" s="1"/>
  <c r="AI107" i="1"/>
  <c r="X184" i="1"/>
  <c r="X180" i="1"/>
  <c r="X176" i="1"/>
  <c r="X172" i="1"/>
  <c r="X168" i="1"/>
  <c r="X164" i="1"/>
  <c r="X160" i="1"/>
  <c r="X233" i="1"/>
  <c r="X229" i="1"/>
  <c r="X225" i="1"/>
  <c r="X216" i="1"/>
  <c r="X212" i="1"/>
  <c r="X208" i="1"/>
  <c r="X157" i="1"/>
  <c r="X153" i="1"/>
  <c r="X149" i="1"/>
  <c r="T144" i="1"/>
  <c r="U144" i="1" s="1"/>
  <c r="S144" i="1" s="1"/>
  <c r="X144" i="1"/>
  <c r="X143" i="1"/>
  <c r="U141" i="1"/>
  <c r="S141" i="1" s="1"/>
  <c r="X139" i="1"/>
  <c r="AI138" i="1"/>
  <c r="W131" i="1"/>
  <c r="AI119" i="1"/>
  <c r="U103" i="1"/>
  <c r="S103" i="1" s="1"/>
  <c r="AI103" i="1"/>
  <c r="U126" i="1"/>
  <c r="S126" i="1" s="1"/>
  <c r="U114" i="1"/>
  <c r="S114" i="1" s="1"/>
  <c r="U99" i="1"/>
  <c r="S99" i="1" s="1"/>
  <c r="T97" i="1"/>
  <c r="X97" i="1"/>
  <c r="AI94" i="1"/>
  <c r="AI93" i="1"/>
  <c r="X134" i="1"/>
  <c r="AG133" i="1"/>
  <c r="X130" i="1"/>
  <c r="AG129" i="1"/>
  <c r="X126" i="1"/>
  <c r="AG125" i="1"/>
  <c r="X122" i="1"/>
  <c r="AG121" i="1"/>
  <c r="X118" i="1"/>
  <c r="AG117" i="1"/>
  <c r="X114" i="1"/>
  <c r="AG113" i="1"/>
  <c r="X110" i="1"/>
  <c r="AG109" i="1"/>
  <c r="X106" i="1"/>
  <c r="AG105" i="1"/>
  <c r="T101" i="1"/>
  <c r="U101" i="1" s="1"/>
  <c r="S101" i="1" s="1"/>
  <c r="X101" i="1"/>
  <c r="X100" i="1"/>
  <c r="AG97" i="1"/>
  <c r="X133" i="1"/>
  <c r="AI130" i="1"/>
  <c r="X129" i="1"/>
  <c r="AI126" i="1"/>
  <c r="X125" i="1"/>
  <c r="X121" i="1"/>
  <c r="X117" i="1"/>
  <c r="AI114" i="1"/>
  <c r="X113" i="1"/>
  <c r="X109" i="1"/>
  <c r="AI106" i="1"/>
  <c r="X105" i="1"/>
  <c r="AI99" i="1"/>
  <c r="AA94" i="1"/>
  <c r="W94" i="1" s="1"/>
  <c r="AA93" i="1"/>
  <c r="W93" i="1" s="1"/>
  <c r="T92" i="1"/>
  <c r="X92" i="1"/>
  <c r="AG92" i="1"/>
  <c r="X140" i="1"/>
  <c r="X136" i="1"/>
  <c r="X132" i="1"/>
  <c r="X128" i="1"/>
  <c r="X124" i="1"/>
  <c r="X120" i="1"/>
  <c r="X116" i="1"/>
  <c r="X112" i="1"/>
  <c r="X108" i="1"/>
  <c r="X104" i="1"/>
  <c r="AI98" i="1"/>
  <c r="X98" i="1"/>
  <c r="AA97" i="1"/>
  <c r="T96" i="1"/>
  <c r="X96" i="1"/>
  <c r="AG96" i="1"/>
  <c r="T93" i="1"/>
  <c r="U93" i="1" s="1"/>
  <c r="S93" i="1" s="1"/>
  <c r="X93" i="1"/>
  <c r="S89" i="1"/>
  <c r="AI89" i="1"/>
  <c r="T88" i="1"/>
  <c r="X88" i="1"/>
  <c r="AG88" i="1"/>
  <c r="U81" i="1"/>
  <c r="S81" i="1" s="1"/>
  <c r="T74" i="1"/>
  <c r="X74" i="1"/>
  <c r="AI71" i="1"/>
  <c r="AI70" i="1"/>
  <c r="AI63" i="1"/>
  <c r="AI56" i="1"/>
  <c r="T26" i="1"/>
  <c r="AG26" i="1"/>
  <c r="X89" i="1"/>
  <c r="X85" i="1"/>
  <c r="AG84" i="1"/>
  <c r="X81" i="1"/>
  <c r="AG80" i="1"/>
  <c r="W80" i="1" s="1"/>
  <c r="AI78" i="1"/>
  <c r="X77" i="1"/>
  <c r="AG76" i="1"/>
  <c r="T76" i="1"/>
  <c r="X75" i="1"/>
  <c r="AG74" i="1"/>
  <c r="AA66" i="1"/>
  <c r="T65" i="1"/>
  <c r="X65" i="1"/>
  <c r="AG65" i="1"/>
  <c r="W64" i="1"/>
  <c r="T62" i="1"/>
  <c r="X62" i="1"/>
  <c r="AG62" i="1"/>
  <c r="X63" i="1"/>
  <c r="AG52" i="1"/>
  <c r="W52" i="1" s="1"/>
  <c r="X52" i="1"/>
  <c r="T52" i="1"/>
  <c r="AI47" i="1"/>
  <c r="T30" i="1"/>
  <c r="X30" i="1"/>
  <c r="AG30" i="1"/>
  <c r="X31" i="1"/>
  <c r="X84" i="1"/>
  <c r="AI81" i="1"/>
  <c r="X80" i="1"/>
  <c r="T69" i="1"/>
  <c r="X69" i="1"/>
  <c r="AG69" i="1"/>
  <c r="T66" i="1"/>
  <c r="X66" i="1"/>
  <c r="U64" i="1"/>
  <c r="S64" i="1" s="1"/>
  <c r="W60" i="1"/>
  <c r="T58" i="1"/>
  <c r="X58" i="1"/>
  <c r="AG58" i="1"/>
  <c r="X59" i="1"/>
  <c r="T34" i="1"/>
  <c r="X34" i="1"/>
  <c r="AG34" i="1"/>
  <c r="X35" i="1"/>
  <c r="T18" i="1"/>
  <c r="AG18" i="1"/>
  <c r="AA74" i="1"/>
  <c r="T73" i="1"/>
  <c r="X73" i="1"/>
  <c r="AG73" i="1"/>
  <c r="W71" i="1"/>
  <c r="T70" i="1"/>
  <c r="U70" i="1" s="1"/>
  <c r="S70" i="1" s="1"/>
  <c r="X70" i="1"/>
  <c r="U68" i="1"/>
  <c r="S68" i="1" s="1"/>
  <c r="AI67" i="1"/>
  <c r="X67" i="1"/>
  <c r="AG66" i="1"/>
  <c r="W63" i="1"/>
  <c r="U60" i="1"/>
  <c r="S60" i="1" s="1"/>
  <c r="AI60" i="1"/>
  <c r="U55" i="1"/>
  <c r="S55" i="1" s="1"/>
  <c r="T54" i="1"/>
  <c r="X54" i="1"/>
  <c r="AG54" i="1"/>
  <c r="W54" i="1" s="1"/>
  <c r="X55" i="1"/>
  <c r="AI50" i="1"/>
  <c r="U50" i="1"/>
  <c r="S50" i="1" s="1"/>
  <c r="U47" i="1"/>
  <c r="S47" i="1" s="1"/>
  <c r="T45" i="1"/>
  <c r="X45" i="1"/>
  <c r="AG45" i="1"/>
  <c r="W45" i="1" s="1"/>
  <c r="T22" i="1"/>
  <c r="AG22" i="1"/>
  <c r="U51" i="1"/>
  <c r="S51" i="1" s="1"/>
  <c r="T49" i="1"/>
  <c r="X49" i="1"/>
  <c r="AA15" i="1"/>
  <c r="W15" i="1" s="1"/>
  <c r="AG61" i="1"/>
  <c r="AG57" i="1"/>
  <c r="AG53" i="1"/>
  <c r="AG49" i="1"/>
  <c r="T46" i="1"/>
  <c r="AG42" i="1"/>
  <c r="U40" i="1"/>
  <c r="S40" i="1" s="1"/>
  <c r="AI37" i="1"/>
  <c r="U37" i="1"/>
  <c r="S37" i="1" s="1"/>
  <c r="AI32" i="1"/>
  <c r="U32" i="1"/>
  <c r="S32" i="1" s="1"/>
  <c r="AI28" i="1"/>
  <c r="AI20" i="1"/>
  <c r="U20" i="1"/>
  <c r="S20" i="1" s="1"/>
  <c r="AI16" i="1"/>
  <c r="X61" i="1"/>
  <c r="X57" i="1"/>
  <c r="X53" i="1"/>
  <c r="U48" i="1"/>
  <c r="S48" i="1" s="1"/>
  <c r="AG46" i="1"/>
  <c r="T44" i="1"/>
  <c r="U44" i="1" s="1"/>
  <c r="S44" i="1" s="1"/>
  <c r="AI39" i="1"/>
  <c r="AI35" i="1"/>
  <c r="AI31" i="1"/>
  <c r="AI24" i="1"/>
  <c r="AI15" i="1"/>
  <c r="X41" i="1"/>
  <c r="X33" i="1"/>
  <c r="X29" i="1"/>
  <c r="T43" i="3"/>
  <c r="Y10" i="3"/>
  <c r="T24" i="3"/>
  <c r="Y35" i="3"/>
  <c r="T31" i="3"/>
  <c r="Y26" i="3"/>
  <c r="Y43" i="3"/>
  <c r="Y14" i="3"/>
  <c r="Y24" i="3"/>
  <c r="Y7" i="3"/>
  <c r="Y31" i="3"/>
  <c r="Y29" i="3"/>
  <c r="Y8" i="3"/>
  <c r="Y11" i="3"/>
  <c r="Y20" i="3"/>
  <c r="Y38" i="3"/>
  <c r="Y44" i="3"/>
  <c r="Y12" i="3"/>
  <c r="T21" i="3"/>
  <c r="Y27" i="3"/>
  <c r="Y34" i="3"/>
  <c r="T25" i="3"/>
  <c r="T18" i="3"/>
  <c r="T14" i="3"/>
  <c r="T7" i="3"/>
  <c r="Y30" i="3"/>
  <c r="AC19" i="3"/>
  <c r="Y18" i="3"/>
  <c r="Y28" i="3"/>
  <c r="AC9" i="3"/>
  <c r="Y13" i="3"/>
  <c r="AC32" i="3"/>
  <c r="AC22" i="3"/>
  <c r="AC39" i="3"/>
  <c r="AC38" i="3"/>
  <c r="AC37" i="3"/>
  <c r="AC26" i="3"/>
  <c r="AC17" i="3"/>
  <c r="AC36" i="3"/>
  <c r="AC15" i="3"/>
  <c r="AC16" i="3"/>
  <c r="R41" i="3"/>
  <c r="M41" i="3"/>
  <c r="N41" i="3"/>
  <c r="S41" i="3"/>
  <c r="U41" i="3"/>
  <c r="T41" i="3" s="1"/>
  <c r="V41" i="3"/>
  <c r="W41" i="3"/>
  <c r="X41" i="3"/>
  <c r="W102" i="1" l="1"/>
  <c r="W192" i="1"/>
  <c r="W55" i="1"/>
  <c r="U118" i="1"/>
  <c r="S118" i="1" s="1"/>
  <c r="U104" i="1"/>
  <c r="S104" i="1" s="1"/>
  <c r="U39" i="1"/>
  <c r="S39" i="1" s="1"/>
  <c r="W98" i="1"/>
  <c r="W208" i="1"/>
  <c r="AI166" i="1"/>
  <c r="W116" i="1"/>
  <c r="U140" i="1"/>
  <c r="S140" i="1" s="1"/>
  <c r="W30" i="1"/>
  <c r="U77" i="1"/>
  <c r="S77" i="1" s="1"/>
  <c r="AI192" i="1"/>
  <c r="W77" i="1"/>
  <c r="W73" i="1"/>
  <c r="W84" i="1"/>
  <c r="U102" i="1"/>
  <c r="S102" i="1" s="1"/>
  <c r="W125" i="1"/>
  <c r="W133" i="1"/>
  <c r="AI145" i="1"/>
  <c r="W47" i="1"/>
  <c r="W27" i="1"/>
  <c r="W161" i="1"/>
  <c r="U197" i="1"/>
  <c r="S197" i="1" s="1"/>
  <c r="AI55" i="1"/>
  <c r="AI157" i="1"/>
  <c r="U198" i="1"/>
  <c r="S198" i="1" s="1"/>
  <c r="W89" i="1"/>
  <c r="AI108" i="1"/>
  <c r="U192" i="1"/>
  <c r="S192" i="1" s="1"/>
  <c r="W145" i="1"/>
  <c r="W226" i="1"/>
  <c r="W43" i="1"/>
  <c r="W197" i="1"/>
  <c r="U27" i="1"/>
  <c r="W40" i="1"/>
  <c r="W124" i="1"/>
  <c r="W26" i="1"/>
  <c r="W18" i="1"/>
  <c r="S28" i="1"/>
  <c r="AI19" i="1"/>
  <c r="U59" i="1"/>
  <c r="S59" i="1" s="1"/>
  <c r="AI82" i="1"/>
  <c r="AI180" i="1"/>
  <c r="W118" i="1"/>
  <c r="W59" i="1"/>
  <c r="W180" i="1"/>
  <c r="W153" i="1"/>
  <c r="W196" i="1"/>
  <c r="W34" i="1"/>
  <c r="W231" i="1"/>
  <c r="W69" i="1"/>
  <c r="AI202" i="1"/>
  <c r="U153" i="1"/>
  <c r="S153" i="1" s="1"/>
  <c r="U229" i="1"/>
  <c r="S229" i="1" s="1"/>
  <c r="U231" i="1"/>
  <c r="S231" i="1" s="1"/>
  <c r="W33" i="1"/>
  <c r="U235" i="1"/>
  <c r="S235" i="1" s="1"/>
  <c r="U174" i="1"/>
  <c r="S174" i="1" s="1"/>
  <c r="W22" i="1"/>
  <c r="W92" i="1"/>
  <c r="AI196" i="1"/>
  <c r="W82" i="1"/>
  <c r="U87" i="1"/>
  <c r="S87" i="1" s="1"/>
  <c r="W127" i="1"/>
  <c r="W149" i="1"/>
  <c r="W29" i="1"/>
  <c r="W229" i="1"/>
  <c r="U169" i="1"/>
  <c r="S169" i="1" s="1"/>
  <c r="U226" i="1"/>
  <c r="S226" i="1" s="1"/>
  <c r="U124" i="1"/>
  <c r="S124" i="1" s="1"/>
  <c r="U166" i="1"/>
  <c r="S166" i="1" s="1"/>
  <c r="W79" i="1"/>
  <c r="W194" i="1"/>
  <c r="AI110" i="1"/>
  <c r="U85" i="1"/>
  <c r="S85" i="1" s="1"/>
  <c r="AI134" i="1"/>
  <c r="U134" i="1"/>
  <c r="S134" i="1" s="1"/>
  <c r="U147" i="1"/>
  <c r="S147" i="1" s="1"/>
  <c r="AI176" i="1"/>
  <c r="AI226" i="1"/>
  <c r="U86" i="1"/>
  <c r="S86" i="1" s="1"/>
  <c r="W86" i="1"/>
  <c r="W174" i="1"/>
  <c r="W136" i="1"/>
  <c r="W176" i="1"/>
  <c r="W206" i="1"/>
  <c r="W222" i="1"/>
  <c r="W184" i="1"/>
  <c r="U122" i="1"/>
  <c r="S122" i="1" s="1"/>
  <c r="U127" i="1"/>
  <c r="S127" i="1" s="1"/>
  <c r="AI194" i="1"/>
  <c r="AI222" i="1"/>
  <c r="W110" i="1"/>
  <c r="W122" i="1"/>
  <c r="AI124" i="1"/>
  <c r="W142" i="1"/>
  <c r="AI235" i="1"/>
  <c r="AI136" i="1"/>
  <c r="U38" i="1"/>
  <c r="S38" i="1" s="1"/>
  <c r="AI38" i="1"/>
  <c r="W38" i="1"/>
  <c r="U43" i="1"/>
  <c r="S43" i="1" s="1"/>
  <c r="W62" i="1"/>
  <c r="W85" i="1"/>
  <c r="U120" i="1"/>
  <c r="S120" i="1" s="1"/>
  <c r="U212" i="1"/>
  <c r="S212" i="1" s="1"/>
  <c r="AI174" i="1"/>
  <c r="AI184" i="1"/>
  <c r="AI200" i="1"/>
  <c r="W212" i="1"/>
  <c r="U25" i="1"/>
  <c r="S25" i="1" s="1"/>
  <c r="AI25" i="1"/>
  <c r="W25" i="1"/>
  <c r="W147" i="1"/>
  <c r="W181" i="1"/>
  <c r="U128" i="1"/>
  <c r="S128" i="1" s="1"/>
  <c r="AI128" i="1"/>
  <c r="U21" i="1"/>
  <c r="S21" i="1" s="1"/>
  <c r="AI21" i="1"/>
  <c r="W81" i="1"/>
  <c r="W90" i="1"/>
  <c r="W190" i="1"/>
  <c r="W97" i="1"/>
  <c r="U90" i="1"/>
  <c r="S90" i="1" s="1"/>
  <c r="W128" i="1"/>
  <c r="W120" i="1"/>
  <c r="W200" i="1"/>
  <c r="U116" i="1"/>
  <c r="S116" i="1" s="1"/>
  <c r="AI116" i="1"/>
  <c r="U142" i="1"/>
  <c r="S142" i="1" s="1"/>
  <c r="AI142" i="1"/>
  <c r="W182" i="1"/>
  <c r="W183" i="1"/>
  <c r="U83" i="1"/>
  <c r="S83" i="1" s="1"/>
  <c r="AI83" i="1"/>
  <c r="U95" i="1"/>
  <c r="S95" i="1" s="1"/>
  <c r="AI95" i="1"/>
  <c r="U132" i="1"/>
  <c r="S132" i="1" s="1"/>
  <c r="AI132" i="1"/>
  <c r="W132" i="1"/>
  <c r="W202" i="1"/>
  <c r="U17" i="1"/>
  <c r="S17" i="1" s="1"/>
  <c r="AI17" i="1"/>
  <c r="W104" i="1"/>
  <c r="W140" i="1"/>
  <c r="AI74" i="1"/>
  <c r="U74" i="1"/>
  <c r="S74" i="1" s="1"/>
  <c r="U49" i="1"/>
  <c r="S49" i="1" s="1"/>
  <c r="AI49" i="1"/>
  <c r="U61" i="1"/>
  <c r="S61" i="1" s="1"/>
  <c r="AI61" i="1"/>
  <c r="U18" i="1"/>
  <c r="S18" i="1" s="1"/>
  <c r="AI18" i="1"/>
  <c r="U34" i="1"/>
  <c r="S34" i="1" s="1"/>
  <c r="AI34" i="1"/>
  <c r="U65" i="1"/>
  <c r="S65" i="1" s="1"/>
  <c r="AI65" i="1"/>
  <c r="W49" i="1"/>
  <c r="U96" i="1"/>
  <c r="S96" i="1" s="1"/>
  <c r="AI96" i="1"/>
  <c r="AI105" i="1"/>
  <c r="U105" i="1"/>
  <c r="S105" i="1" s="1"/>
  <c r="AI113" i="1"/>
  <c r="U113" i="1"/>
  <c r="S113" i="1" s="1"/>
  <c r="AI121" i="1"/>
  <c r="U121" i="1"/>
  <c r="S121" i="1" s="1"/>
  <c r="AI129" i="1"/>
  <c r="U129" i="1"/>
  <c r="S129" i="1" s="1"/>
  <c r="W61" i="1"/>
  <c r="W129" i="1"/>
  <c r="AI214" i="1"/>
  <c r="U189" i="1"/>
  <c r="S189" i="1" s="1"/>
  <c r="U76" i="1"/>
  <c r="S76" i="1" s="1"/>
  <c r="AI76" i="1"/>
  <c r="AI84" i="1"/>
  <c r="U84" i="1"/>
  <c r="S84" i="1" s="1"/>
  <c r="U26" i="1"/>
  <c r="S26" i="1" s="1"/>
  <c r="AI26" i="1"/>
  <c r="U42" i="1"/>
  <c r="S42" i="1" s="1"/>
  <c r="AI42" i="1"/>
  <c r="AI88" i="1"/>
  <c r="U88" i="1"/>
  <c r="S88" i="1" s="1"/>
  <c r="AI46" i="1"/>
  <c r="U46" i="1"/>
  <c r="S46" i="1" s="1"/>
  <c r="U53" i="1"/>
  <c r="S53" i="1" s="1"/>
  <c r="AI53" i="1"/>
  <c r="W46" i="1"/>
  <c r="AI45" i="1"/>
  <c r="U45" i="1"/>
  <c r="S45" i="1" s="1"/>
  <c r="AI54" i="1"/>
  <c r="U54" i="1"/>
  <c r="S54" i="1" s="1"/>
  <c r="W74" i="1"/>
  <c r="U69" i="1"/>
  <c r="S69" i="1" s="1"/>
  <c r="AI69" i="1"/>
  <c r="W76" i="1"/>
  <c r="W53" i="1"/>
  <c r="W88" i="1"/>
  <c r="AI97" i="1"/>
  <c r="U97" i="1"/>
  <c r="S97" i="1" s="1"/>
  <c r="AI109" i="1"/>
  <c r="U109" i="1"/>
  <c r="S109" i="1" s="1"/>
  <c r="AI117" i="1"/>
  <c r="U117" i="1"/>
  <c r="S117" i="1" s="1"/>
  <c r="AI125" i="1"/>
  <c r="U125" i="1"/>
  <c r="S125" i="1" s="1"/>
  <c r="AI133" i="1"/>
  <c r="U133" i="1"/>
  <c r="S133" i="1" s="1"/>
  <c r="W117" i="1"/>
  <c r="W105" i="1"/>
  <c r="W113" i="1"/>
  <c r="AI137" i="1"/>
  <c r="U137" i="1"/>
  <c r="S137" i="1" s="1"/>
  <c r="U183" i="1"/>
  <c r="S183" i="1" s="1"/>
  <c r="AI208" i="1"/>
  <c r="W189" i="1"/>
  <c r="AI58" i="1"/>
  <c r="U58" i="1"/>
  <c r="S58" i="1" s="1"/>
  <c r="U30" i="1"/>
  <c r="S30" i="1" s="1"/>
  <c r="AI30" i="1"/>
  <c r="U52" i="1"/>
  <c r="S52" i="1" s="1"/>
  <c r="AI52" i="1"/>
  <c r="AI80" i="1"/>
  <c r="U80" i="1"/>
  <c r="S80" i="1" s="1"/>
  <c r="U57" i="1"/>
  <c r="S57" i="1" s="1"/>
  <c r="W57" i="1"/>
  <c r="AI57" i="1"/>
  <c r="U22" i="1"/>
  <c r="S22" i="1" s="1"/>
  <c r="AI22" i="1"/>
  <c r="AI66" i="1"/>
  <c r="U66" i="1"/>
  <c r="S66" i="1" s="1"/>
  <c r="U73" i="1"/>
  <c r="S73" i="1" s="1"/>
  <c r="AI73" i="1"/>
  <c r="W42" i="1"/>
  <c r="W58" i="1"/>
  <c r="AI62" i="1"/>
  <c r="U62" i="1"/>
  <c r="S62" i="1" s="1"/>
  <c r="W66" i="1"/>
  <c r="W65" i="1"/>
  <c r="U92" i="1"/>
  <c r="S92" i="1" s="1"/>
  <c r="AI92" i="1"/>
  <c r="W96" i="1"/>
  <c r="W121" i="1"/>
  <c r="W109" i="1"/>
  <c r="Y41" i="3"/>
  <c r="AC41" i="3"/>
  <c r="M30" i="5" l="1"/>
  <c r="M29" i="5"/>
  <c r="M28" i="5"/>
  <c r="M27" i="5"/>
  <c r="K16" i="6" l="1"/>
  <c r="B16" i="6"/>
  <c r="K15" i="6"/>
  <c r="B15" i="6"/>
  <c r="J15" i="6" s="1"/>
  <c r="K14" i="6"/>
  <c r="B14" i="6"/>
  <c r="I14" i="6" s="1"/>
  <c r="K13" i="6"/>
  <c r="B13" i="6"/>
  <c r="I13" i="6" s="1"/>
  <c r="K12" i="6"/>
  <c r="B12" i="6"/>
  <c r="K11" i="6"/>
  <c r="B11" i="6"/>
  <c r="J11" i="6" s="1"/>
  <c r="K10" i="6"/>
  <c r="B10" i="6"/>
  <c r="I10" i="6" s="1"/>
  <c r="K9" i="6"/>
  <c r="B9" i="6"/>
  <c r="I9" i="6" s="1"/>
  <c r="K8" i="6"/>
  <c r="B8" i="6"/>
  <c r="K7" i="6"/>
  <c r="B7" i="6"/>
  <c r="J7" i="6" s="1"/>
  <c r="K6" i="6"/>
  <c r="B6" i="6"/>
  <c r="I6" i="6" s="1"/>
  <c r="K5" i="6"/>
  <c r="B5" i="6"/>
  <c r="I5" i="6" s="1"/>
  <c r="K4" i="6"/>
  <c r="B4" i="6"/>
  <c r="K3" i="6"/>
  <c r="B3" i="6"/>
  <c r="J3" i="6" s="1"/>
  <c r="AF13" i="1"/>
  <c r="AE13" i="1"/>
  <c r="AD13" i="1"/>
  <c r="AC13" i="1"/>
  <c r="AB13" i="1"/>
  <c r="Z13" i="1"/>
  <c r="Y13" i="1"/>
  <c r="V13" i="1"/>
  <c r="M13" i="1"/>
  <c r="L13" i="1"/>
  <c r="K13" i="1"/>
  <c r="X14" i="1" l="1"/>
  <c r="F9" i="6"/>
  <c r="AA13" i="1"/>
  <c r="F13" i="6"/>
  <c r="AG13" i="1"/>
  <c r="AI13" i="1" s="1"/>
  <c r="F5" i="6"/>
  <c r="J13" i="6"/>
  <c r="J9" i="6"/>
  <c r="J5" i="6"/>
  <c r="I4" i="6"/>
  <c r="I8" i="6"/>
  <c r="I12" i="6"/>
  <c r="I7" i="6"/>
  <c r="F8" i="6"/>
  <c r="J8" i="6"/>
  <c r="J16" i="6"/>
  <c r="F6" i="6"/>
  <c r="J6" i="6"/>
  <c r="F10" i="6"/>
  <c r="J10" i="6"/>
  <c r="F14" i="6"/>
  <c r="J14" i="6"/>
  <c r="I16" i="6"/>
  <c r="I3" i="6"/>
  <c r="F4" i="6"/>
  <c r="J4" i="6"/>
  <c r="I11" i="6"/>
  <c r="F12" i="6"/>
  <c r="J12" i="6"/>
  <c r="I15" i="6"/>
  <c r="F16" i="6"/>
  <c r="F3" i="6"/>
  <c r="F7" i="6"/>
  <c r="F11" i="6"/>
  <c r="F15" i="6"/>
  <c r="T13" i="1"/>
  <c r="X13" i="1"/>
  <c r="W13" i="1" l="1"/>
  <c r="U13" i="1"/>
  <c r="S13" i="1" s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5" i="6" s="1"/>
  <c r="G45" i="4"/>
  <c r="H5" i="6" s="1"/>
  <c r="F46" i="4"/>
  <c r="G46" i="4"/>
  <c r="F47" i="4"/>
  <c r="G47" i="4"/>
  <c r="F48" i="4"/>
  <c r="G48" i="4"/>
  <c r="F49" i="4"/>
  <c r="G49" i="4"/>
  <c r="F50" i="4"/>
  <c r="G3" i="6" s="1"/>
  <c r="G50" i="4"/>
  <c r="H3" i="6" s="1"/>
  <c r="F51" i="4"/>
  <c r="G51" i="4"/>
  <c r="F52" i="4"/>
  <c r="G52" i="4"/>
  <c r="F53" i="4"/>
  <c r="G53" i="4"/>
  <c r="F54" i="4"/>
  <c r="G7" i="6" s="1"/>
  <c r="G54" i="4"/>
  <c r="H7" i="6" s="1"/>
  <c r="F55" i="4"/>
  <c r="G55" i="4"/>
  <c r="F56" i="4"/>
  <c r="G56" i="4"/>
  <c r="F57" i="4"/>
  <c r="G57" i="4"/>
  <c r="F58" i="4"/>
  <c r="G8" i="6" s="1"/>
  <c r="G58" i="4"/>
  <c r="H8" i="6" s="1"/>
  <c r="F59" i="4"/>
  <c r="G59" i="4"/>
  <c r="F60" i="4"/>
  <c r="G6" i="6" s="1"/>
  <c r="G60" i="4"/>
  <c r="H6" i="6" s="1"/>
  <c r="F61" i="4"/>
  <c r="G61" i="4"/>
  <c r="F62" i="4"/>
  <c r="G62" i="4"/>
  <c r="F63" i="4"/>
  <c r="G63" i="4"/>
  <c r="F64" i="4"/>
  <c r="G10" i="6" s="1"/>
  <c r="G64" i="4"/>
  <c r="H10" i="6" s="1"/>
  <c r="F65" i="4"/>
  <c r="G65" i="4"/>
  <c r="F66" i="4"/>
  <c r="G66" i="4"/>
  <c r="F67" i="4"/>
  <c r="G67" i="4"/>
  <c r="F68" i="4"/>
  <c r="G68" i="4"/>
  <c r="F69" i="4"/>
  <c r="G9" i="6" s="1"/>
  <c r="G69" i="4"/>
  <c r="H9" i="6" s="1"/>
  <c r="F70" i="4"/>
  <c r="G13" i="6" s="1"/>
  <c r="G70" i="4"/>
  <c r="H13" i="6" s="1"/>
  <c r="F71" i="4"/>
  <c r="G71" i="4"/>
  <c r="F72" i="4"/>
  <c r="G72" i="4"/>
  <c r="F73" i="4"/>
  <c r="G73" i="4"/>
  <c r="F74" i="4"/>
  <c r="G11" i="6" s="1"/>
  <c r="G74" i="4"/>
  <c r="H11" i="6" s="1"/>
  <c r="F75" i="4"/>
  <c r="G14" i="6" s="1"/>
  <c r="G75" i="4"/>
  <c r="H14" i="6" s="1"/>
  <c r="F76" i="4"/>
  <c r="G12" i="6" s="1"/>
  <c r="G76" i="4"/>
  <c r="H12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5" i="6" s="1"/>
  <c r="G84" i="4"/>
  <c r="H15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6" i="6" s="1"/>
  <c r="G223" i="4"/>
  <c r="H16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H4" i="6" l="1"/>
  <c r="G4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<sst xmlns="http://schemas.openxmlformats.org/spreadsheetml/2006/main" count="2274" uniqueCount="798">
  <si>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</si>
  <si>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</si>
  <si>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</si>
  <si>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</si>
  <si>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</si>
  <si>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</si>
  <si>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</si>
  <si>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</si>
  <si>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</si>
  <si>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</si>
  <si>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</si>
  <si>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</si>
  <si>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</si>
  <si>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</si>
  <si>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</si>
  <si>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</si>
  <si>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</si>
  <si>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</si>
  <si>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</si>
  <si>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</si>
  <si>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</si>
  <si>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</si>
  <si>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</si>
  <si>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</si>
  <si>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</si>
  <si>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</si>
  <si>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</si>
  <si>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</si>
  <si>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</si>
  <si>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</si>
  <si>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</si>
  <si>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</si>
  <si>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</si>
  <si>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</si>
  <si>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</si>
  <si>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</si>
  <si>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</si>
  <si>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</si>
  <si>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</si>
  <si>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</si>
  <si>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</si>
  <si>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</si>
  <si>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</si>
  <si>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</si>
  <si>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</si>
  <si>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</si>
  <si>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</si>
  <si>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</si>
  <si>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</si>
  <si>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</si>
  <si>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</si>
  <si>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</si>
  <si>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</si>
  <si>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</si>
  <si>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</si>
  <si>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</si>
  <si>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</si>
  <si>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</si>
  <si>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</si>
  <si>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</si>
  <si>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</si>
  <si>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</si>
  <si>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</si>
  <si>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</si>
  <si>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</si>
  <si>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</si>
  <si>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</si>
  <si>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</si>
  <si>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</si>
  <si>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</si>
  <si>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</si>
  <si>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</si>
  <si>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</si>
  <si>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</si>
  <si>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</si>
  <si>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</si>
  <si>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</si>
  <si>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</si>
  <si>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</si>
  <si>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</si>
  <si>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</si>
  <si>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</si>
  <si>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</si>
  <si>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</si>
  <si>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</si>
  <si>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</si>
  <si>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</si>
  <si>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</si>
  <si>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</si>
  <si>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</si>
  <si>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</si>
  <si>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</si>
  <si>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</si>
  <si>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</si>
  <si>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</si>
  <si>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</si>
  <si>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</si>
  <si>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</si>
  <si>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</si>
  <si>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</si>
  <si>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</si>
  <si>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</si>
  <si>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</si>
  <si>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</si>
  <si>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</si>
  <si>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</si>
  <si>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</si>
  <si>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</si>
  <si>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</si>
  <si>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</si>
  <si>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</si>
  <si>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</si>
  <si>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</si>
  <si>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</si>
  <si>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</si>
  <si>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</si>
  <si>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</si>
  <si>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</si>
  <si>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</si>
  <si>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</si>
  <si>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</si>
  <si>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</si>
  <si>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</si>
  <si>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</si>
  <si>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</si>
  <si>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</si>
  <si>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</si>
  <si>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</si>
  <si>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</si>
  <si>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</si>
  <si>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</si>
  <si>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</si>
  <si>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</si>
  <si>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</si>
  <si>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</si>
  <si>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</si>
  <si>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</si>
  <si>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</si>
  <si>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</si>
  <si>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</si>
  <si>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</si>
  <si>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</si>
  <si>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</si>
  <si>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</si>
  <si>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</si>
  <si>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</si>
  <si>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</si>
  <si>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</si>
  <si>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</si>
  <si>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</si>
  <si>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</si>
  <si>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</si>
  <si>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</si>
  <si>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</si>
  <si>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</si>
  <si>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</si>
  <si>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</si>
  <si>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</si>
  <si>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</si>
  <si>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</si>
  <si>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</si>
  <si>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</si>
  <si>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</si>
  <si>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</si>
  <si>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</si>
  <si>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</si>
  <si>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</si>
  <si>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</si>
  <si>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</si>
  <si>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</si>
  <si>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</si>
  <si>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</si>
  <si>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</si>
  <si>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</si>
  <si>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</si>
  <si>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</si>
  <si>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</si>
  <si>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</si>
  <si>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</si>
  <si>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</si>
  <si>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</si>
  <si>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</si>
  <si>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204:233312</t>
  </si>
  <si>
    <t>Time (US/Mountain)</t>
  </si>
  <si>
    <t>Source</t>
  </si>
  <si>
    <t>Employee Identifier</t>
  </si>
  <si>
    <t>Employee Last Name</t>
  </si>
  <si>
    <t>rtdc.l.rtdc.4018:itc</t>
  </si>
  <si>
    <t>LEVERE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</si>
  <si>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</si>
  <si>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</si>
  <si>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</si>
  <si>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</si>
  <si>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</si>
  <si>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</si>
  <si>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</si>
  <si>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</si>
  <si>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</si>
  <si>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309-06</t>
  </si>
  <si>
    <t>244-06</t>
  </si>
  <si>
    <t>311-06</t>
  </si>
  <si>
    <t>315-06</t>
  </si>
  <si>
    <t>313-07</t>
  </si>
  <si>
    <t>315-07</t>
  </si>
  <si>
    <t>56-08</t>
  </si>
  <si>
    <t>62-07</t>
  </si>
  <si>
    <t>rtdc.l.rtdc.4020:itc</t>
  </si>
  <si>
    <t>CHANDLER</t>
  </si>
  <si>
    <t>Powered by darksky [darksky.net]</t>
  </si>
  <si>
    <t>rtdc.l.rtdc.4043:itc</t>
  </si>
  <si>
    <t>rtdc.l.rtdc.4039:itc</t>
  </si>
  <si>
    <t>YANAI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</si>
  <si>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</si>
  <si>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</si>
  <si>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</si>
  <si>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</si>
  <si>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</si>
  <si>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</si>
  <si>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</si>
  <si>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</si>
  <si>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</si>
  <si>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</si>
  <si>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</si>
  <si>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</si>
  <si>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204:233300</t>
  </si>
  <si>
    <t>204:455</t>
  </si>
  <si>
    <t>204:466</t>
  </si>
  <si>
    <t>204:233295</t>
  </si>
  <si>
    <t>204:446</t>
  </si>
  <si>
    <t>204:233299</t>
  </si>
  <si>
    <t>204:160</t>
  </si>
  <si>
    <t>204:460</t>
  </si>
  <si>
    <t>204:469</t>
  </si>
  <si>
    <t>204:451</t>
  </si>
  <si>
    <t>N</t>
  </si>
  <si>
    <t>PERMANENT SPEED RESTRICTION</t>
  </si>
  <si>
    <t>Speed (6)</t>
  </si>
  <si>
    <t>rtdc.l.rtdc.4017:itc</t>
  </si>
  <si>
    <t>SIGNAL</t>
  </si>
  <si>
    <t>Signal based authority (5)</t>
  </si>
  <si>
    <t>TRACK WARRANT AUTHORITY</t>
  </si>
  <si>
    <t>Form based authority (4)</t>
  </si>
  <si>
    <t>rtdc.l.rtdc.4028:itc</t>
  </si>
  <si>
    <t>clear-night</t>
  </si>
  <si>
    <t>Clear</t>
  </si>
  <si>
    <t>Summary for DUS 2016-10-12: Partly cloudy until night.</t>
  </si>
  <si>
    <t>rtdc.l.rtdc.4042:itc</t>
  </si>
  <si>
    <t>rtdc.l.rtdc.4041:itc</t>
  </si>
  <si>
    <t>204:232977</t>
  </si>
  <si>
    <t>204:232994</t>
  </si>
  <si>
    <t>204:232991</t>
  </si>
  <si>
    <t>204:471</t>
  </si>
  <si>
    <t>AWS CP Commands</t>
  </si>
  <si>
    <t>204:156</t>
  </si>
  <si>
    <t>rtdc.l.rtdc.4029:itc</t>
  </si>
  <si>
    <t>rtdc.l.rtdc.4030:itc</t>
  </si>
  <si>
    <t>BERLING</t>
  </si>
  <si>
    <t>204:233304</t>
  </si>
  <si>
    <t>rtdc.l.rtdc.4054:itc</t>
  </si>
  <si>
    <t>rtdc.l.rtdc.4053:itc</t>
  </si>
  <si>
    <t>DELGADO</t>
  </si>
  <si>
    <t>204:449</t>
  </si>
  <si>
    <t>204:232986</t>
  </si>
  <si>
    <t>204:138</t>
  </si>
  <si>
    <t>204:232990</t>
  </si>
  <si>
    <t>rtdc.l.rtdc.4016:itc</t>
  </si>
  <si>
    <t>rtdc.l.rtdc.4015:itc</t>
  </si>
  <si>
    <t>240-18</t>
  </si>
  <si>
    <t>309-18</t>
  </si>
  <si>
    <t>311-18</t>
  </si>
  <si>
    <t>244-18</t>
  </si>
  <si>
    <t>313-18</t>
  </si>
  <si>
    <t>315-18</t>
  </si>
  <si>
    <t>204:462</t>
  </si>
  <si>
    <t>Y</t>
  </si>
  <si>
    <t>YOUNG</t>
  </si>
  <si>
    <t>204:232989</t>
  </si>
  <si>
    <t>204:232993</t>
  </si>
  <si>
    <t>204:233310</t>
  </si>
  <si>
    <t>204:233302</t>
  </si>
  <si>
    <t>rtdc.l.rtdc.4037:itc</t>
  </si>
  <si>
    <t>204:467</t>
  </si>
  <si>
    <t>204:163</t>
  </si>
  <si>
    <t>204:233320</t>
  </si>
  <si>
    <t>300:58924</t>
  </si>
  <si>
    <t>204:233291</t>
  </si>
  <si>
    <t>204:232971</t>
  </si>
  <si>
    <t>204:232985</t>
  </si>
  <si>
    <t>204:233298</t>
  </si>
  <si>
    <t>204:442</t>
  </si>
  <si>
    <t>204:233307</t>
  </si>
  <si>
    <t>204:478</t>
  </si>
  <si>
    <t>rtdc.l.rtdc.4011:itc</t>
  </si>
  <si>
    <t>ACKERMAN</t>
  </si>
  <si>
    <t>BARTLETT</t>
  </si>
  <si>
    <t>rtdc.l.rtdc.4006:itc</t>
  </si>
  <si>
    <t>204:457</t>
  </si>
  <si>
    <t>204:232987</t>
  </si>
  <si>
    <t>204:167</t>
  </si>
  <si>
    <t>204:232992</t>
  </si>
  <si>
    <t>204:233303</t>
  </si>
  <si>
    <t>rtdc.l.rtdc.4021:itc</t>
  </si>
  <si>
    <t>STARKS</t>
  </si>
  <si>
    <t>204:232968</t>
  </si>
  <si>
    <t>204:232998</t>
  </si>
  <si>
    <t>204:233327</t>
  </si>
  <si>
    <t>204:232996</t>
  </si>
  <si>
    <t>204:475</t>
  </si>
  <si>
    <t>rtdc.l.rtdc.4002:itc</t>
  </si>
  <si>
    <t>rtdc.l.rtdc.4001:itc</t>
  </si>
  <si>
    <t>BRANNON</t>
  </si>
  <si>
    <t>KILLION</t>
  </si>
  <si>
    <t>SPECTOR</t>
  </si>
  <si>
    <t>ROCHA</t>
  </si>
  <si>
    <t>BONDS</t>
  </si>
  <si>
    <t>GRASTON</t>
  </si>
  <si>
    <t>204:233319</t>
  </si>
  <si>
    <t>204:232967</t>
  </si>
  <si>
    <t>204:757</t>
  </si>
  <si>
    <t>204:158</t>
  </si>
  <si>
    <t>204:232974</t>
  </si>
  <si>
    <t>204:161</t>
  </si>
  <si>
    <t>204:233311</t>
  </si>
  <si>
    <t>204:232980</t>
  </si>
  <si>
    <t>204:169</t>
  </si>
  <si>
    <t>204:233317</t>
  </si>
  <si>
    <t>204:719</t>
  </si>
  <si>
    <t>300:58941</t>
  </si>
  <si>
    <t>204:698</t>
  </si>
  <si>
    <t>204:997</t>
  </si>
  <si>
    <t>300:58969</t>
  </si>
  <si>
    <t>300:58943</t>
  </si>
  <si>
    <t>300:58626</t>
  </si>
  <si>
    <t>300:58937</t>
  </si>
  <si>
    <t>rtdc.l.rtdc.4045:itc</t>
  </si>
  <si>
    <t>rtdc.l.rtdc.4046:itc</t>
  </si>
  <si>
    <t>SWITCH UNKNOWN</t>
  </si>
  <si>
    <t>Track device (7)</t>
  </si>
  <si>
    <t>rtdc.l.rtdc.4008:itc</t>
  </si>
  <si>
    <t>rtdc.l.rtdc.4032:itc</t>
  </si>
  <si>
    <t>rtdc.l.rtdc.4031:itc</t>
  </si>
  <si>
    <t>GEBRETEKLE</t>
  </si>
  <si>
    <t>NELSON</t>
  </si>
  <si>
    <t>JACKSON</t>
  </si>
  <si>
    <t>242-25</t>
  </si>
  <si>
    <t>311-25</t>
  </si>
  <si>
    <t>244-25</t>
  </si>
  <si>
    <t>313-25</t>
  </si>
  <si>
    <t>51-26</t>
  </si>
  <si>
    <t>CHIONE</t>
  </si>
  <si>
    <t>clear-day</t>
  </si>
  <si>
    <t>204:746</t>
  </si>
  <si>
    <t>204:233308</t>
  </si>
  <si>
    <t>204:464</t>
  </si>
  <si>
    <t>204:233301</t>
  </si>
  <si>
    <t>204:232969</t>
  </si>
  <si>
    <t>204:233329</t>
  </si>
  <si>
    <t>204:232981</t>
  </si>
  <si>
    <t>204:232978</t>
  </si>
  <si>
    <t>204:233305</t>
  </si>
  <si>
    <t>204:232988</t>
  </si>
  <si>
    <t>204:130</t>
  </si>
  <si>
    <t>204:172</t>
  </si>
  <si>
    <t>204:174</t>
  </si>
  <si>
    <t>204:178</t>
  </si>
  <si>
    <t>204:165</t>
  </si>
  <si>
    <t>204:484</t>
  </si>
  <si>
    <t>204:232963</t>
  </si>
  <si>
    <t>204:232976</t>
  </si>
  <si>
    <t>204:233316</t>
  </si>
  <si>
    <t>204:233274</t>
  </si>
  <si>
    <t>204:233314</t>
  </si>
  <si>
    <t>204:440</t>
  </si>
  <si>
    <t>204:198</t>
  </si>
  <si>
    <t>204:498</t>
  </si>
  <si>
    <t>204:233334</t>
  </si>
  <si>
    <t>300:23310</t>
  </si>
  <si>
    <t>300:23304</t>
  </si>
  <si>
    <t>DE.1.0.8.0</t>
  </si>
  <si>
    <t>204:128275</t>
  </si>
  <si>
    <t>300:23314</t>
  </si>
  <si>
    <t>300:58606</t>
  </si>
  <si>
    <t>204:1013</t>
  </si>
  <si>
    <t>204:720</t>
  </si>
  <si>
    <t>204:1002</t>
  </si>
  <si>
    <t>300:58933</t>
  </si>
  <si>
    <t>300:58617</t>
  </si>
  <si>
    <t>204:710</t>
  </si>
  <si>
    <t>204:715</t>
  </si>
  <si>
    <t>204:999</t>
  </si>
  <si>
    <t>204:1007</t>
  </si>
  <si>
    <t>300:58952</t>
  </si>
  <si>
    <t>204:677</t>
  </si>
  <si>
    <t>300:58647</t>
  </si>
  <si>
    <t>204:981</t>
  </si>
  <si>
    <t>300:58624</t>
  </si>
  <si>
    <t>204:974</t>
  </si>
  <si>
    <t>300:58651</t>
  </si>
  <si>
    <t>300:58967</t>
  </si>
  <si>
    <t>See title</t>
  </si>
  <si>
    <t>Early arrival</t>
  </si>
  <si>
    <t>Pena 4S STOP, cleared afterward</t>
  </si>
  <si>
    <t>306-26</t>
  </si>
  <si>
    <t>308-26</t>
  </si>
  <si>
    <t>103-26</t>
  </si>
  <si>
    <t>800-26</t>
  </si>
  <si>
    <t>115-26</t>
  </si>
  <si>
    <t>801-26</t>
  </si>
  <si>
    <t>803-26</t>
  </si>
  <si>
    <t>125-26</t>
  </si>
  <si>
    <t>120-26</t>
  </si>
  <si>
    <t>806-26</t>
  </si>
  <si>
    <t>129-26</t>
  </si>
  <si>
    <t>809-26</t>
  </si>
  <si>
    <t>130-26</t>
  </si>
  <si>
    <t>134-26</t>
  </si>
  <si>
    <t>142-26</t>
  </si>
  <si>
    <t>144-26</t>
  </si>
  <si>
    <t>815-26</t>
  </si>
  <si>
    <t>50-26</t>
  </si>
  <si>
    <t>816-26</t>
  </si>
  <si>
    <t>177-26</t>
  </si>
  <si>
    <t>822-26</t>
  </si>
  <si>
    <t>172-26</t>
  </si>
  <si>
    <t>823-26</t>
  </si>
  <si>
    <t>176-26</t>
  </si>
  <si>
    <t>828-26</t>
  </si>
  <si>
    <t>TEMPORARY SPEED RESTRICTION</t>
  </si>
  <si>
    <t>54-26</t>
  </si>
  <si>
    <t>833-26</t>
  </si>
  <si>
    <t>rtdc.l.rtdc.4012:itc</t>
  </si>
  <si>
    <t>202-26</t>
  </si>
  <si>
    <t>65-26</t>
  </si>
  <si>
    <t>rtdc.l.rtdc.4040:itc</t>
  </si>
  <si>
    <t>211-26</t>
  </si>
  <si>
    <t>837-26</t>
  </si>
  <si>
    <t>838-26</t>
  </si>
  <si>
    <t>842-26</t>
  </si>
  <si>
    <t>228-26</t>
  </si>
  <si>
    <t>236-26</t>
  </si>
  <si>
    <t>243-26</t>
  </si>
  <si>
    <t>302-26</t>
  </si>
  <si>
    <t>MAELZER</t>
  </si>
  <si>
    <t>304-26</t>
  </si>
  <si>
    <t>STRICKLAND</t>
  </si>
  <si>
    <t>102-26</t>
  </si>
  <si>
    <t>105-26</t>
  </si>
  <si>
    <t>310-26</t>
  </si>
  <si>
    <t>107-26</t>
  </si>
  <si>
    <t>104-26</t>
  </si>
  <si>
    <t>109-26</t>
  </si>
  <si>
    <t>901-26</t>
  </si>
  <si>
    <t>106-26</t>
  </si>
  <si>
    <t>113-26</t>
  </si>
  <si>
    <t>108-26</t>
  </si>
  <si>
    <t>110-26</t>
  </si>
  <si>
    <t>117-26</t>
  </si>
  <si>
    <t>112-26</t>
  </si>
  <si>
    <t>119-26</t>
  </si>
  <si>
    <t>114-26</t>
  </si>
  <si>
    <t>902-26</t>
  </si>
  <si>
    <t>802-26</t>
  </si>
  <si>
    <t>121-26</t>
  </si>
  <si>
    <t>116-26</t>
  </si>
  <si>
    <t>123-26</t>
  </si>
  <si>
    <t>118-26</t>
  </si>
  <si>
    <t>804-26</t>
  </si>
  <si>
    <t>805-26</t>
  </si>
  <si>
    <t>127-26</t>
  </si>
  <si>
    <t>122-26</t>
  </si>
  <si>
    <t>807-26</t>
  </si>
  <si>
    <t>124-26</t>
  </si>
  <si>
    <t>131-26</t>
  </si>
  <si>
    <t>126-26</t>
  </si>
  <si>
    <t>808-26</t>
  </si>
  <si>
    <t>133-26</t>
  </si>
  <si>
    <t>128-26</t>
  </si>
  <si>
    <t>135-26</t>
  </si>
  <si>
    <t>811-26</t>
  </si>
  <si>
    <t>810-26</t>
  </si>
  <si>
    <t>137-26</t>
  </si>
  <si>
    <t>132-26</t>
  </si>
  <si>
    <t>139-26</t>
  </si>
  <si>
    <t>903-26</t>
  </si>
  <si>
    <t>812-26</t>
  </si>
  <si>
    <t>141-26</t>
  </si>
  <si>
    <t>136-26</t>
  </si>
  <si>
    <t>143-26</t>
  </si>
  <si>
    <t>813-26</t>
  </si>
  <si>
    <t>138-26</t>
  </si>
  <si>
    <t>145-26</t>
  </si>
  <si>
    <t>140-26</t>
  </si>
  <si>
    <t>147-26</t>
  </si>
  <si>
    <t>814-26</t>
  </si>
  <si>
    <t>149-26</t>
  </si>
  <si>
    <t>151-26</t>
  </si>
  <si>
    <t>146-26</t>
  </si>
  <si>
    <t>153-26</t>
  </si>
  <si>
    <t>148-26</t>
  </si>
  <si>
    <t>155-26</t>
  </si>
  <si>
    <t>150-26</t>
  </si>
  <si>
    <t>HILLS</t>
  </si>
  <si>
    <t>157-26</t>
  </si>
  <si>
    <t>152-26</t>
  </si>
  <si>
    <t>159-26</t>
  </si>
  <si>
    <t>817-26</t>
  </si>
  <si>
    <t>165-26</t>
  </si>
  <si>
    <t>161-26</t>
  </si>
  <si>
    <t>154-26</t>
  </si>
  <si>
    <t>156-26</t>
  </si>
  <si>
    <t>163-26</t>
  </si>
  <si>
    <t>JOHNSON</t>
  </si>
  <si>
    <t>rtdc.l.rtdc.4038:itc</t>
  </si>
  <si>
    <t>55-26</t>
  </si>
  <si>
    <t>818-26</t>
  </si>
  <si>
    <t>160-26</t>
  </si>
  <si>
    <t>162-26</t>
  </si>
  <si>
    <t>167-26</t>
  </si>
  <si>
    <t>158-26</t>
  </si>
  <si>
    <t>819-26</t>
  </si>
  <si>
    <t>169-26</t>
  </si>
  <si>
    <t>BRUDER</t>
  </si>
  <si>
    <t>164-26</t>
  </si>
  <si>
    <t>171-26</t>
  </si>
  <si>
    <t>STORY</t>
  </si>
  <si>
    <t>820-26</t>
  </si>
  <si>
    <t>173-26</t>
  </si>
  <si>
    <t>MCREYNOLDS</t>
  </si>
  <si>
    <t>166-26</t>
  </si>
  <si>
    <t>168-26</t>
  </si>
  <si>
    <t>175-26</t>
  </si>
  <si>
    <t>170-26</t>
  </si>
  <si>
    <t>821-26</t>
  </si>
  <si>
    <t>MOSES</t>
  </si>
  <si>
    <t>179-26</t>
  </si>
  <si>
    <t>174-26</t>
  </si>
  <si>
    <t>181-26</t>
  </si>
  <si>
    <t>183-26</t>
  </si>
  <si>
    <t>178-26</t>
  </si>
  <si>
    <t>185-26</t>
  </si>
  <si>
    <t>180-26</t>
  </si>
  <si>
    <t>187-26</t>
  </si>
  <si>
    <t>182-26</t>
  </si>
  <si>
    <t>824-26</t>
  </si>
  <si>
    <t>189-26</t>
  </si>
  <si>
    <t>184-26</t>
  </si>
  <si>
    <t>191-26</t>
  </si>
  <si>
    <t>186-26</t>
  </si>
  <si>
    <t>193-26</t>
  </si>
  <si>
    <t>ADANE</t>
  </si>
  <si>
    <t>188-26</t>
  </si>
  <si>
    <t>825-26</t>
  </si>
  <si>
    <t>195-26</t>
  </si>
  <si>
    <t>190-26</t>
  </si>
  <si>
    <t>904-26</t>
  </si>
  <si>
    <t>197-26</t>
  </si>
  <si>
    <t>826-26</t>
  </si>
  <si>
    <t>827-26</t>
  </si>
  <si>
    <t>192-26</t>
  </si>
  <si>
    <t>199-26</t>
  </si>
  <si>
    <t>201-26</t>
  </si>
  <si>
    <t>194-26</t>
  </si>
  <si>
    <t>196-26</t>
  </si>
  <si>
    <t>829-26</t>
  </si>
  <si>
    <t>203-26</t>
  </si>
  <si>
    <t>198-26</t>
  </si>
  <si>
    <t>830-26</t>
  </si>
  <si>
    <t>205-26</t>
  </si>
  <si>
    <t>831-26</t>
  </si>
  <si>
    <t>200-26</t>
  </si>
  <si>
    <t>207-26</t>
  </si>
  <si>
    <t>832-26</t>
  </si>
  <si>
    <t>204-26</t>
  </si>
  <si>
    <t>209-26</t>
  </si>
  <si>
    <t>ARVIDSON</t>
  </si>
  <si>
    <t>206-26</t>
  </si>
  <si>
    <t>834-26</t>
  </si>
  <si>
    <t>213-26</t>
  </si>
  <si>
    <t>56-26</t>
  </si>
  <si>
    <t>CUSHING</t>
  </si>
  <si>
    <t>208-26</t>
  </si>
  <si>
    <t>835-26</t>
  </si>
  <si>
    <t>215-26</t>
  </si>
  <si>
    <t>210-26</t>
  </si>
  <si>
    <t>836-26</t>
  </si>
  <si>
    <t>217-26</t>
  </si>
  <si>
    <t>212-26</t>
  </si>
  <si>
    <t>219-26</t>
  </si>
  <si>
    <t>214-26</t>
  </si>
  <si>
    <t>303-26</t>
  </si>
  <si>
    <t>839-26</t>
  </si>
  <si>
    <t>216-26</t>
  </si>
  <si>
    <t>221-26</t>
  </si>
  <si>
    <t>218-26</t>
  </si>
  <si>
    <t>906-26</t>
  </si>
  <si>
    <t>841-26</t>
  </si>
  <si>
    <t>PUGH</t>
  </si>
  <si>
    <t>305-26</t>
  </si>
  <si>
    <t>220-26</t>
  </si>
  <si>
    <t>223-26</t>
  </si>
  <si>
    <t>307-26</t>
  </si>
  <si>
    <t>840-26</t>
  </si>
  <si>
    <t>225-26</t>
  </si>
  <si>
    <t>222-26</t>
  </si>
  <si>
    <t>843-26</t>
  </si>
  <si>
    <t>227-26</t>
  </si>
  <si>
    <t>63-26</t>
  </si>
  <si>
    <t>224-26</t>
  </si>
  <si>
    <t>226-26</t>
  </si>
  <si>
    <t>229-26</t>
  </si>
  <si>
    <t>845-26</t>
  </si>
  <si>
    <t>231-26</t>
  </si>
  <si>
    <t>844-26</t>
  </si>
  <si>
    <t>230-26</t>
  </si>
  <si>
    <t>233-26</t>
  </si>
  <si>
    <t>232-26</t>
  </si>
  <si>
    <t>847-26</t>
  </si>
  <si>
    <t>235-26</t>
  </si>
  <si>
    <t>908-26</t>
  </si>
  <si>
    <t>234-26</t>
  </si>
  <si>
    <t>237-26</t>
  </si>
  <si>
    <t>239-26</t>
  </si>
  <si>
    <t>241-26</t>
  </si>
  <si>
    <t>238-26</t>
  </si>
  <si>
    <t>52-26</t>
  </si>
  <si>
    <t>53-26</t>
  </si>
  <si>
    <t>240-26</t>
  </si>
  <si>
    <t>242-26</t>
  </si>
  <si>
    <t>309-26</t>
  </si>
  <si>
    <t>311-26</t>
  </si>
  <si>
    <t>58-26</t>
  </si>
  <si>
    <t>244-26</t>
  </si>
  <si>
    <t>313-26</t>
  </si>
  <si>
    <t>315-26</t>
  </si>
  <si>
    <t>fog</t>
  </si>
  <si>
    <t>Foggy</t>
  </si>
  <si>
    <t>204:232717</t>
  </si>
  <si>
    <t>204:233366</t>
  </si>
  <si>
    <t>204:232730</t>
  </si>
  <si>
    <t>204:232658</t>
  </si>
  <si>
    <t>204:495</t>
  </si>
  <si>
    <t>204:232973</t>
  </si>
  <si>
    <t>204:232979</t>
  </si>
  <si>
    <t>204:18784</t>
  </si>
  <si>
    <t>204:17515</t>
  </si>
  <si>
    <t>204:21002</t>
  </si>
  <si>
    <t>204:64868</t>
  </si>
  <si>
    <t>204:57698</t>
  </si>
  <si>
    <t>204:232983</t>
  </si>
  <si>
    <t>204:233286</t>
  </si>
  <si>
    <t>204:777</t>
  </si>
  <si>
    <t>204:232964</t>
  </si>
  <si>
    <t>204:233309</t>
  </si>
  <si>
    <t>204:233306</t>
  </si>
  <si>
    <t>204:139</t>
  </si>
  <si>
    <t>204:233241</t>
  </si>
  <si>
    <t>204:232929</t>
  </si>
  <si>
    <t>204:233287</t>
  </si>
  <si>
    <t>204:233006</t>
  </si>
  <si>
    <t>204:480</t>
  </si>
  <si>
    <t>204:435</t>
  </si>
  <si>
    <t>204:127864</t>
  </si>
  <si>
    <t>204:233288</t>
  </si>
  <si>
    <t>204:233324</t>
  </si>
  <si>
    <t>204:233023</t>
  </si>
  <si>
    <t>204:183</t>
  </si>
  <si>
    <t>204:458</t>
  </si>
  <si>
    <t>204:508</t>
  </si>
  <si>
    <t>204:515</t>
  </si>
  <si>
    <t>204:216</t>
  </si>
  <si>
    <t>204:232982</t>
  </si>
  <si>
    <t>204:233344</t>
  </si>
  <si>
    <t>204:233049</t>
  </si>
  <si>
    <t>204:233272</t>
  </si>
  <si>
    <t>204:549</t>
  </si>
  <si>
    <t>204:233208</t>
  </si>
  <si>
    <t>204:232889</t>
  </si>
  <si>
    <t>204:500</t>
  </si>
  <si>
    <t>204:233336</t>
  </si>
  <si>
    <t>204:232970</t>
  </si>
  <si>
    <t>204:233266</t>
  </si>
  <si>
    <t>204:233270</t>
  </si>
  <si>
    <t>204:477</t>
  </si>
  <si>
    <t>300:23224</t>
  </si>
  <si>
    <t>204:127</t>
  </si>
  <si>
    <t>300:23308</t>
  </si>
  <si>
    <t>300:22331</t>
  </si>
  <si>
    <t>204:92</t>
  </si>
  <si>
    <t>300:23302</t>
  </si>
  <si>
    <t>300:20028</t>
  </si>
  <si>
    <t>300:23339</t>
  </si>
  <si>
    <t>300:22888</t>
  </si>
  <si>
    <t>300:23148</t>
  </si>
  <si>
    <t>300:23168</t>
  </si>
  <si>
    <t>300:21640</t>
  </si>
  <si>
    <t>204:939</t>
  </si>
  <si>
    <t>300:30960</t>
  </si>
  <si>
    <t>204:933</t>
  </si>
  <si>
    <t>204:1242</t>
  </si>
  <si>
    <t>204:19133</t>
  </si>
  <si>
    <t>204:1249</t>
  </si>
  <si>
    <t>300:23427</t>
  </si>
  <si>
    <t>204:1038</t>
  </si>
  <si>
    <t>204:1266</t>
  </si>
  <si>
    <t>300:24258</t>
  </si>
  <si>
    <t>300:21894</t>
  </si>
  <si>
    <t>204:131</t>
  </si>
  <si>
    <t>204:10229</t>
  </si>
  <si>
    <t>204:128268</t>
  </si>
  <si>
    <t>204:19115</t>
  </si>
  <si>
    <t>204:128272</t>
  </si>
  <si>
    <t>204:128001</t>
  </si>
  <si>
    <t>204:9993</t>
  </si>
  <si>
    <t>204:1155</t>
  </si>
  <si>
    <t>300:24218</t>
  </si>
  <si>
    <t>204:1471</t>
  </si>
  <si>
    <t>204:1904</t>
  </si>
  <si>
    <t>204:843</t>
  </si>
  <si>
    <t>204:1123</t>
  </si>
  <si>
    <t>204:703</t>
  </si>
  <si>
    <t>204:986</t>
  </si>
  <si>
    <t>300:58986</t>
  </si>
  <si>
    <t>300:58675</t>
  </si>
  <si>
    <t>204:687</t>
  </si>
  <si>
    <t>204:761</t>
  </si>
  <si>
    <t>204:988</t>
  </si>
  <si>
    <t>300:58990</t>
  </si>
  <si>
    <t>300:58679</t>
  </si>
  <si>
    <t>204:670</t>
  </si>
  <si>
    <t>204:1042</t>
  </si>
  <si>
    <t>204:705</t>
  </si>
  <si>
    <t>204:971</t>
  </si>
  <si>
    <t>300:58999</t>
  </si>
  <si>
    <t>204:691</t>
  </si>
  <si>
    <t>204:983</t>
  </si>
  <si>
    <t>300:58976</t>
  </si>
  <si>
    <t>300:58672</t>
  </si>
  <si>
    <t>204:979</t>
  </si>
  <si>
    <t>300:58973</t>
  </si>
  <si>
    <t>300:58982</t>
  </si>
  <si>
    <t>300:58666</t>
  </si>
  <si>
    <t>204:701</t>
  </si>
  <si>
    <t>300:58988</t>
  </si>
  <si>
    <t>204:985</t>
  </si>
  <si>
    <t>300:58984</t>
  </si>
  <si>
    <t>300:58670</t>
  </si>
  <si>
    <t>204:1000</t>
  </si>
  <si>
    <t>300:58673</t>
  </si>
  <si>
    <t>204:717</t>
  </si>
  <si>
    <t>204:953</t>
  </si>
  <si>
    <t>300:58664</t>
  </si>
  <si>
    <t>204:668</t>
  </si>
  <si>
    <t>204:993</t>
  </si>
  <si>
    <t>300:58995</t>
  </si>
  <si>
    <t>300:58685</t>
  </si>
  <si>
    <t>204:950</t>
  </si>
  <si>
    <t>300:58965</t>
  </si>
  <si>
    <t>300:58643</t>
  </si>
  <si>
    <t>204:649</t>
  </si>
  <si>
    <t>300:58992</t>
  </si>
  <si>
    <t>204:932</t>
  </si>
  <si>
    <t>300:58961</t>
  </si>
  <si>
    <t>204:661</t>
  </si>
  <si>
    <t>300:58621</t>
  </si>
  <si>
    <t>204:741</t>
  </si>
  <si>
    <t>204:960</t>
  </si>
  <si>
    <t>204:1035</t>
  </si>
  <si>
    <t>204:733</t>
  </si>
  <si>
    <t>300:58960</t>
  </si>
  <si>
    <t>204:969</t>
  </si>
  <si>
    <t>300:29997</t>
  </si>
  <si>
    <t>300:22280</t>
  </si>
  <si>
    <t>300:23243</t>
  </si>
  <si>
    <t>204:663</t>
  </si>
  <si>
    <t>300:58638</t>
  </si>
  <si>
    <t>300:29111</t>
  </si>
  <si>
    <t>300:58662</t>
  </si>
  <si>
    <t>300:21827</t>
  </si>
  <si>
    <t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t>
  </si>
  <si>
    <t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t>
  </si>
  <si>
    <t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t>
  </si>
  <si>
    <t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t>
  </si>
  <si>
    <t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t>
  </si>
  <si>
    <t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t>
  </si>
  <si>
    <t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t>
  </si>
  <si>
    <t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t>
  </si>
  <si>
    <t>Wi-MAX outage</t>
  </si>
  <si>
    <t>Starting at 06:45:56, started getting failures to decode HMACs from CP BRIGHT, EC0206RH, and DU0031WCPM2 (712803800201). Were there any time sync errors at those 3 locations at this time?</t>
  </si>
  <si>
    <t>http://stevetu21.github.io/eaglep3/load_kml.html?kml=http://rtdc.gmaps-snips.s3.amazonaws.com/fc3ce0f4-631f-4645-a941-c261328e80fe.kml</t>
  </si>
  <si>
    <t>EC0286RH 38-2T 2S premature downgrade</t>
  </si>
  <si>
    <t>At 10:11:28, EC0286RH 38-2T 2S dropped from 270 to STOP &amp; PROCEED</t>
  </si>
  <si>
    <t>Discrepancy between GPS- and Wheeltach-derived location under I-25</t>
  </si>
  <si>
    <t>101-26</t>
  </si>
  <si>
    <t>Did not init - software d/l screen</t>
  </si>
  <si>
    <t>111-26</t>
  </si>
  <si>
    <t>Occurrence of ECR14892</t>
  </si>
  <si>
    <t>Init failure - cause still under investigation? (Logs unavailable)</t>
  </si>
  <si>
    <t>Time source timed out on Onboard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</si>
</sst>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9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5" xfId="0" applyNumberFormat="1" applyBorder="1"/>
    <xf numFmtId="169" fontId="1" fillId="0" borderId="0" xfId="0" applyNumberFormat="1" applyFont="1"/>
    <xf numFmtId="169" fontId="0" fillId="0" borderId="0" xfId="0" applyNumberFormat="1" applyBorder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20" fillId="0" borderId="0" xfId="4" applyFill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fc3ce0f4-631f-4645-a941-c261328e80fe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5"/>
  <sheetViews>
    <sheetView tabSelected="1" topLeftCell="A55" zoomScaleNormal="100" workbookViewId="0">
      <selection activeCell="R72" sqref="R72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6" width="2.8554687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78" customWidth="1"/>
    <col min="22" max="22" width="5.7109375" style="96" customWidth="1"/>
    <col min="23" max="23" width="3.85546875" style="20" customWidth="1"/>
    <col min="24" max="24" width="6.5703125" style="184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74"/>
      <c r="V1" s="40"/>
      <c r="W1" s="41"/>
      <c r="X1" s="178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42669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42669</v>
      </c>
      <c r="S2" s="72"/>
      <c r="T2" s="73"/>
      <c r="U2" s="175"/>
      <c r="V2" s="94" t="s">
        <v>8</v>
      </c>
      <c r="W2" s="75"/>
      <c r="X2" s="181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76"/>
      <c r="V3" s="42" t="s">
        <v>11</v>
      </c>
      <c r="W3" s="43" t="s">
        <v>12</v>
      </c>
      <c r="X3" s="182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77"/>
      <c r="V4" s="45" t="s">
        <v>15</v>
      </c>
      <c r="W4" s="43" t="s">
        <v>15</v>
      </c>
      <c r="X4" s="182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COUNTIFS($N$13:$N$9408,"&gt;0",$AG$13:$AG$9408,I1)</f>
        <v>139</v>
      </c>
      <c r="K5" s="44"/>
      <c r="L5" s="44"/>
      <c r="M5" s="45">
        <f>AVERAGEIFS($N$13:$N$9408,$AG$13:$AG$9408,I1)</f>
        <v>37.775899280748739</v>
      </c>
      <c r="N5" s="43">
        <f t="array" ref="N5">MIN(IF($AG$13:$AG$9408=I1,IF(ISNUMBER($N$13:$N$9408),IF($N$13:$N$9408&gt;0,$N$13:$N$9408))))</f>
        <v>34.250000001629815</v>
      </c>
      <c r="O5" s="3">
        <f t="array" ref="O5">MAX(IF($AG$13:$AG$9408=I1,IF(ISNUMBER($N$13:$N$9408),IF($N$13:$N$9408&gt;0,$N$13:$N$9408))))</f>
        <v>44.949999998789281</v>
      </c>
      <c r="P5" s="2"/>
      <c r="R5" s="80" t="s">
        <v>17</v>
      </c>
      <c r="S5" s="55">
        <f>COUNTIFS($N$13:$N$9408,"&gt;0",$AG$13:$AG$9408,R1)</f>
        <v>47</v>
      </c>
      <c r="T5" s="44"/>
      <c r="U5" s="177"/>
      <c r="V5" s="45">
        <f>AVERAGEIFS($N$13:$N$9408,$AG$13:$AG$9408,R1)</f>
        <v>15.169503544779257</v>
      </c>
      <c r="W5" s="43">
        <f t="array" ref="W5">MIN(IF($AG$13:$AG$9408=R1,IF(ISNUMBER($N$13:$N$9408),IF($N$13:$N$9408&gt;0,$N$13:$N$9408))))</f>
        <v>12.883333337958902</v>
      </c>
      <c r="X5" s="182">
        <f t="array" ref="X5">MAX(IF($AG$13:$AG$9408=R1,IF(ISNUMBER($N$13:$N$9408),IF($N$13:$N$9408&gt;0,$N$13:$N$9408))))</f>
        <v>21.800000004004687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COUNT($O$13:$O$180)</f>
        <v>0</v>
      </c>
      <c r="K6" s="44"/>
      <c r="L6" s="44"/>
      <c r="M6" s="45">
        <f>IFERROR(AVERAGE($O$13:$O$180),0)</f>
        <v>0</v>
      </c>
      <c r="N6" s="43">
        <f>MIN($O$13:$O$180)</f>
        <v>0</v>
      </c>
      <c r="O6" s="3">
        <f>MAX($O$13:$O$180)</f>
        <v>0</v>
      </c>
      <c r="P6" s="2"/>
      <c r="R6" s="81" t="s">
        <v>43</v>
      </c>
      <c r="S6" s="55">
        <f>COUNT($O$13:$O$180)</f>
        <v>0</v>
      </c>
      <c r="T6" s="44"/>
      <c r="U6" s="177"/>
      <c r="V6" s="45">
        <f>IFERROR(AVERAGE($O$13:$O$180),0)</f>
        <v>0</v>
      </c>
      <c r="W6" s="43">
        <f>MIN($O$13:$O$180)</f>
        <v>0</v>
      </c>
      <c r="X6" s="182">
        <f>MAX($O$13:$O$180)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COUNTIFS($P$13:$P$9408,"&gt;0",$AG$13:$AG$9408,I1)</f>
        <v>5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COUNTIFS($P$13:$P$9408,"&gt;0",$AG$13:$AG$9408,R1)</f>
        <v>0</v>
      </c>
      <c r="T7" s="44"/>
      <c r="U7" s="177"/>
      <c r="V7" s="45" t="s">
        <v>15</v>
      </c>
      <c r="W7" s="43" t="s">
        <v>15</v>
      </c>
      <c r="X7" s="182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139</v>
      </c>
      <c r="K8" s="44"/>
      <c r="L8" s="44"/>
      <c r="M8" s="45">
        <f>M5</f>
        <v>37.775899280748739</v>
      </c>
      <c r="N8" s="43">
        <f>N5</f>
        <v>34.250000001629815</v>
      </c>
      <c r="O8" s="3">
        <f>O5</f>
        <v>44.949999998789281</v>
      </c>
      <c r="P8" s="2"/>
      <c r="R8" s="80" t="s">
        <v>16</v>
      </c>
      <c r="S8" s="55">
        <f>S5</f>
        <v>47</v>
      </c>
      <c r="T8" s="44"/>
      <c r="U8" s="177"/>
      <c r="V8" s="45">
        <f>V5</f>
        <v>15.169503544779257</v>
      </c>
      <c r="W8" s="43">
        <f>W5</f>
        <v>12.883333337958902</v>
      </c>
      <c r="X8" s="182">
        <f>X5</f>
        <v>21.800000004004687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0.96527777777777779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1</v>
      </c>
      <c r="T9" s="46"/>
      <c r="U9" s="174"/>
      <c r="V9" s="83"/>
      <c r="W9" s="41"/>
      <c r="X9" s="183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78"/>
      <c r="V10" s="95"/>
      <c r="W10" s="20"/>
      <c r="X10" s="184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7" t="str">
        <f>"Eagle P3 System Performance - "&amp;TEXT(Variables!A2,"yyyy-mm-dd")</f>
        <v>Eagle P3 System Performance - 2016-10-26</v>
      </c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S11" s="69">
        <f>AVERAGE(S13:S115)</f>
        <v>0.9777227722772277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9" t="s">
        <v>65</v>
      </c>
      <c r="V12" s="97" t="s">
        <v>45</v>
      </c>
      <c r="W12" s="51" t="s">
        <v>23</v>
      </c>
      <c r="X12" s="185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792</v>
      </c>
      <c r="B13" s="7">
        <v>4029</v>
      </c>
      <c r="C13" s="22" t="s">
        <v>378</v>
      </c>
      <c r="D13" s="22" t="s">
        <v>636</v>
      </c>
      <c r="E13" s="13">
        <v>42669.17355324074</v>
      </c>
      <c r="F13" s="13">
        <v>42669.175196759257</v>
      </c>
      <c r="G13" s="7">
        <v>1</v>
      </c>
      <c r="H13" s="13" t="s">
        <v>176</v>
      </c>
      <c r="I13" s="13">
        <v>42669.200671296298</v>
      </c>
      <c r="J13" s="7">
        <v>0</v>
      </c>
      <c r="K13" s="112" t="str">
        <f t="shared" ref="K13:K76" si="0">IF(ISEVEN(B13),(B13-1)&amp;"/"&amp;B13,B13&amp;"/"&amp;(B13+1))</f>
        <v>4029/4030</v>
      </c>
      <c r="L13" s="22" t="e">
        <f>VLOOKUP(A13,'Trips&amp;Operators'!$C$1:$E$10000,3,FALSE)</f>
        <v>#N/A</v>
      </c>
      <c r="M13" s="6">
        <f t="shared" ref="M13:M76" si="1">I13-F13</f>
        <v>2.5474537040281575E-2</v>
      </c>
      <c r="N13" s="7"/>
      <c r="O13" s="7"/>
      <c r="P13" s="7">
        <v>1</v>
      </c>
      <c r="Q13" s="23"/>
      <c r="R13" s="23" t="s">
        <v>793</v>
      </c>
      <c r="S13" s="35">
        <f t="shared" ref="S13:S25" si="2">SUM(U13:U13)/IF(AG13="EC",12,1)</f>
        <v>0</v>
      </c>
      <c r="T13" s="50" t="str">
        <f t="shared" ref="T13:T76" si="3">IF(ISEVEN(LEFT(AD13,4)),"Southbound","NorthBound")</f>
        <v>NorthBound</v>
      </c>
      <c r="U13" s="18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https://search-rtdc-monitor-bjffxe2xuh6vdkpspy63sjmuny.us-east-1.es.amazonaws.com/_plugin/kibana/#/discover/Steve-Slow-Train-Analysis-(2080s-and-2083s)?_g=(refreshInterval:(display:Off,section:0,value:0),time:(from:'2016-10-26 03:09:55-0600',mode:absolute,to:'2016-10-26 05:48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" s="52" t="str">
        <f t="shared" ref="W13:W76" si="5">IF(AA13&lt;IF(AG13="EC",23,5.65),"Y","N")</f>
        <v>N</v>
      </c>
      <c r="X13" s="186" t="e">
        <f>VALUE(LEFT(AD13,4))-VALUE(LEFT(AD12,4))</f>
        <v>#VALUE!</v>
      </c>
      <c r="Y13" s="67">
        <f t="shared" ref="Y13:Y35" si="6">RIGHT(D13,LEN(D13)-4)/10000</f>
        <v>23.271699999999999</v>
      </c>
      <c r="Z13" s="67">
        <f t="shared" ref="Z13:Z35" si="7">RIGHT(H13,LEN(H13)-4)/10000</f>
        <v>1.52E-2</v>
      </c>
      <c r="AA13" s="67">
        <f t="shared" ref="AA13:AA76" si="8">ABS(Z13-Y13)</f>
        <v>23.256499999999999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 t="shared" ref="AD13:AD76" si="9">IF(LEN(A13)=6,"0"&amp;A13,A13)</f>
        <v>0101-26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/stypes="app*4029*20161026*" /stext=" 10:.+((SYSTEM_STATE.+slice.+state.+changed )|(ment ac)|(system.+state.+changed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4029 --swversion DE.1.0.8.0 --startMP 204:232717 --initTime 2016-10-26T04:09:55 --startdatetime 2016-10-26T04:12:17 --delay 1 --endMP 204:152 --enddatetime 2016-10-26T04:48:58 --enforcementcount 0 &gt;&gt;C:\Users\stu\Documents\GitHub\eaglep3-reporting\EC\2016-10-26-refined-times.txt</v>
      </c>
      <c r="AI13" s="122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 - software d/l screen","project_id":79,"tracker_id":40,"status_id":1,"priority_id":2,"assigned_to_id":23,"start_date":"2016-10-26","description":"Occurrence of ECR14892","custom_fields":[{"id":1,"name":"Subdivision","value":"EC"},{"id":4,"name":"Milepost","value":"0.0152"},{"id":17,"name":"Train ID","value":"101-26"},{"id":16,"name":"Locomotive ID","value":"4029"},{"id":130,"name":"Impact","value":"Initialization Problem"},{"id":150,"name":"Time of Event (Mountain Time)","value":"04:48:58"},{"id":151,"name":"Denver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3" s="53" t="s">
        <v>795</v>
      </c>
      <c r="AK13" s="53" t="s">
        <v>133</v>
      </c>
      <c r="AL13" s="53" t="s">
        <v>178</v>
      </c>
    </row>
    <row r="14" spans="1:91" s="1" customFormat="1" x14ac:dyDescent="0.25">
      <c r="A14" s="37" t="s">
        <v>445</v>
      </c>
      <c r="B14" s="7">
        <v>4039</v>
      </c>
      <c r="C14" s="22" t="s">
        <v>378</v>
      </c>
      <c r="D14" s="22" t="s">
        <v>636</v>
      </c>
      <c r="E14" s="13">
        <v>42669.17355324074</v>
      </c>
      <c r="F14" s="13">
        <v>42669.175196759257</v>
      </c>
      <c r="G14" s="7">
        <v>1</v>
      </c>
      <c r="H14" s="13" t="s">
        <v>176</v>
      </c>
      <c r="I14" s="13">
        <v>42669.200671296298</v>
      </c>
      <c r="J14" s="7">
        <v>0</v>
      </c>
      <c r="K14" s="112" t="str">
        <f t="shared" si="0"/>
        <v>4039/4040</v>
      </c>
      <c r="L14" s="22" t="str">
        <f>VLOOKUP(A14,'Trips&amp;Operators'!$C$1:$E$10000,3,FALSE)</f>
        <v>MAELZER</v>
      </c>
      <c r="M14" s="6">
        <f t="shared" si="1"/>
        <v>2.5474537040281575E-2</v>
      </c>
      <c r="N14" s="7">
        <f t="shared" ref="N14:N22" si="15">24*60*SUM($M14:$M14)</f>
        <v>36.683333338005468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8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03:09:55-0600',mode:absolute,to:'2016-10-26 05:48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" s="52" t="str">
        <f t="shared" si="5"/>
        <v>N</v>
      </c>
      <c r="X14" s="186">
        <f>VALUE(LEFT(AD14,4))-VALUE(LEFT(AD13,4))</f>
        <v>1</v>
      </c>
      <c r="Y14" s="67">
        <f t="shared" si="6"/>
        <v>23.271699999999999</v>
      </c>
      <c r="Z14" s="67">
        <f t="shared" si="7"/>
        <v>1.52E-2</v>
      </c>
      <c r="AA14" s="67">
        <f t="shared" si="8"/>
        <v>23.256499999999999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si="9"/>
        <v>0102-26</v>
      </c>
      <c r="AE14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14" s="88" t="str">
        <f t="shared" si="11"/>
        <v>"C:\Program Files (x86)\AstroGrep\AstroGrep.exe" /spath="%USERPROFILE%\AppData\Local\Temp\OnboardLogs" /stypes="app*4039*20161026*" /stext=" 10:.+((SYSTEM_STATE.+slice.+state.+changed )|(ment ac)|(system.+state.+changed )|(\[timeout)|(PRM\|1\|D)|(kpr)|(kdp)|(\|lc)|(penalty))" /e /r /s</v>
      </c>
      <c r="AG14" s="1" t="str">
        <f t="shared" si="12"/>
        <v>EC</v>
      </c>
      <c r="AH14" s="92" t="str">
        <f t="shared" ref="AH14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4039 --swversion DE.1.0.8.0 --startMP 204:232717 --initTime 2016-10-26T04:09:55 --startdatetime 2016-10-26T04:12:17 --delay 1 --endMP 204:152 --enddatetime 2016-10-26T04:48:58 --enforcementcount 0 &gt;&gt;C:\Users\stu\Documents\GitHub\eaglep3-reporting\EC\2016-10-26-refined-times.txt</v>
      </c>
      <c r="AI14" s="122" t="str">
        <f t="shared" ref="AI14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{"issue":{"subject":"","project_id":79,"tracker_id":40,"status_id":1,"priority_id":2,"assigned_to_id":23,"start_date":"2016-10-26","description":"","custom_fields":[{"id":1,"name":"Subdivision","value":"EC"},{"id":4,"name":"Milepost","value":"0.0152"},{"id":17,"name":"Train ID","value":"102-26"},{"id":16,"name":"Locomotive ID","value":"4039"},{"id":130,"name":"Impact","value":""},{"id":150,"name":"Time of Event (Mountain Time)","value":"04:48:58"},{"id":151,"name":"Denver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7" t="s">
        <v>404</v>
      </c>
      <c r="B15" s="7">
        <v>4016</v>
      </c>
      <c r="C15" s="22" t="s">
        <v>378</v>
      </c>
      <c r="D15" s="22" t="s">
        <v>326</v>
      </c>
      <c r="E15" s="13">
        <v>42669.152337962965</v>
      </c>
      <c r="F15" s="13">
        <v>42669.156458333331</v>
      </c>
      <c r="G15" s="7">
        <v>2</v>
      </c>
      <c r="H15" s="13" t="s">
        <v>637</v>
      </c>
      <c r="I15" s="13">
        <v>42669.181574074071</v>
      </c>
      <c r="J15" s="7">
        <v>0</v>
      </c>
      <c r="K15" s="112" t="str">
        <f t="shared" si="0"/>
        <v>4015/4016</v>
      </c>
      <c r="L15" s="22" t="str">
        <f>VLOOKUP(A15,'Trips&amp;Operators'!$C$1:$E$10000,3,FALSE)</f>
        <v>ACKERMAN</v>
      </c>
      <c r="M15" s="6">
        <f t="shared" si="1"/>
        <v>2.5115740740147885E-2</v>
      </c>
      <c r="N15" s="7">
        <f t="shared" si="15"/>
        <v>36.166666665812954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8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02:39:22-0600',mode:absolute,to:'2016-10-26 05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5"/>
        <v>N</v>
      </c>
      <c r="X15" s="186">
        <f t="shared" ref="X15:X25" si="18">VALUE(LEFT(AD15,4))-VALUE(LEFT(AD14,4))</f>
        <v>1</v>
      </c>
      <c r="Y15" s="67">
        <f t="shared" si="6"/>
        <v>7.1900000000000006E-2</v>
      </c>
      <c r="Z15" s="67">
        <f t="shared" si="7"/>
        <v>23.336600000000001</v>
      </c>
      <c r="AA15" s="67">
        <f t="shared" si="8"/>
        <v>23.264700000000001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9"/>
        <v>0103-26</v>
      </c>
      <c r="AE15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5" s="88" t="str">
        <f t="shared" si="11"/>
        <v>"C:\Program Files (x86)\AstroGrep\AstroGrep.exe" /spath="%USERPROFILE%\AppData\Local\Temp\OnboardLogs" /stypes="app*4016*20161026*" /stext=" 10:.+((SYSTEM_STATE.+slice.+state.+changed )|(ment ac)|(system.+state.+changed )|(\[timeout)|(PRM\|1\|D)|(kpr)|(kdp)|(\|lc)|(penalty))" /e /r /s</v>
      </c>
      <c r="AG15" s="1" t="str">
        <f t="shared" si="12"/>
        <v>EC</v>
      </c>
      <c r="AH15" s="92" t="str">
        <f t="shared" ref="AH15:AH78" si="19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103-26 --locoid 4016 --swversion DE.1.0.8.0 --startMP 204:719 --initTime 2016-10-26T03:39:22 --startdatetime 2016-10-26T03:45:18 --delay 2 --endMP 204:233366 --enddatetime 2016-10-26T04:21:28 --enforcementcount 0 &gt;&gt;C:\Users\stu\Documents\GitHub\eaglep3-reporting\EC\2016-10-26-refined-times.txt</v>
      </c>
      <c r="AI15" s="122" t="str">
        <f t="shared" ref="AI15:AI78" si="20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{"issue":{"subject":"","project_id":79,"tracker_id":40,"status_id":1,"priority_id":2,"assigned_to_id":23,"start_date":"2016-10-26","description":"","custom_fields":[{"id":1,"name":"Subdivision","value":"EC"},{"id":4,"name":"Milepost","value":"23.3366"},{"id":17,"name":"Train ID","value":"103-26"},{"id":16,"name":"Locomotive ID","value":"4016"},{"id":130,"name":"Impact","value":""},{"id":150,"name":"Time of Event (Mountain Time)","value":"04:21:28"},{"id":151,"name":"Denver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449</v>
      </c>
      <c r="B16" s="7">
        <v>4012</v>
      </c>
      <c r="C16" s="22" t="s">
        <v>378</v>
      </c>
      <c r="D16" s="22" t="s">
        <v>638</v>
      </c>
      <c r="E16" s="13">
        <v>42669.188657407409</v>
      </c>
      <c r="F16" s="13">
        <v>42669.195405092592</v>
      </c>
      <c r="G16" s="7">
        <v>2</v>
      </c>
      <c r="H16" s="13" t="s">
        <v>176</v>
      </c>
      <c r="I16" s="13">
        <v>42669.22347222222</v>
      </c>
      <c r="J16" s="7">
        <v>0</v>
      </c>
      <c r="K16" s="112" t="str">
        <f t="shared" si="0"/>
        <v>4011/4012</v>
      </c>
      <c r="L16" s="22" t="str">
        <f>VLOOKUP(A16,'Trips&amp;Operators'!$C$1:$E$10000,3,FALSE)</f>
        <v>ACKERMAN</v>
      </c>
      <c r="M16" s="6">
        <f t="shared" si="1"/>
        <v>2.806712962774327E-2</v>
      </c>
      <c r="N16" s="7">
        <f t="shared" si="15"/>
        <v>40.416666663950309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8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03:31:40-0600',mode:absolute,to:'2016-10-26 06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" s="52" t="str">
        <f t="shared" si="5"/>
        <v>N</v>
      </c>
      <c r="X16" s="186">
        <f t="shared" si="18"/>
        <v>1</v>
      </c>
      <c r="Y16" s="67">
        <f t="shared" si="6"/>
        <v>23.273</v>
      </c>
      <c r="Z16" s="67">
        <f t="shared" si="7"/>
        <v>1.52E-2</v>
      </c>
      <c r="AA16" s="67">
        <f t="shared" si="8"/>
        <v>23.2578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si="9"/>
        <v>0104-26</v>
      </c>
      <c r="AE16" s="91" t="str">
        <f t="shared" si="10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16" s="88" t="str">
        <f t="shared" si="11"/>
        <v>"C:\Program Files (x86)\AstroGrep\AstroGrep.exe" /spath="%USERPROFILE%\AppData\Local\Temp\OnboardLogs" /stypes="app*4012*20161026*" /stext=" 11:.+((SYSTEM_STATE.+slice.+state.+changed )|(ment ac)|(system.+state.+changed )|(\[timeout)|(PRM\|1\|D)|(kpr)|(kdp)|(\|lc)|(penalty))" /e /r /s</v>
      </c>
      <c r="AG16" s="1" t="str">
        <f t="shared" si="12"/>
        <v>EC</v>
      </c>
      <c r="AH16" s="92" t="str">
        <f t="shared" si="19"/>
        <v>"%USERPROFILE%\Documents\GitHub\eaglep3\Utilities\RefineRTDCRunTimes.py" --tripid 104-26 --locoid 4012 --swversion DE.1.0.8.0 --startMP 204:232730 --initTime 2016-10-26T04:31:40 --startdatetime 2016-10-26T04:41:23 --delay 2 --endMP 204:152 --enddatetime 2016-10-26T05:21:48 --enforcementcount 0 &gt;&gt;C:\Users\stu\Documents\GitHub\eaglep3-reporting\EC\2016-10-26-refined-times.txt</v>
      </c>
      <c r="AI16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{"issue":{"subject":"","project_id":79,"tracker_id":40,"status_id":1,"priority_id":2,"assigned_to_id":23,"start_date":"2016-10-26","description":"","custom_fields":[{"id":1,"name":"Subdivision","value":"EC"},{"id":4,"name":"Milepost","value":"0.0152"},{"id":17,"name":"Train ID","value":"104-26"},{"id":16,"name":"Locomotive ID","value":"4012"},{"id":130,"name":"Impact","value":""},{"id":150,"name":"Time of Event (Mountain Time)","value":"05:21:48"},{"id":151,"name":"Denver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446</v>
      </c>
      <c r="B17" s="7">
        <v>4031</v>
      </c>
      <c r="C17" s="22" t="s">
        <v>378</v>
      </c>
      <c r="D17" s="22" t="s">
        <v>351</v>
      </c>
      <c r="E17" s="13">
        <v>42669.175324074073</v>
      </c>
      <c r="F17" s="13">
        <v>42669.177581018521</v>
      </c>
      <c r="G17" s="7">
        <v>1</v>
      </c>
      <c r="H17" s="13" t="s">
        <v>371</v>
      </c>
      <c r="I17" s="13">
        <v>42669.203958333332</v>
      </c>
      <c r="J17" s="7">
        <v>0</v>
      </c>
      <c r="K17" s="112" t="str">
        <f t="shared" si="0"/>
        <v>4031/4032</v>
      </c>
      <c r="L17" s="22" t="str">
        <f>VLOOKUP(A17,'Trips&amp;Operators'!$C$1:$E$10000,3,FALSE)</f>
        <v>STRICKLAND</v>
      </c>
      <c r="M17" s="6">
        <f t="shared" si="1"/>
        <v>2.6377314810815733E-2</v>
      </c>
      <c r="N17" s="7">
        <f t="shared" si="15"/>
        <v>37.983333327574655</v>
      </c>
      <c r="O17" s="7"/>
      <c r="P17" s="7"/>
      <c r="Q17" s="23"/>
      <c r="R17" s="23"/>
      <c r="S17" s="35">
        <f t="shared" si="2"/>
        <v>1</v>
      </c>
      <c r="T17" s="50" t="str">
        <f t="shared" si="3"/>
        <v>NorthBound</v>
      </c>
      <c r="U17" s="18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03:12:28-0600',mode:absolute,to:'2016-10-26 05:53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 t="shared" si="5"/>
        <v>N</v>
      </c>
      <c r="X17" s="186">
        <f t="shared" si="18"/>
        <v>1</v>
      </c>
      <c r="Y17" s="67">
        <f t="shared" si="6"/>
        <v>7.46E-2</v>
      </c>
      <c r="Z17" s="67">
        <f t="shared" si="7"/>
        <v>23.331399999999999</v>
      </c>
      <c r="AA17" s="67">
        <f t="shared" si="8"/>
        <v>23.256799999999998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9"/>
        <v>0105-26</v>
      </c>
      <c r="AE17" s="91" t="str">
        <f t="shared" si="10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7" s="88" t="str">
        <f t="shared" si="11"/>
        <v>"C:\Program Files (x86)\AstroGrep\AstroGrep.exe" /spath="%USERPROFILE%\AppData\Local\Temp\OnboardLogs" /stypes="app*4031*20161026*" /stext=" 10:.+((SYSTEM_STATE.+slice.+state.+changed )|(ment ac)|(system.+state.+changed )|(\[timeout)|(PRM\|1\|D)|(kpr)|(kdp)|(\|lc)|(penalty))" /e /r /s</v>
      </c>
      <c r="AG17" s="1" t="str">
        <f t="shared" si="12"/>
        <v>EC</v>
      </c>
      <c r="AH17" s="92" t="str">
        <f t="shared" si="19"/>
        <v>"%USERPROFILE%\Documents\GitHub\eaglep3\Utilities\RefineRTDCRunTimes.py" --tripid 105-26 --locoid 4031 --swversion DE.1.0.8.0 --startMP 204:746 --initTime 2016-10-26T04:12:28 --startdatetime 2016-10-26T04:15:43 --delay 1 --endMP 204:233314 --enddatetime 2016-10-26T04:53:42 --enforcementcount 0 &gt;&gt;C:\Users\stu\Documents\GitHub\eaglep3-reporting\EC\2016-10-26-refined-times.txt</v>
      </c>
      <c r="AI1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{"issue":{"subject":"","project_id":79,"tracker_id":40,"status_id":1,"priority_id":2,"assigned_to_id":23,"start_date":"2016-10-26","description":"","custom_fields":[{"id":1,"name":"Subdivision","value":"EC"},{"id":4,"name":"Milepost","value":"23.3314"},{"id":17,"name":"Train ID","value":"105-26"},{"id":16,"name":"Locomotive ID","value":"4031"},{"id":130,"name":"Impact","value":""},{"id":150,"name":"Time of Event (Mountain Time)","value":"04:53:42"},{"id":151,"name":"Denver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452</v>
      </c>
      <c r="B18" s="7">
        <v>4045</v>
      </c>
      <c r="C18" s="22" t="s">
        <v>378</v>
      </c>
      <c r="D18" s="22" t="s">
        <v>639</v>
      </c>
      <c r="E18" s="13">
        <v>42669.209178240744</v>
      </c>
      <c r="F18" s="13">
        <v>42669.216238425928</v>
      </c>
      <c r="G18" s="7">
        <v>2</v>
      </c>
      <c r="H18" s="13" t="s">
        <v>216</v>
      </c>
      <c r="I18" s="13">
        <v>42669.244791666664</v>
      </c>
      <c r="J18" s="7">
        <v>0</v>
      </c>
      <c r="K18" s="112" t="str">
        <f t="shared" si="0"/>
        <v>4045/4046</v>
      </c>
      <c r="L18" s="22" t="str">
        <f>VLOOKUP(A18,'Trips&amp;Operators'!$C$1:$E$10000,3,FALSE)</f>
        <v>STRICKLAND</v>
      </c>
      <c r="M18" s="6">
        <f t="shared" si="1"/>
        <v>2.8553240736073349E-2</v>
      </c>
      <c r="N18" s="7">
        <f t="shared" si="15"/>
        <v>41.116666659945622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8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04:01:13-0600',mode:absolute,to:'2016-10-26 06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" s="52" t="str">
        <f t="shared" si="5"/>
        <v>N</v>
      </c>
      <c r="X18" s="186">
        <f t="shared" si="18"/>
        <v>1</v>
      </c>
      <c r="Y18" s="67">
        <f t="shared" si="6"/>
        <v>23.265799999999999</v>
      </c>
      <c r="Z18" s="67">
        <f t="shared" si="7"/>
        <v>1.54E-2</v>
      </c>
      <c r="AA18" s="67">
        <f t="shared" si="8"/>
        <v>23.250399999999999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9"/>
        <v>0106-26</v>
      </c>
      <c r="AE18" s="91" t="str">
        <f t="shared" si="10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8" s="88" t="str">
        <f t="shared" si="11"/>
        <v>"C:\Program Files (x86)\AstroGrep\AstroGrep.exe" /spath="%USERPROFILE%\AppData\Local\Temp\OnboardLogs" /stypes="app*4045*20161026*" /stext=" 11:.+((SYSTEM_STATE.+slice.+state.+changed )|(ment ac)|(system.+state.+changed )|(\[timeout)|(PRM\|1\|D)|(kpr)|(kdp)|(\|lc)|(penalty))" /e /r /s</v>
      </c>
      <c r="AG18" s="1" t="str">
        <f t="shared" si="12"/>
        <v>EC</v>
      </c>
      <c r="AH18" s="92" t="str">
        <f t="shared" si="19"/>
        <v>"%USERPROFILE%\Documents\GitHub\eaglep3\Utilities\RefineRTDCRunTimes.py" --tripid 106-26 --locoid 4045 --swversion DE.1.0.8.0 --startMP 204:232658 --initTime 2016-10-26T05:01:13 --startdatetime 2016-10-26T05:11:23 --delay 2 --endMP 204:154 --enddatetime 2016-10-26T05:52:30 --enforcementcount 0 &gt;&gt;C:\Users\stu\Documents\GitHub\eaglep3-reporting\EC\2016-10-26-refined-times.txt</v>
      </c>
      <c r="AI1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ID","value":"106-26"},{"id":16,"name":"Locomotive ID","value":"4045"},{"id":130,"name":"Impact","value":""},{"id":150,"name":"Time of Event (Mountain Time)","value":"05:52:30"},{"id":151,"name":"Denver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448</v>
      </c>
      <c r="B19" s="7">
        <v>4009</v>
      </c>
      <c r="C19" s="22" t="s">
        <v>378</v>
      </c>
      <c r="D19" s="22" t="s">
        <v>640</v>
      </c>
      <c r="E19" s="13">
        <v>42669.182986111111</v>
      </c>
      <c r="F19" s="13">
        <v>42669.188136574077</v>
      </c>
      <c r="G19" s="7">
        <v>1</v>
      </c>
      <c r="H19" s="13" t="s">
        <v>316</v>
      </c>
      <c r="I19" s="13">
        <v>42669.212870370371</v>
      </c>
      <c r="J19" s="7">
        <v>0</v>
      </c>
      <c r="K19" s="112" t="str">
        <f t="shared" si="0"/>
        <v>4009/4010</v>
      </c>
      <c r="L19" s="22" t="str">
        <f>VLOOKUP(A19,'Trips&amp;Operators'!$C$1:$E$10000,3,FALSE)</f>
        <v>SPECTOR</v>
      </c>
      <c r="M19" s="6">
        <f t="shared" si="1"/>
        <v>2.4733796293730848E-2</v>
      </c>
      <c r="N19" s="7">
        <f t="shared" si="15"/>
        <v>35.61666666297242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8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03:23:30-0600',mode:absolute,to:'2016-10-26 06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5"/>
        <v>N</v>
      </c>
      <c r="X19" s="186">
        <f t="shared" si="18"/>
        <v>1</v>
      </c>
      <c r="Y19" s="67">
        <f t="shared" si="6"/>
        <v>4.9500000000000002E-2</v>
      </c>
      <c r="Z19" s="67">
        <f t="shared" si="7"/>
        <v>23.331900000000001</v>
      </c>
      <c r="AA19" s="67">
        <f t="shared" si="8"/>
        <v>23.282400000000003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9"/>
        <v>0107-26</v>
      </c>
      <c r="AE19" s="91" t="str">
        <f t="shared" si="10"/>
        <v>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 &amp; 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</v>
      </c>
      <c r="AF19" s="88" t="str">
        <f t="shared" si="11"/>
        <v>"C:\Program Files (x86)\AstroGrep\AstroGrep.exe" /spath="%USERPROFILE%\AppData\Local\Temp\OnboardLogs" /stypes="app*4009*20161026*" /stext=" 11:.+((SYSTEM_STATE.+slice.+state.+changed )|(ment ac)|(system.+state.+changed )|(\[timeout)|(PRM\|1\|D)|(kpr)|(kdp)|(\|lc)|(penalty))" /e /r /s</v>
      </c>
      <c r="AG19" s="1" t="str">
        <f t="shared" si="12"/>
        <v>EC</v>
      </c>
      <c r="AH19" s="92" t="str">
        <f t="shared" si="19"/>
        <v>"%USERPROFILE%\Documents\GitHub\eaglep3\Utilities\RefineRTDCRunTimes.py" --tripid 107-26 --locoid 4009 --swversion DE.1.0.8.0 --startMP 204:495 --initTime 2016-10-26T04:23:30 --startdatetime 2016-10-26T04:30:55 --delay 1 --endMP 204:233319 --enddatetime 2016-10-26T05:06:32 --enforcementcount 0 &gt;&gt;C:\Users\stu\Documents\GitHub\eaglep3-reporting\EC\2016-10-26-refined-times.txt</v>
      </c>
      <c r="AI1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{"issue":{"subject":"","project_id":79,"tracker_id":40,"status_id":1,"priority_id":2,"assigned_to_id":23,"start_date":"2016-10-26","description":"","custom_fields":[{"id":1,"name":"Subdivision","value":"EC"},{"id":4,"name":"Milepost","value":"23.3319"},{"id":17,"name":"Train ID","value":"107-26"},{"id":16,"name":"Locomotive ID","value":"4009"},{"id":130,"name":"Impact","value":""},{"id":150,"name":"Time of Event (Mountain Time)","value":"05:06:32"},{"id":151,"name":"Denver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454</v>
      </c>
      <c r="B20" s="7">
        <v>4010</v>
      </c>
      <c r="C20" s="22" t="s">
        <v>378</v>
      </c>
      <c r="D20" s="22" t="s">
        <v>304</v>
      </c>
      <c r="E20" s="13">
        <v>42669.222245370373</v>
      </c>
      <c r="F20" s="13">
        <v>42669.2266087963</v>
      </c>
      <c r="G20" s="7">
        <v>1</v>
      </c>
      <c r="H20" s="13" t="s">
        <v>216</v>
      </c>
      <c r="I20" s="13">
        <v>42669.252430555556</v>
      </c>
      <c r="J20" s="7">
        <v>0</v>
      </c>
      <c r="K20" s="112" t="str">
        <f t="shared" si="0"/>
        <v>4009/4010</v>
      </c>
      <c r="L20" s="22" t="str">
        <f>VLOOKUP(A20,'Trips&amp;Operators'!$C$1:$E$10000,3,FALSE)</f>
        <v>SPECTOR</v>
      </c>
      <c r="M20" s="6">
        <f t="shared" si="1"/>
        <v>2.5821759256359655E-2</v>
      </c>
      <c r="N20" s="7">
        <f t="shared" si="15"/>
        <v>37.183333329157904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8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04:20:02-0600',mode:absolute,to:'2016-10-26 07:03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5"/>
        <v>N</v>
      </c>
      <c r="X20" s="186">
        <f t="shared" si="18"/>
        <v>1</v>
      </c>
      <c r="Y20" s="67">
        <f t="shared" si="6"/>
        <v>23.299800000000001</v>
      </c>
      <c r="Z20" s="67">
        <f t="shared" si="7"/>
        <v>1.54E-2</v>
      </c>
      <c r="AA20" s="67">
        <f t="shared" si="8"/>
        <v>23.284400000000002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9"/>
        <v>0108-26</v>
      </c>
      <c r="AE20" s="91" t="str">
        <f t="shared" si="10"/>
        <v>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 &amp; 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</v>
      </c>
      <c r="AF20" s="88" t="str">
        <f t="shared" si="11"/>
        <v>"C:\Program Files (x86)\AstroGrep\AstroGrep.exe" /spath="%USERPROFILE%\AppData\Local\Temp\OnboardLogs" /stypes="app*4010*20161026*" /stext=" 12:.+((SYSTEM_STATE.+slice.+state.+changed )|(ment ac)|(system.+state.+changed )|(\[timeout)|(PRM\|1\|D)|(kpr)|(kdp)|(\|lc)|(penalty))" /e /r /s</v>
      </c>
      <c r="AG20" s="1" t="str">
        <f t="shared" si="12"/>
        <v>EC</v>
      </c>
      <c r="AH20" s="92" t="str">
        <f t="shared" si="19"/>
        <v>"%USERPROFILE%\Documents\GitHub\eaglep3\Utilities\RefineRTDCRunTimes.py" --tripid 108-26 --locoid 4010 --swversion DE.1.0.8.0 --startMP 204:232998 --initTime 2016-10-26T05:20:02 --startdatetime 2016-10-26T05:26:19 --delay 1 --endMP 204:154 --enddatetime 2016-10-26T06:03:30 --enforcementcount 0 &gt;&gt;C:\Users\stu\Documents\GitHub\eaglep3-reporting\EC\2016-10-26-refined-times.txt</v>
      </c>
      <c r="AI2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ID","value":"108-26"},{"id":16,"name":"Locomotive ID","value":"4010"},{"id":130,"name":"Impact","value":""},{"id":150,"name":"Time of Event (Mountain Time)","value":"06:03:30"},{"id":151,"name":"Denver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450</v>
      </c>
      <c r="B21" s="7">
        <v>4002</v>
      </c>
      <c r="C21" s="22" t="s">
        <v>378</v>
      </c>
      <c r="D21" s="22" t="s">
        <v>281</v>
      </c>
      <c r="E21" s="13">
        <v>42669.195173611108</v>
      </c>
      <c r="F21" s="13">
        <v>42669.198136574072</v>
      </c>
      <c r="G21" s="7">
        <v>0</v>
      </c>
      <c r="H21" s="13" t="s">
        <v>219</v>
      </c>
      <c r="I21" s="13">
        <v>42669.223310185182</v>
      </c>
      <c r="J21" s="7">
        <v>0</v>
      </c>
      <c r="K21" s="112" t="str">
        <f t="shared" si="0"/>
        <v>4001/4002</v>
      </c>
      <c r="L21" s="22" t="str">
        <f>VLOOKUP(A21,'Trips&amp;Operators'!$C$1:$E$10000,3,FALSE)</f>
        <v>KILLION</v>
      </c>
      <c r="M21" s="6">
        <f t="shared" si="1"/>
        <v>2.5173611109494232E-2</v>
      </c>
      <c r="N21" s="7">
        <f t="shared" si="15"/>
        <v>36.249999997671694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8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03:41:03-0600',mode:absolute,to:'2016-10-26 06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" s="52" t="str">
        <f t="shared" si="5"/>
        <v>N</v>
      </c>
      <c r="X21" s="186">
        <f t="shared" si="18"/>
        <v>1</v>
      </c>
      <c r="Y21" s="67">
        <f t="shared" si="6"/>
        <v>4.6699999999999998E-2</v>
      </c>
      <c r="Z21" s="67">
        <f t="shared" si="7"/>
        <v>23.3293</v>
      </c>
      <c r="AA21" s="67">
        <f t="shared" si="8"/>
        <v>23.282599999999999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9"/>
        <v>0109-26</v>
      </c>
      <c r="AE21" s="91" t="str">
        <f t="shared" si="10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21" s="88" t="str">
        <f t="shared" si="11"/>
        <v>"C:\Program Files (x86)\AstroGrep\AstroGrep.exe" /spath="%USERPROFILE%\AppData\Local\Temp\OnboardLogs" /stypes="app*4002*20161026*" /stext=" 11:.+((SYSTEM_STATE.+slice.+state.+changed )|(ment ac)|(system.+state.+changed )|(\[timeout)|(PRM\|1\|D)|(kpr)|(kdp)|(\|lc)|(penalty))" /e /r /s</v>
      </c>
      <c r="AG21" s="1" t="str">
        <f t="shared" si="12"/>
        <v>EC</v>
      </c>
      <c r="AH21" s="92" t="str">
        <f t="shared" si="19"/>
        <v>"%USERPROFILE%\Documents\GitHub\eaglep3\Utilities\RefineRTDCRunTimes.py" --tripid 109-26 --locoid 4002 --swversion DE.1.0.8.0 --startMP 204:467 --initTime 2016-10-26T04:41:03 --startdatetime 2016-10-26T04:45:19 --delay 0 --endMP 204:233293 --enddatetime 2016-10-26T05:21:34 --enforcementcount 0 &gt;&gt;C:\Users\stu\Documents\GitHub\eaglep3-reporting\EC\2016-10-26-refined-times.txt</v>
      </c>
      <c r="AI2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{"issue":{"subject":"","project_id":79,"tracker_id":40,"status_id":1,"priority_id":2,"assigned_to_id":23,"start_date":"2016-10-26","description":"","custom_fields":[{"id":1,"name":"Subdivision","value":"EC"},{"id":4,"name":"Milepost","value":"23.3293"},{"id":17,"name":"Train ID","value":"109-26"},{"id":16,"name":"Locomotive ID","value":"4002"},{"id":130,"name":"Impact","value":""},{"id":150,"name":"Time of Event (Mountain Time)","value":"05:21:34"},{"id":151,"name":"Denver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455</v>
      </c>
      <c r="B22" s="7">
        <v>4001</v>
      </c>
      <c r="C22" s="22" t="s">
        <v>378</v>
      </c>
      <c r="D22" s="22" t="s">
        <v>641</v>
      </c>
      <c r="E22" s="13">
        <v>42669.228877314818</v>
      </c>
      <c r="F22" s="13">
        <v>42669.236990740741</v>
      </c>
      <c r="G22" s="7">
        <v>1</v>
      </c>
      <c r="H22" s="13" t="s">
        <v>230</v>
      </c>
      <c r="I22" s="13">
        <v>42669.264178240737</v>
      </c>
      <c r="J22" s="7">
        <v>0</v>
      </c>
      <c r="K22" s="112" t="str">
        <f t="shared" si="0"/>
        <v>4001/4002</v>
      </c>
      <c r="L22" s="22" t="str">
        <f>VLOOKUP(A22,'Trips&amp;Operators'!$C$1:$E$10000,3,FALSE)</f>
        <v>KILLION</v>
      </c>
      <c r="M22" s="6">
        <f t="shared" si="1"/>
        <v>2.7187499996216502E-2</v>
      </c>
      <c r="N22" s="7">
        <f t="shared" si="15"/>
        <v>39.149999994551763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8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04:29:35-0600',mode:absolute,to:'2016-10-26 07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2" s="52" t="str">
        <f t="shared" si="5"/>
        <v>N</v>
      </c>
      <c r="X22" s="186">
        <f t="shared" si="18"/>
        <v>1</v>
      </c>
      <c r="Y22" s="67">
        <f t="shared" si="6"/>
        <v>23.2973</v>
      </c>
      <c r="Z22" s="67">
        <f t="shared" si="7"/>
        <v>1.6E-2</v>
      </c>
      <c r="AA22" s="67">
        <f t="shared" si="8"/>
        <v>23.281300000000002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9"/>
        <v>0110-26</v>
      </c>
      <c r="AE22" s="91" t="str">
        <f t="shared" si="10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22" s="88" t="str">
        <f t="shared" si="11"/>
        <v>"C:\Program Files (x86)\AstroGrep\AstroGrep.exe" /spath="%USERPROFILE%\AppData\Local\Temp\OnboardLogs" /stypes="app*4001*20161026*" /stext=" 12:.+((SYSTEM_STATE.+slice.+state.+changed )|(ment ac)|(system.+state.+changed )|(\[timeout)|(PRM\|1\|D)|(kpr)|(kdp)|(\|lc)|(penalty))" /e /r /s</v>
      </c>
      <c r="AG22" s="1" t="str">
        <f t="shared" si="12"/>
        <v>EC</v>
      </c>
      <c r="AH22" s="92" t="str">
        <f t="shared" si="19"/>
        <v>"%USERPROFILE%\Documents\GitHub\eaglep3\Utilities\RefineRTDCRunTimes.py" --tripid 110-26 --locoid 4001 --swversion DE.1.0.8.0 --startMP 204:232973 --initTime 2016-10-26T05:29:35 --startdatetime 2016-10-26T05:41:16 --delay 1 --endMP 204:160 --enddatetime 2016-10-26T06:20:25 --enforcementcount 0 &gt;&gt;C:\Users\stu\Documents\GitHub\eaglep3-reporting\EC\2016-10-26-refined-times.txt</v>
      </c>
      <c r="AI22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ID","value":"110-26"},{"id":16,"name":"Locomotive ID","value":"4001"},{"id":130,"name":"Impact","value":""},{"id":150,"name":"Time of Event (Mountain Time)","value":"06:20:25"},{"id":151,"name":"Denver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794</v>
      </c>
      <c r="B23" s="7">
        <v>4029</v>
      </c>
      <c r="C23" s="22" t="s">
        <v>378</v>
      </c>
      <c r="D23" s="22" t="s">
        <v>641</v>
      </c>
      <c r="E23" s="13">
        <v>42669.228877314818</v>
      </c>
      <c r="F23" s="13"/>
      <c r="G23" s="7">
        <v>1</v>
      </c>
      <c r="H23" s="13" t="s">
        <v>230</v>
      </c>
      <c r="I23" s="13"/>
      <c r="J23" s="7">
        <v>0</v>
      </c>
      <c r="K23" s="112" t="str">
        <f t="shared" si="0"/>
        <v>4029/4030</v>
      </c>
      <c r="L23" s="22" t="e">
        <f>VLOOKUP(A23,'Trips&amp;Operators'!$C$1:$E$10000,3,FALSE)</f>
        <v>#N/A</v>
      </c>
      <c r="M23" s="6">
        <f t="shared" si="1"/>
        <v>0</v>
      </c>
      <c r="N23" s="7"/>
      <c r="O23" s="7"/>
      <c r="P23" s="7">
        <v>1</v>
      </c>
      <c r="Q23" s="23"/>
      <c r="R23" s="23" t="s">
        <v>793</v>
      </c>
      <c r="S23" s="35">
        <f t="shared" si="2"/>
        <v>0</v>
      </c>
      <c r="T23" s="50" t="str">
        <f t="shared" si="3"/>
        <v>NorthBound</v>
      </c>
      <c r="U23" s="18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04:29:35-0600',mode:absolute,to:'1900-01-00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" s="52" t="str">
        <f t="shared" si="5"/>
        <v>N</v>
      </c>
      <c r="X23" s="186">
        <f t="shared" si="18"/>
        <v>1</v>
      </c>
      <c r="Y23" s="67">
        <f t="shared" si="6"/>
        <v>23.2973</v>
      </c>
      <c r="Z23" s="67">
        <f t="shared" si="7"/>
        <v>1.6E-2</v>
      </c>
      <c r="AA23" s="67">
        <f t="shared" si="8"/>
        <v>23.281300000000002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9"/>
        <v>0111-26</v>
      </c>
      <c r="AE23" s="91" t="str">
        <f t="shared" si="10"/>
        <v>aws s3 cp s3://rtdc.mdm.uploadarchive.raw/RTDC4029/ "%USERPROFILE%\AppData\Local\Temp\OnboardLogs"\RTDC4029\1900-01-00 --exclude "*" --recursive --include "*19000100*" &amp; "%USERPROFILE%\Documents\GitHub\mrs-test-scripts\Headless Mode &amp; Sideloading\WalkAndUnGZ.bat" "%USERPROFILE%\AppData\Local\Temp\OnboardLogs"\RTDC4029\1900-01-00 &amp; aws s3 cp s3://rtdc.mdm.uploadarchive.raw/RTDC4029/ "%USERPROFILE%\AppData\Local\Temp\OnboardLogs"\RTDC4029\1900-01-01 --exclude "*" --recursive --include "*19000101*" &amp; "%USERPROFILE%\Documents\GitHub\mrs-test-scripts\Headless Mode &amp; Sideloading\WalkAndUnGZ.bat" "%USERPROFILE%\AppData\Local\Temp\OnboardLogs"\RTDC4029\1900-01-01</v>
      </c>
      <c r="AF23" s="88" t="str">
        <f t="shared" si="11"/>
        <v>"C:\Program Files (x86)\AstroGrep\AstroGrep.exe" /spath="%USERPROFILE%\AppData\Local\Temp\OnboardLogs" /stypes="app*4029*19000100*" /stext=" 06:.+((SYSTEM_STATE.+slice.+state.+changed )|(ment ac)|(system.+state.+changed )|(\[timeout)|(PRM\|1\|D)|(kpr)|(kdp)|(\|lc)|(penalty))" /e /r /s</v>
      </c>
      <c r="AG23" s="1" t="str">
        <f t="shared" si="12"/>
        <v>EC</v>
      </c>
      <c r="AH23" s="92" t="str">
        <f t="shared" ref="AH23" si="21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111-26 --locoid 4029 --swversion DE.1.0.8.0 --startMP 204:232973 --initTime 2016-10-26T05:29:35 --startdatetime 1900-01-00T00:00:00 --delay 1 --endMP 204:160 --enddatetime 1900-01-00T00:00:00 --enforcementcount 0 &gt;&gt;C:\Users\stu\Documents\GitHub\eaglep3-reporting\EC\2016-10-26-refined-times.txt</v>
      </c>
      <c r="AI23" s="122" t="str">
        <f t="shared" ref="AI23" si="22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{"issue":{"subject":"Did not init - software d/l screen","project_id":79,"tracker_id":40,"status_id":1,"priority_id":2,"assigned_to_id":23,"start_date":"1900-01-00","description":"","custom_fields":[{"id":1,"name":"Subdivision","value":"EC"},{"id":4,"name":"Milepost","value":"0.016"},{"id":17,"name":"Train ID","value":"111-26"},{"id":16,"name":"Locomotive ID","value":"4029"},{"id":130,"name":"Impact","value":""},{"id":150,"name":"Time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</row>
    <row r="24" spans="1:91" s="1" customFormat="1" x14ac:dyDescent="0.25">
      <c r="A24" s="37" t="s">
        <v>457</v>
      </c>
      <c r="B24" s="7">
        <v>4030</v>
      </c>
      <c r="C24" s="22" t="s">
        <v>378</v>
      </c>
      <c r="D24" s="22" t="s">
        <v>642</v>
      </c>
      <c r="E24" s="13">
        <v>42669.246157407404</v>
      </c>
      <c r="F24" s="13">
        <v>42669.247673611113</v>
      </c>
      <c r="G24" s="7">
        <v>1</v>
      </c>
      <c r="H24" s="13" t="s">
        <v>364</v>
      </c>
      <c r="I24" s="13">
        <v>42669.276331018518</v>
      </c>
      <c r="J24" s="7">
        <v>0</v>
      </c>
      <c r="K24" s="112" t="str">
        <f t="shared" si="0"/>
        <v>4029/4030</v>
      </c>
      <c r="L24" s="22" t="str">
        <f>VLOOKUP(A24,'Trips&amp;Operators'!$C$1:$E$10000,3,FALSE)</f>
        <v>ROCHA</v>
      </c>
      <c r="M24" s="6">
        <f t="shared" si="1"/>
        <v>2.8657407405262347E-2</v>
      </c>
      <c r="N24" s="7">
        <f>24*60*SUM($M24:$M24)</f>
        <v>41.26666666357778</v>
      </c>
      <c r="O24" s="7"/>
      <c r="P24" s="7"/>
      <c r="Q24" s="23"/>
      <c r="R24" s="23"/>
      <c r="S24" s="35">
        <f t="shared" si="2"/>
        <v>1</v>
      </c>
      <c r="T24" s="50" t="str">
        <f t="shared" si="3"/>
        <v>Southbound</v>
      </c>
      <c r="U24" s="18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04:54:28-0600',mode:absolute,to:'2016-10-26 07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4" s="52" t="str">
        <f t="shared" si="5"/>
        <v>N</v>
      </c>
      <c r="X24" s="186">
        <f t="shared" si="18"/>
        <v>1</v>
      </c>
      <c r="Y24" s="67">
        <f t="shared" si="6"/>
        <v>23.297899999999998</v>
      </c>
      <c r="Z24" s="67">
        <f t="shared" si="7"/>
        <v>1.78E-2</v>
      </c>
      <c r="AA24" s="67">
        <f t="shared" si="8"/>
        <v>23.280099999999997</v>
      </c>
      <c r="AB24" s="64" t="e">
        <f>VLOOKUP(A24,Enforcements!$C$7:$K$21,8,0)</f>
        <v>#N/A</v>
      </c>
      <c r="AC24" s="60" t="e">
        <f>VLOOKUP(A24,Enforcements!$C$7:$E$21,3,0)</f>
        <v>#N/A</v>
      </c>
      <c r="AD24" s="61" t="str">
        <f t="shared" si="9"/>
        <v>0112-26</v>
      </c>
      <c r="AE24" s="91" t="str">
        <f t="shared" si="10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24" s="88" t="str">
        <f t="shared" si="11"/>
        <v>"C:\Program Files (x86)\AstroGrep\AstroGrep.exe" /spath="%USERPROFILE%\AppData\Local\Temp\OnboardLogs" /stypes="app*4030*20161026*" /stext=" 12:.+((SYSTEM_STATE.+slice.+state.+changed )|(ment ac)|(system.+state.+changed )|(\[timeout)|(PRM\|1\|D)|(kpr)|(kdp)|(\|lc)|(penalty))" /e /r /s</v>
      </c>
      <c r="AG24" s="1" t="str">
        <f t="shared" si="12"/>
        <v>EC</v>
      </c>
      <c r="AH24" s="92" t="str">
        <f t="shared" si="19"/>
        <v>"%USERPROFILE%\Documents\GitHub\eaglep3\Utilities\RefineRTDCRunTimes.py" --tripid 112-26 --locoid 4030 --swversion DE.1.0.8.0 --startMP 204:232979 --initTime 2016-10-26T05:54:28 --startdatetime 2016-10-26T05:56:39 --delay 1 --endMP 204:178 --enddatetime 2016-10-26T06:37:55 --enforcementcount 0 &gt;&gt;C:\Users\stu\Documents\GitHub\eaglep3-reporting\EC\2016-10-26-refined-times.txt</v>
      </c>
      <c r="AI2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{"issue":{"subject":"","project_id":79,"tracker_id":40,"status_id":1,"priority_id":2,"assigned_to_id":23,"start_date":"2016-10-26","description":"","custom_fields":[{"id":1,"name":"Subdivision","value":"EC"},{"id":4,"name":"Milepost","value":"0.0178"},{"id":17,"name":"Train ID","value":"112-26"},{"id":16,"name":"Locomotive ID","value":"4030"},{"id":130,"name":"Impact","value":""},{"id":150,"name":"Time of Event (Mountain Time)","value":"06:37:55"},{"id":151,"name":"Denver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453</v>
      </c>
      <c r="B25" s="7">
        <v>4040</v>
      </c>
      <c r="C25" s="22" t="s">
        <v>378</v>
      </c>
      <c r="D25" s="22" t="s">
        <v>223</v>
      </c>
      <c r="E25" s="13">
        <v>42669.214618055557</v>
      </c>
      <c r="F25" s="13">
        <v>42669.2190162037</v>
      </c>
      <c r="G25" s="7">
        <v>1</v>
      </c>
      <c r="H25" s="13" t="s">
        <v>322</v>
      </c>
      <c r="I25" s="13">
        <v>42669.244270833333</v>
      </c>
      <c r="J25" s="7">
        <v>0</v>
      </c>
      <c r="K25" s="112" t="str">
        <f t="shared" si="0"/>
        <v>4039/4040</v>
      </c>
      <c r="L25" s="22" t="str">
        <f>VLOOKUP(A25,'Trips&amp;Operators'!$C$1:$E$10000,3,FALSE)</f>
        <v>MAELZER</v>
      </c>
      <c r="M25" s="6">
        <f t="shared" si="1"/>
        <v>2.5254629632399883E-2</v>
      </c>
      <c r="N25" s="7">
        <f>24*60*SUM($M25:$M25)</f>
        <v>36.366666670655832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8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04:09:03-0600',mode:absolute,to:'2016-10-26 06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5" s="52" t="str">
        <f t="shared" si="5"/>
        <v>N</v>
      </c>
      <c r="X25" s="186">
        <f t="shared" si="18"/>
        <v>1</v>
      </c>
      <c r="Y25" s="67">
        <f t="shared" si="6"/>
        <v>4.53E-2</v>
      </c>
      <c r="Z25" s="67">
        <f t="shared" si="7"/>
        <v>23.331099999999999</v>
      </c>
      <c r="AA25" s="67">
        <f t="shared" si="8"/>
        <v>23.285799999999998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9"/>
        <v>0113-26</v>
      </c>
      <c r="AE25" s="91" t="str">
        <f t="shared" si="10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25" s="88" t="str">
        <f t="shared" si="11"/>
        <v>"C:\Program Files (x86)\AstroGrep\AstroGrep.exe" /spath="%USERPROFILE%\AppData\Local\Temp\OnboardLogs" /stypes="app*4040*20161026*" /stext=" 11:.+((SYSTEM_STATE.+slice.+state.+changed )|(ment ac)|(system.+state.+changed )|(\[timeout)|(PRM\|1\|D)|(kpr)|(kdp)|(\|lc)|(penalty))" /e /r /s</v>
      </c>
      <c r="AG25" s="1" t="str">
        <f t="shared" si="12"/>
        <v>EC</v>
      </c>
      <c r="AH25" s="92" t="str">
        <f t="shared" si="19"/>
        <v>"%USERPROFILE%\Documents\GitHub\eaglep3\Utilities\RefineRTDCRunTimes.py" --tripid 113-26 --locoid 4040 --swversion DE.1.0.8.0 --startMP 204:453 --initTime 2016-10-26T05:09:03 --startdatetime 2016-10-26T05:15:23 --delay 1 --endMP 204:233311 --enddatetime 2016-10-26T05:51:45 --enforcementcount 0 &gt;&gt;C:\Users\stu\Documents\GitHub\eaglep3-reporting\EC\2016-10-26-refined-times.txt</v>
      </c>
      <c r="AI2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{"issue":{"subject":"","project_id":79,"tracker_id":40,"status_id":1,"priority_id":2,"assigned_to_id":23,"start_date":"2016-10-26","description":"","custom_fields":[{"id":1,"name":"Subdivision","value":"EC"},{"id":4,"name":"Milepost","value":"23.3311"},{"id":17,"name":"Train ID","value":"113-26"},{"id":16,"name":"Locomotive ID","value":"4040"},{"id":130,"name":"Impact","value":""},{"id":150,"name":"Time of Event (Mountain Time)","value":"05:51:45"},{"id":151,"name":"Denver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459</v>
      </c>
      <c r="B26" s="7">
        <v>4039</v>
      </c>
      <c r="C26" s="22" t="s">
        <v>378</v>
      </c>
      <c r="D26" s="22" t="s">
        <v>643</v>
      </c>
      <c r="E26" s="13">
        <v>42669.283831018518</v>
      </c>
      <c r="F26" s="13">
        <v>42669.284722222219</v>
      </c>
      <c r="G26" s="7">
        <v>1</v>
      </c>
      <c r="H26" s="13" t="s">
        <v>644</v>
      </c>
      <c r="I26" s="13">
        <v>42669.285613425927</v>
      </c>
      <c r="J26" s="7">
        <v>0</v>
      </c>
      <c r="K26" s="112" t="str">
        <f t="shared" si="0"/>
        <v>4039/4040</v>
      </c>
      <c r="L26" s="22" t="str">
        <f>VLOOKUP(A26,'Trips&amp;Operators'!$C$1:$E$10000,3,FALSE)</f>
        <v>MAELZER</v>
      </c>
      <c r="M26" s="6">
        <f t="shared" si="1"/>
        <v>8.9120370830642059E-4</v>
      </c>
      <c r="N26" s="7"/>
      <c r="O26" s="7"/>
      <c r="P26" s="7">
        <f>24*60*SUM($M26:$M27)</f>
        <v>48.016666669864208</v>
      </c>
      <c r="Q26" s="23"/>
      <c r="R26" s="23" t="s">
        <v>797</v>
      </c>
      <c r="S26" s="35">
        <f>SUM(U26:U27)/IF(AG26="EC",12,1)</f>
        <v>1</v>
      </c>
      <c r="T26" s="50" t="str">
        <f t="shared" si="3"/>
        <v>Southbound</v>
      </c>
      <c r="U26" s="18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05:48:43-0600',mode:absolute,to:'2016-10-26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6" s="52" t="str">
        <f t="shared" si="5"/>
        <v>Y</v>
      </c>
      <c r="X26" s="186">
        <f t="shared" ref="X26:X27" si="23">VALUE(LEFT(AD26,4))-VALUE(LEFT(AD25,4))</f>
        <v>1</v>
      </c>
      <c r="Y26" s="67">
        <f t="shared" si="6"/>
        <v>1.8784000000000001</v>
      </c>
      <c r="Z26" s="67">
        <f t="shared" si="7"/>
        <v>1.7515000000000001</v>
      </c>
      <c r="AA26" s="67">
        <f t="shared" si="8"/>
        <v>0.12690000000000001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9"/>
        <v>0114-26</v>
      </c>
      <c r="AE26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26" s="88" t="str">
        <f t="shared" si="11"/>
        <v>"C:\Program Files (x86)\AstroGrep\AstroGrep.exe" /spath="%USERPROFILE%\AppData\Local\Temp\OnboardLogs" /stypes="app*4039*20161026*" /stext=" 12:.+((SYSTEM_STATE.+slice.+state.+changed )|(ment ac)|(system.+state.+changed )|(\[timeout)|(PRM\|1\|D)|(kpr)|(kdp)|(\|lc)|(penalty))" /e /r /s</v>
      </c>
      <c r="AG26" s="1" t="str">
        <f t="shared" si="12"/>
        <v>EC</v>
      </c>
      <c r="AH26" s="92" t="str">
        <f t="shared" si="19"/>
        <v>"%USERPROFILE%\Documents\GitHub\eaglep3\Utilities\RefineRTDCRunTimes.py" --tripid 114-26 --locoid 4039 --swversion DE.1.0.8.0 --startMP 204:18784 --initTime 2016-10-26T06:48:43 --startdatetime 2016-10-26T06:50:00 --delay 1 --endMP 204:17515 --enddatetime 2016-10-26T06:51:17 --enforcementcount 0 &gt;&gt;C:\Users\stu\Documents\GitHub\eaglep3-reporting\EC\2016-10-26-refined-times.txt</v>
      </c>
      <c r="AI26" s="122" t="str">
        <f t="shared" si="20"/>
        <v>echo {"issue":{"subject":"Time source timed out on Onboard","project_id":79,"tracker_id":40,"status_id":1,"priority_id":2,"assigned_to_id":23,"start_date":"2016-10-26","description":"Starting at 06:45:56, started getting failures to decode HMACs from CP BRIGHT, EC0206RH, and DU0031WCPM2 (712803800201). Were there any time sync errors at those 3 locations at this time?","custom_fields":[{"id":1,"name":"Subdivision","value":"EC"},{"id":4,"name":"Milepost","value":"1.7515"},{"id":17,"name":"Train ID","value":"114-26"},{"id":16,"name":"Locomotive ID","value":"4039"},{"id":130,"name":"Impact","value":"Unexpected Cut-Out or Disengaged"},{"id":150,"name":"Time of Event (Mountain Time)","value":"06:51:17"},{"id":151,"name":"Denver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3" t="s">
        <v>787</v>
      </c>
      <c r="AK26" s="53" t="s">
        <v>131</v>
      </c>
      <c r="AL26" s="53" t="s">
        <v>130</v>
      </c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459</v>
      </c>
      <c r="B27" s="7">
        <v>4039</v>
      </c>
      <c r="C27" s="22" t="s">
        <v>378</v>
      </c>
      <c r="D27" s="22" t="s">
        <v>264</v>
      </c>
      <c r="E27" s="13">
        <v>42669.249513888892</v>
      </c>
      <c r="F27" s="13">
        <v>42669.2503125</v>
      </c>
      <c r="G27" s="7">
        <v>1</v>
      </c>
      <c r="H27" s="13" t="s">
        <v>645</v>
      </c>
      <c r="I27" s="13">
        <v>42669.282766203702</v>
      </c>
      <c r="J27" s="7">
        <v>0</v>
      </c>
      <c r="K27" s="112" t="str">
        <f t="shared" si="0"/>
        <v>4039/4040</v>
      </c>
      <c r="L27" s="22" t="str">
        <f>VLOOKUP(A27,'Trips&amp;Operators'!$C$1:$E$10000,3,FALSE)</f>
        <v>MAELZER</v>
      </c>
      <c r="M27" s="6">
        <f t="shared" si="1"/>
        <v>3.2453703701321501E-2</v>
      </c>
      <c r="N27" s="7"/>
      <c r="O27" s="7"/>
      <c r="P27" s="7"/>
      <c r="Q27" s="23"/>
      <c r="R27" s="23"/>
      <c r="S27" s="35"/>
      <c r="T27" s="50" t="str">
        <f t="shared" si="3"/>
        <v>Southbound</v>
      </c>
      <c r="U27" s="18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04:59:18-0600',mode:absolute,to:'2016-10-26 07:47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7" s="52" t="str">
        <f t="shared" si="5"/>
        <v>Y</v>
      </c>
      <c r="X27" s="186">
        <f t="shared" si="23"/>
        <v>0</v>
      </c>
      <c r="Y27" s="67">
        <f t="shared" si="6"/>
        <v>23.298999999999999</v>
      </c>
      <c r="Z27" s="67">
        <f t="shared" si="7"/>
        <v>2.1002000000000001</v>
      </c>
      <c r="AA27" s="67">
        <f t="shared" si="8"/>
        <v>21.198799999999999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9"/>
        <v>0114-26</v>
      </c>
      <c r="AE27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27" s="88" t="str">
        <f t="shared" si="11"/>
        <v>"C:\Program Files (x86)\AstroGrep\AstroGrep.exe" /spath="%USERPROFILE%\AppData\Local\Temp\OnboardLogs" /stypes="app*4039*20161026*" /stext=" 12:.+((SYSTEM_STATE.+slice.+state.+changed )|(ment ac)|(system.+state.+changed )|(\[timeout)|(PRM\|1\|D)|(kpr)|(kdp)|(\|lc)|(penalty))" /e /r /s</v>
      </c>
      <c r="AG27" s="1" t="str">
        <f t="shared" si="12"/>
        <v>EC</v>
      </c>
      <c r="AH27" s="92" t="str">
        <f t="shared" si="19"/>
        <v>"%USERPROFILE%\Documents\GitHub\eaglep3\Utilities\RefineRTDCRunTimes.py" --tripid 114-26 --locoid 4039 --swversion DE.1.0.8.0 --startMP 204:232990 --initTime 2016-10-26T05:59:18 --startdatetime 2016-10-26T06:00:27 --delay 1 --endMP 204:21002 --enddatetime 2016-10-26T06:47:11 --enforcementcount 0 &gt;&gt;C:\Users\stu\Documents\GitHub\eaglep3-reporting\EC\2016-10-26-refined-times.txt</v>
      </c>
      <c r="AI2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{"issue":{"subject":"","project_id":79,"tracker_id":40,"status_id":1,"priority_id":2,"assigned_to_id":23,"start_date":"2016-10-26","description":"","custom_fields":[{"id":1,"name":"Subdivision","value":"EC"},{"id":4,"name":"Milepost","value":"2.1002"},{"id":17,"name":"Train ID","value":"114-26"},{"id":16,"name":"Locomotive ID","value":"4039"},{"id":130,"name":"Impact","value":""},{"id":150,"name":"Time of Event (Mountain Time)","value":"06:47:11"},{"id":151,"name":"Denver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406</v>
      </c>
      <c r="B28" s="7">
        <v>4016</v>
      </c>
      <c r="C28" s="22" t="s">
        <v>378</v>
      </c>
      <c r="D28" s="22" t="s">
        <v>646</v>
      </c>
      <c r="E28" s="13">
        <v>42669.239618055559</v>
      </c>
      <c r="F28" s="13">
        <v>42669.240416666667</v>
      </c>
      <c r="G28" s="7">
        <v>1</v>
      </c>
      <c r="H28" s="13" t="s">
        <v>371</v>
      </c>
      <c r="I28" s="13">
        <v>42669.256261574075</v>
      </c>
      <c r="J28" s="7">
        <v>0</v>
      </c>
      <c r="K28" s="112" t="str">
        <f t="shared" si="0"/>
        <v>4015/4016</v>
      </c>
      <c r="L28" s="22" t="str">
        <f>VLOOKUP(A28,'Trips&amp;Operators'!$C$1:$E$10000,3,FALSE)</f>
        <v>NELSON</v>
      </c>
      <c r="M28" s="6">
        <f t="shared" si="1"/>
        <v>1.5844907407881692E-2</v>
      </c>
      <c r="N28" s="7"/>
      <c r="O28" s="7"/>
      <c r="P28" s="7">
        <f>24*60*SUM($M28:$M29)</f>
        <v>35.433333328692243</v>
      </c>
      <c r="Q28" s="23"/>
      <c r="R28" s="23" t="s">
        <v>786</v>
      </c>
      <c r="S28" s="35">
        <f>SUM(U28:U29)/IF(AG28="EC",12,1)</f>
        <v>0.75</v>
      </c>
      <c r="T28" s="50" t="str">
        <f t="shared" si="3"/>
        <v>NorthBound</v>
      </c>
      <c r="U28" s="18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3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04:45:03-0600',mode:absolute,to:'2016-10-26 07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8" s="52" t="str">
        <f t="shared" si="5"/>
        <v>Y</v>
      </c>
      <c r="X28" s="186">
        <f t="shared" ref="X28:X36" si="24">VALUE(LEFT(AD28,4))-VALUE(LEFT(AD27,4))</f>
        <v>1</v>
      </c>
      <c r="Y28" s="67">
        <f t="shared" si="6"/>
        <v>6.4867999999999997</v>
      </c>
      <c r="Z28" s="67">
        <f t="shared" si="7"/>
        <v>23.331399999999999</v>
      </c>
      <c r="AA28" s="67">
        <f t="shared" si="8"/>
        <v>16.8446</v>
      </c>
      <c r="AB28" s="64" t="str">
        <f>VLOOKUP(A28,Enforcements!$C$7:$K$21,8,0)</f>
        <v>Track device (7)</v>
      </c>
      <c r="AC28" s="60" t="str">
        <f>VLOOKUP(A28,Enforcements!$C$7:$E$21,3,0)</f>
        <v>SWITCH UNKNOWN</v>
      </c>
      <c r="AD28" s="61" t="str">
        <f t="shared" si="9"/>
        <v>0115-26</v>
      </c>
      <c r="AE28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28" s="88" t="str">
        <f t="shared" si="11"/>
        <v>"C:\Program Files (x86)\AstroGrep\AstroGrep.exe" /spath="%USERPROFILE%\AppData\Local\Temp\OnboardLogs" /stypes="app*4016*20161026*" /stext=" 12:.+((SYSTEM_STATE.+slice.+state.+changed )|(ment ac)|(system.+state.+changed )|(\[timeout)|(PRM\|1\|D)|(kpr)|(kdp)|(\|lc)|(penalty))" /e /r /s</v>
      </c>
      <c r="AG28" s="1" t="str">
        <f t="shared" si="12"/>
        <v>EC</v>
      </c>
      <c r="AH28" s="92" t="str">
        <f t="shared" si="19"/>
        <v>"%USERPROFILE%\Documents\GitHub\eaglep3\Utilities\RefineRTDCRunTimes.py" --tripid 115-26 --locoid 4016 --swversion DE.1.0.8.0 --startMP 204:64868 --initTime 2016-10-26T05:45:03 --startdatetime 2016-10-26T05:46:12 --delay 1 --endMP 204:233314 --enddatetime 2016-10-26T06:09:01 --enforcementcount 0 &gt;&gt;C:\Users\stu\Documents\GitHub\eaglep3-reporting\EC\2016-10-26-refined-times.txt</v>
      </c>
      <c r="AI28" s="122" t="str">
        <f t="shared" si="20"/>
        <v>echo {"issue":{"subject":"Wi-MAX outage","project_id":79,"tracker_id":40,"status_id":1,"priority_id":2,"assigned_to_id":23,"start_date":"2016-10-26","description":"http://stevetu21.github.io/eaglep3/load_kml.html?kml=http://rtdc.gmaps-snips.s3.amazonaws.com/fc3ce0f4-631f-4645-a941-c261328e80fe.kml","custom_fields":[{"id":1,"name":"Subdivision","value":"EC"},{"id":4,"name":"Milepost","value":"23.3314"},{"id":17,"name":"Train ID","value":"115-26"},{"id":16,"name":"Locomotive ID","value":"4016"},{"id":130,"name":"Impact","value":"Enforcement"},{"id":150,"name":"Time of Event (Mountain Time)","value":"06:09:01"},{"id":151,"name":"Denver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8" s="173" t="s">
        <v>788</v>
      </c>
      <c r="AK28" s="53" t="s">
        <v>125</v>
      </c>
      <c r="AL28" s="53" t="s">
        <v>138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406</v>
      </c>
      <c r="B29" s="7">
        <v>4016</v>
      </c>
      <c r="C29" s="22" t="s">
        <v>378</v>
      </c>
      <c r="D29" s="22" t="s">
        <v>318</v>
      </c>
      <c r="E29" s="13">
        <v>42669.225393518522</v>
      </c>
      <c r="F29" s="13">
        <v>42669.229305555556</v>
      </c>
      <c r="G29" s="7">
        <v>5</v>
      </c>
      <c r="H29" s="13" t="s">
        <v>647</v>
      </c>
      <c r="I29" s="13">
        <v>42669.238067129627</v>
      </c>
      <c r="J29" s="7">
        <v>1</v>
      </c>
      <c r="K29" s="112" t="str">
        <f t="shared" si="0"/>
        <v>4015/4016</v>
      </c>
      <c r="L29" s="22" t="str">
        <f>VLOOKUP(A29,'Trips&amp;Operators'!$C$1:$E$10000,3,FALSE)</f>
        <v>NELSON</v>
      </c>
      <c r="M29" s="6">
        <f t="shared" si="1"/>
        <v>8.7615740703768097E-3</v>
      </c>
      <c r="N29" s="7"/>
      <c r="O29" s="7"/>
      <c r="P29" s="7"/>
      <c r="Q29" s="23"/>
      <c r="R29" s="23"/>
      <c r="S29" s="35"/>
      <c r="T29" s="50" t="str">
        <f t="shared" si="3"/>
        <v>NorthBound</v>
      </c>
      <c r="U29" s="18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6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04:24:34-0600',mode:absolute,to:'2016-10-26 06:42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9" s="52" t="str">
        <f t="shared" si="5"/>
        <v>Y</v>
      </c>
      <c r="X29" s="186">
        <f t="shared" si="24"/>
        <v>0</v>
      </c>
      <c r="Y29" s="67">
        <f t="shared" si="6"/>
        <v>7.5700000000000003E-2</v>
      </c>
      <c r="Z29" s="67">
        <f t="shared" si="7"/>
        <v>5.7698</v>
      </c>
      <c r="AA29" s="67">
        <f t="shared" si="8"/>
        <v>5.6940999999999997</v>
      </c>
      <c r="AB29" s="64" t="str">
        <f>VLOOKUP(A29,Enforcements!$C$7:$K$21,8,0)</f>
        <v>Track device (7)</v>
      </c>
      <c r="AC29" s="60" t="str">
        <f>VLOOKUP(A29,Enforcements!$C$7:$E$21,3,0)</f>
        <v>SWITCH UNKNOWN</v>
      </c>
      <c r="AD29" s="61" t="str">
        <f t="shared" si="9"/>
        <v>0115-26</v>
      </c>
      <c r="AE29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29" s="88" t="str">
        <f t="shared" si="11"/>
        <v>"C:\Program Files (x86)\AstroGrep\AstroGrep.exe" /spath="%USERPROFILE%\AppData\Local\Temp\OnboardLogs" /stypes="app*4016*20161026*" /stext=" 11:.+((SYSTEM_STATE.+slice.+state.+changed )|(ment ac)|(system.+state.+changed )|(\[timeout)|(PRM\|1\|D)|(kpr)|(kdp)|(\|lc)|(penalty))" /e /r /s</v>
      </c>
      <c r="AG29" s="1" t="str">
        <f t="shared" si="12"/>
        <v>EC</v>
      </c>
      <c r="AH29" s="92" t="str">
        <f t="shared" si="19"/>
        <v>"%USERPROFILE%\Documents\GitHub\eaglep3\Utilities\RefineRTDCRunTimes.py" --tripid 115-26 --locoid 4016 --swversion DE.1.0.8.0 --startMP 204:757 --initTime 2016-10-26T05:24:34 --startdatetime 2016-10-26T05:30:12 --delay 5 --endMP 204:57698 --enddatetime 2016-10-26T05:42:49 --enforcementcount 1 &gt;&gt;C:\Users\stu\Documents\GitHub\eaglep3-reporting\EC\2016-10-26-refined-times.txt</v>
      </c>
      <c r="AI2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{"issue":{"subject":"","project_id":79,"tracker_id":40,"status_id":1,"priority_id":2,"assigned_to_id":23,"start_date":"2016-10-26","description":"","custom_fields":[{"id":1,"name":"Subdivision","value":"EC"},{"id":4,"name":"Milepost","value":"5.7698"},{"id":17,"name":"Train ID","value":"115-26"},{"id":16,"name":"Locomotive ID","value":"4016"},{"id":130,"name":"Impact","value":""},{"id":150,"name":"Time of Event (Mountain Time)","value":"05:42:49"},{"id":151,"name":"Denver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463</v>
      </c>
      <c r="B30" s="7">
        <v>4015</v>
      </c>
      <c r="C30" s="22" t="s">
        <v>378</v>
      </c>
      <c r="D30" s="22" t="s">
        <v>648</v>
      </c>
      <c r="E30" s="13">
        <v>42669.258252314816</v>
      </c>
      <c r="F30" s="13">
        <v>42669.268263888887</v>
      </c>
      <c r="G30" s="7">
        <v>1</v>
      </c>
      <c r="H30" s="13" t="s">
        <v>221</v>
      </c>
      <c r="I30" s="13">
        <v>42669.296168981484</v>
      </c>
      <c r="J30" s="7">
        <v>0</v>
      </c>
      <c r="K30" s="112" t="str">
        <f t="shared" si="0"/>
        <v>4015/4016</v>
      </c>
      <c r="L30" s="22" t="str">
        <f>VLOOKUP(A30,'Trips&amp;Operators'!$C$1:$E$10000,3,FALSE)</f>
        <v>BRANNON</v>
      </c>
      <c r="M30" s="6">
        <f t="shared" si="1"/>
        <v>2.7905092596483883E-2</v>
      </c>
      <c r="N30" s="7">
        <f t="shared" ref="N30:N71" si="25">24*60*SUM($M30:$M30)</f>
        <v>40.183333338936791</v>
      </c>
      <c r="O30" s="7"/>
      <c r="P30" s="7"/>
      <c r="Q30" s="23"/>
      <c r="R30" s="23"/>
      <c r="S30" s="35">
        <f t="shared" ref="S30:S93" si="26">SUM(U30:U30)/IF(AG30="EC",12,1)</f>
        <v>1</v>
      </c>
      <c r="T30" s="50" t="str">
        <f t="shared" si="3"/>
        <v>Southbound</v>
      </c>
      <c r="U30" s="18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05:11:53-0600',mode:absolute,to:'2016-10-26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0" s="52" t="str">
        <f t="shared" si="5"/>
        <v>N</v>
      </c>
      <c r="X30" s="186">
        <f t="shared" si="24"/>
        <v>1</v>
      </c>
      <c r="Y30" s="67">
        <f t="shared" si="6"/>
        <v>23.298300000000001</v>
      </c>
      <c r="Z30" s="67">
        <f t="shared" si="7"/>
        <v>1.4999999999999999E-2</v>
      </c>
      <c r="AA30" s="67">
        <f t="shared" si="8"/>
        <v>23.283300000000001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9"/>
        <v>0116-26</v>
      </c>
      <c r="AE30" s="91" t="str">
        <f t="shared" si="10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30" s="88" t="str">
        <f t="shared" si="11"/>
        <v>"C:\Program Files (x86)\AstroGrep\AstroGrep.exe" /spath="%USERPROFILE%\AppData\Local\Temp\OnboardLogs" /stypes="app*4015*20161026*" /stext=" 13:.+((SYSTEM_STATE.+slice.+state.+changed )|(ment ac)|(system.+state.+changed )|(\[timeout)|(PRM\|1\|D)|(kpr)|(kdp)|(\|lc)|(penalty))" /e /r /s</v>
      </c>
      <c r="AG30" s="1" t="str">
        <f t="shared" si="12"/>
        <v>EC</v>
      </c>
      <c r="AH30" s="92" t="str">
        <f t="shared" si="19"/>
        <v>"%USERPROFILE%\Documents\GitHub\eaglep3\Utilities\RefineRTDCRunTimes.py" --tripid 116-26 --locoid 4015 --swversion DE.1.0.8.0 --startMP 204:232983 --initTime 2016-10-26T06:11:53 --startdatetime 2016-10-26T06:26:18 --delay 1 --endMP 204:150 --enddatetime 2016-10-26T07:06:29 --enforcementcount 0 &gt;&gt;C:\Users\stu\Documents\GitHub\eaglep3-reporting\EC\2016-10-26-refined-times.txt</v>
      </c>
      <c r="AI3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{"issue":{"subject":"","project_id":79,"tracker_id":40,"status_id":1,"priority_id":2,"assigned_to_id":23,"start_date":"2016-10-26","description":"","custom_fields":[{"id":1,"name":"Subdivision","value":"EC"},{"id":4,"name":"Milepost","value":"0.015"},{"id":17,"name":"Train ID","value":"116-26"},{"id":16,"name":"Locomotive ID","value":"4015"},{"id":130,"name":"Impact","value":""},{"id":150,"name":"Time of Event (Mountain Time)","value":"07:06:29"},{"id":151,"name":"Denver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456</v>
      </c>
      <c r="B31" s="7">
        <v>4011</v>
      </c>
      <c r="C31" s="22" t="s">
        <v>378</v>
      </c>
      <c r="D31" s="22" t="s">
        <v>228</v>
      </c>
      <c r="E31" s="13">
        <v>42669.23333333333</v>
      </c>
      <c r="F31" s="13">
        <v>42669.239976851852</v>
      </c>
      <c r="G31" s="7">
        <v>1</v>
      </c>
      <c r="H31" s="13" t="s">
        <v>649</v>
      </c>
      <c r="I31" s="13">
        <v>42669.265497685185</v>
      </c>
      <c r="J31" s="7">
        <v>0</v>
      </c>
      <c r="K31" s="112" t="str">
        <f t="shared" si="0"/>
        <v>4011/4012</v>
      </c>
      <c r="L31" s="22" t="str">
        <f>VLOOKUP(A31,'Trips&amp;Operators'!$C$1:$E$10000,3,FALSE)</f>
        <v>ACKERMAN</v>
      </c>
      <c r="M31" s="6">
        <f t="shared" si="1"/>
        <v>2.5520833332848269E-2</v>
      </c>
      <c r="N31" s="7">
        <f t="shared" si="25"/>
        <v>36.749999999301508</v>
      </c>
      <c r="O31" s="7"/>
      <c r="P31" s="7"/>
      <c r="Q31" s="23"/>
      <c r="R31" s="23"/>
      <c r="S31" s="35">
        <f t="shared" si="26"/>
        <v>1</v>
      </c>
      <c r="T31" s="50" t="str">
        <f t="shared" si="3"/>
        <v>NorthBound</v>
      </c>
      <c r="U31" s="18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04:36:00-0600',mode:absolute,to:'2016-10-26 07:22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1" s="52" t="str">
        <f t="shared" si="5"/>
        <v>N</v>
      </c>
      <c r="X31" s="186">
        <f t="shared" si="24"/>
        <v>1</v>
      </c>
      <c r="Y31" s="67">
        <f t="shared" si="6"/>
        <v>4.4600000000000001E-2</v>
      </c>
      <c r="Z31" s="67">
        <f t="shared" si="7"/>
        <v>23.328600000000002</v>
      </c>
      <c r="AA31" s="67">
        <f t="shared" si="8"/>
        <v>23.284000000000002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9"/>
        <v>0117-26</v>
      </c>
      <c r="AE31" s="91" t="str">
        <f t="shared" si="10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31" s="88" t="str">
        <f t="shared" si="11"/>
        <v>"C:\Program Files (x86)\AstroGrep\AstroGrep.exe" /spath="%USERPROFILE%\AppData\Local\Temp\OnboardLogs" /stypes="app*4011*20161026*" /stext=" 12:.+((SYSTEM_STATE.+slice.+state.+changed )|(ment ac)|(system.+state.+changed )|(\[timeout)|(PRM\|1\|D)|(kpr)|(kdp)|(\|lc)|(penalty))" /e /r /s</v>
      </c>
      <c r="AG31" s="1" t="str">
        <f t="shared" si="12"/>
        <v>EC</v>
      </c>
      <c r="AH31" s="92" t="str">
        <f t="shared" si="19"/>
        <v>"%USERPROFILE%\Documents\GitHub\eaglep3\Utilities\RefineRTDCRunTimes.py" --tripid 117-26 --locoid 4011 --swversion DE.1.0.8.0 --startMP 204:446 --initTime 2016-10-26T05:36:00 --startdatetime 2016-10-26T05:45:34 --delay 1 --endMP 204:233286 --enddatetime 2016-10-26T06:22:19 --enforcementcount 0 &gt;&gt;C:\Users\stu\Documents\GitHub\eaglep3-reporting\EC\2016-10-26-refined-times.txt</v>
      </c>
      <c r="AI3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{"issue":{"subject":"","project_id":79,"tracker_id":40,"status_id":1,"priority_id":2,"assigned_to_id":23,"start_date":"2016-10-26","description":"","custom_fields":[{"id":1,"name":"Subdivision","value":"EC"},{"id":4,"name":"Milepost","value":"23.3286"},{"id":17,"name":"Train ID","value":"117-26"},{"id":16,"name":"Locomotive ID","value":"4011"},{"id":130,"name":"Impact","value":""},{"id":150,"name":"Time of Event (Mountain Time)","value":"06:22:19"},{"id":151,"name":"Denver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465</v>
      </c>
      <c r="B32" s="7">
        <v>4012</v>
      </c>
      <c r="C32" s="22" t="s">
        <v>378</v>
      </c>
      <c r="D32" s="22" t="s">
        <v>317</v>
      </c>
      <c r="E32" s="13">
        <v>42669.27175925926</v>
      </c>
      <c r="F32" s="13">
        <v>42669.278773148151</v>
      </c>
      <c r="G32" s="7">
        <v>1</v>
      </c>
      <c r="H32" s="13" t="s">
        <v>321</v>
      </c>
      <c r="I32" s="13">
        <v>42669.308703703704</v>
      </c>
      <c r="J32" s="7">
        <v>0</v>
      </c>
      <c r="K32" s="112" t="str">
        <f t="shared" si="0"/>
        <v>4011/4012</v>
      </c>
      <c r="L32" s="22" t="str">
        <f>VLOOKUP(A32,'Trips&amp;Operators'!$C$1:$E$10000,3,FALSE)</f>
        <v>ACKERMAN</v>
      </c>
      <c r="M32" s="6">
        <f t="shared" si="1"/>
        <v>2.9930555552709848E-2</v>
      </c>
      <c r="N32" s="7">
        <f t="shared" si="25"/>
        <v>43.099999995902181</v>
      </c>
      <c r="O32" s="7"/>
      <c r="P32" s="7"/>
      <c r="Q32" s="23"/>
      <c r="R32" s="23"/>
      <c r="S32" s="35">
        <f t="shared" si="26"/>
        <v>1</v>
      </c>
      <c r="T32" s="50" t="str">
        <f t="shared" si="3"/>
        <v>Southbound</v>
      </c>
      <c r="U32" s="18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05:31:20-0600',mode:absolute,to:'2016-10-26 08:24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2" s="52" t="str">
        <f t="shared" si="5"/>
        <v>N</v>
      </c>
      <c r="X32" s="186">
        <f t="shared" si="24"/>
        <v>1</v>
      </c>
      <c r="Y32" s="67">
        <f t="shared" si="6"/>
        <v>23.296700000000001</v>
      </c>
      <c r="Z32" s="67">
        <f t="shared" si="7"/>
        <v>1.61E-2</v>
      </c>
      <c r="AA32" s="67">
        <f t="shared" si="8"/>
        <v>23.2806</v>
      </c>
      <c r="AB32" s="64" t="e">
        <f>VLOOKUP(A32,Enforcements!$C$7:$K$21,8,0)</f>
        <v>#N/A</v>
      </c>
      <c r="AC32" s="60" t="e">
        <f>VLOOKUP(A32,Enforcements!$C$7:$E$21,3,0)</f>
        <v>#N/A</v>
      </c>
      <c r="AD32" s="61" t="str">
        <f t="shared" si="9"/>
        <v>0118-26</v>
      </c>
      <c r="AE32" s="91" t="str">
        <f t="shared" si="10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32" s="88" t="str">
        <f t="shared" si="11"/>
        <v>"C:\Program Files (x86)\AstroGrep\AstroGrep.exe" /spath="%USERPROFILE%\AppData\Local\Temp\OnboardLogs" /stypes="app*4012*20161026*" /stext=" 13:.+((SYSTEM_STATE.+slice.+state.+changed )|(ment ac)|(system.+state.+changed )|(\[timeout)|(PRM\|1\|D)|(kpr)|(kdp)|(\|lc)|(penalty))" /e /r /s</v>
      </c>
      <c r="AG32" s="1" t="str">
        <f t="shared" si="12"/>
        <v>EC</v>
      </c>
      <c r="AH32" s="92" t="str">
        <f t="shared" si="19"/>
        <v>"%USERPROFILE%\Documents\GitHub\eaglep3\Utilities\RefineRTDCRunTimes.py" --tripid 118-26 --locoid 4012 --swversion DE.1.0.8.0 --startMP 204:232967 --initTime 2016-10-26T06:31:20 --startdatetime 2016-10-26T06:41:26 --delay 1 --endMP 204:161 --enddatetime 2016-10-26T07:24:32 --enforcementcount 0 &gt;&gt;C:\Users\stu\Documents\GitHub\eaglep3-reporting\EC\2016-10-26-refined-times.txt</v>
      </c>
      <c r="AI32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{"issue":{"subject":"","project_id":79,"tracker_id":40,"status_id":1,"priority_id":2,"assigned_to_id":23,"start_date":"2016-10-26","description":"","custom_fields":[{"id":1,"name":"Subdivision","value":"EC"},{"id":4,"name":"Milepost","value":"0.0161"},{"id":17,"name":"Train ID","value":"118-26"},{"id":16,"name":"Locomotive ID","value":"4012"},{"id":130,"name":"Impact","value":""},{"id":150,"name":"Time of Event (Mountain Time)","value":"07:24:32"},{"id":151,"name":"Denver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458</v>
      </c>
      <c r="B33" s="7">
        <v>4031</v>
      </c>
      <c r="C33" s="22" t="s">
        <v>378</v>
      </c>
      <c r="D33" s="22" t="s">
        <v>650</v>
      </c>
      <c r="E33" s="13">
        <v>42669.248310185183</v>
      </c>
      <c r="F33" s="13">
        <v>42669.289131944446</v>
      </c>
      <c r="G33" s="7">
        <v>1</v>
      </c>
      <c r="H33" s="13" t="s">
        <v>257</v>
      </c>
      <c r="I33" s="13">
        <v>42669.320347222223</v>
      </c>
      <c r="J33" s="7">
        <v>0</v>
      </c>
      <c r="K33" s="112" t="str">
        <f t="shared" si="0"/>
        <v>4031/4032</v>
      </c>
      <c r="L33" s="22" t="str">
        <f>VLOOKUP(A33,'Trips&amp;Operators'!$C$1:$E$10000,3,FALSE)</f>
        <v>STRICKLAND</v>
      </c>
      <c r="M33" s="6">
        <f t="shared" si="1"/>
        <v>3.1215277776937E-2</v>
      </c>
      <c r="N33" s="7">
        <f t="shared" si="25"/>
        <v>44.949999998789281</v>
      </c>
      <c r="O33" s="7"/>
      <c r="P33" s="7"/>
      <c r="Q33" s="23"/>
      <c r="R33" s="23"/>
      <c r="S33" s="35">
        <f t="shared" si="26"/>
        <v>1</v>
      </c>
      <c r="T33" s="50" t="str">
        <f t="shared" si="3"/>
        <v>NorthBound</v>
      </c>
      <c r="U33" s="18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04:57:34-0600',mode:absolute,to:'2016-10-26 08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3" s="52" t="str">
        <f t="shared" si="5"/>
        <v>N</v>
      </c>
      <c r="X33" s="186">
        <f t="shared" si="24"/>
        <v>1</v>
      </c>
      <c r="Y33" s="67">
        <f t="shared" si="6"/>
        <v>7.7700000000000005E-2</v>
      </c>
      <c r="Z33" s="67">
        <f t="shared" si="7"/>
        <v>23.330400000000001</v>
      </c>
      <c r="AA33" s="67">
        <f t="shared" si="8"/>
        <v>23.252700000000001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9"/>
        <v>0119-26</v>
      </c>
      <c r="AE33" s="91" t="str">
        <f t="shared" si="10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33" s="88" t="str">
        <f t="shared" si="11"/>
        <v>"C:\Program Files (x86)\AstroGrep\AstroGrep.exe" /spath="%USERPROFILE%\AppData\Local\Temp\OnboardLogs" /stypes="app*4031*20161026*" /stext=" 13:.+((SYSTEM_STATE.+slice.+state.+changed )|(ment ac)|(system.+state.+changed )|(\[timeout)|(PRM\|1\|D)|(kpr)|(kdp)|(\|lc)|(penalty))" /e /r /s</v>
      </c>
      <c r="AG33" s="1" t="str">
        <f t="shared" si="12"/>
        <v>EC</v>
      </c>
      <c r="AH33" s="92" t="str">
        <f t="shared" si="19"/>
        <v>"%USERPROFILE%\Documents\GitHub\eaglep3\Utilities\RefineRTDCRunTimes.py" --tripid 119-26 --locoid 4031 --swversion DE.1.0.8.0 --startMP 204:777 --initTime 2016-10-26T05:57:34 --startdatetime 2016-10-26T06:56:21 --delay 1 --endMP 204:233304 --enddatetime 2016-10-26T07:41:18 --enforcementcount 0 &gt;&gt;C:\Users\stu\Documents\GitHub\eaglep3-reporting\EC\2016-10-26-refined-times.txt</v>
      </c>
      <c r="AI33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{"issue":{"subject":"","project_id":79,"tracker_id":40,"status_id":1,"priority_id":2,"assigned_to_id":23,"start_date":"2016-10-26","description":"","custom_fields":[{"id":1,"name":"Subdivision","value":"EC"},{"id":4,"name":"Milepost","value":"23.3304"},{"id":17,"name":"Train ID","value":"119-26"},{"id":16,"name":"Locomotive ID","value":"4031"},{"id":130,"name":"Impact","value":""},{"id":150,"name":"Time of Event (Mountain Time)","value":"07:41:18"},{"id":151,"name":"Denver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410</v>
      </c>
      <c r="B34" s="7">
        <v>4032</v>
      </c>
      <c r="C34" s="22" t="s">
        <v>378</v>
      </c>
      <c r="D34" s="22" t="s">
        <v>651</v>
      </c>
      <c r="E34" s="13">
        <v>42669.287326388891</v>
      </c>
      <c r="F34" s="13">
        <v>42669.289131944446</v>
      </c>
      <c r="G34" s="7">
        <v>1</v>
      </c>
      <c r="H34" s="13" t="s">
        <v>230</v>
      </c>
      <c r="I34" s="13">
        <v>42669.320347222223</v>
      </c>
      <c r="J34" s="7">
        <v>0</v>
      </c>
      <c r="K34" s="112" t="str">
        <f t="shared" si="0"/>
        <v>4031/4032</v>
      </c>
      <c r="L34" s="22" t="str">
        <f>VLOOKUP(A34,'Trips&amp;Operators'!$C$1:$E$10000,3,FALSE)</f>
        <v>STRICKLAND</v>
      </c>
      <c r="M34" s="6">
        <f t="shared" si="1"/>
        <v>3.1215277776937E-2</v>
      </c>
      <c r="N34" s="7">
        <f t="shared" si="25"/>
        <v>44.949999998789281</v>
      </c>
      <c r="O34" s="7"/>
      <c r="P34" s="7"/>
      <c r="Q34" s="23"/>
      <c r="R34" s="23"/>
      <c r="S34" s="35">
        <f t="shared" si="26"/>
        <v>1</v>
      </c>
      <c r="T34" s="50" t="str">
        <f t="shared" si="3"/>
        <v>Southbound</v>
      </c>
      <c r="U34" s="18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05:53:45-0600',mode:absolute,to:'2016-10-26 08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4" s="52" t="str">
        <f t="shared" si="5"/>
        <v>N</v>
      </c>
      <c r="X34" s="186">
        <f t="shared" si="24"/>
        <v>1</v>
      </c>
      <c r="Y34" s="67">
        <f t="shared" si="6"/>
        <v>23.296399999999998</v>
      </c>
      <c r="Z34" s="67">
        <f t="shared" si="7"/>
        <v>1.6E-2</v>
      </c>
      <c r="AA34" s="67">
        <f t="shared" si="8"/>
        <v>23.2804</v>
      </c>
      <c r="AB34" s="64" t="str">
        <f>VLOOKUP(A34,Enforcements!$C$7:$K$21,8,0)</f>
        <v>Signal based authority (5)</v>
      </c>
      <c r="AC34" s="60" t="str">
        <f>VLOOKUP(A34,Enforcements!$C$7:$E$21,3,0)</f>
        <v>SIGNAL</v>
      </c>
      <c r="AD34" s="61" t="str">
        <f t="shared" si="9"/>
        <v>0120-26</v>
      </c>
      <c r="AE34" s="91" t="str">
        <f t="shared" si="10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34" s="88" t="str">
        <f t="shared" si="11"/>
        <v>"C:\Program Files (x86)\AstroGrep\AstroGrep.exe" /spath="%USERPROFILE%\AppData\Local\Temp\OnboardLogs" /stypes="app*4032*20161026*" /stext=" 13:.+((SYSTEM_STATE.+slice.+state.+changed )|(ment ac)|(system.+state.+changed )|(\[timeout)|(PRM\|1\|D)|(kpr)|(kdp)|(\|lc)|(penalty))" /e /r /s</v>
      </c>
      <c r="AG34" s="1" t="str">
        <f t="shared" si="12"/>
        <v>EC</v>
      </c>
      <c r="AH34" s="92" t="str">
        <f t="shared" si="19"/>
        <v>"%USERPROFILE%\Documents\GitHub\eaglep3\Utilities\RefineRTDCRunTimes.py" --tripid 120-26 --locoid 4032 --swversion DE.1.0.8.0 --startMP 204:232964 --initTime 2016-10-26T06:53:45 --startdatetime 2016-10-26T06:56:21 --delay 1 --endMP 204:160 --enddatetime 2016-10-26T07:41:18 --enforcementcount 0 &gt;&gt;C:\Users\stu\Documents\GitHub\eaglep3-reporting\EC\2016-10-26-refined-times.txt</v>
      </c>
      <c r="AI3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ID","value":"120-26"},{"id":16,"name":"Locomotive ID","value":"4032"},{"id":130,"name":"Impact","value":""},{"id":150,"name":"Time of Event (Mountain Time)","value":"07:41:18"},{"id":151,"name":"Denver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462</v>
      </c>
      <c r="B35" s="7">
        <v>4009</v>
      </c>
      <c r="C35" s="22" t="s">
        <v>378</v>
      </c>
      <c r="D35" s="22" t="s">
        <v>233</v>
      </c>
      <c r="E35" s="13">
        <v>42669.256631944445</v>
      </c>
      <c r="F35" s="13">
        <v>42669.260740740741</v>
      </c>
      <c r="G35" s="7">
        <v>1</v>
      </c>
      <c r="H35" s="13" t="s">
        <v>652</v>
      </c>
      <c r="I35" s="13">
        <v>42669.285127314812</v>
      </c>
      <c r="J35" s="7">
        <v>0</v>
      </c>
      <c r="K35" s="112" t="str">
        <f t="shared" si="0"/>
        <v>4009/4010</v>
      </c>
      <c r="L35" s="22" t="str">
        <f>VLOOKUP(A35,'Trips&amp;Operators'!$C$1:$E$10000,3,FALSE)</f>
        <v>SPECTOR</v>
      </c>
      <c r="M35" s="6">
        <f t="shared" si="1"/>
        <v>2.438657407037681E-2</v>
      </c>
      <c r="N35" s="7">
        <f t="shared" si="25"/>
        <v>35.116666661342606</v>
      </c>
      <c r="O35" s="7"/>
      <c r="P35" s="7"/>
      <c r="Q35" s="23"/>
      <c r="R35" s="23"/>
      <c r="S35" s="35">
        <f t="shared" si="26"/>
        <v>1</v>
      </c>
      <c r="T35" s="50" t="str">
        <f t="shared" si="3"/>
        <v>NorthBound</v>
      </c>
      <c r="U35" s="18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05:09:33-0600',mode:absolute,to:'2016-10-26 07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5" s="52" t="str">
        <f t="shared" si="5"/>
        <v>N</v>
      </c>
      <c r="X35" s="186">
        <f t="shared" si="24"/>
        <v>1</v>
      </c>
      <c r="Y35" s="67">
        <f t="shared" si="6"/>
        <v>4.5100000000000001E-2</v>
      </c>
      <c r="Z35" s="67">
        <f t="shared" si="7"/>
        <v>23.3309</v>
      </c>
      <c r="AA35" s="67">
        <f t="shared" si="8"/>
        <v>23.285799999999998</v>
      </c>
      <c r="AB35" s="64" t="e">
        <f>VLOOKUP(A35,Enforcements!$C$7:$K$21,8,0)</f>
        <v>#N/A</v>
      </c>
      <c r="AC35" s="60" t="e">
        <f>VLOOKUP(A35,Enforcements!$C$7:$E$21,3,0)</f>
        <v>#N/A</v>
      </c>
      <c r="AD35" s="61" t="str">
        <f t="shared" si="9"/>
        <v>0121-26</v>
      </c>
      <c r="AE35" s="91" t="str">
        <f t="shared" si="10"/>
        <v>aws s3 cp s3://rtdc.mdm.uploadarchive.raw/RTDC4009/ "%USERPROFILE%\AppData\Local\Temp\OnboardLogs"\RTDC4009\2016-10-26 --exclude "*" --recursive --include "*20161026*" &amp; "%USERPROFILE%\Documents\GitHub\mrs-test-scripts\Headless Mode &amp; Sideloading\WalkAndUnGZ.bat" "%USERPROFILE%\AppData\Local\Temp\OnboardLogs"\RTDC4009\2016-10-26 &amp; aws s3 cp s3://rtdc.mdm.uploadarchive.raw/RTDC4009/ "%USERPROFILE%\AppData\Local\Temp\OnboardLogs"\RTDC4009\2016-10-27 --exclude "*" --recursive --include "*20161027*" &amp; "%USERPROFILE%\Documents\GitHub\mrs-test-scripts\Headless Mode &amp; Sideloading\WalkAndUnGZ.bat" "%USERPROFILE%\AppData\Local\Temp\OnboardLogs"\RTDC4009\2016-10-27</v>
      </c>
      <c r="AF35" s="88" t="str">
        <f t="shared" si="11"/>
        <v>"C:\Program Files (x86)\AstroGrep\AstroGrep.exe" /spath="%USERPROFILE%\AppData\Local\Temp\OnboardLogs" /stypes="app*4009*20161026*" /stext=" 12:.+((SYSTEM_STATE.+slice.+state.+changed )|(ment ac)|(system.+state.+changed )|(\[timeout)|(PRM\|1\|D)|(kpr)|(kdp)|(\|lc)|(penalty))" /e /r /s</v>
      </c>
      <c r="AG35" s="1" t="str">
        <f t="shared" si="12"/>
        <v>EC</v>
      </c>
      <c r="AH35" s="92" t="str">
        <f t="shared" si="19"/>
        <v>"%USERPROFILE%\Documents\GitHub\eaglep3\Utilities\RefineRTDCRunTimes.py" --tripid 121-26 --locoid 4009 --swversion DE.1.0.8.0 --startMP 204:451 --initTime 2016-10-26T06:09:33 --startdatetime 2016-10-26T06:15:28 --delay 1 --endMP 204:233309 --enddatetime 2016-10-26T06:50:35 --enforcementcount 0 &gt;&gt;C:\Users\stu\Documents\GitHub\eaglep3-reporting\EC\2016-10-26-refined-times.txt</v>
      </c>
      <c r="AI3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{"issue":{"subject":"","project_id":79,"tracker_id":40,"status_id":1,"priority_id":2,"assigned_to_id":23,"start_date":"2016-10-26","description":"","custom_fields":[{"id":1,"name":"Subdivision","value":"EC"},{"id":4,"name":"Milepost","value":"23.3309"},{"id":17,"name":"Train ID","value":"121-26"},{"id":16,"name":"Locomotive ID","value":"4009"},{"id":130,"name":"Impact","value":""},{"id":150,"name":"Time of Event (Mountain Time)","value":"06:50:35"},{"id":151,"name":"Denver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469</v>
      </c>
      <c r="B36" s="7">
        <v>4010</v>
      </c>
      <c r="C36" s="22" t="s">
        <v>378</v>
      </c>
      <c r="D36" s="22" t="s">
        <v>233</v>
      </c>
      <c r="E36" s="13">
        <v>42669.256631944445</v>
      </c>
      <c r="F36" s="13">
        <v>42669.299479166664</v>
      </c>
      <c r="G36" s="7">
        <v>1</v>
      </c>
      <c r="H36" s="13" t="s">
        <v>652</v>
      </c>
      <c r="I36" s="13">
        <v>42669.327592592592</v>
      </c>
      <c r="J36" s="7">
        <v>0</v>
      </c>
      <c r="K36" s="112" t="str">
        <f t="shared" si="0"/>
        <v>4009/4010</v>
      </c>
      <c r="L36" s="22" t="str">
        <f>VLOOKUP(A36,'Trips&amp;Operators'!$C$1:$E$10000,3,FALSE)</f>
        <v>SPECTOR</v>
      </c>
      <c r="M36" s="6">
        <f t="shared" si="1"/>
        <v>2.8113425927585922E-2</v>
      </c>
      <c r="N36" s="7">
        <f t="shared" si="25"/>
        <v>40.483333335723728</v>
      </c>
      <c r="O36" s="7"/>
      <c r="P36" s="7"/>
      <c r="Q36" s="23"/>
      <c r="R36" s="23"/>
      <c r="S36" s="35">
        <f t="shared" si="26"/>
        <v>1</v>
      </c>
      <c r="T36" s="50" t="str">
        <f t="shared" si="3"/>
        <v>Southbound</v>
      </c>
      <c r="U36" s="18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05:09:33-0600',mode:absolute,to:'2016-10-26 08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6" s="52" t="str">
        <f t="shared" si="5"/>
        <v>N</v>
      </c>
      <c r="X36" s="186">
        <f t="shared" si="24"/>
        <v>1</v>
      </c>
      <c r="Y36" s="67">
        <v>23.296399999999998</v>
      </c>
      <c r="Z36" s="67">
        <v>1.6E-2</v>
      </c>
      <c r="AA36" s="67">
        <f t="shared" si="8"/>
        <v>23.2804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9"/>
        <v>0122-26</v>
      </c>
      <c r="AE36" s="91" t="str">
        <f t="shared" si="10"/>
        <v>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 &amp; 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</v>
      </c>
      <c r="AF36" s="88" t="str">
        <f t="shared" si="11"/>
        <v>"C:\Program Files (x86)\AstroGrep\AstroGrep.exe" /spath="%USERPROFILE%\AppData\Local\Temp\OnboardLogs" /stypes="app*4010*20161026*" /stext=" 13:.+((SYSTEM_STATE.+slice.+state.+changed )|(ment ac)|(system.+state.+changed )|(\[timeout)|(PRM\|1\|D)|(kpr)|(kdp)|(\|lc)|(penalty))" /e /r /s</v>
      </c>
      <c r="AG36" s="1" t="str">
        <f t="shared" si="12"/>
        <v>EC</v>
      </c>
      <c r="AH36" s="92" t="str">
        <f t="shared" ref="AH36" si="27"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"&amp;J36&amp;IF(outputrefinedruntimes," &gt;&gt;"&amp;RefinedRTDCRunTimesOutputFile,"")</f>
        <v>"%USERPROFILE%\Documents\GitHub\eaglep3\Utilities\RefineRTDCRunTimes.py" --tripid 122-26 --locoid 4010 --swversion DE.1.0.8.0 --startMP 204:451 --initTime 2016-10-26T06:09:33 --startdatetime 2016-10-26T07:11:15 --delay 1 --endMP 204:233309 --enddatetime 2016-10-26T07:51:44 --enforcementcount 0 &gt;&gt;C:\Users\stu\Documents\GitHub\eaglep3-reporting\EC\2016-10-26-refined-times.txt</v>
      </c>
      <c r="AI36" s="122" t="str">
        <f t="shared" ref="AI36" si="28"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Z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ID","value":"122-26"},{"id":16,"name":"Locomotive ID","value":"4010"},{"id":130,"name":"Impact","value":""},{"id":150,"name":"Time of Event (Mountain Time)","value":"07:51:44"},{"id":151,"name":"Denver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</row>
    <row r="37" spans="1:91" s="1" customFormat="1" x14ac:dyDescent="0.25">
      <c r="A37" s="37" t="s">
        <v>464</v>
      </c>
      <c r="B37" s="7">
        <v>4002</v>
      </c>
      <c r="C37" s="22" t="s">
        <v>378</v>
      </c>
      <c r="D37" s="22" t="s">
        <v>353</v>
      </c>
      <c r="E37" s="13">
        <v>42669.265659722223</v>
      </c>
      <c r="F37" s="13">
        <v>42669.27103009259</v>
      </c>
      <c r="G37" s="7">
        <v>1</v>
      </c>
      <c r="H37" s="13" t="s">
        <v>278</v>
      </c>
      <c r="I37" s="13">
        <v>42669.299085648148</v>
      </c>
      <c r="J37" s="7">
        <v>0</v>
      </c>
      <c r="K37" s="112" t="str">
        <f t="shared" si="0"/>
        <v>4001/4002</v>
      </c>
      <c r="L37" s="22" t="str">
        <f>VLOOKUP(A37,'Trips&amp;Operators'!$C$1:$E$10000,3,FALSE)</f>
        <v>KILLION</v>
      </c>
      <c r="M37" s="6">
        <f t="shared" si="1"/>
        <v>2.8055555558239575E-2</v>
      </c>
      <c r="N37" s="7">
        <f t="shared" si="25"/>
        <v>40.400000003864989</v>
      </c>
      <c r="O37" s="7"/>
      <c r="P37" s="7"/>
      <c r="Q37" s="23"/>
      <c r="R37" s="23"/>
      <c r="S37" s="35">
        <f t="shared" si="26"/>
        <v>1</v>
      </c>
      <c r="T37" s="50" t="str">
        <f t="shared" si="3"/>
        <v>NorthBound</v>
      </c>
      <c r="U37" s="18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05:22:33-0600',mode:absolute,to:'2016-10-26 08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7" s="52" t="str">
        <f t="shared" si="5"/>
        <v>N</v>
      </c>
      <c r="X37" s="186">
        <f t="shared" ref="X37:X38" si="29">VALUE(LEFT(AD37,4))-VALUE(LEFT(AD36,4))</f>
        <v>1</v>
      </c>
      <c r="Y37" s="67">
        <f t="shared" ref="Y37:Y68" si="30">RIGHT(D37,LEN(D37)-4)/10000</f>
        <v>4.6399999999999997E-2</v>
      </c>
      <c r="Z37" s="67">
        <f t="shared" ref="Z37:Z68" si="31">RIGHT(H37,LEN(H37)-4)/10000</f>
        <v>23.331</v>
      </c>
      <c r="AA37" s="67">
        <f t="shared" si="8"/>
        <v>23.284600000000001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9"/>
        <v>0123-26</v>
      </c>
      <c r="AE37" s="91" t="str">
        <f t="shared" si="10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37" s="88" t="str">
        <f t="shared" si="11"/>
        <v>"C:\Program Files (x86)\AstroGrep\AstroGrep.exe" /spath="%USERPROFILE%\AppData\Local\Temp\OnboardLogs" /stypes="app*4002*20161026*" /stext=" 13:.+((SYSTEM_STATE.+slice.+state.+changed )|(ment ac)|(system.+state.+changed )|(\[timeout)|(PRM\|1\|D)|(kpr)|(kdp)|(\|lc)|(penalty))" /e /r /s</v>
      </c>
      <c r="AG37" s="1" t="str">
        <f t="shared" si="12"/>
        <v>EC</v>
      </c>
      <c r="AH37" s="92" t="str">
        <f t="shared" si="19"/>
        <v>"%USERPROFILE%\Documents\GitHub\eaglep3\Utilities\RefineRTDCRunTimes.py" --tripid 123-26 --locoid 4002 --swversion DE.1.0.8.0 --startMP 204:464 --initTime 2016-10-26T06:22:33 --startdatetime 2016-10-26T06:30:17 --delay 1 --endMP 204:233310 --enddatetime 2016-10-26T07:10:41 --enforcementcount 0 &gt;&gt;C:\Users\stu\Documents\GitHub\eaglep3-reporting\EC\2016-10-26-refined-times.txt</v>
      </c>
      <c r="AI3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{"issue":{"subject":"","project_id":79,"tracker_id":40,"status_id":1,"priority_id":2,"assigned_to_id":23,"start_date":"2016-10-26","description":"","custom_fields":[{"id":1,"name":"Subdivision","value":"EC"},{"id":4,"name":"Milepost","value":"23.331"},{"id":17,"name":"Train ID","value":"123-26"},{"id":16,"name":"Locomotive ID","value":"4002"},{"id":130,"name":"Impact","value":""},{"id":150,"name":"Time of Event (Mountain Time)","value":"07:10:41"},{"id":151,"name":"Denver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471</v>
      </c>
      <c r="B38" s="7">
        <v>4001</v>
      </c>
      <c r="C38" s="22" t="s">
        <v>378</v>
      </c>
      <c r="D38" s="22" t="s">
        <v>276</v>
      </c>
      <c r="E38" s="13">
        <v>42669.304571759261</v>
      </c>
      <c r="F38" s="13">
        <v>42669.309884259259</v>
      </c>
      <c r="G38" s="7">
        <v>1</v>
      </c>
      <c r="H38" s="13" t="s">
        <v>221</v>
      </c>
      <c r="I38" s="13">
        <v>42669.338645833333</v>
      </c>
      <c r="J38" s="7">
        <v>0</v>
      </c>
      <c r="K38" s="112" t="str">
        <f t="shared" si="0"/>
        <v>4001/4002</v>
      </c>
      <c r="L38" s="22" t="str">
        <f>VLOOKUP(A38,'Trips&amp;Operators'!$C$1:$E$10000,3,FALSE)</f>
        <v>KILLION</v>
      </c>
      <c r="M38" s="6">
        <f t="shared" si="1"/>
        <v>2.8761574074451346E-2</v>
      </c>
      <c r="N38" s="7">
        <f t="shared" si="25"/>
        <v>41.416666667209938</v>
      </c>
      <c r="O38" s="7"/>
      <c r="P38" s="7"/>
      <c r="Q38" s="23"/>
      <c r="R38" s="23"/>
      <c r="S38" s="35">
        <f t="shared" si="26"/>
        <v>1</v>
      </c>
      <c r="T38" s="50" t="str">
        <f t="shared" si="3"/>
        <v>Southbound</v>
      </c>
      <c r="U38" s="18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06:18:35-0600',mode:absolute,to:'2016-10-26 09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8" s="52" t="str">
        <f t="shared" si="5"/>
        <v>N</v>
      </c>
      <c r="X38" s="186">
        <f t="shared" si="29"/>
        <v>1</v>
      </c>
      <c r="Y38" s="67">
        <f t="shared" si="30"/>
        <v>23.2989</v>
      </c>
      <c r="Z38" s="67">
        <f t="shared" si="31"/>
        <v>1.4999999999999999E-2</v>
      </c>
      <c r="AA38" s="67">
        <f t="shared" si="8"/>
        <v>23.283899999999999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9"/>
        <v>0124-26</v>
      </c>
      <c r="AE38" s="91" t="str">
        <f t="shared" si="10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38" s="88" t="str">
        <f t="shared" si="11"/>
        <v>"C:\Program Files (x86)\AstroGrep\AstroGrep.exe" /spath="%USERPROFILE%\AppData\Local\Temp\OnboardLogs" /stypes="app*4001*20161026*" /stext=" 14:.+((SYSTEM_STATE.+slice.+state.+changed )|(ment ac)|(system.+state.+changed )|(\[timeout)|(PRM\|1\|D)|(kpr)|(kdp)|(\|lc)|(penalty))" /e /r /s</v>
      </c>
      <c r="AG38" s="1" t="str">
        <f t="shared" si="12"/>
        <v>EC</v>
      </c>
      <c r="AH38" s="92" t="str">
        <f t="shared" si="19"/>
        <v>"%USERPROFILE%\Documents\GitHub\eaglep3\Utilities\RefineRTDCRunTimes.py" --tripid 124-26 --locoid 4001 --swversion DE.1.0.8.0 --startMP 204:232989 --initTime 2016-10-26T07:18:35 --startdatetime 2016-10-26T07:26:14 --delay 1 --endMP 204:150 --enddatetime 2016-10-26T08:07:39 --enforcementcount 0 &gt;&gt;C:\Users\stu\Documents\GitHub\eaglep3-reporting\EC\2016-10-26-refined-times.txt</v>
      </c>
      <c r="AI3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{"issue":{"subject":"","project_id":79,"tracker_id":40,"status_id":1,"priority_id":2,"assigned_to_id":23,"start_date":"2016-10-26","description":"","custom_fields":[{"id":1,"name":"Subdivision","value":"EC"},{"id":4,"name":"Milepost","value":"0.015"},{"id":17,"name":"Train ID","value":"124-26"},{"id":16,"name":"Locomotive ID","value":"4001"},{"id":130,"name":"Impact","value":""},{"id":150,"name":"Time of Event (Mountain Time)","value":"08:07:39"},{"id":151,"name":"Denver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409</v>
      </c>
      <c r="B39" s="7">
        <v>4029</v>
      </c>
      <c r="C39" s="22" t="s">
        <v>378</v>
      </c>
      <c r="D39" s="22" t="s">
        <v>231</v>
      </c>
      <c r="E39" s="13">
        <v>42669.278761574074</v>
      </c>
      <c r="F39" s="13">
        <v>42669.281504629631</v>
      </c>
      <c r="G39" s="7">
        <v>1</v>
      </c>
      <c r="H39" s="13" t="s">
        <v>369</v>
      </c>
      <c r="I39" s="13">
        <v>42669.306203703702</v>
      </c>
      <c r="J39" s="7">
        <v>0</v>
      </c>
      <c r="K39" s="112" t="str">
        <f t="shared" si="0"/>
        <v>4029/4030</v>
      </c>
      <c r="L39" s="22" t="str">
        <f>VLOOKUP(A39,'Trips&amp;Operators'!$C$1:$E$10000,3,FALSE)</f>
        <v>ROCHA</v>
      </c>
      <c r="M39" s="6">
        <f t="shared" si="1"/>
        <v>2.4699074070667848E-2</v>
      </c>
      <c r="N39" s="7">
        <f t="shared" si="25"/>
        <v>35.566666661761701</v>
      </c>
      <c r="O39" s="7"/>
      <c r="P39" s="7"/>
      <c r="Q39" s="23"/>
      <c r="R39" s="23"/>
      <c r="S39" s="35">
        <f t="shared" si="26"/>
        <v>1</v>
      </c>
      <c r="T39" s="50" t="str">
        <f t="shared" si="3"/>
        <v>NorthBound</v>
      </c>
      <c r="U39" s="18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05:41:25-0600',mode:absolute,to:'2016-10-26 08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9" s="52" t="str">
        <f t="shared" si="5"/>
        <v>N</v>
      </c>
      <c r="X39" s="186">
        <f t="shared" ref="X39:X40" si="32">VALUE(LEFT(AD39,4))-VALUE(LEFT(AD38,4))</f>
        <v>1</v>
      </c>
      <c r="Y39" s="67">
        <f t="shared" si="30"/>
        <v>4.5999999999999999E-2</v>
      </c>
      <c r="Z39" s="67">
        <f t="shared" si="31"/>
        <v>23.331600000000002</v>
      </c>
      <c r="AA39" s="67">
        <f t="shared" si="8"/>
        <v>23.285600000000002</v>
      </c>
      <c r="AB39" s="64" t="str">
        <f>VLOOKUP(A39,Enforcements!$C$7:$K$21,8,0)</f>
        <v>Bulletin (2)</v>
      </c>
      <c r="AC39" s="60" t="str">
        <f>VLOOKUP(A39,Enforcements!$C$7:$E$21,3,0)</f>
        <v>GRADE CROSSING</v>
      </c>
      <c r="AD39" s="61" t="str">
        <f t="shared" si="9"/>
        <v>0125-26</v>
      </c>
      <c r="AE39" s="91" t="str">
        <f t="shared" si="10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39" s="88" t="str">
        <f t="shared" si="11"/>
        <v>"C:\Program Files (x86)\AstroGrep\AstroGrep.exe" /spath="%USERPROFILE%\AppData\Local\Temp\OnboardLogs" /stypes="app*4029*20161026*" /stext=" 13:.+((SYSTEM_STATE.+slice.+state.+changed )|(ment ac)|(system.+state.+changed )|(\[timeout)|(PRM\|1\|D)|(kpr)|(kdp)|(\|lc)|(penalty))" /e /r /s</v>
      </c>
      <c r="AG39" s="1" t="str">
        <f t="shared" si="12"/>
        <v>EC</v>
      </c>
      <c r="AH39" s="92" t="str">
        <f t="shared" si="19"/>
        <v>"%USERPROFILE%\Documents\GitHub\eaglep3\Utilities\RefineRTDCRunTimes.py" --tripid 125-26 --locoid 4029 --swversion DE.1.0.8.0 --startMP 204:460 --initTime 2016-10-26T06:41:25 --startdatetime 2016-10-26T06:45:22 --delay 1 --endMP 204:233316 --enddatetime 2016-10-26T07:20:56 --enforcementcount 0 &gt;&gt;C:\Users\stu\Documents\GitHub\eaglep3-reporting\EC\2016-10-26-refined-times.txt</v>
      </c>
      <c r="AI3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{"issue":{"subject":"","project_id":79,"tracker_id":40,"status_id":1,"priority_id":2,"assigned_to_id":23,"start_date":"2016-10-26","description":"","custom_fields":[{"id":1,"name":"Subdivision","value":"EC"},{"id":4,"name":"Milepost","value":"23.3316"},{"id":17,"name":"Train ID","value":"125-26"},{"id":16,"name":"Locomotive ID","value":"4029"},{"id":130,"name":"Impact","value":""},{"id":150,"name":"Time of Event (Mountain Time)","value":"07:20:56"},{"id":151,"name":"Denver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473</v>
      </c>
      <c r="B40" s="7">
        <v>4030</v>
      </c>
      <c r="C40" s="22" t="s">
        <v>378</v>
      </c>
      <c r="D40" s="22" t="s">
        <v>248</v>
      </c>
      <c r="E40" s="13">
        <v>42669.313993055555</v>
      </c>
      <c r="F40" s="13">
        <v>42669.319814814815</v>
      </c>
      <c r="G40" s="7">
        <v>2</v>
      </c>
      <c r="H40" s="13" t="s">
        <v>217</v>
      </c>
      <c r="I40" s="13">
        <v>42669.34684027778</v>
      </c>
      <c r="J40" s="7">
        <v>0</v>
      </c>
      <c r="K40" s="112" t="str">
        <f t="shared" si="0"/>
        <v>4029/4030</v>
      </c>
      <c r="L40" s="22" t="str">
        <f>VLOOKUP(A40,'Trips&amp;Operators'!$C$1:$E$10000,3,FALSE)</f>
        <v>ROCHA</v>
      </c>
      <c r="M40" s="6">
        <f t="shared" si="1"/>
        <v>2.7025462964957114E-2</v>
      </c>
      <c r="N40" s="7">
        <f t="shared" si="25"/>
        <v>38.916666669538245</v>
      </c>
      <c r="O40" s="7"/>
      <c r="P40" s="7"/>
      <c r="Q40" s="23"/>
      <c r="R40" s="23"/>
      <c r="S40" s="35">
        <f t="shared" si="26"/>
        <v>1</v>
      </c>
      <c r="T40" s="50" t="str">
        <f t="shared" si="3"/>
        <v>Southbound</v>
      </c>
      <c r="U40" s="18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06:32:09-0600',mode:absolute,to:'2016-10-26 09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0" s="52" t="str">
        <f t="shared" si="5"/>
        <v>N</v>
      </c>
      <c r="X40" s="186">
        <f t="shared" si="32"/>
        <v>1</v>
      </c>
      <c r="Y40" s="67">
        <f t="shared" si="30"/>
        <v>23.297699999999999</v>
      </c>
      <c r="Z40" s="67">
        <f t="shared" si="31"/>
        <v>1.4500000000000001E-2</v>
      </c>
      <c r="AA40" s="67">
        <f t="shared" si="8"/>
        <v>23.283199999999997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9"/>
        <v>0126-26</v>
      </c>
      <c r="AE40" s="91" t="str">
        <f t="shared" si="10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40" s="88" t="str">
        <f t="shared" si="11"/>
        <v>"C:\Program Files (x86)\AstroGrep\AstroGrep.exe" /spath="%USERPROFILE%\AppData\Local\Temp\OnboardLogs" /stypes="app*4030*20161026*" /stext=" 14:.+((SYSTEM_STATE.+slice.+state.+changed )|(ment ac)|(system.+state.+changed )|(\[timeout)|(PRM\|1\|D)|(kpr)|(kdp)|(\|lc)|(penalty))" /e /r /s</v>
      </c>
      <c r="AG40" s="1" t="str">
        <f t="shared" si="12"/>
        <v>EC</v>
      </c>
      <c r="AH40" s="92" t="str">
        <f t="shared" si="19"/>
        <v>"%USERPROFILE%\Documents\GitHub\eaglep3\Utilities\RefineRTDCRunTimes.py" --tripid 126-26 --locoid 4030 --swversion DE.1.0.8.0 --startMP 204:232977 --initTime 2016-10-26T07:32:09 --startdatetime 2016-10-26T07:40:32 --delay 2 --endMP 204:145 --enddatetime 2016-10-26T08:19:27 --enforcementcount 0 &gt;&gt;C:\Users\stu\Documents\GitHub\eaglep3-reporting\EC\2016-10-26-refined-times.txt</v>
      </c>
      <c r="AI4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{"issue":{"subject":"","project_id":79,"tracker_id":40,"status_id":1,"priority_id":2,"assigned_to_id":23,"start_date":"2016-10-26","description":"","custom_fields":[{"id":1,"name":"Subdivision","value":"EC"},{"id":4,"name":"Milepost","value":"0.0145"},{"id":17,"name":"Train ID","value":"126-26"},{"id":16,"name":"Locomotive ID","value":"4030"},{"id":130,"name":"Impact","value":""},{"id":150,"name":"Time of Event (Mountain Time)","value":"08:19:27"},{"id":151,"name":"Denver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468</v>
      </c>
      <c r="B41" s="7">
        <v>4040</v>
      </c>
      <c r="C41" s="22" t="s">
        <v>378</v>
      </c>
      <c r="D41" s="22" t="s">
        <v>261</v>
      </c>
      <c r="E41" s="13">
        <v>42669.290625000001</v>
      </c>
      <c r="F41" s="13">
        <v>42669.292986111112</v>
      </c>
      <c r="G41" s="7">
        <v>1</v>
      </c>
      <c r="H41" s="13" t="s">
        <v>653</v>
      </c>
      <c r="I41" s="13">
        <v>42669.317743055559</v>
      </c>
      <c r="J41" s="7">
        <v>0</v>
      </c>
      <c r="K41" s="112" t="str">
        <f t="shared" si="0"/>
        <v>4039/4040</v>
      </c>
      <c r="L41" s="22" t="str">
        <f>VLOOKUP(A41,'Trips&amp;Operators'!$C$1:$E$10000,3,FALSE)</f>
        <v>MAELZER</v>
      </c>
      <c r="M41" s="6">
        <f t="shared" si="1"/>
        <v>2.4756944447290152E-2</v>
      </c>
      <c r="N41" s="7">
        <f t="shared" si="25"/>
        <v>35.650000004097819</v>
      </c>
      <c r="O41" s="7"/>
      <c r="P41" s="7"/>
      <c r="Q41" s="23"/>
      <c r="R41" s="23"/>
      <c r="S41" s="35">
        <f t="shared" si="26"/>
        <v>1</v>
      </c>
      <c r="T41" s="50" t="str">
        <f t="shared" si="3"/>
        <v>NorthBound</v>
      </c>
      <c r="U41" s="18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05:58:30-0600',mode:absolute,to:'2016-10-26 08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1" s="52" t="str">
        <f t="shared" si="5"/>
        <v>N</v>
      </c>
      <c r="X41" s="186">
        <f t="shared" ref="X41:X72" si="33">VALUE(LEFT(AD41,4))-VALUE(LEFT(AD40,4))</f>
        <v>1</v>
      </c>
      <c r="Y41" s="67">
        <f t="shared" si="30"/>
        <v>4.4900000000000002E-2</v>
      </c>
      <c r="Z41" s="67">
        <f t="shared" si="31"/>
        <v>23.3306</v>
      </c>
      <c r="AA41" s="67">
        <f t="shared" si="8"/>
        <v>23.285700000000002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9"/>
        <v>0127-26</v>
      </c>
      <c r="AE41" s="91" t="str">
        <f t="shared" si="10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41" s="88" t="str">
        <f t="shared" si="11"/>
        <v>"C:\Program Files (x86)\AstroGrep\AstroGrep.exe" /spath="%USERPROFILE%\AppData\Local\Temp\OnboardLogs" /stypes="app*4040*20161026*" /stext=" 13:.+((SYSTEM_STATE.+slice.+state.+changed )|(ment ac)|(system.+state.+changed )|(\[timeout)|(PRM\|1\|D)|(kpr)|(kdp)|(\|lc)|(penalty))" /e /r /s</v>
      </c>
      <c r="AG41" s="1" t="str">
        <f t="shared" si="12"/>
        <v>EC</v>
      </c>
      <c r="AH41" s="92" t="str">
        <f t="shared" si="19"/>
        <v>"%USERPROFILE%\Documents\GitHub\eaglep3\Utilities\RefineRTDCRunTimes.py" --tripid 127-26 --locoid 4040 --swversion DE.1.0.8.0 --startMP 204:449 --initTime 2016-10-26T06:58:30 --startdatetime 2016-10-26T07:01:54 --delay 1 --endMP 204:233306 --enddatetime 2016-10-26T07:37:33 --enforcementcount 0 &gt;&gt;C:\Users\stu\Documents\GitHub\eaglep3-reporting\EC\2016-10-26-refined-times.txt</v>
      </c>
      <c r="AI4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{"issue":{"subject":"","project_id":79,"tracker_id":40,"status_id":1,"priority_id":2,"assigned_to_id":23,"start_date":"2016-10-26","description":"","custom_fields":[{"id":1,"name":"Subdivision","value":"EC"},{"id":4,"name":"Milepost","value":"23.3306"},{"id":17,"name":"Train ID","value":"127-26"},{"id":16,"name":"Locomotive ID","value":"4040"},{"id":130,"name":"Impact","value":""},{"id":150,"name":"Time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476</v>
      </c>
      <c r="B42" s="7">
        <v>4039</v>
      </c>
      <c r="C42" s="22" t="s">
        <v>378</v>
      </c>
      <c r="D42" s="22" t="s">
        <v>304</v>
      </c>
      <c r="E42" s="13">
        <v>42669.323784722219</v>
      </c>
      <c r="F42" s="13">
        <v>42669.33153935185</v>
      </c>
      <c r="G42" s="7">
        <v>1</v>
      </c>
      <c r="H42" s="13" t="s">
        <v>654</v>
      </c>
      <c r="I42" s="13">
        <v>42669.357858796298</v>
      </c>
      <c r="J42" s="7">
        <v>0</v>
      </c>
      <c r="K42" s="112" t="str">
        <f t="shared" si="0"/>
        <v>4039/4040</v>
      </c>
      <c r="L42" s="22" t="str">
        <f>VLOOKUP(A42,'Trips&amp;Operators'!$C$1:$E$10000,3,FALSE)</f>
        <v>MAELZER</v>
      </c>
      <c r="M42" s="6">
        <f t="shared" si="1"/>
        <v>2.6319444448745344E-2</v>
      </c>
      <c r="N42" s="7">
        <f t="shared" si="25"/>
        <v>37.900000006193295</v>
      </c>
      <c r="O42" s="7"/>
      <c r="P42" s="7"/>
      <c r="Q42" s="23"/>
      <c r="R42" s="23"/>
      <c r="S42" s="35">
        <f t="shared" si="26"/>
        <v>1</v>
      </c>
      <c r="T42" s="50" t="str">
        <f t="shared" si="3"/>
        <v>Southbound</v>
      </c>
      <c r="U42" s="18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06:46:15-0600',mode:absolute,to:'2016-10-26 09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2" s="52" t="str">
        <f t="shared" si="5"/>
        <v>N</v>
      </c>
      <c r="X42" s="186">
        <f t="shared" si="33"/>
        <v>1</v>
      </c>
      <c r="Y42" s="67">
        <f t="shared" si="30"/>
        <v>23.299800000000001</v>
      </c>
      <c r="Z42" s="67">
        <f t="shared" si="31"/>
        <v>1.3899999999999999E-2</v>
      </c>
      <c r="AA42" s="67">
        <f t="shared" si="8"/>
        <v>23.285900000000002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9"/>
        <v>0128-26</v>
      </c>
      <c r="AE42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42" s="88" t="str">
        <f t="shared" si="11"/>
        <v>"C:\Program Files (x86)\AstroGrep\AstroGrep.exe" /spath="%USERPROFILE%\AppData\Local\Temp\OnboardLogs" /stypes="app*4039*20161026*" /stext=" 14:.+((SYSTEM_STATE.+slice.+state.+changed )|(ment ac)|(system.+state.+changed )|(\[timeout)|(PRM\|1\|D)|(kpr)|(kdp)|(\|lc)|(penalty))" /e /r /s</v>
      </c>
      <c r="AG42" s="1" t="str">
        <f t="shared" si="12"/>
        <v>EC</v>
      </c>
      <c r="AH42" s="92" t="str">
        <f t="shared" si="19"/>
        <v>"%USERPROFILE%\Documents\GitHub\eaglep3\Utilities\RefineRTDCRunTimes.py" --tripid 128-26 --locoid 4039 --swversion DE.1.0.8.0 --startMP 204:232998 --initTime 2016-10-26T07:46:15 --startdatetime 2016-10-26T07:57:25 --delay 1 --endMP 204:139 --enddatetime 2016-10-26T08:35:19 --enforcementcount 0 &gt;&gt;C:\Users\stu\Documents\GitHub\eaglep3-reporting\EC\2016-10-26-refined-times.txt</v>
      </c>
      <c r="AI42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{"issue":{"subject":"","project_id":79,"tracker_id":40,"status_id":1,"priority_id":2,"assigned_to_id":23,"start_date":"2016-10-26","description":"","custom_fields":[{"id":1,"name":"Subdivision","value":"EC"},{"id":4,"name":"Milepost","value":"0.0139"},{"id":17,"name":"Train ID","value":"128-26"},{"id":16,"name":"Locomotive ID","value":"4039"},{"id":130,"name":"Impact","value":""},{"id":150,"name":"Time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412</v>
      </c>
      <c r="B43" s="7">
        <v>4016</v>
      </c>
      <c r="C43" s="22" t="s">
        <v>378</v>
      </c>
      <c r="D43" s="22" t="s">
        <v>273</v>
      </c>
      <c r="E43" s="13">
        <v>42669.297766203701</v>
      </c>
      <c r="F43" s="13">
        <v>42669.302407407406</v>
      </c>
      <c r="G43" s="7">
        <v>1</v>
      </c>
      <c r="H43" s="13" t="s">
        <v>655</v>
      </c>
      <c r="I43" s="13">
        <v>42669.3281712963</v>
      </c>
      <c r="J43" s="7">
        <v>0</v>
      </c>
      <c r="K43" s="112" t="str">
        <f t="shared" si="0"/>
        <v>4015/4016</v>
      </c>
      <c r="L43" s="22" t="str">
        <f>VLOOKUP(A43,'Trips&amp;Operators'!$C$1:$E$10000,3,FALSE)</f>
        <v>NELSON</v>
      </c>
      <c r="M43" s="6">
        <f t="shared" si="1"/>
        <v>2.5763888894289266E-2</v>
      </c>
      <c r="N43" s="7">
        <f t="shared" si="25"/>
        <v>37.100000007776543</v>
      </c>
      <c r="O43" s="7"/>
      <c r="P43" s="7"/>
      <c r="Q43" s="23"/>
      <c r="R43" s="23"/>
      <c r="S43" s="35">
        <f t="shared" si="26"/>
        <v>1</v>
      </c>
      <c r="T43" s="50" t="str">
        <f t="shared" si="3"/>
        <v>NorthBound</v>
      </c>
      <c r="U43" s="18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06:08:47-0600',mode:absolute,to:'2016-10-26 08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3" s="52" t="str">
        <f t="shared" si="5"/>
        <v>N</v>
      </c>
      <c r="X43" s="186">
        <f t="shared" si="33"/>
        <v>1</v>
      </c>
      <c r="Y43" s="67">
        <f t="shared" si="30"/>
        <v>4.6199999999999998E-2</v>
      </c>
      <c r="Z43" s="67">
        <f t="shared" si="31"/>
        <v>23.324100000000001</v>
      </c>
      <c r="AA43" s="67">
        <f t="shared" si="8"/>
        <v>23.277900000000002</v>
      </c>
      <c r="AB43" s="64" t="str">
        <f>VLOOKUP(A43,Enforcements!$C$7:$K$21,8,0)</f>
        <v>Speed (6)</v>
      </c>
      <c r="AC43" s="60" t="str">
        <f>VLOOKUP(A43,Enforcements!$C$7:$E$21,3,0)</f>
        <v>PERMANENT SPEED RESTRICTION</v>
      </c>
      <c r="AD43" s="61" t="str">
        <f t="shared" si="9"/>
        <v>0129-26</v>
      </c>
      <c r="AE43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43" s="88" t="str">
        <f t="shared" si="11"/>
        <v>"C:\Program Files (x86)\AstroGrep\AstroGrep.exe" /spath="%USERPROFILE%\AppData\Local\Temp\OnboardLogs" /stypes="app*4016*20161026*" /stext=" 13:.+((SYSTEM_STATE.+slice.+state.+changed )|(ment ac)|(system.+state.+changed )|(\[timeout)|(PRM\|1\|D)|(kpr)|(kdp)|(\|lc)|(penalty))" /e /r /s</v>
      </c>
      <c r="AG43" s="1" t="str">
        <f t="shared" si="12"/>
        <v>EC</v>
      </c>
      <c r="AH43" s="92" t="str">
        <f t="shared" si="19"/>
        <v>"%USERPROFILE%\Documents\GitHub\eaglep3\Utilities\RefineRTDCRunTimes.py" --tripid 129-26 --locoid 4016 --swversion DE.1.0.8.0 --startMP 204:462 --initTime 2016-10-26T07:08:47 --startdatetime 2016-10-26T07:15:28 --delay 1 --endMP 204:233241 --enddatetime 2016-10-26T07:52:34 --enforcementcount 0 &gt;&gt;C:\Users\stu\Documents\GitHub\eaglep3-reporting\EC\2016-10-26-refined-times.txt</v>
      </c>
      <c r="AI43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{"issue":{"subject":"","project_id":79,"tracker_id":40,"status_id":1,"priority_id":2,"assigned_to_id":23,"start_date":"2016-10-26","description":"","custom_fields":[{"id":1,"name":"Subdivision","value":"EC"},{"id":4,"name":"Milepost","value":"23.3241"},{"id":17,"name":"Train ID","value":"129-26"},{"id":16,"name":"Locomotive ID","value":"4016"},{"id":130,"name":"Impact","value":""},{"id":150,"name":"Time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414</v>
      </c>
      <c r="B44" s="7">
        <v>4015</v>
      </c>
      <c r="C44" s="22" t="s">
        <v>378</v>
      </c>
      <c r="D44" s="22" t="s">
        <v>656</v>
      </c>
      <c r="E44" s="13">
        <v>42669.329768518517</v>
      </c>
      <c r="F44" s="13">
        <v>42669.341192129628</v>
      </c>
      <c r="G44" s="7">
        <v>1</v>
      </c>
      <c r="H44" s="13" t="s">
        <v>361</v>
      </c>
      <c r="I44" s="13">
        <v>42669.36886574074</v>
      </c>
      <c r="J44" s="7">
        <v>0</v>
      </c>
      <c r="K44" s="112" t="str">
        <f t="shared" si="0"/>
        <v>4015/4016</v>
      </c>
      <c r="L44" s="22" t="str">
        <f>VLOOKUP(A44,'Trips&amp;Operators'!$C$1:$E$10000,3,FALSE)</f>
        <v>NELSON</v>
      </c>
      <c r="M44" s="6">
        <f t="shared" si="1"/>
        <v>2.7673611111822538E-2</v>
      </c>
      <c r="N44" s="7">
        <f t="shared" si="25"/>
        <v>39.850000001024455</v>
      </c>
      <c r="O44" s="7"/>
      <c r="P44" s="7"/>
      <c r="Q44" s="23"/>
      <c r="R44" s="23"/>
      <c r="S44" s="35">
        <f t="shared" si="26"/>
        <v>1</v>
      </c>
      <c r="T44" s="50" t="str">
        <f t="shared" si="3"/>
        <v>Southbound</v>
      </c>
      <c r="U44" s="18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06:54:52-0600',mode:absolute,to:'2016-10-26 09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4" s="52" t="str">
        <f t="shared" si="5"/>
        <v>N</v>
      </c>
      <c r="X44" s="186">
        <f t="shared" si="33"/>
        <v>1</v>
      </c>
      <c r="Y44" s="67">
        <f t="shared" si="30"/>
        <v>23.292899999999999</v>
      </c>
      <c r="Z44" s="67">
        <f t="shared" si="31"/>
        <v>1.2999999999999999E-2</v>
      </c>
      <c r="AA44" s="67">
        <f t="shared" si="8"/>
        <v>23.279899999999998</v>
      </c>
      <c r="AB44" s="64" t="str">
        <f>VLOOKUP(A44,Enforcements!$C$7:$K$21,8,0)</f>
        <v>Bulletin (2)</v>
      </c>
      <c r="AC44" s="60" t="str">
        <f>VLOOKUP(A44,Enforcements!$C$7:$E$21,3,0)</f>
        <v>GRADE CROSSING</v>
      </c>
      <c r="AD44" s="61" t="str">
        <f t="shared" si="9"/>
        <v>0130-26</v>
      </c>
      <c r="AE44" s="91" t="str">
        <f t="shared" si="10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44" s="88" t="str">
        <f t="shared" si="11"/>
        <v>"C:\Program Files (x86)\AstroGrep\AstroGrep.exe" /spath="%USERPROFILE%\AppData\Local\Temp\OnboardLogs" /stypes="app*4015*20161026*" /stext=" 14:.+((SYSTEM_STATE.+slice.+state.+changed )|(ment ac)|(system.+state.+changed )|(\[timeout)|(PRM\|1\|D)|(kpr)|(kdp)|(\|lc)|(penalty))" /e /r /s</v>
      </c>
      <c r="AG44" s="1" t="str">
        <f t="shared" si="12"/>
        <v>EC</v>
      </c>
      <c r="AH44" s="92" t="str">
        <f t="shared" si="19"/>
        <v>"%USERPROFILE%\Documents\GitHub\eaglep3\Utilities\RefineRTDCRunTimes.py" --tripid 130-26 --locoid 4015 --swversion DE.1.0.8.0 --startMP 204:232929 --initTime 2016-10-26T07:54:52 --startdatetime 2016-10-26T08:11:19 --delay 1 --endMP 204:130 --enddatetime 2016-10-26T08:51:10 --enforcementcount 0 &gt;&gt;C:\Users\stu\Documents\GitHub\eaglep3-reporting\EC\2016-10-26-refined-times.txt</v>
      </c>
      <c r="AI4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{"issue":{"subject":"","project_id":79,"tracker_id":40,"status_id":1,"priority_id":2,"assigned_to_id":23,"start_date":"2016-10-26","description":"","custom_fields":[{"id":1,"name":"Subdivision","value":"EC"},{"id":4,"name":"Milepost","value":"0.013"},{"id":17,"name":"Train ID","value":"130-26"},{"id":16,"name":"Locomotive ID","value":"4015"},{"id":130,"name":"Impact","value":""},{"id":150,"name":"Time of Event (Mountain Time)","value":"08:51:10"},{"id":151,"name":"Denver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472</v>
      </c>
      <c r="B45" s="7">
        <v>4011</v>
      </c>
      <c r="C45" s="22" t="s">
        <v>378</v>
      </c>
      <c r="D45" s="22" t="s">
        <v>273</v>
      </c>
      <c r="E45" s="13">
        <v>42669.310115740744</v>
      </c>
      <c r="F45" s="13">
        <v>42669.312708333331</v>
      </c>
      <c r="G45" s="7">
        <v>1</v>
      </c>
      <c r="H45" s="13" t="s">
        <v>657</v>
      </c>
      <c r="I45" s="13">
        <v>42669.338206018518</v>
      </c>
      <c r="J45" s="7">
        <v>0</v>
      </c>
      <c r="K45" s="112" t="str">
        <f t="shared" si="0"/>
        <v>4011/4012</v>
      </c>
      <c r="L45" s="22" t="str">
        <f>VLOOKUP(A45,'Trips&amp;Operators'!$C$1:$E$10000,3,FALSE)</f>
        <v>ACKERMAN</v>
      </c>
      <c r="M45" s="6">
        <f t="shared" si="1"/>
        <v>2.5497685186564922E-2</v>
      </c>
      <c r="N45" s="7">
        <f t="shared" si="25"/>
        <v>36.716666668653488</v>
      </c>
      <c r="O45" s="7"/>
      <c r="P45" s="7"/>
      <c r="Q45" s="23"/>
      <c r="R45" s="23"/>
      <c r="S45" s="35">
        <f t="shared" si="26"/>
        <v>1</v>
      </c>
      <c r="T45" s="50" t="str">
        <f t="shared" si="3"/>
        <v>NorthBound</v>
      </c>
      <c r="U45" s="18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06:26:34-0600',mode:absolute,to:'2016-10-26 09:07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5" s="52" t="str">
        <f t="shared" si="5"/>
        <v>N</v>
      </c>
      <c r="X45" s="186">
        <f t="shared" si="33"/>
        <v>1</v>
      </c>
      <c r="Y45" s="67">
        <f t="shared" si="30"/>
        <v>4.6199999999999998E-2</v>
      </c>
      <c r="Z45" s="67">
        <f t="shared" si="31"/>
        <v>23.328700000000001</v>
      </c>
      <c r="AA45" s="67">
        <f t="shared" si="8"/>
        <v>23.282500000000002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9"/>
        <v>0131-26</v>
      </c>
      <c r="AE45" s="91" t="str">
        <f t="shared" si="10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45" s="88" t="str">
        <f t="shared" si="11"/>
        <v>"C:\Program Files (x86)\AstroGrep\AstroGrep.exe" /spath="%USERPROFILE%\AppData\Local\Temp\OnboardLogs" /stypes="app*4011*20161026*" /stext=" 14:.+((SYSTEM_STATE.+slice.+state.+changed )|(ment ac)|(system.+state.+changed )|(\[timeout)|(PRM\|1\|D)|(kpr)|(kdp)|(\|lc)|(penalty))" /e /r /s</v>
      </c>
      <c r="AG45" s="1" t="str">
        <f t="shared" si="12"/>
        <v>EC</v>
      </c>
      <c r="AH45" s="92" t="str">
        <f t="shared" si="19"/>
        <v>"%USERPROFILE%\Documents\GitHub\eaglep3\Utilities\RefineRTDCRunTimes.py" --tripid 131-26 --locoid 4011 --swversion DE.1.0.8.0 --startMP 204:462 --initTime 2016-10-26T07:26:34 --startdatetime 2016-10-26T07:30:18 --delay 1 --endMP 204:233287 --enddatetime 2016-10-26T08:07:01 --enforcementcount 0 &gt;&gt;C:\Users\stu\Documents\GitHub\eaglep3-reporting\EC\2016-10-26-refined-times.txt</v>
      </c>
      <c r="AI4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{"issue":{"subject":"","project_id":79,"tracker_id":40,"status_id":1,"priority_id":2,"assigned_to_id":23,"start_date":"2016-10-26","description":"","custom_fields":[{"id":1,"name":"Subdivision","value":"EC"},{"id":4,"name":"Milepost","value":"23.3287"},{"id":17,"name":"Train ID","value":"131-26"},{"id":16,"name":"Locomotive ID","value":"4011"},{"id":130,"name":"Impact","value":""},{"id":150,"name":"Time of Event (Mountain Time)","value":"08:07:01"},{"id":151,"name":"Denver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481</v>
      </c>
      <c r="B46" s="7">
        <v>4012</v>
      </c>
      <c r="C46" s="22" t="s">
        <v>378</v>
      </c>
      <c r="D46" s="22" t="s">
        <v>368</v>
      </c>
      <c r="E46" s="13">
        <v>42669.346296296295</v>
      </c>
      <c r="F46" s="13">
        <v>42669.351631944446</v>
      </c>
      <c r="G46" s="7">
        <v>1</v>
      </c>
      <c r="H46" s="13" t="s">
        <v>217</v>
      </c>
      <c r="I46" s="13">
        <v>42669.378564814811</v>
      </c>
      <c r="J46" s="7">
        <v>0</v>
      </c>
      <c r="K46" s="112" t="str">
        <f t="shared" si="0"/>
        <v>4011/4012</v>
      </c>
      <c r="L46" s="22" t="str">
        <f>VLOOKUP(A46,'Trips&amp;Operators'!$C$1:$E$10000,3,FALSE)</f>
        <v>ACKERMAN</v>
      </c>
      <c r="M46" s="6">
        <f t="shared" si="1"/>
        <v>2.693287036527181E-2</v>
      </c>
      <c r="N46" s="7">
        <f t="shared" si="25"/>
        <v>38.783333325991407</v>
      </c>
      <c r="O46" s="7"/>
      <c r="P46" s="7"/>
      <c r="Q46" s="23"/>
      <c r="R46" s="23"/>
      <c r="S46" s="35">
        <f t="shared" si="26"/>
        <v>1</v>
      </c>
      <c r="T46" s="50" t="str">
        <f t="shared" si="3"/>
        <v>Southbound</v>
      </c>
      <c r="U46" s="18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07:18:40-0600',mode:absolute,to:'2016-10-26 10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6" s="52" t="str">
        <f t="shared" si="5"/>
        <v>N</v>
      </c>
      <c r="X46" s="186">
        <f t="shared" si="33"/>
        <v>1</v>
      </c>
      <c r="Y46" s="67">
        <f t="shared" si="30"/>
        <v>23.297599999999999</v>
      </c>
      <c r="Z46" s="67">
        <f t="shared" si="31"/>
        <v>1.4500000000000001E-2</v>
      </c>
      <c r="AA46" s="67">
        <f t="shared" si="8"/>
        <v>23.283099999999997</v>
      </c>
      <c r="AB46" s="64" t="e">
        <f>VLOOKUP(A46,Enforcements!$C$7:$K$21,8,0)</f>
        <v>#N/A</v>
      </c>
      <c r="AC46" s="60" t="e">
        <f>VLOOKUP(A46,Enforcements!$C$7:$E$21,3,0)</f>
        <v>#N/A</v>
      </c>
      <c r="AD46" s="61" t="str">
        <f t="shared" si="9"/>
        <v>0132-26</v>
      </c>
      <c r="AE46" s="91" t="str">
        <f t="shared" si="10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46" s="88" t="str">
        <f t="shared" si="11"/>
        <v>"C:\Program Files (x86)\AstroGrep\AstroGrep.exe" /spath="%USERPROFILE%\AppData\Local\Temp\OnboardLogs" /stypes="app*4012*20161026*" /stext=" 15:.+((SYSTEM_STATE.+slice.+state.+changed )|(ment ac)|(system.+state.+changed )|(\[timeout)|(PRM\|1\|D)|(kpr)|(kdp)|(\|lc)|(penalty))" /e /r /s</v>
      </c>
      <c r="AG46" s="1" t="str">
        <f t="shared" si="12"/>
        <v>EC</v>
      </c>
      <c r="AH46" s="92" t="str">
        <f t="shared" si="19"/>
        <v>"%USERPROFILE%\Documents\GitHub\eaglep3\Utilities\RefineRTDCRunTimes.py" --tripid 132-26 --locoid 4012 --swversion DE.1.0.8.0 --startMP 204:232976 --initTime 2016-10-26T08:18:40 --startdatetime 2016-10-26T08:26:21 --delay 1 --endMP 204:145 --enddatetime 2016-10-26T09:05:08 --enforcementcount 0 &gt;&gt;C:\Users\stu\Documents\GitHub\eaglep3-reporting\EC\2016-10-26-refined-times.txt</v>
      </c>
      <c r="AI46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{"issue":{"subject":"","project_id":79,"tracker_id":40,"status_id":1,"priority_id":2,"assigned_to_id":23,"start_date":"2016-10-26","description":"","custom_fields":[{"id":1,"name":"Subdivision","value":"EC"},{"id":4,"name":"Milepost","value":"0.0145"},{"id":17,"name":"Train ID","value":"132-26"},{"id":16,"name":"Locomotive ID","value":"4012"},{"id":130,"name":"Impact","value":""},{"id":150,"name":"Time of Event (Mountain Time)","value":"09:05:08"},{"id":151,"name":"Denver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475</v>
      </c>
      <c r="B47" s="7">
        <v>4031</v>
      </c>
      <c r="C47" s="22" t="s">
        <v>378</v>
      </c>
      <c r="D47" s="22" t="s">
        <v>296</v>
      </c>
      <c r="E47" s="13">
        <v>42669.321504629632</v>
      </c>
      <c r="F47" s="13">
        <v>42669.323159722226</v>
      </c>
      <c r="G47" s="7">
        <v>1</v>
      </c>
      <c r="H47" s="13" t="s">
        <v>290</v>
      </c>
      <c r="I47" s="13">
        <v>42669.349456018521</v>
      </c>
      <c r="J47" s="7">
        <v>0</v>
      </c>
      <c r="K47" s="112" t="str">
        <f t="shared" si="0"/>
        <v>4031/4032</v>
      </c>
      <c r="L47" s="22" t="str">
        <f>VLOOKUP(A47,'Trips&amp;Operators'!$C$1:$E$10000,3,FALSE)</f>
        <v>STRICKLAND</v>
      </c>
      <c r="M47" s="6">
        <f t="shared" si="1"/>
        <v>2.6296296295186039E-2</v>
      </c>
      <c r="N47" s="7">
        <f t="shared" si="25"/>
        <v>37.866666665067896</v>
      </c>
      <c r="O47" s="7"/>
      <c r="P47" s="7"/>
      <c r="Q47" s="23"/>
      <c r="R47" s="23"/>
      <c r="S47" s="35">
        <f t="shared" si="26"/>
        <v>1</v>
      </c>
      <c r="T47" s="50" t="str">
        <f t="shared" si="3"/>
        <v>NorthBound</v>
      </c>
      <c r="U47" s="18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06:42:58-0600',mode:absolute,to:'2016-10-26 09:23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7" s="52" t="str">
        <f t="shared" si="5"/>
        <v>N</v>
      </c>
      <c r="X47" s="186">
        <f t="shared" si="33"/>
        <v>1</v>
      </c>
      <c r="Y47" s="67">
        <f t="shared" si="30"/>
        <v>4.5699999999999998E-2</v>
      </c>
      <c r="Z47" s="67">
        <f t="shared" si="31"/>
        <v>23.3307</v>
      </c>
      <c r="AA47" s="67">
        <f t="shared" si="8"/>
        <v>23.285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9"/>
        <v>0133-26</v>
      </c>
      <c r="AE47" s="91" t="str">
        <f t="shared" si="10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47" s="88" t="str">
        <f t="shared" si="11"/>
        <v>"C:\Program Files (x86)\AstroGrep\AstroGrep.exe" /spath="%USERPROFILE%\AppData\Local\Temp\OnboardLogs" /stypes="app*4031*20161026*" /stext=" 14:.+((SYSTEM_STATE.+slice.+state.+changed )|(ment ac)|(system.+state.+changed )|(\[timeout)|(PRM\|1\|D)|(kpr)|(kdp)|(\|lc)|(penalty))" /e /r /s</v>
      </c>
      <c r="AG47" s="1" t="str">
        <f t="shared" si="12"/>
        <v>EC</v>
      </c>
      <c r="AH47" s="92" t="str">
        <f t="shared" si="19"/>
        <v>"%USERPROFILE%\Documents\GitHub\eaglep3\Utilities\RefineRTDCRunTimes.py" --tripid 133-26 --locoid 4031 --swversion DE.1.0.8.0 --startMP 204:457 --initTime 2016-10-26T07:42:58 --startdatetime 2016-10-26T07:45:21 --delay 1 --endMP 204:233307 --enddatetime 2016-10-26T08:23:13 --enforcementcount 0 &gt;&gt;C:\Users\stu\Documents\GitHub\eaglep3-reporting\EC\2016-10-26-refined-times.txt</v>
      </c>
      <c r="AI4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{"issue":{"subject":"","project_id":79,"tracker_id":40,"status_id":1,"priority_id":2,"assigned_to_id":23,"start_date":"2016-10-26","description":"","custom_fields":[{"id":1,"name":"Subdivision","value":"EC"},{"id":4,"name":"Milepost","value":"23.3307"},{"id":17,"name":"Train ID","value":"133-26"},{"id":16,"name":"Locomotive ID","value":"4031"},{"id":130,"name":"Impact","value":""},{"id":150,"name":"Time of Event (Mountain Time)","value":"08:23:13"},{"id":151,"name":"Denver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415</v>
      </c>
      <c r="B48" s="7">
        <v>4032</v>
      </c>
      <c r="C48" s="22" t="s">
        <v>378</v>
      </c>
      <c r="D48" s="22" t="s">
        <v>262</v>
      </c>
      <c r="E48" s="13">
        <v>42669.356504629628</v>
      </c>
      <c r="F48" s="13">
        <v>42669.362013888887</v>
      </c>
      <c r="G48" s="7">
        <v>1</v>
      </c>
      <c r="H48" s="13" t="s">
        <v>230</v>
      </c>
      <c r="I48" s="13">
        <v>42669.389374999999</v>
      </c>
      <c r="J48" s="7">
        <v>0</v>
      </c>
      <c r="K48" s="112" t="str">
        <f t="shared" si="0"/>
        <v>4031/4032</v>
      </c>
      <c r="L48" s="22" t="str">
        <f>VLOOKUP(A48,'Trips&amp;Operators'!$C$1:$E$10000,3,FALSE)</f>
        <v>STRICKLAND</v>
      </c>
      <c r="M48" s="6">
        <f t="shared" si="1"/>
        <v>2.73611111115315E-2</v>
      </c>
      <c r="N48" s="7">
        <f t="shared" si="25"/>
        <v>39.40000000060536</v>
      </c>
      <c r="O48" s="7"/>
      <c r="P48" s="7"/>
      <c r="Q48" s="23"/>
      <c r="R48" s="23"/>
      <c r="S48" s="35">
        <f t="shared" si="26"/>
        <v>1</v>
      </c>
      <c r="T48" s="50" t="str">
        <f t="shared" si="3"/>
        <v>Southbound</v>
      </c>
      <c r="U48" s="18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07:33:22-0600',mode:absolute,to:'2016-10-26 10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8" s="52" t="str">
        <f t="shared" si="5"/>
        <v>N</v>
      </c>
      <c r="X48" s="186">
        <f t="shared" si="33"/>
        <v>1</v>
      </c>
      <c r="Y48" s="67">
        <f t="shared" si="30"/>
        <v>23.2986</v>
      </c>
      <c r="Z48" s="67">
        <f t="shared" si="31"/>
        <v>1.6E-2</v>
      </c>
      <c r="AA48" s="67">
        <f t="shared" si="8"/>
        <v>23.282600000000002</v>
      </c>
      <c r="AB48" s="64" t="str">
        <f>VLOOKUP(A48,Enforcements!$C$7:$K$21,8,0)</f>
        <v>Speed (6)</v>
      </c>
      <c r="AC48" s="60" t="str">
        <f>VLOOKUP(A48,Enforcements!$C$7:$E$21,3,0)</f>
        <v>PERMANENT SPEED RESTRICTION</v>
      </c>
      <c r="AD48" s="61" t="str">
        <f t="shared" si="9"/>
        <v>0134-26</v>
      </c>
      <c r="AE48" s="91" t="str">
        <f t="shared" si="10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48" s="88" t="str">
        <f t="shared" si="11"/>
        <v>"C:\Program Files (x86)\AstroGrep\AstroGrep.exe" /spath="%USERPROFILE%\AppData\Local\Temp\OnboardLogs" /stypes="app*4032*20161026*" /stext=" 15:.+((SYSTEM_STATE.+slice.+state.+changed )|(ment ac)|(system.+state.+changed )|(\[timeout)|(PRM\|1\|D)|(kpr)|(kdp)|(\|lc)|(penalty))" /e /r /s</v>
      </c>
      <c r="AG48" s="1" t="str">
        <f t="shared" si="12"/>
        <v>EC</v>
      </c>
      <c r="AH48" s="92" t="str">
        <f t="shared" si="19"/>
        <v>"%USERPROFILE%\Documents\GitHub\eaglep3\Utilities\RefineRTDCRunTimes.py" --tripid 134-26 --locoid 4032 --swversion DE.1.0.8.0 --startMP 204:232986 --initTime 2016-10-26T08:33:22 --startdatetime 2016-10-26T08:41:18 --delay 1 --endMP 204:160 --enddatetime 2016-10-26T09:20:42 --enforcementcount 0 &gt;&gt;C:\Users\stu\Documents\GitHub\eaglep3-reporting\EC\2016-10-26-refined-times.txt</v>
      </c>
      <c r="AI4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ID","value":"134-26"},{"id":16,"name":"Locomotive ID","value":"4032"},{"id":130,"name":"Impact","value":""},{"id":150,"name":"Time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477</v>
      </c>
      <c r="B49" s="7">
        <v>4046</v>
      </c>
      <c r="C49" s="22" t="s">
        <v>378</v>
      </c>
      <c r="D49" s="22" t="s">
        <v>307</v>
      </c>
      <c r="E49" s="13">
        <v>42669.328506944446</v>
      </c>
      <c r="F49" s="13">
        <v>42669.333518518521</v>
      </c>
      <c r="G49" s="7">
        <v>1</v>
      </c>
      <c r="H49" s="13" t="s">
        <v>325</v>
      </c>
      <c r="I49" s="13">
        <v>42669.358935185184</v>
      </c>
      <c r="J49" s="7">
        <v>0</v>
      </c>
      <c r="K49" s="112" t="str">
        <f t="shared" si="0"/>
        <v>4045/4046</v>
      </c>
      <c r="L49" s="22" t="str">
        <f>VLOOKUP(A49,'Trips&amp;Operators'!$C$1:$E$10000,3,FALSE)</f>
        <v>SPECTOR</v>
      </c>
      <c r="M49" s="6">
        <f t="shared" si="1"/>
        <v>2.5416666663659271E-2</v>
      </c>
      <c r="N49" s="7">
        <f t="shared" si="25"/>
        <v>36.59999999566935</v>
      </c>
      <c r="O49" s="7"/>
      <c r="P49" s="7"/>
      <c r="Q49" s="23"/>
      <c r="R49" s="23"/>
      <c r="S49" s="35">
        <f t="shared" si="26"/>
        <v>1</v>
      </c>
      <c r="T49" s="50" t="str">
        <f t="shared" si="3"/>
        <v>NorthBound</v>
      </c>
      <c r="U49" s="18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06:53:03-0600',mode:absolute,to:'2016-10-26 09:36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9" s="52" t="str">
        <f t="shared" si="5"/>
        <v>N</v>
      </c>
      <c r="X49" s="186">
        <f t="shared" si="33"/>
        <v>1</v>
      </c>
      <c r="Y49" s="67">
        <f t="shared" si="30"/>
        <v>4.7500000000000001E-2</v>
      </c>
      <c r="Z49" s="67">
        <f t="shared" si="31"/>
        <v>23.331700000000001</v>
      </c>
      <c r="AA49" s="67">
        <f t="shared" si="8"/>
        <v>23.284200000000002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9"/>
        <v>0135-26</v>
      </c>
      <c r="AE49" s="91" t="str">
        <f t="shared" si="10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49" s="88" t="str">
        <f t="shared" si="11"/>
        <v>"C:\Program Files (x86)\AstroGrep\AstroGrep.exe" /spath="%USERPROFILE%\AppData\Local\Temp\OnboardLogs" /stypes="app*4046*20161026*" /stext=" 14:.+((SYSTEM_STATE.+slice.+state.+changed )|(ment ac)|(system.+state.+changed )|(\[timeout)|(PRM\|1\|D)|(kpr)|(kdp)|(\|lc)|(penalty))" /e /r /s</v>
      </c>
      <c r="AG49" s="1" t="str">
        <f t="shared" si="12"/>
        <v>EC</v>
      </c>
      <c r="AH49" s="92" t="str">
        <f t="shared" si="19"/>
        <v>"%USERPROFILE%\Documents\GitHub\eaglep3\Utilities\RefineRTDCRunTimes.py" --tripid 135-26 --locoid 4046 --swversion DE.1.0.8.0 --startMP 204:475 --initTime 2016-10-26T07:53:03 --startdatetime 2016-10-26T08:00:16 --delay 1 --endMP 204:233317 --enddatetime 2016-10-26T08:36:52 --enforcementcount 0 &gt;&gt;C:\Users\stu\Documents\GitHub\eaglep3-reporting\EC\2016-10-26-refined-times.txt</v>
      </c>
      <c r="AI4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{"issue":{"subject":"","project_id":79,"tracker_id":40,"status_id":1,"priority_id":2,"assigned_to_id":23,"start_date":"2016-10-26","description":"","custom_fields":[{"id":1,"name":"Subdivision","value":"EC"},{"id":4,"name":"Milepost","value":"23.3317"},{"id":17,"name":"Train ID","value":"135-26"},{"id":16,"name":"Locomotive ID","value":"4046"},{"id":130,"name":"Impact","value":""},{"id":150,"name":"Time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486</v>
      </c>
      <c r="B50" s="7">
        <v>4045</v>
      </c>
      <c r="C50" s="22" t="s">
        <v>378</v>
      </c>
      <c r="D50" s="22" t="s">
        <v>658</v>
      </c>
      <c r="E50" s="13">
        <v>42669.36996527778</v>
      </c>
      <c r="F50" s="13">
        <v>42669.372384259259</v>
      </c>
      <c r="G50" s="7">
        <v>3</v>
      </c>
      <c r="H50" s="13" t="s">
        <v>218</v>
      </c>
      <c r="I50" s="13">
        <v>42669.398321759261</v>
      </c>
      <c r="J50" s="7">
        <v>0</v>
      </c>
      <c r="K50" s="112" t="str">
        <f t="shared" si="0"/>
        <v>4045/4046</v>
      </c>
      <c r="L50" s="22" t="str">
        <f>VLOOKUP(A50,'Trips&amp;Operators'!$C$1:$E$10000,3,FALSE)</f>
        <v>SPECTOR</v>
      </c>
      <c r="M50" s="6">
        <f t="shared" si="1"/>
        <v>2.5937500002328306E-2</v>
      </c>
      <c r="N50" s="7">
        <f t="shared" si="25"/>
        <v>37.350000003352761</v>
      </c>
      <c r="O50" s="7"/>
      <c r="P50" s="7"/>
      <c r="Q50" s="23"/>
      <c r="R50" s="23"/>
      <c r="S50" s="35">
        <f t="shared" si="26"/>
        <v>1</v>
      </c>
      <c r="T50" s="50" t="str">
        <f t="shared" si="3"/>
        <v>Southbound</v>
      </c>
      <c r="U50" s="18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07:52:45-0600',mode:absolute,to:'2016-10-26 10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0" s="52" t="str">
        <f t="shared" si="5"/>
        <v>N</v>
      </c>
      <c r="X50" s="186">
        <f t="shared" si="33"/>
        <v>1</v>
      </c>
      <c r="Y50" s="67">
        <f t="shared" si="30"/>
        <v>23.300599999999999</v>
      </c>
      <c r="Z50" s="67">
        <f t="shared" si="31"/>
        <v>1.49E-2</v>
      </c>
      <c r="AA50" s="67">
        <f t="shared" si="8"/>
        <v>23.285699999999999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9"/>
        <v>0136-26</v>
      </c>
      <c r="AE50" s="91" t="str">
        <f t="shared" si="10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50" s="88" t="str">
        <f t="shared" si="11"/>
        <v>"C:\Program Files (x86)\AstroGrep\AstroGrep.exe" /spath="%USERPROFILE%\AppData\Local\Temp\OnboardLogs" /stypes="app*4045*20161026*" /stext=" 15:.+((SYSTEM_STATE.+slice.+state.+changed )|(ment ac)|(system.+state.+changed )|(\[timeout)|(PRM\|1\|D)|(kpr)|(kdp)|(\|lc)|(penalty))" /e /r /s</v>
      </c>
      <c r="AG50" s="1" t="str">
        <f t="shared" si="12"/>
        <v>EC</v>
      </c>
      <c r="AH50" s="92" t="str">
        <f t="shared" si="19"/>
        <v>"%USERPROFILE%\Documents\GitHub\eaglep3\Utilities\RefineRTDCRunTimes.py" --tripid 136-26 --locoid 4045 --swversion DE.1.0.8.0 --startMP 204:233006 --initTime 2016-10-26T08:52:45 --startdatetime 2016-10-26T08:56:14 --delay 3 --endMP 204:149 --enddatetime 2016-10-26T09:33:35 --enforcementcount 0 &gt;&gt;C:\Users\stu\Documents\GitHub\eaglep3-reporting\EC\2016-10-26-refined-times.txt</v>
      </c>
      <c r="AI5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ID","value":"136-26"},{"id":16,"name":"Locomotive ID","value":"4045"},{"id":130,"name":"Impact","value":""},{"id":150,"name":"Time of Event (Mountain Time)","value":"09:33:35"},{"id":151,"name":"Denver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480</v>
      </c>
      <c r="B51" s="7">
        <v>4002</v>
      </c>
      <c r="C51" s="22" t="s">
        <v>378</v>
      </c>
      <c r="D51" s="22" t="s">
        <v>231</v>
      </c>
      <c r="E51" s="13">
        <v>42669.339861111112</v>
      </c>
      <c r="F51" s="13">
        <v>42669.344236111108</v>
      </c>
      <c r="G51" s="7">
        <v>1</v>
      </c>
      <c r="H51" s="13" t="s">
        <v>194</v>
      </c>
      <c r="I51" s="13">
        <v>42669.368761574071</v>
      </c>
      <c r="J51" s="7">
        <v>0</v>
      </c>
      <c r="K51" s="112" t="str">
        <f t="shared" si="0"/>
        <v>4001/4002</v>
      </c>
      <c r="L51" s="22" t="str">
        <f>VLOOKUP(A51,'Trips&amp;Operators'!$C$1:$E$10000,3,FALSE)</f>
        <v>KILLION</v>
      </c>
      <c r="M51" s="6">
        <f t="shared" si="1"/>
        <v>2.4525462962628808E-2</v>
      </c>
      <c r="N51" s="7">
        <f t="shared" si="25"/>
        <v>35.316666666185483</v>
      </c>
      <c r="O51" s="7"/>
      <c r="P51" s="7"/>
      <c r="Q51" s="23"/>
      <c r="R51" s="23"/>
      <c r="S51" s="35">
        <f t="shared" si="26"/>
        <v>1</v>
      </c>
      <c r="T51" s="50" t="str">
        <f t="shared" si="3"/>
        <v>NorthBound</v>
      </c>
      <c r="U51" s="18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07:09:24-0600',mode:absolute,to:'2016-10-26 09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1" s="52" t="str">
        <f t="shared" si="5"/>
        <v>N</v>
      </c>
      <c r="X51" s="186">
        <f t="shared" si="33"/>
        <v>1</v>
      </c>
      <c r="Y51" s="67">
        <f t="shared" si="30"/>
        <v>4.5999999999999999E-2</v>
      </c>
      <c r="Z51" s="67">
        <f t="shared" si="31"/>
        <v>23.329699999999999</v>
      </c>
      <c r="AA51" s="67">
        <f t="shared" si="8"/>
        <v>23.2837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9"/>
        <v>0137-26</v>
      </c>
      <c r="AE51" s="91" t="str">
        <f t="shared" si="10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51" s="88" t="str">
        <f t="shared" si="11"/>
        <v>"C:\Program Files (x86)\AstroGrep\AstroGrep.exe" /spath="%USERPROFILE%\AppData\Local\Temp\OnboardLogs" /stypes="app*4002*20161026*" /stext=" 14:.+((SYSTEM_STATE.+slice.+state.+changed )|(ment ac)|(system.+state.+changed )|(\[timeout)|(PRM\|1\|D)|(kpr)|(kdp)|(\|lc)|(penalty))" /e /r /s</v>
      </c>
      <c r="AG51" s="1" t="str">
        <f t="shared" si="12"/>
        <v>EC</v>
      </c>
      <c r="AH51" s="92" t="str">
        <f t="shared" si="19"/>
        <v>"%USERPROFILE%\Documents\GitHub\eaglep3\Utilities\RefineRTDCRunTimes.py" --tripid 137-26 --locoid 4002 --swversion DE.1.0.8.0 --startMP 204:460 --initTime 2016-10-26T08:09:24 --startdatetime 2016-10-26T08:15:42 --delay 1 --endMP 204:233297 --enddatetime 2016-10-26T08:51:01 --enforcementcount 0 &gt;&gt;C:\Users\stu\Documents\GitHub\eaglep3-reporting\EC\2016-10-26-refined-times.txt</v>
      </c>
      <c r="AI5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{"issue":{"subject":"","project_id":79,"tracker_id":40,"status_id":1,"priority_id":2,"assigned_to_id":23,"start_date":"2016-10-26","description":"","custom_fields":[{"id":1,"name":"Subdivision","value":"EC"},{"id":4,"name":"Milepost","value":"23.3297"},{"id":17,"name":"Train ID","value":"137-26"},{"id":16,"name":"Locomotive ID","value":"4002"},{"id":130,"name":"Impact","value":""},{"id":150,"name":"Time of Event (Mountain Time)","value":"08:51:01"},{"id":151,"name":"Denver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29" customFormat="1" x14ac:dyDescent="0.25">
      <c r="A52" s="37" t="s">
        <v>489</v>
      </c>
      <c r="B52" s="7">
        <v>4001</v>
      </c>
      <c r="C52" s="22" t="s">
        <v>378</v>
      </c>
      <c r="D52" s="22" t="s">
        <v>641</v>
      </c>
      <c r="E52" s="13">
        <v>42669.378113425926</v>
      </c>
      <c r="F52" s="13">
        <v>42669.382824074077</v>
      </c>
      <c r="G52" s="7">
        <v>1</v>
      </c>
      <c r="H52" s="13" t="s">
        <v>181</v>
      </c>
      <c r="I52" s="13">
        <v>42669.409155092595</v>
      </c>
      <c r="J52" s="7">
        <v>0</v>
      </c>
      <c r="K52" s="112" t="str">
        <f t="shared" si="0"/>
        <v>4001/4002</v>
      </c>
      <c r="L52" s="22" t="str">
        <f>VLOOKUP(A52,'Trips&amp;Operators'!$C$1:$E$10000,3,FALSE)</f>
        <v>KILLION</v>
      </c>
      <c r="M52" s="6">
        <f t="shared" si="1"/>
        <v>2.6331018518249039E-2</v>
      </c>
      <c r="N52" s="7">
        <f t="shared" si="25"/>
        <v>37.916666666278616</v>
      </c>
      <c r="O52" s="7"/>
      <c r="P52" s="7"/>
      <c r="Q52" s="23"/>
      <c r="R52" s="23"/>
      <c r="S52" s="35">
        <f t="shared" si="26"/>
        <v>1</v>
      </c>
      <c r="T52" s="50" t="str">
        <f t="shared" si="3"/>
        <v>Southbound</v>
      </c>
      <c r="U52" s="18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08:04:29-0600',mode:absolute,to:'2016-10-26 10:49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2" s="52" t="str">
        <f t="shared" si="5"/>
        <v>N</v>
      </c>
      <c r="X52" s="186">
        <f t="shared" si="33"/>
        <v>1</v>
      </c>
      <c r="Y52" s="67">
        <f t="shared" si="30"/>
        <v>23.2973</v>
      </c>
      <c r="Z52" s="67">
        <f t="shared" si="31"/>
        <v>1.41E-2</v>
      </c>
      <c r="AA52" s="67">
        <f t="shared" si="8"/>
        <v>23.283200000000001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9"/>
        <v>0138-26</v>
      </c>
      <c r="AE52" s="91" t="str">
        <f t="shared" si="10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52" s="88" t="str">
        <f t="shared" si="11"/>
        <v>"C:\Program Files (x86)\AstroGrep\AstroGrep.exe" /spath="%USERPROFILE%\AppData\Local\Temp\OnboardLogs" /stypes="app*4001*20161026*" /stext=" 15:.+((SYSTEM_STATE.+slice.+state.+changed )|(ment ac)|(system.+state.+changed )|(\[timeout)|(PRM\|1\|D)|(kpr)|(kdp)|(\|lc)|(penalty))" /e /r /s</v>
      </c>
      <c r="AG52" s="1" t="str">
        <f t="shared" si="12"/>
        <v>EC</v>
      </c>
      <c r="AH52" s="92" t="str">
        <f t="shared" si="19"/>
        <v>"%USERPROFILE%\Documents\GitHub\eaglep3\Utilities\RefineRTDCRunTimes.py" --tripid 138-26 --locoid 4001 --swversion DE.1.0.8.0 --startMP 204:232973 --initTime 2016-10-26T09:04:29 --startdatetime 2016-10-26T09:11:16 --delay 1 --endMP 204:141 --enddatetime 2016-10-26T09:49:11 --enforcementcount 0 &gt;&gt;C:\Users\stu\Documents\GitHub\eaglep3-reporting\EC\2016-10-26-refined-times.txt</v>
      </c>
      <c r="AI52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{"issue":{"subject":"","project_id":79,"tracker_id":40,"status_id":1,"priority_id":2,"assigned_to_id":23,"start_date":"2016-10-26","description":"","custom_fields":[{"id":1,"name":"Subdivision","value":"EC"},{"id":4,"name":"Milepost","value":"0.0141"},{"id":17,"name":"Train ID","value":"138-26"},{"id":16,"name":"Locomotive ID","value":"4001"},{"id":130,"name":"Impact","value":""},{"id":150,"name":"Time of Event (Mountain Time)","value":"09:49:11"},{"id":151,"name":"Denver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7" t="s">
        <v>482</v>
      </c>
      <c r="B53" s="7">
        <v>4029</v>
      </c>
      <c r="C53" s="22" t="s">
        <v>378</v>
      </c>
      <c r="D53" s="22" t="s">
        <v>232</v>
      </c>
      <c r="E53" s="13">
        <v>42669.34883101852</v>
      </c>
      <c r="F53" s="13">
        <v>42669.354699074072</v>
      </c>
      <c r="G53" s="7">
        <v>1</v>
      </c>
      <c r="H53" s="13" t="s">
        <v>227</v>
      </c>
      <c r="I53" s="13">
        <v>42669.379803240743</v>
      </c>
      <c r="J53" s="7">
        <v>0</v>
      </c>
      <c r="K53" s="112" t="str">
        <f t="shared" si="0"/>
        <v>4029/4030</v>
      </c>
      <c r="L53" s="22" t="str">
        <f>VLOOKUP(A53,'Trips&amp;Operators'!$C$1:$E$10000,3,FALSE)</f>
        <v>ROCHA</v>
      </c>
      <c r="M53" s="6">
        <f t="shared" si="1"/>
        <v>2.510416667064419E-2</v>
      </c>
      <c r="N53" s="7">
        <f t="shared" si="25"/>
        <v>36.150000005727634</v>
      </c>
      <c r="O53" s="7"/>
      <c r="P53" s="7"/>
      <c r="Q53" s="23"/>
      <c r="R53" s="23"/>
      <c r="S53" s="35">
        <f t="shared" si="26"/>
        <v>1</v>
      </c>
      <c r="T53" s="50" t="str">
        <f t="shared" si="3"/>
        <v>NorthBound</v>
      </c>
      <c r="U53" s="18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07:22:19-0600',mode:absolute,to:'2016-10-26 10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3" s="52" t="str">
        <f t="shared" si="5"/>
        <v>N</v>
      </c>
      <c r="X53" s="186">
        <f t="shared" si="33"/>
        <v>1</v>
      </c>
      <c r="Y53" s="67">
        <f t="shared" si="30"/>
        <v>4.6899999999999997E-2</v>
      </c>
      <c r="Z53" s="67">
        <f t="shared" si="31"/>
        <v>23.329499999999999</v>
      </c>
      <c r="AA53" s="67">
        <f t="shared" si="8"/>
        <v>23.282599999999999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9"/>
        <v>0139-26</v>
      </c>
      <c r="AE53" s="91" t="str">
        <f t="shared" si="10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53" s="88" t="str">
        <f t="shared" si="11"/>
        <v>"C:\Program Files (x86)\AstroGrep\AstroGrep.exe" /spath="%USERPROFILE%\AppData\Local\Temp\OnboardLogs" /stypes="app*4029*20161026*" /stext=" 15:.+((SYSTEM_STATE.+slice.+state.+changed )|(ment ac)|(system.+state.+changed )|(\[timeout)|(PRM\|1\|D)|(kpr)|(kdp)|(\|lc)|(penalty))" /e /r /s</v>
      </c>
      <c r="AG53" s="1" t="str">
        <f t="shared" si="12"/>
        <v>EC</v>
      </c>
      <c r="AH53" s="92" t="str">
        <f t="shared" si="19"/>
        <v>"%USERPROFILE%\Documents\GitHub\eaglep3\Utilities\RefineRTDCRunTimes.py" --tripid 139-26 --locoid 4029 --swversion DE.1.0.8.0 --startMP 204:469 --initTime 2016-10-26T08:22:19 --startdatetime 2016-10-26T08:30:46 --delay 1 --endMP 204:233295 --enddatetime 2016-10-26T09:06:55 --enforcementcount 0 &gt;&gt;C:\Users\stu\Documents\GitHub\eaglep3-reporting\EC\2016-10-26-refined-times.txt</v>
      </c>
      <c r="AI53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{"issue":{"subject":"","project_id":79,"tracker_id":40,"status_id":1,"priority_id":2,"assigned_to_id":23,"start_date":"2016-10-26","description":"","custom_fields":[{"id":1,"name":"Subdivision","value":"EC"},{"id":4,"name":"Milepost","value":"23.3295"},{"id":17,"name":"Train ID","value":"139-26"},{"id":16,"name":"Locomotive ID","value":"4029"},{"id":130,"name":"Impact","value":""},{"id":150,"name":"Time of Event (Mountain Time)","value":"09:06:55"},{"id":151,"name":"Denver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491</v>
      </c>
      <c r="B54" s="7">
        <v>4030</v>
      </c>
      <c r="C54" s="22" t="s">
        <v>378</v>
      </c>
      <c r="D54" s="22" t="s">
        <v>249</v>
      </c>
      <c r="E54" s="13">
        <v>42669.389560185184</v>
      </c>
      <c r="F54" s="13">
        <v>42669.39398148148</v>
      </c>
      <c r="G54" s="7">
        <v>1</v>
      </c>
      <c r="H54" s="13" t="s">
        <v>298</v>
      </c>
      <c r="I54" s="13">
        <v>42669.418923611112</v>
      </c>
      <c r="J54" s="7">
        <v>0</v>
      </c>
      <c r="K54" s="112" t="str">
        <f t="shared" si="0"/>
        <v>4029/4030</v>
      </c>
      <c r="L54" s="22" t="str">
        <f>VLOOKUP(A54,'Trips&amp;Operators'!$C$1:$E$10000,3,FALSE)</f>
        <v>ROCHA</v>
      </c>
      <c r="M54" s="6">
        <f t="shared" si="1"/>
        <v>2.4942129632108845E-2</v>
      </c>
      <c r="N54" s="7">
        <f t="shared" si="25"/>
        <v>35.916666670236737</v>
      </c>
      <c r="O54" s="7"/>
      <c r="P54" s="7"/>
      <c r="Q54" s="23"/>
      <c r="R54" s="23"/>
      <c r="S54" s="35">
        <f t="shared" si="26"/>
        <v>1</v>
      </c>
      <c r="T54" s="50" t="str">
        <f t="shared" si="3"/>
        <v>Southbound</v>
      </c>
      <c r="U54" s="18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08:20:58-0600',mode:absolute,to:'2016-10-26 11:03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4" s="52" t="str">
        <f t="shared" si="5"/>
        <v>N</v>
      </c>
      <c r="X54" s="186">
        <f t="shared" si="33"/>
        <v>1</v>
      </c>
      <c r="Y54" s="67">
        <f t="shared" si="30"/>
        <v>23.299399999999999</v>
      </c>
      <c r="Z54" s="67">
        <f t="shared" si="31"/>
        <v>1.67E-2</v>
      </c>
      <c r="AA54" s="67">
        <f t="shared" si="8"/>
        <v>23.282699999999998</v>
      </c>
      <c r="AB54" s="64" t="e">
        <f>VLOOKUP(A54,Enforcements!$C$7:$K$21,8,0)</f>
        <v>#N/A</v>
      </c>
      <c r="AC54" s="60" t="e">
        <f>VLOOKUP(A54,Enforcements!$C$7:$E$21,3,0)</f>
        <v>#N/A</v>
      </c>
      <c r="AD54" s="61" t="str">
        <f t="shared" si="9"/>
        <v>0140-26</v>
      </c>
      <c r="AE54" s="91" t="str">
        <f t="shared" si="10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54" s="88" t="str">
        <f t="shared" si="11"/>
        <v>"C:\Program Files (x86)\AstroGrep\AstroGrep.exe" /spath="%USERPROFILE%\AppData\Local\Temp\OnboardLogs" /stypes="app*4030*20161026*" /stext=" 16:.+((SYSTEM_STATE.+slice.+state.+changed )|(ment ac)|(system.+state.+changed )|(\[timeout)|(PRM\|1\|D)|(kpr)|(kdp)|(\|lc)|(penalty))" /e /r /s</v>
      </c>
      <c r="AG54" s="1" t="str">
        <f t="shared" si="12"/>
        <v>EC</v>
      </c>
      <c r="AH54" s="92" t="str">
        <f t="shared" si="19"/>
        <v>"%USERPROFILE%\Documents\GitHub\eaglep3\Utilities\RefineRTDCRunTimes.py" --tripid 140-26 --locoid 4030 --swversion DE.1.0.8.0 --startMP 204:232994 --initTime 2016-10-26T09:20:58 --startdatetime 2016-10-26T09:27:20 --delay 1 --endMP 204:167 --enddatetime 2016-10-26T10:03:15 --enforcementcount 0 &gt;&gt;C:\Users\stu\Documents\GitHub\eaglep3-reporting\EC\2016-10-26-refined-times.txt</v>
      </c>
      <c r="AI5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{"issue":{"subject":"","project_id":79,"tracker_id":40,"status_id":1,"priority_id":2,"assigned_to_id":23,"start_date":"2016-10-26","description":"","custom_fields":[{"id":1,"name":"Subdivision","value":"EC"},{"id":4,"name":"Milepost","value":"0.0167"},{"id":17,"name":"Train ID","value":"140-26"},{"id":16,"name":"Locomotive ID","value":"4030"},{"id":130,"name":"Impact","value":""},{"id":150,"name":"Time of Event (Mountain Time)","value":"10:03:15"},{"id":151,"name":"Denver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485</v>
      </c>
      <c r="B55" s="7">
        <v>4040</v>
      </c>
      <c r="C55" s="22" t="s">
        <v>378</v>
      </c>
      <c r="D55" s="22" t="s">
        <v>225</v>
      </c>
      <c r="E55" s="13">
        <v>42669.361435185187</v>
      </c>
      <c r="F55" s="13">
        <v>42669.365115740744</v>
      </c>
      <c r="G55" s="7">
        <v>1</v>
      </c>
      <c r="H55" s="13" t="s">
        <v>182</v>
      </c>
      <c r="I55" s="13">
        <v>42669.389409722222</v>
      </c>
      <c r="J55" s="7">
        <v>0</v>
      </c>
      <c r="K55" s="112" t="str">
        <f t="shared" si="0"/>
        <v>4039/4040</v>
      </c>
      <c r="L55" s="22" t="str">
        <f>VLOOKUP(A55,'Trips&amp;Operators'!$C$1:$E$10000,3,FALSE)</f>
        <v>MAELZER</v>
      </c>
      <c r="M55" s="6">
        <f t="shared" si="1"/>
        <v>2.4293981477967463E-2</v>
      </c>
      <c r="N55" s="7">
        <f t="shared" si="25"/>
        <v>34.983333328273147</v>
      </c>
      <c r="O55" s="7"/>
      <c r="P55" s="7"/>
      <c r="Q55" s="23"/>
      <c r="R55" s="23"/>
      <c r="S55" s="35">
        <f t="shared" si="26"/>
        <v>1</v>
      </c>
      <c r="T55" s="50" t="str">
        <f t="shared" si="3"/>
        <v>NorthBound</v>
      </c>
      <c r="U55" s="18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07:40:28-0600',mode:absolute,to:'2016-10-26 10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5" s="52" t="str">
        <f t="shared" si="5"/>
        <v>N</v>
      </c>
      <c r="X55" s="186">
        <f t="shared" si="33"/>
        <v>1</v>
      </c>
      <c r="Y55" s="67">
        <f t="shared" si="30"/>
        <v>4.5499999999999999E-2</v>
      </c>
      <c r="Z55" s="67">
        <f t="shared" si="31"/>
        <v>23.331199999999999</v>
      </c>
      <c r="AA55" s="67">
        <f t="shared" si="8"/>
        <v>23.285699999999999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9"/>
        <v>0141-26</v>
      </c>
      <c r="AE55" s="91" t="str">
        <f t="shared" si="10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55" s="88" t="str">
        <f t="shared" si="11"/>
        <v>"C:\Program Files (x86)\AstroGrep\AstroGrep.exe" /spath="%USERPROFILE%\AppData\Local\Temp\OnboardLogs" /stypes="app*4040*20161026*" /stext=" 15:.+((SYSTEM_STATE.+slice.+state.+changed )|(ment ac)|(system.+state.+changed )|(\[timeout)|(PRM\|1\|D)|(kpr)|(kdp)|(\|lc)|(penalty))" /e /r /s</v>
      </c>
      <c r="AG55" s="1" t="str">
        <f t="shared" si="12"/>
        <v>EC</v>
      </c>
      <c r="AH55" s="92" t="str">
        <f t="shared" si="19"/>
        <v>"%USERPROFILE%\Documents\GitHub\eaglep3\Utilities\RefineRTDCRunTimes.py" --tripid 141-26 --locoid 4040 --swversion DE.1.0.8.0 --startMP 204:455 --initTime 2016-10-26T08:40:28 --startdatetime 2016-10-26T08:45:46 --delay 1 --endMP 204:233312 --enddatetime 2016-10-26T09:20:45 --enforcementcount 0 &gt;&gt;C:\Users\stu\Documents\GitHub\eaglep3-reporting\EC\2016-10-26-refined-times.txt</v>
      </c>
      <c r="AI5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{"issue":{"subject":"","project_id":79,"tracker_id":40,"status_id":1,"priority_id":2,"assigned_to_id":23,"start_date":"2016-10-26","description":"","custom_fields":[{"id":1,"name":"Subdivision","value":"EC"},{"id":4,"name":"Milepost","value":"23.3312"},{"id":17,"name":"Train ID","value":"141-26"},{"id":16,"name":"Locomotive ID","value":"4040"},{"id":130,"name":"Impact","value":""},{"id":150,"name":"Time of Event (Mountain Time)","value":"09:20:45"},{"id":151,"name":"Denver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416</v>
      </c>
      <c r="B56" s="7">
        <v>4039</v>
      </c>
      <c r="C56" s="22" t="s">
        <v>378</v>
      </c>
      <c r="D56" s="22" t="s">
        <v>360</v>
      </c>
      <c r="E56" s="13">
        <v>42669.400601851848</v>
      </c>
      <c r="F56" s="13">
        <v>42669.403773148151</v>
      </c>
      <c r="G56" s="7">
        <v>1</v>
      </c>
      <c r="H56" s="13" t="s">
        <v>220</v>
      </c>
      <c r="I56" s="13">
        <v>42669.430335648147</v>
      </c>
      <c r="J56" s="7">
        <v>0</v>
      </c>
      <c r="K56" s="112" t="str">
        <f t="shared" si="0"/>
        <v>4039/4040</v>
      </c>
      <c r="L56" s="22" t="str">
        <f>VLOOKUP(A56,'Trips&amp;Operators'!$C$1:$E$10000,3,FALSE)</f>
        <v>MAELZER</v>
      </c>
      <c r="M56" s="6">
        <f t="shared" si="1"/>
        <v>2.6562499995634425E-2</v>
      </c>
      <c r="N56" s="7">
        <f t="shared" si="25"/>
        <v>38.249999993713573</v>
      </c>
      <c r="O56" s="7"/>
      <c r="P56" s="7"/>
      <c r="Q56" s="23"/>
      <c r="R56" s="23"/>
      <c r="S56" s="35">
        <f t="shared" si="26"/>
        <v>1</v>
      </c>
      <c r="T56" s="50" t="str">
        <f t="shared" si="3"/>
        <v>Southbound</v>
      </c>
      <c r="U56" s="18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08:36:52-0600',mode:absolute,to:'2016-10-26 11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6" s="52" t="str">
        <f t="shared" si="5"/>
        <v>N</v>
      </c>
      <c r="X56" s="186">
        <f t="shared" si="33"/>
        <v>1</v>
      </c>
      <c r="Y56" s="67">
        <f t="shared" si="30"/>
        <v>23.2988</v>
      </c>
      <c r="Z56" s="67">
        <f t="shared" si="31"/>
        <v>1.43E-2</v>
      </c>
      <c r="AA56" s="67">
        <f t="shared" si="8"/>
        <v>23.284500000000001</v>
      </c>
      <c r="AB56" s="64" t="str">
        <f>VLOOKUP(A56,Enforcements!$C$7:$K$21,8,0)</f>
        <v>Signal based authority (5)</v>
      </c>
      <c r="AC56" s="60" t="str">
        <f>VLOOKUP(A56,Enforcements!$C$7:$E$21,3,0)</f>
        <v>SIGNAL</v>
      </c>
      <c r="AD56" s="61" t="str">
        <f t="shared" si="9"/>
        <v>0142-26</v>
      </c>
      <c r="AE56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56" s="88" t="str">
        <f t="shared" si="11"/>
        <v>"C:\Program Files (x86)\AstroGrep\AstroGrep.exe" /spath="%USERPROFILE%\AppData\Local\Temp\OnboardLogs" /stypes="app*4039*20161026*" /stext=" 16:.+((SYSTEM_STATE.+slice.+state.+changed )|(ment ac)|(system.+state.+changed )|(\[timeout)|(PRM\|1\|D)|(kpr)|(kdp)|(\|lc)|(penalty))" /e /r /s</v>
      </c>
      <c r="AG56" s="1" t="str">
        <f t="shared" si="12"/>
        <v>EC</v>
      </c>
      <c r="AH56" s="92" t="str">
        <f t="shared" si="19"/>
        <v>"%USERPROFILE%\Documents\GitHub\eaglep3\Utilities\RefineRTDCRunTimes.py" --tripid 142-26 --locoid 4039 --swversion DE.1.0.8.0 --startMP 204:232988 --initTime 2016-10-26T09:36:52 --startdatetime 2016-10-26T09:41:26 --delay 1 --endMP 204:143 --enddatetime 2016-10-26T10:19:41 --enforcementcount 0 &gt;&gt;C:\Users\stu\Documents\GitHub\eaglep3-reporting\EC\2016-10-26-refined-times.txt</v>
      </c>
      <c r="AI56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{"issue":{"subject":"","project_id":79,"tracker_id":40,"status_id":1,"priority_id":2,"assigned_to_id":23,"start_date":"2016-10-26","description":"","custom_fields":[{"id":1,"name":"Subdivision","value":"EC"},{"id":4,"name":"Milepost","value":"0.0143"},{"id":17,"name":"Train ID","value":"142-26"},{"id":16,"name":"Locomotive ID","value":"4039"},{"id":130,"name":"Impact","value":""},{"id":150,"name":"Time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487</v>
      </c>
      <c r="B57" s="7">
        <v>4016</v>
      </c>
      <c r="C57" s="22" t="s">
        <v>378</v>
      </c>
      <c r="D57" s="22" t="s">
        <v>225</v>
      </c>
      <c r="E57" s="13">
        <v>42669.371006944442</v>
      </c>
      <c r="F57" s="13">
        <v>42669.375393518516</v>
      </c>
      <c r="G57" s="7">
        <v>2</v>
      </c>
      <c r="H57" s="13" t="s">
        <v>227</v>
      </c>
      <c r="I57" s="13">
        <v>42669.400497685187</v>
      </c>
      <c r="J57" s="7">
        <v>0</v>
      </c>
      <c r="K57" s="112" t="str">
        <f t="shared" si="0"/>
        <v>4015/4016</v>
      </c>
      <c r="L57" s="22" t="str">
        <f>VLOOKUP(A57,'Trips&amp;Operators'!$C$1:$E$10000,3,FALSE)</f>
        <v>NELSON</v>
      </c>
      <c r="M57" s="6">
        <f t="shared" si="1"/>
        <v>2.510416667064419E-2</v>
      </c>
      <c r="N57" s="7">
        <f t="shared" si="25"/>
        <v>36.150000005727634</v>
      </c>
      <c r="O57" s="7"/>
      <c r="P57" s="7"/>
      <c r="Q57" s="23"/>
      <c r="R57" s="23"/>
      <c r="S57" s="35">
        <f t="shared" si="26"/>
        <v>1</v>
      </c>
      <c r="T57" s="50" t="str">
        <f t="shared" si="3"/>
        <v>NorthBound</v>
      </c>
      <c r="U57" s="18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07:54:15-0600',mode:absolute,to:'2016-10-26 10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5"/>
        <v>N</v>
      </c>
      <c r="X57" s="186">
        <f t="shared" si="33"/>
        <v>1</v>
      </c>
      <c r="Y57" s="67">
        <f t="shared" si="30"/>
        <v>4.5499999999999999E-2</v>
      </c>
      <c r="Z57" s="67">
        <f t="shared" si="31"/>
        <v>23.329499999999999</v>
      </c>
      <c r="AA57" s="67">
        <f t="shared" si="8"/>
        <v>23.283999999999999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9"/>
        <v>0143-26</v>
      </c>
      <c r="AE57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57" s="88" t="str">
        <f t="shared" si="11"/>
        <v>"C:\Program Files (x86)\AstroGrep\AstroGrep.exe" /spath="%USERPROFILE%\AppData\Local\Temp\OnboardLogs" /stypes="app*4016*20161026*" /stext=" 15:.+((SYSTEM_STATE.+slice.+state.+changed )|(ment ac)|(system.+state.+changed )|(\[timeout)|(PRM\|1\|D)|(kpr)|(kdp)|(\|lc)|(penalty))" /e /r /s</v>
      </c>
      <c r="AG57" s="1" t="str">
        <f t="shared" si="12"/>
        <v>EC</v>
      </c>
      <c r="AH57" s="92" t="str">
        <f t="shared" si="19"/>
        <v>"%USERPROFILE%\Documents\GitHub\eaglep3\Utilities\RefineRTDCRunTimes.py" --tripid 143-26 --locoid 4016 --swversion DE.1.0.8.0 --startMP 204:455 --initTime 2016-10-26T08:54:15 --startdatetime 2016-10-26T09:00:34 --delay 2 --endMP 204:233295 --enddatetime 2016-10-26T09:36:43 --enforcementcount 0 &gt;&gt;C:\Users\stu\Documents\GitHub\eaglep3-reporting\EC\2016-10-26-refined-times.txt</v>
      </c>
      <c r="AI5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{"issue":{"subject":"","project_id":79,"tracker_id":40,"status_id":1,"priority_id":2,"assigned_to_id":23,"start_date":"2016-10-26","description":"","custom_fields":[{"id":1,"name":"Subdivision","value":"EC"},{"id":4,"name":"Milepost","value":"23.3295"},{"id":17,"name":"Train ID","value":"143-26"},{"id":16,"name":"Locomotive ID","value":"4016"},{"id":130,"name":"Impact","value":""},{"id":150,"name":"Time of Event (Mountain Time)","value":"09:36:43"},{"id":151,"name":"Denver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417</v>
      </c>
      <c r="B58" s="7">
        <v>4015</v>
      </c>
      <c r="C58" s="22" t="s">
        <v>378</v>
      </c>
      <c r="D58" s="22" t="s">
        <v>297</v>
      </c>
      <c r="E58" s="13">
        <v>42669.411458333336</v>
      </c>
      <c r="F58" s="13">
        <v>42669.414143518516</v>
      </c>
      <c r="G58" s="7">
        <v>1</v>
      </c>
      <c r="H58" s="13" t="s">
        <v>319</v>
      </c>
      <c r="I58" s="13">
        <v>42669.441354166665</v>
      </c>
      <c r="J58" s="7">
        <v>0</v>
      </c>
      <c r="K58" s="112" t="str">
        <f t="shared" si="0"/>
        <v>4015/4016</v>
      </c>
      <c r="L58" s="22" t="str">
        <f>VLOOKUP(A58,'Trips&amp;Operators'!$C$1:$E$10000,3,FALSE)</f>
        <v>NELSON</v>
      </c>
      <c r="M58" s="6">
        <f t="shared" si="1"/>
        <v>2.7210648149775807E-2</v>
      </c>
      <c r="N58" s="7">
        <f t="shared" si="25"/>
        <v>39.183333335677162</v>
      </c>
      <c r="O58" s="7"/>
      <c r="P58" s="7"/>
      <c r="Q58" s="23"/>
      <c r="R58" s="23"/>
      <c r="S58" s="35">
        <f t="shared" si="26"/>
        <v>1</v>
      </c>
      <c r="T58" s="50" t="str">
        <f t="shared" si="3"/>
        <v>Southbound</v>
      </c>
      <c r="U58" s="18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08:52:30-0600',mode:absolute,to:'2016-10-26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5"/>
        <v>N</v>
      </c>
      <c r="X58" s="186">
        <f t="shared" si="33"/>
        <v>1</v>
      </c>
      <c r="Y58" s="67">
        <f t="shared" si="30"/>
        <v>23.2987</v>
      </c>
      <c r="Z58" s="67">
        <f t="shared" si="31"/>
        <v>1.5800000000000002E-2</v>
      </c>
      <c r="AA58" s="67">
        <f t="shared" si="8"/>
        <v>23.282900000000001</v>
      </c>
      <c r="AB58" s="64" t="str">
        <f>VLOOKUP(A58,Enforcements!$C$7:$K$21,8,0)</f>
        <v>Bulletin (2)</v>
      </c>
      <c r="AC58" s="60" t="str">
        <f>VLOOKUP(A58,Enforcements!$C$7:$E$21,3,0)</f>
        <v>GRADE CROSSING</v>
      </c>
      <c r="AD58" s="61" t="str">
        <f t="shared" si="9"/>
        <v>0144-26</v>
      </c>
      <c r="AE58" s="91" t="str">
        <f t="shared" si="10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58" s="88" t="str">
        <f t="shared" si="11"/>
        <v>"C:\Program Files (x86)\AstroGrep\AstroGrep.exe" /spath="%USERPROFILE%\AppData\Local\Temp\OnboardLogs" /stypes="app*4015*20161026*" /stext=" 16:.+((SYSTEM_STATE.+slice.+state.+changed )|(ment ac)|(system.+state.+changed )|(\[timeout)|(PRM\|1\|D)|(kpr)|(kdp)|(\|lc)|(penalty))" /e /r /s</v>
      </c>
      <c r="AG58" s="1" t="str">
        <f t="shared" si="12"/>
        <v>EC</v>
      </c>
      <c r="AH58" s="92" t="str">
        <f t="shared" si="19"/>
        <v>"%USERPROFILE%\Documents\GitHub\eaglep3\Utilities\RefineRTDCRunTimes.py" --tripid 144-26 --locoid 4015 --swversion DE.1.0.8.0 --startMP 204:232987 --initTime 2016-10-26T09:52:30 --startdatetime 2016-10-26T09:56:22 --delay 1 --endMP 204:158 --enddatetime 2016-10-26T10:35:33 --enforcementcount 0 &gt;&gt;C:\Users\stu\Documents\GitHub\eaglep3-reporting\EC\2016-10-26-refined-times.txt</v>
      </c>
      <c r="AI5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{"issue":{"subject":"","project_id":79,"tracker_id":40,"status_id":1,"priority_id":2,"assigned_to_id":23,"start_date":"2016-10-26","description":"","custom_fields":[{"id":1,"name":"Subdivision","value":"EC"},{"id":4,"name":"Milepost","value":"0.0158"},{"id":17,"name":"Train ID","value":"144-26"},{"id":16,"name":"Locomotive ID","value":"4015"},{"id":130,"name":"Impact","value":""},{"id":150,"name":"Time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490</v>
      </c>
      <c r="B59" s="7">
        <v>4011</v>
      </c>
      <c r="C59" s="22" t="s">
        <v>378</v>
      </c>
      <c r="D59" s="22" t="s">
        <v>372</v>
      </c>
      <c r="E59" s="13">
        <v>42669.380648148152</v>
      </c>
      <c r="F59" s="13">
        <v>42669.385659722226</v>
      </c>
      <c r="G59" s="7">
        <v>1</v>
      </c>
      <c r="H59" s="13" t="s">
        <v>354</v>
      </c>
      <c r="I59" s="13">
        <v>42669.41065972222</v>
      </c>
      <c r="J59" s="7">
        <v>0</v>
      </c>
      <c r="K59" s="112" t="str">
        <f t="shared" si="0"/>
        <v>4011/4012</v>
      </c>
      <c r="L59" s="22" t="str">
        <f>VLOOKUP(A59,'Trips&amp;Operators'!$C$1:$E$10000,3,FALSE)</f>
        <v>ACKERMAN</v>
      </c>
      <c r="M59" s="6">
        <f t="shared" si="1"/>
        <v>2.4999999994179234E-2</v>
      </c>
      <c r="N59" s="7">
        <f t="shared" si="25"/>
        <v>35.999999991618097</v>
      </c>
      <c r="O59" s="7"/>
      <c r="P59" s="7"/>
      <c r="Q59" s="23"/>
      <c r="R59" s="23"/>
      <c r="S59" s="35">
        <f t="shared" si="26"/>
        <v>1</v>
      </c>
      <c r="T59" s="50" t="str">
        <f t="shared" si="3"/>
        <v>NorthBound</v>
      </c>
      <c r="U59" s="18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08:08:08-0600',mode:absolute,to:'2016-10-26 10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9" s="52" t="str">
        <f t="shared" si="5"/>
        <v>N</v>
      </c>
      <c r="X59" s="186">
        <f t="shared" si="33"/>
        <v>1</v>
      </c>
      <c r="Y59" s="67">
        <f t="shared" si="30"/>
        <v>4.3999999999999997E-2</v>
      </c>
      <c r="Z59" s="67">
        <f t="shared" si="31"/>
        <v>23.330100000000002</v>
      </c>
      <c r="AA59" s="67">
        <f t="shared" si="8"/>
        <v>23.286100000000001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9"/>
        <v>0145-26</v>
      </c>
      <c r="AE59" s="91" t="str">
        <f t="shared" si="10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59" s="88" t="str">
        <f t="shared" si="11"/>
        <v>"C:\Program Files (x86)\AstroGrep\AstroGrep.exe" /spath="%USERPROFILE%\AppData\Local\Temp\OnboardLogs" /stypes="app*4011*20161026*" /stext=" 15:.+((SYSTEM_STATE.+slice.+state.+changed )|(ment ac)|(system.+state.+changed )|(\[timeout)|(PRM\|1\|D)|(kpr)|(kdp)|(\|lc)|(penalty))" /e /r /s</v>
      </c>
      <c r="AG59" s="1" t="str">
        <f t="shared" si="12"/>
        <v>EC</v>
      </c>
      <c r="AH59" s="92" t="str">
        <f t="shared" si="19"/>
        <v>"%USERPROFILE%\Documents\GitHub\eaglep3\Utilities\RefineRTDCRunTimes.py" --tripid 145-26 --locoid 4011 --swversion DE.1.0.8.0 --startMP 204:440 --initTime 2016-10-26T09:08:08 --startdatetime 2016-10-26T09:15:21 --delay 1 --endMP 204:233301 --enddatetime 2016-10-26T09:51:21 --enforcementcount 0 &gt;&gt;C:\Users\stu\Documents\GitHub\eaglep3-reporting\EC\2016-10-26-refined-times.txt</v>
      </c>
      <c r="AI5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{"issue":{"subject":"","project_id":79,"tracker_id":40,"status_id":1,"priority_id":2,"assigned_to_id":23,"start_date":"2016-10-26","description":"","custom_fields":[{"id":1,"name":"Subdivision","value":"EC"},{"id":4,"name":"Milepost","value":"23.3301"},{"id":17,"name":"Train ID","value":"145-26"},{"id":16,"name":"Locomotive ID","value":"4011"},{"id":130,"name":"Impact","value":""},{"id":150,"name":"Time of Event (Mountain Time)","value":"09:51:21"},{"id":151,"name":"Denver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496</v>
      </c>
      <c r="B60" s="7">
        <v>4012</v>
      </c>
      <c r="C60" s="22" t="s">
        <v>378</v>
      </c>
      <c r="D60" s="22" t="s">
        <v>248</v>
      </c>
      <c r="E60" s="13">
        <v>42669.419039351851</v>
      </c>
      <c r="F60" s="13">
        <v>42669.424502314818</v>
      </c>
      <c r="G60" s="7">
        <v>1</v>
      </c>
      <c r="H60" s="13" t="s">
        <v>654</v>
      </c>
      <c r="I60" s="13">
        <v>42669.450416666667</v>
      </c>
      <c r="J60" s="7">
        <v>0</v>
      </c>
      <c r="K60" s="112" t="str">
        <f t="shared" si="0"/>
        <v>4011/4012</v>
      </c>
      <c r="L60" s="22" t="str">
        <f>VLOOKUP(A60,'Trips&amp;Operators'!$C$1:$E$10000,3,FALSE)</f>
        <v>ACKERMAN</v>
      </c>
      <c r="M60" s="6">
        <f t="shared" si="1"/>
        <v>2.5914351848769002E-2</v>
      </c>
      <c r="N60" s="7">
        <f t="shared" si="25"/>
        <v>37.316666662227362</v>
      </c>
      <c r="O60" s="7"/>
      <c r="P60" s="7"/>
      <c r="Q60" s="23"/>
      <c r="R60" s="23"/>
      <c r="S60" s="35">
        <f t="shared" si="26"/>
        <v>1</v>
      </c>
      <c r="T60" s="50" t="str">
        <f t="shared" si="3"/>
        <v>Southbound</v>
      </c>
      <c r="U60" s="18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09:03:25-0600',mode:absolute,to:'2016-10-26 11:48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0" s="52" t="str">
        <f t="shared" si="5"/>
        <v>N</v>
      </c>
      <c r="X60" s="186">
        <f t="shared" si="33"/>
        <v>1</v>
      </c>
      <c r="Y60" s="67">
        <f t="shared" si="30"/>
        <v>23.297699999999999</v>
      </c>
      <c r="Z60" s="67">
        <f t="shared" si="31"/>
        <v>1.3899999999999999E-2</v>
      </c>
      <c r="AA60" s="67">
        <f t="shared" si="8"/>
        <v>23.283799999999999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9"/>
        <v>0146-26</v>
      </c>
      <c r="AE60" s="91" t="str">
        <f t="shared" si="10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60" s="88" t="str">
        <f t="shared" si="11"/>
        <v>"C:\Program Files (x86)\AstroGrep\AstroGrep.exe" /spath="%USERPROFILE%\AppData\Local\Temp\OnboardLogs" /stypes="app*4012*20161026*" /stext=" 16:.+((SYSTEM_STATE.+slice.+state.+changed )|(ment ac)|(system.+state.+changed )|(\[timeout)|(PRM\|1\|D)|(kpr)|(kdp)|(\|lc)|(penalty))" /e /r /s</v>
      </c>
      <c r="AG60" s="1" t="str">
        <f t="shared" si="12"/>
        <v>EC</v>
      </c>
      <c r="AH60" s="92" t="str">
        <f t="shared" si="19"/>
        <v>"%USERPROFILE%\Documents\GitHub\eaglep3\Utilities\RefineRTDCRunTimes.py" --tripid 146-26 --locoid 4012 --swversion DE.1.0.8.0 --startMP 204:232977 --initTime 2016-10-26T10:03:25 --startdatetime 2016-10-26T10:11:17 --delay 1 --endMP 204:139 --enddatetime 2016-10-26T10:48:36 --enforcementcount 0 &gt;&gt;C:\Users\stu\Documents\GitHub\eaglep3-reporting\EC\2016-10-26-refined-times.txt</v>
      </c>
      <c r="AI6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{"issue":{"subject":"","project_id":79,"tracker_id":40,"status_id":1,"priority_id":2,"assigned_to_id":23,"start_date":"2016-10-26","description":"","custom_fields":[{"id":1,"name":"Subdivision","value":"EC"},{"id":4,"name":"Milepost","value":"0.0139"},{"id":17,"name":"Train ID","value":"146-26"},{"id":16,"name":"Locomotive ID","value":"4012"},{"id":130,"name":"Impact","value":""},{"id":150,"name":"Time of Event (Mountain Time)","value":"10:48:36"},{"id":151,"name":"Denver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492</v>
      </c>
      <c r="B61" s="7">
        <v>4031</v>
      </c>
      <c r="C61" s="22" t="s">
        <v>378</v>
      </c>
      <c r="D61" s="22" t="s">
        <v>659</v>
      </c>
      <c r="E61" s="13">
        <v>42669.391377314816</v>
      </c>
      <c r="F61" s="13">
        <v>42669.396215277775</v>
      </c>
      <c r="G61" s="7">
        <v>1</v>
      </c>
      <c r="H61" s="13" t="s">
        <v>279</v>
      </c>
      <c r="I61" s="13">
        <v>42669.421805555554</v>
      </c>
      <c r="J61" s="7">
        <v>0</v>
      </c>
      <c r="K61" s="112" t="str">
        <f t="shared" si="0"/>
        <v>4031/4032</v>
      </c>
      <c r="L61" s="22" t="str">
        <f>VLOOKUP(A61,'Trips&amp;Operators'!$C$1:$E$10000,3,FALSE)</f>
        <v>STRICKLAND</v>
      </c>
      <c r="M61" s="6">
        <f t="shared" si="1"/>
        <v>2.5590277778974269E-2</v>
      </c>
      <c r="N61" s="7">
        <f t="shared" si="25"/>
        <v>36.850000001722947</v>
      </c>
      <c r="O61" s="7"/>
      <c r="P61" s="7"/>
      <c r="Q61" s="23"/>
      <c r="R61" s="23"/>
      <c r="S61" s="35">
        <f t="shared" si="26"/>
        <v>1</v>
      </c>
      <c r="T61" s="50" t="str">
        <f t="shared" si="3"/>
        <v>NorthBound</v>
      </c>
      <c r="U61" s="18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08:23:35-0600',mode:absolute,to:'2016-10-26 11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 t="shared" si="5"/>
        <v>N</v>
      </c>
      <c r="X61" s="186">
        <f t="shared" si="33"/>
        <v>1</v>
      </c>
      <c r="Y61" s="67">
        <f t="shared" si="30"/>
        <v>4.8000000000000001E-2</v>
      </c>
      <c r="Z61" s="67">
        <f t="shared" si="31"/>
        <v>23.330200000000001</v>
      </c>
      <c r="AA61" s="67">
        <f t="shared" si="8"/>
        <v>23.282200000000003</v>
      </c>
      <c r="AB61" s="64" t="e">
        <f>VLOOKUP(A61,Enforcements!$C$7:$K$21,8,0)</f>
        <v>#N/A</v>
      </c>
      <c r="AC61" s="60" t="e">
        <f>VLOOKUP(A61,Enforcements!$C$7:$E$21,3,0)</f>
        <v>#N/A</v>
      </c>
      <c r="AD61" s="61" t="str">
        <f t="shared" si="9"/>
        <v>0147-26</v>
      </c>
      <c r="AE61" s="91" t="str">
        <f t="shared" si="10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61" s="88" t="str">
        <f t="shared" si="11"/>
        <v>"C:\Program Files (x86)\AstroGrep\AstroGrep.exe" /spath="%USERPROFILE%\AppData\Local\Temp\OnboardLogs" /stypes="app*4031*20161026*" /stext=" 16:.+((SYSTEM_STATE.+slice.+state.+changed )|(ment ac)|(system.+state.+changed )|(\[timeout)|(PRM\|1\|D)|(kpr)|(kdp)|(\|lc)|(penalty))" /e /r /s</v>
      </c>
      <c r="AG61" s="1" t="str">
        <f t="shared" si="12"/>
        <v>EC</v>
      </c>
      <c r="AH61" s="92" t="str">
        <f t="shared" si="19"/>
        <v>"%USERPROFILE%\Documents\GitHub\eaglep3\Utilities\RefineRTDCRunTimes.py" --tripid 147-26 --locoid 4031 --swversion DE.1.0.8.0 --startMP 204:480 --initTime 2016-10-26T09:23:35 --startdatetime 2016-10-26T09:30:33 --delay 1 --endMP 204:233302 --enddatetime 2016-10-26T10:07:24 --enforcementcount 0 &gt;&gt;C:\Users\stu\Documents\GitHub\eaglep3-reporting\EC\2016-10-26-refined-times.txt</v>
      </c>
      <c r="AI6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{"issue":{"subject":"","project_id":79,"tracker_id":40,"status_id":1,"priority_id":2,"assigned_to_id":23,"start_date":"2016-10-26","description":"","custom_fields":[{"id":1,"name":"Subdivision","value":"EC"},{"id":4,"name":"Milepost","value":"23.3302"},{"id":17,"name":"Train ID","value":"147-26"},{"id":16,"name":"Locomotive ID","value":"4031"},{"id":130,"name":"Impact","value":""},{"id":150,"name":"Time of Event (Mountain Time)","value":"10:07:24"},{"id":151,"name":"Denver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498</v>
      </c>
      <c r="B62" s="7">
        <v>4032</v>
      </c>
      <c r="C62" s="22" t="s">
        <v>378</v>
      </c>
      <c r="D62" s="22" t="s">
        <v>248</v>
      </c>
      <c r="E62" s="13">
        <v>42669.427870370368</v>
      </c>
      <c r="F62" s="13">
        <v>42669.434999999998</v>
      </c>
      <c r="G62" s="7">
        <v>1</v>
      </c>
      <c r="H62" s="13" t="s">
        <v>319</v>
      </c>
      <c r="I62" s="13">
        <v>42669.461423611108</v>
      </c>
      <c r="J62" s="7">
        <v>0</v>
      </c>
      <c r="K62" s="112" t="str">
        <f t="shared" si="0"/>
        <v>4031/4032</v>
      </c>
      <c r="L62" s="22" t="str">
        <f>VLOOKUP(A62,'Trips&amp;Operators'!$C$1:$E$10000,3,FALSE)</f>
        <v>STRICKLAND</v>
      </c>
      <c r="M62" s="6">
        <f t="shared" si="1"/>
        <v>2.6423611110658385E-2</v>
      </c>
      <c r="N62" s="7">
        <f t="shared" si="25"/>
        <v>38.049999999348074</v>
      </c>
      <c r="O62" s="7"/>
      <c r="P62" s="7"/>
      <c r="Q62" s="23"/>
      <c r="R62" s="23"/>
      <c r="S62" s="35">
        <f t="shared" si="26"/>
        <v>1</v>
      </c>
      <c r="T62" s="50" t="str">
        <f t="shared" si="3"/>
        <v>Southbound</v>
      </c>
      <c r="U62" s="18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09:16:08-0600',mode:absolute,to:'2016-10-26 12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 t="shared" si="5"/>
        <v>N</v>
      </c>
      <c r="X62" s="186">
        <f t="shared" si="33"/>
        <v>1</v>
      </c>
      <c r="Y62" s="67">
        <f t="shared" si="30"/>
        <v>23.297699999999999</v>
      </c>
      <c r="Z62" s="67">
        <f t="shared" si="31"/>
        <v>1.5800000000000002E-2</v>
      </c>
      <c r="AA62" s="67">
        <f t="shared" si="8"/>
        <v>23.2819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9"/>
        <v>0148-26</v>
      </c>
      <c r="AE62" s="91" t="str">
        <f t="shared" si="10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62" s="88" t="str">
        <f t="shared" si="11"/>
        <v>"C:\Program Files (x86)\AstroGrep\AstroGrep.exe" /spath="%USERPROFILE%\AppData\Local\Temp\OnboardLogs" /stypes="app*4032*20161026*" /stext=" 17:.+((SYSTEM_STATE.+slice.+state.+changed )|(ment ac)|(system.+state.+changed )|(\[timeout)|(PRM\|1\|D)|(kpr)|(kdp)|(\|lc)|(penalty))" /e /r /s</v>
      </c>
      <c r="AG62" s="1" t="str">
        <f t="shared" si="12"/>
        <v>EC</v>
      </c>
      <c r="AH62" s="92" t="str">
        <f t="shared" si="19"/>
        <v>"%USERPROFILE%\Documents\GitHub\eaglep3\Utilities\RefineRTDCRunTimes.py" --tripid 148-26 --locoid 4032 --swversion DE.1.0.8.0 --startMP 204:232977 --initTime 2016-10-26T10:16:08 --startdatetime 2016-10-26T10:26:24 --delay 1 --endMP 204:158 --enddatetime 2016-10-26T11:04:27 --enforcementcount 0 &gt;&gt;C:\Users\stu\Documents\GitHub\eaglep3-reporting\EC\2016-10-26-refined-times.txt</v>
      </c>
      <c r="AI62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{"issue":{"subject":"","project_id":79,"tracker_id":40,"status_id":1,"priority_id":2,"assigned_to_id":23,"start_date":"2016-10-26","description":"","custom_fields":[{"id":1,"name":"Subdivision","value":"EC"},{"id":4,"name":"Milepost","value":"0.0158"},{"id":17,"name":"Train ID","value":"148-26"},{"id":16,"name":"Locomotive ID","value":"4032"},{"id":130,"name":"Impact","value":""},{"id":150,"name":"Time of Event (Mountain Time)","value":"11:04:27"},{"id":151,"name":"Denver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494</v>
      </c>
      <c r="B63" s="7">
        <v>4046</v>
      </c>
      <c r="C63" s="22" t="s">
        <v>378</v>
      </c>
      <c r="D63" s="22" t="s">
        <v>660</v>
      </c>
      <c r="E63" s="13">
        <v>42669.401250000003</v>
      </c>
      <c r="F63" s="13">
        <v>42669.406423611108</v>
      </c>
      <c r="G63" s="7">
        <v>1</v>
      </c>
      <c r="H63" s="13" t="s">
        <v>354</v>
      </c>
      <c r="I63" s="13">
        <v>42669.431041666663</v>
      </c>
      <c r="J63" s="7">
        <v>0</v>
      </c>
      <c r="K63" s="112" t="str">
        <f t="shared" si="0"/>
        <v>4045/4046</v>
      </c>
      <c r="L63" s="22" t="str">
        <f>VLOOKUP(A63,'Trips&amp;Operators'!$C$1:$E$10000,3,FALSE)</f>
        <v>SPECTOR</v>
      </c>
      <c r="M63" s="6">
        <f t="shared" si="1"/>
        <v>2.4618055555038154E-2</v>
      </c>
      <c r="N63" s="7">
        <f t="shared" si="25"/>
        <v>35.449999999254942</v>
      </c>
      <c r="O63" s="7"/>
      <c r="P63" s="7"/>
      <c r="Q63" s="23"/>
      <c r="R63" s="23"/>
      <c r="S63" s="35">
        <f t="shared" si="26"/>
        <v>1</v>
      </c>
      <c r="T63" s="50" t="str">
        <f t="shared" si="3"/>
        <v>NorthBound</v>
      </c>
      <c r="U63" s="18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08:37:48-0600',mode:absolute,to:'2016-10-26 11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3" s="52" t="str">
        <f t="shared" si="5"/>
        <v>N</v>
      </c>
      <c r="X63" s="186">
        <f t="shared" si="33"/>
        <v>1</v>
      </c>
      <c r="Y63" s="67">
        <f t="shared" si="30"/>
        <v>4.3499999999999997E-2</v>
      </c>
      <c r="Z63" s="67">
        <f t="shared" si="31"/>
        <v>23.330100000000002</v>
      </c>
      <c r="AA63" s="67">
        <f t="shared" si="8"/>
        <v>23.2866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9"/>
        <v>0149-26</v>
      </c>
      <c r="AE63" s="91" t="str">
        <f t="shared" si="10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63" s="88" t="str">
        <f t="shared" si="11"/>
        <v>"C:\Program Files (x86)\AstroGrep\AstroGrep.exe" /spath="%USERPROFILE%\AppData\Local\Temp\OnboardLogs" /stypes="app*4046*20161026*" /stext=" 16:.+((SYSTEM_STATE.+slice.+state.+changed )|(ment ac)|(system.+state.+changed )|(\[timeout)|(PRM\|1\|D)|(kpr)|(kdp)|(\|lc)|(penalty))" /e /r /s</v>
      </c>
      <c r="AG63" s="1" t="str">
        <f t="shared" si="12"/>
        <v>EC</v>
      </c>
      <c r="AH63" s="92" t="str">
        <f t="shared" si="19"/>
        <v>"%USERPROFILE%\Documents\GitHub\eaglep3\Utilities\RefineRTDCRunTimes.py" --tripid 149-26 --locoid 4046 --swversion DE.1.0.8.0 --startMP 204:435 --initTime 2016-10-26T09:37:48 --startdatetime 2016-10-26T09:45:15 --delay 1 --endMP 204:233301 --enddatetime 2016-10-26T10:20:42 --enforcementcount 0 &gt;&gt;C:\Users\stu\Documents\GitHub\eaglep3-reporting\EC\2016-10-26-refined-times.txt</v>
      </c>
      <c r="AI63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{"issue":{"subject":"","project_id":79,"tracker_id":40,"status_id":1,"priority_id":2,"assigned_to_id":23,"start_date":"2016-10-26","description":"","custom_fields":[{"id":1,"name":"Subdivision","value":"EC"},{"id":4,"name":"Milepost","value":"23.3301"},{"id":17,"name":"Train ID","value":"149-26"},{"id":16,"name":"Locomotive ID","value":"4046"},{"id":130,"name":"Impact","value":""},{"id":150,"name":"Time of Event (Mountain Time)","value":"10:20:42"},{"id":151,"name":"Denver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500</v>
      </c>
      <c r="B64" s="7">
        <v>4045</v>
      </c>
      <c r="C64" s="22" t="s">
        <v>378</v>
      </c>
      <c r="D64" s="22" t="s">
        <v>299</v>
      </c>
      <c r="E64" s="13">
        <v>42669.439363425925</v>
      </c>
      <c r="F64" s="13">
        <v>42669.445300925923</v>
      </c>
      <c r="G64" s="7">
        <v>1</v>
      </c>
      <c r="H64" s="13" t="s">
        <v>176</v>
      </c>
      <c r="I64" s="13">
        <v>42669.471041666664</v>
      </c>
      <c r="J64" s="7">
        <v>0</v>
      </c>
      <c r="K64" s="112" t="str">
        <f t="shared" si="0"/>
        <v>4045/4046</v>
      </c>
      <c r="L64" s="22" t="str">
        <f>VLOOKUP(A64,'Trips&amp;Operators'!$C$1:$E$10000,3,FALSE)</f>
        <v>SPECTOR</v>
      </c>
      <c r="M64" s="6">
        <f t="shared" si="1"/>
        <v>2.5740740740729962E-2</v>
      </c>
      <c r="N64" s="7">
        <f t="shared" si="25"/>
        <v>37.066666666651145</v>
      </c>
      <c r="O64" s="7"/>
      <c r="P64" s="7"/>
      <c r="Q64" s="23"/>
      <c r="R64" s="23"/>
      <c r="S64" s="35">
        <f t="shared" si="26"/>
        <v>1</v>
      </c>
      <c r="T64" s="50" t="str">
        <f t="shared" si="3"/>
        <v>Southbound</v>
      </c>
      <c r="U64" s="18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09:32:41-0600',mode:absolute,to:'2016-10-26 12:18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4" s="52" t="str">
        <f t="shared" si="5"/>
        <v>N</v>
      </c>
      <c r="X64" s="186">
        <f t="shared" si="33"/>
        <v>1</v>
      </c>
      <c r="Y64" s="67">
        <f t="shared" si="30"/>
        <v>23.299199999999999</v>
      </c>
      <c r="Z64" s="67">
        <f t="shared" si="31"/>
        <v>1.52E-2</v>
      </c>
      <c r="AA64" s="67">
        <f t="shared" si="8"/>
        <v>23.283999999999999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9"/>
        <v>0150-26</v>
      </c>
      <c r="AE64" s="91" t="str">
        <f t="shared" si="10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64" s="88" t="str">
        <f t="shared" si="11"/>
        <v>"C:\Program Files (x86)\AstroGrep\AstroGrep.exe" /spath="%USERPROFILE%\AppData\Local\Temp\OnboardLogs" /stypes="app*4045*20161026*" /stext=" 17:.+((SYSTEM_STATE.+slice.+state.+changed )|(ment ac)|(system.+state.+changed )|(\[timeout)|(PRM\|1\|D)|(kpr)|(kdp)|(\|lc)|(penalty))" /e /r /s</v>
      </c>
      <c r="AG64" s="1" t="str">
        <f t="shared" si="12"/>
        <v>EC</v>
      </c>
      <c r="AH64" s="92" t="str">
        <f t="shared" si="19"/>
        <v>"%USERPROFILE%\Documents\GitHub\eaglep3\Utilities\RefineRTDCRunTimes.py" --tripid 150-26 --locoid 4045 --swversion DE.1.0.8.0 --startMP 204:232992 --initTime 2016-10-26T10:32:41 --startdatetime 2016-10-26T10:41:14 --delay 1 --endMP 204:152 --enddatetime 2016-10-26T11:18:18 --enforcementcount 0 &gt;&gt;C:\Users\stu\Documents\GitHub\eaglep3-reporting\EC\2016-10-26-refined-times.txt</v>
      </c>
      <c r="AI6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{"issue":{"subject":"","project_id":79,"tracker_id":40,"status_id":1,"priority_id":2,"assigned_to_id":23,"start_date":"2016-10-26","description":"","custom_fields":[{"id":1,"name":"Subdivision","value":"EC"},{"id":4,"name":"Milepost","value":"0.0152"},{"id":17,"name":"Train ID","value":"150-26"},{"id":16,"name":"Locomotive ID","value":"4045"},{"id":130,"name":"Impact","value":""},{"id":150,"name":"Time of Event (Mountain Time)","value":"11:18:18"},{"id":151,"name":"Denver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495</v>
      </c>
      <c r="B65" s="7">
        <v>4002</v>
      </c>
      <c r="C65" s="22" t="s">
        <v>378</v>
      </c>
      <c r="D65" s="22" t="s">
        <v>273</v>
      </c>
      <c r="E65" s="13">
        <v>42669.410462962966</v>
      </c>
      <c r="F65" s="13">
        <v>42669.41684027778</v>
      </c>
      <c r="G65" s="7">
        <v>1</v>
      </c>
      <c r="H65" s="13" t="s">
        <v>194</v>
      </c>
      <c r="I65" s="13">
        <v>42669.441180555557</v>
      </c>
      <c r="J65" s="7">
        <v>0</v>
      </c>
      <c r="K65" s="112" t="str">
        <f t="shared" si="0"/>
        <v>4001/4002</v>
      </c>
      <c r="L65" s="22" t="str">
        <f>VLOOKUP(A65,'Trips&amp;Operators'!$C$1:$E$10000,3,FALSE)</f>
        <v>KILLION</v>
      </c>
      <c r="M65" s="6">
        <f t="shared" si="1"/>
        <v>2.4340277777810115E-2</v>
      </c>
      <c r="N65" s="7">
        <f t="shared" si="25"/>
        <v>35.050000000046566</v>
      </c>
      <c r="O65" s="7"/>
      <c r="P65" s="7"/>
      <c r="Q65" s="23"/>
      <c r="R65" s="23"/>
      <c r="S65" s="35">
        <f t="shared" si="26"/>
        <v>1</v>
      </c>
      <c r="T65" s="50" t="str">
        <f t="shared" si="3"/>
        <v>NorthBound</v>
      </c>
      <c r="U65" s="18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08:51:04-0600',mode:absolute,to:'2016-10-26 11:35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5" s="52" t="str">
        <f t="shared" si="5"/>
        <v>N</v>
      </c>
      <c r="X65" s="186">
        <f t="shared" si="33"/>
        <v>1</v>
      </c>
      <c r="Y65" s="67">
        <f t="shared" si="30"/>
        <v>4.6199999999999998E-2</v>
      </c>
      <c r="Z65" s="67">
        <f t="shared" si="31"/>
        <v>23.329699999999999</v>
      </c>
      <c r="AA65" s="67">
        <f t="shared" si="8"/>
        <v>23.2835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9"/>
        <v>0151-26</v>
      </c>
      <c r="AE65" s="91" t="str">
        <f t="shared" si="10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65" s="88" t="str">
        <f t="shared" si="11"/>
        <v>"C:\Program Files (x86)\AstroGrep\AstroGrep.exe" /spath="%USERPROFILE%\AppData\Local\Temp\OnboardLogs" /stypes="app*4002*20161026*" /stext=" 16:.+((SYSTEM_STATE.+slice.+state.+changed )|(ment ac)|(system.+state.+changed )|(\[timeout)|(PRM\|1\|D)|(kpr)|(kdp)|(\|lc)|(penalty))" /e /r /s</v>
      </c>
      <c r="AG65" s="1" t="str">
        <f t="shared" si="12"/>
        <v>EC</v>
      </c>
      <c r="AH65" s="92" t="str">
        <f t="shared" si="19"/>
        <v>"%USERPROFILE%\Documents\GitHub\eaglep3\Utilities\RefineRTDCRunTimes.py" --tripid 151-26 --locoid 4002 --swversion DE.1.0.8.0 --startMP 204:462 --initTime 2016-10-26T09:51:04 --startdatetime 2016-10-26T10:00:15 --delay 1 --endMP 204:233297 --enddatetime 2016-10-26T10:35:18 --enforcementcount 0 &gt;&gt;C:\Users\stu\Documents\GitHub\eaglep3-reporting\EC\2016-10-26-refined-times.txt</v>
      </c>
      <c r="AI6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{"issue":{"subject":"","project_id":79,"tracker_id":40,"status_id":1,"priority_id":2,"assigned_to_id":23,"start_date":"2016-10-26","description":"","custom_fields":[{"id":1,"name":"Subdivision","value":"EC"},{"id":4,"name":"Milepost","value":"23.3297"},{"id":17,"name":"Train ID","value":"151-26"},{"id":16,"name":"Locomotive ID","value":"4002"},{"id":130,"name":"Impact","value":""},{"id":150,"name":"Time of Event (Mountain Time)","value":"10:35:18"},{"id":151,"name":"Denver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503</v>
      </c>
      <c r="B66" s="7">
        <v>4001</v>
      </c>
      <c r="C66" s="22" t="s">
        <v>378</v>
      </c>
      <c r="D66" s="22" t="s">
        <v>648</v>
      </c>
      <c r="E66" s="13">
        <v>42669.447094907409</v>
      </c>
      <c r="F66" s="13">
        <v>42669.455787037034</v>
      </c>
      <c r="G66" s="7">
        <v>1</v>
      </c>
      <c r="H66" s="13" t="s">
        <v>175</v>
      </c>
      <c r="I66" s="13">
        <v>42669.482233796298</v>
      </c>
      <c r="J66" s="7">
        <v>0</v>
      </c>
      <c r="K66" s="112" t="str">
        <f t="shared" si="0"/>
        <v>4001/4002</v>
      </c>
      <c r="L66" s="22" t="str">
        <f>VLOOKUP(A66,'Trips&amp;Operators'!$C$1:$E$10000,3,FALSE)</f>
        <v>KILLION</v>
      </c>
      <c r="M66" s="6">
        <f t="shared" si="1"/>
        <v>2.644675926421769E-2</v>
      </c>
      <c r="N66" s="7">
        <f t="shared" si="25"/>
        <v>38.083333340473473</v>
      </c>
      <c r="O66" s="7"/>
      <c r="P66" s="7"/>
      <c r="Q66" s="23"/>
      <c r="R66" s="23"/>
      <c r="S66" s="35">
        <f t="shared" si="26"/>
        <v>1</v>
      </c>
      <c r="T66" s="50" t="str">
        <f t="shared" si="3"/>
        <v>Southbound</v>
      </c>
      <c r="U66" s="18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09:43:49-0600',mode:absolute,to:'2016-10-26 12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6" s="52" t="str">
        <f t="shared" si="5"/>
        <v>N</v>
      </c>
      <c r="X66" s="186">
        <f t="shared" si="33"/>
        <v>1</v>
      </c>
      <c r="Y66" s="67">
        <f t="shared" si="30"/>
        <v>23.298300000000001</v>
      </c>
      <c r="Z66" s="67">
        <f t="shared" si="31"/>
        <v>1.47E-2</v>
      </c>
      <c r="AA66" s="67">
        <f t="shared" si="8"/>
        <v>23.2836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9"/>
        <v>0152-26</v>
      </c>
      <c r="AE66" s="91" t="str">
        <f t="shared" si="10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66" s="88" t="str">
        <f t="shared" si="11"/>
        <v>"C:\Program Files (x86)\AstroGrep\AstroGrep.exe" /spath="%USERPROFILE%\AppData\Local\Temp\OnboardLogs" /stypes="app*4001*20161026*" /stext=" 17:.+((SYSTEM_STATE.+slice.+state.+changed )|(ment ac)|(system.+state.+changed )|(\[timeout)|(PRM\|1\|D)|(kpr)|(kdp)|(\|lc)|(penalty))" /e /r /s</v>
      </c>
      <c r="AG66" s="1" t="str">
        <f t="shared" si="12"/>
        <v>EC</v>
      </c>
      <c r="AH66" s="92" t="str">
        <f t="shared" si="19"/>
        <v>"%USERPROFILE%\Documents\GitHub\eaglep3\Utilities\RefineRTDCRunTimes.py" --tripid 152-26 --locoid 4001 --swversion DE.1.0.8.0 --startMP 204:232983 --initTime 2016-10-26T10:43:49 --startdatetime 2016-10-26T10:56:20 --delay 1 --endMP 204:147 --enddatetime 2016-10-26T11:34:25 --enforcementcount 0 &gt;&gt;C:\Users\stu\Documents\GitHub\eaglep3-reporting\EC\2016-10-26-refined-times.txt</v>
      </c>
      <c r="AI66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ID","value":"152-26"},{"id":16,"name":"Locomotive ID","value":"4001"},{"id":130,"name":"Impact","value":""},{"id":150,"name":"Time of Event (Mountain Time)","value":"11:34:25"},{"id":151,"name":"Denver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497</v>
      </c>
      <c r="B67" s="7">
        <v>4029</v>
      </c>
      <c r="C67" s="22" t="s">
        <v>378</v>
      </c>
      <c r="D67" s="22" t="s">
        <v>366</v>
      </c>
      <c r="E67" s="13">
        <v>42669.425127314818</v>
      </c>
      <c r="F67" s="13">
        <v>42669.427581018521</v>
      </c>
      <c r="G67" s="7">
        <v>1</v>
      </c>
      <c r="H67" s="13" t="s">
        <v>359</v>
      </c>
      <c r="I67" s="13">
        <v>42669.451365740744</v>
      </c>
      <c r="J67" s="7">
        <v>0</v>
      </c>
      <c r="K67" s="112" t="str">
        <f t="shared" si="0"/>
        <v>4029/4030</v>
      </c>
      <c r="L67" s="22" t="str">
        <f>VLOOKUP(A67,'Trips&amp;Operators'!$C$1:$E$10000,3,FALSE)</f>
        <v>ROCHA</v>
      </c>
      <c r="M67" s="6">
        <f t="shared" si="1"/>
        <v>2.3784722223354038E-2</v>
      </c>
      <c r="N67" s="7">
        <f t="shared" si="25"/>
        <v>34.250000001629815</v>
      </c>
      <c r="O67" s="7"/>
      <c r="P67" s="7"/>
      <c r="Q67" s="23"/>
      <c r="R67" s="23"/>
      <c r="S67" s="35">
        <f t="shared" si="26"/>
        <v>1</v>
      </c>
      <c r="T67" s="50" t="str">
        <f t="shared" si="3"/>
        <v>NorthBound</v>
      </c>
      <c r="U67" s="18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09:12:11-0600',mode:absolute,to:'2016-10-26 11:49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7" s="52" t="str">
        <f t="shared" si="5"/>
        <v>N</v>
      </c>
      <c r="X67" s="186">
        <f t="shared" si="33"/>
        <v>1</v>
      </c>
      <c r="Y67" s="67">
        <f t="shared" si="30"/>
        <v>4.8399999999999999E-2</v>
      </c>
      <c r="Z67" s="67">
        <f t="shared" si="31"/>
        <v>23.330500000000001</v>
      </c>
      <c r="AA67" s="67">
        <f t="shared" si="8"/>
        <v>23.2821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9"/>
        <v>0153-26</v>
      </c>
      <c r="AE67" s="91" t="str">
        <f t="shared" si="10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67" s="88" t="str">
        <f t="shared" si="11"/>
        <v>"C:\Program Files (x86)\AstroGrep\AstroGrep.exe" /spath="%USERPROFILE%\AppData\Local\Temp\OnboardLogs" /stypes="app*4029*20161026*" /stext=" 16:.+((SYSTEM_STATE.+slice.+state.+changed )|(ment ac)|(system.+state.+changed )|(\[timeout)|(PRM\|1\|D)|(kpr)|(kdp)|(\|lc)|(penalty))" /e /r /s</v>
      </c>
      <c r="AG67" s="1" t="str">
        <f t="shared" si="12"/>
        <v>EC</v>
      </c>
      <c r="AH67" s="92" t="str">
        <f t="shared" si="19"/>
        <v>"%USERPROFILE%\Documents\GitHub\eaglep3\Utilities\RefineRTDCRunTimes.py" --tripid 153-26 --locoid 4029 --swversion DE.1.0.8.0 --startMP 204:484 --initTime 2016-10-26T10:12:11 --startdatetime 2016-10-26T10:15:43 --delay 1 --endMP 204:233305 --enddatetime 2016-10-26T10:49:58 --enforcementcount 0 &gt;&gt;C:\Users\stu\Documents\GitHub\eaglep3-reporting\EC\2016-10-26-refined-times.txt</v>
      </c>
      <c r="AI6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{"issue":{"subject":"","project_id":79,"tracker_id":40,"status_id":1,"priority_id":2,"assigned_to_id":23,"start_date":"2016-10-26","description":"","custom_fields":[{"id":1,"name":"Subdivision","value":"EC"},{"id":4,"name":"Milepost","value":"23.3305"},{"id":17,"name":"Train ID","value":"153-26"},{"id":16,"name":"Locomotive ID","value":"4029"},{"id":130,"name":"Impact","value":""},{"id":150,"name":"Time of Event (Mountain Time)","value":"10:49:58"},{"id":151,"name":"Denver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508</v>
      </c>
      <c r="B68" s="7">
        <v>4030</v>
      </c>
      <c r="C68" s="22" t="s">
        <v>378</v>
      </c>
      <c r="D68" s="22" t="s">
        <v>358</v>
      </c>
      <c r="E68" s="13">
        <v>42669.464641203704</v>
      </c>
      <c r="F68" s="13">
        <v>42669.467129629629</v>
      </c>
      <c r="G68" s="7">
        <v>1</v>
      </c>
      <c r="H68" s="13" t="s">
        <v>217</v>
      </c>
      <c r="I68" s="13">
        <v>42669.493101851855</v>
      </c>
      <c r="J68" s="7">
        <v>0</v>
      </c>
      <c r="K68" s="112" t="str">
        <f t="shared" si="0"/>
        <v>4029/4030</v>
      </c>
      <c r="L68" s="22" t="str">
        <f>VLOOKUP(A68,'Trips&amp;Operators'!$C$1:$E$10000,3,FALSE)</f>
        <v>ROCHA</v>
      </c>
      <c r="M68" s="6">
        <f t="shared" si="1"/>
        <v>2.5972222225391306E-2</v>
      </c>
      <c r="N68" s="7">
        <f t="shared" si="25"/>
        <v>37.400000004563481</v>
      </c>
      <c r="O68" s="7"/>
      <c r="P68" s="7"/>
      <c r="Q68" s="23"/>
      <c r="R68" s="23"/>
      <c r="S68" s="35">
        <f t="shared" si="26"/>
        <v>1</v>
      </c>
      <c r="T68" s="50" t="str">
        <f t="shared" si="3"/>
        <v>Southbound</v>
      </c>
      <c r="U68" s="18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10:09:05-0600',mode:absolute,to:'2016-10-26 12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8" s="52" t="str">
        <f t="shared" si="5"/>
        <v>N</v>
      </c>
      <c r="X68" s="186">
        <f t="shared" si="33"/>
        <v>1</v>
      </c>
      <c r="Y68" s="67">
        <f t="shared" si="30"/>
        <v>23.297799999999999</v>
      </c>
      <c r="Z68" s="67">
        <f t="shared" si="31"/>
        <v>1.4500000000000001E-2</v>
      </c>
      <c r="AA68" s="67">
        <f t="shared" si="8"/>
        <v>23.283299999999997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9"/>
        <v>0154-26</v>
      </c>
      <c r="AE68" s="91" t="str">
        <f t="shared" si="10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68" s="88" t="str">
        <f t="shared" si="11"/>
        <v>"C:\Program Files (x86)\AstroGrep\AstroGrep.exe" /spath="%USERPROFILE%\AppData\Local\Temp\OnboardLogs" /stypes="app*4030*20161026*" /stext=" 17:.+((SYSTEM_STATE.+slice.+state.+changed )|(ment ac)|(system.+state.+changed )|(\[timeout)|(PRM\|1\|D)|(kpr)|(kdp)|(\|lc)|(penalty))" /e /r /s</v>
      </c>
      <c r="AG68" s="1" t="str">
        <f t="shared" si="12"/>
        <v>EC</v>
      </c>
      <c r="AH68" s="92" t="str">
        <f t="shared" si="19"/>
        <v>"%USERPROFILE%\Documents\GitHub\eaglep3\Utilities\RefineRTDCRunTimes.py" --tripid 154-26 --locoid 4030 --swversion DE.1.0.8.0 --startMP 204:232978 --initTime 2016-10-26T11:09:05 --startdatetime 2016-10-26T11:12:40 --delay 1 --endMP 204:145 --enddatetime 2016-10-26T11:50:04 --enforcementcount 0 &gt;&gt;C:\Users\stu\Documents\GitHub\eaglep3-reporting\EC\2016-10-26-refined-times.txt</v>
      </c>
      <c r="AI6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{"issue":{"subject":"","project_id":79,"tracker_id":40,"status_id":1,"priority_id":2,"assigned_to_id":23,"start_date":"2016-10-26","description":"","custom_fields":[{"id":1,"name":"Subdivision","value":"EC"},{"id":4,"name":"Milepost","value":"0.0145"},{"id":17,"name":"Train ID","value":"154-26"},{"id":16,"name":"Locomotive ID","value":"4030"},{"id":130,"name":"Impact","value":""},{"id":150,"name":"Time of Event (Mountain Time)","value":"11:50:04"},{"id":151,"name":"Denver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499</v>
      </c>
      <c r="B69" s="7">
        <v>4040</v>
      </c>
      <c r="C69" s="22" t="s">
        <v>378</v>
      </c>
      <c r="D69" s="22" t="s">
        <v>223</v>
      </c>
      <c r="E69" s="13">
        <v>42669.432523148149</v>
      </c>
      <c r="F69" s="13">
        <v>42669.437696759262</v>
      </c>
      <c r="G69" s="7">
        <v>2</v>
      </c>
      <c r="H69" s="13" t="s">
        <v>278</v>
      </c>
      <c r="I69" s="13">
        <v>42669.46297453704</v>
      </c>
      <c r="J69" s="7">
        <v>0</v>
      </c>
      <c r="K69" s="112" t="str">
        <f t="shared" si="0"/>
        <v>4039/4040</v>
      </c>
      <c r="L69" s="22" t="str">
        <f>VLOOKUP(A69,'Trips&amp;Operators'!$C$1:$E$10000,3,FALSE)</f>
        <v>STARKS</v>
      </c>
      <c r="M69" s="6">
        <f t="shared" si="1"/>
        <v>2.527777777868323E-2</v>
      </c>
      <c r="N69" s="7">
        <f t="shared" si="25"/>
        <v>36.400000001303852</v>
      </c>
      <c r="O69" s="7"/>
      <c r="P69" s="7"/>
      <c r="Q69" s="23"/>
      <c r="R69" s="23"/>
      <c r="S69" s="35">
        <f t="shared" si="26"/>
        <v>1</v>
      </c>
      <c r="T69" s="50" t="str">
        <f t="shared" si="3"/>
        <v>NorthBound</v>
      </c>
      <c r="U69" s="18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09:22:50-0600',mode:absolute,to:'2016-10-26 12:06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9" s="52" t="str">
        <f t="shared" si="5"/>
        <v>N</v>
      </c>
      <c r="X69" s="186">
        <f t="shared" si="33"/>
        <v>1</v>
      </c>
      <c r="Y69" s="67">
        <f t="shared" ref="Y69:Y100" si="34">RIGHT(D69,LEN(D69)-4)/10000</f>
        <v>4.53E-2</v>
      </c>
      <c r="Z69" s="67">
        <f t="shared" ref="Z69:Z100" si="35">RIGHT(H69,LEN(H69)-4)/10000</f>
        <v>23.331</v>
      </c>
      <c r="AA69" s="67">
        <f t="shared" si="8"/>
        <v>23.285699999999999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9"/>
        <v>0155-26</v>
      </c>
      <c r="AE69" s="91" t="str">
        <f t="shared" si="10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69" s="88" t="str">
        <f t="shared" si="11"/>
        <v>"C:\Program Files (x86)\AstroGrep\AstroGrep.exe" /spath="%USERPROFILE%\AppData\Local\Temp\OnboardLogs" /stypes="app*4040*20161026*" /stext=" 17:.+((SYSTEM_STATE.+slice.+state.+changed )|(ment ac)|(system.+state.+changed )|(\[timeout)|(PRM\|1\|D)|(kpr)|(kdp)|(\|lc)|(penalty))" /e /r /s</v>
      </c>
      <c r="AG69" s="1" t="str">
        <f t="shared" si="12"/>
        <v>EC</v>
      </c>
      <c r="AH69" s="92" t="str">
        <f t="shared" si="19"/>
        <v>"%USERPROFILE%\Documents\GitHub\eaglep3\Utilities\RefineRTDCRunTimes.py" --tripid 155-26 --locoid 4040 --swversion DE.1.0.8.0 --startMP 204:453 --initTime 2016-10-26T10:22:50 --startdatetime 2016-10-26T10:30:17 --delay 2 --endMP 204:233310 --enddatetime 2016-10-26T11:06:41 --enforcementcount 0 &gt;&gt;C:\Users\stu\Documents\GitHub\eaglep3-reporting\EC\2016-10-26-refined-times.txt</v>
      </c>
      <c r="AI69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{"issue":{"subject":"","project_id":79,"tracker_id":40,"status_id":1,"priority_id":2,"assigned_to_id":23,"start_date":"2016-10-26","description":"","custom_fields":[{"id":1,"name":"Subdivision","value":"EC"},{"id":4,"name":"Milepost","value":"23.331"},{"id":17,"name":"Train ID","value":"155-26"},{"id":16,"name":"Locomotive ID","value":"4040"},{"id":130,"name":"Impact","value":""},{"id":150,"name":"Time of Event (Mountain Time)","value":"11:06:41"},{"id":151,"name":"Denver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509</v>
      </c>
      <c r="B70" s="7">
        <v>4039</v>
      </c>
      <c r="C70" s="22" t="s">
        <v>378</v>
      </c>
      <c r="D70" s="22" t="s">
        <v>277</v>
      </c>
      <c r="E70" s="13">
        <v>42669.470543981479</v>
      </c>
      <c r="F70" s="13">
        <v>42669.476701388892</v>
      </c>
      <c r="G70" s="7">
        <v>2</v>
      </c>
      <c r="H70" s="13" t="s">
        <v>175</v>
      </c>
      <c r="I70" s="13">
        <v>42669.50440972222</v>
      </c>
      <c r="J70" s="7">
        <v>0</v>
      </c>
      <c r="K70" s="112" t="str">
        <f t="shared" si="0"/>
        <v>4039/4040</v>
      </c>
      <c r="L70" s="22" t="str">
        <f>VLOOKUP(A70,'Trips&amp;Operators'!$C$1:$E$10000,3,FALSE)</f>
        <v>STARKS</v>
      </c>
      <c r="M70" s="6">
        <f t="shared" si="1"/>
        <v>2.770833332760958E-2</v>
      </c>
      <c r="N70" s="7">
        <f t="shared" si="25"/>
        <v>39.899999991757795</v>
      </c>
      <c r="O70" s="7"/>
      <c r="P70" s="7"/>
      <c r="Q70" s="23"/>
      <c r="R70" s="23"/>
      <c r="S70" s="35">
        <f t="shared" si="26"/>
        <v>1</v>
      </c>
      <c r="T70" s="50" t="str">
        <f t="shared" si="3"/>
        <v>Southbound</v>
      </c>
      <c r="U70" s="18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10:17:35-0600',mode:absolute,to:'2016-10-26 13:06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0" s="52" t="str">
        <f t="shared" si="5"/>
        <v>N</v>
      </c>
      <c r="X70" s="186">
        <f t="shared" si="33"/>
        <v>1</v>
      </c>
      <c r="Y70" s="67">
        <f t="shared" si="34"/>
        <v>23.299299999999999</v>
      </c>
      <c r="Z70" s="67">
        <f t="shared" si="35"/>
        <v>1.47E-2</v>
      </c>
      <c r="AA70" s="67">
        <f t="shared" si="8"/>
        <v>23.284599999999998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9"/>
        <v>0156-26</v>
      </c>
      <c r="AE70" s="91" t="str">
        <f t="shared" si="10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70" s="88" t="str">
        <f t="shared" si="11"/>
        <v>"C:\Program Files (x86)\AstroGrep\AstroGrep.exe" /spath="%USERPROFILE%\AppData\Local\Temp\OnboardLogs" /stypes="app*4039*20161026*" /stext=" 18:.+((SYSTEM_STATE.+slice.+state.+changed )|(ment ac)|(system.+state.+changed )|(\[timeout)|(PRM\|1\|D)|(kpr)|(kdp)|(\|lc)|(penalty))" /e /r /s</v>
      </c>
      <c r="AG70" s="1" t="str">
        <f t="shared" si="12"/>
        <v>EC</v>
      </c>
      <c r="AH70" s="92" t="str">
        <f t="shared" si="19"/>
        <v>"%USERPROFILE%\Documents\GitHub\eaglep3\Utilities\RefineRTDCRunTimes.py" --tripid 156-26 --locoid 4039 --swversion DE.1.0.8.0 --startMP 204:232993 --initTime 2016-10-26T11:17:35 --startdatetime 2016-10-26T11:26:27 --delay 2 --endMP 204:147 --enddatetime 2016-10-26T12:06:21 --enforcementcount 0 &gt;&gt;C:\Users\stu\Documents\GitHub\eaglep3-reporting\EC\2016-10-26-refined-times.txt</v>
      </c>
      <c r="AI70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ID","value":"156-26"},{"id":16,"name":"Locomotive ID","value":"4039"},{"id":130,"name":"Impact","value":""},{"id":150,"name":"Time of Event (Mountain Time)","value":"12:06:21"},{"id":151,"name":"Denver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502</v>
      </c>
      <c r="B71" s="7">
        <v>4016</v>
      </c>
      <c r="C71" s="22" t="s">
        <v>378</v>
      </c>
      <c r="D71" s="22" t="s">
        <v>296</v>
      </c>
      <c r="E71" s="13">
        <v>42669.442881944444</v>
      </c>
      <c r="F71" s="13">
        <v>42669.448113425926</v>
      </c>
      <c r="G71" s="7">
        <v>1</v>
      </c>
      <c r="H71" s="13" t="s">
        <v>370</v>
      </c>
      <c r="I71" s="13">
        <v>42669.472326388888</v>
      </c>
      <c r="J71" s="7">
        <v>0</v>
      </c>
      <c r="K71" s="112" t="str">
        <f t="shared" si="0"/>
        <v>4015/4016</v>
      </c>
      <c r="L71" s="22" t="str">
        <f>VLOOKUP(A71,'Trips&amp;Operators'!$C$1:$E$10000,3,FALSE)</f>
        <v>NELSON</v>
      </c>
      <c r="M71" s="6">
        <f t="shared" si="1"/>
        <v>2.421296296233777E-2</v>
      </c>
      <c r="N71" s="7">
        <f t="shared" si="25"/>
        <v>34.866666665766388</v>
      </c>
      <c r="O71" s="7"/>
      <c r="P71" s="7"/>
      <c r="Q71" s="23"/>
      <c r="R71" s="23"/>
      <c r="S71" s="35">
        <f t="shared" si="26"/>
        <v>1</v>
      </c>
      <c r="T71" s="50" t="str">
        <f t="shared" si="3"/>
        <v>NorthBound</v>
      </c>
      <c r="U71" s="18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09:37:45-0600',mode:absolute,to:'2016-10-26 12:20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5"/>
        <v>N</v>
      </c>
      <c r="X71" s="186">
        <f t="shared" si="33"/>
        <v>1</v>
      </c>
      <c r="Y71" s="67">
        <f t="shared" si="34"/>
        <v>4.5699999999999998E-2</v>
      </c>
      <c r="Z71" s="67">
        <f t="shared" si="35"/>
        <v>23.327400000000001</v>
      </c>
      <c r="AA71" s="67">
        <f t="shared" si="8"/>
        <v>23.281700000000001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9"/>
        <v>0157-26</v>
      </c>
      <c r="AE71" s="91" t="str">
        <f t="shared" si="10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71" s="88" t="str">
        <f t="shared" si="11"/>
        <v>"C:\Program Files (x86)\AstroGrep\AstroGrep.exe" /spath="%USERPROFILE%\AppData\Local\Temp\OnboardLogs" /stypes="app*4016*20161026*" /stext=" 17:.+((SYSTEM_STATE.+slice.+state.+changed )|(ment ac)|(system.+state.+changed )|(\[timeout)|(PRM\|1\|D)|(kpr)|(kdp)|(\|lc)|(penalty))" /e /r /s</v>
      </c>
      <c r="AG71" s="1" t="str">
        <f t="shared" si="12"/>
        <v>EC</v>
      </c>
      <c r="AH71" s="92" t="str">
        <f t="shared" si="19"/>
        <v>"%USERPROFILE%\Documents\GitHub\eaglep3\Utilities\RefineRTDCRunTimes.py" --tripid 157-26 --locoid 4016 --swversion DE.1.0.8.0 --startMP 204:457 --initTime 2016-10-26T10:37:45 --startdatetime 2016-10-26T10:45:17 --delay 1 --endMP 204:233274 --enddatetime 2016-10-26T11:20:09 --enforcementcount 0 &gt;&gt;C:\Users\stu\Documents\GitHub\eaglep3-reporting\EC\2016-10-26-refined-times.txt</v>
      </c>
      <c r="AI71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{"issue":{"subject":"","project_id":79,"tracker_id":40,"status_id":1,"priority_id":2,"assigned_to_id":23,"start_date":"2016-10-26","description":"","custom_fields":[{"id":1,"name":"Subdivision","value":"EC"},{"id":4,"name":"Milepost","value":"23.3274"},{"id":17,"name":"Train ID","value":"157-26"},{"id":16,"name":"Locomotive ID","value":"4016"},{"id":130,"name":"Impact","value":""},{"id":150,"name":"Time of Event (Mountain Time)","value":"11:20:09"},{"id":151,"name":"Denver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518</v>
      </c>
      <c r="B72" s="7">
        <v>4015</v>
      </c>
      <c r="C72" s="22" t="s">
        <v>378</v>
      </c>
      <c r="D72" s="22" t="s">
        <v>661</v>
      </c>
      <c r="E72" s="13">
        <v>42669.49728009259</v>
      </c>
      <c r="F72" s="13">
        <v>42669.499016203707</v>
      </c>
      <c r="G72" s="7">
        <v>1</v>
      </c>
      <c r="H72" s="13" t="s">
        <v>221</v>
      </c>
      <c r="I72" s="13">
        <v>42669.516215277778</v>
      </c>
      <c r="J72" s="7">
        <v>0</v>
      </c>
      <c r="K72" s="112" t="str">
        <f t="shared" si="0"/>
        <v>4015/4016</v>
      </c>
      <c r="L72" s="22" t="str">
        <f>VLOOKUP(A72,'Trips&amp;Operators'!$C$1:$E$10000,3,FALSE)</f>
        <v>NELSON</v>
      </c>
      <c r="M72" s="6">
        <f t="shared" si="1"/>
        <v>1.7199074070958886E-2</v>
      </c>
      <c r="N72" s="7"/>
      <c r="O72" s="7"/>
      <c r="P72" s="7">
        <f>24*60*SUM($M72:$M72)</f>
        <v>24.766666662180796</v>
      </c>
      <c r="Q72" s="23"/>
      <c r="R72" s="23" t="s">
        <v>796</v>
      </c>
      <c r="S72" s="35">
        <f t="shared" si="26"/>
        <v>1</v>
      </c>
      <c r="T72" s="50" t="str">
        <f t="shared" si="3"/>
        <v>Southbound</v>
      </c>
      <c r="U72" s="18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10:56:05-0600',mode:absolute,to:'2016-10-26 13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5"/>
        <v>Y</v>
      </c>
      <c r="X72" s="186">
        <f t="shared" si="33"/>
        <v>1</v>
      </c>
      <c r="Y72" s="67">
        <f t="shared" si="34"/>
        <v>12.7864</v>
      </c>
      <c r="Z72" s="67">
        <f t="shared" si="35"/>
        <v>1.4999999999999999E-2</v>
      </c>
      <c r="AA72" s="67">
        <f t="shared" si="8"/>
        <v>12.7714</v>
      </c>
      <c r="AB72" s="64" t="e">
        <f>VLOOKUP(A72,Enforcements!$C$7:$K$21,8,0)</f>
        <v>#N/A</v>
      </c>
      <c r="AC72" s="60" t="e">
        <f>VLOOKUP(A72,Enforcements!$C$7:$E$21,3,0)</f>
        <v>#N/A</v>
      </c>
      <c r="AD72" s="61" t="str">
        <f t="shared" si="9"/>
        <v>0158-26</v>
      </c>
      <c r="AE72" s="91" t="str">
        <f t="shared" si="10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72" s="88" t="str">
        <f t="shared" si="11"/>
        <v>"C:\Program Files (x86)\AstroGrep\AstroGrep.exe" /spath="%USERPROFILE%\AppData\Local\Temp\OnboardLogs" /stypes="app*4015*20161026*" /stext=" 18:.+((SYSTEM_STATE.+slice.+state.+changed )|(ment ac)|(system.+state.+changed )|(\[timeout)|(PRM\|1\|D)|(kpr)|(kdp)|(\|lc)|(penalty))" /e /r /s</v>
      </c>
      <c r="AG72" s="1" t="str">
        <f t="shared" si="12"/>
        <v>EC</v>
      </c>
      <c r="AH72" s="92" t="str">
        <f t="shared" si="19"/>
        <v>"%USERPROFILE%\Documents\GitHub\eaglep3\Utilities\RefineRTDCRunTimes.py" --tripid 158-26 --locoid 4015 --swversion DE.1.0.8.0 --startMP 204:127864 --initTime 2016-10-26T11:56:05 --startdatetime 2016-10-26T11:58:35 --delay 1 --endMP 204:150 --enddatetime 2016-10-26T12:23:21 --enforcementcount 0 &gt;&gt;C:\Users\stu\Documents\GitHub\eaglep3-reporting\EC\2016-10-26-refined-times.txt</v>
      </c>
      <c r="AI72" s="122" t="str">
        <f t="shared" si="20"/>
        <v>echo {"issue":{"subject":"Init failure - cause still under investigation? (Logs unavailable)","project_id":79,"tracker_id":40,"status_id":1,"priority_id":2,"assigned_to_id":23,"start_date":"2016-10-26","description":"See title","custom_fields":[{"id":1,"name":"Subdivision","value":"EC"},{"id":4,"name":"Milepost","value":"0.015"},{"id":17,"name":"Train ID","value":"158-26"},{"id":16,"name":"Locomotive ID","value":"4015"},{"id":130,"name":"Impact","value":"Initialization Problem"},{"id":150,"name":"Time of Event (Mountain Time)","value":"12:23:21"},{"id":151,"name":"Denver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72" s="53" t="s">
        <v>399</v>
      </c>
      <c r="AK72" s="53" t="s">
        <v>133</v>
      </c>
      <c r="AL72" s="53" t="s">
        <v>178</v>
      </c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504</v>
      </c>
      <c r="B73" s="7">
        <v>4011</v>
      </c>
      <c r="C73" s="22" t="s">
        <v>378</v>
      </c>
      <c r="D73" s="22" t="s">
        <v>225</v>
      </c>
      <c r="E73" s="13">
        <v>42669.455648148149</v>
      </c>
      <c r="F73" s="13">
        <v>42669.458599537036</v>
      </c>
      <c r="G73" s="7">
        <v>1</v>
      </c>
      <c r="H73" s="13" t="s">
        <v>653</v>
      </c>
      <c r="I73" s="13">
        <v>42669.483310185184</v>
      </c>
      <c r="J73" s="7">
        <v>0</v>
      </c>
      <c r="K73" s="112" t="str">
        <f t="shared" si="0"/>
        <v>4011/4012</v>
      </c>
      <c r="L73" s="22" t="str">
        <f>VLOOKUP(A73,'Trips&amp;Operators'!$C$1:$E$10000,3,FALSE)</f>
        <v>BONDS</v>
      </c>
      <c r="M73" s="6">
        <f t="shared" si="1"/>
        <v>2.47106481474475E-2</v>
      </c>
      <c r="N73" s="7">
        <f t="shared" ref="N73:N104" si="36">24*60*SUM($M73:$M73)</f>
        <v>35.583333332324401</v>
      </c>
      <c r="O73" s="7"/>
      <c r="P73" s="7"/>
      <c r="Q73" s="23"/>
      <c r="R73" s="23"/>
      <c r="S73" s="35">
        <f t="shared" si="26"/>
        <v>1</v>
      </c>
      <c r="T73" s="50" t="str">
        <f t="shared" si="3"/>
        <v>NorthBound</v>
      </c>
      <c r="U73" s="18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09:56:08-0600',mode:absolute,to:'2016-10-26 12:35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3" s="52" t="str">
        <f t="shared" si="5"/>
        <v>N</v>
      </c>
      <c r="X73" s="186">
        <f t="shared" ref="X73:X104" si="37">VALUE(LEFT(AD73,4))-VALUE(LEFT(AD72,4))</f>
        <v>1</v>
      </c>
      <c r="Y73" s="67">
        <f t="shared" si="34"/>
        <v>4.5499999999999999E-2</v>
      </c>
      <c r="Z73" s="67">
        <f t="shared" si="35"/>
        <v>23.3306</v>
      </c>
      <c r="AA73" s="67">
        <f t="shared" si="8"/>
        <v>23.2851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9"/>
        <v>0159-26</v>
      </c>
      <c r="AE73" s="91" t="str">
        <f t="shared" si="10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73" s="88" t="str">
        <f t="shared" si="11"/>
        <v>"C:\Program Files (x86)\AstroGrep\AstroGrep.exe" /spath="%USERPROFILE%\AppData\Local\Temp\OnboardLogs" /stypes="app*4011*20161026*" /stext=" 17:.+((SYSTEM_STATE.+slice.+state.+changed )|(ment ac)|(system.+state.+changed )|(\[timeout)|(PRM\|1\|D)|(kpr)|(kdp)|(\|lc)|(penalty))" /e /r /s</v>
      </c>
      <c r="AG73" s="1" t="str">
        <f t="shared" si="12"/>
        <v>EC</v>
      </c>
      <c r="AH73" s="92" t="str">
        <f t="shared" si="19"/>
        <v>"%USERPROFILE%\Documents\GitHub\eaglep3\Utilities\RefineRTDCRunTimes.py" --tripid 159-26 --locoid 4011 --swversion DE.1.0.8.0 --startMP 204:455 --initTime 2016-10-26T10:56:08 --startdatetime 2016-10-26T11:00:23 --delay 1 --endMP 204:233306 --enddatetime 2016-10-26T11:35:58 --enforcementcount 0 &gt;&gt;C:\Users\stu\Documents\GitHub\eaglep3-reporting\EC\2016-10-26-refined-times.txt</v>
      </c>
      <c r="AI73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{"issue":{"subject":"","project_id":79,"tracker_id":40,"status_id":1,"priority_id":2,"assigned_to_id":23,"start_date":"2016-10-26","description":"","custom_fields":[{"id":1,"name":"Subdivision","value":"EC"},{"id":4,"name":"Milepost","value":"23.3306"},{"id":17,"name":"Train ID","value":"159-26"},{"id":16,"name":"Locomotive ID","value":"4011"},{"id":130,"name":"Impact","value":""},{"id":150,"name":"Time of Event (Mountain Time)","value":"11:35:58"},{"id":151,"name":"Denver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515</v>
      </c>
      <c r="B74" s="7">
        <v>4012</v>
      </c>
      <c r="C74" s="22" t="s">
        <v>378</v>
      </c>
      <c r="D74" s="22" t="s">
        <v>648</v>
      </c>
      <c r="E74" s="13">
        <v>42669.49114583333</v>
      </c>
      <c r="F74" s="13">
        <v>42669.497418981482</v>
      </c>
      <c r="G74" s="7">
        <v>1</v>
      </c>
      <c r="H74" s="13" t="s">
        <v>181</v>
      </c>
      <c r="I74" s="13">
        <v>42669.525173611109</v>
      </c>
      <c r="J74" s="7">
        <v>0</v>
      </c>
      <c r="K74" s="112" t="str">
        <f t="shared" si="0"/>
        <v>4011/4012</v>
      </c>
      <c r="L74" s="22" t="str">
        <f>VLOOKUP(A74,'Trips&amp;Operators'!$C$1:$E$10000,3,FALSE)</f>
        <v>BONDS</v>
      </c>
      <c r="M74" s="6">
        <f t="shared" si="1"/>
        <v>2.7754629627452232E-2</v>
      </c>
      <c r="N74" s="7">
        <f t="shared" si="36"/>
        <v>39.966666663531214</v>
      </c>
      <c r="O74" s="7"/>
      <c r="P74" s="7"/>
      <c r="Q74" s="23"/>
      <c r="R74" s="23"/>
      <c r="S74" s="35">
        <f t="shared" si="26"/>
        <v>1</v>
      </c>
      <c r="T74" s="50" t="str">
        <f t="shared" si="3"/>
        <v>Southbound</v>
      </c>
      <c r="U74" s="18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10:47:15-0600',mode:absolute,to:'2016-10-26 13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4" s="52" t="str">
        <f t="shared" si="5"/>
        <v>N</v>
      </c>
      <c r="X74" s="186">
        <f t="shared" si="37"/>
        <v>1</v>
      </c>
      <c r="Y74" s="67">
        <f t="shared" si="34"/>
        <v>23.298300000000001</v>
      </c>
      <c r="Z74" s="67">
        <f t="shared" si="35"/>
        <v>1.41E-2</v>
      </c>
      <c r="AA74" s="67">
        <f t="shared" si="8"/>
        <v>23.284200000000002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9"/>
        <v>0160-26</v>
      </c>
      <c r="AE74" s="91" t="str">
        <f t="shared" si="10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74" s="88" t="str">
        <f t="shared" si="11"/>
        <v>"C:\Program Files (x86)\AstroGrep\AstroGrep.exe" /spath="%USERPROFILE%\AppData\Local\Temp\OnboardLogs" /stypes="app*4012*20161026*" /stext=" 18:.+((SYSTEM_STATE.+slice.+state.+changed )|(ment ac)|(system.+state.+changed )|(\[timeout)|(PRM\|1\|D)|(kpr)|(kdp)|(\|lc)|(penalty))" /e /r /s</v>
      </c>
      <c r="AG74" s="1" t="str">
        <f t="shared" si="12"/>
        <v>EC</v>
      </c>
      <c r="AH74" s="92" t="str">
        <f t="shared" si="19"/>
        <v>"%USERPROFILE%\Documents\GitHub\eaglep3\Utilities\RefineRTDCRunTimes.py" --tripid 160-26 --locoid 4012 --swversion DE.1.0.8.0 --startMP 204:232983 --initTime 2016-10-26T11:47:15 --startdatetime 2016-10-26T11:56:17 --delay 1 --endMP 204:141 --enddatetime 2016-10-26T12:36:15 --enforcementcount 0 &gt;&gt;C:\Users\stu\Documents\GitHub\eaglep3-reporting\EC\2016-10-26-refined-times.txt</v>
      </c>
      <c r="AI74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{"issue":{"subject":"","project_id":79,"tracker_id":40,"status_id":1,"priority_id":2,"assigned_to_id":23,"start_date":"2016-10-26","description":"","custom_fields":[{"id":1,"name":"Subdivision","value":"EC"},{"id":4,"name":"Milepost","value":"0.0141"},{"id":17,"name":"Train ID","value":"160-26"},{"id":16,"name":"Locomotive ID","value":"4012"},{"id":130,"name":"Impact","value":""},{"id":150,"name":"Time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507</v>
      </c>
      <c r="B75" s="7">
        <v>4031</v>
      </c>
      <c r="C75" s="22" t="s">
        <v>378</v>
      </c>
      <c r="D75" s="22" t="s">
        <v>273</v>
      </c>
      <c r="E75" s="13">
        <v>42669.46298611111</v>
      </c>
      <c r="F75" s="13">
        <v>42669.468969907408</v>
      </c>
      <c r="G75" s="7">
        <v>1</v>
      </c>
      <c r="H75" s="13" t="s">
        <v>359</v>
      </c>
      <c r="I75" s="13">
        <v>42669.49386574074</v>
      </c>
      <c r="J75" s="7">
        <v>0</v>
      </c>
      <c r="K75" s="112" t="str">
        <f t="shared" si="0"/>
        <v>4031/4032</v>
      </c>
      <c r="L75" s="22" t="str">
        <f>VLOOKUP(A75,'Trips&amp;Operators'!$C$1:$E$10000,3,FALSE)</f>
        <v>BARTLETT</v>
      </c>
      <c r="M75" s="6">
        <f t="shared" si="1"/>
        <v>2.4895833332266193E-2</v>
      </c>
      <c r="N75" s="7">
        <f t="shared" si="36"/>
        <v>35.849999998463318</v>
      </c>
      <c r="O75" s="7"/>
      <c r="P75" s="7"/>
      <c r="Q75" s="23"/>
      <c r="R75" s="23"/>
      <c r="S75" s="35">
        <f t="shared" si="26"/>
        <v>1</v>
      </c>
      <c r="T75" s="50" t="str">
        <f t="shared" si="3"/>
        <v>NorthBound</v>
      </c>
      <c r="U75" s="18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10:06:42-0600',mode:absolute,to:'2016-10-26 12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5"/>
        <v>N</v>
      </c>
      <c r="X75" s="186">
        <f t="shared" si="37"/>
        <v>1</v>
      </c>
      <c r="Y75" s="67">
        <f t="shared" si="34"/>
        <v>4.6199999999999998E-2</v>
      </c>
      <c r="Z75" s="67">
        <f t="shared" si="35"/>
        <v>23.330500000000001</v>
      </c>
      <c r="AA75" s="67">
        <f t="shared" si="8"/>
        <v>23.284300000000002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9"/>
        <v>0161-26</v>
      </c>
      <c r="AE75" s="91" t="str">
        <f t="shared" si="10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75" s="88" t="str">
        <f t="shared" si="11"/>
        <v>"C:\Program Files (x86)\AstroGrep\AstroGrep.exe" /spath="%USERPROFILE%\AppData\Local\Temp\OnboardLogs" /stypes="app*4031*20161026*" /stext=" 17:.+((SYSTEM_STATE.+slice.+state.+changed )|(ment ac)|(system.+state.+changed )|(\[timeout)|(PRM\|1\|D)|(kpr)|(kdp)|(\|lc)|(penalty))" /e /r /s</v>
      </c>
      <c r="AG75" s="1" t="str">
        <f t="shared" si="12"/>
        <v>EC</v>
      </c>
      <c r="AH75" s="92" t="str">
        <f t="shared" si="19"/>
        <v>"%USERPROFILE%\Documents\GitHub\eaglep3\Utilities\RefineRTDCRunTimes.py" --tripid 161-26 --locoid 4031 --swversion DE.1.0.8.0 --startMP 204:462 --initTime 2016-10-26T11:06:42 --startdatetime 2016-10-26T11:15:19 --delay 1 --endMP 204:233305 --enddatetime 2016-10-26T11:51:10 --enforcementcount 0 &gt;&gt;C:\Users\stu\Documents\GitHub\eaglep3-reporting\EC\2016-10-26-refined-times.txt</v>
      </c>
      <c r="AI75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{"issue":{"subject":"","project_id":79,"tracker_id":40,"status_id":1,"priority_id":2,"assigned_to_id":23,"start_date":"2016-10-26","description":"","custom_fields":[{"id":1,"name":"Subdivision","value":"EC"},{"id":4,"name":"Milepost","value":"23.3305"},{"id":17,"name":"Train ID","value":"161-26"},{"id":16,"name":"Locomotive ID","value":"4031"},{"id":130,"name":"Impact","value":""},{"id":150,"name":"Time of Event (Mountain Time)","value":"11:51:10"},{"id":151,"name":"Denver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516</v>
      </c>
      <c r="B76" s="7">
        <v>4032</v>
      </c>
      <c r="C76" s="22" t="s">
        <v>378</v>
      </c>
      <c r="D76" s="22" t="s">
        <v>248</v>
      </c>
      <c r="E76" s="13">
        <v>42669.496111111112</v>
      </c>
      <c r="F76" s="13">
        <v>42669.507939814815</v>
      </c>
      <c r="G76" s="7">
        <v>1</v>
      </c>
      <c r="H76" s="13" t="s">
        <v>230</v>
      </c>
      <c r="I76" s="13">
        <v>42669.535960648151</v>
      </c>
      <c r="J76" s="7">
        <v>0</v>
      </c>
      <c r="K76" s="112" t="str">
        <f t="shared" si="0"/>
        <v>4031/4032</v>
      </c>
      <c r="L76" s="22" t="str">
        <f>VLOOKUP(A76,'Trips&amp;Operators'!$C$1:$E$10000,3,FALSE)</f>
        <v>BARTLETT</v>
      </c>
      <c r="M76" s="6">
        <f t="shared" si="1"/>
        <v>2.8020833335176576E-2</v>
      </c>
      <c r="N76" s="7">
        <f t="shared" si="36"/>
        <v>40.350000002654269</v>
      </c>
      <c r="O76" s="7"/>
      <c r="P76" s="7"/>
      <c r="Q76" s="23"/>
      <c r="R76" s="23"/>
      <c r="S76" s="35">
        <f t="shared" si="26"/>
        <v>1</v>
      </c>
      <c r="T76" s="50" t="str">
        <f t="shared" si="3"/>
        <v>Southbound</v>
      </c>
      <c r="U76" s="18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https://search-rtdc-monitor-bjffxe2xuh6vdkpspy63sjmuny.us-east-1.es.amazonaws.com/_plugin/kibana/#/discover/Steve-Slow-Train-Analysis-(2080s-and-2083s)?_g=(refreshInterval:(display:Off,section:0,value:0),time:(from:'2016-10-26 10:54:24-0600',mode:absolute,to:'2016-10-26 13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5"/>
        <v>N</v>
      </c>
      <c r="X76" s="186">
        <f t="shared" si="37"/>
        <v>1</v>
      </c>
      <c r="Y76" s="67">
        <f t="shared" si="34"/>
        <v>23.297699999999999</v>
      </c>
      <c r="Z76" s="67">
        <f t="shared" si="35"/>
        <v>1.6E-2</v>
      </c>
      <c r="AA76" s="67">
        <f t="shared" si="8"/>
        <v>23.281700000000001</v>
      </c>
      <c r="AB76" s="64" t="e">
        <f>VLOOKUP(A76,Enforcements!$C$7:$K$21,8,0)</f>
        <v>#N/A</v>
      </c>
      <c r="AC76" s="60" t="e">
        <f>VLOOKUP(A76,Enforcements!$C$7:$E$21,3,0)</f>
        <v>#N/A</v>
      </c>
      <c r="AD76" s="61" t="str">
        <f t="shared" si="9"/>
        <v>0162-26</v>
      </c>
      <c r="AE76" s="91" t="str">
        <f t="shared" si="10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76" s="88" t="str">
        <f t="shared" si="11"/>
        <v>"C:\Program Files (x86)\AstroGrep\AstroGrep.exe" /spath="%USERPROFILE%\AppData\Local\Temp\OnboardLogs" /stypes="app*4032*20161026*" /stext=" 18:.+((SYSTEM_STATE.+slice.+state.+changed )|(ment ac)|(system.+state.+changed )|(\[timeout)|(PRM\|1\|D)|(kpr)|(kdp)|(\|lc)|(penalty))" /e /r /s</v>
      </c>
      <c r="AG76" s="1" t="str">
        <f t="shared" si="12"/>
        <v>EC</v>
      </c>
      <c r="AH76" s="92" t="str">
        <f t="shared" si="19"/>
        <v>"%USERPROFILE%\Documents\GitHub\eaglep3\Utilities\RefineRTDCRunTimes.py" --tripid 162-26 --locoid 4032 --swversion DE.1.0.8.0 --startMP 204:232977 --initTime 2016-10-26T11:54:24 --startdatetime 2016-10-26T12:11:26 --delay 1 --endMP 204:160 --enddatetime 2016-10-26T12:51:47 --enforcementcount 0 &gt;&gt;C:\Users\stu\Documents\GitHub\eaglep3-reporting\EC\2016-10-26-refined-times.txt</v>
      </c>
      <c r="AI76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ID","value":"162-26"},{"id":16,"name":"Locomotive ID","value":"4032"},{"id":130,"name":"Impact","value":""},{"id":150,"name":"Time of Event (Mountain Time)","value":"12:51:47"},{"id":151,"name":"Denver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510</v>
      </c>
      <c r="B77" s="7">
        <v>4046</v>
      </c>
      <c r="C77" s="22" t="s">
        <v>378</v>
      </c>
      <c r="D77" s="22" t="s">
        <v>231</v>
      </c>
      <c r="E77" s="13">
        <v>42669.47556712963</v>
      </c>
      <c r="F77" s="13">
        <v>42669.479710648149</v>
      </c>
      <c r="G77" s="7">
        <v>2</v>
      </c>
      <c r="H77" s="13" t="s">
        <v>352</v>
      </c>
      <c r="I77" s="13">
        <v>42669.504189814812</v>
      </c>
      <c r="J77" s="7">
        <v>0</v>
      </c>
      <c r="K77" s="112" t="str">
        <f t="shared" ref="K77:K140" si="38">IF(ISEVEN(B77),(B77-1)&amp;"/"&amp;B77,B77&amp;"/"&amp;(B77+1))</f>
        <v>4045/4046</v>
      </c>
      <c r="L77" s="22" t="str">
        <f>VLOOKUP(A77,'Trips&amp;Operators'!$C$1:$E$10000,3,FALSE)</f>
        <v>JOHNSON</v>
      </c>
      <c r="M77" s="6">
        <f t="shared" ref="M77:M140" si="39">I77-F77</f>
        <v>2.4479166662786156E-2</v>
      </c>
      <c r="N77" s="7">
        <f t="shared" si="36"/>
        <v>35.249999994412065</v>
      </c>
      <c r="O77" s="7"/>
      <c r="P77" s="7"/>
      <c r="Q77" s="23"/>
      <c r="R77" s="23"/>
      <c r="S77" s="35">
        <f t="shared" si="26"/>
        <v>1</v>
      </c>
      <c r="T77" s="50" t="str">
        <f t="shared" ref="T77:T140" si="40">IF(ISEVEN(LEFT(AD77,4)),"Southbound","NorthBound")</f>
        <v>NorthBound</v>
      </c>
      <c r="U77" s="18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4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https://search-rtdc-monitor-bjffxe2xuh6vdkpspy63sjmuny.us-east-1.es.amazonaws.com/_plugin/kibana/#/discover/Steve-Slow-Train-Analysis-(2080s-and-2083s)?_g=(refreshInterval:(display:Off,section:0,value:0),time:(from:'2016-10-26 10:24:49-0600',mode:absolute,to:'2016-10-26 13:06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7" s="52" t="str">
        <f t="shared" ref="W77:W140" si="42">IF(AA77&lt;IF(AG77="EC",23,5.65),"Y","N")</f>
        <v>N</v>
      </c>
      <c r="X77" s="186">
        <f t="shared" si="37"/>
        <v>1</v>
      </c>
      <c r="Y77" s="67">
        <f t="shared" si="34"/>
        <v>4.5999999999999999E-2</v>
      </c>
      <c r="Z77" s="67">
        <f t="shared" si="35"/>
        <v>23.3308</v>
      </c>
      <c r="AA77" s="67">
        <f t="shared" ref="AA77:AA140" si="43">ABS(Z77-Y77)</f>
        <v>23.284800000000001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ref="AD77:AD140" si="44">IF(LEN(A77)=6,"0"&amp;A77,A77)</f>
        <v>0163-26</v>
      </c>
      <c r="AE77" s="91" t="str">
        <f t="shared" ref="AE77:AE140" si="4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77" s="88" t="str">
        <f t="shared" ref="AF77:AF140" si="4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/stypes="app*4046*20161026*" /stext=" 18:.+((SYSTEM_STATE.+slice.+state.+changed )|(ment ac)|(system.+state.+changed )|(\[timeout)|(PRM\|1\|D)|(kpr)|(kdp)|(\|lc)|(penalty))" /e /r /s</v>
      </c>
      <c r="AG77" s="1" t="str">
        <f t="shared" ref="AG77:AG140" si="47">IFERROR(IF(VALUE(LEFT(AD77,2))&lt;=2,"EC",IF(OR(VALUE(LEFT(AD77,2))=8,VALUE(LEFT(AD77,2))=18),"NW","Other")),"Other")</f>
        <v>EC</v>
      </c>
      <c r="AH77" s="92" t="str">
        <f t="shared" si="19"/>
        <v>"%USERPROFILE%\Documents\GitHub\eaglep3\Utilities\RefineRTDCRunTimes.py" --tripid 163-26 --locoid 4046 --swversion DE.1.0.8.0 --startMP 204:460 --initTime 2016-10-26T11:24:49 --startdatetime 2016-10-26T11:30:47 --delay 2 --endMP 204:233308 --enddatetime 2016-10-26T12:06:02 --enforcementcount 0 &gt;&gt;C:\Users\stu\Documents\GitHub\eaglep3-reporting\EC\2016-10-26-refined-times.txt</v>
      </c>
      <c r="AI77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{"issue":{"subject":"","project_id":79,"tracker_id":40,"status_id":1,"priority_id":2,"assigned_to_id":23,"start_date":"2016-10-26","description":"","custom_fields":[{"id":1,"name":"Subdivision","value":"EC"},{"id":4,"name":"Milepost","value":"23.3308"},{"id":17,"name":"Train ID","value":"163-26"},{"id":16,"name":"Locomotive ID","value":"4046"},{"id":130,"name":"Impact","value":""},{"id":150,"name":"Time of Event (Mountain Time)","value":"12:06:02"},{"id":151,"name":"Denver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522</v>
      </c>
      <c r="B78" s="7">
        <v>4045</v>
      </c>
      <c r="C78" s="22" t="s">
        <v>378</v>
      </c>
      <c r="D78" s="22" t="s">
        <v>277</v>
      </c>
      <c r="E78" s="13">
        <v>42669.514097222222</v>
      </c>
      <c r="F78" s="13">
        <v>42669.518425925926</v>
      </c>
      <c r="G78" s="7">
        <v>1</v>
      </c>
      <c r="H78" s="13" t="s">
        <v>363</v>
      </c>
      <c r="I78" s="13">
        <v>42669.546238425923</v>
      </c>
      <c r="J78" s="7">
        <v>0</v>
      </c>
      <c r="K78" s="112" t="str">
        <f t="shared" si="38"/>
        <v>4045/4046</v>
      </c>
      <c r="L78" s="22" t="str">
        <f>VLOOKUP(A78,'Trips&amp;Operators'!$C$1:$E$10000,3,FALSE)</f>
        <v>JOHNSON</v>
      </c>
      <c r="M78" s="6">
        <f t="shared" si="39"/>
        <v>2.7812499996798579E-2</v>
      </c>
      <c r="N78" s="7">
        <f t="shared" si="36"/>
        <v>40.049999995389953</v>
      </c>
      <c r="O78" s="7"/>
      <c r="P78" s="7"/>
      <c r="Q78" s="23"/>
      <c r="R78" s="23"/>
      <c r="S78" s="35">
        <f t="shared" si="26"/>
        <v>1</v>
      </c>
      <c r="T78" s="50" t="str">
        <f t="shared" si="40"/>
        <v>Southbound</v>
      </c>
      <c r="U78" s="18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11:20:18-0600',mode:absolute,to:'2016-10-26 14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8" s="52" t="str">
        <f t="shared" si="42"/>
        <v>N</v>
      </c>
      <c r="X78" s="186">
        <f t="shared" si="37"/>
        <v>1</v>
      </c>
      <c r="Y78" s="67">
        <f t="shared" si="34"/>
        <v>23.299299999999999</v>
      </c>
      <c r="Z78" s="67">
        <f t="shared" si="35"/>
        <v>1.7399999999999999E-2</v>
      </c>
      <c r="AA78" s="67">
        <f t="shared" si="43"/>
        <v>23.2819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44"/>
        <v>0164-26</v>
      </c>
      <c r="AE78" s="91" t="str">
        <f t="shared" si="45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78" s="88" t="str">
        <f t="shared" si="46"/>
        <v>"C:\Program Files (x86)\AstroGrep\AstroGrep.exe" /spath="%USERPROFILE%\AppData\Local\Temp\OnboardLogs" /stypes="app*4045*20161026*" /stext=" 19:.+((SYSTEM_STATE.+slice.+state.+changed )|(ment ac)|(system.+state.+changed )|(\[timeout)|(PRM\|1\|D)|(kpr)|(kdp)|(\|lc)|(penalty))" /e /r /s</v>
      </c>
      <c r="AG78" s="1" t="str">
        <f t="shared" si="47"/>
        <v>EC</v>
      </c>
      <c r="AH78" s="92" t="str">
        <f t="shared" si="19"/>
        <v>"%USERPROFILE%\Documents\GitHub\eaglep3\Utilities\RefineRTDCRunTimes.py" --tripid 164-26 --locoid 4045 --swversion DE.1.0.8.0 --startMP 204:232993 --initTime 2016-10-26T12:20:18 --startdatetime 2016-10-26T12:26:32 --delay 1 --endMP 204:174 --enddatetime 2016-10-26T13:06:35 --enforcementcount 0 &gt;&gt;C:\Users\stu\Documents\GitHub\eaglep3-reporting\EC\2016-10-26-refined-times.txt</v>
      </c>
      <c r="AI78" s="122" t="str">
        <f t="shared" si="20"/>
        <v>echo {"issue":{"subject":"","project_id":79,"tracker_id":40,"status_id":1,"priority_id":2,"assigned_to_id":23,"start_date":"2016-10-26","description":"","custom_fields":[{"id":1,"name":"Subdivision","value":"EC"},{"id":4,"name":"Milepost","value":"0.0174"},{"id":17,"name":"Train ID","value":"164-26"},{"id":16,"name":"Locomotive ID","value":"4045"},{"id":130,"name":"Impact","value":""},{"id":150,"name":"Time of Event (Mountain Time)","value":"13:06:35"},{"id":151,"name":"Denver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506</v>
      </c>
      <c r="B79" s="7">
        <v>4002</v>
      </c>
      <c r="C79" s="22" t="s">
        <v>378</v>
      </c>
      <c r="D79" s="22" t="s">
        <v>296</v>
      </c>
      <c r="E79" s="13">
        <v>42669.487083333333</v>
      </c>
      <c r="F79" s="13">
        <v>42669.490902777776</v>
      </c>
      <c r="G79" s="7">
        <v>2</v>
      </c>
      <c r="H79" s="13" t="s">
        <v>662</v>
      </c>
      <c r="I79" s="13">
        <v>42669.51662037037</v>
      </c>
      <c r="J79" s="7">
        <v>0</v>
      </c>
      <c r="K79" s="112" t="str">
        <f t="shared" si="38"/>
        <v>4001/4002</v>
      </c>
      <c r="L79" s="22" t="str">
        <f>VLOOKUP(A79,'Trips&amp;Operators'!$C$1:$E$10000,3,FALSE)</f>
        <v>JACKSON</v>
      </c>
      <c r="M79" s="6">
        <f t="shared" si="39"/>
        <v>2.5717592594446614E-2</v>
      </c>
      <c r="N79" s="7">
        <f t="shared" si="36"/>
        <v>37.033333336003125</v>
      </c>
      <c r="O79" s="7"/>
      <c r="P79" s="7"/>
      <c r="Q79" s="23"/>
      <c r="R79" s="23"/>
      <c r="S79" s="35">
        <f t="shared" si="26"/>
        <v>1</v>
      </c>
      <c r="T79" s="50" t="str">
        <f t="shared" si="40"/>
        <v>NorthBound</v>
      </c>
      <c r="U79" s="18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10:41:24-0600',mode:absolute,to:'2016-10-26 13:23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9" s="52" t="str">
        <f t="shared" si="42"/>
        <v>N</v>
      </c>
      <c r="X79" s="186">
        <f t="shared" si="37"/>
        <v>1</v>
      </c>
      <c r="Y79" s="67">
        <f t="shared" si="34"/>
        <v>4.5699999999999998E-2</v>
      </c>
      <c r="Z79" s="67">
        <f t="shared" si="35"/>
        <v>23.328800000000001</v>
      </c>
      <c r="AA79" s="67">
        <f t="shared" si="43"/>
        <v>23.283100000000001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44"/>
        <v>0165-26</v>
      </c>
      <c r="AE79" s="91" t="str">
        <f t="shared" si="45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79" s="88" t="str">
        <f t="shared" si="46"/>
        <v>"C:\Program Files (x86)\AstroGrep\AstroGrep.exe" /spath="%USERPROFILE%\AppData\Local\Temp\OnboardLogs" /stypes="app*4002*20161026*" /stext=" 18:.+((SYSTEM_STATE.+slice.+state.+changed )|(ment ac)|(system.+state.+changed )|(\[timeout)|(PRM\|1\|D)|(kpr)|(kdp)|(\|lc)|(penalty))" /e /r /s</v>
      </c>
      <c r="AG79" s="1" t="str">
        <f t="shared" si="47"/>
        <v>EC</v>
      </c>
      <c r="AH79" s="92" t="str">
        <f t="shared" ref="AH79:AH142" si="48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165-26 --locoid 4002 --swversion DE.1.0.8.0 --startMP 204:457 --initTime 2016-10-26T11:41:24 --startdatetime 2016-10-26T11:46:54 --delay 2 --endMP 204:233288 --enddatetime 2016-10-26T12:23:56 --enforcementcount 0 &gt;&gt;C:\Users\stu\Documents\GitHub\eaglep3-reporting\EC\2016-10-26-refined-times.txt</v>
      </c>
      <c r="AI79" s="122" t="str">
        <f t="shared" ref="AI79:AI142" si="49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{"issue":{"subject":"","project_id":79,"tracker_id":40,"status_id":1,"priority_id":2,"assigned_to_id":23,"start_date":"2016-10-26","description":"","custom_fields":[{"id":1,"name":"Subdivision","value":"EC"},{"id":4,"name":"Milepost","value":"23.3288"},{"id":17,"name":"Train ID","value":"165-26"},{"id":16,"name":"Locomotive ID","value":"4002"},{"id":130,"name":"Impact","value":""},{"id":150,"name":"Time of Event (Mountain Time)","value":"12:23:56"},{"id":151,"name":"Denver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528</v>
      </c>
      <c r="B80" s="7">
        <v>4001</v>
      </c>
      <c r="C80" s="22" t="s">
        <v>378</v>
      </c>
      <c r="D80" s="22" t="s">
        <v>355</v>
      </c>
      <c r="E80" s="13">
        <v>42669.527916666666</v>
      </c>
      <c r="F80" s="13">
        <v>42669.530023148145</v>
      </c>
      <c r="G80" s="7">
        <v>2</v>
      </c>
      <c r="H80" s="13" t="s">
        <v>253</v>
      </c>
      <c r="I80" s="13">
        <v>42669.558645833335</v>
      </c>
      <c r="J80" s="7">
        <v>0</v>
      </c>
      <c r="K80" s="112" t="str">
        <f t="shared" si="38"/>
        <v>4001/4002</v>
      </c>
      <c r="L80" s="22" t="str">
        <f>VLOOKUP(A80,'Trips&amp;Operators'!$C$1:$E$10000,3,FALSE)</f>
        <v>JACKSON</v>
      </c>
      <c r="M80" s="6">
        <f t="shared" si="39"/>
        <v>2.8622685189475305E-2</v>
      </c>
      <c r="N80" s="7">
        <f t="shared" si="36"/>
        <v>41.21666667284444</v>
      </c>
      <c r="O80" s="7"/>
      <c r="P80" s="7"/>
      <c r="Q80" s="23"/>
      <c r="R80" s="23"/>
      <c r="S80" s="35">
        <f t="shared" si="26"/>
        <v>1</v>
      </c>
      <c r="T80" s="50" t="str">
        <f t="shared" si="40"/>
        <v>Southbound</v>
      </c>
      <c r="U80" s="18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11:40:12-0600',mode:absolute,to:'2016-10-26 14:24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0" s="52" t="str">
        <f t="shared" si="42"/>
        <v>N</v>
      </c>
      <c r="X80" s="186">
        <f t="shared" si="37"/>
        <v>1</v>
      </c>
      <c r="Y80" s="67">
        <f t="shared" si="34"/>
        <v>23.296900000000001</v>
      </c>
      <c r="Z80" s="67">
        <f t="shared" si="35"/>
        <v>1.5599999999999999E-2</v>
      </c>
      <c r="AA80" s="67">
        <f t="shared" si="43"/>
        <v>23.281300000000002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si="44"/>
        <v>0166-26</v>
      </c>
      <c r="AE80" s="91" t="str">
        <f t="shared" si="45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80" s="88" t="str">
        <f t="shared" si="46"/>
        <v>"C:\Program Files (x86)\AstroGrep\AstroGrep.exe" /spath="%USERPROFILE%\AppData\Local\Temp\OnboardLogs" /stypes="app*4001*20161026*" /stext=" 19:.+((SYSTEM_STATE.+slice.+state.+changed )|(ment ac)|(system.+state.+changed )|(\[timeout)|(PRM\|1\|D)|(kpr)|(kdp)|(\|lc)|(penalty))" /e /r /s</v>
      </c>
      <c r="AG80" s="1" t="str">
        <f t="shared" si="47"/>
        <v>EC</v>
      </c>
      <c r="AH80" s="92" t="str">
        <f t="shared" si="48"/>
        <v>"%USERPROFILE%\Documents\GitHub\eaglep3\Utilities\RefineRTDCRunTimes.py" --tripid 166-26 --locoid 4001 --swversion DE.1.0.8.0 --startMP 204:232969 --initTime 2016-10-26T12:40:12 --startdatetime 2016-10-26T12:43:14 --delay 2 --endMP 204:156 --enddatetime 2016-10-26T13:24:27 --enforcementcount 0 &gt;&gt;C:\Users\stu\Documents\GitHub\eaglep3-reporting\EC\2016-10-26-refined-times.txt</v>
      </c>
      <c r="AI8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{"issue":{"subject":"","project_id":79,"tracker_id":40,"status_id":1,"priority_id":2,"assigned_to_id":23,"start_date":"2016-10-26","description":"","custom_fields":[{"id":1,"name":"Subdivision","value":"EC"},{"id":4,"name":"Milepost","value":"0.0156"},{"id":17,"name":"Train ID","value":"166-26"},{"id":16,"name":"Locomotive ID","value":"4001"},{"id":130,"name":"Impact","value":""},{"id":150,"name":"Time of Event (Mountain Time)","value":"13:24:27"},{"id":151,"name":"Denver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517</v>
      </c>
      <c r="B81" s="7">
        <v>4029</v>
      </c>
      <c r="C81" s="22" t="s">
        <v>378</v>
      </c>
      <c r="D81" s="22" t="s">
        <v>223</v>
      </c>
      <c r="E81" s="13">
        <v>42669.49658564815</v>
      </c>
      <c r="F81" s="13">
        <v>42669.500185185185</v>
      </c>
      <c r="G81" s="7">
        <v>1</v>
      </c>
      <c r="H81" s="13" t="s">
        <v>316</v>
      </c>
      <c r="I81" s="13">
        <v>42669.526863425926</v>
      </c>
      <c r="J81" s="7">
        <v>0</v>
      </c>
      <c r="K81" s="112" t="str">
        <f t="shared" si="38"/>
        <v>4029/4030</v>
      </c>
      <c r="L81" s="22" t="str">
        <f>VLOOKUP(A81,'Trips&amp;Operators'!$C$1:$E$10000,3,FALSE)</f>
        <v>YOUNG</v>
      </c>
      <c r="M81" s="6">
        <f t="shared" si="39"/>
        <v>2.6678240741603076E-2</v>
      </c>
      <c r="N81" s="7">
        <f t="shared" si="36"/>
        <v>38.41666666790843</v>
      </c>
      <c r="O81" s="7"/>
      <c r="P81" s="7"/>
      <c r="Q81" s="23"/>
      <c r="R81" s="23"/>
      <c r="S81" s="35">
        <f t="shared" si="26"/>
        <v>1</v>
      </c>
      <c r="T81" s="50" t="str">
        <f t="shared" si="40"/>
        <v>NorthBound</v>
      </c>
      <c r="U81" s="18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10:55:05-0600',mode:absolute,to:'2016-10-26 13:38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1" s="52" t="str">
        <f t="shared" si="42"/>
        <v>N</v>
      </c>
      <c r="X81" s="186">
        <f t="shared" si="37"/>
        <v>1</v>
      </c>
      <c r="Y81" s="67">
        <f t="shared" si="34"/>
        <v>4.53E-2</v>
      </c>
      <c r="Z81" s="67">
        <f t="shared" si="35"/>
        <v>23.331900000000001</v>
      </c>
      <c r="AA81" s="67">
        <f t="shared" si="43"/>
        <v>23.2866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44"/>
        <v>0167-26</v>
      </c>
      <c r="AE81" s="91" t="str">
        <f t="shared" si="45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81" s="88" t="str">
        <f t="shared" si="46"/>
        <v>"C:\Program Files (x86)\AstroGrep\AstroGrep.exe" /spath="%USERPROFILE%\AppData\Local\Temp\OnboardLogs" /stypes="app*4029*20161026*" /stext=" 18:.+((SYSTEM_STATE.+slice.+state.+changed )|(ment ac)|(system.+state.+changed )|(\[timeout)|(PRM\|1\|D)|(kpr)|(kdp)|(\|lc)|(penalty))" /e /r /s</v>
      </c>
      <c r="AG81" s="1" t="str">
        <f t="shared" si="47"/>
        <v>EC</v>
      </c>
      <c r="AH81" s="92" t="str">
        <f t="shared" si="48"/>
        <v>"%USERPROFILE%\Documents\GitHub\eaglep3\Utilities\RefineRTDCRunTimes.py" --tripid 167-26 --locoid 4029 --swversion DE.1.0.8.0 --startMP 204:453 --initTime 2016-10-26T11:55:05 --startdatetime 2016-10-26T12:00:16 --delay 1 --endMP 204:233319 --enddatetime 2016-10-26T12:38:41 --enforcementcount 0 &gt;&gt;C:\Users\stu\Documents\GitHub\eaglep3-reporting\EC\2016-10-26-refined-times.txt</v>
      </c>
      <c r="AI8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{"issue":{"subject":"","project_id":79,"tracker_id":40,"status_id":1,"priority_id":2,"assigned_to_id":23,"start_date":"2016-10-26","description":"","custom_fields":[{"id":1,"name":"Subdivision","value":"EC"},{"id":4,"name":"Milepost","value":"23.3319"},{"id":17,"name":"Train ID","value":"167-26"},{"id":16,"name":"Locomotive ID","value":"4029"},{"id":130,"name":"Impact","value":""},{"id":150,"name":"Time of Event (Mountain Time)","value":"12:38:41"},{"id":151,"name":"Denver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529</v>
      </c>
      <c r="B82" s="7">
        <v>4030</v>
      </c>
      <c r="C82" s="22" t="s">
        <v>378</v>
      </c>
      <c r="D82" s="22" t="s">
        <v>249</v>
      </c>
      <c r="E82" s="13">
        <v>42669.528414351851</v>
      </c>
      <c r="F82" s="13">
        <v>42669.539259259262</v>
      </c>
      <c r="G82" s="7">
        <v>1</v>
      </c>
      <c r="H82" s="13" t="s">
        <v>324</v>
      </c>
      <c r="I82" s="13">
        <v>42669.567754629628</v>
      </c>
      <c r="J82" s="7">
        <v>0</v>
      </c>
      <c r="K82" s="112" t="str">
        <f t="shared" si="38"/>
        <v>4029/4030</v>
      </c>
      <c r="L82" s="22" t="str">
        <f>VLOOKUP(A82,'Trips&amp;Operators'!$C$1:$E$10000,3,FALSE)</f>
        <v>YOUNG</v>
      </c>
      <c r="M82" s="6">
        <f t="shared" si="39"/>
        <v>2.8495370366727002E-2</v>
      </c>
      <c r="N82" s="7">
        <f t="shared" si="36"/>
        <v>41.033333328086883</v>
      </c>
      <c r="O82" s="7"/>
      <c r="P82" s="7"/>
      <c r="Q82" s="23"/>
      <c r="R82" s="23"/>
      <c r="S82" s="35">
        <f t="shared" si="26"/>
        <v>1</v>
      </c>
      <c r="T82" s="50" t="str">
        <f t="shared" si="40"/>
        <v>Southbound</v>
      </c>
      <c r="U82" s="18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11:40:55-0600',mode:absolute,to:'2016-10-26 14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2" s="52" t="str">
        <f t="shared" si="42"/>
        <v>N</v>
      </c>
      <c r="X82" s="186">
        <f t="shared" si="37"/>
        <v>1</v>
      </c>
      <c r="Y82" s="67">
        <f t="shared" si="34"/>
        <v>23.299399999999999</v>
      </c>
      <c r="Z82" s="67">
        <f t="shared" si="35"/>
        <v>1.6899999999999998E-2</v>
      </c>
      <c r="AA82" s="67">
        <f t="shared" si="43"/>
        <v>23.282499999999999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44"/>
        <v>0168-26</v>
      </c>
      <c r="AE82" s="91" t="str">
        <f t="shared" si="45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82" s="88" t="str">
        <f t="shared" si="46"/>
        <v>"C:\Program Files (x86)\AstroGrep\AstroGrep.exe" /spath="%USERPROFILE%\AppData\Local\Temp\OnboardLogs" /stypes="app*4030*20161026*" /stext=" 19:.+((SYSTEM_STATE.+slice.+state.+changed )|(ment ac)|(system.+state.+changed )|(\[timeout)|(PRM\|1\|D)|(kpr)|(kdp)|(\|lc)|(penalty))" /e /r /s</v>
      </c>
      <c r="AG82" s="1" t="str">
        <f t="shared" si="47"/>
        <v>EC</v>
      </c>
      <c r="AH82" s="92" t="str">
        <f t="shared" si="48"/>
        <v>"%USERPROFILE%\Documents\GitHub\eaglep3\Utilities\RefineRTDCRunTimes.py" --tripid 168-26 --locoid 4030 --swversion DE.1.0.8.0 --startMP 204:232994 --initTime 2016-10-26T12:40:55 --startdatetime 2016-10-26T12:56:32 --delay 1 --endMP 204:169 --enddatetime 2016-10-26T13:37:34 --enforcementcount 0 &gt;&gt;C:\Users\stu\Documents\GitHub\eaglep3-reporting\EC\2016-10-26-refined-times.txt</v>
      </c>
      <c r="AI8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{"issue":{"subject":"","project_id":79,"tracker_id":40,"status_id":1,"priority_id":2,"assigned_to_id":23,"start_date":"2016-10-26","description":"","custom_fields":[{"id":1,"name":"Subdivision","value":"EC"},{"id":4,"name":"Milepost","value":"0.0169"},{"id":17,"name":"Train ID","value":"168-26"},{"id":16,"name":"Locomotive ID","value":"4030"},{"id":130,"name":"Impact","value":""},{"id":150,"name":"Time of Event (Mountain Time)","value":"13:37:34"},{"id":151,"name":"Denver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520</v>
      </c>
      <c r="B83" s="7">
        <v>4040</v>
      </c>
      <c r="C83" s="22" t="s">
        <v>378</v>
      </c>
      <c r="D83" s="22" t="s">
        <v>353</v>
      </c>
      <c r="E83" s="13">
        <v>42669.50818287037</v>
      </c>
      <c r="F83" s="13">
        <v>42669.510972222219</v>
      </c>
      <c r="G83" s="7">
        <v>3</v>
      </c>
      <c r="H83" s="13" t="s">
        <v>229</v>
      </c>
      <c r="I83" s="13">
        <v>42669.535671296297</v>
      </c>
      <c r="J83" s="7">
        <v>0</v>
      </c>
      <c r="K83" s="112" t="str">
        <f t="shared" si="38"/>
        <v>4039/4040</v>
      </c>
      <c r="L83" s="22" t="str">
        <f>VLOOKUP(A83,'Trips&amp;Operators'!$C$1:$E$10000,3,FALSE)</f>
        <v>BRUDER</v>
      </c>
      <c r="M83" s="6">
        <f t="shared" si="39"/>
        <v>2.4699074077943806E-2</v>
      </c>
      <c r="N83" s="7">
        <f t="shared" si="36"/>
        <v>35.56666667223908</v>
      </c>
      <c r="O83" s="7"/>
      <c r="P83" s="7"/>
      <c r="Q83" s="23"/>
      <c r="R83" s="23"/>
      <c r="S83" s="35">
        <f t="shared" si="26"/>
        <v>1</v>
      </c>
      <c r="T83" s="50" t="str">
        <f t="shared" si="40"/>
        <v>NorthBound</v>
      </c>
      <c r="U83" s="18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11:11:47-0600',mode:absolute,to:'2016-10-26 13:51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3" s="52" t="str">
        <f t="shared" si="42"/>
        <v>N</v>
      </c>
      <c r="X83" s="186">
        <f t="shared" si="37"/>
        <v>1</v>
      </c>
      <c r="Y83" s="67">
        <f t="shared" si="34"/>
        <v>4.6399999999999997E-2</v>
      </c>
      <c r="Z83" s="67">
        <f t="shared" si="35"/>
        <v>23.329899999999999</v>
      </c>
      <c r="AA83" s="67">
        <f t="shared" si="43"/>
        <v>23.2835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44"/>
        <v>0169-26</v>
      </c>
      <c r="AE83" s="91" t="str">
        <f t="shared" si="45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83" s="88" t="str">
        <f t="shared" si="46"/>
        <v>"C:\Program Files (x86)\AstroGrep\AstroGrep.exe" /spath="%USERPROFILE%\AppData\Local\Temp\OnboardLogs" /stypes="app*4040*20161026*" /stext=" 18:.+((SYSTEM_STATE.+slice.+state.+changed )|(ment ac)|(system.+state.+changed )|(\[timeout)|(PRM\|1\|D)|(kpr)|(kdp)|(\|lc)|(penalty))" /e /r /s</v>
      </c>
      <c r="AG83" s="1" t="str">
        <f t="shared" si="47"/>
        <v>EC</v>
      </c>
      <c r="AH83" s="92" t="str">
        <f t="shared" si="48"/>
        <v>"%USERPROFILE%\Documents\GitHub\eaglep3\Utilities\RefineRTDCRunTimes.py" --tripid 169-26 --locoid 4040 --swversion DE.1.0.8.0 --startMP 204:464 --initTime 2016-10-26T12:11:47 --startdatetime 2016-10-26T12:15:48 --delay 3 --endMP 204:233299 --enddatetime 2016-10-26T12:51:22 --enforcementcount 0 &gt;&gt;C:\Users\stu\Documents\GitHub\eaglep3-reporting\EC\2016-10-26-refined-times.txt</v>
      </c>
      <c r="AI8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{"issue":{"subject":"","project_id":79,"tracker_id":40,"status_id":1,"priority_id":2,"assigned_to_id":23,"start_date":"2016-10-26","description":"","custom_fields":[{"id":1,"name":"Subdivision","value":"EC"},{"id":4,"name":"Milepost","value":"23.3299"},{"id":17,"name":"Train ID","value":"169-26"},{"id":16,"name":"Locomotive ID","value":"4040"},{"id":130,"name":"Impact","value":""},{"id":150,"name":"Time of Event (Mountain Time)","value":"12:51:22"},{"id":151,"name":"Denver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531</v>
      </c>
      <c r="B84" s="7">
        <v>4039</v>
      </c>
      <c r="C84" s="22" t="s">
        <v>378</v>
      </c>
      <c r="D84" s="22" t="s">
        <v>323</v>
      </c>
      <c r="E84" s="13">
        <v>42669.544236111113</v>
      </c>
      <c r="F84" s="13">
        <v>42669.549560185187</v>
      </c>
      <c r="G84" s="7">
        <v>1</v>
      </c>
      <c r="H84" s="13" t="s">
        <v>221</v>
      </c>
      <c r="I84" s="13">
        <v>42669.575439814813</v>
      </c>
      <c r="J84" s="7">
        <v>0</v>
      </c>
      <c r="K84" s="112" t="str">
        <f t="shared" si="38"/>
        <v>4039/4040</v>
      </c>
      <c r="L84" s="22" t="str">
        <f>VLOOKUP(A84,'Trips&amp;Operators'!$C$1:$E$10000,3,FALSE)</f>
        <v>BRUDER</v>
      </c>
      <c r="M84" s="6">
        <f t="shared" si="39"/>
        <v>2.5879629625706002E-2</v>
      </c>
      <c r="N84" s="7">
        <f t="shared" si="36"/>
        <v>37.266666661016643</v>
      </c>
      <c r="O84" s="7"/>
      <c r="P84" s="7"/>
      <c r="Q84" s="23"/>
      <c r="R84" s="23"/>
      <c r="S84" s="35">
        <f t="shared" si="26"/>
        <v>1</v>
      </c>
      <c r="T84" s="50" t="str">
        <f t="shared" si="40"/>
        <v>Southbound</v>
      </c>
      <c r="U84" s="18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12:03:42-0600',mode:absolute,to:'2016-10-26 14:48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4" s="52" t="str">
        <f t="shared" si="42"/>
        <v>N</v>
      </c>
      <c r="X84" s="186">
        <f t="shared" si="37"/>
        <v>1</v>
      </c>
      <c r="Y84" s="67">
        <f t="shared" si="34"/>
        <v>23.297999999999998</v>
      </c>
      <c r="Z84" s="67">
        <f t="shared" si="35"/>
        <v>1.4999999999999999E-2</v>
      </c>
      <c r="AA84" s="67">
        <f t="shared" si="43"/>
        <v>23.282999999999998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44"/>
        <v>0170-26</v>
      </c>
      <c r="AE84" s="91" t="str">
        <f t="shared" si="45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84" s="88" t="str">
        <f t="shared" si="46"/>
        <v>"C:\Program Files (x86)\AstroGrep\AstroGrep.exe" /spath="%USERPROFILE%\AppData\Local\Temp\OnboardLogs" /stypes="app*4039*20161026*" /stext=" 19:.+((SYSTEM_STATE.+slice.+state.+changed )|(ment ac)|(system.+state.+changed )|(\[timeout)|(PRM\|1\|D)|(kpr)|(kdp)|(\|lc)|(penalty))" /e /r /s</v>
      </c>
      <c r="AG84" s="1" t="str">
        <f t="shared" si="47"/>
        <v>EC</v>
      </c>
      <c r="AH84" s="92" t="str">
        <f t="shared" si="48"/>
        <v>"%USERPROFILE%\Documents\GitHub\eaglep3\Utilities\RefineRTDCRunTimes.py" --tripid 170-26 --locoid 4039 --swversion DE.1.0.8.0 --startMP 204:232980 --initTime 2016-10-26T13:03:42 --startdatetime 2016-10-26T13:11:22 --delay 1 --endMP 204:150 --enddatetime 2016-10-26T13:48:38 --enforcementcount 0 &gt;&gt;C:\Users\stu\Documents\GitHub\eaglep3-reporting\EC\2016-10-26-refined-times.txt</v>
      </c>
      <c r="AI8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{"issue":{"subject":"","project_id":79,"tracker_id":40,"status_id":1,"priority_id":2,"assigned_to_id":23,"start_date":"2016-10-26","description":"","custom_fields":[{"id":1,"name":"Subdivision","value":"EC"},{"id":4,"name":"Milepost","value":"0.015"},{"id":17,"name":"Train ID","value":"170-26"},{"id":16,"name":"Locomotive ID","value":"4039"},{"id":130,"name":"Impact","value":""},{"id":150,"name":"Time of Event (Mountain Time)","value":"13:48:38"},{"id":151,"name":"Denver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523</v>
      </c>
      <c r="B85" s="7">
        <v>4016</v>
      </c>
      <c r="C85" s="22" t="s">
        <v>378</v>
      </c>
      <c r="D85" s="22" t="s">
        <v>223</v>
      </c>
      <c r="E85" s="13">
        <v>42669.520370370374</v>
      </c>
      <c r="F85" s="13">
        <v>42669.521898148145</v>
      </c>
      <c r="G85" s="7">
        <v>1</v>
      </c>
      <c r="H85" s="13" t="s">
        <v>352</v>
      </c>
      <c r="I85" s="13">
        <v>42669.546099537038</v>
      </c>
      <c r="J85" s="7">
        <v>0</v>
      </c>
      <c r="K85" s="112" t="str">
        <f t="shared" si="38"/>
        <v>4015/4016</v>
      </c>
      <c r="L85" s="22" t="str">
        <f>VLOOKUP(A85,'Trips&amp;Operators'!$C$1:$E$10000,3,FALSE)</f>
        <v>STORY</v>
      </c>
      <c r="M85" s="6">
        <f t="shared" si="39"/>
        <v>2.4201388892834075E-2</v>
      </c>
      <c r="N85" s="7">
        <f t="shared" si="36"/>
        <v>34.850000005681068</v>
      </c>
      <c r="O85" s="7"/>
      <c r="P85" s="7"/>
      <c r="Q85" s="23"/>
      <c r="R85" s="23"/>
      <c r="S85" s="35">
        <f t="shared" si="26"/>
        <v>1</v>
      </c>
      <c r="T85" s="50" t="str">
        <f t="shared" si="40"/>
        <v>NorthBound</v>
      </c>
      <c r="U85" s="18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11:29:20-0600',mode:absolute,to:'2016-10-26 14:06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42"/>
        <v>N</v>
      </c>
      <c r="X85" s="186">
        <f t="shared" si="37"/>
        <v>1</v>
      </c>
      <c r="Y85" s="67">
        <f t="shared" si="34"/>
        <v>4.53E-2</v>
      </c>
      <c r="Z85" s="67">
        <f t="shared" si="35"/>
        <v>23.3308</v>
      </c>
      <c r="AA85" s="67">
        <f t="shared" si="43"/>
        <v>23.285499999999999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44"/>
        <v>0171-26</v>
      </c>
      <c r="AE85" s="91" t="str">
        <f t="shared" si="45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85" s="88" t="str">
        <f t="shared" si="46"/>
        <v>"C:\Program Files (x86)\AstroGrep\AstroGrep.exe" /spath="%USERPROFILE%\AppData\Local\Temp\OnboardLogs" /stypes="app*4016*20161026*" /stext=" 19:.+((SYSTEM_STATE.+slice.+state.+changed )|(ment ac)|(system.+state.+changed )|(\[timeout)|(PRM\|1\|D)|(kpr)|(kdp)|(\|lc)|(penalty))" /e /r /s</v>
      </c>
      <c r="AG85" s="1" t="str">
        <f t="shared" si="47"/>
        <v>EC</v>
      </c>
      <c r="AH85" s="92" t="str">
        <f t="shared" si="48"/>
        <v>"%USERPROFILE%\Documents\GitHub\eaglep3\Utilities\RefineRTDCRunTimes.py" --tripid 171-26 --locoid 4016 --swversion DE.1.0.8.0 --startMP 204:453 --initTime 2016-10-26T12:29:20 --startdatetime 2016-10-26T12:31:32 --delay 1 --endMP 204:233308 --enddatetime 2016-10-26T13:06:23 --enforcementcount 0 &gt;&gt;C:\Users\stu\Documents\GitHub\eaglep3-reporting\EC\2016-10-26-refined-times.txt</v>
      </c>
      <c r="AI8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{"issue":{"subject":"","project_id":79,"tracker_id":40,"status_id":1,"priority_id":2,"assigned_to_id":23,"start_date":"2016-10-26","description":"","custom_fields":[{"id":1,"name":"Subdivision","value":"EC"},{"id":4,"name":"Milepost","value":"23.3308"},{"id":17,"name":"Train ID","value":"171-26"},{"id":16,"name":"Locomotive ID","value":"4016"},{"id":130,"name":"Impact","value":""},{"id":150,"name":"Time of Event (Mountain Time)","value":"13:06:23"},{"id":151,"name":"Denver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423</v>
      </c>
      <c r="B86" s="7">
        <v>4015</v>
      </c>
      <c r="C86" s="22" t="s">
        <v>378</v>
      </c>
      <c r="D86" s="22" t="s">
        <v>642</v>
      </c>
      <c r="E86" s="13">
        <v>42669.556655092594</v>
      </c>
      <c r="F86" s="13">
        <v>42669.56</v>
      </c>
      <c r="G86" s="7">
        <v>4</v>
      </c>
      <c r="H86" s="13" t="s">
        <v>175</v>
      </c>
      <c r="I86" s="13">
        <v>42669.585416666669</v>
      </c>
      <c r="J86" s="7">
        <v>0</v>
      </c>
      <c r="K86" s="112" t="str">
        <f t="shared" si="38"/>
        <v>4015/4016</v>
      </c>
      <c r="L86" s="22" t="str">
        <f>VLOOKUP(A86,'Trips&amp;Operators'!$C$1:$E$10000,3,FALSE)</f>
        <v>STORY</v>
      </c>
      <c r="M86" s="6">
        <f t="shared" si="39"/>
        <v>2.5416666670935228E-2</v>
      </c>
      <c r="N86" s="7">
        <f t="shared" si="36"/>
        <v>36.600000006146729</v>
      </c>
      <c r="O86" s="7"/>
      <c r="P86" s="7"/>
      <c r="Q86" s="23"/>
      <c r="R86" s="23"/>
      <c r="S86" s="35">
        <f t="shared" si="26"/>
        <v>1</v>
      </c>
      <c r="T86" s="50" t="str">
        <f t="shared" si="40"/>
        <v>Southbound</v>
      </c>
      <c r="U86" s="18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12:21:35-0600',mode:absolute,to:'2016-10-26 15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42"/>
        <v>N</v>
      </c>
      <c r="X86" s="186">
        <f t="shared" si="37"/>
        <v>1</v>
      </c>
      <c r="Y86" s="67">
        <f t="shared" si="34"/>
        <v>23.297899999999998</v>
      </c>
      <c r="Z86" s="67">
        <f t="shared" si="35"/>
        <v>1.47E-2</v>
      </c>
      <c r="AA86" s="67">
        <f t="shared" si="43"/>
        <v>23.283199999999997</v>
      </c>
      <c r="AB86" s="64" t="str">
        <f>VLOOKUP(A86,Enforcements!$C$7:$K$21,8,0)</f>
        <v>Form based authority (4)</v>
      </c>
      <c r="AC86" s="60" t="str">
        <f>VLOOKUP(A86,Enforcements!$C$7:$E$21,3,0)</f>
        <v>TRACK WARRANT AUTHORITY</v>
      </c>
      <c r="AD86" s="61" t="str">
        <f t="shared" si="44"/>
        <v>0172-26</v>
      </c>
      <c r="AE86" s="91" t="str">
        <f t="shared" si="45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86" s="88" t="str">
        <f t="shared" si="46"/>
        <v>"C:\Program Files (x86)\AstroGrep\AstroGrep.exe" /spath="%USERPROFILE%\AppData\Local\Temp\OnboardLogs" /stypes="app*4015*20161026*" /stext=" 20:.+((SYSTEM_STATE.+slice.+state.+changed )|(ment ac)|(system.+state.+changed )|(\[timeout)|(PRM\|1\|D)|(kpr)|(kdp)|(\|lc)|(penalty))" /e /r /s</v>
      </c>
      <c r="AG86" s="1" t="str">
        <f t="shared" si="47"/>
        <v>EC</v>
      </c>
      <c r="AH86" s="92" t="str">
        <f t="shared" si="48"/>
        <v>"%USERPROFILE%\Documents\GitHub\eaglep3\Utilities\RefineRTDCRunTimes.py" --tripid 172-26 --locoid 4015 --swversion DE.1.0.8.0 --startMP 204:232979 --initTime 2016-10-26T13:21:35 --startdatetime 2016-10-26T13:26:24 --delay 4 --endMP 204:147 --enddatetime 2016-10-26T14:03:00 --enforcementcount 0 &gt;&gt;C:\Users\stu\Documents\GitHub\eaglep3-reporting\EC\2016-10-26-refined-times.txt</v>
      </c>
      <c r="AI8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ID","value":"172-26"},{"id":16,"name":"Locomotive ID","value":"4015"},{"id":130,"name":"Impact","value":""},{"id":150,"name":"Time of Event (Mountain Time)","value":"14:03:00"},{"id":151,"name":"Denver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526</v>
      </c>
      <c r="B87" s="7">
        <v>4011</v>
      </c>
      <c r="C87" s="22" t="s">
        <v>378</v>
      </c>
      <c r="D87" s="22" t="s">
        <v>231</v>
      </c>
      <c r="E87" s="13">
        <v>42669.526458333334</v>
      </c>
      <c r="F87" s="13">
        <v>42669.5315162037</v>
      </c>
      <c r="G87" s="7">
        <v>1</v>
      </c>
      <c r="H87" s="13" t="s">
        <v>375</v>
      </c>
      <c r="I87" s="13">
        <v>42669.556539351855</v>
      </c>
      <c r="J87" s="7">
        <v>0</v>
      </c>
      <c r="K87" s="112" t="str">
        <f t="shared" si="38"/>
        <v>4011/4012</v>
      </c>
      <c r="L87" s="22" t="str">
        <f>VLOOKUP(A87,'Trips&amp;Operators'!$C$1:$E$10000,3,FALSE)</f>
        <v>MCREYNOLDS</v>
      </c>
      <c r="M87" s="6">
        <f t="shared" si="39"/>
        <v>2.5023148155014496E-2</v>
      </c>
      <c r="N87" s="7">
        <f t="shared" si="36"/>
        <v>36.033333343220875</v>
      </c>
      <c r="O87" s="7"/>
      <c r="P87" s="7"/>
      <c r="Q87" s="23"/>
      <c r="R87" s="23"/>
      <c r="S87" s="35">
        <f t="shared" si="26"/>
        <v>1</v>
      </c>
      <c r="T87" s="50" t="str">
        <f t="shared" si="40"/>
        <v>NorthBound</v>
      </c>
      <c r="U87" s="18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11:38:06-0600',mode:absolute,to:'2016-10-26 14:21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7" s="52" t="str">
        <f t="shared" si="42"/>
        <v>N</v>
      </c>
      <c r="X87" s="186">
        <f t="shared" si="37"/>
        <v>1</v>
      </c>
      <c r="Y87" s="67">
        <f t="shared" si="34"/>
        <v>4.5999999999999999E-2</v>
      </c>
      <c r="Z87" s="67">
        <f t="shared" si="35"/>
        <v>23.333400000000001</v>
      </c>
      <c r="AA87" s="67">
        <f t="shared" si="43"/>
        <v>23.287400000000002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44"/>
        <v>0173-26</v>
      </c>
      <c r="AE87" s="91" t="str">
        <f t="shared" si="45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87" s="88" t="str">
        <f t="shared" si="46"/>
        <v>"C:\Program Files (x86)\AstroGrep\AstroGrep.exe" /spath="%USERPROFILE%\AppData\Local\Temp\OnboardLogs" /stypes="app*4011*20161026*" /stext=" 19:.+((SYSTEM_STATE.+slice.+state.+changed )|(ment ac)|(system.+state.+changed )|(\[timeout)|(PRM\|1\|D)|(kpr)|(kdp)|(\|lc)|(penalty))" /e /r /s</v>
      </c>
      <c r="AG87" s="1" t="str">
        <f t="shared" si="47"/>
        <v>EC</v>
      </c>
      <c r="AH87" s="92" t="str">
        <f t="shared" si="48"/>
        <v>"%USERPROFILE%\Documents\GitHub\eaglep3\Utilities\RefineRTDCRunTimes.py" --tripid 173-26 --locoid 4011 --swversion DE.1.0.8.0 --startMP 204:460 --initTime 2016-10-26T12:38:06 --startdatetime 2016-10-26T12:45:23 --delay 1 --endMP 204:233334 --enddatetime 2016-10-26T13:21:25 --enforcementcount 0 &gt;&gt;C:\Users\stu\Documents\GitHub\eaglep3-reporting\EC\2016-10-26-refined-times.txt</v>
      </c>
      <c r="AI8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{"issue":{"subject":"","project_id":79,"tracker_id":40,"status_id":1,"priority_id":2,"assigned_to_id":23,"start_date":"2016-10-26","description":"","custom_fields":[{"id":1,"name":"Subdivision","value":"EC"},{"id":4,"name":"Milepost","value":"23.3334"},{"id":17,"name":"Train ID","value":"173-26"},{"id":16,"name":"Locomotive ID","value":"4011"},{"id":130,"name":"Impact","value":""},{"id":150,"name":"Time of Event (Mountain Time)","value":"13:21:25"},{"id":151,"name":"Denver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535</v>
      </c>
      <c r="B88" s="7">
        <v>4012</v>
      </c>
      <c r="C88" s="22" t="s">
        <v>378</v>
      </c>
      <c r="D88" s="22" t="s">
        <v>360</v>
      </c>
      <c r="E88" s="13">
        <v>42669.564918981479</v>
      </c>
      <c r="F88" s="13">
        <v>42669.5705787037</v>
      </c>
      <c r="G88" s="7">
        <v>2</v>
      </c>
      <c r="H88" s="13" t="s">
        <v>218</v>
      </c>
      <c r="I88" s="13">
        <v>42669.597939814812</v>
      </c>
      <c r="J88" s="7">
        <v>0</v>
      </c>
      <c r="K88" s="112" t="str">
        <f t="shared" si="38"/>
        <v>4011/4012</v>
      </c>
      <c r="L88" s="22" t="str">
        <f>VLOOKUP(A88,'Trips&amp;Operators'!$C$1:$E$10000,3,FALSE)</f>
        <v>MCREYNOLDS</v>
      </c>
      <c r="M88" s="6">
        <f t="shared" si="39"/>
        <v>2.73611111115315E-2</v>
      </c>
      <c r="N88" s="7">
        <f t="shared" si="36"/>
        <v>39.40000000060536</v>
      </c>
      <c r="O88" s="7"/>
      <c r="P88" s="7"/>
      <c r="Q88" s="23"/>
      <c r="R88" s="23"/>
      <c r="S88" s="35">
        <f t="shared" si="26"/>
        <v>1</v>
      </c>
      <c r="T88" s="50" t="str">
        <f t="shared" si="40"/>
        <v>Southbound</v>
      </c>
      <c r="U88" s="18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12:33:29-0600',mode:absolute,to:'2016-10-26 15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8" s="52" t="str">
        <f t="shared" si="42"/>
        <v>N</v>
      </c>
      <c r="X88" s="186">
        <f t="shared" si="37"/>
        <v>1</v>
      </c>
      <c r="Y88" s="67">
        <f t="shared" si="34"/>
        <v>23.2988</v>
      </c>
      <c r="Z88" s="67">
        <f t="shared" si="35"/>
        <v>1.49E-2</v>
      </c>
      <c r="AA88" s="67">
        <f t="shared" si="43"/>
        <v>23.283899999999999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44"/>
        <v>0174-26</v>
      </c>
      <c r="AE88" s="91" t="str">
        <f t="shared" si="45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88" s="88" t="str">
        <f t="shared" si="46"/>
        <v>"C:\Program Files (x86)\AstroGrep\AstroGrep.exe" /spath="%USERPROFILE%\AppData\Local\Temp\OnboardLogs" /stypes="app*4012*20161026*" /stext=" 20:.+((SYSTEM_STATE.+slice.+state.+changed )|(ment ac)|(system.+state.+changed )|(\[timeout)|(PRM\|1\|D)|(kpr)|(kdp)|(\|lc)|(penalty))" /e /r /s</v>
      </c>
      <c r="AG88" s="1" t="str">
        <f t="shared" si="47"/>
        <v>EC</v>
      </c>
      <c r="AH88" s="92" t="str">
        <f t="shared" si="48"/>
        <v>"%USERPROFILE%\Documents\GitHub\eaglep3\Utilities\RefineRTDCRunTimes.py" --tripid 174-26 --locoid 4012 --swversion DE.1.0.8.0 --startMP 204:232988 --initTime 2016-10-26T13:33:29 --startdatetime 2016-10-26T13:41:38 --delay 2 --endMP 204:149 --enddatetime 2016-10-26T14:21:02 --enforcementcount 0 &gt;&gt;C:\Users\stu\Documents\GitHub\eaglep3-reporting\EC\2016-10-26-refined-times.txt</v>
      </c>
      <c r="AI8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ID","value":"174-26"},{"id":16,"name":"Locomotive ID","value":"4012"},{"id":130,"name":"Impact","value":""},{"id":150,"name":"Time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530</v>
      </c>
      <c r="B89" s="7">
        <v>4031</v>
      </c>
      <c r="C89" s="22" t="s">
        <v>378</v>
      </c>
      <c r="D89" s="22" t="s">
        <v>353</v>
      </c>
      <c r="E89" s="13">
        <v>42669.538136574076</v>
      </c>
      <c r="F89" s="13">
        <v>42669.541921296295</v>
      </c>
      <c r="G89" s="7">
        <v>1</v>
      </c>
      <c r="H89" s="13" t="s">
        <v>288</v>
      </c>
      <c r="I89" s="13">
        <v>42669.567835648151</v>
      </c>
      <c r="J89" s="7">
        <v>0</v>
      </c>
      <c r="K89" s="112" t="str">
        <f t="shared" si="38"/>
        <v>4031/4032</v>
      </c>
      <c r="L89" s="22" t="str">
        <f>VLOOKUP(A89,'Trips&amp;Operators'!$C$1:$E$10000,3,FALSE)</f>
        <v>BARTLETT</v>
      </c>
      <c r="M89" s="6">
        <f t="shared" si="39"/>
        <v>2.5914351856044959E-2</v>
      </c>
      <c r="N89" s="7">
        <f t="shared" si="36"/>
        <v>37.316666672704741</v>
      </c>
      <c r="O89" s="7"/>
      <c r="P89" s="7"/>
      <c r="Q89" s="23"/>
      <c r="R89" s="23"/>
      <c r="S89" s="35">
        <f t="shared" si="26"/>
        <v>1</v>
      </c>
      <c r="T89" s="50" t="str">
        <f t="shared" si="40"/>
        <v>NorthBound</v>
      </c>
      <c r="U89" s="18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11:54:55-0600',mode:absolute,to:'2016-10-26 14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42"/>
        <v>N</v>
      </c>
      <c r="X89" s="186">
        <f t="shared" si="37"/>
        <v>1</v>
      </c>
      <c r="Y89" s="67">
        <f t="shared" si="34"/>
        <v>4.6399999999999997E-2</v>
      </c>
      <c r="Z89" s="67">
        <f t="shared" si="35"/>
        <v>23.329799999999999</v>
      </c>
      <c r="AA89" s="67">
        <f t="shared" si="43"/>
        <v>23.2834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44"/>
        <v>0175-26</v>
      </c>
      <c r="AE89" s="91" t="str">
        <f t="shared" si="45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89" s="88" t="str">
        <f t="shared" si="46"/>
        <v>"C:\Program Files (x86)\AstroGrep\AstroGrep.exe" /spath="%USERPROFILE%\AppData\Local\Temp\OnboardLogs" /stypes="app*4031*20161026*" /stext=" 19:.+((SYSTEM_STATE.+slice.+state.+changed )|(ment ac)|(system.+state.+changed )|(\[timeout)|(PRM\|1\|D)|(kpr)|(kdp)|(\|lc)|(penalty))" /e /r /s</v>
      </c>
      <c r="AG89" s="1" t="str">
        <f t="shared" si="47"/>
        <v>EC</v>
      </c>
      <c r="AH89" s="92" t="str">
        <f t="shared" si="48"/>
        <v>"%USERPROFILE%\Documents\GitHub\eaglep3\Utilities\RefineRTDCRunTimes.py" --tripid 175-26 --locoid 4031 --swversion DE.1.0.8.0 --startMP 204:464 --initTime 2016-10-26T12:54:55 --startdatetime 2016-10-26T13:00:22 --delay 1 --endMP 204:233298 --enddatetime 2016-10-26T13:37:41 --enforcementcount 0 &gt;&gt;C:\Users\stu\Documents\GitHub\eaglep3-reporting\EC\2016-10-26-refined-times.txt</v>
      </c>
      <c r="AI8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{"issue":{"subject":"","project_id":79,"tracker_id":40,"status_id":1,"priority_id":2,"assigned_to_id":23,"start_date":"2016-10-26","description":"","custom_fields":[{"id":1,"name":"Subdivision","value":"EC"},{"id":4,"name":"Milepost","value":"23.3298"},{"id":17,"name":"Train ID","value":"175-26"},{"id":16,"name":"Locomotive ID","value":"4031"},{"id":130,"name":"Impact","value":""},{"id":150,"name":"Time of Event (Mountain Time)","value":"13:37:41"},{"id":151,"name":"Denver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425</v>
      </c>
      <c r="B90" s="7">
        <v>4032</v>
      </c>
      <c r="C90" s="22" t="s">
        <v>378</v>
      </c>
      <c r="D90" s="22" t="s">
        <v>306</v>
      </c>
      <c r="E90" s="13">
        <v>42669.570115740738</v>
      </c>
      <c r="F90" s="13">
        <v>42669.580717592595</v>
      </c>
      <c r="G90" s="7">
        <v>1</v>
      </c>
      <c r="H90" s="13" t="s">
        <v>298</v>
      </c>
      <c r="I90" s="13">
        <v>42669.607581018521</v>
      </c>
      <c r="J90" s="7">
        <v>0</v>
      </c>
      <c r="K90" s="112" t="str">
        <f t="shared" si="38"/>
        <v>4031/4032</v>
      </c>
      <c r="L90" s="22" t="str">
        <f>VLOOKUP(A90,'Trips&amp;Operators'!$C$1:$E$10000,3,FALSE)</f>
        <v>BARTLETT</v>
      </c>
      <c r="M90" s="6">
        <f t="shared" si="39"/>
        <v>2.6863425926421769E-2</v>
      </c>
      <c r="N90" s="7">
        <f t="shared" si="36"/>
        <v>38.683333334047347</v>
      </c>
      <c r="O90" s="7"/>
      <c r="P90" s="7"/>
      <c r="Q90" s="23"/>
      <c r="R90" s="23"/>
      <c r="S90" s="35">
        <f t="shared" si="26"/>
        <v>1</v>
      </c>
      <c r="T90" s="50" t="str">
        <f t="shared" si="40"/>
        <v>Southbound</v>
      </c>
      <c r="U90" s="18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12:40:58-0600',mode:absolute,to:'2016-10-26 15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42"/>
        <v>N</v>
      </c>
      <c r="X90" s="186">
        <f t="shared" si="37"/>
        <v>1</v>
      </c>
      <c r="Y90" s="67">
        <f t="shared" si="34"/>
        <v>23.299600000000002</v>
      </c>
      <c r="Z90" s="67">
        <f t="shared" si="35"/>
        <v>1.67E-2</v>
      </c>
      <c r="AA90" s="67">
        <f t="shared" si="43"/>
        <v>23.282900000000001</v>
      </c>
      <c r="AB90" s="64" t="str">
        <f>VLOOKUP(A90,Enforcements!$C$7:$K$21,8,0)</f>
        <v>Form based authority (4)</v>
      </c>
      <c r="AC90" s="60" t="str">
        <f>VLOOKUP(A90,Enforcements!$C$7:$E$21,3,0)</f>
        <v>TRACK WARRANT AUTHORITY</v>
      </c>
      <c r="AD90" s="61" t="str">
        <f t="shared" si="44"/>
        <v>0176-26</v>
      </c>
      <c r="AE90" s="91" t="str">
        <f t="shared" si="45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90" s="88" t="str">
        <f t="shared" si="46"/>
        <v>"C:\Program Files (x86)\AstroGrep\AstroGrep.exe" /spath="%USERPROFILE%\AppData\Local\Temp\OnboardLogs" /stypes="app*4032*20161026*" /stext=" 20:.+((SYSTEM_STATE.+slice.+state.+changed )|(ment ac)|(system.+state.+changed )|(\[timeout)|(PRM\|1\|D)|(kpr)|(kdp)|(\|lc)|(penalty))" /e /r /s</v>
      </c>
      <c r="AG90" s="1" t="str">
        <f t="shared" si="47"/>
        <v>EC</v>
      </c>
      <c r="AH90" s="92" t="str">
        <f t="shared" si="48"/>
        <v>"%USERPROFILE%\Documents\GitHub\eaglep3\Utilities\RefineRTDCRunTimes.py" --tripid 176-26 --locoid 4032 --swversion DE.1.0.8.0 --startMP 204:232996 --initTime 2016-10-26T13:40:58 --startdatetime 2016-10-26T13:56:14 --delay 1 --endMP 204:167 --enddatetime 2016-10-26T14:34:55 --enforcementcount 0 &gt;&gt;C:\Users\stu\Documents\GitHub\eaglep3-reporting\EC\2016-10-26-refined-times.txt</v>
      </c>
      <c r="AI9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{"issue":{"subject":"","project_id":79,"tracker_id":40,"status_id":1,"priority_id":2,"assigned_to_id":23,"start_date":"2016-10-26","description":"","custom_fields":[{"id":1,"name":"Subdivision","value":"EC"},{"id":4,"name":"Milepost","value":"0.0167"},{"id":17,"name":"Train ID","value":"176-26"},{"id":16,"name":"Locomotive ID","value":"4032"},{"id":130,"name":"Impact","value":""},{"id":150,"name":"Time of Event (Mountain Time)","value":"14:34:55"},{"id":151,"name":"Denver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421</v>
      </c>
      <c r="B91" s="7">
        <v>4046</v>
      </c>
      <c r="C91" s="22" t="s">
        <v>378</v>
      </c>
      <c r="D91" s="22" t="s">
        <v>291</v>
      </c>
      <c r="E91" s="13">
        <v>42669.547777777778</v>
      </c>
      <c r="F91" s="13">
        <v>42669.552407407406</v>
      </c>
      <c r="G91" s="7">
        <v>2</v>
      </c>
      <c r="H91" s="13" t="s">
        <v>663</v>
      </c>
      <c r="I91" s="13">
        <v>42669.577557870369</v>
      </c>
      <c r="J91" s="7">
        <v>0</v>
      </c>
      <c r="K91" s="112" t="str">
        <f t="shared" si="38"/>
        <v>4045/4046</v>
      </c>
      <c r="L91" s="22" t="str">
        <f>VLOOKUP(A91,'Trips&amp;Operators'!$C$1:$E$10000,3,FALSE)</f>
        <v>JOHNSON</v>
      </c>
      <c r="M91" s="6">
        <f t="shared" si="39"/>
        <v>2.5150462963210884E-2</v>
      </c>
      <c r="N91" s="7">
        <f t="shared" si="36"/>
        <v>36.216666667023674</v>
      </c>
      <c r="O91" s="7"/>
      <c r="P91" s="7"/>
      <c r="Q91" s="23"/>
      <c r="R91" s="23"/>
      <c r="S91" s="35">
        <f t="shared" si="26"/>
        <v>1</v>
      </c>
      <c r="T91" s="50" t="str">
        <f t="shared" si="40"/>
        <v>NorthBound</v>
      </c>
      <c r="U91" s="18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12:08:48-0600',mode:absolute,to:'2016-10-26 14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1" s="52" t="str">
        <f t="shared" si="42"/>
        <v>N</v>
      </c>
      <c r="X91" s="186">
        <f t="shared" si="37"/>
        <v>1</v>
      </c>
      <c r="Y91" s="67">
        <f t="shared" si="34"/>
        <v>4.7800000000000002E-2</v>
      </c>
      <c r="Z91" s="67">
        <f t="shared" si="35"/>
        <v>23.3324</v>
      </c>
      <c r="AA91" s="67">
        <f t="shared" si="43"/>
        <v>23.284600000000001</v>
      </c>
      <c r="AB91" s="64" t="str">
        <f>VLOOKUP(A91,Enforcements!$C$7:$K$21,8,0)</f>
        <v>Bulletin (2)</v>
      </c>
      <c r="AC91" s="60" t="str">
        <f>VLOOKUP(A91,Enforcements!$C$7:$E$21,3,0)</f>
        <v>GRADE CROSSING</v>
      </c>
      <c r="AD91" s="61" t="str">
        <f t="shared" si="44"/>
        <v>0177-26</v>
      </c>
      <c r="AE91" s="91" t="str">
        <f t="shared" si="45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91" s="88" t="str">
        <f t="shared" si="46"/>
        <v>"C:\Program Files (x86)\AstroGrep\AstroGrep.exe" /spath="%USERPROFILE%\AppData\Local\Temp\OnboardLogs" /stypes="app*4046*20161026*" /stext=" 19:.+((SYSTEM_STATE.+slice.+state.+changed )|(ment ac)|(system.+state.+changed )|(\[timeout)|(PRM\|1\|D)|(kpr)|(kdp)|(\|lc)|(penalty))" /e /r /s</v>
      </c>
      <c r="AG91" s="1" t="str">
        <f t="shared" si="47"/>
        <v>EC</v>
      </c>
      <c r="AH91" s="92" t="str">
        <f t="shared" si="48"/>
        <v>"%USERPROFILE%\Documents\GitHub\eaglep3\Utilities\RefineRTDCRunTimes.py" --tripid 177-26 --locoid 4046 --swversion DE.1.0.8.0 --startMP 204:478 --initTime 2016-10-26T13:08:48 --startdatetime 2016-10-26T13:15:28 --delay 2 --endMP 204:233324 --enddatetime 2016-10-26T13:51:41 --enforcementcount 0 &gt;&gt;C:\Users\stu\Documents\GitHub\eaglep3-reporting\EC\2016-10-26-refined-times.txt</v>
      </c>
      <c r="AI9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{"issue":{"subject":"","project_id":79,"tracker_id":40,"status_id":1,"priority_id":2,"assigned_to_id":23,"start_date":"2016-10-26","description":"","custom_fields":[{"id":1,"name":"Subdivision","value":"EC"},{"id":4,"name":"Milepost","value":"23.3324"},{"id":17,"name":"Train ID","value":"177-26"},{"id":16,"name":"Locomotive ID","value":"4046"},{"id":130,"name":"Impact","value":""},{"id":150,"name":"Time of Event (Mountain Time)","value":"13:51:41"},{"id":151,"name":"Denver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538</v>
      </c>
      <c r="B92" s="7">
        <v>4045</v>
      </c>
      <c r="C92" s="22" t="s">
        <v>378</v>
      </c>
      <c r="D92" s="22" t="s">
        <v>664</v>
      </c>
      <c r="E92" s="13">
        <v>42669.579976851855</v>
      </c>
      <c r="F92" s="13">
        <v>42669.591458333336</v>
      </c>
      <c r="G92" s="7">
        <v>1</v>
      </c>
      <c r="H92" s="13" t="s">
        <v>665</v>
      </c>
      <c r="I92" s="13">
        <v>42669.618159722224</v>
      </c>
      <c r="J92" s="7">
        <v>0</v>
      </c>
      <c r="K92" s="112" t="str">
        <f t="shared" si="38"/>
        <v>4045/4046</v>
      </c>
      <c r="L92" s="22" t="str">
        <f>VLOOKUP(A92,'Trips&amp;Operators'!$C$1:$E$10000,3,FALSE)</f>
        <v>JOHNSON</v>
      </c>
      <c r="M92" s="6">
        <f t="shared" si="39"/>
        <v>2.6701388887886424E-2</v>
      </c>
      <c r="N92" s="7">
        <f t="shared" si="36"/>
        <v>38.44999999855645</v>
      </c>
      <c r="O92" s="7"/>
      <c r="P92" s="7"/>
      <c r="Q92" s="23"/>
      <c r="R92" s="23"/>
      <c r="S92" s="35">
        <f t="shared" si="26"/>
        <v>1</v>
      </c>
      <c r="T92" s="50" t="str">
        <f t="shared" si="40"/>
        <v>Southbound</v>
      </c>
      <c r="U92" s="18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12:55:10-0600',mode:absolute,to:'2016-10-26 15:50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2" s="52" t="str">
        <f t="shared" si="42"/>
        <v>N</v>
      </c>
      <c r="X92" s="186">
        <f t="shared" si="37"/>
        <v>1</v>
      </c>
      <c r="Y92" s="67">
        <f t="shared" si="34"/>
        <v>23.302299999999999</v>
      </c>
      <c r="Z92" s="67">
        <f t="shared" si="35"/>
        <v>1.83E-2</v>
      </c>
      <c r="AA92" s="67">
        <f t="shared" si="43"/>
        <v>23.283999999999999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44"/>
        <v>0178-26</v>
      </c>
      <c r="AE92" s="91" t="str">
        <f t="shared" si="45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92" s="88" t="str">
        <f t="shared" si="46"/>
        <v>"C:\Program Files (x86)\AstroGrep\AstroGrep.exe" /spath="%USERPROFILE%\AppData\Local\Temp\OnboardLogs" /stypes="app*4045*20161026*" /stext=" 20:.+((SYSTEM_STATE.+slice.+state.+changed )|(ment ac)|(system.+state.+changed )|(\[timeout)|(PRM\|1\|D)|(kpr)|(kdp)|(\|lc)|(penalty))" /e /r /s</v>
      </c>
      <c r="AG92" s="1" t="str">
        <f t="shared" si="47"/>
        <v>EC</v>
      </c>
      <c r="AH92" s="92" t="str">
        <f t="shared" si="48"/>
        <v>"%USERPROFILE%\Documents\GitHub\eaglep3\Utilities\RefineRTDCRunTimes.py" --tripid 178-26 --locoid 4045 --swversion DE.1.0.8.0 --startMP 204:233023 --initTime 2016-10-26T13:55:10 --startdatetime 2016-10-26T14:11:42 --delay 1 --endMP 204:183 --enddatetime 2016-10-26T14:50:09 --enforcementcount 0 &gt;&gt;C:\Users\stu\Documents\GitHub\eaglep3-reporting\EC\2016-10-26-refined-times.txt</v>
      </c>
      <c r="AI9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{"issue":{"subject":"","project_id":79,"tracker_id":40,"status_id":1,"priority_id":2,"assigned_to_id":23,"start_date":"2016-10-26","description":"","custom_fields":[{"id":1,"name":"Subdivision","value":"EC"},{"id":4,"name":"Milepost","value":"0.0183"},{"id":17,"name":"Train ID","value":"178-26"},{"id":16,"name":"Locomotive ID","value":"4045"},{"id":130,"name":"Impact","value":""},{"id":150,"name":"Time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534</v>
      </c>
      <c r="B93" s="7">
        <v>4002</v>
      </c>
      <c r="C93" s="22" t="s">
        <v>378</v>
      </c>
      <c r="D93" s="22" t="s">
        <v>666</v>
      </c>
      <c r="E93" s="13">
        <v>42669.561018518521</v>
      </c>
      <c r="F93" s="13">
        <v>42669.562974537039</v>
      </c>
      <c r="G93" s="7">
        <v>1</v>
      </c>
      <c r="H93" s="13" t="s">
        <v>279</v>
      </c>
      <c r="I93" s="13">
        <v>42669.589189814818</v>
      </c>
      <c r="J93" s="7">
        <v>0</v>
      </c>
      <c r="K93" s="112" t="str">
        <f t="shared" si="38"/>
        <v>4001/4002</v>
      </c>
      <c r="L93" s="22" t="str">
        <f>VLOOKUP(A93,'Trips&amp;Operators'!$C$1:$E$10000,3,FALSE)</f>
        <v>JACKSON</v>
      </c>
      <c r="M93" s="6">
        <f t="shared" si="39"/>
        <v>2.6215277779556345E-2</v>
      </c>
      <c r="N93" s="7">
        <f t="shared" si="36"/>
        <v>37.750000002561137</v>
      </c>
      <c r="O93" s="7"/>
      <c r="P93" s="7"/>
      <c r="Q93" s="23"/>
      <c r="R93" s="23"/>
      <c r="S93" s="35">
        <f t="shared" si="26"/>
        <v>1</v>
      </c>
      <c r="T93" s="50" t="str">
        <f t="shared" si="40"/>
        <v>NorthBound</v>
      </c>
      <c r="U93" s="18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12:27:52-0600',mode:absolute,to:'2016-10-26 15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3" s="52" t="str">
        <f t="shared" si="42"/>
        <v>N</v>
      </c>
      <c r="X93" s="186">
        <f t="shared" si="37"/>
        <v>1</v>
      </c>
      <c r="Y93" s="67">
        <f t="shared" si="34"/>
        <v>4.58E-2</v>
      </c>
      <c r="Z93" s="67">
        <f t="shared" si="35"/>
        <v>23.330200000000001</v>
      </c>
      <c r="AA93" s="67">
        <f t="shared" si="43"/>
        <v>23.284400000000002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44"/>
        <v>0179-26</v>
      </c>
      <c r="AE93" s="91" t="str">
        <f t="shared" si="45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93" s="88" t="str">
        <f t="shared" si="46"/>
        <v>"C:\Program Files (x86)\AstroGrep\AstroGrep.exe" /spath="%USERPROFILE%\AppData\Local\Temp\OnboardLogs" /stypes="app*4002*20161026*" /stext=" 20:.+((SYSTEM_STATE.+slice.+state.+changed )|(ment ac)|(system.+state.+changed )|(\[timeout)|(PRM\|1\|D)|(kpr)|(kdp)|(\|lc)|(penalty))" /e /r /s</v>
      </c>
      <c r="AG93" s="1" t="str">
        <f t="shared" si="47"/>
        <v>EC</v>
      </c>
      <c r="AH93" s="92" t="str">
        <f t="shared" si="48"/>
        <v>"%USERPROFILE%\Documents\GitHub\eaglep3\Utilities\RefineRTDCRunTimes.py" --tripid 179-26 --locoid 4002 --swversion DE.1.0.8.0 --startMP 204:458 --initTime 2016-10-26T13:27:52 --startdatetime 2016-10-26T13:30:41 --delay 1 --endMP 204:233302 --enddatetime 2016-10-26T14:08:26 --enforcementcount 0 &gt;&gt;C:\Users\stu\Documents\GitHub\eaglep3-reporting\EC\2016-10-26-refined-times.txt</v>
      </c>
      <c r="AI9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{"issue":{"subject":"","project_id":79,"tracker_id":40,"status_id":1,"priority_id":2,"assigned_to_id":23,"start_date":"2016-10-26","description":"","custom_fields":[{"id":1,"name":"Subdivision","value":"EC"},{"id":4,"name":"Milepost","value":"23.3302"},{"id":17,"name":"Train ID","value":"179-26"},{"id":16,"name":"Locomotive ID","value":"4002"},{"id":130,"name":"Impact","value":""},{"id":150,"name":"Time of Event (Mountain Time)","value":"14:08:26"},{"id":151,"name":"Denver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540</v>
      </c>
      <c r="B94" s="7">
        <v>4001</v>
      </c>
      <c r="C94" s="22" t="s">
        <v>378</v>
      </c>
      <c r="D94" s="22" t="s">
        <v>320</v>
      </c>
      <c r="E94" s="13">
        <v>42669.595983796295</v>
      </c>
      <c r="F94" s="13">
        <v>42669.6015625</v>
      </c>
      <c r="G94" s="7">
        <v>1</v>
      </c>
      <c r="H94" s="13" t="s">
        <v>282</v>
      </c>
      <c r="I94" s="13">
        <v>42669.628298611111</v>
      </c>
      <c r="J94" s="7">
        <v>0</v>
      </c>
      <c r="K94" s="112" t="str">
        <f t="shared" si="38"/>
        <v>4001/4002</v>
      </c>
      <c r="L94" s="22" t="str">
        <f>VLOOKUP(A94,'Trips&amp;Operators'!$C$1:$E$10000,3,FALSE)</f>
        <v>JACKSON</v>
      </c>
      <c r="M94" s="6">
        <f t="shared" si="39"/>
        <v>2.6736111110949423E-2</v>
      </c>
      <c r="N94" s="7">
        <f t="shared" si="36"/>
        <v>38.499999999767169</v>
      </c>
      <c r="O94" s="7"/>
      <c r="P94" s="7"/>
      <c r="Q94" s="23"/>
      <c r="R94" s="23"/>
      <c r="S94" s="35">
        <f t="shared" ref="S94:S157" si="50">SUM(U94:U94)/IF(AG94="EC",12,1)</f>
        <v>1</v>
      </c>
      <c r="T94" s="50" t="str">
        <f t="shared" si="40"/>
        <v>Southbound</v>
      </c>
      <c r="U94" s="18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13:18:13-0600',mode:absolute,to:'2016-10-26 16:04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4" s="52" t="str">
        <f t="shared" si="42"/>
        <v>N</v>
      </c>
      <c r="X94" s="186">
        <f t="shared" si="37"/>
        <v>1</v>
      </c>
      <c r="Y94" s="67">
        <f t="shared" si="34"/>
        <v>23.2974</v>
      </c>
      <c r="Z94" s="67">
        <f t="shared" si="35"/>
        <v>1.6299999999999999E-2</v>
      </c>
      <c r="AA94" s="67">
        <f t="shared" si="43"/>
        <v>23.281099999999999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44"/>
        <v>0180-26</v>
      </c>
      <c r="AE94" s="91" t="str">
        <f t="shared" si="45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94" s="88" t="str">
        <f t="shared" si="46"/>
        <v>"C:\Program Files (x86)\AstroGrep\AstroGrep.exe" /spath="%USERPROFILE%\AppData\Local\Temp\OnboardLogs" /stypes="app*4001*20161026*" /stext=" 21:.+((SYSTEM_STATE.+slice.+state.+changed )|(ment ac)|(system.+state.+changed )|(\[timeout)|(PRM\|1\|D)|(kpr)|(kdp)|(\|lc)|(penalty))" /e /r /s</v>
      </c>
      <c r="AG94" s="1" t="str">
        <f t="shared" si="47"/>
        <v>EC</v>
      </c>
      <c r="AH94" s="92" t="str">
        <f t="shared" si="48"/>
        <v>"%USERPROFILE%\Documents\GitHub\eaglep3\Utilities\RefineRTDCRunTimes.py" --tripid 180-26 --locoid 4001 --swversion DE.1.0.8.0 --startMP 204:232974 --initTime 2016-10-26T14:18:13 --startdatetime 2016-10-26T14:26:15 --delay 1 --endMP 204:163 --enddatetime 2016-10-26T15:04:45 --enforcementcount 0 &gt;&gt;C:\Users\stu\Documents\GitHub\eaglep3-reporting\EC\2016-10-26-refined-times.txt</v>
      </c>
      <c r="AI9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{"issue":{"subject":"","project_id":79,"tracker_id":40,"status_id":1,"priority_id":2,"assigned_to_id":23,"start_date":"2016-10-26","description":"","custom_fields":[{"id":1,"name":"Subdivision","value":"EC"},{"id":4,"name":"Milepost","value":"0.0163"},{"id":17,"name":"Train ID","value":"180-26"},{"id":16,"name":"Locomotive ID","value":"4001"},{"id":130,"name":"Impact","value":""},{"id":150,"name":"Time of Event (Mountain Time)","value":"15:04:45"},{"id":151,"name":"Denver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536</v>
      </c>
      <c r="B95" s="7">
        <v>4029</v>
      </c>
      <c r="C95" s="22" t="s">
        <v>378</v>
      </c>
      <c r="D95" s="22" t="s">
        <v>226</v>
      </c>
      <c r="E95" s="13">
        <v>42669.570092592592</v>
      </c>
      <c r="F95" s="13">
        <v>42669.573182870372</v>
      </c>
      <c r="G95" s="7">
        <v>1</v>
      </c>
      <c r="H95" s="13" t="s">
        <v>229</v>
      </c>
      <c r="I95" s="13">
        <v>42669.599016203705</v>
      </c>
      <c r="J95" s="7">
        <v>0</v>
      </c>
      <c r="K95" s="112" t="str">
        <f t="shared" si="38"/>
        <v>4029/4030</v>
      </c>
      <c r="L95" s="22" t="str">
        <f>VLOOKUP(A95,'Trips&amp;Operators'!$C$1:$E$10000,3,FALSE)</f>
        <v>YOUNG</v>
      </c>
      <c r="M95" s="6">
        <f t="shared" si="39"/>
        <v>2.5833333333139308E-2</v>
      </c>
      <c r="N95" s="7">
        <f t="shared" si="36"/>
        <v>37.199999999720603</v>
      </c>
      <c r="O95" s="7"/>
      <c r="P95" s="7"/>
      <c r="Q95" s="23"/>
      <c r="R95" s="23"/>
      <c r="S95" s="35">
        <f t="shared" si="50"/>
        <v>1</v>
      </c>
      <c r="T95" s="50" t="str">
        <f t="shared" si="40"/>
        <v>NorthBound</v>
      </c>
      <c r="U95" s="18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12:40:56-0600',mode:absolute,to:'2016-10-26 15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5" s="52" t="str">
        <f t="shared" si="42"/>
        <v>N</v>
      </c>
      <c r="X95" s="186">
        <f t="shared" si="37"/>
        <v>1</v>
      </c>
      <c r="Y95" s="67">
        <f t="shared" si="34"/>
        <v>4.6600000000000003E-2</v>
      </c>
      <c r="Z95" s="67">
        <f t="shared" si="35"/>
        <v>23.329899999999999</v>
      </c>
      <c r="AA95" s="67">
        <f t="shared" si="43"/>
        <v>23.283299999999997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44"/>
        <v>0181-26</v>
      </c>
      <c r="AE95" s="91" t="str">
        <f t="shared" si="45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95" s="88" t="str">
        <f t="shared" si="46"/>
        <v>"C:\Program Files (x86)\AstroGrep\AstroGrep.exe" /spath="%USERPROFILE%\AppData\Local\Temp\OnboardLogs" /stypes="app*4029*20161026*" /stext=" 20:.+((SYSTEM_STATE.+slice.+state.+changed )|(ment ac)|(system.+state.+changed )|(\[timeout)|(PRM\|1\|D)|(kpr)|(kdp)|(\|lc)|(penalty))" /e /r /s</v>
      </c>
      <c r="AG95" s="1" t="str">
        <f t="shared" si="47"/>
        <v>EC</v>
      </c>
      <c r="AH95" s="92" t="str">
        <f t="shared" si="48"/>
        <v>"%USERPROFILE%\Documents\GitHub\eaglep3\Utilities\RefineRTDCRunTimes.py" --tripid 181-26 --locoid 4029 --swversion DE.1.0.8.0 --startMP 204:466 --initTime 2016-10-26T13:40:56 --startdatetime 2016-10-26T13:45:23 --delay 1 --endMP 204:233299 --enddatetime 2016-10-26T14:22:35 --enforcementcount 0 &gt;&gt;C:\Users\stu\Documents\GitHub\eaglep3-reporting\EC\2016-10-26-refined-times.txt</v>
      </c>
      <c r="AI9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{"issue":{"subject":"","project_id":79,"tracker_id":40,"status_id":1,"priority_id":2,"assigned_to_id":23,"start_date":"2016-10-26","description":"","custom_fields":[{"id":1,"name":"Subdivision","value":"EC"},{"id":4,"name":"Milepost","value":"23.3299"},{"id":17,"name":"Train ID","value":"181-26"},{"id":16,"name":"Locomotive ID","value":"4029"},{"id":130,"name":"Impact","value":""},{"id":150,"name":"Time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542</v>
      </c>
      <c r="B96" s="7">
        <v>4030</v>
      </c>
      <c r="C96" s="22" t="s">
        <v>378</v>
      </c>
      <c r="D96" s="22" t="s">
        <v>358</v>
      </c>
      <c r="E96" s="13">
        <v>42669.604386574072</v>
      </c>
      <c r="F96" s="13">
        <v>42669.612569444442</v>
      </c>
      <c r="G96" s="7">
        <v>1</v>
      </c>
      <c r="H96" s="13" t="s">
        <v>373</v>
      </c>
      <c r="I96" s="13">
        <v>42669.640740740739</v>
      </c>
      <c r="J96" s="7">
        <v>0</v>
      </c>
      <c r="K96" s="112" t="str">
        <f t="shared" si="38"/>
        <v>4029/4030</v>
      </c>
      <c r="L96" s="22" t="str">
        <f>VLOOKUP(A96,'Trips&amp;Operators'!$C$1:$E$10000,3,FALSE)</f>
        <v>YOUNG</v>
      </c>
      <c r="M96" s="6">
        <f t="shared" si="39"/>
        <v>2.8171296296932269E-2</v>
      </c>
      <c r="N96" s="7">
        <f t="shared" si="36"/>
        <v>40.566666667582467</v>
      </c>
      <c r="O96" s="7"/>
      <c r="P96" s="7"/>
      <c r="Q96" s="23"/>
      <c r="R96" s="23"/>
      <c r="S96" s="35">
        <f t="shared" si="50"/>
        <v>1</v>
      </c>
      <c r="T96" s="50" t="str">
        <f t="shared" si="40"/>
        <v>Southbound</v>
      </c>
      <c r="U96" s="18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13:30:19-0600',mode:absolute,to:'2016-10-26 16:22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6" s="52" t="str">
        <f t="shared" si="42"/>
        <v>N</v>
      </c>
      <c r="X96" s="186">
        <f t="shared" si="37"/>
        <v>1</v>
      </c>
      <c r="Y96" s="67">
        <f t="shared" si="34"/>
        <v>23.297799999999999</v>
      </c>
      <c r="Z96" s="67">
        <f t="shared" si="35"/>
        <v>1.9800000000000002E-2</v>
      </c>
      <c r="AA96" s="67">
        <f t="shared" si="43"/>
        <v>23.277999999999999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44"/>
        <v>0182-26</v>
      </c>
      <c r="AE96" s="91" t="str">
        <f t="shared" si="45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96" s="88" t="str">
        <f t="shared" si="46"/>
        <v>"C:\Program Files (x86)\AstroGrep\AstroGrep.exe" /spath="%USERPROFILE%\AppData\Local\Temp\OnboardLogs" /stypes="app*4030*20161026*" /stext=" 21:.+((SYSTEM_STATE.+slice.+state.+changed )|(ment ac)|(system.+state.+changed )|(\[timeout)|(PRM\|1\|D)|(kpr)|(kdp)|(\|lc)|(penalty))" /e /r /s</v>
      </c>
      <c r="AG96" s="1" t="str">
        <f t="shared" si="47"/>
        <v>EC</v>
      </c>
      <c r="AH96" s="92" t="str">
        <f t="shared" si="48"/>
        <v>"%USERPROFILE%\Documents\GitHub\eaglep3\Utilities\RefineRTDCRunTimes.py" --tripid 182-26 --locoid 4030 --swversion DE.1.0.8.0 --startMP 204:232978 --initTime 2016-10-26T14:30:19 --startdatetime 2016-10-26T14:42:06 --delay 1 --endMP 204:198 --enddatetime 2016-10-26T15:22:40 --enforcementcount 0 &gt;&gt;C:\Users\stu\Documents\GitHub\eaglep3-reporting\EC\2016-10-26-refined-times.txt</v>
      </c>
      <c r="AI9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{"issue":{"subject":"","project_id":79,"tracker_id":40,"status_id":1,"priority_id":2,"assigned_to_id":23,"start_date":"2016-10-26","description":"","custom_fields":[{"id":1,"name":"Subdivision","value":"EC"},{"id":4,"name":"Milepost","value":"0.0198"},{"id":17,"name":"Train ID","value":"182-26"},{"id":16,"name":"Locomotive ID","value":"4030"},{"id":130,"name":"Impact","value":""},{"id":150,"name":"Time of Event (Mountain Time)","value":"15:22:40"},{"id":151,"name":"Denver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7" t="s">
        <v>537</v>
      </c>
      <c r="B97" s="7">
        <v>4040</v>
      </c>
      <c r="C97" s="22" t="s">
        <v>378</v>
      </c>
      <c r="D97" s="22" t="s">
        <v>666</v>
      </c>
      <c r="E97" s="13">
        <v>42669.577106481483</v>
      </c>
      <c r="F97" s="13">
        <v>42669.583715277775</v>
      </c>
      <c r="G97" s="7">
        <v>1</v>
      </c>
      <c r="H97" s="13" t="s">
        <v>278</v>
      </c>
      <c r="I97" s="13">
        <v>42669.609050925923</v>
      </c>
      <c r="J97" s="7">
        <v>0</v>
      </c>
      <c r="K97" s="112" t="str">
        <f t="shared" si="38"/>
        <v>4039/4040</v>
      </c>
      <c r="L97" s="22" t="str">
        <f>VLOOKUP(A97,'Trips&amp;Operators'!$C$1:$E$10000,3,FALSE)</f>
        <v>BRUDER</v>
      </c>
      <c r="M97" s="6">
        <f t="shared" si="39"/>
        <v>2.5335648148029577E-2</v>
      </c>
      <c r="N97" s="7">
        <f t="shared" si="36"/>
        <v>36.483333333162591</v>
      </c>
      <c r="O97" s="7"/>
      <c r="P97" s="7"/>
      <c r="Q97" s="23"/>
      <c r="R97" s="23"/>
      <c r="S97" s="35">
        <f t="shared" si="50"/>
        <v>1</v>
      </c>
      <c r="T97" s="50" t="str">
        <f t="shared" si="40"/>
        <v>NorthBound</v>
      </c>
      <c r="U97" s="18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12:51:02-0600',mode:absolute,to:'2016-10-26 15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 t="shared" si="42"/>
        <v>N</v>
      </c>
      <c r="X97" s="186">
        <f t="shared" si="37"/>
        <v>1</v>
      </c>
      <c r="Y97" s="67">
        <f t="shared" si="34"/>
        <v>4.58E-2</v>
      </c>
      <c r="Z97" s="67">
        <f t="shared" si="35"/>
        <v>23.331</v>
      </c>
      <c r="AA97" s="67">
        <f t="shared" si="43"/>
        <v>23.2852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44"/>
        <v>0183-26</v>
      </c>
      <c r="AE97" s="91" t="str">
        <f t="shared" si="45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97" s="88" t="str">
        <f t="shared" si="46"/>
        <v>"C:\Program Files (x86)\AstroGrep\AstroGrep.exe" /spath="%USERPROFILE%\AppData\Local\Temp\OnboardLogs" /stypes="app*4040*20161026*" /stext=" 20:.+((SYSTEM_STATE.+slice.+state.+changed )|(ment ac)|(system.+state.+changed )|(\[timeout)|(PRM\|1\|D)|(kpr)|(kdp)|(\|lc)|(penalty))" /e /r /s</v>
      </c>
      <c r="AG97" s="1" t="str">
        <f t="shared" si="47"/>
        <v>EC</v>
      </c>
      <c r="AH97" s="92" t="str">
        <f t="shared" si="48"/>
        <v>"%USERPROFILE%\Documents\GitHub\eaglep3\Utilities\RefineRTDCRunTimes.py" --tripid 183-26 --locoid 4040 --swversion DE.1.0.8.0 --startMP 204:458 --initTime 2016-10-26T13:51:02 --startdatetime 2016-10-26T14:00:33 --delay 1 --endMP 204:233310 --enddatetime 2016-10-26T14:37:02 --enforcementcount 0 &gt;&gt;C:\Users\stu\Documents\GitHub\eaglep3-reporting\EC\2016-10-26-refined-times.txt</v>
      </c>
      <c r="AI9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{"issue":{"subject":"","project_id":79,"tracker_id":40,"status_id":1,"priority_id":2,"assigned_to_id":23,"start_date":"2016-10-26","description":"","custom_fields":[{"id":1,"name":"Subdivision","value":"EC"},{"id":4,"name":"Milepost","value":"23.331"},{"id":17,"name":"Train ID","value":"183-26"},{"id":16,"name":"Locomotive ID","value":"4040"},{"id":130,"name":"Impact","value":""},{"id":150,"name":"Time of Event (Mountain Time)","value":"14:37:02"},{"id":151,"name":"Denver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7" t="s">
        <v>545</v>
      </c>
      <c r="B98" s="7">
        <v>4039</v>
      </c>
      <c r="C98" s="22" t="s">
        <v>378</v>
      </c>
      <c r="D98" s="22" t="s">
        <v>277</v>
      </c>
      <c r="E98" s="13">
        <v>42669.610983796294</v>
      </c>
      <c r="F98" s="13">
        <v>42669.622465277775</v>
      </c>
      <c r="G98" s="7">
        <v>1</v>
      </c>
      <c r="H98" s="13" t="s">
        <v>218</v>
      </c>
      <c r="I98" s="13">
        <v>42669.648599537039</v>
      </c>
      <c r="J98" s="7">
        <v>0</v>
      </c>
      <c r="K98" s="112" t="str">
        <f t="shared" si="38"/>
        <v>4039/4040</v>
      </c>
      <c r="L98" s="22" t="str">
        <f>VLOOKUP(A98,'Trips&amp;Operators'!$C$1:$E$10000,3,FALSE)</f>
        <v>BRUDER</v>
      </c>
      <c r="M98" s="6">
        <f t="shared" si="39"/>
        <v>2.6134259263926651E-2</v>
      </c>
      <c r="N98" s="7">
        <f t="shared" si="36"/>
        <v>37.633333340054378</v>
      </c>
      <c r="O98" s="7"/>
      <c r="P98" s="7"/>
      <c r="Q98" s="23"/>
      <c r="R98" s="23"/>
      <c r="S98" s="35">
        <f t="shared" si="50"/>
        <v>1</v>
      </c>
      <c r="T98" s="50" t="str">
        <f t="shared" si="40"/>
        <v>Southbound</v>
      </c>
      <c r="U98" s="18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13:39:49-0600',mode:absolute,to:'2016-10-26 16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 t="shared" si="42"/>
        <v>N</v>
      </c>
      <c r="X98" s="186">
        <f t="shared" si="37"/>
        <v>1</v>
      </c>
      <c r="Y98" s="67">
        <f t="shared" si="34"/>
        <v>23.299299999999999</v>
      </c>
      <c r="Z98" s="67">
        <f t="shared" si="35"/>
        <v>1.49E-2</v>
      </c>
      <c r="AA98" s="67">
        <f t="shared" si="43"/>
        <v>23.284399999999998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44"/>
        <v>0184-26</v>
      </c>
      <c r="AE98" s="91" t="str">
        <f t="shared" si="45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98" s="88" t="str">
        <f t="shared" si="46"/>
        <v>"C:\Program Files (x86)\AstroGrep\AstroGrep.exe" /spath="%USERPROFILE%\AppData\Local\Temp\OnboardLogs" /stypes="app*4039*20161026*" /stext=" 21:.+((SYSTEM_STATE.+slice.+state.+changed )|(ment ac)|(system.+state.+changed )|(\[timeout)|(PRM\|1\|D)|(kpr)|(kdp)|(\|lc)|(penalty))" /e /r /s</v>
      </c>
      <c r="AG98" s="1" t="str">
        <f t="shared" si="47"/>
        <v>EC</v>
      </c>
      <c r="AH98" s="92" t="str">
        <f t="shared" si="48"/>
        <v>"%USERPROFILE%\Documents\GitHub\eaglep3\Utilities\RefineRTDCRunTimes.py" --tripid 184-26 --locoid 4039 --swversion DE.1.0.8.0 --startMP 204:232993 --initTime 2016-10-26T14:39:49 --startdatetime 2016-10-26T14:56:21 --delay 1 --endMP 204:149 --enddatetime 2016-10-26T15:33:59 --enforcementcount 0 &gt;&gt;C:\Users\stu\Documents\GitHub\eaglep3-reporting\EC\2016-10-26-refined-times.txt</v>
      </c>
      <c r="AI9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ID","value":"184-26"},{"id":16,"name":"Locomotive ID","value":"4039"},{"id":130,"name":"Impact","value":""},{"id":150,"name":"Time of Event (Mountain Time)","value":"15:33:59"},{"id":151,"name":"Denver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7" t="s">
        <v>539</v>
      </c>
      <c r="B99" s="7">
        <v>4016</v>
      </c>
      <c r="C99" s="22" t="s">
        <v>378</v>
      </c>
      <c r="D99" s="22" t="s">
        <v>226</v>
      </c>
      <c r="E99" s="13">
        <v>42669.58734953704</v>
      </c>
      <c r="F99" s="13">
        <v>42669.593923611108</v>
      </c>
      <c r="G99" s="7">
        <v>1</v>
      </c>
      <c r="H99" s="13" t="s">
        <v>219</v>
      </c>
      <c r="I99" s="13">
        <v>42669.618067129632</v>
      </c>
      <c r="J99" s="7">
        <v>0</v>
      </c>
      <c r="K99" s="112" t="str">
        <f t="shared" si="38"/>
        <v>4015/4016</v>
      </c>
      <c r="L99" s="22" t="str">
        <f>VLOOKUP(A99,'Trips&amp;Operators'!$C$1:$E$10000,3,FALSE)</f>
        <v>STORY</v>
      </c>
      <c r="M99" s="6">
        <f t="shared" si="39"/>
        <v>2.4143518523487728E-2</v>
      </c>
      <c r="N99" s="7">
        <f t="shared" si="36"/>
        <v>34.766666673822328</v>
      </c>
      <c r="O99" s="7"/>
      <c r="P99" s="7"/>
      <c r="Q99" s="23"/>
      <c r="R99" s="23"/>
      <c r="S99" s="35">
        <f t="shared" si="50"/>
        <v>1</v>
      </c>
      <c r="T99" s="50" t="str">
        <f t="shared" si="40"/>
        <v>NorthBound</v>
      </c>
      <c r="U99" s="18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13:05:47-0600',mode:absolute,to:'2016-10-26 15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42"/>
        <v>N</v>
      </c>
      <c r="X99" s="186">
        <f t="shared" si="37"/>
        <v>1</v>
      </c>
      <c r="Y99" s="67">
        <f t="shared" si="34"/>
        <v>4.6600000000000003E-2</v>
      </c>
      <c r="Z99" s="67">
        <f t="shared" si="35"/>
        <v>23.3293</v>
      </c>
      <c r="AA99" s="67">
        <f t="shared" si="43"/>
        <v>23.282699999999998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44"/>
        <v>0185-26</v>
      </c>
      <c r="AE99" s="91" t="str">
        <f t="shared" si="45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99" s="88" t="str">
        <f t="shared" si="46"/>
        <v>"C:\Program Files (x86)\AstroGrep\AstroGrep.exe" /spath="%USERPROFILE%\AppData\Local\Temp\OnboardLogs" /stypes="app*4016*20161026*" /stext=" 20:.+((SYSTEM_STATE.+slice.+state.+changed )|(ment ac)|(system.+state.+changed )|(\[timeout)|(PRM\|1\|D)|(kpr)|(kdp)|(\|lc)|(penalty))" /e /r /s</v>
      </c>
      <c r="AG99" s="1" t="str">
        <f t="shared" si="47"/>
        <v>EC</v>
      </c>
      <c r="AH99" s="92" t="str">
        <f t="shared" si="48"/>
        <v>"%USERPROFILE%\Documents\GitHub\eaglep3\Utilities\RefineRTDCRunTimes.py" --tripid 185-26 --locoid 4016 --swversion DE.1.0.8.0 --startMP 204:466 --initTime 2016-10-26T14:05:47 --startdatetime 2016-10-26T14:15:15 --delay 1 --endMP 204:233293 --enddatetime 2016-10-26T14:50:01 --enforcementcount 0 &gt;&gt;C:\Users\stu\Documents\GitHub\eaglep3-reporting\EC\2016-10-26-refined-times.txt</v>
      </c>
      <c r="AI9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{"issue":{"subject":"","project_id":79,"tracker_id":40,"status_id":1,"priority_id":2,"assigned_to_id":23,"start_date":"2016-10-26","description":"","custom_fields":[{"id":1,"name":"Subdivision","value":"EC"},{"id":4,"name":"Milepost","value":"23.3293"},{"id":17,"name":"Train ID","value":"185-26"},{"id":16,"name":"Locomotive ID","value":"4016"},{"id":130,"name":"Impact","value":""},{"id":150,"name":"Time of Event (Mountain Time)","value":"14:50:01"},{"id":151,"name":"Denver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37" t="s">
        <v>547</v>
      </c>
      <c r="B100" s="7">
        <v>4015</v>
      </c>
      <c r="C100" s="22" t="s">
        <v>378</v>
      </c>
      <c r="D100" s="22" t="s">
        <v>358</v>
      </c>
      <c r="E100" s="13">
        <v>42669.628946759258</v>
      </c>
      <c r="F100" s="13">
        <v>42669.633506944447</v>
      </c>
      <c r="G100" s="7">
        <v>1</v>
      </c>
      <c r="H100" s="13" t="s">
        <v>218</v>
      </c>
      <c r="I100" s="13">
        <v>42669.658819444441</v>
      </c>
      <c r="J100" s="7">
        <v>0</v>
      </c>
      <c r="K100" s="112" t="str">
        <f t="shared" si="38"/>
        <v>4015/4016</v>
      </c>
      <c r="L100" s="22" t="str">
        <f>VLOOKUP(A100,'Trips&amp;Operators'!$C$1:$E$10000,3,FALSE)</f>
        <v>STORY</v>
      </c>
      <c r="M100" s="6">
        <f t="shared" si="39"/>
        <v>2.5312499994470272E-2</v>
      </c>
      <c r="N100" s="7">
        <f t="shared" si="36"/>
        <v>36.449999992037192</v>
      </c>
      <c r="O100" s="7"/>
      <c r="P100" s="7"/>
      <c r="Q100" s="23"/>
      <c r="R100" s="23"/>
      <c r="S100" s="35">
        <f t="shared" si="50"/>
        <v>1</v>
      </c>
      <c r="T100" s="50" t="str">
        <f t="shared" si="40"/>
        <v>Southbound</v>
      </c>
      <c r="U100" s="18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14:05:41-0600',mode:absolute,to:'2016-10-26 16:48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 t="shared" si="42"/>
        <v>N</v>
      </c>
      <c r="X100" s="186">
        <f t="shared" si="37"/>
        <v>1</v>
      </c>
      <c r="Y100" s="67">
        <f t="shared" si="34"/>
        <v>23.297799999999999</v>
      </c>
      <c r="Z100" s="67">
        <f t="shared" si="35"/>
        <v>1.49E-2</v>
      </c>
      <c r="AA100" s="67">
        <f t="shared" si="43"/>
        <v>23.282899999999998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44"/>
        <v>0186-26</v>
      </c>
      <c r="AE100" s="91" t="str">
        <f t="shared" si="45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100" s="88" t="str">
        <f t="shared" si="46"/>
        <v>"C:\Program Files (x86)\AstroGrep\AstroGrep.exe" /spath="%USERPROFILE%\AppData\Local\Temp\OnboardLogs" /stypes="app*4015*20161026*" /stext=" 21:.+((SYSTEM_STATE.+slice.+state.+changed )|(ment ac)|(system.+state.+changed )|(\[timeout)|(PRM\|1\|D)|(kpr)|(kdp)|(\|lc)|(penalty))" /e /r /s</v>
      </c>
      <c r="AG100" s="1" t="str">
        <f t="shared" si="47"/>
        <v>EC</v>
      </c>
      <c r="AH100" s="92" t="str">
        <f t="shared" si="48"/>
        <v>"%USERPROFILE%\Documents\GitHub\eaglep3\Utilities\RefineRTDCRunTimes.py" --tripid 186-26 --locoid 4015 --swversion DE.1.0.8.0 --startMP 204:232978 --initTime 2016-10-26T15:05:41 --startdatetime 2016-10-26T15:12:15 --delay 1 --endMP 204:149 --enddatetime 2016-10-26T15:48:42 --enforcementcount 0 &gt;&gt;C:\Users\stu\Documents\GitHub\eaglep3-reporting\EC\2016-10-26-refined-times.txt</v>
      </c>
      <c r="AI10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ID","value":"186-26"},{"id":16,"name":"Locomotive ID","value":"4015"},{"id":130,"name":"Impact","value":""},{"id":150,"name":"Time of Event (Mountain Time)","value":"15:48:42"},{"id":151,"name":"Denver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541</v>
      </c>
      <c r="B101" s="7">
        <v>4011</v>
      </c>
      <c r="C101" s="22" t="s">
        <v>378</v>
      </c>
      <c r="D101" s="22" t="s">
        <v>291</v>
      </c>
      <c r="E101" s="13">
        <v>42669.599502314813</v>
      </c>
      <c r="F101" s="13">
        <v>42669.604571759257</v>
      </c>
      <c r="G101" s="7">
        <v>1</v>
      </c>
      <c r="H101" s="13" t="s">
        <v>219</v>
      </c>
      <c r="I101" s="13">
        <v>42669.629907407405</v>
      </c>
      <c r="J101" s="7">
        <v>0</v>
      </c>
      <c r="K101" s="112" t="str">
        <f t="shared" si="38"/>
        <v>4011/4012</v>
      </c>
      <c r="L101" s="22" t="str">
        <f>VLOOKUP(A101,'Trips&amp;Operators'!$C$1:$E$10000,3,FALSE)</f>
        <v>MCREYNOLDS</v>
      </c>
      <c r="M101" s="6">
        <f t="shared" si="39"/>
        <v>2.5335648148029577E-2</v>
      </c>
      <c r="N101" s="7">
        <f t="shared" si="36"/>
        <v>36.483333333162591</v>
      </c>
      <c r="O101" s="7"/>
      <c r="P101" s="7"/>
      <c r="Q101" s="23"/>
      <c r="R101" s="23"/>
      <c r="S101" s="35">
        <f t="shared" si="50"/>
        <v>1</v>
      </c>
      <c r="T101" s="50" t="str">
        <f t="shared" si="40"/>
        <v>NorthBound</v>
      </c>
      <c r="U101" s="18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13:23:17-0600',mode:absolute,to:'2016-10-26 16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1" s="52" t="str">
        <f t="shared" si="42"/>
        <v>N</v>
      </c>
      <c r="X101" s="186">
        <f t="shared" si="37"/>
        <v>1</v>
      </c>
      <c r="Y101" s="67">
        <f t="shared" ref="Y101:Y132" si="51">RIGHT(D101,LEN(D101)-4)/10000</f>
        <v>4.7800000000000002E-2</v>
      </c>
      <c r="Z101" s="67">
        <f t="shared" ref="Z101:Z132" si="52">RIGHT(H101,LEN(H101)-4)/10000</f>
        <v>23.3293</v>
      </c>
      <c r="AA101" s="67">
        <f t="shared" si="43"/>
        <v>23.281500000000001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44"/>
        <v>0187-26</v>
      </c>
      <c r="AE101" s="91" t="str">
        <f t="shared" si="45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101" s="88" t="str">
        <f t="shared" si="46"/>
        <v>"C:\Program Files (x86)\AstroGrep\AstroGrep.exe" /spath="%USERPROFILE%\AppData\Local\Temp\OnboardLogs" /stypes="app*4011*20161026*" /stext=" 21:.+((SYSTEM_STATE.+slice.+state.+changed )|(ment ac)|(system.+state.+changed )|(\[timeout)|(PRM\|1\|D)|(kpr)|(kdp)|(\|lc)|(penalty))" /e /r /s</v>
      </c>
      <c r="AG101" s="1" t="str">
        <f t="shared" si="47"/>
        <v>EC</v>
      </c>
      <c r="AH101" s="92" t="str">
        <f t="shared" si="48"/>
        <v>"%USERPROFILE%\Documents\GitHub\eaglep3\Utilities\RefineRTDCRunTimes.py" --tripid 187-26 --locoid 4011 --swversion DE.1.0.8.0 --startMP 204:478 --initTime 2016-10-26T14:23:17 --startdatetime 2016-10-26T14:30:35 --delay 1 --endMP 204:233293 --enddatetime 2016-10-26T15:07:04 --enforcementcount 0 &gt;&gt;C:\Users\stu\Documents\GitHub\eaglep3-reporting\EC\2016-10-26-refined-times.txt</v>
      </c>
      <c r="AI10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{"issue":{"subject":"","project_id":79,"tracker_id":40,"status_id":1,"priority_id":2,"assigned_to_id":23,"start_date":"2016-10-26","description":"","custom_fields":[{"id":1,"name":"Subdivision","value":"EC"},{"id":4,"name":"Milepost","value":"23.3293"},{"id":17,"name":"Train ID","value":"187-26"},{"id":16,"name":"Locomotive ID","value":"4011"},{"id":130,"name":"Impact","value":""},{"id":150,"name":"Time of Event (Mountain Time)","value":"15:07:04"},{"id":151,"name":"Denver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7" t="s">
        <v>550</v>
      </c>
      <c r="B102" s="7">
        <v>4012</v>
      </c>
      <c r="C102" s="22" t="s">
        <v>378</v>
      </c>
      <c r="D102" s="22" t="s">
        <v>297</v>
      </c>
      <c r="E102" s="13">
        <v>42669.63517361111</v>
      </c>
      <c r="F102" s="13">
        <v>42669.643206018518</v>
      </c>
      <c r="G102" s="7">
        <v>1</v>
      </c>
      <c r="H102" s="13" t="s">
        <v>220</v>
      </c>
      <c r="I102" s="13">
        <v>42669.669664351852</v>
      </c>
      <c r="J102" s="7">
        <v>0</v>
      </c>
      <c r="K102" s="112" t="str">
        <f t="shared" si="38"/>
        <v>4011/4012</v>
      </c>
      <c r="L102" s="22" t="str">
        <f>VLOOKUP(A102,'Trips&amp;Operators'!$C$1:$E$10000,3,FALSE)</f>
        <v>MCREYNOLDS</v>
      </c>
      <c r="M102" s="6">
        <f t="shared" si="39"/>
        <v>2.6458333333721384E-2</v>
      </c>
      <c r="N102" s="7">
        <f t="shared" si="36"/>
        <v>38.100000000558794</v>
      </c>
      <c r="O102" s="7"/>
      <c r="P102" s="7"/>
      <c r="Q102" s="23"/>
      <c r="R102" s="23"/>
      <c r="S102" s="35">
        <f t="shared" si="50"/>
        <v>1</v>
      </c>
      <c r="T102" s="50" t="str">
        <f t="shared" si="40"/>
        <v>Southbound</v>
      </c>
      <c r="U102" s="18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14:14:39-0600',mode:absolute,to:'2016-10-26 17:04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2" s="52" t="str">
        <f t="shared" si="42"/>
        <v>N</v>
      </c>
      <c r="X102" s="186">
        <f t="shared" si="37"/>
        <v>1</v>
      </c>
      <c r="Y102" s="67">
        <f t="shared" si="51"/>
        <v>23.2987</v>
      </c>
      <c r="Z102" s="67">
        <f t="shared" si="52"/>
        <v>1.43E-2</v>
      </c>
      <c r="AA102" s="67">
        <f t="shared" si="43"/>
        <v>23.284400000000002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44"/>
        <v>0188-26</v>
      </c>
      <c r="AE102" s="91" t="str">
        <f t="shared" si="45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102" s="88" t="str">
        <f t="shared" si="46"/>
        <v>"C:\Program Files (x86)\AstroGrep\AstroGrep.exe" /spath="%USERPROFILE%\AppData\Local\Temp\OnboardLogs" /stypes="app*4012*20161026*" /stext=" 22:.+((SYSTEM_STATE.+slice.+state.+changed )|(ment ac)|(system.+state.+changed )|(\[timeout)|(PRM\|1\|D)|(kpr)|(kdp)|(\|lc)|(penalty))" /e /r /s</v>
      </c>
      <c r="AG102" s="1" t="str">
        <f t="shared" si="47"/>
        <v>EC</v>
      </c>
      <c r="AH102" s="92" t="str">
        <f t="shared" si="48"/>
        <v>"%USERPROFILE%\Documents\GitHub\eaglep3\Utilities\RefineRTDCRunTimes.py" --tripid 188-26 --locoid 4012 --swversion DE.1.0.8.0 --startMP 204:232987 --initTime 2016-10-26T15:14:39 --startdatetime 2016-10-26T15:26:13 --delay 1 --endMP 204:143 --enddatetime 2016-10-26T16:04:19 --enforcementcount 0 &gt;&gt;C:\Users\stu\Documents\GitHub\eaglep3-reporting\EC\2016-10-26-refined-times.txt</v>
      </c>
      <c r="AI10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{"issue":{"subject":"","project_id":79,"tracker_id":40,"status_id":1,"priority_id":2,"assigned_to_id":23,"start_date":"2016-10-26","description":"","custom_fields":[{"id":1,"name":"Subdivision","value":"EC"},{"id":4,"name":"Milepost","value":"0.0143"},{"id":17,"name":"Train ID","value":"188-26"},{"id":16,"name":"Locomotive ID","value":"4012"},{"id":130,"name":"Impact","value":""},{"id":150,"name":"Time of Event (Mountain Time)","value":"16:04:19"},{"id":151,"name":"Denver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91" s="21" customFormat="1" x14ac:dyDescent="0.25">
      <c r="A103" s="37" t="s">
        <v>544</v>
      </c>
      <c r="B103" s="7">
        <v>4031</v>
      </c>
      <c r="C103" s="22" t="s">
        <v>378</v>
      </c>
      <c r="D103" s="22" t="s">
        <v>667</v>
      </c>
      <c r="E103" s="13">
        <v>42669.6093287037</v>
      </c>
      <c r="F103" s="13">
        <v>42669.614930555559</v>
      </c>
      <c r="G103" s="7">
        <v>1</v>
      </c>
      <c r="H103" s="13" t="s">
        <v>300</v>
      </c>
      <c r="I103" s="13">
        <v>42669.640034722222</v>
      </c>
      <c r="J103" s="7">
        <v>0</v>
      </c>
      <c r="K103" s="112" t="str">
        <f t="shared" si="38"/>
        <v>4031/4032</v>
      </c>
      <c r="L103" s="22" t="str">
        <f>VLOOKUP(A103,'Trips&amp;Operators'!$C$1:$E$10000,3,FALSE)</f>
        <v>BARTLETT</v>
      </c>
      <c r="M103" s="6">
        <f t="shared" si="39"/>
        <v>2.5104166663368233E-2</v>
      </c>
      <c r="N103" s="7">
        <f t="shared" si="36"/>
        <v>36.149999995250255</v>
      </c>
      <c r="O103" s="7"/>
      <c r="P103" s="7"/>
      <c r="Q103" s="23"/>
      <c r="R103" s="23"/>
      <c r="S103" s="35">
        <f t="shared" si="50"/>
        <v>1</v>
      </c>
      <c r="T103" s="50" t="str">
        <f t="shared" si="40"/>
        <v>NorthBound</v>
      </c>
      <c r="U103" s="18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13:37:26-0600',mode:absolute,to:'2016-10-26 16:21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42"/>
        <v>N</v>
      </c>
      <c r="X103" s="186">
        <f t="shared" si="37"/>
        <v>1</v>
      </c>
      <c r="Y103" s="67">
        <f t="shared" si="51"/>
        <v>5.0799999999999998E-2</v>
      </c>
      <c r="Z103" s="67">
        <f t="shared" si="52"/>
        <v>23.330300000000001</v>
      </c>
      <c r="AA103" s="67">
        <f t="shared" si="43"/>
        <v>23.279500000000002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44"/>
        <v>0189-26</v>
      </c>
      <c r="AE103" s="91" t="str">
        <f t="shared" si="45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03" s="88" t="str">
        <f t="shared" si="46"/>
        <v>"C:\Program Files (x86)\AstroGrep\AstroGrep.exe" /spath="%USERPROFILE%\AppData\Local\Temp\OnboardLogs" /stypes="app*4031*20161026*" /stext=" 21:.+((SYSTEM_STATE.+slice.+state.+changed )|(ment ac)|(system.+state.+changed )|(\[timeout)|(PRM\|1\|D)|(kpr)|(kdp)|(\|lc)|(penalty))" /e /r /s</v>
      </c>
      <c r="AG103" s="1" t="str">
        <f t="shared" si="47"/>
        <v>EC</v>
      </c>
      <c r="AH103" s="92" t="str">
        <f t="shared" si="48"/>
        <v>"%USERPROFILE%\Documents\GitHub\eaglep3\Utilities\RefineRTDCRunTimes.py" --tripid 189-26 --locoid 4031 --swversion DE.1.0.8.0 --startMP 204:508 --initTime 2016-10-26T14:37:26 --startdatetime 2016-10-26T14:45:30 --delay 1 --endMP 204:233303 --enddatetime 2016-10-26T15:21:39 --enforcementcount 0 &gt;&gt;C:\Users\stu\Documents\GitHub\eaglep3-reporting\EC\2016-10-26-refined-times.txt</v>
      </c>
      <c r="AI10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{"issue":{"subject":"","project_id":79,"tracker_id":40,"status_id":1,"priority_id":2,"assigned_to_id":23,"start_date":"2016-10-26","description":"","custom_fields":[{"id":1,"name":"Subdivision","value":"EC"},{"id":4,"name":"Milepost","value":"23.3303"},{"id":17,"name":"Train ID","value":"189-26"},{"id":16,"name":"Locomotive ID","value":"4031"},{"id":130,"name":"Impact","value":""},{"id":150,"name":"Time of Event (Mountain Time)","value":"15:21:39"},{"id":151,"name":"Denver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553</v>
      </c>
      <c r="B104" s="7">
        <v>4032</v>
      </c>
      <c r="C104" s="22" t="s">
        <v>378</v>
      </c>
      <c r="D104" s="22" t="s">
        <v>286</v>
      </c>
      <c r="E104" s="13">
        <v>42669.642280092594</v>
      </c>
      <c r="F104" s="13">
        <v>42669.654062499998</v>
      </c>
      <c r="G104" s="7">
        <v>1</v>
      </c>
      <c r="H104" s="13" t="s">
        <v>230</v>
      </c>
      <c r="I104" s="13">
        <v>42669.680393518516</v>
      </c>
      <c r="J104" s="7">
        <v>0</v>
      </c>
      <c r="K104" s="112" t="str">
        <f t="shared" si="38"/>
        <v>4031/4032</v>
      </c>
      <c r="L104" s="22" t="str">
        <f>VLOOKUP(A104,'Trips&amp;Operators'!$C$1:$E$10000,3,FALSE)</f>
        <v>BARTLETT</v>
      </c>
      <c r="M104" s="6">
        <f t="shared" si="39"/>
        <v>2.6331018518249039E-2</v>
      </c>
      <c r="N104" s="7">
        <f t="shared" si="36"/>
        <v>37.916666666278616</v>
      </c>
      <c r="O104" s="7"/>
      <c r="P104" s="7"/>
      <c r="Q104" s="23"/>
      <c r="R104" s="23"/>
      <c r="S104" s="35">
        <f t="shared" si="50"/>
        <v>1</v>
      </c>
      <c r="T104" s="50" t="str">
        <f t="shared" si="40"/>
        <v>Southbound</v>
      </c>
      <c r="U104" s="18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14:24:53-0600',mode:absolute,to:'2016-10-26 17:19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42"/>
        <v>N</v>
      </c>
      <c r="X104" s="186">
        <f t="shared" si="37"/>
        <v>1</v>
      </c>
      <c r="Y104" s="67">
        <f t="shared" si="51"/>
        <v>23.2971</v>
      </c>
      <c r="Z104" s="67">
        <f t="shared" si="52"/>
        <v>1.6E-2</v>
      </c>
      <c r="AA104" s="67">
        <f t="shared" si="43"/>
        <v>23.281100000000002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44"/>
        <v>0190-26</v>
      </c>
      <c r="AE104" s="91" t="str">
        <f t="shared" si="45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104" s="88" t="str">
        <f t="shared" si="46"/>
        <v>"C:\Program Files (x86)\AstroGrep\AstroGrep.exe" /spath="%USERPROFILE%\AppData\Local\Temp\OnboardLogs" /stypes="app*4032*20161026*" /stext=" 22:.+((SYSTEM_STATE.+slice.+state.+changed )|(ment ac)|(system.+state.+changed )|(\[timeout)|(PRM\|1\|D)|(kpr)|(kdp)|(\|lc)|(penalty))" /e /r /s</v>
      </c>
      <c r="AG104" s="1" t="str">
        <f t="shared" si="47"/>
        <v>EC</v>
      </c>
      <c r="AH104" s="92" t="str">
        <f t="shared" si="48"/>
        <v>"%USERPROFILE%\Documents\GitHub\eaglep3\Utilities\RefineRTDCRunTimes.py" --tripid 190-26 --locoid 4032 --swversion DE.1.0.8.0 --startMP 204:232971 --initTime 2016-10-26T15:24:53 --startdatetime 2016-10-26T15:41:51 --delay 1 --endMP 204:160 --enddatetime 2016-10-26T16:19:46 --enforcementcount 0 &gt;&gt;C:\Users\stu\Documents\GitHub\eaglep3-reporting\EC\2016-10-26-refined-times.txt</v>
      </c>
      <c r="AI10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ID","value":"190-26"},{"id":16,"name":"Locomotive ID","value":"4032"},{"id":130,"name":"Impact","value":""},{"id":150,"name":"Time of Event (Mountain Time)","value":"16:19:46"},{"id":151,"name":"Denver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546</v>
      </c>
      <c r="B105" s="7">
        <v>4046</v>
      </c>
      <c r="C105" s="22" t="s">
        <v>378</v>
      </c>
      <c r="D105" s="22" t="s">
        <v>296</v>
      </c>
      <c r="E105" s="13">
        <v>42669.621851851851</v>
      </c>
      <c r="F105" s="13">
        <v>42669.625219907408</v>
      </c>
      <c r="G105" s="7">
        <v>1</v>
      </c>
      <c r="H105" s="13" t="s">
        <v>371</v>
      </c>
      <c r="I105" s="13">
        <v>42669.650289351855</v>
      </c>
      <c r="J105" s="7">
        <v>0</v>
      </c>
      <c r="K105" s="112" t="str">
        <f t="shared" si="38"/>
        <v>4045/4046</v>
      </c>
      <c r="L105" s="22" t="str">
        <f>VLOOKUP(A105,'Trips&amp;Operators'!$C$1:$E$10000,3,FALSE)</f>
        <v>JOHNSON</v>
      </c>
      <c r="M105" s="6">
        <f t="shared" si="39"/>
        <v>2.5069444447581191E-2</v>
      </c>
      <c r="N105" s="7">
        <f t="shared" ref="N105:N136" si="53">24*60*SUM($M105:$M105)</f>
        <v>36.100000004516914</v>
      </c>
      <c r="O105" s="7"/>
      <c r="P105" s="7"/>
      <c r="Q105" s="23"/>
      <c r="R105" s="23"/>
      <c r="S105" s="35">
        <f t="shared" si="50"/>
        <v>1</v>
      </c>
      <c r="T105" s="50" t="str">
        <f t="shared" si="40"/>
        <v>NorthBound</v>
      </c>
      <c r="U105" s="18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13:55:28-0600',mode:absolute,to:'2016-10-26 16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5" s="52" t="str">
        <f t="shared" si="42"/>
        <v>N</v>
      </c>
      <c r="X105" s="186">
        <f t="shared" ref="X105:X136" si="54">VALUE(LEFT(AD105,4))-VALUE(LEFT(AD104,4))</f>
        <v>1</v>
      </c>
      <c r="Y105" s="67">
        <f t="shared" si="51"/>
        <v>4.5699999999999998E-2</v>
      </c>
      <c r="Z105" s="67">
        <f t="shared" si="52"/>
        <v>23.331399999999999</v>
      </c>
      <c r="AA105" s="67">
        <f t="shared" si="43"/>
        <v>23.285699999999999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44"/>
        <v>0191-26</v>
      </c>
      <c r="AE105" s="91" t="str">
        <f t="shared" si="45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105" s="88" t="str">
        <f t="shared" si="46"/>
        <v>"C:\Program Files (x86)\AstroGrep\AstroGrep.exe" /spath="%USERPROFILE%\AppData\Local\Temp\OnboardLogs" /stypes="app*4046*20161026*" /stext=" 21:.+((SYSTEM_STATE.+slice.+state.+changed )|(ment ac)|(system.+state.+changed )|(\[timeout)|(PRM\|1\|D)|(kpr)|(kdp)|(\|lc)|(penalty))" /e /r /s</v>
      </c>
      <c r="AG105" s="1" t="str">
        <f t="shared" si="47"/>
        <v>EC</v>
      </c>
      <c r="AH105" s="92" t="str">
        <f t="shared" si="48"/>
        <v>"%USERPROFILE%\Documents\GitHub\eaglep3\Utilities\RefineRTDCRunTimes.py" --tripid 191-26 --locoid 4046 --swversion DE.1.0.8.0 --startMP 204:457 --initTime 2016-10-26T14:55:28 --startdatetime 2016-10-26T15:00:19 --delay 1 --endMP 204:233314 --enddatetime 2016-10-26T15:36:25 --enforcementcount 0 &gt;&gt;C:\Users\stu\Documents\GitHub\eaglep3-reporting\EC\2016-10-26-refined-times.txt</v>
      </c>
      <c r="AI10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{"issue":{"subject":"","project_id":79,"tracker_id":40,"status_id":1,"priority_id":2,"assigned_to_id":23,"start_date":"2016-10-26","description":"","custom_fields":[{"id":1,"name":"Subdivision","value":"EC"},{"id":4,"name":"Milepost","value":"23.3314"},{"id":17,"name":"Train ID","value":"191-26"},{"id":16,"name":"Locomotive ID","value":"4046"},{"id":130,"name":"Impact","value":""},{"id":150,"name":"Time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558</v>
      </c>
      <c r="B106" s="7">
        <v>4045</v>
      </c>
      <c r="C106" s="22" t="s">
        <v>378</v>
      </c>
      <c r="D106" s="22" t="s">
        <v>648</v>
      </c>
      <c r="E106" s="13">
        <v>42669.660277777781</v>
      </c>
      <c r="F106" s="13">
        <v>42669.664143518516</v>
      </c>
      <c r="G106" s="7">
        <v>1</v>
      </c>
      <c r="H106" s="13" t="s">
        <v>218</v>
      </c>
      <c r="I106" s="13">
        <v>42669.692800925928</v>
      </c>
      <c r="J106" s="7">
        <v>0</v>
      </c>
      <c r="K106" s="112" t="str">
        <f t="shared" si="38"/>
        <v>4045/4046</v>
      </c>
      <c r="L106" s="22" t="str">
        <f>VLOOKUP(A106,'Trips&amp;Operators'!$C$1:$E$10000,3,FALSE)</f>
        <v>JOHNSON</v>
      </c>
      <c r="M106" s="6">
        <f t="shared" si="39"/>
        <v>2.8657407412538305E-2</v>
      </c>
      <c r="N106" s="7">
        <f t="shared" si="53"/>
        <v>41.266666674055159</v>
      </c>
      <c r="O106" s="7"/>
      <c r="P106" s="7"/>
      <c r="Q106" s="23"/>
      <c r="R106" s="23"/>
      <c r="S106" s="35">
        <f t="shared" si="50"/>
        <v>1</v>
      </c>
      <c r="T106" s="50" t="str">
        <f t="shared" si="40"/>
        <v>Southbound</v>
      </c>
      <c r="U106" s="18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14:50:48-0600',mode:absolute,to:'2016-10-26 17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6" s="52" t="str">
        <f t="shared" si="42"/>
        <v>N</v>
      </c>
      <c r="X106" s="186">
        <f t="shared" si="54"/>
        <v>1</v>
      </c>
      <c r="Y106" s="67">
        <f t="shared" si="51"/>
        <v>23.298300000000001</v>
      </c>
      <c r="Z106" s="67">
        <f t="shared" si="52"/>
        <v>1.49E-2</v>
      </c>
      <c r="AA106" s="67">
        <f t="shared" si="43"/>
        <v>23.2834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44"/>
        <v>0192-26</v>
      </c>
      <c r="AE106" s="91" t="str">
        <f t="shared" si="45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06" s="88" t="str">
        <f t="shared" si="46"/>
        <v>"C:\Program Files (x86)\AstroGrep\AstroGrep.exe" /spath="%USERPROFILE%\AppData\Local\Temp\OnboardLogs" /stypes="app*4045*20161026*" /stext=" 22:.+((SYSTEM_STATE.+slice.+state.+changed )|(ment ac)|(system.+state.+changed )|(\[timeout)|(PRM\|1\|D)|(kpr)|(kdp)|(\|lc)|(penalty))" /e /r /s</v>
      </c>
      <c r="AG106" s="1" t="str">
        <f t="shared" si="47"/>
        <v>EC</v>
      </c>
      <c r="AH106" s="92" t="str">
        <f t="shared" si="48"/>
        <v>"%USERPROFILE%\Documents\GitHub\eaglep3\Utilities\RefineRTDCRunTimes.py" --tripid 192-26 --locoid 4045 --swversion DE.1.0.8.0 --startMP 204:232983 --initTime 2016-10-26T15:50:48 --startdatetime 2016-10-26T15:56:22 --delay 1 --endMP 204:149 --enddatetime 2016-10-26T16:37:38 --enforcementcount 0 &gt;&gt;C:\Users\stu\Documents\GitHub\eaglep3-reporting\EC\2016-10-26-refined-times.txt</v>
      </c>
      <c r="AI10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ID","value":"192-26"},{"id":16,"name":"Locomotive ID","value":"4045"},{"id":130,"name":"Impact","value":""},{"id":150,"name":"Time of Event (Mountain Time)","value":"16:37:38"},{"id":151,"name":"Denver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548</v>
      </c>
      <c r="B107" s="7">
        <v>4002</v>
      </c>
      <c r="C107" s="22" t="s">
        <v>378</v>
      </c>
      <c r="D107" s="22" t="s">
        <v>281</v>
      </c>
      <c r="E107" s="13">
        <v>42669.630902777775</v>
      </c>
      <c r="F107" s="13">
        <v>42669.635868055557</v>
      </c>
      <c r="G107" s="7">
        <v>3</v>
      </c>
      <c r="H107" s="13" t="s">
        <v>285</v>
      </c>
      <c r="I107" s="13">
        <v>42669.660231481481</v>
      </c>
      <c r="J107" s="7">
        <v>0</v>
      </c>
      <c r="K107" s="112" t="str">
        <f t="shared" si="38"/>
        <v>4001/4002</v>
      </c>
      <c r="L107" s="22" t="str">
        <f>VLOOKUP(A107,'Trips&amp;Operators'!$C$1:$E$10000,3,FALSE)</f>
        <v>ADANE</v>
      </c>
      <c r="M107" s="6">
        <f t="shared" si="39"/>
        <v>2.4363425924093463E-2</v>
      </c>
      <c r="N107" s="7">
        <f t="shared" si="53"/>
        <v>35.083333330694586</v>
      </c>
      <c r="O107" s="7"/>
      <c r="P107" s="7"/>
      <c r="Q107" s="23"/>
      <c r="R107" s="23"/>
      <c r="S107" s="35">
        <f t="shared" si="50"/>
        <v>1</v>
      </c>
      <c r="T107" s="50" t="str">
        <f t="shared" si="40"/>
        <v>NorthBound</v>
      </c>
      <c r="U107" s="18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14:08:30-0600',mode:absolute,to:'2016-10-26 16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7" s="52" t="str">
        <f t="shared" si="42"/>
        <v>N</v>
      </c>
      <c r="X107" s="186">
        <f t="shared" si="54"/>
        <v>1</v>
      </c>
      <c r="Y107" s="67">
        <f t="shared" si="51"/>
        <v>4.6699999999999998E-2</v>
      </c>
      <c r="Z107" s="67">
        <f t="shared" si="52"/>
        <v>23.3291</v>
      </c>
      <c r="AA107" s="67">
        <f t="shared" si="43"/>
        <v>23.282399999999999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44"/>
        <v>0193-26</v>
      </c>
      <c r="AE107" s="91" t="str">
        <f t="shared" si="45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107" s="88" t="str">
        <f t="shared" si="46"/>
        <v>"C:\Program Files (x86)\AstroGrep\AstroGrep.exe" /spath="%USERPROFILE%\AppData\Local\Temp\OnboardLogs" /stypes="app*4002*20161026*" /stext=" 21:.+((SYSTEM_STATE.+slice.+state.+changed )|(ment ac)|(system.+state.+changed )|(\[timeout)|(PRM\|1\|D)|(kpr)|(kdp)|(\|lc)|(penalty))" /e /r /s</v>
      </c>
      <c r="AG107" s="1" t="str">
        <f t="shared" si="47"/>
        <v>EC</v>
      </c>
      <c r="AH107" s="92" t="str">
        <f t="shared" si="48"/>
        <v>"%USERPROFILE%\Documents\GitHub\eaglep3\Utilities\RefineRTDCRunTimes.py" --tripid 193-26 --locoid 4002 --swversion DE.1.0.8.0 --startMP 204:467 --initTime 2016-10-26T15:08:30 --startdatetime 2016-10-26T15:15:39 --delay 3 --endMP 204:233291 --enddatetime 2016-10-26T15:50:44 --enforcementcount 0 &gt;&gt;C:\Users\stu\Documents\GitHub\eaglep3-reporting\EC\2016-10-26-refined-times.txt</v>
      </c>
      <c r="AI10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{"issue":{"subject":"","project_id":79,"tracker_id":40,"status_id":1,"priority_id":2,"assigned_to_id":23,"start_date":"2016-10-26","description":"","custom_fields":[{"id":1,"name":"Subdivision","value":"EC"},{"id":4,"name":"Milepost","value":"23.3291"},{"id":17,"name":"Train ID","value":"193-26"},{"id":16,"name":"Locomotive ID","value":"4002"},{"id":130,"name":"Impact","value":""},{"id":150,"name":"Time of Event (Mountain Time)","value":"15:50:44"},{"id":151,"name":"Denver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561</v>
      </c>
      <c r="B108" s="7">
        <v>4001</v>
      </c>
      <c r="C108" s="22" t="s">
        <v>378</v>
      </c>
      <c r="D108" s="22" t="s">
        <v>317</v>
      </c>
      <c r="E108" s="13">
        <v>42669.671493055554</v>
      </c>
      <c r="F108" s="13">
        <v>42669.674722222226</v>
      </c>
      <c r="G108" s="7">
        <v>2</v>
      </c>
      <c r="H108" s="13" t="s">
        <v>220</v>
      </c>
      <c r="I108" s="13">
        <v>42669.700902777775</v>
      </c>
      <c r="J108" s="7">
        <v>0</v>
      </c>
      <c r="K108" s="112" t="str">
        <f t="shared" si="38"/>
        <v>4001/4002</v>
      </c>
      <c r="L108" s="22" t="str">
        <f>VLOOKUP(A108,'Trips&amp;Operators'!$C$1:$E$10000,3,FALSE)</f>
        <v>ADANE</v>
      </c>
      <c r="M108" s="6">
        <f t="shared" si="39"/>
        <v>2.6180555549217388E-2</v>
      </c>
      <c r="N108" s="7">
        <f t="shared" si="53"/>
        <v>37.699999990873039</v>
      </c>
      <c r="O108" s="7"/>
      <c r="P108" s="7"/>
      <c r="Q108" s="23"/>
      <c r="R108" s="23"/>
      <c r="S108" s="35">
        <f t="shared" si="50"/>
        <v>1</v>
      </c>
      <c r="T108" s="50" t="str">
        <f t="shared" si="40"/>
        <v>Southbound</v>
      </c>
      <c r="U108" s="18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15:06:57-0600',mode:absolute,to:'2016-10-26 17:49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8" s="52" t="str">
        <f t="shared" si="42"/>
        <v>N</v>
      </c>
      <c r="X108" s="186">
        <f t="shared" si="54"/>
        <v>1</v>
      </c>
      <c r="Y108" s="67">
        <f t="shared" si="51"/>
        <v>23.296700000000001</v>
      </c>
      <c r="Z108" s="67">
        <f t="shared" si="52"/>
        <v>1.43E-2</v>
      </c>
      <c r="AA108" s="67">
        <f t="shared" si="43"/>
        <v>23.282400000000003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44"/>
        <v>0194-26</v>
      </c>
      <c r="AE108" s="91" t="str">
        <f t="shared" si="45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108" s="88" t="str">
        <f t="shared" si="46"/>
        <v>"C:\Program Files (x86)\AstroGrep\AstroGrep.exe" /spath="%USERPROFILE%\AppData\Local\Temp\OnboardLogs" /stypes="app*4001*20161026*" /stext=" 22:.+((SYSTEM_STATE.+slice.+state.+changed )|(ment ac)|(system.+state.+changed )|(\[timeout)|(PRM\|1\|D)|(kpr)|(kdp)|(\|lc)|(penalty))" /e /r /s</v>
      </c>
      <c r="AG108" s="1" t="str">
        <f t="shared" si="47"/>
        <v>EC</v>
      </c>
      <c r="AH108" s="92" t="str">
        <f t="shared" si="48"/>
        <v>"%USERPROFILE%\Documents\GitHub\eaglep3\Utilities\RefineRTDCRunTimes.py" --tripid 194-26 --locoid 4001 --swversion DE.1.0.8.0 --startMP 204:232967 --initTime 2016-10-26T16:06:57 --startdatetime 2016-10-26T16:11:36 --delay 2 --endMP 204:143 --enddatetime 2016-10-26T16:49:18 --enforcementcount 0 &gt;&gt;C:\Users\stu\Documents\GitHub\eaglep3-reporting\EC\2016-10-26-refined-times.txt</v>
      </c>
      <c r="AI10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{"issue":{"subject":"","project_id":79,"tracker_id":40,"status_id":1,"priority_id":2,"assigned_to_id":23,"start_date":"2016-10-26","description":"","custom_fields":[{"id":1,"name":"Subdivision","value":"EC"},{"id":4,"name":"Milepost","value":"0.0143"},{"id":17,"name":"Train ID","value":"194-26"},{"id":16,"name":"Locomotive ID","value":"4001"},{"id":130,"name":"Impact","value":""},{"id":150,"name":"Time of Event (Mountain Time)","value":"16:49:18"},{"id":151,"name":"Denver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x14ac:dyDescent="0.25">
      <c r="A109" s="37" t="s">
        <v>552</v>
      </c>
      <c r="B109" s="7">
        <v>4029</v>
      </c>
      <c r="C109" s="22" t="s">
        <v>378</v>
      </c>
      <c r="D109" s="22" t="s">
        <v>668</v>
      </c>
      <c r="E109" s="13">
        <v>42669.642222222225</v>
      </c>
      <c r="F109" s="13">
        <v>42669.646122685182</v>
      </c>
      <c r="G109" s="7">
        <v>1</v>
      </c>
      <c r="H109" s="13" t="s">
        <v>352</v>
      </c>
      <c r="I109" s="13">
        <v>42669.673842592594</v>
      </c>
      <c r="J109" s="7">
        <v>0</v>
      </c>
      <c r="K109" s="112" t="str">
        <f t="shared" si="38"/>
        <v>4029/4030</v>
      </c>
      <c r="L109" s="22" t="str">
        <f>VLOOKUP(A109,'Trips&amp;Operators'!$C$1:$E$10000,3,FALSE)</f>
        <v>YOUNG</v>
      </c>
      <c r="M109" s="6">
        <f t="shared" si="39"/>
        <v>2.771990741166519E-2</v>
      </c>
      <c r="N109" s="7">
        <f t="shared" si="53"/>
        <v>39.916666672797874</v>
      </c>
      <c r="O109" s="7"/>
      <c r="P109" s="7"/>
      <c r="Q109" s="23"/>
      <c r="R109" s="23"/>
      <c r="S109" s="35">
        <f t="shared" si="50"/>
        <v>1</v>
      </c>
      <c r="T109" s="50" t="str">
        <f t="shared" si="40"/>
        <v>NorthBound</v>
      </c>
      <c r="U109" s="18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14:24:48-0600',mode:absolute,to:'2016-10-26 17:10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2" t="str">
        <f t="shared" si="42"/>
        <v>N</v>
      </c>
      <c r="X109" s="186">
        <f t="shared" si="54"/>
        <v>1</v>
      </c>
      <c r="Y109" s="67">
        <f t="shared" si="51"/>
        <v>5.1499999999999997E-2</v>
      </c>
      <c r="Z109" s="67">
        <f t="shared" si="52"/>
        <v>23.3308</v>
      </c>
      <c r="AA109" s="67">
        <f t="shared" si="43"/>
        <v>23.279299999999999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44"/>
        <v>0195-26</v>
      </c>
      <c r="AE109" s="91" t="str">
        <f t="shared" si="45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09" s="88" t="str">
        <f t="shared" si="46"/>
        <v>"C:\Program Files (x86)\AstroGrep\AstroGrep.exe" /spath="%USERPROFILE%\AppData\Local\Temp\OnboardLogs" /stypes="app*4029*20161026*" /stext=" 22:.+((SYSTEM_STATE.+slice.+state.+changed )|(ment ac)|(system.+state.+changed )|(\[timeout)|(PRM\|1\|D)|(kpr)|(kdp)|(\|lc)|(penalty))" /e /r /s</v>
      </c>
      <c r="AG109" s="1" t="str">
        <f t="shared" si="47"/>
        <v>EC</v>
      </c>
      <c r="AH109" s="92" t="str">
        <f t="shared" si="48"/>
        <v>"%USERPROFILE%\Documents\GitHub\eaglep3\Utilities\RefineRTDCRunTimes.py" --tripid 195-26 --locoid 4029 --swversion DE.1.0.8.0 --startMP 204:515 --initTime 2016-10-26T15:24:48 --startdatetime 2016-10-26T15:30:25 --delay 1 --endMP 204:233308 --enddatetime 2016-10-26T16:10:20 --enforcementcount 0 &gt;&gt;C:\Users\stu\Documents\GitHub\eaglep3-reporting\EC\2016-10-26-refined-times.txt</v>
      </c>
      <c r="AI10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{"issue":{"subject":"","project_id":79,"tracker_id":40,"status_id":1,"priority_id":2,"assigned_to_id":23,"start_date":"2016-10-26","description":"","custom_fields":[{"id":1,"name":"Subdivision","value":"EC"},{"id":4,"name":"Milepost","value":"23.3308"},{"id":17,"name":"Train ID","value":"195-26"},{"id":16,"name":"Locomotive ID","value":"4029"},{"id":130,"name":"Impact","value":""},{"id":150,"name":"Time of Event (Mountain Time)","value":"16:10:20"},{"id":151,"name":"Denver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x14ac:dyDescent="0.25">
      <c r="A110" s="37" t="s">
        <v>562</v>
      </c>
      <c r="B110" s="7">
        <v>4030</v>
      </c>
      <c r="C110" s="22" t="s">
        <v>378</v>
      </c>
      <c r="D110" s="22" t="s">
        <v>249</v>
      </c>
      <c r="E110" s="13">
        <v>42669.675729166665</v>
      </c>
      <c r="F110" s="13">
        <v>42669.684918981482</v>
      </c>
      <c r="G110" s="7">
        <v>1</v>
      </c>
      <c r="H110" s="13" t="s">
        <v>669</v>
      </c>
      <c r="I110" s="13">
        <v>42669.712870370371</v>
      </c>
      <c r="J110" s="7">
        <v>0</v>
      </c>
      <c r="K110" s="112" t="str">
        <f t="shared" si="38"/>
        <v>4029/4030</v>
      </c>
      <c r="L110" s="22" t="str">
        <f>VLOOKUP(A110,'Trips&amp;Operators'!$C$1:$E$10000,3,FALSE)</f>
        <v>YOUNG</v>
      </c>
      <c r="M110" s="6">
        <f t="shared" si="39"/>
        <v>2.7951388889050577E-2</v>
      </c>
      <c r="N110" s="7">
        <f t="shared" si="53"/>
        <v>40.250000000232831</v>
      </c>
      <c r="O110" s="7"/>
      <c r="P110" s="7"/>
      <c r="Q110" s="23"/>
      <c r="R110" s="23"/>
      <c r="S110" s="35">
        <f t="shared" si="50"/>
        <v>1</v>
      </c>
      <c r="T110" s="50" t="str">
        <f t="shared" si="40"/>
        <v>Southbound</v>
      </c>
      <c r="U110" s="18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15:13:03-0600',mode:absolute,to:'2016-10-26 18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2" t="str">
        <f t="shared" si="42"/>
        <v>N</v>
      </c>
      <c r="X110" s="186">
        <f t="shared" si="54"/>
        <v>1</v>
      </c>
      <c r="Y110" s="67">
        <f t="shared" si="51"/>
        <v>23.299399999999999</v>
      </c>
      <c r="Z110" s="67">
        <f t="shared" si="52"/>
        <v>2.1600000000000001E-2</v>
      </c>
      <c r="AA110" s="67">
        <f t="shared" si="43"/>
        <v>23.277799999999999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44"/>
        <v>0196-26</v>
      </c>
      <c r="AE110" s="91" t="str">
        <f t="shared" si="45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110" s="88" t="str">
        <f t="shared" si="46"/>
        <v>"C:\Program Files (x86)\AstroGrep\AstroGrep.exe" /spath="%USERPROFILE%\AppData\Local\Temp\OnboardLogs" /stypes="app*4030*20161026*" /stext=" 23:.+((SYSTEM_STATE.+slice.+state.+changed )|(ment ac)|(system.+state.+changed )|(\[timeout)|(PRM\|1\|D)|(kpr)|(kdp)|(\|lc)|(penalty))" /e /r /s</v>
      </c>
      <c r="AG110" s="1" t="str">
        <f t="shared" si="47"/>
        <v>EC</v>
      </c>
      <c r="AH110" s="92" t="str">
        <f t="shared" si="48"/>
        <v>"%USERPROFILE%\Documents\GitHub\eaglep3\Utilities\RefineRTDCRunTimes.py" --tripid 196-26 --locoid 4030 --swversion DE.1.0.8.0 --startMP 204:232994 --initTime 2016-10-26T16:13:03 --startdatetime 2016-10-26T16:26:17 --delay 1 --endMP 204:216 --enddatetime 2016-10-26T17:06:32 --enforcementcount 0 &gt;&gt;C:\Users\stu\Documents\GitHub\eaglep3-reporting\EC\2016-10-26-refined-times.txt</v>
      </c>
      <c r="AI11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{"issue":{"subject":"","project_id":79,"tracker_id":40,"status_id":1,"priority_id":2,"assigned_to_id":23,"start_date":"2016-10-26","description":"","custom_fields":[{"id":1,"name":"Subdivision","value":"EC"},{"id":4,"name":"Milepost","value":"0.0216"},{"id":17,"name":"Train ID","value":"196-26"},{"id":16,"name":"Locomotive ID","value":"4030"},{"id":130,"name":"Impact","value":""},{"id":150,"name":"Time of Event (Mountain Time)","value":"17:06:32"},{"id":151,"name":"Denver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91" x14ac:dyDescent="0.25">
      <c r="A111" s="37" t="s">
        <v>555</v>
      </c>
      <c r="B111" s="7">
        <v>4040</v>
      </c>
      <c r="C111" s="22" t="s">
        <v>378</v>
      </c>
      <c r="D111" s="22" t="s">
        <v>222</v>
      </c>
      <c r="E111" s="13">
        <v>42669.650416666664</v>
      </c>
      <c r="F111" s="13">
        <v>42669.656608796293</v>
      </c>
      <c r="G111" s="7">
        <v>2</v>
      </c>
      <c r="H111" s="13" t="s">
        <v>229</v>
      </c>
      <c r="I111" s="13">
        <v>42669.682395833333</v>
      </c>
      <c r="J111" s="7">
        <v>0</v>
      </c>
      <c r="K111" s="112" t="str">
        <f t="shared" si="38"/>
        <v>4039/4040</v>
      </c>
      <c r="L111" s="22" t="str">
        <f>VLOOKUP(A111,'Trips&amp;Operators'!$C$1:$E$10000,3,FALSE)</f>
        <v>BRUDER</v>
      </c>
      <c r="M111" s="6">
        <f t="shared" si="39"/>
        <v>2.5787037040572613E-2</v>
      </c>
      <c r="N111" s="7">
        <f t="shared" si="53"/>
        <v>37.133333338424563</v>
      </c>
      <c r="O111" s="7"/>
      <c r="P111" s="7"/>
      <c r="Q111" s="23"/>
      <c r="R111" s="23"/>
      <c r="S111" s="35">
        <f t="shared" si="50"/>
        <v>1</v>
      </c>
      <c r="T111" s="50" t="str">
        <f t="shared" si="40"/>
        <v>NorthBound</v>
      </c>
      <c r="U111" s="18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14:36:36-0600',mode:absolute,to:'2016-10-26 17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1" s="52" t="str">
        <f t="shared" si="42"/>
        <v>N</v>
      </c>
      <c r="X111" s="186">
        <f t="shared" si="54"/>
        <v>1</v>
      </c>
      <c r="Y111" s="67">
        <f t="shared" si="51"/>
        <v>4.4699999999999997E-2</v>
      </c>
      <c r="Z111" s="67">
        <f t="shared" si="52"/>
        <v>23.329899999999999</v>
      </c>
      <c r="AA111" s="67">
        <f t="shared" si="43"/>
        <v>23.2852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44"/>
        <v>0197-26</v>
      </c>
      <c r="AE111" s="91" t="str">
        <f t="shared" si="45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111" s="88" t="str">
        <f t="shared" si="46"/>
        <v>"C:\Program Files (x86)\AstroGrep\AstroGrep.exe" /spath="%USERPROFILE%\AppData\Local\Temp\OnboardLogs" /stypes="app*4040*20161026*" /stext=" 22:.+((SYSTEM_STATE.+slice.+state.+changed )|(ment ac)|(system.+state.+changed )|(\[timeout)|(PRM\|1\|D)|(kpr)|(kdp)|(\|lc)|(penalty))" /e /r /s</v>
      </c>
      <c r="AG111" s="1" t="str">
        <f t="shared" si="47"/>
        <v>EC</v>
      </c>
      <c r="AH111" s="92" t="str">
        <f t="shared" si="48"/>
        <v>"%USERPROFILE%\Documents\GitHub\eaglep3\Utilities\RefineRTDCRunTimes.py" --tripid 197-26 --locoid 4040 --swversion DE.1.0.8.0 --startMP 204:447 --initTime 2016-10-26T15:36:36 --startdatetime 2016-10-26T15:45:31 --delay 2 --endMP 204:233299 --enddatetime 2016-10-26T16:22:39 --enforcementcount 0 &gt;&gt;C:\Users\stu\Documents\GitHub\eaglep3-reporting\EC\2016-10-26-refined-times.txt</v>
      </c>
      <c r="AI11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{"issue":{"subject":"","project_id":79,"tracker_id":40,"status_id":1,"priority_id":2,"assigned_to_id":23,"start_date":"2016-10-26","description":"","custom_fields":[{"id":1,"name":"Subdivision","value":"EC"},{"id":4,"name":"Milepost","value":"23.3299"},{"id":17,"name":"Train ID","value":"197-26"},{"id":16,"name":"Locomotive ID","value":"4040"},{"id":130,"name":"Impact","value":""},{"id":150,"name":"Time of Event (Mountain Time)","value":"16:22:39"},{"id":151,"name":"Denver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91" s="21" customFormat="1" x14ac:dyDescent="0.25">
      <c r="A112" s="37" t="s">
        <v>565</v>
      </c>
      <c r="B112" s="7">
        <v>4039</v>
      </c>
      <c r="C112" s="22" t="s">
        <v>378</v>
      </c>
      <c r="D112" s="22" t="s">
        <v>355</v>
      </c>
      <c r="E112" s="13">
        <v>42669.688599537039</v>
      </c>
      <c r="F112" s="13">
        <v>42669.695347222223</v>
      </c>
      <c r="G112" s="7">
        <v>1</v>
      </c>
      <c r="H112" s="13" t="s">
        <v>217</v>
      </c>
      <c r="I112" s="13">
        <v>42669.721655092595</v>
      </c>
      <c r="J112" s="7">
        <v>0</v>
      </c>
      <c r="K112" s="112" t="str">
        <f t="shared" si="38"/>
        <v>4039/4040</v>
      </c>
      <c r="L112" s="22" t="str">
        <f>VLOOKUP(A112,'Trips&amp;Operators'!$C$1:$E$10000,3,FALSE)</f>
        <v>BRUDER</v>
      </c>
      <c r="M112" s="6">
        <f t="shared" si="39"/>
        <v>2.6307870371965691E-2</v>
      </c>
      <c r="N112" s="7">
        <f t="shared" si="53"/>
        <v>37.883333335630596</v>
      </c>
      <c r="O112" s="7"/>
      <c r="P112" s="7"/>
      <c r="Q112" s="23"/>
      <c r="R112" s="23"/>
      <c r="S112" s="35">
        <f t="shared" si="50"/>
        <v>1</v>
      </c>
      <c r="T112" s="50" t="str">
        <f t="shared" si="40"/>
        <v>Southbound</v>
      </c>
      <c r="U112" s="18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15:31:35-0600',mode:absolute,to:'2016-10-26 18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2" s="52" t="str">
        <f t="shared" si="42"/>
        <v>N</v>
      </c>
      <c r="X112" s="186">
        <f t="shared" si="54"/>
        <v>1</v>
      </c>
      <c r="Y112" s="67">
        <f t="shared" si="51"/>
        <v>23.296900000000001</v>
      </c>
      <c r="Z112" s="67">
        <f t="shared" si="52"/>
        <v>1.4500000000000001E-2</v>
      </c>
      <c r="AA112" s="67">
        <f t="shared" si="43"/>
        <v>23.282399999999999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44"/>
        <v>0198-26</v>
      </c>
      <c r="AE112" s="91" t="str">
        <f t="shared" si="45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112" s="88" t="str">
        <f t="shared" si="46"/>
        <v>"C:\Program Files (x86)\AstroGrep\AstroGrep.exe" /spath="%USERPROFILE%\AppData\Local\Temp\OnboardLogs" /stypes="app*4039*20161026*" /stext=" 23:.+((SYSTEM_STATE.+slice.+state.+changed )|(ment ac)|(system.+state.+changed )|(\[timeout)|(PRM\|1\|D)|(kpr)|(kdp)|(\|lc)|(penalty))" /e /r /s</v>
      </c>
      <c r="AG112" s="1" t="str">
        <f t="shared" si="47"/>
        <v>EC</v>
      </c>
      <c r="AH112" s="92" t="str">
        <f t="shared" si="48"/>
        <v>"%USERPROFILE%\Documents\GitHub\eaglep3\Utilities\RefineRTDCRunTimes.py" --tripid 198-26 --locoid 4039 --swversion DE.1.0.8.0 --startMP 204:232969 --initTime 2016-10-26T16:31:35 --startdatetime 2016-10-26T16:41:18 --delay 1 --endMP 204:145 --enddatetime 2016-10-26T17:19:11 --enforcementcount 0 &gt;&gt;C:\Users\stu\Documents\GitHub\eaglep3-reporting\EC\2016-10-26-refined-times.txt</v>
      </c>
      <c r="AI11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{"issue":{"subject":"","project_id":79,"tracker_id":40,"status_id":1,"priority_id":2,"assigned_to_id":23,"start_date":"2016-10-26","description":"","custom_fields":[{"id":1,"name":"Subdivision","value":"EC"},{"id":4,"name":"Milepost","value":"0.0145"},{"id":17,"name":"Train ID","value":"198-26"},{"id":16,"name":"Locomotive ID","value":"4039"},{"id":130,"name":"Impact","value":""},{"id":150,"name":"Time of Event (Mountain Time)","value":"17:19:11"},{"id":151,"name":"Denver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559</v>
      </c>
      <c r="B113" s="7">
        <v>4016</v>
      </c>
      <c r="C113" s="22" t="s">
        <v>378</v>
      </c>
      <c r="D113" s="22" t="s">
        <v>261</v>
      </c>
      <c r="E113" s="13">
        <v>42669.660925925928</v>
      </c>
      <c r="F113" s="13">
        <v>42669.668449074074</v>
      </c>
      <c r="G113" s="7">
        <v>1</v>
      </c>
      <c r="H113" s="13" t="s">
        <v>356</v>
      </c>
      <c r="I113" s="13">
        <v>42669.692280092589</v>
      </c>
      <c r="J113" s="7">
        <v>0</v>
      </c>
      <c r="K113" s="112" t="str">
        <f t="shared" si="38"/>
        <v>4015/4016</v>
      </c>
      <c r="L113" s="22" t="str">
        <f>VLOOKUP(A113,'Trips&amp;Operators'!$C$1:$E$10000,3,FALSE)</f>
        <v>STORY</v>
      </c>
      <c r="M113" s="6">
        <f t="shared" si="39"/>
        <v>2.3831018515920732E-2</v>
      </c>
      <c r="N113" s="7">
        <f t="shared" si="53"/>
        <v>34.316666662925854</v>
      </c>
      <c r="O113" s="7"/>
      <c r="P113" s="7"/>
      <c r="Q113" s="23"/>
      <c r="R113" s="23"/>
      <c r="S113" s="35">
        <f t="shared" si="50"/>
        <v>1</v>
      </c>
      <c r="T113" s="50" t="str">
        <f t="shared" si="40"/>
        <v>NorthBound</v>
      </c>
      <c r="U113" s="18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14:51:44-0600',mode:absolute,to:'2016-10-26 17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42"/>
        <v>N</v>
      </c>
      <c r="X113" s="186">
        <f t="shared" si="54"/>
        <v>1</v>
      </c>
      <c r="Y113" s="67">
        <f t="shared" si="51"/>
        <v>4.4900000000000002E-2</v>
      </c>
      <c r="Z113" s="67">
        <f t="shared" si="52"/>
        <v>23.332899999999999</v>
      </c>
      <c r="AA113" s="67">
        <f t="shared" si="43"/>
        <v>23.288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44"/>
        <v>0199-26</v>
      </c>
      <c r="AE113" s="91" t="str">
        <f t="shared" si="45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13" s="88" t="str">
        <f t="shared" si="46"/>
        <v>"C:\Program Files (x86)\AstroGrep\AstroGrep.exe" /spath="%USERPROFILE%\AppData\Local\Temp\OnboardLogs" /stypes="app*4016*20161026*" /stext=" 22:.+((SYSTEM_STATE.+slice.+state.+changed )|(ment ac)|(system.+state.+changed )|(\[timeout)|(PRM\|1\|D)|(kpr)|(kdp)|(\|lc)|(penalty))" /e /r /s</v>
      </c>
      <c r="AG113" s="1" t="str">
        <f t="shared" si="47"/>
        <v>EC</v>
      </c>
      <c r="AH113" s="92" t="str">
        <f t="shared" si="48"/>
        <v>"%USERPROFILE%\Documents\GitHub\eaglep3\Utilities\RefineRTDCRunTimes.py" --tripid 199-26 --locoid 4016 --swversion DE.1.0.8.0 --startMP 204:449 --initTime 2016-10-26T15:51:44 --startdatetime 2016-10-26T16:02:34 --delay 1 --endMP 204:233329 --enddatetime 2016-10-26T16:36:53 --enforcementcount 0 &gt;&gt;C:\Users\stu\Documents\GitHub\eaglep3-reporting\EC\2016-10-26-refined-times.txt</v>
      </c>
      <c r="AI11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{"issue":{"subject":"","project_id":79,"tracker_id":40,"status_id":1,"priority_id":2,"assigned_to_id":23,"start_date":"2016-10-26","description":"","custom_fields":[{"id":1,"name":"Subdivision","value":"EC"},{"id":4,"name":"Milepost","value":"23.3329"},{"id":17,"name":"Train ID","value":"199-26"},{"id":16,"name":"Locomotive ID","value":"4016"},{"id":130,"name":"Impact","value":""},{"id":150,"name":"Time of Event (Mountain Time)","value":"16:36:53"},{"id":151,"name":"Denver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569</v>
      </c>
      <c r="B114" s="7">
        <v>4015</v>
      </c>
      <c r="C114" s="22" t="s">
        <v>378</v>
      </c>
      <c r="D114" s="22" t="s">
        <v>658</v>
      </c>
      <c r="E114" s="13">
        <v>42669.70071759259</v>
      </c>
      <c r="F114" s="13">
        <v>42669.705879629626</v>
      </c>
      <c r="G114" s="7">
        <v>2</v>
      </c>
      <c r="H114" s="13" t="s">
        <v>365</v>
      </c>
      <c r="I114" s="13">
        <v>42669.731886574074</v>
      </c>
      <c r="J114" s="7">
        <v>0</v>
      </c>
      <c r="K114" s="112" t="str">
        <f t="shared" si="38"/>
        <v>4015/4016</v>
      </c>
      <c r="L114" s="22" t="str">
        <f>VLOOKUP(A114,'Trips&amp;Operators'!$C$1:$E$10000,3,FALSE)</f>
        <v>STORY</v>
      </c>
      <c r="M114" s="6">
        <f t="shared" si="39"/>
        <v>2.6006944448454306E-2</v>
      </c>
      <c r="N114" s="7">
        <f t="shared" si="53"/>
        <v>37.4500000057742</v>
      </c>
      <c r="O114" s="7"/>
      <c r="P114" s="7"/>
      <c r="Q114" s="23"/>
      <c r="R114" s="23"/>
      <c r="S114" s="35">
        <f t="shared" si="50"/>
        <v>1</v>
      </c>
      <c r="T114" s="50" t="str">
        <f t="shared" si="40"/>
        <v>Southbound</v>
      </c>
      <c r="U114" s="18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15:49:02-0600',mode:absolute,to:'2016-10-26 18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42"/>
        <v>N</v>
      </c>
      <c r="X114" s="186">
        <f t="shared" si="54"/>
        <v>1</v>
      </c>
      <c r="Y114" s="67">
        <f t="shared" si="51"/>
        <v>23.300599999999999</v>
      </c>
      <c r="Z114" s="67">
        <f t="shared" si="52"/>
        <v>1.6500000000000001E-2</v>
      </c>
      <c r="AA114" s="67">
        <f t="shared" si="43"/>
        <v>23.284099999999999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44"/>
        <v>0200-26</v>
      </c>
      <c r="AE114" s="91" t="str">
        <f t="shared" si="45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114" s="88" t="str">
        <f t="shared" si="46"/>
        <v>"C:\Program Files (x86)\AstroGrep\AstroGrep.exe" /spath="%USERPROFILE%\AppData\Local\Temp\OnboardLogs" /stypes="app*4015*20161026*" /stext=" 23:.+((SYSTEM_STATE.+slice.+state.+changed )|(ment ac)|(system.+state.+changed )|(\[timeout)|(PRM\|1\|D)|(kpr)|(kdp)|(\|lc)|(penalty))" /e /r /s</v>
      </c>
      <c r="AG114" s="1" t="str">
        <f t="shared" si="47"/>
        <v>EC</v>
      </c>
      <c r="AH114" s="92" t="str">
        <f t="shared" si="48"/>
        <v>"%USERPROFILE%\Documents\GitHub\eaglep3\Utilities\RefineRTDCRunTimes.py" --tripid 200-26 --locoid 4015 --swversion DE.1.0.8.0 --startMP 204:233006 --initTime 2016-10-26T16:49:02 --startdatetime 2016-10-26T16:56:28 --delay 2 --endMP 204:165 --enddatetime 2016-10-26T17:33:55 --enforcementcount 0 &gt;&gt;C:\Users\stu\Documents\GitHub\eaglep3-reporting\EC\2016-10-26-refined-times.txt</v>
      </c>
      <c r="AI11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{"issue":{"subject":"","project_id":79,"tracker_id":40,"status_id":1,"priority_id":2,"assigned_to_id":23,"start_date":"2016-10-26","description":"","custom_fields":[{"id":1,"name":"Subdivision","value":"EC"},{"id":4,"name":"Milepost","value":"0.0165"},{"id":17,"name":"Train ID","value":"200-26"},{"id":16,"name":"Locomotive ID","value":"4015"},{"id":130,"name":"Impact","value":""},{"id":150,"name":"Time of Event (Mountain Time)","value":"17:33:55"},{"id":151,"name":"Denver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560</v>
      </c>
      <c r="B115" s="7">
        <v>4011</v>
      </c>
      <c r="C115" s="22" t="s">
        <v>378</v>
      </c>
      <c r="D115" s="22" t="s">
        <v>289</v>
      </c>
      <c r="E115" s="13">
        <v>42669.670856481483</v>
      </c>
      <c r="F115" s="13">
        <v>42669.67728009259</v>
      </c>
      <c r="G115" s="7">
        <v>1</v>
      </c>
      <c r="H115" s="13" t="s">
        <v>283</v>
      </c>
      <c r="I115" s="13">
        <v>42669.701886574076</v>
      </c>
      <c r="J115" s="7">
        <v>0</v>
      </c>
      <c r="K115" s="112" t="str">
        <f t="shared" si="38"/>
        <v>4011/4012</v>
      </c>
      <c r="L115" s="22" t="str">
        <f>VLOOKUP(A115,'Trips&amp;Operators'!$C$1:$E$10000,3,FALSE)</f>
        <v>MCREYNOLDS</v>
      </c>
      <c r="M115" s="6">
        <f t="shared" si="39"/>
        <v>2.4606481485534459E-2</v>
      </c>
      <c r="N115" s="7">
        <f t="shared" si="53"/>
        <v>35.433333339169621</v>
      </c>
      <c r="O115" s="7"/>
      <c r="P115" s="7"/>
      <c r="Q115" s="23"/>
      <c r="R115" s="23"/>
      <c r="S115" s="35">
        <f t="shared" si="50"/>
        <v>1</v>
      </c>
      <c r="T115" s="50" t="str">
        <f t="shared" si="40"/>
        <v>NorthBound</v>
      </c>
      <c r="U115" s="18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15:06:02-0600',mode:absolute,to:'2016-10-26 17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5" s="52" t="str">
        <f t="shared" si="42"/>
        <v>N</v>
      </c>
      <c r="X115" s="186">
        <f t="shared" si="54"/>
        <v>1</v>
      </c>
      <c r="Y115" s="67">
        <f t="shared" si="51"/>
        <v>4.4200000000000003E-2</v>
      </c>
      <c r="Z115" s="67">
        <f t="shared" si="52"/>
        <v>23.332000000000001</v>
      </c>
      <c r="AA115" s="67">
        <f t="shared" si="43"/>
        <v>23.287800000000001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44"/>
        <v>0201-26</v>
      </c>
      <c r="AE115" s="91" t="str">
        <f t="shared" si="45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115" s="88" t="str">
        <f t="shared" si="46"/>
        <v>"C:\Program Files (x86)\AstroGrep\AstroGrep.exe" /spath="%USERPROFILE%\AppData\Local\Temp\OnboardLogs" /stypes="app*4011*20161026*" /stext=" 22:.+((SYSTEM_STATE.+slice.+state.+changed )|(ment ac)|(system.+state.+changed )|(\[timeout)|(PRM\|1\|D)|(kpr)|(kdp)|(\|lc)|(penalty))" /e /r /s</v>
      </c>
      <c r="AG115" s="1" t="str">
        <f t="shared" si="47"/>
        <v>EC</v>
      </c>
      <c r="AH115" s="92" t="str">
        <f t="shared" si="48"/>
        <v>"%USERPROFILE%\Documents\GitHub\eaglep3\Utilities\RefineRTDCRunTimes.py" --tripid 201-26 --locoid 4011 --swversion DE.1.0.8.0 --startMP 204:442 --initTime 2016-10-26T16:06:02 --startdatetime 2016-10-26T16:15:17 --delay 1 --endMP 204:233320 --enddatetime 2016-10-26T16:50:43 --enforcementcount 0 &gt;&gt;C:\Users\stu\Documents\GitHub\eaglep3-reporting\EC\2016-10-26-refined-times.txt</v>
      </c>
      <c r="AI11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{"issue":{"subject":"","project_id":79,"tracker_id":40,"status_id":1,"priority_id":2,"assigned_to_id":23,"start_date":"2016-10-26","description":"","custom_fields":[{"id":1,"name":"Subdivision","value":"EC"},{"id":4,"name":"Milepost","value":"23.332"},{"id":17,"name":"Train ID","value":"201-26"},{"id":16,"name":"Locomotive ID","value":"4011"},{"id":130,"name":"Impact","value":""},{"id":150,"name":"Time of Event (Mountain Time)","value":"16:50:43"},{"id":151,"name":"Denver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431</v>
      </c>
      <c r="B116" s="7">
        <v>4012</v>
      </c>
      <c r="C116" s="22" t="s">
        <v>378</v>
      </c>
      <c r="D116" s="22" t="s">
        <v>670</v>
      </c>
      <c r="E116" s="13">
        <v>42669.706446759257</v>
      </c>
      <c r="F116" s="13">
        <v>42669.716122685182</v>
      </c>
      <c r="G116" s="7">
        <v>1</v>
      </c>
      <c r="H116" s="13" t="s">
        <v>175</v>
      </c>
      <c r="I116" s="13">
        <v>42669.744143518517</v>
      </c>
      <c r="J116" s="7">
        <v>0</v>
      </c>
      <c r="K116" s="112" t="str">
        <f t="shared" si="38"/>
        <v>4011/4012</v>
      </c>
      <c r="L116" s="22" t="str">
        <f>VLOOKUP(A116,'Trips&amp;Operators'!$C$1:$E$10000,3,FALSE)</f>
        <v>MCREYNOLDS</v>
      </c>
      <c r="M116" s="6">
        <f t="shared" si="39"/>
        <v>2.8020833335176576E-2</v>
      </c>
      <c r="N116" s="7">
        <f t="shared" si="53"/>
        <v>40.350000002654269</v>
      </c>
      <c r="O116" s="7"/>
      <c r="P116" s="7"/>
      <c r="Q116" s="23"/>
      <c r="R116" s="23"/>
      <c r="S116" s="35">
        <f t="shared" si="50"/>
        <v>1</v>
      </c>
      <c r="T116" s="50" t="str">
        <f t="shared" si="40"/>
        <v>Southbound</v>
      </c>
      <c r="U116" s="18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15:57:17-0600',mode:absolute,to:'2016-10-26 18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6" s="52" t="str">
        <f t="shared" si="42"/>
        <v>N</v>
      </c>
      <c r="X116" s="186">
        <f t="shared" si="54"/>
        <v>1</v>
      </c>
      <c r="Y116" s="67">
        <f t="shared" si="51"/>
        <v>23.298200000000001</v>
      </c>
      <c r="Z116" s="67">
        <f t="shared" si="52"/>
        <v>1.47E-2</v>
      </c>
      <c r="AA116" s="67">
        <f t="shared" si="43"/>
        <v>23.2835</v>
      </c>
      <c r="AB116" s="64" t="str">
        <f>VLOOKUP(A116,Enforcements!$C$7:$K$21,8,0)</f>
        <v>Form based authority (4)</v>
      </c>
      <c r="AC116" s="60" t="str">
        <f>VLOOKUP(A116,Enforcements!$C$7:$E$21,3,0)</f>
        <v>TRACK WARRANT AUTHORITY</v>
      </c>
      <c r="AD116" s="61" t="str">
        <f t="shared" si="44"/>
        <v>0202-26</v>
      </c>
      <c r="AE116" s="91" t="str">
        <f t="shared" si="45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116" s="88" t="str">
        <f t="shared" si="46"/>
        <v>"C:\Program Files (x86)\AstroGrep\AstroGrep.exe" /spath="%USERPROFILE%\AppData\Local\Temp\OnboardLogs" /stypes="app*4012*20161026*" /stext=" 23:.+((SYSTEM_STATE.+slice.+state.+changed )|(ment ac)|(system.+state.+changed )|(\[timeout)|(PRM\|1\|D)|(kpr)|(kdp)|(\|lc)|(penalty))" /e /r /s</v>
      </c>
      <c r="AG116" s="1" t="str">
        <f t="shared" si="47"/>
        <v>EC</v>
      </c>
      <c r="AH116" s="92" t="str">
        <f t="shared" si="48"/>
        <v>"%USERPROFILE%\Documents\GitHub\eaglep3\Utilities\RefineRTDCRunTimes.py" --tripid 202-26 --locoid 4012 --swversion DE.1.0.8.0 --startMP 204:232982 --initTime 2016-10-26T16:57:17 --startdatetime 2016-10-26T17:11:13 --delay 1 --endMP 204:147 --enddatetime 2016-10-26T17:51:34 --enforcementcount 0 &gt;&gt;C:\Users\stu\Documents\GitHub\eaglep3-reporting\EC\2016-10-26-refined-times.txt</v>
      </c>
      <c r="AI11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{"issue":{"subject":"","project_id":79,"tracker_id":40,"status_id":1,"priority_id":2,"assigned_to_id":23,"start_date":"2016-10-26","description":"","custom_fields":[{"id":1,"name":"Subdivision","value":"EC"},{"id":4,"name":"Milepost","value":"0.0147"},{"id":17,"name":"Train ID","value":"202-26"},{"id":16,"name":"Locomotive ID","value":"4012"},{"id":130,"name":"Impact","value":""},{"id":150,"name":"Time of Event (Mountain Time)","value":"17:51:34"},{"id":151,"name":"Denver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564</v>
      </c>
      <c r="B117" s="7">
        <v>4031</v>
      </c>
      <c r="C117" s="22" t="s">
        <v>378</v>
      </c>
      <c r="D117" s="22" t="s">
        <v>281</v>
      </c>
      <c r="E117" s="13">
        <v>42669.682199074072</v>
      </c>
      <c r="F117" s="13">
        <v>42669.68787037037</v>
      </c>
      <c r="G117" s="7">
        <v>1</v>
      </c>
      <c r="H117" s="13" t="s">
        <v>671</v>
      </c>
      <c r="I117" s="13">
        <v>42669.712430555555</v>
      </c>
      <c r="J117" s="7">
        <v>0</v>
      </c>
      <c r="K117" s="112" t="str">
        <f t="shared" si="38"/>
        <v>4031/4032</v>
      </c>
      <c r="L117" s="22" t="str">
        <f>VLOOKUP(A117,'Trips&amp;Operators'!$C$1:$E$10000,3,FALSE)</f>
        <v>BARTLETT</v>
      </c>
      <c r="M117" s="6">
        <f t="shared" si="39"/>
        <v>2.4560185185691807E-2</v>
      </c>
      <c r="N117" s="7">
        <f t="shared" si="53"/>
        <v>35.366666667396203</v>
      </c>
      <c r="O117" s="7"/>
      <c r="P117" s="7"/>
      <c r="Q117" s="23"/>
      <c r="R117" s="23"/>
      <c r="S117" s="35">
        <f t="shared" si="50"/>
        <v>1</v>
      </c>
      <c r="T117" s="50" t="str">
        <f t="shared" si="40"/>
        <v>NorthBound</v>
      </c>
      <c r="U117" s="18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15:22:22-0600',mode:absolute,to:'2016-10-26 18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42"/>
        <v>N</v>
      </c>
      <c r="X117" s="186">
        <f t="shared" si="54"/>
        <v>1</v>
      </c>
      <c r="Y117" s="67">
        <f t="shared" si="51"/>
        <v>4.6699999999999998E-2</v>
      </c>
      <c r="Z117" s="67">
        <f t="shared" si="52"/>
        <v>23.334399999999999</v>
      </c>
      <c r="AA117" s="67">
        <f t="shared" si="43"/>
        <v>23.287699999999997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44"/>
        <v>0203-26</v>
      </c>
      <c r="AE117" s="91" t="str">
        <f t="shared" si="45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17" s="88" t="str">
        <f t="shared" si="46"/>
        <v>"C:\Program Files (x86)\AstroGrep\AstroGrep.exe" /spath="%USERPROFILE%\AppData\Local\Temp\OnboardLogs" /stypes="app*4031*20161026*" /stext=" 23:.+((SYSTEM_STATE.+slice.+state.+changed )|(ment ac)|(system.+state.+changed )|(\[timeout)|(PRM\|1\|D)|(kpr)|(kdp)|(\|lc)|(penalty))" /e /r /s</v>
      </c>
      <c r="AG117" s="1" t="str">
        <f t="shared" si="47"/>
        <v>EC</v>
      </c>
      <c r="AH117" s="92" t="str">
        <f t="shared" si="48"/>
        <v>"%USERPROFILE%\Documents\GitHub\eaglep3\Utilities\RefineRTDCRunTimes.py" --tripid 203-26 --locoid 4031 --swversion DE.1.0.8.0 --startMP 204:467 --initTime 2016-10-26T16:22:22 --startdatetime 2016-10-26T16:30:32 --delay 1 --endMP 204:233344 --enddatetime 2016-10-26T17:05:54 --enforcementcount 0 &gt;&gt;C:\Users\stu\Documents\GitHub\eaglep3-reporting\EC\2016-10-26-refined-times.txt</v>
      </c>
      <c r="AI11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{"issue":{"subject":"","project_id":79,"tracker_id":40,"status_id":1,"priority_id":2,"assigned_to_id":23,"start_date":"2016-10-26","description":"","custom_fields":[{"id":1,"name":"Subdivision","value":"EC"},{"id":4,"name":"Milepost","value":"23.3344"},{"id":17,"name":"Train ID","value":"203-26"},{"id":16,"name":"Locomotive ID","value":"4031"},{"id":130,"name":"Impact","value":""},{"id":150,"name":"Time of Event (Mountain Time)","value":"17:05:54"},{"id":151,"name":"Denver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572</v>
      </c>
      <c r="B118" s="7">
        <v>4032</v>
      </c>
      <c r="C118" s="22" t="s">
        <v>378</v>
      </c>
      <c r="D118" s="22" t="s">
        <v>672</v>
      </c>
      <c r="E118" s="13">
        <v>42669.714756944442</v>
      </c>
      <c r="F118" s="13">
        <v>42669.726759259262</v>
      </c>
      <c r="G118" s="7">
        <v>1</v>
      </c>
      <c r="H118" s="13" t="s">
        <v>282</v>
      </c>
      <c r="I118" s="13">
        <v>42669.75341435185</v>
      </c>
      <c r="J118" s="7">
        <v>0</v>
      </c>
      <c r="K118" s="112" t="str">
        <f t="shared" si="38"/>
        <v>4031/4032</v>
      </c>
      <c r="L118" s="22" t="str">
        <f>VLOOKUP(A118,'Trips&amp;Operators'!$C$1:$E$10000,3,FALSE)</f>
        <v>BARTLETT</v>
      </c>
      <c r="M118" s="6">
        <f t="shared" si="39"/>
        <v>2.6655092588043772E-2</v>
      </c>
      <c r="N118" s="7">
        <f t="shared" si="53"/>
        <v>38.383333326783031</v>
      </c>
      <c r="O118" s="7"/>
      <c r="P118" s="7"/>
      <c r="Q118" s="23"/>
      <c r="R118" s="23"/>
      <c r="S118" s="35">
        <f t="shared" si="50"/>
        <v>1</v>
      </c>
      <c r="T118" s="50" t="str">
        <f t="shared" si="40"/>
        <v>Southbound</v>
      </c>
      <c r="U118" s="18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16:09:15-0600',mode:absolute,to:'2016-10-26 19:04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42"/>
        <v>N</v>
      </c>
      <c r="X118" s="186">
        <f t="shared" si="54"/>
        <v>1</v>
      </c>
      <c r="Y118" s="67">
        <f t="shared" si="51"/>
        <v>23.3049</v>
      </c>
      <c r="Z118" s="67">
        <f t="shared" si="52"/>
        <v>1.6299999999999999E-2</v>
      </c>
      <c r="AA118" s="67">
        <f t="shared" si="43"/>
        <v>23.288599999999999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44"/>
        <v>0204-26</v>
      </c>
      <c r="AE118" s="91" t="str">
        <f t="shared" si="45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118" s="88" t="str">
        <f t="shared" si="46"/>
        <v>"C:\Program Files (x86)\AstroGrep\AstroGrep.exe" /spath="%USERPROFILE%\AppData\Local\Temp\OnboardLogs" /stypes="app*4032*20161027*" /stext=" 00:.+((SYSTEM_STATE.+slice.+state.+changed )|(ment ac)|(system.+state.+changed )|(\[timeout)|(PRM\|1\|D)|(kpr)|(kdp)|(\|lc)|(penalty))" /e /r /s</v>
      </c>
      <c r="AG118" s="1" t="str">
        <f t="shared" si="47"/>
        <v>EC</v>
      </c>
      <c r="AH118" s="92" t="str">
        <f t="shared" si="48"/>
        <v>"%USERPROFILE%\Documents\GitHub\eaglep3\Utilities\RefineRTDCRunTimes.py" --tripid 204-26 --locoid 4032 --swversion DE.1.0.8.0 --startMP 204:233049 --initTime 2016-10-26T17:09:15 --startdatetime 2016-10-26T17:26:32 --delay 1 --endMP 204:163 --enddatetime 2016-10-26T18:04:55 --enforcementcount 0 &gt;&gt;C:\Users\stu\Documents\GitHub\eaglep3-reporting\EC\2016-10-26-refined-times.txt</v>
      </c>
      <c r="AI11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{"issue":{"subject":"","project_id":79,"tracker_id":40,"status_id":1,"priority_id":2,"assigned_to_id":23,"start_date":"2016-10-26","description":"","custom_fields":[{"id":1,"name":"Subdivision","value":"EC"},{"id":4,"name":"Milepost","value":"0.0163"},{"id":17,"name":"Train ID","value":"204-26"},{"id":16,"name":"Locomotive ID","value":"4032"},{"id":130,"name":"Impact","value":""},{"id":150,"name":"Time of Event (Mountain Time)","value":"18:04:55"},{"id":151,"name":"Denver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567</v>
      </c>
      <c r="B119" s="7">
        <v>4046</v>
      </c>
      <c r="C119" s="22" t="s">
        <v>378</v>
      </c>
      <c r="D119" s="22" t="s">
        <v>296</v>
      </c>
      <c r="E119" s="13">
        <v>42669.695081018515</v>
      </c>
      <c r="F119" s="13">
        <v>42669.699374999997</v>
      </c>
      <c r="G119" s="7">
        <v>1</v>
      </c>
      <c r="H119" s="13" t="s">
        <v>673</v>
      </c>
      <c r="I119" s="13">
        <v>42669.724629629629</v>
      </c>
      <c r="J119" s="7">
        <v>0</v>
      </c>
      <c r="K119" s="112" t="str">
        <f t="shared" si="38"/>
        <v>4045/4046</v>
      </c>
      <c r="L119" s="22" t="str">
        <f>VLOOKUP(A119,'Trips&amp;Operators'!$C$1:$E$10000,3,FALSE)</f>
        <v>JOHNSON</v>
      </c>
      <c r="M119" s="6">
        <f t="shared" si="39"/>
        <v>2.5254629632399883E-2</v>
      </c>
      <c r="N119" s="7">
        <f t="shared" si="53"/>
        <v>36.366666670655832</v>
      </c>
      <c r="O119" s="7"/>
      <c r="P119" s="7"/>
      <c r="Q119" s="23"/>
      <c r="R119" s="23"/>
      <c r="S119" s="35">
        <f t="shared" si="50"/>
        <v>1</v>
      </c>
      <c r="T119" s="50" t="str">
        <f t="shared" si="40"/>
        <v>NorthBound</v>
      </c>
      <c r="U119" s="18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15:40:55-0600',mode:absolute,to:'2016-10-26 18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9" s="52" t="str">
        <f t="shared" si="42"/>
        <v>N</v>
      </c>
      <c r="X119" s="186">
        <f t="shared" si="54"/>
        <v>1</v>
      </c>
      <c r="Y119" s="67">
        <f t="shared" si="51"/>
        <v>4.5699999999999998E-2</v>
      </c>
      <c r="Z119" s="67">
        <f t="shared" si="52"/>
        <v>23.327200000000001</v>
      </c>
      <c r="AA119" s="67">
        <f t="shared" si="43"/>
        <v>23.281500000000001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44"/>
        <v>0205-26</v>
      </c>
      <c r="AE119" s="91" t="str">
        <f t="shared" si="45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119" s="88" t="str">
        <f t="shared" si="46"/>
        <v>"C:\Program Files (x86)\AstroGrep\AstroGrep.exe" /spath="%USERPROFILE%\AppData\Local\Temp\OnboardLogs" /stypes="app*4046*20161026*" /stext=" 23:.+((SYSTEM_STATE.+slice.+state.+changed )|(ment ac)|(system.+state.+changed )|(\[timeout)|(PRM\|1\|D)|(kpr)|(kdp)|(\|lc)|(penalty))" /e /r /s</v>
      </c>
      <c r="AG119" s="1" t="str">
        <f t="shared" si="47"/>
        <v>EC</v>
      </c>
      <c r="AH119" s="92" t="str">
        <f t="shared" si="48"/>
        <v>"%USERPROFILE%\Documents\GitHub\eaglep3\Utilities\RefineRTDCRunTimes.py" --tripid 205-26 --locoid 4046 --swversion DE.1.0.8.0 --startMP 204:457 --initTime 2016-10-26T16:40:55 --startdatetime 2016-10-26T16:47:06 --delay 1 --endMP 204:233272 --enddatetime 2016-10-26T17:23:28 --enforcementcount 0 &gt;&gt;C:\Users\stu\Documents\GitHub\eaglep3-reporting\EC\2016-10-26-refined-times.txt</v>
      </c>
      <c r="AI11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{"issue":{"subject":"","project_id":79,"tracker_id":40,"status_id":1,"priority_id":2,"assigned_to_id":23,"start_date":"2016-10-26","description":"","custom_fields":[{"id":1,"name":"Subdivision","value":"EC"},{"id":4,"name":"Milepost","value":"23.3272"},{"id":17,"name":"Train ID","value":"205-26"},{"id":16,"name":"Locomotive ID","value":"4046"},{"id":130,"name":"Impact","value":""},{"id":150,"name":"Time of Event (Mountain Time)","value":"17:23:28"},{"id":151,"name":"Denver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575</v>
      </c>
      <c r="B120" s="7">
        <v>4045</v>
      </c>
      <c r="C120" s="22" t="s">
        <v>378</v>
      </c>
      <c r="D120" s="22" t="s">
        <v>367</v>
      </c>
      <c r="E120" s="13">
        <v>42669.733680555553</v>
      </c>
      <c r="F120" s="13">
        <v>42669.73704861111</v>
      </c>
      <c r="G120" s="7">
        <v>1</v>
      </c>
      <c r="H120" s="13" t="s">
        <v>362</v>
      </c>
      <c r="I120" s="13">
        <v>42669.764108796298</v>
      </c>
      <c r="J120" s="7">
        <v>0</v>
      </c>
      <c r="K120" s="112" t="str">
        <f t="shared" si="38"/>
        <v>4045/4046</v>
      </c>
      <c r="L120" s="22" t="str">
        <f>VLOOKUP(A120,'Trips&amp;Operators'!$C$1:$E$10000,3,FALSE)</f>
        <v>JOHNSON</v>
      </c>
      <c r="M120" s="6">
        <f t="shared" si="39"/>
        <v>2.7060185188020114E-2</v>
      </c>
      <c r="N120" s="7">
        <f t="shared" si="53"/>
        <v>38.966666670748964</v>
      </c>
      <c r="O120" s="7"/>
      <c r="P120" s="7"/>
      <c r="Q120" s="23"/>
      <c r="R120" s="23"/>
      <c r="S120" s="35">
        <f t="shared" si="50"/>
        <v>1</v>
      </c>
      <c r="T120" s="50" t="str">
        <f t="shared" si="40"/>
        <v>Southbound</v>
      </c>
      <c r="U120" s="18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16:36:30-0600',mode:absolute,to:'2016-10-26 19:20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0" s="52" t="str">
        <f t="shared" si="42"/>
        <v>N</v>
      </c>
      <c r="X120" s="186">
        <f t="shared" si="54"/>
        <v>1</v>
      </c>
      <c r="Y120" s="67">
        <f t="shared" si="51"/>
        <v>23.296299999999999</v>
      </c>
      <c r="Z120" s="67">
        <f t="shared" si="52"/>
        <v>1.72E-2</v>
      </c>
      <c r="AA120" s="67">
        <f t="shared" si="43"/>
        <v>23.2791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44"/>
        <v>0206-26</v>
      </c>
      <c r="AE120" s="91" t="str">
        <f t="shared" si="45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20" s="88" t="str">
        <f t="shared" si="46"/>
        <v>"C:\Program Files (x86)\AstroGrep\AstroGrep.exe" /spath="%USERPROFILE%\AppData\Local\Temp\OnboardLogs" /stypes="app*4045*20161027*" /stext=" 00:.+((SYSTEM_STATE.+slice.+state.+changed )|(ment ac)|(system.+state.+changed )|(\[timeout)|(PRM\|1\|D)|(kpr)|(kdp)|(\|lc)|(penalty))" /e /r /s</v>
      </c>
      <c r="AG120" s="1" t="str">
        <f t="shared" si="47"/>
        <v>EC</v>
      </c>
      <c r="AH120" s="92" t="str">
        <f t="shared" si="48"/>
        <v>"%USERPROFILE%\Documents\GitHub\eaglep3\Utilities\RefineRTDCRunTimes.py" --tripid 206-26 --locoid 4045 --swversion DE.1.0.8.0 --startMP 204:232963 --initTime 2016-10-26T17:36:30 --startdatetime 2016-10-26T17:41:21 --delay 1 --endMP 204:172 --enddatetime 2016-10-26T18:20:19 --enforcementcount 0 &gt;&gt;C:\Users\stu\Documents\GitHub\eaglep3-reporting\EC\2016-10-26-refined-times.txt</v>
      </c>
      <c r="AI12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{"issue":{"subject":"","project_id":79,"tracker_id":40,"status_id":1,"priority_id":2,"assigned_to_id":23,"start_date":"2016-10-26","description":"","custom_fields":[{"id":1,"name":"Subdivision","value":"EC"},{"id":4,"name":"Milepost","value":"0.0172"},{"id":17,"name":"Train ID","value":"206-26"},{"id":16,"name":"Locomotive ID","value":"4045"},{"id":130,"name":"Impact","value":""},{"id":150,"name":"Time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570</v>
      </c>
      <c r="B121" s="7">
        <v>4002</v>
      </c>
      <c r="C121" s="22" t="s">
        <v>378</v>
      </c>
      <c r="D121" s="22" t="s">
        <v>353</v>
      </c>
      <c r="E121" s="13">
        <v>42669.703020833331</v>
      </c>
      <c r="F121" s="13">
        <v>42669.70890046296</v>
      </c>
      <c r="G121" s="7">
        <v>2</v>
      </c>
      <c r="H121" s="13" t="s">
        <v>657</v>
      </c>
      <c r="I121" s="13">
        <v>42669.734872685185</v>
      </c>
      <c r="J121" s="7">
        <v>0</v>
      </c>
      <c r="K121" s="112" t="str">
        <f t="shared" si="38"/>
        <v>4001/4002</v>
      </c>
      <c r="L121" s="22" t="str">
        <f>VLOOKUP(A121,'Trips&amp;Operators'!$C$1:$E$10000,3,FALSE)</f>
        <v>JACKSON</v>
      </c>
      <c r="M121" s="6">
        <f t="shared" si="39"/>
        <v>2.5972222225391306E-2</v>
      </c>
      <c r="N121" s="7">
        <f t="shared" si="53"/>
        <v>37.400000004563481</v>
      </c>
      <c r="O121" s="7"/>
      <c r="P121" s="7"/>
      <c r="Q121" s="23"/>
      <c r="R121" s="23"/>
      <c r="S121" s="35">
        <f t="shared" si="50"/>
        <v>1</v>
      </c>
      <c r="T121" s="50" t="str">
        <f t="shared" si="40"/>
        <v>NorthBound</v>
      </c>
      <c r="U121" s="18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15:52:21-0600',mode:absolute,to:'2016-10-26 18:38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1" s="52" t="str">
        <f t="shared" si="42"/>
        <v>N</v>
      </c>
      <c r="X121" s="186">
        <f t="shared" si="54"/>
        <v>1</v>
      </c>
      <c r="Y121" s="67">
        <f t="shared" si="51"/>
        <v>4.6399999999999997E-2</v>
      </c>
      <c r="Z121" s="67">
        <f t="shared" si="52"/>
        <v>23.328700000000001</v>
      </c>
      <c r="AA121" s="67">
        <f t="shared" si="43"/>
        <v>23.282300000000003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44"/>
        <v>0207-26</v>
      </c>
      <c r="AE121" s="91" t="str">
        <f t="shared" si="45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121" s="88" t="str">
        <f t="shared" si="46"/>
        <v>"C:\Program Files (x86)\AstroGrep\AstroGrep.exe" /spath="%USERPROFILE%\AppData\Local\Temp\OnboardLogs" /stypes="app*4002*20161026*" /stext=" 23:.+((SYSTEM_STATE.+slice.+state.+changed )|(ment ac)|(system.+state.+changed )|(\[timeout)|(PRM\|1\|D)|(kpr)|(kdp)|(\|lc)|(penalty))" /e /r /s</v>
      </c>
      <c r="AG121" s="1" t="str">
        <f t="shared" si="47"/>
        <v>EC</v>
      </c>
      <c r="AH121" s="92" t="str">
        <f t="shared" si="48"/>
        <v>"%USERPROFILE%\Documents\GitHub\eaglep3\Utilities\RefineRTDCRunTimes.py" --tripid 207-26 --locoid 4002 --swversion DE.1.0.8.0 --startMP 204:464 --initTime 2016-10-26T16:52:21 --startdatetime 2016-10-26T17:00:49 --delay 2 --endMP 204:233287 --enddatetime 2016-10-26T17:38:13 --enforcementcount 0 &gt;&gt;C:\Users\stu\Documents\GitHub\eaglep3-reporting\EC\2016-10-26-refined-times.txt</v>
      </c>
      <c r="AI12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{"issue":{"subject":"","project_id":79,"tracker_id":40,"status_id":1,"priority_id":2,"assigned_to_id":23,"start_date":"2016-10-26","description":"","custom_fields":[{"id":1,"name":"Subdivision","value":"EC"},{"id":4,"name":"Milepost","value":"23.3287"},{"id":17,"name":"Train ID","value":"207-26"},{"id":16,"name":"Locomotive ID","value":"4002"},{"id":130,"name":"Impact","value":""},{"id":150,"name":"Time of Event (Mountain Time)","value":"17:38:13"},{"id":151,"name":"Denver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580</v>
      </c>
      <c r="B122" s="7">
        <v>4001</v>
      </c>
      <c r="C122" s="22" t="s">
        <v>378</v>
      </c>
      <c r="D122" s="22" t="s">
        <v>303</v>
      </c>
      <c r="E122" s="13">
        <v>42669.739259259259</v>
      </c>
      <c r="F122" s="13">
        <v>42669.747604166667</v>
      </c>
      <c r="G122" s="7">
        <v>2</v>
      </c>
      <c r="H122" s="13" t="s">
        <v>216</v>
      </c>
      <c r="I122" s="13">
        <v>42669.775625000002</v>
      </c>
      <c r="J122" s="7">
        <v>0</v>
      </c>
      <c r="K122" s="112" t="str">
        <f t="shared" si="38"/>
        <v>4001/4002</v>
      </c>
      <c r="L122" s="22" t="str">
        <f>VLOOKUP(A122,'Trips&amp;Operators'!$C$1:$E$10000,3,FALSE)</f>
        <v>JACKSON</v>
      </c>
      <c r="M122" s="6">
        <f t="shared" si="39"/>
        <v>2.8020833335176576E-2</v>
      </c>
      <c r="N122" s="7">
        <f t="shared" si="53"/>
        <v>40.350000002654269</v>
      </c>
      <c r="O122" s="7"/>
      <c r="P122" s="7"/>
      <c r="Q122" s="23"/>
      <c r="R122" s="23"/>
      <c r="S122" s="35">
        <f t="shared" si="50"/>
        <v>1</v>
      </c>
      <c r="T122" s="50" t="str">
        <f t="shared" si="40"/>
        <v>Southbound</v>
      </c>
      <c r="U122" s="18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16:44:32-0600',mode:absolute,to:'2016-10-26 19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2" s="52" t="str">
        <f t="shared" si="42"/>
        <v>N</v>
      </c>
      <c r="X122" s="186">
        <f t="shared" si="54"/>
        <v>1</v>
      </c>
      <c r="Y122" s="67">
        <f t="shared" si="51"/>
        <v>23.296800000000001</v>
      </c>
      <c r="Z122" s="67">
        <f t="shared" si="52"/>
        <v>1.54E-2</v>
      </c>
      <c r="AA122" s="67">
        <f t="shared" si="43"/>
        <v>23.281400000000001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44"/>
        <v>0208-26</v>
      </c>
      <c r="AE122" s="91" t="str">
        <f t="shared" si="45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122" s="88" t="str">
        <f t="shared" si="46"/>
        <v>"C:\Program Files (x86)\AstroGrep\AstroGrep.exe" /spath="%USERPROFILE%\AppData\Local\Temp\OnboardLogs" /stypes="app*4001*20161027*" /stext=" 00:.+((SYSTEM_STATE.+slice.+state.+changed )|(ment ac)|(system.+state.+changed )|(\[timeout)|(PRM\|1\|D)|(kpr)|(kdp)|(\|lc)|(penalty))" /e /r /s</v>
      </c>
      <c r="AG122" s="1" t="str">
        <f t="shared" si="47"/>
        <v>EC</v>
      </c>
      <c r="AH122" s="92" t="str">
        <f t="shared" si="48"/>
        <v>"%USERPROFILE%\Documents\GitHub\eaglep3\Utilities\RefineRTDCRunTimes.py" --tripid 208-26 --locoid 4001 --swversion DE.1.0.8.0 --startMP 204:232968 --initTime 2016-10-26T17:44:32 --startdatetime 2016-10-26T17:56:33 --delay 2 --endMP 204:154 --enddatetime 2016-10-26T18:36:54 --enforcementcount 0 &gt;&gt;C:\Users\stu\Documents\GitHub\eaglep3-reporting\EC\2016-10-26-refined-times.txt</v>
      </c>
      <c r="AI12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ID","value":"208-26"},{"id":16,"name":"Locomotive ID","value":"4001"},{"id":130,"name":"Impact","value":""},{"id":150,"name":"Time of Event (Mountain Time)","value":"18:36:54"},{"id":151,"name":"Denver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573</v>
      </c>
      <c r="B123" s="7">
        <v>4029</v>
      </c>
      <c r="C123" s="22" t="s">
        <v>378</v>
      </c>
      <c r="D123" s="22" t="s">
        <v>674</v>
      </c>
      <c r="E123" s="13">
        <v>42669.718159722222</v>
      </c>
      <c r="F123" s="13">
        <v>42669.720347222225</v>
      </c>
      <c r="G123" s="7">
        <v>1</v>
      </c>
      <c r="H123" s="13" t="s">
        <v>354</v>
      </c>
      <c r="I123" s="13">
        <v>42669.745254629626</v>
      </c>
      <c r="J123" s="7">
        <v>0</v>
      </c>
      <c r="K123" s="112" t="str">
        <f t="shared" si="38"/>
        <v>4029/4030</v>
      </c>
      <c r="L123" s="22" t="str">
        <f>VLOOKUP(A123,'Trips&amp;Operators'!$C$1:$E$10000,3,FALSE)</f>
        <v>ARVIDSON</v>
      </c>
      <c r="M123" s="6">
        <f t="shared" si="39"/>
        <v>2.4907407401769888E-2</v>
      </c>
      <c r="N123" s="7">
        <f t="shared" si="53"/>
        <v>35.866666658548638</v>
      </c>
      <c r="O123" s="7"/>
      <c r="P123" s="7"/>
      <c r="Q123" s="23"/>
      <c r="R123" s="23"/>
      <c r="S123" s="35">
        <f t="shared" si="50"/>
        <v>1</v>
      </c>
      <c r="T123" s="50" t="str">
        <f t="shared" si="40"/>
        <v>NorthBound</v>
      </c>
      <c r="U123" s="18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16:14:09-0600',mode:absolute,to:'2016-10-26 18:53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 t="shared" si="42"/>
        <v>N</v>
      </c>
      <c r="X123" s="186">
        <f t="shared" si="54"/>
        <v>1</v>
      </c>
      <c r="Y123" s="67">
        <f t="shared" si="51"/>
        <v>5.4899999999999997E-2</v>
      </c>
      <c r="Z123" s="67">
        <f t="shared" si="52"/>
        <v>23.330100000000002</v>
      </c>
      <c r="AA123" s="67">
        <f t="shared" si="43"/>
        <v>23.275200000000002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44"/>
        <v>0209-26</v>
      </c>
      <c r="AE123" s="91" t="str">
        <f t="shared" si="45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23" s="88" t="str">
        <f t="shared" si="46"/>
        <v>"C:\Program Files (x86)\AstroGrep\AstroGrep.exe" /spath="%USERPROFILE%\AppData\Local\Temp\OnboardLogs" /stypes="app*4029*20161026*" /stext=" 23:.+((SYSTEM_STATE.+slice.+state.+changed )|(ment ac)|(system.+state.+changed )|(\[timeout)|(PRM\|1\|D)|(kpr)|(kdp)|(\|lc)|(penalty))" /e /r /s</v>
      </c>
      <c r="AG123" s="1" t="str">
        <f t="shared" si="47"/>
        <v>EC</v>
      </c>
      <c r="AH123" s="92" t="str">
        <f t="shared" si="48"/>
        <v>"%USERPROFILE%\Documents\GitHub\eaglep3\Utilities\RefineRTDCRunTimes.py" --tripid 209-26 --locoid 4029 --swversion DE.1.0.8.0 --startMP 204:549 --initTime 2016-10-26T17:14:09 --startdatetime 2016-10-26T17:17:18 --delay 1 --endMP 204:233301 --enddatetime 2016-10-26T17:53:10 --enforcementcount 0 &gt;&gt;C:\Users\stu\Documents\GitHub\eaglep3-reporting\EC\2016-10-26-refined-times.txt</v>
      </c>
      <c r="AI12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{"issue":{"subject":"","project_id":79,"tracker_id":40,"status_id":1,"priority_id":2,"assigned_to_id":23,"start_date":"2016-10-26","description":"","custom_fields":[{"id":1,"name":"Subdivision","value":"EC"},{"id":4,"name":"Milepost","value":"23.3301"},{"id":17,"name":"Train ID","value":"209-26"},{"id":16,"name":"Locomotive ID","value":"4029"},{"id":130,"name":"Impact","value":""},{"id":150,"name":"Time of Event (Mountain Time)","value":"17:53:10"},{"id":151,"name":"Denver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583</v>
      </c>
      <c r="B124" s="7">
        <v>4030</v>
      </c>
      <c r="C124" s="22" t="s">
        <v>378</v>
      </c>
      <c r="D124" s="22" t="s">
        <v>323</v>
      </c>
      <c r="E124" s="13">
        <v>42669.751516203702</v>
      </c>
      <c r="F124" s="13">
        <v>42669.757905092592</v>
      </c>
      <c r="G124" s="7">
        <v>1</v>
      </c>
      <c r="H124" s="13" t="s">
        <v>654</v>
      </c>
      <c r="I124" s="13">
        <v>42669.785532407404</v>
      </c>
      <c r="J124" s="7">
        <v>0</v>
      </c>
      <c r="K124" s="112" t="str">
        <f t="shared" si="38"/>
        <v>4029/4030</v>
      </c>
      <c r="L124" s="22" t="str">
        <f>VLOOKUP(A124,'Trips&amp;Operators'!$C$1:$E$10000,3,FALSE)</f>
        <v>ARVIDSON</v>
      </c>
      <c r="M124" s="6">
        <f t="shared" si="39"/>
        <v>2.7627314811979886E-2</v>
      </c>
      <c r="N124" s="7">
        <f t="shared" si="53"/>
        <v>39.783333329251036</v>
      </c>
      <c r="O124" s="7"/>
      <c r="P124" s="7"/>
      <c r="Q124" s="23"/>
      <c r="R124" s="23"/>
      <c r="S124" s="35">
        <f t="shared" si="50"/>
        <v>1</v>
      </c>
      <c r="T124" s="50" t="str">
        <f t="shared" si="40"/>
        <v>Southbound</v>
      </c>
      <c r="U124" s="18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17:02:11-0600',mode:absolute,to:'2016-10-26 19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 t="shared" si="42"/>
        <v>N</v>
      </c>
      <c r="X124" s="186">
        <f t="shared" si="54"/>
        <v>1</v>
      </c>
      <c r="Y124" s="67">
        <f t="shared" si="51"/>
        <v>23.297999999999998</v>
      </c>
      <c r="Z124" s="67">
        <f t="shared" si="52"/>
        <v>1.3899999999999999E-2</v>
      </c>
      <c r="AA124" s="67">
        <f t="shared" si="43"/>
        <v>23.284099999999999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44"/>
        <v>0210-26</v>
      </c>
      <c r="AE124" s="91" t="str">
        <f t="shared" si="45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124" s="88" t="str">
        <f t="shared" si="46"/>
        <v>"C:\Program Files (x86)\AstroGrep\AstroGrep.exe" /spath="%USERPROFILE%\AppData\Local\Temp\OnboardLogs" /stypes="app*4030*20161027*" /stext=" 00:.+((SYSTEM_STATE.+slice.+state.+changed )|(ment ac)|(system.+state.+changed )|(\[timeout)|(PRM\|1\|D)|(kpr)|(kdp)|(\|lc)|(penalty))" /e /r /s</v>
      </c>
      <c r="AG124" s="1" t="str">
        <f t="shared" si="47"/>
        <v>EC</v>
      </c>
      <c r="AH124" s="92" t="str">
        <f t="shared" si="48"/>
        <v>"%USERPROFILE%\Documents\GitHub\eaglep3\Utilities\RefineRTDCRunTimes.py" --tripid 210-26 --locoid 4030 --swversion DE.1.0.8.0 --startMP 204:232980 --initTime 2016-10-26T18:02:11 --startdatetime 2016-10-26T18:11:23 --delay 1 --endMP 204:139 --enddatetime 2016-10-26T18:51:10 --enforcementcount 0 &gt;&gt;C:\Users\stu\Documents\GitHub\eaglep3-reporting\EC\2016-10-26-refined-times.txt</v>
      </c>
      <c r="AI12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{"issue":{"subject":"","project_id":79,"tracker_id":40,"status_id":1,"priority_id":2,"assigned_to_id":23,"start_date":"2016-10-26","description":"","custom_fields":[{"id":1,"name":"Subdivision","value":"EC"},{"id":4,"name":"Milepost","value":"0.0139"},{"id":17,"name":"Train ID","value":"210-26"},{"id":16,"name":"Locomotive ID","value":"4030"},{"id":130,"name":"Impact","value":""},{"id":150,"name":"Time of Event (Mountain Time)","value":"18:51:10"},{"id":151,"name":"Denver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434</v>
      </c>
      <c r="B125" s="7">
        <v>4040</v>
      </c>
      <c r="C125" s="22" t="s">
        <v>378</v>
      </c>
      <c r="D125" s="22" t="s">
        <v>261</v>
      </c>
      <c r="E125" s="13">
        <v>42669.724016203705</v>
      </c>
      <c r="F125" s="13">
        <v>42669.729490740741</v>
      </c>
      <c r="G125" s="7">
        <v>1</v>
      </c>
      <c r="H125" s="13" t="s">
        <v>675</v>
      </c>
      <c r="I125" s="13">
        <v>42669.75677083333</v>
      </c>
      <c r="J125" s="7">
        <v>0</v>
      </c>
      <c r="K125" s="112" t="str">
        <f t="shared" si="38"/>
        <v>4039/4040</v>
      </c>
      <c r="L125" s="22" t="str">
        <f>VLOOKUP(A125,'Trips&amp;Operators'!$C$1:$E$10000,3,FALSE)</f>
        <v>YOUNG</v>
      </c>
      <c r="M125" s="6">
        <f t="shared" si="39"/>
        <v>2.7280092588625848E-2</v>
      </c>
      <c r="N125" s="7">
        <f t="shared" si="53"/>
        <v>39.283333327621222</v>
      </c>
      <c r="O125" s="7"/>
      <c r="P125" s="7"/>
      <c r="Q125" s="23"/>
      <c r="R125" s="23"/>
      <c r="S125" s="35">
        <f t="shared" si="50"/>
        <v>1</v>
      </c>
      <c r="T125" s="50" t="str">
        <f t="shared" si="40"/>
        <v>NorthBound</v>
      </c>
      <c r="U125" s="18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16:22:35-0600',mode:absolute,to:'2016-10-26 19:09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25" s="52" t="str">
        <f t="shared" si="42"/>
        <v>N</v>
      </c>
      <c r="X125" s="186">
        <f t="shared" si="54"/>
        <v>1</v>
      </c>
      <c r="Y125" s="67">
        <f t="shared" si="51"/>
        <v>4.4900000000000002E-2</v>
      </c>
      <c r="Z125" s="67">
        <f t="shared" si="52"/>
        <v>23.320799999999998</v>
      </c>
      <c r="AA125" s="67">
        <f t="shared" si="43"/>
        <v>23.2759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44"/>
        <v>0211-26</v>
      </c>
      <c r="AE125" s="91" t="str">
        <f t="shared" si="45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125" s="88" t="str">
        <f t="shared" si="46"/>
        <v>"C:\Program Files (x86)\AstroGrep\AstroGrep.exe" /spath="%USERPROFILE%\AppData\Local\Temp\OnboardLogs" /stypes="app*4040*20161027*" /stext=" 00:.+((SYSTEM_STATE.+slice.+state.+changed )|(ment ac)|(system.+state.+changed )|(\[timeout)|(PRM\|1\|D)|(kpr)|(kdp)|(\|lc)|(penalty))" /e /r /s</v>
      </c>
      <c r="AG125" s="1" t="str">
        <f t="shared" si="47"/>
        <v>EC</v>
      </c>
      <c r="AH125" s="92" t="str">
        <f t="shared" si="48"/>
        <v>"%USERPROFILE%\Documents\GitHub\eaglep3\Utilities\RefineRTDCRunTimes.py" --tripid 211-26 --locoid 4040 --swversion DE.1.0.8.0 --startMP 204:449 --initTime 2016-10-26T17:22:35 --startdatetime 2016-10-26T17:30:28 --delay 1 --endMP 204:233208 --enddatetime 2016-10-26T18:09:45 --enforcementcount 0 &gt;&gt;C:\Users\stu\Documents\GitHub\eaglep3-reporting\EC\2016-10-26-refined-times.txt</v>
      </c>
      <c r="AI12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{"issue":{"subject":"","project_id":79,"tracker_id":40,"status_id":1,"priority_id":2,"assigned_to_id":23,"start_date":"2016-10-26","description":"","custom_fields":[{"id":1,"name":"Subdivision","value":"EC"},{"id":4,"name":"Milepost","value":"23.3208"},{"id":17,"name":"Train ID","value":"211-26"},{"id":16,"name":"Locomotive ID","value":"4040"},{"id":130,"name":"Impact","value":""},{"id":150,"name":"Time of Event (Mountain Time)","value":"18:09:45"},{"id":151,"name":"Denver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586</v>
      </c>
      <c r="B126" s="7">
        <v>4039</v>
      </c>
      <c r="C126" s="22" t="s">
        <v>378</v>
      </c>
      <c r="D126" s="22" t="s">
        <v>676</v>
      </c>
      <c r="E126" s="13">
        <v>42669.759722222225</v>
      </c>
      <c r="F126" s="13">
        <v>42669.768217592595</v>
      </c>
      <c r="G126" s="7">
        <v>1</v>
      </c>
      <c r="H126" s="13" t="s">
        <v>216</v>
      </c>
      <c r="I126" s="13">
        <v>42669.798171296294</v>
      </c>
      <c r="J126" s="7">
        <v>0</v>
      </c>
      <c r="K126" s="112" t="str">
        <f t="shared" si="38"/>
        <v>4039/4040</v>
      </c>
      <c r="L126" s="22" t="str">
        <f>VLOOKUP(A126,'Trips&amp;Operators'!$C$1:$E$10000,3,FALSE)</f>
        <v>YOUNG</v>
      </c>
      <c r="M126" s="6">
        <f t="shared" si="39"/>
        <v>2.9953703698993195E-2</v>
      </c>
      <c r="N126" s="7">
        <f t="shared" si="53"/>
        <v>43.133333326550201</v>
      </c>
      <c r="O126" s="7"/>
      <c r="P126" s="7"/>
      <c r="Q126" s="23"/>
      <c r="R126" s="23"/>
      <c r="S126" s="35">
        <f t="shared" si="50"/>
        <v>1</v>
      </c>
      <c r="T126" s="50" t="str">
        <f t="shared" si="40"/>
        <v>Southbound</v>
      </c>
      <c r="U126" s="18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17:14:00-0600',mode:absolute,to:'2016-10-26 20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6" s="52" t="str">
        <f t="shared" si="42"/>
        <v>N</v>
      </c>
      <c r="X126" s="186">
        <f t="shared" si="54"/>
        <v>1</v>
      </c>
      <c r="Y126" s="67">
        <f t="shared" si="51"/>
        <v>23.288900000000002</v>
      </c>
      <c r="Z126" s="67">
        <f t="shared" si="52"/>
        <v>1.54E-2</v>
      </c>
      <c r="AA126" s="67">
        <f t="shared" si="43"/>
        <v>23.273500000000002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44"/>
        <v>0212-26</v>
      </c>
      <c r="AE126" s="91" t="str">
        <f t="shared" si="45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126" s="88" t="str">
        <f t="shared" si="46"/>
        <v>"C:\Program Files (x86)\AstroGrep\AstroGrep.exe" /spath="%USERPROFILE%\AppData\Local\Temp\OnboardLogs" /stypes="app*4039*20161027*" /stext=" 01:.+((SYSTEM_STATE.+slice.+state.+changed )|(ment ac)|(system.+state.+changed )|(\[timeout)|(PRM\|1\|D)|(kpr)|(kdp)|(\|lc)|(penalty))" /e /r /s</v>
      </c>
      <c r="AG126" s="1" t="str">
        <f t="shared" si="47"/>
        <v>EC</v>
      </c>
      <c r="AH126" s="92" t="str">
        <f t="shared" si="48"/>
        <v>"%USERPROFILE%\Documents\GitHub\eaglep3\Utilities\RefineRTDCRunTimes.py" --tripid 212-26 --locoid 4039 --swversion DE.1.0.8.0 --startMP 204:232889 --initTime 2016-10-26T18:14:00 --startdatetime 2016-10-26T18:26:14 --delay 1 --endMP 204:154 --enddatetime 2016-10-26T19:09:22 --enforcementcount 0 &gt;&gt;C:\Users\stu\Documents\GitHub\eaglep3-reporting\EC\2016-10-26-refined-times.txt</v>
      </c>
      <c r="AI12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{"issue":{"subject":"","project_id":79,"tracker_id":40,"status_id":1,"priority_id":2,"assigned_to_id":23,"start_date":"2016-10-26","description":"","custom_fields":[{"id":1,"name":"Subdivision","value":"EC"},{"id":4,"name":"Milepost","value":"0.0154"},{"id":17,"name":"Train ID","value":"212-26"},{"id":16,"name":"Locomotive ID","value":"4039"},{"id":130,"name":"Impact","value":""},{"id":150,"name":"Time of Event (Mountain Time)","value":"19:09:22"},{"id":151,"name":"Denver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577</v>
      </c>
      <c r="B127" s="7">
        <v>4016</v>
      </c>
      <c r="C127" s="22" t="s">
        <v>378</v>
      </c>
      <c r="D127" s="22" t="s">
        <v>677</v>
      </c>
      <c r="E127" s="13">
        <v>42669.73574074074</v>
      </c>
      <c r="F127" s="13">
        <v>42669.739745370367</v>
      </c>
      <c r="G127" s="7">
        <v>5</v>
      </c>
      <c r="H127" s="13" t="s">
        <v>219</v>
      </c>
      <c r="I127" s="13">
        <v>42669.763796296298</v>
      </c>
      <c r="J127" s="7">
        <v>0</v>
      </c>
      <c r="K127" s="112" t="str">
        <f t="shared" si="38"/>
        <v>4015/4016</v>
      </c>
      <c r="L127" s="22" t="str">
        <f>VLOOKUP(A127,'Trips&amp;Operators'!$C$1:$E$10000,3,FALSE)</f>
        <v>YANAI</v>
      </c>
      <c r="M127" s="6">
        <f t="shared" si="39"/>
        <v>2.4050925931078382E-2</v>
      </c>
      <c r="N127" s="7">
        <f t="shared" si="53"/>
        <v>34.63333334075287</v>
      </c>
      <c r="O127" s="7"/>
      <c r="P127" s="7"/>
      <c r="Q127" s="23"/>
      <c r="R127" s="23"/>
      <c r="S127" s="35">
        <f t="shared" si="50"/>
        <v>1</v>
      </c>
      <c r="T127" s="50" t="str">
        <f t="shared" si="40"/>
        <v>NorthBound</v>
      </c>
      <c r="U127" s="18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16:39:28-0600',mode:absolute,to:'2016-10-26 19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42"/>
        <v>N</v>
      </c>
      <c r="X127" s="186">
        <f t="shared" si="54"/>
        <v>1</v>
      </c>
      <c r="Y127" s="67">
        <f t="shared" si="51"/>
        <v>0.05</v>
      </c>
      <c r="Z127" s="67">
        <f t="shared" si="52"/>
        <v>23.3293</v>
      </c>
      <c r="AA127" s="67">
        <f t="shared" si="43"/>
        <v>23.279299999999999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44"/>
        <v>0213-26</v>
      </c>
      <c r="AE127" s="91" t="str">
        <f t="shared" si="45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27" s="88" t="str">
        <f t="shared" si="46"/>
        <v>"C:\Program Files (x86)\AstroGrep\AstroGrep.exe" /spath="%USERPROFILE%\AppData\Local\Temp\OnboardLogs" /stypes="app*4016*20161027*" /stext=" 00:.+((SYSTEM_STATE.+slice.+state.+changed )|(ment ac)|(system.+state.+changed )|(\[timeout)|(PRM\|1\|D)|(kpr)|(kdp)|(\|lc)|(penalty))" /e /r /s</v>
      </c>
      <c r="AG127" s="1" t="str">
        <f t="shared" si="47"/>
        <v>EC</v>
      </c>
      <c r="AH127" s="92" t="str">
        <f t="shared" si="48"/>
        <v>"%USERPROFILE%\Documents\GitHub\eaglep3\Utilities\RefineRTDCRunTimes.py" --tripid 213-26 --locoid 4016 --swversion DE.1.0.8.0 --startMP 204:500 --initTime 2016-10-26T17:39:28 --startdatetime 2016-10-26T17:45:14 --delay 5 --endMP 204:233293 --enddatetime 2016-10-26T18:19:52 --enforcementcount 0 &gt;&gt;C:\Users\stu\Documents\GitHub\eaglep3-reporting\EC\2016-10-26-refined-times.txt</v>
      </c>
      <c r="AI12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{"issue":{"subject":"","project_id":79,"tracker_id":40,"status_id":1,"priority_id":2,"assigned_to_id":23,"start_date":"2016-10-26","description":"","custom_fields":[{"id":1,"name":"Subdivision","value":"EC"},{"id":4,"name":"Milepost","value":"23.3293"},{"id":17,"name":"Train ID","value":"213-26"},{"id":16,"name":"Locomotive ID","value":"4016"},{"id":130,"name":"Impact","value":""},{"id":150,"name":"Time of Event (Mountain Time)","value":"18:19:52"},{"id":151,"name":"Denver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588</v>
      </c>
      <c r="B128" s="7">
        <v>4015</v>
      </c>
      <c r="C128" s="22" t="s">
        <v>378</v>
      </c>
      <c r="D128" s="22" t="s">
        <v>262</v>
      </c>
      <c r="E128" s="13">
        <v>42669.775497685187</v>
      </c>
      <c r="F128" s="13">
        <v>42669.778703703705</v>
      </c>
      <c r="G128" s="7">
        <v>1</v>
      </c>
      <c r="H128" s="13" t="s">
        <v>319</v>
      </c>
      <c r="I128" s="13">
        <v>42669.804224537038</v>
      </c>
      <c r="J128" s="7">
        <v>0</v>
      </c>
      <c r="K128" s="112" t="str">
        <f t="shared" si="38"/>
        <v>4015/4016</v>
      </c>
      <c r="L128" s="22" t="str">
        <f>VLOOKUP(A128,'Trips&amp;Operators'!$C$1:$E$10000,3,FALSE)</f>
        <v>YANAI</v>
      </c>
      <c r="M128" s="6">
        <f t="shared" si="39"/>
        <v>2.5520833332848269E-2</v>
      </c>
      <c r="N128" s="7">
        <f t="shared" si="53"/>
        <v>36.749999999301508</v>
      </c>
      <c r="O128" s="7"/>
      <c r="P128" s="7"/>
      <c r="Q128" s="23"/>
      <c r="R128" s="23"/>
      <c r="S128" s="35">
        <f t="shared" si="50"/>
        <v>1</v>
      </c>
      <c r="T128" s="50" t="str">
        <f t="shared" si="40"/>
        <v>Southbound</v>
      </c>
      <c r="U128" s="18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17:36:43-0600',mode:absolute,to:'2016-10-26 20:18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42"/>
        <v>N</v>
      </c>
      <c r="X128" s="186">
        <f t="shared" si="54"/>
        <v>1</v>
      </c>
      <c r="Y128" s="67">
        <f t="shared" si="51"/>
        <v>23.2986</v>
      </c>
      <c r="Z128" s="67">
        <f t="shared" si="52"/>
        <v>1.5800000000000002E-2</v>
      </c>
      <c r="AA128" s="67">
        <f t="shared" si="43"/>
        <v>23.282800000000002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44"/>
        <v>0214-26</v>
      </c>
      <c r="AE128" s="91" t="str">
        <f t="shared" si="45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128" s="88" t="str">
        <f t="shared" si="46"/>
        <v>"C:\Program Files (x86)\AstroGrep\AstroGrep.exe" /spath="%USERPROFILE%\AppData\Local\Temp\OnboardLogs" /stypes="app*4015*20161027*" /stext=" 01:.+((SYSTEM_STATE.+slice.+state.+changed )|(ment ac)|(system.+state.+changed )|(\[timeout)|(PRM\|1\|D)|(kpr)|(kdp)|(\|lc)|(penalty))" /e /r /s</v>
      </c>
      <c r="AG128" s="1" t="str">
        <f t="shared" si="47"/>
        <v>EC</v>
      </c>
      <c r="AH128" s="92" t="str">
        <f t="shared" si="48"/>
        <v>"%USERPROFILE%\Documents\GitHub\eaglep3\Utilities\RefineRTDCRunTimes.py" --tripid 214-26 --locoid 4015 --swversion DE.1.0.8.0 --startMP 204:232986 --initTime 2016-10-26T18:36:43 --startdatetime 2016-10-26T18:41:20 --delay 1 --endMP 204:158 --enddatetime 2016-10-26T19:18:05 --enforcementcount 0 &gt;&gt;C:\Users\stu\Documents\GitHub\eaglep3-reporting\EC\2016-10-26-refined-times.txt</v>
      </c>
      <c r="AI12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{"issue":{"subject":"","project_id":79,"tracker_id":40,"status_id":1,"priority_id":2,"assigned_to_id":23,"start_date":"2016-10-26","description":"","custom_fields":[{"id":1,"name":"Subdivision","value":"EC"},{"id":4,"name":"Milepost","value":"0.0158"},{"id":17,"name":"Train ID","value":"214-26"},{"id":16,"name":"Locomotive ID","value":"4015"},{"id":130,"name":"Impact","value":""},{"id":150,"name":"Time of Event (Mountain Time)","value":"19:18:05"},{"id":151,"name":"Denver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582</v>
      </c>
      <c r="B129" s="7">
        <v>4011</v>
      </c>
      <c r="C129" s="22" t="s">
        <v>378</v>
      </c>
      <c r="D129" s="22" t="s">
        <v>222</v>
      </c>
      <c r="E129" s="13">
        <v>42669.746863425928</v>
      </c>
      <c r="F129" s="13">
        <v>42669.750150462962</v>
      </c>
      <c r="G129" s="7">
        <v>2</v>
      </c>
      <c r="H129" s="13" t="s">
        <v>278</v>
      </c>
      <c r="I129" s="13">
        <v>42669.774525462963</v>
      </c>
      <c r="J129" s="7">
        <v>0</v>
      </c>
      <c r="K129" s="112" t="str">
        <f t="shared" si="38"/>
        <v>4011/4012</v>
      </c>
      <c r="L129" s="22" t="str">
        <f>VLOOKUP(A129,'Trips&amp;Operators'!$C$1:$E$10000,3,FALSE)</f>
        <v>STORY</v>
      </c>
      <c r="M129" s="6">
        <f t="shared" si="39"/>
        <v>2.4375000000873115E-2</v>
      </c>
      <c r="N129" s="7">
        <f t="shared" si="53"/>
        <v>35.100000001257285</v>
      </c>
      <c r="O129" s="7"/>
      <c r="P129" s="7"/>
      <c r="Q129" s="23"/>
      <c r="R129" s="23"/>
      <c r="S129" s="35">
        <f t="shared" si="50"/>
        <v>1</v>
      </c>
      <c r="T129" s="50" t="str">
        <f t="shared" si="40"/>
        <v>NorthBound</v>
      </c>
      <c r="U129" s="18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16:55:29-0600',mode:absolute,to:'2016-10-26 19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9" s="52" t="str">
        <f t="shared" si="42"/>
        <v>N</v>
      </c>
      <c r="X129" s="186">
        <f t="shared" si="54"/>
        <v>1</v>
      </c>
      <c r="Y129" s="67">
        <f t="shared" si="51"/>
        <v>4.4699999999999997E-2</v>
      </c>
      <c r="Z129" s="67">
        <f t="shared" si="52"/>
        <v>23.331</v>
      </c>
      <c r="AA129" s="67">
        <f t="shared" si="43"/>
        <v>23.286300000000001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44"/>
        <v>0215-26</v>
      </c>
      <c r="AE129" s="91" t="str">
        <f t="shared" si="45"/>
        <v>aws s3 cp s3://rtdc.mdm.uploadarchive.raw/RTDC4011/ "%USERPROFILE%\AppData\Local\Temp\OnboardLogs"\RTDC4011\2016-10-26 --exclude "*" --recursive --include "*20161026*" &amp; "%USERPROFILE%\Documents\GitHub\mrs-test-scripts\Headless Mode &amp; Sideloading\WalkAndUnGZ.bat" "%USERPROFILE%\AppData\Local\Temp\OnboardLogs"\RTDC4011\2016-10-26 &amp; aws s3 cp s3://rtdc.mdm.uploadarchive.raw/RTDC4011/ "%USERPROFILE%\AppData\Local\Temp\OnboardLogs"\RTDC4011\2016-10-27 --exclude "*" --recursive --include "*20161027*" &amp; "%USERPROFILE%\Documents\GitHub\mrs-test-scripts\Headless Mode &amp; Sideloading\WalkAndUnGZ.bat" "%USERPROFILE%\AppData\Local\Temp\OnboardLogs"\RTDC4011\2016-10-27</v>
      </c>
      <c r="AF129" s="88" t="str">
        <f t="shared" si="46"/>
        <v>"C:\Program Files (x86)\AstroGrep\AstroGrep.exe" /spath="%USERPROFILE%\AppData\Local\Temp\OnboardLogs" /stypes="app*4011*20161027*" /stext=" 00:.+((SYSTEM_STATE.+slice.+state.+changed )|(ment ac)|(system.+state.+changed )|(\[timeout)|(PRM\|1\|D)|(kpr)|(kdp)|(\|lc)|(penalty))" /e /r /s</v>
      </c>
      <c r="AG129" s="1" t="str">
        <f t="shared" si="47"/>
        <v>EC</v>
      </c>
      <c r="AH129" s="92" t="str">
        <f t="shared" si="48"/>
        <v>"%USERPROFILE%\Documents\GitHub\eaglep3\Utilities\RefineRTDCRunTimes.py" --tripid 215-26 --locoid 4011 --swversion DE.1.0.8.0 --startMP 204:447 --initTime 2016-10-26T17:55:29 --startdatetime 2016-10-26T18:00:13 --delay 2 --endMP 204:233310 --enddatetime 2016-10-26T18:35:19 --enforcementcount 0 &gt;&gt;C:\Users\stu\Documents\GitHub\eaglep3-reporting\EC\2016-10-26-refined-times.txt</v>
      </c>
      <c r="AI12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{"issue":{"subject":"","project_id":79,"tracker_id":40,"status_id":1,"priority_id":2,"assigned_to_id":23,"start_date":"2016-10-26","description":"","custom_fields":[{"id":1,"name":"Subdivision","value":"EC"},{"id":4,"name":"Milepost","value":"23.331"},{"id":17,"name":"Train ID","value":"215-26"},{"id":16,"name":"Locomotive ID","value":"4011"},{"id":130,"name":"Impact","value":""},{"id":150,"name":"Time of Event (Mountain Time)","value":"18:35:19"},{"id":151,"name":"Denver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591</v>
      </c>
      <c r="B130" s="7">
        <v>4012</v>
      </c>
      <c r="C130" s="22" t="s">
        <v>378</v>
      </c>
      <c r="D130" s="22" t="s">
        <v>250</v>
      </c>
      <c r="E130" s="13">
        <v>42669.785208333335</v>
      </c>
      <c r="F130" s="13">
        <v>42669.789097222223</v>
      </c>
      <c r="G130" s="7">
        <v>5</v>
      </c>
      <c r="H130" s="13" t="s">
        <v>282</v>
      </c>
      <c r="I130" s="13">
        <v>42669.814745370371</v>
      </c>
      <c r="J130" s="7">
        <v>0</v>
      </c>
      <c r="K130" s="112" t="str">
        <f t="shared" si="38"/>
        <v>4011/4012</v>
      </c>
      <c r="L130" s="22" t="str">
        <f>VLOOKUP(A130,'Trips&amp;Operators'!$C$1:$E$10000,3,FALSE)</f>
        <v>STORY</v>
      </c>
      <c r="M130" s="6">
        <f t="shared" si="39"/>
        <v>2.5648148148320615E-2</v>
      </c>
      <c r="N130" s="7">
        <f t="shared" si="53"/>
        <v>36.933333333581686</v>
      </c>
      <c r="O130" s="7"/>
      <c r="P130" s="7"/>
      <c r="Q130" s="23"/>
      <c r="R130" s="23"/>
      <c r="S130" s="35">
        <f t="shared" si="50"/>
        <v>1</v>
      </c>
      <c r="T130" s="50" t="str">
        <f t="shared" si="40"/>
        <v>Southbound</v>
      </c>
      <c r="U130" s="18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17:50:42-0600',mode:absolute,to:'2016-10-26 20:33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0" s="52" t="str">
        <f t="shared" si="42"/>
        <v>N</v>
      </c>
      <c r="X130" s="186">
        <f t="shared" si="54"/>
        <v>1</v>
      </c>
      <c r="Y130" s="67">
        <f t="shared" si="51"/>
        <v>23.299099999999999</v>
      </c>
      <c r="Z130" s="67">
        <f t="shared" si="52"/>
        <v>1.6299999999999999E-2</v>
      </c>
      <c r="AA130" s="67">
        <f t="shared" si="43"/>
        <v>23.282799999999998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44"/>
        <v>0216-26</v>
      </c>
      <c r="AE130" s="91" t="str">
        <f t="shared" si="45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130" s="88" t="str">
        <f t="shared" si="46"/>
        <v>"C:\Program Files (x86)\AstroGrep\AstroGrep.exe" /spath="%USERPROFILE%\AppData\Local\Temp\OnboardLogs" /stypes="app*4012*20161027*" /stext=" 01:.+((SYSTEM_STATE.+slice.+state.+changed )|(ment ac)|(system.+state.+changed )|(\[timeout)|(PRM\|1\|D)|(kpr)|(kdp)|(\|lc)|(penalty))" /e /r /s</v>
      </c>
      <c r="AG130" s="1" t="str">
        <f t="shared" si="47"/>
        <v>EC</v>
      </c>
      <c r="AH130" s="92" t="str">
        <f t="shared" si="48"/>
        <v>"%USERPROFILE%\Documents\GitHub\eaglep3\Utilities\RefineRTDCRunTimes.py" --tripid 216-26 --locoid 4012 --swversion DE.1.0.8.0 --startMP 204:232991 --initTime 2016-10-26T18:50:42 --startdatetime 2016-10-26T18:56:18 --delay 5 --endMP 204:163 --enddatetime 2016-10-26T19:33:14 --enforcementcount 0 &gt;&gt;C:\Users\stu\Documents\GitHub\eaglep3-reporting\EC\2016-10-26-refined-times.txt</v>
      </c>
      <c r="AI13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{"issue":{"subject":"","project_id":79,"tracker_id":40,"status_id":1,"priority_id":2,"assigned_to_id":23,"start_date":"2016-10-26","description":"","custom_fields":[{"id":1,"name":"Subdivision","value":"EC"},{"id":4,"name":"Milepost","value":"0.0163"},{"id":17,"name":"Train ID","value":"216-26"},{"id":16,"name":"Locomotive ID","value":"4012"},{"id":130,"name":"Impact","value":""},{"id":150,"name":"Time of Event (Mountain Time)","value":"19:33:14"},{"id":151,"name":"Denver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585</v>
      </c>
      <c r="B131" s="7">
        <v>4031</v>
      </c>
      <c r="C131" s="22" t="s">
        <v>378</v>
      </c>
      <c r="D131" s="22" t="s">
        <v>232</v>
      </c>
      <c r="E131" s="13">
        <v>42669.756597222222</v>
      </c>
      <c r="F131" s="13">
        <v>42669.760740740741</v>
      </c>
      <c r="G131" s="7">
        <v>2</v>
      </c>
      <c r="H131" s="13" t="s">
        <v>678</v>
      </c>
      <c r="I131" s="13">
        <v>42669.784733796296</v>
      </c>
      <c r="J131" s="7">
        <v>0</v>
      </c>
      <c r="K131" s="112" t="str">
        <f t="shared" si="38"/>
        <v>4031/4032</v>
      </c>
      <c r="L131" s="22" t="str">
        <f>VLOOKUP(A131,'Trips&amp;Operators'!$C$1:$E$10000,3,FALSE)</f>
        <v>LEVIN</v>
      </c>
      <c r="M131" s="6">
        <f t="shared" si="39"/>
        <v>2.3993055554456078E-2</v>
      </c>
      <c r="N131" s="7">
        <f t="shared" si="53"/>
        <v>34.549999998416752</v>
      </c>
      <c r="O131" s="7"/>
      <c r="P131" s="7"/>
      <c r="Q131" s="23"/>
      <c r="R131" s="23"/>
      <c r="S131" s="35">
        <f t="shared" si="50"/>
        <v>1</v>
      </c>
      <c r="T131" s="50" t="str">
        <f t="shared" si="40"/>
        <v>NorthBound</v>
      </c>
      <c r="U131" s="18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17:09:30-0600',mode:absolute,to:'2016-10-26 19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42"/>
        <v>N</v>
      </c>
      <c r="X131" s="186">
        <f t="shared" si="54"/>
        <v>1</v>
      </c>
      <c r="Y131" s="67">
        <f t="shared" si="51"/>
        <v>4.6899999999999997E-2</v>
      </c>
      <c r="Z131" s="67">
        <f t="shared" si="52"/>
        <v>23.333600000000001</v>
      </c>
      <c r="AA131" s="67">
        <f t="shared" si="43"/>
        <v>23.2867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44"/>
        <v>0217-26</v>
      </c>
      <c r="AE131" s="91" t="str">
        <f t="shared" si="45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31" s="88" t="str">
        <f t="shared" si="46"/>
        <v>"C:\Program Files (x86)\AstroGrep\AstroGrep.exe" /spath="%USERPROFILE%\AppData\Local\Temp\OnboardLogs" /stypes="app*4031*20161027*" /stext=" 00:.+((SYSTEM_STATE.+slice.+state.+changed )|(ment ac)|(system.+state.+changed )|(\[timeout)|(PRM\|1\|D)|(kpr)|(kdp)|(\|lc)|(penalty))" /e /r /s</v>
      </c>
      <c r="AG131" s="1" t="str">
        <f t="shared" si="47"/>
        <v>EC</v>
      </c>
      <c r="AH131" s="92" t="str">
        <f t="shared" si="48"/>
        <v>"%USERPROFILE%\Documents\GitHub\eaglep3\Utilities\RefineRTDCRunTimes.py" --tripid 217-26 --locoid 4031 --swversion DE.1.0.8.0 --startMP 204:469 --initTime 2016-10-26T18:09:30 --startdatetime 2016-10-26T18:15:28 --delay 2 --endMP 204:233336 --enddatetime 2016-10-26T18:50:01 --enforcementcount 0 &gt;&gt;C:\Users\stu\Documents\GitHub\eaglep3-reporting\EC\2016-10-26-refined-times.txt</v>
      </c>
      <c r="AI13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{"issue":{"subject":"","project_id":79,"tracker_id":40,"status_id":1,"priority_id":2,"assigned_to_id":23,"start_date":"2016-10-26","description":"","custom_fields":[{"id":1,"name":"Subdivision","value":"EC"},{"id":4,"name":"Milepost","value":"23.3336"},{"id":17,"name":"Train ID","value":"217-26"},{"id":16,"name":"Locomotive ID","value":"4031"},{"id":130,"name":"Impact","value":""},{"id":150,"name":"Time of Event (Mountain Time)","value":"18:50:01"},{"id":151,"name":"Denver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593</v>
      </c>
      <c r="B132" s="7">
        <v>4032</v>
      </c>
      <c r="C132" s="22" t="s">
        <v>378</v>
      </c>
      <c r="D132" s="22" t="s">
        <v>360</v>
      </c>
      <c r="E132" s="13">
        <v>42669.794942129629</v>
      </c>
      <c r="F132" s="13">
        <v>42669.799513888887</v>
      </c>
      <c r="G132" s="7">
        <v>1</v>
      </c>
      <c r="H132" s="13" t="s">
        <v>176</v>
      </c>
      <c r="I132" s="13">
        <v>42669.825300925928</v>
      </c>
      <c r="J132" s="7">
        <v>0</v>
      </c>
      <c r="K132" s="112" t="str">
        <f t="shared" si="38"/>
        <v>4031/4032</v>
      </c>
      <c r="L132" s="22" t="str">
        <f>VLOOKUP(A132,'Trips&amp;Operators'!$C$1:$E$10000,3,FALSE)</f>
        <v>LEVIN</v>
      </c>
      <c r="M132" s="6">
        <f t="shared" si="39"/>
        <v>2.5787037040572613E-2</v>
      </c>
      <c r="N132" s="7">
        <f t="shared" si="53"/>
        <v>37.133333338424563</v>
      </c>
      <c r="O132" s="7"/>
      <c r="P132" s="7"/>
      <c r="Q132" s="23"/>
      <c r="R132" s="23"/>
      <c r="S132" s="35">
        <f t="shared" si="50"/>
        <v>1</v>
      </c>
      <c r="T132" s="50" t="str">
        <f t="shared" si="40"/>
        <v>Southbound</v>
      </c>
      <c r="U132" s="18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18:04:43-0600',mode:absolute,to:'2016-10-26 20:48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42"/>
        <v>N</v>
      </c>
      <c r="X132" s="186">
        <f t="shared" si="54"/>
        <v>1</v>
      </c>
      <c r="Y132" s="67">
        <f t="shared" si="51"/>
        <v>23.2988</v>
      </c>
      <c r="Z132" s="67">
        <f t="shared" si="52"/>
        <v>1.52E-2</v>
      </c>
      <c r="AA132" s="67">
        <f t="shared" si="43"/>
        <v>23.2836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44"/>
        <v>0218-26</v>
      </c>
      <c r="AE132" s="91" t="str">
        <f t="shared" si="45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132" s="88" t="str">
        <f t="shared" si="46"/>
        <v>"C:\Program Files (x86)\AstroGrep\AstroGrep.exe" /spath="%USERPROFILE%\AppData\Local\Temp\OnboardLogs" /stypes="app*4032*20161027*" /stext=" 01:.+((SYSTEM_STATE.+slice.+state.+changed )|(ment ac)|(system.+state.+changed )|(\[timeout)|(PRM\|1\|D)|(kpr)|(kdp)|(\|lc)|(penalty))" /e /r /s</v>
      </c>
      <c r="AG132" s="1" t="str">
        <f t="shared" si="47"/>
        <v>EC</v>
      </c>
      <c r="AH132" s="92" t="str">
        <f t="shared" si="48"/>
        <v>"%USERPROFILE%\Documents\GitHub\eaglep3\Utilities\RefineRTDCRunTimes.py" --tripid 218-26 --locoid 4032 --swversion DE.1.0.8.0 --startMP 204:232988 --initTime 2016-10-26T19:04:43 --startdatetime 2016-10-26T19:11:18 --delay 1 --endMP 204:152 --enddatetime 2016-10-26T19:48:26 --enforcementcount 0 &gt;&gt;C:\Users\stu\Documents\GitHub\eaglep3-reporting\EC\2016-10-26-refined-times.txt</v>
      </c>
      <c r="AI13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{"issue":{"subject":"","project_id":79,"tracker_id":40,"status_id":1,"priority_id":2,"assigned_to_id":23,"start_date":"2016-10-26","description":"","custom_fields":[{"id":1,"name":"Subdivision","value":"EC"},{"id":4,"name":"Milepost","value":"0.0152"},{"id":17,"name":"Train ID","value":"218-26"},{"id":16,"name":"Locomotive ID","value":"4032"},{"id":130,"name":"Impact","value":""},{"id":150,"name":"Time of Event (Mountain Time)","value":"19:48:26"},{"id":151,"name":"Denver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587</v>
      </c>
      <c r="B133" s="7">
        <v>4046</v>
      </c>
      <c r="C133" s="22" t="s">
        <v>378</v>
      </c>
      <c r="D133" s="22" t="s">
        <v>251</v>
      </c>
      <c r="E133" s="13">
        <v>42669.767881944441</v>
      </c>
      <c r="F133" s="13">
        <v>42669.771018518521</v>
      </c>
      <c r="G133" s="7">
        <v>1</v>
      </c>
      <c r="H133" s="13" t="s">
        <v>325</v>
      </c>
      <c r="I133" s="13">
        <v>42669.795428240737</v>
      </c>
      <c r="J133" s="7">
        <v>0</v>
      </c>
      <c r="K133" s="112" t="str">
        <f t="shared" si="38"/>
        <v>4045/4046</v>
      </c>
      <c r="L133" s="22" t="str">
        <f>VLOOKUP(A133,'Trips&amp;Operators'!$C$1:$E$10000,3,FALSE)</f>
        <v>BERLING</v>
      </c>
      <c r="M133" s="6">
        <f t="shared" si="39"/>
        <v>2.4409722216660157E-2</v>
      </c>
      <c r="N133" s="7">
        <f t="shared" si="53"/>
        <v>35.149999991990626</v>
      </c>
      <c r="O133" s="7"/>
      <c r="P133" s="7"/>
      <c r="Q133" s="23"/>
      <c r="R133" s="23"/>
      <c r="S133" s="35">
        <f t="shared" si="50"/>
        <v>1</v>
      </c>
      <c r="T133" s="50" t="str">
        <f t="shared" si="40"/>
        <v>NorthBound</v>
      </c>
      <c r="U133" s="18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17:25:45-0600',mode:absolute,to:'2016-10-26 20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3" s="52" t="str">
        <f t="shared" si="42"/>
        <v>N</v>
      </c>
      <c r="X133" s="186">
        <f t="shared" si="54"/>
        <v>1</v>
      </c>
      <c r="Y133" s="67">
        <f t="shared" ref="Y133:Y164" si="55">RIGHT(D133,LEN(D133)-4)/10000</f>
        <v>4.7100000000000003E-2</v>
      </c>
      <c r="Z133" s="67">
        <f t="shared" ref="Z133:Z164" si="56">RIGHT(H133,LEN(H133)-4)/10000</f>
        <v>23.331700000000001</v>
      </c>
      <c r="AA133" s="67">
        <f t="shared" si="43"/>
        <v>23.284600000000001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44"/>
        <v>0219-26</v>
      </c>
      <c r="AE133" s="91" t="str">
        <f t="shared" si="45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133" s="88" t="str">
        <f t="shared" si="46"/>
        <v>"C:\Program Files (x86)\AstroGrep\AstroGrep.exe" /spath="%USERPROFILE%\AppData\Local\Temp\OnboardLogs" /stypes="app*4046*20161027*" /stext=" 01:.+((SYSTEM_STATE.+slice.+state.+changed )|(ment ac)|(system.+state.+changed )|(\[timeout)|(PRM\|1\|D)|(kpr)|(kdp)|(\|lc)|(penalty))" /e /r /s</v>
      </c>
      <c r="AG133" s="1" t="str">
        <f t="shared" si="47"/>
        <v>EC</v>
      </c>
      <c r="AH133" s="92" t="str">
        <f t="shared" si="48"/>
        <v>"%USERPROFILE%\Documents\GitHub\eaglep3\Utilities\RefineRTDCRunTimes.py" --tripid 219-26 --locoid 4046 --swversion DE.1.0.8.0 --startMP 204:471 --initTime 2016-10-26T18:25:45 --startdatetime 2016-10-26T18:30:16 --delay 1 --endMP 204:233317 --enddatetime 2016-10-26T19:05:25 --enforcementcount 0 &gt;&gt;C:\Users\stu\Documents\GitHub\eaglep3-reporting\EC\2016-10-26-refined-times.txt</v>
      </c>
      <c r="AI133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{"issue":{"subject":"","project_id":79,"tracker_id":40,"status_id":1,"priority_id":2,"assigned_to_id":23,"start_date":"2016-10-26","description":"","custom_fields":[{"id":1,"name":"Subdivision","value":"EC"},{"id":4,"name":"Milepost","value":"23.3317"},{"id":17,"name":"Train ID","value":"219-26"},{"id":16,"name":"Locomotive ID","value":"4046"},{"id":130,"name":"Impact","value":""},{"id":150,"name":"Time of Event (Mountain Time)","value":"19:05:25"},{"id":151,"name":"Denver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598</v>
      </c>
      <c r="B134" s="7">
        <v>4045</v>
      </c>
      <c r="C134" s="22" t="s">
        <v>378</v>
      </c>
      <c r="D134" s="22" t="s">
        <v>297</v>
      </c>
      <c r="E134" s="13">
        <v>42669.802673611113</v>
      </c>
      <c r="F134" s="13">
        <v>42669.810023148151</v>
      </c>
      <c r="G134" s="7">
        <v>1</v>
      </c>
      <c r="H134" s="13" t="s">
        <v>654</v>
      </c>
      <c r="I134" s="13">
        <v>42669.837048611109</v>
      </c>
      <c r="J134" s="7">
        <v>0</v>
      </c>
      <c r="K134" s="112" t="str">
        <f t="shared" si="38"/>
        <v>4045/4046</v>
      </c>
      <c r="L134" s="22" t="str">
        <f>VLOOKUP(A134,'Trips&amp;Operators'!$C$1:$E$10000,3,FALSE)</f>
        <v>BERLING</v>
      </c>
      <c r="M134" s="6">
        <f t="shared" si="39"/>
        <v>2.7025462957681157E-2</v>
      </c>
      <c r="N134" s="7">
        <f t="shared" si="53"/>
        <v>38.916666659060866</v>
      </c>
      <c r="O134" s="7"/>
      <c r="P134" s="7"/>
      <c r="Q134" s="23"/>
      <c r="R134" s="23"/>
      <c r="S134" s="35">
        <f t="shared" si="50"/>
        <v>1</v>
      </c>
      <c r="T134" s="50" t="str">
        <f t="shared" si="40"/>
        <v>Southbound</v>
      </c>
      <c r="U134" s="18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18:15:51-0600',mode:absolute,to:'2016-10-26 21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4" s="52" t="str">
        <f t="shared" si="42"/>
        <v>N</v>
      </c>
      <c r="X134" s="186">
        <f t="shared" si="54"/>
        <v>1</v>
      </c>
      <c r="Y134" s="67">
        <f t="shared" si="55"/>
        <v>23.2987</v>
      </c>
      <c r="Z134" s="67">
        <f t="shared" si="56"/>
        <v>1.3899999999999999E-2</v>
      </c>
      <c r="AA134" s="67">
        <f t="shared" si="43"/>
        <v>23.284800000000001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44"/>
        <v>0220-26</v>
      </c>
      <c r="AE134" s="91" t="str">
        <f t="shared" si="45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34" s="88" t="str">
        <f t="shared" si="46"/>
        <v>"C:\Program Files (x86)\AstroGrep\AstroGrep.exe" /spath="%USERPROFILE%\AppData\Local\Temp\OnboardLogs" /stypes="app*4045*20161027*" /stext=" 02:.+((SYSTEM_STATE.+slice.+state.+changed )|(ment ac)|(system.+state.+changed )|(\[timeout)|(PRM\|1\|D)|(kpr)|(kdp)|(\|lc)|(penalty))" /e /r /s</v>
      </c>
      <c r="AG134" s="1" t="str">
        <f t="shared" si="47"/>
        <v>EC</v>
      </c>
      <c r="AH134" s="92" t="str">
        <f t="shared" si="48"/>
        <v>"%USERPROFILE%\Documents\GitHub\eaglep3\Utilities\RefineRTDCRunTimes.py" --tripid 220-26 --locoid 4045 --swversion DE.1.0.8.0 --startMP 204:232987 --initTime 2016-10-26T19:15:51 --startdatetime 2016-10-26T19:26:26 --delay 1 --endMP 204:139 --enddatetime 2016-10-26T20:05:21 --enforcementcount 0 &gt;&gt;C:\Users\stu\Documents\GitHub\eaglep3-reporting\EC\2016-10-26-refined-times.txt</v>
      </c>
      <c r="AI134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{"issue":{"subject":"","project_id":79,"tracker_id":40,"status_id":1,"priority_id":2,"assigned_to_id":23,"start_date":"2016-10-26","description":"","custom_fields":[{"id":1,"name":"Subdivision","value":"EC"},{"id":4,"name":"Milepost","value":"0.0139"},{"id":17,"name":"Train ID","value":"220-26"},{"id":16,"name":"Locomotive ID","value":"4045"},{"id":130,"name":"Impact","value":""},{"id":150,"name":"Time of Event (Mountain Time)","value":"20:05:21"},{"id":151,"name":"Denver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592</v>
      </c>
      <c r="B135" s="7">
        <v>4029</v>
      </c>
      <c r="C135" s="22" t="s">
        <v>378</v>
      </c>
      <c r="D135" s="22" t="s">
        <v>372</v>
      </c>
      <c r="E135" s="13">
        <v>42669.789548611108</v>
      </c>
      <c r="F135" s="13">
        <v>42669.79210648148</v>
      </c>
      <c r="G135" s="7">
        <v>3</v>
      </c>
      <c r="H135" s="13" t="s">
        <v>224</v>
      </c>
      <c r="I135" s="13">
        <v>42669.817673611113</v>
      </c>
      <c r="J135" s="7">
        <v>0</v>
      </c>
      <c r="K135" s="112" t="str">
        <f t="shared" si="38"/>
        <v>4029/4030</v>
      </c>
      <c r="L135" s="22" t="str">
        <f>VLOOKUP(A135,'Trips&amp;Operators'!$C$1:$E$10000,3,FALSE)</f>
        <v>ARVIDSON</v>
      </c>
      <c r="M135" s="6">
        <f t="shared" si="39"/>
        <v>2.5567129632690921E-2</v>
      </c>
      <c r="N135" s="7">
        <f t="shared" si="53"/>
        <v>36.816666671074927</v>
      </c>
      <c r="O135" s="7"/>
      <c r="P135" s="7"/>
      <c r="Q135" s="23"/>
      <c r="R135" s="23"/>
      <c r="S135" s="35">
        <f t="shared" si="50"/>
        <v>1</v>
      </c>
      <c r="T135" s="50" t="str">
        <f t="shared" si="40"/>
        <v>NorthBound</v>
      </c>
      <c r="U135" s="18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17:56:57-0600',mode:absolute,to:'2016-10-26 20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5" s="52" t="str">
        <f t="shared" si="42"/>
        <v>N</v>
      </c>
      <c r="X135" s="186">
        <f t="shared" si="54"/>
        <v>1</v>
      </c>
      <c r="Y135" s="67">
        <f t="shared" si="55"/>
        <v>4.3999999999999997E-2</v>
      </c>
      <c r="Z135" s="67">
        <f t="shared" si="56"/>
        <v>23.33</v>
      </c>
      <c r="AA135" s="67">
        <f t="shared" si="43"/>
        <v>23.285999999999998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44"/>
        <v>0221-26</v>
      </c>
      <c r="AE135" s="91" t="str">
        <f t="shared" si="45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35" s="88" t="str">
        <f t="shared" si="46"/>
        <v>"C:\Program Files (x86)\AstroGrep\AstroGrep.exe" /spath="%USERPROFILE%\AppData\Local\Temp\OnboardLogs" /stypes="app*4029*20161027*" /stext=" 01:.+((SYSTEM_STATE.+slice.+state.+changed )|(ment ac)|(system.+state.+changed )|(\[timeout)|(PRM\|1\|D)|(kpr)|(kdp)|(\|lc)|(penalty))" /e /r /s</v>
      </c>
      <c r="AG135" s="1" t="str">
        <f t="shared" si="47"/>
        <v>EC</v>
      </c>
      <c r="AH135" s="92" t="str">
        <f t="shared" si="48"/>
        <v>"%USERPROFILE%\Documents\GitHub\eaglep3\Utilities\RefineRTDCRunTimes.py" --tripid 221-26 --locoid 4029 --swversion DE.1.0.8.0 --startMP 204:440 --initTime 2016-10-26T18:56:57 --startdatetime 2016-10-26T19:00:38 --delay 3 --endMP 204:233300 --enddatetime 2016-10-26T19:37:27 --enforcementcount 0 &gt;&gt;C:\Users\stu\Documents\GitHub\eaglep3-reporting\EC\2016-10-26-refined-times.txt</v>
      </c>
      <c r="AI135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{"issue":{"subject":"","project_id":79,"tracker_id":40,"status_id":1,"priority_id":2,"assigned_to_id":23,"start_date":"2016-10-26","description":"","custom_fields":[{"id":1,"name":"Subdivision","value":"EC"},{"id":4,"name":"Milepost","value":"23.33"},{"id":17,"name":"Train ID","value":"221-26"},{"id":16,"name":"Locomotive ID","value":"4029"},{"id":130,"name":"Impact","value":""},{"id":150,"name":"Time of Event (Mountain Time)","value":"19:37:27"},{"id":151,"name":"Denver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603</v>
      </c>
      <c r="B136" s="7">
        <v>4030</v>
      </c>
      <c r="C136" s="22" t="s">
        <v>378</v>
      </c>
      <c r="D136" s="22" t="s">
        <v>304</v>
      </c>
      <c r="E136" s="13">
        <v>42669.828194444446</v>
      </c>
      <c r="F136" s="13">
        <v>42669.830787037034</v>
      </c>
      <c r="G136" s="7">
        <v>1</v>
      </c>
      <c r="H136" s="13" t="s">
        <v>218</v>
      </c>
      <c r="I136" s="13">
        <v>42669.857349537036</v>
      </c>
      <c r="J136" s="7">
        <v>0</v>
      </c>
      <c r="K136" s="112" t="str">
        <f t="shared" si="38"/>
        <v>4029/4030</v>
      </c>
      <c r="L136" s="22" t="str">
        <f>VLOOKUP(A136,'Trips&amp;Operators'!$C$1:$E$10000,3,FALSE)</f>
        <v>ARVIDSON</v>
      </c>
      <c r="M136" s="6">
        <f t="shared" si="39"/>
        <v>2.6562500002910383E-2</v>
      </c>
      <c r="N136" s="7">
        <f t="shared" si="53"/>
        <v>38.250000004190952</v>
      </c>
      <c r="O136" s="7"/>
      <c r="P136" s="7"/>
      <c r="Q136" s="23"/>
      <c r="R136" s="23"/>
      <c r="S136" s="35">
        <f t="shared" si="50"/>
        <v>1</v>
      </c>
      <c r="T136" s="50" t="str">
        <f t="shared" si="40"/>
        <v>Southbound</v>
      </c>
      <c r="U136" s="18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18:52:36-0600',mode:absolute,to:'2016-10-26 21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6" s="52" t="str">
        <f t="shared" si="42"/>
        <v>N</v>
      </c>
      <c r="X136" s="186">
        <f t="shared" si="54"/>
        <v>1</v>
      </c>
      <c r="Y136" s="67">
        <f t="shared" si="55"/>
        <v>23.299800000000001</v>
      </c>
      <c r="Z136" s="67">
        <f t="shared" si="56"/>
        <v>1.49E-2</v>
      </c>
      <c r="AA136" s="67">
        <f t="shared" si="43"/>
        <v>23.2849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44"/>
        <v>0222-26</v>
      </c>
      <c r="AE136" s="91" t="str">
        <f t="shared" si="45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136" s="88" t="str">
        <f t="shared" si="46"/>
        <v>"C:\Program Files (x86)\AstroGrep\AstroGrep.exe" /spath="%USERPROFILE%\AppData\Local\Temp\OnboardLogs" /stypes="app*4030*20161027*" /stext=" 02:.+((SYSTEM_STATE.+slice.+state.+changed )|(ment ac)|(system.+state.+changed )|(\[timeout)|(PRM\|1\|D)|(kpr)|(kdp)|(\|lc)|(penalty))" /e /r /s</v>
      </c>
      <c r="AG136" s="1" t="str">
        <f t="shared" si="47"/>
        <v>EC</v>
      </c>
      <c r="AH136" s="92" t="str">
        <f t="shared" si="48"/>
        <v>"%USERPROFILE%\Documents\GitHub\eaglep3\Utilities\RefineRTDCRunTimes.py" --tripid 222-26 --locoid 4030 --swversion DE.1.0.8.0 --startMP 204:232998 --initTime 2016-10-26T19:52:36 --startdatetime 2016-10-26T19:56:20 --delay 1 --endMP 204:149 --enddatetime 2016-10-26T20:34:35 --enforcementcount 0 &gt;&gt;C:\Users\stu\Documents\GitHub\eaglep3-reporting\EC\2016-10-26-refined-times.txt</v>
      </c>
      <c r="AI136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{"issue":{"subject":"","project_id":79,"tracker_id":40,"status_id":1,"priority_id":2,"assigned_to_id":23,"start_date":"2016-10-26","description":"","custom_fields":[{"id":1,"name":"Subdivision","value":"EC"},{"id":4,"name":"Milepost","value":"0.0149"},{"id":17,"name":"Train ID","value":"222-26"},{"id":16,"name":"Locomotive ID","value":"4030"},{"id":130,"name":"Impact","value":""},{"id":150,"name":"Time of Event (Mountain Time)","value":"20:34:35"},{"id":151,"name":"Denver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599</v>
      </c>
      <c r="B137" s="7">
        <v>4016</v>
      </c>
      <c r="C137" s="22" t="s">
        <v>378</v>
      </c>
      <c r="D137" s="22" t="s">
        <v>222</v>
      </c>
      <c r="E137" s="13">
        <v>42669.808958333335</v>
      </c>
      <c r="F137" s="13">
        <v>42669.812731481485</v>
      </c>
      <c r="G137" s="7">
        <v>1</v>
      </c>
      <c r="H137" s="13" t="s">
        <v>227</v>
      </c>
      <c r="I137" s="13">
        <v>42669.837048611109</v>
      </c>
      <c r="J137" s="7">
        <v>0</v>
      </c>
      <c r="K137" s="112" t="str">
        <f t="shared" si="38"/>
        <v>4015/4016</v>
      </c>
      <c r="L137" s="22" t="str">
        <f>VLOOKUP(A137,'Trips&amp;Operators'!$C$1:$E$10000,3,FALSE)</f>
        <v>YANAI</v>
      </c>
      <c r="M137" s="6">
        <f t="shared" si="39"/>
        <v>2.4317129624250811E-2</v>
      </c>
      <c r="N137" s="7">
        <f t="shared" ref="N137:N168" si="57">24*60*SUM($M137:$M137)</f>
        <v>35.016666658921167</v>
      </c>
      <c r="O137" s="7"/>
      <c r="P137" s="7"/>
      <c r="Q137" s="23"/>
      <c r="R137" s="23"/>
      <c r="S137" s="35">
        <f t="shared" si="50"/>
        <v>1</v>
      </c>
      <c r="T137" s="50" t="str">
        <f t="shared" si="40"/>
        <v>NorthBound</v>
      </c>
      <c r="U137" s="18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18:24:54-0600',mode:absolute,to:'2016-10-26 21:05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42"/>
        <v>N</v>
      </c>
      <c r="X137" s="186">
        <f t="shared" ref="X137:X168" si="58">VALUE(LEFT(AD137,4))-VALUE(LEFT(AD136,4))</f>
        <v>1</v>
      </c>
      <c r="Y137" s="67">
        <f t="shared" si="55"/>
        <v>4.4699999999999997E-2</v>
      </c>
      <c r="Z137" s="67">
        <f t="shared" si="56"/>
        <v>23.329499999999999</v>
      </c>
      <c r="AA137" s="67">
        <f t="shared" si="43"/>
        <v>23.284800000000001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44"/>
        <v>0223-26</v>
      </c>
      <c r="AE137" s="91" t="str">
        <f t="shared" si="45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37" s="88" t="str">
        <f t="shared" si="46"/>
        <v>"C:\Program Files (x86)\AstroGrep\AstroGrep.exe" /spath="%USERPROFILE%\AppData\Local\Temp\OnboardLogs" /stypes="app*4016*20161027*" /stext=" 02:.+((SYSTEM_STATE.+slice.+state.+changed )|(ment ac)|(system.+state.+changed )|(\[timeout)|(PRM\|1\|D)|(kpr)|(kdp)|(\|lc)|(penalty))" /e /r /s</v>
      </c>
      <c r="AG137" s="1" t="str">
        <f t="shared" si="47"/>
        <v>EC</v>
      </c>
      <c r="AH137" s="92" t="str">
        <f t="shared" si="48"/>
        <v>"%USERPROFILE%\Documents\GitHub\eaglep3\Utilities\RefineRTDCRunTimes.py" --tripid 223-26 --locoid 4016 --swversion DE.1.0.8.0 --startMP 204:447 --initTime 2016-10-26T19:24:54 --startdatetime 2016-10-26T19:30:20 --delay 1 --endMP 204:233295 --enddatetime 2016-10-26T20:05:21 --enforcementcount 0 &gt;&gt;C:\Users\stu\Documents\GitHub\eaglep3-reporting\EC\2016-10-26-refined-times.txt</v>
      </c>
      <c r="AI137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{"issue":{"subject":"","project_id":79,"tracker_id":40,"status_id":1,"priority_id":2,"assigned_to_id":23,"start_date":"2016-10-26","description":"","custom_fields":[{"id":1,"name":"Subdivision","value":"EC"},{"id":4,"name":"Milepost","value":"23.3295"},{"id":17,"name":"Train ID","value":"223-26"},{"id":16,"name":"Locomotive ID","value":"4016"},{"id":130,"name":"Impact","value":""},{"id":150,"name":"Time of Event (Mountain Time)","value":"20:05:21"},{"id":151,"name":"Denver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607</v>
      </c>
      <c r="B138" s="7">
        <v>4015</v>
      </c>
      <c r="C138" s="22" t="s">
        <v>378</v>
      </c>
      <c r="D138" s="22" t="s">
        <v>679</v>
      </c>
      <c r="E138" s="13">
        <v>42669.848506944443</v>
      </c>
      <c r="F138" s="13">
        <v>42669.851585648146</v>
      </c>
      <c r="G138" s="7">
        <v>0</v>
      </c>
      <c r="H138" s="13" t="s">
        <v>230</v>
      </c>
      <c r="I138" s="13">
        <v>42669.877222222225</v>
      </c>
      <c r="J138" s="7">
        <v>0</v>
      </c>
      <c r="K138" s="112" t="str">
        <f t="shared" si="38"/>
        <v>4015/4016</v>
      </c>
      <c r="L138" s="22" t="str">
        <f>VLOOKUP(A138,'Trips&amp;Operators'!$C$1:$E$10000,3,FALSE)</f>
        <v>YANAI</v>
      </c>
      <c r="M138" s="6">
        <f t="shared" si="39"/>
        <v>2.5636574078816921E-2</v>
      </c>
      <c r="N138" s="7">
        <f t="shared" si="57"/>
        <v>36.916666673496366</v>
      </c>
      <c r="O138" s="7"/>
      <c r="P138" s="7"/>
      <c r="Q138" s="23"/>
      <c r="R138" s="23"/>
      <c r="S138" s="35">
        <f t="shared" si="50"/>
        <v>1</v>
      </c>
      <c r="T138" s="50" t="str">
        <f t="shared" si="40"/>
        <v>Southbound</v>
      </c>
      <c r="U138" s="18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19:21:51-0600',mode:absolute,to:'2016-10-26 22:03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42"/>
        <v>N</v>
      </c>
      <c r="X138" s="186">
        <f t="shared" si="58"/>
        <v>1</v>
      </c>
      <c r="Y138" s="67">
        <f t="shared" si="55"/>
        <v>23.297000000000001</v>
      </c>
      <c r="Z138" s="67">
        <f t="shared" si="56"/>
        <v>1.6E-2</v>
      </c>
      <c r="AA138" s="67">
        <f t="shared" si="43"/>
        <v>23.281000000000002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44"/>
        <v>0224-26</v>
      </c>
      <c r="AE138" s="91" t="str">
        <f t="shared" si="45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138" s="88" t="str">
        <f t="shared" si="46"/>
        <v>"C:\Program Files (x86)\AstroGrep\AstroGrep.exe" /spath="%USERPROFILE%\AppData\Local\Temp\OnboardLogs" /stypes="app*4015*20161027*" /stext=" 03:.+((SYSTEM_STATE.+slice.+state.+changed )|(ment ac)|(system.+state.+changed )|(\[timeout)|(PRM\|1\|D)|(kpr)|(kdp)|(\|lc)|(penalty))" /e /r /s</v>
      </c>
      <c r="AG138" s="1" t="str">
        <f t="shared" si="47"/>
        <v>EC</v>
      </c>
      <c r="AH138" s="92" t="str">
        <f t="shared" si="48"/>
        <v>"%USERPROFILE%\Documents\GitHub\eaglep3\Utilities\RefineRTDCRunTimes.py" --tripid 224-26 --locoid 4015 --swversion DE.1.0.8.0 --startMP 204:232970 --initTime 2016-10-26T20:21:51 --startdatetime 2016-10-26T20:26:17 --delay 0 --endMP 204:160 --enddatetime 2016-10-26T21:03:12 --enforcementcount 0 &gt;&gt;C:\Users\stu\Documents\GitHub\eaglep3-reporting\EC\2016-10-26-refined-times.txt</v>
      </c>
      <c r="AI138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{"issue":{"subject":"","project_id":79,"tracker_id":40,"status_id":1,"priority_id":2,"assigned_to_id":23,"start_date":"2016-10-26","description":"","custom_fields":[{"id":1,"name":"Subdivision","value":"EC"},{"id":4,"name":"Milepost","value":"0.016"},{"id":17,"name":"Train ID","value":"224-26"},{"id":16,"name":"Locomotive ID","value":"4015"},{"id":130,"name":"Impact","value":""},{"id":150,"name":"Time of Event (Mountain Time)","value":"21:03:12"},{"id":151,"name":"Denver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602</v>
      </c>
      <c r="B139" s="7">
        <v>4031</v>
      </c>
      <c r="C139" s="22" t="s">
        <v>378</v>
      </c>
      <c r="D139" s="22" t="s">
        <v>281</v>
      </c>
      <c r="E139" s="13">
        <v>42669.827638888892</v>
      </c>
      <c r="F139" s="13">
        <v>42669.833645833336</v>
      </c>
      <c r="G139" s="7">
        <v>1</v>
      </c>
      <c r="H139" s="13" t="s">
        <v>680</v>
      </c>
      <c r="I139" s="13">
        <v>42669.859189814815</v>
      </c>
      <c r="J139" s="7">
        <v>0</v>
      </c>
      <c r="K139" s="112" t="str">
        <f t="shared" si="38"/>
        <v>4031/4032</v>
      </c>
      <c r="L139" s="22" t="str">
        <f>VLOOKUP(A139,'Trips&amp;Operators'!$C$1:$E$10000,3,FALSE)</f>
        <v>LEVIN</v>
      </c>
      <c r="M139" s="6">
        <f t="shared" si="39"/>
        <v>2.5543981479131617E-2</v>
      </c>
      <c r="N139" s="7">
        <f t="shared" si="57"/>
        <v>36.783333329949528</v>
      </c>
      <c r="O139" s="7"/>
      <c r="P139" s="7"/>
      <c r="Q139" s="23"/>
      <c r="R139" s="23"/>
      <c r="S139" s="35">
        <f t="shared" si="50"/>
        <v>1</v>
      </c>
      <c r="T139" s="50" t="str">
        <f t="shared" si="40"/>
        <v>NorthBound</v>
      </c>
      <c r="U139" s="18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18:51:48-0600',mode:absolute,to:'2016-10-26 21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42"/>
        <v>N</v>
      </c>
      <c r="X139" s="186">
        <f t="shared" si="58"/>
        <v>1</v>
      </c>
      <c r="Y139" s="67">
        <f t="shared" si="55"/>
        <v>4.6699999999999998E-2</v>
      </c>
      <c r="Z139" s="67">
        <f t="shared" si="56"/>
        <v>23.326599999999999</v>
      </c>
      <c r="AA139" s="67">
        <f t="shared" si="43"/>
        <v>23.279899999999998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44"/>
        <v>0225-26</v>
      </c>
      <c r="AE139" s="91" t="str">
        <f t="shared" si="45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39" s="88" t="str">
        <f t="shared" si="46"/>
        <v>"C:\Program Files (x86)\AstroGrep\AstroGrep.exe" /spath="%USERPROFILE%\AppData\Local\Temp\OnboardLogs" /stypes="app*4031*20161027*" /stext=" 02:.+((SYSTEM_STATE.+slice.+state.+changed )|(ment ac)|(system.+state.+changed )|(\[timeout)|(PRM\|1\|D)|(kpr)|(kdp)|(\|lc)|(penalty))" /e /r /s</v>
      </c>
      <c r="AG139" s="1" t="str">
        <f t="shared" si="47"/>
        <v>EC</v>
      </c>
      <c r="AH139" s="92" t="str">
        <f t="shared" si="48"/>
        <v>"%USERPROFILE%\Documents\GitHub\eaglep3\Utilities\RefineRTDCRunTimes.py" --tripid 225-26 --locoid 4031 --swversion DE.1.0.8.0 --startMP 204:467 --initTime 2016-10-26T19:51:48 --startdatetime 2016-10-26T20:00:27 --delay 1 --endMP 204:233266 --enddatetime 2016-10-26T20:37:14 --enforcementcount 0 &gt;&gt;C:\Users\stu\Documents\GitHub\eaglep3-reporting\EC\2016-10-26-refined-times.txt</v>
      </c>
      <c r="AI139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{"issue":{"subject":"","project_id":79,"tracker_id":40,"status_id":1,"priority_id":2,"assigned_to_id":23,"start_date":"2016-10-26","description":"","custom_fields":[{"id":1,"name":"Subdivision","value":"EC"},{"id":4,"name":"Milepost","value":"23.3266"},{"id":17,"name":"Train ID","value":"225-26"},{"id":16,"name":"Locomotive ID","value":"4031"},{"id":130,"name":"Impact","value":""},{"id":150,"name":"Time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608</v>
      </c>
      <c r="B140" s="7">
        <v>4032</v>
      </c>
      <c r="C140" s="22" t="s">
        <v>378</v>
      </c>
      <c r="D140" s="22" t="s">
        <v>287</v>
      </c>
      <c r="E140" s="13">
        <v>42669.863356481481</v>
      </c>
      <c r="F140" s="13">
        <v>42669.872430555559</v>
      </c>
      <c r="G140" s="7">
        <v>0</v>
      </c>
      <c r="H140" s="13" t="s">
        <v>221</v>
      </c>
      <c r="I140" s="13">
        <v>42669.898969907408</v>
      </c>
      <c r="J140" s="7">
        <v>0</v>
      </c>
      <c r="K140" s="112" t="str">
        <f t="shared" si="38"/>
        <v>4031/4032</v>
      </c>
      <c r="L140" s="22" t="str">
        <f>VLOOKUP(A140,'Trips&amp;Operators'!$C$1:$E$10000,3,FALSE)</f>
        <v>LEVIN</v>
      </c>
      <c r="M140" s="6">
        <f t="shared" si="39"/>
        <v>2.6539351849351078E-2</v>
      </c>
      <c r="N140" s="7">
        <f t="shared" si="57"/>
        <v>38.216666663065553</v>
      </c>
      <c r="O140" s="7"/>
      <c r="P140" s="7"/>
      <c r="Q140" s="23"/>
      <c r="R140" s="23"/>
      <c r="S140" s="35">
        <f t="shared" si="50"/>
        <v>1</v>
      </c>
      <c r="T140" s="50" t="str">
        <f t="shared" si="40"/>
        <v>Southbound</v>
      </c>
      <c r="U140" s="18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https://search-rtdc-monitor-bjffxe2xuh6vdkpspy63sjmuny.us-east-1.es.amazonaws.com/_plugin/kibana/#/discover/Steve-Slow-Train-Analysis-(2080s-and-2083s)?_g=(refreshInterval:(display:Off,section:0,value:0),time:(from:'2016-10-26 19:43:14-0600',mode:absolute,to:'2016-10-26 22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42"/>
        <v>N</v>
      </c>
      <c r="X140" s="186">
        <f t="shared" si="58"/>
        <v>1</v>
      </c>
      <c r="Y140" s="67">
        <f t="shared" si="55"/>
        <v>23.298500000000001</v>
      </c>
      <c r="Z140" s="67">
        <f t="shared" si="56"/>
        <v>1.4999999999999999E-2</v>
      </c>
      <c r="AA140" s="67">
        <f t="shared" si="43"/>
        <v>23.2835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44"/>
        <v>0226-26</v>
      </c>
      <c r="AE140" s="91" t="str">
        <f t="shared" si="45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140" s="88" t="str">
        <f t="shared" si="46"/>
        <v>"C:\Program Files (x86)\AstroGrep\AstroGrep.exe" /spath="%USERPROFILE%\AppData\Local\Temp\OnboardLogs" /stypes="app*4032*20161027*" /stext=" 03:.+((SYSTEM_STATE.+slice.+state.+changed )|(ment ac)|(system.+state.+changed )|(\[timeout)|(PRM\|1\|D)|(kpr)|(kdp)|(\|lc)|(penalty))" /e /r /s</v>
      </c>
      <c r="AG140" s="1" t="str">
        <f t="shared" si="47"/>
        <v>EC</v>
      </c>
      <c r="AH140" s="92" t="str">
        <f t="shared" si="48"/>
        <v>"%USERPROFILE%\Documents\GitHub\eaglep3\Utilities\RefineRTDCRunTimes.py" --tripid 226-26 --locoid 4032 --swversion DE.1.0.8.0 --startMP 204:232985 --initTime 2016-10-26T20:43:14 --startdatetime 2016-10-26T20:56:18 --delay 0 --endMP 204:150 --enddatetime 2016-10-26T21:34:31 --enforcementcount 0 &gt;&gt;C:\Users\stu\Documents\GitHub\eaglep3-reporting\EC\2016-10-26-refined-times.txt</v>
      </c>
      <c r="AI140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{"issue":{"subject":"","project_id":79,"tracker_id":40,"status_id":1,"priority_id":2,"assigned_to_id":23,"start_date":"2016-10-26","description":"","custom_fields":[{"id":1,"name":"Subdivision","value":"EC"},{"id":4,"name":"Milepost","value":"0.015"},{"id":17,"name":"Train ID","value":"226-26"},{"id":16,"name":"Locomotive ID","value":"4032"},{"id":130,"name":"Impact","value":""},{"id":150,"name":"Time of Event (Mountain Time)","value":"21:34:31"},{"id":151,"name":"Denver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605</v>
      </c>
      <c r="B141" s="7">
        <v>4046</v>
      </c>
      <c r="C141" s="22" t="s">
        <v>378</v>
      </c>
      <c r="D141" s="22" t="s">
        <v>222</v>
      </c>
      <c r="E141" s="13">
        <v>42669.845370370371</v>
      </c>
      <c r="F141" s="13">
        <v>42669.854756944442</v>
      </c>
      <c r="G141" s="7">
        <v>1</v>
      </c>
      <c r="H141" s="13" t="s">
        <v>219</v>
      </c>
      <c r="I141" s="13">
        <v>42669.879178240742</v>
      </c>
      <c r="J141" s="7">
        <v>0</v>
      </c>
      <c r="K141" s="112" t="str">
        <f t="shared" ref="K141:K204" si="59">IF(ISEVEN(B141),(B141-1)&amp;"/"&amp;B141,B141&amp;"/"&amp;(B141+1))</f>
        <v>4045/4046</v>
      </c>
      <c r="L141" s="22" t="str">
        <f>VLOOKUP(A141,'Trips&amp;Operators'!$C$1:$E$10000,3,FALSE)</f>
        <v>PUGH</v>
      </c>
      <c r="M141" s="6">
        <f t="shared" ref="M141:M204" si="60">I141-F141</f>
        <v>2.4421296300715767E-2</v>
      </c>
      <c r="N141" s="7">
        <f t="shared" si="57"/>
        <v>35.166666673030704</v>
      </c>
      <c r="O141" s="7"/>
      <c r="P141" s="7"/>
      <c r="Q141" s="23"/>
      <c r="R141" s="23"/>
      <c r="S141" s="35">
        <f t="shared" si="50"/>
        <v>1</v>
      </c>
      <c r="T141" s="50" t="str">
        <f t="shared" ref="T141:T204" si="61">IF(ISEVEN(LEFT(AD141,4)),"Southbound","NorthBound")</f>
        <v>NorthBound</v>
      </c>
      <c r="U141" s="18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62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https://search-rtdc-monitor-bjffxe2xuh6vdkpspy63sjmuny.us-east-1.es.amazonaws.com/_plugin/kibana/#/discover/Steve-Slow-Train-Analysis-(2080s-and-2083s)?_g=(refreshInterval:(display:Off,section:0,value:0),time:(from:'2016-10-26 19:17:20-0600',mode:absolute,to:'2016-10-26 22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1" s="52" t="str">
        <f t="shared" ref="W141:W204" si="63">IF(AA141&lt;IF(AG141="EC",23,5.65),"Y","N")</f>
        <v>N</v>
      </c>
      <c r="X141" s="186">
        <f t="shared" si="58"/>
        <v>1</v>
      </c>
      <c r="Y141" s="67">
        <f t="shared" si="55"/>
        <v>4.4699999999999997E-2</v>
      </c>
      <c r="Z141" s="67">
        <f t="shared" si="56"/>
        <v>23.3293</v>
      </c>
      <c r="AA141" s="67">
        <f t="shared" ref="AA141:AA204" si="64">ABS(Z141-Y141)</f>
        <v>23.284600000000001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ref="AD141:AD204" si="65">IF(LEN(A141)=6,"0"&amp;A141,A141)</f>
        <v>0227-26</v>
      </c>
      <c r="AE141" s="91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141" s="88" t="str">
        <f t="shared" ref="AF141:AF204" si="6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/stypes="app*4046*20161027*" /stext=" 03:.+((SYSTEM_STATE.+slice.+state.+changed )|(ment ac)|(system.+state.+changed )|(\[timeout)|(PRM\|1\|D)|(kpr)|(kdp)|(\|lc)|(penalty))" /e /r /s</v>
      </c>
      <c r="AG141" s="1" t="str">
        <f t="shared" ref="AG141:AG204" si="68">IFERROR(IF(VALUE(LEFT(AD141,2))&lt;=2,"EC",IF(OR(VALUE(LEFT(AD141,2))=8,VALUE(LEFT(AD141,2))=18),"NW","Other")),"Other")</f>
        <v>EC</v>
      </c>
      <c r="AH141" s="92" t="str">
        <f t="shared" si="48"/>
        <v>"%USERPROFILE%\Documents\GitHub\eaglep3\Utilities\RefineRTDCRunTimes.py" --tripid 227-26 --locoid 4046 --swversion DE.1.0.8.0 --startMP 204:447 --initTime 2016-10-26T20:17:20 --startdatetime 2016-10-26T20:30:51 --delay 1 --endMP 204:233293 --enddatetime 2016-10-26T21:06:01 --enforcementcount 0 &gt;&gt;C:\Users\stu\Documents\GitHub\eaglep3-reporting\EC\2016-10-26-refined-times.txt</v>
      </c>
      <c r="AI141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{"issue":{"subject":"","project_id":79,"tracker_id":40,"status_id":1,"priority_id":2,"assigned_to_id":23,"start_date":"2016-10-26","description":"","custom_fields":[{"id":1,"name":"Subdivision","value":"EC"},{"id":4,"name":"Milepost","value":"23.3293"},{"id":17,"name":"Train ID","value":"227-26"},{"id":16,"name":"Locomotive ID","value":"4046"},{"id":130,"name":"Impact","value":""},{"id":150,"name":"Time of Event (Mountain Time)","value":"21:06:01"},{"id":151,"name":"Denver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438</v>
      </c>
      <c r="B142" s="7">
        <v>4045</v>
      </c>
      <c r="C142" s="22" t="s">
        <v>378</v>
      </c>
      <c r="D142" s="22" t="s">
        <v>287</v>
      </c>
      <c r="E142" s="13">
        <v>42669.883125</v>
      </c>
      <c r="F142" s="13">
        <v>42669.894212962965</v>
      </c>
      <c r="G142" s="7">
        <v>1</v>
      </c>
      <c r="H142" s="13" t="s">
        <v>263</v>
      </c>
      <c r="I142" s="13">
        <v>42669.91883101852</v>
      </c>
      <c r="J142" s="7">
        <v>0</v>
      </c>
      <c r="K142" s="112" t="str">
        <f t="shared" si="59"/>
        <v>4045/4046</v>
      </c>
      <c r="L142" s="22" t="str">
        <f>VLOOKUP(A142,'Trips&amp;Operators'!$C$1:$E$10000,3,FALSE)</f>
        <v>PUGH</v>
      </c>
      <c r="M142" s="6">
        <f t="shared" si="60"/>
        <v>2.4618055555038154E-2</v>
      </c>
      <c r="N142" s="7">
        <f t="shared" si="57"/>
        <v>35.449999999254942</v>
      </c>
      <c r="O142" s="7"/>
      <c r="P142" s="7"/>
      <c r="Q142" s="23"/>
      <c r="R142" s="23"/>
      <c r="S142" s="35">
        <f t="shared" si="50"/>
        <v>1</v>
      </c>
      <c r="T142" s="50" t="str">
        <f t="shared" si="61"/>
        <v>Southbound</v>
      </c>
      <c r="U142" s="18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20:11:42-0600',mode:absolute,to:'2016-10-26 23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2" s="52" t="str">
        <f t="shared" si="63"/>
        <v>N</v>
      </c>
      <c r="X142" s="186">
        <f t="shared" si="58"/>
        <v>1</v>
      </c>
      <c r="Y142" s="67">
        <f t="shared" si="55"/>
        <v>23.298500000000001</v>
      </c>
      <c r="Z142" s="67">
        <f t="shared" si="56"/>
        <v>1.38E-2</v>
      </c>
      <c r="AA142" s="67">
        <f t="shared" si="64"/>
        <v>23.284700000000001</v>
      </c>
      <c r="AB142" s="64" t="str">
        <f>VLOOKUP(A142,Enforcements!$C$7:$K$21,8,0)</f>
        <v>Form based authority (4)</v>
      </c>
      <c r="AC142" s="60" t="str">
        <f>VLOOKUP(A142,Enforcements!$C$7:$E$21,3,0)</f>
        <v>TRACK WARRANT AUTHORITY</v>
      </c>
      <c r="AD142" s="61" t="str">
        <f t="shared" si="65"/>
        <v>0228-26</v>
      </c>
      <c r="AE142" s="91" t="str">
        <f t="shared" si="66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42" s="88" t="str">
        <f t="shared" si="67"/>
        <v>"C:\Program Files (x86)\AstroGrep\AstroGrep.exe" /spath="%USERPROFILE%\AppData\Local\Temp\OnboardLogs" /stypes="app*4045*20161027*" /stext=" 04:.+((SYSTEM_STATE.+slice.+state.+changed )|(ment ac)|(system.+state.+changed )|(\[timeout)|(PRM\|1\|D)|(kpr)|(kdp)|(\|lc)|(penalty))" /e /r /s</v>
      </c>
      <c r="AG142" s="1" t="str">
        <f t="shared" si="68"/>
        <v>EC</v>
      </c>
      <c r="AH142" s="92" t="str">
        <f t="shared" si="48"/>
        <v>"%USERPROFILE%\Documents\GitHub\eaglep3\Utilities\RefineRTDCRunTimes.py" --tripid 228-26 --locoid 4045 --swversion DE.1.0.8.0 --startMP 204:232985 --initTime 2016-10-26T21:11:42 --startdatetime 2016-10-26T21:27:40 --delay 1 --endMP 204:138 --enddatetime 2016-10-26T22:03:07 --enforcementcount 0 &gt;&gt;C:\Users\stu\Documents\GitHub\eaglep3-reporting\EC\2016-10-26-refined-times.txt</v>
      </c>
      <c r="AI142" s="122" t="str">
        <f t="shared" si="49"/>
        <v>echo {"issue":{"subject":"","project_id":79,"tracker_id":40,"status_id":1,"priority_id":2,"assigned_to_id":23,"start_date":"2016-10-26","description":"","custom_fields":[{"id":1,"name":"Subdivision","value":"EC"},{"id":4,"name":"Milepost","value":"0.0138"},{"id":17,"name":"Train ID","value":"228-26"},{"id":16,"name":"Locomotive ID","value":"4045"},{"id":130,"name":"Impact","value":""},{"id":150,"name":"Time of Event (Mountain Time)","value":"22:03:07"},{"id":151,"name":"Denver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609</v>
      </c>
      <c r="B143" s="7">
        <v>4029</v>
      </c>
      <c r="C143" s="22" t="s">
        <v>378</v>
      </c>
      <c r="D143" s="22" t="s">
        <v>225</v>
      </c>
      <c r="E143" s="13">
        <v>42669.868101851855</v>
      </c>
      <c r="F143" s="13">
        <v>42669.875393518516</v>
      </c>
      <c r="G143" s="7">
        <v>1</v>
      </c>
      <c r="H143" s="13" t="s">
        <v>325</v>
      </c>
      <c r="I143" s="13">
        <v>42669.900775462964</v>
      </c>
      <c r="J143" s="7">
        <v>0</v>
      </c>
      <c r="K143" s="112" t="str">
        <f t="shared" si="59"/>
        <v>4029/4030</v>
      </c>
      <c r="L143" s="22" t="str">
        <f>VLOOKUP(A143,'Trips&amp;Operators'!$C$1:$E$10000,3,FALSE)</f>
        <v>ARVIDSON</v>
      </c>
      <c r="M143" s="6">
        <f t="shared" si="60"/>
        <v>2.5381944447872229E-2</v>
      </c>
      <c r="N143" s="7">
        <f t="shared" si="57"/>
        <v>36.55000000493601</v>
      </c>
      <c r="O143" s="7"/>
      <c r="P143" s="7"/>
      <c r="Q143" s="23"/>
      <c r="R143" s="23"/>
      <c r="S143" s="35">
        <f t="shared" si="50"/>
        <v>1</v>
      </c>
      <c r="T143" s="50" t="str">
        <f t="shared" si="61"/>
        <v>NorthBound</v>
      </c>
      <c r="U143" s="18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19:50:04-0600',mode:absolute,to:'2016-10-26 22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3" s="52" t="str">
        <f t="shared" si="63"/>
        <v>N</v>
      </c>
      <c r="X143" s="186">
        <f t="shared" si="58"/>
        <v>1</v>
      </c>
      <c r="Y143" s="67">
        <f t="shared" si="55"/>
        <v>4.5499999999999999E-2</v>
      </c>
      <c r="Z143" s="67">
        <f t="shared" si="56"/>
        <v>23.331700000000001</v>
      </c>
      <c r="AA143" s="67">
        <f t="shared" si="64"/>
        <v>23.286200000000001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65"/>
        <v>0229-26</v>
      </c>
      <c r="AE143" s="91" t="str">
        <f t="shared" si="66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43" s="88" t="str">
        <f t="shared" si="67"/>
        <v>"C:\Program Files (x86)\AstroGrep\AstroGrep.exe" /spath="%USERPROFILE%\AppData\Local\Temp\OnboardLogs" /stypes="app*4029*20161027*" /stext=" 03:.+((SYSTEM_STATE.+slice.+state.+changed )|(ment ac)|(system.+state.+changed )|(\[timeout)|(PRM\|1\|D)|(kpr)|(kdp)|(\|lc)|(penalty))" /e /r /s</v>
      </c>
      <c r="AG143" s="1" t="str">
        <f t="shared" si="68"/>
        <v>EC</v>
      </c>
      <c r="AH143" s="92" t="str">
        <f t="shared" ref="AH143:AH206" si="6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229-26 --locoid 4029 --swversion DE.1.0.8.0 --startMP 204:455 --initTime 2016-10-26T20:50:04 --startdatetime 2016-10-26T21:00:34 --delay 1 --endMP 204:233317 --enddatetime 2016-10-26T21:37:07 --enforcementcount 0 &gt;&gt;C:\Users\stu\Documents\GitHub\eaglep3-reporting\EC\2016-10-26-refined-times.txt</v>
      </c>
      <c r="AI143" s="122" t="str">
        <f t="shared" ref="AI143:AI206" si="7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{"issue":{"subject":"","project_id":79,"tracker_id":40,"status_id":1,"priority_id":2,"assigned_to_id":23,"start_date":"2016-10-26","description":"","custom_fields":[{"id":1,"name":"Subdivision","value":"EC"},{"id":4,"name":"Milepost","value":"23.3317"},{"id":17,"name":"Train ID","value":"229-26"},{"id":16,"name":"Locomotive ID","value":"4029"},{"id":130,"name":"Impact","value":""},{"id":150,"name":"Time of Event (Mountain Time)","value":"21:37:07"},{"id":151,"name":"Denver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613</v>
      </c>
      <c r="B144" s="7">
        <v>4030</v>
      </c>
      <c r="C144" s="22" t="s">
        <v>378</v>
      </c>
      <c r="D144" s="22" t="s">
        <v>287</v>
      </c>
      <c r="E144" s="13">
        <v>42669.911076388889</v>
      </c>
      <c r="F144" s="13">
        <v>42669.914212962962</v>
      </c>
      <c r="G144" s="7">
        <v>1</v>
      </c>
      <c r="H144" s="13" t="s">
        <v>321</v>
      </c>
      <c r="I144" s="13">
        <v>42669.943356481483</v>
      </c>
      <c r="J144" s="7">
        <v>0</v>
      </c>
      <c r="K144" s="112" t="str">
        <f t="shared" si="59"/>
        <v>4029/4030</v>
      </c>
      <c r="L144" s="22" t="str">
        <f>VLOOKUP(A144,'Trips&amp;Operators'!$C$1:$E$10000,3,FALSE)</f>
        <v>ARVIDSON</v>
      </c>
      <c r="M144" s="6">
        <f t="shared" si="60"/>
        <v>2.9143518520868383E-2</v>
      </c>
      <c r="N144" s="7">
        <f t="shared" si="57"/>
        <v>41.966666670050472</v>
      </c>
      <c r="O144" s="7"/>
      <c r="P144" s="7"/>
      <c r="Q144" s="23"/>
      <c r="R144" s="23"/>
      <c r="S144" s="35">
        <f t="shared" si="50"/>
        <v>1</v>
      </c>
      <c r="T144" s="50" t="str">
        <f t="shared" si="61"/>
        <v>Southbound</v>
      </c>
      <c r="U144" s="18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20:51:57-0600',mode:absolute,to:'2016-10-26 23:38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si="63"/>
        <v>N</v>
      </c>
      <c r="X144" s="186">
        <f t="shared" si="58"/>
        <v>1</v>
      </c>
      <c r="Y144" s="67">
        <f t="shared" si="55"/>
        <v>23.298500000000001</v>
      </c>
      <c r="Z144" s="67">
        <f t="shared" si="56"/>
        <v>1.61E-2</v>
      </c>
      <c r="AA144" s="67">
        <f t="shared" si="64"/>
        <v>23.282399999999999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si="65"/>
        <v>0230-26</v>
      </c>
      <c r="AE144" s="91" t="str">
        <f t="shared" si="66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144" s="88" t="str">
        <f t="shared" si="67"/>
        <v>"C:\Program Files (x86)\AstroGrep\AstroGrep.exe" /spath="%USERPROFILE%\AppData\Local\Temp\OnboardLogs" /stypes="app*4030*20161027*" /stext=" 04:.+((SYSTEM_STATE.+slice.+state.+changed )|(ment ac)|(system.+state.+changed )|(\[timeout)|(PRM\|1\|D)|(kpr)|(kdp)|(\|lc)|(penalty))" /e /r /s</v>
      </c>
      <c r="AG144" s="1" t="str">
        <f t="shared" si="68"/>
        <v>EC</v>
      </c>
      <c r="AH144" s="92" t="str">
        <f t="shared" si="69"/>
        <v>"%USERPROFILE%\Documents\GitHub\eaglep3\Utilities\RefineRTDCRunTimes.py" --tripid 230-26 --locoid 4030 --swversion DE.1.0.8.0 --startMP 204:232985 --initTime 2016-10-26T21:51:57 --startdatetime 2016-10-26T21:56:28 --delay 1 --endMP 204:161 --enddatetime 2016-10-26T22:38:26 --enforcementcount 0 &gt;&gt;C:\Users\stu\Documents\GitHub\eaglep3-reporting\EC\2016-10-26-refined-times.txt</v>
      </c>
      <c r="AI144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{"issue":{"subject":"","project_id":79,"tracker_id":40,"status_id":1,"priority_id":2,"assigned_to_id":23,"start_date":"2016-10-26","description":"","custom_fields":[{"id":1,"name":"Subdivision","value":"EC"},{"id":4,"name":"Milepost","value":"0.0161"},{"id":17,"name":"Train ID","value":"230-26"},{"id":16,"name":"Locomotive ID","value":"4030"},{"id":130,"name":"Impact","value":""},{"id":150,"name":"Time of Event (Mountain Time)","value":"22:38:26"},{"id":151,"name":"Denver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611</v>
      </c>
      <c r="B145" s="7">
        <v>4016</v>
      </c>
      <c r="C145" s="22" t="s">
        <v>378</v>
      </c>
      <c r="D145" s="22" t="s">
        <v>233</v>
      </c>
      <c r="E145" s="13">
        <v>42669.878923611112</v>
      </c>
      <c r="F145" s="13">
        <v>42669.896157407406</v>
      </c>
      <c r="G145" s="7">
        <v>1</v>
      </c>
      <c r="H145" s="13" t="s">
        <v>182</v>
      </c>
      <c r="I145" s="13">
        <v>42669.920405092591</v>
      </c>
      <c r="J145" s="7">
        <v>0</v>
      </c>
      <c r="K145" s="112" t="str">
        <f t="shared" si="59"/>
        <v>4015/4016</v>
      </c>
      <c r="L145" s="22" t="str">
        <f>VLOOKUP(A145,'Trips&amp;Operators'!$C$1:$E$10000,3,FALSE)</f>
        <v>YANAI</v>
      </c>
      <c r="M145" s="6">
        <f t="shared" si="60"/>
        <v>2.4247685185400769E-2</v>
      </c>
      <c r="N145" s="7">
        <f t="shared" si="57"/>
        <v>34.916666666977108</v>
      </c>
      <c r="O145" s="7"/>
      <c r="P145" s="7"/>
      <c r="Q145" s="23"/>
      <c r="R145" s="23"/>
      <c r="S145" s="35">
        <f t="shared" si="50"/>
        <v>1</v>
      </c>
      <c r="T145" s="50" t="str">
        <f t="shared" si="61"/>
        <v>NorthBound</v>
      </c>
      <c r="U145" s="18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20:05:39-0600',mode:absolute,to:'2016-10-26 23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63"/>
        <v>N</v>
      </c>
      <c r="X145" s="186">
        <f t="shared" si="58"/>
        <v>1</v>
      </c>
      <c r="Y145" s="67">
        <f t="shared" si="55"/>
        <v>4.5100000000000001E-2</v>
      </c>
      <c r="Z145" s="67">
        <f t="shared" si="56"/>
        <v>23.331199999999999</v>
      </c>
      <c r="AA145" s="67">
        <f t="shared" si="64"/>
        <v>23.286099999999998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65"/>
        <v>0231-26</v>
      </c>
      <c r="AE145" s="91" t="str">
        <f t="shared" si="66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45" s="88" t="str">
        <f t="shared" si="67"/>
        <v>"C:\Program Files (x86)\AstroGrep\AstroGrep.exe" /spath="%USERPROFILE%\AppData\Local\Temp\OnboardLogs" /stypes="app*4016*20161027*" /stext=" 04:.+((SYSTEM_STATE.+slice.+state.+changed )|(ment ac)|(system.+state.+changed )|(\[timeout)|(PRM\|1\|D)|(kpr)|(kdp)|(\|lc)|(penalty))" /e /r /s</v>
      </c>
      <c r="AG145" s="1" t="str">
        <f t="shared" si="68"/>
        <v>EC</v>
      </c>
      <c r="AH145" s="92" t="str">
        <f t="shared" si="69"/>
        <v>"%USERPROFILE%\Documents\GitHub\eaglep3\Utilities\RefineRTDCRunTimes.py" --tripid 231-26 --locoid 4016 --swversion DE.1.0.8.0 --startMP 204:451 --initTime 2016-10-26T21:05:39 --startdatetime 2016-10-26T21:30:28 --delay 1 --endMP 204:233312 --enddatetime 2016-10-26T22:05:23 --enforcementcount 0 &gt;&gt;C:\Users\stu\Documents\GitHub\eaglep3-reporting\EC\2016-10-26-refined-times.txt</v>
      </c>
      <c r="AI145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{"issue":{"subject":"","project_id":79,"tracker_id":40,"status_id":1,"priority_id":2,"assigned_to_id":23,"start_date":"2016-10-26","description":"","custom_fields":[{"id":1,"name":"Subdivision","value":"EC"},{"id":4,"name":"Milepost","value":"23.3312"},{"id":17,"name":"Train ID","value":"231-26"},{"id":16,"name":"Locomotive ID","value":"4016"},{"id":130,"name":"Impact","value":""},{"id":150,"name":"Time of Event (Mountain Time)","value":"22:05:23"},{"id":151,"name":"Denver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615</v>
      </c>
      <c r="B146" s="7">
        <v>4015</v>
      </c>
      <c r="C146" s="22" t="s">
        <v>378</v>
      </c>
      <c r="D146" s="22" t="s">
        <v>250</v>
      </c>
      <c r="E146" s="13">
        <v>42669.921516203707</v>
      </c>
      <c r="F146" s="13">
        <v>42669.934988425928</v>
      </c>
      <c r="G146" s="7">
        <v>0</v>
      </c>
      <c r="H146" s="13" t="s">
        <v>365</v>
      </c>
      <c r="I146" s="13">
        <v>42669.960486111115</v>
      </c>
      <c r="J146" s="7">
        <v>0</v>
      </c>
      <c r="K146" s="112" t="str">
        <f t="shared" si="59"/>
        <v>4015/4016</v>
      </c>
      <c r="L146" s="22" t="str">
        <f>VLOOKUP(A146,'Trips&amp;Operators'!$C$1:$E$10000,3,FALSE)</f>
        <v>YANAI</v>
      </c>
      <c r="M146" s="6">
        <f t="shared" si="60"/>
        <v>2.5497685186564922E-2</v>
      </c>
      <c r="N146" s="7">
        <f t="shared" si="57"/>
        <v>36.716666668653488</v>
      </c>
      <c r="O146" s="7"/>
      <c r="P146" s="7"/>
      <c r="Q146" s="23"/>
      <c r="R146" s="23"/>
      <c r="S146" s="35">
        <f t="shared" si="50"/>
        <v>1</v>
      </c>
      <c r="T146" s="50" t="str">
        <f t="shared" si="61"/>
        <v>Southbound</v>
      </c>
      <c r="U146" s="18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21:06:59-0600',mode:absolute,to:'2016-10-27 00:03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63"/>
        <v>N</v>
      </c>
      <c r="X146" s="186">
        <f t="shared" si="58"/>
        <v>1</v>
      </c>
      <c r="Y146" s="67">
        <f t="shared" si="55"/>
        <v>23.299099999999999</v>
      </c>
      <c r="Z146" s="67">
        <f t="shared" si="56"/>
        <v>1.6500000000000001E-2</v>
      </c>
      <c r="AA146" s="67">
        <f t="shared" si="64"/>
        <v>23.282599999999999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65"/>
        <v>0232-26</v>
      </c>
      <c r="AE146" s="91" t="str">
        <f t="shared" si="66"/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AF146" s="88" t="str">
        <f t="shared" si="67"/>
        <v>"C:\Program Files (x86)\AstroGrep\AstroGrep.exe" /spath="%USERPROFILE%\AppData\Local\Temp\OnboardLogs" /stypes="app*4015*20161027*" /stext=" 05:.+((SYSTEM_STATE.+slice.+state.+changed )|(ment ac)|(system.+state.+changed )|(\[timeout)|(PRM\|1\|D)|(kpr)|(kdp)|(\|lc)|(penalty))" /e /r /s</v>
      </c>
      <c r="AG146" s="1" t="str">
        <f t="shared" si="68"/>
        <v>EC</v>
      </c>
      <c r="AH146" s="92" t="str">
        <f t="shared" si="69"/>
        <v>"%USERPROFILE%\Documents\GitHub\eaglep3\Utilities\RefineRTDCRunTimes.py" --tripid 232-26 --locoid 4015 --swversion DE.1.0.8.0 --startMP 204:232991 --initTime 2016-10-26T22:06:59 --startdatetime 2016-10-26T22:26:23 --delay 0 --endMP 204:165 --enddatetime 2016-10-26T23:03:06 --enforcementcount 0 &gt;&gt;C:\Users\stu\Documents\GitHub\eaglep3-reporting\EC\2016-10-26-refined-times.txt</v>
      </c>
      <c r="AI146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{"issue":{"subject":"","project_id":79,"tracker_id":40,"status_id":1,"priority_id":2,"assigned_to_id":23,"start_date":"2016-10-26","description":"","custom_fields":[{"id":1,"name":"Subdivision","value":"EC"},{"id":4,"name":"Milepost","value":"0.0165"},{"id":17,"name":"Train ID","value":"232-26"},{"id":16,"name":"Locomotive ID","value":"4015"},{"id":130,"name":"Impact","value":""},{"id":150,"name":"Time of Event (Mountain Time)","value":"23:03:06"},{"id":151,"name":"Denver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614</v>
      </c>
      <c r="B147" s="7">
        <v>4031</v>
      </c>
      <c r="C147" s="22" t="s">
        <v>378</v>
      </c>
      <c r="D147" s="22" t="s">
        <v>226</v>
      </c>
      <c r="E147" s="13">
        <v>42669.915081018517</v>
      </c>
      <c r="F147" s="13">
        <v>42669.916921296295</v>
      </c>
      <c r="G147" s="7">
        <v>1</v>
      </c>
      <c r="H147" s="13" t="s">
        <v>278</v>
      </c>
      <c r="I147" s="13">
        <v>42669.94121527778</v>
      </c>
      <c r="J147" s="7">
        <v>0</v>
      </c>
      <c r="K147" s="112" t="str">
        <f t="shared" si="59"/>
        <v>4031/4032</v>
      </c>
      <c r="L147" s="22" t="str">
        <f>VLOOKUP(A147,'Trips&amp;Operators'!$C$1:$E$10000,3,FALSE)</f>
        <v>LEVIN</v>
      </c>
      <c r="M147" s="6">
        <f t="shared" si="60"/>
        <v>2.4293981485243421E-2</v>
      </c>
      <c r="N147" s="7">
        <f t="shared" si="57"/>
        <v>34.983333338750526</v>
      </c>
      <c r="O147" s="7"/>
      <c r="P147" s="7"/>
      <c r="Q147" s="23"/>
      <c r="R147" s="23"/>
      <c r="S147" s="35">
        <f t="shared" si="50"/>
        <v>1</v>
      </c>
      <c r="T147" s="50" t="str">
        <f t="shared" si="61"/>
        <v>NorthBound</v>
      </c>
      <c r="U147" s="18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20:57:43-0600',mode:absolute,to:'2016-10-26 23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63"/>
        <v>N</v>
      </c>
      <c r="X147" s="186">
        <f t="shared" si="58"/>
        <v>1</v>
      </c>
      <c r="Y147" s="67">
        <f t="shared" si="55"/>
        <v>4.6600000000000003E-2</v>
      </c>
      <c r="Z147" s="67">
        <f t="shared" si="56"/>
        <v>23.331</v>
      </c>
      <c r="AA147" s="67">
        <f t="shared" si="64"/>
        <v>23.284399999999998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65"/>
        <v>0233-26</v>
      </c>
      <c r="AE147" s="91" t="str">
        <f t="shared" si="66"/>
        <v>aws s3 cp s3://rtdc.mdm.uploadarchive.raw/RTDC4031/ "%USERPROFILE%\AppData\Local\Temp\OnboardLogs"\RTDC4031\2016-10-26 --exclude "*" --recursive --include "*20161026*" &amp; "%USERPROFILE%\Documents\GitHub\mrs-test-scripts\Headless Mode &amp; Sideloading\WalkAndUnGZ.bat" "%USERPROFILE%\AppData\Local\Temp\OnboardLogs"\RTDC4031\2016-10-26 &amp; 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</v>
      </c>
      <c r="AF147" s="88" t="str">
        <f t="shared" si="67"/>
        <v>"C:\Program Files (x86)\AstroGrep\AstroGrep.exe" /spath="%USERPROFILE%\AppData\Local\Temp\OnboardLogs" /stypes="app*4031*20161027*" /stext=" 04:.+((SYSTEM_STATE.+slice.+state.+changed )|(ment ac)|(system.+state.+changed )|(\[timeout)|(PRM\|1\|D)|(kpr)|(kdp)|(\|lc)|(penalty))" /e /r /s</v>
      </c>
      <c r="AG147" s="1" t="str">
        <f t="shared" si="68"/>
        <v>EC</v>
      </c>
      <c r="AH147" s="92" t="str">
        <f t="shared" si="69"/>
        <v>"%USERPROFILE%\Documents\GitHub\eaglep3\Utilities\RefineRTDCRunTimes.py" --tripid 233-26 --locoid 4031 --swversion DE.1.0.8.0 --startMP 204:466 --initTime 2016-10-26T21:57:43 --startdatetime 2016-10-26T22:00:22 --delay 1 --endMP 204:233310 --enddatetime 2016-10-26T22:35:21 --enforcementcount 0 &gt;&gt;C:\Users\stu\Documents\GitHub\eaglep3-reporting\EC\2016-10-26-refined-times.txt</v>
      </c>
      <c r="AI147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{"issue":{"subject":"","project_id":79,"tracker_id":40,"status_id":1,"priority_id":2,"assigned_to_id":23,"start_date":"2016-10-26","description":"","custom_fields":[{"id":1,"name":"Subdivision","value":"EC"},{"id":4,"name":"Milepost","value":"23.331"},{"id":17,"name":"Train ID","value":"233-26"},{"id":16,"name":"Locomotive ID","value":"4031"},{"id":130,"name":"Impact","value":""},{"id":150,"name":"Time of Event (Mountain Time)","value":"22:35:21"},{"id":151,"name":"Denver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619</v>
      </c>
      <c r="B148" s="7">
        <v>4032</v>
      </c>
      <c r="C148" s="22" t="s">
        <v>378</v>
      </c>
      <c r="D148" s="22" t="s">
        <v>249</v>
      </c>
      <c r="E148" s="13">
        <v>42669.951909722222</v>
      </c>
      <c r="F148" s="13">
        <v>42669.95585648148</v>
      </c>
      <c r="G148" s="7">
        <v>1</v>
      </c>
      <c r="H148" s="13" t="s">
        <v>181</v>
      </c>
      <c r="I148" s="13">
        <v>42669.983726851853</v>
      </c>
      <c r="J148" s="7">
        <v>0</v>
      </c>
      <c r="K148" s="112" t="str">
        <f t="shared" si="59"/>
        <v>4031/4032</v>
      </c>
      <c r="L148" s="22" t="str">
        <f>VLOOKUP(A148,'Trips&amp;Operators'!$C$1:$E$10000,3,FALSE)</f>
        <v>LEVIN</v>
      </c>
      <c r="M148" s="6">
        <f t="shared" si="60"/>
        <v>2.7870370373420883E-2</v>
      </c>
      <c r="N148" s="7">
        <f t="shared" si="57"/>
        <v>40.133333337726071</v>
      </c>
      <c r="O148" s="7"/>
      <c r="P148" s="7"/>
      <c r="Q148" s="23"/>
      <c r="R148" s="23"/>
      <c r="S148" s="35">
        <f t="shared" si="50"/>
        <v>1</v>
      </c>
      <c r="T148" s="50" t="str">
        <f t="shared" si="61"/>
        <v>Southbound</v>
      </c>
      <c r="U148" s="18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21:50:45-0600',mode:absolute,to:'2016-10-27 00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63"/>
        <v>N</v>
      </c>
      <c r="X148" s="186">
        <f t="shared" si="58"/>
        <v>1</v>
      </c>
      <c r="Y148" s="67">
        <f t="shared" si="55"/>
        <v>23.299399999999999</v>
      </c>
      <c r="Z148" s="67">
        <f t="shared" si="56"/>
        <v>1.41E-2</v>
      </c>
      <c r="AA148" s="67">
        <f t="shared" si="64"/>
        <v>23.285299999999999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65"/>
        <v>0234-26</v>
      </c>
      <c r="AE148" s="91" t="str">
        <f t="shared" si="66"/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AF148" s="88" t="str">
        <f t="shared" si="67"/>
        <v>"C:\Program Files (x86)\AstroGrep\AstroGrep.exe" /spath="%USERPROFILE%\AppData\Local\Temp\OnboardLogs" /stypes="app*4032*20161027*" /stext=" 05:.+((SYSTEM_STATE.+slice.+state.+changed )|(ment ac)|(system.+state.+changed )|(\[timeout)|(PRM\|1\|D)|(kpr)|(kdp)|(\|lc)|(penalty))" /e /r /s</v>
      </c>
      <c r="AG148" s="1" t="str">
        <f t="shared" si="68"/>
        <v>EC</v>
      </c>
      <c r="AH148" s="92" t="str">
        <f t="shared" si="69"/>
        <v>"%USERPROFILE%\Documents\GitHub\eaglep3\Utilities\RefineRTDCRunTimes.py" --tripid 234-26 --locoid 4032 --swversion DE.1.0.8.0 --startMP 204:232994 --initTime 2016-10-26T22:50:45 --startdatetime 2016-10-26T22:56:26 --delay 1 --endMP 204:141 --enddatetime 2016-10-26T23:36:34 --enforcementcount 0 &gt;&gt;C:\Users\stu\Documents\GitHub\eaglep3-reporting\EC\2016-10-26-refined-times.txt</v>
      </c>
      <c r="AI148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{"issue":{"subject":"","project_id":79,"tracker_id":40,"status_id":1,"priority_id":2,"assigned_to_id":23,"start_date":"2016-10-26","description":"","custom_fields":[{"id":1,"name":"Subdivision","value":"EC"},{"id":4,"name":"Milepost","value":"0.0141"},{"id":17,"name":"Train ID","value":"234-26"},{"id":16,"name":"Locomotive ID","value":"4032"},{"id":130,"name":"Impact","value":""},{"id":150,"name":"Time of Event (Mountain Time)","value":"23:36:34"},{"id":151,"name":"Denver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617</v>
      </c>
      <c r="B149" s="7">
        <v>4046</v>
      </c>
      <c r="C149" s="22" t="s">
        <v>378</v>
      </c>
      <c r="D149" s="22" t="s">
        <v>233</v>
      </c>
      <c r="E149" s="13">
        <v>42669.926481481481</v>
      </c>
      <c r="F149" s="13">
        <v>42669.937789351854</v>
      </c>
      <c r="G149" s="7">
        <v>2</v>
      </c>
      <c r="H149" s="13" t="s">
        <v>681</v>
      </c>
      <c r="I149" s="13">
        <v>42669.964594907404</v>
      </c>
      <c r="J149" s="7">
        <v>0</v>
      </c>
      <c r="K149" s="112" t="str">
        <f t="shared" si="59"/>
        <v>4045/4046</v>
      </c>
      <c r="L149" s="22" t="str">
        <f>VLOOKUP(A149,'Trips&amp;Operators'!$C$1:$E$10000,3,FALSE)</f>
        <v>BERLING</v>
      </c>
      <c r="M149" s="6">
        <f t="shared" si="60"/>
        <v>2.6805555549799465E-2</v>
      </c>
      <c r="N149" s="7">
        <f t="shared" si="57"/>
        <v>38.599999991711229</v>
      </c>
      <c r="O149" s="7"/>
      <c r="P149" s="7"/>
      <c r="Q149" s="23"/>
      <c r="R149" s="23"/>
      <c r="S149" s="35">
        <f t="shared" si="50"/>
        <v>1</v>
      </c>
      <c r="T149" s="50" t="str">
        <f t="shared" si="61"/>
        <v>NorthBound</v>
      </c>
      <c r="U149" s="18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21:14:08-0600',mode:absolute,to:'2016-10-27 00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9" s="52" t="str">
        <f t="shared" si="63"/>
        <v>N</v>
      </c>
      <c r="X149" s="186">
        <f t="shared" si="58"/>
        <v>1</v>
      </c>
      <c r="Y149" s="67">
        <f t="shared" si="55"/>
        <v>4.5100000000000001E-2</v>
      </c>
      <c r="Z149" s="67">
        <f t="shared" si="56"/>
        <v>23.327000000000002</v>
      </c>
      <c r="AA149" s="67">
        <f t="shared" si="64"/>
        <v>23.2819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65"/>
        <v>0235-26</v>
      </c>
      <c r="AE149" s="91" t="str">
        <f t="shared" si="66"/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AF149" s="88" t="str">
        <f t="shared" si="67"/>
        <v>"C:\Program Files (x86)\AstroGrep\AstroGrep.exe" /spath="%USERPROFILE%\AppData\Local\Temp\OnboardLogs" /stypes="app*4046*20161027*" /stext=" 05:.+((SYSTEM_STATE.+slice.+state.+changed )|(ment ac)|(system.+state.+changed )|(\[timeout)|(PRM\|1\|D)|(kpr)|(kdp)|(\|lc)|(penalty))" /e /r /s</v>
      </c>
      <c r="AG149" s="1" t="str">
        <f t="shared" si="68"/>
        <v>EC</v>
      </c>
      <c r="AH149" s="92" t="str">
        <f t="shared" si="69"/>
        <v>"%USERPROFILE%\Documents\GitHub\eaglep3\Utilities\RefineRTDCRunTimes.py" --tripid 235-26 --locoid 4046 --swversion DE.1.0.8.0 --startMP 204:451 --initTime 2016-10-26T22:14:08 --startdatetime 2016-10-26T22:30:25 --delay 2 --endMP 204:233270 --enddatetime 2016-10-26T23:09:01 --enforcementcount 0 &gt;&gt;C:\Users\stu\Documents\GitHub\eaglep3-reporting\EC\2016-10-26-refined-times.txt</v>
      </c>
      <c r="AI149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{"issue":{"subject":"","project_id":79,"tracker_id":40,"status_id":1,"priority_id":2,"assigned_to_id":23,"start_date":"2016-10-26","description":"","custom_fields":[{"id":1,"name":"Subdivision","value":"EC"},{"id":4,"name":"Milepost","value":"23.327"},{"id":17,"name":"Train ID","value":"235-26"},{"id":16,"name":"Locomotive ID","value":"4046"},{"id":130,"name":"Impact","value":""},{"id":150,"name":"Time of Event (Mountain Time)","value":"23:09:01"},{"id":151,"name":"Denver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439</v>
      </c>
      <c r="B150" s="7">
        <v>4045</v>
      </c>
      <c r="C150" s="22" t="s">
        <v>378</v>
      </c>
      <c r="D150" s="22" t="s">
        <v>297</v>
      </c>
      <c r="E150" s="13">
        <v>42669.972939814812</v>
      </c>
      <c r="F150" s="13">
        <v>42669.97729166667</v>
      </c>
      <c r="G150" s="7">
        <v>2</v>
      </c>
      <c r="H150" s="13" t="s">
        <v>298</v>
      </c>
      <c r="I150" s="13">
        <v>42670.008032407408</v>
      </c>
      <c r="J150" s="7">
        <v>0</v>
      </c>
      <c r="K150" s="112" t="str">
        <f t="shared" si="59"/>
        <v>4045/4046</v>
      </c>
      <c r="L150" s="22" t="str">
        <f>VLOOKUP(A150,'Trips&amp;Operators'!$C$1:$E$10000,3,FALSE)</f>
        <v>BERLING</v>
      </c>
      <c r="M150" s="6">
        <f t="shared" si="60"/>
        <v>3.0740740738110617E-2</v>
      </c>
      <c r="N150" s="7">
        <f t="shared" si="57"/>
        <v>44.266666662879288</v>
      </c>
      <c r="O150" s="7"/>
      <c r="P150" s="7"/>
      <c r="Q150" s="23"/>
      <c r="R150" s="23"/>
      <c r="S150" s="35">
        <f t="shared" si="50"/>
        <v>1</v>
      </c>
      <c r="T150" s="50" t="str">
        <f t="shared" si="61"/>
        <v>Southbound</v>
      </c>
      <c r="U150" s="18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22:21:02-0600',mode:absolute,to:'2016-10-27 01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0" s="52" t="str">
        <f t="shared" si="63"/>
        <v>N</v>
      </c>
      <c r="X150" s="186">
        <f t="shared" si="58"/>
        <v>1</v>
      </c>
      <c r="Y150" s="67">
        <f t="shared" si="55"/>
        <v>23.2987</v>
      </c>
      <c r="Z150" s="67">
        <f t="shared" si="56"/>
        <v>1.67E-2</v>
      </c>
      <c r="AA150" s="67">
        <f t="shared" si="64"/>
        <v>23.282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65"/>
        <v>0236-26</v>
      </c>
      <c r="AE150" s="91" t="str">
        <f t="shared" si="66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150" s="88" t="str">
        <f t="shared" si="67"/>
        <v>"C:\Program Files (x86)\AstroGrep\AstroGrep.exe" /spath="%USERPROFILE%\AppData\Local\Temp\OnboardLogs" /stypes="app*4045*20161027*" /stext=" 06:.+((SYSTEM_STATE.+slice.+state.+changed )|(ment ac)|(system.+state.+changed )|(\[timeout)|(PRM\|1\|D)|(kpr)|(kdp)|(\|lc)|(penalty))" /e /r /s</v>
      </c>
      <c r="AG150" s="1" t="str">
        <f t="shared" si="68"/>
        <v>EC</v>
      </c>
      <c r="AH150" s="92" t="str">
        <f t="shared" si="69"/>
        <v>"%USERPROFILE%\Documents\GitHub\eaglep3\Utilities\RefineRTDCRunTimes.py" --tripid 236-26 --locoid 4045 --swversion DE.1.0.8.0 --startMP 204:232987 --initTime 2016-10-26T23:21:02 --startdatetime 2016-10-26T23:27:18 --delay 2 --endMP 204:167 --enddatetime 2016-10-27T00:11:34 --enforcementcount 0 &gt;&gt;C:\Users\stu\Documents\GitHub\eaglep3-reporting\EC\2016-10-26-refined-times.txt</v>
      </c>
      <c r="AI150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{"issue":{"subject":"","project_id":79,"tracker_id":40,"status_id":1,"priority_id":2,"assigned_to_id":23,"start_date":"2016-10-27","description":"","custom_fields":[{"id":1,"name":"Subdivision","value":"EC"},{"id":4,"name":"Milepost","value":"0.0167"},{"id":17,"name":"Train ID","value":"236-26"},{"id":16,"name":"Locomotive ID","value":"4045"},{"id":130,"name":"Impact","value":""},{"id":150,"name":"Time of Event (Mountain Time)","value":"00:11:34"},{"id":151,"name":"Denver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620</v>
      </c>
      <c r="B151" s="7">
        <v>4029</v>
      </c>
      <c r="C151" s="22" t="s">
        <v>378</v>
      </c>
      <c r="D151" s="22" t="s">
        <v>231</v>
      </c>
      <c r="E151" s="13">
        <v>42669.954861111109</v>
      </c>
      <c r="F151" s="13">
        <v>42669.95884259259</v>
      </c>
      <c r="G151" s="7">
        <v>1</v>
      </c>
      <c r="H151" s="13" t="s">
        <v>279</v>
      </c>
      <c r="I151" s="13">
        <v>42669.988657407404</v>
      </c>
      <c r="J151" s="7">
        <v>0</v>
      </c>
      <c r="K151" s="112" t="str">
        <f t="shared" si="59"/>
        <v>4029/4030</v>
      </c>
      <c r="L151" s="22" t="str">
        <f>VLOOKUP(A151,'Trips&amp;Operators'!$C$1:$E$10000,3,FALSE)</f>
        <v>ARVIDSON</v>
      </c>
      <c r="M151" s="6">
        <f t="shared" si="60"/>
        <v>2.9814814814017154E-2</v>
      </c>
      <c r="N151" s="7">
        <f t="shared" si="57"/>
        <v>42.933333332184702</v>
      </c>
      <c r="O151" s="7"/>
      <c r="P151" s="7"/>
      <c r="Q151" s="23"/>
      <c r="R151" s="23"/>
      <c r="S151" s="35">
        <f t="shared" si="50"/>
        <v>1</v>
      </c>
      <c r="T151" s="50" t="str">
        <f t="shared" si="61"/>
        <v>NorthBound</v>
      </c>
      <c r="U151" s="18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21:55:00-0600',mode:absolute,to:'2016-10-27 00:43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1" s="52" t="str">
        <f t="shared" si="63"/>
        <v>N</v>
      </c>
      <c r="X151" s="186">
        <f t="shared" si="58"/>
        <v>1</v>
      </c>
      <c r="Y151" s="67">
        <f t="shared" si="55"/>
        <v>4.5999999999999999E-2</v>
      </c>
      <c r="Z151" s="67">
        <f t="shared" si="56"/>
        <v>23.330200000000001</v>
      </c>
      <c r="AA151" s="67">
        <f t="shared" si="64"/>
        <v>23.284200000000002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65"/>
        <v>0237-26</v>
      </c>
      <c r="AE151" s="91" t="str">
        <f t="shared" si="66"/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AF151" s="88" t="str">
        <f t="shared" si="67"/>
        <v>"C:\Program Files (x86)\AstroGrep\AstroGrep.exe" /spath="%USERPROFILE%\AppData\Local\Temp\OnboardLogs" /stypes="app*4029*20161027*" /stext=" 05:.+((SYSTEM_STATE.+slice.+state.+changed )|(ment ac)|(system.+state.+changed )|(\[timeout)|(PRM\|1\|D)|(kpr)|(kdp)|(\|lc)|(penalty))" /e /r /s</v>
      </c>
      <c r="AG151" s="1" t="str">
        <f t="shared" si="68"/>
        <v>EC</v>
      </c>
      <c r="AH151" s="92" t="str">
        <f t="shared" si="69"/>
        <v>"%USERPROFILE%\Documents\GitHub\eaglep3\Utilities\RefineRTDCRunTimes.py" --tripid 237-26 --locoid 4029 --swversion DE.1.0.8.0 --startMP 204:460 --initTime 2016-10-26T22:55:00 --startdatetime 2016-10-26T23:00:44 --delay 1 --endMP 204:233302 --enddatetime 2016-10-26T23:43:40 --enforcementcount 0 &gt;&gt;C:\Users\stu\Documents\GitHub\eaglep3-reporting\EC\2016-10-26-refined-times.txt</v>
      </c>
      <c r="AI151" s="122" t="str">
        <f t="shared" si="70"/>
        <v>echo {"issue":{"subject":"","project_id":79,"tracker_id":40,"status_id":1,"priority_id":2,"assigned_to_id":23,"start_date":"2016-10-26","description":"","custom_fields":[{"id":1,"name":"Subdivision","value":"EC"},{"id":4,"name":"Milepost","value":"23.3302"},{"id":17,"name":"Train ID","value":"237-26"},{"id":16,"name":"Locomotive ID","value":"4029"},{"id":130,"name":"Impact","value":""},{"id":150,"name":"Time of Event (Mountain Time)","value":"23:43:40"},{"id":151,"name":"Denver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623</v>
      </c>
      <c r="B152" s="7">
        <v>4030</v>
      </c>
      <c r="C152" s="22" t="s">
        <v>378</v>
      </c>
      <c r="D152" s="22" t="s">
        <v>297</v>
      </c>
      <c r="E152" s="13">
        <v>42669.994108796294</v>
      </c>
      <c r="F152" s="13">
        <v>42669.997523148151</v>
      </c>
      <c r="G152" s="7">
        <v>1</v>
      </c>
      <c r="H152" s="13" t="s">
        <v>230</v>
      </c>
      <c r="I152" s="13">
        <v>42670.026458333334</v>
      </c>
      <c r="J152" s="7">
        <v>0</v>
      </c>
      <c r="K152" s="112" t="str">
        <f t="shared" si="59"/>
        <v>4029/4030</v>
      </c>
      <c r="L152" s="22" t="str">
        <f>VLOOKUP(A152,'Trips&amp;Operators'!$C$1:$E$10000,3,FALSE)</f>
        <v>ARVIDSON</v>
      </c>
      <c r="M152" s="6">
        <f t="shared" si="60"/>
        <v>2.8935185182490386E-2</v>
      </c>
      <c r="N152" s="7">
        <f t="shared" si="57"/>
        <v>41.666666662786156</v>
      </c>
      <c r="O152" s="7"/>
      <c r="P152" s="7"/>
      <c r="Q152" s="23"/>
      <c r="R152" s="23"/>
      <c r="S152" s="35">
        <f t="shared" si="50"/>
        <v>1</v>
      </c>
      <c r="T152" s="50" t="str">
        <f t="shared" si="61"/>
        <v>Southbound</v>
      </c>
      <c r="U152" s="18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22:51:31-0600',mode:absolute,to:'2016-10-27 01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63"/>
        <v>N</v>
      </c>
      <c r="X152" s="186">
        <f t="shared" si="58"/>
        <v>1</v>
      </c>
      <c r="Y152" s="67">
        <f t="shared" si="55"/>
        <v>23.2987</v>
      </c>
      <c r="Z152" s="67">
        <f t="shared" si="56"/>
        <v>1.6E-2</v>
      </c>
      <c r="AA152" s="67">
        <f t="shared" si="64"/>
        <v>23.282700000000002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65"/>
        <v>0238-26</v>
      </c>
      <c r="AE152" s="91" t="str">
        <f t="shared" si="66"/>
        <v>aws s3 cp s3://rtdc.mdm.uploadarchive.raw/RTDC4030/ "%USERPROFILE%\AppData\Local\Temp\OnboardLogs"\RTDC4030\2016-10-26 --exclude "*" --recursive --include "*20161026*" &amp; "%USERPROFILE%\Documents\GitHub\mrs-test-scripts\Headless Mode &amp; Sideloading\WalkAndUnGZ.bat" "%USERPROFILE%\AppData\Local\Temp\OnboardLogs"\RTDC4030\2016-10-26 &amp; aws s3 cp s3://rtdc.mdm.uploadarchive.raw/RTDC4030/ "%USERPROFILE%\AppData\Local\Temp\OnboardLogs"\RTDC4030\2016-10-27 --exclude "*" --recursive --include "*20161027*" &amp; "%USERPROFILE%\Documents\GitHub\mrs-test-scripts\Headless Mode &amp; Sideloading\WalkAndUnGZ.bat" "%USERPROFILE%\AppData\Local\Temp\OnboardLogs"\RTDC4030\2016-10-27</v>
      </c>
      <c r="AF152" s="88" t="str">
        <f t="shared" si="67"/>
        <v>"C:\Program Files (x86)\AstroGrep\AstroGrep.exe" /spath="%USERPROFILE%\AppData\Local\Temp\OnboardLogs" /stypes="app*4030*20161027*" /stext=" 06:.+((SYSTEM_STATE.+slice.+state.+changed )|(ment ac)|(system.+state.+changed )|(\[timeout)|(PRM\|1\|D)|(kpr)|(kdp)|(\|lc)|(penalty))" /e /r /s</v>
      </c>
      <c r="AG152" s="1" t="str">
        <f t="shared" si="68"/>
        <v>EC</v>
      </c>
      <c r="AH152" s="92" t="str">
        <f t="shared" si="69"/>
        <v>"%USERPROFILE%\Documents\GitHub\eaglep3\Utilities\RefineRTDCRunTimes.py" --tripid 238-26 --locoid 4030 --swversion DE.1.0.8.0 --startMP 204:232987 --initTime 2016-10-26T23:51:31 --startdatetime 2016-10-26T23:56:26 --delay 1 --endMP 204:160 --enddatetime 2016-10-27T00:38:06 --enforcementcount 0 &gt;&gt;C:\Users\stu\Documents\GitHub\eaglep3-reporting\EC\2016-10-26-refined-times.txt</v>
      </c>
      <c r="AI152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{"issue":{"subject":"","project_id":79,"tracker_id":40,"status_id":1,"priority_id":2,"assigned_to_id":23,"start_date":"2016-10-27","description":"","custom_fields":[{"id":1,"name":"Subdivision","value":"EC"},{"id":4,"name":"Milepost","value":"0.016"},{"id":17,"name":"Train ID","value":"238-26"},{"id":16,"name":"Locomotive ID","value":"4030"},{"id":130,"name":"Impact","value":""},{"id":150,"name":"Time of Event (Mountain Time)","value":"00:38:06"},{"id":151,"name":"Denver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7" t="s">
        <v>621</v>
      </c>
      <c r="B153" s="7">
        <v>4016</v>
      </c>
      <c r="C153" s="22" t="s">
        <v>378</v>
      </c>
      <c r="D153" s="22" t="s">
        <v>682</v>
      </c>
      <c r="E153" s="13">
        <v>42669.961875000001</v>
      </c>
      <c r="F153" s="13">
        <v>42669.97934027778</v>
      </c>
      <c r="G153" s="7">
        <v>1</v>
      </c>
      <c r="H153" s="13" t="s">
        <v>285</v>
      </c>
      <c r="I153" s="13">
        <v>42670.004999999997</v>
      </c>
      <c r="J153" s="7">
        <v>0</v>
      </c>
      <c r="K153" s="112" t="str">
        <f t="shared" si="59"/>
        <v>4015/4016</v>
      </c>
      <c r="L153" s="22" t="str">
        <f>VLOOKUP(A153,'Trips&amp;Operators'!$C$1:$E$10000,3,FALSE)</f>
        <v>YANAI</v>
      </c>
      <c r="M153" s="6">
        <f t="shared" si="60"/>
        <v>2.565972221782431E-2</v>
      </c>
      <c r="N153" s="7">
        <f t="shared" si="57"/>
        <v>36.949999993667006</v>
      </c>
      <c r="O153" s="7"/>
      <c r="P153" s="7"/>
      <c r="Q153" s="23"/>
      <c r="R153" s="23"/>
      <c r="S153" s="35">
        <f t="shared" si="50"/>
        <v>1</v>
      </c>
      <c r="T153" s="50" t="str">
        <f t="shared" si="61"/>
        <v>NorthBound</v>
      </c>
      <c r="U153" s="18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22:05:06-0600',mode:absolute,to:'2016-10-27 01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63"/>
        <v>N</v>
      </c>
      <c r="X153" s="186">
        <f t="shared" si="58"/>
        <v>1</v>
      </c>
      <c r="Y153" s="67">
        <f t="shared" si="55"/>
        <v>4.7699999999999999E-2</v>
      </c>
      <c r="Z153" s="67">
        <f t="shared" si="56"/>
        <v>23.3291</v>
      </c>
      <c r="AA153" s="67">
        <f t="shared" si="64"/>
        <v>23.281400000000001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65"/>
        <v>0239-26</v>
      </c>
      <c r="AE153" s="91" t="str">
        <f t="shared" si="66"/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AF153" s="88" t="str">
        <f t="shared" si="67"/>
        <v>"C:\Program Files (x86)\AstroGrep\AstroGrep.exe" /spath="%USERPROFILE%\AppData\Local\Temp\OnboardLogs" /stypes="app*4016*20161027*" /stext=" 06:.+((SYSTEM_STATE.+slice.+state.+changed )|(ment ac)|(system.+state.+changed )|(\[timeout)|(PRM\|1\|D)|(kpr)|(kdp)|(\|lc)|(penalty))" /e /r /s</v>
      </c>
      <c r="AG153" s="1" t="str">
        <f t="shared" si="68"/>
        <v>EC</v>
      </c>
      <c r="AH153" s="92" t="str">
        <f t="shared" si="69"/>
        <v>"%USERPROFILE%\Documents\GitHub\eaglep3\Utilities\RefineRTDCRunTimes.py" --tripid 239-26 --locoid 4016 --swversion DE.1.0.8.0 --startMP 204:477 --initTime 2016-10-26T23:05:06 --startdatetime 2016-10-26T23:30:15 --delay 1 --endMP 204:233291 --enddatetime 2016-10-27T00:07:12 --enforcementcount 0 &gt;&gt;C:\Users\stu\Documents\GitHub\eaglep3-reporting\EC\2016-10-26-refined-times.txt</v>
      </c>
      <c r="AI153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{"issue":{"subject":"","project_id":79,"tracker_id":40,"status_id":1,"priority_id":2,"assigned_to_id":23,"start_date":"2016-10-27","description":"","custom_fields":[{"id":1,"name":"Subdivision","value":"EC"},{"id":4,"name":"Milepost","value":"23.3291"},{"id":17,"name":"Train ID","value":"239-26"},{"id":16,"name":"Locomotive ID","value":"4016"},{"id":130,"name":"Impact","value":""},{"id":150,"name":"Time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91" x14ac:dyDescent="0.25">
      <c r="A154" s="37" t="s">
        <v>626</v>
      </c>
      <c r="B154" s="7">
        <v>4015</v>
      </c>
      <c r="C154" s="22" t="s">
        <v>378</v>
      </c>
      <c r="D154" s="22" t="s">
        <v>248</v>
      </c>
      <c r="E154" s="13">
        <v>42670.014872685184</v>
      </c>
      <c r="F154" s="13">
        <v>42670.018263888887</v>
      </c>
      <c r="G154" s="7">
        <v>1</v>
      </c>
      <c r="H154" s="13" t="s">
        <v>216</v>
      </c>
      <c r="I154" s="13">
        <v>42670.044398148151</v>
      </c>
      <c r="J154" s="7">
        <v>0</v>
      </c>
      <c r="K154" s="112" t="str">
        <f t="shared" si="59"/>
        <v>4015/4016</v>
      </c>
      <c r="L154" s="22" t="str">
        <f>VLOOKUP(A154,'Trips&amp;Operators'!$C$1:$E$10000,3,FALSE)</f>
        <v>YANAI</v>
      </c>
      <c r="M154" s="6">
        <f t="shared" si="60"/>
        <v>2.6134259263926651E-2</v>
      </c>
      <c r="N154" s="7">
        <f t="shared" si="57"/>
        <v>37.633333340054378</v>
      </c>
      <c r="O154" s="7"/>
      <c r="P154" s="7"/>
      <c r="Q154" s="23"/>
      <c r="R154" s="23"/>
      <c r="S154" s="35">
        <f t="shared" si="50"/>
        <v>1</v>
      </c>
      <c r="T154" s="50" t="str">
        <f t="shared" si="61"/>
        <v>Southbound</v>
      </c>
      <c r="U154" s="18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23:21:25-0600',mode:absolute,to:'2016-10-27 02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63"/>
        <v>N</v>
      </c>
      <c r="X154" s="186">
        <f t="shared" si="58"/>
        <v>1</v>
      </c>
      <c r="Y154" s="67">
        <f t="shared" si="55"/>
        <v>23.297699999999999</v>
      </c>
      <c r="Z154" s="67">
        <f t="shared" si="56"/>
        <v>1.54E-2</v>
      </c>
      <c r="AA154" s="67">
        <f t="shared" si="64"/>
        <v>23.282299999999999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65"/>
        <v>0240-26</v>
      </c>
      <c r="AE154" s="91" t="str">
        <f t="shared" si="66"/>
        <v>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 &amp; aws s3 cp s3://rtdc.mdm.uploadarchive.raw/RTDC4015/ "%USERPROFILE%\AppData\Local\Temp\OnboardLogs"\RTDC4015\2016-10-28 --exclude "*" --recursive --include "*20161028*" &amp; "%USERPROFILE%\Documents\GitHub\mrs-test-scripts\Headless Mode &amp; Sideloading\WalkAndUnGZ.bat" "%USERPROFILE%\AppData\Local\Temp\OnboardLogs"\RTDC4015\2016-10-28</v>
      </c>
      <c r="AF154" s="88" t="str">
        <f t="shared" si="67"/>
        <v>"C:\Program Files (x86)\AstroGrep\AstroGrep.exe" /spath="%USERPROFILE%\AppData\Local\Temp\OnboardLogs" /stypes="app*4015*20161027*" /stext=" 07:.+((SYSTEM_STATE.+slice.+state.+changed )|(ment ac)|(system.+state.+changed )|(\[timeout)|(PRM\|1\|D)|(kpr)|(kdp)|(\|lc)|(penalty))" /e /r /s</v>
      </c>
      <c r="AG154" s="1" t="str">
        <f t="shared" si="68"/>
        <v>EC</v>
      </c>
      <c r="AH154" s="92" t="str">
        <f t="shared" si="69"/>
        <v>"%USERPROFILE%\Documents\GitHub\eaglep3\Utilities\RefineRTDCRunTimes.py" --tripid 240-26 --locoid 4015 --swversion DE.1.0.8.0 --startMP 204:232977 --initTime 2016-10-27T00:21:25 --startdatetime 2016-10-27T00:26:18 --delay 1 --endMP 204:154 --enddatetime 2016-10-27T01:03:56 --enforcementcount 0 &gt;&gt;C:\Users\stu\Documents\GitHub\eaglep3-reporting\EC\2016-10-26-refined-times.txt</v>
      </c>
      <c r="AI154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{"issue":{"subject":"","project_id":79,"tracker_id":40,"status_id":1,"priority_id":2,"assigned_to_id":23,"start_date":"2016-10-27","description":"","custom_fields":[{"id":1,"name":"Subdivision","value":"EC"},{"id":4,"name":"Milepost","value":"0.0154"},{"id":17,"name":"Train ID","value":"240-26"},{"id":16,"name":"Locomotive ID","value":"4015"},{"id":130,"name":"Impact","value":""},{"id":150,"name":"Time of Event (Mountain Time)","value":"01:03:56"},{"id":151,"name":"Denver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x14ac:dyDescent="0.25">
      <c r="A155" s="37" t="s">
        <v>622</v>
      </c>
      <c r="B155" s="7">
        <v>4031</v>
      </c>
      <c r="C155" s="22" t="s">
        <v>378</v>
      </c>
      <c r="D155" s="22" t="s">
        <v>233</v>
      </c>
      <c r="E155" s="13">
        <v>42669.990914351853</v>
      </c>
      <c r="F155" s="13">
        <v>42670.0002662037</v>
      </c>
      <c r="G155" s="7">
        <v>1</v>
      </c>
      <c r="H155" s="13" t="s">
        <v>257</v>
      </c>
      <c r="I155" s="13">
        <v>42670.026354166665</v>
      </c>
      <c r="J155" s="7">
        <v>0</v>
      </c>
      <c r="K155" s="112" t="str">
        <f t="shared" si="59"/>
        <v>4031/4032</v>
      </c>
      <c r="L155" s="22" t="str">
        <f>VLOOKUP(A155,'Trips&amp;Operators'!$C$1:$E$10000,3,FALSE)</f>
        <v>LEVIN</v>
      </c>
      <c r="M155" s="6">
        <f t="shared" si="60"/>
        <v>2.6087962964083999E-2</v>
      </c>
      <c r="N155" s="7">
        <f t="shared" si="57"/>
        <v>37.566666668280959</v>
      </c>
      <c r="O155" s="7"/>
      <c r="P155" s="7"/>
      <c r="Q155" s="23"/>
      <c r="R155" s="23"/>
      <c r="S155" s="35">
        <f t="shared" si="50"/>
        <v>1</v>
      </c>
      <c r="T155" s="50" t="str">
        <f t="shared" si="61"/>
        <v>NorthBound</v>
      </c>
      <c r="U155" s="18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22:46:55-0600',mode:absolute,to:'2016-10-27 01:37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63"/>
        <v>N</v>
      </c>
      <c r="X155" s="186">
        <f t="shared" si="58"/>
        <v>1</v>
      </c>
      <c r="Y155" s="67">
        <f t="shared" si="55"/>
        <v>4.5100000000000001E-2</v>
      </c>
      <c r="Z155" s="67">
        <f t="shared" si="56"/>
        <v>23.330400000000001</v>
      </c>
      <c r="AA155" s="67">
        <f t="shared" si="64"/>
        <v>23.285299999999999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65"/>
        <v>0241-26</v>
      </c>
      <c r="AE155" s="91" t="str">
        <f t="shared" si="66"/>
        <v>aws s3 cp s3://rtdc.mdm.uploadarchive.raw/RTDC4031/ "%USERPROFILE%\AppData\Local\Temp\OnboardLogs"\RTDC4031\2016-10-27 --exclude "*" --recursive --include "*20161027*" &amp; "%USERPROFILE%\Documents\GitHub\mrs-test-scripts\Headless Mode &amp; Sideloading\WalkAndUnGZ.bat" "%USERPROFILE%\AppData\Local\Temp\OnboardLogs"\RTDC4031\2016-10-27 &amp; aws s3 cp s3://rtdc.mdm.uploadarchive.raw/RTDC4031/ "%USERPROFILE%\AppData\Local\Temp\OnboardLogs"\RTDC4031\2016-10-28 --exclude "*" --recursive --include "*20161028*" &amp; "%USERPROFILE%\Documents\GitHub\mrs-test-scripts\Headless Mode &amp; Sideloading\WalkAndUnGZ.bat" "%USERPROFILE%\AppData\Local\Temp\OnboardLogs"\RTDC4031\2016-10-28</v>
      </c>
      <c r="AF155" s="88" t="str">
        <f t="shared" si="67"/>
        <v>"C:\Program Files (x86)\AstroGrep\AstroGrep.exe" /spath="%USERPROFILE%\AppData\Local\Temp\OnboardLogs" /stypes="app*4031*20161027*" /stext=" 06:.+((SYSTEM_STATE.+slice.+state.+changed )|(ment ac)|(system.+state.+changed )|(\[timeout)|(PRM\|1\|D)|(kpr)|(kdp)|(\|lc)|(penalty))" /e /r /s</v>
      </c>
      <c r="AG155" s="1" t="str">
        <f t="shared" si="68"/>
        <v>EC</v>
      </c>
      <c r="AH155" s="92" t="str">
        <f t="shared" si="69"/>
        <v>"%USERPROFILE%\Documents\GitHub\eaglep3\Utilities\RefineRTDCRunTimes.py" --tripid 241-26 --locoid 4031 --swversion DE.1.0.8.0 --startMP 204:451 --initTime 2016-10-26T23:46:55 --startdatetime 2016-10-27T00:00:23 --delay 1 --endMP 204:233304 --enddatetime 2016-10-27T00:37:57 --enforcementcount 0 &gt;&gt;C:\Users\stu\Documents\GitHub\eaglep3-reporting\EC\2016-10-26-refined-times.txt</v>
      </c>
      <c r="AI155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{"issue":{"subject":"","project_id":79,"tracker_id":40,"status_id":1,"priority_id":2,"assigned_to_id":23,"start_date":"2016-10-27","description":"","custom_fields":[{"id":1,"name":"Subdivision","value":"EC"},{"id":4,"name":"Milepost","value":"23.3304"},{"id":17,"name":"Train ID","value":"241-26"},{"id":16,"name":"Locomotive ID","value":"4031"},{"id":130,"name":"Impact","value":""},{"id":150,"name":"Time of Event (Mountain Time)","value":"00:37:57"},{"id":151,"name":"Denver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627</v>
      </c>
      <c r="B156" s="7">
        <v>4032</v>
      </c>
      <c r="C156" s="22" t="s">
        <v>378</v>
      </c>
      <c r="D156" s="22" t="s">
        <v>357</v>
      </c>
      <c r="E156" s="13">
        <v>42670.02789351852</v>
      </c>
      <c r="F156" s="13">
        <v>42670.0391087963</v>
      </c>
      <c r="G156" s="7">
        <v>1</v>
      </c>
      <c r="H156" s="13" t="s">
        <v>216</v>
      </c>
      <c r="I156" s="13">
        <v>42670.067152777781</v>
      </c>
      <c r="J156" s="7">
        <v>0</v>
      </c>
      <c r="K156" s="112" t="str">
        <f t="shared" si="59"/>
        <v>4031/4032</v>
      </c>
      <c r="L156" s="22" t="str">
        <f>VLOOKUP(A156,'Trips&amp;Operators'!$C$1:$E$10000,3,FALSE)</f>
        <v>LEVIN</v>
      </c>
      <c r="M156" s="6">
        <f t="shared" si="60"/>
        <v>2.8043981481459923E-2</v>
      </c>
      <c r="N156" s="7">
        <f t="shared" si="57"/>
        <v>40.383333333302289</v>
      </c>
      <c r="O156" s="7"/>
      <c r="P156" s="7"/>
      <c r="Q156" s="23"/>
      <c r="R156" s="23"/>
      <c r="S156" s="35">
        <f t="shared" si="50"/>
        <v>1</v>
      </c>
      <c r="T156" s="50" t="str">
        <f t="shared" si="61"/>
        <v>Southbound</v>
      </c>
      <c r="U156" s="18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23:40:10-0600',mode:absolute,to:'2016-10-27 02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63"/>
        <v>N</v>
      </c>
      <c r="X156" s="186">
        <f t="shared" si="58"/>
        <v>1</v>
      </c>
      <c r="Y156" s="67">
        <f t="shared" si="55"/>
        <v>23.298100000000002</v>
      </c>
      <c r="Z156" s="67">
        <f t="shared" si="56"/>
        <v>1.54E-2</v>
      </c>
      <c r="AA156" s="67">
        <f t="shared" si="64"/>
        <v>23.282700000000002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65"/>
        <v>0242-26</v>
      </c>
      <c r="AE156" s="91" t="str">
        <f t="shared" si="66"/>
        <v>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 &amp; aws s3 cp s3://rtdc.mdm.uploadarchive.raw/RTDC4032/ "%USERPROFILE%\AppData\Local\Temp\OnboardLogs"\RTDC4032\2016-10-28 --exclude "*" --recursive --include "*20161028*" &amp; "%USERPROFILE%\Documents\GitHub\mrs-test-scripts\Headless Mode &amp; Sideloading\WalkAndUnGZ.bat" "%USERPROFILE%\AppData\Local\Temp\OnboardLogs"\RTDC4032\2016-10-28</v>
      </c>
      <c r="AF156" s="88" t="str">
        <f t="shared" si="67"/>
        <v>"C:\Program Files (x86)\AstroGrep\AstroGrep.exe" /spath="%USERPROFILE%\AppData\Local\Temp\OnboardLogs" /stypes="app*4032*20161027*" /stext=" 07:.+((SYSTEM_STATE.+slice.+state.+changed )|(ment ac)|(system.+state.+changed )|(\[timeout)|(PRM\|1\|D)|(kpr)|(kdp)|(\|lc)|(penalty))" /e /r /s</v>
      </c>
      <c r="AG156" s="1" t="str">
        <f t="shared" si="68"/>
        <v>EC</v>
      </c>
      <c r="AH156" s="92" t="str">
        <f t="shared" si="69"/>
        <v>"%USERPROFILE%\Documents\GitHub\eaglep3\Utilities\RefineRTDCRunTimes.py" --tripid 242-26 --locoid 4032 --swversion DE.1.0.8.0 --startMP 204:232981 --initTime 2016-10-27T00:40:10 --startdatetime 2016-10-27T00:56:19 --delay 1 --endMP 204:154 --enddatetime 2016-10-27T01:36:42 --enforcementcount 0 &gt;&gt;C:\Users\stu\Documents\GitHub\eaglep3-reporting\EC\2016-10-26-refined-times.txt</v>
      </c>
      <c r="AI156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{"issue":{"subject":"","project_id":79,"tracker_id":40,"status_id":1,"priority_id":2,"assigned_to_id":23,"start_date":"2016-10-27","description":"","custom_fields":[{"id":1,"name":"Subdivision","value":"EC"},{"id":4,"name":"Milepost","value":"0.0154"},{"id":17,"name":"Train ID","value":"242-26"},{"id":16,"name":"Locomotive ID","value":"4032"},{"id":130,"name":"Impact","value":""},{"id":150,"name":"Time of Event (Mountain Time)","value":"01:36:42"},{"id":151,"name":"Denver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440</v>
      </c>
      <c r="B157" s="7">
        <v>4046</v>
      </c>
      <c r="C157" s="22" t="s">
        <v>378</v>
      </c>
      <c r="D157" s="22" t="s">
        <v>231</v>
      </c>
      <c r="E157" s="13">
        <v>42670.013240740744</v>
      </c>
      <c r="F157" s="13">
        <v>42670.022337962961</v>
      </c>
      <c r="G157" s="7">
        <v>1</v>
      </c>
      <c r="H157" s="13" t="s">
        <v>305</v>
      </c>
      <c r="I157" s="13">
        <v>42670.048101851855</v>
      </c>
      <c r="J157" s="7">
        <v>0</v>
      </c>
      <c r="K157" s="112" t="str">
        <f t="shared" si="59"/>
        <v>4045/4046</v>
      </c>
      <c r="L157" s="22" t="str">
        <f>VLOOKUP(A157,'Trips&amp;Operators'!$C$1:$E$10000,3,FALSE)</f>
        <v>BERLING</v>
      </c>
      <c r="M157" s="6">
        <f t="shared" si="60"/>
        <v>2.5763888894289266E-2</v>
      </c>
      <c r="N157" s="7">
        <f t="shared" si="57"/>
        <v>37.100000007776543</v>
      </c>
      <c r="O157" s="7"/>
      <c r="P157" s="7"/>
      <c r="Q157" s="23"/>
      <c r="R157" s="23"/>
      <c r="S157" s="35">
        <f t="shared" si="50"/>
        <v>1</v>
      </c>
      <c r="T157" s="50" t="str">
        <f t="shared" si="61"/>
        <v>NorthBound</v>
      </c>
      <c r="U157" s="18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23:19:04-0600',mode:absolute,to:'2016-10-27 02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7" s="52" t="str">
        <f t="shared" si="63"/>
        <v>N</v>
      </c>
      <c r="X157" s="186">
        <f t="shared" si="58"/>
        <v>1</v>
      </c>
      <c r="Y157" s="67">
        <f t="shared" si="55"/>
        <v>4.5999999999999999E-2</v>
      </c>
      <c r="Z157" s="67">
        <f t="shared" si="56"/>
        <v>23.332699999999999</v>
      </c>
      <c r="AA157" s="67">
        <f t="shared" si="64"/>
        <v>23.2867</v>
      </c>
      <c r="AB157" s="64" t="str">
        <f>VLOOKUP(A157,Enforcements!$C$7:$K$21,8,0)</f>
        <v>Speed (6)</v>
      </c>
      <c r="AC157" s="60" t="str">
        <f>VLOOKUP(A157,Enforcements!$C$7:$E$21,3,0)</f>
        <v>PERMANENT SPEED RESTRICTION</v>
      </c>
      <c r="AD157" s="61" t="str">
        <f t="shared" si="65"/>
        <v>0243-26</v>
      </c>
      <c r="AE157" s="91" t="str">
        <f t="shared" si="66"/>
        <v>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 &amp; aws s3 cp s3://rtdc.mdm.uploadarchive.raw/RTDC4046/ "%USERPROFILE%\AppData\Local\Temp\OnboardLogs"\RTDC4046\2016-10-28 --exclude "*" --recursive --include "*20161028*" &amp; "%USERPROFILE%\Documents\GitHub\mrs-test-scripts\Headless Mode &amp; Sideloading\WalkAndUnGZ.bat" "%USERPROFILE%\AppData\Local\Temp\OnboardLogs"\RTDC4046\2016-10-28</v>
      </c>
      <c r="AF157" s="88" t="str">
        <f t="shared" si="67"/>
        <v>"C:\Program Files (x86)\AstroGrep\AstroGrep.exe" /spath="%USERPROFILE%\AppData\Local\Temp\OnboardLogs" /stypes="app*4046*20161027*" /stext=" 07:.+((SYSTEM_STATE.+slice.+state.+changed )|(ment ac)|(system.+state.+changed )|(\[timeout)|(PRM\|1\|D)|(kpr)|(kdp)|(\|lc)|(penalty))" /e /r /s</v>
      </c>
      <c r="AG157" s="1" t="str">
        <f t="shared" si="68"/>
        <v>EC</v>
      </c>
      <c r="AH157" s="92" t="str">
        <f t="shared" si="69"/>
        <v>"%USERPROFILE%\Documents\GitHub\eaglep3\Utilities\RefineRTDCRunTimes.py" --tripid 243-26 --locoid 4046 --swversion DE.1.0.8.0 --startMP 204:460 --initTime 2016-10-27T00:19:04 --startdatetime 2016-10-27T00:32:10 --delay 1 --endMP 204:233327 --enddatetime 2016-10-27T01:09:16 --enforcementcount 0 &gt;&gt;C:\Users\stu\Documents\GitHub\eaglep3-reporting\EC\2016-10-26-refined-times.txt</v>
      </c>
      <c r="AI157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{"issue":{"subject":"","project_id":79,"tracker_id":40,"status_id":1,"priority_id":2,"assigned_to_id":23,"start_date":"2016-10-27","description":"","custom_fields":[{"id":1,"name":"Subdivision","value":"EC"},{"id":4,"name":"Milepost","value":"23.3327"},{"id":17,"name":"Train ID","value":"243-26"},{"id":16,"name":"Locomotive ID","value":"4046"},{"id":130,"name":"Impact","value":""},{"id":150,"name":"Time of Event (Mountain Time)","value":"01:09:16"},{"id":151,"name":"Denver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631</v>
      </c>
      <c r="B158" s="7">
        <v>4045</v>
      </c>
      <c r="C158" s="22" t="s">
        <v>378</v>
      </c>
      <c r="D158" s="22" t="s">
        <v>277</v>
      </c>
      <c r="E158" s="13">
        <v>42670.053101851852</v>
      </c>
      <c r="F158" s="13">
        <v>42670.059895833336</v>
      </c>
      <c r="G158" s="7">
        <v>1</v>
      </c>
      <c r="H158" s="13" t="s">
        <v>221</v>
      </c>
      <c r="I158" s="13">
        <v>42670.086273148147</v>
      </c>
      <c r="J158" s="7">
        <v>0</v>
      </c>
      <c r="K158" s="112" t="str">
        <f t="shared" si="59"/>
        <v>4045/4046</v>
      </c>
      <c r="L158" s="22" t="str">
        <f>VLOOKUP(A158,'Trips&amp;Operators'!$C$1:$E$10000,3,FALSE)</f>
        <v>BERLING</v>
      </c>
      <c r="M158" s="6">
        <f t="shared" si="60"/>
        <v>2.6377314810815733E-2</v>
      </c>
      <c r="N158" s="7">
        <f t="shared" si="57"/>
        <v>37.983333327574655</v>
      </c>
      <c r="O158" s="7"/>
      <c r="P158" s="7"/>
      <c r="Q158" s="23"/>
      <c r="R158" s="23"/>
      <c r="S158" s="35">
        <f t="shared" ref="S158:S221" si="71">SUM(U158:U158)/IF(AG158="EC",12,1)</f>
        <v>1</v>
      </c>
      <c r="T158" s="50" t="str">
        <f t="shared" si="61"/>
        <v>Southbound</v>
      </c>
      <c r="U158" s="18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https://search-rtdc-monitor-bjffxe2xuh6vdkpspy63sjmuny.us-east-1.es.amazonaws.com/_plugin/kibana/#/discover/Steve-Slow-Train-Analysis-(2080s-and-2083s)?_g=(refreshInterval:(display:Off,section:0,value:0),time:(from:'2016-10-27 00:16:28-0600',mode:absolute,to:'2016-10-27 03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8" s="52" t="str">
        <f t="shared" si="63"/>
        <v>N</v>
      </c>
      <c r="X158" s="186">
        <f t="shared" si="58"/>
        <v>1</v>
      </c>
      <c r="Y158" s="67">
        <f t="shared" si="55"/>
        <v>23.299299999999999</v>
      </c>
      <c r="Z158" s="67">
        <f t="shared" si="56"/>
        <v>1.4999999999999999E-2</v>
      </c>
      <c r="AA158" s="67">
        <f t="shared" si="64"/>
        <v>23.284299999999998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65"/>
        <v>0244-26</v>
      </c>
      <c r="AE158" s="91" t="str">
        <f t="shared" si="66"/>
        <v>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 &amp; aws s3 cp s3://rtdc.mdm.uploadarchive.raw/RTDC4045/ "%USERPROFILE%\AppData\Local\Temp\OnboardLogs"\RTDC4045\2016-10-28 --exclude "*" --recursive --include "*20161028*" &amp; "%USERPROFILE%\Documents\GitHub\mrs-test-scripts\Headless Mode &amp; Sideloading\WalkAndUnGZ.bat" "%USERPROFILE%\AppData\Local\Temp\OnboardLogs"\RTDC4045\2016-10-28</v>
      </c>
      <c r="AF158" s="88" t="str">
        <f t="shared" si="67"/>
        <v>"C:\Program Files (x86)\AstroGrep\AstroGrep.exe" /spath="%USERPROFILE%\AppData\Local\Temp\OnboardLogs" /stypes="app*4045*20161027*" /stext=" 08:.+((SYSTEM_STATE.+slice.+state.+changed )|(ment ac)|(system.+state.+changed )|(\[timeout)|(PRM\|1\|D)|(kpr)|(kdp)|(\|lc)|(penalty))" /e /r /s</v>
      </c>
      <c r="AG158" s="1" t="str">
        <f t="shared" si="68"/>
        <v>EC</v>
      </c>
      <c r="AH158" s="92" t="str">
        <f t="shared" si="69"/>
        <v>"%USERPROFILE%\Documents\GitHub\eaglep3\Utilities\RefineRTDCRunTimes.py" --tripid 244-26 --locoid 4045 --swversion DE.1.0.8.0 --startMP 204:232993 --initTime 2016-10-27T01:16:28 --startdatetime 2016-10-27T01:26:15 --delay 1 --endMP 204:150 --enddatetime 2016-10-27T02:04:14 --enforcementcount 0 &gt;&gt;C:\Users\stu\Documents\GitHub\eaglep3-reporting\EC\2016-10-26-refined-times.txt</v>
      </c>
      <c r="AI158" s="122" t="str">
        <f t="shared" si="70"/>
        <v>echo {"issue":{"subject":"","project_id":79,"tracker_id":40,"status_id":1,"priority_id":2,"assigned_to_id":23,"start_date":"2016-10-27","description":"","custom_fields":[{"id":1,"name":"Subdivision","value":"EC"},{"id":4,"name":"Milepost","value":"0.015"},{"id":17,"name":"Train ID","value":"244-26"},{"id":16,"name":"Locomotive ID","value":"4045"},{"id":130,"name":"Impact","value":""},{"id":150,"name":"Time of Event (Mountain Time)","value":"02:04:14"},{"id":151,"name":"Denver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405</v>
      </c>
      <c r="B159" s="7">
        <v>4008</v>
      </c>
      <c r="C159" s="22" t="s">
        <v>378</v>
      </c>
      <c r="D159" s="22" t="s">
        <v>381</v>
      </c>
      <c r="E159" s="13">
        <v>42669.215474537035</v>
      </c>
      <c r="F159" s="13">
        <v>42669.217557870368</v>
      </c>
      <c r="G159" s="7">
        <v>1</v>
      </c>
      <c r="H159" s="13" t="s">
        <v>717</v>
      </c>
      <c r="I159" s="13">
        <v>42669.226504629631</v>
      </c>
      <c r="J159" s="7">
        <v>0</v>
      </c>
      <c r="K159" s="112" t="str">
        <f t="shared" si="59"/>
        <v>4007/4008</v>
      </c>
      <c r="L159" s="22" t="str">
        <f>VLOOKUP(A159,'Trips&amp;Operators'!$C$1:$E$10000,3,FALSE)</f>
        <v>STARKS</v>
      </c>
      <c r="M159" s="6">
        <f t="shared" si="60"/>
        <v>8.9467592624714598E-3</v>
      </c>
      <c r="N159" s="7">
        <f t="shared" si="57"/>
        <v>12.883333337958902</v>
      </c>
      <c r="O159" s="7"/>
      <c r="P159" s="7"/>
      <c r="Q159" s="23"/>
      <c r="R159" s="23"/>
      <c r="S159" s="35">
        <f t="shared" si="71"/>
        <v>1</v>
      </c>
      <c r="T159" s="50" t="str">
        <f t="shared" si="61"/>
        <v>Southbound</v>
      </c>
      <c r="U159" s="18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04:10:17-0600',mode:absolute,to:'2016-10-26 06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9" s="52" t="str">
        <f t="shared" si="63"/>
        <v>N</v>
      </c>
      <c r="X159" s="186">
        <f t="shared" si="58"/>
        <v>556</v>
      </c>
      <c r="Y159" s="67">
        <f t="shared" si="55"/>
        <v>5.8605999999999998</v>
      </c>
      <c r="Z159" s="67">
        <f t="shared" si="56"/>
        <v>8.43E-2</v>
      </c>
      <c r="AA159" s="67">
        <f t="shared" si="64"/>
        <v>5.7763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65"/>
        <v>0800-26</v>
      </c>
      <c r="AE159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59" s="88" t="str">
        <f t="shared" si="67"/>
        <v>"C:\Program Files (x86)\AstroGrep\AstroGrep.exe" /spath="%USERPROFILE%\AppData\Local\Temp\OnboardLogs" /stypes="app*4008*20161026*" /stext=" 11:.+((SYSTEM_STATE.+slice.+state.+changed )|(ment ac)|(system.+state.+changed )|(\[timeout)|(PRM\|1\|D)|(kpr)|(kdp)|(\|lc)|(penalty))" /e /r /s</v>
      </c>
      <c r="AG159" s="1" t="str">
        <f t="shared" si="68"/>
        <v>NW</v>
      </c>
      <c r="AH159" s="92" t="str">
        <f t="shared" si="69"/>
        <v>"%USERPROFILE%\Documents\GitHub\eaglep3\Utilities\RefineRTDCRunTimes.py" --tripid 800-26 --locoid 4008 --swversion DE.1.0.8.0 --startMP 300:58606 --initTime 2016-10-26T05:10:17 --startdatetime 2016-10-26T05:13:17 --delay 1 --endMP 204:843 --enddatetime 2016-10-26T05:26:10 --enforcementcount 0 &gt;&gt;C:\Users\stu\Documents\GitHub\eaglep3-reporting\EC\2016-10-26-refined-times.txt</v>
      </c>
      <c r="AI159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{"issue":{"subject":"","project_id":79,"tracker_id":40,"status_id":1,"priority_id":2,"assigned_to_id":23,"start_date":"2016-10-26","description":"","custom_fields":[{"id":1,"name":"Subdivision","value":"NW"},{"id":4,"name":"Milepost","value":"0.0843"},{"id":17,"name":"Train ID","value":"800-26"},{"id":16,"name":"Locomotive ID","value":"4008"},{"id":130,"name":"Impact","value":""},{"id":150,"name":"Time of Event (Mountain Time)","value":"05:26:10"},{"id":151,"name":"Denver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407</v>
      </c>
      <c r="B160" s="7">
        <v>4007</v>
      </c>
      <c r="C160" s="22" t="s">
        <v>378</v>
      </c>
      <c r="D160" s="22" t="s">
        <v>718</v>
      </c>
      <c r="E160" s="13">
        <v>42669.24454861111</v>
      </c>
      <c r="F160" s="13">
        <v>42669.245937500003</v>
      </c>
      <c r="G160" s="7">
        <v>1</v>
      </c>
      <c r="H160" s="13" t="s">
        <v>333</v>
      </c>
      <c r="I160" s="13">
        <v>42669.255312499998</v>
      </c>
      <c r="J160" s="7">
        <v>0</v>
      </c>
      <c r="K160" s="112" t="str">
        <f t="shared" si="59"/>
        <v>4007/4008</v>
      </c>
      <c r="L160" s="22" t="str">
        <f>VLOOKUP(A160,'Trips&amp;Operators'!$C$1:$E$10000,3,FALSE)</f>
        <v>STARKS</v>
      </c>
      <c r="M160" s="6">
        <f t="shared" si="60"/>
        <v>9.3749999941792339E-3</v>
      </c>
      <c r="N160" s="7">
        <f t="shared" si="57"/>
        <v>13.499999991618097</v>
      </c>
      <c r="O160" s="7"/>
      <c r="P160" s="7"/>
      <c r="Q160" s="23"/>
      <c r="R160" s="23"/>
      <c r="S160" s="35">
        <f t="shared" si="71"/>
        <v>1</v>
      </c>
      <c r="T160" s="50" t="str">
        <f t="shared" si="61"/>
        <v>NorthBound</v>
      </c>
      <c r="U160" s="18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04:52:09-0600',mode:absolute,to:'2016-10-26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0" s="52" t="str">
        <f t="shared" si="63"/>
        <v>N</v>
      </c>
      <c r="X160" s="186">
        <f t="shared" si="58"/>
        <v>1</v>
      </c>
      <c r="Y160" s="67">
        <f t="shared" si="55"/>
        <v>0.1123</v>
      </c>
      <c r="Z160" s="67">
        <f t="shared" si="56"/>
        <v>5.8936999999999999</v>
      </c>
      <c r="AA160" s="67">
        <f t="shared" si="64"/>
        <v>5.7813999999999997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65"/>
        <v>0801-26</v>
      </c>
      <c r="AE160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60" s="88" t="str">
        <f t="shared" si="67"/>
        <v>"C:\Program Files (x86)\AstroGrep\AstroGrep.exe" /spath="%USERPROFILE%\AppData\Local\Temp\OnboardLogs" /stypes="app*4007*20161026*" /stext=" 12:.+((SYSTEM_STATE.+slice.+state.+changed )|(ment ac)|(system.+state.+changed )|(\[timeout)|(PRM\|1\|D)|(kpr)|(kdp)|(\|lc)|(penalty))" /e /r /s</v>
      </c>
      <c r="AG160" s="1" t="str">
        <f t="shared" si="68"/>
        <v>NW</v>
      </c>
      <c r="AH160" s="92" t="str">
        <f t="shared" si="69"/>
        <v>"%USERPROFILE%\Documents\GitHub\eaglep3\Utilities\RefineRTDCRunTimes.py" --tripid 801-26 --locoid 4007 --swversion DE.1.0.8.0 --startMP 204:1123 --initTime 2016-10-26T05:52:09 --startdatetime 2016-10-26T05:54:09 --delay 1 --endMP 300:58937 --enddatetime 2016-10-26T06:07:39 --enforcementcount 0 &gt;&gt;C:\Users\stu\Documents\GitHub\eaglep3-reporting\EC\2016-10-26-refined-times.txt</v>
      </c>
      <c r="AI160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{"issue":{"subject":"","project_id":79,"tracker_id":40,"status_id":1,"priority_id":2,"assigned_to_id":23,"start_date":"2016-10-26","description":"","custom_fields":[{"id":1,"name":"Subdivision","value":"NW"},{"id":4,"name":"Milepost","value":"5.8937"},{"id":17,"name":"Train ID","value":"801-26"},{"id":16,"name":"Locomotive ID","value":"4007"},{"id":130,"name":"Impact","value":""},{"id":150,"name":"Time of Event (Mountain Time)","value":"06:07:39"},{"id":151,"name":"Denver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461</v>
      </c>
      <c r="B161" s="7">
        <v>4008</v>
      </c>
      <c r="C161" s="22" t="s">
        <v>378</v>
      </c>
      <c r="D161" s="22" t="s">
        <v>332</v>
      </c>
      <c r="E161" s="13">
        <v>42669.255995370368</v>
      </c>
      <c r="F161" s="13">
        <v>42669.257395833331</v>
      </c>
      <c r="G161" s="7">
        <v>1</v>
      </c>
      <c r="H161" s="13" t="s">
        <v>719</v>
      </c>
      <c r="I161" s="13">
        <v>42669.268796296295</v>
      </c>
      <c r="J161" s="7">
        <v>0</v>
      </c>
      <c r="K161" s="112" t="str">
        <f t="shared" si="59"/>
        <v>4007/4008</v>
      </c>
      <c r="L161" s="22" t="str">
        <f>VLOOKUP(A161,'Trips&amp;Operators'!$C$1:$E$10000,3,FALSE)</f>
        <v>STARKS</v>
      </c>
      <c r="M161" s="6">
        <f t="shared" si="60"/>
        <v>1.1400462964957114E-2</v>
      </c>
      <c r="N161" s="7">
        <f t="shared" si="57"/>
        <v>16.416666669538245</v>
      </c>
      <c r="O161" s="7"/>
      <c r="P161" s="7"/>
      <c r="Q161" s="23"/>
      <c r="R161" s="23"/>
      <c r="S161" s="35">
        <f t="shared" si="71"/>
        <v>1</v>
      </c>
      <c r="T161" s="50" t="str">
        <f t="shared" si="61"/>
        <v>Southbound</v>
      </c>
      <c r="U161" s="18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05:08:38-0600',mode:absolute,to:'2016-10-26 07:27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1" s="52" t="str">
        <f t="shared" si="63"/>
        <v>N</v>
      </c>
      <c r="X161" s="186">
        <f t="shared" si="58"/>
        <v>1</v>
      </c>
      <c r="Y161" s="67">
        <f t="shared" si="55"/>
        <v>5.8625999999999996</v>
      </c>
      <c r="Z161" s="67">
        <f t="shared" si="56"/>
        <v>7.0300000000000001E-2</v>
      </c>
      <c r="AA161" s="67">
        <f t="shared" si="64"/>
        <v>5.7923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65"/>
        <v>0802-26</v>
      </c>
      <c r="AE161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61" s="88" t="str">
        <f t="shared" si="67"/>
        <v>"C:\Program Files (x86)\AstroGrep\AstroGrep.exe" /spath="%USERPROFILE%\AppData\Local\Temp\OnboardLogs" /stypes="app*4008*20161026*" /stext=" 12:.+((SYSTEM_STATE.+slice.+state.+changed )|(ment ac)|(system.+state.+changed )|(\[timeout)|(PRM\|1\|D)|(kpr)|(kdp)|(\|lc)|(penalty))" /e /r /s</v>
      </c>
      <c r="AG161" s="1" t="str">
        <f t="shared" si="68"/>
        <v>NW</v>
      </c>
      <c r="AH161" s="92" t="str">
        <f t="shared" si="69"/>
        <v>"%USERPROFILE%\Documents\GitHub\eaglep3\Utilities\RefineRTDCRunTimes.py" --tripid 802-26 --locoid 4008 --swversion DE.1.0.8.0 --startMP 300:58626 --initTime 2016-10-26T06:08:38 --startdatetime 2016-10-26T06:10:39 --delay 1 --endMP 204:703 --enddatetime 2016-10-26T06:27:04 --enforcementcount 0 &gt;&gt;C:\Users\stu\Documents\GitHub\eaglep3-reporting\EC\2016-10-26-refined-times.txt</v>
      </c>
      <c r="AI161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{"issue":{"subject":"","project_id":79,"tracker_id":40,"status_id":1,"priority_id":2,"assigned_to_id":23,"start_date":"2016-10-26","description":"","custom_fields":[{"id":1,"name":"Subdivision","value":"NW"},{"id":4,"name":"Milepost","value":"0.0703"},{"id":17,"name":"Train ID","value":"802-26"},{"id":16,"name":"Locomotive ID","value":"4008"},{"id":130,"name":"Impact","value":""},{"id":150,"name":"Time of Event (Mountain Time)","value":"06:27:04"},{"id":151,"name":"Denver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408</v>
      </c>
      <c r="B162" s="7">
        <v>4053</v>
      </c>
      <c r="C162" s="22" t="s">
        <v>378</v>
      </c>
      <c r="D162" s="22" t="s">
        <v>720</v>
      </c>
      <c r="E162" s="13">
        <v>42669.263738425929</v>
      </c>
      <c r="F162" s="13">
        <v>42669.265046296299</v>
      </c>
      <c r="G162" s="7">
        <v>1</v>
      </c>
      <c r="H162" s="13" t="s">
        <v>721</v>
      </c>
      <c r="I162" s="13">
        <v>42669.274317129632</v>
      </c>
      <c r="J162" s="7">
        <v>0</v>
      </c>
      <c r="K162" s="112" t="str">
        <f t="shared" si="59"/>
        <v>4053/4054</v>
      </c>
      <c r="L162" s="22" t="str">
        <f>VLOOKUP(A162,'Trips&amp;Operators'!$C$1:$E$10000,3,FALSE)</f>
        <v>GEBRETEKLE</v>
      </c>
      <c r="M162" s="6">
        <f t="shared" si="60"/>
        <v>9.2708333322661929E-3</v>
      </c>
      <c r="N162" s="7">
        <f t="shared" si="57"/>
        <v>13.349999998463318</v>
      </c>
      <c r="O162" s="7"/>
      <c r="P162" s="7"/>
      <c r="Q162" s="23"/>
      <c r="R162" s="23"/>
      <c r="S162" s="35">
        <f t="shared" si="71"/>
        <v>1</v>
      </c>
      <c r="T162" s="50" t="str">
        <f t="shared" si="61"/>
        <v>NorthBound</v>
      </c>
      <c r="U162" s="18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05:19:47-0600',mode:absolute,to:'2016-10-26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2" s="52" t="str">
        <f t="shared" si="63"/>
        <v>N</v>
      </c>
      <c r="X162" s="186">
        <f t="shared" si="58"/>
        <v>1</v>
      </c>
      <c r="Y162" s="67">
        <f t="shared" si="55"/>
        <v>9.8599999999999993E-2</v>
      </c>
      <c r="Z162" s="67">
        <f t="shared" si="56"/>
        <v>5.8986000000000001</v>
      </c>
      <c r="AA162" s="67">
        <f t="shared" si="64"/>
        <v>5.8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65"/>
        <v>0803-26</v>
      </c>
      <c r="AE162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62" s="88" t="str">
        <f t="shared" si="67"/>
        <v>"C:\Program Files (x86)\AstroGrep\AstroGrep.exe" /spath="%USERPROFILE%\AppData\Local\Temp\OnboardLogs" /stypes="app*4053*20161026*" /stext=" 12:.+((SYSTEM_STATE.+slice.+state.+changed )|(ment ac)|(system.+state.+changed )|(\[timeout)|(PRM\|1\|D)|(kpr)|(kdp)|(\|lc)|(penalty))" /e /r /s</v>
      </c>
      <c r="AG162" s="1" t="str">
        <f t="shared" si="68"/>
        <v>NW</v>
      </c>
      <c r="AH162" s="92" t="str">
        <f t="shared" si="69"/>
        <v>"%USERPROFILE%\Documents\GitHub\eaglep3\Utilities\RefineRTDCRunTimes.py" --tripid 803-26 --locoid 4053 --swversion DE.1.0.8.0 --startMP 204:986 --initTime 2016-10-26T06:19:47 --startdatetime 2016-10-26T06:21:40 --delay 1 --endMP 300:58986 --enddatetime 2016-10-26T06:35:01 --enforcementcount 0 &gt;&gt;C:\Users\stu\Documents\GitHub\eaglep3-reporting\EC\2016-10-26-refined-times.txt</v>
      </c>
      <c r="AI162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{"issue":{"subject":"","project_id":79,"tracker_id":40,"status_id":1,"priority_id":2,"assigned_to_id":23,"start_date":"2016-10-26","description":"","custom_fields":[{"id":1,"name":"Subdivision","value":"NW"},{"id":4,"name":"Milepost","value":"5.8986"},{"id":17,"name":"Train ID","value":"803-26"},{"id":16,"name":"Locomotive ID","value":"4053"},{"id":130,"name":"Impact","value":""},{"id":150,"name":"Time of Event (Mountain Time)","value":"06:35:01"},{"id":151,"name":"Denver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466</v>
      </c>
      <c r="B163" s="7">
        <v>4054</v>
      </c>
      <c r="C163" s="22" t="s">
        <v>378</v>
      </c>
      <c r="D163" s="22" t="s">
        <v>722</v>
      </c>
      <c r="E163" s="13">
        <v>42669.275590277779</v>
      </c>
      <c r="F163" s="13">
        <v>42669.277361111112</v>
      </c>
      <c r="G163" s="7">
        <v>1</v>
      </c>
      <c r="H163" s="13" t="s">
        <v>723</v>
      </c>
      <c r="I163" s="13">
        <v>42669.288865740738</v>
      </c>
      <c r="J163" s="7">
        <v>0</v>
      </c>
      <c r="K163" s="112" t="str">
        <f t="shared" si="59"/>
        <v>4053/4054</v>
      </c>
      <c r="L163" s="22" t="str">
        <f>VLOOKUP(A163,'Trips&amp;Operators'!$C$1:$E$10000,3,FALSE)</f>
        <v>GEBRETEKLE</v>
      </c>
      <c r="M163" s="6">
        <f t="shared" si="60"/>
        <v>1.1504629626870155E-2</v>
      </c>
      <c r="N163" s="7">
        <f t="shared" si="57"/>
        <v>16.566666662693024</v>
      </c>
      <c r="O163" s="7"/>
      <c r="P163" s="7"/>
      <c r="Q163" s="23"/>
      <c r="R163" s="23"/>
      <c r="S163" s="35">
        <f t="shared" si="71"/>
        <v>1</v>
      </c>
      <c r="T163" s="50" t="str">
        <f t="shared" si="61"/>
        <v>Southbound</v>
      </c>
      <c r="U163" s="18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05:36:51-0600',mode:absolute,to:'2016-10-26 07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3" s="52" t="str">
        <f t="shared" si="63"/>
        <v>N</v>
      </c>
      <c r="X163" s="186">
        <f t="shared" si="58"/>
        <v>1</v>
      </c>
      <c r="Y163" s="67">
        <f t="shared" si="55"/>
        <v>5.8674999999999997</v>
      </c>
      <c r="Z163" s="67">
        <f t="shared" si="56"/>
        <v>6.8699999999999997E-2</v>
      </c>
      <c r="AA163" s="67">
        <f t="shared" si="64"/>
        <v>5.7988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65"/>
        <v>0804-26</v>
      </c>
      <c r="AE163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63" s="88" t="str">
        <f t="shared" si="67"/>
        <v>"C:\Program Files (x86)\AstroGrep\AstroGrep.exe" /spath="%USERPROFILE%\AppData\Local\Temp\OnboardLogs" /stypes="app*4054*20161026*" /stext=" 12:.+((SYSTEM_STATE.+slice.+state.+changed )|(ment ac)|(system.+state.+changed )|(\[timeout)|(PRM\|1\|D)|(kpr)|(kdp)|(\|lc)|(penalty))" /e /r /s</v>
      </c>
      <c r="AG163" s="1" t="str">
        <f t="shared" si="68"/>
        <v>NW</v>
      </c>
      <c r="AH163" s="92" t="str">
        <f t="shared" si="69"/>
        <v>"%USERPROFILE%\Documents\GitHub\eaglep3\Utilities\RefineRTDCRunTimes.py" --tripid 804-26 --locoid 4054 --swversion DE.1.0.8.0 --startMP 300:58675 --initTime 2016-10-26T06:36:51 --startdatetime 2016-10-26T06:39:24 --delay 1 --endMP 204:687 --enddatetime 2016-10-26T06:55:58 --enforcementcount 0 &gt;&gt;C:\Users\stu\Documents\GitHub\eaglep3-reporting\EC\2016-10-26-refined-times.txt</v>
      </c>
      <c r="AI163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{"issue":{"subject":"","project_id":79,"tracker_id":40,"status_id":1,"priority_id":2,"assigned_to_id":23,"start_date":"2016-10-26","description":"","custom_fields":[{"id":1,"name":"Subdivision","value":"NW"},{"id":4,"name":"Milepost","value":"0.0687"},{"id":17,"name":"Train ID","value":"804-26"},{"id":16,"name":"Locomotive ID","value":"4054"},{"id":130,"name":"Impact","value":""},{"id":150,"name":"Time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467</v>
      </c>
      <c r="B164" s="7">
        <v>4007</v>
      </c>
      <c r="C164" s="22" t="s">
        <v>378</v>
      </c>
      <c r="D164" s="22" t="s">
        <v>390</v>
      </c>
      <c r="E164" s="13">
        <v>42669.27611111111</v>
      </c>
      <c r="F164" s="13">
        <v>42669.285613425927</v>
      </c>
      <c r="G164" s="7">
        <v>1</v>
      </c>
      <c r="H164" s="13" t="s">
        <v>385</v>
      </c>
      <c r="I164" s="13">
        <v>42669.295185185183</v>
      </c>
      <c r="J164" s="7">
        <v>0</v>
      </c>
      <c r="K164" s="112" t="str">
        <f t="shared" si="59"/>
        <v>4007/4008</v>
      </c>
      <c r="L164" s="22" t="str">
        <f>VLOOKUP(A164,'Trips&amp;Operators'!$C$1:$E$10000,3,FALSE)</f>
        <v>STARKS</v>
      </c>
      <c r="M164" s="6">
        <f t="shared" si="60"/>
        <v>9.5717592557775788E-3</v>
      </c>
      <c r="N164" s="7">
        <f t="shared" si="57"/>
        <v>13.783333328319713</v>
      </c>
      <c r="O164" s="7"/>
      <c r="P164" s="7"/>
      <c r="Q164" s="23"/>
      <c r="R164" s="23"/>
      <c r="S164" s="35">
        <f t="shared" si="71"/>
        <v>1</v>
      </c>
      <c r="T164" s="50" t="str">
        <f t="shared" si="61"/>
        <v>NorthBound</v>
      </c>
      <c r="U164" s="18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05:37:36-0600',mode:absolute,to:'2016-10-26 08:05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4" s="52" t="str">
        <f t="shared" si="63"/>
        <v>N</v>
      </c>
      <c r="X164" s="186">
        <f t="shared" si="58"/>
        <v>1</v>
      </c>
      <c r="Y164" s="67">
        <f t="shared" si="55"/>
        <v>0.1007</v>
      </c>
      <c r="Z164" s="67">
        <f t="shared" si="56"/>
        <v>5.8933</v>
      </c>
      <c r="AA164" s="67">
        <f t="shared" si="64"/>
        <v>5.7926000000000002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65"/>
        <v>0805-26</v>
      </c>
      <c r="AE164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64" s="88" t="str">
        <f t="shared" si="67"/>
        <v>"C:\Program Files (x86)\AstroGrep\AstroGrep.exe" /spath="%USERPROFILE%\AppData\Local\Temp\OnboardLogs" /stypes="app*4007*20161026*" /stext=" 13:.+((SYSTEM_STATE.+slice.+state.+changed )|(ment ac)|(system.+state.+changed )|(\[timeout)|(PRM\|1\|D)|(kpr)|(kdp)|(\|lc)|(penalty))" /e /r /s</v>
      </c>
      <c r="AG164" s="1" t="str">
        <f t="shared" si="68"/>
        <v>NW</v>
      </c>
      <c r="AH164" s="92" t="str">
        <f t="shared" si="69"/>
        <v>"%USERPROFILE%\Documents\GitHub\eaglep3\Utilities\RefineRTDCRunTimes.py" --tripid 805-26 --locoid 4007 --swversion DE.1.0.8.0 --startMP 204:1007 --initTime 2016-10-26T06:37:36 --startdatetime 2016-10-26T06:51:17 --delay 1 --endMP 300:58933 --enddatetime 2016-10-26T07:05:04 --enforcementcount 0 &gt;&gt;C:\Users\stu\Documents\GitHub\eaglep3-reporting\EC\2016-10-26-refined-times.txt</v>
      </c>
      <c r="AI164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{"issue":{"subject":"","project_id":79,"tracker_id":40,"status_id":1,"priority_id":2,"assigned_to_id":23,"start_date":"2016-10-26","description":"","custom_fields":[{"id":1,"name":"Subdivision","value":"NW"},{"id":4,"name":"Milepost","value":"5.8933"},{"id":17,"name":"Train ID","value":"805-26"},{"id":16,"name":"Locomotive ID","value":"4007"},{"id":130,"name":"Impact","value":""},{"id":150,"name":"Time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411</v>
      </c>
      <c r="B165" s="7">
        <v>4008</v>
      </c>
      <c r="C165" s="22" t="s">
        <v>378</v>
      </c>
      <c r="D165" s="22" t="s">
        <v>386</v>
      </c>
      <c r="E165" s="13">
        <v>42669.296261574076</v>
      </c>
      <c r="F165" s="13">
        <v>42669.297893518517</v>
      </c>
      <c r="G165" s="7">
        <v>1</v>
      </c>
      <c r="H165" s="13" t="s">
        <v>724</v>
      </c>
      <c r="I165" s="13">
        <v>42669.309687499997</v>
      </c>
      <c r="J165" s="7">
        <v>0</v>
      </c>
      <c r="K165" s="112" t="str">
        <f t="shared" si="59"/>
        <v>4007/4008</v>
      </c>
      <c r="L165" s="22" t="str">
        <f>VLOOKUP(A165,'Trips&amp;Operators'!$C$1:$E$10000,3,FALSE)</f>
        <v>STARKS</v>
      </c>
      <c r="M165" s="6">
        <f t="shared" si="60"/>
        <v>1.1793981480877846E-2</v>
      </c>
      <c r="N165" s="7">
        <f t="shared" si="57"/>
        <v>16.983333332464099</v>
      </c>
      <c r="O165" s="7"/>
      <c r="P165" s="7"/>
      <c r="Q165" s="23"/>
      <c r="R165" s="23"/>
      <c r="S165" s="35">
        <f t="shared" si="71"/>
        <v>1</v>
      </c>
      <c r="T165" s="50" t="str">
        <f t="shared" si="61"/>
        <v>Southbound</v>
      </c>
      <c r="U165" s="18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06:06:37-0600',mode:absolute,to:'2016-10-26 08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5" s="52" t="str">
        <f t="shared" si="63"/>
        <v>N</v>
      </c>
      <c r="X165" s="186">
        <f t="shared" si="58"/>
        <v>1</v>
      </c>
      <c r="Y165" s="67">
        <f t="shared" ref="Y165:Y196" si="72">RIGHT(D165,LEN(D165)-4)/10000</f>
        <v>5.8616999999999999</v>
      </c>
      <c r="Z165" s="67">
        <f t="shared" ref="Z165:Z196" si="73">RIGHT(H165,LEN(H165)-4)/10000</f>
        <v>7.6100000000000001E-2</v>
      </c>
      <c r="AA165" s="67">
        <f t="shared" si="64"/>
        <v>5.7855999999999996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65"/>
        <v>0806-26</v>
      </c>
      <c r="AE165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65" s="88" t="str">
        <f t="shared" si="67"/>
        <v>"C:\Program Files (x86)\AstroGrep\AstroGrep.exe" /spath="%USERPROFILE%\AppData\Local\Temp\OnboardLogs" /stypes="app*4008*20161026*" /stext=" 13:.+((SYSTEM_STATE.+slice.+state.+changed )|(ment ac)|(system.+state.+changed )|(\[timeout)|(PRM\|1\|D)|(kpr)|(kdp)|(\|lc)|(penalty))" /e /r /s</v>
      </c>
      <c r="AG165" s="1" t="str">
        <f t="shared" si="68"/>
        <v>NW</v>
      </c>
      <c r="AH165" s="92" t="str">
        <f t="shared" si="69"/>
        <v>"%USERPROFILE%\Documents\GitHub\eaglep3\Utilities\RefineRTDCRunTimes.py" --tripid 806-26 --locoid 4008 --swversion DE.1.0.8.0 --startMP 300:58617 --initTime 2016-10-26T07:06:37 --startdatetime 2016-10-26T07:08:58 --delay 1 --endMP 204:761 --enddatetime 2016-10-26T07:25:57 --enforcementcount 0 &gt;&gt;C:\Users\stu\Documents\GitHub\eaglep3-reporting\EC\2016-10-26-refined-times.txt</v>
      </c>
      <c r="AI165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{"issue":{"subject":"","project_id":79,"tracker_id":40,"status_id":1,"priority_id":2,"assigned_to_id":23,"start_date":"2016-10-26","description":"","custom_fields":[{"id":1,"name":"Subdivision","value":"NW"},{"id":4,"name":"Milepost","value":"0.0761"},{"id":17,"name":"Train ID","value":"806-26"},{"id":16,"name":"Locomotive ID","value":"4008"},{"id":130,"name":"Impact","value":""},{"id":150,"name":"Time of Event (Mountain Time)","value":"07:25:57"},{"id":151,"name":"Denver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470</v>
      </c>
      <c r="B166" s="7">
        <v>4053</v>
      </c>
      <c r="C166" s="22" t="s">
        <v>378</v>
      </c>
      <c r="D166" s="22" t="s">
        <v>725</v>
      </c>
      <c r="E166" s="13">
        <v>42669.295543981483</v>
      </c>
      <c r="F166" s="13">
        <v>42669.306504629632</v>
      </c>
      <c r="G166" s="7">
        <v>1</v>
      </c>
      <c r="H166" s="13" t="s">
        <v>726</v>
      </c>
      <c r="I166" s="13">
        <v>42669.316134259258</v>
      </c>
      <c r="J166" s="7">
        <v>0</v>
      </c>
      <c r="K166" s="112" t="str">
        <f t="shared" si="59"/>
        <v>4053/4054</v>
      </c>
      <c r="L166" s="22" t="str">
        <f>VLOOKUP(A166,'Trips&amp;Operators'!$C$1:$E$10000,3,FALSE)</f>
        <v>GEBRETEKLE</v>
      </c>
      <c r="M166" s="6">
        <f t="shared" si="60"/>
        <v>9.6296296251239255E-3</v>
      </c>
      <c r="N166" s="7">
        <f t="shared" si="57"/>
        <v>13.866666660178453</v>
      </c>
      <c r="O166" s="7"/>
      <c r="P166" s="7"/>
      <c r="Q166" s="23"/>
      <c r="R166" s="23"/>
      <c r="S166" s="35">
        <f t="shared" si="71"/>
        <v>1</v>
      </c>
      <c r="T166" s="50" t="str">
        <f t="shared" si="61"/>
        <v>NorthBound</v>
      </c>
      <c r="U166" s="18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06:05:35-0600',mode:absolute,to:'2016-10-26 08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66" s="52" t="str">
        <f t="shared" si="63"/>
        <v>N</v>
      </c>
      <c r="X166" s="186">
        <f t="shared" si="58"/>
        <v>1</v>
      </c>
      <c r="Y166" s="67">
        <f t="shared" si="72"/>
        <v>9.8799999999999999E-2</v>
      </c>
      <c r="Z166" s="67">
        <f t="shared" si="73"/>
        <v>5.899</v>
      </c>
      <c r="AA166" s="67">
        <f t="shared" si="64"/>
        <v>5.8002000000000002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65"/>
        <v>0807-26</v>
      </c>
      <c r="AE166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66" s="88" t="str">
        <f t="shared" si="67"/>
        <v>"C:\Program Files (x86)\AstroGrep\AstroGrep.exe" /spath="%USERPROFILE%\AppData\Local\Temp\OnboardLogs" /stypes="app*4053*20161026*" /stext=" 13:.+((SYSTEM_STATE.+slice.+state.+changed )|(ment ac)|(system.+state.+changed )|(\[timeout)|(PRM\|1\|D)|(kpr)|(kdp)|(\|lc)|(penalty))" /e /r /s</v>
      </c>
      <c r="AG166" s="1" t="str">
        <f t="shared" si="68"/>
        <v>NW</v>
      </c>
      <c r="AH166" s="92" t="str">
        <f t="shared" si="69"/>
        <v>"%USERPROFILE%\Documents\GitHub\eaglep3\Utilities\RefineRTDCRunTimes.py" --tripid 807-26 --locoid 4053 --swversion DE.1.0.8.0 --startMP 204:988 --initTime 2016-10-26T07:05:35 --startdatetime 2016-10-26T07:21:22 --delay 1 --endMP 300:58990 --enddatetime 2016-10-26T07:35:14 --enforcementcount 0 &gt;&gt;C:\Users\stu\Documents\GitHub\eaglep3-reporting\EC\2016-10-26-refined-times.txt</v>
      </c>
      <c r="AI166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{"issue":{"subject":"","project_id":79,"tracker_id":40,"status_id":1,"priority_id":2,"assigned_to_id":23,"start_date":"2016-10-26","description":"","custom_fields":[{"id":1,"name":"Subdivision","value":"NW"},{"id":4,"name":"Milepost","value":"5.899"},{"id":17,"name":"Train ID","value":"807-26"},{"id":16,"name":"Locomotive ID","value":"4053"},{"id":130,"name":"Impact","value":""},{"id":150,"name":"Time of Event (Mountain Time)","value":"07:35:14"},{"id":151,"name":"Denver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474</v>
      </c>
      <c r="B167" s="7">
        <v>4054</v>
      </c>
      <c r="C167" s="22" t="s">
        <v>378</v>
      </c>
      <c r="D167" s="22" t="s">
        <v>727</v>
      </c>
      <c r="E167" s="13">
        <v>42669.317708333336</v>
      </c>
      <c r="F167" s="13">
        <v>42669.319467592592</v>
      </c>
      <c r="G167" s="7">
        <v>1</v>
      </c>
      <c r="H167" s="13" t="s">
        <v>728</v>
      </c>
      <c r="I167" s="13">
        <v>42669.330682870372</v>
      </c>
      <c r="J167" s="7">
        <v>0</v>
      </c>
      <c r="K167" s="112" t="str">
        <f t="shared" si="59"/>
        <v>4053/4054</v>
      </c>
      <c r="L167" s="22" t="str">
        <f>VLOOKUP(A167,'Trips&amp;Operators'!$C$1:$E$10000,3,FALSE)</f>
        <v>GEBRETEKLE</v>
      </c>
      <c r="M167" s="6">
        <f t="shared" si="60"/>
        <v>1.1215277780138422E-2</v>
      </c>
      <c r="N167" s="7">
        <f t="shared" si="57"/>
        <v>16.150000003399327</v>
      </c>
      <c r="O167" s="7"/>
      <c r="P167" s="7"/>
      <c r="Q167" s="23"/>
      <c r="R167" s="23"/>
      <c r="S167" s="35">
        <f t="shared" si="71"/>
        <v>1</v>
      </c>
      <c r="T167" s="50" t="str">
        <f t="shared" si="61"/>
        <v>Southbound</v>
      </c>
      <c r="U167" s="18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06:37:30-0600',mode:absolute,to:'2016-10-26 08:56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67" s="52" t="str">
        <f t="shared" si="63"/>
        <v>N</v>
      </c>
      <c r="X167" s="186">
        <f t="shared" si="58"/>
        <v>1</v>
      </c>
      <c r="Y167" s="67">
        <f t="shared" si="72"/>
        <v>5.8678999999999997</v>
      </c>
      <c r="Z167" s="67">
        <f t="shared" si="73"/>
        <v>6.7000000000000004E-2</v>
      </c>
      <c r="AA167" s="67">
        <f t="shared" si="64"/>
        <v>5.8008999999999995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65"/>
        <v>0808-26</v>
      </c>
      <c r="AE167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67" s="88" t="str">
        <f t="shared" si="67"/>
        <v>"C:\Program Files (x86)\AstroGrep\AstroGrep.exe" /spath="%USERPROFILE%\AppData\Local\Temp\OnboardLogs" /stypes="app*4054*20161026*" /stext=" 13:.+((SYSTEM_STATE.+slice.+state.+changed )|(ment ac)|(system.+state.+changed )|(\[timeout)|(PRM\|1\|D)|(kpr)|(kdp)|(\|lc)|(penalty))" /e /r /s</v>
      </c>
      <c r="AG167" s="1" t="str">
        <f t="shared" si="68"/>
        <v>NW</v>
      </c>
      <c r="AH167" s="92" t="str">
        <f t="shared" si="69"/>
        <v>"%USERPROFILE%\Documents\GitHub\eaglep3\Utilities\RefineRTDCRunTimes.py" --tripid 808-26 --locoid 4054 --swversion DE.1.0.8.0 --startMP 300:58679 --initTime 2016-10-26T07:37:30 --startdatetime 2016-10-26T07:40:02 --delay 1 --endMP 204:670 --enddatetime 2016-10-26T07:56:11 --enforcementcount 0 &gt;&gt;C:\Users\stu\Documents\GitHub\eaglep3-reporting\EC\2016-10-26-refined-times.txt</v>
      </c>
      <c r="AI167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{"issue":{"subject":"","project_id":79,"tracker_id":40,"status_id":1,"priority_id":2,"assigned_to_id":23,"start_date":"2016-10-26","description":"","custom_fields":[{"id":1,"name":"Subdivision","value":"NW"},{"id":4,"name":"Milepost","value":"0.067"},{"id":17,"name":"Train ID","value":"808-26"},{"id":16,"name":"Locomotive ID","value":"4054"},{"id":130,"name":"Impact","value":""},{"id":150,"name":"Time of Event (Mountain Time)","value":"07:56:11"},{"id":151,"name":"Denver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413</v>
      </c>
      <c r="B168" s="7">
        <v>4007</v>
      </c>
      <c r="C168" s="22" t="s">
        <v>378</v>
      </c>
      <c r="D168" s="22" t="s">
        <v>729</v>
      </c>
      <c r="E168" s="13">
        <v>42669.311782407407</v>
      </c>
      <c r="F168" s="13">
        <v>42669.327268518522</v>
      </c>
      <c r="G168" s="7">
        <v>1</v>
      </c>
      <c r="H168" s="13" t="s">
        <v>327</v>
      </c>
      <c r="I168" s="13">
        <v>42669.33625</v>
      </c>
      <c r="J168" s="7">
        <v>0</v>
      </c>
      <c r="K168" s="112" t="str">
        <f t="shared" si="59"/>
        <v>4007/4008</v>
      </c>
      <c r="L168" s="22" t="str">
        <f>VLOOKUP(A168,'Trips&amp;Operators'!$C$1:$E$10000,3,FALSE)</f>
        <v>STARKS</v>
      </c>
      <c r="M168" s="6">
        <f t="shared" si="60"/>
        <v>8.9814814782585017E-3</v>
      </c>
      <c r="N168" s="7">
        <f t="shared" si="57"/>
        <v>12.933333328692243</v>
      </c>
      <c r="O168" s="7"/>
      <c r="P168" s="7"/>
      <c r="Q168" s="23"/>
      <c r="R168" s="23"/>
      <c r="S168" s="35">
        <f t="shared" si="71"/>
        <v>1</v>
      </c>
      <c r="T168" s="50" t="str">
        <f t="shared" si="61"/>
        <v>NorthBound</v>
      </c>
      <c r="U168" s="18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06:28:58-0600',mode:absolute,to:'2016-10-26 09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8" s="52" t="str">
        <f t="shared" si="63"/>
        <v>N</v>
      </c>
      <c r="X168" s="186">
        <f t="shared" si="58"/>
        <v>1</v>
      </c>
      <c r="Y168" s="67">
        <f t="shared" si="72"/>
        <v>0.1042</v>
      </c>
      <c r="Z168" s="67">
        <f t="shared" si="73"/>
        <v>5.8940999999999999</v>
      </c>
      <c r="AA168" s="67">
        <f t="shared" si="64"/>
        <v>5.7899000000000003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65"/>
        <v>0809-26</v>
      </c>
      <c r="AE168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68" s="88" t="str">
        <f t="shared" si="67"/>
        <v>"C:\Program Files (x86)\AstroGrep\AstroGrep.exe" /spath="%USERPROFILE%\AppData\Local\Temp\OnboardLogs" /stypes="app*4007*20161026*" /stext=" 14:.+((SYSTEM_STATE.+slice.+state.+changed )|(ment ac)|(system.+state.+changed )|(\[timeout)|(PRM\|1\|D)|(kpr)|(kdp)|(\|lc)|(penalty))" /e /r /s</v>
      </c>
      <c r="AG168" s="1" t="str">
        <f t="shared" si="68"/>
        <v>NW</v>
      </c>
      <c r="AH168" s="92" t="str">
        <f t="shared" si="69"/>
        <v>"%USERPROFILE%\Documents\GitHub\eaglep3\Utilities\RefineRTDCRunTimes.py" --tripid 809-26 --locoid 4007 --swversion DE.1.0.8.0 --startMP 204:1042 --initTime 2016-10-26T07:28:58 --startdatetime 2016-10-26T07:51:16 --delay 1 --endMP 300:58941 --enddatetime 2016-10-26T08:04:12 --enforcementcount 0 &gt;&gt;C:\Users\stu\Documents\GitHub\eaglep3-reporting\EC\2016-10-26-refined-times.txt</v>
      </c>
      <c r="AI168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{"issue":{"subject":"","project_id":79,"tracker_id":40,"status_id":1,"priority_id":2,"assigned_to_id":23,"start_date":"2016-10-26","description":"","custom_fields":[{"id":1,"name":"Subdivision","value":"NW"},{"id":4,"name":"Milepost","value":"5.8941"},{"id":17,"name":"Train ID","value":"809-26"},{"id":16,"name":"Locomotive ID","value":"4007"},{"id":130,"name":"Impact","value":""},{"id":150,"name":"Time of Event (Mountain Time)","value":"08:04:12"},{"id":151,"name":"Denver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479</v>
      </c>
      <c r="B169" s="7">
        <v>4008</v>
      </c>
      <c r="C169" s="22" t="s">
        <v>378</v>
      </c>
      <c r="D169" s="22" t="s">
        <v>395</v>
      </c>
      <c r="E169" s="13">
        <v>42669.337905092594</v>
      </c>
      <c r="F169" s="13">
        <v>42669.339930555558</v>
      </c>
      <c r="G169" s="7">
        <v>1</v>
      </c>
      <c r="H169" s="13" t="s">
        <v>730</v>
      </c>
      <c r="I169" s="13">
        <v>42669.351909722223</v>
      </c>
      <c r="J169" s="7">
        <v>0</v>
      </c>
      <c r="K169" s="112" t="str">
        <f t="shared" si="59"/>
        <v>4007/4008</v>
      </c>
      <c r="L169" s="22" t="str">
        <f>VLOOKUP(A169,'Trips&amp;Operators'!$C$1:$E$10000,3,FALSE)</f>
        <v>STARKS</v>
      </c>
      <c r="M169" s="6">
        <f t="shared" si="60"/>
        <v>1.1979166665696539E-2</v>
      </c>
      <c r="N169" s="7">
        <f t="shared" ref="N169:N200" si="74">24*60*SUM($M169:$M169)</f>
        <v>17.249999998603016</v>
      </c>
      <c r="O169" s="7"/>
      <c r="P169" s="7"/>
      <c r="Q169" s="23"/>
      <c r="R169" s="23"/>
      <c r="S169" s="35">
        <f t="shared" si="71"/>
        <v>1</v>
      </c>
      <c r="T169" s="50" t="str">
        <f t="shared" si="61"/>
        <v>Southbound</v>
      </c>
      <c r="U169" s="18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07:06:35-0600',mode:absolute,to:'2016-10-26 09:26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9" s="52" t="str">
        <f t="shared" si="63"/>
        <v>N</v>
      </c>
      <c r="X169" s="186">
        <f t="shared" ref="X169:X200" si="75">VALUE(LEFT(AD169,4))-VALUE(LEFT(AD168,4))</f>
        <v>1</v>
      </c>
      <c r="Y169" s="67">
        <f t="shared" si="72"/>
        <v>5.8624000000000001</v>
      </c>
      <c r="Z169" s="67">
        <f t="shared" si="73"/>
        <v>7.0499999999999993E-2</v>
      </c>
      <c r="AA169" s="67">
        <f t="shared" si="64"/>
        <v>5.7919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65"/>
        <v>0810-26</v>
      </c>
      <c r="AE169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69" s="88" t="str">
        <f t="shared" si="67"/>
        <v>"C:\Program Files (x86)\AstroGrep\AstroGrep.exe" /spath="%USERPROFILE%\AppData\Local\Temp\OnboardLogs" /stypes="app*4008*20161026*" /stext=" 14:.+((SYSTEM_STATE.+slice.+state.+changed )|(ment ac)|(system.+state.+changed )|(\[timeout)|(PRM\|1\|D)|(kpr)|(kdp)|(\|lc)|(penalty))" /e /r /s</v>
      </c>
      <c r="AG169" s="1" t="str">
        <f t="shared" si="68"/>
        <v>NW</v>
      </c>
      <c r="AH169" s="92" t="str">
        <f t="shared" si="69"/>
        <v>"%USERPROFILE%\Documents\GitHub\eaglep3\Utilities\RefineRTDCRunTimes.py" --tripid 810-26 --locoid 4008 --swversion DE.1.0.8.0 --startMP 300:58624 --initTime 2016-10-26T08:06:35 --startdatetime 2016-10-26T08:09:30 --delay 1 --endMP 204:705 --enddatetime 2016-10-26T08:26:45 --enforcementcount 0 &gt;&gt;C:\Users\stu\Documents\GitHub\eaglep3-reporting\EC\2016-10-26-refined-times.txt</v>
      </c>
      <c r="AI169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{"issue":{"subject":"","project_id":79,"tracker_id":40,"status_id":1,"priority_id":2,"assigned_to_id":23,"start_date":"2016-10-26","description":"","custom_fields":[{"id":1,"name":"Subdivision","value":"NW"},{"id":4,"name":"Milepost","value":"0.0705"},{"id":17,"name":"Train ID","value":"810-26"},{"id":16,"name":"Locomotive ID","value":"4008"},{"id":130,"name":"Impact","value":""},{"id":150,"name":"Time of Event (Mountain Time)","value":"08:26:45"},{"id":151,"name":"Denver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478</v>
      </c>
      <c r="B170" s="7">
        <v>4053</v>
      </c>
      <c r="C170" s="22" t="s">
        <v>378</v>
      </c>
      <c r="D170" s="22" t="s">
        <v>731</v>
      </c>
      <c r="E170" s="13">
        <v>42669.332187499997</v>
      </c>
      <c r="F170" s="13">
        <v>42669.348078703704</v>
      </c>
      <c r="G170" s="7">
        <v>1</v>
      </c>
      <c r="H170" s="13" t="s">
        <v>732</v>
      </c>
      <c r="I170" s="13">
        <v>42669.357210648152</v>
      </c>
      <c r="J170" s="7">
        <v>0</v>
      </c>
      <c r="K170" s="112" t="str">
        <f t="shared" si="59"/>
        <v>4053/4054</v>
      </c>
      <c r="L170" s="22" t="str">
        <f>VLOOKUP(A170,'Trips&amp;Operators'!$C$1:$E$10000,3,FALSE)</f>
        <v>GEBRETEKLE</v>
      </c>
      <c r="M170" s="6">
        <f t="shared" si="60"/>
        <v>9.1319444472901523E-3</v>
      </c>
      <c r="N170" s="7">
        <f t="shared" si="74"/>
        <v>13.150000004097819</v>
      </c>
      <c r="O170" s="7"/>
      <c r="P170" s="7"/>
      <c r="Q170" s="23"/>
      <c r="R170" s="23"/>
      <c r="S170" s="35">
        <f t="shared" si="71"/>
        <v>1</v>
      </c>
      <c r="T170" s="50" t="str">
        <f t="shared" si="61"/>
        <v>NorthBound</v>
      </c>
      <c r="U170" s="18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06:58:21-0600',mode:absolute,to:'2016-10-26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0" s="52" t="str">
        <f t="shared" si="63"/>
        <v>N</v>
      </c>
      <c r="X170" s="186">
        <f t="shared" si="75"/>
        <v>1</v>
      </c>
      <c r="Y170" s="67">
        <f t="shared" si="72"/>
        <v>9.7100000000000006E-2</v>
      </c>
      <c r="Z170" s="67">
        <f t="shared" si="73"/>
        <v>5.8998999999999997</v>
      </c>
      <c r="AA170" s="67">
        <f t="shared" si="64"/>
        <v>5.8027999999999995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65"/>
        <v>0811-26</v>
      </c>
      <c r="AE170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70" s="88" t="str">
        <f t="shared" si="67"/>
        <v>"C:\Program Files (x86)\AstroGrep\AstroGrep.exe" /spath="%USERPROFILE%\AppData\Local\Temp\OnboardLogs" /stypes="app*4053*20161026*" /stext=" 14:.+((SYSTEM_STATE.+slice.+state.+changed )|(ment ac)|(system.+state.+changed )|(\[timeout)|(PRM\|1\|D)|(kpr)|(kdp)|(\|lc)|(penalty))" /e /r /s</v>
      </c>
      <c r="AG170" s="1" t="str">
        <f t="shared" si="68"/>
        <v>NW</v>
      </c>
      <c r="AH170" s="92" t="str">
        <f t="shared" si="69"/>
        <v>"%USERPROFILE%\Documents\GitHub\eaglep3\Utilities\RefineRTDCRunTimes.py" --tripid 811-26 --locoid 4053 --swversion DE.1.0.8.0 --startMP 204:971 --initTime 2016-10-26T07:58:21 --startdatetime 2016-10-26T08:21:14 --delay 1 --endMP 300:58999 --enddatetime 2016-10-26T08:34:23 --enforcementcount 0 &gt;&gt;C:\Users\stu\Documents\GitHub\eaglep3-reporting\EC\2016-10-26-refined-times.txt</v>
      </c>
      <c r="AI170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{"issue":{"subject":"","project_id":79,"tracker_id":40,"status_id":1,"priority_id":2,"assigned_to_id":23,"start_date":"2016-10-26","description":"","custom_fields":[{"id":1,"name":"Subdivision","value":"NW"},{"id":4,"name":"Milepost","value":"5.8999"},{"id":17,"name":"Train ID","value":"811-26"},{"id":16,"name":"Locomotive ID","value":"4053"},{"id":130,"name":"Impact","value":""},{"id":150,"name":"Time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484</v>
      </c>
      <c r="B171" s="7">
        <v>4054</v>
      </c>
      <c r="C171" s="22" t="s">
        <v>378</v>
      </c>
      <c r="D171" s="22" t="s">
        <v>727</v>
      </c>
      <c r="E171" s="13">
        <v>42669.358761574076</v>
      </c>
      <c r="F171" s="13">
        <v>42669.360636574071</v>
      </c>
      <c r="G171" s="7">
        <v>1</v>
      </c>
      <c r="H171" s="13" t="s">
        <v>733</v>
      </c>
      <c r="I171" s="13">
        <v>42669.375775462962</v>
      </c>
      <c r="J171" s="7">
        <v>0</v>
      </c>
      <c r="K171" s="112" t="str">
        <f t="shared" si="59"/>
        <v>4053/4054</v>
      </c>
      <c r="L171" s="22" t="str">
        <f>VLOOKUP(A171,'Trips&amp;Operators'!$C$1:$E$10000,3,FALSE)</f>
        <v>GEBRETEKLE</v>
      </c>
      <c r="M171" s="6">
        <f t="shared" si="60"/>
        <v>1.5138888891669922E-2</v>
      </c>
      <c r="N171" s="7">
        <f t="shared" si="74"/>
        <v>21.800000004004687</v>
      </c>
      <c r="O171" s="7"/>
      <c r="P171" s="7"/>
      <c r="Q171" s="23"/>
      <c r="R171" s="23"/>
      <c r="S171" s="35">
        <f t="shared" si="71"/>
        <v>1</v>
      </c>
      <c r="T171" s="50" t="str">
        <f t="shared" si="61"/>
        <v>Southbound</v>
      </c>
      <c r="U171" s="18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07:36:37-0600',mode:absolute,to:'2016-10-26 10:01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1" s="52" t="str">
        <f t="shared" si="63"/>
        <v>N</v>
      </c>
      <c r="X171" s="186">
        <f t="shared" si="75"/>
        <v>1</v>
      </c>
      <c r="Y171" s="67">
        <f t="shared" si="72"/>
        <v>5.8678999999999997</v>
      </c>
      <c r="Z171" s="67">
        <f t="shared" si="73"/>
        <v>6.9099999999999995E-2</v>
      </c>
      <c r="AA171" s="67">
        <f t="shared" si="64"/>
        <v>5.7988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65"/>
        <v>0812-26</v>
      </c>
      <c r="AE171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71" s="88" t="str">
        <f t="shared" si="67"/>
        <v>"C:\Program Files (x86)\AstroGrep\AstroGrep.exe" /spath="%USERPROFILE%\AppData\Local\Temp\OnboardLogs" /stypes="app*4054*20161026*" /stext=" 15:.+((SYSTEM_STATE.+slice.+state.+changed )|(ment ac)|(system.+state.+changed )|(\[timeout)|(PRM\|1\|D)|(kpr)|(kdp)|(\|lc)|(penalty))" /e /r /s</v>
      </c>
      <c r="AG171" s="1" t="str">
        <f t="shared" si="68"/>
        <v>NW</v>
      </c>
      <c r="AH171" s="92" t="str">
        <f t="shared" si="69"/>
        <v>"%USERPROFILE%\Documents\GitHub\eaglep3\Utilities\RefineRTDCRunTimes.py" --tripid 812-26 --locoid 4054 --swversion DE.1.0.8.0 --startMP 300:58679 --initTime 2016-10-26T08:36:37 --startdatetime 2016-10-26T08:39:19 --delay 1 --endMP 204:691 --enddatetime 2016-10-26T09:01:07 --enforcementcount 0 &gt;&gt;C:\Users\stu\Documents\GitHub\eaglep3-reporting\EC\2016-10-26-refined-times.txt</v>
      </c>
      <c r="AI171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{"issue":{"subject":"","project_id":79,"tracker_id":40,"status_id":1,"priority_id":2,"assigned_to_id":23,"start_date":"2016-10-26","description":"","custom_fields":[{"id":1,"name":"Subdivision","value":"NW"},{"id":4,"name":"Milepost","value":"0.0691"},{"id":17,"name":"Train ID","value":"812-26"},{"id":16,"name":"Locomotive ID","value":"4054"},{"id":130,"name":"Impact","value":""},{"id":150,"name":"Time of Event (Mountain Time)","value":"09:01:07"},{"id":151,"name":"Denver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488</v>
      </c>
      <c r="B172" s="7">
        <v>4053</v>
      </c>
      <c r="C172" s="22" t="s">
        <v>378</v>
      </c>
      <c r="D172" s="22" t="s">
        <v>734</v>
      </c>
      <c r="E172" s="13">
        <v>42669.37709490741</v>
      </c>
      <c r="F172" s="13">
        <v>42669.389826388891</v>
      </c>
      <c r="G172" s="7">
        <v>0</v>
      </c>
      <c r="H172" s="13" t="s">
        <v>735</v>
      </c>
      <c r="I172" s="13">
        <v>42669.398854166669</v>
      </c>
      <c r="J172" s="7">
        <v>0</v>
      </c>
      <c r="K172" s="112" t="str">
        <f t="shared" si="59"/>
        <v>4053/4054</v>
      </c>
      <c r="L172" s="22" t="str">
        <f>VLOOKUP(A172,'Trips&amp;Operators'!$C$1:$E$10000,3,FALSE)</f>
        <v>GEBRETEKLE</v>
      </c>
      <c r="M172" s="6">
        <f t="shared" si="60"/>
        <v>9.0277777781011537E-3</v>
      </c>
      <c r="N172" s="7">
        <f t="shared" si="74"/>
        <v>13.000000000465661</v>
      </c>
      <c r="O172" s="7"/>
      <c r="P172" s="7"/>
      <c r="Q172" s="23"/>
      <c r="R172" s="23"/>
      <c r="S172" s="35">
        <f t="shared" si="71"/>
        <v>1</v>
      </c>
      <c r="T172" s="50" t="str">
        <f t="shared" si="61"/>
        <v>NorthBound</v>
      </c>
      <c r="U172" s="18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08:03:01-0600',mode:absolute,to:'2016-10-26 10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2" s="52" t="str">
        <f t="shared" si="63"/>
        <v>N</v>
      </c>
      <c r="X172" s="186">
        <f t="shared" si="75"/>
        <v>1</v>
      </c>
      <c r="Y172" s="67">
        <f t="shared" si="72"/>
        <v>9.8299999999999998E-2</v>
      </c>
      <c r="Z172" s="67">
        <f t="shared" si="73"/>
        <v>5.8975999999999997</v>
      </c>
      <c r="AA172" s="67">
        <f t="shared" si="64"/>
        <v>5.7992999999999997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65"/>
        <v>0813-26</v>
      </c>
      <c r="AE172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72" s="88" t="str">
        <f t="shared" si="67"/>
        <v>"C:\Program Files (x86)\AstroGrep\AstroGrep.exe" /spath="%USERPROFILE%\AppData\Local\Temp\OnboardLogs" /stypes="app*4053*20161026*" /stext=" 15:.+((SYSTEM_STATE.+slice.+state.+changed )|(ment ac)|(system.+state.+changed )|(\[timeout)|(PRM\|1\|D)|(kpr)|(kdp)|(\|lc)|(penalty))" /e /r /s</v>
      </c>
      <c r="AG172" s="1" t="str">
        <f t="shared" si="68"/>
        <v>NW</v>
      </c>
      <c r="AH172" s="92" t="str">
        <f t="shared" si="69"/>
        <v>"%USERPROFILE%\Documents\GitHub\eaglep3\Utilities\RefineRTDCRunTimes.py" --tripid 813-26 --locoid 4053 --swversion DE.1.0.8.0 --startMP 204:983 --initTime 2016-10-26T09:03:01 --startdatetime 2016-10-26T09:21:21 --delay 0 --endMP 300:58976 --enddatetime 2016-10-26T09:34:21 --enforcementcount 0 &gt;&gt;C:\Users\stu\Documents\GitHub\eaglep3-reporting\EC\2016-10-26-refined-times.txt</v>
      </c>
      <c r="AI172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{"issue":{"subject":"","project_id":79,"tracker_id":40,"status_id":1,"priority_id":2,"assigned_to_id":23,"start_date":"2016-10-26","description":"","custom_fields":[{"id":1,"name":"Subdivision","value":"NW"},{"id":4,"name":"Milepost","value":"5.8976"},{"id":17,"name":"Train ID","value":"813-26"},{"id":16,"name":"Locomotive ID","value":"4053"},{"id":130,"name":"Impact","value":""},{"id":150,"name":"Time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493</v>
      </c>
      <c r="B173" s="7">
        <v>4054</v>
      </c>
      <c r="C173" s="22" t="s">
        <v>378</v>
      </c>
      <c r="D173" s="22" t="s">
        <v>736</v>
      </c>
      <c r="E173" s="13">
        <v>42669.399942129632</v>
      </c>
      <c r="F173" s="13">
        <v>42669.401400462964</v>
      </c>
      <c r="G173" s="7">
        <v>1</v>
      </c>
      <c r="H173" s="13" t="s">
        <v>723</v>
      </c>
      <c r="I173" s="13">
        <v>42669.412986111114</v>
      </c>
      <c r="J173" s="7">
        <v>0</v>
      </c>
      <c r="K173" s="112" t="str">
        <f t="shared" si="59"/>
        <v>4053/4054</v>
      </c>
      <c r="L173" s="22" t="str">
        <f>VLOOKUP(A173,'Trips&amp;Operators'!$C$1:$E$10000,3,FALSE)</f>
        <v>GEBRETEKLE</v>
      </c>
      <c r="M173" s="6">
        <f t="shared" si="60"/>
        <v>1.1585648149775807E-2</v>
      </c>
      <c r="N173" s="7">
        <f t="shared" si="74"/>
        <v>16.683333335677162</v>
      </c>
      <c r="O173" s="7"/>
      <c r="P173" s="7"/>
      <c r="Q173" s="23"/>
      <c r="R173" s="23"/>
      <c r="S173" s="35">
        <f t="shared" si="71"/>
        <v>1</v>
      </c>
      <c r="T173" s="50" t="str">
        <f t="shared" si="61"/>
        <v>Southbound</v>
      </c>
      <c r="U173" s="18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08:35:55-0600',mode:absolute,to:'2016-10-26 10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3" s="52" t="str">
        <f t="shared" si="63"/>
        <v>N</v>
      </c>
      <c r="X173" s="186">
        <f t="shared" si="75"/>
        <v>1</v>
      </c>
      <c r="Y173" s="67">
        <f t="shared" si="72"/>
        <v>5.8672000000000004</v>
      </c>
      <c r="Z173" s="67">
        <f t="shared" si="73"/>
        <v>6.8699999999999997E-2</v>
      </c>
      <c r="AA173" s="67">
        <f t="shared" si="64"/>
        <v>5.7985000000000007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65"/>
        <v>0814-26</v>
      </c>
      <c r="AE173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73" s="88" t="str">
        <f t="shared" si="67"/>
        <v>"C:\Program Files (x86)\AstroGrep\AstroGrep.exe" /spath="%USERPROFILE%\AppData\Local\Temp\OnboardLogs" /stypes="app*4054*20161026*" /stext=" 15:.+((SYSTEM_STATE.+slice.+state.+changed )|(ment ac)|(system.+state.+changed )|(\[timeout)|(PRM\|1\|D)|(kpr)|(kdp)|(\|lc)|(penalty))" /e /r /s</v>
      </c>
      <c r="AG173" s="1" t="str">
        <f t="shared" si="68"/>
        <v>NW</v>
      </c>
      <c r="AH173" s="92" t="str">
        <f t="shared" si="69"/>
        <v>"%USERPROFILE%\Documents\GitHub\eaglep3\Utilities\RefineRTDCRunTimes.py" --tripid 814-26 --locoid 4054 --swversion DE.1.0.8.0 --startMP 300:58672 --initTime 2016-10-26T09:35:55 --startdatetime 2016-10-26T09:38:01 --delay 1 --endMP 204:687 --enddatetime 2016-10-26T09:54:42 --enforcementcount 0 &gt;&gt;C:\Users\stu\Documents\GitHub\eaglep3-reporting\EC\2016-10-26-refined-times.txt</v>
      </c>
      <c r="AI173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{"issue":{"subject":"","project_id":79,"tracker_id":40,"status_id":1,"priority_id":2,"assigned_to_id":23,"start_date":"2016-10-26","description":"","custom_fields":[{"id":1,"name":"Subdivision","value":"NW"},{"id":4,"name":"Milepost","value":"0.0687"},{"id":17,"name":"Train ID","value":"814-26"},{"id":16,"name":"Locomotive ID","value":"4054"},{"id":130,"name":"Impact","value":""},{"id":150,"name":"Time of Event (Mountain Time)","value":"09:54:42"},{"id":151,"name":"Denver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418</v>
      </c>
      <c r="B174" s="7">
        <v>4053</v>
      </c>
      <c r="C174" s="22" t="s">
        <v>378</v>
      </c>
      <c r="D174" s="22" t="s">
        <v>737</v>
      </c>
      <c r="E174" s="13">
        <v>42669.414166666669</v>
      </c>
      <c r="F174" s="13">
        <v>42669.43141203704</v>
      </c>
      <c r="G174" s="7">
        <v>1</v>
      </c>
      <c r="H174" s="13" t="s">
        <v>738</v>
      </c>
      <c r="I174" s="13">
        <v>42669.441689814812</v>
      </c>
      <c r="J174" s="7">
        <v>0</v>
      </c>
      <c r="K174" s="112" t="str">
        <f t="shared" si="59"/>
        <v>4053/4054</v>
      </c>
      <c r="L174" s="22" t="str">
        <f>VLOOKUP(A174,'Trips&amp;Operators'!$C$1:$E$10000,3,FALSE)</f>
        <v>GEBRETEKLE</v>
      </c>
      <c r="M174" s="6">
        <f t="shared" si="60"/>
        <v>1.0277777771989349E-2</v>
      </c>
      <c r="N174" s="7">
        <f t="shared" si="74"/>
        <v>14.799999991664663</v>
      </c>
      <c r="O174" s="7"/>
      <c r="P174" s="7"/>
      <c r="Q174" s="23"/>
      <c r="R174" s="23"/>
      <c r="S174" s="35">
        <f t="shared" si="71"/>
        <v>1</v>
      </c>
      <c r="T174" s="50" t="str">
        <f t="shared" si="61"/>
        <v>NorthBound</v>
      </c>
      <c r="U174" s="18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08:56:24-0600',mode:absolute,to:'2016-10-26 11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4" s="52" t="str">
        <f t="shared" si="63"/>
        <v>N</v>
      </c>
      <c r="X174" s="186">
        <f t="shared" si="75"/>
        <v>1</v>
      </c>
      <c r="Y174" s="67">
        <f t="shared" si="72"/>
        <v>9.7900000000000001E-2</v>
      </c>
      <c r="Z174" s="67">
        <f t="shared" si="73"/>
        <v>5.8973000000000004</v>
      </c>
      <c r="AA174" s="67">
        <f t="shared" si="64"/>
        <v>5.7994000000000003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65"/>
        <v>0815-26</v>
      </c>
      <c r="AE174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74" s="88" t="str">
        <f t="shared" si="67"/>
        <v>"C:\Program Files (x86)\AstroGrep\AstroGrep.exe" /spath="%USERPROFILE%\AppData\Local\Temp\OnboardLogs" /stypes="app*4053*20161026*" /stext=" 16:.+((SYSTEM_STATE.+slice.+state.+changed )|(ment ac)|(system.+state.+changed )|(\[timeout)|(PRM\|1\|D)|(kpr)|(kdp)|(\|lc)|(penalty))" /e /r /s</v>
      </c>
      <c r="AG174" s="1" t="str">
        <f t="shared" si="68"/>
        <v>NW</v>
      </c>
      <c r="AH174" s="92" t="str">
        <f t="shared" si="69"/>
        <v>"%USERPROFILE%\Documents\GitHub\eaglep3\Utilities\RefineRTDCRunTimes.py" --tripid 815-26 --locoid 4053 --swversion DE.1.0.8.0 --startMP 204:979 --initTime 2016-10-26T09:56:24 --startdatetime 2016-10-26T10:21:14 --delay 1 --endMP 300:58973 --enddatetime 2016-10-26T10:36:02 --enforcementcount 0 &gt;&gt;C:\Users\stu\Documents\GitHub\eaglep3-reporting\EC\2016-10-26-refined-times.txt</v>
      </c>
      <c r="AI174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{"issue":{"subject":"","project_id":79,"tracker_id":40,"status_id":1,"priority_id":2,"assigned_to_id":23,"start_date":"2016-10-26","description":"","custom_fields":[{"id":1,"name":"Subdivision","value":"NW"},{"id":4,"name":"Milepost","value":"5.8973"},{"id":17,"name":"Train ID","value":"815-26"},{"id":16,"name":"Locomotive ID","value":"4053"},{"id":130,"name":"Impact","value":""},{"id":150,"name":"Time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420</v>
      </c>
      <c r="B175" s="7">
        <v>4054</v>
      </c>
      <c r="C175" s="22" t="s">
        <v>378</v>
      </c>
      <c r="D175" s="22" t="s">
        <v>397</v>
      </c>
      <c r="E175" s="13">
        <v>42669.442962962959</v>
      </c>
      <c r="F175" s="13">
        <v>42669.444502314815</v>
      </c>
      <c r="G175" s="7">
        <v>1</v>
      </c>
      <c r="H175" s="13" t="s">
        <v>733</v>
      </c>
      <c r="I175" s="13">
        <v>42669.455462962964</v>
      </c>
      <c r="J175" s="7">
        <v>0</v>
      </c>
      <c r="K175" s="112" t="str">
        <f t="shared" si="59"/>
        <v>4053/4054</v>
      </c>
      <c r="L175" s="22" t="str">
        <f>VLOOKUP(A175,'Trips&amp;Operators'!$C$1:$E$10000,3,FALSE)</f>
        <v>GEBRETEKLE</v>
      </c>
      <c r="M175" s="6">
        <f t="shared" si="60"/>
        <v>1.096064814919373E-2</v>
      </c>
      <c r="N175" s="7">
        <f t="shared" si="74"/>
        <v>15.783333334838971</v>
      </c>
      <c r="O175" s="7"/>
      <c r="P175" s="7"/>
      <c r="Q175" s="23"/>
      <c r="R175" s="23"/>
      <c r="S175" s="35">
        <f t="shared" si="71"/>
        <v>1</v>
      </c>
      <c r="T175" s="50" t="str">
        <f t="shared" si="61"/>
        <v>Southbound</v>
      </c>
      <c r="U175" s="18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09:37:52-0600',mode:absolute,to:'2016-10-26 11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5" s="52" t="str">
        <f t="shared" si="63"/>
        <v>N</v>
      </c>
      <c r="X175" s="186">
        <f t="shared" si="75"/>
        <v>1</v>
      </c>
      <c r="Y175" s="67">
        <f t="shared" si="72"/>
        <v>5.8651</v>
      </c>
      <c r="Z175" s="67">
        <f t="shared" si="73"/>
        <v>6.9099999999999995E-2</v>
      </c>
      <c r="AA175" s="67">
        <f t="shared" si="64"/>
        <v>5.7960000000000003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65"/>
        <v>0816-26</v>
      </c>
      <c r="AE175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75" s="88" t="str">
        <f t="shared" si="67"/>
        <v>"C:\Program Files (x86)\AstroGrep\AstroGrep.exe" /spath="%USERPROFILE%\AppData\Local\Temp\OnboardLogs" /stypes="app*4054*20161026*" /stext=" 16:.+((SYSTEM_STATE.+slice.+state.+changed )|(ment ac)|(system.+state.+changed )|(\[timeout)|(PRM\|1\|D)|(kpr)|(kdp)|(\|lc)|(penalty))" /e /r /s</v>
      </c>
      <c r="AG175" s="1" t="str">
        <f t="shared" si="68"/>
        <v>NW</v>
      </c>
      <c r="AH175" s="92" t="str">
        <f t="shared" si="69"/>
        <v>"%USERPROFILE%\Documents\GitHub\eaglep3\Utilities\RefineRTDCRunTimes.py" --tripid 816-26 --locoid 4054 --swversion DE.1.0.8.0 --startMP 300:58651 --initTime 2016-10-26T10:37:52 --startdatetime 2016-10-26T10:40:05 --delay 1 --endMP 204:691 --enddatetime 2016-10-26T10:55:52 --enforcementcount 0 &gt;&gt;C:\Users\stu\Documents\GitHub\eaglep3-reporting\EC\2016-10-26-refined-times.txt</v>
      </c>
      <c r="AI175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{"issue":{"subject":"","project_id":79,"tracker_id":40,"status_id":1,"priority_id":2,"assigned_to_id":23,"start_date":"2016-10-26","description":"","custom_fields":[{"id":1,"name":"Subdivision","value":"NW"},{"id":4,"name":"Milepost","value":"0.0691"},{"id":17,"name":"Train ID","value":"816-26"},{"id":16,"name":"Locomotive ID","value":"4054"},{"id":130,"name":"Impact","value":""},{"id":150,"name":"Time of Event (Mountain Time)","value":"10:55:52"},{"id":151,"name":"Denver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505</v>
      </c>
      <c r="B176" s="7">
        <v>4053</v>
      </c>
      <c r="C176" s="22" t="s">
        <v>378</v>
      </c>
      <c r="D176" s="22" t="s">
        <v>396</v>
      </c>
      <c r="E176" s="13">
        <v>42669.456863425927</v>
      </c>
      <c r="F176" s="13">
        <v>42669.473101851851</v>
      </c>
      <c r="G176" s="7">
        <v>1</v>
      </c>
      <c r="H176" s="13" t="s">
        <v>739</v>
      </c>
      <c r="I176" s="13">
        <v>42669.48228009259</v>
      </c>
      <c r="J176" s="7">
        <v>0</v>
      </c>
      <c r="K176" s="112" t="str">
        <f t="shared" si="59"/>
        <v>4053/4054</v>
      </c>
      <c r="L176" s="22" t="str">
        <f>VLOOKUP(A176,'Trips&amp;Operators'!$C$1:$E$10000,3,FALSE)</f>
        <v>GEBRETEKLE</v>
      </c>
      <c r="M176" s="6">
        <f t="shared" si="60"/>
        <v>9.1782407398568466E-3</v>
      </c>
      <c r="N176" s="7">
        <f t="shared" si="74"/>
        <v>13.216666665393859</v>
      </c>
      <c r="O176" s="7"/>
      <c r="P176" s="7"/>
      <c r="Q176" s="23"/>
      <c r="R176" s="23"/>
      <c r="S176" s="35">
        <f t="shared" si="71"/>
        <v>1</v>
      </c>
      <c r="T176" s="50" t="str">
        <f t="shared" si="61"/>
        <v>NorthBound</v>
      </c>
      <c r="U176" s="18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09:57:53-0600',mode:absolute,to:'2016-10-26 12:34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6" s="52" t="str">
        <f t="shared" si="63"/>
        <v>N</v>
      </c>
      <c r="X176" s="186">
        <f t="shared" si="75"/>
        <v>1</v>
      </c>
      <c r="Y176" s="67">
        <f t="shared" si="72"/>
        <v>9.74E-2</v>
      </c>
      <c r="Z176" s="67">
        <f t="shared" si="73"/>
        <v>5.8982000000000001</v>
      </c>
      <c r="AA176" s="67">
        <f t="shared" si="64"/>
        <v>5.8007999999999997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65"/>
        <v>0817-26</v>
      </c>
      <c r="AE176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76" s="88" t="str">
        <f t="shared" si="67"/>
        <v>"C:\Program Files (x86)\AstroGrep\AstroGrep.exe" /spath="%USERPROFILE%\AppData\Local\Temp\OnboardLogs" /stypes="app*4053*20161026*" /stext=" 17:.+((SYSTEM_STATE.+slice.+state.+changed )|(ment ac)|(system.+state.+changed )|(\[timeout)|(PRM\|1\|D)|(kpr)|(kdp)|(\|lc)|(penalty))" /e /r /s</v>
      </c>
      <c r="AG176" s="1" t="str">
        <f t="shared" si="68"/>
        <v>NW</v>
      </c>
      <c r="AH176" s="92" t="str">
        <f t="shared" si="69"/>
        <v>"%USERPROFILE%\Documents\GitHub\eaglep3\Utilities\RefineRTDCRunTimes.py" --tripid 817-26 --locoid 4053 --swversion DE.1.0.8.0 --startMP 204:974 --initTime 2016-10-26T10:57:53 --startdatetime 2016-10-26T11:21:16 --delay 1 --endMP 300:58982 --enddatetime 2016-10-26T11:34:29 --enforcementcount 0 &gt;&gt;C:\Users\stu\Documents\GitHub\eaglep3-reporting\EC\2016-10-26-refined-times.txt</v>
      </c>
      <c r="AI176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{"issue":{"subject":"","project_id":79,"tracker_id":40,"status_id":1,"priority_id":2,"assigned_to_id":23,"start_date":"2016-10-26","description":"","custom_fields":[{"id":1,"name":"Subdivision","value":"NW"},{"id":4,"name":"Milepost","value":"5.8982"},{"id":17,"name":"Train ID","value":"817-26"},{"id":16,"name":"Locomotive ID","value":"4053"},{"id":130,"name":"Impact","value":""},{"id":150,"name":"Time of Event (Mountain Time)","value":"11:34:29"},{"id":151,"name":"Denver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514</v>
      </c>
      <c r="B177" s="7">
        <v>4054</v>
      </c>
      <c r="C177" s="22" t="s">
        <v>378</v>
      </c>
      <c r="D177" s="22" t="s">
        <v>740</v>
      </c>
      <c r="E177" s="13">
        <v>42669.483472222222</v>
      </c>
      <c r="F177" s="13">
        <v>42669.486597222225</v>
      </c>
      <c r="G177" s="7">
        <v>1</v>
      </c>
      <c r="H177" s="13" t="s">
        <v>741</v>
      </c>
      <c r="I177" s="13">
        <v>42669.496481481481</v>
      </c>
      <c r="J177" s="7">
        <v>0</v>
      </c>
      <c r="K177" s="112" t="str">
        <f t="shared" si="59"/>
        <v>4053/4054</v>
      </c>
      <c r="L177" s="22" t="str">
        <f>VLOOKUP(A177,'Trips&amp;Operators'!$C$1:$E$10000,3,FALSE)</f>
        <v>GEBRETEKLE</v>
      </c>
      <c r="M177" s="6">
        <f t="shared" si="60"/>
        <v>9.8842592560686171E-3</v>
      </c>
      <c r="N177" s="7">
        <f t="shared" si="74"/>
        <v>14.233333328738809</v>
      </c>
      <c r="O177" s="7"/>
      <c r="P177" s="7"/>
      <c r="Q177" s="23"/>
      <c r="R177" s="23"/>
      <c r="S177" s="35">
        <f t="shared" si="71"/>
        <v>1</v>
      </c>
      <c r="T177" s="50" t="str">
        <f t="shared" si="61"/>
        <v>Southbound</v>
      </c>
      <c r="U177" s="18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10:36:12-0600',mode:absolute,to:'2016-10-26 12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7" s="52" t="str">
        <f t="shared" si="63"/>
        <v>N</v>
      </c>
      <c r="X177" s="186">
        <f t="shared" si="75"/>
        <v>1</v>
      </c>
      <c r="Y177" s="67">
        <f t="shared" si="72"/>
        <v>5.8666</v>
      </c>
      <c r="Z177" s="67">
        <f t="shared" si="73"/>
        <v>7.0099999999999996E-2</v>
      </c>
      <c r="AA177" s="67">
        <f t="shared" si="64"/>
        <v>5.7965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65"/>
        <v>0818-26</v>
      </c>
      <c r="AE177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77" s="88" t="str">
        <f t="shared" si="67"/>
        <v>"C:\Program Files (x86)\AstroGrep\AstroGrep.exe" /spath="%USERPROFILE%\AppData\Local\Temp\OnboardLogs" /stypes="app*4054*20161026*" /stext=" 17:.+((SYSTEM_STATE.+slice.+state.+changed )|(ment ac)|(system.+state.+changed )|(\[timeout)|(PRM\|1\|D)|(kpr)|(kdp)|(\|lc)|(penalty))" /e /r /s</v>
      </c>
      <c r="AG177" s="1" t="str">
        <f t="shared" si="68"/>
        <v>NW</v>
      </c>
      <c r="AH177" s="92" t="str">
        <f t="shared" si="69"/>
        <v>"%USERPROFILE%\Documents\GitHub\eaglep3\Utilities\RefineRTDCRunTimes.py" --tripid 818-26 --locoid 4054 --swversion DE.1.0.8.0 --startMP 300:58666 --initTime 2016-10-26T11:36:12 --startdatetime 2016-10-26T11:40:42 --delay 1 --endMP 204:701 --enddatetime 2016-10-26T11:54:56 --enforcementcount 0 &gt;&gt;C:\Users\stu\Documents\GitHub\eaglep3-reporting\EC\2016-10-26-refined-times.txt</v>
      </c>
      <c r="AI177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{"issue":{"subject":"","project_id":79,"tracker_id":40,"status_id":1,"priority_id":2,"assigned_to_id":23,"start_date":"2016-10-26","description":"","custom_fields":[{"id":1,"name":"Subdivision","value":"NW"},{"id":4,"name":"Milepost","value":"0.0701"},{"id":17,"name":"Train ID","value":"818-26"},{"id":16,"name":"Locomotive ID","value":"4054"},{"id":130,"name":"Impact","value":""},{"id":150,"name":"Time of Event (Mountain Time)","value":"11:54:56"},{"id":151,"name":"Denver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519</v>
      </c>
      <c r="B178" s="7">
        <v>4053</v>
      </c>
      <c r="C178" s="22" t="s">
        <v>378</v>
      </c>
      <c r="D178" s="22" t="s">
        <v>396</v>
      </c>
      <c r="E178" s="13">
        <v>42669.497777777775</v>
      </c>
      <c r="F178" s="13">
        <v>42669.514756944445</v>
      </c>
      <c r="G178" s="7">
        <v>1</v>
      </c>
      <c r="H178" s="13" t="s">
        <v>742</v>
      </c>
      <c r="I178" s="13">
        <v>42669.524224537039</v>
      </c>
      <c r="J178" s="7">
        <v>0</v>
      </c>
      <c r="K178" s="112" t="str">
        <f t="shared" si="59"/>
        <v>4053/4054</v>
      </c>
      <c r="L178" s="22" t="str">
        <f>VLOOKUP(A178,'Trips&amp;Operators'!$C$1:$E$10000,3,FALSE)</f>
        <v>GEBRETEKLE</v>
      </c>
      <c r="M178" s="6">
        <f t="shared" si="60"/>
        <v>9.4675925938645378E-3</v>
      </c>
      <c r="N178" s="7">
        <f t="shared" si="74"/>
        <v>13.633333335164934</v>
      </c>
      <c r="O178" s="7"/>
      <c r="P178" s="7"/>
      <c r="Q178" s="23"/>
      <c r="R178" s="23"/>
      <c r="S178" s="35">
        <f t="shared" si="71"/>
        <v>1</v>
      </c>
      <c r="T178" s="50" t="str">
        <f t="shared" si="61"/>
        <v>NorthBound</v>
      </c>
      <c r="U178" s="18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10:56:48-0600',mode:absolute,to:'2016-10-26 13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78" s="52" t="str">
        <f t="shared" si="63"/>
        <v>N</v>
      </c>
      <c r="X178" s="186">
        <f t="shared" si="75"/>
        <v>1</v>
      </c>
      <c r="Y178" s="67">
        <f t="shared" si="72"/>
        <v>9.74E-2</v>
      </c>
      <c r="Z178" s="67">
        <f t="shared" si="73"/>
        <v>5.8987999999999996</v>
      </c>
      <c r="AA178" s="67">
        <f t="shared" si="64"/>
        <v>5.8013999999999992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65"/>
        <v>0819-26</v>
      </c>
      <c r="AE178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78" s="88" t="str">
        <f t="shared" si="67"/>
        <v>"C:\Program Files (x86)\AstroGrep\AstroGrep.exe" /spath="%USERPROFILE%\AppData\Local\Temp\OnboardLogs" /stypes="app*4053*20161026*" /stext=" 18:.+((SYSTEM_STATE.+slice.+state.+changed )|(ment ac)|(system.+state.+changed )|(\[timeout)|(PRM\|1\|D)|(kpr)|(kdp)|(\|lc)|(penalty))" /e /r /s</v>
      </c>
      <c r="AG178" s="1" t="str">
        <f t="shared" si="68"/>
        <v>NW</v>
      </c>
      <c r="AH178" s="92" t="str">
        <f t="shared" si="69"/>
        <v>"%USERPROFILE%\Documents\GitHub\eaglep3\Utilities\RefineRTDCRunTimes.py" --tripid 819-26 --locoid 4053 --swversion DE.1.0.8.0 --startMP 204:974 --initTime 2016-10-26T11:56:48 --startdatetime 2016-10-26T12:21:15 --delay 1 --endMP 300:58988 --enddatetime 2016-10-26T12:34:53 --enforcementcount 0 &gt;&gt;C:\Users\stu\Documents\GitHub\eaglep3-reporting\EC\2016-10-26-refined-times.txt</v>
      </c>
      <c r="AI178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{"issue":{"subject":"","project_id":79,"tracker_id":40,"status_id":1,"priority_id":2,"assigned_to_id":23,"start_date":"2016-10-26","description":"","custom_fields":[{"id":1,"name":"Subdivision","value":"NW"},{"id":4,"name":"Milepost","value":"5.8988"},{"id":17,"name":"Train ID","value":"819-26"},{"id":16,"name":"Locomotive ID","value":"4053"},{"id":130,"name":"Impact","value":""},{"id":150,"name":"Time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525</v>
      </c>
      <c r="B179" s="7">
        <v>4054</v>
      </c>
      <c r="C179" s="22" t="s">
        <v>378</v>
      </c>
      <c r="D179" s="22" t="s">
        <v>740</v>
      </c>
      <c r="E179" s="13">
        <v>42669.525636574072</v>
      </c>
      <c r="F179" s="13">
        <v>42669.527314814812</v>
      </c>
      <c r="G179" s="7">
        <v>1</v>
      </c>
      <c r="H179" s="13" t="s">
        <v>723</v>
      </c>
      <c r="I179" s="13">
        <v>42669.538124999999</v>
      </c>
      <c r="J179" s="7">
        <v>0</v>
      </c>
      <c r="K179" s="112" t="str">
        <f t="shared" si="59"/>
        <v>4053/4054</v>
      </c>
      <c r="L179" s="22" t="str">
        <f>VLOOKUP(A179,'Trips&amp;Operators'!$C$1:$E$10000,3,FALSE)</f>
        <v>GEBRETEKLE</v>
      </c>
      <c r="M179" s="6">
        <f t="shared" si="60"/>
        <v>1.0810185187438037E-2</v>
      </c>
      <c r="N179" s="7">
        <f t="shared" si="74"/>
        <v>15.566666669910774</v>
      </c>
      <c r="O179" s="7"/>
      <c r="P179" s="7"/>
      <c r="Q179" s="23"/>
      <c r="R179" s="23"/>
      <c r="S179" s="35">
        <f t="shared" si="71"/>
        <v>1</v>
      </c>
      <c r="T179" s="50" t="str">
        <f t="shared" si="61"/>
        <v>Southbound</v>
      </c>
      <c r="U179" s="18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11:36:55-0600',mode:absolute,to:'2016-10-26 13:54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79" s="52" t="str">
        <f t="shared" si="63"/>
        <v>N</v>
      </c>
      <c r="X179" s="186">
        <f t="shared" si="75"/>
        <v>1</v>
      </c>
      <c r="Y179" s="67">
        <f t="shared" si="72"/>
        <v>5.8666</v>
      </c>
      <c r="Z179" s="67">
        <f t="shared" si="73"/>
        <v>6.8699999999999997E-2</v>
      </c>
      <c r="AA179" s="67">
        <f t="shared" si="64"/>
        <v>5.7979000000000003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65"/>
        <v>0820-26</v>
      </c>
      <c r="AE179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79" s="88" t="str">
        <f t="shared" si="67"/>
        <v>"C:\Program Files (x86)\AstroGrep\AstroGrep.exe" /spath="%USERPROFILE%\AppData\Local\Temp\OnboardLogs" /stypes="app*4054*20161026*" /stext=" 18:.+((SYSTEM_STATE.+slice.+state.+changed )|(ment ac)|(system.+state.+changed )|(\[timeout)|(PRM\|1\|D)|(kpr)|(kdp)|(\|lc)|(penalty))" /e /r /s</v>
      </c>
      <c r="AG179" s="1" t="str">
        <f t="shared" si="68"/>
        <v>NW</v>
      </c>
      <c r="AH179" s="92" t="str">
        <f t="shared" si="69"/>
        <v>"%USERPROFILE%\Documents\GitHub\eaglep3\Utilities\RefineRTDCRunTimes.py" --tripid 820-26 --locoid 4054 --swversion DE.1.0.8.0 --startMP 300:58666 --initTime 2016-10-26T12:36:55 --startdatetime 2016-10-26T12:39:20 --delay 1 --endMP 204:687 --enddatetime 2016-10-26T12:54:54 --enforcementcount 0 &gt;&gt;C:\Users\stu\Documents\GitHub\eaglep3-reporting\EC\2016-10-26-refined-times.txt</v>
      </c>
      <c r="AI179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{"issue":{"subject":"","project_id":79,"tracker_id":40,"status_id":1,"priority_id":2,"assigned_to_id":23,"start_date":"2016-10-26","description":"","custom_fields":[{"id":1,"name":"Subdivision","value":"NW"},{"id":4,"name":"Milepost","value":"0.0687"},{"id":17,"name":"Train ID","value":"820-26"},{"id":16,"name":"Locomotive ID","value":"4054"},{"id":130,"name":"Impact","value":""},{"id":150,"name":"Time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532</v>
      </c>
      <c r="B180" s="7">
        <v>4053</v>
      </c>
      <c r="C180" s="22" t="s">
        <v>378</v>
      </c>
      <c r="D180" s="22" t="s">
        <v>743</v>
      </c>
      <c r="E180" s="13">
        <v>42669.550312500003</v>
      </c>
      <c r="F180" s="13">
        <v>42669.556574074071</v>
      </c>
      <c r="G180" s="7">
        <v>1</v>
      </c>
      <c r="H180" s="13" t="s">
        <v>739</v>
      </c>
      <c r="I180" s="13">
        <v>42669.566678240742</v>
      </c>
      <c r="J180" s="7">
        <v>0</v>
      </c>
      <c r="K180" s="112" t="str">
        <f t="shared" si="59"/>
        <v>4053/4054</v>
      </c>
      <c r="L180" s="22" t="str">
        <f>VLOOKUP(A180,'Trips&amp;Operators'!$C$1:$E$10000,3,FALSE)</f>
        <v>MOSES</v>
      </c>
      <c r="M180" s="6">
        <f t="shared" si="60"/>
        <v>1.0104166671226267E-2</v>
      </c>
      <c r="N180" s="7">
        <f t="shared" si="74"/>
        <v>14.550000006565824</v>
      </c>
      <c r="O180" s="7"/>
      <c r="P180" s="7"/>
      <c r="Q180" s="23"/>
      <c r="R180" s="23"/>
      <c r="S180" s="35">
        <f t="shared" si="71"/>
        <v>1</v>
      </c>
      <c r="T180" s="50" t="str">
        <f t="shared" si="61"/>
        <v>NorthBound</v>
      </c>
      <c r="U180" s="18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12:12:27-0600',mode:absolute,to:'2016-10-26 14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0" s="52" t="str">
        <f t="shared" si="63"/>
        <v>N</v>
      </c>
      <c r="X180" s="186">
        <f t="shared" si="75"/>
        <v>1</v>
      </c>
      <c r="Y180" s="67">
        <f t="shared" si="72"/>
        <v>9.8500000000000004E-2</v>
      </c>
      <c r="Z180" s="67">
        <f t="shared" si="73"/>
        <v>5.8982000000000001</v>
      </c>
      <c r="AA180" s="67">
        <f t="shared" si="64"/>
        <v>5.7997000000000005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65"/>
        <v>0821-26</v>
      </c>
      <c r="AE180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80" s="88" t="str">
        <f t="shared" si="67"/>
        <v>"C:\Program Files (x86)\AstroGrep\AstroGrep.exe" /spath="%USERPROFILE%\AppData\Local\Temp\OnboardLogs" /stypes="app*4053*20161026*" /stext=" 19:.+((SYSTEM_STATE.+slice.+state.+changed )|(ment ac)|(system.+state.+changed )|(\[timeout)|(PRM\|1\|D)|(kpr)|(kdp)|(\|lc)|(penalty))" /e /r /s</v>
      </c>
      <c r="AG180" s="1" t="str">
        <f t="shared" si="68"/>
        <v>NW</v>
      </c>
      <c r="AH180" s="92" t="str">
        <f t="shared" si="69"/>
        <v>"%USERPROFILE%\Documents\GitHub\eaglep3\Utilities\RefineRTDCRunTimes.py" --tripid 821-26 --locoid 4053 --swversion DE.1.0.8.0 --startMP 204:985 --initTime 2016-10-26T13:12:27 --startdatetime 2016-10-26T13:21:28 --delay 1 --endMP 300:58982 --enddatetime 2016-10-26T13:36:01 --enforcementcount 0 &gt;&gt;C:\Users\stu\Documents\GitHub\eaglep3-reporting\EC\2016-10-26-refined-times.txt</v>
      </c>
      <c r="AI180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{"issue":{"subject":"","project_id":79,"tracker_id":40,"status_id":1,"priority_id":2,"assigned_to_id":23,"start_date":"2016-10-26","description":"","custom_fields":[{"id":1,"name":"Subdivision","value":"NW"},{"id":4,"name":"Milepost","value":"5.8982"},{"id":17,"name":"Train ID","value":"821-26"},{"id":16,"name":"Locomotive ID","value":"4053"},{"id":130,"name":"Impact","value":""},{"id":150,"name":"Time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422</v>
      </c>
      <c r="B181" s="7">
        <v>4054</v>
      </c>
      <c r="C181" s="22" t="s">
        <v>378</v>
      </c>
      <c r="D181" s="22" t="s">
        <v>736</v>
      </c>
      <c r="E181" s="13">
        <v>42669.56795138889</v>
      </c>
      <c r="F181" s="13">
        <v>42669.569872685184</v>
      </c>
      <c r="G181" s="7">
        <v>1</v>
      </c>
      <c r="H181" s="13" t="s">
        <v>328</v>
      </c>
      <c r="I181" s="13">
        <v>42669.581157407411</v>
      </c>
      <c r="J181" s="7">
        <v>0</v>
      </c>
      <c r="K181" s="112" t="str">
        <f t="shared" si="59"/>
        <v>4053/4054</v>
      </c>
      <c r="L181" s="22" t="str">
        <f>VLOOKUP(A181,'Trips&amp;Operators'!$C$1:$E$10000,3,FALSE)</f>
        <v>MOSES</v>
      </c>
      <c r="M181" s="6">
        <f t="shared" si="60"/>
        <v>1.1284722226264421E-2</v>
      </c>
      <c r="N181" s="7">
        <f t="shared" si="74"/>
        <v>16.250000005820766</v>
      </c>
      <c r="O181" s="7"/>
      <c r="P181" s="7"/>
      <c r="Q181" s="23"/>
      <c r="R181" s="23"/>
      <c r="S181" s="35">
        <f t="shared" si="71"/>
        <v>1</v>
      </c>
      <c r="T181" s="50" t="str">
        <f t="shared" si="61"/>
        <v>Southbound</v>
      </c>
      <c r="U181" s="18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12:37:51-0600',mode:absolute,to:'2016-10-26 14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1" s="52" t="str">
        <f t="shared" si="63"/>
        <v>N</v>
      </c>
      <c r="X181" s="186">
        <f t="shared" si="75"/>
        <v>1</v>
      </c>
      <c r="Y181" s="67">
        <f t="shared" si="72"/>
        <v>5.8672000000000004</v>
      </c>
      <c r="Z181" s="67">
        <f t="shared" si="73"/>
        <v>6.9800000000000001E-2</v>
      </c>
      <c r="AA181" s="67">
        <f t="shared" si="64"/>
        <v>5.7974000000000006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65"/>
        <v>0822-26</v>
      </c>
      <c r="AE181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81" s="88" t="str">
        <f t="shared" si="67"/>
        <v>"C:\Program Files (x86)\AstroGrep\AstroGrep.exe" /spath="%USERPROFILE%\AppData\Local\Temp\OnboardLogs" /stypes="app*4054*20161026*" /stext=" 19:.+((SYSTEM_STATE.+slice.+state.+changed )|(ment ac)|(system.+state.+changed )|(\[timeout)|(PRM\|1\|D)|(kpr)|(kdp)|(\|lc)|(penalty))" /e /r /s</v>
      </c>
      <c r="AG181" s="1" t="str">
        <f t="shared" si="68"/>
        <v>NW</v>
      </c>
      <c r="AH181" s="92" t="str">
        <f t="shared" si="69"/>
        <v>"%USERPROFILE%\Documents\GitHub\eaglep3\Utilities\RefineRTDCRunTimes.py" --tripid 822-26 --locoid 4054 --swversion DE.1.0.8.0 --startMP 300:58672 --initTime 2016-10-26T13:37:51 --startdatetime 2016-10-26T13:40:37 --delay 1 --endMP 204:698 --enddatetime 2016-10-26T13:56:52 --enforcementcount 0 &gt;&gt;C:\Users\stu\Documents\GitHub\eaglep3-reporting\EC\2016-10-26-refined-times.txt</v>
      </c>
      <c r="AI181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{"issue":{"subject":"","project_id":79,"tracker_id":40,"status_id":1,"priority_id":2,"assigned_to_id":23,"start_date":"2016-10-26","description":"","custom_fields":[{"id":1,"name":"Subdivision","value":"NW"},{"id":4,"name":"Milepost","value":"0.0698"},{"id":17,"name":"Train ID","value":"822-26"},{"id":16,"name":"Locomotive ID","value":"4054"},{"id":130,"name":"Impact","value":""},{"id":150,"name":"Time of Event (Mountain Time)","value":"13:56:52"},{"id":151,"name":"Denver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424</v>
      </c>
      <c r="B182" s="7">
        <v>4053</v>
      </c>
      <c r="C182" s="22" t="s">
        <v>378</v>
      </c>
      <c r="D182" s="22" t="s">
        <v>394</v>
      </c>
      <c r="E182" s="13">
        <v>42669.593090277776</v>
      </c>
      <c r="F182" s="13">
        <v>42669.598194444443</v>
      </c>
      <c r="G182" s="7">
        <v>1</v>
      </c>
      <c r="H182" s="13" t="s">
        <v>744</v>
      </c>
      <c r="I182" s="13">
        <v>42669.607569444444</v>
      </c>
      <c r="J182" s="7">
        <v>0</v>
      </c>
      <c r="K182" s="112" t="str">
        <f t="shared" si="59"/>
        <v>4053/4054</v>
      </c>
      <c r="L182" s="22" t="str">
        <f>VLOOKUP(A182,'Trips&amp;Operators'!$C$1:$E$10000,3,FALSE)</f>
        <v>MOSES</v>
      </c>
      <c r="M182" s="6">
        <f t="shared" si="60"/>
        <v>9.3750000014551915E-3</v>
      </c>
      <c r="N182" s="7">
        <f t="shared" si="74"/>
        <v>13.500000002095476</v>
      </c>
      <c r="O182" s="7"/>
      <c r="P182" s="7"/>
      <c r="Q182" s="23"/>
      <c r="R182" s="23"/>
      <c r="S182" s="35">
        <f t="shared" si="71"/>
        <v>1</v>
      </c>
      <c r="T182" s="50" t="str">
        <f t="shared" si="61"/>
        <v>NorthBound</v>
      </c>
      <c r="U182" s="18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13:14:03-0600',mode:absolute,to:'2016-10-26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2" s="52" t="str">
        <f t="shared" si="63"/>
        <v>N</v>
      </c>
      <c r="X182" s="186">
        <f t="shared" si="75"/>
        <v>1</v>
      </c>
      <c r="Y182" s="67">
        <f t="shared" si="72"/>
        <v>9.8100000000000007E-2</v>
      </c>
      <c r="Z182" s="67">
        <f t="shared" si="73"/>
        <v>5.8983999999999996</v>
      </c>
      <c r="AA182" s="67">
        <f t="shared" si="64"/>
        <v>5.8003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65"/>
        <v>0823-26</v>
      </c>
      <c r="AE182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82" s="88" t="str">
        <f t="shared" si="67"/>
        <v>"C:\Program Files (x86)\AstroGrep\AstroGrep.exe" /spath="%USERPROFILE%\AppData\Local\Temp\OnboardLogs" /stypes="app*4053*20161026*" /stext=" 20:.+((SYSTEM_STATE.+slice.+state.+changed )|(ment ac)|(system.+state.+changed )|(\[timeout)|(PRM\|1\|D)|(kpr)|(kdp)|(\|lc)|(penalty))" /e /r /s</v>
      </c>
      <c r="AG182" s="1" t="str">
        <f t="shared" si="68"/>
        <v>NW</v>
      </c>
      <c r="AH182" s="92" t="str">
        <f t="shared" si="69"/>
        <v>"%USERPROFILE%\Documents\GitHub\eaglep3\Utilities\RefineRTDCRunTimes.py" --tripid 823-26 --locoid 4053 --swversion DE.1.0.8.0 --startMP 204:981 --initTime 2016-10-26T14:14:03 --startdatetime 2016-10-26T14:21:24 --delay 1 --endMP 300:58984 --enddatetime 2016-10-26T14:34:54 --enforcementcount 0 &gt;&gt;C:\Users\stu\Documents\GitHub\eaglep3-reporting\EC\2016-10-26-refined-times.txt</v>
      </c>
      <c r="AI182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{"issue":{"subject":"","project_id":79,"tracker_id":40,"status_id":1,"priority_id":2,"assigned_to_id":23,"start_date":"2016-10-26","description":"","custom_fields":[{"id":1,"name":"Subdivision","value":"NW"},{"id":4,"name":"Milepost","value":"5.8984"},{"id":17,"name":"Train ID","value":"823-26"},{"id":16,"name":"Locomotive ID","value":"4053"},{"id":130,"name":"Impact","value":""},{"id":150,"name":"Time of Event (Mountain Time)","value":"14:34:54"},{"id":151,"name":"Denver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543</v>
      </c>
      <c r="B183" s="7">
        <v>4054</v>
      </c>
      <c r="C183" s="22" t="s">
        <v>378</v>
      </c>
      <c r="D183" s="22" t="s">
        <v>745</v>
      </c>
      <c r="E183" s="13">
        <v>42669.609513888892</v>
      </c>
      <c r="F183" s="13">
        <v>42669.611261574071</v>
      </c>
      <c r="G183" s="7">
        <v>1</v>
      </c>
      <c r="H183" s="13" t="s">
        <v>730</v>
      </c>
      <c r="I183" s="13">
        <v>42669.621898148151</v>
      </c>
      <c r="J183" s="7">
        <v>0</v>
      </c>
      <c r="K183" s="112" t="str">
        <f t="shared" si="59"/>
        <v>4053/4054</v>
      </c>
      <c r="L183" s="22" t="str">
        <f>VLOOKUP(A183,'Trips&amp;Operators'!$C$1:$E$10000,3,FALSE)</f>
        <v>MOSES</v>
      </c>
      <c r="M183" s="6">
        <f t="shared" si="60"/>
        <v>1.0636574079398997E-2</v>
      </c>
      <c r="N183" s="7">
        <f t="shared" si="74"/>
        <v>15.316666674334556</v>
      </c>
      <c r="O183" s="7"/>
      <c r="P183" s="7"/>
      <c r="Q183" s="23"/>
      <c r="R183" s="23"/>
      <c r="S183" s="35">
        <f t="shared" si="71"/>
        <v>1</v>
      </c>
      <c r="T183" s="50" t="str">
        <f t="shared" si="61"/>
        <v>Southbound</v>
      </c>
      <c r="U183" s="18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13:37:42-0600',mode:absolute,to:'2016-10-26 15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3" s="52" t="str">
        <f t="shared" si="63"/>
        <v>N</v>
      </c>
      <c r="X183" s="186">
        <f t="shared" si="75"/>
        <v>1</v>
      </c>
      <c r="Y183" s="67">
        <f t="shared" si="72"/>
        <v>5.867</v>
      </c>
      <c r="Z183" s="67">
        <f t="shared" si="73"/>
        <v>7.0499999999999993E-2</v>
      </c>
      <c r="AA183" s="67">
        <f t="shared" si="64"/>
        <v>5.7965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65"/>
        <v>0824-26</v>
      </c>
      <c r="AE183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83" s="88" t="str">
        <f t="shared" si="67"/>
        <v>"C:\Program Files (x86)\AstroGrep\AstroGrep.exe" /spath="%USERPROFILE%\AppData\Local\Temp\OnboardLogs" /stypes="app*4054*20161026*" /stext=" 20:.+((SYSTEM_STATE.+slice.+state.+changed )|(ment ac)|(system.+state.+changed )|(\[timeout)|(PRM\|1\|D)|(kpr)|(kdp)|(\|lc)|(penalty))" /e /r /s</v>
      </c>
      <c r="AG183" s="1" t="str">
        <f t="shared" si="68"/>
        <v>NW</v>
      </c>
      <c r="AH183" s="92" t="str">
        <f t="shared" si="69"/>
        <v>"%USERPROFILE%\Documents\GitHub\eaglep3\Utilities\RefineRTDCRunTimes.py" --tripid 824-26 --locoid 4054 --swversion DE.1.0.8.0 --startMP 300:58670 --initTime 2016-10-26T14:37:42 --startdatetime 2016-10-26T14:40:13 --delay 1 --endMP 204:705 --enddatetime 2016-10-26T14:55:32 --enforcementcount 0 &gt;&gt;C:\Users\stu\Documents\GitHub\eaglep3-reporting\EC\2016-10-26-refined-times.txt</v>
      </c>
      <c r="AI183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{"issue":{"subject":"","project_id":79,"tracker_id":40,"status_id":1,"priority_id":2,"assigned_to_id":23,"start_date":"2016-10-26","description":"","custom_fields":[{"id":1,"name":"Subdivision","value":"NW"},{"id":4,"name":"Milepost","value":"0.0705"},{"id":17,"name":"Train ID","value":"824-26"},{"id":16,"name":"Locomotive ID","value":"4054"},{"id":130,"name":"Impact","value":""},{"id":150,"name":"Time of Event (Mountain Time)","value":"14:55:32"},{"id":151,"name":"Denver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551</v>
      </c>
      <c r="B184" s="7">
        <v>4053</v>
      </c>
      <c r="C184" s="22" t="s">
        <v>378</v>
      </c>
      <c r="D184" s="22" t="s">
        <v>746</v>
      </c>
      <c r="E184" s="13">
        <v>42669.63553240741</v>
      </c>
      <c r="F184" s="13">
        <v>42669.639826388891</v>
      </c>
      <c r="G184" s="7">
        <v>1</v>
      </c>
      <c r="H184" s="13" t="s">
        <v>744</v>
      </c>
      <c r="I184" s="13">
        <v>42669.649699074071</v>
      </c>
      <c r="J184" s="7">
        <v>0</v>
      </c>
      <c r="K184" s="112" t="str">
        <f t="shared" si="59"/>
        <v>4053/4054</v>
      </c>
      <c r="L184" s="22" t="str">
        <f>VLOOKUP(A184,'Trips&amp;Operators'!$C$1:$E$10000,3,FALSE)</f>
        <v>MOSES</v>
      </c>
      <c r="M184" s="6">
        <f t="shared" si="60"/>
        <v>9.8726851792889647E-3</v>
      </c>
      <c r="N184" s="7">
        <f t="shared" si="74"/>
        <v>14.216666658176109</v>
      </c>
      <c r="O184" s="7"/>
      <c r="P184" s="7"/>
      <c r="Q184" s="23"/>
      <c r="R184" s="23"/>
      <c r="S184" s="35">
        <f t="shared" si="71"/>
        <v>1</v>
      </c>
      <c r="T184" s="50" t="str">
        <f t="shared" si="61"/>
        <v>NorthBound</v>
      </c>
      <c r="U184" s="18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14:15:10-0600',mode:absolute,to:'2016-10-26 16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4" s="52" t="str">
        <f t="shared" si="63"/>
        <v>N</v>
      </c>
      <c r="X184" s="186">
        <f t="shared" si="75"/>
        <v>1</v>
      </c>
      <c r="Y184" s="67">
        <f t="shared" si="72"/>
        <v>0.1</v>
      </c>
      <c r="Z184" s="67">
        <f t="shared" si="73"/>
        <v>5.8983999999999996</v>
      </c>
      <c r="AA184" s="67">
        <f t="shared" si="64"/>
        <v>5.7984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65"/>
        <v>0825-26</v>
      </c>
      <c r="AE184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84" s="88" t="str">
        <f t="shared" si="67"/>
        <v>"C:\Program Files (x86)\AstroGrep\AstroGrep.exe" /spath="%USERPROFILE%\AppData\Local\Temp\OnboardLogs" /stypes="app*4053*20161026*" /stext=" 21:.+((SYSTEM_STATE.+slice.+state.+changed )|(ment ac)|(system.+state.+changed )|(\[timeout)|(PRM\|1\|D)|(kpr)|(kdp)|(\|lc)|(penalty))" /e /r /s</v>
      </c>
      <c r="AG184" s="1" t="str">
        <f t="shared" si="68"/>
        <v>NW</v>
      </c>
      <c r="AH184" s="92" t="str">
        <f t="shared" si="69"/>
        <v>"%USERPROFILE%\Documents\GitHub\eaglep3\Utilities\RefineRTDCRunTimes.py" --tripid 825-26 --locoid 4053 --swversion DE.1.0.8.0 --startMP 204:1000 --initTime 2016-10-26T15:15:10 --startdatetime 2016-10-26T15:21:21 --delay 1 --endMP 300:58984 --enddatetime 2016-10-26T15:35:34 --enforcementcount 0 &gt;&gt;C:\Users\stu\Documents\GitHub\eaglep3-reporting\EC\2016-10-26-refined-times.txt</v>
      </c>
      <c r="AI184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{"issue":{"subject":"","project_id":79,"tracker_id":40,"status_id":1,"priority_id":2,"assigned_to_id":23,"start_date":"2016-10-26","description":"","custom_fields":[{"id":1,"name":"Subdivision","value":"NW"},{"id":4,"name":"Milepost","value":"5.8984"},{"id":17,"name":"Train ID","value":"825-26"},{"id":16,"name":"Locomotive ID","value":"4053"},{"id":130,"name":"Impact","value":""},{"id":150,"name":"Time of Event (Mountain Time)","value":"15:35:34"},{"id":151,"name":"Denver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556</v>
      </c>
      <c r="B185" s="7">
        <v>4054</v>
      </c>
      <c r="C185" s="22" t="s">
        <v>378</v>
      </c>
      <c r="D185" s="22" t="s">
        <v>747</v>
      </c>
      <c r="E185" s="13">
        <v>42669.651087962964</v>
      </c>
      <c r="F185" s="13">
        <v>42669.652916666666</v>
      </c>
      <c r="G185" s="7">
        <v>1</v>
      </c>
      <c r="H185" s="13" t="s">
        <v>748</v>
      </c>
      <c r="I185" s="13">
        <v>42669.664027777777</v>
      </c>
      <c r="J185" s="7">
        <v>0</v>
      </c>
      <c r="K185" s="112" t="str">
        <f t="shared" si="59"/>
        <v>4053/4054</v>
      </c>
      <c r="L185" s="22" t="str">
        <f>VLOOKUP(A185,'Trips&amp;Operators'!$C$1:$E$10000,3,FALSE)</f>
        <v>MOSES</v>
      </c>
      <c r="M185" s="6">
        <f t="shared" si="60"/>
        <v>1.1111111110949423E-2</v>
      </c>
      <c r="N185" s="7">
        <f t="shared" si="74"/>
        <v>15.999999999767169</v>
      </c>
      <c r="O185" s="7"/>
      <c r="P185" s="7"/>
      <c r="Q185" s="23"/>
      <c r="R185" s="23"/>
      <c r="S185" s="35">
        <f t="shared" si="71"/>
        <v>1</v>
      </c>
      <c r="T185" s="50" t="str">
        <f t="shared" si="61"/>
        <v>Southbound</v>
      </c>
      <c r="U185" s="18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14:37:34-0600',mode:absolute,to:'2016-10-26 16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5" s="52" t="str">
        <f t="shared" si="63"/>
        <v>N</v>
      </c>
      <c r="X185" s="186">
        <f t="shared" si="75"/>
        <v>1</v>
      </c>
      <c r="Y185" s="67">
        <f t="shared" si="72"/>
        <v>5.8673000000000002</v>
      </c>
      <c r="Z185" s="67">
        <f t="shared" si="73"/>
        <v>7.17E-2</v>
      </c>
      <c r="AA185" s="67">
        <f t="shared" si="64"/>
        <v>5.7956000000000003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65"/>
        <v>0826-26</v>
      </c>
      <c r="AE185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85" s="88" t="str">
        <f t="shared" si="67"/>
        <v>"C:\Program Files (x86)\AstroGrep\AstroGrep.exe" /spath="%USERPROFILE%\AppData\Local\Temp\OnboardLogs" /stypes="app*4054*20161026*" /stext=" 21:.+((SYSTEM_STATE.+slice.+state.+changed )|(ment ac)|(system.+state.+changed )|(\[timeout)|(PRM\|1\|D)|(kpr)|(kdp)|(\|lc)|(penalty))" /e /r /s</v>
      </c>
      <c r="AG185" s="1" t="str">
        <f t="shared" si="68"/>
        <v>NW</v>
      </c>
      <c r="AH185" s="92" t="str">
        <f t="shared" si="69"/>
        <v>"%USERPROFILE%\Documents\GitHub\eaglep3\Utilities\RefineRTDCRunTimes.py" --tripid 826-26 --locoid 4054 --swversion DE.1.0.8.0 --startMP 300:58673 --initTime 2016-10-26T15:37:34 --startdatetime 2016-10-26T15:40:12 --delay 1 --endMP 204:717 --enddatetime 2016-10-26T15:56:12 --enforcementcount 0 &gt;&gt;C:\Users\stu\Documents\GitHub\eaglep3-reporting\EC\2016-10-26-refined-times.txt</v>
      </c>
      <c r="AI185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{"issue":{"subject":"","project_id":79,"tracker_id":40,"status_id":1,"priority_id":2,"assigned_to_id":23,"start_date":"2016-10-26","description":"","custom_fields":[{"id":1,"name":"Subdivision","value":"NW"},{"id":4,"name":"Milepost","value":"0.0717"},{"id":17,"name":"Train ID","value":"826-26"},{"id":16,"name":"Locomotive ID","value":"4054"},{"id":130,"name":"Impact","value":""},{"id":150,"name":"Time of Event (Mountain Time)","value":"15:56:12"},{"id":151,"name":"Denver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557</v>
      </c>
      <c r="B186" s="7">
        <v>4007</v>
      </c>
      <c r="C186" s="22" t="s">
        <v>378</v>
      </c>
      <c r="D186" s="22" t="s">
        <v>749</v>
      </c>
      <c r="E186" s="13">
        <v>42669.656608796293</v>
      </c>
      <c r="F186" s="13">
        <v>42669.660636574074</v>
      </c>
      <c r="G186" s="7">
        <v>1</v>
      </c>
      <c r="H186" s="13" t="s">
        <v>738</v>
      </c>
      <c r="I186" s="13">
        <v>42669.670740740738</v>
      </c>
      <c r="J186" s="7">
        <v>0</v>
      </c>
      <c r="K186" s="112" t="str">
        <f t="shared" si="59"/>
        <v>4007/4008</v>
      </c>
      <c r="L186" s="22" t="str">
        <f>VLOOKUP(A186,'Trips&amp;Operators'!$C$1:$E$10000,3,FALSE)</f>
        <v>LEVERE</v>
      </c>
      <c r="M186" s="6">
        <f t="shared" si="60"/>
        <v>1.0104166663950309E-2</v>
      </c>
      <c r="N186" s="7">
        <f t="shared" si="74"/>
        <v>14.549999996088445</v>
      </c>
      <c r="O186" s="7"/>
      <c r="P186" s="7"/>
      <c r="Q186" s="23"/>
      <c r="R186" s="23"/>
      <c r="S186" s="35">
        <f t="shared" si="71"/>
        <v>1</v>
      </c>
      <c r="T186" s="50" t="str">
        <f t="shared" si="61"/>
        <v>NorthBound</v>
      </c>
      <c r="U186" s="18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14:45:31-0600',mode:absolute,to:'2016-10-26 17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6" s="52" t="str">
        <f t="shared" si="63"/>
        <v>N</v>
      </c>
      <c r="X186" s="186">
        <f t="shared" si="75"/>
        <v>1</v>
      </c>
      <c r="Y186" s="67">
        <f t="shared" si="72"/>
        <v>9.5299999999999996E-2</v>
      </c>
      <c r="Z186" s="67">
        <f t="shared" si="73"/>
        <v>5.8973000000000004</v>
      </c>
      <c r="AA186" s="67">
        <f t="shared" si="64"/>
        <v>5.8020000000000005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65"/>
        <v>0827-26</v>
      </c>
      <c r="AE186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86" s="88" t="str">
        <f t="shared" si="67"/>
        <v>"C:\Program Files (x86)\AstroGrep\AstroGrep.exe" /spath="%USERPROFILE%\AppData\Local\Temp\OnboardLogs" /stypes="app*4007*20161026*" /stext=" 22:.+((SYSTEM_STATE.+slice.+state.+changed )|(ment ac)|(system.+state.+changed )|(\[timeout)|(PRM\|1\|D)|(kpr)|(kdp)|(\|lc)|(penalty))" /e /r /s</v>
      </c>
      <c r="AG186" s="1" t="str">
        <f t="shared" si="68"/>
        <v>NW</v>
      </c>
      <c r="AH186" s="92" t="str">
        <f t="shared" si="69"/>
        <v>"%USERPROFILE%\Documents\GitHub\eaglep3\Utilities\RefineRTDCRunTimes.py" --tripid 827-26 --locoid 4007 --swversion DE.1.0.8.0 --startMP 204:953 --initTime 2016-10-26T15:45:31 --startdatetime 2016-10-26T15:51:19 --delay 1 --endMP 300:58973 --enddatetime 2016-10-26T16:05:52 --enforcementcount 0 &gt;&gt;C:\Users\stu\Documents\GitHub\eaglep3-reporting\EC\2016-10-26-refined-times.txt</v>
      </c>
      <c r="AI186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{"issue":{"subject":"","project_id":79,"tracker_id":40,"status_id":1,"priority_id":2,"assigned_to_id":23,"start_date":"2016-10-26","description":"","custom_fields":[{"id":1,"name":"Subdivision","value":"NW"},{"id":4,"name":"Milepost","value":"5.8973"},{"id":17,"name":"Train ID","value":"827-26"},{"id":16,"name":"Locomotive ID","value":"4007"},{"id":130,"name":"Impact","value":""},{"id":150,"name":"Time of Event (Mountain Time)","value":"16:05:52"},{"id":151,"name":"Denver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426</v>
      </c>
      <c r="B187" s="7">
        <v>4008</v>
      </c>
      <c r="C187" s="22" t="s">
        <v>378</v>
      </c>
      <c r="D187" s="22" t="s">
        <v>750</v>
      </c>
      <c r="E187" s="13">
        <v>42669.671747685185</v>
      </c>
      <c r="F187" s="13">
        <v>42669.67324074074</v>
      </c>
      <c r="G187" s="7">
        <v>1</v>
      </c>
      <c r="H187" s="13" t="s">
        <v>751</v>
      </c>
      <c r="I187" s="13">
        <v>42669.685347222221</v>
      </c>
      <c r="J187" s="7">
        <v>0</v>
      </c>
      <c r="K187" s="112" t="str">
        <f t="shared" si="59"/>
        <v>4007/4008</v>
      </c>
      <c r="L187" s="22" t="str">
        <f>VLOOKUP(A187,'Trips&amp;Operators'!$C$1:$E$10000,3,FALSE)</f>
        <v>LEVERE</v>
      </c>
      <c r="M187" s="6">
        <f t="shared" si="60"/>
        <v>1.2106481481168885E-2</v>
      </c>
      <c r="N187" s="7">
        <f t="shared" si="74"/>
        <v>17.433333332883194</v>
      </c>
      <c r="O187" s="7"/>
      <c r="P187" s="7"/>
      <c r="Q187" s="23"/>
      <c r="R187" s="23"/>
      <c r="S187" s="35">
        <f t="shared" si="71"/>
        <v>1</v>
      </c>
      <c r="T187" s="50" t="str">
        <f t="shared" si="61"/>
        <v>Southbound</v>
      </c>
      <c r="U187" s="18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15:07:19-0600',mode:absolute,to:'2016-10-26 17:26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7" s="52" t="str">
        <f t="shared" si="63"/>
        <v>N</v>
      </c>
      <c r="X187" s="186">
        <f t="shared" si="75"/>
        <v>1</v>
      </c>
      <c r="Y187" s="67">
        <f t="shared" si="72"/>
        <v>5.8663999999999996</v>
      </c>
      <c r="Z187" s="67">
        <f t="shared" si="73"/>
        <v>6.6799999999999998E-2</v>
      </c>
      <c r="AA187" s="67">
        <f t="shared" si="64"/>
        <v>5.7995999999999999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65"/>
        <v>0828-26</v>
      </c>
      <c r="AE187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87" s="88" t="str">
        <f t="shared" si="67"/>
        <v>"C:\Program Files (x86)\AstroGrep\AstroGrep.exe" /spath="%USERPROFILE%\AppData\Local\Temp\OnboardLogs" /stypes="app*4008*20161026*" /stext=" 22:.+((SYSTEM_STATE.+slice.+state.+changed )|(ment ac)|(system.+state.+changed )|(\[timeout)|(PRM\|1\|D)|(kpr)|(kdp)|(\|lc)|(penalty))" /e /r /s</v>
      </c>
      <c r="AG187" s="1" t="str">
        <f t="shared" si="68"/>
        <v>NW</v>
      </c>
      <c r="AH187" s="92" t="str">
        <f t="shared" si="69"/>
        <v>"%USERPROFILE%\Documents\GitHub\eaglep3\Utilities\RefineRTDCRunTimes.py" --tripid 828-26 --locoid 4008 --swversion DE.1.0.8.0 --startMP 300:58664 --initTime 2016-10-26T16:07:19 --startdatetime 2016-10-26T16:09:28 --delay 1 --endMP 204:668 --enddatetime 2016-10-26T16:26:54 --enforcementcount 0 &gt;&gt;C:\Users\stu\Documents\GitHub\eaglep3-reporting\EC\2016-10-26-refined-times.txt</v>
      </c>
      <c r="AI187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{"issue":{"subject":"","project_id":79,"tracker_id":40,"status_id":1,"priority_id":2,"assigned_to_id":23,"start_date":"2016-10-26","description":"","custom_fields":[{"id":1,"name":"Subdivision","value":"NW"},{"id":4,"name":"Milepost","value":"0.0668"},{"id":17,"name":"Train ID","value":"828-26"},{"id":16,"name":"Locomotive ID","value":"4008"},{"id":130,"name":"Impact","value":""},{"id":150,"name":"Time of Event (Mountain Time)","value":"16:26:54"},{"id":151,"name":"Denver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563</v>
      </c>
      <c r="B188" s="7">
        <v>4053</v>
      </c>
      <c r="C188" s="22" t="s">
        <v>378</v>
      </c>
      <c r="D188" s="22" t="s">
        <v>752</v>
      </c>
      <c r="E188" s="13">
        <v>42669.677881944444</v>
      </c>
      <c r="F188" s="13">
        <v>42669.681504629632</v>
      </c>
      <c r="G188" s="7">
        <v>2</v>
      </c>
      <c r="H188" s="13" t="s">
        <v>753</v>
      </c>
      <c r="I188" s="13">
        <v>42669.691203703704</v>
      </c>
      <c r="J188" s="7">
        <v>0</v>
      </c>
      <c r="K188" s="112" t="str">
        <f t="shared" si="59"/>
        <v>4053/4054</v>
      </c>
      <c r="L188" s="22" t="str">
        <f>VLOOKUP(A188,'Trips&amp;Operators'!$C$1:$E$10000,3,FALSE)</f>
        <v>MOSES</v>
      </c>
      <c r="M188" s="6">
        <f t="shared" si="60"/>
        <v>9.6990740712499246E-3</v>
      </c>
      <c r="N188" s="7">
        <f t="shared" si="74"/>
        <v>13.966666662599891</v>
      </c>
      <c r="O188" s="7"/>
      <c r="P188" s="7"/>
      <c r="Q188" s="23"/>
      <c r="R188" s="23"/>
      <c r="S188" s="35">
        <f t="shared" si="71"/>
        <v>1</v>
      </c>
      <c r="T188" s="50" t="str">
        <f t="shared" si="61"/>
        <v>NorthBound</v>
      </c>
      <c r="U188" s="18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15:16:09-0600',mode:absolute,to:'2016-10-26 17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88" s="52" t="str">
        <f t="shared" si="63"/>
        <v>N</v>
      </c>
      <c r="X188" s="186">
        <f t="shared" si="75"/>
        <v>1</v>
      </c>
      <c r="Y188" s="67">
        <f t="shared" si="72"/>
        <v>9.9299999999999999E-2</v>
      </c>
      <c r="Z188" s="67">
        <f t="shared" si="73"/>
        <v>5.8994999999999997</v>
      </c>
      <c r="AA188" s="67">
        <f t="shared" si="64"/>
        <v>5.8001999999999994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65"/>
        <v>0829-26</v>
      </c>
      <c r="AE188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88" s="88" t="str">
        <f t="shared" si="67"/>
        <v>"C:\Program Files (x86)\AstroGrep\AstroGrep.exe" /spath="%USERPROFILE%\AppData\Local\Temp\OnboardLogs" /stypes="app*4053*20161026*" /stext=" 22:.+((SYSTEM_STATE.+slice.+state.+changed )|(ment ac)|(system.+state.+changed )|(\[timeout)|(PRM\|1\|D)|(kpr)|(kdp)|(\|lc)|(penalty))" /e /r /s</v>
      </c>
      <c r="AG188" s="1" t="str">
        <f t="shared" si="68"/>
        <v>NW</v>
      </c>
      <c r="AH188" s="92" t="str">
        <f t="shared" si="69"/>
        <v>"%USERPROFILE%\Documents\GitHub\eaglep3\Utilities\RefineRTDCRunTimes.py" --tripid 829-26 --locoid 4053 --swversion DE.1.0.8.0 --startMP 204:993 --initTime 2016-10-26T16:16:09 --startdatetime 2016-10-26T16:21:22 --delay 2 --endMP 300:58995 --enddatetime 2016-10-26T16:35:20 --enforcementcount 0 &gt;&gt;C:\Users\stu\Documents\GitHub\eaglep3-reporting\EC\2016-10-26-refined-times.txt</v>
      </c>
      <c r="AI188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{"issue":{"subject":"","project_id":79,"tracker_id":40,"status_id":1,"priority_id":2,"assigned_to_id":23,"start_date":"2016-10-26","description":"","custom_fields":[{"id":1,"name":"Subdivision","value":"NW"},{"id":4,"name":"Milepost","value":"5.8995"},{"id":17,"name":"Train ID","value":"829-26"},{"id":16,"name":"Locomotive ID","value":"4053"},{"id":130,"name":"Impact","value":""},{"id":150,"name":"Time of Event (Mountain Time)","value":"16:35:20"},{"id":151,"name":"Denver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1" customFormat="1" x14ac:dyDescent="0.25">
      <c r="A189" s="37" t="s">
        <v>566</v>
      </c>
      <c r="B189" s="7">
        <v>4054</v>
      </c>
      <c r="C189" s="22" t="s">
        <v>378</v>
      </c>
      <c r="D189" s="22" t="s">
        <v>754</v>
      </c>
      <c r="E189" s="13">
        <v>42669.692384259259</v>
      </c>
      <c r="F189" s="13">
        <v>42669.694143518522</v>
      </c>
      <c r="G189" s="7">
        <v>1</v>
      </c>
      <c r="H189" s="13" t="s">
        <v>383</v>
      </c>
      <c r="I189" s="13">
        <v>42669.706944444442</v>
      </c>
      <c r="J189" s="7">
        <v>0</v>
      </c>
      <c r="K189" s="112" t="str">
        <f t="shared" si="59"/>
        <v>4053/4054</v>
      </c>
      <c r="L189" s="22" t="str">
        <f>VLOOKUP(A189,'Trips&amp;Operators'!$C$1:$E$10000,3,FALSE)</f>
        <v>MOSES</v>
      </c>
      <c r="M189" s="6">
        <f t="shared" si="60"/>
        <v>1.2800925920601003E-2</v>
      </c>
      <c r="N189" s="7">
        <f t="shared" si="74"/>
        <v>18.433333325665444</v>
      </c>
      <c r="O189" s="7"/>
      <c r="P189" s="7"/>
      <c r="Q189" s="23"/>
      <c r="R189" s="23"/>
      <c r="S189" s="35">
        <f t="shared" si="71"/>
        <v>1</v>
      </c>
      <c r="T189" s="50" t="str">
        <f t="shared" si="61"/>
        <v>Southbound</v>
      </c>
      <c r="U189" s="18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15:37:02-0600',mode:absolute,to:'2016-10-26 17:58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89" s="52" t="str">
        <f t="shared" si="63"/>
        <v>N</v>
      </c>
      <c r="X189" s="186">
        <f t="shared" si="75"/>
        <v>1</v>
      </c>
      <c r="Y189" s="67">
        <f t="shared" si="72"/>
        <v>5.8685</v>
      </c>
      <c r="Z189" s="67">
        <f t="shared" si="73"/>
        <v>7.1999999999999995E-2</v>
      </c>
      <c r="AA189" s="67">
        <f t="shared" si="64"/>
        <v>5.7965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65"/>
        <v>0830-26</v>
      </c>
      <c r="AE189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89" s="88" t="str">
        <f t="shared" si="67"/>
        <v>"C:\Program Files (x86)\AstroGrep\AstroGrep.exe" /spath="%USERPROFILE%\AppData\Local\Temp\OnboardLogs" /stypes="app*4054*20161026*" /stext=" 22:.+((SYSTEM_STATE.+slice.+state.+changed )|(ment ac)|(system.+state.+changed )|(\[timeout)|(PRM\|1\|D)|(kpr)|(kdp)|(\|lc)|(penalty))" /e /r /s</v>
      </c>
      <c r="AG189" s="1" t="str">
        <f t="shared" si="68"/>
        <v>NW</v>
      </c>
      <c r="AH189" s="92" t="str">
        <f t="shared" si="69"/>
        <v>"%USERPROFILE%\Documents\GitHub\eaglep3\Utilities\RefineRTDCRunTimes.py" --tripid 830-26 --locoid 4054 --swversion DE.1.0.8.0 --startMP 300:58685 --initTime 2016-10-26T16:37:02 --startdatetime 2016-10-26T16:39:34 --delay 1 --endMP 204:720 --enddatetime 2016-10-26T16:58:00 --enforcementcount 0 &gt;&gt;C:\Users\stu\Documents\GitHub\eaglep3-reporting\EC\2016-10-26-refined-times.txt</v>
      </c>
      <c r="AI189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{"issue":{"subject":"","project_id":79,"tracker_id":40,"status_id":1,"priority_id":2,"assigned_to_id":23,"start_date":"2016-10-26","description":"","custom_fields":[{"id":1,"name":"Subdivision","value":"NW"},{"id":4,"name":"Milepost","value":"0.072"},{"id":17,"name":"Train ID","value":"830-26"},{"id":16,"name":"Locomotive ID","value":"4054"},{"id":130,"name":"Impact","value":""},{"id":150,"name":"Time of Event (Mountain Time)","value":"16:58:00"},{"id":151,"name":"Denver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568</v>
      </c>
      <c r="B190" s="7">
        <v>4007</v>
      </c>
      <c r="C190" s="22" t="s">
        <v>378</v>
      </c>
      <c r="D190" s="22" t="s">
        <v>755</v>
      </c>
      <c r="E190" s="13">
        <v>42669.695810185185</v>
      </c>
      <c r="F190" s="13">
        <v>42669.702361111114</v>
      </c>
      <c r="G190" s="7">
        <v>1</v>
      </c>
      <c r="H190" s="13" t="s">
        <v>756</v>
      </c>
      <c r="I190" s="13">
        <v>42669.712500000001</v>
      </c>
      <c r="J190" s="7">
        <v>0</v>
      </c>
      <c r="K190" s="112" t="str">
        <f t="shared" si="59"/>
        <v>4007/4008</v>
      </c>
      <c r="L190" s="22" t="str">
        <f>VLOOKUP(A190,'Trips&amp;Operators'!$C$1:$E$10000,3,FALSE)</f>
        <v>LEVERE</v>
      </c>
      <c r="M190" s="6">
        <f t="shared" si="60"/>
        <v>1.0138888887013309E-2</v>
      </c>
      <c r="N190" s="7">
        <f t="shared" si="74"/>
        <v>14.599999997299165</v>
      </c>
      <c r="O190" s="7"/>
      <c r="P190" s="7"/>
      <c r="Q190" s="23"/>
      <c r="R190" s="23"/>
      <c r="S190" s="35">
        <f t="shared" si="71"/>
        <v>1</v>
      </c>
      <c r="T190" s="50" t="str">
        <f t="shared" si="61"/>
        <v>NorthBound</v>
      </c>
      <c r="U190" s="18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15:41:58-0600',mode:absolute,to:'2016-10-26 18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0" s="52" t="str">
        <f t="shared" si="63"/>
        <v>N</v>
      </c>
      <c r="X190" s="186">
        <f t="shared" si="75"/>
        <v>1</v>
      </c>
      <c r="Y190" s="67">
        <f t="shared" si="72"/>
        <v>9.5000000000000001E-2</v>
      </c>
      <c r="Z190" s="67">
        <f t="shared" si="73"/>
        <v>5.8964999999999996</v>
      </c>
      <c r="AA190" s="67">
        <f t="shared" si="64"/>
        <v>5.8014999999999999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65"/>
        <v>0831-26</v>
      </c>
      <c r="AE190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90" s="88" t="str">
        <f t="shared" si="67"/>
        <v>"C:\Program Files (x86)\AstroGrep\AstroGrep.exe" /spath="%USERPROFILE%\AppData\Local\Temp\OnboardLogs" /stypes="app*4007*20161026*" /stext=" 23:.+((SYSTEM_STATE.+slice.+state.+changed )|(ment ac)|(system.+state.+changed )|(\[timeout)|(PRM\|1\|D)|(kpr)|(kdp)|(\|lc)|(penalty))" /e /r /s</v>
      </c>
      <c r="AG190" s="1" t="str">
        <f t="shared" si="68"/>
        <v>NW</v>
      </c>
      <c r="AH190" s="92" t="str">
        <f t="shared" si="69"/>
        <v>"%USERPROFILE%\Documents\GitHub\eaglep3\Utilities\RefineRTDCRunTimes.py" --tripid 831-26 --locoid 4007 --swversion DE.1.0.8.0 --startMP 204:950 --initTime 2016-10-26T16:41:58 --startdatetime 2016-10-26T16:51:24 --delay 1 --endMP 300:58965 --enddatetime 2016-10-26T17:06:00 --enforcementcount 0 &gt;&gt;C:\Users\stu\Documents\GitHub\eaglep3-reporting\EC\2016-10-26-refined-times.txt</v>
      </c>
      <c r="AI190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{"issue":{"subject":"","project_id":79,"tracker_id":40,"status_id":1,"priority_id":2,"assigned_to_id":23,"start_date":"2016-10-26","description":"","custom_fields":[{"id":1,"name":"Subdivision","value":"NW"},{"id":4,"name":"Milepost","value":"5.8965"},{"id":17,"name":"Train ID","value":"831-26"},{"id":16,"name":"Locomotive ID","value":"4007"},{"id":130,"name":"Impact","value":""},{"id":150,"name":"Time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571</v>
      </c>
      <c r="B191" s="7">
        <v>4008</v>
      </c>
      <c r="C191" s="22" t="s">
        <v>378</v>
      </c>
      <c r="D191" s="22" t="s">
        <v>757</v>
      </c>
      <c r="E191" s="13">
        <v>42669.71366898148</v>
      </c>
      <c r="F191" s="13">
        <v>42669.715266203704</v>
      </c>
      <c r="G191" s="7">
        <v>1</v>
      </c>
      <c r="H191" s="13" t="s">
        <v>758</v>
      </c>
      <c r="I191" s="13">
        <v>42669.727361111109</v>
      </c>
      <c r="J191" s="7">
        <v>0</v>
      </c>
      <c r="K191" s="112" t="str">
        <f t="shared" si="59"/>
        <v>4007/4008</v>
      </c>
      <c r="L191" s="22" t="str">
        <f>VLOOKUP(A191,'Trips&amp;Operators'!$C$1:$E$10000,3,FALSE)</f>
        <v>LEVERE</v>
      </c>
      <c r="M191" s="6">
        <f t="shared" si="60"/>
        <v>1.2094907404389232E-2</v>
      </c>
      <c r="N191" s="7">
        <f t="shared" si="74"/>
        <v>17.416666662320495</v>
      </c>
      <c r="O191" s="7"/>
      <c r="P191" s="7"/>
      <c r="Q191" s="23"/>
      <c r="R191" s="23"/>
      <c r="S191" s="35">
        <f t="shared" si="71"/>
        <v>1</v>
      </c>
      <c r="T191" s="50" t="str">
        <f t="shared" si="61"/>
        <v>Southbound</v>
      </c>
      <c r="U191" s="18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16:07:41-0600',mode:absolute,to:'2016-10-26 18:27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1" s="52" t="str">
        <f t="shared" si="63"/>
        <v>N</v>
      </c>
      <c r="X191" s="186">
        <f t="shared" si="75"/>
        <v>1</v>
      </c>
      <c r="Y191" s="67">
        <f t="shared" si="72"/>
        <v>5.8643000000000001</v>
      </c>
      <c r="Z191" s="67">
        <f t="shared" si="73"/>
        <v>6.4899999999999999E-2</v>
      </c>
      <c r="AA191" s="67">
        <f t="shared" si="64"/>
        <v>5.7994000000000003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65"/>
        <v>0832-26</v>
      </c>
      <c r="AE191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91" s="88" t="str">
        <f t="shared" si="67"/>
        <v>"C:\Program Files (x86)\AstroGrep\AstroGrep.exe" /spath="%USERPROFILE%\AppData\Local\Temp\OnboardLogs" /stypes="app*4008*20161026*" /stext=" 23:.+((SYSTEM_STATE.+slice.+state.+changed )|(ment ac)|(system.+state.+changed )|(\[timeout)|(PRM\|1\|D)|(kpr)|(kdp)|(\|lc)|(penalty))" /e /r /s</v>
      </c>
      <c r="AG191" s="1" t="str">
        <f t="shared" si="68"/>
        <v>NW</v>
      </c>
      <c r="AH191" s="92" t="str">
        <f t="shared" si="69"/>
        <v>"%USERPROFILE%\Documents\GitHub\eaglep3\Utilities\RefineRTDCRunTimes.py" --tripid 832-26 --locoid 4008 --swversion DE.1.0.8.0 --startMP 300:58643 --initTime 2016-10-26T17:07:41 --startdatetime 2016-10-26T17:09:59 --delay 1 --endMP 204:649 --enddatetime 2016-10-26T17:27:24 --enforcementcount 0 &gt;&gt;C:\Users\stu\Documents\GitHub\eaglep3-reporting\EC\2016-10-26-refined-times.txt</v>
      </c>
      <c r="AI191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{"issue":{"subject":"","project_id":79,"tracker_id":40,"status_id":1,"priority_id":2,"assigned_to_id":23,"start_date":"2016-10-26","description":"","custom_fields":[{"id":1,"name":"Subdivision","value":"NW"},{"id":4,"name":"Milepost","value":"0.0649"},{"id":17,"name":"Train ID","value":"832-26"},{"id":16,"name":"Locomotive ID","value":"4008"},{"id":130,"name":"Impact","value":""},{"id":150,"name":"Time of Event (Mountain Time)","value":"17:27:24"},{"id":151,"name":"Denver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1" customFormat="1" x14ac:dyDescent="0.25">
      <c r="A192" s="37" t="s">
        <v>429</v>
      </c>
      <c r="B192" s="7">
        <v>4053</v>
      </c>
      <c r="C192" s="22" t="s">
        <v>378</v>
      </c>
      <c r="D192" s="22" t="s">
        <v>329</v>
      </c>
      <c r="E192" s="13">
        <v>42669.719074074077</v>
      </c>
      <c r="F192" s="13">
        <v>42669.723182870373</v>
      </c>
      <c r="G192" s="7">
        <v>1</v>
      </c>
      <c r="H192" s="13" t="s">
        <v>759</v>
      </c>
      <c r="I192" s="13">
        <v>42669.732974537037</v>
      </c>
      <c r="J192" s="7">
        <v>0</v>
      </c>
      <c r="K192" s="112" t="str">
        <f t="shared" si="59"/>
        <v>4053/4054</v>
      </c>
      <c r="L192" s="22" t="str">
        <f>VLOOKUP(A192,'Trips&amp;Operators'!$C$1:$E$10000,3,FALSE)</f>
        <v>MOSES</v>
      </c>
      <c r="M192" s="6">
        <f t="shared" si="60"/>
        <v>9.7916666636592709E-3</v>
      </c>
      <c r="N192" s="7">
        <f t="shared" si="74"/>
        <v>14.09999999566935</v>
      </c>
      <c r="O192" s="7"/>
      <c r="P192" s="7"/>
      <c r="Q192" s="23"/>
      <c r="R192" s="23"/>
      <c r="S192" s="35">
        <f t="shared" si="71"/>
        <v>1</v>
      </c>
      <c r="T192" s="50" t="str">
        <f t="shared" si="61"/>
        <v>NorthBound</v>
      </c>
      <c r="U192" s="18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16:15:28-0600',mode:absolute,to:'2016-10-26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2" s="52" t="str">
        <f t="shared" si="63"/>
        <v>N</v>
      </c>
      <c r="X192" s="186">
        <f t="shared" si="75"/>
        <v>1</v>
      </c>
      <c r="Y192" s="67">
        <f t="shared" si="72"/>
        <v>9.9699999999999997E-2</v>
      </c>
      <c r="Z192" s="67">
        <f t="shared" si="73"/>
        <v>5.8992000000000004</v>
      </c>
      <c r="AA192" s="67">
        <f t="shared" si="64"/>
        <v>5.7995000000000001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65"/>
        <v>0833-26</v>
      </c>
      <c r="AE192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92" s="88" t="str">
        <f t="shared" si="67"/>
        <v>"C:\Program Files (x86)\AstroGrep\AstroGrep.exe" /spath="%USERPROFILE%\AppData\Local\Temp\OnboardLogs" /stypes="app*4053*20161026*" /stext=" 23:.+((SYSTEM_STATE.+slice.+state.+changed )|(ment ac)|(system.+state.+changed )|(\[timeout)|(PRM\|1\|D)|(kpr)|(kdp)|(\|lc)|(penalty))" /e /r /s</v>
      </c>
      <c r="AG192" s="1" t="str">
        <f t="shared" si="68"/>
        <v>NW</v>
      </c>
      <c r="AH192" s="92" t="str">
        <f t="shared" si="69"/>
        <v>"%USERPROFILE%\Documents\GitHub\eaglep3\Utilities\RefineRTDCRunTimes.py" --tripid 833-26 --locoid 4053 --swversion DE.1.0.8.0 --startMP 204:997 --initTime 2016-10-26T17:15:28 --startdatetime 2016-10-26T17:21:23 --delay 1 --endMP 300:58992 --enddatetime 2016-10-26T17:35:29 --enforcementcount 0 &gt;&gt;C:\Users\stu\Documents\GitHub\eaglep3-reporting\EC\2016-10-26-refined-times.txt</v>
      </c>
      <c r="AI192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{"issue":{"subject":"","project_id":79,"tracker_id":40,"status_id":1,"priority_id":2,"assigned_to_id":23,"start_date":"2016-10-26","description":"","custom_fields":[{"id":1,"name":"Subdivision","value":"NW"},{"id":4,"name":"Milepost","value":"5.8992"},{"id":17,"name":"Train ID","value":"833-26"},{"id":16,"name":"Locomotive ID","value":"4053"},{"id":130,"name":"Impact","value":""},{"id":150,"name":"Time of Event (Mountain Time)","value":"17:35:29"},{"id":151,"name":"Denver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1" customFormat="1" x14ac:dyDescent="0.25">
      <c r="A193" s="37" t="s">
        <v>576</v>
      </c>
      <c r="B193" s="7">
        <v>4054</v>
      </c>
      <c r="C193" s="22" t="s">
        <v>378</v>
      </c>
      <c r="D193" s="22" t="s">
        <v>747</v>
      </c>
      <c r="E193" s="13">
        <v>42669.734467592592</v>
      </c>
      <c r="F193" s="13">
        <v>42669.736990740741</v>
      </c>
      <c r="G193" s="7">
        <v>1</v>
      </c>
      <c r="H193" s="13" t="s">
        <v>387</v>
      </c>
      <c r="I193" s="13">
        <v>42669.747719907406</v>
      </c>
      <c r="J193" s="7">
        <v>0</v>
      </c>
      <c r="K193" s="112" t="str">
        <f t="shared" si="59"/>
        <v>4053/4054</v>
      </c>
      <c r="L193" s="22" t="str">
        <f>VLOOKUP(A193,'Trips&amp;Operators'!$C$1:$E$10000,3,FALSE)</f>
        <v>MOSES</v>
      </c>
      <c r="M193" s="6">
        <f t="shared" si="60"/>
        <v>1.0729166664532386E-2</v>
      </c>
      <c r="N193" s="7">
        <f t="shared" si="74"/>
        <v>15.449999996926636</v>
      </c>
      <c r="O193" s="7"/>
      <c r="P193" s="7"/>
      <c r="Q193" s="23"/>
      <c r="R193" s="23"/>
      <c r="S193" s="35">
        <f t="shared" si="71"/>
        <v>1</v>
      </c>
      <c r="T193" s="50" t="str">
        <f t="shared" si="61"/>
        <v>Southbound</v>
      </c>
      <c r="U193" s="18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16:37:38-0600',mode:absolute,to:'2016-10-26 18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3" s="52" t="str">
        <f t="shared" si="63"/>
        <v>N</v>
      </c>
      <c r="X193" s="186">
        <f t="shared" si="75"/>
        <v>1</v>
      </c>
      <c r="Y193" s="67">
        <f t="shared" si="72"/>
        <v>5.8673000000000002</v>
      </c>
      <c r="Z193" s="67">
        <f t="shared" si="73"/>
        <v>7.0999999999999994E-2</v>
      </c>
      <c r="AA193" s="67">
        <f t="shared" si="64"/>
        <v>5.7963000000000005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65"/>
        <v>0834-26</v>
      </c>
      <c r="AE193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93" s="88" t="str">
        <f t="shared" si="67"/>
        <v>"C:\Program Files (x86)\AstroGrep\AstroGrep.exe" /spath="%USERPROFILE%\AppData\Local\Temp\OnboardLogs" /stypes="app*4054*20161026*" /stext=" 23:.+((SYSTEM_STATE.+slice.+state.+changed )|(ment ac)|(system.+state.+changed )|(\[timeout)|(PRM\|1\|D)|(kpr)|(kdp)|(\|lc)|(penalty))" /e /r /s</v>
      </c>
      <c r="AG193" s="1" t="str">
        <f t="shared" si="68"/>
        <v>NW</v>
      </c>
      <c r="AH193" s="92" t="str">
        <f t="shared" si="69"/>
        <v>"%USERPROFILE%\Documents\GitHub\eaglep3\Utilities\RefineRTDCRunTimes.py" --tripid 834-26 --locoid 4054 --swversion DE.1.0.8.0 --startMP 300:58673 --initTime 2016-10-26T17:37:38 --startdatetime 2016-10-26T17:41:16 --delay 1 --endMP 204:710 --enddatetime 2016-10-26T17:56:43 --enforcementcount 0 &gt;&gt;C:\Users\stu\Documents\GitHub\eaglep3-reporting\EC\2016-10-26-refined-times.txt</v>
      </c>
      <c r="AI193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{"issue":{"subject":"","project_id":79,"tracker_id":40,"status_id":1,"priority_id":2,"assigned_to_id":23,"start_date":"2016-10-26","description":"","custom_fields":[{"id":1,"name":"Subdivision","value":"NW"},{"id":4,"name":"Milepost","value":"0.071"},{"id":17,"name":"Train ID","value":"834-26"},{"id":16,"name":"Locomotive ID","value":"4054"},{"id":130,"name":"Impact","value":""},{"id":150,"name":"Time of Event (Mountain Time)","value":"17:56:43"},{"id":151,"name":"Denver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581</v>
      </c>
      <c r="B194" s="7">
        <v>4007</v>
      </c>
      <c r="C194" s="22" t="s">
        <v>378</v>
      </c>
      <c r="D194" s="22" t="s">
        <v>760</v>
      </c>
      <c r="E194" s="13">
        <v>42669.740300925929</v>
      </c>
      <c r="F194" s="13">
        <v>42669.743946759256</v>
      </c>
      <c r="G194" s="7">
        <v>1</v>
      </c>
      <c r="H194" s="13" t="s">
        <v>761</v>
      </c>
      <c r="I194" s="13">
        <v>42669.754004629627</v>
      </c>
      <c r="J194" s="7">
        <v>0</v>
      </c>
      <c r="K194" s="112" t="str">
        <f t="shared" si="59"/>
        <v>4007/4008</v>
      </c>
      <c r="L194" s="22" t="str">
        <f>VLOOKUP(A194,'Trips&amp;Operators'!$C$1:$E$10000,3,FALSE)</f>
        <v>LEVERE</v>
      </c>
      <c r="M194" s="6">
        <f t="shared" si="60"/>
        <v>1.0057870371383615E-2</v>
      </c>
      <c r="N194" s="7">
        <f t="shared" si="74"/>
        <v>14.483333334792405</v>
      </c>
      <c r="O194" s="7"/>
      <c r="P194" s="7"/>
      <c r="Q194" s="23"/>
      <c r="R194" s="23"/>
      <c r="S194" s="35">
        <f t="shared" si="71"/>
        <v>1</v>
      </c>
      <c r="T194" s="50" t="str">
        <f t="shared" si="61"/>
        <v>NorthBound</v>
      </c>
      <c r="U194" s="18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16:46:02-0600',mode:absolute,to:'2016-10-26 19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4" s="52" t="str">
        <f t="shared" si="63"/>
        <v>N</v>
      </c>
      <c r="X194" s="186">
        <f t="shared" si="75"/>
        <v>1</v>
      </c>
      <c r="Y194" s="67">
        <f t="shared" si="72"/>
        <v>9.3200000000000005E-2</v>
      </c>
      <c r="Z194" s="67">
        <f t="shared" si="73"/>
        <v>5.8960999999999997</v>
      </c>
      <c r="AA194" s="67">
        <f t="shared" si="64"/>
        <v>5.8028999999999993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65"/>
        <v>0835-26</v>
      </c>
      <c r="AE194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94" s="88" t="str">
        <f t="shared" si="67"/>
        <v>"C:\Program Files (x86)\AstroGrep\AstroGrep.exe" /spath="%USERPROFILE%\AppData\Local\Temp\OnboardLogs" /stypes="app*4007*20161027*" /stext=" 00:.+((SYSTEM_STATE.+slice.+state.+changed )|(ment ac)|(system.+state.+changed )|(\[timeout)|(PRM\|1\|D)|(kpr)|(kdp)|(\|lc)|(penalty))" /e /r /s</v>
      </c>
      <c r="AG194" s="1" t="str">
        <f t="shared" si="68"/>
        <v>NW</v>
      </c>
      <c r="AH194" s="92" t="str">
        <f t="shared" si="69"/>
        <v>"%USERPROFILE%\Documents\GitHub\eaglep3\Utilities\RefineRTDCRunTimes.py" --tripid 835-26 --locoid 4007 --swversion DE.1.0.8.0 --startMP 204:932 --initTime 2016-10-26T17:46:02 --startdatetime 2016-10-26T17:51:17 --delay 1 --endMP 300:58961 --enddatetime 2016-10-26T18:05:46 --enforcementcount 0 &gt;&gt;C:\Users\stu\Documents\GitHub\eaglep3-reporting\EC\2016-10-26-refined-times.txt</v>
      </c>
      <c r="AI194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{"issue":{"subject":"","project_id":79,"tracker_id":40,"status_id":1,"priority_id":2,"assigned_to_id":23,"start_date":"2016-10-26","description":"","custom_fields":[{"id":1,"name":"Subdivision","value":"NW"},{"id":4,"name":"Milepost","value":"5.8961"},{"id":17,"name":"Train ID","value":"835-26"},{"id":16,"name":"Locomotive ID","value":"4007"},{"id":130,"name":"Impact","value":""},{"id":150,"name":"Time of Event (Mountain Time)","value":"18:05:46"},{"id":151,"name":"Denver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584</v>
      </c>
      <c r="B195" s="7">
        <v>4008</v>
      </c>
      <c r="C195" s="22" t="s">
        <v>378</v>
      </c>
      <c r="D195" s="22" t="s">
        <v>393</v>
      </c>
      <c r="E195" s="13">
        <v>42669.755312499998</v>
      </c>
      <c r="F195" s="13">
        <v>42669.756851851853</v>
      </c>
      <c r="G195" s="7">
        <v>1</v>
      </c>
      <c r="H195" s="13" t="s">
        <v>762</v>
      </c>
      <c r="I195" s="13">
        <v>42669.769548611112</v>
      </c>
      <c r="J195" s="7">
        <v>0</v>
      </c>
      <c r="K195" s="112" t="str">
        <f t="shared" si="59"/>
        <v>4007/4008</v>
      </c>
      <c r="L195" s="22" t="str">
        <f>VLOOKUP(A195,'Trips&amp;Operators'!$C$1:$E$10000,3,FALSE)</f>
        <v>LEVERE</v>
      </c>
      <c r="M195" s="6">
        <f t="shared" si="60"/>
        <v>1.2696759258687962E-2</v>
      </c>
      <c r="N195" s="7">
        <f t="shared" si="74"/>
        <v>18.283333332510665</v>
      </c>
      <c r="O195" s="7"/>
      <c r="P195" s="7"/>
      <c r="Q195" s="23"/>
      <c r="R195" s="23"/>
      <c r="S195" s="35">
        <f t="shared" si="71"/>
        <v>1</v>
      </c>
      <c r="T195" s="50" t="str">
        <f t="shared" si="61"/>
        <v>Southbound</v>
      </c>
      <c r="U195" s="18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17:07:39-0600',mode:absolute,to:'2016-10-26 19:28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5" s="52" t="str">
        <f t="shared" si="63"/>
        <v>N</v>
      </c>
      <c r="X195" s="186">
        <f t="shared" si="75"/>
        <v>1</v>
      </c>
      <c r="Y195" s="67">
        <f t="shared" si="72"/>
        <v>5.8647</v>
      </c>
      <c r="Z195" s="67">
        <f t="shared" si="73"/>
        <v>6.6100000000000006E-2</v>
      </c>
      <c r="AA195" s="67">
        <f t="shared" si="64"/>
        <v>5.7986000000000004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65"/>
        <v>0836-26</v>
      </c>
      <c r="AE195" s="91" t="str">
        <f t="shared" si="66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195" s="88" t="str">
        <f t="shared" si="67"/>
        <v>"C:\Program Files (x86)\AstroGrep\AstroGrep.exe" /spath="%USERPROFILE%\AppData\Local\Temp\OnboardLogs" /stypes="app*4008*20161027*" /stext=" 00:.+((SYSTEM_STATE.+slice.+state.+changed )|(ment ac)|(system.+state.+changed )|(\[timeout)|(PRM\|1\|D)|(kpr)|(kdp)|(\|lc)|(penalty))" /e /r /s</v>
      </c>
      <c r="AG195" s="1" t="str">
        <f t="shared" si="68"/>
        <v>NW</v>
      </c>
      <c r="AH195" s="92" t="str">
        <f t="shared" si="69"/>
        <v>"%USERPROFILE%\Documents\GitHub\eaglep3\Utilities\RefineRTDCRunTimes.py" --tripid 836-26 --locoid 4008 --swversion DE.1.0.8.0 --startMP 300:58647 --initTime 2016-10-26T18:07:39 --startdatetime 2016-10-26T18:09:52 --delay 1 --endMP 204:661 --enddatetime 2016-10-26T18:28:09 --enforcementcount 0 &gt;&gt;C:\Users\stu\Documents\GitHub\eaglep3-reporting\EC\2016-10-26-refined-times.txt</v>
      </c>
      <c r="AI195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{"issue":{"subject":"","project_id":79,"tracker_id":40,"status_id":1,"priority_id":2,"assigned_to_id":23,"start_date":"2016-10-26","description":"","custom_fields":[{"id":1,"name":"Subdivision","value":"NW"},{"id":4,"name":"Milepost","value":"0.0661"},{"id":17,"name":"Train ID","value":"836-26"},{"id":16,"name":"Locomotive ID","value":"4008"},{"id":130,"name":"Impact","value":""},{"id":150,"name":"Time of Event (Mountain Time)","value":"18:28:09"},{"id":151,"name":"Denver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435</v>
      </c>
      <c r="B196" s="7">
        <v>4053</v>
      </c>
      <c r="C196" s="22" t="s">
        <v>378</v>
      </c>
      <c r="D196" s="22" t="s">
        <v>384</v>
      </c>
      <c r="E196" s="13">
        <v>42669.761400462965</v>
      </c>
      <c r="F196" s="13">
        <v>42669.764930555553</v>
      </c>
      <c r="G196" s="7">
        <v>1</v>
      </c>
      <c r="H196" s="13" t="s">
        <v>331</v>
      </c>
      <c r="I196" s="13">
        <v>42669.77480324074</v>
      </c>
      <c r="J196" s="7">
        <v>0</v>
      </c>
      <c r="K196" s="112" t="str">
        <f t="shared" si="59"/>
        <v>4053/4054</v>
      </c>
      <c r="L196" s="22" t="str">
        <f>VLOOKUP(A196,'Trips&amp;Operators'!$C$1:$E$10000,3,FALSE)</f>
        <v>MOSES</v>
      </c>
      <c r="M196" s="6">
        <f t="shared" si="60"/>
        <v>9.8726851865649223E-3</v>
      </c>
      <c r="N196" s="7">
        <f t="shared" si="74"/>
        <v>14.216666668653488</v>
      </c>
      <c r="O196" s="7"/>
      <c r="P196" s="7"/>
      <c r="Q196" s="23"/>
      <c r="R196" s="23"/>
      <c r="S196" s="35">
        <f t="shared" si="71"/>
        <v>1</v>
      </c>
      <c r="T196" s="50" t="str">
        <f t="shared" si="61"/>
        <v>NorthBound</v>
      </c>
      <c r="U196" s="18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17:16:25-0600',mode:absolute,to:'2016-10-26 19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96" s="52" t="str">
        <f t="shared" si="63"/>
        <v>N</v>
      </c>
      <c r="X196" s="186">
        <f t="shared" si="75"/>
        <v>1</v>
      </c>
      <c r="Y196" s="67">
        <f t="shared" si="72"/>
        <v>0.1002</v>
      </c>
      <c r="Z196" s="67">
        <f t="shared" si="73"/>
        <v>5.8943000000000003</v>
      </c>
      <c r="AA196" s="67">
        <f t="shared" si="64"/>
        <v>5.7941000000000003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65"/>
        <v>0837-26</v>
      </c>
      <c r="AE196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196" s="88" t="str">
        <f t="shared" si="67"/>
        <v>"C:\Program Files (x86)\AstroGrep\AstroGrep.exe" /spath="%USERPROFILE%\AppData\Local\Temp\OnboardLogs" /stypes="app*4053*20161027*" /stext=" 00:.+((SYSTEM_STATE.+slice.+state.+changed )|(ment ac)|(system.+state.+changed )|(\[timeout)|(PRM\|1\|D)|(kpr)|(kdp)|(\|lc)|(penalty))" /e /r /s</v>
      </c>
      <c r="AG196" s="1" t="str">
        <f t="shared" si="68"/>
        <v>NW</v>
      </c>
      <c r="AH196" s="92" t="str">
        <f t="shared" si="69"/>
        <v>"%USERPROFILE%\Documents\GitHub\eaglep3\Utilities\RefineRTDCRunTimes.py" --tripid 837-26 --locoid 4053 --swversion DE.1.0.8.0 --startMP 204:1002 --initTime 2016-10-26T18:16:25 --startdatetime 2016-10-26T18:21:30 --delay 1 --endMP 300:58943 --enddatetime 2016-10-26T18:35:43 --enforcementcount 0 &gt;&gt;C:\Users\stu\Documents\GitHub\eaglep3-reporting\EC\2016-10-26-refined-times.txt</v>
      </c>
      <c r="AI196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{"issue":{"subject":"","project_id":79,"tracker_id":40,"status_id":1,"priority_id":2,"assigned_to_id":23,"start_date":"2016-10-26","description":"","custom_fields":[{"id":1,"name":"Subdivision","value":"NW"},{"id":4,"name":"Milepost","value":"5.8943"},{"id":17,"name":"Train ID","value":"837-26"},{"id":16,"name":"Locomotive ID","value":"4053"},{"id":130,"name":"Impact","value":""},{"id":150,"name":"Time of Event (Mountain Time)","value":"18:35:43"},{"id":151,"name":"Denver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436</v>
      </c>
      <c r="B197" s="7">
        <v>4054</v>
      </c>
      <c r="C197" s="22" t="s">
        <v>378</v>
      </c>
      <c r="D197" s="22" t="s">
        <v>763</v>
      </c>
      <c r="E197" s="13">
        <v>42669.776296296295</v>
      </c>
      <c r="F197" s="13">
        <v>42669.778148148151</v>
      </c>
      <c r="G197" s="7">
        <v>1</v>
      </c>
      <c r="H197" s="13" t="s">
        <v>764</v>
      </c>
      <c r="I197" s="13">
        <v>42669.789849537039</v>
      </c>
      <c r="J197" s="7">
        <v>0</v>
      </c>
      <c r="K197" s="112" t="str">
        <f t="shared" si="59"/>
        <v>4053/4054</v>
      </c>
      <c r="L197" s="22" t="str">
        <f>VLOOKUP(A197,'Trips&amp;Operators'!$C$1:$E$10000,3,FALSE)</f>
        <v>MOSES</v>
      </c>
      <c r="M197" s="6">
        <f t="shared" si="60"/>
        <v>1.17013888884685E-2</v>
      </c>
      <c r="N197" s="7">
        <f t="shared" si="74"/>
        <v>16.84999999939464</v>
      </c>
      <c r="O197" s="7"/>
      <c r="P197" s="7"/>
      <c r="Q197" s="23"/>
      <c r="R197" s="23"/>
      <c r="S197" s="35">
        <f t="shared" si="71"/>
        <v>1</v>
      </c>
      <c r="T197" s="50" t="str">
        <f t="shared" si="61"/>
        <v>Southbound</v>
      </c>
      <c r="U197" s="18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17:37:52-0600',mode:absolute,to:'2016-10-26 19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7" s="52" t="str">
        <f t="shared" si="63"/>
        <v>N</v>
      </c>
      <c r="X197" s="186">
        <f t="shared" si="75"/>
        <v>1</v>
      </c>
      <c r="Y197" s="67">
        <f t="shared" ref="Y197:Y228" si="76">RIGHT(D197,LEN(D197)-4)/10000</f>
        <v>5.8620999999999999</v>
      </c>
      <c r="Z197" s="67">
        <f t="shared" ref="Z197:Z228" si="77">RIGHT(H197,LEN(H197)-4)/10000</f>
        <v>7.4099999999999999E-2</v>
      </c>
      <c r="AA197" s="67">
        <f t="shared" si="64"/>
        <v>5.7880000000000003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65"/>
        <v>0838-26</v>
      </c>
      <c r="AE197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97" s="88" t="str">
        <f t="shared" si="67"/>
        <v>"C:\Program Files (x86)\AstroGrep\AstroGrep.exe" /spath="%USERPROFILE%\AppData\Local\Temp\OnboardLogs" /stypes="app*4054*20161027*" /stext=" 00:.+((SYSTEM_STATE.+slice.+state.+changed )|(ment ac)|(system.+state.+changed )|(\[timeout)|(PRM\|1\|D)|(kpr)|(kdp)|(\|lc)|(penalty))" /e /r /s</v>
      </c>
      <c r="AG197" s="1" t="str">
        <f t="shared" si="68"/>
        <v>NW</v>
      </c>
      <c r="AH197" s="92" t="str">
        <f t="shared" si="69"/>
        <v>"%USERPROFILE%\Documents\GitHub\eaglep3\Utilities\RefineRTDCRunTimes.py" --tripid 838-26 --locoid 4054 --swversion DE.1.0.8.0 --startMP 300:58621 --initTime 2016-10-26T18:37:52 --startdatetime 2016-10-26T18:40:32 --delay 1 --endMP 204:741 --enddatetime 2016-10-26T18:57:23 --enforcementcount 0 &gt;&gt;C:\Users\stu\Documents\GitHub\eaglep3-reporting\EC\2016-10-26-refined-times.txt</v>
      </c>
      <c r="AI197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{"issue":{"subject":"","project_id":79,"tracker_id":40,"status_id":1,"priority_id":2,"assigned_to_id":23,"start_date":"2016-10-26","description":"","custom_fields":[{"id":1,"name":"Subdivision","value":"NW"},{"id":4,"name":"Milepost","value":"0.0741"},{"id":17,"name":"Train ID","value":"838-26"},{"id":16,"name":"Locomotive ID","value":"4054"},{"id":130,"name":"Impact","value":""},{"id":150,"name":"Time of Event (Mountain Time)","value":"18:57:23"},{"id":151,"name":"Denver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590</v>
      </c>
      <c r="B198" s="7">
        <v>4007</v>
      </c>
      <c r="C198" s="22" t="s">
        <v>378</v>
      </c>
      <c r="D198" s="22" t="s">
        <v>765</v>
      </c>
      <c r="E198" s="13">
        <v>42669.780104166668</v>
      </c>
      <c r="F198" s="13">
        <v>42669.785798611112</v>
      </c>
      <c r="G198" s="7">
        <v>1</v>
      </c>
      <c r="H198" s="13" t="s">
        <v>391</v>
      </c>
      <c r="I198" s="13">
        <v>42669.796550925923</v>
      </c>
      <c r="J198" s="7">
        <v>0</v>
      </c>
      <c r="K198" s="112" t="str">
        <f t="shared" si="59"/>
        <v>4007/4008</v>
      </c>
      <c r="L198" s="22" t="str">
        <f>VLOOKUP(A198,'Trips&amp;Operators'!$C$1:$E$10000,3,FALSE)</f>
        <v>LEVERE</v>
      </c>
      <c r="M198" s="6">
        <f t="shared" si="60"/>
        <v>1.0752314810815733E-2</v>
      </c>
      <c r="N198" s="7">
        <f t="shared" si="74"/>
        <v>15.483333327574655</v>
      </c>
      <c r="O198" s="7"/>
      <c r="P198" s="7"/>
      <c r="Q198" s="23"/>
      <c r="R198" s="23"/>
      <c r="S198" s="35">
        <f t="shared" si="71"/>
        <v>1</v>
      </c>
      <c r="T198" s="50" t="str">
        <f t="shared" si="61"/>
        <v>NorthBound</v>
      </c>
      <c r="U198" s="18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17:43:21-0600',mode:absolute,to:'2016-10-26 20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8" s="52" t="str">
        <f t="shared" si="63"/>
        <v>N</v>
      </c>
      <c r="X198" s="186">
        <f t="shared" si="75"/>
        <v>1</v>
      </c>
      <c r="Y198" s="67">
        <f t="shared" si="76"/>
        <v>9.6000000000000002E-2</v>
      </c>
      <c r="Z198" s="67">
        <f t="shared" si="77"/>
        <v>5.8952</v>
      </c>
      <c r="AA198" s="67">
        <f t="shared" si="64"/>
        <v>5.7991999999999999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65"/>
        <v>0839-26</v>
      </c>
      <c r="AE198" s="91" t="str">
        <f t="shared" si="66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198" s="88" t="str">
        <f t="shared" si="67"/>
        <v>"C:\Program Files (x86)\AstroGrep\AstroGrep.exe" /spath="%USERPROFILE%\AppData\Local\Temp\OnboardLogs" /stypes="app*4007*20161027*" /stext=" 01:.+((SYSTEM_STATE.+slice.+state.+changed )|(ment ac)|(system.+state.+changed )|(\[timeout)|(PRM\|1\|D)|(kpr)|(kdp)|(\|lc)|(penalty))" /e /r /s</v>
      </c>
      <c r="AG198" s="1" t="str">
        <f t="shared" si="68"/>
        <v>NW</v>
      </c>
      <c r="AH198" s="92" t="str">
        <f t="shared" si="69"/>
        <v>"%USERPROFILE%\Documents\GitHub\eaglep3\Utilities\RefineRTDCRunTimes.py" --tripid 839-26 --locoid 4007 --swversion DE.1.0.8.0 --startMP 204:960 --initTime 2016-10-26T18:43:21 --startdatetime 2016-10-26T18:51:33 --delay 1 --endMP 300:58952 --enddatetime 2016-10-26T19:07:02 --enforcementcount 0 &gt;&gt;C:\Users\stu\Documents\GitHub\eaglep3-reporting\EC\2016-10-26-refined-times.txt</v>
      </c>
      <c r="AI198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{"issue":{"subject":"","project_id":79,"tracker_id":40,"status_id":1,"priority_id":2,"assigned_to_id":23,"start_date":"2016-10-26","description":"","custom_fields":[{"id":1,"name":"Subdivision","value":"NW"},{"id":4,"name":"Milepost","value":"5.8952"},{"id":17,"name":"Train ID","value":"839-26"},{"id":16,"name":"Locomotive ID","value":"4007"},{"id":130,"name":"Impact","value":""},{"id":150,"name":"Time of Event (Mountain Time)","value":"19:07:02"},{"id":151,"name":"Denver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601</v>
      </c>
      <c r="B199" s="7">
        <v>4054</v>
      </c>
      <c r="C199" s="22" t="s">
        <v>378</v>
      </c>
      <c r="D199" s="22" t="s">
        <v>747</v>
      </c>
      <c r="E199" s="13">
        <v>42669.817858796298</v>
      </c>
      <c r="F199" s="13">
        <v>42669.820069444446</v>
      </c>
      <c r="G199" s="7">
        <v>1</v>
      </c>
      <c r="H199" s="13" t="s">
        <v>388</v>
      </c>
      <c r="I199" s="13">
        <v>42669.830011574071</v>
      </c>
      <c r="J199" s="7">
        <v>0</v>
      </c>
      <c r="K199" s="112" t="str">
        <f t="shared" si="59"/>
        <v>4053/4054</v>
      </c>
      <c r="L199" s="22" t="str">
        <f>VLOOKUP(A199,'Trips&amp;Operators'!$C$1:$E$10000,3,FALSE)</f>
        <v>PUGH</v>
      </c>
      <c r="M199" s="6">
        <f t="shared" si="60"/>
        <v>9.9421296254149638E-3</v>
      </c>
      <c r="N199" s="7">
        <f t="shared" si="74"/>
        <v>14.316666660597548</v>
      </c>
      <c r="O199" s="7"/>
      <c r="P199" s="7"/>
      <c r="Q199" s="23"/>
      <c r="R199" s="23"/>
      <c r="S199" s="35">
        <f t="shared" si="71"/>
        <v>1</v>
      </c>
      <c r="T199" s="50" t="str">
        <f t="shared" si="61"/>
        <v>Southbound</v>
      </c>
      <c r="U199" s="18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18:37:43-0600',mode:absolute,to:'2016-10-26 20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99" s="52" t="str">
        <f t="shared" si="63"/>
        <v>N</v>
      </c>
      <c r="X199" s="186">
        <f t="shared" si="75"/>
        <v>1</v>
      </c>
      <c r="Y199" s="67">
        <f t="shared" si="76"/>
        <v>5.8673000000000002</v>
      </c>
      <c r="Z199" s="67">
        <f t="shared" si="77"/>
        <v>7.1499999999999994E-2</v>
      </c>
      <c r="AA199" s="67">
        <f t="shared" si="64"/>
        <v>5.7957999999999998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65"/>
        <v>0840-26</v>
      </c>
      <c r="AE199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199" s="88" t="str">
        <f t="shared" si="67"/>
        <v>"C:\Program Files (x86)\AstroGrep\AstroGrep.exe" /spath="%USERPROFILE%\AppData\Local\Temp\OnboardLogs" /stypes="app*4054*20161027*" /stext=" 01:.+((SYSTEM_STATE.+slice.+state.+changed )|(ment ac)|(system.+state.+changed )|(\[timeout)|(PRM\|1\|D)|(kpr)|(kdp)|(\|lc)|(penalty))" /e /r /s</v>
      </c>
      <c r="AG199" s="1" t="str">
        <f t="shared" si="68"/>
        <v>NW</v>
      </c>
      <c r="AH199" s="92" t="str">
        <f t="shared" si="69"/>
        <v>"%USERPROFILE%\Documents\GitHub\eaglep3\Utilities\RefineRTDCRunTimes.py" --tripid 840-26 --locoid 4054 --swversion DE.1.0.8.0 --startMP 300:58673 --initTime 2016-10-26T19:37:43 --startdatetime 2016-10-26T19:40:54 --delay 1 --endMP 204:715 --enddatetime 2016-10-26T19:55:13 --enforcementcount 0 &gt;&gt;C:\Users\stu\Documents\GitHub\eaglep3-reporting\EC\2016-10-26-refined-times.txt</v>
      </c>
      <c r="AI199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{"issue":{"subject":"","project_id":79,"tracker_id":40,"status_id":1,"priority_id":2,"assigned_to_id":23,"start_date":"2016-10-26","description":"","custom_fields":[{"id":1,"name":"Subdivision","value":"NW"},{"id":4,"name":"Milepost","value":"0.0715"},{"id":17,"name":"Train ID","value":"840-26"},{"id":16,"name":"Locomotive ID","value":"4054"},{"id":130,"name":"Impact","value":""},{"id":150,"name":"Time of Event (Mountain Time)","value":"19:55:13"},{"id":151,"name":"Denver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595</v>
      </c>
      <c r="B200" s="7">
        <v>4053</v>
      </c>
      <c r="C200" s="22" t="s">
        <v>378</v>
      </c>
      <c r="D200" s="22" t="s">
        <v>766</v>
      </c>
      <c r="E200" s="13">
        <v>42669.799664351849</v>
      </c>
      <c r="F200" s="13">
        <v>42669.806655092594</v>
      </c>
      <c r="G200" s="7">
        <v>2</v>
      </c>
      <c r="H200" s="13" t="s">
        <v>726</v>
      </c>
      <c r="I200" s="13">
        <v>42669.816192129627</v>
      </c>
      <c r="J200" s="7">
        <v>0</v>
      </c>
      <c r="K200" s="112" t="str">
        <f t="shared" si="59"/>
        <v>4053/4054</v>
      </c>
      <c r="L200" s="22" t="str">
        <f>VLOOKUP(A200,'Trips&amp;Operators'!$C$1:$E$10000,3,FALSE)</f>
        <v>PUGH</v>
      </c>
      <c r="M200" s="6">
        <f t="shared" si="60"/>
        <v>9.5370370327145793E-3</v>
      </c>
      <c r="N200" s="7">
        <f t="shared" si="74"/>
        <v>13.733333327108994</v>
      </c>
      <c r="O200" s="7"/>
      <c r="P200" s="7"/>
      <c r="Q200" s="23"/>
      <c r="R200" s="23"/>
      <c r="S200" s="35">
        <f t="shared" si="71"/>
        <v>1</v>
      </c>
      <c r="T200" s="50" t="str">
        <f t="shared" si="61"/>
        <v>NorthBound</v>
      </c>
      <c r="U200" s="18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18:11:31-0600',mode:absolute,to:'2016-10-26 20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0" s="52" t="str">
        <f t="shared" si="63"/>
        <v>N</v>
      </c>
      <c r="X200" s="186">
        <f t="shared" si="75"/>
        <v>1</v>
      </c>
      <c r="Y200" s="67">
        <f t="shared" si="76"/>
        <v>0.10349999999999999</v>
      </c>
      <c r="Z200" s="67">
        <f t="shared" si="77"/>
        <v>5.899</v>
      </c>
      <c r="AA200" s="67">
        <f t="shared" si="64"/>
        <v>5.7954999999999997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65"/>
        <v>0841-26</v>
      </c>
      <c r="AE200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200" s="88" t="str">
        <f t="shared" si="67"/>
        <v>"C:\Program Files (x86)\AstroGrep\AstroGrep.exe" /spath="%USERPROFILE%\AppData\Local\Temp\OnboardLogs" /stypes="app*4053*20161027*" /stext=" 01:.+((SYSTEM_STATE.+slice.+state.+changed )|(ment ac)|(system.+state.+changed )|(\[timeout)|(PRM\|1\|D)|(kpr)|(kdp)|(\|lc)|(penalty))" /e /r /s</v>
      </c>
      <c r="AG200" s="1" t="str">
        <f t="shared" si="68"/>
        <v>NW</v>
      </c>
      <c r="AH200" s="92" t="str">
        <f t="shared" si="69"/>
        <v>"%USERPROFILE%\Documents\GitHub\eaglep3\Utilities\RefineRTDCRunTimes.py" --tripid 841-26 --locoid 4053 --swversion DE.1.0.8.0 --startMP 204:1035 --initTime 2016-10-26T19:11:31 --startdatetime 2016-10-26T19:21:35 --delay 2 --endMP 300:58990 --enddatetime 2016-10-26T19:35:19 --enforcementcount 0 &gt;&gt;C:\Users\stu\Documents\GitHub\eaglep3-reporting\EC\2016-10-26-refined-times.txt</v>
      </c>
      <c r="AI200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{"issue":{"subject":"","project_id":79,"tracker_id":40,"status_id":1,"priority_id":2,"assigned_to_id":23,"start_date":"2016-10-26","description":"","custom_fields":[{"id":1,"name":"Subdivision","value":"NW"},{"id":4,"name":"Milepost","value":"5.899"},{"id":17,"name":"Train ID","value":"841-26"},{"id":16,"name":"Locomotive ID","value":"4053"},{"id":130,"name":"Impact","value":""},{"id":150,"name":"Time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437</v>
      </c>
      <c r="B201" s="7">
        <v>4054</v>
      </c>
      <c r="C201" s="22" t="s">
        <v>378</v>
      </c>
      <c r="D201" s="22" t="s">
        <v>397</v>
      </c>
      <c r="E201" s="13">
        <v>42669.859548611108</v>
      </c>
      <c r="F201" s="13">
        <v>42669.86204861111</v>
      </c>
      <c r="G201" s="7">
        <v>1</v>
      </c>
      <c r="H201" s="13" t="s">
        <v>767</v>
      </c>
      <c r="I201" s="13">
        <v>42669.872870370367</v>
      </c>
      <c r="J201" s="7">
        <v>0</v>
      </c>
      <c r="K201" s="112" t="str">
        <f t="shared" si="59"/>
        <v>4053/4054</v>
      </c>
      <c r="L201" s="22" t="str">
        <f>VLOOKUP(A201,'Trips&amp;Operators'!$C$1:$E$10000,3,FALSE)</f>
        <v>MOSES</v>
      </c>
      <c r="M201" s="6">
        <f t="shared" si="60"/>
        <v>1.0821759256941732E-2</v>
      </c>
      <c r="N201" s="7">
        <f t="shared" ref="N201:N235" si="78">24*60*SUM($M201:$M201)</f>
        <v>15.583333329996094</v>
      </c>
      <c r="O201" s="7"/>
      <c r="P201" s="7"/>
      <c r="Q201" s="23"/>
      <c r="R201" s="23"/>
      <c r="S201" s="35">
        <f t="shared" si="71"/>
        <v>1</v>
      </c>
      <c r="T201" s="50" t="str">
        <f t="shared" si="61"/>
        <v>Southbound</v>
      </c>
      <c r="U201" s="18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19:37:45-0600',mode:absolute,to:'2016-10-26 21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1" s="52" t="str">
        <f t="shared" si="63"/>
        <v>N</v>
      </c>
      <c r="X201" s="186">
        <f t="shared" ref="X201:X235" si="79">VALUE(LEFT(AD201,4))-VALUE(LEFT(AD200,4))</f>
        <v>1</v>
      </c>
      <c r="Y201" s="67">
        <f t="shared" si="76"/>
        <v>5.8651</v>
      </c>
      <c r="Z201" s="67">
        <f t="shared" si="77"/>
        <v>7.3300000000000004E-2</v>
      </c>
      <c r="AA201" s="67">
        <f t="shared" si="64"/>
        <v>5.7918000000000003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65"/>
        <v>0842-26</v>
      </c>
      <c r="AE201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201" s="88" t="str">
        <f t="shared" si="67"/>
        <v>"C:\Program Files (x86)\AstroGrep\AstroGrep.exe" /spath="%USERPROFILE%\AppData\Local\Temp\OnboardLogs" /stypes="app*4054*20161027*" /stext=" 02:.+((SYSTEM_STATE.+slice.+state.+changed )|(ment ac)|(system.+state.+changed )|(\[timeout)|(PRM\|1\|D)|(kpr)|(kdp)|(\|lc)|(penalty))" /e /r /s</v>
      </c>
      <c r="AG201" s="1" t="str">
        <f t="shared" si="68"/>
        <v>NW</v>
      </c>
      <c r="AH201" s="92" t="str">
        <f t="shared" si="69"/>
        <v>"%USERPROFILE%\Documents\GitHub\eaglep3\Utilities\RefineRTDCRunTimes.py" --tripid 842-26 --locoid 4054 --swversion DE.1.0.8.0 --startMP 300:58651 --initTime 2016-10-26T20:37:45 --startdatetime 2016-10-26T20:41:21 --delay 1 --endMP 204:733 --enddatetime 2016-10-26T20:56:56 --enforcementcount 0 &gt;&gt;C:\Users\stu\Documents\GitHub\eaglep3-reporting\EC\2016-10-26-refined-times.txt</v>
      </c>
      <c r="AI201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{"issue":{"subject":"","project_id":79,"tracker_id":40,"status_id":1,"priority_id":2,"assigned_to_id":23,"start_date":"2016-10-26","description":"","custom_fields":[{"id":1,"name":"Subdivision","value":"NW"},{"id":4,"name":"Milepost","value":"0.0733"},{"id":17,"name":"Train ID","value":"842-26"},{"id":16,"name":"Locomotive ID","value":"4054"},{"id":130,"name":"Impact","value":""},{"id":150,"name":"Time of Event (Mountain Time)","value":"20:56:56"},{"id":151,"name":"Denver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s="21" customFormat="1" x14ac:dyDescent="0.25">
      <c r="A202" s="37" t="s">
        <v>604</v>
      </c>
      <c r="B202" s="7">
        <v>4053</v>
      </c>
      <c r="C202" s="22" t="s">
        <v>378</v>
      </c>
      <c r="D202" s="22" t="s">
        <v>382</v>
      </c>
      <c r="E202" s="13">
        <v>42669.842870370368</v>
      </c>
      <c r="F202" s="13">
        <v>42669.848182870373</v>
      </c>
      <c r="G202" s="7">
        <v>1</v>
      </c>
      <c r="H202" s="13" t="s">
        <v>768</v>
      </c>
      <c r="I202" s="13">
        <v>42669.857662037037</v>
      </c>
      <c r="J202" s="7">
        <v>0</v>
      </c>
      <c r="K202" s="112" t="str">
        <f t="shared" si="59"/>
        <v>4053/4054</v>
      </c>
      <c r="L202" s="22" t="str">
        <f>VLOOKUP(A202,'Trips&amp;Operators'!$C$1:$E$10000,3,FALSE)</f>
        <v>MOSES</v>
      </c>
      <c r="M202" s="6">
        <f t="shared" si="60"/>
        <v>9.4791666633682325E-3</v>
      </c>
      <c r="N202" s="7">
        <f t="shared" si="78"/>
        <v>13.649999995250255</v>
      </c>
      <c r="O202" s="7"/>
      <c r="P202" s="7"/>
      <c r="Q202" s="23"/>
      <c r="R202" s="23"/>
      <c r="S202" s="35">
        <f t="shared" si="71"/>
        <v>1</v>
      </c>
      <c r="T202" s="50" t="str">
        <f t="shared" si="61"/>
        <v>NorthBound</v>
      </c>
      <c r="U202" s="18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19:13:44-0600',mode:absolute,to:'2016-10-26 21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2" s="52" t="str">
        <f t="shared" si="63"/>
        <v>N</v>
      </c>
      <c r="X202" s="186">
        <f t="shared" si="79"/>
        <v>1</v>
      </c>
      <c r="Y202" s="67">
        <f t="shared" si="76"/>
        <v>0.1013</v>
      </c>
      <c r="Z202" s="67">
        <f t="shared" si="77"/>
        <v>5.8959999999999999</v>
      </c>
      <c r="AA202" s="67">
        <f t="shared" si="64"/>
        <v>5.7946999999999997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65"/>
        <v>0843-26</v>
      </c>
      <c r="AE202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202" s="88" t="str">
        <f t="shared" si="67"/>
        <v>"C:\Program Files (x86)\AstroGrep\AstroGrep.exe" /spath="%USERPROFILE%\AppData\Local\Temp\OnboardLogs" /stypes="app*4053*20161027*" /stext=" 02:.+((SYSTEM_STATE.+slice.+state.+changed )|(ment ac)|(system.+state.+changed )|(\[timeout)|(PRM\|1\|D)|(kpr)|(kdp)|(\|lc)|(penalty))" /e /r /s</v>
      </c>
      <c r="AG202" s="1" t="str">
        <f t="shared" si="68"/>
        <v>NW</v>
      </c>
      <c r="AH202" s="92" t="str">
        <f t="shared" si="69"/>
        <v>"%USERPROFILE%\Documents\GitHub\eaglep3\Utilities\RefineRTDCRunTimes.py" --tripid 843-26 --locoid 4053 --swversion DE.1.0.8.0 --startMP 204:1013 --initTime 2016-10-26T20:13:44 --startdatetime 2016-10-26T20:21:23 --delay 1 --endMP 300:58960 --enddatetime 2016-10-26T20:35:02 --enforcementcount 0 &gt;&gt;C:\Users\stu\Documents\GitHub\eaglep3-reporting\EC\2016-10-26-refined-times.txt</v>
      </c>
      <c r="AI202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{"issue":{"subject":"","project_id":79,"tracker_id":40,"status_id":1,"priority_id":2,"assigned_to_id":23,"start_date":"2016-10-26","description":"","custom_fields":[{"id":1,"name":"Subdivision","value":"NW"},{"id":4,"name":"Milepost","value":"5.896"},{"id":17,"name":"Train ID","value":"843-26"},{"id":16,"name":"Locomotive ID","value":"4053"},{"id":130,"name":"Impact","value":""},{"id":150,"name":"Time of Event (Mountain Time)","value":"20:35:02"},{"id":151,"name":"Denver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1" customFormat="1" x14ac:dyDescent="0.25">
      <c r="A203" s="37" t="s">
        <v>612</v>
      </c>
      <c r="B203" s="7">
        <v>4054</v>
      </c>
      <c r="C203" s="22" t="s">
        <v>378</v>
      </c>
      <c r="D203" s="22" t="s">
        <v>397</v>
      </c>
      <c r="E203" s="13">
        <v>42669.901550925926</v>
      </c>
      <c r="F203" s="13">
        <v>42669.903229166666</v>
      </c>
      <c r="G203" s="7">
        <v>1</v>
      </c>
      <c r="H203" s="13" t="s">
        <v>392</v>
      </c>
      <c r="I203" s="13">
        <v>42669.914236111108</v>
      </c>
      <c r="J203" s="7">
        <v>0</v>
      </c>
      <c r="K203" s="112" t="str">
        <f t="shared" si="59"/>
        <v>4053/4054</v>
      </c>
      <c r="L203" s="22" t="str">
        <f>VLOOKUP(A203,'Trips&amp;Operators'!$C$1:$E$10000,3,FALSE)</f>
        <v>LEVERE</v>
      </c>
      <c r="M203" s="6">
        <f t="shared" si="60"/>
        <v>1.1006944441760425E-2</v>
      </c>
      <c r="N203" s="7">
        <f t="shared" si="78"/>
        <v>15.849999996135011</v>
      </c>
      <c r="O203" s="7"/>
      <c r="P203" s="7"/>
      <c r="Q203" s="23"/>
      <c r="R203" s="23"/>
      <c r="S203" s="35">
        <f t="shared" si="71"/>
        <v>1</v>
      </c>
      <c r="T203" s="50" t="str">
        <f t="shared" si="61"/>
        <v>Southbound</v>
      </c>
      <c r="U203" s="18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20:38:14-0600',mode:absolute,to:'2016-10-26 22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03" s="52" t="str">
        <f t="shared" si="63"/>
        <v>N</v>
      </c>
      <c r="X203" s="186">
        <f t="shared" si="79"/>
        <v>1</v>
      </c>
      <c r="Y203" s="67">
        <f t="shared" si="76"/>
        <v>5.8651</v>
      </c>
      <c r="Z203" s="67">
        <f t="shared" si="77"/>
        <v>6.7699999999999996E-2</v>
      </c>
      <c r="AA203" s="67">
        <f t="shared" si="64"/>
        <v>5.7973999999999997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65"/>
        <v>0844-26</v>
      </c>
      <c r="AE203" s="91" t="str">
        <f t="shared" si="66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203" s="88" t="str">
        <f t="shared" si="67"/>
        <v>"C:\Program Files (x86)\AstroGrep\AstroGrep.exe" /spath="%USERPROFILE%\AppData\Local\Temp\OnboardLogs" /stypes="app*4054*20161027*" /stext=" 03:.+((SYSTEM_STATE.+slice.+state.+changed )|(ment ac)|(system.+state.+changed )|(\[timeout)|(PRM\|1\|D)|(kpr)|(kdp)|(\|lc)|(penalty))" /e /r /s</v>
      </c>
      <c r="AG203" s="1" t="str">
        <f t="shared" si="68"/>
        <v>NW</v>
      </c>
      <c r="AH203" s="92" t="str">
        <f t="shared" si="69"/>
        <v>"%USERPROFILE%\Documents\GitHub\eaglep3\Utilities\RefineRTDCRunTimes.py" --tripid 844-26 --locoid 4054 --swversion DE.1.0.8.0 --startMP 300:58651 --initTime 2016-10-26T21:38:14 --startdatetime 2016-10-26T21:40:39 --delay 1 --endMP 204:677 --enddatetime 2016-10-26T21:56:30 --enforcementcount 0 &gt;&gt;C:\Users\stu\Documents\GitHub\eaglep3-reporting\EC\2016-10-26-refined-times.txt</v>
      </c>
      <c r="AI203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{"issue":{"subject":"","project_id":79,"tracker_id":40,"status_id":1,"priority_id":2,"assigned_to_id":23,"start_date":"2016-10-26","description":"","custom_fields":[{"id":1,"name":"Subdivision","value":"NW"},{"id":4,"name":"Milepost","value":"0.0677"},{"id":17,"name":"Train ID","value":"844-26"},{"id":16,"name":"Locomotive ID","value":"4054"},{"id":130,"name":"Impact","value":""},{"id":150,"name":"Time of Event (Mountain Time)","value":"21:56:30"},{"id":151,"name":"Denver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610</v>
      </c>
      <c r="B204" s="7">
        <v>4053</v>
      </c>
      <c r="C204" s="22" t="s">
        <v>378</v>
      </c>
      <c r="D204" s="22" t="s">
        <v>389</v>
      </c>
      <c r="E204" s="13">
        <v>42669.878495370373</v>
      </c>
      <c r="F204" s="13">
        <v>42669.890034722222</v>
      </c>
      <c r="G204" s="7">
        <v>1</v>
      </c>
      <c r="H204" s="13" t="s">
        <v>330</v>
      </c>
      <c r="I204" s="13">
        <v>42669.900358796294</v>
      </c>
      <c r="J204" s="7">
        <v>0</v>
      </c>
      <c r="K204" s="112" t="str">
        <f t="shared" si="59"/>
        <v>4053/4054</v>
      </c>
      <c r="L204" s="22" t="str">
        <f>VLOOKUP(A204,'Trips&amp;Operators'!$C$1:$E$10000,3,FALSE)</f>
        <v>LEVERE</v>
      </c>
      <c r="M204" s="6">
        <f t="shared" si="60"/>
        <v>1.0324074071832001E-2</v>
      </c>
      <c r="N204" s="7">
        <f t="shared" si="78"/>
        <v>14.866666663438082</v>
      </c>
      <c r="O204" s="7"/>
      <c r="P204" s="7"/>
      <c r="Q204" s="23"/>
      <c r="R204" s="23"/>
      <c r="S204" s="35">
        <f t="shared" si="71"/>
        <v>1</v>
      </c>
      <c r="T204" s="50" t="str">
        <f t="shared" si="61"/>
        <v>NorthBound</v>
      </c>
      <c r="U204" s="18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62"/>
        <v>https://search-rtdc-monitor-bjffxe2xuh6vdkpspy63sjmuny.us-east-1.es.amazonaws.com/_plugin/kibana/#/discover/Steve-Slow-Train-Analysis-(2080s-and-2083s)?_g=(refreshInterval:(display:Off,section:0,value:0),time:(from:'2016-10-26 20:05:02-0600',mode:absolute,to:'2016-10-26 22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4" s="52" t="str">
        <f t="shared" si="63"/>
        <v>N</v>
      </c>
      <c r="X204" s="186">
        <f t="shared" si="79"/>
        <v>1</v>
      </c>
      <c r="Y204" s="67">
        <f t="shared" si="76"/>
        <v>9.9900000000000003E-2</v>
      </c>
      <c r="Z204" s="67">
        <f t="shared" si="77"/>
        <v>5.8968999999999996</v>
      </c>
      <c r="AA204" s="67">
        <f t="shared" si="64"/>
        <v>5.7969999999999997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65"/>
        <v>0845-26</v>
      </c>
      <c r="AE204" s="91" t="str">
        <f t="shared" si="66"/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204" s="88" t="str">
        <f t="shared" si="67"/>
        <v>"C:\Program Files (x86)\AstroGrep\AstroGrep.exe" /spath="%USERPROFILE%\AppData\Local\Temp\OnboardLogs" /stypes="app*4053*20161027*" /stext=" 03:.+((SYSTEM_STATE.+slice.+state.+changed )|(ment ac)|(system.+state.+changed )|(\[timeout)|(PRM\|1\|D)|(kpr)|(kdp)|(\|lc)|(penalty))" /e /r /s</v>
      </c>
      <c r="AG204" s="1" t="str">
        <f t="shared" si="68"/>
        <v>NW</v>
      </c>
      <c r="AH204" s="92" t="str">
        <f t="shared" si="69"/>
        <v>"%USERPROFILE%\Documents\GitHub\eaglep3\Utilities\RefineRTDCRunTimes.py" --tripid 845-26 --locoid 4053 --swversion DE.1.0.8.0 --startMP 204:999 --initTime 2016-10-26T21:05:02 --startdatetime 2016-10-26T21:21:39 --delay 1 --endMP 300:58969 --enddatetime 2016-10-26T21:36:31 --enforcementcount 0 &gt;&gt;C:\Users\stu\Documents\GitHub\eaglep3-reporting\EC\2016-10-26-refined-times.txt</v>
      </c>
      <c r="AI204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{"issue":{"subject":"","project_id":79,"tracker_id":40,"status_id":1,"priority_id":2,"assigned_to_id":23,"start_date":"2016-10-26","description":"","custom_fields":[{"id":1,"name":"Subdivision","value":"NW"},{"id":4,"name":"Milepost","value":"5.8969"},{"id":17,"name":"Train ID","value":"845-26"},{"id":16,"name":"Locomotive ID","value":"4053"},{"id":130,"name":"Impact","value":""},{"id":150,"name":"Time of Event (Mountain Time)","value":"21:36:31"},{"id":151,"name":"Denver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616</v>
      </c>
      <c r="B205" s="7">
        <v>4053</v>
      </c>
      <c r="C205" s="22" t="s">
        <v>378</v>
      </c>
      <c r="D205" s="22" t="s">
        <v>769</v>
      </c>
      <c r="E205" s="13">
        <v>42669.925057870372</v>
      </c>
      <c r="F205" s="13">
        <v>42669.931458333333</v>
      </c>
      <c r="G205" s="7">
        <v>1</v>
      </c>
      <c r="H205" s="13" t="s">
        <v>398</v>
      </c>
      <c r="I205" s="13">
        <v>42669.941400462965</v>
      </c>
      <c r="J205" s="7">
        <v>0</v>
      </c>
      <c r="K205" s="112" t="str">
        <f t="shared" ref="K205:K235" si="80">IF(ISEVEN(B205),(B205-1)&amp;"/"&amp;B205,B205&amp;"/"&amp;(B205+1))</f>
        <v>4053/4054</v>
      </c>
      <c r="L205" s="22" t="str">
        <f>VLOOKUP(A205,'Trips&amp;Operators'!$C$1:$E$10000,3,FALSE)</f>
        <v>LEVERE</v>
      </c>
      <c r="M205" s="6">
        <f t="shared" ref="M205:M235" si="81">I205-F205</f>
        <v>9.9421296326909214E-3</v>
      </c>
      <c r="N205" s="7">
        <f t="shared" si="78"/>
        <v>14.316666671074927</v>
      </c>
      <c r="O205" s="7"/>
      <c r="P205" s="7"/>
      <c r="Q205" s="23"/>
      <c r="R205" s="23"/>
      <c r="S205" s="35">
        <f t="shared" si="71"/>
        <v>1</v>
      </c>
      <c r="T205" s="50" t="str">
        <f t="shared" ref="T205:T235" si="82">IF(ISEVEN(LEFT(AD205,4)),"Southbound","NorthBound")</f>
        <v>NorthBound</v>
      </c>
      <c r="U205" s="18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5" si="83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https://search-rtdc-monitor-bjffxe2xuh6vdkpspy63sjmuny.us-east-1.es.amazonaws.com/_plugin/kibana/#/discover/Steve-Slow-Train-Analysis-(2080s-and-2083s)?_g=(refreshInterval:(display:Off,section:0,value:0),time:(from:'2016-10-26 21:12:05-0600',mode:absolute,to:'2016-10-26 23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05" s="52" t="str">
        <f t="shared" ref="W205:W235" si="84">IF(AA205&lt;IF(AG205="EC",23,5.65),"Y","N")</f>
        <v>N</v>
      </c>
      <c r="X205" s="186">
        <f t="shared" si="79"/>
        <v>2</v>
      </c>
      <c r="Y205" s="67">
        <f t="shared" si="76"/>
        <v>9.69E-2</v>
      </c>
      <c r="Z205" s="67">
        <f t="shared" si="77"/>
        <v>5.8967000000000001</v>
      </c>
      <c r="AA205" s="67">
        <f t="shared" ref="AA205:AA235" si="85">ABS(Z205-Y205)</f>
        <v>5.7998000000000003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ref="AD205:AD235" si="86">IF(LEN(A205)=6,"0"&amp;A205,A205)</f>
        <v>0847-26</v>
      </c>
      <c r="AE205" s="91" t="str">
        <f t="shared" ref="AE205:AE235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AF205" s="88" t="str">
        <f t="shared" ref="AF205:AF235" si="8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/stypes="app*4053*20161027*" /stext=" 04:.+((SYSTEM_STATE.+slice.+state.+changed )|(ment ac)|(system.+state.+changed )|(\[timeout)|(PRM\|1\|D)|(kpr)|(kdp)|(\|lc)|(penalty))" /e /r /s</v>
      </c>
      <c r="AG205" s="1" t="str">
        <f t="shared" ref="AG205:AG235" si="89">IFERROR(IF(VALUE(LEFT(AD205,2))&lt;=2,"EC",IF(OR(VALUE(LEFT(AD205,2))=8,VALUE(LEFT(AD205,2))=18),"NW","Other")),"Other")</f>
        <v>NW</v>
      </c>
      <c r="AH205" s="92" t="str">
        <f t="shared" si="69"/>
        <v>"%USERPROFILE%\Documents\GitHub\eaglep3\Utilities\RefineRTDCRunTimes.py" --tripid 847-26 --locoid 4053 --swversion DE.1.0.8.0 --startMP 204:969 --initTime 2016-10-26T22:12:05 --startdatetime 2016-10-26T22:21:18 --delay 1 --endMP 300:58967 --enddatetime 2016-10-26T22:35:37 --enforcementcount 0 &gt;&gt;C:\Users\stu\Documents\GitHub\eaglep3-reporting\EC\2016-10-26-refined-times.txt</v>
      </c>
      <c r="AI205" s="122" t="str">
        <f t="shared" si="70"/>
        <v>echo {"issue":{"subject":"","project_id":79,"tracker_id":40,"status_id":1,"priority_id":2,"assigned_to_id":23,"start_date":"2016-10-26","description":"","custom_fields":[{"id":1,"name":"Subdivision","value":"NW"},{"id":4,"name":"Milepost","value":"5.8967"},{"id":17,"name":"Train ID","value":"847-26"},{"id":16,"name":"Locomotive ID","value":"4053"},{"id":130,"name":"Impact","value":""},{"id":150,"name":"Time of Event (Mountain Time)","value":"22:35:37"},{"id":151,"name":"Denver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441</v>
      </c>
      <c r="B206" s="7">
        <v>4039</v>
      </c>
      <c r="C206" s="22" t="s">
        <v>378</v>
      </c>
      <c r="D206" s="22" t="s">
        <v>683</v>
      </c>
      <c r="E206" s="13">
        <v>42669.120219907411</v>
      </c>
      <c r="F206" s="13">
        <v>42669.121805555558</v>
      </c>
      <c r="G206" s="7">
        <v>1</v>
      </c>
      <c r="H206" s="13" t="s">
        <v>684</v>
      </c>
      <c r="I206" s="13">
        <v>42669.128240740742</v>
      </c>
      <c r="J206" s="7">
        <v>0</v>
      </c>
      <c r="K206" s="112" t="str">
        <f t="shared" si="80"/>
        <v>4039/4040</v>
      </c>
      <c r="L206" s="22" t="str">
        <f>VLOOKUP(A206,'Trips&amp;Operators'!$C$1:$E$10000,3,FALSE)</f>
        <v>MAELZER</v>
      </c>
      <c r="M206" s="6">
        <f t="shared" si="81"/>
        <v>6.435185183363501E-3</v>
      </c>
      <c r="N206" s="7">
        <f t="shared" si="78"/>
        <v>9.2666666640434414</v>
      </c>
      <c r="O206" s="7"/>
      <c r="P206" s="7"/>
      <c r="Q206" s="23"/>
      <c r="R206" s="23"/>
      <c r="S206" s="35">
        <f t="shared" si="71"/>
        <v>1</v>
      </c>
      <c r="T206" s="50" t="str">
        <f t="shared" si="82"/>
        <v>Southbound</v>
      </c>
      <c r="U206" s="18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01:53:07-0600',mode:absolute,to:'2016-10-26 04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6" s="52" t="str">
        <f t="shared" si="84"/>
        <v>Y</v>
      </c>
      <c r="X206" s="186">
        <f t="shared" si="79"/>
        <v>-545</v>
      </c>
      <c r="Y206" s="67">
        <f t="shared" si="76"/>
        <v>2.3224</v>
      </c>
      <c r="Z206" s="67">
        <f t="shared" si="77"/>
        <v>1.2699999999999999E-2</v>
      </c>
      <c r="AA206" s="67">
        <f t="shared" si="85"/>
        <v>2.3096999999999999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86"/>
        <v>0302-26</v>
      </c>
      <c r="AE206" s="91" t="str">
        <f t="shared" si="87"/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AF206" s="88" t="str">
        <f t="shared" si="88"/>
        <v>"C:\Program Files (x86)\AstroGrep\AstroGrep.exe" /spath="%USERPROFILE%\AppData\Local\Temp\OnboardLogs" /stypes="app*4039*20161026*" /stext=" 09:.+((SYSTEM_STATE.+slice.+state.+changed )|(ment ac)|(system.+state.+changed )|(\[timeout)|(PRM\|1\|D)|(kpr)|(kdp)|(\|lc)|(penalty))" /e /r /s</v>
      </c>
      <c r="AG206" s="1" t="str">
        <f t="shared" si="89"/>
        <v>Other</v>
      </c>
      <c r="AH206" s="92" t="str">
        <f t="shared" si="69"/>
        <v>"%USERPROFILE%\Documents\GitHub\eaglep3\Utilities\RefineRTDCRunTimes.py" --tripid 302-26 --locoid 4039 --swversion DE.1.0.8.0 --startMP 300:23224 --initTime 2016-10-26T02:53:07 --startdatetime 2016-10-26T02:55:24 --delay 1 --endMP 204:127 --enddatetime 2016-10-26T03:04:40 --enforcementcount 0 &gt;&gt;C:\Users\stu\Documents\GitHub\eaglep3-reporting\EC\2016-10-26-refined-times.txt</v>
      </c>
      <c r="AI206" s="122" t="str">
        <f t="shared" si="70"/>
        <v>echo {"issue":{"subject":"","project_id":79,"tracker_id":40,"status_id":1,"priority_id":2,"assigned_to_id":23,"start_date":"2016-10-26","description":"","custom_fields":[{"id":1,"name":"Subdivision","value":"Other"},{"id":4,"name":"Milepost","value":"0.0127"},{"id":17,"name":"Train ID","value":"302-26"},{"id":16,"name":"Locomotive ID","value":"4039"},{"id":130,"name":"Impact","value":""},{"id":150,"name":"Time of Event (Mountain Time)","value":"03:04:40"},{"id":151,"name":"Denver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1" customFormat="1" x14ac:dyDescent="0.25">
      <c r="A207" s="37" t="s">
        <v>589</v>
      </c>
      <c r="B207" s="7">
        <v>4002</v>
      </c>
      <c r="C207" s="22" t="s">
        <v>378</v>
      </c>
      <c r="D207" s="22" t="s">
        <v>261</v>
      </c>
      <c r="E207" s="13">
        <v>42669.77847222222</v>
      </c>
      <c r="F207" s="13">
        <v>42669.781111111108</v>
      </c>
      <c r="G207" s="7">
        <v>1</v>
      </c>
      <c r="H207" s="13" t="s">
        <v>685</v>
      </c>
      <c r="I207" s="13">
        <v>42669.786562499998</v>
      </c>
      <c r="J207" s="7">
        <v>0</v>
      </c>
      <c r="K207" s="112" t="str">
        <f t="shared" si="80"/>
        <v>4001/4002</v>
      </c>
      <c r="L207" s="22" t="str">
        <f>VLOOKUP(A207,'Trips&amp;Operators'!$C$1:$E$10000,3,FALSE)</f>
        <v>JACKSON</v>
      </c>
      <c r="M207" s="6">
        <f t="shared" si="81"/>
        <v>5.4513888899236917E-3</v>
      </c>
      <c r="N207" s="7">
        <f t="shared" si="78"/>
        <v>7.8500000014901161</v>
      </c>
      <c r="O207" s="7"/>
      <c r="P207" s="7"/>
      <c r="Q207" s="23"/>
      <c r="R207" s="23"/>
      <c r="S207" s="35">
        <f t="shared" si="71"/>
        <v>1</v>
      </c>
      <c r="T207" s="50" t="str">
        <f t="shared" si="82"/>
        <v>NorthBound</v>
      </c>
      <c r="U207" s="18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17:41:00-0600',mode:absolute,to:'2016-10-26 19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7" s="52" t="str">
        <f t="shared" si="84"/>
        <v>Y</v>
      </c>
      <c r="X207" s="186">
        <f t="shared" si="79"/>
        <v>1</v>
      </c>
      <c r="Y207" s="67">
        <f t="shared" si="76"/>
        <v>4.4900000000000002E-2</v>
      </c>
      <c r="Z207" s="67">
        <f t="shared" si="77"/>
        <v>2.3308</v>
      </c>
      <c r="AA207" s="67">
        <f t="shared" si="85"/>
        <v>2.2858999999999998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86"/>
        <v>0303-26</v>
      </c>
      <c r="AE207" s="91" t="str">
        <f t="shared" si="87"/>
        <v>aws s3 cp s3://rtdc.mdm.uploadarchive.raw/RTDC4002/ "%USERPROFILE%\AppData\Local\Temp\OnboardLogs"\RTDC4002\2016-10-26 --exclude "*" --recursive --include "*20161026*" &amp; "%USERPROFILE%\Documents\GitHub\mrs-test-scripts\Headless Mode &amp; Sideloading\WalkAndUnGZ.bat" "%USERPROFILE%\AppData\Local\Temp\OnboardLogs"\RTDC4002\2016-10-26 &amp; aws s3 cp s3://rtdc.mdm.uploadarchive.raw/RTDC4002/ "%USERPROFILE%\AppData\Local\Temp\OnboardLogs"\RTDC4002\2016-10-27 --exclude "*" --recursive --include "*20161027*" &amp; "%USERPROFILE%\Documents\GitHub\mrs-test-scripts\Headless Mode &amp; Sideloading\WalkAndUnGZ.bat" "%USERPROFILE%\AppData\Local\Temp\OnboardLogs"\RTDC4002\2016-10-27</v>
      </c>
      <c r="AF207" s="88" t="str">
        <f t="shared" si="88"/>
        <v>"C:\Program Files (x86)\AstroGrep\AstroGrep.exe" /spath="%USERPROFILE%\AppData\Local\Temp\OnboardLogs" /stypes="app*4002*20161027*" /stext=" 00:.+((SYSTEM_STATE.+slice.+state.+changed )|(ment ac)|(system.+state.+changed )|(\[timeout)|(PRM\|1\|D)|(kpr)|(kdp)|(\|lc)|(penalty))" /e /r /s</v>
      </c>
      <c r="AG207" s="1" t="str">
        <f t="shared" si="89"/>
        <v>Other</v>
      </c>
      <c r="AH207" s="92" t="str">
        <f t="shared" ref="AH207:AH235" si="90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303-26 --locoid 4002 --swversion DE.1.0.8.0 --startMP 204:449 --initTime 2016-10-26T18:41:00 --startdatetime 2016-10-26T18:44:48 --delay 1 --endMP 300:23308 --enddatetime 2016-10-26T18:52:39 --enforcementcount 0 &gt;&gt;C:\Users\stu\Documents\GitHub\eaglep3-reporting\EC\2016-10-26-refined-times.txt</v>
      </c>
      <c r="AI207" s="122" t="str">
        <f t="shared" ref="AI207:AI235" si="91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{"issue":{"subject":"","project_id":79,"tracker_id":40,"status_id":1,"priority_id":2,"assigned_to_id":23,"start_date":"2016-10-26","description":"","custom_fields":[{"id":1,"name":"Subdivision","value":"Other"},{"id":4,"name":"Milepost","value":"2.3308"},{"id":17,"name":"Train ID","value":"303-26"},{"id":16,"name":"Locomotive ID","value":"4002"},{"id":130,"name":"Impact","value":""},{"id":150,"name":"Time of Event (Mountain Time)","value":"18:52:39"},{"id":151,"name":"Denver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1" customFormat="1" x14ac:dyDescent="0.25">
      <c r="A208" s="37" t="s">
        <v>443</v>
      </c>
      <c r="B208" s="7">
        <v>4012</v>
      </c>
      <c r="C208" s="22" t="s">
        <v>378</v>
      </c>
      <c r="D208" s="22" t="s">
        <v>686</v>
      </c>
      <c r="E208" s="13">
        <v>42669.142812500002</v>
      </c>
      <c r="F208" s="13">
        <v>42669.144108796296</v>
      </c>
      <c r="G208" s="7">
        <v>1</v>
      </c>
      <c r="H208" s="13" t="s">
        <v>687</v>
      </c>
      <c r="I208" s="13">
        <v>42669.15048611111</v>
      </c>
      <c r="J208" s="7">
        <v>0</v>
      </c>
      <c r="K208" s="112" t="str">
        <f t="shared" si="80"/>
        <v>4011/4012</v>
      </c>
      <c r="L208" s="22" t="str">
        <f>VLOOKUP(A208,'Trips&amp;Operators'!$C$1:$E$10000,3,FALSE)</f>
        <v>ACKERMAN</v>
      </c>
      <c r="M208" s="6">
        <f t="shared" si="81"/>
        <v>6.3773148140171543E-3</v>
      </c>
      <c r="N208" s="7">
        <f t="shared" si="78"/>
        <v>9.1833333321847022</v>
      </c>
      <c r="O208" s="7"/>
      <c r="P208" s="7"/>
      <c r="Q208" s="23"/>
      <c r="R208" s="23"/>
      <c r="S208" s="35">
        <f t="shared" si="71"/>
        <v>1</v>
      </c>
      <c r="T208" s="50" t="str">
        <f t="shared" si="82"/>
        <v>Southbound</v>
      </c>
      <c r="U208" s="18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02:25:39-0600',mode:absolute,to:'2016-10-26 04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8" s="52" t="str">
        <f t="shared" si="84"/>
        <v>Y</v>
      </c>
      <c r="X208" s="186">
        <f t="shared" si="79"/>
        <v>1</v>
      </c>
      <c r="Y208" s="67">
        <f t="shared" si="76"/>
        <v>2.2330999999999999</v>
      </c>
      <c r="Z208" s="67">
        <f t="shared" si="77"/>
        <v>9.1999999999999998E-3</v>
      </c>
      <c r="AA208" s="67">
        <f t="shared" si="85"/>
        <v>2.2239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si="86"/>
        <v>0304-26</v>
      </c>
      <c r="AE208" s="91" t="str">
        <f t="shared" si="87"/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AF208" s="88" t="str">
        <f t="shared" si="88"/>
        <v>"C:\Program Files (x86)\AstroGrep\AstroGrep.exe" /spath="%USERPROFILE%\AppData\Local\Temp\OnboardLogs" /stypes="app*4012*20161026*" /stext=" 09:.+((SYSTEM_STATE.+slice.+state.+changed )|(ment ac)|(system.+state.+changed )|(\[timeout)|(PRM\|1\|D)|(kpr)|(kdp)|(\|lc)|(penalty))" /e /r /s</v>
      </c>
      <c r="AG208" s="1" t="str">
        <f t="shared" si="89"/>
        <v>Other</v>
      </c>
      <c r="AH208" s="92" t="str">
        <f t="shared" si="90"/>
        <v>"%USERPROFILE%\Documents\GitHub\eaglep3\Utilities\RefineRTDCRunTimes.py" --tripid 304-26 --locoid 4012 --swversion DE.1.0.8.0 --startMP 300:22331 --initTime 2016-10-26T03:25:39 --startdatetime 2016-10-26T03:27:31 --delay 1 --endMP 204:92 --enddatetime 2016-10-26T03:36:42 --enforcementcount 0 &gt;&gt;C:\Users\stu\Documents\GitHub\eaglep3-reporting\EC\2016-10-26-refined-times.txt</v>
      </c>
      <c r="AI208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{"issue":{"subject":"","project_id":79,"tracker_id":40,"status_id":1,"priority_id":2,"assigned_to_id":23,"start_date":"2016-10-26","description":"","custom_fields":[{"id":1,"name":"Subdivision","value":"Other"},{"id":4,"name":"Milepost","value":"0.0092"},{"id":17,"name":"Train ID","value":"304-26"},{"id":16,"name":"Locomotive ID","value":"4012"},{"id":130,"name":"Impact","value":""},{"id":150,"name":"Time of Event (Mountain Time)","value":"03:36:42"},{"id":151,"name":"Denver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7" t="s">
        <v>597</v>
      </c>
      <c r="B209" s="7">
        <v>4040</v>
      </c>
      <c r="C209" s="22" t="s">
        <v>378</v>
      </c>
      <c r="D209" s="22" t="s">
        <v>231</v>
      </c>
      <c r="E209" s="13">
        <v>42669.800578703704</v>
      </c>
      <c r="F209" s="13">
        <v>42669.802303240744</v>
      </c>
      <c r="G209" s="7">
        <v>1</v>
      </c>
      <c r="H209" s="13" t="s">
        <v>688</v>
      </c>
      <c r="I209" s="13">
        <v>42669.809432870374</v>
      </c>
      <c r="J209" s="7">
        <v>0</v>
      </c>
      <c r="K209" s="112" t="str">
        <f t="shared" si="80"/>
        <v>4039/4040</v>
      </c>
      <c r="L209" s="22" t="str">
        <f>VLOOKUP(A209,'Trips&amp;Operators'!$C$1:$E$10000,3,FALSE)</f>
        <v>YOUNG</v>
      </c>
      <c r="M209" s="6">
        <f t="shared" si="81"/>
        <v>7.1296296300715767E-3</v>
      </c>
      <c r="N209" s="7">
        <f t="shared" si="78"/>
        <v>10.26666666730307</v>
      </c>
      <c r="O209" s="7"/>
      <c r="P209" s="7"/>
      <c r="Q209" s="23"/>
      <c r="R209" s="23"/>
      <c r="S209" s="35">
        <f t="shared" si="71"/>
        <v>1</v>
      </c>
      <c r="T209" s="50" t="str">
        <f t="shared" si="82"/>
        <v>NorthBound</v>
      </c>
      <c r="U209" s="18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18:12:50-0600',mode:absolute,to:'2016-10-26 20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9" s="52" t="str">
        <f t="shared" si="84"/>
        <v>Y</v>
      </c>
      <c r="X209" s="186">
        <f t="shared" si="79"/>
        <v>1</v>
      </c>
      <c r="Y209" s="67">
        <f t="shared" si="76"/>
        <v>4.5999999999999999E-2</v>
      </c>
      <c r="Z209" s="67">
        <f t="shared" si="77"/>
        <v>2.3302</v>
      </c>
      <c r="AA209" s="67">
        <f t="shared" si="85"/>
        <v>2.2842000000000002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86"/>
        <v>0305-26</v>
      </c>
      <c r="AE209" s="91" t="str">
        <f t="shared" si="87"/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AF209" s="88" t="str">
        <f t="shared" si="88"/>
        <v>"C:\Program Files (x86)\AstroGrep\AstroGrep.exe" /spath="%USERPROFILE%\AppData\Local\Temp\OnboardLogs" /stypes="app*4040*20161027*" /stext=" 01:.+((SYSTEM_STATE.+slice.+state.+changed )|(ment ac)|(system.+state.+changed )|(\[timeout)|(PRM\|1\|D)|(kpr)|(kdp)|(\|lc)|(penalty))" /e /r /s</v>
      </c>
      <c r="AG209" s="1" t="str">
        <f t="shared" si="89"/>
        <v>Other</v>
      </c>
      <c r="AH209" s="92" t="str">
        <f t="shared" si="90"/>
        <v>"%USERPROFILE%\Documents\GitHub\eaglep3\Utilities\RefineRTDCRunTimes.py" --tripid 305-26 --locoid 4040 --swversion DE.1.0.8.0 --startMP 204:460 --initTime 2016-10-26T19:12:50 --startdatetime 2016-10-26T19:15:19 --delay 1 --endMP 300:23302 --enddatetime 2016-10-26T19:25:35 --enforcementcount 0 &gt;&gt;C:\Users\stu\Documents\GitHub\eaglep3-reporting\EC\2016-10-26-refined-times.txt</v>
      </c>
      <c r="AI209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{"issue":{"subject":"","project_id":79,"tracker_id":40,"status_id":1,"priority_id":2,"assigned_to_id":23,"start_date":"2016-10-26","description":"","custom_fields":[{"id":1,"name":"Subdivision","value":"Other"},{"id":4,"name":"Milepost","value":"2.3302"},{"id":17,"name":"Train ID","value":"305-26"},{"id":16,"name":"Locomotive ID","value":"4040"},{"id":130,"name":"Impact","value":""},{"id":150,"name":"Time of Event (Mountain Time)","value":"19:25:35"},{"id":151,"name":"Denver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91" x14ac:dyDescent="0.25">
      <c r="A210" s="37" t="s">
        <v>402</v>
      </c>
      <c r="B210" s="7">
        <v>4045</v>
      </c>
      <c r="C210" s="22" t="s">
        <v>378</v>
      </c>
      <c r="D210" s="22" t="s">
        <v>689</v>
      </c>
      <c r="E210" s="13">
        <v>42669.165173611109</v>
      </c>
      <c r="F210" s="13">
        <v>42669.166296296295</v>
      </c>
      <c r="G210" s="7">
        <v>1</v>
      </c>
      <c r="H210" s="13" t="s">
        <v>217</v>
      </c>
      <c r="I210" s="13">
        <v>42669.173344907409</v>
      </c>
      <c r="J210" s="7">
        <v>0</v>
      </c>
      <c r="K210" s="112" t="str">
        <f t="shared" si="80"/>
        <v>4045/4046</v>
      </c>
      <c r="L210" s="22" t="str">
        <f>VLOOKUP(A210,'Trips&amp;Operators'!$C$1:$E$10000,3,FALSE)</f>
        <v>STRICKLAND</v>
      </c>
      <c r="M210" s="6">
        <f t="shared" si="81"/>
        <v>7.0486111144418828E-3</v>
      </c>
      <c r="N210" s="7">
        <f t="shared" si="78"/>
        <v>10.150000004796311</v>
      </c>
      <c r="O210" s="7"/>
      <c r="P210" s="7"/>
      <c r="Q210" s="23"/>
      <c r="R210" s="23"/>
      <c r="S210" s="35">
        <f t="shared" si="71"/>
        <v>1</v>
      </c>
      <c r="T210" s="50" t="str">
        <f t="shared" si="82"/>
        <v>Southbound</v>
      </c>
      <c r="U210" s="18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02:57:51-0600',mode:absolute,to:'2016-10-26 05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0" s="52" t="str">
        <f t="shared" si="84"/>
        <v>Y</v>
      </c>
      <c r="X210" s="186">
        <f t="shared" si="79"/>
        <v>1</v>
      </c>
      <c r="Y210" s="67">
        <f t="shared" si="76"/>
        <v>2.0028000000000001</v>
      </c>
      <c r="Z210" s="67">
        <f t="shared" si="77"/>
        <v>1.4500000000000001E-2</v>
      </c>
      <c r="AA210" s="67">
        <f t="shared" si="85"/>
        <v>1.9883000000000002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86"/>
        <v>0306-26</v>
      </c>
      <c r="AE210" s="91" t="str">
        <f t="shared" si="87"/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AF210" s="88" t="str">
        <f t="shared" si="88"/>
        <v>"C:\Program Files (x86)\AstroGrep\AstroGrep.exe" /spath="%USERPROFILE%\AppData\Local\Temp\OnboardLogs" /stypes="app*4045*20161026*" /stext=" 10:.+((SYSTEM_STATE.+slice.+state.+changed )|(ment ac)|(system.+state.+changed )|(\[timeout)|(PRM\|1\|D)|(kpr)|(kdp)|(\|lc)|(penalty))" /e /r /s</v>
      </c>
      <c r="AG210" s="1" t="str">
        <f t="shared" si="89"/>
        <v>Other</v>
      </c>
      <c r="AH210" s="92" t="str">
        <f t="shared" si="90"/>
        <v>"%USERPROFILE%\Documents\GitHub\eaglep3\Utilities\RefineRTDCRunTimes.py" --tripid 306-26 --locoid 4045 --swversion DE.1.0.8.0 --startMP 300:20028 --initTime 2016-10-26T03:57:51 --startdatetime 2016-10-26T03:59:28 --delay 1 --endMP 204:145 --enddatetime 2016-10-26T04:09:37 --enforcementcount 0 &gt;&gt;C:\Users\stu\Documents\GitHub\eaglep3-reporting\EC\2016-10-26-refined-times.txt</v>
      </c>
      <c r="AI210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{"issue":{"subject":"","project_id":79,"tracker_id":40,"status_id":1,"priority_id":2,"assigned_to_id":23,"start_date":"2016-10-26","description":"","custom_fields":[{"id":1,"name":"Subdivision","value":"Other"},{"id":4,"name":"Milepost","value":"0.0145"},{"id":17,"name":"Train ID","value":"306-26"},{"id":16,"name":"Locomotive ID","value":"4045"},{"id":130,"name":"Impact","value":""},{"id":150,"name":"Time of Event (Mountain Time)","value":"04:09:37"},{"id":151,"name":"Denver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91" s="21" customFormat="1" x14ac:dyDescent="0.25">
      <c r="A211" s="37" t="s">
        <v>600</v>
      </c>
      <c r="B211" s="7">
        <v>4011</v>
      </c>
      <c r="C211" s="22" t="s">
        <v>378</v>
      </c>
      <c r="D211" s="22" t="s">
        <v>232</v>
      </c>
      <c r="E211" s="13">
        <v>42669.816516203704</v>
      </c>
      <c r="F211" s="13">
        <v>25568.708333333332</v>
      </c>
      <c r="G211" s="7">
        <v>1</v>
      </c>
      <c r="H211" s="13" t="s">
        <v>376</v>
      </c>
      <c r="I211" s="13">
        <v>25568.708333333332</v>
      </c>
      <c r="J211" s="7">
        <v>0</v>
      </c>
      <c r="K211" s="112" t="str">
        <f t="shared" si="80"/>
        <v>4011/4012</v>
      </c>
      <c r="L211" s="22" t="str">
        <f>VLOOKUP(A211,'Trips&amp;Operators'!$C$1:$E$10000,3,FALSE)</f>
        <v>STORY</v>
      </c>
      <c r="M211" s="6">
        <f t="shared" si="81"/>
        <v>0</v>
      </c>
      <c r="N211" s="7">
        <f t="shared" si="78"/>
        <v>0</v>
      </c>
      <c r="O211" s="7"/>
      <c r="P211" s="7"/>
      <c r="Q211" s="23"/>
      <c r="R211" s="23"/>
      <c r="S211" s="35">
        <f t="shared" si="71"/>
        <v>1</v>
      </c>
      <c r="T211" s="50" t="str">
        <f t="shared" si="82"/>
        <v>NorthBound</v>
      </c>
      <c r="U211" s="18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18:35:47-0600',mode:absolute,to:'1969-12-31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1" s="52" t="str">
        <f t="shared" si="84"/>
        <v>Y</v>
      </c>
      <c r="X211" s="186">
        <f t="shared" si="79"/>
        <v>1</v>
      </c>
      <c r="Y211" s="67">
        <f t="shared" si="76"/>
        <v>4.6899999999999997E-2</v>
      </c>
      <c r="Z211" s="67">
        <f t="shared" si="77"/>
        <v>2.331</v>
      </c>
      <c r="AA211" s="67">
        <f t="shared" si="85"/>
        <v>2.2841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86"/>
        <v>0307-26</v>
      </c>
      <c r="AE211" s="91" t="str">
        <f t="shared" si="8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1" s="88" t="str">
        <f t="shared" si="88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1" s="1" t="str">
        <f t="shared" si="89"/>
        <v>Other</v>
      </c>
      <c r="AH211" s="92" t="str">
        <f t="shared" si="90"/>
        <v>"%USERPROFILE%\Documents\GitHub\eaglep3\Utilities\RefineRTDCRunTimes.py" --tripid 307-26 --locoid 4011 --swversion DE.1.0.8.0 --startMP 204:469 --initTime 2016-10-26T19:35:47 --startdatetime 1969-12-31T17:00:00 --delay 1 --endMP 300:23310 --enddatetime 1969-12-31T17:00:00 --enforcementcount 0 &gt;&gt;C:\Users\stu\Documents\GitHub\eaglep3-reporting\EC\2016-10-26-refined-times.txt</v>
      </c>
      <c r="AI211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ID","value":"307-26"},{"id":16,"name":"Locomotive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7" t="s">
        <v>403</v>
      </c>
      <c r="B212" s="7">
        <v>4010</v>
      </c>
      <c r="C212" s="22" t="s">
        <v>378</v>
      </c>
      <c r="D212" s="22" t="s">
        <v>690</v>
      </c>
      <c r="E212" s="13">
        <v>42669.171203703707</v>
      </c>
      <c r="F212" s="13">
        <v>42669.172800925924</v>
      </c>
      <c r="G212" s="7">
        <v>1</v>
      </c>
      <c r="H212" s="13" t="s">
        <v>362</v>
      </c>
      <c r="I212" s="13">
        <v>42669.18037037037</v>
      </c>
      <c r="J212" s="7">
        <v>0</v>
      </c>
      <c r="K212" s="112" t="str">
        <f t="shared" si="80"/>
        <v>4009/4010</v>
      </c>
      <c r="L212" s="22" t="str">
        <f>VLOOKUP(A212,'Trips&amp;Operators'!$C$1:$E$10000,3,FALSE)</f>
        <v>SPECTOR</v>
      </c>
      <c r="M212" s="6">
        <f t="shared" si="81"/>
        <v>7.5694444458349608E-3</v>
      </c>
      <c r="N212" s="7">
        <f t="shared" si="78"/>
        <v>10.900000002002344</v>
      </c>
      <c r="O212" s="7"/>
      <c r="P212" s="7"/>
      <c r="Q212" s="23"/>
      <c r="R212" s="23"/>
      <c r="S212" s="35">
        <f t="shared" si="71"/>
        <v>1</v>
      </c>
      <c r="T212" s="50" t="str">
        <f t="shared" si="82"/>
        <v>Southbound</v>
      </c>
      <c r="U212" s="18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03:06:32-0600',mode:absolute,to:'2016-10-26 05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2" s="52" t="str">
        <f t="shared" si="84"/>
        <v>Y</v>
      </c>
      <c r="X212" s="186">
        <f t="shared" si="79"/>
        <v>1</v>
      </c>
      <c r="Y212" s="67">
        <f t="shared" si="76"/>
        <v>2.3338999999999999</v>
      </c>
      <c r="Z212" s="67">
        <f t="shared" si="77"/>
        <v>1.72E-2</v>
      </c>
      <c r="AA212" s="67">
        <f t="shared" si="85"/>
        <v>2.3167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86"/>
        <v>0308-26</v>
      </c>
      <c r="AE212" s="91" t="str">
        <f t="shared" si="87"/>
        <v>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 &amp; 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</v>
      </c>
      <c r="AF212" s="88" t="str">
        <f t="shared" si="88"/>
        <v>"C:\Program Files (x86)\AstroGrep\AstroGrep.exe" /spath="%USERPROFILE%\AppData\Local\Temp\OnboardLogs" /stypes="app*4010*20161026*" /stext=" 10:.+((SYSTEM_STATE.+slice.+state.+changed )|(ment ac)|(system.+state.+changed )|(\[timeout)|(PRM\|1\|D)|(kpr)|(kdp)|(\|lc)|(penalty))" /e /r /s</v>
      </c>
      <c r="AG212" s="1" t="str">
        <f t="shared" si="89"/>
        <v>Other</v>
      </c>
      <c r="AH212" s="92" t="str">
        <f t="shared" si="90"/>
        <v>"%USERPROFILE%\Documents\GitHub\eaglep3\Utilities\RefineRTDCRunTimes.py" --tripid 308-26 --locoid 4010 --swversion DE.1.0.8.0 --startMP 300:23339 --initTime 2016-10-26T04:06:32 --startdatetime 2016-10-26T04:08:50 --delay 1 --endMP 204:172 --enddatetime 2016-10-26T04:19:44 --enforcementcount 0 &gt;&gt;C:\Users\stu\Documents\GitHub\eaglep3-reporting\EC\2016-10-26-refined-times.txt</v>
      </c>
      <c r="AI212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{"issue":{"subject":"","project_id":79,"tracker_id":40,"status_id":1,"priority_id":2,"assigned_to_id":23,"start_date":"2016-10-26","description":"","custom_fields":[{"id":1,"name":"Subdivision","value":"Other"},{"id":4,"name":"Milepost","value":"0.0172"},{"id":17,"name":"Train ID","value":"308-26"},{"id":16,"name":"Locomotive ID","value":"4010"},{"id":130,"name":"Impact","value":""},{"id":150,"name":"Time of Event (Mountain Time)","value":"04:19:44"},{"id":151,"name":"Denver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91" s="21" customFormat="1" x14ac:dyDescent="0.25">
      <c r="A213" s="37" t="s">
        <v>628</v>
      </c>
      <c r="B213" s="7">
        <v>4029</v>
      </c>
      <c r="C213" s="22" t="s">
        <v>378</v>
      </c>
      <c r="D213" s="22" t="s">
        <v>682</v>
      </c>
      <c r="E213" s="13">
        <v>42670.030497685184</v>
      </c>
      <c r="F213" s="13">
        <v>42670.032916666663</v>
      </c>
      <c r="G213" s="7">
        <v>1</v>
      </c>
      <c r="H213" s="13" t="s">
        <v>691</v>
      </c>
      <c r="I213" s="13">
        <v>42670.039143518516</v>
      </c>
      <c r="J213" s="7">
        <v>0</v>
      </c>
      <c r="K213" s="112" t="str">
        <f t="shared" si="80"/>
        <v>4029/4030</v>
      </c>
      <c r="L213" s="22" t="str">
        <f>VLOOKUP(A213,'Trips&amp;Operators'!$C$1:$E$10000,3,FALSE)</f>
        <v>ARVIDSON</v>
      </c>
      <c r="M213" s="6">
        <f t="shared" si="81"/>
        <v>6.2268518522614613E-3</v>
      </c>
      <c r="N213" s="7">
        <f t="shared" si="78"/>
        <v>8.9666666672565043</v>
      </c>
      <c r="O213" s="7"/>
      <c r="P213" s="7"/>
      <c r="Q213" s="23"/>
      <c r="R213" s="23"/>
      <c r="S213" s="35">
        <f t="shared" si="71"/>
        <v>1</v>
      </c>
      <c r="T213" s="50" t="str">
        <f t="shared" si="82"/>
        <v>NorthBound</v>
      </c>
      <c r="U213" s="18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23:43:55-0600',mode:absolute,to:'2016-10-27 01:56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3" s="52" t="str">
        <f t="shared" si="84"/>
        <v>Y</v>
      </c>
      <c r="X213" s="186">
        <f t="shared" si="79"/>
        <v>1</v>
      </c>
      <c r="Y213" s="67">
        <f t="shared" si="76"/>
        <v>4.7699999999999999E-2</v>
      </c>
      <c r="Z213" s="67">
        <f t="shared" si="77"/>
        <v>2.2888000000000002</v>
      </c>
      <c r="AA213" s="67">
        <f t="shared" si="85"/>
        <v>2.2411000000000003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86"/>
        <v>0309-26</v>
      </c>
      <c r="AE213" s="91" t="str">
        <f t="shared" si="87"/>
        <v>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 &amp; aws s3 cp s3://rtdc.mdm.uploadarchive.raw/RTDC4029/ "%USERPROFILE%\AppData\Local\Temp\OnboardLogs"\RTDC4029\2016-10-28 --exclude "*" --recursive --include "*20161028*" &amp; "%USERPROFILE%\Documents\GitHub\mrs-test-scripts\Headless Mode &amp; Sideloading\WalkAndUnGZ.bat" "%USERPROFILE%\AppData\Local\Temp\OnboardLogs"\RTDC4029\2016-10-28</v>
      </c>
      <c r="AF213" s="88" t="str">
        <f t="shared" si="88"/>
        <v>"C:\Program Files (x86)\AstroGrep\AstroGrep.exe" /spath="%USERPROFILE%\AppData\Local\Temp\OnboardLogs" /stypes="app*4029*20161027*" /stext=" 06:.+((SYSTEM_STATE.+slice.+state.+changed )|(ment ac)|(system.+state.+changed )|(\[timeout)|(PRM\|1\|D)|(kpr)|(kdp)|(\|lc)|(penalty))" /e /r /s</v>
      </c>
      <c r="AG213" s="1" t="str">
        <f t="shared" si="89"/>
        <v>Other</v>
      </c>
      <c r="AH213" s="92" t="str">
        <f t="shared" si="90"/>
        <v>"%USERPROFILE%\Documents\GitHub\eaglep3\Utilities\RefineRTDCRunTimes.py" --tripid 309-26 --locoid 4029 --swversion DE.1.0.8.0 --startMP 204:477 --initTime 2016-10-27T00:43:55 --startdatetime 2016-10-27T00:47:24 --delay 1 --endMP 300:22888 --enddatetime 2016-10-27T00:56:22 --enforcementcount 0 &gt;&gt;C:\Users\stu\Documents\GitHub\eaglep3-reporting\EC\2016-10-26-refined-times.txt</v>
      </c>
      <c r="AI213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{"issue":{"subject":"","project_id":79,"tracker_id":40,"status_id":1,"priority_id":2,"assigned_to_id":23,"start_date":"2016-10-27","description":"","custom_fields":[{"id":1,"name":"Subdivision","value":"Other"},{"id":4,"name":"Milepost","value":"2.2888"},{"id":17,"name":"Train ID","value":"309-26"},{"id":16,"name":"Locomotive ID","value":"4029"},{"id":130,"name":"Impact","value":""},{"id":150,"name":"Time of Event (Mountain Time)","value":"00:56:22"},{"id":151,"name":"Denver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447</v>
      </c>
      <c r="B214" s="7">
        <v>4001</v>
      </c>
      <c r="C214" s="22" t="s">
        <v>378</v>
      </c>
      <c r="D214" s="22" t="s">
        <v>692</v>
      </c>
      <c r="E214" s="13">
        <v>42669.180208333331</v>
      </c>
      <c r="F214" s="13">
        <v>42669.181539351855</v>
      </c>
      <c r="G214" s="7">
        <v>1</v>
      </c>
      <c r="H214" s="13" t="s">
        <v>176</v>
      </c>
      <c r="I214" s="13">
        <v>42669.191793981481</v>
      </c>
      <c r="J214" s="7">
        <v>0</v>
      </c>
      <c r="K214" s="112" t="str">
        <f t="shared" si="80"/>
        <v>4001/4002</v>
      </c>
      <c r="L214" s="22" t="str">
        <f>VLOOKUP(A214,'Trips&amp;Operators'!$C$1:$E$10000,3,FALSE)</f>
        <v>KILLION</v>
      </c>
      <c r="M214" s="6">
        <f t="shared" si="81"/>
        <v>1.0254629625706002E-2</v>
      </c>
      <c r="N214" s="7">
        <f t="shared" si="78"/>
        <v>14.766666661016643</v>
      </c>
      <c r="O214" s="7"/>
      <c r="P214" s="7"/>
      <c r="Q214" s="23"/>
      <c r="R214" s="23"/>
      <c r="S214" s="35">
        <f t="shared" si="71"/>
        <v>1</v>
      </c>
      <c r="T214" s="50" t="str">
        <f t="shared" si="82"/>
        <v>Southbound</v>
      </c>
      <c r="U214" s="18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03:19:30-0600',mode:absolute,to:'2016-10-26 05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4" s="52" t="str">
        <f t="shared" si="84"/>
        <v>Y</v>
      </c>
      <c r="X214" s="186">
        <f t="shared" si="79"/>
        <v>1</v>
      </c>
      <c r="Y214" s="67">
        <f t="shared" si="76"/>
        <v>2.3148</v>
      </c>
      <c r="Z214" s="67">
        <f t="shared" si="77"/>
        <v>1.52E-2</v>
      </c>
      <c r="AA214" s="67">
        <f t="shared" si="85"/>
        <v>2.2995999999999999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86"/>
        <v>0310-26</v>
      </c>
      <c r="AE214" s="91" t="str">
        <f t="shared" si="87"/>
        <v>aws s3 cp s3://rtdc.mdm.uploadarchive.raw/RTDC4001/ "%USERPROFILE%\AppData\Local\Temp\OnboardLogs"\RTDC4001\2016-10-26 --exclude "*" --recursive --include "*20161026*" &amp; "%USERPROFILE%\Documents\GitHub\mrs-test-scripts\Headless Mode &amp; Sideloading\WalkAndUnGZ.bat" "%USERPROFILE%\AppData\Local\Temp\OnboardLogs"\RTDC4001\2016-10-26 &amp; aws s3 cp s3://rtdc.mdm.uploadarchive.raw/RTDC4001/ "%USERPROFILE%\AppData\Local\Temp\OnboardLogs"\RTDC4001\2016-10-27 --exclude "*" --recursive --include "*20161027*" &amp; "%USERPROFILE%\Documents\GitHub\mrs-test-scripts\Headless Mode &amp; Sideloading\WalkAndUnGZ.bat" "%USERPROFILE%\AppData\Local\Temp\OnboardLogs"\RTDC4001\2016-10-27</v>
      </c>
      <c r="AF214" s="88" t="str">
        <f t="shared" si="88"/>
        <v>"C:\Program Files (x86)\AstroGrep\AstroGrep.exe" /spath="%USERPROFILE%\AppData\Local\Temp\OnboardLogs" /stypes="app*4001*20161026*" /stext=" 10:.+((SYSTEM_STATE.+slice.+state.+changed )|(ment ac)|(system.+state.+changed )|(\[timeout)|(PRM\|1\|D)|(kpr)|(kdp)|(\|lc)|(penalty))" /e /r /s</v>
      </c>
      <c r="AG214" s="1" t="str">
        <f t="shared" si="89"/>
        <v>Other</v>
      </c>
      <c r="AH214" s="92" t="str">
        <f t="shared" si="90"/>
        <v>"%USERPROFILE%\Documents\GitHub\eaglep3\Utilities\RefineRTDCRunTimes.py" --tripid 310-26 --locoid 4001 --swversion DE.1.0.8.0 --startMP 300:23148 --initTime 2016-10-26T04:19:30 --startdatetime 2016-10-26T04:21:25 --delay 1 --endMP 204:152 --enddatetime 2016-10-26T04:36:11 --enforcementcount 0 &gt;&gt;C:\Users\stu\Documents\GitHub\eaglep3-reporting\EC\2016-10-26-refined-times.txt</v>
      </c>
      <c r="AI214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{"issue":{"subject":"","project_id":79,"tracker_id":40,"status_id":1,"priority_id":2,"assigned_to_id":23,"start_date":"2016-10-26","description":"","custom_fields":[{"id":1,"name":"Subdivision","value":"Other"},{"id":4,"name":"Milepost","value":"0.0152"},{"id":17,"name":"Train ID","value":"310-26"},{"id":16,"name":"Locomotive ID","value":"4001"},{"id":130,"name":"Impact","value":""},{"id":150,"name":"Time of Event (Mountain Time)","value":"04:36:11"},{"id":151,"name":"Denver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629</v>
      </c>
      <c r="B215" s="7">
        <v>4016</v>
      </c>
      <c r="C215" s="22" t="s">
        <v>378</v>
      </c>
      <c r="D215" s="22" t="s">
        <v>231</v>
      </c>
      <c r="E215" s="13">
        <v>42670.046631944446</v>
      </c>
      <c r="F215" s="13">
        <v>25568.708333333332</v>
      </c>
      <c r="G215" s="7">
        <v>0</v>
      </c>
      <c r="H215" s="13" t="s">
        <v>693</v>
      </c>
      <c r="I215" s="13">
        <v>25568.708333333332</v>
      </c>
      <c r="J215" s="7">
        <v>0</v>
      </c>
      <c r="K215" s="112" t="str">
        <f t="shared" si="80"/>
        <v>4015/4016</v>
      </c>
      <c r="L215" s="22" t="str">
        <f>VLOOKUP(A215,'Trips&amp;Operators'!$C$1:$E$10000,3,FALSE)</f>
        <v>YANAI</v>
      </c>
      <c r="M215" s="6">
        <f t="shared" si="81"/>
        <v>0</v>
      </c>
      <c r="N215" s="7">
        <f t="shared" si="78"/>
        <v>0</v>
      </c>
      <c r="O215" s="7"/>
      <c r="P215" s="7"/>
      <c r="Q215" s="23"/>
      <c r="R215" s="23"/>
      <c r="S215" s="35">
        <f t="shared" si="71"/>
        <v>1</v>
      </c>
      <c r="T215" s="50" t="str">
        <f t="shared" si="82"/>
        <v>NorthBound</v>
      </c>
      <c r="U215" s="18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00:07:09-0600',mode:absolute,to:'1969-12-31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5" s="52" t="str">
        <f t="shared" si="84"/>
        <v>Y</v>
      </c>
      <c r="X215" s="186">
        <f t="shared" si="79"/>
        <v>1</v>
      </c>
      <c r="Y215" s="67">
        <f t="shared" si="76"/>
        <v>4.5999999999999999E-2</v>
      </c>
      <c r="Z215" s="67">
        <f t="shared" si="77"/>
        <v>2.3168000000000002</v>
      </c>
      <c r="AA215" s="67">
        <f t="shared" si="85"/>
        <v>2.2708000000000004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86"/>
        <v>0311-26</v>
      </c>
      <c r="AE215" s="91" t="str">
        <f t="shared" si="8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5" s="88" t="str">
        <f t="shared" si="88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15" s="1" t="str">
        <f t="shared" si="89"/>
        <v>Other</v>
      </c>
      <c r="AH215" s="92" t="str">
        <f t="shared" si="90"/>
        <v>"%USERPROFILE%\Documents\GitHub\eaglep3\Utilities\RefineRTDCRunTimes.py" --tripid 311-26 --locoid 4016 --swversion DE.1.0.8.0 --startMP 204:460 --initTime 2016-10-27T01:07:09 --startdatetime 1969-12-31T17:00:00 --delay 0 --endMP 300:23168 --enddatetime 1969-12-31T17:00:00 --enforcementcount 0 &gt;&gt;C:\Users\stu\Documents\GitHub\eaglep3-reporting\EC\2016-10-26-refined-times.txt</v>
      </c>
      <c r="AI215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{"issue":{"subject":"","project_id":79,"tracker_id":40,"status_id":1,"priority_id":2,"assigned_to_id":23,"start_date":"1969-12-31","description":"","custom_fields":[{"id":1,"name":"Subdivision","value":"Other"},{"id":4,"name":"Milepost","value":"2.3168"},{"id":17,"name":"Train ID","value":"311-26"},{"id":16,"name":"Locomotive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s="21" customFormat="1" x14ac:dyDescent="0.25">
      <c r="A216" s="37" t="s">
        <v>632</v>
      </c>
      <c r="B216" s="7">
        <v>4031</v>
      </c>
      <c r="C216" s="22" t="s">
        <v>378</v>
      </c>
      <c r="D216" s="22" t="s">
        <v>353</v>
      </c>
      <c r="E216" s="13">
        <v>42670.068692129629</v>
      </c>
      <c r="F216" s="13">
        <v>25568.708333333332</v>
      </c>
      <c r="G216" s="7">
        <v>1</v>
      </c>
      <c r="H216" s="13" t="s">
        <v>377</v>
      </c>
      <c r="I216" s="13">
        <v>25568.708333333332</v>
      </c>
      <c r="J216" s="7">
        <v>0</v>
      </c>
      <c r="K216" s="112" t="str">
        <f t="shared" si="80"/>
        <v>4031/4032</v>
      </c>
      <c r="L216" s="22" t="str">
        <f>VLOOKUP(A216,'Trips&amp;Operators'!$C$1:$E$10000,3,FALSE)</f>
        <v>LEVIN</v>
      </c>
      <c r="M216" s="6">
        <f t="shared" si="81"/>
        <v>0</v>
      </c>
      <c r="N216" s="7">
        <f t="shared" si="78"/>
        <v>0</v>
      </c>
      <c r="O216" s="7"/>
      <c r="P216" s="7"/>
      <c r="Q216" s="23"/>
      <c r="R216" s="23"/>
      <c r="S216" s="35">
        <f t="shared" si="71"/>
        <v>1</v>
      </c>
      <c r="T216" s="50" t="str">
        <f t="shared" si="82"/>
        <v>NorthBound</v>
      </c>
      <c r="U216" s="18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00:38:55-0600',mode:absolute,to:'1969-12-31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6" s="52" t="str">
        <f t="shared" si="84"/>
        <v>Y</v>
      </c>
      <c r="X216" s="186">
        <f t="shared" si="79"/>
        <v>2</v>
      </c>
      <c r="Y216" s="67">
        <f t="shared" si="76"/>
        <v>4.6399999999999997E-2</v>
      </c>
      <c r="Z216" s="67">
        <f t="shared" si="77"/>
        <v>2.3304</v>
      </c>
      <c r="AA216" s="67">
        <f t="shared" si="85"/>
        <v>2.2839999999999998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86"/>
        <v>0313-26</v>
      </c>
      <c r="AE216" s="91" t="str">
        <f t="shared" si="8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6" s="88" t="str">
        <f t="shared" si="88"/>
        <v>"C:\Program Files (x86)\AstroGrep\AstroGrep.exe" /spath="%USERPROFILE%\AppData\Local\Temp\OnboardLogs" /stypes="app*4031*19691231*" /stext=" 23:.+((SYSTEM_STATE.+slice.+state.+changed )|(ment ac)|(system.+state.+changed )|(\[timeout)|(PRM\|1\|D)|(kpr)|(kdp)|(\|lc)|(penalty))" /e /r /s</v>
      </c>
      <c r="AG216" s="1" t="str">
        <f t="shared" si="89"/>
        <v>Other</v>
      </c>
      <c r="AH216" s="92" t="str">
        <f t="shared" si="90"/>
        <v>"%USERPROFILE%\Documents\GitHub\eaglep3\Utilities\RefineRTDCRunTimes.py" --tripid 313-26 --locoid 4031 --swversion DE.1.0.8.0 --startMP 204:464 --initTime 2016-10-27T01:38:55 --startdatetime 1969-12-31T17:00:00 --delay 1 --endMP 300:23304 --enddatetime 1969-12-31T17:00:00 --enforcementcount 0 &gt;&gt;C:\Users\stu\Documents\GitHub\eaglep3-reporting\EC\2016-10-26-refined-times.txt</v>
      </c>
      <c r="AI216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ID","value":"313-26"},{"id":16,"name":"Locomotive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1" customFormat="1" x14ac:dyDescent="0.25">
      <c r="A217" s="37" t="s">
        <v>633</v>
      </c>
      <c r="B217" s="7">
        <v>4046</v>
      </c>
      <c r="C217" s="22" t="s">
        <v>378</v>
      </c>
      <c r="D217" s="22" t="s">
        <v>223</v>
      </c>
      <c r="E217" s="13">
        <v>42670.087673611109</v>
      </c>
      <c r="F217" s="13">
        <v>25568.708333333332</v>
      </c>
      <c r="G217" s="7">
        <v>1</v>
      </c>
      <c r="H217" s="13" t="s">
        <v>380</v>
      </c>
      <c r="I217" s="13">
        <v>25568.708333333332</v>
      </c>
      <c r="J217" s="7">
        <v>0</v>
      </c>
      <c r="K217" s="112" t="str">
        <f t="shared" si="80"/>
        <v>4045/4046</v>
      </c>
      <c r="L217" s="22" t="str">
        <f>VLOOKUP(A217,'Trips&amp;Operators'!$C$1:$E$10000,3,FALSE)</f>
        <v>BERLING</v>
      </c>
      <c r="M217" s="6">
        <f t="shared" si="81"/>
        <v>0</v>
      </c>
      <c r="N217" s="7">
        <f t="shared" si="78"/>
        <v>0</v>
      </c>
      <c r="O217" s="7"/>
      <c r="P217" s="7"/>
      <c r="Q217" s="23"/>
      <c r="R217" s="23"/>
      <c r="S217" s="35">
        <f t="shared" si="71"/>
        <v>1</v>
      </c>
      <c r="T217" s="50" t="str">
        <f t="shared" si="82"/>
        <v>NorthBound</v>
      </c>
      <c r="U217" s="18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01:06:15-0600',mode:absolute,to:'1969-12-31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7" s="52" t="str">
        <f t="shared" si="84"/>
        <v>Y</v>
      </c>
      <c r="X217" s="186">
        <f t="shared" si="79"/>
        <v>2</v>
      </c>
      <c r="Y217" s="67">
        <f t="shared" si="76"/>
        <v>4.53E-2</v>
      </c>
      <c r="Z217" s="67">
        <f t="shared" si="77"/>
        <v>2.3313999999999999</v>
      </c>
      <c r="AA217" s="67">
        <f t="shared" si="85"/>
        <v>2.2860999999999998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86"/>
        <v>0315-26</v>
      </c>
      <c r="AE217" s="91" t="str">
        <f t="shared" si="8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7" s="88" t="str">
        <f t="shared" si="88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17" s="1" t="str">
        <f t="shared" si="89"/>
        <v>Other</v>
      </c>
      <c r="AH217" s="92" t="str">
        <f t="shared" si="90"/>
        <v>"%USERPROFILE%\Documents\GitHub\eaglep3\Utilities\RefineRTDCRunTimes.py" --tripid 315-26 --locoid 4046 --swversion DE.1.0.8.0 --startMP 204:453 --initTime 2016-10-27T02:06:15 --startdatetime 1969-12-31T17:00:00 --delay 1 --endMP 300:23314 --enddatetime 1969-12-31T17:00:00 --enforcementcount 0 &gt;&gt;C:\Users\stu\Documents\GitHub\eaglep3-reporting\EC\2016-10-26-refined-times.txt</v>
      </c>
      <c r="AI217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ID","value":"315-26"},{"id":16,"name":"Locomotive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1" customFormat="1" x14ac:dyDescent="0.25">
      <c r="A218" s="37" t="s">
        <v>451</v>
      </c>
      <c r="B218" s="7">
        <v>4007</v>
      </c>
      <c r="C218" s="22" t="s">
        <v>378</v>
      </c>
      <c r="D218" s="22" t="s">
        <v>770</v>
      </c>
      <c r="E218" s="13">
        <v>42669.205729166664</v>
      </c>
      <c r="F218" s="13">
        <v>42669.208483796298</v>
      </c>
      <c r="G218" s="7">
        <v>3</v>
      </c>
      <c r="H218" s="13" t="s">
        <v>284</v>
      </c>
      <c r="I218" s="13">
        <v>42669.213553240741</v>
      </c>
      <c r="J218" s="7">
        <v>0</v>
      </c>
      <c r="K218" s="112" t="str">
        <f t="shared" si="80"/>
        <v>4007/4008</v>
      </c>
      <c r="L218" s="22" t="str">
        <f>VLOOKUP(A218,'Trips&amp;Operators'!$C$1:$E$10000,3,FALSE)</f>
        <v>STARKS</v>
      </c>
      <c r="M218" s="6">
        <f t="shared" si="81"/>
        <v>5.0694444435066544E-3</v>
      </c>
      <c r="N218" s="7">
        <f t="shared" si="78"/>
        <v>7.2999999986495823</v>
      </c>
      <c r="O218" s="7"/>
      <c r="P218" s="7"/>
      <c r="Q218" s="23"/>
      <c r="R218" s="23"/>
      <c r="S218" s="35">
        <f t="shared" si="71"/>
        <v>0</v>
      </c>
      <c r="T218" s="50" t="str">
        <f t="shared" si="82"/>
        <v>NorthBound</v>
      </c>
      <c r="U218" s="18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03:56:15-0600',mode:absolute,to:'2016-10-26 06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8" s="52" t="str">
        <f t="shared" si="84"/>
        <v>Y</v>
      </c>
      <c r="X218" s="186">
        <f t="shared" si="79"/>
        <v>586</v>
      </c>
      <c r="Y218" s="67">
        <f t="shared" si="76"/>
        <v>2.9996999999999998</v>
      </c>
      <c r="Z218" s="67">
        <f t="shared" si="77"/>
        <v>5.8924000000000003</v>
      </c>
      <c r="AA218" s="67">
        <f t="shared" si="85"/>
        <v>2.8927000000000005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86"/>
        <v>0901-26</v>
      </c>
      <c r="AE218" s="91" t="str">
        <f t="shared" si="87"/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AF218" s="88" t="str">
        <f t="shared" si="88"/>
        <v>"C:\Program Files (x86)\AstroGrep\AstroGrep.exe" /spath="%USERPROFILE%\AppData\Local\Temp\OnboardLogs" /stypes="app*4007*20161026*" /stext=" 11:.+((SYSTEM_STATE.+slice.+state.+changed )|(ment ac)|(system.+state.+changed )|(\[timeout)|(PRM\|1\|D)|(kpr)|(kdp)|(\|lc)|(penalty))" /e /r /s</v>
      </c>
      <c r="AG218" s="1" t="str">
        <f t="shared" si="89"/>
        <v>Other</v>
      </c>
      <c r="AH218" s="92" t="str">
        <f t="shared" si="90"/>
        <v>"%USERPROFILE%\Documents\GitHub\eaglep3\Utilities\RefineRTDCRunTimes.py" --tripid 901-26 --locoid 4007 --swversion DE.1.0.8.0 --startMP 300:29997 --initTime 2016-10-26T04:56:15 --startdatetime 2016-10-26T05:00:13 --delay 3 --endMP 300:58924 --enddatetime 2016-10-26T05:07:31 --enforcementcount 0 &gt;&gt;C:\Users\stu\Documents\GitHub\eaglep3-reporting\EC\2016-10-26-refined-times.txt</v>
      </c>
      <c r="AI218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{"issue":{"subject":"","project_id":79,"tracker_id":40,"status_id":1,"priority_id":2,"assigned_to_id":23,"start_date":"2016-10-26","description":"","custom_fields":[{"id":1,"name":"Subdivision","value":"Other"},{"id":4,"name":"Milepost","value":"5.8924"},{"id":17,"name":"Train ID","value":"901-26"},{"id":16,"name":"Locomotive ID","value":"4007"},{"id":130,"name":"Impact","value":""},{"id":150,"name":"Time of Event (Mountain Time)","value":"05:07:31"},{"id":151,"name":"Denver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1" customFormat="1" x14ac:dyDescent="0.25">
      <c r="A219" s="37" t="s">
        <v>460</v>
      </c>
      <c r="B219" s="7">
        <v>4054</v>
      </c>
      <c r="C219" s="22" t="s">
        <v>378</v>
      </c>
      <c r="D219" s="22" t="s">
        <v>771</v>
      </c>
      <c r="E219" s="13">
        <v>42669.251331018517</v>
      </c>
      <c r="F219" s="13">
        <v>42669.252951388888</v>
      </c>
      <c r="G219" s="7">
        <v>1</v>
      </c>
      <c r="H219" s="13" t="s">
        <v>748</v>
      </c>
      <c r="I219" s="13">
        <v>42669.258969907409</v>
      </c>
      <c r="J219" s="7">
        <v>0</v>
      </c>
      <c r="K219" s="112" t="str">
        <f t="shared" si="80"/>
        <v>4053/4054</v>
      </c>
      <c r="L219" s="22" t="str">
        <f>VLOOKUP(A219,'Trips&amp;Operators'!$C$1:$E$10000,3,FALSE)</f>
        <v>GEBRETEKLE</v>
      </c>
      <c r="M219" s="6">
        <f t="shared" si="81"/>
        <v>6.0185185211594217E-3</v>
      </c>
      <c r="N219" s="7">
        <f t="shared" si="78"/>
        <v>8.6666666704695672</v>
      </c>
      <c r="O219" s="7"/>
      <c r="P219" s="7"/>
      <c r="Q219" s="23"/>
      <c r="R219" s="23"/>
      <c r="S219" s="35">
        <f t="shared" si="71"/>
        <v>1</v>
      </c>
      <c r="T219" s="50" t="str">
        <f t="shared" si="82"/>
        <v>Southbound</v>
      </c>
      <c r="U219" s="18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05:01:55-0600',mode:absolute,to:'2016-10-26 07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9" s="52" t="str">
        <f t="shared" si="84"/>
        <v>Y</v>
      </c>
      <c r="X219" s="186">
        <f t="shared" si="79"/>
        <v>1</v>
      </c>
      <c r="Y219" s="67">
        <f t="shared" si="76"/>
        <v>2.2280000000000002</v>
      </c>
      <c r="Z219" s="67">
        <f t="shared" si="77"/>
        <v>7.17E-2</v>
      </c>
      <c r="AA219" s="67">
        <f t="shared" si="85"/>
        <v>2.1563000000000003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86"/>
        <v>0902-26</v>
      </c>
      <c r="AE219" s="91" t="str">
        <f t="shared" si="87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219" s="88" t="str">
        <f t="shared" si="88"/>
        <v>"C:\Program Files (x86)\AstroGrep\AstroGrep.exe" /spath="%USERPROFILE%\AppData\Local\Temp\OnboardLogs" /stypes="app*4054*20161026*" /stext=" 12:.+((SYSTEM_STATE.+slice.+state.+changed )|(ment ac)|(system.+state.+changed )|(\[timeout)|(PRM\|1\|D)|(kpr)|(kdp)|(\|lc)|(penalty))" /e /r /s</v>
      </c>
      <c r="AG219" s="1" t="str">
        <f t="shared" si="89"/>
        <v>Other</v>
      </c>
      <c r="AH219" s="92" t="str">
        <f t="shared" si="90"/>
        <v>"%USERPROFILE%\Documents\GitHub\eaglep3\Utilities\RefineRTDCRunTimes.py" --tripid 902-26 --locoid 4054 --swversion DE.1.0.8.0 --startMP 300:22280 --initTime 2016-10-26T06:01:55 --startdatetime 2016-10-26T06:04:15 --delay 1 --endMP 204:717 --enddatetime 2016-10-26T06:12:55 --enforcementcount 0 &gt;&gt;C:\Users\stu\Documents\GitHub\eaglep3-reporting\EC\2016-10-26-refined-times.txt</v>
      </c>
      <c r="AI219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{"issue":{"subject":"","project_id":79,"tracker_id":40,"status_id":1,"priority_id":2,"assigned_to_id":23,"start_date":"2016-10-26","description":"","custom_fields":[{"id":1,"name":"Subdivision","value":"Other"},{"id":4,"name":"Milepost","value":"0.0717"},{"id":17,"name":"Train ID","value":"902-26"},{"id":16,"name":"Locomotive ID","value":"4054"},{"id":130,"name":"Impact","value":""},{"id":150,"name":"Time of Event (Mountain Time)","value":"06:12:55"},{"id":151,"name":"Denver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1" customFormat="1" x14ac:dyDescent="0.25">
      <c r="A220" s="37" t="s">
        <v>554</v>
      </c>
      <c r="B220" s="7">
        <v>4008</v>
      </c>
      <c r="C220" s="22" t="s">
        <v>378</v>
      </c>
      <c r="D220" s="22" t="s">
        <v>772</v>
      </c>
      <c r="E220" s="13">
        <v>42669.643287037034</v>
      </c>
      <c r="F220" s="13">
        <v>42669.646574074075</v>
      </c>
      <c r="G220" s="7">
        <v>4</v>
      </c>
      <c r="H220" s="13" t="s">
        <v>773</v>
      </c>
      <c r="I220" s="13">
        <v>42669.653252314813</v>
      </c>
      <c r="J220" s="7">
        <v>0</v>
      </c>
      <c r="K220" s="112" t="str">
        <f t="shared" si="80"/>
        <v>4007/4008</v>
      </c>
      <c r="L220" s="22" t="str">
        <f>VLOOKUP(A220,'Trips&amp;Operators'!$C$1:$E$10000,3,FALSE)</f>
        <v>LEVERE</v>
      </c>
      <c r="M220" s="6">
        <f t="shared" si="81"/>
        <v>6.6782407375285402E-3</v>
      </c>
      <c r="N220" s="7">
        <f t="shared" si="78"/>
        <v>9.6166666620410979</v>
      </c>
      <c r="O220" s="7"/>
      <c r="P220" s="7"/>
      <c r="Q220" s="23"/>
      <c r="R220" s="23"/>
      <c r="S220" s="35">
        <f t="shared" si="71"/>
        <v>1</v>
      </c>
      <c r="T220" s="50" t="str">
        <f t="shared" si="82"/>
        <v>Southbound</v>
      </c>
      <c r="U220" s="18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14:26:20-0600',mode:absolute,to:'2016-10-26 16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0" s="52" t="str">
        <f t="shared" si="84"/>
        <v>Y</v>
      </c>
      <c r="X220" s="186">
        <f t="shared" si="79"/>
        <v>2</v>
      </c>
      <c r="Y220" s="67">
        <f t="shared" si="76"/>
        <v>2.3243</v>
      </c>
      <c r="Z220" s="67">
        <f t="shared" si="77"/>
        <v>6.6299999999999998E-2</v>
      </c>
      <c r="AA220" s="67">
        <f t="shared" si="85"/>
        <v>2.258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86"/>
        <v>0904-26</v>
      </c>
      <c r="AE220" s="91" t="str">
        <f t="shared" si="87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220" s="88" t="str">
        <f t="shared" si="88"/>
        <v>"C:\Program Files (x86)\AstroGrep\AstroGrep.exe" /spath="%USERPROFILE%\AppData\Local\Temp\OnboardLogs" /stypes="app*4008*20161026*" /stext=" 21:.+((SYSTEM_STATE.+slice.+state.+changed )|(ment ac)|(system.+state.+changed )|(\[timeout)|(PRM\|1\|D)|(kpr)|(kdp)|(\|lc)|(penalty))" /e /r /s</v>
      </c>
      <c r="AG220" s="1" t="str">
        <f t="shared" si="89"/>
        <v>Other</v>
      </c>
      <c r="AH220" s="92" t="str">
        <f t="shared" si="90"/>
        <v>"%USERPROFILE%\Documents\GitHub\eaglep3\Utilities\RefineRTDCRunTimes.py" --tripid 904-26 --locoid 4008 --swversion DE.1.0.8.0 --startMP 300:23243 --initTime 2016-10-26T15:26:20 --startdatetime 2016-10-26T15:31:04 --delay 4 --endMP 204:663 --enddatetime 2016-10-26T15:40:41 --enforcementcount 0 &gt;&gt;C:\Users\stu\Documents\GitHub\eaglep3-reporting\EC\2016-10-26-refined-times.txt</v>
      </c>
      <c r="AI220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{"issue":{"subject":"","project_id":79,"tracker_id":40,"status_id":1,"priority_id":2,"assigned_to_id":23,"start_date":"2016-10-26","description":"","custom_fields":[{"id":1,"name":"Subdivision","value":"Other"},{"id":4,"name":"Milepost","value":"0.0663"},{"id":17,"name":"Train ID","value":"904-26"},{"id":16,"name":"Locomotive ID","value":"4008"},{"id":130,"name":"Impact","value":""},{"id":150,"name":"Time of Event (Mountain Time)","value":"15:40:41"},{"id":151,"name":"Denver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1" customFormat="1" x14ac:dyDescent="0.25">
      <c r="A221" s="37" t="s">
        <v>594</v>
      </c>
      <c r="B221" s="7">
        <v>4008</v>
      </c>
      <c r="C221" s="22" t="s">
        <v>378</v>
      </c>
      <c r="D221" s="22" t="s">
        <v>774</v>
      </c>
      <c r="E221" s="13">
        <v>42669.797997685186</v>
      </c>
      <c r="F221" s="13">
        <v>42669.799675925926</v>
      </c>
      <c r="G221" s="7">
        <v>1</v>
      </c>
      <c r="H221" s="13" t="s">
        <v>775</v>
      </c>
      <c r="I221" s="13">
        <v>42669.805405092593</v>
      </c>
      <c r="J221" s="7">
        <v>0</v>
      </c>
      <c r="K221" s="112" t="str">
        <f t="shared" si="80"/>
        <v>4007/4008</v>
      </c>
      <c r="L221" s="22" t="str">
        <f>VLOOKUP(A221,'Trips&amp;Operators'!$C$1:$E$10000,3,FALSE)</f>
        <v>LEVERE</v>
      </c>
      <c r="M221" s="6">
        <f t="shared" si="81"/>
        <v>5.7291666671517305E-3</v>
      </c>
      <c r="N221" s="7">
        <f t="shared" si="78"/>
        <v>8.2500000006984919</v>
      </c>
      <c r="O221" s="7"/>
      <c r="P221" s="7"/>
      <c r="Q221" s="23"/>
      <c r="R221" s="23"/>
      <c r="S221" s="35">
        <f t="shared" si="71"/>
        <v>0</v>
      </c>
      <c r="T221" s="50" t="str">
        <f t="shared" si="82"/>
        <v>Southbound</v>
      </c>
      <c r="U221" s="18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18:09:07-0600',mode:absolute,to:'2016-10-26 20:19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1" s="52" t="str">
        <f t="shared" si="84"/>
        <v>Y</v>
      </c>
      <c r="X221" s="186">
        <f t="shared" si="79"/>
        <v>2</v>
      </c>
      <c r="Y221" s="67">
        <f t="shared" si="76"/>
        <v>5.8638000000000003</v>
      </c>
      <c r="Z221" s="67">
        <f t="shared" si="77"/>
        <v>2.9110999999999998</v>
      </c>
      <c r="AA221" s="67">
        <f t="shared" si="85"/>
        <v>2.9527000000000005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86"/>
        <v>0906-26</v>
      </c>
      <c r="AE221" s="91" t="str">
        <f t="shared" si="87"/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AF221" s="88" t="str">
        <f t="shared" si="88"/>
        <v>"C:\Program Files (x86)\AstroGrep\AstroGrep.exe" /spath="%USERPROFILE%\AppData\Local\Temp\OnboardLogs" /stypes="app*4008*20161027*" /stext=" 01:.+((SYSTEM_STATE.+slice.+state.+changed )|(ment ac)|(system.+state.+changed )|(\[timeout)|(PRM\|1\|D)|(kpr)|(kdp)|(\|lc)|(penalty))" /e /r /s</v>
      </c>
      <c r="AG221" s="1" t="str">
        <f t="shared" si="89"/>
        <v>Other</v>
      </c>
      <c r="AH221" s="92" t="str">
        <f t="shared" si="90"/>
        <v>"%USERPROFILE%\Documents\GitHub\eaglep3\Utilities\RefineRTDCRunTimes.py" --tripid 906-26 --locoid 4008 --swversion DE.1.0.8.0 --startMP 300:58638 --initTime 2016-10-26T19:09:07 --startdatetime 2016-10-26T19:11:32 --delay 1 --endMP 300:29111 --enddatetime 2016-10-26T19:19:47 --enforcementcount 0 &gt;&gt;C:\Users\stu\Documents\GitHub\eaglep3-reporting\EC\2016-10-26-refined-times.txt</v>
      </c>
      <c r="AI221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{"issue":{"subject":"","project_id":79,"tracker_id":40,"status_id":1,"priority_id":2,"assigned_to_id":23,"start_date":"2016-10-26","description":"","custom_fields":[{"id":1,"name":"Subdivision","value":"Other"},{"id":4,"name":"Milepost","value":"2.9111"},{"id":17,"name":"Train ID","value":"906-26"},{"id":16,"name":"Locomotive ID","value":"4008"},{"id":130,"name":"Impact","value":""},{"id":150,"name":"Time of Event (Mountain Time)","value":"19:19:47"},{"id":151,"name":"Denver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1" customFormat="1" x14ac:dyDescent="0.25">
      <c r="A222" s="37" t="s">
        <v>618</v>
      </c>
      <c r="B222" s="7">
        <v>4054</v>
      </c>
      <c r="C222" s="22" t="s">
        <v>378</v>
      </c>
      <c r="D222" s="22" t="s">
        <v>776</v>
      </c>
      <c r="E222" s="13">
        <v>42669.942569444444</v>
      </c>
      <c r="F222" s="13">
        <v>42669.944120370368</v>
      </c>
      <c r="G222" s="7">
        <v>1</v>
      </c>
      <c r="H222" s="13" t="s">
        <v>777</v>
      </c>
      <c r="I222" s="13">
        <v>42669.949664351851</v>
      </c>
      <c r="J222" s="7">
        <v>0</v>
      </c>
      <c r="K222" s="112" t="str">
        <f t="shared" si="80"/>
        <v>4053/4054</v>
      </c>
      <c r="L222" s="22" t="str">
        <f>VLOOKUP(A222,'Trips&amp;Operators'!$C$1:$E$10000,3,FALSE)</f>
        <v>LEVERE</v>
      </c>
      <c r="M222" s="6">
        <f t="shared" si="81"/>
        <v>5.543981482333038E-3</v>
      </c>
      <c r="N222" s="7">
        <f t="shared" si="78"/>
        <v>7.9833333345595747</v>
      </c>
      <c r="O222" s="7"/>
      <c r="P222" s="7"/>
      <c r="Q222" s="23"/>
      <c r="R222" s="23"/>
      <c r="S222" s="35">
        <f t="shared" ref="S222:S235" si="92">SUM(U222:U222)/IF(AG222="EC",12,1)</f>
        <v>0</v>
      </c>
      <c r="T222" s="50" t="str">
        <f t="shared" si="82"/>
        <v>Southbound</v>
      </c>
      <c r="U222" s="18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21:37:18-0600',mode:absolute,to:'2016-10-26 23:47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2" s="52" t="str">
        <f t="shared" si="84"/>
        <v>Y</v>
      </c>
      <c r="X222" s="186">
        <f t="shared" si="79"/>
        <v>2</v>
      </c>
      <c r="Y222" s="67">
        <f t="shared" si="76"/>
        <v>5.8662000000000001</v>
      </c>
      <c r="Z222" s="67">
        <f t="shared" si="77"/>
        <v>2.1827000000000001</v>
      </c>
      <c r="AA222" s="67">
        <f t="shared" si="85"/>
        <v>3.6835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86"/>
        <v>0908-26</v>
      </c>
      <c r="AE222" s="91" t="str">
        <f t="shared" si="87"/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AF222" s="88" t="str">
        <f t="shared" si="88"/>
        <v>"C:\Program Files (x86)\AstroGrep\AstroGrep.exe" /spath="%USERPROFILE%\AppData\Local\Temp\OnboardLogs" /stypes="app*4054*20161027*" /stext=" 04:.+((SYSTEM_STATE.+slice.+state.+changed )|(ment ac)|(system.+state.+changed )|(\[timeout)|(PRM\|1\|D)|(kpr)|(kdp)|(\|lc)|(penalty))" /e /r /s</v>
      </c>
      <c r="AG222" s="1" t="str">
        <f t="shared" si="89"/>
        <v>Other</v>
      </c>
      <c r="AH222" s="92" t="str">
        <f t="shared" si="90"/>
        <v>"%USERPROFILE%\Documents\GitHub\eaglep3\Utilities\RefineRTDCRunTimes.py" --tripid 908-26 --locoid 4054 --swversion DE.1.0.8.0 --startMP 300:58662 --initTime 2016-10-26T22:37:18 --startdatetime 2016-10-26T22:39:32 --delay 1 --endMP 300:21827 --enddatetime 2016-10-26T22:47:31 --enforcementcount 0 &gt;&gt;C:\Users\stu\Documents\GitHub\eaglep3-reporting\EC\2016-10-26-refined-times.txt</v>
      </c>
      <c r="AI222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{"issue":{"subject":"","project_id":79,"tracker_id":40,"status_id":1,"priority_id":2,"assigned_to_id":23,"start_date":"2016-10-26","description":"","custom_fields":[{"id":1,"name":"Subdivision","value":"Other"},{"id":4,"name":"Milepost","value":"2.1827"},{"id":17,"name":"Train ID","value":"908-26"},{"id":16,"name":"Locomotive ID","value":"4054"},{"id":130,"name":"Impact","value":""},{"id":150,"name":"Time of Event (Mountain Time)","value":"22:47:31"},{"id":151,"name":"Denver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7" t="s">
        <v>419</v>
      </c>
      <c r="B223" s="7">
        <v>4037</v>
      </c>
      <c r="C223" s="22" t="s">
        <v>378</v>
      </c>
      <c r="D223" s="22" t="s">
        <v>694</v>
      </c>
      <c r="E223" s="13">
        <v>42669.44189814815</v>
      </c>
      <c r="F223" s="13">
        <v>42669.443206018521</v>
      </c>
      <c r="G223" s="7">
        <v>1</v>
      </c>
      <c r="H223" s="13" t="s">
        <v>695</v>
      </c>
      <c r="I223" s="13">
        <v>42669.448703703703</v>
      </c>
      <c r="J223" s="7">
        <v>0</v>
      </c>
      <c r="K223" s="112" t="str">
        <f t="shared" si="80"/>
        <v>4037/4038</v>
      </c>
      <c r="L223" s="22" t="str">
        <f>VLOOKUP(A223,'Trips&amp;Operators'!$C$1:$E$10000,3,FALSE)</f>
        <v>HILLS</v>
      </c>
      <c r="M223" s="6">
        <f t="shared" si="81"/>
        <v>5.4976851824903861E-3</v>
      </c>
      <c r="N223" s="7">
        <f t="shared" si="78"/>
        <v>7.9166666627861559</v>
      </c>
      <c r="O223" s="7"/>
      <c r="P223" s="7"/>
      <c r="Q223" s="23"/>
      <c r="R223" s="23"/>
      <c r="S223" s="35">
        <f t="shared" si="92"/>
        <v>0</v>
      </c>
      <c r="T223" s="50" t="e">
        <f t="shared" si="82"/>
        <v>#VALUE!</v>
      </c>
      <c r="U223" s="18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09:36:20-0600',mode:absolute,to:'2016-10-26 11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3" s="52" t="str">
        <f t="shared" si="84"/>
        <v>Y</v>
      </c>
      <c r="X223" s="186" t="e">
        <f t="shared" si="79"/>
        <v>#VALUE!</v>
      </c>
      <c r="Y223" s="67">
        <f t="shared" si="76"/>
        <v>2.1640000000000001</v>
      </c>
      <c r="Z223" s="67">
        <f t="shared" si="77"/>
        <v>9.3899999999999997E-2</v>
      </c>
      <c r="AA223" s="67">
        <f t="shared" si="85"/>
        <v>2.0701000000000001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86"/>
        <v>50-26</v>
      </c>
      <c r="AE223" s="91" t="str">
        <f t="shared" si="87"/>
        <v>aws s3 cp s3://rtdc.mdm.uploadarchive.raw/RTDC4037/ "%USERPROFILE%\AppData\Local\Temp\OnboardLogs"\RTDC4037\2016-10-26 --exclude "*" --recursive --include "*20161026*" &amp; "%USERPROFILE%\Documents\GitHub\mrs-test-scripts\Headless Mode &amp; Sideloading\WalkAndUnGZ.bat" "%USERPROFILE%\AppData\Local\Temp\OnboardLogs"\RTDC4037\2016-10-26 &amp; 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</v>
      </c>
      <c r="AF223" s="88" t="str">
        <f t="shared" si="88"/>
        <v>"C:\Program Files (x86)\AstroGrep\AstroGrep.exe" /spath="%USERPROFILE%\AppData\Local\Temp\OnboardLogs" /stypes="app*4037*20161026*" /stext=" 16:.+((SYSTEM_STATE.+slice.+state.+changed )|(ment ac)|(system.+state.+changed )|(\[timeout)|(PRM\|1\|D)|(kpr)|(kdp)|(\|lc)|(penalty))" /e /r /s</v>
      </c>
      <c r="AG223" s="1" t="str">
        <f t="shared" si="89"/>
        <v>Other</v>
      </c>
      <c r="AH223" s="92" t="str">
        <f t="shared" si="90"/>
        <v>"%USERPROFILE%\Documents\GitHub\eaglep3\Utilities\RefineRTDCRunTimes.py" --tripid 50-26 --locoid 4037 --swversion DE.1.0.8.0 --startMP 300:21640 --initTime 2016-10-26T10:36:20 --startdatetime 2016-10-26T10:38:13 --delay 1 --endMP 204:939 --enddatetime 2016-10-26T10:46:08 --enforcementcount 0 &gt;&gt;C:\Users\stu\Documents\GitHub\eaglep3-reporting\EC\2016-10-26-refined-times.txt</v>
      </c>
      <c r="AI223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{"issue":{"subject":"","project_id":79,"tracker_id":40,"status_id":1,"priority_id":2,"assigned_to_id":23,"start_date":"2016-10-26","description":"","custom_fields":[{"id":1,"name":"Subdivision","value":"Other"},{"id":4,"name":"Milepost","value":"0.0939"},{"id":17,"name":"Train ID","value":"50-26"},{"id":16,"name":"Locomotive ID","value":"4037"},{"id":130,"name":"Impact","value":""},{"id":150,"name":"Time of Event (Mountain Time)","value":"10:46:08"},{"id":151,"name":"Denver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348</v>
      </c>
      <c r="B224" s="7">
        <v>4051</v>
      </c>
      <c r="C224" s="22" t="s">
        <v>378</v>
      </c>
      <c r="D224" s="22" t="s">
        <v>374</v>
      </c>
      <c r="E224" s="13">
        <v>42669.105196759258</v>
      </c>
      <c r="F224" s="13">
        <v>42669.107476851852</v>
      </c>
      <c r="G224" s="7">
        <v>1</v>
      </c>
      <c r="H224" s="13" t="s">
        <v>379</v>
      </c>
      <c r="I224" s="13">
        <v>42669.123252314814</v>
      </c>
      <c r="J224" s="7">
        <v>0</v>
      </c>
      <c r="K224" s="112" t="str">
        <f t="shared" si="80"/>
        <v>4051/4052</v>
      </c>
      <c r="L224" s="22" t="str">
        <f>VLOOKUP(A224,'Trips&amp;Operators'!$C$1:$E$10000,3,FALSE)</f>
        <v>CHIONE</v>
      </c>
      <c r="M224" s="6">
        <f t="shared" si="81"/>
        <v>1.5775462961755693E-2</v>
      </c>
      <c r="N224" s="7">
        <f t="shared" si="78"/>
        <v>22.716666664928198</v>
      </c>
      <c r="O224" s="7"/>
      <c r="P224" s="7"/>
      <c r="Q224" s="23"/>
      <c r="R224" s="23"/>
      <c r="S224" s="35">
        <f t="shared" si="92"/>
        <v>0</v>
      </c>
      <c r="T224" s="50" t="e">
        <f t="shared" si="82"/>
        <v>#VALUE!</v>
      </c>
      <c r="U224" s="18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01:31:29-0600',mode:absolute,to:'2016-10-26 03:57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2" t="str">
        <f t="shared" si="84"/>
        <v>N</v>
      </c>
      <c r="X224" s="186" t="e">
        <f t="shared" si="79"/>
        <v>#VALUE!</v>
      </c>
      <c r="Y224" s="67">
        <f t="shared" si="76"/>
        <v>4.9799999999999997E-2</v>
      </c>
      <c r="Z224" s="67">
        <f t="shared" si="77"/>
        <v>12.827500000000001</v>
      </c>
      <c r="AA224" s="67">
        <f t="shared" si="85"/>
        <v>12.777700000000001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86"/>
        <v>51-26</v>
      </c>
      <c r="AE224" s="91" t="str">
        <f t="shared" si="87"/>
        <v>aws s3 cp s3://rtdc.mdm.uploadarchive.raw/RTDC4051/ "%USERPROFILE%\AppData\Local\Temp\OnboardLogs"\RTDC4051\2016-10-26 --exclude "*" --recursive --include "*20161026*" &amp; "%USERPROFILE%\Documents\GitHub\mrs-test-scripts\Headless Mode &amp; Sideloading\WalkAndUnGZ.bat" "%USERPROFILE%\AppData\Local\Temp\OnboardLogs"\RTDC4051\2016-10-26 &amp; 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</v>
      </c>
      <c r="AF224" s="88" t="str">
        <f t="shared" si="88"/>
        <v>"C:\Program Files (x86)\AstroGrep\AstroGrep.exe" /spath="%USERPROFILE%\AppData\Local\Temp\OnboardLogs" /stypes="app*4051*20161026*" /stext=" 08:.+((SYSTEM_STATE.+slice.+state.+changed )|(ment ac)|(system.+state.+changed )|(\[timeout)|(PRM\|1\|D)|(kpr)|(kdp)|(\|lc)|(penalty))" /e /r /s</v>
      </c>
      <c r="AG224" s="1" t="str">
        <f t="shared" si="89"/>
        <v>Other</v>
      </c>
      <c r="AH224" s="92" t="str">
        <f t="shared" si="90"/>
        <v>"%USERPROFILE%\Documents\GitHub\eaglep3\Utilities\RefineRTDCRunTimes.py" --tripid 51-26 --locoid 4051 --swversion DE.1.0.8.0 --startMP 204:498 --initTime 2016-10-26T02:31:29 --startdatetime 2016-10-26T02:34:46 --delay 1 --endMP 204:128275 --enddatetime 2016-10-26T02:57:29 --enforcementcount 0 &gt;&gt;C:\Users\stu\Documents\GitHub\eaglep3-reporting\EC\2016-10-26-refined-times.txt</v>
      </c>
      <c r="AI224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{"issue":{"subject":"","project_id":79,"tracker_id":40,"status_id":1,"priority_id":2,"assigned_to_id":23,"start_date":"2016-10-26","description":"","custom_fields":[{"id":1,"name":"Subdivision","value":"Other"},{"id":4,"name":"Milepost","value":"12.8275"},{"id":17,"name":"Train ID","value":"51-26"},{"id":16,"name":"Locomotive ID","value":"4051"},{"id":130,"name":"Impact","value":""},{"id":150,"name":"Time of Event (Mountain Time)","value":"02:57:29"},{"id":151,"name":"Denver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624</v>
      </c>
      <c r="B225" s="7">
        <v>4052</v>
      </c>
      <c r="C225" s="22" t="s">
        <v>378</v>
      </c>
      <c r="D225" s="22" t="s">
        <v>696</v>
      </c>
      <c r="E225" s="13">
        <v>42669.999594907407</v>
      </c>
      <c r="F225" s="13">
        <v>42670.001736111109</v>
      </c>
      <c r="G225" s="7">
        <v>1</v>
      </c>
      <c r="H225" s="13" t="s">
        <v>697</v>
      </c>
      <c r="I225" s="13">
        <v>42670.00880787037</v>
      </c>
      <c r="J225" s="7">
        <v>0</v>
      </c>
      <c r="K225" s="112" t="str">
        <f t="shared" si="80"/>
        <v>4051/4052</v>
      </c>
      <c r="L225" s="22" t="str">
        <f>VLOOKUP(A225,'Trips&amp;Operators'!$C$1:$E$10000,3,FALSE)</f>
        <v>YOUNG</v>
      </c>
      <c r="M225" s="6">
        <f t="shared" si="81"/>
        <v>7.07175926072523E-3</v>
      </c>
      <c r="N225" s="7">
        <f t="shared" si="78"/>
        <v>10.183333335444331</v>
      </c>
      <c r="O225" s="7"/>
      <c r="P225" s="7"/>
      <c r="Q225" s="23"/>
      <c r="R225" s="23"/>
      <c r="S225" s="35">
        <f t="shared" si="92"/>
        <v>0</v>
      </c>
      <c r="T225" s="50" t="e">
        <f t="shared" si="82"/>
        <v>#VALUE!</v>
      </c>
      <c r="U225" s="18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22:59:25-0600',mode:absolute,to:'2016-10-27 01:12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5" s="52" t="str">
        <f t="shared" si="84"/>
        <v>Y</v>
      </c>
      <c r="X225" s="186" t="e">
        <f t="shared" si="79"/>
        <v>#VALUE!</v>
      </c>
      <c r="Y225" s="67">
        <f t="shared" si="76"/>
        <v>3.0960000000000001</v>
      </c>
      <c r="Z225" s="67">
        <f t="shared" si="77"/>
        <v>9.3299999999999994E-2</v>
      </c>
      <c r="AA225" s="67">
        <f t="shared" si="85"/>
        <v>3.0026999999999999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86"/>
        <v>52-26</v>
      </c>
      <c r="AE225" s="91" t="str">
        <f t="shared" si="87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25" s="88" t="str">
        <f t="shared" si="88"/>
        <v>"C:\Program Files (x86)\AstroGrep\AstroGrep.exe" /spath="%USERPROFILE%\AppData\Local\Temp\OnboardLogs" /stypes="app*4052*20161027*" /stext=" 06:.+((SYSTEM_STATE.+slice.+state.+changed )|(ment ac)|(system.+state.+changed )|(\[timeout)|(PRM\|1\|D)|(kpr)|(kdp)|(\|lc)|(penalty))" /e /r /s</v>
      </c>
      <c r="AG225" s="1" t="str">
        <f t="shared" si="89"/>
        <v>Other</v>
      </c>
      <c r="AH225" s="92" t="str">
        <f t="shared" si="90"/>
        <v>"%USERPROFILE%\Documents\GitHub\eaglep3\Utilities\RefineRTDCRunTimes.py" --tripid 52-26 --locoid 4052 --swversion DE.1.0.8.0 --startMP 300:30960 --initTime 2016-10-26T23:59:25 --startdatetime 2016-10-27T00:02:30 --delay 1 --endMP 204:933 --enddatetime 2016-10-27T00:12:41 --enforcementcount 0 &gt;&gt;C:\Users\stu\Documents\GitHub\eaglep3-reporting\EC\2016-10-26-refined-times.txt</v>
      </c>
      <c r="AI225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{"issue":{"subject":"","project_id":79,"tracker_id":40,"status_id":1,"priority_id":2,"assigned_to_id":23,"start_date":"2016-10-27","description":"","custom_fields":[{"id":1,"name":"Subdivision","value":"Other"},{"id":4,"name":"Milepost","value":"0.0933"},{"id":17,"name":"Train ID","value":"52-26"},{"id":16,"name":"Locomotive ID","value":"4052"},{"id":130,"name":"Impact","value":""},{"id":150,"name":"Time of Event (Mountain Time)","value":"00:12:41"},{"id":151,"name":"Denver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625</v>
      </c>
      <c r="B226" s="7">
        <v>4051</v>
      </c>
      <c r="C226" s="22" t="s">
        <v>378</v>
      </c>
      <c r="D226" s="22" t="s">
        <v>698</v>
      </c>
      <c r="E226" s="13">
        <v>42670.012106481481</v>
      </c>
      <c r="F226" s="13">
        <v>42670.027858796297</v>
      </c>
      <c r="G226" s="7">
        <v>3</v>
      </c>
      <c r="H226" s="13" t="s">
        <v>699</v>
      </c>
      <c r="I226" s="13">
        <v>42670.036412037036</v>
      </c>
      <c r="J226" s="7">
        <v>0</v>
      </c>
      <c r="K226" s="112" t="str">
        <f t="shared" si="80"/>
        <v>4051/4052</v>
      </c>
      <c r="L226" s="22" t="str">
        <f>VLOOKUP(A226,'Trips&amp;Operators'!$C$1:$E$10000,3,FALSE)</f>
        <v>YOUNG</v>
      </c>
      <c r="M226" s="6">
        <f t="shared" si="81"/>
        <v>8.55324073927477E-3</v>
      </c>
      <c r="N226" s="7">
        <f t="shared" si="78"/>
        <v>12.316666664555669</v>
      </c>
      <c r="O226" s="7"/>
      <c r="P226" s="7"/>
      <c r="Q226" s="23"/>
      <c r="R226" s="23"/>
      <c r="S226" s="35">
        <f t="shared" si="92"/>
        <v>0</v>
      </c>
      <c r="T226" s="50" t="e">
        <f t="shared" si="82"/>
        <v>#VALUE!</v>
      </c>
      <c r="U226" s="18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23:17:26-0600',mode:absolute,to:'2016-10-27 01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6" s="52" t="str">
        <f t="shared" si="84"/>
        <v>Y</v>
      </c>
      <c r="X226" s="186" t="e">
        <f t="shared" si="79"/>
        <v>#VALUE!</v>
      </c>
      <c r="Y226" s="67">
        <f t="shared" si="76"/>
        <v>0.1242</v>
      </c>
      <c r="Z226" s="67">
        <f t="shared" si="77"/>
        <v>1.9133</v>
      </c>
      <c r="AA226" s="67">
        <f t="shared" si="85"/>
        <v>1.7890999999999999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86"/>
        <v>53-26</v>
      </c>
      <c r="AE226" s="91" t="str">
        <f t="shared" si="87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26" s="88" t="str">
        <f t="shared" si="88"/>
        <v>"C:\Program Files (x86)\AstroGrep\AstroGrep.exe" /spath="%USERPROFILE%\AppData\Local\Temp\OnboardLogs" /stypes="app*4051*20161027*" /stext=" 06:.+((SYSTEM_STATE.+slice.+state.+changed )|(ment ac)|(system.+state.+changed )|(\[timeout)|(PRM\|1\|D)|(kpr)|(kdp)|(\|lc)|(penalty))" /e /r /s</v>
      </c>
      <c r="AG226" s="1" t="str">
        <f t="shared" si="89"/>
        <v>Other</v>
      </c>
      <c r="AH226" s="92" t="str">
        <f t="shared" si="90"/>
        <v>"%USERPROFILE%\Documents\GitHub\eaglep3\Utilities\RefineRTDCRunTimes.py" --tripid 53-26 --locoid 4051 --swversion DE.1.0.8.0 --startMP 204:1242 --initTime 2016-10-27T00:17:26 --startdatetime 2016-10-27T00:40:07 --delay 3 --endMP 204:19133 --enddatetime 2016-10-27T00:52:26 --enforcementcount 0 &gt;&gt;C:\Users\stu\Documents\GitHub\eaglep3-reporting\EC\2016-10-26-refined-times.txt</v>
      </c>
      <c r="AI226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{"issue":{"subject":"","project_id":79,"tracker_id":40,"status_id":1,"priority_id":2,"assigned_to_id":23,"start_date":"2016-10-27","description":"","custom_fields":[{"id":1,"name":"Subdivision","value":"Other"},{"id":4,"name":"Milepost","value":"1.9133"},{"id":17,"name":"Train ID","value":"53-26"},{"id":16,"name":"Locomotive ID","value":"4051"},{"id":130,"name":"Impact","value":""},{"id":150,"name":"Time of Event (Mountain Time)","value":"00:52:26"},{"id":151,"name":"Denver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625</v>
      </c>
      <c r="B227" s="7">
        <v>4051</v>
      </c>
      <c r="C227" s="22" t="s">
        <v>378</v>
      </c>
      <c r="D227" s="22" t="s">
        <v>700</v>
      </c>
      <c r="E227" s="13">
        <v>42670.010127314818</v>
      </c>
      <c r="F227" s="13">
        <v>42670.027858796297</v>
      </c>
      <c r="G227" s="7">
        <v>2</v>
      </c>
      <c r="H227" s="13" t="s">
        <v>700</v>
      </c>
      <c r="I227" s="13">
        <v>42670.036412037036</v>
      </c>
      <c r="J227" s="7">
        <v>0</v>
      </c>
      <c r="K227" s="112" t="str">
        <f t="shared" si="80"/>
        <v>4051/4052</v>
      </c>
      <c r="L227" s="22" t="str">
        <f>VLOOKUP(A227,'Trips&amp;Operators'!$C$1:$E$10000,3,FALSE)</f>
        <v>YOUNG</v>
      </c>
      <c r="M227" s="6">
        <f t="shared" si="81"/>
        <v>8.55324073927477E-3</v>
      </c>
      <c r="N227" s="7">
        <f t="shared" si="78"/>
        <v>12.316666664555669</v>
      </c>
      <c r="O227" s="7"/>
      <c r="P227" s="7"/>
      <c r="Q227" s="23"/>
      <c r="R227" s="23"/>
      <c r="S227" s="35">
        <f t="shared" si="92"/>
        <v>0</v>
      </c>
      <c r="T227" s="50" t="e">
        <f t="shared" si="82"/>
        <v>#VALUE!</v>
      </c>
      <c r="U227" s="18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23:14:35-0600',mode:absolute,to:'2016-10-27 01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7" s="52" t="str">
        <f t="shared" si="84"/>
        <v>Y</v>
      </c>
      <c r="X227" s="186" t="e">
        <f t="shared" si="79"/>
        <v>#VALUE!</v>
      </c>
      <c r="Y227" s="67">
        <f t="shared" si="76"/>
        <v>0.1249</v>
      </c>
      <c r="Z227" s="67">
        <f t="shared" si="77"/>
        <v>0.1249</v>
      </c>
      <c r="AA227" s="67">
        <f t="shared" si="85"/>
        <v>0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86"/>
        <v>53-26</v>
      </c>
      <c r="AE227" s="91" t="str">
        <f t="shared" si="87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27" s="88" t="str">
        <f t="shared" si="88"/>
        <v>"C:\Program Files (x86)\AstroGrep\AstroGrep.exe" /spath="%USERPROFILE%\AppData\Local\Temp\OnboardLogs" /stypes="app*4051*20161027*" /stext=" 06:.+((SYSTEM_STATE.+slice.+state.+changed )|(ment ac)|(system.+state.+changed )|(\[timeout)|(PRM\|1\|D)|(kpr)|(kdp)|(\|lc)|(penalty))" /e /r /s</v>
      </c>
      <c r="AG227" s="1" t="str">
        <f t="shared" si="89"/>
        <v>Other</v>
      </c>
      <c r="AH227" s="92" t="str">
        <f t="shared" si="90"/>
        <v>"%USERPROFILE%\Documents\GitHub\eaglep3\Utilities\RefineRTDCRunTimes.py" --tripid 53-26 --locoid 4051 --swversion DE.1.0.8.0 --startMP 204:1249 --initTime 2016-10-27T00:14:35 --startdatetime 2016-10-27T00:40:07 --delay 2 --endMP 204:1249 --enddatetime 2016-10-27T00:52:26 --enforcementcount 0 &gt;&gt;C:\Users\stu\Documents\GitHub\eaglep3-reporting\EC\2016-10-26-refined-times.txt</v>
      </c>
      <c r="AI227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{"issue":{"subject":"","project_id":79,"tracker_id":40,"status_id":1,"priority_id":2,"assigned_to_id":23,"start_date":"2016-10-27","description":"","custom_fields":[{"id":1,"name":"Subdivision","value":"Other"},{"id":4,"name":"Milepost","value":"0.1249"},{"id":17,"name":"Train ID","value":"53-26"},{"id":16,"name":"Locomotive ID","value":"4051"},{"id":130,"name":"Impact","value":""},{"id":150,"name":"Time of Event (Mountain Time)","value":"00:52:26"},{"id":151,"name":"Denver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428</v>
      </c>
      <c r="B228" s="7">
        <v>4037</v>
      </c>
      <c r="C228" s="22" t="s">
        <v>378</v>
      </c>
      <c r="D228" s="22" t="s">
        <v>701</v>
      </c>
      <c r="E228" s="13">
        <v>42669.706886574073</v>
      </c>
      <c r="F228" s="13">
        <v>42669.710069444445</v>
      </c>
      <c r="G228" s="7">
        <v>4</v>
      </c>
      <c r="H228" s="13" t="s">
        <v>702</v>
      </c>
      <c r="I228" s="13">
        <v>42669.715069444443</v>
      </c>
      <c r="J228" s="7">
        <v>0</v>
      </c>
      <c r="K228" s="112" t="str">
        <f t="shared" si="80"/>
        <v>4037/4038</v>
      </c>
      <c r="L228" s="22" t="str">
        <f>VLOOKUP(A228,'Trips&amp;Operators'!$C$1:$E$10000,3,FALSE)</f>
        <v>YANAI</v>
      </c>
      <c r="M228" s="6">
        <f t="shared" si="81"/>
        <v>4.9999999973806553E-3</v>
      </c>
      <c r="N228" s="7">
        <f t="shared" si="78"/>
        <v>7.1999999962281436</v>
      </c>
      <c r="O228" s="7"/>
      <c r="P228" s="7"/>
      <c r="Q228" s="23"/>
      <c r="R228" s="23"/>
      <c r="S228" s="35">
        <f t="shared" si="92"/>
        <v>0</v>
      </c>
      <c r="T228" s="50" t="e">
        <f t="shared" si="82"/>
        <v>#VALUE!</v>
      </c>
      <c r="U228" s="18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15:57:55-0600',mode:absolute,to:'2016-10-26 18:09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28" s="52" t="str">
        <f t="shared" si="84"/>
        <v>Y</v>
      </c>
      <c r="X228" s="186" t="e">
        <f t="shared" si="79"/>
        <v>#VALUE!</v>
      </c>
      <c r="Y228" s="67">
        <f t="shared" si="76"/>
        <v>2.3426999999999998</v>
      </c>
      <c r="Z228" s="67">
        <f t="shared" si="77"/>
        <v>0.1038</v>
      </c>
      <c r="AA228" s="67">
        <f t="shared" si="85"/>
        <v>2.2388999999999997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86"/>
        <v>54-26</v>
      </c>
      <c r="AE228" s="91" t="str">
        <f t="shared" si="87"/>
        <v>aws s3 cp s3://rtdc.mdm.uploadarchive.raw/RTDC4037/ "%USERPROFILE%\AppData\Local\Temp\OnboardLogs"\RTDC4037\2016-10-26 --exclude "*" --recursive --include "*20161026*" &amp; "%USERPROFILE%\Documents\GitHub\mrs-test-scripts\Headless Mode &amp; Sideloading\WalkAndUnGZ.bat" "%USERPROFILE%\AppData\Local\Temp\OnboardLogs"\RTDC4037\2016-10-26 &amp; 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</v>
      </c>
      <c r="AF228" s="88" t="str">
        <f t="shared" si="88"/>
        <v>"C:\Program Files (x86)\AstroGrep\AstroGrep.exe" /spath="%USERPROFILE%\AppData\Local\Temp\OnboardLogs" /stypes="app*4037*20161026*" /stext=" 23:.+((SYSTEM_STATE.+slice.+state.+changed )|(ment ac)|(system.+state.+changed )|(\[timeout)|(PRM\|1\|D)|(kpr)|(kdp)|(\|lc)|(penalty))" /e /r /s</v>
      </c>
      <c r="AG228" s="1" t="str">
        <f t="shared" si="89"/>
        <v>Other</v>
      </c>
      <c r="AH228" s="92" t="str">
        <f t="shared" si="90"/>
        <v>"%USERPROFILE%\Documents\GitHub\eaglep3\Utilities\RefineRTDCRunTimes.py" --tripid 54-26 --locoid 4037 --swversion DE.1.0.8.0 --startMP 300:23427 --initTime 2016-10-26T16:57:55 --startdatetime 2016-10-26T17:02:30 --delay 4 --endMP 204:1038 --enddatetime 2016-10-26T17:09:42 --enforcementcount 0 &gt;&gt;C:\Users\stu\Documents\GitHub\eaglep3-reporting\EC\2016-10-26-refined-times.txt</v>
      </c>
      <c r="AI228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{"issue":{"subject":"","project_id":79,"tracker_id":40,"status_id":1,"priority_id":2,"assigned_to_id":23,"start_date":"2016-10-26","description":"","custom_fields":[{"id":1,"name":"Subdivision","value":"Other"},{"id":4,"name":"Milepost","value":"0.1038"},{"id":17,"name":"Train ID","value":"54-26"},{"id":16,"name":"Locomotive ID","value":"4037"},{"id":130,"name":"Impact","value":""},{"id":150,"name":"Time of Event (Mountain Time)","value":"17:09:42"},{"id":151,"name":"Denver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513</v>
      </c>
      <c r="B229" s="7">
        <v>4038</v>
      </c>
      <c r="C229" s="22" t="s">
        <v>378</v>
      </c>
      <c r="D229" s="22" t="s">
        <v>703</v>
      </c>
      <c r="E229" s="13">
        <v>42669.47824074074</v>
      </c>
      <c r="F229" s="13">
        <v>25568.708333333332</v>
      </c>
      <c r="G229" s="7">
        <v>1</v>
      </c>
      <c r="H229" s="13" t="s">
        <v>704</v>
      </c>
      <c r="I229" s="13">
        <v>25568.708333333332</v>
      </c>
      <c r="J229" s="7">
        <v>0</v>
      </c>
      <c r="K229" s="112" t="str">
        <f t="shared" si="80"/>
        <v>4037/4038</v>
      </c>
      <c r="L229" s="22" t="str">
        <f>VLOOKUP(A229,'Trips&amp;Operators'!$C$1:$E$10000,3,FALSE)</f>
        <v>GRASTON</v>
      </c>
      <c r="M229" s="6">
        <f t="shared" si="81"/>
        <v>0</v>
      </c>
      <c r="N229" s="7">
        <f t="shared" si="78"/>
        <v>0</v>
      </c>
      <c r="O229" s="7"/>
      <c r="P229" s="7"/>
      <c r="Q229" s="23"/>
      <c r="R229" s="23"/>
      <c r="S229" s="35">
        <f t="shared" si="92"/>
        <v>0</v>
      </c>
      <c r="T229" s="50" t="e">
        <f t="shared" si="82"/>
        <v>#VALUE!</v>
      </c>
      <c r="U229" s="18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10:28:40-0600',mode:absolute,to:'1969-12-31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9" s="52" t="str">
        <f t="shared" si="84"/>
        <v>Y</v>
      </c>
      <c r="X229" s="186" t="e">
        <f t="shared" si="79"/>
        <v>#VALUE!</v>
      </c>
      <c r="Y229" s="67">
        <f t="shared" ref="Y229:Y235" si="93">RIGHT(D229,LEN(D229)-4)/10000</f>
        <v>0.12659999999999999</v>
      </c>
      <c r="Z229" s="67">
        <f t="shared" ref="Z229:Z235" si="94">RIGHT(H229,LEN(H229)-4)/10000</f>
        <v>2.4258000000000002</v>
      </c>
      <c r="AA229" s="67">
        <f t="shared" si="85"/>
        <v>2.2992000000000004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86"/>
        <v>55-26</v>
      </c>
      <c r="AE229" s="91" t="str">
        <f t="shared" si="8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29" s="88" t="str">
        <f t="shared" si="88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29" s="1" t="str">
        <f t="shared" si="89"/>
        <v>Other</v>
      </c>
      <c r="AH229" s="92" t="str">
        <f t="shared" si="90"/>
        <v>"%USERPROFILE%\Documents\GitHub\eaglep3\Utilities\RefineRTDCRunTimes.py" --tripid 55-26 --locoid 4038 --swversion DE.1.0.8.0 --startMP 204:1266 --initTime 2016-10-26T11:28:40 --startdatetime 1969-12-31T17:00:00 --delay 1 --endMP 300:24258 --enddatetime 1969-12-31T17:00:00 --enforcementcount 0 &gt;&gt;C:\Users\stu\Documents\GitHub\eaglep3-reporting\EC\2016-10-26-refined-times.txt</v>
      </c>
      <c r="AI229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{"issue":{"subject":"","project_id":79,"tracker_id":40,"status_id":1,"priority_id":2,"assigned_to_id":23,"start_date":"1969-12-31","description":"","custom_fields":[{"id":1,"name":"Subdivision","value":"Other"},{"id":4,"name":"Milepost","value":"2.4258"},{"id":17,"name":"Train ID","value":"55-26"},{"id":16,"name":"Locomotive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578</v>
      </c>
      <c r="B230" s="7">
        <v>4021</v>
      </c>
      <c r="C230" s="22" t="s">
        <v>378</v>
      </c>
      <c r="D230" s="22" t="s">
        <v>705</v>
      </c>
      <c r="E230" s="13">
        <v>42669.736550925925</v>
      </c>
      <c r="F230" s="13">
        <v>42669.737870370373</v>
      </c>
      <c r="G230" s="7">
        <v>1</v>
      </c>
      <c r="H230" s="13" t="s">
        <v>706</v>
      </c>
      <c r="I230" s="13">
        <v>42669.74559027778</v>
      </c>
      <c r="J230" s="7">
        <v>0</v>
      </c>
      <c r="K230" s="112" t="str">
        <f t="shared" si="80"/>
        <v>4021/4022</v>
      </c>
      <c r="L230" s="22" t="str">
        <f>VLOOKUP(A230,'Trips&amp;Operators'!$C$1:$E$10000,3,FALSE)</f>
        <v>CUSHING</v>
      </c>
      <c r="M230" s="6">
        <f t="shared" si="81"/>
        <v>7.7199074075906537E-3</v>
      </c>
      <c r="N230" s="7">
        <f t="shared" si="78"/>
        <v>11.116666666930541</v>
      </c>
      <c r="O230" s="7"/>
      <c r="P230" s="7"/>
      <c r="Q230" s="23"/>
      <c r="R230" s="23"/>
      <c r="S230" s="35">
        <f t="shared" si="92"/>
        <v>0</v>
      </c>
      <c r="T230" s="50" t="e">
        <f t="shared" si="82"/>
        <v>#VALUE!</v>
      </c>
      <c r="U230" s="18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16:40:38-0600',mode:absolute,to:'2016-10-26 18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0" s="52" t="str">
        <f t="shared" si="84"/>
        <v>Y</v>
      </c>
      <c r="X230" s="186" t="e">
        <f t="shared" si="79"/>
        <v>#VALUE!</v>
      </c>
      <c r="Y230" s="67">
        <f t="shared" si="93"/>
        <v>2.1894</v>
      </c>
      <c r="Z230" s="67">
        <f t="shared" si="94"/>
        <v>1.3100000000000001E-2</v>
      </c>
      <c r="AA230" s="67">
        <f t="shared" si="85"/>
        <v>2.1762999999999999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86"/>
        <v>56-26</v>
      </c>
      <c r="AE230" s="91" t="str">
        <f t="shared" si="87"/>
        <v>aws s3 cp s3://rtdc.mdm.uploadarchive.raw/RTDC4021/ "%USERPROFILE%\AppData\Local\Temp\OnboardLogs"\RTDC4021\2016-10-26 --exclude "*" --recursive --include "*20161026*" &amp; "%USERPROFILE%\Documents\GitHub\mrs-test-scripts\Headless Mode &amp; Sideloading\WalkAndUnGZ.bat" "%USERPROFILE%\AppData\Local\Temp\OnboardLogs"\RTDC4021\2016-10-26 &amp; aws s3 cp s3://rtdc.mdm.uploadarchive.raw/RTDC4021/ "%USERPROFILE%\AppData\Local\Temp\OnboardLogs"\RTDC4021\2016-10-27 --exclude "*" --recursive --include "*20161027*" &amp; "%USERPROFILE%\Documents\GitHub\mrs-test-scripts\Headless Mode &amp; Sideloading\WalkAndUnGZ.bat" "%USERPROFILE%\AppData\Local\Temp\OnboardLogs"\RTDC4021\2016-10-27</v>
      </c>
      <c r="AF230" s="88" t="str">
        <f t="shared" si="88"/>
        <v>"C:\Program Files (x86)\AstroGrep\AstroGrep.exe" /spath="%USERPROFILE%\AppData\Local\Temp\OnboardLogs" /stypes="app*4021*20161026*" /stext=" 23:.+((SYSTEM_STATE.+slice.+state.+changed )|(ment ac)|(system.+state.+changed )|(\[timeout)|(PRM\|1\|D)|(kpr)|(kdp)|(\|lc)|(penalty))" /e /r /s</v>
      </c>
      <c r="AG230" s="1" t="str">
        <f t="shared" si="89"/>
        <v>Other</v>
      </c>
      <c r="AH230" s="92" t="str">
        <f t="shared" si="90"/>
        <v>"%USERPROFILE%\Documents\GitHub\eaglep3\Utilities\RefineRTDCRunTimes.py" --tripid 56-26 --locoid 4021 --swversion DE.1.0.8.0 --startMP 300:21894 --initTime 2016-10-26T17:40:38 --startdatetime 2016-10-26T17:42:32 --delay 1 --endMP 204:131 --enddatetime 2016-10-26T17:53:39 --enforcementcount 0 &gt;&gt;C:\Users\stu\Documents\GitHub\eaglep3-reporting\EC\2016-10-26-refined-times.txt</v>
      </c>
      <c r="AI230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{"issue":{"subject":"","project_id":79,"tracker_id":40,"status_id":1,"priority_id":2,"assigned_to_id":23,"start_date":"2016-10-26","description":"","custom_fields":[{"id":1,"name":"Subdivision","value":"Other"},{"id":4,"name":"Milepost","value":"0.0131"},{"id":17,"name":"Train ID","value":"56-26"},{"id":16,"name":"Locomotive ID","value":"4021"},{"id":130,"name":"Impact","value":""},{"id":150,"name":"Time of Event (Mountain Time)","value":"17:53:39"},{"id":151,"name":"Denver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630</v>
      </c>
      <c r="B231" s="7">
        <v>4051</v>
      </c>
      <c r="C231" s="22" t="s">
        <v>378</v>
      </c>
      <c r="D231" s="22" t="s">
        <v>707</v>
      </c>
      <c r="E231" s="13">
        <v>42670.098611111112</v>
      </c>
      <c r="F231" s="13">
        <v>42670.147858796299</v>
      </c>
      <c r="G231" s="7">
        <v>1</v>
      </c>
      <c r="H231" s="13" t="s">
        <v>708</v>
      </c>
      <c r="I231" s="13">
        <v>42670.161932870367</v>
      </c>
      <c r="J231" s="7">
        <v>0</v>
      </c>
      <c r="K231" s="112" t="str">
        <f t="shared" si="80"/>
        <v>4051/4052</v>
      </c>
      <c r="L231" s="22" t="str">
        <f>VLOOKUP(A231,'Trips&amp;Operators'!$C$1:$E$10000,3,FALSE)</f>
        <v>YOUNG</v>
      </c>
      <c r="M231" s="6">
        <f t="shared" si="81"/>
        <v>1.4074074068048503E-2</v>
      </c>
      <c r="N231" s="7">
        <f t="shared" si="78"/>
        <v>20.266666657989845</v>
      </c>
      <c r="O231" s="7"/>
      <c r="P231" s="7"/>
      <c r="Q231" s="23"/>
      <c r="R231" s="23"/>
      <c r="S231" s="35">
        <f t="shared" si="92"/>
        <v>0</v>
      </c>
      <c r="T231" s="50" t="e">
        <f t="shared" si="82"/>
        <v>#VALUE!</v>
      </c>
      <c r="U231" s="18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01:22:00-0600',mode:absolute,to:'2016-10-27 04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1" s="52" t="str">
        <f t="shared" si="84"/>
        <v>N</v>
      </c>
      <c r="X231" s="186" t="e">
        <f t="shared" si="79"/>
        <v>#VALUE!</v>
      </c>
      <c r="Y231" s="67">
        <f t="shared" si="93"/>
        <v>1.0228999999999999</v>
      </c>
      <c r="Z231" s="67">
        <f t="shared" si="94"/>
        <v>12.8268</v>
      </c>
      <c r="AA231" s="67">
        <f t="shared" si="85"/>
        <v>11.803900000000001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86"/>
        <v>58-26</v>
      </c>
      <c r="AE231" s="91" t="str">
        <f t="shared" si="87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31" s="88" t="str">
        <f t="shared" si="88"/>
        <v>"C:\Program Files (x86)\AstroGrep\AstroGrep.exe" /spath="%USERPROFILE%\AppData\Local\Temp\OnboardLogs" /stypes="app*4051*20161027*" /stext=" 09:.+((SYSTEM_STATE.+slice.+state.+changed )|(ment ac)|(system.+state.+changed )|(\[timeout)|(PRM\|1\|D)|(kpr)|(kdp)|(\|lc)|(penalty))" /e /r /s</v>
      </c>
      <c r="AG231" s="1" t="str">
        <f t="shared" si="89"/>
        <v>Other</v>
      </c>
      <c r="AH231" s="92" t="str">
        <f t="shared" si="90"/>
        <v>"%USERPROFILE%\Documents\GitHub\eaglep3\Utilities\RefineRTDCRunTimes.py" --tripid 58-26 --locoid 4051 --swversion DE.1.0.8.0 --startMP 204:10229 --initTime 2016-10-27T02:22:00 --startdatetime 2016-10-27T03:32:55 --delay 1 --endMP 204:128268 --enddatetime 2016-10-27T03:53:11 --enforcementcount 0 &gt;&gt;C:\Users\stu\Documents\GitHub\eaglep3-reporting\EC\2016-10-26-refined-times.txt</v>
      </c>
      <c r="AI231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{"issue":{"subject":"","project_id":79,"tracker_id":40,"status_id":1,"priority_id":2,"assigned_to_id":23,"start_date":"2016-10-27","description":"","custom_fields":[{"id":1,"name":"Subdivision","value":"Other"},{"id":4,"name":"Milepost","value":"12.8268"},{"id":17,"name":"Train ID","value":"58-26"},{"id":16,"name":"Locomotive ID","value":"4051"},{"id":130,"name":"Impact","value":""},{"id":150,"name":"Time of Event (Mountain Time)","value":"03:53:11"},{"id":151,"name":"Denver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630</v>
      </c>
      <c r="B232" s="7">
        <v>4051</v>
      </c>
      <c r="C232" s="22" t="s">
        <v>378</v>
      </c>
      <c r="D232" s="22" t="s">
        <v>709</v>
      </c>
      <c r="E232" s="13">
        <v>42670.052071759259</v>
      </c>
      <c r="F232" s="13">
        <v>42670.082696759258</v>
      </c>
      <c r="G232" s="7">
        <v>3</v>
      </c>
      <c r="H232" s="13" t="s">
        <v>710</v>
      </c>
      <c r="I232" s="13">
        <v>42670.09684027778</v>
      </c>
      <c r="J232" s="7">
        <v>0</v>
      </c>
      <c r="K232" s="112" t="str">
        <f t="shared" si="80"/>
        <v>4051/4052</v>
      </c>
      <c r="L232" s="22" t="str">
        <f>VLOOKUP(A232,'Trips&amp;Operators'!$C$1:$E$10000,3,FALSE)</f>
        <v>YOUNG</v>
      </c>
      <c r="M232" s="6">
        <f t="shared" si="81"/>
        <v>1.414351852145046E-2</v>
      </c>
      <c r="N232" s="7">
        <f t="shared" si="78"/>
        <v>20.366666670888662</v>
      </c>
      <c r="O232" s="7"/>
      <c r="P232" s="7"/>
      <c r="Q232" s="23"/>
      <c r="R232" s="23"/>
      <c r="S232" s="35">
        <f t="shared" si="92"/>
        <v>0</v>
      </c>
      <c r="T232" s="50" t="e">
        <f t="shared" si="82"/>
        <v>#VALUE!</v>
      </c>
      <c r="U232" s="18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00:14:59-0600',mode:absolute,to:'2016-10-27 03:19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2" s="52" t="str">
        <f t="shared" si="84"/>
        <v>N</v>
      </c>
      <c r="X232" s="186" t="e">
        <f t="shared" si="79"/>
        <v>#VALUE!</v>
      </c>
      <c r="Y232" s="67">
        <f t="shared" si="93"/>
        <v>1.9115</v>
      </c>
      <c r="Z232" s="67">
        <f t="shared" si="94"/>
        <v>12.827199999999999</v>
      </c>
      <c r="AA232" s="67">
        <f t="shared" si="85"/>
        <v>10.915699999999999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86"/>
        <v>58-26</v>
      </c>
      <c r="AE232" s="91" t="str">
        <f t="shared" si="87"/>
        <v>aws s3 cp s3://rtdc.mdm.uploadarchive.raw/RTDC4051/ "%USERPROFILE%\AppData\Local\Temp\OnboardLogs"\RTDC4051\2016-10-27 --exclude "*" --recursive --include "*20161027*" &amp; "%USERPROFILE%\Documents\GitHub\mrs-test-scripts\Headless Mode &amp; Sideloading\WalkAndUnGZ.bat" "%USERPROFILE%\AppData\Local\Temp\OnboardLogs"\RTDC4051\2016-10-27 &amp; aws s3 cp s3://rtdc.mdm.uploadarchive.raw/RTDC4051/ "%USERPROFILE%\AppData\Local\Temp\OnboardLogs"\RTDC4051\2016-10-28 --exclude "*" --recursive --include "*20161028*" &amp; "%USERPROFILE%\Documents\GitHub\mrs-test-scripts\Headless Mode &amp; Sideloading\WalkAndUnGZ.bat" "%USERPROFILE%\AppData\Local\Temp\OnboardLogs"\RTDC4051\2016-10-28</v>
      </c>
      <c r="AF232" s="88" t="str">
        <f t="shared" si="88"/>
        <v>"C:\Program Files (x86)\AstroGrep\AstroGrep.exe" /spath="%USERPROFILE%\AppData\Local\Temp\OnboardLogs" /stypes="app*4051*20161027*" /stext=" 08:.+((SYSTEM_STATE.+slice.+state.+changed )|(ment ac)|(system.+state.+changed )|(\[timeout)|(PRM\|1\|D)|(kpr)|(kdp)|(\|lc)|(penalty))" /e /r /s</v>
      </c>
      <c r="AG232" s="1" t="str">
        <f t="shared" si="89"/>
        <v>Other</v>
      </c>
      <c r="AH232" s="92" t="str">
        <f t="shared" si="90"/>
        <v>"%USERPROFILE%\Documents\GitHub\eaglep3\Utilities\RefineRTDCRunTimes.py" --tripid 58-26 --locoid 4051 --swversion DE.1.0.8.0 --startMP 204:19115 --initTime 2016-10-27T01:14:59 --startdatetime 2016-10-27T01:59:05 --delay 3 --endMP 204:128272 --enddatetime 2016-10-27T02:19:27 --enforcementcount 0 &gt;&gt;C:\Users\stu\Documents\GitHub\eaglep3-reporting\EC\2016-10-26-refined-times.txt</v>
      </c>
      <c r="AI232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{"issue":{"subject":"","project_id":79,"tracker_id":40,"status_id":1,"priority_id":2,"assigned_to_id":23,"start_date":"2016-10-27","description":"","custom_fields":[{"id":1,"name":"Subdivision","value":"Other"},{"id":4,"name":"Milepost","value":"12.8272"},{"id":17,"name":"Train ID","value":"58-26"},{"id":16,"name":"Locomotive ID","value":"4051"},{"id":130,"name":"Impact","value":""},{"id":150,"name":"Time of Event (Mountain Time)","value":"02:19:27"},{"id":151,"name":"Denver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630</v>
      </c>
      <c r="B233" s="7">
        <v>4052</v>
      </c>
      <c r="C233" s="22" t="s">
        <v>378</v>
      </c>
      <c r="D233" s="22" t="s">
        <v>711</v>
      </c>
      <c r="E233" s="13">
        <v>42670.079004629632</v>
      </c>
      <c r="F233" s="13">
        <v>42670.100995370369</v>
      </c>
      <c r="G233" s="7">
        <v>2</v>
      </c>
      <c r="H233" s="13" t="s">
        <v>712</v>
      </c>
      <c r="I233" s="13">
        <v>42670.115451388891</v>
      </c>
      <c r="J233" s="7">
        <v>0</v>
      </c>
      <c r="K233" s="112" t="str">
        <f t="shared" si="80"/>
        <v>4051/4052</v>
      </c>
      <c r="L233" s="22" t="str">
        <f>VLOOKUP(A233,'Trips&amp;Operators'!$C$1:$E$10000,3,FALSE)</f>
        <v>YOUNG</v>
      </c>
      <c r="M233" s="6">
        <f t="shared" si="81"/>
        <v>1.4456018521741498E-2</v>
      </c>
      <c r="N233" s="7">
        <f t="shared" si="78"/>
        <v>20.816666671307757</v>
      </c>
      <c r="O233" s="7"/>
      <c r="P233" s="7"/>
      <c r="Q233" s="23"/>
      <c r="R233" s="23"/>
      <c r="S233" s="35">
        <f t="shared" si="92"/>
        <v>0</v>
      </c>
      <c r="T233" s="50" t="e">
        <f t="shared" si="82"/>
        <v>#VALUE!</v>
      </c>
      <c r="U233" s="18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https://search-rtdc-monitor-bjffxe2xuh6vdkpspy63sjmuny.us-east-1.es.amazonaws.com/_plugin/kibana/#/discover/Steve-Slow-Train-Analysis-(2080s-and-2083s)?_g=(refreshInterval:(display:Off,section:0,value:0),time:(from:'2016-10-27 00:53:46-0600',mode:absolute,to:'2016-10-27 03:46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33" s="52" t="str">
        <f t="shared" si="84"/>
        <v>N</v>
      </c>
      <c r="X233" s="186" t="e">
        <f t="shared" si="79"/>
        <v>#VALUE!</v>
      </c>
      <c r="Y233" s="67">
        <f t="shared" si="93"/>
        <v>12.8001</v>
      </c>
      <c r="Z233" s="67">
        <f t="shared" si="94"/>
        <v>0.99929999999999997</v>
      </c>
      <c r="AA233" s="67">
        <f t="shared" si="85"/>
        <v>11.800800000000001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86"/>
        <v>58-26</v>
      </c>
      <c r="AE233" s="91" t="str">
        <f t="shared" si="87"/>
        <v>aws s3 cp s3://rtdc.mdm.uploadarchive.raw/RTDC4052/ "%USERPROFILE%\AppData\Local\Temp\OnboardLogs"\RTDC4052\2016-10-27 --exclude "*" --recursive --include "*20161027*" &amp; "%USERPROFILE%\Documents\GitHub\mrs-test-scripts\Headless Mode &amp; Sideloading\WalkAndUnGZ.bat" "%USERPROFILE%\AppData\Local\Temp\OnboardLogs"\RTDC4052\2016-10-27 &amp; aws s3 cp s3://rtdc.mdm.uploadarchive.raw/RTDC4052/ "%USERPROFILE%\AppData\Local\Temp\OnboardLogs"\RTDC4052\2016-10-28 --exclude "*" --recursive --include "*20161028*" &amp; "%USERPROFILE%\Documents\GitHub\mrs-test-scripts\Headless Mode &amp; Sideloading\WalkAndUnGZ.bat" "%USERPROFILE%\AppData\Local\Temp\OnboardLogs"\RTDC4052\2016-10-28</v>
      </c>
      <c r="AF233" s="88" t="str">
        <f t="shared" si="88"/>
        <v>"C:\Program Files (x86)\AstroGrep\AstroGrep.exe" /spath="%USERPROFILE%\AppData\Local\Temp\OnboardLogs" /stypes="app*4052*20161027*" /stext=" 08:.+((SYSTEM_STATE.+slice.+state.+changed )|(ment ac)|(system.+state.+changed )|(\[timeout)|(PRM\|1\|D)|(kpr)|(kdp)|(\|lc)|(penalty))" /e /r /s</v>
      </c>
      <c r="AG233" s="1" t="str">
        <f t="shared" si="89"/>
        <v>Other</v>
      </c>
      <c r="AH233" s="92" t="str">
        <f t="shared" si="90"/>
        <v>"%USERPROFILE%\Documents\GitHub\eaglep3\Utilities\RefineRTDCRunTimes.py" --tripid 58-26 --locoid 4052 --swversion DE.1.0.8.0 --startMP 204:128001 --initTime 2016-10-27T01:53:46 --startdatetime 2016-10-27T02:25:26 --delay 2 --endMP 204:9993 --enddatetime 2016-10-27T02:46:15 --enforcementcount 0 &gt;&gt;C:\Users\stu\Documents\GitHub\eaglep3-reporting\EC\2016-10-26-refined-times.txt</v>
      </c>
      <c r="AI233" s="122" t="str">
        <f t="shared" si="91"/>
        <v>echo {"issue":{"subject":"","project_id":79,"tracker_id":40,"status_id":1,"priority_id":2,"assigned_to_id":23,"start_date":"2016-10-27","description":"","custom_fields":[{"id":1,"name":"Subdivision","value":"Other"},{"id":4,"name":"Milepost","value":"0.9993"},{"id":17,"name":"Train ID","value":"58-26"},{"id":16,"name":"Locomotive ID","value":"4052"},{"id":130,"name":"Impact","value":""},{"id":150,"name":"Time of Event (Mountain Time)","value":"02:46:15"},{"id":151,"name":"Denver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606</v>
      </c>
      <c r="B234" s="7">
        <v>4038</v>
      </c>
      <c r="C234" s="22" t="s">
        <v>378</v>
      </c>
      <c r="D234" s="22" t="s">
        <v>713</v>
      </c>
      <c r="E234" s="13">
        <v>42669.847905092596</v>
      </c>
      <c r="F234" s="13">
        <v>25568.708333333332</v>
      </c>
      <c r="G234" s="7">
        <v>1</v>
      </c>
      <c r="H234" s="13" t="s">
        <v>714</v>
      </c>
      <c r="I234" s="13">
        <v>25568.708333333332</v>
      </c>
      <c r="J234" s="7">
        <v>0</v>
      </c>
      <c r="K234" s="112" t="str">
        <f t="shared" si="80"/>
        <v>4037/4038</v>
      </c>
      <c r="L234" s="22" t="str">
        <f>VLOOKUP(A234,'Trips&amp;Operators'!$C$1:$E$10000,3,FALSE)</f>
        <v>CUSHING</v>
      </c>
      <c r="M234" s="6">
        <f t="shared" si="81"/>
        <v>0</v>
      </c>
      <c r="N234" s="7">
        <f t="shared" si="78"/>
        <v>0</v>
      </c>
      <c r="O234" s="7"/>
      <c r="P234" s="7"/>
      <c r="Q234" s="23"/>
      <c r="R234" s="23"/>
      <c r="S234" s="35">
        <f t="shared" si="92"/>
        <v>0</v>
      </c>
      <c r="T234" s="50" t="e">
        <f t="shared" si="82"/>
        <v>#VALUE!</v>
      </c>
      <c r="U234" s="18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19:20:59-0600',mode:absolute,to:'1969-12-31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4" s="52" t="str">
        <f t="shared" si="84"/>
        <v>Y</v>
      </c>
      <c r="X234" s="186" t="e">
        <f t="shared" si="79"/>
        <v>#VALUE!</v>
      </c>
      <c r="Y234" s="67">
        <f t="shared" si="93"/>
        <v>0.11550000000000001</v>
      </c>
      <c r="Z234" s="67">
        <f t="shared" si="94"/>
        <v>2.4218000000000002</v>
      </c>
      <c r="AA234" s="67">
        <f t="shared" si="85"/>
        <v>2.3063000000000002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86"/>
        <v>63-26</v>
      </c>
      <c r="AE234" s="91" t="str">
        <f t="shared" si="87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34" s="88" t="str">
        <f t="shared" si="88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34" s="1" t="str">
        <f t="shared" si="89"/>
        <v>Other</v>
      </c>
      <c r="AH234" s="92" t="str">
        <f t="shared" si="90"/>
        <v>"%USERPROFILE%\Documents\GitHub\eaglep3\Utilities\RefineRTDCRunTimes.py" --tripid 63-26 --locoid 4038 --swversion DE.1.0.8.0 --startMP 204:1155 --initTime 2016-10-26T20:20:59 --startdatetime 1969-12-31T17:00:00 --delay 1 --endMP 300:24218 --enddatetime 1969-12-31T17:00:00 --enforcementcount 0 &gt;&gt;C:\Users\stu\Documents\GitHub\eaglep3-reporting\EC\2016-10-26-refined-times.txt</v>
      </c>
      <c r="AI234" s="122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{"issue":{"subject":"","project_id":79,"tracker_id":40,"status_id":1,"priority_id":2,"assigned_to_id":23,"start_date":"1969-12-31","description":"","custom_fields":[{"id":1,"name":"Subdivision","value":"Other"},{"id":4,"name":"Milepost","value":"2.4218"},{"id":17,"name":"Train ID","value":"63-26"},{"id":16,"name":"Locomotive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432</v>
      </c>
      <c r="B235" s="7">
        <v>4006</v>
      </c>
      <c r="C235" s="22" t="s">
        <v>378</v>
      </c>
      <c r="D235" s="22" t="s">
        <v>715</v>
      </c>
      <c r="E235" s="13">
        <v>42669.744305555556</v>
      </c>
      <c r="F235" s="13">
        <v>42669.748067129629</v>
      </c>
      <c r="G235" s="7">
        <v>1</v>
      </c>
      <c r="H235" s="13" t="s">
        <v>716</v>
      </c>
      <c r="I235" s="13">
        <v>42669.748217592591</v>
      </c>
      <c r="J235" s="7">
        <v>0</v>
      </c>
      <c r="K235" s="112" t="str">
        <f t="shared" si="80"/>
        <v>4005/4006</v>
      </c>
      <c r="L235" s="22" t="str">
        <f>VLOOKUP(A235,'Trips&amp;Operators'!$C$1:$E$10000,3,FALSE)</f>
        <v>HILLS</v>
      </c>
      <c r="M235" s="6">
        <f t="shared" si="81"/>
        <v>1.5046296175569296E-4</v>
      </c>
      <c r="N235" s="7">
        <f t="shared" si="78"/>
        <v>0.21666666492819786</v>
      </c>
      <c r="O235" s="7"/>
      <c r="P235" s="7"/>
      <c r="Q235" s="23"/>
      <c r="R235" s="23"/>
      <c r="S235" s="35">
        <f t="shared" si="92"/>
        <v>0</v>
      </c>
      <c r="T235" s="50" t="e">
        <f t="shared" si="82"/>
        <v>#VALUE!</v>
      </c>
      <c r="U235" s="18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https://search-rtdc-monitor-bjffxe2xuh6vdkpspy63sjmuny.us-east-1.es.amazonaws.com/_plugin/kibana/#/discover/Steve-Slow-Train-Analysis-(2080s-and-2083s)?_g=(refreshInterval:(display:Off,section:0,value:0),time:(from:'2016-10-26 16:51:48-0600',mode:absolute,to:'2016-10-26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35" s="52" t="str">
        <f t="shared" si="84"/>
        <v>Y</v>
      </c>
      <c r="X235" s="186" t="e">
        <f t="shared" si="79"/>
        <v>#VALUE!</v>
      </c>
      <c r="Y235" s="67">
        <f t="shared" si="93"/>
        <v>0.14710000000000001</v>
      </c>
      <c r="Z235" s="67">
        <f t="shared" si="94"/>
        <v>0.19040000000000001</v>
      </c>
      <c r="AA235" s="67">
        <f t="shared" si="85"/>
        <v>4.3300000000000005E-2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86"/>
        <v>65-26</v>
      </c>
      <c r="AE235" s="91" t="str">
        <f t="shared" si="87"/>
        <v>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 &amp; aws s3 cp s3://rtdc.mdm.uploadarchive.raw/RTDC4006/ "%USERPROFILE%\AppData\Local\Temp\OnboardLogs"\RTDC4006\2016-10-27 --exclude "*" --recursive --include "*20161027*" &amp; "%USERPROFILE%\Documents\GitHub\mrs-test-scripts\Headless Mode &amp; Sideloading\WalkAndUnGZ.bat" "%USERPROFILE%\AppData\Local\Temp\OnboardLogs"\RTDC4006\2016-10-27</v>
      </c>
      <c r="AF235" s="88" t="str">
        <f t="shared" si="88"/>
        <v>"C:\Program Files (x86)\AstroGrep\AstroGrep.exe" /spath="%USERPROFILE%\AppData\Local\Temp\OnboardLogs" /stypes="app*4006*20161026*" /stext=" 23:.+((SYSTEM_STATE.+slice.+state.+changed )|(ment ac)|(system.+state.+changed )|(\[timeout)|(PRM\|1\|D)|(kpr)|(kdp)|(\|lc)|(penalty))" /e /r /s</v>
      </c>
      <c r="AG235" s="1" t="str">
        <f t="shared" si="89"/>
        <v>Other</v>
      </c>
      <c r="AH235" s="92" t="str">
        <f t="shared" si="90"/>
        <v>"%USERPROFILE%\Documents\GitHub\eaglep3\Utilities\RefineRTDCRunTimes.py" --tripid 65-26 --locoid 4006 --swversion DE.1.0.8.0 --startMP 204:1471 --initTime 2016-10-26T17:51:48 --startdatetime 2016-10-26T17:57:13 --delay 1 --endMP 204:1904 --enddatetime 2016-10-26T17:57:26 --enforcementcount 0 &gt;&gt;C:\Users\stu\Documents\GitHub\eaglep3-reporting\EC\2016-10-26-refined-times.txt</v>
      </c>
      <c r="AI235" s="122" t="str">
        <f t="shared" si="91"/>
        <v>echo {"issue":{"subject":"","project_id":79,"tracker_id":40,"status_id":1,"priority_id":2,"assigned_to_id":23,"start_date":"2016-10-26","description":"","custom_fields":[{"id":1,"name":"Subdivision","value":"Other"},{"id":4,"name":"Milepost","value":"0.1904"},{"id":17,"name":"Train ID","value":"65-26"},{"id":16,"name":"Locomotive ID","value":"4006"},{"id":130,"name":"Impact","value":""},{"id":150,"name":"Time of Event (Mountain Time)","value":"17:57:26"},{"id":151,"name":"Denver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V236"/>
      <c r="W236"/>
      <c r="X236" s="178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V237"/>
      <c r="W237"/>
      <c r="X237" s="178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V238"/>
      <c r="W238"/>
      <c r="X238" s="17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V239"/>
      <c r="W239"/>
      <c r="X239" s="178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V240"/>
      <c r="W240"/>
      <c r="X240" s="178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V241"/>
      <c r="W241"/>
      <c r="X241" s="178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V242"/>
      <c r="W242"/>
      <c r="X242" s="178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V243"/>
      <c r="W243"/>
      <c r="X243" s="178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V244"/>
      <c r="W244"/>
      <c r="X244" s="178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V245"/>
      <c r="W245"/>
      <c r="X245" s="178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V246"/>
      <c r="W246"/>
      <c r="X246" s="178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V247"/>
      <c r="W247"/>
      <c r="X247" s="178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V248"/>
      <c r="W248"/>
      <c r="X248" s="178"/>
      <c r="Y248"/>
      <c r="Z248"/>
      <c r="AA248"/>
      <c r="AB248"/>
      <c r="AC248"/>
      <c r="AD248"/>
      <c r="AE248"/>
      <c r="AF248"/>
      <c r="AH248"/>
      <c r="AI248"/>
    </row>
    <row r="249" spans="1:3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V249"/>
      <c r="W249"/>
      <c r="X249" s="178"/>
      <c r="Y249"/>
      <c r="Z249"/>
      <c r="AA249"/>
      <c r="AB249"/>
      <c r="AC249"/>
      <c r="AD249"/>
      <c r="AE249"/>
      <c r="AF249"/>
      <c r="AH249"/>
      <c r="AI249"/>
    </row>
    <row r="250" spans="1:3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V250"/>
      <c r="W250"/>
      <c r="X250" s="178"/>
      <c r="Y250"/>
      <c r="Z250"/>
      <c r="AA250"/>
      <c r="AB250"/>
      <c r="AC250"/>
      <c r="AD250"/>
      <c r="AE250"/>
      <c r="AF250"/>
      <c r="AH250"/>
      <c r="AI250"/>
    </row>
    <row r="251" spans="1:3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V251"/>
      <c r="W251"/>
      <c r="X251" s="178"/>
      <c r="Y251"/>
      <c r="Z251"/>
      <c r="AA251"/>
      <c r="AB251"/>
      <c r="AC251"/>
      <c r="AD251"/>
      <c r="AE251"/>
      <c r="AF251"/>
      <c r="AH251"/>
      <c r="AI251"/>
    </row>
    <row r="252" spans="1:3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V252"/>
      <c r="W252"/>
      <c r="X252" s="178"/>
      <c r="Y252"/>
      <c r="Z252"/>
      <c r="AA252"/>
      <c r="AB252"/>
      <c r="AC252"/>
      <c r="AD252"/>
      <c r="AE252"/>
      <c r="AF252"/>
      <c r="AH252"/>
      <c r="AI252"/>
    </row>
    <row r="253" spans="1:3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V253"/>
      <c r="W253"/>
      <c r="X253" s="178"/>
      <c r="Y253"/>
      <c r="Z253"/>
      <c r="AA253"/>
      <c r="AB253"/>
      <c r="AC253"/>
      <c r="AD253"/>
      <c r="AE253"/>
      <c r="AF253"/>
      <c r="AH253"/>
      <c r="AI253"/>
    </row>
    <row r="254" spans="1:3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V254"/>
      <c r="W254"/>
      <c r="X254" s="178"/>
      <c r="Y254"/>
      <c r="Z254"/>
      <c r="AA254"/>
      <c r="AB254"/>
      <c r="AC254"/>
      <c r="AD254"/>
      <c r="AE254"/>
      <c r="AF254"/>
      <c r="AH254"/>
      <c r="AI254"/>
    </row>
    <row r="255" spans="1:3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V255"/>
      <c r="W255"/>
      <c r="X255" s="178"/>
      <c r="Y255"/>
      <c r="Z255"/>
      <c r="AA255"/>
      <c r="AB255"/>
      <c r="AC255"/>
      <c r="AD255"/>
      <c r="AE255"/>
      <c r="AF255"/>
      <c r="AH255"/>
      <c r="AI255"/>
    </row>
    <row r="256" spans="1:3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V256"/>
      <c r="W256"/>
      <c r="X256" s="178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V257"/>
      <c r="W257"/>
      <c r="X257" s="178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V258"/>
      <c r="W258"/>
      <c r="X258" s="17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V259"/>
      <c r="W259"/>
      <c r="X259" s="178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V260"/>
      <c r="W260"/>
      <c r="X260" s="178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V261"/>
      <c r="W261"/>
      <c r="X261" s="178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V262"/>
      <c r="W262"/>
      <c r="X262" s="178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V263"/>
      <c r="W263"/>
      <c r="X263" s="178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V264"/>
      <c r="W264"/>
      <c r="X264" s="178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V265"/>
      <c r="W265"/>
      <c r="X265" s="178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V266"/>
      <c r="W266"/>
      <c r="X266" s="178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V267"/>
      <c r="W267"/>
      <c r="X267" s="178"/>
      <c r="Y267"/>
      <c r="Z267"/>
      <c r="AA267"/>
      <c r="AB267"/>
      <c r="AC267"/>
      <c r="AD267"/>
      <c r="AE267"/>
      <c r="AF267"/>
      <c r="AH267"/>
      <c r="AI267"/>
    </row>
    <row r="268" spans="1:3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V268"/>
      <c r="W268"/>
      <c r="X268" s="178"/>
      <c r="Y268"/>
      <c r="Z268"/>
      <c r="AA268"/>
      <c r="AB268"/>
      <c r="AC268"/>
      <c r="AD268"/>
      <c r="AE268"/>
      <c r="AF268"/>
      <c r="AH268"/>
      <c r="AI268"/>
    </row>
    <row r="269" spans="1:3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V269"/>
      <c r="W269"/>
      <c r="X269" s="178"/>
      <c r="Y269"/>
      <c r="Z269"/>
      <c r="AA269"/>
      <c r="AB269"/>
      <c r="AC269"/>
      <c r="AD269"/>
      <c r="AE269"/>
      <c r="AF269"/>
      <c r="AH269"/>
      <c r="AI269"/>
    </row>
    <row r="270" spans="1:3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V270"/>
      <c r="W270"/>
      <c r="X270" s="178"/>
      <c r="Y270"/>
      <c r="Z270"/>
      <c r="AA270"/>
      <c r="AB270"/>
      <c r="AC270"/>
      <c r="AD270"/>
      <c r="AE270"/>
      <c r="AF270"/>
      <c r="AH270"/>
      <c r="AI270"/>
    </row>
    <row r="271" spans="1:3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V271"/>
      <c r="W271"/>
      <c r="X271" s="178"/>
      <c r="Y271"/>
      <c r="Z271"/>
      <c r="AA271"/>
      <c r="AB271"/>
      <c r="AC271"/>
      <c r="AD271"/>
      <c r="AE271"/>
      <c r="AF271"/>
      <c r="AH271"/>
      <c r="AI271"/>
    </row>
    <row r="272" spans="1:3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V272"/>
      <c r="W272"/>
      <c r="X272" s="178"/>
      <c r="Y272"/>
      <c r="Z272"/>
      <c r="AA272"/>
      <c r="AB272"/>
      <c r="AC272"/>
      <c r="AD272"/>
      <c r="AE272"/>
      <c r="AF272"/>
      <c r="AH272"/>
      <c r="AI272"/>
    </row>
    <row r="273" spans="1:3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V273"/>
      <c r="W273"/>
      <c r="X273" s="178"/>
      <c r="Y273"/>
      <c r="Z273"/>
      <c r="AA273"/>
      <c r="AB273"/>
      <c r="AC273"/>
      <c r="AD273"/>
      <c r="AE273"/>
      <c r="AF273"/>
      <c r="AH273"/>
      <c r="AI273"/>
    </row>
    <row r="274" spans="1:3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V274"/>
      <c r="W274"/>
      <c r="X274" s="178"/>
      <c r="Y274"/>
      <c r="Z274"/>
      <c r="AA274"/>
      <c r="AB274"/>
      <c r="AC274"/>
      <c r="AD274"/>
      <c r="AE274"/>
      <c r="AF274"/>
      <c r="AH274"/>
      <c r="AI274"/>
    </row>
    <row r="275" spans="1:3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V275"/>
      <c r="W275"/>
      <c r="X275" s="178"/>
      <c r="Y275"/>
      <c r="Z275"/>
      <c r="AA275"/>
      <c r="AB275"/>
      <c r="AC275"/>
      <c r="AD275"/>
      <c r="AE275"/>
      <c r="AF275"/>
      <c r="AH275"/>
      <c r="AI275"/>
    </row>
  </sheetData>
  <autoFilter ref="A12:AG275"/>
  <sortState ref="A13:AH200">
    <sortCondition ref="AG13:AG200"/>
    <sortCondition ref="AD13:AD200"/>
  </sortState>
  <mergeCells count="1">
    <mergeCell ref="A11:P11"/>
  </mergeCells>
  <conditionalFormatting sqref="W11:W12 W276:X1048576 W13:X235">
    <cfRule type="cellIs" dxfId="10" priority="344" operator="equal">
      <formula>"Y"</formula>
    </cfRule>
  </conditionalFormatting>
  <conditionalFormatting sqref="X276:X1048576 X13:X235">
    <cfRule type="cellIs" dxfId="9" priority="327" operator="greaterThan">
      <formula>1</formula>
    </cfRule>
  </conditionalFormatting>
  <conditionalFormatting sqref="X276:X1048576 X12:X235">
    <cfRule type="cellIs" dxfId="8" priority="324" operator="equal">
      <formula>0</formula>
    </cfRule>
  </conditionalFormatting>
  <conditionalFormatting sqref="A13:S235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2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Values'!$C$2:$C$14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52"/>
  <sheetViews>
    <sheetView topLeftCell="A2" workbookViewId="0">
      <selection activeCell="R7" sqref="R7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1.85546875" style="138" customWidth="1"/>
    <col min="15" max="15" width="5.140625" style="165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5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69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70">
        <f>COUNTA($O$7:$O$337)-O2</f>
        <v>35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5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7" t="str">
        <f>"Eagle P3 Braking Events - "&amp;TEXT(Variables!$A$2,"YYYY-mm-dd")</f>
        <v>Eagle P3 Braking Events - 2016-10-26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71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42669.285763888889</v>
      </c>
      <c r="B7" s="31" t="s">
        <v>254</v>
      </c>
      <c r="C7" s="31" t="s">
        <v>409</v>
      </c>
      <c r="D7" s="31" t="s">
        <v>49</v>
      </c>
      <c r="E7" s="31" t="s">
        <v>154</v>
      </c>
      <c r="F7" s="47">
        <v>0</v>
      </c>
      <c r="G7" s="47">
        <v>221</v>
      </c>
      <c r="H7" s="47">
        <v>26968</v>
      </c>
      <c r="I7" s="47">
        <v>27269</v>
      </c>
      <c r="J7" s="31" t="s">
        <v>153</v>
      </c>
      <c r="K7" s="47">
        <v>27053</v>
      </c>
      <c r="L7" s="157" t="s">
        <v>50</v>
      </c>
      <c r="M7" s="158">
        <f t="shared" ref="M7:M44" si="0">CONVERT((I7-K7)/10000,"mi","ft")*IF(L7="Increasing Mileposts (1)",-1,1)</f>
        <v>-114.048</v>
      </c>
      <c r="N7" s="159" t="str">
        <f>VLOOKUP(C7,'Trips&amp;Operators'!$C$1:$E$99999,3,FALSE)</f>
        <v>ROCHA</v>
      </c>
      <c r="O7" s="172" t="s">
        <v>234</v>
      </c>
      <c r="P7" s="160" t="s">
        <v>400</v>
      </c>
      <c r="Q7" s="31"/>
      <c r="R7" s="100" t="str">
        <f>VLOOKUP(C7,'Train Runs'!$A$13:$AE$10019,31,0)</f>
        <v>aws s3 cp s3://rtdc.mdm.uploadarchive.raw/RTDC4029/ "%USERPROFILE%\AppData\Local\Temp\OnboardLogs"\RTDC4029\2016-10-26 --exclude "*" --recursive --include "*20161026*" &amp; "%USERPROFILE%\Documents\GitHub\mrs-test-scripts\Headless Mode &amp; Sideloading\WalkAndUnGZ.bat" "%USERPROFILE%\AppData\Local\Temp\OnboardLogs"\RTDC4029\2016-10-26 &amp; aws s3 cp s3://rtdc.mdm.uploadarchive.raw/RTDC4029/ "%USERPROFILE%\AppData\Local\Temp\OnboardLogs"\RTDC4029\2016-10-27 --exclude "*" --recursive --include "*20161027*" &amp; "%USERPROFILE%\Documents\GitHub\mrs-test-scripts\Headless Mode &amp; Sideloading\WalkAndUnGZ.bat" "%USERPROFILE%\AppData\Local\Temp\OnboardLogs"\RTDC4029\2016-10-27</v>
      </c>
      <c r="S7" s="103" t="str">
        <f>VLOOKUP(C7,'Train Runs'!$A$13:$AE$10019,22,0)</f>
        <v>https://search-rtdc-monitor-bjffxe2xuh6vdkpspy63sjmuny.us-east-1.es.amazonaws.com/_plugin/kibana/#/discover/Steve-Slow-Train-Analysis-(2080s-and-2083s)?_g=(refreshInterval:(display:Off,section:0,value:0),time:(from:'2016-10-26 05:41:25-0600',mode:absolute,to:'2016-10-26 08:20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7" s="105" t="str">
        <f t="shared" ref="T7:T44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/stypes="*4029*201610261*" /stext=" 12:.+((SYSTEM_STATE.+slice.+state.+changed )|(ment ac)|(system.+state.+changed )|(\[timeout)|(PRM\|1\|D)|(kpr)|(kdp)|(\|lc)|(penalty))" /e /r /s</v>
      </c>
      <c r="U7" s="9" t="str">
        <f t="shared" ref="U7:U44" si="2">MID(B7,13,4)</f>
        <v>4029</v>
      </c>
      <c r="V7" s="36">
        <f t="shared" ref="V7:V44" si="3">A7+6/24</f>
        <v>42669.535763888889</v>
      </c>
      <c r="W7" s="50" t="str">
        <f t="shared" ref="W7:W44" si="4">IF(VALUE(LEFT(IF(LEN(C7)=6,"0"&amp;C7,C7),2))&lt;=2,"EC",IF(OR(VALUE(LEFT(IF(LEN(C7)=6,"0"&amp;C7,C7),2))=8,VALUE(LEFT(IF(LEN(C7)=6,"0"&amp;C7,C7),2))=18),"NW","Other"))</f>
        <v>EC</v>
      </c>
      <c r="X7" s="50" t="str">
        <f t="shared" ref="X7:X44" si="5">IF(AND(E7="TRACK WARRANT AUTHORITY",G7&lt;10),"OMIT","KEEP")</f>
        <v>KEEP</v>
      </c>
      <c r="Y7" s="122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arrival","project_id":79,"tracker_id":40,"status_id":1,"priority_id":2,"assigned_to_id":23,"start_date":"2016-10-26","description":"","custom_fields":[{"id":1,"name":"Subdivision","value":"EC"},{"id":4,"name":"Milepost","value":"2.7053"},{"id":17,"name":"Train ID","value":"125-26"},{"id":16,"name":"Locomotive ID","value":"4029"},{"id":130,"name":"Impact","value":""},{"id":150,"name":"Time of Event (Mountain Time)","value":"06:51:30"},{"id":151,"name":"Denver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4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"%USERPROFILE%\AppData\Local\Temp\OnboardLogs"\RTDC4029\*4029*201610261* | grep -SE "((Enforcement Ac)|(PRM))" -</v>
      </c>
    </row>
    <row r="8" spans="1:29" s="1" customFormat="1" x14ac:dyDescent="0.25">
      <c r="A8" s="36">
        <v>42669.556666666664</v>
      </c>
      <c r="B8" s="31" t="s">
        <v>335</v>
      </c>
      <c r="C8" s="31" t="s">
        <v>421</v>
      </c>
      <c r="D8" s="31" t="s">
        <v>49</v>
      </c>
      <c r="E8" s="31" t="s">
        <v>154</v>
      </c>
      <c r="F8" s="47">
        <v>0</v>
      </c>
      <c r="G8" s="47">
        <v>160</v>
      </c>
      <c r="H8" s="47">
        <v>27016</v>
      </c>
      <c r="I8" s="47">
        <v>27141</v>
      </c>
      <c r="J8" s="31" t="s">
        <v>153</v>
      </c>
      <c r="K8" s="47">
        <v>27053</v>
      </c>
      <c r="L8" s="157" t="s">
        <v>50</v>
      </c>
      <c r="M8" s="158">
        <f t="shared" si="0"/>
        <v>-46.463999999999999</v>
      </c>
      <c r="N8" s="159" t="str">
        <f>VLOOKUP(C8,'Trips&amp;Operators'!$C$1:$E$99999,3,FALSE)</f>
        <v>JOHNSON</v>
      </c>
      <c r="O8" s="172" t="s">
        <v>234</v>
      </c>
      <c r="P8" s="160" t="s">
        <v>400</v>
      </c>
      <c r="Q8" s="31"/>
      <c r="R8" s="100" t="str">
        <f>VLOOKUP(C8,'Train Runs'!$A$13:$AE$10019,31,0)</f>
        <v>aws s3 cp s3://rtdc.mdm.uploadarchive.raw/RTDC4046/ "%USERPROFILE%\AppData\Local\Temp\OnboardLogs"\RTDC4046\2016-10-26 --exclude "*" --recursive --include "*20161026*" &amp; "%USERPROFILE%\Documents\GitHub\mrs-test-scripts\Headless Mode &amp; Sideloading\WalkAndUnGZ.bat" "%USERPROFILE%\AppData\Local\Temp\OnboardLogs"\RTDC4046\2016-10-26 &amp; 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</v>
      </c>
      <c r="S8" s="103" t="str">
        <f>VLOOKUP(C8,'Train Runs'!$A$13:$AE$10019,22,0)</f>
        <v>https://search-rtdc-monitor-bjffxe2xuh6vdkpspy63sjmuny.us-east-1.es.amazonaws.com/_plugin/kibana/#/discover/Steve-Slow-Train-Analysis-(2080s-and-2083s)?_g=(refreshInterval:(display:Off,section:0,value:0),time:(from:'2016-10-26 12:08:48-0600',mode:absolute,to:'2016-10-26 14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8" s="105" t="str">
        <f t="shared" si="1"/>
        <v>"C:\Program Files (x86)\AstroGrep\AstroGrep.exe" /spath="%USERPROFILE%\AppData\Local\Temp\OnboardLogs" /stypes="*4046*201610261*" /stext=" 19:.+((SYSTEM_STATE.+slice.+state.+changed )|(ment ac)|(system.+state.+changed )|(\[timeout)|(PRM\|1\|D)|(kpr)|(kdp)|(\|lc)|(penalty))" /e /r /s</v>
      </c>
      <c r="U8" s="9" t="str">
        <f t="shared" si="2"/>
        <v>4046</v>
      </c>
      <c r="V8" s="36">
        <f t="shared" si="3"/>
        <v>42669.806666666664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arrival","project_id":79,"tracker_id":40,"status_id":1,"priority_id":2,"assigned_to_id":23,"start_date":"2016-10-26","description":"","custom_fields":[{"id":1,"name":"Subdivision","value":"EC"},{"id":4,"name":"Milepost","value":"2.7053"},{"id":17,"name":"Train ID","value":"177-26"},{"id":16,"name":"Locomotive ID","value":"4046"},{"id":130,"name":"Impact","value":""},{"id":150,"name":"Time of Event (Mountain Time)","value":"13:21:36"},{"id":151,"name":"Denver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"%USERPROFILE%\AppData\Local\Temp\OnboardLogs"\RTDC4046\*4046*201610261* | grep -SE "((Enforcement Ac)|(PRM))" -</v>
      </c>
    </row>
    <row r="9" spans="1:29" s="1" customFormat="1" x14ac:dyDescent="0.25">
      <c r="A9" s="36">
        <v>42669.434467592589</v>
      </c>
      <c r="B9" s="31" t="s">
        <v>266</v>
      </c>
      <c r="C9" s="31" t="s">
        <v>417</v>
      </c>
      <c r="D9" s="31" t="s">
        <v>49</v>
      </c>
      <c r="E9" s="31" t="s">
        <v>154</v>
      </c>
      <c r="F9" s="47">
        <v>240</v>
      </c>
      <c r="G9" s="47">
        <v>311</v>
      </c>
      <c r="H9" s="47">
        <v>34478</v>
      </c>
      <c r="I9" s="47">
        <v>33657</v>
      </c>
      <c r="J9" s="31" t="s">
        <v>153</v>
      </c>
      <c r="K9" s="47">
        <v>33257</v>
      </c>
      <c r="L9" s="157" t="s">
        <v>51</v>
      </c>
      <c r="M9" s="158">
        <f t="shared" si="0"/>
        <v>211.2</v>
      </c>
      <c r="N9" s="159" t="str">
        <f>VLOOKUP(C9,'Trips&amp;Operators'!$C$1:$E$99999,3,FALSE)</f>
        <v>NELSON</v>
      </c>
      <c r="O9" s="172" t="s">
        <v>234</v>
      </c>
      <c r="P9" s="160" t="s">
        <v>400</v>
      </c>
      <c r="Q9" s="31"/>
      <c r="R9" s="100" t="str">
        <f>VLOOKUP(C9,'Train Runs'!$A$13:$AE$10019,31,0)</f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S9" s="103" t="str">
        <f>VLOOKUP(C9,'Train Runs'!$A$13:$AE$10019,22,0)</f>
        <v>https://search-rtdc-monitor-bjffxe2xuh6vdkpspy63sjmuny.us-east-1.es.amazonaws.com/_plugin/kibana/#/discover/Steve-Slow-Train-Analysis-(2080s-and-2083s)?_g=(refreshInterval:(display:Off,section:0,value:0),time:(from:'2016-10-26 08:52:30-0600',mode:absolute,to:'2016-10-26 11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9" s="105" t="str">
        <f t="shared" si="1"/>
        <v>"C:\Program Files (x86)\AstroGrep\AstroGrep.exe" /spath="%USERPROFILE%\AppData\Local\Temp\OnboardLogs" /stypes="*4015*201610261*" /stext=" 16:.+((SYSTEM_STATE.+slice.+state.+changed )|(ment ac)|(system.+state.+changed )|(\[timeout)|(PRM\|1\|D)|(kpr)|(kdp)|(\|lc)|(penalty))" /e /r /s</v>
      </c>
      <c r="U9" s="9" t="str">
        <f t="shared" si="2"/>
        <v>4015</v>
      </c>
      <c r="V9" s="36">
        <f t="shared" si="3"/>
        <v>42669.684467592589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arrival","project_id":79,"tracker_id":40,"status_id":1,"priority_id":2,"assigned_to_id":23,"start_date":"2016-10-26","description":"","custom_fields":[{"id":1,"name":"Subdivision","value":"EC"},{"id":4,"name":"Milepost","value":"3.3257"},{"id":17,"name":"Train ID","value":"144-26"},{"id":16,"name":"Locomotive ID","value":"4015"},{"id":130,"name":"Impact","value":""},{"id":150,"name":"Time of Event (Mountain Time)","value":"10:25:38"},{"id":151,"name":"Denver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"%USERPROFILE%\AppData\Local\Temp\OnboardLogs"\RTDC4015\*4015*201610261* | grep -SE "((Enforcement Ac)|(PRM))" -</v>
      </c>
    </row>
    <row r="10" spans="1:29" s="1" customFormat="1" x14ac:dyDescent="0.25">
      <c r="A10" s="36">
        <v>42669.362002314818</v>
      </c>
      <c r="B10" s="31" t="s">
        <v>266</v>
      </c>
      <c r="C10" s="31" t="s">
        <v>414</v>
      </c>
      <c r="D10" s="31" t="s">
        <v>49</v>
      </c>
      <c r="E10" s="31" t="s">
        <v>154</v>
      </c>
      <c r="F10" s="47">
        <v>250</v>
      </c>
      <c r="G10" s="47">
        <v>325</v>
      </c>
      <c r="H10" s="47">
        <v>34979</v>
      </c>
      <c r="I10" s="47">
        <v>34196</v>
      </c>
      <c r="J10" s="31" t="s">
        <v>153</v>
      </c>
      <c r="K10" s="47">
        <v>33257</v>
      </c>
      <c r="L10" s="157" t="s">
        <v>51</v>
      </c>
      <c r="M10" s="158">
        <f t="shared" si="0"/>
        <v>495.79199999999997</v>
      </c>
      <c r="N10" s="159" t="str">
        <f>VLOOKUP(C10,'Trips&amp;Operators'!$C$1:$E$99999,3,FALSE)</f>
        <v>NELSON</v>
      </c>
      <c r="O10" s="172" t="s">
        <v>234</v>
      </c>
      <c r="P10" s="160" t="s">
        <v>400</v>
      </c>
      <c r="Q10" s="31"/>
      <c r="R10" s="100" t="str">
        <f>VLOOKUP(C10,'Train Runs'!$A$13:$AE$10019,31,0)</f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S10" s="103" t="str">
        <f>VLOOKUP(C10,'Train Runs'!$A$13:$AE$10019,22,0)</f>
        <v>https://search-rtdc-monitor-bjffxe2xuh6vdkpspy63sjmuny.us-east-1.es.amazonaws.com/_plugin/kibana/#/discover/Steve-Slow-Train-Analysis-(2080s-and-2083s)?_g=(refreshInterval:(display:Off,section:0,value:0),time:(from:'2016-10-26 06:54:52-0600',mode:absolute,to:'2016-10-26 09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5" t="str">
        <f t="shared" si="1"/>
        <v>"C:\Program Files (x86)\AstroGrep\AstroGrep.exe" /spath="%USERPROFILE%\AppData\Local\Temp\OnboardLogs" /stypes="*4015*201610261*" /stext=" 14:.+((SYSTEM_STATE.+slice.+state.+changed )|(ment ac)|(system.+state.+changed )|(\[timeout)|(PRM\|1\|D)|(kpr)|(kdp)|(\|lc)|(penalty))" /e /r /s</v>
      </c>
      <c r="U10" s="9" t="str">
        <f t="shared" si="2"/>
        <v>4015</v>
      </c>
      <c r="V10" s="36">
        <f t="shared" si="3"/>
        <v>42669.612002314818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arrival","project_id":79,"tracker_id":40,"status_id":1,"priority_id":2,"assigned_to_id":23,"start_date":"2016-10-26","description":"","custom_fields":[{"id":1,"name":"Subdivision","value":"EC"},{"id":4,"name":"Milepost","value":"3.3257"},{"id":17,"name":"Train ID","value":"130-26"},{"id":16,"name":"Locomotive ID","value":"4015"},{"id":130,"name":"Impact","value":""},{"id":150,"name":"Time of Event (Mountain Time)","value":"08:41:17"},{"id":151,"name":"Denver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"%USERPROFILE%\AppData\Local\Temp\OnboardLogs"\RTDC4015\*4015*201610261* | grep -SE "((Enforcement Ac)|(PRM))" -</v>
      </c>
    </row>
    <row r="11" spans="1:29" s="1" customFormat="1" x14ac:dyDescent="0.25">
      <c r="A11" s="36">
        <v>42670.026435185187</v>
      </c>
      <c r="B11" s="31" t="s">
        <v>335</v>
      </c>
      <c r="C11" s="31" t="s">
        <v>440</v>
      </c>
      <c r="D11" s="31" t="s">
        <v>98</v>
      </c>
      <c r="E11" s="31" t="s">
        <v>235</v>
      </c>
      <c r="F11" s="47">
        <v>300</v>
      </c>
      <c r="G11" s="47">
        <v>351</v>
      </c>
      <c r="H11" s="47">
        <v>21458</v>
      </c>
      <c r="I11" s="47">
        <v>22240</v>
      </c>
      <c r="J11" s="31" t="s">
        <v>236</v>
      </c>
      <c r="K11" s="47">
        <v>20338</v>
      </c>
      <c r="L11" s="157" t="s">
        <v>50</v>
      </c>
      <c r="M11" s="158">
        <f t="shared" si="0"/>
        <v>-1004.256</v>
      </c>
      <c r="N11" s="159" t="str">
        <f>VLOOKUP(C11,'Trips&amp;Operators'!$C$1:$E$99999,3,FALSE)</f>
        <v>BERLING</v>
      </c>
      <c r="O11" s="172" t="s">
        <v>234</v>
      </c>
      <c r="P11" s="160"/>
      <c r="Q11" s="31"/>
      <c r="R11" s="100" t="str">
        <f>VLOOKUP(C11,'Train Runs'!$A$13:$AE$10019,31,0)</f>
        <v>aws s3 cp s3://rtdc.mdm.uploadarchive.raw/RTDC4046/ "%USERPROFILE%\AppData\Local\Temp\OnboardLogs"\RTDC4046\2016-10-27 --exclude "*" --recursive --include "*20161027*" &amp; "%USERPROFILE%\Documents\GitHub\mrs-test-scripts\Headless Mode &amp; Sideloading\WalkAndUnGZ.bat" "%USERPROFILE%\AppData\Local\Temp\OnboardLogs"\RTDC4046\2016-10-27 &amp; aws s3 cp s3://rtdc.mdm.uploadarchive.raw/RTDC4046/ "%USERPROFILE%\AppData\Local\Temp\OnboardLogs"\RTDC4046\2016-10-28 --exclude "*" --recursive --include "*20161028*" &amp; "%USERPROFILE%\Documents\GitHub\mrs-test-scripts\Headless Mode &amp; Sideloading\WalkAndUnGZ.bat" "%USERPROFILE%\AppData\Local\Temp\OnboardLogs"\RTDC4046\2016-10-28</v>
      </c>
      <c r="S11" s="103" t="str">
        <f>VLOOKUP(C11,'Train Runs'!$A$13:$AE$10019,22,0)</f>
        <v>https://search-rtdc-monitor-bjffxe2xuh6vdkpspy63sjmuny.us-east-1.es.amazonaws.com/_plugin/kibana/#/discover/Steve-Slow-Train-Analysis-(2080s-and-2083s)?_g=(refreshInterval:(display:Off,section:0,value:0),time:(from:'2016-10-26 23:19:04-0600',mode:absolute,to:'2016-10-27 02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1" s="105" t="str">
        <f t="shared" si="1"/>
        <v>"C:\Program Files (x86)\AstroGrep\AstroGrep.exe" /spath="%USERPROFILE%\AppData\Local\Temp\OnboardLogs" /stypes="*4046*201610270*" /stext=" 06:.+((SYSTEM_STATE.+slice.+state.+changed )|(ment ac)|(system.+state.+changed )|(\[timeout)|(PRM\|1\|D)|(kpr)|(kdp)|(\|lc)|(penalty))" /e /r /s</v>
      </c>
      <c r="U11" s="9" t="str">
        <f t="shared" si="2"/>
        <v>4046</v>
      </c>
      <c r="V11" s="36">
        <f t="shared" si="3"/>
        <v>42670.276435185187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{"issue":{"subject":"","project_id":79,"tracker_id":40,"status_id":1,"priority_id":2,"assigned_to_id":23,"start_date":"2016-10-27","description":"","custom_fields":[{"id":1,"name":"Subdivision","value":"EC"},{"id":4,"name":"Milepost","value":"2.0338"},{"id":17,"name":"Train ID","value":"243-26"},{"id":16,"name":"Locomotive ID","value":"4046"},{"id":130,"name":"Impact","value":""},{"id":150,"name":"Time of Event (Mountain Time)","value":"00:38:04"},{"id":151,"name":"Denver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"%USERPROFILE%\AppData\Local\Temp\OnboardLogs"\RTDC4046\*4046*201610270* | grep -SE "((Enforcement Ac)|(PRM))" -</v>
      </c>
    </row>
    <row r="12" spans="1:29" s="1" customFormat="1" x14ac:dyDescent="0.25">
      <c r="A12" s="36">
        <v>42669.367569444446</v>
      </c>
      <c r="B12" s="31" t="s">
        <v>339</v>
      </c>
      <c r="C12" s="31" t="s">
        <v>415</v>
      </c>
      <c r="D12" s="31" t="s">
        <v>98</v>
      </c>
      <c r="E12" s="31" t="s">
        <v>235</v>
      </c>
      <c r="F12" s="47">
        <v>700</v>
      </c>
      <c r="G12" s="47">
        <v>752</v>
      </c>
      <c r="H12" s="47">
        <v>175900</v>
      </c>
      <c r="I12" s="47">
        <v>172915</v>
      </c>
      <c r="J12" s="31" t="s">
        <v>236</v>
      </c>
      <c r="K12" s="47">
        <v>183829</v>
      </c>
      <c r="L12" s="157" t="s">
        <v>51</v>
      </c>
      <c r="M12" s="158">
        <f t="shared" si="0"/>
        <v>-5762.5919999999996</v>
      </c>
      <c r="N12" s="159" t="str">
        <f>VLOOKUP(C12,'Trips&amp;Operators'!$C$1:$E$99999,3,FALSE)</f>
        <v>STRICKLAND</v>
      </c>
      <c r="O12" s="172" t="s">
        <v>234</v>
      </c>
      <c r="P12" s="160"/>
      <c r="Q12" s="31"/>
      <c r="R12" s="100" t="str">
        <f>VLOOKUP(C12,'Train Runs'!$A$13:$AE$10019,31,0)</f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S12" s="103" t="str">
        <f>VLOOKUP(C12,'Train Runs'!$A$13:$AE$10019,22,0)</f>
        <v>https://search-rtdc-monitor-bjffxe2xuh6vdkpspy63sjmuny.us-east-1.es.amazonaws.com/_plugin/kibana/#/discover/Steve-Slow-Train-Analysis-(2080s-and-2083s)?_g=(refreshInterval:(display:Off,section:0,value:0),time:(from:'2016-10-26 07:33:22-0600',mode:absolute,to:'2016-10-26 10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 t="shared" si="1"/>
        <v>"C:\Program Files (x86)\AstroGrep\AstroGrep.exe" /spath="%USERPROFILE%\AppData\Local\Temp\OnboardLogs" /stypes="*4032*201610261*" /stext=" 14:.+((SYSTEM_STATE.+slice.+state.+changed )|(ment ac)|(system.+state.+changed )|(\[timeout)|(PRM\|1\|D)|(kpr)|(kdp)|(\|lc)|(penalty))" /e /r /s</v>
      </c>
      <c r="U12" s="9" t="str">
        <f t="shared" si="2"/>
        <v>4032</v>
      </c>
      <c r="V12" s="36">
        <f t="shared" si="3"/>
        <v>42669.617569444446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{"issue":{"subject":"","project_id":79,"tracker_id":40,"status_id":1,"priority_id":2,"assigned_to_id":23,"start_date":"2016-10-26","description":"","custom_fields":[{"id":1,"name":"Subdivision","value":"EC"},{"id":4,"name":"Milepost","value":"18.3829"},{"id":17,"name":"Train ID","value":"134-26"},{"id":16,"name":"Locomotive ID","value":"4032"},{"id":130,"name":"Impact","value":""},{"id":150,"name":"Time of Event (Mountain Time)","value":"08:49:18"},{"id":151,"name":"Denver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"%USERPROFILE%\AppData\Local\Temp\OnboardLogs"\RTDC4032\*4032*201610261* | grep -SE "((Enforcement Ac)|(PRM))" -</v>
      </c>
    </row>
    <row r="13" spans="1:29" s="1" customFormat="1" x14ac:dyDescent="0.25">
      <c r="A13" s="36">
        <v>42669.326307870368</v>
      </c>
      <c r="B13" s="31" t="s">
        <v>265</v>
      </c>
      <c r="C13" s="31" t="s">
        <v>412</v>
      </c>
      <c r="D13" s="31" t="s">
        <v>98</v>
      </c>
      <c r="E13" s="31" t="s">
        <v>235</v>
      </c>
      <c r="F13" s="47">
        <v>350</v>
      </c>
      <c r="G13" s="47">
        <v>400</v>
      </c>
      <c r="H13" s="47">
        <v>226073</v>
      </c>
      <c r="I13" s="47">
        <v>227223</v>
      </c>
      <c r="J13" s="31" t="s">
        <v>236</v>
      </c>
      <c r="K13" s="47">
        <v>224578</v>
      </c>
      <c r="L13" s="157" t="s">
        <v>50</v>
      </c>
      <c r="M13" s="158">
        <f t="shared" si="0"/>
        <v>-1396.56</v>
      </c>
      <c r="N13" s="159" t="str">
        <f>VLOOKUP(C13,'Trips&amp;Operators'!$C$1:$E$99999,3,FALSE)</f>
        <v>NELSON</v>
      </c>
      <c r="O13" s="172" t="s">
        <v>234</v>
      </c>
      <c r="P13" s="160"/>
      <c r="Q13" s="31"/>
      <c r="R13" s="100" t="str">
        <f>VLOOKUP(C13,'Train Runs'!$A$13:$AE$10019,31,0)</f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S13" s="103" t="str">
        <f>VLOOKUP(C13,'Train Runs'!$A$13:$AE$10019,22,0)</f>
        <v>https://search-rtdc-monitor-bjffxe2xuh6vdkpspy63sjmuny.us-east-1.es.amazonaws.com/_plugin/kibana/#/discover/Steve-Slow-Train-Analysis-(2080s-and-2083s)?_g=(refreshInterval:(display:Off,section:0,value:0),time:(from:'2016-10-26 06:08:47-0600',mode:absolute,to:'2016-10-26 08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3" s="105" t="str">
        <f t="shared" si="1"/>
        <v>"C:\Program Files (x86)\AstroGrep\AstroGrep.exe" /spath="%USERPROFILE%\AppData\Local\Temp\OnboardLogs" /stypes="*4016*201610261*" /stext=" 13:.+((SYSTEM_STATE.+slice.+state.+changed )|(ment ac)|(system.+state.+changed )|(\[timeout)|(PRM\|1\|D)|(kpr)|(kdp)|(\|lc)|(penalty))" /e /r /s</v>
      </c>
      <c r="U13" s="9" t="str">
        <f t="shared" si="2"/>
        <v>4016</v>
      </c>
      <c r="V13" s="36">
        <f t="shared" si="3"/>
        <v>42669.576307870368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{"issue":{"subject":"","project_id":79,"tracker_id":40,"status_id":1,"priority_id":2,"assigned_to_id":23,"start_date":"2016-10-26","description":"","custom_fields":[{"id":1,"name":"Subdivision","value":"EC"},{"id":4,"name":"Milepost","value":"22.4578"},{"id":17,"name":"Train ID","value":"129-26"},{"id":16,"name":"Locomotive ID","value":"4016"},{"id":130,"name":"Impact","value":""},{"id":150,"name":"Time of Event (Mountain Time)","value":"07:49:53"},{"id":151,"name":"Denver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"%USERPROFILE%\AppData\Local\Temp\OnboardLogs"\RTDC4016\*4016*201610261* | grep -SE "((Enforcement Ac)|(PRM))" -</v>
      </c>
    </row>
    <row r="14" spans="1:29" s="1" customFormat="1" x14ac:dyDescent="0.25">
      <c r="A14" s="36">
        <v>42669.424780092595</v>
      </c>
      <c r="B14" s="31" t="s">
        <v>210</v>
      </c>
      <c r="C14" s="31" t="s">
        <v>416</v>
      </c>
      <c r="D14" s="31" t="s">
        <v>49</v>
      </c>
      <c r="E14" s="31" t="s">
        <v>238</v>
      </c>
      <c r="F14" s="47">
        <v>0</v>
      </c>
      <c r="G14" s="47">
        <v>172</v>
      </c>
      <c r="H14" s="47">
        <v>28573</v>
      </c>
      <c r="I14" s="47">
        <v>28143</v>
      </c>
      <c r="J14" s="31" t="s">
        <v>239</v>
      </c>
      <c r="K14" s="47">
        <v>28061</v>
      </c>
      <c r="L14" s="157" t="s">
        <v>51</v>
      </c>
      <c r="M14" s="158">
        <f t="shared" si="0"/>
        <v>43.296000000000006</v>
      </c>
      <c r="N14" s="159" t="str">
        <f>VLOOKUP(C14,'Trips&amp;Operators'!$C$1:$E$99999,3,FALSE)</f>
        <v>MAELZER</v>
      </c>
      <c r="O14" s="172" t="s">
        <v>274</v>
      </c>
      <c r="P14" s="160" t="s">
        <v>789</v>
      </c>
      <c r="Q14" s="31"/>
      <c r="R14" s="100" t="str">
        <f>VLOOKUP(C14,'Train Runs'!$A$13:$AE$10019,31,0)</f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S14" s="103" t="str">
        <f>VLOOKUP(C14,'Train Runs'!$A$13:$AE$10019,22,0)</f>
        <v>https://search-rtdc-monitor-bjffxe2xuh6vdkpspy63sjmuny.us-east-1.es.amazonaws.com/_plugin/kibana/#/discover/Steve-Slow-Train-Analysis-(2080s-and-2083s)?_g=(refreshInterval:(display:Off,section:0,value:0),time:(from:'2016-10-26 08:36:52-0600',mode:absolute,to:'2016-10-26 11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4" s="105" t="str">
        <f t="shared" si="1"/>
        <v>"C:\Program Files (x86)\AstroGrep\AstroGrep.exe" /spath="%USERPROFILE%\AppData\Local\Temp\OnboardLogs" /stypes="*4039*201610261*" /stext=" 16:.+((SYSTEM_STATE.+slice.+state.+changed )|(ment ac)|(system.+state.+changed )|(\[timeout)|(PRM\|1\|D)|(kpr)|(kdp)|(\|lc)|(penalty))" /e /r /s</v>
      </c>
      <c r="U14" s="9" t="str">
        <f t="shared" si="2"/>
        <v>4039</v>
      </c>
      <c r="V14" s="36">
        <f t="shared" si="3"/>
        <v>42669.674780092595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{"issue":{"subject":"EC0286RH 38-2T 2S premature downgrade","project_id":79,"tracker_id":40,"status_id":1,"priority_id":2,"assigned_to_id":23,"start_date":"2016-10-26","description":"At 10:11:28, EC0286RH 38-2T 2S dropped from 270 to STOP &amp; PROCEED","custom_fields":[{"id":1,"name":"Subdivision","value":"EC"},{"id":4,"name":"Milepost","value":"2.8061"},{"id":17,"name":"Train ID","value":"142-26"},{"id":16,"name":"Locomotive ID","value":"4039"},{"id":130,"name":"Impact","value":"Enforcement"},{"id":150,"name":"Time of Event (Mountain Time)","value":"10:11:41"},{"id":151,"name":"Denver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53" t="s">
        <v>790</v>
      </c>
      <c r="AA14" s="53" t="s">
        <v>125</v>
      </c>
      <c r="AB14" s="53" t="s">
        <v>130</v>
      </c>
      <c r="AC14" s="141" t="str">
        <f t="shared" si="7"/>
        <v>grep -hSE -A100 "Enforcement Action" "%USERPROFILE%\AppData\Local\Temp\OnboardLogs"\RTDC4039\*4039*201610261* | grep -SE "((Enforcement Ac)|(PRM))" -</v>
      </c>
    </row>
    <row r="15" spans="1:29" s="1" customFormat="1" x14ac:dyDescent="0.25">
      <c r="A15" s="36">
        <v>42669.29247685185</v>
      </c>
      <c r="B15" s="31" t="s">
        <v>339</v>
      </c>
      <c r="C15" s="31" t="s">
        <v>410</v>
      </c>
      <c r="D15" s="31" t="s">
        <v>49</v>
      </c>
      <c r="E15" s="31" t="s">
        <v>238</v>
      </c>
      <c r="F15" s="47">
        <v>0</v>
      </c>
      <c r="G15" s="47">
        <v>528</v>
      </c>
      <c r="H15" s="47">
        <v>195638</v>
      </c>
      <c r="I15" s="47">
        <v>193936</v>
      </c>
      <c r="J15" s="31" t="s">
        <v>239</v>
      </c>
      <c r="K15" s="47">
        <v>191723</v>
      </c>
      <c r="L15" s="157" t="s">
        <v>51</v>
      </c>
      <c r="M15" s="158">
        <f t="shared" si="0"/>
        <v>1168.4639999999999</v>
      </c>
      <c r="N15" s="159" t="str">
        <f>VLOOKUP(C15,'Trips&amp;Operators'!$C$1:$E$99999,3,FALSE)</f>
        <v>STRICKLAND</v>
      </c>
      <c r="O15" s="172" t="s">
        <v>234</v>
      </c>
      <c r="P15" s="160" t="s">
        <v>401</v>
      </c>
      <c r="Q15" s="31"/>
      <c r="R15" s="100" t="str">
        <f>VLOOKUP(C15,'Train Runs'!$A$13:$AE$10019,31,0)</f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S15" s="103" t="str">
        <f>VLOOKUP(C15,'Train Runs'!$A$13:$AE$10019,22,0)</f>
        <v>https://search-rtdc-monitor-bjffxe2xuh6vdkpspy63sjmuny.us-east-1.es.amazonaws.com/_plugin/kibana/#/discover/Steve-Slow-Train-Analysis-(2080s-and-2083s)?_g=(refreshInterval:(display:Off,section:0,value:0),time:(from:'2016-10-26 05:53:45-0600',mode:absolute,to:'2016-10-26 08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5" s="105" t="str">
        <f t="shared" si="1"/>
        <v>"C:\Program Files (x86)\AstroGrep\AstroGrep.exe" /spath="%USERPROFILE%\AppData\Local\Temp\OnboardLogs" /stypes="*4032*201610261*" /stext=" 13:.+((SYSTEM_STATE.+slice.+state.+changed )|(ment ac)|(system.+state.+changed )|(\[timeout)|(PRM\|1\|D)|(kpr)|(kdp)|(\|lc)|(penalty))" /e /r /s</v>
      </c>
      <c r="U15" s="9" t="str">
        <f t="shared" si="2"/>
        <v>4032</v>
      </c>
      <c r="V15" s="36">
        <f t="shared" si="3"/>
        <v>42669.54247685185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{"issue":{"subject":"Pena 4S STOP, cleared afterward","project_id":79,"tracker_id":40,"status_id":1,"priority_id":2,"assigned_to_id":23,"start_date":"2016-10-26","description":"","custom_fields":[{"id":1,"name":"Subdivision","value":"EC"},{"id":4,"name":"Milepost","value":"19.1723"},{"id":17,"name":"Train ID","value":"120-26"},{"id":16,"name":"Locomotive ID","value":"4032"},{"id":130,"name":"Impact","value":""},{"id":150,"name":"Time of Event (Mountain Time)","value":"07:01:10"},{"id":151,"name":"Denver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"%USERPROFILE%\AppData\Local\Temp\OnboardLogs"\RTDC4032\*4032*201610261* | grep -SE "((Enforcement Ac)|(PRM))" -</v>
      </c>
    </row>
    <row r="16" spans="1:29" s="1" customFormat="1" x14ac:dyDescent="0.25">
      <c r="A16" s="36">
        <v>42669.237962962965</v>
      </c>
      <c r="B16" s="31" t="s">
        <v>265</v>
      </c>
      <c r="C16" s="31" t="s">
        <v>406</v>
      </c>
      <c r="D16" s="31" t="s">
        <v>49</v>
      </c>
      <c r="E16" s="31" t="s">
        <v>336</v>
      </c>
      <c r="F16" s="47">
        <v>0</v>
      </c>
      <c r="G16" s="47">
        <v>488</v>
      </c>
      <c r="H16" s="47">
        <v>56079</v>
      </c>
      <c r="I16" s="47">
        <v>57729</v>
      </c>
      <c r="J16" s="31" t="s">
        <v>337</v>
      </c>
      <c r="K16" s="47">
        <v>56976</v>
      </c>
      <c r="L16" s="157" t="s">
        <v>50</v>
      </c>
      <c r="M16" s="158">
        <f t="shared" si="0"/>
        <v>-397.584</v>
      </c>
      <c r="N16" s="159" t="str">
        <f>VLOOKUP(C16,'Trips&amp;Operators'!$C$1:$E$99999,3,FALSE)</f>
        <v>NELSON</v>
      </c>
      <c r="O16" s="172" t="s">
        <v>274</v>
      </c>
      <c r="P16" s="160" t="s">
        <v>786</v>
      </c>
      <c r="Q16" s="31"/>
      <c r="R16" s="100" t="str">
        <f>VLOOKUP(C16,'Train Runs'!$A$13:$AE$10019,31,0)</f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S16" s="103" t="str">
        <f>VLOOKUP(C16,'Train Runs'!$A$13:$AE$10019,22,0)</f>
        <v>https://search-rtdc-monitor-bjffxe2xuh6vdkpspy63sjmuny.us-east-1.es.amazonaws.com/_plugin/kibana/#/discover/Steve-Slow-Train-Analysis-(2080s-and-2083s)?_g=(refreshInterval:(display:Off,section:0,value:0),time:(from:'2016-10-26 04:45:03-0600',mode:absolute,to:'2016-10-26 07:09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6" s="105" t="str">
        <f t="shared" si="1"/>
        <v>"C:\Program Files (x86)\AstroGrep\AstroGrep.exe" /spath="%USERPROFILE%\AppData\Local\Temp\OnboardLogs" /stypes="*4016*201610261*" /stext=" 11:.+((SYSTEM_STATE.+slice.+state.+changed )|(ment ac)|(system.+state.+changed )|(\[timeout)|(PRM\|1\|D)|(kpr)|(kdp)|(\|lc)|(penalty))" /e /r /s</v>
      </c>
      <c r="U16" s="9" t="str">
        <f t="shared" si="2"/>
        <v>4016</v>
      </c>
      <c r="V16" s="36">
        <f t="shared" si="3"/>
        <v>42669.487962962965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{"issue":{"subject":"Wi-MAX outage","project_id":79,"tracker_id":40,"status_id":1,"priority_id":2,"assigned_to_id":23,"start_date":"2016-10-26","description":"","custom_fields":[{"id":1,"name":"Subdivision","value":"EC"},{"id":4,"name":"Milepost","value":"5.6976"},{"id":17,"name":"Train ID","value":"115-26"},{"id":16,"name":"Locomotive ID","value":"4016"},{"id":130,"name":"Impact","value":""},{"id":150,"name":"Time of Event (Mountain Time)","value":"05:42:40"},{"id":151,"name":"Denver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"%USERPROFILE%\AppData\Local\Temp\OnboardLogs"\RTDC4016\*4016*201610261* | grep -SE "((Enforcement Ac)|(PRM))" -</v>
      </c>
    </row>
    <row r="17" spans="1:30" s="1" customFormat="1" x14ac:dyDescent="0.25">
      <c r="A17" s="36">
        <v>42669.430335648147</v>
      </c>
      <c r="B17" s="31" t="s">
        <v>210</v>
      </c>
      <c r="C17" s="31" t="s">
        <v>416</v>
      </c>
      <c r="D17" s="31" t="s">
        <v>49</v>
      </c>
      <c r="E17" s="31" t="s">
        <v>240</v>
      </c>
      <c r="F17" s="47">
        <v>0</v>
      </c>
      <c r="G17" s="47">
        <v>41</v>
      </c>
      <c r="H17" s="47">
        <v>152</v>
      </c>
      <c r="I17" s="47">
        <v>114</v>
      </c>
      <c r="J17" s="31" t="s">
        <v>241</v>
      </c>
      <c r="K17" s="47">
        <v>1</v>
      </c>
      <c r="L17" s="157" t="s">
        <v>51</v>
      </c>
      <c r="M17" s="158">
        <f t="shared" si="0"/>
        <v>59.664000000000001</v>
      </c>
      <c r="N17" s="159" t="str">
        <f>VLOOKUP(C17,'Trips&amp;Operators'!$C$1:$E$99999,3,FALSE)</f>
        <v>MAELZER</v>
      </c>
      <c r="O17" s="172" t="s">
        <v>234</v>
      </c>
      <c r="P17" s="160"/>
      <c r="Q17" s="31"/>
      <c r="R17" s="100" t="str">
        <f>VLOOKUP(C17,'Train Runs'!$A$13:$AE$10019,31,0)</f>
        <v>aws s3 cp s3://rtdc.mdm.uploadarchive.raw/RTDC4039/ "%USERPROFILE%\AppData\Local\Temp\OnboardLogs"\RTDC4039\2016-10-26 --exclude "*" --recursive --include "*20161026*" &amp; "%USERPROFILE%\Documents\GitHub\mrs-test-scripts\Headless Mode &amp; Sideloading\WalkAndUnGZ.bat" "%USERPROFILE%\AppData\Local\Temp\OnboardLogs"\RTDC4039\2016-10-26 &amp; aws s3 cp s3://rtdc.mdm.uploadarchive.raw/RTDC4039/ "%USERPROFILE%\AppData\Local\Temp\OnboardLogs"\RTDC4039\2016-10-27 --exclude "*" --recursive --include "*20161027*" &amp; "%USERPROFILE%\Documents\GitHub\mrs-test-scripts\Headless Mode &amp; Sideloading\WalkAndUnGZ.bat" "%USERPROFILE%\AppData\Local\Temp\OnboardLogs"\RTDC4039\2016-10-27</v>
      </c>
      <c r="S17" s="103" t="str">
        <f>VLOOKUP(C17,'Train Runs'!$A$13:$AE$10019,22,0)</f>
        <v>https://search-rtdc-monitor-bjffxe2xuh6vdkpspy63sjmuny.us-east-1.es.amazonaws.com/_plugin/kibana/#/discover/Steve-Slow-Train-Analysis-(2080s-and-2083s)?_g=(refreshInterval:(display:Off,section:0,value:0),time:(from:'2016-10-26 08:36:52-0600',mode:absolute,to:'2016-10-26 11:19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7" s="105" t="str">
        <f t="shared" si="1"/>
        <v>"C:\Program Files (x86)\AstroGrep\AstroGrep.exe" /spath="%USERPROFILE%\AppData\Local\Temp\OnboardLogs" /stypes="*4039*201610261*" /stext=" 16:.+((SYSTEM_STATE.+slice.+state.+changed )|(ment ac)|(system.+state.+changed )|(\[timeout)|(PRM\|1\|D)|(kpr)|(kdp)|(\|lc)|(penalty))" /e /r /s</v>
      </c>
      <c r="U17" s="9" t="str">
        <f t="shared" si="2"/>
        <v>4039</v>
      </c>
      <c r="V17" s="36">
        <f t="shared" si="3"/>
        <v>42669.680335648147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ID","value":"142-26"},{"id":16,"name":"Locomotive ID","value":"4039"},{"id":130,"name":"Impact","value":""},{"id":150,"name":"Time of Event (Mountain Time)","value":"10:19:41"},{"id":151,"name":"Denver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41" t="str">
        <f t="shared" si="7"/>
        <v>grep -hSE -A100 "Enforcement Action" "%USERPROFILE%\AppData\Local\Temp\OnboardLogs"\RTDC4039\*4039*201610261* | grep -SE "((Enforcement Ac)|(PRM))" -</v>
      </c>
    </row>
    <row r="18" spans="1:30" s="1" customFormat="1" x14ac:dyDescent="0.25">
      <c r="A18" s="36">
        <v>42669.585416666669</v>
      </c>
      <c r="B18" s="31" t="s">
        <v>266</v>
      </c>
      <c r="C18" s="31" t="s">
        <v>423</v>
      </c>
      <c r="D18" s="31" t="s">
        <v>49</v>
      </c>
      <c r="E18" s="31" t="s">
        <v>240</v>
      </c>
      <c r="F18" s="47">
        <v>0</v>
      </c>
      <c r="G18" s="47">
        <v>38</v>
      </c>
      <c r="H18" s="47">
        <v>141</v>
      </c>
      <c r="I18" s="47">
        <v>116</v>
      </c>
      <c r="J18" s="31" t="s">
        <v>241</v>
      </c>
      <c r="K18" s="47">
        <v>1</v>
      </c>
      <c r="L18" s="157" t="s">
        <v>51</v>
      </c>
      <c r="M18" s="158">
        <f t="shared" si="0"/>
        <v>60.72</v>
      </c>
      <c r="N18" s="159" t="str">
        <f>VLOOKUP(C18,'Trips&amp;Operators'!$C$1:$E$99999,3,FALSE)</f>
        <v>STORY</v>
      </c>
      <c r="O18" s="172" t="s">
        <v>234</v>
      </c>
      <c r="P18" s="160"/>
      <c r="Q18" s="31"/>
      <c r="R18" s="100" t="str">
        <f>VLOOKUP(C18,'Train Runs'!$A$13:$AE$10019,31,0)</f>
        <v>aws s3 cp s3://rtdc.mdm.uploadarchive.raw/RTDC4015/ "%USERPROFILE%\AppData\Local\Temp\OnboardLogs"\RTDC4015\2016-10-26 --exclude "*" --recursive --include "*20161026*" &amp; "%USERPROFILE%\Documents\GitHub\mrs-test-scripts\Headless Mode &amp; Sideloading\WalkAndUnGZ.bat" "%USERPROFILE%\AppData\Local\Temp\OnboardLogs"\RTDC4015\2016-10-26 &amp; aws s3 cp s3://rtdc.mdm.uploadarchive.raw/RTDC4015/ "%USERPROFILE%\AppData\Local\Temp\OnboardLogs"\RTDC4015\2016-10-27 --exclude "*" --recursive --include "*20161027*" &amp; "%USERPROFILE%\Documents\GitHub\mrs-test-scripts\Headless Mode &amp; Sideloading\WalkAndUnGZ.bat" "%USERPROFILE%\AppData\Local\Temp\OnboardLogs"\RTDC4015\2016-10-27</v>
      </c>
      <c r="S18" s="103" t="str">
        <f>VLOOKUP(C18,'Train Runs'!$A$13:$AE$10019,22,0)</f>
        <v>https://search-rtdc-monitor-bjffxe2xuh6vdkpspy63sjmuny.us-east-1.es.amazonaws.com/_plugin/kibana/#/discover/Steve-Slow-Train-Analysis-(2080s-and-2083s)?_g=(refreshInterval:(display:Off,section:0,value:0),time:(from:'2016-10-26 12:21:35-0600',mode:absolute,to:'2016-10-26 15:03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8" s="105" t="str">
        <f t="shared" si="1"/>
        <v>"C:\Program Files (x86)\AstroGrep\AstroGrep.exe" /spath="%USERPROFILE%\AppData\Local\Temp\OnboardLogs" /stypes="*4015*201610262*" /stext=" 20:.+((SYSTEM_STATE.+slice.+state.+changed )|(ment ac)|(system.+state.+changed )|(\[timeout)|(PRM\|1\|D)|(kpr)|(kdp)|(\|lc)|(penalty))" /e /r /s</v>
      </c>
      <c r="U18" s="9" t="str">
        <f t="shared" si="2"/>
        <v>4015</v>
      </c>
      <c r="V18" s="36">
        <f t="shared" si="3"/>
        <v>42669.835416666669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ID","value":"172-26"},{"id":16,"name":"Locomotive ID","value":"4015"},{"id":130,"name":"Impact","value":""},{"id":150,"name":"Time of Event (Mountain Time)","value":"14:03:00"},{"id":151,"name":"Denver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"%USERPROFILE%\AppData\Local\Temp\OnboardLogs"\RTDC4015\*4015*201610262* | grep -SE "((Enforcement Ac)|(PRM))" -</v>
      </c>
    </row>
    <row r="19" spans="1:30" s="1" customFormat="1" x14ac:dyDescent="0.25">
      <c r="A19" s="36">
        <v>42669.607592592591</v>
      </c>
      <c r="B19" s="31" t="s">
        <v>339</v>
      </c>
      <c r="C19" s="31" t="s">
        <v>425</v>
      </c>
      <c r="D19" s="31" t="s">
        <v>49</v>
      </c>
      <c r="E19" s="31" t="s">
        <v>240</v>
      </c>
      <c r="F19" s="47">
        <v>0</v>
      </c>
      <c r="G19" s="47">
        <v>65</v>
      </c>
      <c r="H19" s="47">
        <v>196</v>
      </c>
      <c r="I19" s="47">
        <v>136</v>
      </c>
      <c r="J19" s="31" t="s">
        <v>241</v>
      </c>
      <c r="K19" s="47">
        <v>1</v>
      </c>
      <c r="L19" s="157" t="s">
        <v>51</v>
      </c>
      <c r="M19" s="158">
        <f t="shared" si="0"/>
        <v>71.28</v>
      </c>
      <c r="N19" s="159" t="str">
        <f>VLOOKUP(C19,'Trips&amp;Operators'!$C$1:$E$99999,3,FALSE)</f>
        <v>BARTLETT</v>
      </c>
      <c r="O19" s="172" t="s">
        <v>234</v>
      </c>
      <c r="P19" s="160"/>
      <c r="Q19" s="31"/>
      <c r="R19" s="100" t="str">
        <f>VLOOKUP(C19,'Train Runs'!$A$13:$AE$10019,31,0)</f>
        <v>aws s3 cp s3://rtdc.mdm.uploadarchive.raw/RTDC4032/ "%USERPROFILE%\AppData\Local\Temp\OnboardLogs"\RTDC4032\2016-10-26 --exclude "*" --recursive --include "*20161026*" &amp; "%USERPROFILE%\Documents\GitHub\mrs-test-scripts\Headless Mode &amp; Sideloading\WalkAndUnGZ.bat" "%USERPROFILE%\AppData\Local\Temp\OnboardLogs"\RTDC4032\2016-10-26 &amp; aws s3 cp s3://rtdc.mdm.uploadarchive.raw/RTDC4032/ "%USERPROFILE%\AppData\Local\Temp\OnboardLogs"\RTDC4032\2016-10-27 --exclude "*" --recursive --include "*20161027*" &amp; "%USERPROFILE%\Documents\GitHub\mrs-test-scripts\Headless Mode &amp; Sideloading\WalkAndUnGZ.bat" "%USERPROFILE%\AppData\Local\Temp\OnboardLogs"\RTDC4032\2016-10-27</v>
      </c>
      <c r="S19" s="103" t="str">
        <f>VLOOKUP(C19,'Train Runs'!$A$13:$AE$10019,22,0)</f>
        <v>https://search-rtdc-monitor-bjffxe2xuh6vdkpspy63sjmuny.us-east-1.es.amazonaws.com/_plugin/kibana/#/discover/Steve-Slow-Train-Analysis-(2080s-and-2083s)?_g=(refreshInterval:(display:Off,section:0,value:0),time:(from:'2016-10-26 12:40:58-0600',mode:absolute,to:'2016-10-26 15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/stypes="*4032*201610262*" /stext=" 20:.+((SYSTEM_STATE.+slice.+state.+changed )|(ment ac)|(system.+state.+changed )|(\[timeout)|(PRM\|1\|D)|(kpr)|(kdp)|(\|lc)|(penalty))" /e /r /s</v>
      </c>
      <c r="U19" s="9" t="str">
        <f t="shared" si="2"/>
        <v>4032</v>
      </c>
      <c r="V19" s="36">
        <f t="shared" si="3"/>
        <v>42669.857592592591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ID","value":"176-26"},{"id":16,"name":"Locomotive ID","value":"4032"},{"id":130,"name":"Impact","value":""},{"id":150,"name":"Time of Event (Mountain Time)","value":"14:34:56"},{"id":151,"name":"Denver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"%USERPROFILE%\AppData\Local\Temp\OnboardLogs"\RTDC4032\*4032*201610262* | grep -SE "((Enforcement Ac)|(PRM))" -</v>
      </c>
    </row>
    <row r="20" spans="1:30" x14ac:dyDescent="0.25">
      <c r="A20" s="36">
        <v>42669.744143518517</v>
      </c>
      <c r="B20" s="31" t="s">
        <v>430</v>
      </c>
      <c r="C20" s="31" t="s">
        <v>431</v>
      </c>
      <c r="D20" s="31" t="s">
        <v>49</v>
      </c>
      <c r="E20" s="31" t="s">
        <v>240</v>
      </c>
      <c r="F20" s="47">
        <v>0</v>
      </c>
      <c r="G20" s="47">
        <v>53</v>
      </c>
      <c r="H20" s="47">
        <v>169</v>
      </c>
      <c r="I20" s="47">
        <v>118</v>
      </c>
      <c r="J20" s="31" t="s">
        <v>241</v>
      </c>
      <c r="K20" s="47">
        <v>1</v>
      </c>
      <c r="L20" s="157" t="s">
        <v>51</v>
      </c>
      <c r="M20" s="158">
        <f t="shared" si="0"/>
        <v>61.776000000000003</v>
      </c>
      <c r="N20" s="159" t="str">
        <f>VLOOKUP(C20,'Trips&amp;Operators'!$C$1:$E$99999,3,FALSE)</f>
        <v>MCREYNOLDS</v>
      </c>
      <c r="O20" s="172" t="s">
        <v>234</v>
      </c>
      <c r="P20" s="160"/>
      <c r="Q20" s="31"/>
      <c r="R20" s="100" t="str">
        <f>VLOOKUP(C20,'Train Runs'!$A$13:$AE$10019,31,0)</f>
        <v>aws s3 cp s3://rtdc.mdm.uploadarchive.raw/RTDC4012/ "%USERPROFILE%\AppData\Local\Temp\OnboardLogs"\RTDC4012\2016-10-26 --exclude "*" --recursive --include "*20161026*" &amp; "%USERPROFILE%\Documents\GitHub\mrs-test-scripts\Headless Mode &amp; Sideloading\WalkAndUnGZ.bat" "%USERPROFILE%\AppData\Local\Temp\OnboardLogs"\RTDC4012\2016-10-26 &amp; aws s3 cp s3://rtdc.mdm.uploadarchive.raw/RTDC4012/ "%USERPROFILE%\AppData\Local\Temp\OnboardLogs"\RTDC4012\2016-10-27 --exclude "*" --recursive --include "*20161027*" &amp; "%USERPROFILE%\Documents\GitHub\mrs-test-scripts\Headless Mode &amp; Sideloading\WalkAndUnGZ.bat" "%USERPROFILE%\AppData\Local\Temp\OnboardLogs"\RTDC4012\2016-10-27</v>
      </c>
      <c r="S20" s="103" t="str">
        <f>VLOOKUP(C20,'Train Runs'!$A$13:$AE$10019,22,0)</f>
        <v>https://search-rtdc-monitor-bjffxe2xuh6vdkpspy63sjmuny.us-east-1.es.amazonaws.com/_plugin/kibana/#/discover/Steve-Slow-Train-Analysis-(2080s-and-2083s)?_g=(refreshInterval:(display:Off,section:0,value:0),time:(from:'2016-10-26 15:57:17-0600',mode:absolute,to:'2016-10-26 18:51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20" s="105" t="str">
        <f t="shared" si="1"/>
        <v>"C:\Program Files (x86)\AstroGrep\AstroGrep.exe" /spath="%USERPROFILE%\AppData\Local\Temp\OnboardLogs" /stypes="*4012*201610262*" /stext=" 23:.+((SYSTEM_STATE.+slice.+state.+changed )|(ment ac)|(system.+state.+changed )|(\[timeout)|(PRM\|1\|D)|(kpr)|(kdp)|(\|lc)|(penalty))" /e /r /s</v>
      </c>
      <c r="U20" s="9" t="str">
        <f t="shared" si="2"/>
        <v>4012</v>
      </c>
      <c r="V20" s="36">
        <f t="shared" si="3"/>
        <v>42669.994143518517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ID","value":"202-26"},{"id":16,"name":"Locomotive ID","value":"4012"},{"id":130,"name":"Impact","value":""},{"id":150,"name":"Time of Event (Mountain Time)","value":"17:51:34"},{"id":151,"name":"Denver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"%USERPROFILE%\AppData\Local\Temp\OnboardLogs"\RTDC4012\*4012*201610262* | grep -SE "((Enforcement Ac)|(PRM))" -</v>
      </c>
      <c r="AD20" s="1"/>
    </row>
    <row r="21" spans="1:30" s="1" customFormat="1" x14ac:dyDescent="0.25">
      <c r="A21" s="36">
        <v>42669.91883101852</v>
      </c>
      <c r="B21" s="31" t="s">
        <v>334</v>
      </c>
      <c r="C21" s="31" t="s">
        <v>438</v>
      </c>
      <c r="D21" s="31" t="s">
        <v>49</v>
      </c>
      <c r="E21" s="31" t="s">
        <v>240</v>
      </c>
      <c r="F21" s="47">
        <v>0</v>
      </c>
      <c r="G21" s="47">
        <v>44</v>
      </c>
      <c r="H21" s="47">
        <v>149</v>
      </c>
      <c r="I21" s="47">
        <v>112</v>
      </c>
      <c r="J21" s="31" t="s">
        <v>241</v>
      </c>
      <c r="K21" s="47">
        <v>1</v>
      </c>
      <c r="L21" s="157" t="s">
        <v>51</v>
      </c>
      <c r="M21" s="158">
        <f t="shared" si="0"/>
        <v>58.607999999999997</v>
      </c>
      <c r="N21" s="159" t="str">
        <f>VLOOKUP(C21,'Trips&amp;Operators'!$C$1:$E$99999,3,FALSE)</f>
        <v>PUGH</v>
      </c>
      <c r="O21" s="172" t="s">
        <v>234</v>
      </c>
      <c r="P21" s="160"/>
      <c r="Q21" s="31"/>
      <c r="R21" s="100" t="str">
        <f>VLOOKUP(C21,'Train Runs'!$A$13:$AE$10019,31,0)</f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S21" s="103" t="str">
        <f>VLOOKUP(C21,'Train Runs'!$A$13:$AE$10019,22,0)</f>
        <v>https://search-rtdc-monitor-bjffxe2xuh6vdkpspy63sjmuny.us-east-1.es.amazonaws.com/_plugin/kibana/#/discover/Steve-Slow-Train-Analysis-(2080s-and-2083s)?_g=(refreshInterval:(display:Off,section:0,value:0),time:(from:'2016-10-26 20:11:42-0600',mode:absolute,to:'2016-10-26 23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1" s="105" t="str">
        <f t="shared" si="1"/>
        <v>"C:\Program Files (x86)\AstroGrep\AstroGrep.exe" /spath="%USERPROFILE%\AppData\Local\Temp\OnboardLogs" /stypes="*4045*201610270*" /stext=" 04:.+((SYSTEM_STATE.+slice.+state.+changed )|(ment ac)|(system.+state.+changed )|(\[timeout)|(PRM\|1\|D)|(kpr)|(kdp)|(\|lc)|(penalty))" /e /r /s</v>
      </c>
      <c r="U21" s="9" t="str">
        <f t="shared" si="2"/>
        <v>4045</v>
      </c>
      <c r="V21" s="36">
        <f t="shared" si="3"/>
        <v>42670.16883101852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{"issue":{"subject":"","project_id":79,"tracker_id":40,"status_id":1,"priority_id":2,"assigned_to_id":23,"start_date":"2016-10-26","description":"","custom_fields":[{"id":1,"name":"Subdivision","value":"EC"},{"id":4,"name":"Milepost","value":"0.0001"},{"id":17,"name":"Train ID","value":"228-26"},{"id":16,"name":"Locomotive ID","value":"4045"},{"id":130,"name":"Impact","value":""},{"id":150,"name":"Time of Event (Mountain Time)","value":"22:03:07"},{"id":151,"name":"Denver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"%USERPROFILE%\AppData\Local\Temp\OnboardLogs"\RTDC4045\*4045*201610270* | grep -SE "((Enforcement Ac)|(PRM))" -</v>
      </c>
    </row>
    <row r="22" spans="1:30" x14ac:dyDescent="0.25">
      <c r="A22" s="36">
        <v>42670.008032407408</v>
      </c>
      <c r="B22" s="31" t="s">
        <v>334</v>
      </c>
      <c r="C22" s="31" t="s">
        <v>439</v>
      </c>
      <c r="D22" s="31" t="s">
        <v>49</v>
      </c>
      <c r="E22" s="31" t="s">
        <v>240</v>
      </c>
      <c r="F22" s="47">
        <v>0</v>
      </c>
      <c r="G22" s="47">
        <v>53</v>
      </c>
      <c r="H22" s="47">
        <v>172</v>
      </c>
      <c r="I22" s="47">
        <v>136</v>
      </c>
      <c r="J22" s="31" t="s">
        <v>241</v>
      </c>
      <c r="K22" s="47">
        <v>1</v>
      </c>
      <c r="L22" s="157" t="s">
        <v>51</v>
      </c>
      <c r="M22" s="158">
        <f t="shared" si="0"/>
        <v>71.28</v>
      </c>
      <c r="N22" s="159" t="str">
        <f>VLOOKUP(C22,'Trips&amp;Operators'!$C$1:$E$99999,3,FALSE)</f>
        <v>BERLING</v>
      </c>
      <c r="O22" s="172" t="s">
        <v>234</v>
      </c>
      <c r="P22" s="160"/>
      <c r="Q22" s="31"/>
      <c r="R22" s="100" t="str">
        <f>VLOOKUP(C22,'Train Runs'!$A$13:$AE$10019,31,0)</f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S22" s="103" t="str">
        <f>VLOOKUP(C22,'Train Runs'!$A$13:$AE$10019,22,0)</f>
        <v>https://search-rtdc-monitor-bjffxe2xuh6vdkpspy63sjmuny.us-east-1.es.amazonaws.com/_plugin/kibana/#/discover/Steve-Slow-Train-Analysis-(2080s-and-2083s)?_g=(refreshInterval:(display:Off,section:0,value:0),time:(from:'2016-10-26 22:21:02-0600',mode:absolute,to:'2016-10-27 01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2" s="105" t="str">
        <f t="shared" si="1"/>
        <v>"C:\Program Files (x86)\AstroGrep\AstroGrep.exe" /spath="%USERPROFILE%\AppData\Local\Temp\OnboardLogs" /stypes="*4045*201610270*" /stext=" 06:.+((SYSTEM_STATE.+slice.+state.+changed )|(ment ac)|(system.+state.+changed )|(\[timeout)|(PRM\|1\|D)|(kpr)|(kdp)|(\|lc)|(penalty))" /e /r /s</v>
      </c>
      <c r="U22" s="9" t="str">
        <f t="shared" si="2"/>
        <v>4045</v>
      </c>
      <c r="V22" s="36">
        <f t="shared" si="3"/>
        <v>42670.258032407408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{"issue":{"subject":"","project_id":79,"tracker_id":40,"status_id":1,"priority_id":2,"assigned_to_id":23,"start_date":"2016-10-27","description":"","custom_fields":[{"id":1,"name":"Subdivision","value":"EC"},{"id":4,"name":"Milepost","value":"0.0001"},{"id":17,"name":"Train ID","value":"236-26"},{"id":16,"name":"Locomotive ID","value":"4045"},{"id":130,"name":"Impact","value":""},{"id":150,"name":"Time of Event (Mountain Time)","value":"00:11:34"},{"id":151,"name":"Denver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"%USERPROFILE%\AppData\Local\Temp\OnboardLogs"\RTDC4045\*4045*201610270* | grep -SE "((Enforcement Ac)|(PRM))" -</v>
      </c>
      <c r="AD22" s="1"/>
    </row>
    <row r="23" spans="1:30" x14ac:dyDescent="0.25">
      <c r="A23" s="36">
        <v>42669.181574074071</v>
      </c>
      <c r="B23" s="31" t="s">
        <v>265</v>
      </c>
      <c r="C23" s="31" t="s">
        <v>404</v>
      </c>
      <c r="D23" s="31" t="s">
        <v>49</v>
      </c>
      <c r="E23" s="31" t="s">
        <v>240</v>
      </c>
      <c r="F23" s="47">
        <v>0</v>
      </c>
      <c r="G23" s="47">
        <v>51</v>
      </c>
      <c r="H23" s="47">
        <v>233319</v>
      </c>
      <c r="I23" s="47">
        <v>233385</v>
      </c>
      <c r="J23" s="31" t="s">
        <v>241</v>
      </c>
      <c r="K23" s="47">
        <v>233491</v>
      </c>
      <c r="L23" s="157" t="s">
        <v>50</v>
      </c>
      <c r="M23" s="158">
        <f t="shared" si="0"/>
        <v>55.968000000000004</v>
      </c>
      <c r="N23" s="159" t="str">
        <f>VLOOKUP(C23,'Trips&amp;Operators'!$C$1:$E$99999,3,FALSE)</f>
        <v>ACKERMAN</v>
      </c>
      <c r="O23" s="172" t="s">
        <v>234</v>
      </c>
      <c r="P23" s="160"/>
      <c r="Q23" s="31"/>
      <c r="R23" s="100" t="str">
        <f>VLOOKUP(C23,'Train Runs'!$A$13:$AE$10019,31,0)</f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S23" s="103" t="str">
        <f>VLOOKUP(C23,'Train Runs'!$A$13:$AE$10019,22,0)</f>
        <v>https://search-rtdc-monitor-bjffxe2xuh6vdkpspy63sjmuny.us-east-1.es.amazonaws.com/_plugin/kibana/#/discover/Steve-Slow-Train-Analysis-(2080s-and-2083s)?_g=(refreshInterval:(display:Off,section:0,value:0),time:(from:'2016-10-26 02:39:22-0600',mode:absolute,to:'2016-10-26 05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3" s="105" t="str">
        <f t="shared" si="1"/>
        <v>"C:\Program Files (x86)\AstroGrep\AstroGrep.exe" /spath="%USERPROFILE%\AppData\Local\Temp\OnboardLogs" /stypes="*4016*201610261*" /stext=" 10:.+((SYSTEM_STATE.+slice.+state.+changed )|(ment ac)|(system.+state.+changed )|(\[timeout)|(PRM\|1\|D)|(kpr)|(kdp)|(\|lc)|(penalty))" /e /r /s</v>
      </c>
      <c r="U23" s="9" t="str">
        <f t="shared" si="2"/>
        <v>4016</v>
      </c>
      <c r="V23" s="36">
        <f t="shared" si="3"/>
        <v>42669.431574074071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{"issue":{"subject":"","project_id":79,"tracker_id":40,"status_id":1,"priority_id":2,"assigned_to_id":23,"start_date":"2016-10-26","description":"","custom_fields":[{"id":1,"name":"Subdivision","value":"EC"},{"id":4,"name":"Milepost","value":"23.3491"},{"id":17,"name":"Train ID","value":"103-26"},{"id":16,"name":"Locomotive ID","value":"4016"},{"id":130,"name":"Impact","value":""},{"id":150,"name":"Time of Event (Mountain Time)","value":"04:21:28"},{"id":151,"name":"Denver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41" t="str">
        <f t="shared" si="7"/>
        <v>grep -hSE -A100 "Enforcement Action" "%USERPROFILE%\AppData\Local\Temp\OnboardLogs"\RTDC4016\*4016*201610261* | grep -SE "((Enforcement Ac)|(PRM))" -</v>
      </c>
      <c r="AD23" s="1"/>
    </row>
    <row r="24" spans="1:30" x14ac:dyDescent="0.25">
      <c r="A24" s="36">
        <v>42669.3281712963</v>
      </c>
      <c r="B24" s="31" t="s">
        <v>265</v>
      </c>
      <c r="C24" s="31" t="s">
        <v>412</v>
      </c>
      <c r="D24" s="31" t="s">
        <v>49</v>
      </c>
      <c r="E24" s="31" t="s">
        <v>240</v>
      </c>
      <c r="F24" s="47">
        <v>0</v>
      </c>
      <c r="G24" s="47">
        <v>56</v>
      </c>
      <c r="H24" s="47">
        <v>233238</v>
      </c>
      <c r="I24" s="47">
        <v>233278</v>
      </c>
      <c r="J24" s="31" t="s">
        <v>241</v>
      </c>
      <c r="K24" s="47">
        <v>233491</v>
      </c>
      <c r="L24" s="157" t="s">
        <v>50</v>
      </c>
      <c r="M24" s="158">
        <f t="shared" si="0"/>
        <v>112.464</v>
      </c>
      <c r="N24" s="159" t="str">
        <f>VLOOKUP(C24,'Trips&amp;Operators'!$C$1:$E$99999,3,FALSE)</f>
        <v>NELSON</v>
      </c>
      <c r="O24" s="172" t="s">
        <v>234</v>
      </c>
      <c r="P24" s="160"/>
      <c r="Q24" s="31"/>
      <c r="R24" s="100" t="str">
        <f>VLOOKUP(C24,'Train Runs'!$A$13:$AE$10019,31,0)</f>
        <v>aws s3 cp s3://rtdc.mdm.uploadarchive.raw/RTDC4016/ "%USERPROFILE%\AppData\Local\Temp\OnboardLogs"\RTDC4016\2016-10-26 --exclude "*" --recursive --include "*20161026*" &amp; "%USERPROFILE%\Documents\GitHub\mrs-test-scripts\Headless Mode &amp; Sideloading\WalkAndUnGZ.bat" "%USERPROFILE%\AppData\Local\Temp\OnboardLogs"\RTDC4016\2016-10-26 &amp; aws s3 cp s3://rtdc.mdm.uploadarchive.raw/RTDC4016/ "%USERPROFILE%\AppData\Local\Temp\OnboardLogs"\RTDC4016\2016-10-27 --exclude "*" --recursive --include "*20161027*" &amp; "%USERPROFILE%\Documents\GitHub\mrs-test-scripts\Headless Mode &amp; Sideloading\WalkAndUnGZ.bat" "%USERPROFILE%\AppData\Local\Temp\OnboardLogs"\RTDC4016\2016-10-27</v>
      </c>
      <c r="S24" s="103" t="str">
        <f>VLOOKUP(C24,'Train Runs'!$A$13:$AE$10019,22,0)</f>
        <v>https://search-rtdc-monitor-bjffxe2xuh6vdkpspy63sjmuny.us-east-1.es.amazonaws.com/_plugin/kibana/#/discover/Steve-Slow-Train-Analysis-(2080s-and-2083s)?_g=(refreshInterval:(display:Off,section:0,value:0),time:(from:'2016-10-26 06:08:47-0600',mode:absolute,to:'2016-10-26 08:52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4" s="105" t="str">
        <f t="shared" si="1"/>
        <v>"C:\Program Files (x86)\AstroGrep\AstroGrep.exe" /spath="%USERPROFILE%\AppData\Local\Temp\OnboardLogs" /stypes="*4016*201610261*" /stext=" 13:.+((SYSTEM_STATE.+slice.+state.+changed )|(ment ac)|(system.+state.+changed )|(\[timeout)|(PRM\|1\|D)|(kpr)|(kdp)|(\|lc)|(penalty))" /e /r /s</v>
      </c>
      <c r="U24" s="9" t="str">
        <f t="shared" si="2"/>
        <v>4016</v>
      </c>
      <c r="V24" s="36">
        <f t="shared" si="3"/>
        <v>42669.5781712963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{"issue":{"subject":"","project_id":79,"tracker_id":40,"status_id":1,"priority_id":2,"assigned_to_id":23,"start_date":"2016-10-26","description":"","custom_fields":[{"id":1,"name":"Subdivision","value":"EC"},{"id":4,"name":"Milepost","value":"23.3491"},{"id":17,"name":"Train ID","value":"129-26"},{"id":16,"name":"Locomotive ID","value":"4016"},{"id":130,"name":"Impact","value":""},{"id":150,"name":"Time of Event (Mountain Time)","value":"07:52:34"},{"id":151,"name":"Denver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"%USERPROFILE%\AppData\Local\Temp\OnboardLogs"\RTDC4016\*4016*201610261* | grep -SE "((Enforcement Ac)|(PRM))" -</v>
      </c>
      <c r="AD24" s="1"/>
    </row>
    <row r="25" spans="1:30" ht="15" customHeight="1" x14ac:dyDescent="0.25">
      <c r="A25" s="36">
        <v>42669.75677083333</v>
      </c>
      <c r="B25" s="31" t="s">
        <v>433</v>
      </c>
      <c r="C25" s="31" t="s">
        <v>434</v>
      </c>
      <c r="D25" s="31" t="s">
        <v>49</v>
      </c>
      <c r="E25" s="31" t="s">
        <v>240</v>
      </c>
      <c r="F25" s="47">
        <v>0</v>
      </c>
      <c r="G25" s="47">
        <v>79</v>
      </c>
      <c r="H25" s="47">
        <v>233125</v>
      </c>
      <c r="I25" s="47">
        <v>233240</v>
      </c>
      <c r="J25" s="31" t="s">
        <v>241</v>
      </c>
      <c r="K25" s="47">
        <v>233491</v>
      </c>
      <c r="L25" s="157" t="s">
        <v>50</v>
      </c>
      <c r="M25" s="158">
        <f t="shared" si="0"/>
        <v>132.52799999999999</v>
      </c>
      <c r="N25" s="159" t="str">
        <f>VLOOKUP(C25,'Trips&amp;Operators'!$C$1:$E$99999,3,FALSE)</f>
        <v>YOUNG</v>
      </c>
      <c r="O25" s="172" t="s">
        <v>234</v>
      </c>
      <c r="P25" s="160"/>
      <c r="Q25" s="31"/>
      <c r="R25" s="100" t="str">
        <f>VLOOKUP(C25,'Train Runs'!$A$13:$AE$10019,31,0)</f>
        <v>aws s3 cp s3://rtdc.mdm.uploadarchive.raw/RTDC4040/ "%USERPROFILE%\AppData\Local\Temp\OnboardLogs"\RTDC4040\2016-10-26 --exclude "*" --recursive --include "*20161026*" &amp; "%USERPROFILE%\Documents\GitHub\mrs-test-scripts\Headless Mode &amp; Sideloading\WalkAndUnGZ.bat" "%USERPROFILE%\AppData\Local\Temp\OnboardLogs"\RTDC4040\2016-10-26 &amp; aws s3 cp s3://rtdc.mdm.uploadarchive.raw/RTDC4040/ "%USERPROFILE%\AppData\Local\Temp\OnboardLogs"\RTDC4040\2016-10-27 --exclude "*" --recursive --include "*20161027*" &amp; "%USERPROFILE%\Documents\GitHub\mrs-test-scripts\Headless Mode &amp; Sideloading\WalkAndUnGZ.bat" "%USERPROFILE%\AppData\Local\Temp\OnboardLogs"\RTDC4040\2016-10-27</v>
      </c>
      <c r="S25" s="103" t="str">
        <f>VLOOKUP(C25,'Train Runs'!$A$13:$AE$10019,22,0)</f>
        <v>https://search-rtdc-monitor-bjffxe2xuh6vdkpspy63sjmuny.us-east-1.es.amazonaws.com/_plugin/kibana/#/discover/Steve-Slow-Train-Analysis-(2080s-and-2083s)?_g=(refreshInterval:(display:Off,section:0,value:0),time:(from:'2016-10-26 16:22:35-0600',mode:absolute,to:'2016-10-26 19:09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5" s="105" t="str">
        <f t="shared" si="1"/>
        <v>"C:\Program Files (x86)\AstroGrep\AstroGrep.exe" /spath="%USERPROFILE%\AppData\Local\Temp\OnboardLogs" /stypes="*4040*201610270*" /stext=" 00:.+((SYSTEM_STATE.+slice.+state.+changed )|(ment ac)|(system.+state.+changed )|(\[timeout)|(PRM\|1\|D)|(kpr)|(kdp)|(\|lc)|(penalty))" /e /r /s</v>
      </c>
      <c r="U25" s="9" t="str">
        <f t="shared" si="2"/>
        <v>4040</v>
      </c>
      <c r="V25" s="36">
        <f t="shared" si="3"/>
        <v>42670.00677083333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{"issue":{"subject":"","project_id":79,"tracker_id":40,"status_id":1,"priority_id":2,"assigned_to_id":23,"start_date":"2016-10-26","description":"","custom_fields":[{"id":1,"name":"Subdivision","value":"EC"},{"id":4,"name":"Milepost","value":"23.3491"},{"id":17,"name":"Train ID","value":"211-26"},{"id":16,"name":"Locomotive ID","value":"4040"},{"id":130,"name":"Impact","value":""},{"id":150,"name":"Time of Event (Mountain Time)","value":"18:09:45"},{"id":151,"name":"Denver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"%USERPROFILE%\AppData\Local\Temp\OnboardLogs"\RTDC4040\*4040*201610270* | grep -SE "((Enforcement Ac)|(PRM))" -</v>
      </c>
      <c r="AD25" s="1"/>
    </row>
    <row r="26" spans="1:30" x14ac:dyDescent="0.25">
      <c r="A26" s="36">
        <v>42669.448935185188</v>
      </c>
      <c r="B26" s="31" t="s">
        <v>258</v>
      </c>
      <c r="C26" s="31" t="s">
        <v>420</v>
      </c>
      <c r="D26" s="31" t="s">
        <v>98</v>
      </c>
      <c r="E26" s="31" t="s">
        <v>235</v>
      </c>
      <c r="F26" s="47">
        <v>400</v>
      </c>
      <c r="G26" s="47">
        <v>454</v>
      </c>
      <c r="H26" s="47">
        <v>39106</v>
      </c>
      <c r="I26" s="47">
        <v>37739</v>
      </c>
      <c r="J26" s="31" t="s">
        <v>236</v>
      </c>
      <c r="K26" s="47">
        <v>40977</v>
      </c>
      <c r="L26" s="157" t="s">
        <v>51</v>
      </c>
      <c r="M26" s="158">
        <f t="shared" si="0"/>
        <v>-1709.664</v>
      </c>
      <c r="N26" s="159" t="str">
        <f>VLOOKUP(C26,'Trips&amp;Operators'!$C$1:$E$99999,3,FALSE)</f>
        <v>GEBRETEKLE</v>
      </c>
      <c r="O26" s="172" t="s">
        <v>234</v>
      </c>
      <c r="P26" s="160"/>
      <c r="Q26" s="31"/>
      <c r="R26" s="100" t="str">
        <f>VLOOKUP(C26,'Train Runs'!$A$13:$AE$10019,31,0)</f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S26" s="103" t="str">
        <f>VLOOKUP(C26,'Train Runs'!$A$13:$AE$10019,22,0)</f>
        <v>https://search-rtdc-monitor-bjffxe2xuh6vdkpspy63sjmuny.us-east-1.es.amazonaws.com/_plugin/kibana/#/discover/Steve-Slow-Train-Analysis-(2080s-and-2083s)?_g=(refreshInterval:(display:Off,section:0,value:0),time:(from:'2016-10-26 09:37:52-0600',mode:absolute,to:'2016-10-26 11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6" s="105" t="str">
        <f t="shared" si="1"/>
        <v>"C:\Program Files (x86)\AstroGrep\AstroGrep.exe" /spath="%USERPROFILE%\AppData\Local\Temp\OnboardLogs" /stypes="*4054*201610261*" /stext=" 16:.+((SYSTEM_STATE.+slice.+state.+changed )|(ment ac)|(system.+state.+changed )|(\[timeout)|(PRM\|1\|D)|(kpr)|(kdp)|(\|lc)|(penalty))" /e /r /s</v>
      </c>
      <c r="U26" s="9" t="str">
        <f t="shared" si="2"/>
        <v>4054</v>
      </c>
      <c r="V26" s="36">
        <f t="shared" si="3"/>
        <v>42669.698935185188</v>
      </c>
      <c r="W26" s="50" t="str">
        <f t="shared" si="4"/>
        <v>NW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{"issue":{"subject":"","project_id":79,"tracker_id":40,"status_id":1,"priority_id":2,"assigned_to_id":23,"start_date":"2016-10-26","description":"","custom_fields":[{"id":1,"name":"Subdivision","value":"NW"},{"id":4,"name":"Milepost","value":"4.0977"},{"id":17,"name":"Train ID","value":"816-26"},{"id":16,"name":"Locomotive ID","value":"4054"},{"id":130,"name":"Impact","value":""},{"id":150,"name":"Time of Event (Mountain Time)","value":"10:46:28"},{"id":151,"name":"Denver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"%USERPROFILE%\AppData\Local\Temp\OnboardLogs"\RTDC4054\*4054*201610261* | grep -SE "((Enforcement Ac)|(PRM))" -</v>
      </c>
      <c r="AD26" s="1"/>
    </row>
    <row r="27" spans="1:30" x14ac:dyDescent="0.25">
      <c r="A27" s="36">
        <v>42669.272731481484</v>
      </c>
      <c r="B27" s="31" t="s">
        <v>259</v>
      </c>
      <c r="C27" s="31" t="s">
        <v>408</v>
      </c>
      <c r="D27" s="31" t="s">
        <v>49</v>
      </c>
      <c r="E27" s="31" t="s">
        <v>235</v>
      </c>
      <c r="F27" s="47">
        <v>150</v>
      </c>
      <c r="G27" s="47">
        <v>251</v>
      </c>
      <c r="H27" s="47">
        <v>56587</v>
      </c>
      <c r="I27" s="47">
        <v>57124</v>
      </c>
      <c r="J27" s="31" t="s">
        <v>236</v>
      </c>
      <c r="K27" s="47">
        <v>57008</v>
      </c>
      <c r="L27" s="157" t="s">
        <v>50</v>
      </c>
      <c r="M27" s="158">
        <f t="shared" si="0"/>
        <v>-61.247999999999998</v>
      </c>
      <c r="N27" s="159" t="str">
        <f>VLOOKUP(C27,'Trips&amp;Operators'!$C$1:$E$99999,3,FALSE)</f>
        <v>GEBRETEKLE</v>
      </c>
      <c r="O27" s="172" t="s">
        <v>234</v>
      </c>
      <c r="P27" s="160"/>
      <c r="Q27" s="31"/>
      <c r="R27" s="100" t="str">
        <f>VLOOKUP(C27,'Train Runs'!$A$13:$AE$10019,31,0)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S27" s="103" t="str">
        <f>VLOOKUP(C27,'Train Runs'!$A$13:$AE$10019,22,0)</f>
        <v>https://search-rtdc-monitor-bjffxe2xuh6vdkpspy63sjmuny.us-east-1.es.amazonaws.com/_plugin/kibana/#/discover/Steve-Slow-Train-Analysis-(2080s-and-2083s)?_g=(refreshInterval:(display:Off,section:0,value:0),time:(from:'2016-10-26 05:19:47-0600',mode:absolute,to:'2016-10-26 07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7" s="105" t="str">
        <f t="shared" si="1"/>
        <v>"C:\Program Files (x86)\AstroGrep\AstroGrep.exe" /spath="%USERPROFILE%\AppData\Local\Temp\OnboardLogs" /stypes="*4053*201610261*" /stext=" 12:.+((SYSTEM_STATE.+slice.+state.+changed )|(ment ac)|(system.+state.+changed )|(\[timeout)|(PRM\|1\|D)|(kpr)|(kdp)|(\|lc)|(penalty))" /e /r /s</v>
      </c>
      <c r="U27" s="9" t="str">
        <f t="shared" si="2"/>
        <v>4053</v>
      </c>
      <c r="V27" s="36">
        <f t="shared" si="3"/>
        <v>42669.522731481484</v>
      </c>
      <c r="W27" s="50" t="str">
        <f t="shared" si="4"/>
        <v>NW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{"issue":{"subject":"","project_id":79,"tracker_id":40,"status_id":1,"priority_id":2,"assigned_to_id":23,"start_date":"2016-10-26","description":"","custom_fields":[{"id":1,"name":"Subdivision","value":"NW"},{"id":4,"name":"Milepost","value":"5.7008"},{"id":17,"name":"Train ID","value":"803-26"},{"id":16,"name":"Locomotive ID","value":"4053"},{"id":130,"name":"Impact","value":""},{"id":150,"name":"Time of Event (Mountain Time)","value":"06:32:44"},{"id":151,"name":"Denver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"%USERPROFILE%\AppData\Local\Temp\OnboardLogs"\RTDC4053\*4053*201610261* | grep -SE "((Enforcement Ac)|(PRM))" -</v>
      </c>
      <c r="AD27" s="1"/>
    </row>
    <row r="28" spans="1:30" x14ac:dyDescent="0.25">
      <c r="A28" s="36">
        <v>42669.438854166663</v>
      </c>
      <c r="B28" s="31" t="s">
        <v>259</v>
      </c>
      <c r="C28" s="31" t="s">
        <v>418</v>
      </c>
      <c r="D28" s="31" t="s">
        <v>49</v>
      </c>
      <c r="E28" s="31" t="s">
        <v>235</v>
      </c>
      <c r="F28" s="47">
        <v>150</v>
      </c>
      <c r="G28" s="47">
        <v>368</v>
      </c>
      <c r="H28" s="47">
        <v>55936</v>
      </c>
      <c r="I28" s="47">
        <v>56608</v>
      </c>
      <c r="J28" s="31" t="s">
        <v>236</v>
      </c>
      <c r="K28" s="47">
        <v>57008</v>
      </c>
      <c r="L28" s="157" t="s">
        <v>50</v>
      </c>
      <c r="M28" s="158">
        <f t="shared" si="0"/>
        <v>211.2</v>
      </c>
      <c r="N28" s="159" t="str">
        <f>VLOOKUP(C28,'Trips&amp;Operators'!$C$1:$E$99999,3,FALSE)</f>
        <v>GEBRETEKLE</v>
      </c>
      <c r="O28" s="172" t="s">
        <v>234</v>
      </c>
      <c r="P28" s="160"/>
      <c r="Q28" s="31"/>
      <c r="R28" s="100" t="str">
        <f>VLOOKUP(C28,'Train Runs'!$A$13:$AE$10019,31,0)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S28" s="103" t="str">
        <f>VLOOKUP(C28,'Train Runs'!$A$13:$AE$10019,22,0)</f>
        <v>https://search-rtdc-monitor-bjffxe2xuh6vdkpspy63sjmuny.us-east-1.es.amazonaws.com/_plugin/kibana/#/discover/Steve-Slow-Train-Analysis-(2080s-and-2083s)?_g=(refreshInterval:(display:Off,section:0,value:0),time:(from:'2016-10-26 08:56:24-0600',mode:absolute,to:'2016-10-26 11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28" s="105" t="str">
        <f t="shared" si="1"/>
        <v>"C:\Program Files (x86)\AstroGrep\AstroGrep.exe" /spath="%USERPROFILE%\AppData\Local\Temp\OnboardLogs" /stypes="*4053*201610261*" /stext=" 16:.+((SYSTEM_STATE.+slice.+state.+changed )|(ment ac)|(system.+state.+changed )|(\[timeout)|(PRM\|1\|D)|(kpr)|(kdp)|(\|lc)|(penalty))" /e /r /s</v>
      </c>
      <c r="U28" s="9" t="str">
        <f t="shared" si="2"/>
        <v>4053</v>
      </c>
      <c r="V28" s="36">
        <f t="shared" si="3"/>
        <v>42669.688854166663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{"issue":{"subject":"","project_id":79,"tracker_id":40,"status_id":1,"priority_id":2,"assigned_to_id":23,"start_date":"2016-10-26","description":"","custom_fields":[{"id":1,"name":"Subdivision","value":"NW"},{"id":4,"name":"Milepost","value":"5.7008"},{"id":17,"name":"Train ID","value":"815-26"},{"id":16,"name":"Locomotive ID","value":"4053"},{"id":130,"name":"Impact","value":""},{"id":150,"name":"Time of Event (Mountain Time)","value":"10:31:57"},{"id":151,"name":"Denver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"%USERPROFILE%\AppData\Local\Temp\OnboardLogs"\RTDC4053\*4053*201610261* | grep -SE "((Enforcement Ac)|(PRM))" -</v>
      </c>
      <c r="AD28" s="1"/>
    </row>
    <row r="29" spans="1:30" x14ac:dyDescent="0.25">
      <c r="A29" s="36">
        <v>42669.869074074071</v>
      </c>
      <c r="B29" s="31" t="s">
        <v>258</v>
      </c>
      <c r="C29" s="31" t="s">
        <v>437</v>
      </c>
      <c r="D29" s="31" t="s">
        <v>49</v>
      </c>
      <c r="E29" s="31" t="s">
        <v>238</v>
      </c>
      <c r="F29" s="47">
        <v>0</v>
      </c>
      <c r="G29" s="47">
        <v>83</v>
      </c>
      <c r="H29" s="47">
        <v>11024</v>
      </c>
      <c r="I29" s="47">
        <v>10916</v>
      </c>
      <c r="J29" s="31" t="s">
        <v>239</v>
      </c>
      <c r="K29" s="47">
        <v>11016</v>
      </c>
      <c r="L29" s="157" t="s">
        <v>51</v>
      </c>
      <c r="M29" s="158">
        <f t="shared" si="0"/>
        <v>-52.8</v>
      </c>
      <c r="N29" s="159" t="str">
        <f>VLOOKUP(C29,'Trips&amp;Operators'!$C$1:$E$99999,3,FALSE)</f>
        <v>MOSES</v>
      </c>
      <c r="O29" s="172" t="s">
        <v>274</v>
      </c>
      <c r="P29" s="160" t="s">
        <v>791</v>
      </c>
      <c r="Q29" s="31"/>
      <c r="R29" s="100" t="str">
        <f>VLOOKUP(C29,'Train Runs'!$A$13:$AE$10019,31,0)</f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S29" s="103" t="str">
        <f>VLOOKUP(C29,'Train Runs'!$A$13:$AE$10019,22,0)</f>
        <v>https://search-rtdc-monitor-bjffxe2xuh6vdkpspy63sjmuny.us-east-1.es.amazonaws.com/_plugin/kibana/#/discover/Steve-Slow-Train-Analysis-(2080s-and-2083s)?_g=(refreshInterval:(display:Off,section:0,value:0),time:(from:'2016-10-26 19:37:45-0600',mode:absolute,to:'2016-10-26 21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9" s="105" t="str">
        <f t="shared" si="1"/>
        <v>"C:\Program Files (x86)\AstroGrep\AstroGrep.exe" /spath="%USERPROFILE%\AppData\Local\Temp\OnboardLogs" /stypes="*4054*201610270*" /stext=" 02:.+((SYSTEM_STATE.+slice.+state.+changed )|(ment ac)|(system.+state.+changed )|(\[timeout)|(PRM\|1\|D)|(kpr)|(kdp)|(\|lc)|(penalty))" /e /r /s</v>
      </c>
      <c r="U29" s="9" t="str">
        <f t="shared" si="2"/>
        <v>4054</v>
      </c>
      <c r="V29" s="36">
        <f t="shared" si="3"/>
        <v>42670.119074074071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{"issue":{"subject":"Discrepancy between GPS- and Wheeltach-derived location under I-25","project_id":79,"tracker_id":40,"status_id":1,"priority_id":2,"assigned_to_id":23,"start_date":"2016-10-26","description":"See title","custom_fields":[{"id":1,"name":"Subdivision","value":"NW"},{"id":4,"name":"Milepost","value":"1.1016"},{"id":17,"name":"Train ID","value":"842-26"},{"id":16,"name":"Locomotive ID","value":"4054"},{"id":130,"name":"Impact","value":"Enforcement"},{"id":150,"name":"Time of Event (Mountain Time)","value":"20:51:28"},{"id":151,"name":"Denver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9" s="53" t="s">
        <v>399</v>
      </c>
      <c r="AA29" s="53" t="s">
        <v>125</v>
      </c>
      <c r="AB29" s="53" t="s">
        <v>178</v>
      </c>
      <c r="AC29" s="141" t="str">
        <f t="shared" si="7"/>
        <v>grep -hSE -A100 "Enforcement Action" "%USERPROFILE%\AppData\Local\Temp\OnboardLogs"\RTDC4054\*4054*201610270* | grep -SE "((Enforcement Ac)|(PRM))" -</v>
      </c>
      <c r="AD29" s="1"/>
    </row>
    <row r="30" spans="1:30" x14ac:dyDescent="0.25">
      <c r="A30" s="36">
        <v>42669.681458333333</v>
      </c>
      <c r="B30" s="31" t="s">
        <v>338</v>
      </c>
      <c r="C30" s="31" t="s">
        <v>426</v>
      </c>
      <c r="D30" s="31" t="s">
        <v>49</v>
      </c>
      <c r="E30" s="31" t="s">
        <v>427</v>
      </c>
      <c r="F30" s="47">
        <v>100</v>
      </c>
      <c r="G30" s="47">
        <v>260</v>
      </c>
      <c r="H30" s="47">
        <v>11973</v>
      </c>
      <c r="I30" s="47">
        <v>11014</v>
      </c>
      <c r="J30" s="31" t="s">
        <v>153</v>
      </c>
      <c r="K30" s="47">
        <v>11000</v>
      </c>
      <c r="L30" s="157" t="s">
        <v>51</v>
      </c>
      <c r="M30" s="158">
        <f t="shared" si="0"/>
        <v>7.3920000000000003</v>
      </c>
      <c r="N30" s="159" t="str">
        <f>VLOOKUP(C30,'Trips&amp;Operators'!$C$1:$E$99999,3,FALSE)</f>
        <v>LEVERE</v>
      </c>
      <c r="O30" s="172" t="s">
        <v>234</v>
      </c>
      <c r="P30" s="160"/>
      <c r="Q30" s="31"/>
      <c r="R30" s="100" t="str">
        <f>VLOOKUP(C30,'Train Runs'!$A$13:$AE$10019,31,0)</f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S30" s="103" t="str">
        <f>VLOOKUP(C30,'Train Runs'!$A$13:$AE$10019,22,0)</f>
        <v>https://search-rtdc-monitor-bjffxe2xuh6vdkpspy63sjmuny.us-east-1.es.amazonaws.com/_plugin/kibana/#/discover/Steve-Slow-Train-Analysis-(2080s-and-2083s)?_g=(refreshInterval:(display:Off,section:0,value:0),time:(from:'2016-10-26 15:07:19-0600',mode:absolute,to:'2016-10-26 17:26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0" s="105" t="str">
        <f t="shared" si="1"/>
        <v>"C:\Program Files (x86)\AstroGrep\AstroGrep.exe" /spath="%USERPROFILE%\AppData\Local\Temp\OnboardLogs" /stypes="*4008*201610262*" /stext=" 22:.+((SYSTEM_STATE.+slice.+state.+changed )|(ment ac)|(system.+state.+changed )|(\[timeout)|(PRM\|1\|D)|(kpr)|(kdp)|(\|lc)|(penalty))" /e /r /s</v>
      </c>
      <c r="U30" s="9" t="str">
        <f t="shared" si="2"/>
        <v>4008</v>
      </c>
      <c r="V30" s="36">
        <f t="shared" si="3"/>
        <v>42669.931458333333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{"issue":{"subject":"","project_id":79,"tracker_id":40,"status_id":1,"priority_id":2,"assigned_to_id":23,"start_date":"2016-10-26","description":"","custom_fields":[{"id":1,"name":"Subdivision","value":"NW"},{"id":4,"name":"Milepost","value":"1.1"},{"id":17,"name":"Train ID","value":"828-26"},{"id":16,"name":"Locomotive ID","value":"4008"},{"id":130,"name":"Impact","value":""},{"id":150,"name":"Time of Event (Mountain Time)","value":"16:21:18"},{"id":151,"name":"Denver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"%USERPROFILE%\AppData\Local\Temp\OnboardLogs"\RTDC4008\*4008*201610262* | grep -SE "((Enforcement Ac)|(PRM))" -</v>
      </c>
      <c r="AD30" s="1"/>
    </row>
    <row r="31" spans="1:30" ht="15" customHeight="1" x14ac:dyDescent="0.25">
      <c r="A31" s="36">
        <v>42669.2265162037</v>
      </c>
      <c r="B31" s="31" t="s">
        <v>338</v>
      </c>
      <c r="C31" s="31" t="s">
        <v>405</v>
      </c>
      <c r="D31" s="31" t="s">
        <v>49</v>
      </c>
      <c r="E31" s="31" t="s">
        <v>240</v>
      </c>
      <c r="F31" s="47">
        <v>0</v>
      </c>
      <c r="G31" s="47">
        <v>90</v>
      </c>
      <c r="H31" s="47">
        <v>894</v>
      </c>
      <c r="I31" s="47">
        <v>801</v>
      </c>
      <c r="J31" s="31" t="s">
        <v>241</v>
      </c>
      <c r="K31" s="47">
        <v>575</v>
      </c>
      <c r="L31" s="157" t="s">
        <v>51</v>
      </c>
      <c r="M31" s="158">
        <f t="shared" si="0"/>
        <v>119.328</v>
      </c>
      <c r="N31" s="159" t="str">
        <f>VLOOKUP(C31,'Trips&amp;Operators'!$C$1:$E$99999,3,FALSE)</f>
        <v>STARKS</v>
      </c>
      <c r="O31" s="172" t="s">
        <v>234</v>
      </c>
      <c r="P31" s="160"/>
      <c r="Q31" s="31"/>
      <c r="R31" s="100" t="str">
        <f>VLOOKUP(C31,'Train Runs'!$A$13:$AE$10019,31,0)</f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S31" s="103" t="str">
        <f>VLOOKUP(C31,'Train Runs'!$A$13:$AE$10019,22,0)</f>
        <v>https://search-rtdc-monitor-bjffxe2xuh6vdkpspy63sjmuny.us-east-1.es.amazonaws.com/_plugin/kibana/#/discover/Steve-Slow-Train-Analysis-(2080s-and-2083s)?_g=(refreshInterval:(display:Off,section:0,value:0),time:(from:'2016-10-26 04:10:17-0600',mode:absolute,to:'2016-10-26 06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1" s="105" t="str">
        <f t="shared" si="1"/>
        <v>"C:\Program Files (x86)\AstroGrep\AstroGrep.exe" /spath="%USERPROFILE%\AppData\Local\Temp\OnboardLogs" /stypes="*4008*201610261*" /stext=" 11:.+((SYSTEM_STATE.+slice.+state.+changed )|(ment ac)|(system.+state.+changed )|(\[timeout)|(PRM\|1\|D)|(kpr)|(kdp)|(\|lc)|(penalty))" /e /r /s</v>
      </c>
      <c r="U31" s="9" t="str">
        <f t="shared" si="2"/>
        <v>4008</v>
      </c>
      <c r="V31" s="36">
        <f t="shared" si="3"/>
        <v>42669.4765162037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{"issue":{"subject":"","project_id":79,"tracker_id":40,"status_id":1,"priority_id":2,"assigned_to_id":23,"start_date":"2016-10-26","description":"","custom_fields":[{"id":1,"name":"Subdivision","value":"NW"},{"id":4,"name":"Milepost","value":"0.0575"},{"id":17,"name":"Train ID","value":"800-26"},{"id":16,"name":"Locomotive ID","value":"4008"},{"id":130,"name":"Impact","value":""},{"id":150,"name":"Time of Event (Mountain Time)","value":"05:26:11"},{"id":151,"name":"Denver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"%USERPROFILE%\AppData\Local\Temp\OnboardLogs"\RTDC4008\*4008*201610261* | grep -SE "((Enforcement Ac)|(PRM))" -</v>
      </c>
      <c r="AD31" s="1"/>
    </row>
    <row r="32" spans="1:30" x14ac:dyDescent="0.25">
      <c r="A32" s="36">
        <v>42669.309699074074</v>
      </c>
      <c r="B32" s="31" t="s">
        <v>338</v>
      </c>
      <c r="C32" s="31" t="s">
        <v>411</v>
      </c>
      <c r="D32" s="31" t="s">
        <v>49</v>
      </c>
      <c r="E32" s="31" t="s">
        <v>240</v>
      </c>
      <c r="F32" s="47">
        <v>0</v>
      </c>
      <c r="G32" s="47">
        <v>55</v>
      </c>
      <c r="H32" s="47">
        <v>776</v>
      </c>
      <c r="I32" s="47">
        <v>734</v>
      </c>
      <c r="J32" s="31" t="s">
        <v>241</v>
      </c>
      <c r="K32" s="47">
        <v>575</v>
      </c>
      <c r="L32" s="157" t="s">
        <v>51</v>
      </c>
      <c r="M32" s="158">
        <f t="shared" si="0"/>
        <v>83.951999999999998</v>
      </c>
      <c r="N32" s="159" t="str">
        <f>VLOOKUP(C32,'Trips&amp;Operators'!$C$1:$E$99999,3,FALSE)</f>
        <v>STARKS</v>
      </c>
      <c r="O32" s="172" t="s">
        <v>234</v>
      </c>
      <c r="P32" s="160"/>
      <c r="Q32" s="31"/>
      <c r="R32" s="100" t="str">
        <f>VLOOKUP(C32,'Train Runs'!$A$13:$AE$10019,31,0)</f>
        <v>aws s3 cp s3://rtdc.mdm.uploadarchive.raw/RTDC4008/ "%USERPROFILE%\AppData\Local\Temp\OnboardLogs"\RTDC4008\2016-10-26 --exclude "*" --recursive --include "*20161026*" &amp; "%USERPROFILE%\Documents\GitHub\mrs-test-scripts\Headless Mode &amp; Sideloading\WalkAndUnGZ.bat" "%USERPROFILE%\AppData\Local\Temp\OnboardLogs"\RTDC4008\2016-10-26 &amp; aws s3 cp s3://rtdc.mdm.uploadarchive.raw/RTDC4008/ "%USERPROFILE%\AppData\Local\Temp\OnboardLogs"\RTDC4008\2016-10-27 --exclude "*" --recursive --include "*20161027*" &amp; "%USERPROFILE%\Documents\GitHub\mrs-test-scripts\Headless Mode &amp; Sideloading\WalkAndUnGZ.bat" "%USERPROFILE%\AppData\Local\Temp\OnboardLogs"\RTDC4008\2016-10-27</v>
      </c>
      <c r="S32" s="103" t="str">
        <f>VLOOKUP(C32,'Train Runs'!$A$13:$AE$10019,22,0)</f>
        <v>https://search-rtdc-monitor-bjffxe2xuh6vdkpspy63sjmuny.us-east-1.es.amazonaws.com/_plugin/kibana/#/discover/Steve-Slow-Train-Analysis-(2080s-and-2083s)?_g=(refreshInterval:(display:Off,section:0,value:0),time:(from:'2016-10-26 06:06:37-0600',mode:absolute,to:'2016-10-26 08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32" s="105" t="str">
        <f t="shared" si="1"/>
        <v>"C:\Program Files (x86)\AstroGrep\AstroGrep.exe" /spath="%USERPROFILE%\AppData\Local\Temp\OnboardLogs" /stypes="*4008*201610261*" /stext=" 13:.+((SYSTEM_STATE.+slice.+state.+changed )|(ment ac)|(system.+state.+changed )|(\[timeout)|(PRM\|1\|D)|(kpr)|(kdp)|(\|lc)|(penalty))" /e /r /s</v>
      </c>
      <c r="U32" s="9" t="str">
        <f t="shared" si="2"/>
        <v>4008</v>
      </c>
      <c r="V32" s="36">
        <f t="shared" si="3"/>
        <v>42669.559699074074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{"issue":{"subject":"","project_id":79,"tracker_id":40,"status_id":1,"priority_id":2,"assigned_to_id":23,"start_date":"2016-10-26","description":"","custom_fields":[{"id":1,"name":"Subdivision","value":"NW"},{"id":4,"name":"Milepost","value":"0.0575"},{"id":17,"name":"Train ID","value":"806-26"},{"id":16,"name":"Locomotive ID","value":"4008"},{"id":130,"name":"Impact","value":""},{"id":150,"name":"Time of Event (Mountain Time)","value":"07:25:58"},{"id":151,"name":"Denver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"%USERPROFILE%\AppData\Local\Temp\OnboardLogs"\RTDC4008\*4008*201610261* | grep -SE "((Enforcement Ac)|(PRM))" -</v>
      </c>
      <c r="AD32" s="1"/>
    </row>
    <row r="33" spans="1:30" ht="15" customHeight="1" x14ac:dyDescent="0.25">
      <c r="A33" s="36">
        <v>42669.581145833334</v>
      </c>
      <c r="B33" s="31" t="s">
        <v>258</v>
      </c>
      <c r="C33" s="31" t="s">
        <v>422</v>
      </c>
      <c r="D33" s="31" t="s">
        <v>49</v>
      </c>
      <c r="E33" s="31" t="s">
        <v>240</v>
      </c>
      <c r="F33" s="47">
        <v>0</v>
      </c>
      <c r="G33" s="47">
        <v>50</v>
      </c>
      <c r="H33" s="47">
        <v>724</v>
      </c>
      <c r="I33" s="47">
        <v>666</v>
      </c>
      <c r="J33" s="31" t="s">
        <v>241</v>
      </c>
      <c r="K33" s="47">
        <v>575</v>
      </c>
      <c r="L33" s="157" t="s">
        <v>51</v>
      </c>
      <c r="M33" s="158">
        <f t="shared" si="0"/>
        <v>48.048000000000002</v>
      </c>
      <c r="N33" s="159" t="str">
        <f>VLOOKUP(C33,'Trips&amp;Operators'!$C$1:$E$99999,3,FALSE)</f>
        <v>MOSES</v>
      </c>
      <c r="O33" s="172" t="s">
        <v>234</v>
      </c>
      <c r="P33" s="160"/>
      <c r="Q33" s="31"/>
      <c r="R33" s="100" t="str">
        <f>VLOOKUP(C33,'Train Runs'!$A$13:$AE$10019,31,0)</f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S33" s="103" t="str">
        <f>VLOOKUP(C33,'Train Runs'!$A$13:$AE$10019,22,0)</f>
        <v>https://search-rtdc-monitor-bjffxe2xuh6vdkpspy63sjmuny.us-east-1.es.amazonaws.com/_plugin/kibana/#/discover/Steve-Slow-Train-Analysis-(2080s-and-2083s)?_g=(refreshInterval:(display:Off,section:0,value:0),time:(from:'2016-10-26 12:37:51-0600',mode:absolute,to:'2016-10-26 14:56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3" s="105" t="str">
        <f t="shared" si="1"/>
        <v>"C:\Program Files (x86)\AstroGrep\AstroGrep.exe" /spath="%USERPROFILE%\AppData\Local\Temp\OnboardLogs" /stypes="*4054*201610261*" /stext=" 19:.+((SYSTEM_STATE.+slice.+state.+changed )|(ment ac)|(system.+state.+changed )|(\[timeout)|(PRM\|1\|D)|(kpr)|(kdp)|(\|lc)|(penalty))" /e /r /s</v>
      </c>
      <c r="U33" s="9" t="str">
        <f t="shared" si="2"/>
        <v>4054</v>
      </c>
      <c r="V33" s="36">
        <f t="shared" si="3"/>
        <v>42669.831145833334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{"issue":{"subject":"","project_id":79,"tracker_id":40,"status_id":1,"priority_id":2,"assigned_to_id":23,"start_date":"2016-10-26","description":"","custom_fields":[{"id":1,"name":"Subdivision","value":"NW"},{"id":4,"name":"Milepost","value":"0.0575"},{"id":17,"name":"Train ID","value":"822-26"},{"id":16,"name":"Locomotive ID","value":"4054"},{"id":130,"name":"Impact","value":""},{"id":150,"name":"Time of Event (Mountain Time)","value":"13:56:51"},{"id":151,"name":"Denver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"%USERPROFILE%\AppData\Local\Temp\OnboardLogs"\RTDC4054\*4054*201610261* | grep -SE "((Enforcement Ac)|(PRM))" -</v>
      </c>
      <c r="AD33" s="1"/>
    </row>
    <row r="34" spans="1:30" x14ac:dyDescent="0.25">
      <c r="A34" s="36">
        <v>42669.789837962962</v>
      </c>
      <c r="B34" s="31" t="s">
        <v>258</v>
      </c>
      <c r="C34" s="31" t="s">
        <v>436</v>
      </c>
      <c r="D34" s="31" t="s">
        <v>49</v>
      </c>
      <c r="E34" s="31" t="s">
        <v>240</v>
      </c>
      <c r="F34" s="47">
        <v>0</v>
      </c>
      <c r="G34" s="47">
        <v>58</v>
      </c>
      <c r="H34" s="47">
        <v>768</v>
      </c>
      <c r="I34" s="47">
        <v>713</v>
      </c>
      <c r="J34" s="31" t="s">
        <v>241</v>
      </c>
      <c r="K34" s="47">
        <v>575</v>
      </c>
      <c r="L34" s="157" t="s">
        <v>51</v>
      </c>
      <c r="M34" s="158">
        <f t="shared" si="0"/>
        <v>72.864000000000004</v>
      </c>
      <c r="N34" s="159" t="str">
        <f>VLOOKUP(C34,'Trips&amp;Operators'!$C$1:$E$99999,3,FALSE)</f>
        <v>MOSES</v>
      </c>
      <c r="O34" s="172" t="s">
        <v>234</v>
      </c>
      <c r="P34" s="160"/>
      <c r="Q34" s="31"/>
      <c r="R34" s="100" t="str">
        <f>VLOOKUP(C34,'Train Runs'!$A$13:$AE$10019,31,0)</f>
        <v>aws s3 cp s3://rtdc.mdm.uploadarchive.raw/RTDC4054/ "%USERPROFILE%\AppData\Local\Temp\OnboardLogs"\RTDC4054\2016-10-26 --exclude "*" --recursive --include "*20161026*" &amp; "%USERPROFILE%\Documents\GitHub\mrs-test-scripts\Headless Mode &amp; Sideloading\WalkAndUnGZ.bat" "%USERPROFILE%\AppData\Local\Temp\OnboardLogs"\RTDC4054\2016-10-26 &amp; aws s3 cp s3://rtdc.mdm.uploadarchive.raw/RTDC4054/ "%USERPROFILE%\AppData\Local\Temp\OnboardLogs"\RTDC4054\2016-10-27 --exclude "*" --recursive --include "*20161027*" &amp; "%USERPROFILE%\Documents\GitHub\mrs-test-scripts\Headless Mode &amp; Sideloading\WalkAndUnGZ.bat" "%USERPROFILE%\AppData\Local\Temp\OnboardLogs"\RTDC4054\2016-10-27</v>
      </c>
      <c r="S34" s="103" t="str">
        <f>VLOOKUP(C34,'Train Runs'!$A$13:$AE$10019,22,0)</f>
        <v>https://search-rtdc-monitor-bjffxe2xuh6vdkpspy63sjmuny.us-east-1.es.amazonaws.com/_plugin/kibana/#/discover/Steve-Slow-Train-Analysis-(2080s-and-2083s)?_g=(refreshInterval:(display:Off,section:0,value:0),time:(from:'2016-10-26 17:37:52-0600',mode:absolute,to:'2016-10-26 19:57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34" s="105" t="str">
        <f t="shared" si="1"/>
        <v>"C:\Program Files (x86)\AstroGrep\AstroGrep.exe" /spath="%USERPROFILE%\AppData\Local\Temp\OnboardLogs" /stypes="*4054*201610270*" /stext=" 00:.+((SYSTEM_STATE.+slice.+state.+changed )|(ment ac)|(system.+state.+changed )|(\[timeout)|(PRM\|1\|D)|(kpr)|(kdp)|(\|lc)|(penalty))" /e /r /s</v>
      </c>
      <c r="U34" s="9" t="str">
        <f t="shared" si="2"/>
        <v>4054</v>
      </c>
      <c r="V34" s="36">
        <f t="shared" si="3"/>
        <v>42670.039837962962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{"issue":{"subject":"","project_id":79,"tracker_id":40,"status_id":1,"priority_id":2,"assigned_to_id":23,"start_date":"2016-10-26","description":"","custom_fields":[{"id":1,"name":"Subdivision","value":"NW"},{"id":4,"name":"Milepost","value":"0.0575"},{"id":17,"name":"Train ID","value":"838-26"},{"id":16,"name":"Locomotive ID","value":"4054"},{"id":130,"name":"Impact","value":""},{"id":150,"name":"Time of Event (Mountain Time)","value":"18:57:22"},{"id":151,"name":"Denver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"%USERPROFILE%\AppData\Local\Temp\OnboardLogs"\RTDC4054\*4054*201610270* | grep -SE "((Enforcement Ac)|(PRM))" -</v>
      </c>
      <c r="AD34" s="1"/>
    </row>
    <row r="35" spans="1:30" x14ac:dyDescent="0.25">
      <c r="A35" s="36">
        <v>42669.255300925928</v>
      </c>
      <c r="B35" s="31" t="s">
        <v>196</v>
      </c>
      <c r="C35" s="31" t="s">
        <v>407</v>
      </c>
      <c r="D35" s="31" t="s">
        <v>49</v>
      </c>
      <c r="E35" s="31" t="s">
        <v>240</v>
      </c>
      <c r="F35" s="47">
        <v>0</v>
      </c>
      <c r="G35" s="47">
        <v>55</v>
      </c>
      <c r="H35" s="47">
        <v>58850</v>
      </c>
      <c r="I35" s="47">
        <v>58969</v>
      </c>
      <c r="J35" s="31" t="s">
        <v>241</v>
      </c>
      <c r="K35" s="47">
        <v>59048</v>
      </c>
      <c r="L35" s="157" t="s">
        <v>50</v>
      </c>
      <c r="M35" s="158">
        <f t="shared" si="0"/>
        <v>41.712000000000003</v>
      </c>
      <c r="N35" s="159" t="str">
        <f>VLOOKUP(C35,'Trips&amp;Operators'!$C$1:$E$99999,3,FALSE)</f>
        <v>STARKS</v>
      </c>
      <c r="O35" s="172" t="s">
        <v>234</v>
      </c>
      <c r="P35" s="160"/>
      <c r="Q35" s="31"/>
      <c r="R35" s="100" t="str">
        <f>VLOOKUP(C35,'Train Runs'!$A$13:$AE$10019,31,0)</f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S35" s="103" t="str">
        <f>VLOOKUP(C35,'Train Runs'!$A$13:$AE$10019,22,0)</f>
        <v>https://search-rtdc-monitor-bjffxe2xuh6vdkpspy63sjmuny.us-east-1.es.amazonaws.com/_plugin/kibana/#/discover/Steve-Slow-Train-Analysis-(2080s-and-2083s)?_g=(refreshInterval:(display:Off,section:0,value:0),time:(from:'2016-10-26 04:52:09-0600',mode:absolute,to:'2016-10-26 07:07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5" s="105" t="str">
        <f t="shared" si="1"/>
        <v>"C:\Program Files (x86)\AstroGrep\AstroGrep.exe" /spath="%USERPROFILE%\AppData\Local\Temp\OnboardLogs" /stypes="*4007*201610261*" /stext=" 12:.+((SYSTEM_STATE.+slice.+state.+changed )|(ment ac)|(system.+state.+changed )|(\[timeout)|(PRM\|1\|D)|(kpr)|(kdp)|(\|lc)|(penalty))" /e /r /s</v>
      </c>
      <c r="U35" s="9" t="str">
        <f t="shared" si="2"/>
        <v>4007</v>
      </c>
      <c r="V35" s="36">
        <f t="shared" si="3"/>
        <v>42669.505300925928</v>
      </c>
      <c r="W35" s="50" t="str">
        <f t="shared" si="4"/>
        <v>NW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{"issue":{"subject":"","project_id":79,"tracker_id":40,"status_id":1,"priority_id":2,"assigned_to_id":23,"start_date":"2016-10-26","description":"","custom_fields":[{"id":1,"name":"Subdivision","value":"NW"},{"id":4,"name":"Milepost","value":"5.9048"},{"id":17,"name":"Train ID","value":"801-26"},{"id":16,"name":"Locomotive ID","value":"4007"},{"id":130,"name":"Impact","value":""},{"id":150,"name":"Time of Event (Mountain Time)","value":"06:07:38"},{"id":151,"name":"Denver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"%USERPROFILE%\AppData\Local\Temp\OnboardLogs"\RTDC4007\*4007*201610261* | grep -SE "((Enforcement Ac)|(PRM))" -</v>
      </c>
      <c r="AD35" s="1"/>
    </row>
    <row r="36" spans="1:30" x14ac:dyDescent="0.25">
      <c r="A36" s="36">
        <v>42669.336238425924</v>
      </c>
      <c r="B36" s="31" t="s">
        <v>196</v>
      </c>
      <c r="C36" s="31" t="s">
        <v>413</v>
      </c>
      <c r="D36" s="31" t="s">
        <v>49</v>
      </c>
      <c r="E36" s="31" t="s">
        <v>240</v>
      </c>
      <c r="F36" s="47">
        <v>0</v>
      </c>
      <c r="G36" s="47">
        <v>77</v>
      </c>
      <c r="H36" s="47">
        <v>58783</v>
      </c>
      <c r="I36" s="47">
        <v>58856</v>
      </c>
      <c r="J36" s="31" t="s">
        <v>241</v>
      </c>
      <c r="K36" s="47">
        <v>59048</v>
      </c>
      <c r="L36" s="157" t="s">
        <v>50</v>
      </c>
      <c r="M36" s="158">
        <f t="shared" si="0"/>
        <v>101.376</v>
      </c>
      <c r="N36" s="159" t="str">
        <f>VLOOKUP(C36,'Trips&amp;Operators'!$C$1:$E$99999,3,FALSE)</f>
        <v>STARKS</v>
      </c>
      <c r="O36" s="172" t="s">
        <v>234</v>
      </c>
      <c r="P36" s="160"/>
      <c r="Q36" s="31"/>
      <c r="R36" s="100" t="str">
        <f>VLOOKUP(C36,'Train Runs'!$A$13:$AE$10019,31,0)</f>
        <v>aws s3 cp s3://rtdc.mdm.uploadarchive.raw/RTDC4007/ "%USERPROFILE%\AppData\Local\Temp\OnboardLogs"\RTDC4007\2016-10-26 --exclude "*" --recursive --include "*20161026*" &amp; "%USERPROFILE%\Documents\GitHub\mrs-test-scripts\Headless Mode &amp; Sideloading\WalkAndUnGZ.bat" "%USERPROFILE%\AppData\Local\Temp\OnboardLogs"\RTDC4007\2016-10-26 &amp; aws s3 cp s3://rtdc.mdm.uploadarchive.raw/RTDC4007/ "%USERPROFILE%\AppData\Local\Temp\OnboardLogs"\RTDC4007\2016-10-27 --exclude "*" --recursive --include "*20161027*" &amp; "%USERPROFILE%\Documents\GitHub\mrs-test-scripts\Headless Mode &amp; Sideloading\WalkAndUnGZ.bat" "%USERPROFILE%\AppData\Local\Temp\OnboardLogs"\RTDC4007\2016-10-27</v>
      </c>
      <c r="S36" s="103" t="str">
        <f>VLOOKUP(C36,'Train Runs'!$A$13:$AE$10019,22,0)</f>
        <v>https://search-rtdc-monitor-bjffxe2xuh6vdkpspy63sjmuny.us-east-1.es.amazonaws.com/_plugin/kibana/#/discover/Steve-Slow-Train-Analysis-(2080s-and-2083s)?_g=(refreshInterval:(display:Off,section:0,value:0),time:(from:'2016-10-26 06:28:58-0600',mode:absolute,to:'2016-10-26 09:04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5" t="str">
        <f t="shared" si="1"/>
        <v>"C:\Program Files (x86)\AstroGrep\AstroGrep.exe" /spath="%USERPROFILE%\AppData\Local\Temp\OnboardLogs" /stypes="*4007*201610261*" /stext=" 14:.+((SYSTEM_STATE.+slice.+state.+changed )|(ment ac)|(system.+state.+changed )|(\[timeout)|(PRM\|1\|D)|(kpr)|(kdp)|(\|lc)|(penalty))" /e /r /s</v>
      </c>
      <c r="U36" s="9" t="str">
        <f t="shared" si="2"/>
        <v>4007</v>
      </c>
      <c r="V36" s="36">
        <f t="shared" si="3"/>
        <v>42669.586238425924</v>
      </c>
      <c r="W36" s="50" t="str">
        <f t="shared" si="4"/>
        <v>NW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{"issue":{"subject":"","project_id":79,"tracker_id":40,"status_id":1,"priority_id":2,"assigned_to_id":23,"start_date":"2016-10-26","description":"","custom_fields":[{"id":1,"name":"Subdivision","value":"NW"},{"id":4,"name":"Milepost","value":"5.9048"},{"id":17,"name":"Train ID","value":"809-26"},{"id":16,"name":"Locomotive ID","value":"4007"},{"id":130,"name":"Impact","value":""},{"id":150,"name":"Time of Event (Mountain Time)","value":"08:04:11"},{"id":151,"name":"Denver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"%USERPROFILE%\AppData\Local\Temp\OnboardLogs"\RTDC4007\*4007*201610261* | grep -SE "((Enforcement Ac)|(PRM))" -</v>
      </c>
      <c r="AD36" s="1"/>
    </row>
    <row r="37" spans="1:30" x14ac:dyDescent="0.25">
      <c r="A37" s="36">
        <v>42669.607557870368</v>
      </c>
      <c r="B37" s="31" t="s">
        <v>259</v>
      </c>
      <c r="C37" s="31" t="s">
        <v>424</v>
      </c>
      <c r="D37" s="31" t="s">
        <v>49</v>
      </c>
      <c r="E37" s="31" t="s">
        <v>240</v>
      </c>
      <c r="F37" s="47">
        <v>0</v>
      </c>
      <c r="G37" s="47">
        <v>84</v>
      </c>
      <c r="H37" s="47">
        <v>58769</v>
      </c>
      <c r="I37" s="47">
        <v>58828</v>
      </c>
      <c r="J37" s="31" t="s">
        <v>241</v>
      </c>
      <c r="K37" s="47">
        <v>59048</v>
      </c>
      <c r="L37" s="157" t="s">
        <v>50</v>
      </c>
      <c r="M37" s="158">
        <f t="shared" si="0"/>
        <v>116.16</v>
      </c>
      <c r="N37" s="159" t="str">
        <f>VLOOKUP(C37,'Trips&amp;Operators'!$C$1:$E$99999,3,FALSE)</f>
        <v>MOSES</v>
      </c>
      <c r="O37" s="172" t="s">
        <v>234</v>
      </c>
      <c r="P37" s="160"/>
      <c r="Q37" s="31"/>
      <c r="R37" s="100" t="str">
        <f>VLOOKUP(C37,'Train Runs'!$A$13:$AE$10019,31,0)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S37" s="103" t="str">
        <f>VLOOKUP(C37,'Train Runs'!$A$13:$AE$10019,22,0)</f>
        <v>https://search-rtdc-monitor-bjffxe2xuh6vdkpspy63sjmuny.us-east-1.es.amazonaws.com/_plugin/kibana/#/discover/Steve-Slow-Train-Analysis-(2080s-and-2083s)?_g=(refreshInterval:(display:Off,section:0,value:0),time:(from:'2016-10-26 13:14:03-0600',mode:absolute,to:'2016-10-26 15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7" s="105" t="str">
        <f t="shared" si="1"/>
        <v>"C:\Program Files (x86)\AstroGrep\AstroGrep.exe" /spath="%USERPROFILE%\AppData\Local\Temp\OnboardLogs" /stypes="*4053*201610262*" /stext=" 20:.+((SYSTEM_STATE.+slice.+state.+changed )|(ment ac)|(system.+state.+changed )|(\[timeout)|(PRM\|1\|D)|(kpr)|(kdp)|(\|lc)|(penalty))" /e /r /s</v>
      </c>
      <c r="U37" s="9" t="str">
        <f t="shared" si="2"/>
        <v>4053</v>
      </c>
      <c r="V37" s="36">
        <f t="shared" si="3"/>
        <v>42669.857557870368</v>
      </c>
      <c r="W37" s="50" t="str">
        <f t="shared" si="4"/>
        <v>NW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{"issue":{"subject":"","project_id":79,"tracker_id":40,"status_id":1,"priority_id":2,"assigned_to_id":23,"start_date":"2016-10-26","description":"","custom_fields":[{"id":1,"name":"Subdivision","value":"NW"},{"id":4,"name":"Milepost","value":"5.9048"},{"id":17,"name":"Train ID","value":"823-26"},{"id":16,"name":"Locomotive ID","value":"4053"},{"id":130,"name":"Impact","value":""},{"id":150,"name":"Time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"%USERPROFILE%\AppData\Local\Temp\OnboardLogs"\RTDC4053\*4053*201610262* | grep -SE "((Enforcement Ac)|(PRM))" -</v>
      </c>
      <c r="AD37" s="1"/>
    </row>
    <row r="38" spans="1:30" x14ac:dyDescent="0.25">
      <c r="A38" s="36">
        <v>42669.73296296296</v>
      </c>
      <c r="B38" s="31" t="s">
        <v>259</v>
      </c>
      <c r="C38" s="31" t="s">
        <v>429</v>
      </c>
      <c r="D38" s="31" t="s">
        <v>49</v>
      </c>
      <c r="E38" s="31" t="s">
        <v>240</v>
      </c>
      <c r="F38" s="47">
        <v>0</v>
      </c>
      <c r="G38" s="47">
        <v>30</v>
      </c>
      <c r="H38" s="47">
        <v>58992</v>
      </c>
      <c r="I38" s="47">
        <v>59024</v>
      </c>
      <c r="J38" s="31" t="s">
        <v>241</v>
      </c>
      <c r="K38" s="47">
        <v>59048</v>
      </c>
      <c r="L38" s="157" t="s">
        <v>50</v>
      </c>
      <c r="M38" s="158">
        <f t="shared" si="0"/>
        <v>12.672000000000001</v>
      </c>
      <c r="N38" s="159" t="str">
        <f>VLOOKUP(C38,'Trips&amp;Operators'!$C$1:$E$99999,3,FALSE)</f>
        <v>MOSES</v>
      </c>
      <c r="O38" s="172" t="s">
        <v>234</v>
      </c>
      <c r="P38" s="160"/>
      <c r="Q38" s="31"/>
      <c r="R38" s="100" t="str">
        <f>VLOOKUP(C38,'Train Runs'!$A$13:$AE$10019,31,0)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S38" s="103" t="str">
        <f>VLOOKUP(C38,'Train Runs'!$A$13:$AE$10019,22,0)</f>
        <v>https://search-rtdc-monitor-bjffxe2xuh6vdkpspy63sjmuny.us-east-1.es.amazonaws.com/_plugin/kibana/#/discover/Steve-Slow-Train-Analysis-(2080s-and-2083s)?_g=(refreshInterval:(display:Off,section:0,value:0),time:(from:'2016-10-26 16:15:28-0600',mode:absolute,to:'2016-10-26 18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8" s="105" t="str">
        <f t="shared" si="1"/>
        <v>"C:\Program Files (x86)\AstroGrep\AstroGrep.exe" /spath="%USERPROFILE%\AppData\Local\Temp\OnboardLogs" /stypes="*4053*201610262*" /stext=" 23:.+((SYSTEM_STATE.+slice.+state.+changed )|(ment ac)|(system.+state.+changed )|(\[timeout)|(PRM\|1\|D)|(kpr)|(kdp)|(\|lc)|(penalty))" /e /r /s</v>
      </c>
      <c r="U38" s="9" t="str">
        <f t="shared" si="2"/>
        <v>4053</v>
      </c>
      <c r="V38" s="36">
        <f t="shared" si="3"/>
        <v>42669.98296296296</v>
      </c>
      <c r="W38" s="50" t="str">
        <f t="shared" si="4"/>
        <v>NW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{"issue":{"subject":"","project_id":79,"tracker_id":40,"status_id":1,"priority_id":2,"assigned_to_id":23,"start_date":"2016-10-26","description":"","custom_fields":[{"id":1,"name":"Subdivision","value":"NW"},{"id":4,"name":"Milepost","value":"5.9048"},{"id":17,"name":"Train ID","value":"833-26"},{"id":16,"name":"Locomotive ID","value":"4053"},{"id":130,"name":"Impact","value":""},{"id":150,"name":"Time of Event (Mountain Time)","value":"17:35:28"},{"id":151,"name":"Denver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"%USERPROFILE%\AppData\Local\Temp\OnboardLogs"\RTDC4053\*4053*201610262* | grep -SE "((Enforcement Ac)|(PRM))" -</v>
      </c>
      <c r="AD38" s="1"/>
    </row>
    <row r="39" spans="1:30" x14ac:dyDescent="0.25">
      <c r="A39" s="36">
        <v>42669.774791666663</v>
      </c>
      <c r="B39" s="31" t="s">
        <v>259</v>
      </c>
      <c r="C39" s="31" t="s">
        <v>435</v>
      </c>
      <c r="D39" s="31" t="s">
        <v>49</v>
      </c>
      <c r="E39" s="31" t="s">
        <v>240</v>
      </c>
      <c r="F39" s="47">
        <v>0</v>
      </c>
      <c r="G39" s="47">
        <v>43</v>
      </c>
      <c r="H39" s="47">
        <v>58931</v>
      </c>
      <c r="I39" s="47">
        <v>58975</v>
      </c>
      <c r="J39" s="31" t="s">
        <v>241</v>
      </c>
      <c r="K39" s="47">
        <v>59048</v>
      </c>
      <c r="L39" s="157" t="s">
        <v>50</v>
      </c>
      <c r="M39" s="158">
        <f t="shared" si="0"/>
        <v>38.543999999999997</v>
      </c>
      <c r="N39" s="159" t="str">
        <f>VLOOKUP(C39,'Trips&amp;Operators'!$C$1:$E$99999,3,FALSE)</f>
        <v>MOSES</v>
      </c>
      <c r="O39" s="172" t="s">
        <v>234</v>
      </c>
      <c r="P39" s="160"/>
      <c r="Q39" s="31"/>
      <c r="R39" s="100" t="str">
        <f>VLOOKUP(C39,'Train Runs'!$A$13:$AE$10019,31,0)</f>
        <v>aws s3 cp s3://rtdc.mdm.uploadarchive.raw/RTDC4053/ "%USERPROFILE%\AppData\Local\Temp\OnboardLogs"\RTDC4053\2016-10-26 --exclude "*" --recursive --include "*20161026*" &amp; "%USERPROFILE%\Documents\GitHub\mrs-test-scripts\Headless Mode &amp; Sideloading\WalkAndUnGZ.bat" "%USERPROFILE%\AppData\Local\Temp\OnboardLogs"\RTDC4053\2016-10-26 &amp; aws s3 cp s3://rtdc.mdm.uploadarchive.raw/RTDC4053/ "%USERPROFILE%\AppData\Local\Temp\OnboardLogs"\RTDC4053\2016-10-27 --exclude "*" --recursive --include "*20161027*" &amp; "%USERPROFILE%\Documents\GitHub\mrs-test-scripts\Headless Mode &amp; Sideloading\WalkAndUnGZ.bat" "%USERPROFILE%\AppData\Local\Temp\OnboardLogs"\RTDC4053\2016-10-27</v>
      </c>
      <c r="S39" s="103" t="str">
        <f>VLOOKUP(C39,'Train Runs'!$A$13:$AE$10019,22,0)</f>
        <v>https://search-rtdc-monitor-bjffxe2xuh6vdkpspy63sjmuny.us-east-1.es.amazonaws.com/_plugin/kibana/#/discover/Steve-Slow-Train-Analysis-(2080s-and-2083s)?_g=(refreshInterval:(display:Off,section:0,value:0),time:(from:'2016-10-26 17:16:25-0600',mode:absolute,to:'2016-10-26 19:35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39" s="105" t="str">
        <f t="shared" si="1"/>
        <v>"C:\Program Files (x86)\AstroGrep\AstroGrep.exe" /spath="%USERPROFILE%\AppData\Local\Temp\OnboardLogs" /stypes="*4053*201610270*" /stext=" 00:.+((SYSTEM_STATE.+slice.+state.+changed )|(ment ac)|(system.+state.+changed )|(\[timeout)|(PRM\|1\|D)|(kpr)|(kdp)|(\|lc)|(penalty))" /e /r /s</v>
      </c>
      <c r="U39" s="9" t="str">
        <f t="shared" si="2"/>
        <v>4053</v>
      </c>
      <c r="V39" s="36">
        <f t="shared" si="3"/>
        <v>42670.024791666663</v>
      </c>
      <c r="W39" s="50" t="str">
        <f t="shared" si="4"/>
        <v>NW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{"issue":{"subject":"","project_id":79,"tracker_id":40,"status_id":1,"priority_id":2,"assigned_to_id":23,"start_date":"2016-10-26","description":"","custom_fields":[{"id":1,"name":"Subdivision","value":"NW"},{"id":4,"name":"Milepost","value":"5.9048"},{"id":17,"name":"Train ID","value":"837-26"},{"id":16,"name":"Locomotive ID","value":"4053"},{"id":130,"name":"Impact","value":""},{"id":150,"name":"Time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"%USERPROFILE%\AppData\Local\Temp\OnboardLogs"\RTDC4053\*4053*201610270* | grep -SE "((Enforcement Ac)|(PRM))" -</v>
      </c>
      <c r="AD39" s="1"/>
    </row>
    <row r="40" spans="1:30" x14ac:dyDescent="0.25">
      <c r="A40" s="36">
        <v>42669.748217592591</v>
      </c>
      <c r="B40" s="31" t="s">
        <v>295</v>
      </c>
      <c r="C40" s="31" t="s">
        <v>432</v>
      </c>
      <c r="D40" s="31" t="s">
        <v>98</v>
      </c>
      <c r="E40" s="31" t="s">
        <v>238</v>
      </c>
      <c r="F40" s="47">
        <v>0</v>
      </c>
      <c r="G40" s="47">
        <v>64</v>
      </c>
      <c r="H40" s="47">
        <v>1851</v>
      </c>
      <c r="I40" s="47">
        <v>1937</v>
      </c>
      <c r="J40" s="31" t="s">
        <v>239</v>
      </c>
      <c r="K40" s="47">
        <v>1692</v>
      </c>
      <c r="L40" s="157" t="s">
        <v>50</v>
      </c>
      <c r="M40" s="158">
        <f t="shared" si="0"/>
        <v>-129.36000000000001</v>
      </c>
      <c r="N40" s="159" t="str">
        <f>VLOOKUP(C40,'Trips&amp;Operators'!$C$1:$E$99999,3,FALSE)</f>
        <v>HILLS</v>
      </c>
      <c r="O40" s="172" t="s">
        <v>234</v>
      </c>
      <c r="P40" s="160"/>
      <c r="Q40" s="31"/>
      <c r="R40" s="100" t="str">
        <f>VLOOKUP(C40,'Train Runs'!$A$13:$AE$10019,31,0)</f>
        <v>aws s3 cp s3://rtdc.mdm.uploadarchive.raw/RTDC4006/ "%USERPROFILE%\AppData\Local\Temp\OnboardLogs"\RTDC4006\2016-10-26 --exclude "*" --recursive --include "*20161026*" &amp; "%USERPROFILE%\Documents\GitHub\mrs-test-scripts\Headless Mode &amp; Sideloading\WalkAndUnGZ.bat" "%USERPROFILE%\AppData\Local\Temp\OnboardLogs"\RTDC4006\2016-10-26 &amp; aws s3 cp s3://rtdc.mdm.uploadarchive.raw/RTDC4006/ "%USERPROFILE%\AppData\Local\Temp\OnboardLogs"\RTDC4006\2016-10-27 --exclude "*" --recursive --include "*20161027*" &amp; "%USERPROFILE%\Documents\GitHub\mrs-test-scripts\Headless Mode &amp; Sideloading\WalkAndUnGZ.bat" "%USERPROFILE%\AppData\Local\Temp\OnboardLogs"\RTDC4006\2016-10-27</v>
      </c>
      <c r="S40" s="103" t="str">
        <f>VLOOKUP(C40,'Train Runs'!$A$13:$AE$10019,22,0)</f>
        <v>https://search-rtdc-monitor-bjffxe2xuh6vdkpspy63sjmuny.us-east-1.es.amazonaws.com/_plugin/kibana/#/discover/Steve-Slow-Train-Analysis-(2080s-and-2083s)?_g=(refreshInterval:(display:Off,section:0,value:0),time:(from:'2016-10-26 16:51:48-0600',mode:absolute,to:'2016-10-26 18:57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T40" s="105" t="str">
        <f t="shared" si="1"/>
        <v>"C:\Program Files (x86)\AstroGrep\AstroGrep.exe" /spath="%USERPROFILE%\AppData\Local\Temp\OnboardLogs" /stypes="*4006*201610262*" /stext=" 23:.+((SYSTEM_STATE.+slice.+state.+changed )|(ment ac)|(system.+state.+changed )|(\[timeout)|(PRM\|1\|D)|(kpr)|(kdp)|(\|lc)|(penalty))" /e /r /s</v>
      </c>
      <c r="U40" s="9" t="str">
        <f t="shared" si="2"/>
        <v>4006</v>
      </c>
      <c r="V40" s="36">
        <f t="shared" si="3"/>
        <v>42669.998217592591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{"issue":{"subject":"","project_id":79,"tracker_id":40,"status_id":1,"priority_id":2,"assigned_to_id":23,"start_date":"2016-10-26","description":"","custom_fields":[{"id":1,"name":"Subdivision","value":"Other"},{"id":4,"name":"Milepost","value":"0.1692"},{"id":17,"name":"Train ID","value":"65-26"},{"id":16,"name":"Locomotive ID","value":"4006"},{"id":130,"name":"Impact","value":""},{"id":150,"name":"Time of Event (Mountain Time)","value":"17:57:26"},{"id":151,"name":"Denver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"%USERPROFILE%\AppData\Local\Temp\OnboardLogs"\RTDC4006\*4006*201610262* | grep -SE "((Enforcement Ac)|(PRM))" -</v>
      </c>
      <c r="AD40" s="1"/>
    </row>
    <row r="41" spans="1:30" x14ac:dyDescent="0.25">
      <c r="A41" s="36">
        <v>42669.169050925928</v>
      </c>
      <c r="B41" s="31" t="s">
        <v>334</v>
      </c>
      <c r="C41" s="31" t="s">
        <v>402</v>
      </c>
      <c r="D41" s="31" t="s">
        <v>49</v>
      </c>
      <c r="E41" s="31" t="s">
        <v>238</v>
      </c>
      <c r="F41" s="47">
        <v>0</v>
      </c>
      <c r="G41" s="47">
        <v>99</v>
      </c>
      <c r="H41" s="47">
        <v>11026</v>
      </c>
      <c r="I41" s="47">
        <v>10744</v>
      </c>
      <c r="J41" s="31" t="s">
        <v>239</v>
      </c>
      <c r="K41" s="47">
        <v>11016</v>
      </c>
      <c r="L41" s="157" t="s">
        <v>51</v>
      </c>
      <c r="M41" s="158">
        <f t="shared" si="0"/>
        <v>-143.61600000000001</v>
      </c>
      <c r="N41" s="159" t="str">
        <f>VLOOKUP(C41,'Trips&amp;Operators'!$C$1:$E$99999,3,FALSE)</f>
        <v>STRICKLAND</v>
      </c>
      <c r="O41" s="172" t="s">
        <v>234</v>
      </c>
      <c r="P41" s="160"/>
      <c r="Q41" s="31"/>
      <c r="R41" s="100" t="str">
        <f>VLOOKUP(C41,'Train Runs'!$A$13:$AE$10019,31,0)</f>
        <v>aws s3 cp s3://rtdc.mdm.uploadarchive.raw/RTDC4045/ "%USERPROFILE%\AppData\Local\Temp\OnboardLogs"\RTDC4045\2016-10-26 --exclude "*" --recursive --include "*20161026*" &amp; "%USERPROFILE%\Documents\GitHub\mrs-test-scripts\Headless Mode &amp; Sideloading\WalkAndUnGZ.bat" "%USERPROFILE%\AppData\Local\Temp\OnboardLogs"\RTDC4045\2016-10-26 &amp; aws s3 cp s3://rtdc.mdm.uploadarchive.raw/RTDC4045/ "%USERPROFILE%\AppData\Local\Temp\OnboardLogs"\RTDC4045\2016-10-27 --exclude "*" --recursive --include "*20161027*" &amp; "%USERPROFILE%\Documents\GitHub\mrs-test-scripts\Headless Mode &amp; Sideloading\WalkAndUnGZ.bat" "%USERPROFILE%\AppData\Local\Temp\OnboardLogs"\RTDC4045\2016-10-27</v>
      </c>
      <c r="S41" s="103" t="str">
        <f>VLOOKUP(C41,'Train Runs'!$A$13:$AE$10019,22,0)</f>
        <v>https://search-rtdc-monitor-bjffxe2xuh6vdkpspy63sjmuny.us-east-1.es.amazonaws.com/_plugin/kibana/#/discover/Steve-Slow-Train-Analysis-(2080s-and-2083s)?_g=(refreshInterval:(display:Off,section:0,value:0),time:(from:'2016-10-26 02:57:51-0600',mode:absolute,to:'2016-10-26 05:09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 t="shared" si="1"/>
        <v>"C:\Program Files (x86)\AstroGrep\AstroGrep.exe" /spath="%USERPROFILE%\AppData\Local\Temp\OnboardLogs" /stypes="*4045*201610261*" /stext=" 10:.+((SYSTEM_STATE.+slice.+state.+changed )|(ment ac)|(system.+state.+changed )|(\[timeout)|(PRM\|1\|D)|(kpr)|(kdp)|(\|lc)|(penalty))" /e /r /s</v>
      </c>
      <c r="U41" s="9" t="str">
        <f t="shared" si="2"/>
        <v>4045</v>
      </c>
      <c r="V41" s="36">
        <f t="shared" si="3"/>
        <v>42669.419050925928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{"issue":{"subject":"","project_id":79,"tracker_id":40,"status_id":1,"priority_id":2,"assigned_to_id":23,"start_date":"2016-10-26","description":"","custom_fields":[{"id":1,"name":"Subdivision","value":"Other"},{"id":4,"name":"Milepost","value":"1.1016"},{"id":17,"name":"Train ID","value":"306-26"},{"id":16,"name":"Locomotive ID","value":"4045"},{"id":130,"name":"Impact","value":""},{"id":150,"name":"Time of Event (Mountain Time)","value":"04:03:26"},{"id":151,"name":"Denver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"%USERPROFILE%\AppData\Local\Temp\OnboardLogs"\RTDC4045\*4045*201610261* | grep -SE "((Enforcement Ac)|(PRM))" -</v>
      </c>
      <c r="AD41" s="1"/>
    </row>
    <row r="42" spans="1:30" x14ac:dyDescent="0.25">
      <c r="A42" s="36">
        <v>42669.180381944447</v>
      </c>
      <c r="B42" s="31" t="s">
        <v>192</v>
      </c>
      <c r="C42" s="31" t="s">
        <v>403</v>
      </c>
      <c r="D42" s="31" t="s">
        <v>49</v>
      </c>
      <c r="E42" s="31" t="s">
        <v>240</v>
      </c>
      <c r="F42" s="47">
        <v>0</v>
      </c>
      <c r="G42" s="47">
        <v>58</v>
      </c>
      <c r="H42" s="47">
        <v>191</v>
      </c>
      <c r="I42" s="47">
        <v>143</v>
      </c>
      <c r="J42" s="31" t="s">
        <v>241</v>
      </c>
      <c r="K42" s="47">
        <v>1</v>
      </c>
      <c r="L42" s="157" t="s">
        <v>51</v>
      </c>
      <c r="M42" s="158">
        <f t="shared" si="0"/>
        <v>74.975999999999999</v>
      </c>
      <c r="N42" s="159" t="str">
        <f>VLOOKUP(C42,'Trips&amp;Operators'!$C$1:$E$99999,3,FALSE)</f>
        <v>SPECTOR</v>
      </c>
      <c r="O42" s="172" t="s">
        <v>234</v>
      </c>
      <c r="P42" s="160"/>
      <c r="Q42" s="31"/>
      <c r="R42" s="100" t="str">
        <f>VLOOKUP(C42,'Train Runs'!$A$13:$AE$10019,31,0)</f>
        <v>aws s3 cp s3://rtdc.mdm.uploadarchive.raw/RTDC4010/ "%USERPROFILE%\AppData\Local\Temp\OnboardLogs"\RTDC4010\2016-10-26 --exclude "*" --recursive --include "*20161026*" &amp; "%USERPROFILE%\Documents\GitHub\mrs-test-scripts\Headless Mode &amp; Sideloading\WalkAndUnGZ.bat" "%USERPROFILE%\AppData\Local\Temp\OnboardLogs"\RTDC4010\2016-10-26 &amp; aws s3 cp s3://rtdc.mdm.uploadarchive.raw/RTDC4010/ "%USERPROFILE%\AppData\Local\Temp\OnboardLogs"\RTDC4010\2016-10-27 --exclude "*" --recursive --include "*20161027*" &amp; "%USERPROFILE%\Documents\GitHub\mrs-test-scripts\Headless Mode &amp; Sideloading\WalkAndUnGZ.bat" "%USERPROFILE%\AppData\Local\Temp\OnboardLogs"\RTDC4010\2016-10-27</v>
      </c>
      <c r="S42" s="103" t="str">
        <f>VLOOKUP(C42,'Train Runs'!$A$13:$AE$10019,22,0)</f>
        <v>https://search-rtdc-monitor-bjffxe2xuh6vdkpspy63sjmuny.us-east-1.es.amazonaws.com/_plugin/kibana/#/discover/Steve-Slow-Train-Analysis-(2080s-and-2083s)?_g=(refreshInterval:(display:Off,section:0,value:0),time:(from:'2016-10-26 03:06:32-0600',mode:absolute,to:'2016-10-26 05:19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2" s="105" t="str">
        <f t="shared" si="1"/>
        <v>"C:\Program Files (x86)\AstroGrep\AstroGrep.exe" /spath="%USERPROFILE%\AppData\Local\Temp\OnboardLogs" /stypes="*4010*201610261*" /stext=" 10:.+((SYSTEM_STATE.+slice.+state.+changed )|(ment ac)|(system.+state.+changed )|(\[timeout)|(PRM\|1\|D)|(kpr)|(kdp)|(\|lc)|(penalty))" /e /r /s</v>
      </c>
      <c r="U42" s="9" t="str">
        <f t="shared" si="2"/>
        <v>4010</v>
      </c>
      <c r="V42" s="36">
        <f t="shared" si="3"/>
        <v>42669.430381944447</v>
      </c>
      <c r="W42" s="50" t="str">
        <f t="shared" si="4"/>
        <v>Other</v>
      </c>
      <c r="X42" s="50" t="str">
        <f t="shared" si="5"/>
        <v>KEEP</v>
      </c>
      <c r="Y42" s="122" t="str">
        <f t="shared" si="6"/>
        <v>echo {"issue":{"subject":"","project_id":79,"tracker_id":40,"status_id":1,"priority_id":2,"assigned_to_id":23,"start_date":"2016-10-26","description":"","custom_fields":[{"id":1,"name":"Subdivision","value":"Other"},{"id":4,"name":"Milepost","value":"0.0001"},{"id":17,"name":"Train ID","value":"308-26"},{"id":16,"name":"Locomotive ID","value":"4010"},{"id":130,"name":"Impact","value":""},{"id":150,"name":"Time of Event (Mountain Time)","value":"04:19:45"},{"id":151,"name":"Denver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"%USERPROFILE%\AppData\Local\Temp\OnboardLogs"\RTDC4010\*4010*201610261* | grep -SE "((Enforcement Ac)|(PRM))" -</v>
      </c>
      <c r="AD42" s="1"/>
    </row>
    <row r="43" spans="1:30" x14ac:dyDescent="0.25">
      <c r="A43" s="36">
        <v>42669.448692129627</v>
      </c>
      <c r="B43" s="31" t="s">
        <v>280</v>
      </c>
      <c r="C43" s="31" t="s">
        <v>419</v>
      </c>
      <c r="D43" s="31" t="s">
        <v>49</v>
      </c>
      <c r="E43" s="31" t="s">
        <v>240</v>
      </c>
      <c r="F43" s="47">
        <v>0</v>
      </c>
      <c r="G43" s="47">
        <v>30</v>
      </c>
      <c r="H43" s="47">
        <v>926</v>
      </c>
      <c r="I43" s="47">
        <v>910</v>
      </c>
      <c r="J43" s="31" t="s">
        <v>241</v>
      </c>
      <c r="K43" s="47">
        <v>826</v>
      </c>
      <c r="L43" s="157" t="s">
        <v>51</v>
      </c>
      <c r="M43" s="158">
        <f t="shared" si="0"/>
        <v>44.351999999999997</v>
      </c>
      <c r="N43" s="159" t="str">
        <f>VLOOKUP(C43,'Trips&amp;Operators'!$C$1:$E$99999,3,FALSE)</f>
        <v>HILLS</v>
      </c>
      <c r="O43" s="172" t="s">
        <v>234</v>
      </c>
      <c r="P43" s="160"/>
      <c r="Q43" s="31"/>
      <c r="R43" s="100" t="str">
        <f>VLOOKUP(C43,'Train Runs'!$A$13:$AE$10019,31,0)</f>
        <v>aws s3 cp s3://rtdc.mdm.uploadarchive.raw/RTDC4037/ "%USERPROFILE%\AppData\Local\Temp\OnboardLogs"\RTDC4037\2016-10-26 --exclude "*" --recursive --include "*20161026*" &amp; "%USERPROFILE%\Documents\GitHub\mrs-test-scripts\Headless Mode &amp; Sideloading\WalkAndUnGZ.bat" "%USERPROFILE%\AppData\Local\Temp\OnboardLogs"\RTDC4037\2016-10-26 &amp; 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</v>
      </c>
      <c r="S43" s="103" t="str">
        <f>VLOOKUP(C43,'Train Runs'!$A$13:$AE$10019,22,0)</f>
        <v>https://search-rtdc-monitor-bjffxe2xuh6vdkpspy63sjmuny.us-east-1.es.amazonaws.com/_plugin/kibana/#/discover/Steve-Slow-Train-Analysis-(2080s-and-2083s)?_g=(refreshInterval:(display:Off,section:0,value:0),time:(from:'2016-10-26 09:36:20-0600',mode:absolute,to:'2016-10-26 11:46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43" s="105" t="str">
        <f t="shared" si="1"/>
        <v>"C:\Program Files (x86)\AstroGrep\AstroGrep.exe" /spath="%USERPROFILE%\AppData\Local\Temp\OnboardLogs" /stypes="*4037*201610261*" /stext=" 16:.+((SYSTEM_STATE.+slice.+state.+changed )|(ment ac)|(system.+state.+changed )|(\[timeout)|(PRM\|1\|D)|(kpr)|(kdp)|(\|lc)|(penalty))" /e /r /s</v>
      </c>
      <c r="U43" s="9" t="str">
        <f t="shared" si="2"/>
        <v>4037</v>
      </c>
      <c r="V43" s="36">
        <f t="shared" si="3"/>
        <v>42669.698692129627</v>
      </c>
      <c r="W43" s="50" t="str">
        <f t="shared" si="4"/>
        <v>Other</v>
      </c>
      <c r="X43" s="50" t="str">
        <f t="shared" si="5"/>
        <v>KEEP</v>
      </c>
      <c r="Y43" s="122" t="str">
        <f t="shared" si="6"/>
        <v>echo {"issue":{"subject":"","project_id":79,"tracker_id":40,"status_id":1,"priority_id":2,"assigned_to_id":23,"start_date":"2016-10-26","description":"","custom_fields":[{"id":1,"name":"Subdivision","value":"Other"},{"id":4,"name":"Milepost","value":"0.0826"},{"id":17,"name":"Train ID","value":"50-26"},{"id":16,"name":"Locomotive ID","value":"4037"},{"id":130,"name":"Impact","value":""},{"id":150,"name":"Time of Event (Mountain Time)","value":"10:46:07"},{"id":151,"name":"Denver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41" t="str">
        <f t="shared" si="7"/>
        <v>grep -hSE -A100 "Enforcement Action" "%USERPROFILE%\AppData\Local\Temp\OnboardLogs"\RTDC4037\*4037*201610261* | grep -SE "((Enforcement Ac)|(PRM))" -</v>
      </c>
      <c r="AD43" s="1"/>
    </row>
    <row r="44" spans="1:30" x14ac:dyDescent="0.25">
      <c r="A44" s="36">
        <v>42669.715057870373</v>
      </c>
      <c r="B44" s="31" t="s">
        <v>280</v>
      </c>
      <c r="C44" s="31" t="s">
        <v>428</v>
      </c>
      <c r="D44" s="31" t="s">
        <v>49</v>
      </c>
      <c r="E44" s="31" t="s">
        <v>240</v>
      </c>
      <c r="F44" s="47">
        <v>0</v>
      </c>
      <c r="G44" s="47">
        <v>61</v>
      </c>
      <c r="H44" s="47">
        <v>1054</v>
      </c>
      <c r="I44" s="47">
        <v>1004</v>
      </c>
      <c r="J44" s="31" t="s">
        <v>241</v>
      </c>
      <c r="K44" s="47">
        <v>826</v>
      </c>
      <c r="L44" s="157" t="s">
        <v>51</v>
      </c>
      <c r="M44" s="158">
        <f t="shared" si="0"/>
        <v>93.983999999999995</v>
      </c>
      <c r="N44" s="159" t="str">
        <f>VLOOKUP(C44,'Trips&amp;Operators'!$C$1:$E$99999,3,FALSE)</f>
        <v>YANAI</v>
      </c>
      <c r="O44" s="172" t="s">
        <v>234</v>
      </c>
      <c r="P44" s="160"/>
      <c r="Q44" s="31"/>
      <c r="R44" s="100" t="str">
        <f>VLOOKUP(C44,'Train Runs'!$A$13:$AE$10019,31,0)</f>
        <v>aws s3 cp s3://rtdc.mdm.uploadarchive.raw/RTDC4037/ "%USERPROFILE%\AppData\Local\Temp\OnboardLogs"\RTDC4037\2016-10-26 --exclude "*" --recursive --include "*20161026*" &amp; "%USERPROFILE%\Documents\GitHub\mrs-test-scripts\Headless Mode &amp; Sideloading\WalkAndUnGZ.bat" "%USERPROFILE%\AppData\Local\Temp\OnboardLogs"\RTDC4037\2016-10-26 &amp; aws s3 cp s3://rtdc.mdm.uploadarchive.raw/RTDC4037/ "%USERPROFILE%\AppData\Local\Temp\OnboardLogs"\RTDC4037\2016-10-27 --exclude "*" --recursive --include "*20161027*" &amp; "%USERPROFILE%\Documents\GitHub\mrs-test-scripts\Headless Mode &amp; Sideloading\WalkAndUnGZ.bat" "%USERPROFILE%\AppData\Local\Temp\OnboardLogs"\RTDC4037\2016-10-27</v>
      </c>
      <c r="S44" s="103" t="str">
        <f>VLOOKUP(C44,'Train Runs'!$A$13:$AE$10019,22,0)</f>
        <v>https://search-rtdc-monitor-bjffxe2xuh6vdkpspy63sjmuny.us-east-1.es.amazonaws.com/_plugin/kibana/#/discover/Steve-Slow-Train-Analysis-(2080s-and-2083s)?_g=(refreshInterval:(display:Off,section:0,value:0),time:(from:'2016-10-26 15:57:55-0600',mode:absolute,to:'2016-10-26 18:09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44" s="105" t="str">
        <f t="shared" si="1"/>
        <v>"C:\Program Files (x86)\AstroGrep\AstroGrep.exe" /spath="%USERPROFILE%\AppData\Local\Temp\OnboardLogs" /stypes="*4037*201610262*" /stext=" 23:.+((SYSTEM_STATE.+slice.+state.+changed )|(ment ac)|(system.+state.+changed )|(\[timeout)|(PRM\|1\|D)|(kpr)|(kdp)|(\|lc)|(penalty))" /e /r /s</v>
      </c>
      <c r="U44" s="9" t="str">
        <f t="shared" si="2"/>
        <v>4037</v>
      </c>
      <c r="V44" s="36">
        <f t="shared" si="3"/>
        <v>42669.965057870373</v>
      </c>
      <c r="W44" s="50" t="str">
        <f t="shared" si="4"/>
        <v>Other</v>
      </c>
      <c r="X44" s="50" t="str">
        <f t="shared" si="5"/>
        <v>KEEP</v>
      </c>
      <c r="Y44" s="122" t="str">
        <f t="shared" si="6"/>
        <v>echo {"issue":{"subject":"","project_id":79,"tracker_id":40,"status_id":1,"priority_id":2,"assigned_to_id":23,"start_date":"2016-10-26","description":"","custom_fields":[{"id":1,"name":"Subdivision","value":"Other"},{"id":4,"name":"Milepost","value":"0.0826"},{"id":17,"name":"Train ID","value":"54-26"},{"id":16,"name":"Locomotive ID","value":"4037"},{"id":130,"name":"Impact","value":""},{"id":150,"name":"Time of Event (Mountain Time)","value":"17:09:41"},{"id":151,"name":"Denver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41" t="str">
        <f t="shared" si="7"/>
        <v>grep -hSE -A100 "Enforcement Action" "%USERPROFILE%\AppData\Local\Temp\OnboardLogs"\RTDC4037\*4037*201610262* | grep -SE "((Enforcement Ac)|(PRM))" -</v>
      </c>
      <c r="AD44" s="1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</sheetData>
  <autoFilter ref="A6:AC36">
    <sortState ref="A7:AC44">
      <sortCondition ref="W7:W44"/>
      <sortCondition ref="E7:E44"/>
      <sortCondition ref="K7:K44"/>
      <sortCondition ref="F7:F44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53:O1048576">
    <cfRule type="cellIs" dxfId="3" priority="17" operator="equal">
      <formula>"Y"</formula>
    </cfRule>
  </conditionalFormatting>
  <conditionalFormatting sqref="O2:O3">
    <cfRule type="cellIs" dxfId="2" priority="8" operator="equal">
      <formula>"Y"</formula>
    </cfRule>
  </conditionalFormatting>
  <conditionalFormatting sqref="O7:O44">
    <cfRule type="cellIs" dxfId="1" priority="2" operator="equal">
      <formula>"Y"</formula>
    </cfRule>
  </conditionalFormatting>
  <conditionalFormatting sqref="A7:P44">
    <cfRule type="expression" dxfId="0" priority="1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Values'!$C$2:$C$14</xm:f>
          </x14:formula1>
          <xm:sqref>AB7:AB44</xm:sqref>
        </x14:dataValidation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:A8"/>
    </sheetView>
  </sheetViews>
  <sheetFormatPr defaultRowHeight="15" x14ac:dyDescent="0.25"/>
  <cols>
    <col min="1" max="1" width="9.140625" style="165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8" t="str">
        <f>"Trips that did not appear in PTC Data "&amp;TEXT(Variables!$A$2,"YYYY-mm-dd")</f>
        <v>Trips that did not appear in PTC Data 2016-10-26</v>
      </c>
      <c r="C1" s="188"/>
      <c r="D1" s="188"/>
      <c r="E1" s="188"/>
      <c r="F1" s="188"/>
    </row>
    <row r="2" spans="1:11" s="24" customFormat="1" ht="45" x14ac:dyDescent="0.25">
      <c r="A2" s="168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s="21" customFormat="1" x14ac:dyDescent="0.25">
      <c r="A3" s="166"/>
      <c r="B3" s="47" t="str">
        <f>A3&amp;"-"&amp;IF(DAY(Variables!$A$2)&lt;10,0,"")&amp;DAY(Variables!$A$2)</f>
        <v>-26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3" s="31" t="e">
        <f>VLOOKUP(B3,'Train Runs'!$A$13:$A$100016,1,FALSE)</f>
        <v>#N/A</v>
      </c>
      <c r="K3" s="21" t="e">
        <f t="shared" ref="K3:K16" si="1">IF(VLOOKUP(A3,$K$55:$K$78,1,FALSE),"Cancelled")</f>
        <v>#N/A</v>
      </c>
    </row>
    <row r="4" spans="1:11" x14ac:dyDescent="0.25">
      <c r="A4" s="166"/>
      <c r="B4" s="47" t="str">
        <f>A4&amp;"-"&amp;IF(DAY(Variables!$A$2)&lt;10,0,"")&amp;DAY(Variables!$A$2)</f>
        <v>-26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4" s="31" t="e">
        <f>VLOOKUP(B4,'Train Runs'!$A$13:$A$100016,1,FALSE)</f>
        <v>#N/A</v>
      </c>
      <c r="K4" s="21" t="e">
        <f t="shared" si="1"/>
        <v>#N/A</v>
      </c>
    </row>
    <row r="5" spans="1:11" x14ac:dyDescent="0.25">
      <c r="A5" s="166"/>
      <c r="B5" s="47" t="str">
        <f>A5&amp;"-"&amp;IF(DAY(Variables!$A$2)&lt;10,0,"")&amp;DAY(Variables!$A$2)</f>
        <v>-26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5" s="31" t="e">
        <f>VLOOKUP(B5,'Train Runs'!$A$13:$A$100016,1,FALSE)</f>
        <v>#N/A</v>
      </c>
      <c r="K5" s="21" t="e">
        <f t="shared" si="1"/>
        <v>#N/A</v>
      </c>
    </row>
    <row r="6" spans="1:11" x14ac:dyDescent="0.25">
      <c r="A6" s="166"/>
      <c r="B6" s="47" t="str">
        <f>A6&amp;"-"&amp;IF(DAY(Variables!$A$2)&lt;10,0,"")&amp;DAY(Variables!$A$2)</f>
        <v>-26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6" s="31" t="e">
        <f>VLOOKUP(B6,'Train Runs'!$A$13:$A$100016,1,FALSE)</f>
        <v>#N/A</v>
      </c>
      <c r="K6" s="21" t="e">
        <f t="shared" si="1"/>
        <v>#N/A</v>
      </c>
    </row>
    <row r="7" spans="1:11" x14ac:dyDescent="0.25">
      <c r="A7" s="166"/>
      <c r="B7" s="47" t="str">
        <f>A7&amp;"-"&amp;IF(DAY(Variables!$A$2)&lt;10,0,"")&amp;DAY(Variables!$A$2)</f>
        <v>-26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7" s="31" t="e">
        <f>VLOOKUP(B7,'Train Runs'!$A$13:$A$100016,1,FALSE)</f>
        <v>#N/A</v>
      </c>
      <c r="K7" s="21" t="e">
        <f t="shared" si="1"/>
        <v>#N/A</v>
      </c>
    </row>
    <row r="8" spans="1:11" x14ac:dyDescent="0.25">
      <c r="A8" s="166"/>
      <c r="B8" s="47" t="str">
        <f>A8&amp;"-"&amp;IF(DAY(Variables!$A$2)&lt;10,0,"")&amp;DAY(Variables!$A$2)</f>
        <v>-26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8" s="31" t="e">
        <f>VLOOKUP(B8,'Train Runs'!$A$13:$A$100016,1,FALSE)</f>
        <v>#N/A</v>
      </c>
      <c r="K8" s="21" t="e">
        <f t="shared" si="1"/>
        <v>#N/A</v>
      </c>
    </row>
    <row r="9" spans="1:11" x14ac:dyDescent="0.25">
      <c r="A9" s="166"/>
      <c r="B9" s="47" t="str">
        <f>A9&amp;"-"&amp;IF(DAY(Variables!$A$2)&lt;10,0,"")&amp;DAY(Variables!$A$2)</f>
        <v>-26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9" s="31" t="e">
        <f>VLOOKUP(B9,'Train Runs'!$A$13:$A$100016,1,FALSE)</f>
        <v>#N/A</v>
      </c>
      <c r="K9" s="21" t="e">
        <f t="shared" si="1"/>
        <v>#N/A</v>
      </c>
    </row>
    <row r="10" spans="1:11" x14ac:dyDescent="0.25">
      <c r="A10" s="166"/>
      <c r="B10" s="47" t="str">
        <f>A10&amp;"-"&amp;IF(DAY(Variables!$A$2)&lt;10,0,"")&amp;DAY(Variables!$A$2)</f>
        <v>-26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0" s="31" t="e">
        <f>VLOOKUP(B10,'Train Runs'!$A$13:$A$100016,1,FALSE)</f>
        <v>#N/A</v>
      </c>
      <c r="K10" s="21" t="e">
        <f t="shared" si="1"/>
        <v>#N/A</v>
      </c>
    </row>
    <row r="11" spans="1:11" x14ac:dyDescent="0.25">
      <c r="A11" s="166"/>
      <c r="B11" s="47" t="str">
        <f>A11&amp;"-"&amp;IF(DAY(Variables!$A$2)&lt;10,0,"")&amp;DAY(Variables!$A$2)</f>
        <v>-26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1" s="31" t="e">
        <f>VLOOKUP(B11,'Train Runs'!$A$13:$A$100016,1,FALSE)</f>
        <v>#N/A</v>
      </c>
      <c r="K11" s="21" t="e">
        <f t="shared" si="1"/>
        <v>#N/A</v>
      </c>
    </row>
    <row r="12" spans="1:11" x14ac:dyDescent="0.25">
      <c r="A12" s="166"/>
      <c r="B12" s="47" t="str">
        <f>A12&amp;"-"&amp;IF(DAY(Variables!$A$2)&lt;10,0,"")&amp;DAY(Variables!$A$2)</f>
        <v>-26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2" s="31" t="e">
        <f>VLOOKUP(B12,'Train Runs'!$A$13:$A$100016,1,FALSE)</f>
        <v>#N/A</v>
      </c>
      <c r="K12" s="21" t="e">
        <f t="shared" si="1"/>
        <v>#N/A</v>
      </c>
    </row>
    <row r="13" spans="1:11" x14ac:dyDescent="0.25">
      <c r="A13" s="166"/>
      <c r="B13" s="47" t="str">
        <f>A13&amp;"-"&amp;IF(DAY(Variables!$A$2)&lt;10,0,"")&amp;DAY(Variables!$A$2)</f>
        <v>-26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3" s="31" t="e">
        <f>VLOOKUP(B13,'Train Runs'!$A$13:$A$100016,1,FALSE)</f>
        <v>#N/A</v>
      </c>
      <c r="K13" s="21" t="e">
        <f t="shared" si="1"/>
        <v>#N/A</v>
      </c>
    </row>
    <row r="14" spans="1:11" x14ac:dyDescent="0.25">
      <c r="A14" s="166"/>
      <c r="B14" s="47" t="str">
        <f>A14&amp;"-"&amp;IF(DAY(Variables!$A$2)&lt;10,0,"")&amp;DAY(Variables!$A$2)</f>
        <v>-26</v>
      </c>
      <c r="C14" s="161"/>
      <c r="D14" s="162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4" s="31" t="e">
        <f>VLOOKUP(B14,'Train Runs'!$A$13:$A$100016,1,FALSE)</f>
        <v>#N/A</v>
      </c>
      <c r="K14" s="21" t="e">
        <f t="shared" si="1"/>
        <v>#N/A</v>
      </c>
    </row>
    <row r="15" spans="1:11" x14ac:dyDescent="0.25">
      <c r="A15" s="166"/>
      <c r="B15" s="47" t="str">
        <f>A15&amp;"-"&amp;IF(DAY(Variables!$A$2)&lt;10,0,"")&amp;DAY(Variables!$A$2)</f>
        <v>-26</v>
      </c>
      <c r="C15" s="161"/>
      <c r="D15" s="162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5" s="31" t="e">
        <f>VLOOKUP(B15,'Train Runs'!$A$13:$A$100016,1,FALSE)</f>
        <v>#N/A</v>
      </c>
      <c r="K15" s="21" t="e">
        <f t="shared" si="1"/>
        <v>#N/A</v>
      </c>
    </row>
    <row r="16" spans="1:11" x14ac:dyDescent="0.25">
      <c r="A16" s="166"/>
      <c r="B16" s="47" t="str">
        <f>A16&amp;"-"&amp;IF(DAY(Variables!$A$2)&lt;10,0,"")&amp;DAY(Variables!$A$2)</f>
        <v>-26</v>
      </c>
      <c r="C16" s="161"/>
      <c r="D16" s="162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-26%22)),sort:!(Time,asc))</v>
      </c>
      <c r="J16" s="31" t="e">
        <f>VLOOKUP(B16,'Train Runs'!$A$13:$A$100016,1,FALSE)</f>
        <v>#N/A</v>
      </c>
      <c r="K16" s="21" t="e">
        <f t="shared" si="1"/>
        <v>#N/A</v>
      </c>
    </row>
    <row r="17" spans="3:9" x14ac:dyDescent="0.25">
      <c r="C17" s="110"/>
      <c r="D17" s="110"/>
      <c r="E17" s="31"/>
      <c r="F17" s="22"/>
      <c r="G17" s="22"/>
      <c r="H17" s="30"/>
      <c r="I17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183</v>
      </c>
      <c r="B1" s="21" t="s">
        <v>184</v>
      </c>
      <c r="C1" s="21" t="s">
        <v>0</v>
      </c>
      <c r="D1" s="21" t="s">
        <v>185</v>
      </c>
      <c r="E1" s="21" t="s">
        <v>186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42669.036111111112</v>
      </c>
      <c r="B2" s="21" t="s">
        <v>247</v>
      </c>
      <c r="C2" s="21" t="s">
        <v>344</v>
      </c>
      <c r="D2" s="21">
        <v>1230000</v>
      </c>
      <c r="E2" s="21" t="s">
        <v>211</v>
      </c>
      <c r="F2" s="21" t="str">
        <f t="shared" ref="F2:F65" si="0">B2</f>
        <v>rtdc.l.rtdc.4041:itc</v>
      </c>
      <c r="G2" s="8">
        <f t="shared" ref="G2:G65" si="1">A2</f>
        <v>42669.036111111112</v>
      </c>
    </row>
    <row r="3" spans="1:7" x14ac:dyDescent="0.25">
      <c r="A3" s="8">
        <v>42669.047858796293</v>
      </c>
      <c r="B3" s="21" t="s">
        <v>308</v>
      </c>
      <c r="C3" s="21" t="s">
        <v>345</v>
      </c>
      <c r="D3" s="21">
        <v>2350000</v>
      </c>
      <c r="E3" s="21" t="s">
        <v>256</v>
      </c>
      <c r="F3" s="21" t="str">
        <f t="shared" si="0"/>
        <v>rtdc.l.rtdc.4002:itc</v>
      </c>
      <c r="G3" s="8">
        <f t="shared" si="1"/>
        <v>42669.047858796293</v>
      </c>
    </row>
    <row r="4" spans="1:7" x14ac:dyDescent="0.25">
      <c r="A4" s="8">
        <v>42669.054270833331</v>
      </c>
      <c r="B4" s="21" t="s">
        <v>242</v>
      </c>
      <c r="C4" s="21" t="s">
        <v>346</v>
      </c>
      <c r="D4" s="21">
        <v>2370000</v>
      </c>
      <c r="E4" s="21" t="s">
        <v>260</v>
      </c>
      <c r="F4" s="21" t="str">
        <f t="shared" si="0"/>
        <v>rtdc.l.rtdc.4028:itc</v>
      </c>
      <c r="G4" s="8">
        <f t="shared" si="1"/>
        <v>42669.054270833331</v>
      </c>
    </row>
    <row r="5" spans="1:7" x14ac:dyDescent="0.25">
      <c r="A5" s="8">
        <v>42669.067465277774</v>
      </c>
      <c r="B5" s="21" t="s">
        <v>246</v>
      </c>
      <c r="C5" s="21" t="s">
        <v>347</v>
      </c>
      <c r="D5" s="21">
        <v>1230000</v>
      </c>
      <c r="E5" s="21" t="s">
        <v>211</v>
      </c>
      <c r="F5" s="21" t="str">
        <f t="shared" si="0"/>
        <v>rtdc.l.rtdc.4042:itc</v>
      </c>
      <c r="G5" s="8">
        <f t="shared" si="1"/>
        <v>42669.067465277774</v>
      </c>
    </row>
    <row r="6" spans="1:7" x14ac:dyDescent="0.25">
      <c r="A6" s="8">
        <v>42669.105868055558</v>
      </c>
      <c r="B6" s="21" t="s">
        <v>156</v>
      </c>
      <c r="C6" s="21" t="s">
        <v>348</v>
      </c>
      <c r="D6" s="21">
        <v>780000</v>
      </c>
      <c r="E6" s="21" t="s">
        <v>349</v>
      </c>
      <c r="F6" s="21" t="str">
        <f t="shared" si="0"/>
        <v>rtdc.l.rtdc.4051:itc</v>
      </c>
      <c r="G6" s="8">
        <f t="shared" si="1"/>
        <v>42669.105868055558</v>
      </c>
    </row>
    <row r="7" spans="1:7" x14ac:dyDescent="0.25">
      <c r="A7" s="8">
        <v>42669.120821759258</v>
      </c>
      <c r="B7" s="21" t="s">
        <v>210</v>
      </c>
      <c r="C7" s="21" t="s">
        <v>441</v>
      </c>
      <c r="D7" s="21">
        <v>2010000</v>
      </c>
      <c r="E7" s="21" t="s">
        <v>442</v>
      </c>
      <c r="F7" s="21" t="str">
        <f t="shared" si="0"/>
        <v>rtdc.l.rtdc.4039:itc</v>
      </c>
      <c r="G7" s="8">
        <f t="shared" si="1"/>
        <v>42669.120821759258</v>
      </c>
    </row>
    <row r="8" spans="1:7" x14ac:dyDescent="0.25">
      <c r="A8" s="8">
        <v>42669.14335648148</v>
      </c>
      <c r="B8" s="21" t="s">
        <v>430</v>
      </c>
      <c r="C8" s="21" t="s">
        <v>443</v>
      </c>
      <c r="D8" s="21">
        <v>1260000</v>
      </c>
      <c r="E8" s="21" t="s">
        <v>293</v>
      </c>
      <c r="F8" s="21" t="str">
        <f t="shared" si="0"/>
        <v>rtdc.l.rtdc.4012:itc</v>
      </c>
      <c r="G8" s="8">
        <f t="shared" si="1"/>
        <v>42669.14335648148</v>
      </c>
    </row>
    <row r="9" spans="1:7" ht="15.75" thickBot="1" x14ac:dyDescent="0.3">
      <c r="A9" s="25">
        <v>42669.153310185182</v>
      </c>
      <c r="B9" s="21" t="s">
        <v>265</v>
      </c>
      <c r="C9" s="21" t="s">
        <v>404</v>
      </c>
      <c r="D9" s="21">
        <v>1260000</v>
      </c>
      <c r="E9" s="21" t="s">
        <v>293</v>
      </c>
      <c r="F9" s="21" t="str">
        <f t="shared" si="0"/>
        <v>rtdc.l.rtdc.4016:itc</v>
      </c>
      <c r="G9" s="8">
        <f t="shared" si="1"/>
        <v>42669.153310185182</v>
      </c>
    </row>
    <row r="10" spans="1:7" x14ac:dyDescent="0.25">
      <c r="A10" s="8">
        <v>42669.160462962966</v>
      </c>
      <c r="B10" s="21" t="s">
        <v>334</v>
      </c>
      <c r="C10" s="21" t="s">
        <v>402</v>
      </c>
      <c r="D10" s="21">
        <v>1760000</v>
      </c>
      <c r="E10" s="21" t="s">
        <v>444</v>
      </c>
      <c r="F10" s="21" t="str">
        <f t="shared" si="0"/>
        <v>rtdc.l.rtdc.4045:itc</v>
      </c>
      <c r="G10" s="8">
        <f t="shared" si="1"/>
        <v>42669.160462962966</v>
      </c>
    </row>
    <row r="11" spans="1:7" x14ac:dyDescent="0.25">
      <c r="A11" s="8">
        <v>42669.163263888891</v>
      </c>
      <c r="B11" s="21" t="s">
        <v>334</v>
      </c>
      <c r="C11" s="21" t="s">
        <v>402</v>
      </c>
      <c r="D11" s="21">
        <v>1760000</v>
      </c>
      <c r="E11" s="21" t="s">
        <v>444</v>
      </c>
      <c r="F11" s="21" t="str">
        <f t="shared" si="0"/>
        <v>rtdc.l.rtdc.4045:itc</v>
      </c>
      <c r="G11" s="8">
        <f t="shared" si="1"/>
        <v>42669.163263888891</v>
      </c>
    </row>
    <row r="12" spans="1:7" x14ac:dyDescent="0.25">
      <c r="A12" s="8">
        <v>42669.165543981479</v>
      </c>
      <c r="B12" s="21" t="s">
        <v>334</v>
      </c>
      <c r="C12" s="21" t="s">
        <v>402</v>
      </c>
      <c r="D12" s="21">
        <v>1760000</v>
      </c>
      <c r="E12" s="21" t="s">
        <v>444</v>
      </c>
      <c r="F12" s="21" t="str">
        <f t="shared" si="0"/>
        <v>rtdc.l.rtdc.4045:itc</v>
      </c>
      <c r="G12" s="8">
        <f t="shared" si="1"/>
        <v>42669.165543981479</v>
      </c>
    </row>
    <row r="13" spans="1:7" x14ac:dyDescent="0.25">
      <c r="A13" s="8">
        <v>42669.171678240738</v>
      </c>
      <c r="B13" s="21" t="s">
        <v>192</v>
      </c>
      <c r="C13" s="21" t="s">
        <v>403</v>
      </c>
      <c r="D13" s="21">
        <v>1090000</v>
      </c>
      <c r="E13" s="21" t="s">
        <v>312</v>
      </c>
      <c r="F13" s="21" t="str">
        <f t="shared" si="0"/>
        <v>rtdc.l.rtdc.4010:itc</v>
      </c>
      <c r="G13" s="8">
        <f t="shared" si="1"/>
        <v>42669.171678240738</v>
      </c>
    </row>
    <row r="14" spans="1:7" x14ac:dyDescent="0.25">
      <c r="A14" s="8">
        <v>42669.173981481479</v>
      </c>
      <c r="B14" s="21" t="s">
        <v>210</v>
      </c>
      <c r="C14" s="21" t="s">
        <v>445</v>
      </c>
      <c r="D14" s="21">
        <v>2010000</v>
      </c>
      <c r="E14" s="21" t="s">
        <v>442</v>
      </c>
      <c r="F14" s="21" t="str">
        <f t="shared" si="0"/>
        <v>rtdc.l.rtdc.4039:itc</v>
      </c>
      <c r="G14" s="8">
        <f t="shared" si="1"/>
        <v>42669.173981481479</v>
      </c>
    </row>
    <row r="15" spans="1:7" x14ac:dyDescent="0.25">
      <c r="A15" s="8">
        <v>42669.176296296297</v>
      </c>
      <c r="B15" s="21" t="s">
        <v>340</v>
      </c>
      <c r="C15" s="21" t="s">
        <v>446</v>
      </c>
      <c r="D15" s="21">
        <v>1760000</v>
      </c>
      <c r="E15" s="21" t="s">
        <v>444</v>
      </c>
      <c r="F15" s="21" t="str">
        <f t="shared" si="0"/>
        <v>rtdc.l.rtdc.4031:itc</v>
      </c>
      <c r="G15" s="8">
        <f t="shared" si="1"/>
        <v>42669.176296296297</v>
      </c>
    </row>
    <row r="16" spans="1:7" x14ac:dyDescent="0.25">
      <c r="A16" s="8">
        <v>42669.180775462963</v>
      </c>
      <c r="B16" s="21" t="s">
        <v>309</v>
      </c>
      <c r="C16" s="21" t="s">
        <v>447</v>
      </c>
      <c r="D16" s="21">
        <v>2030000</v>
      </c>
      <c r="E16" s="21" t="s">
        <v>311</v>
      </c>
      <c r="F16" s="21" t="str">
        <f t="shared" si="0"/>
        <v>rtdc.l.rtdc.4001:itc</v>
      </c>
      <c r="G16" s="8">
        <f t="shared" si="1"/>
        <v>42669.180775462963</v>
      </c>
    </row>
    <row r="17" spans="1:7" x14ac:dyDescent="0.25">
      <c r="A17" s="8">
        <v>42669.183518518519</v>
      </c>
      <c r="B17" s="21" t="s">
        <v>193</v>
      </c>
      <c r="C17" s="21" t="s">
        <v>448</v>
      </c>
      <c r="D17" s="21">
        <v>1090000</v>
      </c>
      <c r="E17" s="21" t="s">
        <v>312</v>
      </c>
      <c r="F17" s="21" t="str">
        <f t="shared" si="0"/>
        <v>rtdc.l.rtdc.4009:itc</v>
      </c>
      <c r="G17" s="8">
        <f t="shared" si="1"/>
        <v>42669.183518518519</v>
      </c>
    </row>
    <row r="18" spans="1:7" x14ac:dyDescent="0.25">
      <c r="A18" s="8">
        <v>42669.189756944441</v>
      </c>
      <c r="B18" s="21" t="s">
        <v>430</v>
      </c>
      <c r="C18" s="21" t="s">
        <v>449</v>
      </c>
      <c r="D18" s="21">
        <v>1260000</v>
      </c>
      <c r="E18" s="21" t="s">
        <v>293</v>
      </c>
      <c r="F18" s="21" t="str">
        <f t="shared" si="0"/>
        <v>rtdc.l.rtdc.4012:itc</v>
      </c>
      <c r="G18" s="8">
        <f t="shared" si="1"/>
        <v>42669.189756944441</v>
      </c>
    </row>
    <row r="19" spans="1:7" x14ac:dyDescent="0.25">
      <c r="A19" s="8">
        <v>42669.193668981483</v>
      </c>
      <c r="B19" s="21" t="s">
        <v>308</v>
      </c>
      <c r="C19" s="21" t="s">
        <v>450</v>
      </c>
      <c r="D19" s="21">
        <v>2030000</v>
      </c>
      <c r="E19" s="21" t="s">
        <v>311</v>
      </c>
      <c r="F19" s="21" t="str">
        <f t="shared" si="0"/>
        <v>rtdc.l.rtdc.4002:itc</v>
      </c>
      <c r="G19" s="8">
        <f t="shared" si="1"/>
        <v>42669.193668981483</v>
      </c>
    </row>
    <row r="20" spans="1:7" x14ac:dyDescent="0.25">
      <c r="A20" s="8">
        <v>42669.195520833331</v>
      </c>
      <c r="B20" s="21" t="s">
        <v>308</v>
      </c>
      <c r="C20" s="21" t="s">
        <v>450</v>
      </c>
      <c r="D20" s="21">
        <v>2030000</v>
      </c>
      <c r="E20" s="21" t="s">
        <v>311</v>
      </c>
      <c r="F20" s="21" t="str">
        <f t="shared" si="0"/>
        <v>rtdc.l.rtdc.4002:itc</v>
      </c>
      <c r="G20" s="8">
        <f t="shared" si="1"/>
        <v>42669.195520833331</v>
      </c>
    </row>
    <row r="21" spans="1:7" x14ac:dyDescent="0.25">
      <c r="A21" s="8">
        <v>42669.203287037039</v>
      </c>
      <c r="B21" s="21" t="s">
        <v>196</v>
      </c>
      <c r="C21" s="21" t="s">
        <v>405</v>
      </c>
      <c r="D21" s="21">
        <v>1110000</v>
      </c>
      <c r="E21" s="21" t="s">
        <v>302</v>
      </c>
      <c r="F21" s="21" t="str">
        <f t="shared" si="0"/>
        <v>rtdc.l.rtdc.4007:itc</v>
      </c>
      <c r="G21" s="8">
        <f t="shared" si="1"/>
        <v>42669.203287037039</v>
      </c>
    </row>
    <row r="22" spans="1:7" x14ac:dyDescent="0.25">
      <c r="A22" s="27">
        <v>42669.204398148147</v>
      </c>
      <c r="B22" s="21" t="s">
        <v>196</v>
      </c>
      <c r="C22" s="21" t="s">
        <v>405</v>
      </c>
      <c r="D22" s="21">
        <v>1110000</v>
      </c>
      <c r="E22" s="21" t="s">
        <v>302</v>
      </c>
      <c r="F22" s="21" t="str">
        <f t="shared" si="0"/>
        <v>rtdc.l.rtdc.4007:itc</v>
      </c>
      <c r="G22" s="8">
        <f t="shared" si="1"/>
        <v>42669.204398148147</v>
      </c>
    </row>
    <row r="23" spans="1:7" x14ac:dyDescent="0.25">
      <c r="A23" s="8">
        <v>42669.206053240741</v>
      </c>
      <c r="B23" s="21" t="s">
        <v>196</v>
      </c>
      <c r="C23" s="21" t="s">
        <v>451</v>
      </c>
      <c r="D23" s="21">
        <v>1110000</v>
      </c>
      <c r="E23" s="21" t="s">
        <v>302</v>
      </c>
      <c r="F23" s="21" t="str">
        <f t="shared" si="0"/>
        <v>rtdc.l.rtdc.4007:itc</v>
      </c>
      <c r="G23" s="8">
        <f t="shared" si="1"/>
        <v>42669.206053240741</v>
      </c>
    </row>
    <row r="24" spans="1:7" x14ac:dyDescent="0.25">
      <c r="A24" s="8">
        <v>42669.209953703707</v>
      </c>
      <c r="B24" s="21" t="s">
        <v>334</v>
      </c>
      <c r="C24" s="21" t="s">
        <v>452</v>
      </c>
      <c r="D24" s="21">
        <v>1760000</v>
      </c>
      <c r="E24" s="21" t="s">
        <v>444</v>
      </c>
      <c r="F24" s="21" t="str">
        <f t="shared" si="0"/>
        <v>rtdc.l.rtdc.4045:itc</v>
      </c>
      <c r="G24" s="8">
        <f t="shared" si="1"/>
        <v>42669.209953703707</v>
      </c>
    </row>
    <row r="25" spans="1:7" x14ac:dyDescent="0.25">
      <c r="A25" s="8">
        <v>42669.215173611112</v>
      </c>
      <c r="B25" s="21" t="s">
        <v>433</v>
      </c>
      <c r="C25" s="21" t="s">
        <v>453</v>
      </c>
      <c r="D25" s="21">
        <v>2010000</v>
      </c>
      <c r="E25" s="21" t="s">
        <v>442</v>
      </c>
      <c r="F25" s="21" t="str">
        <f t="shared" si="0"/>
        <v>rtdc.l.rtdc.4040:itc</v>
      </c>
      <c r="G25" s="8">
        <f t="shared" si="1"/>
        <v>42669.215173611112</v>
      </c>
    </row>
    <row r="26" spans="1:7" x14ac:dyDescent="0.25">
      <c r="A26" s="8">
        <v>42669.21607638889</v>
      </c>
      <c r="B26" s="21" t="s">
        <v>338</v>
      </c>
      <c r="C26" s="21" t="s">
        <v>405</v>
      </c>
      <c r="D26" s="21">
        <v>1110000</v>
      </c>
      <c r="E26" s="21" t="s">
        <v>302</v>
      </c>
      <c r="F26" s="21" t="str">
        <f t="shared" si="0"/>
        <v>rtdc.l.rtdc.4008:itc</v>
      </c>
      <c r="G26" s="8">
        <f t="shared" si="1"/>
        <v>42669.21607638889</v>
      </c>
    </row>
    <row r="27" spans="1:7" x14ac:dyDescent="0.25">
      <c r="A27" s="8">
        <v>42669.222662037035</v>
      </c>
      <c r="B27" s="21" t="s">
        <v>192</v>
      </c>
      <c r="C27" s="21" t="s">
        <v>454</v>
      </c>
      <c r="D27" s="21">
        <v>1090000</v>
      </c>
      <c r="E27" s="21" t="s">
        <v>312</v>
      </c>
      <c r="F27" s="21" t="str">
        <f t="shared" si="0"/>
        <v>rtdc.l.rtdc.4010:itc</v>
      </c>
      <c r="G27" s="8">
        <f t="shared" si="1"/>
        <v>42669.222662037035</v>
      </c>
    </row>
    <row r="28" spans="1:7" x14ac:dyDescent="0.25">
      <c r="A28" s="8">
        <v>42669.227048611108</v>
      </c>
      <c r="B28" s="21" t="s">
        <v>265</v>
      </c>
      <c r="C28" s="21" t="s">
        <v>406</v>
      </c>
      <c r="D28" s="21">
        <v>2450000</v>
      </c>
      <c r="E28" s="21" t="s">
        <v>342</v>
      </c>
      <c r="F28" s="21" t="str">
        <f t="shared" si="0"/>
        <v>rtdc.l.rtdc.4016:itc</v>
      </c>
      <c r="G28" s="8">
        <f t="shared" si="1"/>
        <v>42669.227048611108</v>
      </c>
    </row>
    <row r="29" spans="1:7" x14ac:dyDescent="0.25">
      <c r="A29" s="8">
        <v>42669.22934027778</v>
      </c>
      <c r="B29" s="21" t="s">
        <v>309</v>
      </c>
      <c r="C29" s="21" t="s">
        <v>455</v>
      </c>
      <c r="D29" s="21">
        <v>2030000</v>
      </c>
      <c r="E29" s="21" t="s">
        <v>311</v>
      </c>
      <c r="F29" s="21" t="str">
        <f t="shared" si="0"/>
        <v>rtdc.l.rtdc.4001:itc</v>
      </c>
      <c r="G29" s="8">
        <f t="shared" si="1"/>
        <v>42669.22934027778</v>
      </c>
    </row>
    <row r="30" spans="1:7" x14ac:dyDescent="0.25">
      <c r="A30" s="8">
        <v>42669.234155092592</v>
      </c>
      <c r="B30" s="21" t="s">
        <v>292</v>
      </c>
      <c r="C30" s="21" t="s">
        <v>456</v>
      </c>
      <c r="D30" s="21">
        <v>1260000</v>
      </c>
      <c r="E30" s="21" t="s">
        <v>293</v>
      </c>
      <c r="F30" s="21" t="str">
        <f t="shared" si="0"/>
        <v>rtdc.l.rtdc.4011:itc</v>
      </c>
      <c r="G30" s="8">
        <f t="shared" si="1"/>
        <v>42669.234155092592</v>
      </c>
    </row>
    <row r="31" spans="1:7" x14ac:dyDescent="0.25">
      <c r="A31" s="8">
        <v>42669.238749999997</v>
      </c>
      <c r="B31" s="21" t="s">
        <v>255</v>
      </c>
      <c r="C31" s="21" t="s">
        <v>457</v>
      </c>
      <c r="D31" s="21">
        <v>900000</v>
      </c>
      <c r="E31" s="21" t="s">
        <v>313</v>
      </c>
      <c r="F31" s="21" t="str">
        <f t="shared" si="0"/>
        <v>rtdc.l.rtdc.4030:itc</v>
      </c>
      <c r="G31" s="8">
        <f t="shared" si="1"/>
        <v>42669.238749999997</v>
      </c>
    </row>
    <row r="32" spans="1:7" x14ac:dyDescent="0.25">
      <c r="A32" s="8">
        <v>42669.239791666667</v>
      </c>
      <c r="B32" s="21" t="s">
        <v>265</v>
      </c>
      <c r="C32" s="21" t="s">
        <v>406</v>
      </c>
      <c r="D32" s="21">
        <v>2450000</v>
      </c>
      <c r="E32" s="21" t="s">
        <v>342</v>
      </c>
      <c r="F32" s="21" t="str">
        <f t="shared" si="0"/>
        <v>rtdc.l.rtdc.4016:itc</v>
      </c>
      <c r="G32" s="8">
        <f t="shared" si="1"/>
        <v>42669.239791666667</v>
      </c>
    </row>
    <row r="33" spans="1:7" x14ac:dyDescent="0.25">
      <c r="A33" s="8">
        <v>42669.244247685187</v>
      </c>
      <c r="B33" s="21" t="s">
        <v>254</v>
      </c>
      <c r="C33" s="21" t="s">
        <v>457</v>
      </c>
      <c r="D33" s="21">
        <v>900000</v>
      </c>
      <c r="E33" s="21" t="s">
        <v>313</v>
      </c>
      <c r="F33" s="21" t="str">
        <f t="shared" si="0"/>
        <v>rtdc.l.rtdc.4029:itc</v>
      </c>
      <c r="G33" s="8">
        <f t="shared" si="1"/>
        <v>42669.244247685187</v>
      </c>
    </row>
    <row r="34" spans="1:7" x14ac:dyDescent="0.25">
      <c r="A34" s="8">
        <v>42669.244942129626</v>
      </c>
      <c r="B34" s="21" t="s">
        <v>254</v>
      </c>
      <c r="C34" s="21" t="s">
        <v>409</v>
      </c>
      <c r="D34" s="21">
        <v>900000</v>
      </c>
      <c r="E34" s="21" t="s">
        <v>313</v>
      </c>
      <c r="F34" s="21" t="str">
        <f t="shared" si="0"/>
        <v>rtdc.l.rtdc.4029:itc</v>
      </c>
      <c r="G34" s="8">
        <f t="shared" si="1"/>
        <v>42669.244942129626</v>
      </c>
    </row>
    <row r="35" spans="1:7" x14ac:dyDescent="0.25">
      <c r="A35" s="8">
        <v>42669.245127314818</v>
      </c>
      <c r="B35" s="21" t="s">
        <v>196</v>
      </c>
      <c r="C35" s="21" t="s">
        <v>407</v>
      </c>
      <c r="D35" s="21">
        <v>1110000</v>
      </c>
      <c r="E35" s="21" t="s">
        <v>302</v>
      </c>
      <c r="F35" s="21" t="str">
        <f t="shared" si="0"/>
        <v>rtdc.l.rtdc.4007:itc</v>
      </c>
      <c r="G35" s="8">
        <f t="shared" si="1"/>
        <v>42669.245127314818</v>
      </c>
    </row>
    <row r="36" spans="1:7" x14ac:dyDescent="0.25">
      <c r="A36" s="8">
        <v>42669.246701388889</v>
      </c>
      <c r="B36" s="21" t="s">
        <v>255</v>
      </c>
      <c r="C36" s="21" t="s">
        <v>457</v>
      </c>
      <c r="D36" s="21">
        <v>900000</v>
      </c>
      <c r="E36" s="21" t="s">
        <v>313</v>
      </c>
      <c r="F36" s="21" t="str">
        <f t="shared" si="0"/>
        <v>rtdc.l.rtdc.4030:itc</v>
      </c>
      <c r="G36" s="8">
        <f t="shared" si="1"/>
        <v>42669.246701388889</v>
      </c>
    </row>
    <row r="37" spans="1:7" x14ac:dyDescent="0.25">
      <c r="A37" s="8">
        <v>42669.248680555553</v>
      </c>
      <c r="B37" s="21" t="s">
        <v>340</v>
      </c>
      <c r="C37" s="21" t="s">
        <v>458</v>
      </c>
      <c r="D37" s="21">
        <v>1760000</v>
      </c>
      <c r="E37" s="21" t="s">
        <v>444</v>
      </c>
      <c r="F37" s="21" t="str">
        <f t="shared" si="0"/>
        <v>rtdc.l.rtdc.4031:itc</v>
      </c>
      <c r="G37" s="8">
        <f t="shared" si="1"/>
        <v>42669.248680555553</v>
      </c>
    </row>
    <row r="38" spans="1:7" x14ac:dyDescent="0.25">
      <c r="A38" s="8">
        <v>42669.249791666669</v>
      </c>
      <c r="B38" s="21" t="s">
        <v>210</v>
      </c>
      <c r="C38" s="21" t="s">
        <v>459</v>
      </c>
      <c r="D38" s="21">
        <v>2010000</v>
      </c>
      <c r="E38" s="21" t="s">
        <v>442</v>
      </c>
      <c r="F38" s="21" t="str">
        <f t="shared" si="0"/>
        <v>rtdc.l.rtdc.4039:itc</v>
      </c>
      <c r="G38" s="8">
        <f t="shared" si="1"/>
        <v>42669.249791666669</v>
      </c>
    </row>
    <row r="39" spans="1:7" x14ac:dyDescent="0.25">
      <c r="A39" s="8">
        <v>42669.251875000002</v>
      </c>
      <c r="B39" s="21" t="s">
        <v>258</v>
      </c>
      <c r="C39" s="21" t="s">
        <v>460</v>
      </c>
      <c r="D39" s="21">
        <v>1100000</v>
      </c>
      <c r="E39" s="21" t="s">
        <v>341</v>
      </c>
      <c r="F39" s="21" t="str">
        <f t="shared" si="0"/>
        <v>rtdc.l.rtdc.4054:itc</v>
      </c>
      <c r="G39" s="8">
        <f t="shared" si="1"/>
        <v>42669.251875000002</v>
      </c>
    </row>
    <row r="40" spans="1:7" x14ac:dyDescent="0.25">
      <c r="A40" s="8">
        <v>42669.256493055553</v>
      </c>
      <c r="B40" s="26" t="s">
        <v>338</v>
      </c>
      <c r="C40" s="21" t="s">
        <v>461</v>
      </c>
      <c r="D40" s="21">
        <v>1110000</v>
      </c>
      <c r="E40" s="21" t="s">
        <v>302</v>
      </c>
      <c r="F40" s="21" t="str">
        <f t="shared" si="0"/>
        <v>rtdc.l.rtdc.4008:itc</v>
      </c>
      <c r="G40" s="8">
        <f t="shared" si="1"/>
        <v>42669.256493055553</v>
      </c>
    </row>
    <row r="41" spans="1:7" x14ac:dyDescent="0.25">
      <c r="A41" s="8">
        <v>42669.257037037038</v>
      </c>
      <c r="B41" s="21" t="s">
        <v>193</v>
      </c>
      <c r="C41" s="21" t="s">
        <v>462</v>
      </c>
      <c r="D41" s="21">
        <v>1090000</v>
      </c>
      <c r="E41" s="21" t="s">
        <v>312</v>
      </c>
      <c r="F41" s="21" t="str">
        <f t="shared" si="0"/>
        <v>rtdc.l.rtdc.4009:itc</v>
      </c>
      <c r="G41" s="8">
        <f t="shared" si="1"/>
        <v>42669.257037037038</v>
      </c>
    </row>
    <row r="42" spans="1:7" x14ac:dyDescent="0.25">
      <c r="A42" s="8">
        <v>42669.258819444447</v>
      </c>
      <c r="B42" s="21" t="s">
        <v>266</v>
      </c>
      <c r="C42" s="21" t="s">
        <v>463</v>
      </c>
      <c r="D42" s="21">
        <v>1190000</v>
      </c>
      <c r="E42" s="21" t="s">
        <v>310</v>
      </c>
      <c r="F42" s="21" t="str">
        <f t="shared" si="0"/>
        <v>rtdc.l.rtdc.4015:itc</v>
      </c>
      <c r="G42" s="8">
        <f t="shared" si="1"/>
        <v>42669.258819444447</v>
      </c>
    </row>
    <row r="43" spans="1:7" x14ac:dyDescent="0.25">
      <c r="A43" s="8">
        <v>42669.262939814813</v>
      </c>
      <c r="B43" s="21" t="s">
        <v>259</v>
      </c>
      <c r="C43" s="21" t="s">
        <v>408</v>
      </c>
      <c r="D43" s="21">
        <v>1100000</v>
      </c>
      <c r="E43" s="21" t="s">
        <v>341</v>
      </c>
      <c r="F43" s="21" t="str">
        <f t="shared" si="0"/>
        <v>rtdc.l.rtdc.4053:itc</v>
      </c>
      <c r="G43" s="8">
        <f t="shared" si="1"/>
        <v>42669.262939814813</v>
      </c>
    </row>
    <row r="44" spans="1:7" x14ac:dyDescent="0.25">
      <c r="A44" s="8">
        <v>42669.264085648145</v>
      </c>
      <c r="B44" s="21" t="s">
        <v>259</v>
      </c>
      <c r="C44" s="21" t="s">
        <v>408</v>
      </c>
      <c r="D44" s="21">
        <v>1100000</v>
      </c>
      <c r="E44" s="21" t="s">
        <v>341</v>
      </c>
      <c r="F44" s="21" t="str">
        <f t="shared" si="0"/>
        <v>rtdc.l.rtdc.4053:itc</v>
      </c>
      <c r="G44" s="8">
        <f t="shared" si="1"/>
        <v>42669.264085648145</v>
      </c>
    </row>
    <row r="45" spans="1:7" x14ac:dyDescent="0.25">
      <c r="A45" s="8">
        <v>42669.266157407408</v>
      </c>
      <c r="B45" s="21" t="s">
        <v>308</v>
      </c>
      <c r="C45" s="21" t="s">
        <v>464</v>
      </c>
      <c r="D45" s="21">
        <v>2030000</v>
      </c>
      <c r="E45" s="21" t="s">
        <v>311</v>
      </c>
      <c r="F45" s="21" t="str">
        <f t="shared" si="0"/>
        <v>rtdc.l.rtdc.4002:itc</v>
      </c>
      <c r="G45" s="8">
        <f t="shared" si="1"/>
        <v>42669.266157407408</v>
      </c>
    </row>
    <row r="46" spans="1:7" x14ac:dyDescent="0.25">
      <c r="A46" s="8">
        <v>42669.27239583333</v>
      </c>
      <c r="B46" s="21" t="s">
        <v>430</v>
      </c>
      <c r="C46" s="21" t="s">
        <v>465</v>
      </c>
      <c r="D46" s="21">
        <v>1260000</v>
      </c>
      <c r="E46" s="21" t="s">
        <v>293</v>
      </c>
      <c r="F46" s="21" t="str">
        <f t="shared" si="0"/>
        <v>rtdc.l.rtdc.4012:itc</v>
      </c>
      <c r="G46" s="8">
        <f t="shared" si="1"/>
        <v>42669.27239583333</v>
      </c>
    </row>
    <row r="47" spans="1:7" x14ac:dyDescent="0.25">
      <c r="A47" s="8">
        <v>42669.275960648149</v>
      </c>
      <c r="B47" s="21" t="s">
        <v>258</v>
      </c>
      <c r="C47" s="21" t="s">
        <v>466</v>
      </c>
      <c r="D47" s="21">
        <v>1100000</v>
      </c>
      <c r="E47" s="21" t="s">
        <v>341</v>
      </c>
      <c r="F47" s="21" t="str">
        <f t="shared" si="0"/>
        <v>rtdc.l.rtdc.4054:itc</v>
      </c>
      <c r="G47" s="8">
        <f t="shared" si="1"/>
        <v>42669.275960648149</v>
      </c>
    </row>
    <row r="48" spans="1:7" x14ac:dyDescent="0.25">
      <c r="A48" s="8">
        <v>42669.276412037034</v>
      </c>
      <c r="B48" s="21" t="s">
        <v>196</v>
      </c>
      <c r="C48" s="21" t="s">
        <v>467</v>
      </c>
      <c r="D48" s="21">
        <v>1110000</v>
      </c>
      <c r="E48" s="21" t="s">
        <v>302</v>
      </c>
      <c r="F48" s="21" t="str">
        <f t="shared" si="0"/>
        <v>rtdc.l.rtdc.4007:itc</v>
      </c>
      <c r="G48" s="8">
        <f t="shared" si="1"/>
        <v>42669.276412037034</v>
      </c>
    </row>
    <row r="49" spans="1:7" x14ac:dyDescent="0.25">
      <c r="A49" s="8">
        <v>42669.279236111113</v>
      </c>
      <c r="B49" s="21" t="s">
        <v>254</v>
      </c>
      <c r="C49" s="21" t="s">
        <v>409</v>
      </c>
      <c r="D49" s="21">
        <v>900000</v>
      </c>
      <c r="E49" s="21" t="s">
        <v>313</v>
      </c>
      <c r="F49" s="21" t="str">
        <f t="shared" si="0"/>
        <v>rtdc.l.rtdc.4029:itc</v>
      </c>
      <c r="G49" s="8">
        <f t="shared" si="1"/>
        <v>42669.279236111113</v>
      </c>
    </row>
    <row r="50" spans="1:7" x14ac:dyDescent="0.25">
      <c r="A50" s="8">
        <v>42669.284456018519</v>
      </c>
      <c r="B50" s="21" t="s">
        <v>210</v>
      </c>
      <c r="C50" s="21" t="s">
        <v>459</v>
      </c>
      <c r="D50" s="21">
        <v>2010000</v>
      </c>
      <c r="E50" s="21" t="s">
        <v>442</v>
      </c>
      <c r="F50" s="21" t="str">
        <f t="shared" si="0"/>
        <v>rtdc.l.rtdc.4039:itc</v>
      </c>
      <c r="G50" s="8">
        <f t="shared" si="1"/>
        <v>42669.284456018519</v>
      </c>
    </row>
    <row r="51" spans="1:7" x14ac:dyDescent="0.25">
      <c r="A51" s="8">
        <v>42669.284768518519</v>
      </c>
      <c r="B51" s="21" t="s">
        <v>339</v>
      </c>
      <c r="C51" s="21" t="s">
        <v>458</v>
      </c>
      <c r="D51" s="21">
        <v>1760000</v>
      </c>
      <c r="E51" s="21" t="s">
        <v>444</v>
      </c>
      <c r="F51" s="21" t="str">
        <f t="shared" si="0"/>
        <v>rtdc.l.rtdc.4032:itc</v>
      </c>
      <c r="G51" s="8">
        <f t="shared" si="1"/>
        <v>42669.284768518519</v>
      </c>
    </row>
    <row r="52" spans="1:7" x14ac:dyDescent="0.25">
      <c r="A52" s="8">
        <v>42669.286736111113</v>
      </c>
      <c r="B52" s="21" t="s">
        <v>339</v>
      </c>
      <c r="C52" s="21" t="s">
        <v>458</v>
      </c>
      <c r="D52" s="21">
        <v>1760000</v>
      </c>
      <c r="E52" s="21" t="s">
        <v>444</v>
      </c>
      <c r="F52" s="21" t="str">
        <f t="shared" si="0"/>
        <v>rtdc.l.rtdc.4032:itc</v>
      </c>
      <c r="G52" s="8">
        <f t="shared" si="1"/>
        <v>42669.286736111113</v>
      </c>
    </row>
    <row r="53" spans="1:7" x14ac:dyDescent="0.25">
      <c r="A53" s="8">
        <v>42669.287731481483</v>
      </c>
      <c r="B53" s="21" t="s">
        <v>339</v>
      </c>
      <c r="C53" s="21" t="s">
        <v>410</v>
      </c>
      <c r="D53" s="21">
        <v>1760000</v>
      </c>
      <c r="E53" s="21" t="s">
        <v>444</v>
      </c>
      <c r="F53" s="21" t="str">
        <f t="shared" si="0"/>
        <v>rtdc.l.rtdc.4032:itc</v>
      </c>
      <c r="G53" s="8">
        <f t="shared" si="1"/>
        <v>42669.287731481483</v>
      </c>
    </row>
    <row r="54" spans="1:7" x14ac:dyDescent="0.25">
      <c r="A54" s="8">
        <v>42669.291006944448</v>
      </c>
      <c r="B54" s="21" t="s">
        <v>433</v>
      </c>
      <c r="C54" s="21" t="s">
        <v>468</v>
      </c>
      <c r="D54" s="21">
        <v>2010000</v>
      </c>
      <c r="E54" s="21" t="s">
        <v>442</v>
      </c>
      <c r="F54" s="21" t="str">
        <f t="shared" si="0"/>
        <v>rtdc.l.rtdc.4040:itc</v>
      </c>
      <c r="G54" s="8">
        <f t="shared" si="1"/>
        <v>42669.291006944448</v>
      </c>
    </row>
    <row r="55" spans="1:7" x14ac:dyDescent="0.25">
      <c r="A55" s="8">
        <v>42669.295347222222</v>
      </c>
      <c r="B55" s="21" t="s">
        <v>192</v>
      </c>
      <c r="C55" s="21" t="s">
        <v>469</v>
      </c>
      <c r="D55" s="21">
        <v>1090000</v>
      </c>
      <c r="E55" s="21" t="s">
        <v>312</v>
      </c>
      <c r="F55" s="21" t="str">
        <f t="shared" si="0"/>
        <v>rtdc.l.rtdc.4010:itc</v>
      </c>
      <c r="G55" s="8">
        <f t="shared" si="1"/>
        <v>42669.295347222222</v>
      </c>
    </row>
    <row r="56" spans="1:7" x14ac:dyDescent="0.25">
      <c r="A56" s="8">
        <v>42669.296076388891</v>
      </c>
      <c r="B56" s="21" t="s">
        <v>259</v>
      </c>
      <c r="C56" s="21" t="s">
        <v>470</v>
      </c>
      <c r="D56" s="21">
        <v>1100000</v>
      </c>
      <c r="E56" s="21" t="s">
        <v>341</v>
      </c>
      <c r="F56" s="21" t="str">
        <f t="shared" si="0"/>
        <v>rtdc.l.rtdc.4053:itc</v>
      </c>
      <c r="G56" s="8">
        <f t="shared" si="1"/>
        <v>42669.296076388891</v>
      </c>
    </row>
    <row r="57" spans="1:7" x14ac:dyDescent="0.25">
      <c r="A57" s="8">
        <v>42669.296759259261</v>
      </c>
      <c r="B57" s="21" t="s">
        <v>338</v>
      </c>
      <c r="C57" s="21" t="s">
        <v>411</v>
      </c>
      <c r="D57" s="21">
        <v>1110000</v>
      </c>
      <c r="E57" s="21" t="s">
        <v>302</v>
      </c>
      <c r="F57" s="21" t="str">
        <f t="shared" si="0"/>
        <v>rtdc.l.rtdc.4008:itc</v>
      </c>
      <c r="G57" s="8">
        <f t="shared" si="1"/>
        <v>42669.296759259261</v>
      </c>
    </row>
    <row r="58" spans="1:7" x14ac:dyDescent="0.25">
      <c r="A58" s="8">
        <v>42669.298055555555</v>
      </c>
      <c r="B58" s="21" t="s">
        <v>265</v>
      </c>
      <c r="C58" s="21" t="s">
        <v>412</v>
      </c>
      <c r="D58" s="21">
        <v>2450000</v>
      </c>
      <c r="E58" s="21" t="s">
        <v>342</v>
      </c>
      <c r="F58" s="21" t="str">
        <f t="shared" si="0"/>
        <v>rtdc.l.rtdc.4016:itc</v>
      </c>
      <c r="G58" s="8">
        <f t="shared" si="1"/>
        <v>42669.298055555555</v>
      </c>
    </row>
    <row r="59" spans="1:7" x14ac:dyDescent="0.25">
      <c r="A59" s="8">
        <v>42669.3049537037</v>
      </c>
      <c r="B59" s="21" t="s">
        <v>309</v>
      </c>
      <c r="C59" s="21" t="s">
        <v>471</v>
      </c>
      <c r="D59" s="21">
        <v>2030000</v>
      </c>
      <c r="E59" s="21" t="s">
        <v>311</v>
      </c>
      <c r="F59" s="21" t="str">
        <f t="shared" si="0"/>
        <v>rtdc.l.rtdc.4001:itc</v>
      </c>
      <c r="G59" s="8">
        <f t="shared" si="1"/>
        <v>42669.3049537037</v>
      </c>
    </row>
    <row r="60" spans="1:7" x14ac:dyDescent="0.25">
      <c r="A60" s="8">
        <v>42669.310520833336</v>
      </c>
      <c r="B60" s="21" t="s">
        <v>292</v>
      </c>
      <c r="C60" s="21" t="s">
        <v>472</v>
      </c>
      <c r="D60" s="21">
        <v>1260000</v>
      </c>
      <c r="E60" s="21" t="s">
        <v>293</v>
      </c>
      <c r="F60" s="21" t="str">
        <f t="shared" si="0"/>
        <v>rtdc.l.rtdc.4011:itc</v>
      </c>
      <c r="G60" s="8">
        <f t="shared" si="1"/>
        <v>42669.310520833336</v>
      </c>
    </row>
    <row r="61" spans="1:7" x14ac:dyDescent="0.25">
      <c r="A61" s="8">
        <v>42669.3121875</v>
      </c>
      <c r="B61" s="21" t="s">
        <v>196</v>
      </c>
      <c r="C61" s="21" t="s">
        <v>413</v>
      </c>
      <c r="D61" s="21">
        <v>1110000</v>
      </c>
      <c r="E61" s="21" t="s">
        <v>302</v>
      </c>
      <c r="F61" s="21" t="str">
        <f t="shared" si="0"/>
        <v>rtdc.l.rtdc.4007:itc</v>
      </c>
      <c r="G61" s="8">
        <f t="shared" si="1"/>
        <v>42669.3121875</v>
      </c>
    </row>
    <row r="62" spans="1:7" x14ac:dyDescent="0.25">
      <c r="A62" s="8">
        <v>42669.315358796295</v>
      </c>
      <c r="B62" s="21" t="s">
        <v>255</v>
      </c>
      <c r="C62" s="21" t="s">
        <v>473</v>
      </c>
      <c r="D62" s="21">
        <v>900000</v>
      </c>
      <c r="E62" s="21" t="s">
        <v>313</v>
      </c>
      <c r="F62" s="21" t="str">
        <f t="shared" si="0"/>
        <v>rtdc.l.rtdc.4030:itc</v>
      </c>
      <c r="G62" s="8">
        <f t="shared" si="1"/>
        <v>42669.315358796295</v>
      </c>
    </row>
    <row r="63" spans="1:7" x14ac:dyDescent="0.25">
      <c r="A63" s="8">
        <v>42669.318229166667</v>
      </c>
      <c r="B63" s="21" t="s">
        <v>258</v>
      </c>
      <c r="C63" s="21" t="s">
        <v>474</v>
      </c>
      <c r="D63" s="21">
        <v>1100000</v>
      </c>
      <c r="E63" s="21" t="s">
        <v>341</v>
      </c>
      <c r="F63" s="21" t="str">
        <f t="shared" si="0"/>
        <v>rtdc.l.rtdc.4054:itc</v>
      </c>
      <c r="G63" s="8">
        <f t="shared" si="1"/>
        <v>42669.318229166667</v>
      </c>
    </row>
    <row r="64" spans="1:7" x14ac:dyDescent="0.25">
      <c r="A64" s="27">
        <v>42669.321944444448</v>
      </c>
      <c r="B64" s="21" t="s">
        <v>340</v>
      </c>
      <c r="C64" s="21" t="s">
        <v>475</v>
      </c>
      <c r="D64" s="21">
        <v>1760000</v>
      </c>
      <c r="E64" s="21" t="s">
        <v>444</v>
      </c>
      <c r="F64" s="21" t="str">
        <f t="shared" si="0"/>
        <v>rtdc.l.rtdc.4031:itc</v>
      </c>
      <c r="G64" s="8">
        <f t="shared" si="1"/>
        <v>42669.321944444448</v>
      </c>
    </row>
    <row r="65" spans="1:7" x14ac:dyDescent="0.25">
      <c r="A65" s="8">
        <v>42669.324259259258</v>
      </c>
      <c r="B65" s="21" t="s">
        <v>210</v>
      </c>
      <c r="C65" s="21" t="s">
        <v>476</v>
      </c>
      <c r="D65" s="21">
        <v>2010000</v>
      </c>
      <c r="E65" s="21" t="s">
        <v>442</v>
      </c>
      <c r="F65" s="21" t="str">
        <f t="shared" si="0"/>
        <v>rtdc.l.rtdc.4039:itc</v>
      </c>
      <c r="G65" s="8">
        <f t="shared" si="1"/>
        <v>42669.324259259258</v>
      </c>
    </row>
    <row r="66" spans="1:7" x14ac:dyDescent="0.25">
      <c r="A66" s="8">
        <v>42669.328263888892</v>
      </c>
      <c r="B66" s="21" t="s">
        <v>335</v>
      </c>
      <c r="C66" s="21" t="s">
        <v>477</v>
      </c>
      <c r="D66" s="21">
        <v>1090000</v>
      </c>
      <c r="E66" s="21" t="s">
        <v>312</v>
      </c>
      <c r="F66" s="21" t="str">
        <f t="shared" ref="F66:F129" si="2">B66</f>
        <v>rtdc.l.rtdc.4046:itc</v>
      </c>
      <c r="G66" s="8">
        <f t="shared" ref="G66:G129" si="3">A66</f>
        <v>42669.328263888892</v>
      </c>
    </row>
    <row r="67" spans="1:7" x14ac:dyDescent="0.25">
      <c r="A67" s="8">
        <v>42669.328912037039</v>
      </c>
      <c r="B67" s="21" t="s">
        <v>335</v>
      </c>
      <c r="C67" s="21" t="s">
        <v>477</v>
      </c>
      <c r="D67" s="21">
        <v>1090000</v>
      </c>
      <c r="E67" s="21" t="s">
        <v>312</v>
      </c>
      <c r="F67" s="21" t="str">
        <f t="shared" si="2"/>
        <v>rtdc.l.rtdc.4046:itc</v>
      </c>
      <c r="G67" s="8">
        <f t="shared" si="3"/>
        <v>42669.328912037039</v>
      </c>
    </row>
    <row r="68" spans="1:7" x14ac:dyDescent="0.25">
      <c r="A68" s="8">
        <v>42669.33021990741</v>
      </c>
      <c r="B68" s="21" t="s">
        <v>266</v>
      </c>
      <c r="C68" s="21" t="s">
        <v>414</v>
      </c>
      <c r="D68" s="21">
        <v>2450000</v>
      </c>
      <c r="E68" s="21" t="s">
        <v>342</v>
      </c>
      <c r="F68" s="21" t="str">
        <f t="shared" si="2"/>
        <v>rtdc.l.rtdc.4015:itc</v>
      </c>
      <c r="G68" s="8">
        <f t="shared" si="3"/>
        <v>42669.33021990741</v>
      </c>
    </row>
    <row r="69" spans="1:7" x14ac:dyDescent="0.25">
      <c r="A69" s="8">
        <v>42669.332511574074</v>
      </c>
      <c r="B69" s="21" t="s">
        <v>259</v>
      </c>
      <c r="C69" s="21" t="s">
        <v>478</v>
      </c>
      <c r="D69" s="21">
        <v>1100000</v>
      </c>
      <c r="E69" s="21" t="s">
        <v>341</v>
      </c>
      <c r="F69" s="21" t="str">
        <f t="shared" si="2"/>
        <v>rtdc.l.rtdc.4053:itc</v>
      </c>
      <c r="G69" s="8">
        <f t="shared" si="3"/>
        <v>42669.332511574074</v>
      </c>
    </row>
    <row r="70" spans="1:7" x14ac:dyDescent="0.25">
      <c r="A70" s="8">
        <v>42669.338414351849</v>
      </c>
      <c r="B70" s="21" t="s">
        <v>338</v>
      </c>
      <c r="C70" s="21" t="s">
        <v>479</v>
      </c>
      <c r="D70" s="21">
        <v>1110000</v>
      </c>
      <c r="E70" s="21" t="s">
        <v>302</v>
      </c>
      <c r="F70" s="21" t="str">
        <f t="shared" si="2"/>
        <v>rtdc.l.rtdc.4008:itc</v>
      </c>
      <c r="G70" s="8">
        <f t="shared" si="3"/>
        <v>42669.338414351849</v>
      </c>
    </row>
    <row r="71" spans="1:7" x14ac:dyDescent="0.25">
      <c r="A71" s="8">
        <v>42669.340254629627</v>
      </c>
      <c r="B71" s="21" t="s">
        <v>308</v>
      </c>
      <c r="C71" s="21" t="s">
        <v>480</v>
      </c>
      <c r="D71" s="21">
        <v>2030000</v>
      </c>
      <c r="E71" s="21" t="s">
        <v>311</v>
      </c>
      <c r="F71" s="21" t="str">
        <f t="shared" si="2"/>
        <v>rtdc.l.rtdc.4002:itc</v>
      </c>
      <c r="G71" s="8">
        <f t="shared" si="3"/>
        <v>42669.340254629627</v>
      </c>
    </row>
    <row r="72" spans="1:7" x14ac:dyDescent="0.25">
      <c r="A72" s="8">
        <v>42669.346863425926</v>
      </c>
      <c r="B72" s="21" t="s">
        <v>430</v>
      </c>
      <c r="C72" s="21" t="s">
        <v>481</v>
      </c>
      <c r="D72" s="21">
        <v>1260000</v>
      </c>
      <c r="E72" s="21" t="s">
        <v>293</v>
      </c>
      <c r="F72" s="21" t="str">
        <f t="shared" si="2"/>
        <v>rtdc.l.rtdc.4012:itc</v>
      </c>
      <c r="G72" s="8">
        <f t="shared" si="3"/>
        <v>42669.346863425926</v>
      </c>
    </row>
    <row r="73" spans="1:7" x14ac:dyDescent="0.25">
      <c r="A73" s="8">
        <v>42669.349293981482</v>
      </c>
      <c r="B73" s="21" t="s">
        <v>254</v>
      </c>
      <c r="C73" s="21" t="s">
        <v>482</v>
      </c>
      <c r="D73" s="21">
        <v>900000</v>
      </c>
      <c r="E73" s="21" t="s">
        <v>313</v>
      </c>
      <c r="F73" s="21" t="str">
        <f t="shared" si="2"/>
        <v>rtdc.l.rtdc.4029:itc</v>
      </c>
      <c r="G73" s="8">
        <f t="shared" si="3"/>
        <v>42669.349293981482</v>
      </c>
    </row>
    <row r="74" spans="1:7" x14ac:dyDescent="0.25">
      <c r="A74" s="8">
        <v>42669.354953703703</v>
      </c>
      <c r="B74" s="21" t="s">
        <v>196</v>
      </c>
      <c r="C74" s="21" t="s">
        <v>483</v>
      </c>
      <c r="D74" s="21">
        <v>1110000</v>
      </c>
      <c r="E74" s="21" t="s">
        <v>302</v>
      </c>
      <c r="F74" s="21" t="str">
        <f t="shared" si="2"/>
        <v>rtdc.l.rtdc.4007:itc</v>
      </c>
      <c r="G74" s="8">
        <f t="shared" si="3"/>
        <v>42669.354953703703</v>
      </c>
    </row>
    <row r="75" spans="1:7" x14ac:dyDescent="0.25">
      <c r="A75" s="8">
        <v>42669.357083333336</v>
      </c>
      <c r="B75" s="21" t="s">
        <v>339</v>
      </c>
      <c r="C75" s="21" t="s">
        <v>415</v>
      </c>
      <c r="D75" s="21">
        <v>1760000</v>
      </c>
      <c r="E75" s="21" t="s">
        <v>444</v>
      </c>
      <c r="F75" s="21" t="str">
        <f t="shared" si="2"/>
        <v>rtdc.l.rtdc.4032:itc</v>
      </c>
      <c r="G75" s="8">
        <f t="shared" si="3"/>
        <v>42669.357083333336</v>
      </c>
    </row>
    <row r="76" spans="1:7" x14ac:dyDescent="0.25">
      <c r="A76" s="8">
        <v>42669.359351851854</v>
      </c>
      <c r="B76" s="21" t="s">
        <v>258</v>
      </c>
      <c r="C76" s="21" t="s">
        <v>484</v>
      </c>
      <c r="D76" s="21">
        <v>1100000</v>
      </c>
      <c r="E76" s="21" t="s">
        <v>341</v>
      </c>
      <c r="F76" s="21" t="str">
        <f t="shared" si="2"/>
        <v>rtdc.l.rtdc.4054:itc</v>
      </c>
      <c r="G76" s="8">
        <f t="shared" si="3"/>
        <v>42669.359351851854</v>
      </c>
    </row>
    <row r="77" spans="1:7" x14ac:dyDescent="0.25">
      <c r="A77" s="8">
        <v>42669.36173611111</v>
      </c>
      <c r="B77" s="21" t="s">
        <v>433</v>
      </c>
      <c r="C77" s="21" t="s">
        <v>485</v>
      </c>
      <c r="D77" s="21">
        <v>2010000</v>
      </c>
      <c r="E77" s="21" t="s">
        <v>442</v>
      </c>
      <c r="F77" s="21" t="str">
        <f t="shared" si="2"/>
        <v>rtdc.l.rtdc.4040:itc</v>
      </c>
      <c r="G77" s="8">
        <f t="shared" si="3"/>
        <v>42669.36173611111</v>
      </c>
    </row>
    <row r="78" spans="1:7" x14ac:dyDescent="0.25">
      <c r="A78" s="8">
        <v>42669.370451388888</v>
      </c>
      <c r="B78" s="21" t="s">
        <v>334</v>
      </c>
      <c r="C78" s="21" t="s">
        <v>486</v>
      </c>
      <c r="D78" s="21">
        <v>1090000</v>
      </c>
      <c r="E78" s="21" t="s">
        <v>312</v>
      </c>
      <c r="F78" s="21" t="str">
        <f t="shared" si="2"/>
        <v>rtdc.l.rtdc.4045:itc</v>
      </c>
      <c r="G78" s="8">
        <f t="shared" si="3"/>
        <v>42669.370451388888</v>
      </c>
    </row>
    <row r="79" spans="1:7" x14ac:dyDescent="0.25">
      <c r="A79" s="8">
        <v>42669.371666666666</v>
      </c>
      <c r="B79" s="21" t="s">
        <v>265</v>
      </c>
      <c r="C79" s="21" t="s">
        <v>487</v>
      </c>
      <c r="D79" s="21">
        <v>2450000</v>
      </c>
      <c r="E79" s="21" t="s">
        <v>342</v>
      </c>
      <c r="F79" s="21" t="str">
        <f t="shared" si="2"/>
        <v>rtdc.l.rtdc.4016:itc</v>
      </c>
      <c r="G79" s="8">
        <f t="shared" si="3"/>
        <v>42669.371666666666</v>
      </c>
    </row>
    <row r="80" spans="1:7" x14ac:dyDescent="0.25">
      <c r="A80" s="8">
        <v>42669.377442129633</v>
      </c>
      <c r="B80" s="21" t="s">
        <v>259</v>
      </c>
      <c r="C80" s="21" t="s">
        <v>488</v>
      </c>
      <c r="D80" s="21">
        <v>1100000</v>
      </c>
      <c r="E80" s="21" t="s">
        <v>341</v>
      </c>
      <c r="F80" s="21" t="str">
        <f t="shared" si="2"/>
        <v>rtdc.l.rtdc.4053:itc</v>
      </c>
      <c r="G80" s="8">
        <f t="shared" si="3"/>
        <v>42669.377442129633</v>
      </c>
    </row>
    <row r="81" spans="1:7" x14ac:dyDescent="0.25">
      <c r="A81" s="8">
        <v>42669.378472222219</v>
      </c>
      <c r="B81" s="21" t="s">
        <v>309</v>
      </c>
      <c r="C81" s="21" t="s">
        <v>489</v>
      </c>
      <c r="D81" s="21">
        <v>2030000</v>
      </c>
      <c r="E81" s="21" t="s">
        <v>311</v>
      </c>
      <c r="F81" s="21" t="str">
        <f t="shared" si="2"/>
        <v>rtdc.l.rtdc.4001:itc</v>
      </c>
      <c r="G81" s="8">
        <f t="shared" si="3"/>
        <v>42669.378472222219</v>
      </c>
    </row>
    <row r="82" spans="1:7" x14ac:dyDescent="0.25">
      <c r="A82" s="8">
        <v>42669.381064814814</v>
      </c>
      <c r="B82" s="21" t="s">
        <v>292</v>
      </c>
      <c r="C82" s="21" t="s">
        <v>490</v>
      </c>
      <c r="D82" s="21">
        <v>1260000</v>
      </c>
      <c r="E82" s="21" t="s">
        <v>293</v>
      </c>
      <c r="F82" s="21" t="str">
        <f t="shared" si="2"/>
        <v>rtdc.l.rtdc.4011:itc</v>
      </c>
      <c r="G82" s="8">
        <f t="shared" si="3"/>
        <v>42669.381064814814</v>
      </c>
    </row>
    <row r="83" spans="1:7" x14ac:dyDescent="0.25">
      <c r="A83" s="8">
        <v>42669.389965277776</v>
      </c>
      <c r="B83" s="21" t="s">
        <v>255</v>
      </c>
      <c r="C83" s="21" t="s">
        <v>491</v>
      </c>
      <c r="D83" s="21">
        <v>900000</v>
      </c>
      <c r="E83" s="21" t="s">
        <v>313</v>
      </c>
      <c r="F83" s="21" t="str">
        <f t="shared" si="2"/>
        <v>rtdc.l.rtdc.4030:itc</v>
      </c>
      <c r="G83" s="8">
        <f t="shared" si="3"/>
        <v>42669.389965277776</v>
      </c>
    </row>
    <row r="84" spans="1:7" x14ac:dyDescent="0.25">
      <c r="A84" s="8">
        <v>42669.391956018517</v>
      </c>
      <c r="B84" s="21" t="s">
        <v>340</v>
      </c>
      <c r="C84" s="21" t="s">
        <v>492</v>
      </c>
      <c r="D84" s="21">
        <v>1760000</v>
      </c>
      <c r="E84" s="21" t="s">
        <v>444</v>
      </c>
      <c r="F84" s="21" t="str">
        <f t="shared" si="2"/>
        <v>rtdc.l.rtdc.4031:itc</v>
      </c>
      <c r="G84" s="8">
        <f t="shared" si="3"/>
        <v>42669.391956018517</v>
      </c>
    </row>
    <row r="85" spans="1:7" x14ac:dyDescent="0.25">
      <c r="A85" s="8">
        <v>42669.400277777779</v>
      </c>
      <c r="B85" s="21" t="s">
        <v>258</v>
      </c>
      <c r="C85" s="21" t="s">
        <v>493</v>
      </c>
      <c r="D85" s="21">
        <v>1100000</v>
      </c>
      <c r="E85" s="21" t="s">
        <v>341</v>
      </c>
      <c r="F85" s="21" t="str">
        <f t="shared" si="2"/>
        <v>rtdc.l.rtdc.4054:itc</v>
      </c>
      <c r="G85" s="8">
        <f t="shared" si="3"/>
        <v>42669.400277777779</v>
      </c>
    </row>
    <row r="86" spans="1:7" x14ac:dyDescent="0.25">
      <c r="A86" s="8">
        <v>42669.401018518518</v>
      </c>
      <c r="B86" s="21" t="s">
        <v>210</v>
      </c>
      <c r="C86" s="21" t="s">
        <v>416</v>
      </c>
      <c r="D86" s="21">
        <v>2010000</v>
      </c>
      <c r="E86" s="21" t="s">
        <v>442</v>
      </c>
      <c r="F86" s="21" t="str">
        <f t="shared" si="2"/>
        <v>rtdc.l.rtdc.4039:itc</v>
      </c>
      <c r="G86" s="8">
        <f t="shared" si="3"/>
        <v>42669.401018518518</v>
      </c>
    </row>
    <row r="87" spans="1:7" x14ac:dyDescent="0.25">
      <c r="A87" s="8">
        <v>42669.401759259257</v>
      </c>
      <c r="B87" s="21" t="s">
        <v>335</v>
      </c>
      <c r="C87" s="21" t="s">
        <v>494</v>
      </c>
      <c r="D87" s="21">
        <v>1090000</v>
      </c>
      <c r="E87" s="21" t="s">
        <v>312</v>
      </c>
      <c r="F87" s="21" t="str">
        <f t="shared" si="2"/>
        <v>rtdc.l.rtdc.4046:itc</v>
      </c>
      <c r="G87" s="8">
        <f t="shared" si="3"/>
        <v>42669.401759259257</v>
      </c>
    </row>
    <row r="88" spans="1:7" x14ac:dyDescent="0.25">
      <c r="A88" s="8">
        <v>42669.410960648151</v>
      </c>
      <c r="B88" s="21" t="s">
        <v>308</v>
      </c>
      <c r="C88" s="21" t="s">
        <v>495</v>
      </c>
      <c r="D88" s="21">
        <v>2030000</v>
      </c>
      <c r="E88" s="21" t="s">
        <v>311</v>
      </c>
      <c r="F88" s="21" t="str">
        <f t="shared" si="2"/>
        <v>rtdc.l.rtdc.4002:itc</v>
      </c>
      <c r="G88" s="8">
        <f t="shared" si="3"/>
        <v>42669.410960648151</v>
      </c>
    </row>
    <row r="89" spans="1:7" x14ac:dyDescent="0.25">
      <c r="A89" s="8">
        <v>42669.411805555559</v>
      </c>
      <c r="B89" s="21" t="s">
        <v>266</v>
      </c>
      <c r="C89" s="21" t="s">
        <v>417</v>
      </c>
      <c r="D89" s="21">
        <v>2450000</v>
      </c>
      <c r="E89" s="21" t="s">
        <v>342</v>
      </c>
      <c r="F89" s="21" t="str">
        <f t="shared" si="2"/>
        <v>rtdc.l.rtdc.4015:itc</v>
      </c>
      <c r="G89" s="8">
        <f t="shared" si="3"/>
        <v>42669.411805555559</v>
      </c>
    </row>
    <row r="90" spans="1:7" x14ac:dyDescent="0.25">
      <c r="A90" s="8">
        <v>42669.414467592593</v>
      </c>
      <c r="B90" s="21" t="s">
        <v>259</v>
      </c>
      <c r="C90" s="21" t="s">
        <v>418</v>
      </c>
      <c r="D90" s="21">
        <v>1100000</v>
      </c>
      <c r="E90" s="21" t="s">
        <v>341</v>
      </c>
      <c r="F90" s="21" t="str">
        <f t="shared" si="2"/>
        <v>rtdc.l.rtdc.4053:itc</v>
      </c>
      <c r="G90" s="8">
        <f t="shared" si="3"/>
        <v>42669.414467592593</v>
      </c>
    </row>
    <row r="91" spans="1:7" x14ac:dyDescent="0.25">
      <c r="A91" s="8">
        <v>42669.419606481482</v>
      </c>
      <c r="B91" s="21" t="s">
        <v>430</v>
      </c>
      <c r="C91" s="21" t="s">
        <v>496</v>
      </c>
      <c r="D91" s="21">
        <v>1260000</v>
      </c>
      <c r="E91" s="21" t="s">
        <v>293</v>
      </c>
      <c r="F91" s="21" t="str">
        <f t="shared" si="2"/>
        <v>rtdc.l.rtdc.4012:itc</v>
      </c>
      <c r="G91" s="8">
        <f t="shared" si="3"/>
        <v>42669.419606481482</v>
      </c>
    </row>
    <row r="92" spans="1:7" x14ac:dyDescent="0.25">
      <c r="A92" s="8">
        <v>42669.425497685188</v>
      </c>
      <c r="B92" s="21" t="s">
        <v>254</v>
      </c>
      <c r="C92" s="21" t="s">
        <v>497</v>
      </c>
      <c r="D92" s="21">
        <v>900000</v>
      </c>
      <c r="E92" s="21" t="s">
        <v>313</v>
      </c>
      <c r="F92" s="21" t="str">
        <f t="shared" si="2"/>
        <v>rtdc.l.rtdc.4029:itc</v>
      </c>
      <c r="G92" s="8">
        <f t="shared" si="3"/>
        <v>42669.425497685188</v>
      </c>
    </row>
    <row r="93" spans="1:7" x14ac:dyDescent="0.25">
      <c r="A93" s="8">
        <v>42669.42832175926</v>
      </c>
      <c r="B93" s="21" t="s">
        <v>339</v>
      </c>
      <c r="C93" s="21" t="s">
        <v>498</v>
      </c>
      <c r="D93" s="21">
        <v>1760000</v>
      </c>
      <c r="E93" s="21" t="s">
        <v>444</v>
      </c>
      <c r="F93" s="21" t="str">
        <f t="shared" si="2"/>
        <v>rtdc.l.rtdc.4032:itc</v>
      </c>
      <c r="G93" s="8">
        <f t="shared" si="3"/>
        <v>42669.42832175926</v>
      </c>
    </row>
    <row r="94" spans="1:7" x14ac:dyDescent="0.25">
      <c r="A94" s="8">
        <v>42669.433564814812</v>
      </c>
      <c r="B94" s="21" t="s">
        <v>433</v>
      </c>
      <c r="C94" s="21" t="s">
        <v>499</v>
      </c>
      <c r="D94" s="21">
        <v>1110000</v>
      </c>
      <c r="E94" s="21" t="s">
        <v>302</v>
      </c>
      <c r="F94" s="21" t="str">
        <f t="shared" si="2"/>
        <v>rtdc.l.rtdc.4040:itc</v>
      </c>
      <c r="G94" s="8">
        <f t="shared" si="3"/>
        <v>42669.433564814812</v>
      </c>
    </row>
    <row r="95" spans="1:7" x14ac:dyDescent="0.25">
      <c r="A95" s="8">
        <v>42669.439756944441</v>
      </c>
      <c r="B95" s="21" t="s">
        <v>334</v>
      </c>
      <c r="C95" s="21" t="s">
        <v>500</v>
      </c>
      <c r="D95" s="21">
        <v>1090000</v>
      </c>
      <c r="E95" s="21" t="s">
        <v>312</v>
      </c>
      <c r="F95" s="21" t="str">
        <f t="shared" si="2"/>
        <v>rtdc.l.rtdc.4045:itc</v>
      </c>
      <c r="G95" s="8">
        <f t="shared" si="3"/>
        <v>42669.439756944441</v>
      </c>
    </row>
    <row r="96" spans="1:7" x14ac:dyDescent="0.25">
      <c r="A96" s="8">
        <v>42669.442476851851</v>
      </c>
      <c r="B96" s="21" t="s">
        <v>280</v>
      </c>
      <c r="C96" s="21" t="s">
        <v>419</v>
      </c>
      <c r="D96" s="21">
        <v>2220000</v>
      </c>
      <c r="E96" s="21" t="s">
        <v>501</v>
      </c>
      <c r="F96" s="21" t="str">
        <f t="shared" si="2"/>
        <v>rtdc.l.rtdc.4037:itc</v>
      </c>
      <c r="G96" s="8">
        <f t="shared" si="3"/>
        <v>42669.442476851851</v>
      </c>
    </row>
    <row r="97" spans="1:7" x14ac:dyDescent="0.25">
      <c r="A97" s="8">
        <v>42669.443298611113</v>
      </c>
      <c r="B97" s="21" t="s">
        <v>265</v>
      </c>
      <c r="C97" s="21" t="s">
        <v>502</v>
      </c>
      <c r="D97" s="21">
        <v>2450000</v>
      </c>
      <c r="E97" s="21" t="s">
        <v>342</v>
      </c>
      <c r="F97" s="21" t="str">
        <f t="shared" si="2"/>
        <v>rtdc.l.rtdc.4016:itc</v>
      </c>
      <c r="G97" s="8">
        <f t="shared" si="3"/>
        <v>42669.443298611113</v>
      </c>
    </row>
    <row r="98" spans="1:7" x14ac:dyDescent="0.25">
      <c r="A98" s="8">
        <v>42669.443379629629</v>
      </c>
      <c r="B98" s="21" t="s">
        <v>258</v>
      </c>
      <c r="C98" s="21" t="s">
        <v>420</v>
      </c>
      <c r="D98" s="21">
        <v>1100000</v>
      </c>
      <c r="E98" s="21" t="s">
        <v>341</v>
      </c>
      <c r="F98" s="21" t="str">
        <f t="shared" si="2"/>
        <v>rtdc.l.rtdc.4054:itc</v>
      </c>
      <c r="G98" s="8">
        <f t="shared" si="3"/>
        <v>42669.443379629629</v>
      </c>
    </row>
    <row r="99" spans="1:7" x14ac:dyDescent="0.25">
      <c r="A99" s="8">
        <v>42669.447534722225</v>
      </c>
      <c r="B99" s="21" t="s">
        <v>309</v>
      </c>
      <c r="C99" s="21" t="s">
        <v>503</v>
      </c>
      <c r="D99" s="21">
        <v>2030000</v>
      </c>
      <c r="E99" s="21" t="s">
        <v>311</v>
      </c>
      <c r="F99" s="21" t="str">
        <f t="shared" si="2"/>
        <v>rtdc.l.rtdc.4001:itc</v>
      </c>
      <c r="G99" s="8">
        <f t="shared" si="3"/>
        <v>42669.447534722225</v>
      </c>
    </row>
    <row r="100" spans="1:7" x14ac:dyDescent="0.25">
      <c r="A100" s="8">
        <v>42669.456203703703</v>
      </c>
      <c r="B100" s="21" t="s">
        <v>292</v>
      </c>
      <c r="C100" s="21" t="s">
        <v>504</v>
      </c>
      <c r="D100" s="21">
        <v>940000</v>
      </c>
      <c r="E100" s="21" t="s">
        <v>314</v>
      </c>
      <c r="F100" s="21" t="str">
        <f t="shared" si="2"/>
        <v>rtdc.l.rtdc.4011:itc</v>
      </c>
      <c r="G100" s="8">
        <f t="shared" si="3"/>
        <v>42669.456203703703</v>
      </c>
    </row>
    <row r="101" spans="1:7" x14ac:dyDescent="0.25">
      <c r="A101" s="8">
        <v>42669.45722222222</v>
      </c>
      <c r="B101" s="21" t="s">
        <v>259</v>
      </c>
      <c r="C101" s="21" t="s">
        <v>505</v>
      </c>
      <c r="D101" s="21">
        <v>1100000</v>
      </c>
      <c r="E101" s="21" t="s">
        <v>341</v>
      </c>
      <c r="F101" s="21" t="str">
        <f t="shared" si="2"/>
        <v>rtdc.l.rtdc.4053:itc</v>
      </c>
      <c r="G101" s="8">
        <f t="shared" si="3"/>
        <v>42669.45722222222</v>
      </c>
    </row>
    <row r="102" spans="1:7" x14ac:dyDescent="0.25">
      <c r="A102" s="8">
        <v>42669.460555555554</v>
      </c>
      <c r="B102" s="21" t="s">
        <v>237</v>
      </c>
      <c r="C102" s="21" t="s">
        <v>506</v>
      </c>
      <c r="D102" s="21">
        <v>970000</v>
      </c>
      <c r="E102" s="21" t="s">
        <v>343</v>
      </c>
      <c r="F102" s="21" t="str">
        <f t="shared" si="2"/>
        <v>rtdc.l.rtdc.4017:itc</v>
      </c>
      <c r="G102" s="8">
        <f t="shared" si="3"/>
        <v>42669.460555555554</v>
      </c>
    </row>
    <row r="103" spans="1:7" x14ac:dyDescent="0.25">
      <c r="A103" s="8">
        <v>42669.463738425926</v>
      </c>
      <c r="B103" s="21" t="s">
        <v>340</v>
      </c>
      <c r="C103" s="21" t="s">
        <v>507</v>
      </c>
      <c r="D103" s="21">
        <v>1280000</v>
      </c>
      <c r="E103" s="21" t="s">
        <v>294</v>
      </c>
      <c r="F103" s="21" t="str">
        <f t="shared" si="2"/>
        <v>rtdc.l.rtdc.4031:itc</v>
      </c>
      <c r="G103" s="8">
        <f t="shared" si="3"/>
        <v>42669.463738425926</v>
      </c>
    </row>
    <row r="104" spans="1:7" x14ac:dyDescent="0.25">
      <c r="A104" s="8">
        <v>42669.46497685185</v>
      </c>
      <c r="B104" s="21" t="s">
        <v>255</v>
      </c>
      <c r="C104" s="21" t="s">
        <v>508</v>
      </c>
      <c r="D104" s="21">
        <v>900000</v>
      </c>
      <c r="E104" s="21" t="s">
        <v>313</v>
      </c>
      <c r="F104" s="21" t="str">
        <f t="shared" si="2"/>
        <v>rtdc.l.rtdc.4030:itc</v>
      </c>
      <c r="G104" s="8">
        <f t="shared" si="3"/>
        <v>42669.46497685185</v>
      </c>
    </row>
    <row r="105" spans="1:7" x14ac:dyDescent="0.25">
      <c r="A105" s="8">
        <v>42669.471805555557</v>
      </c>
      <c r="B105" s="21" t="s">
        <v>210</v>
      </c>
      <c r="C105" s="21" t="s">
        <v>509</v>
      </c>
      <c r="D105" s="21">
        <v>1110000</v>
      </c>
      <c r="E105" s="21" t="s">
        <v>302</v>
      </c>
      <c r="F105" s="21" t="str">
        <f t="shared" si="2"/>
        <v>rtdc.l.rtdc.4039:itc</v>
      </c>
      <c r="G105" s="8">
        <f t="shared" si="3"/>
        <v>42669.471805555557</v>
      </c>
    </row>
    <row r="106" spans="1:7" x14ac:dyDescent="0.25">
      <c r="A106" s="8">
        <v>42669.476527777777</v>
      </c>
      <c r="B106" s="21" t="s">
        <v>335</v>
      </c>
      <c r="C106" s="21" t="s">
        <v>510</v>
      </c>
      <c r="D106" s="21">
        <v>2430000</v>
      </c>
      <c r="E106" s="21" t="s">
        <v>511</v>
      </c>
      <c r="F106" s="21" t="str">
        <f t="shared" si="2"/>
        <v>rtdc.l.rtdc.4046:itc</v>
      </c>
      <c r="G106" s="8">
        <f t="shared" si="3"/>
        <v>42669.476527777777</v>
      </c>
    </row>
    <row r="107" spans="1:7" x14ac:dyDescent="0.25">
      <c r="A107" s="8">
        <v>42669.478738425925</v>
      </c>
      <c r="B107" s="21" t="s">
        <v>512</v>
      </c>
      <c r="C107" s="21" t="s">
        <v>513</v>
      </c>
      <c r="D107" s="21">
        <v>1240000</v>
      </c>
      <c r="E107" s="21" t="s">
        <v>315</v>
      </c>
      <c r="F107" s="21" t="str">
        <f t="shared" si="2"/>
        <v>rtdc.l.rtdc.4038:itc</v>
      </c>
      <c r="G107" s="8">
        <f t="shared" si="3"/>
        <v>42669.478738425925</v>
      </c>
    </row>
    <row r="108" spans="1:7" x14ac:dyDescent="0.25">
      <c r="A108" s="8">
        <v>42669.483831018515</v>
      </c>
      <c r="B108" s="21" t="s">
        <v>258</v>
      </c>
      <c r="C108" s="21" t="s">
        <v>514</v>
      </c>
      <c r="D108" s="21">
        <v>1100000</v>
      </c>
      <c r="E108" s="21" t="s">
        <v>341</v>
      </c>
      <c r="F108" s="21" t="str">
        <f t="shared" si="2"/>
        <v>rtdc.l.rtdc.4054:itc</v>
      </c>
      <c r="G108" s="8">
        <f t="shared" si="3"/>
        <v>42669.483831018515</v>
      </c>
    </row>
    <row r="109" spans="1:7" x14ac:dyDescent="0.25">
      <c r="A109" s="8">
        <v>42669.487754629627</v>
      </c>
      <c r="B109" s="21" t="s">
        <v>308</v>
      </c>
      <c r="C109" s="21" t="s">
        <v>506</v>
      </c>
      <c r="D109" s="21">
        <v>970000</v>
      </c>
      <c r="E109" s="21" t="s">
        <v>343</v>
      </c>
      <c r="F109" s="21" t="str">
        <f t="shared" si="2"/>
        <v>rtdc.l.rtdc.4002:itc</v>
      </c>
      <c r="G109" s="8">
        <f t="shared" si="3"/>
        <v>42669.487754629627</v>
      </c>
    </row>
    <row r="110" spans="1:7" x14ac:dyDescent="0.25">
      <c r="A110" s="8">
        <v>42669.491736111115</v>
      </c>
      <c r="B110" s="21" t="s">
        <v>430</v>
      </c>
      <c r="C110" s="21" t="s">
        <v>515</v>
      </c>
      <c r="D110" s="21">
        <v>940000</v>
      </c>
      <c r="E110" s="21" t="s">
        <v>314</v>
      </c>
      <c r="F110" s="21" t="str">
        <f t="shared" si="2"/>
        <v>rtdc.l.rtdc.4012:itc</v>
      </c>
      <c r="G110" s="8">
        <f t="shared" si="3"/>
        <v>42669.491736111115</v>
      </c>
    </row>
    <row r="111" spans="1:7" x14ac:dyDescent="0.25">
      <c r="A111" s="8">
        <v>42669.496886574074</v>
      </c>
      <c r="B111" s="21" t="s">
        <v>339</v>
      </c>
      <c r="C111" s="21" t="s">
        <v>516</v>
      </c>
      <c r="D111" s="21">
        <v>1280000</v>
      </c>
      <c r="E111" s="21" t="s">
        <v>294</v>
      </c>
      <c r="F111" s="21" t="str">
        <f t="shared" si="2"/>
        <v>rtdc.l.rtdc.4032:itc</v>
      </c>
      <c r="G111" s="8">
        <f t="shared" si="3"/>
        <v>42669.496886574074</v>
      </c>
    </row>
    <row r="112" spans="1:7" x14ac:dyDescent="0.25">
      <c r="A112" s="8">
        <v>42669.49722222222</v>
      </c>
      <c r="B112" s="21" t="s">
        <v>254</v>
      </c>
      <c r="C112" s="21" t="s">
        <v>517</v>
      </c>
      <c r="D112" s="21">
        <v>1140000</v>
      </c>
      <c r="E112" s="21" t="s">
        <v>275</v>
      </c>
      <c r="F112" s="21" t="str">
        <f t="shared" si="2"/>
        <v>rtdc.l.rtdc.4029:itc</v>
      </c>
      <c r="G112" s="8">
        <f t="shared" si="3"/>
        <v>42669.49722222222</v>
      </c>
    </row>
    <row r="113" spans="1:7" x14ac:dyDescent="0.25">
      <c r="A113" s="8">
        <v>42669.497708333336</v>
      </c>
      <c r="B113" s="21" t="s">
        <v>266</v>
      </c>
      <c r="C113" s="21" t="s">
        <v>518</v>
      </c>
      <c r="D113" s="21">
        <v>2450000</v>
      </c>
      <c r="E113" s="21" t="s">
        <v>342</v>
      </c>
      <c r="F113" s="21" t="str">
        <f t="shared" si="2"/>
        <v>rtdc.l.rtdc.4015:itc</v>
      </c>
      <c r="G113" s="8">
        <f t="shared" si="3"/>
        <v>42669.497708333336</v>
      </c>
    </row>
    <row r="114" spans="1:7" x14ac:dyDescent="0.25">
      <c r="A114" s="8">
        <v>42669.498171296298</v>
      </c>
      <c r="B114" s="21" t="s">
        <v>259</v>
      </c>
      <c r="C114" s="21" t="s">
        <v>519</v>
      </c>
      <c r="D114" s="21">
        <v>1100000</v>
      </c>
      <c r="E114" s="21" t="s">
        <v>341</v>
      </c>
      <c r="F114" s="21" t="str">
        <f t="shared" si="2"/>
        <v>rtdc.l.rtdc.4053:itc</v>
      </c>
      <c r="G114" s="8">
        <f t="shared" si="3"/>
        <v>42669.498171296298</v>
      </c>
    </row>
    <row r="115" spans="1:7" x14ac:dyDescent="0.25">
      <c r="A115" s="8">
        <v>42669.509733796294</v>
      </c>
      <c r="B115" s="21" t="s">
        <v>433</v>
      </c>
      <c r="C115" s="21" t="s">
        <v>520</v>
      </c>
      <c r="D115" s="21">
        <v>1770000</v>
      </c>
      <c r="E115" s="21" t="s">
        <v>521</v>
      </c>
      <c r="F115" s="21" t="str">
        <f t="shared" si="2"/>
        <v>rtdc.l.rtdc.4040:itc</v>
      </c>
      <c r="G115" s="8">
        <f t="shared" si="3"/>
        <v>42669.509733796294</v>
      </c>
    </row>
    <row r="116" spans="1:7" x14ac:dyDescent="0.25">
      <c r="A116" s="8">
        <v>42669.514699074076</v>
      </c>
      <c r="B116" s="21" t="s">
        <v>334</v>
      </c>
      <c r="C116" s="21" t="s">
        <v>522</v>
      </c>
      <c r="D116" s="21">
        <v>2430000</v>
      </c>
      <c r="E116" s="21" t="s">
        <v>511</v>
      </c>
      <c r="F116" s="21" t="str">
        <f t="shared" si="2"/>
        <v>rtdc.l.rtdc.4045:itc</v>
      </c>
      <c r="G116" s="8">
        <f t="shared" si="3"/>
        <v>42669.514699074076</v>
      </c>
    </row>
    <row r="117" spans="1:7" x14ac:dyDescent="0.25">
      <c r="A117" s="8">
        <v>42669.520879629628</v>
      </c>
      <c r="B117" s="21" t="s">
        <v>265</v>
      </c>
      <c r="C117" s="21" t="s">
        <v>523</v>
      </c>
      <c r="D117" s="21">
        <v>1740000</v>
      </c>
      <c r="E117" s="21" t="s">
        <v>524</v>
      </c>
      <c r="F117" s="21" t="str">
        <f t="shared" si="2"/>
        <v>rtdc.l.rtdc.4016:itc</v>
      </c>
      <c r="G117" s="8">
        <f t="shared" si="3"/>
        <v>42669.520879629628</v>
      </c>
    </row>
    <row r="118" spans="1:7" x14ac:dyDescent="0.25">
      <c r="A118" s="8">
        <v>42669.526041666664</v>
      </c>
      <c r="B118" s="21" t="s">
        <v>258</v>
      </c>
      <c r="C118" s="21" t="s">
        <v>525</v>
      </c>
      <c r="D118" s="21">
        <v>1100000</v>
      </c>
      <c r="E118" s="21" t="s">
        <v>341</v>
      </c>
      <c r="F118" s="21" t="str">
        <f t="shared" si="2"/>
        <v>rtdc.l.rtdc.4054:itc</v>
      </c>
      <c r="G118" s="8">
        <f t="shared" si="3"/>
        <v>42669.526041666664</v>
      </c>
    </row>
    <row r="119" spans="1:7" x14ac:dyDescent="0.25">
      <c r="A119" s="8">
        <v>42669.52721064815</v>
      </c>
      <c r="B119" s="21" t="s">
        <v>292</v>
      </c>
      <c r="C119" s="21" t="s">
        <v>526</v>
      </c>
      <c r="D119" s="21">
        <v>2540000</v>
      </c>
      <c r="E119" s="21" t="s">
        <v>527</v>
      </c>
      <c r="F119" s="21" t="str">
        <f t="shared" si="2"/>
        <v>rtdc.l.rtdc.4011:itc</v>
      </c>
      <c r="G119" s="8">
        <f t="shared" si="3"/>
        <v>42669.52721064815</v>
      </c>
    </row>
    <row r="120" spans="1:7" x14ac:dyDescent="0.25">
      <c r="A120" s="8">
        <v>42669.528564814813</v>
      </c>
      <c r="B120" s="21" t="s">
        <v>309</v>
      </c>
      <c r="C120" s="21" t="s">
        <v>528</v>
      </c>
      <c r="D120" s="21">
        <v>970000</v>
      </c>
      <c r="E120" s="21" t="s">
        <v>343</v>
      </c>
      <c r="F120" s="21" t="str">
        <f t="shared" si="2"/>
        <v>rtdc.l.rtdc.4001:itc</v>
      </c>
      <c r="G120" s="8">
        <f t="shared" si="3"/>
        <v>42669.528564814813</v>
      </c>
    </row>
    <row r="121" spans="1:7" x14ac:dyDescent="0.25">
      <c r="A121" s="8">
        <v>42669.528935185182</v>
      </c>
      <c r="B121" s="21" t="s">
        <v>255</v>
      </c>
      <c r="C121" s="21" t="s">
        <v>529</v>
      </c>
      <c r="D121" s="21">
        <v>1140000</v>
      </c>
      <c r="E121" s="21" t="s">
        <v>275</v>
      </c>
      <c r="F121" s="21" t="str">
        <f t="shared" si="2"/>
        <v>rtdc.l.rtdc.4030:itc</v>
      </c>
      <c r="G121" s="8">
        <f t="shared" si="3"/>
        <v>42669.528935185182</v>
      </c>
    </row>
    <row r="122" spans="1:7" x14ac:dyDescent="0.25">
      <c r="A122" s="8">
        <v>42669.538842592592</v>
      </c>
      <c r="B122" s="26" t="s">
        <v>340</v>
      </c>
      <c r="C122" s="21" t="s">
        <v>530</v>
      </c>
      <c r="D122" s="21">
        <v>1280000</v>
      </c>
      <c r="E122" s="21" t="s">
        <v>294</v>
      </c>
      <c r="F122" s="21" t="str">
        <f t="shared" si="2"/>
        <v>rtdc.l.rtdc.4031:itc</v>
      </c>
      <c r="G122" s="8">
        <f t="shared" si="3"/>
        <v>42669.538842592592</v>
      </c>
    </row>
    <row r="123" spans="1:7" x14ac:dyDescent="0.25">
      <c r="A123" s="8">
        <v>42669.544942129629</v>
      </c>
      <c r="B123" s="21" t="s">
        <v>210</v>
      </c>
      <c r="C123" s="21" t="s">
        <v>531</v>
      </c>
      <c r="D123" s="21">
        <v>1770000</v>
      </c>
      <c r="E123" s="21" t="s">
        <v>521</v>
      </c>
      <c r="F123" s="21" t="str">
        <f t="shared" si="2"/>
        <v>rtdc.l.rtdc.4039:itc</v>
      </c>
      <c r="G123" s="8">
        <f t="shared" si="3"/>
        <v>42669.544942129629</v>
      </c>
    </row>
    <row r="124" spans="1:7" x14ac:dyDescent="0.25">
      <c r="A124" s="8">
        <v>42669.548888888887</v>
      </c>
      <c r="B124" s="21" t="s">
        <v>335</v>
      </c>
      <c r="C124" s="21" t="s">
        <v>421</v>
      </c>
      <c r="D124" s="21">
        <v>2430000</v>
      </c>
      <c r="E124" s="21" t="s">
        <v>511</v>
      </c>
      <c r="F124" s="21" t="str">
        <f t="shared" si="2"/>
        <v>rtdc.l.rtdc.4046:itc</v>
      </c>
      <c r="G124" s="8">
        <f t="shared" si="3"/>
        <v>42669.548888888887</v>
      </c>
    </row>
    <row r="125" spans="1:7" x14ac:dyDescent="0.25">
      <c r="A125" s="8">
        <v>42669.55096064815</v>
      </c>
      <c r="B125" s="21" t="s">
        <v>259</v>
      </c>
      <c r="C125" s="21" t="s">
        <v>532</v>
      </c>
      <c r="D125" s="21">
        <v>2040000</v>
      </c>
      <c r="E125" s="21" t="s">
        <v>533</v>
      </c>
      <c r="F125" s="21" t="str">
        <f t="shared" si="2"/>
        <v>rtdc.l.rtdc.4053:itc</v>
      </c>
      <c r="G125" s="8">
        <f t="shared" si="3"/>
        <v>42669.55096064815</v>
      </c>
    </row>
    <row r="126" spans="1:7" x14ac:dyDescent="0.25">
      <c r="A126" s="8">
        <v>42669.557395833333</v>
      </c>
      <c r="B126" s="21" t="s">
        <v>266</v>
      </c>
      <c r="C126" s="21" t="s">
        <v>423</v>
      </c>
      <c r="D126" s="21">
        <v>1740000</v>
      </c>
      <c r="E126" s="21" t="s">
        <v>524</v>
      </c>
      <c r="F126" s="21" t="str">
        <f t="shared" si="2"/>
        <v>rtdc.l.rtdc.4015:itc</v>
      </c>
      <c r="G126" s="8">
        <f t="shared" si="3"/>
        <v>42669.557395833333</v>
      </c>
    </row>
    <row r="127" spans="1:7" x14ac:dyDescent="0.25">
      <c r="A127" s="8">
        <v>42669.561516203707</v>
      </c>
      <c r="B127" s="21" t="s">
        <v>308</v>
      </c>
      <c r="C127" s="21" t="s">
        <v>534</v>
      </c>
      <c r="D127" s="21">
        <v>970000</v>
      </c>
      <c r="E127" s="21" t="s">
        <v>343</v>
      </c>
      <c r="F127" s="21" t="str">
        <f t="shared" si="2"/>
        <v>rtdc.l.rtdc.4002:itc</v>
      </c>
      <c r="G127" s="8">
        <f t="shared" si="3"/>
        <v>42669.561516203707</v>
      </c>
    </row>
    <row r="128" spans="1:7" x14ac:dyDescent="0.25">
      <c r="A128" s="8">
        <v>42669.565937500003</v>
      </c>
      <c r="B128" s="21" t="s">
        <v>430</v>
      </c>
      <c r="C128" s="21" t="s">
        <v>535</v>
      </c>
      <c r="D128" s="21">
        <v>2540000</v>
      </c>
      <c r="E128" s="21" t="s">
        <v>527</v>
      </c>
      <c r="F128" s="21" t="str">
        <f t="shared" si="2"/>
        <v>rtdc.l.rtdc.4012:itc</v>
      </c>
      <c r="G128" s="8">
        <f t="shared" si="3"/>
        <v>42669.565937500003</v>
      </c>
    </row>
    <row r="129" spans="1:7" x14ac:dyDescent="0.25">
      <c r="A129" s="8">
        <v>42669.568506944444</v>
      </c>
      <c r="B129" s="21" t="s">
        <v>258</v>
      </c>
      <c r="C129" s="21" t="s">
        <v>422</v>
      </c>
      <c r="D129" s="21">
        <v>2040000</v>
      </c>
      <c r="E129" s="21" t="s">
        <v>533</v>
      </c>
      <c r="F129" s="21" t="str">
        <f t="shared" si="2"/>
        <v>rtdc.l.rtdc.4054:itc</v>
      </c>
      <c r="G129" s="8">
        <f t="shared" si="3"/>
        <v>42669.568506944444</v>
      </c>
    </row>
    <row r="130" spans="1:7" x14ac:dyDescent="0.25">
      <c r="A130" s="8">
        <v>42669.570486111108</v>
      </c>
      <c r="B130" s="21" t="s">
        <v>254</v>
      </c>
      <c r="C130" s="21" t="s">
        <v>536</v>
      </c>
      <c r="D130" s="21">
        <v>1140000</v>
      </c>
      <c r="E130" s="21" t="s">
        <v>275</v>
      </c>
      <c r="F130" s="21" t="str">
        <f t="shared" ref="F130:F193" si="4">B130</f>
        <v>rtdc.l.rtdc.4029:itc</v>
      </c>
      <c r="G130" s="8">
        <f t="shared" ref="G130:G193" si="5">A130</f>
        <v>42669.570486111108</v>
      </c>
    </row>
    <row r="131" spans="1:7" x14ac:dyDescent="0.25">
      <c r="A131" s="8">
        <v>42669.570509259262</v>
      </c>
      <c r="B131" s="21" t="s">
        <v>339</v>
      </c>
      <c r="C131" s="21" t="s">
        <v>425</v>
      </c>
      <c r="D131" s="21">
        <v>1280000</v>
      </c>
      <c r="E131" s="21" t="s">
        <v>294</v>
      </c>
      <c r="F131" s="21" t="str">
        <f t="shared" si="4"/>
        <v>rtdc.l.rtdc.4032:itc</v>
      </c>
      <c r="G131" s="8">
        <f t="shared" si="5"/>
        <v>42669.570509259262</v>
      </c>
    </row>
    <row r="132" spans="1:7" x14ac:dyDescent="0.25">
      <c r="A132" s="8">
        <v>42669.577557870369</v>
      </c>
      <c r="B132" s="21" t="s">
        <v>433</v>
      </c>
      <c r="C132" s="21" t="s">
        <v>537</v>
      </c>
      <c r="D132" s="21">
        <v>1770000</v>
      </c>
      <c r="E132" s="21" t="s">
        <v>521</v>
      </c>
      <c r="F132" s="21" t="str">
        <f t="shared" si="4"/>
        <v>rtdc.l.rtdc.4040:itc</v>
      </c>
      <c r="G132" s="8">
        <f t="shared" si="5"/>
        <v>42669.577557870369</v>
      </c>
    </row>
    <row r="133" spans="1:7" x14ac:dyDescent="0.25">
      <c r="A133" s="8">
        <v>42669.580648148149</v>
      </c>
      <c r="B133" s="21" t="s">
        <v>334</v>
      </c>
      <c r="C133" s="21" t="s">
        <v>538</v>
      </c>
      <c r="D133" s="21">
        <v>2430000</v>
      </c>
      <c r="E133" s="21" t="s">
        <v>511</v>
      </c>
      <c r="F133" s="21" t="str">
        <f t="shared" si="4"/>
        <v>rtdc.l.rtdc.4045:itc</v>
      </c>
      <c r="G133" s="8">
        <f t="shared" si="5"/>
        <v>42669.580648148149</v>
      </c>
    </row>
    <row r="134" spans="1:7" x14ac:dyDescent="0.25">
      <c r="A134" s="8">
        <v>42669.587743055556</v>
      </c>
      <c r="B134" s="21" t="s">
        <v>265</v>
      </c>
      <c r="C134" s="21" t="s">
        <v>539</v>
      </c>
      <c r="D134" s="21">
        <v>1740000</v>
      </c>
      <c r="E134" s="21" t="s">
        <v>524</v>
      </c>
      <c r="F134" s="21" t="str">
        <f t="shared" si="4"/>
        <v>rtdc.l.rtdc.4016:itc</v>
      </c>
      <c r="G134" s="8">
        <f t="shared" si="5"/>
        <v>42669.587743055556</v>
      </c>
    </row>
    <row r="135" spans="1:7" x14ac:dyDescent="0.25">
      <c r="A135" s="8">
        <v>42669.593530092592</v>
      </c>
      <c r="B135" s="21" t="s">
        <v>259</v>
      </c>
      <c r="C135" s="21" t="s">
        <v>424</v>
      </c>
      <c r="D135" s="21">
        <v>2040000</v>
      </c>
      <c r="E135" s="21" t="s">
        <v>533</v>
      </c>
      <c r="F135" s="21" t="str">
        <f t="shared" si="4"/>
        <v>rtdc.l.rtdc.4053:itc</v>
      </c>
      <c r="G135" s="8">
        <f t="shared" si="5"/>
        <v>42669.593530092592</v>
      </c>
    </row>
    <row r="136" spans="1:7" x14ac:dyDescent="0.25">
      <c r="A136" s="8">
        <v>42669.596377314818</v>
      </c>
      <c r="B136" s="21" t="s">
        <v>309</v>
      </c>
      <c r="C136" s="21" t="s">
        <v>540</v>
      </c>
      <c r="D136" s="21">
        <v>970000</v>
      </c>
      <c r="E136" s="21" t="s">
        <v>343</v>
      </c>
      <c r="F136" s="21" t="str">
        <f t="shared" si="4"/>
        <v>rtdc.l.rtdc.4001:itc</v>
      </c>
      <c r="G136" s="8">
        <f t="shared" si="5"/>
        <v>42669.596377314818</v>
      </c>
    </row>
    <row r="137" spans="1:7" x14ac:dyDescent="0.25">
      <c r="A137" s="8">
        <v>42669.599907407406</v>
      </c>
      <c r="B137" s="21" t="s">
        <v>292</v>
      </c>
      <c r="C137" s="21" t="s">
        <v>541</v>
      </c>
      <c r="D137" s="21">
        <v>2540000</v>
      </c>
      <c r="E137" s="21" t="s">
        <v>527</v>
      </c>
      <c r="F137" s="21" t="str">
        <f t="shared" si="4"/>
        <v>rtdc.l.rtdc.4011:itc</v>
      </c>
      <c r="G137" s="8">
        <f t="shared" si="5"/>
        <v>42669.599907407406</v>
      </c>
    </row>
    <row r="138" spans="1:7" x14ac:dyDescent="0.25">
      <c r="A138" s="8">
        <v>42669.604895833334</v>
      </c>
      <c r="B138" s="21" t="s">
        <v>255</v>
      </c>
      <c r="C138" s="21" t="s">
        <v>542</v>
      </c>
      <c r="D138" s="21">
        <v>1140000</v>
      </c>
      <c r="E138" s="21" t="s">
        <v>275</v>
      </c>
      <c r="F138" s="21" t="str">
        <f t="shared" si="4"/>
        <v>rtdc.l.rtdc.4030:itc</v>
      </c>
      <c r="G138" s="8">
        <f t="shared" si="5"/>
        <v>42669.604895833334</v>
      </c>
    </row>
    <row r="139" spans="1:7" x14ac:dyDescent="0.25">
      <c r="A139" s="8">
        <v>42669.609942129631</v>
      </c>
      <c r="B139" s="21" t="s">
        <v>258</v>
      </c>
      <c r="C139" s="21" t="s">
        <v>543</v>
      </c>
      <c r="D139" s="21">
        <v>2040000</v>
      </c>
      <c r="E139" s="21" t="s">
        <v>533</v>
      </c>
      <c r="F139" s="21" t="str">
        <f t="shared" si="4"/>
        <v>rtdc.l.rtdc.4054:itc</v>
      </c>
      <c r="G139" s="8">
        <f t="shared" si="5"/>
        <v>42669.609942129631</v>
      </c>
    </row>
    <row r="140" spans="1:7" x14ac:dyDescent="0.25">
      <c r="A140" s="8">
        <v>42669.610034722224</v>
      </c>
      <c r="B140" s="21" t="s">
        <v>340</v>
      </c>
      <c r="C140" s="21" t="s">
        <v>544</v>
      </c>
      <c r="D140" s="21">
        <v>1280000</v>
      </c>
      <c r="E140" s="21" t="s">
        <v>294</v>
      </c>
      <c r="F140" s="21" t="str">
        <f t="shared" si="4"/>
        <v>rtdc.l.rtdc.4031:itc</v>
      </c>
      <c r="G140" s="8">
        <f t="shared" si="5"/>
        <v>42669.610034722224</v>
      </c>
    </row>
    <row r="141" spans="1:7" x14ac:dyDescent="0.25">
      <c r="A141" s="8">
        <v>42669.611539351848</v>
      </c>
      <c r="B141" s="21" t="s">
        <v>210</v>
      </c>
      <c r="C141" s="21" t="s">
        <v>545</v>
      </c>
      <c r="D141" s="21">
        <v>1770000</v>
      </c>
      <c r="E141" s="21" t="s">
        <v>521</v>
      </c>
      <c r="F141" s="21" t="str">
        <f t="shared" si="4"/>
        <v>rtdc.l.rtdc.4039:itc</v>
      </c>
      <c r="G141" s="8">
        <f t="shared" si="5"/>
        <v>42669.611539351848</v>
      </c>
    </row>
    <row r="142" spans="1:7" x14ac:dyDescent="0.25">
      <c r="A142" s="8">
        <v>42669.62228009259</v>
      </c>
      <c r="B142" s="21" t="s">
        <v>335</v>
      </c>
      <c r="C142" s="21" t="s">
        <v>546</v>
      </c>
      <c r="D142" s="21">
        <v>2430000</v>
      </c>
      <c r="E142" s="21" t="s">
        <v>511</v>
      </c>
      <c r="F142" s="21" t="str">
        <f t="shared" si="4"/>
        <v>rtdc.l.rtdc.4046:itc</v>
      </c>
      <c r="G142" s="8">
        <f t="shared" si="5"/>
        <v>42669.62228009259</v>
      </c>
    </row>
    <row r="143" spans="1:7" x14ac:dyDescent="0.25">
      <c r="A143" s="8">
        <v>42669.62939814815</v>
      </c>
      <c r="B143" s="21" t="s">
        <v>266</v>
      </c>
      <c r="C143" s="21" t="s">
        <v>547</v>
      </c>
      <c r="D143" s="21">
        <v>1740000</v>
      </c>
      <c r="E143" s="21" t="s">
        <v>524</v>
      </c>
      <c r="F143" s="21" t="str">
        <f t="shared" si="4"/>
        <v>rtdc.l.rtdc.4015:itc</v>
      </c>
      <c r="G143" s="8">
        <f t="shared" si="5"/>
        <v>42669.62939814815</v>
      </c>
    </row>
    <row r="144" spans="1:7" x14ac:dyDescent="0.25">
      <c r="A144" s="8">
        <v>42669.632256944446</v>
      </c>
      <c r="B144" s="21" t="s">
        <v>308</v>
      </c>
      <c r="C144" s="21" t="s">
        <v>548</v>
      </c>
      <c r="D144" s="21">
        <v>1820000</v>
      </c>
      <c r="E144" s="21" t="s">
        <v>549</v>
      </c>
      <c r="F144" s="21" t="str">
        <f t="shared" si="4"/>
        <v>rtdc.l.rtdc.4002:itc</v>
      </c>
      <c r="G144" s="8">
        <f t="shared" si="5"/>
        <v>42669.632256944446</v>
      </c>
    </row>
    <row r="145" spans="1:7" x14ac:dyDescent="0.25">
      <c r="A145" s="8">
        <v>42669.635659722226</v>
      </c>
      <c r="B145" s="21" t="s">
        <v>430</v>
      </c>
      <c r="C145" s="21" t="s">
        <v>550</v>
      </c>
      <c r="D145" s="21">
        <v>2540000</v>
      </c>
      <c r="E145" s="21" t="s">
        <v>527</v>
      </c>
      <c r="F145" s="21" t="str">
        <f t="shared" si="4"/>
        <v>rtdc.l.rtdc.4012:itc</v>
      </c>
      <c r="G145" s="8">
        <f t="shared" si="5"/>
        <v>42669.635659722226</v>
      </c>
    </row>
    <row r="146" spans="1:7" x14ac:dyDescent="0.25">
      <c r="A146" s="8">
        <v>42669.635995370372</v>
      </c>
      <c r="B146" s="21" t="s">
        <v>259</v>
      </c>
      <c r="C146" s="21" t="s">
        <v>551</v>
      </c>
      <c r="D146" s="21">
        <v>2040000</v>
      </c>
      <c r="E146" s="21" t="s">
        <v>533</v>
      </c>
      <c r="F146" s="21" t="str">
        <f t="shared" si="4"/>
        <v>rtdc.l.rtdc.4053:itc</v>
      </c>
      <c r="G146" s="8">
        <f t="shared" si="5"/>
        <v>42669.635995370372</v>
      </c>
    </row>
    <row r="147" spans="1:7" x14ac:dyDescent="0.25">
      <c r="A147" s="8">
        <v>42669.642546296294</v>
      </c>
      <c r="B147" s="21" t="s">
        <v>254</v>
      </c>
      <c r="C147" s="21" t="s">
        <v>552</v>
      </c>
      <c r="D147" s="21">
        <v>1140000</v>
      </c>
      <c r="E147" s="21" t="s">
        <v>275</v>
      </c>
      <c r="F147" s="21" t="str">
        <f t="shared" si="4"/>
        <v>rtdc.l.rtdc.4029:itc</v>
      </c>
      <c r="G147" s="8">
        <f t="shared" si="5"/>
        <v>42669.642546296294</v>
      </c>
    </row>
    <row r="148" spans="1:7" x14ac:dyDescent="0.25">
      <c r="A148" s="8">
        <v>42669.64298611111</v>
      </c>
      <c r="B148" s="21" t="s">
        <v>339</v>
      </c>
      <c r="C148" s="21" t="s">
        <v>553</v>
      </c>
      <c r="D148" s="21">
        <v>1280000</v>
      </c>
      <c r="E148" s="21" t="s">
        <v>294</v>
      </c>
      <c r="F148" s="21" t="str">
        <f t="shared" si="4"/>
        <v>rtdc.l.rtdc.4032:itc</v>
      </c>
      <c r="G148" s="8">
        <f t="shared" si="5"/>
        <v>42669.64298611111</v>
      </c>
    </row>
    <row r="149" spans="1:7" x14ac:dyDescent="0.25">
      <c r="A149" s="8">
        <v>42669.645590277774</v>
      </c>
      <c r="B149" s="21" t="s">
        <v>338</v>
      </c>
      <c r="C149" s="21" t="s">
        <v>554</v>
      </c>
      <c r="D149" s="21">
        <v>1180000</v>
      </c>
      <c r="E149" s="21" t="s">
        <v>188</v>
      </c>
      <c r="F149" s="21" t="str">
        <f t="shared" si="4"/>
        <v>rtdc.l.rtdc.4008:itc</v>
      </c>
      <c r="G149" s="8">
        <f t="shared" si="5"/>
        <v>42669.645590277774</v>
      </c>
    </row>
    <row r="150" spans="1:7" x14ac:dyDescent="0.25">
      <c r="A150" s="8">
        <v>42669.651076388887</v>
      </c>
      <c r="B150" s="21" t="s">
        <v>433</v>
      </c>
      <c r="C150" s="21" t="s">
        <v>555</v>
      </c>
      <c r="D150" s="21">
        <v>1770000</v>
      </c>
      <c r="E150" s="21" t="s">
        <v>521</v>
      </c>
      <c r="F150" s="21" t="str">
        <f t="shared" si="4"/>
        <v>rtdc.l.rtdc.4040:itc</v>
      </c>
      <c r="G150" s="8">
        <f t="shared" si="5"/>
        <v>42669.651076388887</v>
      </c>
    </row>
    <row r="151" spans="1:7" x14ac:dyDescent="0.25">
      <c r="A151" s="8">
        <v>42669.651678240742</v>
      </c>
      <c r="B151" s="21" t="s">
        <v>258</v>
      </c>
      <c r="C151" s="21" t="s">
        <v>556</v>
      </c>
      <c r="D151" s="21">
        <v>2040000</v>
      </c>
      <c r="E151" s="21" t="s">
        <v>533</v>
      </c>
      <c r="F151" s="21" t="str">
        <f t="shared" si="4"/>
        <v>rtdc.l.rtdc.4054:itc</v>
      </c>
      <c r="G151" s="8">
        <f t="shared" si="5"/>
        <v>42669.651678240742</v>
      </c>
    </row>
    <row r="152" spans="1:7" x14ac:dyDescent="0.25">
      <c r="A152" s="8">
        <v>42669.6559375</v>
      </c>
      <c r="B152" s="21" t="s">
        <v>196</v>
      </c>
      <c r="C152" s="21" t="s">
        <v>557</v>
      </c>
      <c r="D152" s="21">
        <v>1180000</v>
      </c>
      <c r="E152" s="21" t="s">
        <v>188</v>
      </c>
      <c r="F152" s="21" t="str">
        <f t="shared" si="4"/>
        <v>rtdc.l.rtdc.4007:itc</v>
      </c>
      <c r="G152" s="8">
        <f t="shared" si="5"/>
        <v>42669.6559375</v>
      </c>
    </row>
    <row r="153" spans="1:7" x14ac:dyDescent="0.25">
      <c r="A153" s="8">
        <v>42669.657037037039</v>
      </c>
      <c r="B153" s="21" t="s">
        <v>196</v>
      </c>
      <c r="C153" s="21" t="s">
        <v>557</v>
      </c>
      <c r="D153" s="21">
        <v>1180000</v>
      </c>
      <c r="E153" s="21" t="s">
        <v>188</v>
      </c>
      <c r="F153" s="21" t="str">
        <f t="shared" si="4"/>
        <v>rtdc.l.rtdc.4007:itc</v>
      </c>
      <c r="G153" s="8">
        <f t="shared" si="5"/>
        <v>42669.657037037039</v>
      </c>
    </row>
    <row r="154" spans="1:7" x14ac:dyDescent="0.25">
      <c r="A154" s="8">
        <v>42669.66070601852</v>
      </c>
      <c r="B154" s="21" t="s">
        <v>334</v>
      </c>
      <c r="C154" s="21" t="s">
        <v>558</v>
      </c>
      <c r="D154" s="21">
        <v>2430000</v>
      </c>
      <c r="E154" s="21" t="s">
        <v>511</v>
      </c>
      <c r="F154" s="21" t="str">
        <f t="shared" si="4"/>
        <v>rtdc.l.rtdc.4045:itc</v>
      </c>
      <c r="G154" s="8">
        <f t="shared" si="5"/>
        <v>42669.66070601852</v>
      </c>
    </row>
    <row r="155" spans="1:7" x14ac:dyDescent="0.25">
      <c r="A155" s="8">
        <v>42669.661446759259</v>
      </c>
      <c r="B155" s="21" t="s">
        <v>265</v>
      </c>
      <c r="C155" s="21" t="s">
        <v>559</v>
      </c>
      <c r="D155" s="21">
        <v>1740000</v>
      </c>
      <c r="E155" s="21" t="s">
        <v>524</v>
      </c>
      <c r="F155" s="21" t="str">
        <f t="shared" si="4"/>
        <v>rtdc.l.rtdc.4016:itc</v>
      </c>
      <c r="G155" s="8">
        <f t="shared" si="5"/>
        <v>42669.661446759259</v>
      </c>
    </row>
    <row r="156" spans="1:7" x14ac:dyDescent="0.25">
      <c r="A156" s="8">
        <v>42669.671365740738</v>
      </c>
      <c r="B156" s="21" t="s">
        <v>292</v>
      </c>
      <c r="C156" s="21" t="s">
        <v>560</v>
      </c>
      <c r="D156" s="21">
        <v>2540000</v>
      </c>
      <c r="E156" s="21" t="s">
        <v>527</v>
      </c>
      <c r="F156" s="21" t="str">
        <f t="shared" si="4"/>
        <v>rtdc.l.rtdc.4011:itc</v>
      </c>
      <c r="G156" s="8">
        <f t="shared" si="5"/>
        <v>42669.671365740738</v>
      </c>
    </row>
    <row r="157" spans="1:7" x14ac:dyDescent="0.25">
      <c r="A157" s="8">
        <v>42669.6721412037</v>
      </c>
      <c r="B157" s="21" t="s">
        <v>338</v>
      </c>
      <c r="C157" s="21" t="s">
        <v>426</v>
      </c>
      <c r="D157" s="21">
        <v>1180000</v>
      </c>
      <c r="E157" s="21" t="s">
        <v>188</v>
      </c>
      <c r="F157" s="21" t="str">
        <f t="shared" si="4"/>
        <v>rtdc.l.rtdc.4008:itc</v>
      </c>
      <c r="G157" s="8">
        <f t="shared" si="5"/>
        <v>42669.6721412037</v>
      </c>
    </row>
    <row r="158" spans="1:7" x14ac:dyDescent="0.25">
      <c r="A158" s="8">
        <v>42669.672488425924</v>
      </c>
      <c r="B158" s="21" t="s">
        <v>309</v>
      </c>
      <c r="C158" s="21" t="s">
        <v>561</v>
      </c>
      <c r="D158" s="21">
        <v>1820000</v>
      </c>
      <c r="E158" s="21" t="s">
        <v>549</v>
      </c>
      <c r="F158" s="21" t="str">
        <f t="shared" si="4"/>
        <v>rtdc.l.rtdc.4001:itc</v>
      </c>
      <c r="G158" s="8">
        <f t="shared" si="5"/>
        <v>42669.672488425924</v>
      </c>
    </row>
    <row r="159" spans="1:7" x14ac:dyDescent="0.25">
      <c r="A159" s="8">
        <v>42669.676076388889</v>
      </c>
      <c r="B159" s="21" t="s">
        <v>255</v>
      </c>
      <c r="C159" s="21" t="s">
        <v>562</v>
      </c>
      <c r="D159" s="21">
        <v>1140000</v>
      </c>
      <c r="E159" s="21" t="s">
        <v>275</v>
      </c>
      <c r="F159" s="21" t="str">
        <f t="shared" si="4"/>
        <v>rtdc.l.rtdc.4030:itc</v>
      </c>
      <c r="G159" s="8">
        <f t="shared" si="5"/>
        <v>42669.676076388889</v>
      </c>
    </row>
    <row r="160" spans="1:7" x14ac:dyDescent="0.25">
      <c r="A160" s="8">
        <v>42669.678402777776</v>
      </c>
      <c r="B160" s="21" t="s">
        <v>259</v>
      </c>
      <c r="C160" s="21" t="s">
        <v>563</v>
      </c>
      <c r="D160" s="21">
        <v>2040000</v>
      </c>
      <c r="E160" s="21" t="s">
        <v>533</v>
      </c>
      <c r="F160" s="21" t="str">
        <f t="shared" si="4"/>
        <v>rtdc.l.rtdc.4053:itc</v>
      </c>
      <c r="G160" s="8">
        <f t="shared" si="5"/>
        <v>42669.678402777776</v>
      </c>
    </row>
    <row r="161" spans="1:7" x14ac:dyDescent="0.25">
      <c r="A161" s="8">
        <v>42669.682812500003</v>
      </c>
      <c r="B161" s="21" t="s">
        <v>340</v>
      </c>
      <c r="C161" s="21" t="s">
        <v>564</v>
      </c>
      <c r="D161" s="21">
        <v>1280000</v>
      </c>
      <c r="E161" s="21" t="s">
        <v>294</v>
      </c>
      <c r="F161" s="21" t="str">
        <f t="shared" si="4"/>
        <v>rtdc.l.rtdc.4031:itc</v>
      </c>
      <c r="G161" s="8">
        <f t="shared" si="5"/>
        <v>42669.682812500003</v>
      </c>
    </row>
    <row r="162" spans="1:7" x14ac:dyDescent="0.25">
      <c r="A162" s="8">
        <v>42669.689027777778</v>
      </c>
      <c r="B162" s="21" t="s">
        <v>210</v>
      </c>
      <c r="C162" s="21" t="s">
        <v>565</v>
      </c>
      <c r="D162" s="21">
        <v>1770000</v>
      </c>
      <c r="E162" s="21" t="s">
        <v>521</v>
      </c>
      <c r="F162" s="21" t="str">
        <f t="shared" si="4"/>
        <v>rtdc.l.rtdc.4039:itc</v>
      </c>
      <c r="G162" s="8">
        <f t="shared" si="5"/>
        <v>42669.689027777778</v>
      </c>
    </row>
    <row r="163" spans="1:7" x14ac:dyDescent="0.25">
      <c r="A163" s="8">
        <v>42669.692800925928</v>
      </c>
      <c r="B163" s="21" t="s">
        <v>258</v>
      </c>
      <c r="C163" s="21" t="s">
        <v>566</v>
      </c>
      <c r="D163" s="21">
        <v>2040000</v>
      </c>
      <c r="E163" s="21" t="s">
        <v>533</v>
      </c>
      <c r="F163" s="21" t="str">
        <f t="shared" si="4"/>
        <v>rtdc.l.rtdc.4054:itc</v>
      </c>
      <c r="G163" s="8">
        <f t="shared" si="5"/>
        <v>42669.692800925928</v>
      </c>
    </row>
    <row r="164" spans="1:7" x14ac:dyDescent="0.25">
      <c r="A164" s="8">
        <v>42669.695555555554</v>
      </c>
      <c r="B164" s="21" t="s">
        <v>335</v>
      </c>
      <c r="C164" s="21" t="s">
        <v>567</v>
      </c>
      <c r="D164" s="21">
        <v>2430000</v>
      </c>
      <c r="E164" s="21" t="s">
        <v>511</v>
      </c>
      <c r="F164" s="21" t="str">
        <f t="shared" si="4"/>
        <v>rtdc.l.rtdc.4046:itc</v>
      </c>
      <c r="G164" s="8">
        <f t="shared" si="5"/>
        <v>42669.695555555554</v>
      </c>
    </row>
    <row r="165" spans="1:7" x14ac:dyDescent="0.25">
      <c r="A165" s="8">
        <v>42669.69630787037</v>
      </c>
      <c r="B165" s="21" t="s">
        <v>196</v>
      </c>
      <c r="C165" s="21" t="s">
        <v>568</v>
      </c>
      <c r="D165" s="21">
        <v>1180000</v>
      </c>
      <c r="E165" s="21" t="s">
        <v>188</v>
      </c>
      <c r="F165" s="21" t="str">
        <f t="shared" si="4"/>
        <v>rtdc.l.rtdc.4007:itc</v>
      </c>
      <c r="G165" s="8">
        <f t="shared" si="5"/>
        <v>42669.69630787037</v>
      </c>
    </row>
    <row r="166" spans="1:7" x14ac:dyDescent="0.25">
      <c r="A166" s="8">
        <v>42669.701192129629</v>
      </c>
      <c r="B166" s="21" t="s">
        <v>266</v>
      </c>
      <c r="C166" s="21" t="s">
        <v>569</v>
      </c>
      <c r="D166" s="21">
        <v>1740000</v>
      </c>
      <c r="E166" s="21" t="s">
        <v>524</v>
      </c>
      <c r="F166" s="21" t="str">
        <f t="shared" si="4"/>
        <v>rtdc.l.rtdc.4015:itc</v>
      </c>
      <c r="G166" s="8">
        <f t="shared" si="5"/>
        <v>42669.701192129629</v>
      </c>
    </row>
    <row r="167" spans="1:7" x14ac:dyDescent="0.25">
      <c r="A167" s="8">
        <v>42669.703877314816</v>
      </c>
      <c r="B167" s="21" t="s">
        <v>308</v>
      </c>
      <c r="C167" s="21" t="s">
        <v>570</v>
      </c>
      <c r="D167" s="21">
        <v>970000</v>
      </c>
      <c r="E167" s="21" t="s">
        <v>343</v>
      </c>
      <c r="F167" s="21" t="str">
        <f t="shared" si="4"/>
        <v>rtdc.l.rtdc.4002:itc</v>
      </c>
      <c r="G167" s="8">
        <f t="shared" si="5"/>
        <v>42669.703877314816</v>
      </c>
    </row>
    <row r="168" spans="1:7" x14ac:dyDescent="0.25">
      <c r="A168" s="8">
        <v>42669.707002314812</v>
      </c>
      <c r="B168" s="21" t="s">
        <v>430</v>
      </c>
      <c r="C168" s="21" t="s">
        <v>431</v>
      </c>
      <c r="D168" s="21">
        <v>2540000</v>
      </c>
      <c r="E168" s="21" t="s">
        <v>527</v>
      </c>
      <c r="F168" s="21" t="str">
        <f t="shared" si="4"/>
        <v>rtdc.l.rtdc.4012:itc</v>
      </c>
      <c r="G168" s="8">
        <f t="shared" si="5"/>
        <v>42669.707002314812</v>
      </c>
    </row>
    <row r="169" spans="1:7" x14ac:dyDescent="0.25">
      <c r="A169" s="8">
        <v>42669.708541666667</v>
      </c>
      <c r="B169" s="21" t="s">
        <v>280</v>
      </c>
      <c r="C169" s="21" t="s">
        <v>428</v>
      </c>
      <c r="D169" s="21">
        <v>1230000</v>
      </c>
      <c r="E169" s="21" t="s">
        <v>211</v>
      </c>
      <c r="F169" s="21" t="str">
        <f t="shared" si="4"/>
        <v>rtdc.l.rtdc.4037:itc</v>
      </c>
      <c r="G169" s="8">
        <f t="shared" si="5"/>
        <v>42669.708541666667</v>
      </c>
    </row>
    <row r="170" spans="1:7" x14ac:dyDescent="0.25">
      <c r="A170" s="8">
        <v>42669.714062500003</v>
      </c>
      <c r="B170" s="21" t="s">
        <v>338</v>
      </c>
      <c r="C170" s="21" t="s">
        <v>571</v>
      </c>
      <c r="D170" s="21">
        <v>1180000</v>
      </c>
      <c r="E170" s="21" t="s">
        <v>188</v>
      </c>
      <c r="F170" s="21" t="str">
        <f t="shared" si="4"/>
        <v>rtdc.l.rtdc.4008:itc</v>
      </c>
      <c r="G170" s="8">
        <f t="shared" si="5"/>
        <v>42669.714062500003</v>
      </c>
    </row>
    <row r="171" spans="1:7" x14ac:dyDescent="0.25">
      <c r="A171" s="8">
        <v>42669.715185185189</v>
      </c>
      <c r="B171" s="21" t="s">
        <v>339</v>
      </c>
      <c r="C171" s="21" t="s">
        <v>572</v>
      </c>
      <c r="D171" s="21">
        <v>1280000</v>
      </c>
      <c r="E171" s="21" t="s">
        <v>294</v>
      </c>
      <c r="F171" s="21" t="str">
        <f t="shared" si="4"/>
        <v>rtdc.l.rtdc.4032:itc</v>
      </c>
      <c r="G171" s="8">
        <f t="shared" si="5"/>
        <v>42669.715185185189</v>
      </c>
    </row>
    <row r="172" spans="1:7" x14ac:dyDescent="0.25">
      <c r="A172" s="8">
        <v>42669.718842592592</v>
      </c>
      <c r="B172" s="21" t="s">
        <v>254</v>
      </c>
      <c r="C172" s="21" t="s">
        <v>573</v>
      </c>
      <c r="D172" s="21">
        <v>2260000</v>
      </c>
      <c r="E172" s="21" t="s">
        <v>574</v>
      </c>
      <c r="F172" s="21" t="str">
        <f t="shared" si="4"/>
        <v>rtdc.l.rtdc.4029:itc</v>
      </c>
      <c r="G172" s="8">
        <f t="shared" si="5"/>
        <v>42669.718842592592</v>
      </c>
    </row>
    <row r="173" spans="1:7" x14ac:dyDescent="0.25">
      <c r="A173" s="8">
        <v>42669.719537037039</v>
      </c>
      <c r="B173" s="21" t="s">
        <v>259</v>
      </c>
      <c r="C173" s="21" t="s">
        <v>429</v>
      </c>
      <c r="D173" s="21">
        <v>2040000</v>
      </c>
      <c r="E173" s="21" t="s">
        <v>533</v>
      </c>
      <c r="F173" s="21" t="str">
        <f t="shared" si="4"/>
        <v>rtdc.l.rtdc.4053:itc</v>
      </c>
      <c r="G173" s="8">
        <f t="shared" si="5"/>
        <v>42669.719537037039</v>
      </c>
    </row>
    <row r="174" spans="1:7" x14ac:dyDescent="0.25">
      <c r="A174" s="8">
        <v>42669.724606481483</v>
      </c>
      <c r="B174" s="21" t="s">
        <v>433</v>
      </c>
      <c r="C174" s="21" t="s">
        <v>434</v>
      </c>
      <c r="D174" s="21">
        <v>1140000</v>
      </c>
      <c r="E174" s="21" t="s">
        <v>275</v>
      </c>
      <c r="F174" s="21" t="str">
        <f t="shared" si="4"/>
        <v>rtdc.l.rtdc.4040:itc</v>
      </c>
      <c r="G174" s="8">
        <f t="shared" si="5"/>
        <v>42669.724606481483</v>
      </c>
    </row>
    <row r="175" spans="1:7" x14ac:dyDescent="0.25">
      <c r="A175" s="8">
        <v>42669.734027777777</v>
      </c>
      <c r="B175" s="21" t="s">
        <v>334</v>
      </c>
      <c r="C175" s="21" t="s">
        <v>575</v>
      </c>
      <c r="D175" s="21">
        <v>2430000</v>
      </c>
      <c r="E175" s="21" t="s">
        <v>511</v>
      </c>
      <c r="F175" s="21" t="str">
        <f t="shared" si="4"/>
        <v>rtdc.l.rtdc.4045:itc</v>
      </c>
      <c r="G175" s="8">
        <f t="shared" si="5"/>
        <v>42669.734027777777</v>
      </c>
    </row>
    <row r="176" spans="1:7" x14ac:dyDescent="0.25">
      <c r="A176" s="8">
        <v>42669.735023148147</v>
      </c>
      <c r="B176" s="21" t="s">
        <v>258</v>
      </c>
      <c r="C176" s="21" t="s">
        <v>576</v>
      </c>
      <c r="D176" s="21">
        <v>2040000</v>
      </c>
      <c r="E176" s="21" t="s">
        <v>533</v>
      </c>
      <c r="F176" s="21" t="str">
        <f t="shared" si="4"/>
        <v>rtdc.l.rtdc.4054:itc</v>
      </c>
      <c r="G176" s="8">
        <f t="shared" si="5"/>
        <v>42669.735023148147</v>
      </c>
    </row>
    <row r="177" spans="1:7" x14ac:dyDescent="0.25">
      <c r="A177" s="8">
        <v>42669.736203703702</v>
      </c>
      <c r="B177" s="21" t="s">
        <v>265</v>
      </c>
      <c r="C177" s="21" t="s">
        <v>577</v>
      </c>
      <c r="D177" s="21">
        <v>1230000</v>
      </c>
      <c r="E177" s="21" t="s">
        <v>211</v>
      </c>
      <c r="F177" s="21" t="str">
        <f t="shared" si="4"/>
        <v>rtdc.l.rtdc.4016:itc</v>
      </c>
      <c r="G177" s="8">
        <f t="shared" si="5"/>
        <v>42669.736203703702</v>
      </c>
    </row>
    <row r="178" spans="1:7" x14ac:dyDescent="0.25">
      <c r="A178" s="8">
        <v>42669.737129629626</v>
      </c>
      <c r="B178" s="21" t="s">
        <v>301</v>
      </c>
      <c r="C178" s="21" t="s">
        <v>578</v>
      </c>
      <c r="D178" s="21">
        <v>1200000</v>
      </c>
      <c r="E178" s="21" t="s">
        <v>579</v>
      </c>
      <c r="F178" s="21" t="str">
        <f t="shared" si="4"/>
        <v>rtdc.l.rtdc.4021:itc</v>
      </c>
      <c r="G178" s="8">
        <f t="shared" si="5"/>
        <v>42669.737129629626</v>
      </c>
    </row>
    <row r="179" spans="1:7" x14ac:dyDescent="0.25">
      <c r="A179" s="8">
        <v>42669.739340277774</v>
      </c>
      <c r="B179" s="21" t="s">
        <v>295</v>
      </c>
      <c r="C179" s="21" t="s">
        <v>432</v>
      </c>
      <c r="D179" s="21">
        <v>2220000</v>
      </c>
      <c r="E179" s="21" t="s">
        <v>501</v>
      </c>
      <c r="F179" s="21" t="str">
        <f t="shared" si="4"/>
        <v>rtdc.l.rtdc.4006:itc</v>
      </c>
      <c r="G179" s="8">
        <f t="shared" si="5"/>
        <v>42669.739340277774</v>
      </c>
    </row>
    <row r="180" spans="1:7" x14ac:dyDescent="0.25">
      <c r="A180" s="8">
        <v>42669.740081018521</v>
      </c>
      <c r="B180" s="21" t="s">
        <v>309</v>
      </c>
      <c r="C180" s="21" t="s">
        <v>580</v>
      </c>
      <c r="D180" s="21">
        <v>970000</v>
      </c>
      <c r="E180" s="21" t="s">
        <v>343</v>
      </c>
      <c r="F180" s="21" t="str">
        <f t="shared" si="4"/>
        <v>rtdc.l.rtdc.4001:itc</v>
      </c>
      <c r="G180" s="8">
        <f t="shared" si="5"/>
        <v>42669.740081018521</v>
      </c>
    </row>
    <row r="181" spans="1:7" x14ac:dyDescent="0.25">
      <c r="A181" s="8">
        <v>42669.740289351852</v>
      </c>
      <c r="B181" s="21" t="s">
        <v>295</v>
      </c>
      <c r="C181" s="21" t="s">
        <v>432</v>
      </c>
      <c r="D181" s="21">
        <v>2220000</v>
      </c>
      <c r="E181" s="21" t="s">
        <v>501</v>
      </c>
      <c r="F181" s="21" t="str">
        <f t="shared" si="4"/>
        <v>rtdc.l.rtdc.4006:itc</v>
      </c>
      <c r="G181" s="8">
        <f t="shared" si="5"/>
        <v>42669.740289351852</v>
      </c>
    </row>
    <row r="182" spans="1:7" x14ac:dyDescent="0.25">
      <c r="A182" s="8">
        <v>42669.740706018521</v>
      </c>
      <c r="B182" s="21" t="s">
        <v>196</v>
      </c>
      <c r="C182" s="21" t="s">
        <v>581</v>
      </c>
      <c r="D182" s="21">
        <v>1180000</v>
      </c>
      <c r="E182" s="21" t="s">
        <v>188</v>
      </c>
      <c r="F182" s="21" t="str">
        <f t="shared" si="4"/>
        <v>rtdc.l.rtdc.4007:itc</v>
      </c>
      <c r="G182" s="8">
        <f t="shared" si="5"/>
        <v>42669.740706018521</v>
      </c>
    </row>
    <row r="183" spans="1:7" x14ac:dyDescent="0.25">
      <c r="A183" s="8">
        <v>42669.740972222222</v>
      </c>
      <c r="B183" s="21" t="s">
        <v>295</v>
      </c>
      <c r="C183" s="21" t="s">
        <v>432</v>
      </c>
      <c r="D183" s="21">
        <v>2220000</v>
      </c>
      <c r="E183" s="21" t="s">
        <v>501</v>
      </c>
      <c r="F183" s="21" t="str">
        <f t="shared" si="4"/>
        <v>rtdc.l.rtdc.4006:itc</v>
      </c>
      <c r="G183" s="8">
        <f t="shared" si="5"/>
        <v>42669.740972222222</v>
      </c>
    </row>
    <row r="184" spans="1:7" x14ac:dyDescent="0.25">
      <c r="A184" s="8">
        <v>42669.742071759261</v>
      </c>
      <c r="B184" s="21" t="s">
        <v>295</v>
      </c>
      <c r="C184" s="21" t="s">
        <v>432</v>
      </c>
      <c r="D184" s="21">
        <v>2220000</v>
      </c>
      <c r="E184" s="21" t="s">
        <v>501</v>
      </c>
      <c r="F184" s="21" t="str">
        <f t="shared" si="4"/>
        <v>rtdc.l.rtdc.4006:itc</v>
      </c>
      <c r="G184" s="8">
        <f t="shared" si="5"/>
        <v>42669.742071759261</v>
      </c>
    </row>
    <row r="185" spans="1:7" x14ac:dyDescent="0.25">
      <c r="A185" s="8">
        <v>42669.744652777779</v>
      </c>
      <c r="B185" s="21" t="s">
        <v>295</v>
      </c>
      <c r="C185" s="21" t="s">
        <v>432</v>
      </c>
      <c r="D185" s="21">
        <v>2220000</v>
      </c>
      <c r="E185" s="21" t="s">
        <v>501</v>
      </c>
      <c r="F185" s="21" t="str">
        <f t="shared" si="4"/>
        <v>rtdc.l.rtdc.4006:itc</v>
      </c>
      <c r="G185" s="8">
        <f t="shared" si="5"/>
        <v>42669.744652777779</v>
      </c>
    </row>
    <row r="186" spans="1:7" x14ac:dyDescent="0.25">
      <c r="A186" s="8">
        <v>42669.747581018521</v>
      </c>
      <c r="B186" s="21" t="s">
        <v>292</v>
      </c>
      <c r="C186" s="21" t="s">
        <v>582</v>
      </c>
      <c r="D186" s="21">
        <v>1740000</v>
      </c>
      <c r="E186" s="21" t="s">
        <v>524</v>
      </c>
      <c r="F186" s="21" t="str">
        <f t="shared" si="4"/>
        <v>rtdc.l.rtdc.4011:itc</v>
      </c>
      <c r="G186" s="8">
        <f t="shared" si="5"/>
        <v>42669.747581018521</v>
      </c>
    </row>
    <row r="187" spans="1:7" x14ac:dyDescent="0.25">
      <c r="A187" s="8">
        <v>42669.75240740741</v>
      </c>
      <c r="B187" s="21" t="s">
        <v>255</v>
      </c>
      <c r="C187" s="21" t="s">
        <v>583</v>
      </c>
      <c r="D187" s="21">
        <v>2260000</v>
      </c>
      <c r="E187" s="21" t="s">
        <v>574</v>
      </c>
      <c r="F187" s="21" t="str">
        <f t="shared" si="4"/>
        <v>rtdc.l.rtdc.4030:itc</v>
      </c>
      <c r="G187" s="8">
        <f t="shared" si="5"/>
        <v>42669.75240740741</v>
      </c>
    </row>
    <row r="188" spans="1:7" x14ac:dyDescent="0.25">
      <c r="A188" s="8">
        <v>42669.755798611113</v>
      </c>
      <c r="B188" s="21" t="s">
        <v>338</v>
      </c>
      <c r="C188" s="21" t="s">
        <v>584</v>
      </c>
      <c r="D188" s="21">
        <v>1180000</v>
      </c>
      <c r="E188" s="21" t="s">
        <v>188</v>
      </c>
      <c r="F188" s="21" t="str">
        <f t="shared" si="4"/>
        <v>rtdc.l.rtdc.4008:itc</v>
      </c>
      <c r="G188" s="8">
        <f t="shared" si="5"/>
        <v>42669.755798611113</v>
      </c>
    </row>
    <row r="189" spans="1:7" x14ac:dyDescent="0.25">
      <c r="A189" s="8">
        <v>42669.757893518516</v>
      </c>
      <c r="B189" s="21" t="s">
        <v>340</v>
      </c>
      <c r="C189" s="21" t="s">
        <v>585</v>
      </c>
      <c r="D189" s="21">
        <v>1300000</v>
      </c>
      <c r="E189" s="21" t="s">
        <v>113</v>
      </c>
      <c r="F189" s="21" t="str">
        <f t="shared" si="4"/>
        <v>rtdc.l.rtdc.4031:itc</v>
      </c>
      <c r="G189" s="8">
        <f t="shared" si="5"/>
        <v>42669.757893518516</v>
      </c>
    </row>
    <row r="190" spans="1:7" x14ac:dyDescent="0.25">
      <c r="A190" s="8">
        <v>42669.760497685187</v>
      </c>
      <c r="B190" s="21" t="s">
        <v>210</v>
      </c>
      <c r="C190" s="21" t="s">
        <v>586</v>
      </c>
      <c r="D190" s="21">
        <v>1140000</v>
      </c>
      <c r="E190" s="21" t="s">
        <v>275</v>
      </c>
      <c r="F190" s="21" t="str">
        <f t="shared" si="4"/>
        <v>rtdc.l.rtdc.4039:itc</v>
      </c>
      <c r="G190" s="8">
        <f t="shared" si="5"/>
        <v>42669.760497685187</v>
      </c>
    </row>
    <row r="191" spans="1:7" x14ac:dyDescent="0.25">
      <c r="A191" s="8">
        <v>42669.761886574073</v>
      </c>
      <c r="B191" s="21" t="s">
        <v>259</v>
      </c>
      <c r="C191" s="21" t="s">
        <v>435</v>
      </c>
      <c r="D191" s="21">
        <v>2040000</v>
      </c>
      <c r="E191" s="21" t="s">
        <v>533</v>
      </c>
      <c r="F191" s="21" t="str">
        <f t="shared" si="4"/>
        <v>rtdc.l.rtdc.4053:itc</v>
      </c>
      <c r="G191" s="8">
        <f t="shared" si="5"/>
        <v>42669.761886574073</v>
      </c>
    </row>
    <row r="192" spans="1:7" x14ac:dyDescent="0.25">
      <c r="A192" s="8">
        <v>42669.768622685187</v>
      </c>
      <c r="B192" s="21" t="s">
        <v>335</v>
      </c>
      <c r="C192" s="21" t="s">
        <v>587</v>
      </c>
      <c r="D192" s="21">
        <v>2350000</v>
      </c>
      <c r="E192" s="21" t="s">
        <v>256</v>
      </c>
      <c r="F192" s="21" t="str">
        <f t="shared" si="4"/>
        <v>rtdc.l.rtdc.4046:itc</v>
      </c>
      <c r="G192" s="8">
        <f t="shared" si="5"/>
        <v>42669.768622685187</v>
      </c>
    </row>
    <row r="193" spans="1:7" x14ac:dyDescent="0.25">
      <c r="A193" s="8">
        <v>42669.77611111111</v>
      </c>
      <c r="B193" s="21" t="s">
        <v>266</v>
      </c>
      <c r="C193" s="21" t="s">
        <v>588</v>
      </c>
      <c r="D193" s="21">
        <v>1230000</v>
      </c>
      <c r="E193" s="21" t="s">
        <v>211</v>
      </c>
      <c r="F193" s="21" t="str">
        <f t="shared" si="4"/>
        <v>rtdc.l.rtdc.4015:itc</v>
      </c>
      <c r="G193" s="8">
        <f t="shared" si="5"/>
        <v>42669.77611111111</v>
      </c>
    </row>
    <row r="194" spans="1:7" x14ac:dyDescent="0.25">
      <c r="A194" s="8">
        <v>42669.776643518519</v>
      </c>
      <c r="B194" s="21" t="s">
        <v>258</v>
      </c>
      <c r="C194" s="21" t="s">
        <v>436</v>
      </c>
      <c r="D194" s="21">
        <v>2040000</v>
      </c>
      <c r="E194" s="21" t="s">
        <v>533</v>
      </c>
      <c r="F194" s="21" t="str">
        <f t="shared" ref="F194:F235" si="6">B194</f>
        <v>rtdc.l.rtdc.4054:itc</v>
      </c>
      <c r="G194" s="8">
        <f t="shared" ref="G194:G235" si="7">A194</f>
        <v>42669.776643518519</v>
      </c>
    </row>
    <row r="195" spans="1:7" x14ac:dyDescent="0.25">
      <c r="A195" s="8">
        <v>42669.778831018521</v>
      </c>
      <c r="B195" s="21" t="s">
        <v>308</v>
      </c>
      <c r="C195" s="21" t="s">
        <v>589</v>
      </c>
      <c r="D195" s="21">
        <v>970000</v>
      </c>
      <c r="E195" s="21" t="s">
        <v>343</v>
      </c>
      <c r="F195" s="21" t="str">
        <f t="shared" si="6"/>
        <v>rtdc.l.rtdc.4002:itc</v>
      </c>
      <c r="G195" s="8">
        <f t="shared" si="7"/>
        <v>42669.778831018521</v>
      </c>
    </row>
    <row r="196" spans="1:7" x14ac:dyDescent="0.25">
      <c r="A196" s="8">
        <v>42669.780462962961</v>
      </c>
      <c r="B196" s="21" t="s">
        <v>196</v>
      </c>
      <c r="C196" s="21" t="s">
        <v>590</v>
      </c>
      <c r="D196" s="21">
        <v>1180000</v>
      </c>
      <c r="E196" s="21" t="s">
        <v>188</v>
      </c>
      <c r="F196" s="21" t="str">
        <f t="shared" si="6"/>
        <v>rtdc.l.rtdc.4007:itc</v>
      </c>
      <c r="G196" s="8">
        <f t="shared" si="7"/>
        <v>42669.780462962961</v>
      </c>
    </row>
    <row r="197" spans="1:7" x14ac:dyDescent="0.25">
      <c r="A197" s="8">
        <v>42669.786087962966</v>
      </c>
      <c r="B197" s="21" t="s">
        <v>430</v>
      </c>
      <c r="C197" s="21" t="s">
        <v>591</v>
      </c>
      <c r="D197" s="21">
        <v>1740000</v>
      </c>
      <c r="E197" s="21" t="s">
        <v>524</v>
      </c>
      <c r="F197" s="21" t="str">
        <f t="shared" si="6"/>
        <v>rtdc.l.rtdc.4012:itc</v>
      </c>
      <c r="G197" s="8">
        <f t="shared" si="7"/>
        <v>42669.786087962966</v>
      </c>
    </row>
    <row r="198" spans="1:7" x14ac:dyDescent="0.25">
      <c r="A198" s="8">
        <v>42669.789907407408</v>
      </c>
      <c r="B198" s="21" t="s">
        <v>254</v>
      </c>
      <c r="C198" s="21" t="s">
        <v>592</v>
      </c>
      <c r="D198" s="21">
        <v>2260000</v>
      </c>
      <c r="E198" s="21" t="s">
        <v>574</v>
      </c>
      <c r="F198" s="21" t="str">
        <f t="shared" si="6"/>
        <v>rtdc.l.rtdc.4029:itc</v>
      </c>
      <c r="G198" s="8">
        <f t="shared" si="7"/>
        <v>42669.789907407408</v>
      </c>
    </row>
    <row r="199" spans="1:7" x14ac:dyDescent="0.25">
      <c r="A199" s="8">
        <v>42669.795486111114</v>
      </c>
      <c r="B199" s="21" t="s">
        <v>339</v>
      </c>
      <c r="C199" s="21" t="s">
        <v>593</v>
      </c>
      <c r="D199" s="21">
        <v>1300000</v>
      </c>
      <c r="E199" s="21" t="s">
        <v>113</v>
      </c>
      <c r="F199" s="21" t="str">
        <f t="shared" si="6"/>
        <v>rtdc.l.rtdc.4032:itc</v>
      </c>
      <c r="G199" s="8">
        <f t="shared" si="7"/>
        <v>42669.795486111114</v>
      </c>
    </row>
    <row r="200" spans="1:7" x14ac:dyDescent="0.25">
      <c r="A200" s="8">
        <v>42669.798495370371</v>
      </c>
      <c r="B200" s="21" t="s">
        <v>338</v>
      </c>
      <c r="C200" s="21" t="s">
        <v>594</v>
      </c>
      <c r="D200" s="21">
        <v>1180000</v>
      </c>
      <c r="E200" s="21" t="s">
        <v>188</v>
      </c>
      <c r="F200" s="21" t="str">
        <f t="shared" si="6"/>
        <v>rtdc.l.rtdc.4008:itc</v>
      </c>
      <c r="G200" s="8">
        <f t="shared" si="7"/>
        <v>42669.798495370371</v>
      </c>
    </row>
    <row r="201" spans="1:7" x14ac:dyDescent="0.25">
      <c r="A201" s="8">
        <v>42669.80060185185</v>
      </c>
      <c r="B201" s="21" t="s">
        <v>259</v>
      </c>
      <c r="C201" s="21" t="s">
        <v>595</v>
      </c>
      <c r="D201" s="21">
        <v>120000</v>
      </c>
      <c r="E201" s="21" t="s">
        <v>596</v>
      </c>
      <c r="F201" s="21" t="str">
        <f t="shared" si="6"/>
        <v>rtdc.l.rtdc.4053:itc</v>
      </c>
      <c r="G201" s="8">
        <f t="shared" si="7"/>
        <v>42669.80060185185</v>
      </c>
    </row>
    <row r="202" spans="1:7" x14ac:dyDescent="0.25">
      <c r="A202" s="27">
        <v>42669.801238425927</v>
      </c>
      <c r="B202" s="21" t="s">
        <v>433</v>
      </c>
      <c r="C202" s="21" t="s">
        <v>597</v>
      </c>
      <c r="D202" s="21">
        <v>1140000</v>
      </c>
      <c r="E202" s="21" t="s">
        <v>275</v>
      </c>
      <c r="F202" s="21" t="str">
        <f t="shared" si="6"/>
        <v>rtdc.l.rtdc.4040:itc</v>
      </c>
      <c r="G202" s="8">
        <f t="shared" si="7"/>
        <v>42669.801238425927</v>
      </c>
    </row>
    <row r="203" spans="1:7" x14ac:dyDescent="0.25">
      <c r="A203" s="8">
        <v>42669.803194444445</v>
      </c>
      <c r="B203" s="21" t="s">
        <v>334</v>
      </c>
      <c r="C203" s="21" t="s">
        <v>598</v>
      </c>
      <c r="D203" s="21">
        <v>2350000</v>
      </c>
      <c r="E203" s="21" t="s">
        <v>256</v>
      </c>
      <c r="F203" s="21" t="str">
        <f t="shared" si="6"/>
        <v>rtdc.l.rtdc.4045:itc</v>
      </c>
      <c r="G203" s="8">
        <f t="shared" si="7"/>
        <v>42669.803194444445</v>
      </c>
    </row>
    <row r="204" spans="1:7" x14ac:dyDescent="0.25">
      <c r="A204" s="8">
        <v>42669.809340277781</v>
      </c>
      <c r="B204" s="21" t="s">
        <v>265</v>
      </c>
      <c r="C204" s="21" t="s">
        <v>599</v>
      </c>
      <c r="D204" s="21">
        <v>1230000</v>
      </c>
      <c r="E204" s="21" t="s">
        <v>211</v>
      </c>
      <c r="F204" s="21" t="str">
        <f t="shared" si="6"/>
        <v>rtdc.l.rtdc.4016:itc</v>
      </c>
      <c r="G204" s="8">
        <f t="shared" si="7"/>
        <v>42669.809340277781</v>
      </c>
    </row>
    <row r="205" spans="1:7" x14ac:dyDescent="0.25">
      <c r="A205" s="8">
        <v>42669.81690972222</v>
      </c>
      <c r="B205" s="21" t="s">
        <v>292</v>
      </c>
      <c r="C205" s="21" t="s">
        <v>600</v>
      </c>
      <c r="D205" s="21">
        <v>1740000</v>
      </c>
      <c r="E205" s="21" t="s">
        <v>524</v>
      </c>
      <c r="F205" s="21" t="str">
        <f t="shared" si="6"/>
        <v>rtdc.l.rtdc.4011:itc</v>
      </c>
      <c r="G205" s="8">
        <f t="shared" si="7"/>
        <v>42669.81690972222</v>
      </c>
    </row>
    <row r="206" spans="1:7" x14ac:dyDescent="0.25">
      <c r="A206" s="8">
        <v>42669.818425925929</v>
      </c>
      <c r="B206" s="21" t="s">
        <v>258</v>
      </c>
      <c r="C206" s="21" t="s">
        <v>601</v>
      </c>
      <c r="D206" s="21">
        <v>120000</v>
      </c>
      <c r="E206" s="21" t="s">
        <v>596</v>
      </c>
      <c r="F206" s="21" t="str">
        <f t="shared" si="6"/>
        <v>rtdc.l.rtdc.4054:itc</v>
      </c>
      <c r="G206" s="8">
        <f t="shared" si="7"/>
        <v>42669.818425925929</v>
      </c>
    </row>
    <row r="207" spans="1:7" x14ac:dyDescent="0.25">
      <c r="A207" s="8">
        <v>42669.827997685185</v>
      </c>
      <c r="B207" s="21" t="s">
        <v>340</v>
      </c>
      <c r="C207" s="21" t="s">
        <v>602</v>
      </c>
      <c r="D207" s="21">
        <v>1300000</v>
      </c>
      <c r="E207" s="21" t="s">
        <v>113</v>
      </c>
      <c r="F207" s="21" t="str">
        <f t="shared" si="6"/>
        <v>rtdc.l.rtdc.4031:itc</v>
      </c>
      <c r="G207" s="8">
        <f t="shared" si="7"/>
        <v>42669.827997685185</v>
      </c>
    </row>
    <row r="208" spans="1:7" x14ac:dyDescent="0.25">
      <c r="A208" s="8">
        <v>42669.828668981485</v>
      </c>
      <c r="B208" s="21" t="s">
        <v>255</v>
      </c>
      <c r="C208" s="21" t="s">
        <v>603</v>
      </c>
      <c r="D208" s="21">
        <v>2260000</v>
      </c>
      <c r="E208" s="21" t="s">
        <v>574</v>
      </c>
      <c r="F208" s="21" t="str">
        <f t="shared" si="6"/>
        <v>rtdc.l.rtdc.4030:itc</v>
      </c>
      <c r="G208" s="8">
        <f t="shared" si="7"/>
        <v>42669.828668981485</v>
      </c>
    </row>
    <row r="209" spans="1:7" x14ac:dyDescent="0.25">
      <c r="A209" s="8">
        <v>42669.843356481484</v>
      </c>
      <c r="B209" s="21" t="s">
        <v>259</v>
      </c>
      <c r="C209" s="21" t="s">
        <v>604</v>
      </c>
      <c r="D209" s="21">
        <v>2040000</v>
      </c>
      <c r="E209" s="21" t="s">
        <v>533</v>
      </c>
      <c r="F209" s="21" t="str">
        <f t="shared" si="6"/>
        <v>rtdc.l.rtdc.4053:itc</v>
      </c>
      <c r="G209" s="8">
        <f t="shared" si="7"/>
        <v>42669.843356481484</v>
      </c>
    </row>
    <row r="210" spans="1:7" x14ac:dyDescent="0.25">
      <c r="A210" s="8">
        <v>42669.846041666664</v>
      </c>
      <c r="B210" s="21" t="s">
        <v>335</v>
      </c>
      <c r="C210" s="21" t="s">
        <v>605</v>
      </c>
      <c r="D210" s="21">
        <v>120000</v>
      </c>
      <c r="E210" s="21" t="s">
        <v>596</v>
      </c>
      <c r="F210" s="21" t="str">
        <f t="shared" si="6"/>
        <v>rtdc.l.rtdc.4046:itc</v>
      </c>
      <c r="G210" s="8">
        <f t="shared" si="7"/>
        <v>42669.846041666664</v>
      </c>
    </row>
    <row r="211" spans="1:7" x14ac:dyDescent="0.25">
      <c r="A211" s="8">
        <v>42669.848460648151</v>
      </c>
      <c r="B211" s="21" t="s">
        <v>512</v>
      </c>
      <c r="C211" s="21" t="s">
        <v>606</v>
      </c>
      <c r="D211" s="21">
        <v>1200000</v>
      </c>
      <c r="E211" s="21" t="s">
        <v>579</v>
      </c>
      <c r="F211" s="21" t="str">
        <f t="shared" si="6"/>
        <v>rtdc.l.rtdc.4038:itc</v>
      </c>
      <c r="G211" s="8">
        <f t="shared" si="7"/>
        <v>42669.848460648151</v>
      </c>
    </row>
    <row r="212" spans="1:7" x14ac:dyDescent="0.25">
      <c r="A212" s="8">
        <v>42669.848807870374</v>
      </c>
      <c r="B212" s="21" t="s">
        <v>266</v>
      </c>
      <c r="C212" s="21" t="s">
        <v>607</v>
      </c>
      <c r="D212" s="21">
        <v>1230000</v>
      </c>
      <c r="E212" s="21" t="s">
        <v>211</v>
      </c>
      <c r="F212" s="21" t="str">
        <f t="shared" si="6"/>
        <v>rtdc.l.rtdc.4015:itc</v>
      </c>
      <c r="G212" s="8">
        <f t="shared" si="7"/>
        <v>42669.848807870374</v>
      </c>
    </row>
    <row r="213" spans="1:7" x14ac:dyDescent="0.25">
      <c r="A213" s="8">
        <v>42669.860312500001</v>
      </c>
      <c r="B213" s="21" t="s">
        <v>258</v>
      </c>
      <c r="C213" s="21" t="s">
        <v>437</v>
      </c>
      <c r="D213" s="21">
        <v>2040000</v>
      </c>
      <c r="E213" s="21" t="s">
        <v>533</v>
      </c>
      <c r="F213" s="21" t="str">
        <f t="shared" si="6"/>
        <v>rtdc.l.rtdc.4054:itc</v>
      </c>
      <c r="G213" s="8">
        <f t="shared" si="7"/>
        <v>42669.860312500001</v>
      </c>
    </row>
    <row r="214" spans="1:7" x14ac:dyDescent="0.25">
      <c r="A214" s="8">
        <v>42669.863657407404</v>
      </c>
      <c r="B214" s="21" t="s">
        <v>339</v>
      </c>
      <c r="C214" s="21" t="s">
        <v>608</v>
      </c>
      <c r="D214" s="21">
        <v>1300000</v>
      </c>
      <c r="E214" s="21" t="s">
        <v>113</v>
      </c>
      <c r="F214" s="21" t="str">
        <f t="shared" si="6"/>
        <v>rtdc.l.rtdc.4032:itc</v>
      </c>
      <c r="G214" s="8">
        <f t="shared" si="7"/>
        <v>42669.863657407404</v>
      </c>
    </row>
    <row r="215" spans="1:7" x14ac:dyDescent="0.25">
      <c r="A215" s="8">
        <v>42669.868946759256</v>
      </c>
      <c r="B215" s="21" t="s">
        <v>254</v>
      </c>
      <c r="C215" s="21" t="s">
        <v>609</v>
      </c>
      <c r="D215" s="21">
        <v>2260000</v>
      </c>
      <c r="E215" s="21" t="s">
        <v>574</v>
      </c>
      <c r="F215" s="21" t="str">
        <f t="shared" si="6"/>
        <v>rtdc.l.rtdc.4029:itc</v>
      </c>
      <c r="G215" s="8">
        <f t="shared" si="7"/>
        <v>42669.868946759256</v>
      </c>
    </row>
    <row r="216" spans="1:7" x14ac:dyDescent="0.25">
      <c r="A216" s="8">
        <v>42669.879074074073</v>
      </c>
      <c r="B216" s="21" t="s">
        <v>259</v>
      </c>
      <c r="C216" s="21" t="s">
        <v>610</v>
      </c>
      <c r="D216" s="21">
        <v>1180000</v>
      </c>
      <c r="E216" s="21" t="s">
        <v>188</v>
      </c>
      <c r="F216" s="21" t="str">
        <f t="shared" si="6"/>
        <v>rtdc.l.rtdc.4053:itc</v>
      </c>
      <c r="G216" s="8">
        <f t="shared" si="7"/>
        <v>42669.879074074073</v>
      </c>
    </row>
    <row r="217" spans="1:7" x14ac:dyDescent="0.25">
      <c r="A217" s="8">
        <v>42669.87940972222</v>
      </c>
      <c r="B217" s="21" t="s">
        <v>265</v>
      </c>
      <c r="C217" s="21" t="s">
        <v>611</v>
      </c>
      <c r="D217" s="21">
        <v>1230000</v>
      </c>
      <c r="E217" s="21" t="s">
        <v>211</v>
      </c>
      <c r="F217" s="21" t="str">
        <f t="shared" si="6"/>
        <v>rtdc.l.rtdc.4016:itc</v>
      </c>
      <c r="G217" s="8">
        <f t="shared" si="7"/>
        <v>42669.87940972222</v>
      </c>
    </row>
    <row r="218" spans="1:7" x14ac:dyDescent="0.25">
      <c r="A218" s="8">
        <v>42669.883796296293</v>
      </c>
      <c r="B218" s="21" t="s">
        <v>334</v>
      </c>
      <c r="C218" s="21" t="s">
        <v>438</v>
      </c>
      <c r="D218" s="21">
        <v>120000</v>
      </c>
      <c r="E218" s="21" t="s">
        <v>596</v>
      </c>
      <c r="F218" s="21" t="str">
        <f t="shared" si="6"/>
        <v>rtdc.l.rtdc.4045:itc</v>
      </c>
      <c r="G218" s="8">
        <f t="shared" si="7"/>
        <v>42669.883796296293</v>
      </c>
    </row>
    <row r="219" spans="1:7" x14ac:dyDescent="0.25">
      <c r="A219" s="8">
        <v>42669.902013888888</v>
      </c>
      <c r="B219" s="21" t="s">
        <v>258</v>
      </c>
      <c r="C219" s="21" t="s">
        <v>612</v>
      </c>
      <c r="D219" s="21">
        <v>1180000</v>
      </c>
      <c r="E219" s="21" t="s">
        <v>188</v>
      </c>
      <c r="F219" s="21" t="str">
        <f t="shared" si="6"/>
        <v>rtdc.l.rtdc.4054:itc</v>
      </c>
      <c r="G219" s="8">
        <f t="shared" si="7"/>
        <v>42669.902013888888</v>
      </c>
    </row>
    <row r="220" spans="1:7" x14ac:dyDescent="0.25">
      <c r="A220" s="8">
        <v>42669.911446759259</v>
      </c>
      <c r="B220" s="21" t="s">
        <v>255</v>
      </c>
      <c r="C220" s="21" t="s">
        <v>613</v>
      </c>
      <c r="D220" s="21">
        <v>2260000</v>
      </c>
      <c r="E220" s="21" t="s">
        <v>574</v>
      </c>
      <c r="F220" s="21" t="str">
        <f t="shared" si="6"/>
        <v>rtdc.l.rtdc.4030:itc</v>
      </c>
      <c r="G220" s="8">
        <f t="shared" si="7"/>
        <v>42669.911446759259</v>
      </c>
    </row>
    <row r="221" spans="1:7" x14ac:dyDescent="0.25">
      <c r="A221" s="8">
        <v>42669.91542824074</v>
      </c>
      <c r="B221" s="21" t="s">
        <v>340</v>
      </c>
      <c r="C221" s="21" t="s">
        <v>614</v>
      </c>
      <c r="D221" s="21">
        <v>1300000</v>
      </c>
      <c r="E221" s="21" t="s">
        <v>113</v>
      </c>
      <c r="F221" s="21" t="str">
        <f t="shared" si="6"/>
        <v>rtdc.l.rtdc.4031:itc</v>
      </c>
      <c r="G221" s="8">
        <f t="shared" si="7"/>
        <v>42669.91542824074</v>
      </c>
    </row>
    <row r="222" spans="1:7" x14ac:dyDescent="0.25">
      <c r="A222" s="8">
        <v>42669.921759259261</v>
      </c>
      <c r="B222" s="21" t="s">
        <v>266</v>
      </c>
      <c r="C222" s="21" t="s">
        <v>615</v>
      </c>
      <c r="D222" s="21">
        <v>1230000</v>
      </c>
      <c r="E222" s="21" t="s">
        <v>211</v>
      </c>
      <c r="F222" s="21" t="str">
        <f t="shared" si="6"/>
        <v>rtdc.l.rtdc.4015:itc</v>
      </c>
      <c r="G222" s="8">
        <f t="shared" si="7"/>
        <v>42669.921759259261</v>
      </c>
    </row>
    <row r="223" spans="1:7" x14ac:dyDescent="0.25">
      <c r="A223" s="8">
        <v>42669.925416666665</v>
      </c>
      <c r="B223" s="21" t="s">
        <v>259</v>
      </c>
      <c r="C223" s="21" t="s">
        <v>616</v>
      </c>
      <c r="D223" s="21">
        <v>1180000</v>
      </c>
      <c r="E223" s="21" t="s">
        <v>188</v>
      </c>
      <c r="F223" s="21" t="str">
        <f t="shared" si="6"/>
        <v>rtdc.l.rtdc.4053:itc</v>
      </c>
      <c r="G223" s="8">
        <f t="shared" si="7"/>
        <v>42669.925416666665</v>
      </c>
    </row>
    <row r="224" spans="1:7" x14ac:dyDescent="0.25">
      <c r="A224" s="8">
        <v>42669.927870370368</v>
      </c>
      <c r="B224" t="s">
        <v>335</v>
      </c>
      <c r="C224" t="s">
        <v>617</v>
      </c>
      <c r="D224">
        <v>2350000</v>
      </c>
      <c r="E224" t="s">
        <v>256</v>
      </c>
      <c r="F224" s="21" t="str">
        <f t="shared" si="6"/>
        <v>rtdc.l.rtdc.4046:itc</v>
      </c>
      <c r="G224" s="8">
        <f t="shared" si="7"/>
        <v>42669.927870370368</v>
      </c>
    </row>
    <row r="225" spans="1:7" x14ac:dyDescent="0.25">
      <c r="A225" s="8">
        <v>42669.942939814813</v>
      </c>
      <c r="B225" t="s">
        <v>258</v>
      </c>
      <c r="C225" t="s">
        <v>618</v>
      </c>
      <c r="D225">
        <v>1180000</v>
      </c>
      <c r="E225" t="s">
        <v>188</v>
      </c>
      <c r="F225" s="21" t="str">
        <f t="shared" si="6"/>
        <v>rtdc.l.rtdc.4054:itc</v>
      </c>
      <c r="G225" s="8">
        <f t="shared" si="7"/>
        <v>42669.942939814813</v>
      </c>
    </row>
    <row r="226" spans="1:7" x14ac:dyDescent="0.25">
      <c r="A226" s="8">
        <v>42669.952314814815</v>
      </c>
      <c r="B226" t="s">
        <v>339</v>
      </c>
      <c r="C226" t="s">
        <v>619</v>
      </c>
      <c r="D226">
        <v>1300000</v>
      </c>
      <c r="E226" t="s">
        <v>113</v>
      </c>
      <c r="F226" s="21" t="str">
        <f t="shared" si="6"/>
        <v>rtdc.l.rtdc.4032:itc</v>
      </c>
      <c r="G226" s="8">
        <f t="shared" si="7"/>
        <v>42669.952314814815</v>
      </c>
    </row>
    <row r="227" spans="1:7" x14ac:dyDescent="0.25">
      <c r="A227" s="8">
        <v>42669.955381944441</v>
      </c>
      <c r="B227" t="s">
        <v>254</v>
      </c>
      <c r="C227" t="s">
        <v>620</v>
      </c>
      <c r="D227">
        <v>2260000</v>
      </c>
      <c r="E227" t="s">
        <v>574</v>
      </c>
      <c r="F227" s="21" t="str">
        <f t="shared" si="6"/>
        <v>rtdc.l.rtdc.4029:itc</v>
      </c>
      <c r="G227" s="8">
        <f t="shared" si="7"/>
        <v>42669.955381944441</v>
      </c>
    </row>
    <row r="228" spans="1:7" x14ac:dyDescent="0.25">
      <c r="A228" s="8">
        <v>42669.962233796294</v>
      </c>
      <c r="B228" t="s">
        <v>265</v>
      </c>
      <c r="C228" t="s">
        <v>621</v>
      </c>
      <c r="D228">
        <v>1230000</v>
      </c>
      <c r="E228" t="s">
        <v>211</v>
      </c>
      <c r="F228" s="21" t="str">
        <f t="shared" si="6"/>
        <v>rtdc.l.rtdc.4016:itc</v>
      </c>
      <c r="G228" s="8">
        <f t="shared" si="7"/>
        <v>42669.962233796294</v>
      </c>
    </row>
    <row r="229" spans="1:7" x14ac:dyDescent="0.25">
      <c r="A229" s="8">
        <v>42669.974305555559</v>
      </c>
      <c r="B229" t="s">
        <v>334</v>
      </c>
      <c r="C229" t="s">
        <v>439</v>
      </c>
      <c r="D229">
        <v>2350000</v>
      </c>
      <c r="E229" t="s">
        <v>256</v>
      </c>
      <c r="F229" s="21" t="str">
        <f t="shared" si="6"/>
        <v>rtdc.l.rtdc.4045:itc</v>
      </c>
      <c r="G229" s="8">
        <f t="shared" si="7"/>
        <v>42669.974305555559</v>
      </c>
    </row>
    <row r="230" spans="1:7" x14ac:dyDescent="0.25">
      <c r="A230" s="8">
        <v>42669.991331018522</v>
      </c>
      <c r="B230" t="s">
        <v>340</v>
      </c>
      <c r="C230" t="s">
        <v>622</v>
      </c>
      <c r="D230">
        <v>1300000</v>
      </c>
      <c r="E230" t="s">
        <v>113</v>
      </c>
      <c r="F230" s="21" t="str">
        <f t="shared" si="6"/>
        <v>rtdc.l.rtdc.4031:itc</v>
      </c>
      <c r="G230" s="8">
        <f t="shared" si="7"/>
        <v>42669.991331018522</v>
      </c>
    </row>
    <row r="231" spans="1:7" x14ac:dyDescent="0.25">
      <c r="A231" s="8">
        <v>42669.994884259257</v>
      </c>
      <c r="B231" t="s">
        <v>255</v>
      </c>
      <c r="C231" t="s">
        <v>623</v>
      </c>
      <c r="D231">
        <v>2260000</v>
      </c>
      <c r="E231" t="s">
        <v>574</v>
      </c>
      <c r="F231" s="21" t="str">
        <f t="shared" si="6"/>
        <v>rtdc.l.rtdc.4030:itc</v>
      </c>
      <c r="G231" s="8">
        <f t="shared" si="7"/>
        <v>42669.994884259257</v>
      </c>
    </row>
    <row r="232" spans="1:7" x14ac:dyDescent="0.25">
      <c r="A232" s="8">
        <v>42670.000173611108</v>
      </c>
      <c r="B232" t="s">
        <v>157</v>
      </c>
      <c r="C232" t="s">
        <v>624</v>
      </c>
      <c r="D232">
        <v>140000</v>
      </c>
      <c r="E232" t="s">
        <v>275</v>
      </c>
      <c r="F232" s="21" t="str">
        <f t="shared" si="6"/>
        <v>rtdc.l.rtdc.4052:itc</v>
      </c>
      <c r="G232" s="8">
        <f t="shared" si="7"/>
        <v>42670.000173611108</v>
      </c>
    </row>
    <row r="233" spans="1:7" x14ac:dyDescent="0.25">
      <c r="A233" s="8">
        <v>42670.010775462964</v>
      </c>
      <c r="B233" t="s">
        <v>156</v>
      </c>
      <c r="C233" t="s">
        <v>625</v>
      </c>
      <c r="D233">
        <v>140000</v>
      </c>
      <c r="E233" t="s">
        <v>275</v>
      </c>
      <c r="F233" s="21" t="str">
        <f t="shared" si="6"/>
        <v>rtdc.l.rtdc.4051:itc</v>
      </c>
      <c r="G233" s="8">
        <f t="shared" si="7"/>
        <v>42670.010775462964</v>
      </c>
    </row>
    <row r="234" spans="1:7" x14ac:dyDescent="0.25">
      <c r="A234" s="8">
        <v>42670.013611111113</v>
      </c>
      <c r="B234" t="s">
        <v>156</v>
      </c>
      <c r="C234" t="s">
        <v>625</v>
      </c>
      <c r="D234">
        <v>140000</v>
      </c>
      <c r="E234" t="s">
        <v>275</v>
      </c>
      <c r="F234" s="21" t="str">
        <f t="shared" si="6"/>
        <v>rtdc.l.rtdc.4051:itc</v>
      </c>
      <c r="G234" s="8">
        <f t="shared" si="7"/>
        <v>42670.013611111113</v>
      </c>
    </row>
    <row r="235" spans="1:7" x14ac:dyDescent="0.25">
      <c r="A235" s="8">
        <v>42670.013703703706</v>
      </c>
      <c r="B235" t="s">
        <v>335</v>
      </c>
      <c r="C235" t="s">
        <v>440</v>
      </c>
      <c r="D235">
        <v>2350000</v>
      </c>
      <c r="E235" t="s">
        <v>256</v>
      </c>
      <c r="F235" s="21" t="str">
        <f t="shared" si="6"/>
        <v>rtdc.l.rtdc.4046:itc</v>
      </c>
      <c r="G235" s="8">
        <f t="shared" si="7"/>
        <v>42670.013703703706</v>
      </c>
    </row>
    <row r="236" spans="1:7" x14ac:dyDescent="0.25">
      <c r="A236" s="8">
        <v>42670.0153125</v>
      </c>
      <c r="B236" t="s">
        <v>266</v>
      </c>
      <c r="C236" t="s">
        <v>626</v>
      </c>
      <c r="D236">
        <v>1230000</v>
      </c>
      <c r="E236" t="s">
        <v>211</v>
      </c>
      <c r="F236" s="21" t="str">
        <f t="shared" ref="F236:F265" si="8">B236</f>
        <v>rtdc.l.rtdc.4015:itc</v>
      </c>
      <c r="G236" s="8">
        <f t="shared" ref="G236:G265" si="9">A236</f>
        <v>42670.0153125</v>
      </c>
    </row>
    <row r="237" spans="1:7" x14ac:dyDescent="0.25">
      <c r="A237" s="8">
        <v>42670.028252314813</v>
      </c>
      <c r="B237" t="s">
        <v>339</v>
      </c>
      <c r="C237" t="s">
        <v>627</v>
      </c>
      <c r="D237">
        <v>1300000</v>
      </c>
      <c r="E237" t="s">
        <v>113</v>
      </c>
      <c r="F237" s="21" t="str">
        <f t="shared" si="8"/>
        <v>rtdc.l.rtdc.4032:itc</v>
      </c>
      <c r="G237" s="8">
        <f t="shared" si="9"/>
        <v>42670.028252314813</v>
      </c>
    </row>
    <row r="238" spans="1:7" x14ac:dyDescent="0.25">
      <c r="A238" s="8">
        <v>42670.0309375</v>
      </c>
      <c r="B238" t="s">
        <v>254</v>
      </c>
      <c r="C238" t="s">
        <v>628</v>
      </c>
      <c r="D238">
        <v>2260000</v>
      </c>
      <c r="E238" t="s">
        <v>574</v>
      </c>
      <c r="F238" s="21" t="str">
        <f t="shared" si="8"/>
        <v>rtdc.l.rtdc.4029:itc</v>
      </c>
      <c r="G238" s="8">
        <f t="shared" si="9"/>
        <v>42670.0309375</v>
      </c>
    </row>
    <row r="239" spans="1:7" x14ac:dyDescent="0.25">
      <c r="A239" s="8">
        <v>42670.046909722223</v>
      </c>
      <c r="B239" t="s">
        <v>265</v>
      </c>
      <c r="C239" t="s">
        <v>629</v>
      </c>
      <c r="D239">
        <v>1230000</v>
      </c>
      <c r="E239" t="s">
        <v>211</v>
      </c>
      <c r="F239" s="21" t="str">
        <f t="shared" si="8"/>
        <v>rtdc.l.rtdc.4016:itc</v>
      </c>
      <c r="G239" s="8">
        <f t="shared" si="9"/>
        <v>42670.046909722223</v>
      </c>
    </row>
    <row r="240" spans="1:7" x14ac:dyDescent="0.25">
      <c r="A240" s="8">
        <v>42670.050486111111</v>
      </c>
      <c r="B240" t="s">
        <v>156</v>
      </c>
      <c r="C240" t="s">
        <v>630</v>
      </c>
      <c r="D240">
        <v>140000</v>
      </c>
      <c r="E240" t="s">
        <v>275</v>
      </c>
      <c r="F240" s="21" t="str">
        <f t="shared" si="8"/>
        <v>rtdc.l.rtdc.4051:itc</v>
      </c>
      <c r="G240" s="8">
        <f t="shared" si="9"/>
        <v>42670.050486111111</v>
      </c>
    </row>
    <row r="241" spans="1:7" x14ac:dyDescent="0.25">
      <c r="A241" s="8">
        <v>42670.051122685189</v>
      </c>
      <c r="B241" t="s">
        <v>156</v>
      </c>
      <c r="C241" t="s">
        <v>630</v>
      </c>
      <c r="D241">
        <v>140000</v>
      </c>
      <c r="E241" t="s">
        <v>275</v>
      </c>
      <c r="F241" s="21" t="str">
        <f t="shared" si="8"/>
        <v>rtdc.l.rtdc.4051:itc</v>
      </c>
      <c r="G241" s="8">
        <f t="shared" si="9"/>
        <v>42670.051122685189</v>
      </c>
    </row>
    <row r="242" spans="1:7" x14ac:dyDescent="0.25">
      <c r="A242" s="8">
        <v>42670.052442129629</v>
      </c>
      <c r="B242" t="s">
        <v>156</v>
      </c>
      <c r="C242" t="s">
        <v>630</v>
      </c>
      <c r="D242">
        <v>140000</v>
      </c>
      <c r="E242" t="s">
        <v>275</v>
      </c>
      <c r="F242" s="21" t="str">
        <f t="shared" si="8"/>
        <v>rtdc.l.rtdc.4051:itc</v>
      </c>
      <c r="G242" s="8">
        <f t="shared" si="9"/>
        <v>42670.052442129629</v>
      </c>
    </row>
    <row r="243" spans="1:7" x14ac:dyDescent="0.25">
      <c r="A243" s="8">
        <v>42670.053553240738</v>
      </c>
      <c r="B243" t="s">
        <v>334</v>
      </c>
      <c r="C243" t="s">
        <v>631</v>
      </c>
      <c r="D243">
        <v>2350000</v>
      </c>
      <c r="E243" t="s">
        <v>256</v>
      </c>
      <c r="F243" s="21" t="str">
        <f t="shared" si="8"/>
        <v>rtdc.l.rtdc.4045:itc</v>
      </c>
      <c r="G243" s="8">
        <f t="shared" si="9"/>
        <v>42670.053553240738</v>
      </c>
    </row>
    <row r="244" spans="1:7" x14ac:dyDescent="0.25">
      <c r="A244" s="8">
        <v>42670.069050925929</v>
      </c>
      <c r="B244" t="s">
        <v>340</v>
      </c>
      <c r="C244" t="s">
        <v>632</v>
      </c>
      <c r="D244">
        <v>1300000</v>
      </c>
      <c r="E244" t="s">
        <v>113</v>
      </c>
      <c r="F244" s="21" t="str">
        <f t="shared" si="8"/>
        <v>rtdc.l.rtdc.4031:itc</v>
      </c>
      <c r="G244" s="8">
        <f t="shared" si="9"/>
        <v>42670.069050925929</v>
      </c>
    </row>
    <row r="245" spans="1:7" x14ac:dyDescent="0.25">
      <c r="A245" s="8">
        <v>42670.079525462963</v>
      </c>
      <c r="B245" t="s">
        <v>157</v>
      </c>
      <c r="C245" t="s">
        <v>630</v>
      </c>
      <c r="D245">
        <v>140000</v>
      </c>
      <c r="E245" t="s">
        <v>275</v>
      </c>
      <c r="F245" s="21" t="str">
        <f t="shared" si="8"/>
        <v>rtdc.l.rtdc.4052:itc</v>
      </c>
      <c r="G245" s="8">
        <f t="shared" si="9"/>
        <v>42670.079525462963</v>
      </c>
    </row>
    <row r="246" spans="1:7" x14ac:dyDescent="0.25">
      <c r="A246" s="8">
        <v>42670.088055555556</v>
      </c>
      <c r="B246" t="s">
        <v>335</v>
      </c>
      <c r="C246" t="s">
        <v>633</v>
      </c>
      <c r="D246">
        <v>2350000</v>
      </c>
      <c r="E246" t="s">
        <v>256</v>
      </c>
      <c r="F246" s="21" t="str">
        <f t="shared" si="8"/>
        <v>rtdc.l.rtdc.4046:itc</v>
      </c>
      <c r="G246" s="8">
        <f t="shared" si="9"/>
        <v>42670.088055555556</v>
      </c>
    </row>
    <row r="247" spans="1:7" x14ac:dyDescent="0.25">
      <c r="A247" s="8">
        <v>42670.098923611113</v>
      </c>
      <c r="B247" t="s">
        <v>156</v>
      </c>
      <c r="C247" t="s">
        <v>630</v>
      </c>
      <c r="D247">
        <v>140000</v>
      </c>
      <c r="E247" t="s">
        <v>275</v>
      </c>
      <c r="F247" s="21" t="str">
        <f t="shared" si="8"/>
        <v>rtdc.l.rtdc.4051:itc</v>
      </c>
      <c r="G247" s="8">
        <f t="shared" si="9"/>
        <v>42670.098923611113</v>
      </c>
    </row>
    <row r="248" spans="1:7" x14ac:dyDescent="0.25">
      <c r="A248" s="8">
        <v>42662.018078703702</v>
      </c>
      <c r="B248" t="s">
        <v>209</v>
      </c>
      <c r="C248" t="s">
        <v>267</v>
      </c>
      <c r="D248">
        <v>1180000</v>
      </c>
      <c r="E248" t="s">
        <v>188</v>
      </c>
      <c r="F248" s="21" t="str">
        <f t="shared" si="8"/>
        <v>rtdc.l.rtdc.4043:itc</v>
      </c>
      <c r="G248" s="8">
        <f t="shared" si="9"/>
        <v>42662.018078703702</v>
      </c>
    </row>
    <row r="249" spans="1:7" x14ac:dyDescent="0.25">
      <c r="A249" s="8">
        <v>42662.019444444442</v>
      </c>
      <c r="B249" t="s">
        <v>187</v>
      </c>
      <c r="C249" t="s">
        <v>268</v>
      </c>
      <c r="D249">
        <v>1230000</v>
      </c>
      <c r="E249" t="s">
        <v>211</v>
      </c>
      <c r="F249" s="21" t="str">
        <f t="shared" si="8"/>
        <v>rtdc.l.rtdc.4018:itc</v>
      </c>
      <c r="G249" s="8">
        <f t="shared" si="9"/>
        <v>42662.019444444442</v>
      </c>
    </row>
    <row r="250" spans="1:7" x14ac:dyDescent="0.25">
      <c r="A250" s="8">
        <v>42662.020219907405</v>
      </c>
      <c r="B250" t="s">
        <v>187</v>
      </c>
      <c r="C250" t="s">
        <v>268</v>
      </c>
      <c r="D250">
        <v>1230000</v>
      </c>
      <c r="E250" t="s">
        <v>211</v>
      </c>
      <c r="F250" s="21" t="str">
        <f t="shared" si="8"/>
        <v>rtdc.l.rtdc.4018:itc</v>
      </c>
      <c r="G250" s="8">
        <f t="shared" si="9"/>
        <v>42662.020219907405</v>
      </c>
    </row>
    <row r="251" spans="1:7" x14ac:dyDescent="0.25">
      <c r="A251" s="8">
        <v>42662.055069444446</v>
      </c>
      <c r="B251" t="s">
        <v>254</v>
      </c>
      <c r="C251" t="s">
        <v>269</v>
      </c>
      <c r="D251">
        <v>1800000</v>
      </c>
      <c r="E251" t="s">
        <v>207</v>
      </c>
      <c r="F251" s="21" t="str">
        <f t="shared" si="8"/>
        <v>rtdc.l.rtdc.4029:itc</v>
      </c>
      <c r="G251" s="8">
        <f t="shared" si="9"/>
        <v>42662.055069444446</v>
      </c>
    </row>
    <row r="252" spans="1:7" x14ac:dyDescent="0.25">
      <c r="A252" s="8">
        <v>42662.055243055554</v>
      </c>
      <c r="B252" t="s">
        <v>266</v>
      </c>
      <c r="C252" t="s">
        <v>270</v>
      </c>
      <c r="D252">
        <v>2350000</v>
      </c>
      <c r="E252" t="s">
        <v>256</v>
      </c>
      <c r="F252" s="21" t="str">
        <f t="shared" si="8"/>
        <v>rtdc.l.rtdc.4015:itc</v>
      </c>
      <c r="G252" s="8">
        <f t="shared" si="9"/>
        <v>42662.055243055554</v>
      </c>
    </row>
    <row r="253" spans="1:7" x14ac:dyDescent="0.25">
      <c r="A253" s="8">
        <v>42662.06527777778</v>
      </c>
      <c r="B253" t="s">
        <v>195</v>
      </c>
      <c r="C253" t="s">
        <v>271</v>
      </c>
      <c r="D253">
        <v>1180000</v>
      </c>
      <c r="E253" t="s">
        <v>188</v>
      </c>
      <c r="F253" s="21" t="str">
        <f t="shared" si="8"/>
        <v>rtdc.l.rtdc.4044:itc</v>
      </c>
      <c r="G253" s="8">
        <f t="shared" si="9"/>
        <v>42662.06527777778</v>
      </c>
    </row>
    <row r="254" spans="1:7" x14ac:dyDescent="0.25">
      <c r="A254" s="8">
        <v>42662.090370370373</v>
      </c>
      <c r="B254" t="s">
        <v>265</v>
      </c>
      <c r="C254" t="s">
        <v>272</v>
      </c>
      <c r="D254">
        <v>2350000</v>
      </c>
      <c r="E254" t="s">
        <v>256</v>
      </c>
      <c r="F254" s="21" t="str">
        <f t="shared" si="8"/>
        <v>rtdc.l.rtdc.4016:itc</v>
      </c>
      <c r="G254" s="8">
        <f t="shared" si="9"/>
        <v>42662.090370370373</v>
      </c>
    </row>
    <row r="255" spans="1:7" x14ac:dyDescent="0.25">
      <c r="A255" s="8">
        <v>42651.087326388886</v>
      </c>
      <c r="B255" t="s">
        <v>156</v>
      </c>
      <c r="C255" t="s">
        <v>205</v>
      </c>
      <c r="D255">
        <v>630000</v>
      </c>
      <c r="E255" t="b">
        <v>1</v>
      </c>
      <c r="F255" s="21" t="str">
        <f t="shared" si="8"/>
        <v>rtdc.l.rtdc.4051:itc</v>
      </c>
      <c r="G255" s="8">
        <f t="shared" si="9"/>
        <v>42651.087326388886</v>
      </c>
    </row>
    <row r="256" spans="1:7" x14ac:dyDescent="0.25">
      <c r="A256" s="8">
        <v>42651.08803240741</v>
      </c>
      <c r="B256" t="s">
        <v>156</v>
      </c>
      <c r="C256" t="s">
        <v>205</v>
      </c>
      <c r="D256">
        <v>630000</v>
      </c>
      <c r="E256" t="b">
        <v>1</v>
      </c>
      <c r="F256" s="21" t="str">
        <f t="shared" si="8"/>
        <v>rtdc.l.rtdc.4051:itc</v>
      </c>
      <c r="G256" s="8">
        <f t="shared" si="9"/>
        <v>42651.08803240741</v>
      </c>
    </row>
    <row r="257" spans="1:7" x14ac:dyDescent="0.25">
      <c r="A257" s="8">
        <v>42651.089988425927</v>
      </c>
      <c r="B257" t="s">
        <v>156</v>
      </c>
      <c r="C257" t="s">
        <v>204</v>
      </c>
      <c r="D257">
        <v>630000</v>
      </c>
      <c r="E257" t="b">
        <v>1</v>
      </c>
      <c r="F257" s="21" t="str">
        <f t="shared" si="8"/>
        <v>rtdc.l.rtdc.4051:itc</v>
      </c>
      <c r="G257" s="8">
        <f t="shared" si="9"/>
        <v>42651.089988425927</v>
      </c>
    </row>
    <row r="258" spans="1:7" x14ac:dyDescent="0.25">
      <c r="A258" s="8">
        <v>42651.090532407405</v>
      </c>
      <c r="B258" t="s">
        <v>206</v>
      </c>
      <c r="C258" t="s">
        <v>202</v>
      </c>
      <c r="D258">
        <v>1480000</v>
      </c>
      <c r="E258" t="s">
        <v>190</v>
      </c>
      <c r="F258" s="21" t="str">
        <f t="shared" si="8"/>
        <v>rtdc.l.rtdc.4020:itc</v>
      </c>
      <c r="G258" s="8">
        <f t="shared" si="9"/>
        <v>42651.090532407405</v>
      </c>
    </row>
    <row r="259" spans="1:7" x14ac:dyDescent="0.25">
      <c r="A259" s="8">
        <v>42651.110636574071</v>
      </c>
      <c r="B259" t="s">
        <v>196</v>
      </c>
      <c r="C259" t="s">
        <v>203</v>
      </c>
      <c r="D259">
        <v>1300000</v>
      </c>
      <c r="E259" t="s">
        <v>113</v>
      </c>
      <c r="F259" s="21" t="str">
        <f t="shared" si="8"/>
        <v>rtdc.l.rtdc.4007:itc</v>
      </c>
      <c r="G259" s="8">
        <f t="shared" si="9"/>
        <v>42651.110636574071</v>
      </c>
    </row>
    <row r="260" spans="1:7" x14ac:dyDescent="0.25">
      <c r="F260" s="21">
        <f t="shared" si="8"/>
        <v>0</v>
      </c>
      <c r="G260" s="8">
        <f t="shared" si="9"/>
        <v>0</v>
      </c>
    </row>
    <row r="261" spans="1:7" x14ac:dyDescent="0.25">
      <c r="A261" s="8">
        <v>42650.029976851853</v>
      </c>
      <c r="B261" t="s">
        <v>196</v>
      </c>
      <c r="C261" t="s">
        <v>198</v>
      </c>
      <c r="D261">
        <v>1180000</v>
      </c>
      <c r="E261" t="s">
        <v>188</v>
      </c>
      <c r="F261" s="21" t="str">
        <f t="shared" si="8"/>
        <v>rtdc.l.rtdc.4007:itc</v>
      </c>
      <c r="G261" s="8">
        <f t="shared" si="9"/>
        <v>42650.029976851853</v>
      </c>
    </row>
    <row r="262" spans="1:7" x14ac:dyDescent="0.25">
      <c r="A262" s="8">
        <v>42650.042928240742</v>
      </c>
      <c r="B262" t="s">
        <v>156</v>
      </c>
      <c r="C262" t="s">
        <v>197</v>
      </c>
      <c r="D262">
        <v>630000</v>
      </c>
      <c r="E262" t="b">
        <v>1</v>
      </c>
      <c r="F262" s="21" t="str">
        <f t="shared" si="8"/>
        <v>rtdc.l.rtdc.4051:itc</v>
      </c>
      <c r="G262" s="8">
        <f t="shared" si="9"/>
        <v>42650.042928240742</v>
      </c>
    </row>
    <row r="263" spans="1:7" x14ac:dyDescent="0.25">
      <c r="A263" s="8">
        <v>42650.052835648145</v>
      </c>
      <c r="B263" t="s">
        <v>192</v>
      </c>
      <c r="C263" t="s">
        <v>199</v>
      </c>
      <c r="D263">
        <v>1480000</v>
      </c>
      <c r="E263" t="s">
        <v>190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195</v>
      </c>
      <c r="C264" t="s">
        <v>200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197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197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197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197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197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193</v>
      </c>
      <c r="C270" t="s">
        <v>201</v>
      </c>
      <c r="D270">
        <v>1480000</v>
      </c>
      <c r="E270" t="s">
        <v>190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197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197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197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67" t="s">
        <v>167</v>
      </c>
      <c r="B1" s="167" t="s">
        <v>170</v>
      </c>
      <c r="C1" s="167" t="s">
        <v>163</v>
      </c>
      <c r="D1" s="163" t="s">
        <v>177</v>
      </c>
      <c r="E1" s="167" t="s">
        <v>164</v>
      </c>
      <c r="F1" s="167" t="s">
        <v>162</v>
      </c>
      <c r="G1" s="167" t="s">
        <v>160</v>
      </c>
      <c r="H1" s="167" t="s">
        <v>173</v>
      </c>
      <c r="I1" s="167" t="s">
        <v>174</v>
      </c>
      <c r="J1" s="167" t="s">
        <v>168</v>
      </c>
      <c r="K1" s="167" t="s">
        <v>166</v>
      </c>
      <c r="L1" s="167" t="s">
        <v>161</v>
      </c>
      <c r="M1" s="167" t="s">
        <v>171</v>
      </c>
      <c r="N1" s="167" t="s">
        <v>165</v>
      </c>
      <c r="O1" s="167" t="s">
        <v>172</v>
      </c>
      <c r="P1" s="167" t="s">
        <v>169</v>
      </c>
      <c r="Q1"/>
    </row>
    <row r="2" spans="1:17" x14ac:dyDescent="0.25">
      <c r="A2" s="165">
        <v>51.8</v>
      </c>
      <c r="B2" s="165">
        <v>0.09</v>
      </c>
      <c r="C2" s="165">
        <v>36.17</v>
      </c>
      <c r="D2" s="8">
        <v>42669</v>
      </c>
      <c r="E2" s="165">
        <v>0.55000000000000004</v>
      </c>
      <c r="F2" s="165" t="s">
        <v>634</v>
      </c>
      <c r="G2" s="165">
        <v>249.79</v>
      </c>
      <c r="H2" s="165">
        <v>0</v>
      </c>
      <c r="I2" s="165">
        <v>0</v>
      </c>
      <c r="J2" s="165">
        <v>1020.74</v>
      </c>
      <c r="K2" s="165" t="s">
        <v>635</v>
      </c>
      <c r="L2" s="165">
        <v>51.8</v>
      </c>
      <c r="M2" s="165">
        <v>1477461600</v>
      </c>
      <c r="N2" s="165">
        <v>1.24</v>
      </c>
      <c r="O2" s="165">
        <v>180</v>
      </c>
      <c r="P2" s="165">
        <v>1.81</v>
      </c>
      <c r="Q2"/>
    </row>
    <row r="3" spans="1:17" x14ac:dyDescent="0.25">
      <c r="A3" s="165">
        <v>49.45</v>
      </c>
      <c r="B3" s="165">
        <v>0.09</v>
      </c>
      <c r="C3" s="165">
        <v>35.65</v>
      </c>
      <c r="D3" s="8">
        <v>42669.041666666664</v>
      </c>
      <c r="E3" s="165">
        <v>0.59</v>
      </c>
      <c r="F3" s="165" t="s">
        <v>634</v>
      </c>
      <c r="G3" s="165">
        <v>248.47</v>
      </c>
      <c r="H3" s="165">
        <v>0</v>
      </c>
      <c r="I3" s="165">
        <v>0</v>
      </c>
      <c r="J3" s="165">
        <v>1021.49</v>
      </c>
      <c r="K3" s="165" t="s">
        <v>635</v>
      </c>
      <c r="L3" s="165">
        <v>49.45</v>
      </c>
      <c r="M3" s="165">
        <v>1477465200</v>
      </c>
      <c r="N3" s="165">
        <v>1.24</v>
      </c>
      <c r="O3" s="165">
        <v>184</v>
      </c>
      <c r="P3" s="165">
        <v>2</v>
      </c>
      <c r="Q3"/>
    </row>
    <row r="4" spans="1:17" x14ac:dyDescent="0.25">
      <c r="A4" s="165">
        <v>48.34</v>
      </c>
      <c r="B4" s="165">
        <v>7.0000000000000007E-2</v>
      </c>
      <c r="C4" s="165">
        <v>35.89</v>
      </c>
      <c r="D4" s="8">
        <v>42669.083333333336</v>
      </c>
      <c r="E4" s="165">
        <v>0.62</v>
      </c>
      <c r="F4" s="165" t="s">
        <v>634</v>
      </c>
      <c r="G4" s="165">
        <v>247.15</v>
      </c>
      <c r="H4" s="165">
        <v>0</v>
      </c>
      <c r="I4" s="165">
        <v>0</v>
      </c>
      <c r="J4" s="165">
        <v>1022.37</v>
      </c>
      <c r="K4" s="165" t="s">
        <v>635</v>
      </c>
      <c r="L4" s="165">
        <v>48.34</v>
      </c>
      <c r="M4" s="165">
        <v>1477468800</v>
      </c>
      <c r="N4" s="165">
        <v>1.24</v>
      </c>
      <c r="O4" s="165">
        <v>179</v>
      </c>
      <c r="P4" s="165">
        <v>2.17</v>
      </c>
      <c r="Q4"/>
    </row>
    <row r="5" spans="1:17" x14ac:dyDescent="0.25">
      <c r="A5" s="165">
        <v>45.7</v>
      </c>
      <c r="B5" s="165">
        <v>0.13</v>
      </c>
      <c r="C5" s="165">
        <v>33.85</v>
      </c>
      <c r="D5" s="8">
        <v>42669.125</v>
      </c>
      <c r="E5" s="165">
        <v>0.63</v>
      </c>
      <c r="F5" s="165" t="s">
        <v>634</v>
      </c>
      <c r="G5" s="165">
        <v>245.83</v>
      </c>
      <c r="H5" s="165">
        <v>0</v>
      </c>
      <c r="I5" s="165">
        <v>0</v>
      </c>
      <c r="J5" s="165">
        <v>1023.05</v>
      </c>
      <c r="K5" s="165" t="s">
        <v>635</v>
      </c>
      <c r="L5" s="165">
        <v>45.7</v>
      </c>
      <c r="M5" s="165">
        <v>1477472400</v>
      </c>
      <c r="N5" s="165">
        <v>1.24</v>
      </c>
      <c r="O5" s="165">
        <v>192</v>
      </c>
      <c r="P5" s="165">
        <v>2.57</v>
      </c>
      <c r="Q5"/>
    </row>
    <row r="6" spans="1:17" x14ac:dyDescent="0.25">
      <c r="A6" s="165">
        <v>45.56</v>
      </c>
      <c r="B6" s="165">
        <v>0.1</v>
      </c>
      <c r="C6" s="165">
        <v>34.200000000000003</v>
      </c>
      <c r="D6" s="8">
        <v>42669.166666666664</v>
      </c>
      <c r="E6" s="165">
        <v>0.64</v>
      </c>
      <c r="F6" s="165" t="s">
        <v>634</v>
      </c>
      <c r="G6" s="165">
        <v>245.3</v>
      </c>
      <c r="H6" s="165">
        <v>0</v>
      </c>
      <c r="I6" s="165">
        <v>0</v>
      </c>
      <c r="J6" s="165">
        <v>1023.41</v>
      </c>
      <c r="K6" s="165" t="s">
        <v>635</v>
      </c>
      <c r="L6" s="165">
        <v>45.56</v>
      </c>
      <c r="M6" s="165">
        <v>1477476000</v>
      </c>
      <c r="N6" s="165">
        <v>1.24</v>
      </c>
      <c r="O6" s="165">
        <v>184</v>
      </c>
      <c r="P6" s="165">
        <v>2.17</v>
      </c>
      <c r="Q6"/>
    </row>
    <row r="7" spans="1:17" x14ac:dyDescent="0.25">
      <c r="A7" s="165">
        <v>42.33</v>
      </c>
      <c r="B7" s="165">
        <v>0.06</v>
      </c>
      <c r="C7" s="165">
        <v>32.51</v>
      </c>
      <c r="D7" s="8">
        <v>42669.208333333336</v>
      </c>
      <c r="E7" s="165">
        <v>0.64</v>
      </c>
      <c r="F7" s="165" t="s">
        <v>634</v>
      </c>
      <c r="G7" s="165">
        <v>245.09</v>
      </c>
      <c r="H7" s="165">
        <v>0</v>
      </c>
      <c r="I7" s="165">
        <v>0</v>
      </c>
      <c r="J7" s="165">
        <v>1023.61</v>
      </c>
      <c r="K7" s="165" t="s">
        <v>635</v>
      </c>
      <c r="L7" s="165">
        <v>43.78</v>
      </c>
      <c r="M7" s="165">
        <v>1477479600</v>
      </c>
      <c r="N7" s="165">
        <v>1.24</v>
      </c>
      <c r="O7" s="165">
        <v>192</v>
      </c>
      <c r="P7" s="165">
        <v>3.29</v>
      </c>
      <c r="Q7"/>
    </row>
    <row r="8" spans="1:17" x14ac:dyDescent="0.25">
      <c r="A8" s="165">
        <v>41.59</v>
      </c>
      <c r="B8" s="165">
        <v>0.04</v>
      </c>
      <c r="C8" s="165">
        <v>32.380000000000003</v>
      </c>
      <c r="D8" s="8">
        <v>42669.25</v>
      </c>
      <c r="E8" s="165">
        <v>0.65</v>
      </c>
      <c r="F8" s="165" t="s">
        <v>634</v>
      </c>
      <c r="G8" s="165">
        <v>244.77</v>
      </c>
      <c r="H8" s="165">
        <v>0</v>
      </c>
      <c r="I8" s="165">
        <v>0</v>
      </c>
      <c r="J8" s="165">
        <v>1023.82</v>
      </c>
      <c r="K8" s="165" t="s">
        <v>635</v>
      </c>
      <c r="L8" s="165">
        <v>43.45</v>
      </c>
      <c r="M8" s="165">
        <v>1477483200</v>
      </c>
      <c r="N8" s="165">
        <v>1.24</v>
      </c>
      <c r="O8" s="165">
        <v>188</v>
      </c>
      <c r="P8" s="165">
        <v>3.68</v>
      </c>
      <c r="Q8"/>
    </row>
    <row r="9" spans="1:17" x14ac:dyDescent="0.25">
      <c r="A9" s="165">
        <v>43.06</v>
      </c>
      <c r="B9" s="165">
        <v>0.12</v>
      </c>
      <c r="C9" s="165">
        <v>33.06</v>
      </c>
      <c r="D9" s="8">
        <v>42669.291666666664</v>
      </c>
      <c r="E9" s="165">
        <v>0.64</v>
      </c>
      <c r="F9" s="165" t="s">
        <v>634</v>
      </c>
      <c r="G9" s="165">
        <v>244.07</v>
      </c>
      <c r="H9" s="165">
        <v>0</v>
      </c>
      <c r="I9" s="165">
        <v>0</v>
      </c>
      <c r="J9" s="165">
        <v>1024.2</v>
      </c>
      <c r="K9" s="165" t="s">
        <v>635</v>
      </c>
      <c r="L9" s="165">
        <v>44.33</v>
      </c>
      <c r="M9" s="165">
        <v>1477486800</v>
      </c>
      <c r="N9" s="165">
        <v>1.24</v>
      </c>
      <c r="O9" s="165">
        <v>193</v>
      </c>
      <c r="P9" s="165">
        <v>3.19</v>
      </c>
      <c r="Q9"/>
    </row>
    <row r="10" spans="1:17" x14ac:dyDescent="0.25">
      <c r="A10" s="165">
        <v>45.28</v>
      </c>
      <c r="B10" s="165">
        <v>7.0000000000000007E-2</v>
      </c>
      <c r="C10" s="165">
        <v>33.44</v>
      </c>
      <c r="D10" s="8">
        <v>42669.333333333336</v>
      </c>
      <c r="E10" s="165">
        <v>0.61</v>
      </c>
      <c r="F10" s="165" t="s">
        <v>634</v>
      </c>
      <c r="G10" s="165">
        <v>243.26</v>
      </c>
      <c r="H10" s="165">
        <v>0</v>
      </c>
      <c r="I10" s="165">
        <v>0</v>
      </c>
      <c r="J10" s="165">
        <v>1024.45</v>
      </c>
      <c r="K10" s="165" t="s">
        <v>635</v>
      </c>
      <c r="L10" s="165">
        <v>46.3</v>
      </c>
      <c r="M10" s="165">
        <v>1477490400</v>
      </c>
      <c r="N10" s="165">
        <v>1.24</v>
      </c>
      <c r="O10" s="165">
        <v>195</v>
      </c>
      <c r="P10" s="165">
        <v>3.21</v>
      </c>
      <c r="Q10"/>
    </row>
    <row r="11" spans="1:17" x14ac:dyDescent="0.25">
      <c r="A11" s="165">
        <v>51.33</v>
      </c>
      <c r="B11" s="165">
        <v>0.12</v>
      </c>
      <c r="C11" s="165">
        <v>32.950000000000003</v>
      </c>
      <c r="D11" s="8">
        <v>42669.375</v>
      </c>
      <c r="E11" s="165">
        <v>0.49</v>
      </c>
      <c r="F11" s="165" t="s">
        <v>634</v>
      </c>
      <c r="G11" s="165">
        <v>242.83</v>
      </c>
      <c r="H11" s="165">
        <v>0</v>
      </c>
      <c r="I11" s="165">
        <v>0</v>
      </c>
      <c r="J11" s="165">
        <v>1024.33</v>
      </c>
      <c r="K11" s="165" t="s">
        <v>635</v>
      </c>
      <c r="L11" s="165">
        <v>51.33</v>
      </c>
      <c r="M11" s="165">
        <v>1477494000</v>
      </c>
      <c r="N11" s="165">
        <v>1.24</v>
      </c>
      <c r="O11" s="165">
        <v>196</v>
      </c>
      <c r="P11" s="165">
        <v>3.63</v>
      </c>
      <c r="Q11"/>
    </row>
    <row r="12" spans="1:17" x14ac:dyDescent="0.25">
      <c r="A12" s="165">
        <v>58.1</v>
      </c>
      <c r="B12" s="165">
        <v>0.12</v>
      </c>
      <c r="C12" s="165">
        <v>32.25</v>
      </c>
      <c r="D12" s="8">
        <v>42669.416666666664</v>
      </c>
      <c r="E12" s="165">
        <v>0.37</v>
      </c>
      <c r="F12" s="165" t="s">
        <v>634</v>
      </c>
      <c r="G12" s="165">
        <v>243.23</v>
      </c>
      <c r="H12" s="165">
        <v>0</v>
      </c>
      <c r="I12" s="165">
        <v>0</v>
      </c>
      <c r="J12" s="165">
        <v>1023.77</v>
      </c>
      <c r="K12" s="165" t="s">
        <v>635</v>
      </c>
      <c r="L12" s="165">
        <v>58.1</v>
      </c>
      <c r="M12" s="165">
        <v>1477497600</v>
      </c>
      <c r="N12" s="165">
        <v>1.24</v>
      </c>
      <c r="O12" s="165">
        <v>166</v>
      </c>
      <c r="P12" s="165">
        <v>3.28</v>
      </c>
      <c r="Q12"/>
    </row>
    <row r="13" spans="1:17" x14ac:dyDescent="0.25">
      <c r="A13" s="165">
        <v>64.08</v>
      </c>
      <c r="B13" s="165">
        <v>0.18</v>
      </c>
      <c r="C13" s="165">
        <v>32.51</v>
      </c>
      <c r="D13" s="8">
        <v>42669.458333333336</v>
      </c>
      <c r="E13" s="165">
        <v>0.31</v>
      </c>
      <c r="F13" s="165" t="s">
        <v>634</v>
      </c>
      <c r="G13" s="165">
        <v>244</v>
      </c>
      <c r="H13" s="165">
        <v>0</v>
      </c>
      <c r="I13" s="165">
        <v>0</v>
      </c>
      <c r="J13" s="165">
        <v>1022.45</v>
      </c>
      <c r="K13" s="165" t="s">
        <v>635</v>
      </c>
      <c r="L13" s="165">
        <v>64.08</v>
      </c>
      <c r="M13" s="165">
        <v>1477501200</v>
      </c>
      <c r="N13" s="165">
        <v>1.24</v>
      </c>
      <c r="O13" s="165">
        <v>168</v>
      </c>
      <c r="P13" s="165">
        <v>3.27</v>
      </c>
      <c r="Q13"/>
    </row>
    <row r="14" spans="1:17" x14ac:dyDescent="0.25">
      <c r="A14" s="165">
        <v>69.03</v>
      </c>
      <c r="B14" s="165">
        <v>0.22</v>
      </c>
      <c r="C14" s="165">
        <v>33.25</v>
      </c>
      <c r="D14" s="8">
        <v>42669.5</v>
      </c>
      <c r="E14" s="165">
        <v>0.27</v>
      </c>
      <c r="F14" s="165" t="s">
        <v>634</v>
      </c>
      <c r="G14" s="165">
        <v>244.23</v>
      </c>
      <c r="H14" s="165">
        <v>0</v>
      </c>
      <c r="I14" s="165">
        <v>0</v>
      </c>
      <c r="J14" s="165">
        <v>1021.3</v>
      </c>
      <c r="K14" s="165" t="s">
        <v>635</v>
      </c>
      <c r="L14" s="165">
        <v>69.03</v>
      </c>
      <c r="M14" s="165">
        <v>1477504800</v>
      </c>
      <c r="N14" s="165">
        <v>1.24</v>
      </c>
      <c r="O14" s="165">
        <v>141</v>
      </c>
      <c r="P14" s="165">
        <v>3.54</v>
      </c>
      <c r="Q14"/>
    </row>
    <row r="15" spans="1:17" x14ac:dyDescent="0.25">
      <c r="A15" s="165">
        <v>71.42</v>
      </c>
      <c r="B15" s="165">
        <v>0.24</v>
      </c>
      <c r="C15" s="165">
        <v>32.99</v>
      </c>
      <c r="D15" s="8">
        <v>42669.541666666664</v>
      </c>
      <c r="E15" s="165">
        <v>0.24</v>
      </c>
      <c r="F15" s="165" t="s">
        <v>634</v>
      </c>
      <c r="G15" s="165">
        <v>243.5</v>
      </c>
      <c r="H15" s="165">
        <v>0</v>
      </c>
      <c r="I15" s="165">
        <v>0</v>
      </c>
      <c r="J15" s="165">
        <v>1020.67</v>
      </c>
      <c r="K15" s="165" t="s">
        <v>635</v>
      </c>
      <c r="L15" s="165">
        <v>71.42</v>
      </c>
      <c r="M15" s="165">
        <v>1477508400</v>
      </c>
      <c r="N15" s="165">
        <v>1.24</v>
      </c>
      <c r="O15" s="165">
        <v>142</v>
      </c>
      <c r="P15" s="165">
        <v>3.31</v>
      </c>
      <c r="Q15"/>
    </row>
    <row r="16" spans="1:17" x14ac:dyDescent="0.25">
      <c r="A16" s="165">
        <v>72.88</v>
      </c>
      <c r="B16" s="165">
        <v>0.19</v>
      </c>
      <c r="C16" s="165">
        <v>31.9</v>
      </c>
      <c r="D16" s="8">
        <v>42669.583333333336</v>
      </c>
      <c r="E16" s="165">
        <v>0.22</v>
      </c>
      <c r="F16" s="165" t="s">
        <v>634</v>
      </c>
      <c r="G16" s="165">
        <v>242.22</v>
      </c>
      <c r="H16" s="165">
        <v>0</v>
      </c>
      <c r="I16" s="165">
        <v>0</v>
      </c>
      <c r="J16" s="165">
        <v>1020.17</v>
      </c>
      <c r="K16" s="165" t="s">
        <v>635</v>
      </c>
      <c r="L16" s="165">
        <v>72.88</v>
      </c>
      <c r="M16" s="165">
        <v>1477512000</v>
      </c>
      <c r="N16" s="165">
        <v>1.24</v>
      </c>
      <c r="O16" s="165">
        <v>103</v>
      </c>
      <c r="P16" s="165">
        <v>2.72</v>
      </c>
      <c r="Q16"/>
    </row>
    <row r="17" spans="1:17" x14ac:dyDescent="0.25">
      <c r="A17" s="165">
        <v>73.66</v>
      </c>
      <c r="B17" s="165">
        <v>0.18</v>
      </c>
      <c r="C17" s="165">
        <v>30.73</v>
      </c>
      <c r="D17" s="8">
        <v>42669.625</v>
      </c>
      <c r="E17" s="165">
        <v>0.21</v>
      </c>
      <c r="F17" s="165" t="s">
        <v>350</v>
      </c>
      <c r="G17" s="165">
        <v>240.73</v>
      </c>
      <c r="H17" s="165">
        <v>0</v>
      </c>
      <c r="I17" s="165">
        <v>0</v>
      </c>
      <c r="J17" s="165">
        <v>1019.78</v>
      </c>
      <c r="K17" s="165" t="s">
        <v>244</v>
      </c>
      <c r="L17" s="165">
        <v>73.66</v>
      </c>
      <c r="M17" s="165">
        <v>1477515600</v>
      </c>
      <c r="N17" s="165">
        <v>2.88</v>
      </c>
      <c r="O17" s="165">
        <v>124</v>
      </c>
      <c r="P17" s="165">
        <v>2.4700000000000002</v>
      </c>
      <c r="Q17"/>
    </row>
    <row r="18" spans="1:17" x14ac:dyDescent="0.25">
      <c r="A18" s="165">
        <v>73.36</v>
      </c>
      <c r="B18" s="165">
        <v>0.14000000000000001</v>
      </c>
      <c r="C18" s="165">
        <v>30.11</v>
      </c>
      <c r="D18" s="8">
        <v>42669.666666666664</v>
      </c>
      <c r="E18" s="165">
        <v>0.2</v>
      </c>
      <c r="F18" s="165" t="s">
        <v>350</v>
      </c>
      <c r="G18" s="165">
        <v>238.81</v>
      </c>
      <c r="H18" s="165">
        <v>0</v>
      </c>
      <c r="I18" s="165">
        <v>0</v>
      </c>
      <c r="J18" s="165">
        <v>1019.11</v>
      </c>
      <c r="K18" s="165" t="s">
        <v>244</v>
      </c>
      <c r="L18" s="165">
        <v>73.36</v>
      </c>
      <c r="M18" s="165">
        <v>1477519200</v>
      </c>
      <c r="N18" s="165">
        <v>2.91</v>
      </c>
      <c r="O18" s="165">
        <v>108</v>
      </c>
      <c r="P18" s="165">
        <v>1.94</v>
      </c>
      <c r="Q18"/>
    </row>
    <row r="19" spans="1:17" x14ac:dyDescent="0.25">
      <c r="A19" s="165">
        <v>71.33</v>
      </c>
      <c r="B19" s="165">
        <v>0.14000000000000001</v>
      </c>
      <c r="C19" s="165">
        <v>29.62</v>
      </c>
      <c r="D19" s="8">
        <v>42669.708333333336</v>
      </c>
      <c r="E19" s="165">
        <v>0.21</v>
      </c>
      <c r="F19" s="165" t="s">
        <v>350</v>
      </c>
      <c r="G19" s="165">
        <v>236.67</v>
      </c>
      <c r="H19" s="165">
        <v>0</v>
      </c>
      <c r="I19" s="165">
        <v>0</v>
      </c>
      <c r="J19" s="165">
        <v>1018.53</v>
      </c>
      <c r="K19" s="165" t="s">
        <v>244</v>
      </c>
      <c r="L19" s="165">
        <v>71.33</v>
      </c>
      <c r="M19" s="165">
        <v>1477522800</v>
      </c>
      <c r="N19" s="165">
        <v>5.08</v>
      </c>
      <c r="O19" s="165">
        <v>116</v>
      </c>
      <c r="P19" s="165">
        <v>2.5</v>
      </c>
      <c r="Q19"/>
    </row>
    <row r="20" spans="1:17" x14ac:dyDescent="0.25">
      <c r="A20" s="165">
        <v>66.87</v>
      </c>
      <c r="B20" s="165">
        <v>0.08</v>
      </c>
      <c r="C20" s="165">
        <v>29.05</v>
      </c>
      <c r="D20" s="8">
        <v>42669.75</v>
      </c>
      <c r="E20" s="165">
        <v>0.24</v>
      </c>
      <c r="F20" s="165" t="s">
        <v>350</v>
      </c>
      <c r="G20" s="165">
        <v>235.37</v>
      </c>
      <c r="H20" s="165">
        <v>0</v>
      </c>
      <c r="I20" s="165">
        <v>0</v>
      </c>
      <c r="J20" s="165">
        <v>1018.37</v>
      </c>
      <c r="K20" s="165" t="s">
        <v>244</v>
      </c>
      <c r="L20" s="165">
        <v>66.87</v>
      </c>
      <c r="M20" s="165">
        <v>1477526400</v>
      </c>
      <c r="N20" s="165">
        <v>5.37</v>
      </c>
      <c r="O20" s="165">
        <v>121</v>
      </c>
      <c r="P20" s="165">
        <v>2.04</v>
      </c>
      <c r="Q20"/>
    </row>
    <row r="21" spans="1:17" x14ac:dyDescent="0.25">
      <c r="A21" s="165">
        <v>61.18</v>
      </c>
      <c r="B21" s="165">
        <v>0.13</v>
      </c>
      <c r="C21" s="165">
        <v>30.49</v>
      </c>
      <c r="D21" s="8">
        <v>42669.791666666664</v>
      </c>
      <c r="E21" s="165">
        <v>0.31</v>
      </c>
      <c r="F21" s="165" t="s">
        <v>243</v>
      </c>
      <c r="G21" s="165">
        <v>235.54</v>
      </c>
      <c r="H21" s="165">
        <v>0</v>
      </c>
      <c r="I21" s="165">
        <v>0</v>
      </c>
      <c r="J21" s="165">
        <v>1018.74</v>
      </c>
      <c r="K21" s="165" t="s">
        <v>244</v>
      </c>
      <c r="L21" s="165">
        <v>61.18</v>
      </c>
      <c r="M21" s="165">
        <v>1477530000</v>
      </c>
      <c r="N21" s="165">
        <v>5.88</v>
      </c>
      <c r="O21" s="165">
        <v>183</v>
      </c>
      <c r="P21" s="165">
        <v>1.96</v>
      </c>
      <c r="Q21"/>
    </row>
    <row r="22" spans="1:17" x14ac:dyDescent="0.25">
      <c r="A22" s="165">
        <v>58.15</v>
      </c>
      <c r="B22" s="165">
        <v>0.11</v>
      </c>
      <c r="C22" s="165">
        <v>32.18</v>
      </c>
      <c r="D22" s="8">
        <v>42669.833333333336</v>
      </c>
      <c r="E22" s="165">
        <v>0.37</v>
      </c>
      <c r="F22" s="165" t="s">
        <v>243</v>
      </c>
      <c r="G22" s="165">
        <v>236.53</v>
      </c>
      <c r="H22" s="165">
        <v>0</v>
      </c>
      <c r="I22" s="165">
        <v>0</v>
      </c>
      <c r="J22" s="165">
        <v>1019.82</v>
      </c>
      <c r="K22" s="165" t="s">
        <v>244</v>
      </c>
      <c r="L22" s="165">
        <v>58.15</v>
      </c>
      <c r="M22" s="165">
        <v>1477533600</v>
      </c>
      <c r="N22" s="165">
        <v>6.7</v>
      </c>
      <c r="O22" s="165">
        <v>193</v>
      </c>
      <c r="P22" s="165">
        <v>2.5299999999999998</v>
      </c>
      <c r="Q22"/>
    </row>
    <row r="23" spans="1:17" x14ac:dyDescent="0.25">
      <c r="A23" s="165">
        <v>55.56</v>
      </c>
      <c r="B23" s="165">
        <v>0.12</v>
      </c>
      <c r="C23" s="165">
        <v>31.55</v>
      </c>
      <c r="D23" s="8">
        <v>42669.875</v>
      </c>
      <c r="E23" s="165">
        <v>0.4</v>
      </c>
      <c r="F23" s="165" t="s">
        <v>243</v>
      </c>
      <c r="G23" s="165">
        <v>237.42</v>
      </c>
      <c r="H23" s="165">
        <v>0</v>
      </c>
      <c r="I23" s="165">
        <v>0</v>
      </c>
      <c r="J23" s="165">
        <v>1020.73</v>
      </c>
      <c r="K23" s="165" t="s">
        <v>244</v>
      </c>
      <c r="L23" s="165">
        <v>55.56</v>
      </c>
      <c r="M23" s="165">
        <v>1477537200</v>
      </c>
      <c r="N23" s="165">
        <v>7.77</v>
      </c>
      <c r="O23" s="165">
        <v>196</v>
      </c>
      <c r="P23" s="165">
        <v>2.99</v>
      </c>
      <c r="Q23"/>
    </row>
    <row r="24" spans="1:17" x14ac:dyDescent="0.25">
      <c r="A24" s="165">
        <v>53.66</v>
      </c>
      <c r="B24" s="165">
        <v>0.16</v>
      </c>
      <c r="C24" s="165">
        <v>31.12</v>
      </c>
      <c r="D24" s="8">
        <v>42669.916666666664</v>
      </c>
      <c r="E24" s="165">
        <v>0.42</v>
      </c>
      <c r="F24" s="165" t="s">
        <v>243</v>
      </c>
      <c r="G24" s="165">
        <v>237.89</v>
      </c>
      <c r="H24" s="165">
        <v>0</v>
      </c>
      <c r="I24" s="165">
        <v>0</v>
      </c>
      <c r="J24" s="165">
        <v>1021.01</v>
      </c>
      <c r="K24" s="165" t="s">
        <v>244</v>
      </c>
      <c r="L24" s="165">
        <v>53.66</v>
      </c>
      <c r="M24" s="165">
        <v>1477540800</v>
      </c>
      <c r="N24" s="165">
        <v>6.7</v>
      </c>
      <c r="O24" s="165">
        <v>205</v>
      </c>
      <c r="P24" s="165">
        <v>3.01</v>
      </c>
      <c r="Q24"/>
    </row>
    <row r="25" spans="1:17" x14ac:dyDescent="0.25">
      <c r="A25" s="165">
        <v>52.33</v>
      </c>
      <c r="B25" s="165">
        <v>0.2</v>
      </c>
      <c r="C25" s="165">
        <v>31</v>
      </c>
      <c r="D25" s="8">
        <v>42669.958333333336</v>
      </c>
      <c r="E25" s="165">
        <v>0.44</v>
      </c>
      <c r="F25" s="165" t="s">
        <v>243</v>
      </c>
      <c r="G25" s="165">
        <v>238.26</v>
      </c>
      <c r="H25" s="165">
        <v>0</v>
      </c>
      <c r="I25" s="165">
        <v>0</v>
      </c>
      <c r="J25" s="165">
        <v>1021.04</v>
      </c>
      <c r="K25" s="165" t="s">
        <v>244</v>
      </c>
      <c r="L25" s="165">
        <v>52.33</v>
      </c>
      <c r="M25" s="165">
        <v>1477544400</v>
      </c>
      <c r="N25" s="165">
        <v>6.92</v>
      </c>
      <c r="O25" s="165">
        <v>219</v>
      </c>
      <c r="P25" s="165">
        <v>2.67</v>
      </c>
      <c r="Q25"/>
    </row>
    <row r="26" spans="1:17" x14ac:dyDescent="0.25">
      <c r="A26" s="165">
        <v>50.72</v>
      </c>
      <c r="B26" s="165">
        <v>0.17</v>
      </c>
      <c r="C26" s="165">
        <v>31.26</v>
      </c>
      <c r="D26" s="8">
        <v>42670</v>
      </c>
      <c r="E26" s="165">
        <v>0.47</v>
      </c>
      <c r="F26" s="165" t="s">
        <v>243</v>
      </c>
      <c r="G26" s="165">
        <v>238.52</v>
      </c>
      <c r="H26" s="165">
        <v>0</v>
      </c>
      <c r="I26" s="165">
        <v>0</v>
      </c>
      <c r="J26" s="165">
        <v>1021.2</v>
      </c>
      <c r="K26" s="165" t="s">
        <v>244</v>
      </c>
      <c r="L26" s="165">
        <v>50.72</v>
      </c>
      <c r="M26" s="165">
        <v>1477548000</v>
      </c>
      <c r="N26" s="165">
        <v>7.57</v>
      </c>
      <c r="O26" s="165">
        <v>208</v>
      </c>
      <c r="P26" s="165">
        <v>2.93</v>
      </c>
      <c r="Q26"/>
    </row>
    <row r="27" spans="1:17" x14ac:dyDescent="0.25">
      <c r="A27" s="165">
        <v>49.08</v>
      </c>
      <c r="B27" s="165">
        <v>0.11</v>
      </c>
      <c r="C27" s="165">
        <v>30.84</v>
      </c>
      <c r="D27" s="8">
        <v>42670.041666666664</v>
      </c>
      <c r="E27" s="165">
        <v>0.49</v>
      </c>
      <c r="F27" s="165" t="s">
        <v>243</v>
      </c>
      <c r="G27" s="165">
        <v>238.56</v>
      </c>
      <c r="H27" s="165">
        <v>0</v>
      </c>
      <c r="I27" s="165">
        <v>0</v>
      </c>
      <c r="J27" s="165">
        <v>1021.81</v>
      </c>
      <c r="K27" s="165" t="s">
        <v>244</v>
      </c>
      <c r="L27" s="165">
        <v>49.08</v>
      </c>
      <c r="M27" s="165">
        <v>1477551600</v>
      </c>
      <c r="N27" s="165">
        <v>7.94</v>
      </c>
      <c r="O27" s="165">
        <v>225</v>
      </c>
      <c r="P27" s="165">
        <v>2.2599999999999998</v>
      </c>
      <c r="Q27"/>
    </row>
    <row r="28" spans="1:17" x14ac:dyDescent="0.25">
      <c r="A28" s="165">
        <v>46.9</v>
      </c>
      <c r="B28" s="165">
        <v>0.17</v>
      </c>
      <c r="C28" s="165">
        <v>30.75</v>
      </c>
      <c r="D28" s="8">
        <v>42670.083333333336</v>
      </c>
      <c r="E28" s="165">
        <v>0.53</v>
      </c>
      <c r="F28" s="165" t="s">
        <v>243</v>
      </c>
      <c r="G28" s="165">
        <v>238.6</v>
      </c>
      <c r="H28" s="165">
        <v>0</v>
      </c>
      <c r="I28" s="165">
        <v>0</v>
      </c>
      <c r="J28" s="165">
        <v>1022.36</v>
      </c>
      <c r="K28" s="165" t="s">
        <v>244</v>
      </c>
      <c r="L28" s="165">
        <v>46.9</v>
      </c>
      <c r="M28" s="165">
        <v>1477555200</v>
      </c>
      <c r="N28" s="165">
        <v>7</v>
      </c>
      <c r="O28" s="165">
        <v>207</v>
      </c>
      <c r="P28" s="165">
        <v>1.56</v>
      </c>
      <c r="Q28"/>
    </row>
    <row r="29" spans="1:17" x14ac:dyDescent="0.25">
      <c r="A29" s="165">
        <v>45.87</v>
      </c>
      <c r="B29" s="165">
        <v>0.2</v>
      </c>
      <c r="C29" s="165">
        <v>30.88</v>
      </c>
      <c r="D29" s="8">
        <v>42670.125</v>
      </c>
      <c r="E29" s="165">
        <v>0.56000000000000005</v>
      </c>
      <c r="F29" s="165" t="s">
        <v>243</v>
      </c>
      <c r="G29" s="165">
        <v>238.63</v>
      </c>
      <c r="H29" s="165">
        <v>0</v>
      </c>
      <c r="I29" s="165">
        <v>0</v>
      </c>
      <c r="J29" s="165">
        <v>1022.83</v>
      </c>
      <c r="K29" s="165" t="s">
        <v>244</v>
      </c>
      <c r="L29" s="165">
        <v>45.87</v>
      </c>
      <c r="M29" s="165">
        <v>1477558800</v>
      </c>
      <c r="N29" s="165">
        <v>5.42</v>
      </c>
      <c r="O29" s="165">
        <v>233</v>
      </c>
      <c r="P29" s="165">
        <v>2.62</v>
      </c>
      <c r="Q29"/>
    </row>
    <row r="31" spans="1:17" x14ac:dyDescent="0.25">
      <c r="A31" s="136" t="s">
        <v>245</v>
      </c>
    </row>
    <row r="33" spans="1:1" x14ac:dyDescent="0.25">
      <c r="A33" s="136" t="s">
        <v>208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42669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252</v>
      </c>
      <c r="J17" s="33"/>
      <c r="K17" s="34"/>
      <c r="L17" s="34"/>
    </row>
    <row r="18" spans="3:13" x14ac:dyDescent="0.25">
      <c r="C18" t="s">
        <v>778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779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780</v>
      </c>
      <c r="J20" t="s">
        <v>87</v>
      </c>
      <c r="M20" s="68" t="s">
        <v>189</v>
      </c>
    </row>
    <row r="21" spans="3:13" x14ac:dyDescent="0.25">
      <c r="C21" t="s">
        <v>781</v>
      </c>
      <c r="J21" s="21" t="s">
        <v>90</v>
      </c>
      <c r="K21" s="21" t="s">
        <v>91</v>
      </c>
      <c r="M21" s="68" t="s">
        <v>191</v>
      </c>
    </row>
    <row r="22" spans="3:13" x14ac:dyDescent="0.25">
      <c r="C22" t="s">
        <v>782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783</v>
      </c>
      <c r="J23" s="29" t="s">
        <v>95</v>
      </c>
      <c r="K23" s="21"/>
      <c r="M23" s="69">
        <v>-6</v>
      </c>
    </row>
    <row r="24" spans="3:13" x14ac:dyDescent="0.25">
      <c r="C24" t="s">
        <v>784</v>
      </c>
      <c r="J24" s="21" t="s">
        <v>108</v>
      </c>
      <c r="K24" s="21"/>
      <c r="M24" s="68" t="s">
        <v>110</v>
      </c>
    </row>
    <row r="25" spans="3:13" x14ac:dyDescent="0.25">
      <c r="C25" t="s">
        <v>785</v>
      </c>
      <c r="J25" t="s">
        <v>151</v>
      </c>
      <c r="M25" s="68" t="b">
        <v>1</v>
      </c>
    </row>
    <row r="26" spans="3:13" x14ac:dyDescent="0.25">
      <c r="J26" t="s">
        <v>152</v>
      </c>
      <c r="M26" s="68" t="str">
        <f>"C:\Users\stu\Documents\GitHub\eaglep3-reporting\EC\"&amp;TEXT(A2,"yyyy-mm-dd")&amp;"-refined-times.txt"</f>
        <v>C:\Users\stu\Documents\GitHub\eaglep3-reporting\EC\2016-10-26-refined-times.txt</v>
      </c>
    </row>
    <row r="27" spans="3:13" x14ac:dyDescent="0.25">
      <c r="J27" t="s">
        <v>212</v>
      </c>
      <c r="M27" s="68" t="str">
        <f>"C:\Users\stu\Documents\GitHub\eaglep3-reporting\EC\"&amp;TEXT(A2,"YYYY-MM-DD")&amp;"-Enforcements.txt"</f>
        <v>C:\Users\stu\Documents\GitHub\eaglep3-reporting\EC\2016-10-26-Enforcements.txt</v>
      </c>
    </row>
    <row r="28" spans="3:13" x14ac:dyDescent="0.25">
      <c r="J28" t="s">
        <v>213</v>
      </c>
      <c r="M28" s="106" t="str">
        <f>"C:\Users\stu\Documents\GitHub\eaglep3-reporting\EC\"&amp;TEXT(A2,"YYYY-MM-DD")&amp;"-Runs-Refined.txt"</f>
        <v>C:\Users\stu\Documents\GitHub\eaglep3-reporting\EC\2016-10-26-Runs-Refined.txt</v>
      </c>
    </row>
    <row r="29" spans="3:13" x14ac:dyDescent="0.25">
      <c r="J29" t="s">
        <v>214</v>
      </c>
      <c r="M29" s="106" t="str">
        <f>"C:\Users\stu\Documents\GitHub\eaglep3-reporting\EC\"&amp;TEXT(A2,"YYYY-MM-DD")&amp;"-Trips.txt"</f>
        <v>C:\Users\stu\Documents\GitHub\eaglep3-reporting\EC\2016-10-26-Trips.txt</v>
      </c>
    </row>
    <row r="30" spans="3:13" x14ac:dyDescent="0.25">
      <c r="J30" t="s">
        <v>215</v>
      </c>
      <c r="M30" s="106" t="str">
        <f>"C:\Users\stu\Documents\GitHub\eaglep3-reporting\EC\"&amp;TEXT(A2,"YYYY-MM-DD")&amp;"-Weather.txt"</f>
        <v>C:\Users\stu\Documents\GitHub\eaglep3-reporting\EC\2016-10-26-Weather.txt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2016-10-27T20:07:11Z</dcterms:modified>
</cp:coreProperties>
</file>