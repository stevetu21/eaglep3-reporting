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Trips'!$A$2:$J$93</definedName>
    <definedName name="_xlnm._FilterDatabase" localSheetId="0" hidden="1">'Train Runs'!$A$12:$AG$268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2" i="1" l="1"/>
  <c r="L142" i="1"/>
  <c r="M142" i="1"/>
  <c r="P142" i="1" s="1"/>
  <c r="V142" i="1"/>
  <c r="S25" i="3" s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K156" i="1"/>
  <c r="L156" i="1"/>
  <c r="M156" i="1"/>
  <c r="P156" i="1" s="1"/>
  <c r="V156" i="1"/>
  <c r="S30" i="3" s="1"/>
  <c r="AA156" i="1"/>
  <c r="AB156" i="1"/>
  <c r="AC156" i="1"/>
  <c r="AD156" i="1"/>
  <c r="AG156" i="1" s="1"/>
  <c r="AE156" i="1"/>
  <c r="AF156" i="1"/>
  <c r="AH156" i="1"/>
  <c r="AM156" i="1"/>
  <c r="AN15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12" i="3" s="1"/>
  <c r="Y28" i="1"/>
  <c r="Z28" i="1"/>
  <c r="AB28" i="1"/>
  <c r="AC28" i="1"/>
  <c r="AD28" i="1"/>
  <c r="AG28" i="1" s="1"/>
  <c r="AE28" i="1"/>
  <c r="R12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S20" i="3" s="1"/>
  <c r="Y34" i="1"/>
  <c r="Z34" i="1"/>
  <c r="AB34" i="1"/>
  <c r="AC34" i="1"/>
  <c r="AD34" i="1"/>
  <c r="T34" i="1" s="1"/>
  <c r="AE34" i="1"/>
  <c r="R20" i="3" s="1"/>
  <c r="AF34" i="1"/>
  <c r="AH34" i="1"/>
  <c r="AM34" i="1"/>
  <c r="AN34" i="1"/>
  <c r="K35" i="1"/>
  <c r="L35" i="1"/>
  <c r="M35" i="1"/>
  <c r="P35" i="1" s="1"/>
  <c r="V35" i="1"/>
  <c r="S33" i="3" s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V36" i="1"/>
  <c r="Y36" i="1"/>
  <c r="Z36" i="1"/>
  <c r="AB36" i="1"/>
  <c r="AC36" i="1"/>
  <c r="AD36" i="1"/>
  <c r="AG36" i="1" s="1"/>
  <c r="AE36" i="1"/>
  <c r="R33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S9" i="3" s="1"/>
  <c r="Y67" i="1"/>
  <c r="Z67" i="1"/>
  <c r="AB67" i="1"/>
  <c r="AC67" i="1"/>
  <c r="AD67" i="1"/>
  <c r="AE67" i="1"/>
  <c r="R9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S7" i="3" s="1"/>
  <c r="Y80" i="1"/>
  <c r="Z80" i="1"/>
  <c r="AB80" i="1"/>
  <c r="AC80" i="1"/>
  <c r="AD80" i="1"/>
  <c r="AG80" i="1" s="1"/>
  <c r="AE80" i="1"/>
  <c r="R7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S14" i="3" s="1"/>
  <c r="Y85" i="1"/>
  <c r="Z85" i="1"/>
  <c r="AB85" i="1"/>
  <c r="AC85" i="1"/>
  <c r="AD85" i="1"/>
  <c r="T85" i="1" s="1"/>
  <c r="AE85" i="1"/>
  <c r="R14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3" i="1"/>
  <c r="AM103" i="1"/>
  <c r="AN103" i="1"/>
  <c r="K94" i="1"/>
  <c r="L94" i="1"/>
  <c r="M94" i="1"/>
  <c r="N94" i="1" s="1"/>
  <c r="V94" i="1"/>
  <c r="S34" i="3" s="1"/>
  <c r="Y94" i="1"/>
  <c r="Z94" i="1"/>
  <c r="AB94" i="1"/>
  <c r="AC94" i="1"/>
  <c r="AD94" i="1"/>
  <c r="AE94" i="1"/>
  <c r="AF94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3" i="1"/>
  <c r="AM113" i="1"/>
  <c r="AN11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5" i="1"/>
  <c r="AM125" i="1"/>
  <c r="AN125" i="1"/>
  <c r="K96" i="1"/>
  <c r="L96" i="1"/>
  <c r="M96" i="1"/>
  <c r="N96" i="1" s="1"/>
  <c r="V96" i="1"/>
  <c r="S35" i="3" s="1"/>
  <c r="Y96" i="1"/>
  <c r="Z96" i="1"/>
  <c r="AB96" i="1"/>
  <c r="AC96" i="1"/>
  <c r="AD96" i="1"/>
  <c r="AG96" i="1" s="1"/>
  <c r="AE96" i="1"/>
  <c r="AF96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S8" i="3" s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S15" i="3" s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S36" i="3" s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36" i="1"/>
  <c r="AM136" i="1"/>
  <c r="AN13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37" i="1"/>
  <c r="AM137" i="1"/>
  <c r="AN137" i="1"/>
  <c r="K102" i="1"/>
  <c r="L102" i="1"/>
  <c r="M102" i="1"/>
  <c r="N102" i="1" s="1"/>
  <c r="V102" i="1"/>
  <c r="S38" i="3" s="1"/>
  <c r="Y102" i="1"/>
  <c r="Z102" i="1"/>
  <c r="AB102" i="1"/>
  <c r="AC102" i="1"/>
  <c r="AD102" i="1"/>
  <c r="AG102" i="1" s="1"/>
  <c r="AE102" i="1"/>
  <c r="AF102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3" i="1"/>
  <c r="AM143" i="1"/>
  <c r="AN143" i="1"/>
  <c r="K108" i="1"/>
  <c r="L108" i="1"/>
  <c r="M108" i="1"/>
  <c r="N108" i="1" s="1"/>
  <c r="V108" i="1"/>
  <c r="S31" i="3" s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S22" i="3" s="1"/>
  <c r="Y113" i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P114" i="1" s="1"/>
  <c r="V114" i="1"/>
  <c r="Y114" i="1"/>
  <c r="Z114" i="1"/>
  <c r="AB114" i="1"/>
  <c r="AC114" i="1"/>
  <c r="AD114" i="1"/>
  <c r="AG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AM151" i="1"/>
  <c r="AN151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3" i="1"/>
  <c r="AM153" i="1"/>
  <c r="AN153" i="1"/>
  <c r="K119" i="1"/>
  <c r="L119" i="1"/>
  <c r="M119" i="1"/>
  <c r="N119" i="1" s="1"/>
  <c r="V119" i="1"/>
  <c r="S16" i="3" s="1"/>
  <c r="Y119" i="1"/>
  <c r="Z119" i="1"/>
  <c r="AB119" i="1"/>
  <c r="AC119" i="1"/>
  <c r="AD119" i="1"/>
  <c r="AG119" i="1" s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AM155" i="1"/>
  <c r="AN155" i="1"/>
  <c r="K121" i="1"/>
  <c r="L121" i="1"/>
  <c r="M121" i="1"/>
  <c r="V121" i="1"/>
  <c r="S17" i="3" s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N123" i="1" s="1"/>
  <c r="V123" i="1"/>
  <c r="S39" i="3" s="1"/>
  <c r="Y123" i="1"/>
  <c r="Z123" i="1"/>
  <c r="AB123" i="1"/>
  <c r="AC123" i="1"/>
  <c r="AD123" i="1"/>
  <c r="AG123" i="1" s="1"/>
  <c r="AE123" i="1"/>
  <c r="AF123" i="1"/>
  <c r="K124" i="1"/>
  <c r="L124" i="1"/>
  <c r="M124" i="1"/>
  <c r="P124" i="1" s="1"/>
  <c r="V124" i="1"/>
  <c r="S27" i="3" s="1"/>
  <c r="Y124" i="1"/>
  <c r="Z124" i="1"/>
  <c r="AB124" i="1"/>
  <c r="AC124" i="1"/>
  <c r="AD124" i="1"/>
  <c r="AE124" i="1"/>
  <c r="AF124" i="1"/>
  <c r="AH159" i="1"/>
  <c r="AM159" i="1"/>
  <c r="AN159" i="1"/>
  <c r="K125" i="1"/>
  <c r="L125" i="1"/>
  <c r="M125" i="1"/>
  <c r="V125" i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V126" i="1"/>
  <c r="Y126" i="1"/>
  <c r="Z126" i="1"/>
  <c r="AB126" i="1"/>
  <c r="AC126" i="1"/>
  <c r="AD126" i="1"/>
  <c r="T126" i="1" s="1"/>
  <c r="AE126" i="1"/>
  <c r="AF126" i="1"/>
  <c r="AH161" i="1"/>
  <c r="AM161" i="1"/>
  <c r="AN161" i="1"/>
  <c r="K127" i="1"/>
  <c r="L127" i="1"/>
  <c r="M127" i="1"/>
  <c r="V127" i="1"/>
  <c r="Y127" i="1"/>
  <c r="Z127" i="1"/>
  <c r="AB127" i="1"/>
  <c r="AC127" i="1"/>
  <c r="AD127" i="1"/>
  <c r="AG127" i="1" s="1"/>
  <c r="AE127" i="1"/>
  <c r="AF127" i="1"/>
  <c r="AH162" i="1"/>
  <c r="AM162" i="1"/>
  <c r="AN162" i="1"/>
  <c r="K128" i="1"/>
  <c r="L128" i="1"/>
  <c r="M128" i="1"/>
  <c r="V128" i="1"/>
  <c r="Y128" i="1"/>
  <c r="Z128" i="1"/>
  <c r="AB128" i="1"/>
  <c r="AC128" i="1"/>
  <c r="AD128" i="1"/>
  <c r="AE128" i="1"/>
  <c r="AF128" i="1"/>
  <c r="AH163" i="1"/>
  <c r="AM163" i="1"/>
  <c r="AN163" i="1"/>
  <c r="K129" i="1"/>
  <c r="L129" i="1"/>
  <c r="M129" i="1"/>
  <c r="V129" i="1"/>
  <c r="S26" i="3" s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V130" i="1"/>
  <c r="Y130" i="1"/>
  <c r="Z130" i="1"/>
  <c r="AB130" i="1"/>
  <c r="AC130" i="1"/>
  <c r="AD130" i="1"/>
  <c r="T130" i="1" s="1"/>
  <c r="AE130" i="1"/>
  <c r="AF130" i="1"/>
  <c r="AH165" i="1"/>
  <c r="AM165" i="1"/>
  <c r="AN165" i="1"/>
  <c r="K131" i="1"/>
  <c r="L131" i="1"/>
  <c r="M131" i="1"/>
  <c r="V131" i="1"/>
  <c r="S32" i="3" s="1"/>
  <c r="Y131" i="1"/>
  <c r="Z131" i="1"/>
  <c r="AB131" i="1"/>
  <c r="AC131" i="1"/>
  <c r="AD131" i="1"/>
  <c r="AG131" i="1" s="1"/>
  <c r="AE131" i="1"/>
  <c r="AF131" i="1"/>
  <c r="AH166" i="1"/>
  <c r="AM166" i="1"/>
  <c r="AN166" i="1"/>
  <c r="K132" i="1"/>
  <c r="L132" i="1"/>
  <c r="M132" i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9" i="1"/>
  <c r="AM169" i="1"/>
  <c r="AN169" i="1"/>
  <c r="K135" i="1"/>
  <c r="L135" i="1"/>
  <c r="M135" i="1"/>
  <c r="P135" i="1" s="1"/>
  <c r="V135" i="1"/>
  <c r="Y135" i="1"/>
  <c r="Z135" i="1"/>
  <c r="AB135" i="1"/>
  <c r="AC135" i="1"/>
  <c r="AD135" i="1"/>
  <c r="AG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3" i="1"/>
  <c r="AM173" i="1"/>
  <c r="AN173" i="1"/>
  <c r="K139" i="1"/>
  <c r="L139" i="1"/>
  <c r="M139" i="1"/>
  <c r="N139" i="1" s="1"/>
  <c r="V139" i="1"/>
  <c r="S18" i="3" s="1"/>
  <c r="Y139" i="1"/>
  <c r="Z139" i="1"/>
  <c r="AB139" i="1"/>
  <c r="AC139" i="1"/>
  <c r="AD139" i="1"/>
  <c r="AG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5" i="1"/>
  <c r="AM175" i="1"/>
  <c r="AN175" i="1"/>
  <c r="K141" i="1"/>
  <c r="L141" i="1"/>
  <c r="M141" i="1"/>
  <c r="N141" i="1" s="1"/>
  <c r="V141" i="1"/>
  <c r="S11" i="3" s="1"/>
  <c r="Y141" i="1"/>
  <c r="Z141" i="1"/>
  <c r="AB141" i="1"/>
  <c r="AC141" i="1"/>
  <c r="AD141" i="1"/>
  <c r="T141" i="1" s="1"/>
  <c r="AE141" i="1"/>
  <c r="AF141" i="1"/>
  <c r="AH176" i="1"/>
  <c r="AM176" i="1"/>
  <c r="AN176" i="1"/>
  <c r="AH177" i="1"/>
  <c r="AM177" i="1"/>
  <c r="AN177" i="1"/>
  <c r="K143" i="1"/>
  <c r="L143" i="1"/>
  <c r="M143" i="1"/>
  <c r="N143" i="1" s="1"/>
  <c r="V143" i="1"/>
  <c r="S13" i="3" s="1"/>
  <c r="Y143" i="1"/>
  <c r="Z143" i="1"/>
  <c r="AB143" i="1"/>
  <c r="AC143" i="1"/>
  <c r="AD143" i="1"/>
  <c r="AG143" i="1" s="1"/>
  <c r="AE143" i="1"/>
  <c r="AF143" i="1"/>
  <c r="AH178" i="1"/>
  <c r="AM178" i="1"/>
  <c r="AN178" i="1"/>
  <c r="K144" i="1"/>
  <c r="L144" i="1"/>
  <c r="M144" i="1"/>
  <c r="P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P146" i="1" s="1"/>
  <c r="V146" i="1"/>
  <c r="Y146" i="1"/>
  <c r="Z146" i="1"/>
  <c r="AB146" i="1"/>
  <c r="AC146" i="1"/>
  <c r="AD146" i="1"/>
  <c r="T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AM185" i="1"/>
  <c r="AN185" i="1"/>
  <c r="AH186" i="1"/>
  <c r="AM186" i="1"/>
  <c r="AN186" i="1"/>
  <c r="K151" i="1"/>
  <c r="L151" i="1"/>
  <c r="M151" i="1"/>
  <c r="N151" i="1" s="1"/>
  <c r="V151" i="1"/>
  <c r="S23" i="3" s="1"/>
  <c r="Y151" i="1"/>
  <c r="Z151" i="1"/>
  <c r="AB151" i="1"/>
  <c r="AC151" i="1"/>
  <c r="AD151" i="1"/>
  <c r="T151" i="1" s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AM188" i="1"/>
  <c r="AN188" i="1"/>
  <c r="K153" i="1"/>
  <c r="L153" i="1"/>
  <c r="M153" i="1"/>
  <c r="P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V154" i="1"/>
  <c r="Y154" i="1"/>
  <c r="Z154" i="1"/>
  <c r="AB154" i="1"/>
  <c r="AC154" i="1"/>
  <c r="AD154" i="1"/>
  <c r="AG154" i="1" s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AM218" i="1"/>
  <c r="AN218" i="1"/>
  <c r="M24" i="3"/>
  <c r="R24" i="3"/>
  <c r="U24" i="3"/>
  <c r="T24" i="3" s="1"/>
  <c r="V24" i="3"/>
  <c r="W24" i="3"/>
  <c r="X24" i="3"/>
  <c r="M12" i="3"/>
  <c r="U12" i="3"/>
  <c r="T12" i="3" s="1"/>
  <c r="V12" i="3"/>
  <c r="W12" i="3"/>
  <c r="X12" i="3"/>
  <c r="AC12" i="3"/>
  <c r="M33" i="3"/>
  <c r="U33" i="3"/>
  <c r="AC33" i="3" s="1"/>
  <c r="V33" i="3"/>
  <c r="W33" i="3"/>
  <c r="X33" i="3"/>
  <c r="M20" i="3"/>
  <c r="U20" i="3"/>
  <c r="AC20" i="3" s="1"/>
  <c r="V20" i="3"/>
  <c r="W20" i="3"/>
  <c r="X20" i="3"/>
  <c r="M9" i="3"/>
  <c r="U9" i="3"/>
  <c r="AC9" i="3" s="1"/>
  <c r="V9" i="3"/>
  <c r="W9" i="3"/>
  <c r="X9" i="3"/>
  <c r="M7" i="3"/>
  <c r="U7" i="3"/>
  <c r="T7" i="3" s="1"/>
  <c r="V7" i="3"/>
  <c r="W7" i="3"/>
  <c r="X7" i="3"/>
  <c r="AC7" i="3"/>
  <c r="M14" i="3"/>
  <c r="U14" i="3"/>
  <c r="AC14" i="3" s="1"/>
  <c r="V14" i="3"/>
  <c r="W14" i="3"/>
  <c r="X14" i="3"/>
  <c r="M34" i="3"/>
  <c r="R34" i="3"/>
  <c r="U34" i="3"/>
  <c r="AC34" i="3" s="1"/>
  <c r="V34" i="3"/>
  <c r="W34" i="3"/>
  <c r="X34" i="3"/>
  <c r="M8" i="3"/>
  <c r="R8" i="3"/>
  <c r="U8" i="3"/>
  <c r="AC8" i="3" s="1"/>
  <c r="V8" i="3"/>
  <c r="W8" i="3"/>
  <c r="X8" i="3"/>
  <c r="M35" i="3"/>
  <c r="R35" i="3"/>
  <c r="U35" i="3"/>
  <c r="T35" i="3" s="1"/>
  <c r="V35" i="3"/>
  <c r="W35" i="3"/>
  <c r="X35" i="3"/>
  <c r="AC35" i="3"/>
  <c r="M28" i="3"/>
  <c r="R28" i="3"/>
  <c r="S28" i="3"/>
  <c r="U28" i="3"/>
  <c r="AC28" i="3" s="1"/>
  <c r="V28" i="3"/>
  <c r="W28" i="3"/>
  <c r="X28" i="3"/>
  <c r="M36" i="3"/>
  <c r="R36" i="3"/>
  <c r="U36" i="3"/>
  <c r="AC36" i="3" s="1"/>
  <c r="V36" i="3"/>
  <c r="W36" i="3"/>
  <c r="X36" i="3"/>
  <c r="M37" i="3"/>
  <c r="R37" i="3"/>
  <c r="U37" i="3"/>
  <c r="AC37" i="3" s="1"/>
  <c r="V37" i="3"/>
  <c r="W37" i="3"/>
  <c r="X37" i="3"/>
  <c r="M38" i="3"/>
  <c r="R38" i="3"/>
  <c r="U38" i="3"/>
  <c r="T38" i="3" s="1"/>
  <c r="V38" i="3"/>
  <c r="W38" i="3"/>
  <c r="X38" i="3"/>
  <c r="AC38" i="3"/>
  <c r="M31" i="3"/>
  <c r="R31" i="3"/>
  <c r="U31" i="3"/>
  <c r="AD31" i="3" s="1"/>
  <c r="V31" i="3"/>
  <c r="W31" i="3"/>
  <c r="X31" i="3"/>
  <c r="M15" i="3"/>
  <c r="R15" i="3"/>
  <c r="U15" i="3"/>
  <c r="AC15" i="3" s="1"/>
  <c r="V15" i="3"/>
  <c r="W15" i="3"/>
  <c r="X15" i="3"/>
  <c r="M10" i="3"/>
  <c r="R10" i="3"/>
  <c r="U10" i="3"/>
  <c r="AC10" i="3" s="1"/>
  <c r="V10" i="3"/>
  <c r="W10" i="3"/>
  <c r="X10" i="3"/>
  <c r="M29" i="3"/>
  <c r="R29" i="3"/>
  <c r="S29" i="3"/>
  <c r="U29" i="3"/>
  <c r="V29" i="3"/>
  <c r="W29" i="3"/>
  <c r="X29" i="3"/>
  <c r="AC29" i="3"/>
  <c r="M19" i="3"/>
  <c r="R19" i="3"/>
  <c r="S19" i="3"/>
  <c r="U19" i="3"/>
  <c r="V19" i="3"/>
  <c r="W19" i="3"/>
  <c r="X19" i="3"/>
  <c r="M22" i="3"/>
  <c r="R22" i="3"/>
  <c r="U22" i="3"/>
  <c r="AC22" i="3" s="1"/>
  <c r="V22" i="3"/>
  <c r="W22" i="3"/>
  <c r="X22" i="3"/>
  <c r="M39" i="3"/>
  <c r="R39" i="3"/>
  <c r="U39" i="3"/>
  <c r="AC39" i="3" s="1"/>
  <c r="V39" i="3"/>
  <c r="W39" i="3"/>
  <c r="X39" i="3"/>
  <c r="M16" i="3"/>
  <c r="R16" i="3"/>
  <c r="U16" i="3"/>
  <c r="V16" i="3"/>
  <c r="W16" i="3"/>
  <c r="X16" i="3"/>
  <c r="AC16" i="3"/>
  <c r="M26" i="3"/>
  <c r="R26" i="3"/>
  <c r="U26" i="3"/>
  <c r="V26" i="3"/>
  <c r="W26" i="3"/>
  <c r="X26" i="3"/>
  <c r="AC26" i="3"/>
  <c r="M27" i="3"/>
  <c r="R27" i="3"/>
  <c r="U27" i="3"/>
  <c r="AC27" i="3" s="1"/>
  <c r="V27" i="3"/>
  <c r="W27" i="3"/>
  <c r="X27" i="3"/>
  <c r="M17" i="3"/>
  <c r="R17" i="3"/>
  <c r="U17" i="3"/>
  <c r="AC17" i="3" s="1"/>
  <c r="V17" i="3"/>
  <c r="W17" i="3"/>
  <c r="X17" i="3"/>
  <c r="M25" i="3"/>
  <c r="R25" i="3"/>
  <c r="U25" i="3"/>
  <c r="V25" i="3"/>
  <c r="W25" i="3"/>
  <c r="X25" i="3"/>
  <c r="AC25" i="3"/>
  <c r="M32" i="3"/>
  <c r="R32" i="3"/>
  <c r="U32" i="3"/>
  <c r="AC32" i="3" s="1"/>
  <c r="V32" i="3"/>
  <c r="W32" i="3"/>
  <c r="X32" i="3"/>
  <c r="M18" i="3"/>
  <c r="R18" i="3"/>
  <c r="U18" i="3"/>
  <c r="AC18" i="3" s="1"/>
  <c r="V18" i="3"/>
  <c r="W18" i="3"/>
  <c r="X18" i="3"/>
  <c r="M13" i="3"/>
  <c r="R13" i="3"/>
  <c r="U13" i="3"/>
  <c r="T13" i="3" s="1"/>
  <c r="V13" i="3"/>
  <c r="W13" i="3"/>
  <c r="X13" i="3"/>
  <c r="AC13" i="3"/>
  <c r="M11" i="3"/>
  <c r="R11" i="3"/>
  <c r="U11" i="3"/>
  <c r="V11" i="3"/>
  <c r="W11" i="3"/>
  <c r="X11" i="3"/>
  <c r="M23" i="3"/>
  <c r="R23" i="3"/>
  <c r="U23" i="3"/>
  <c r="AC23" i="3" s="1"/>
  <c r="V23" i="3"/>
  <c r="W23" i="3"/>
  <c r="X23" i="3"/>
  <c r="M30" i="3"/>
  <c r="R30" i="3"/>
  <c r="U30" i="3"/>
  <c r="AC30" i="3" s="1"/>
  <c r="V30" i="3"/>
  <c r="W30" i="3"/>
  <c r="X30" i="3"/>
  <c r="AA146" i="1" l="1"/>
  <c r="AI84" i="1"/>
  <c r="AA14" i="1"/>
  <c r="AA217" i="1"/>
  <c r="N121" i="1"/>
  <c r="AI193" i="1"/>
  <c r="X154" i="1"/>
  <c r="X150" i="1"/>
  <c r="S10" i="3"/>
  <c r="AA190" i="1"/>
  <c r="W190" i="1" s="1"/>
  <c r="AA84" i="1"/>
  <c r="W84" i="1" s="1"/>
  <c r="X159" i="1"/>
  <c r="X153" i="1"/>
  <c r="X149" i="1"/>
  <c r="T156" i="1"/>
  <c r="U156" i="1" s="1"/>
  <c r="S156" i="1" s="1"/>
  <c r="X152" i="1"/>
  <c r="X158" i="1"/>
  <c r="AA59" i="1"/>
  <c r="X155" i="1"/>
  <c r="X151" i="1"/>
  <c r="X156" i="1"/>
  <c r="X157" i="1"/>
  <c r="X143" i="1"/>
  <c r="AE35" i="3"/>
  <c r="AG142" i="1"/>
  <c r="W142" i="1" s="1"/>
  <c r="X142" i="1"/>
  <c r="AD35" i="3"/>
  <c r="W156" i="1"/>
  <c r="AI156" i="1"/>
  <c r="AD39" i="3"/>
  <c r="Y11" i="3"/>
  <c r="X140" i="1"/>
  <c r="P131" i="1"/>
  <c r="P129" i="1"/>
  <c r="P127" i="1"/>
  <c r="P125" i="1"/>
  <c r="AI173" i="1"/>
  <c r="AA17" i="1"/>
  <c r="X161" i="1"/>
  <c r="Y27" i="3"/>
  <c r="Y26" i="3"/>
  <c r="S24" i="3"/>
  <c r="AA103" i="1"/>
  <c r="W103" i="1" s="1"/>
  <c r="AG204" i="1"/>
  <c r="U204" i="1" s="1"/>
  <c r="S204" i="1" s="1"/>
  <c r="AA101" i="1"/>
  <c r="W101" i="1" s="1"/>
  <c r="X91" i="1"/>
  <c r="X160" i="1"/>
  <c r="X148" i="1"/>
  <c r="X90" i="1"/>
  <c r="X147" i="1"/>
  <c r="AA195" i="1"/>
  <c r="AA183" i="1"/>
  <c r="AA95" i="1"/>
  <c r="AA172" i="1"/>
  <c r="AA78" i="1"/>
  <c r="AA76" i="1"/>
  <c r="W76" i="1" s="1"/>
  <c r="X33" i="1"/>
  <c r="X17" i="1"/>
  <c r="X93" i="1"/>
  <c r="X89" i="1"/>
  <c r="X146" i="1"/>
  <c r="X141" i="1"/>
  <c r="X144" i="1"/>
  <c r="AD28" i="3"/>
  <c r="Y28" i="3"/>
  <c r="AA87" i="1"/>
  <c r="AA42" i="1"/>
  <c r="W42" i="1" s="1"/>
  <c r="AA40" i="1"/>
  <c r="W40" i="1" s="1"/>
  <c r="AA36" i="1"/>
  <c r="W36" i="1" s="1"/>
  <c r="AA30" i="1"/>
  <c r="X92" i="1"/>
  <c r="X88" i="1"/>
  <c r="X145" i="1"/>
  <c r="AG211" i="1"/>
  <c r="U211" i="1" s="1"/>
  <c r="S211" i="1" s="1"/>
  <c r="Y31" i="3"/>
  <c r="Y24" i="3"/>
  <c r="AD24" i="3"/>
  <c r="AE20" i="3"/>
  <c r="AG120" i="1"/>
  <c r="U120" i="1" s="1"/>
  <c r="S120" i="1" s="1"/>
  <c r="X120" i="1"/>
  <c r="AA173" i="1"/>
  <c r="W173" i="1" s="1"/>
  <c r="AG167" i="1"/>
  <c r="U167" i="1" s="1"/>
  <c r="S167" i="1" s="1"/>
  <c r="Y22" i="3"/>
  <c r="AE31" i="3"/>
  <c r="AD20" i="3"/>
  <c r="Y20" i="3"/>
  <c r="AA158" i="1"/>
  <c r="AA126" i="1"/>
  <c r="AA116" i="1"/>
  <c r="AA92" i="1"/>
  <c r="W92" i="1" s="1"/>
  <c r="AG78" i="1"/>
  <c r="W78" i="1" s="1"/>
  <c r="AD37" i="3"/>
  <c r="AD36" i="3"/>
  <c r="AE36" i="3"/>
  <c r="S37" i="3"/>
  <c r="X124" i="1"/>
  <c r="AA167" i="1"/>
  <c r="AA91" i="1"/>
  <c r="AG17" i="1"/>
  <c r="AI17" i="1" s="1"/>
  <c r="Y9" i="3"/>
  <c r="AD33" i="3"/>
  <c r="AD32" i="3"/>
  <c r="Y39" i="3"/>
  <c r="Y14" i="3"/>
  <c r="Y7" i="3"/>
  <c r="T10" i="3"/>
  <c r="Y38" i="3"/>
  <c r="T37" i="3"/>
  <c r="Y13" i="3"/>
  <c r="Y32" i="3"/>
  <c r="T39" i="3"/>
  <c r="Y15" i="3"/>
  <c r="AD12" i="3"/>
  <c r="Y33" i="3"/>
  <c r="X206" i="1"/>
  <c r="AG203" i="1"/>
  <c r="AI203" i="1" s="1"/>
  <c r="AA150" i="1"/>
  <c r="AG126" i="1"/>
  <c r="U126" i="1" s="1"/>
  <c r="AA23" i="1"/>
  <c r="AI96" i="1"/>
  <c r="AG189" i="1"/>
  <c r="AA61" i="1"/>
  <c r="AA209" i="1"/>
  <c r="AA196" i="1"/>
  <c r="AA123" i="1"/>
  <c r="W123" i="1" s="1"/>
  <c r="AA119" i="1"/>
  <c r="W119" i="1" s="1"/>
  <c r="AG104" i="1"/>
  <c r="AI104" i="1" s="1"/>
  <c r="X104" i="1"/>
  <c r="AA184" i="1"/>
  <c r="AA94" i="1"/>
  <c r="X163" i="1"/>
  <c r="AA88" i="1"/>
  <c r="T84" i="1"/>
  <c r="U84" i="1" s="1"/>
  <c r="S84" i="1" s="1"/>
  <c r="T48" i="1"/>
  <c r="U48" i="1" s="1"/>
  <c r="S48" i="1" s="1"/>
  <c r="AA47" i="1"/>
  <c r="AA43" i="1"/>
  <c r="AA110" i="1"/>
  <c r="W110" i="1" s="1"/>
  <c r="X190" i="1"/>
  <c r="AA189" i="1"/>
  <c r="X184" i="1"/>
  <c r="AA58" i="1"/>
  <c r="X45" i="1"/>
  <c r="AA31" i="1"/>
  <c r="AA27" i="1"/>
  <c r="AA22" i="1"/>
  <c r="X128" i="1"/>
  <c r="AA206" i="1"/>
  <c r="T206" i="1"/>
  <c r="AG159" i="1"/>
  <c r="AI159" i="1" s="1"/>
  <c r="AG158" i="1"/>
  <c r="U158" i="1" s="1"/>
  <c r="S158" i="1" s="1"/>
  <c r="T154" i="1"/>
  <c r="U154" i="1" s="1"/>
  <c r="S154" i="1" s="1"/>
  <c r="AG144" i="1"/>
  <c r="AI144" i="1" s="1"/>
  <c r="AG130" i="1"/>
  <c r="AA129" i="1"/>
  <c r="AA115" i="1"/>
  <c r="W115" i="1" s="1"/>
  <c r="AA102" i="1"/>
  <c r="W102" i="1" s="1"/>
  <c r="AG98" i="1"/>
  <c r="U98" i="1" s="1"/>
  <c r="S98" i="1" s="1"/>
  <c r="X98" i="1"/>
  <c r="X178" i="1"/>
  <c r="X173" i="1"/>
  <c r="AG170" i="1"/>
  <c r="X170" i="1"/>
  <c r="AA169" i="1"/>
  <c r="AG89" i="1"/>
  <c r="U89" i="1" s="1"/>
  <c r="S89" i="1" s="1"/>
  <c r="AA74" i="1"/>
  <c r="AA69" i="1"/>
  <c r="AA67" i="1"/>
  <c r="T45" i="1"/>
  <c r="T42" i="1"/>
  <c r="U42" i="1" s="1"/>
  <c r="S42" i="1" s="1"/>
  <c r="AA32" i="1"/>
  <c r="W32" i="1" s="1"/>
  <c r="AA28" i="1"/>
  <c r="W28" i="1" s="1"/>
  <c r="X25" i="1"/>
  <c r="AG21" i="1"/>
  <c r="AI21" i="1" s="1"/>
  <c r="X21" i="1"/>
  <c r="AA19" i="1"/>
  <c r="W19" i="1" s="1"/>
  <c r="T163" i="1"/>
  <c r="X81" i="1"/>
  <c r="X218" i="1"/>
  <c r="AA214" i="1"/>
  <c r="AA213" i="1"/>
  <c r="AA203" i="1"/>
  <c r="AG146" i="1"/>
  <c r="W146" i="1" s="1"/>
  <c r="AA143" i="1"/>
  <c r="W143" i="1" s="1"/>
  <c r="T143" i="1"/>
  <c r="U143" i="1" s="1"/>
  <c r="S143" i="1" s="1"/>
  <c r="AG134" i="1"/>
  <c r="U134" i="1" s="1"/>
  <c r="S134" i="1" s="1"/>
  <c r="AA122" i="1"/>
  <c r="AA118" i="1"/>
  <c r="W118" i="1" s="1"/>
  <c r="X115" i="1"/>
  <c r="AG112" i="1"/>
  <c r="AI112" i="1" s="1"/>
  <c r="X112" i="1"/>
  <c r="AA109" i="1"/>
  <c r="X94" i="1"/>
  <c r="AA168" i="1"/>
  <c r="AA165" i="1"/>
  <c r="AA85" i="1"/>
  <c r="AA80" i="1"/>
  <c r="W80" i="1" s="1"/>
  <c r="AG74" i="1"/>
  <c r="AA66" i="1"/>
  <c r="AA64" i="1"/>
  <c r="W64" i="1" s="1"/>
  <c r="T52" i="1"/>
  <c r="U52" i="1" s="1"/>
  <c r="S52" i="1" s="1"/>
  <c r="AG45" i="1"/>
  <c r="AI45" i="1" s="1"/>
  <c r="X44" i="1"/>
  <c r="AA35" i="1"/>
  <c r="AA24" i="1"/>
  <c r="W24" i="1" s="1"/>
  <c r="AA21" i="1"/>
  <c r="AA20" i="1"/>
  <c r="AA16" i="1"/>
  <c r="T217" i="1"/>
  <c r="AG217" i="1"/>
  <c r="T139" i="1"/>
  <c r="U139" i="1" s="1"/>
  <c r="S139" i="1" s="1"/>
  <c r="X123" i="1"/>
  <c r="X181" i="1"/>
  <c r="T178" i="1"/>
  <c r="AA53" i="1"/>
  <c r="AA50" i="1"/>
  <c r="W50" i="1" s="1"/>
  <c r="T50" i="1"/>
  <c r="U50" i="1" s="1"/>
  <c r="S50" i="1" s="1"/>
  <c r="AG49" i="1"/>
  <c r="AI49" i="1" s="1"/>
  <c r="X49" i="1"/>
  <c r="AG43" i="1"/>
  <c r="AI43" i="1" s="1"/>
  <c r="X37" i="1"/>
  <c r="AA34" i="1"/>
  <c r="T215" i="1"/>
  <c r="U215" i="1" s="1"/>
  <c r="S215" i="1" s="1"/>
  <c r="AA216" i="1"/>
  <c r="W216" i="1" s="1"/>
  <c r="X215" i="1"/>
  <c r="AA210" i="1"/>
  <c r="AA202" i="1"/>
  <c r="AA199" i="1"/>
  <c r="AG197" i="1"/>
  <c r="AI197" i="1" s="1"/>
  <c r="AA159" i="1"/>
  <c r="AG155" i="1"/>
  <c r="AI155" i="1" s="1"/>
  <c r="AA152" i="1"/>
  <c r="AA151" i="1"/>
  <c r="AG150" i="1"/>
  <c r="U150" i="1" s="1"/>
  <c r="S150" i="1" s="1"/>
  <c r="T148" i="1"/>
  <c r="AA147" i="1"/>
  <c r="W147" i="1" s="1"/>
  <c r="T147" i="1"/>
  <c r="U147" i="1" s="1"/>
  <c r="S147" i="1" s="1"/>
  <c r="AA145" i="1"/>
  <c r="T140" i="1"/>
  <c r="AA139" i="1"/>
  <c r="W139" i="1" s="1"/>
  <c r="AA138" i="1"/>
  <c r="AA134" i="1"/>
  <c r="AG132" i="1"/>
  <c r="AI132" i="1" s="1"/>
  <c r="X132" i="1"/>
  <c r="X131" i="1"/>
  <c r="AA130" i="1"/>
  <c r="T128" i="1"/>
  <c r="AA127" i="1"/>
  <c r="W127" i="1" s="1"/>
  <c r="T127" i="1"/>
  <c r="U127" i="1" s="1"/>
  <c r="T124" i="1"/>
  <c r="AG122" i="1"/>
  <c r="U122" i="1" s="1"/>
  <c r="X119" i="1"/>
  <c r="AG116" i="1"/>
  <c r="X116" i="1"/>
  <c r="AA114" i="1"/>
  <c r="W114" i="1" s="1"/>
  <c r="AA111" i="1"/>
  <c r="W111" i="1" s="1"/>
  <c r="AA107" i="1"/>
  <c r="W107" i="1" s="1"/>
  <c r="AG105" i="1"/>
  <c r="U105" i="1" s="1"/>
  <c r="S105" i="1" s="1"/>
  <c r="X105" i="1"/>
  <c r="AG205" i="1"/>
  <c r="X205" i="1"/>
  <c r="AA99" i="1"/>
  <c r="AA97" i="1"/>
  <c r="X191" i="1"/>
  <c r="AA191" i="1"/>
  <c r="AA96" i="1"/>
  <c r="W96" i="1" s="1"/>
  <c r="AG188" i="1"/>
  <c r="U188" i="1" s="1"/>
  <c r="S188" i="1" s="1"/>
  <c r="X188" i="1"/>
  <c r="AG185" i="1"/>
  <c r="X185" i="1"/>
  <c r="AA180" i="1"/>
  <c r="AA178" i="1"/>
  <c r="AA177" i="1"/>
  <c r="AA166" i="1"/>
  <c r="AA163" i="1"/>
  <c r="AA162" i="1"/>
  <c r="T81" i="1"/>
  <c r="AA79" i="1"/>
  <c r="AG77" i="1"/>
  <c r="U77" i="1" s="1"/>
  <c r="S77" i="1" s="1"/>
  <c r="X77" i="1"/>
  <c r="AI76" i="1"/>
  <c r="AA73" i="1"/>
  <c r="AA71" i="1"/>
  <c r="AA62" i="1"/>
  <c r="AA60" i="1"/>
  <c r="W60" i="1" s="1"/>
  <c r="AA57" i="1"/>
  <c r="T33" i="1"/>
  <c r="AA18" i="1"/>
  <c r="X16" i="1"/>
  <c r="X15" i="1"/>
  <c r="X201" i="1"/>
  <c r="AA72" i="1"/>
  <c r="W72" i="1" s="1"/>
  <c r="AA56" i="1"/>
  <c r="W56" i="1" s="1"/>
  <c r="AA52" i="1"/>
  <c r="W52" i="1" s="1"/>
  <c r="AA51" i="1"/>
  <c r="X50" i="1"/>
  <c r="AA48" i="1"/>
  <c r="W48" i="1" s="1"/>
  <c r="AA41" i="1"/>
  <c r="AA39" i="1"/>
  <c r="X38" i="1"/>
  <c r="T37" i="1"/>
  <c r="X29" i="1"/>
  <c r="AA26" i="1"/>
  <c r="AA211" i="1"/>
  <c r="AA207" i="1"/>
  <c r="W207" i="1" s="1"/>
  <c r="AG199" i="1"/>
  <c r="U199" i="1" s="1"/>
  <c r="S199" i="1" s="1"/>
  <c r="AA198" i="1"/>
  <c r="X197" i="1"/>
  <c r="AA154" i="1"/>
  <c r="W154" i="1" s="1"/>
  <c r="AA153" i="1"/>
  <c r="AG148" i="1"/>
  <c r="AI148" i="1" s="1"/>
  <c r="AG140" i="1"/>
  <c r="AI140" i="1" s="1"/>
  <c r="AA137" i="1"/>
  <c r="AA136" i="1"/>
  <c r="AA131" i="1"/>
  <c r="W131" i="1" s="1"/>
  <c r="T131" i="1"/>
  <c r="U131" i="1" s="1"/>
  <c r="AG128" i="1"/>
  <c r="AI128" i="1" s="1"/>
  <c r="X127" i="1"/>
  <c r="AG124" i="1"/>
  <c r="AI124" i="1" s="1"/>
  <c r="AA121" i="1"/>
  <c r="AA112" i="1"/>
  <c r="X108" i="1"/>
  <c r="X107" i="1"/>
  <c r="AA105" i="1"/>
  <c r="AA205" i="1"/>
  <c r="AI100" i="1"/>
  <c r="AG99" i="1"/>
  <c r="AA187" i="1"/>
  <c r="AA186" i="1"/>
  <c r="W186" i="1" s="1"/>
  <c r="AA179" i="1"/>
  <c r="AG177" i="1"/>
  <c r="AI177" i="1" s="1"/>
  <c r="AA176" i="1"/>
  <c r="AA164" i="1"/>
  <c r="AG162" i="1"/>
  <c r="AI162" i="1" s="1"/>
  <c r="AA161" i="1"/>
  <c r="AG81" i="1"/>
  <c r="AI81" i="1" s="1"/>
  <c r="AI80" i="1"/>
  <c r="AA75" i="1"/>
  <c r="AA70" i="1"/>
  <c r="AA68" i="1"/>
  <c r="W68" i="1" s="1"/>
  <c r="AA65" i="1"/>
  <c r="AA63" i="1"/>
  <c r="AA15" i="1"/>
  <c r="W15" i="1" s="1"/>
  <c r="AA218" i="1"/>
  <c r="W218" i="1" s="1"/>
  <c r="T218" i="1"/>
  <c r="U218" i="1" s="1"/>
  <c r="S218" i="1" s="1"/>
  <c r="AA215" i="1"/>
  <c r="W215" i="1" s="1"/>
  <c r="X214" i="1"/>
  <c r="AA212" i="1"/>
  <c r="X211" i="1"/>
  <c r="AG209" i="1"/>
  <c r="AI209" i="1" s="1"/>
  <c r="T207" i="1"/>
  <c r="U207" i="1" s="1"/>
  <c r="S207" i="1" s="1"/>
  <c r="AG201" i="1"/>
  <c r="AI201" i="1" s="1"/>
  <c r="AA197" i="1"/>
  <c r="W197" i="1" s="1"/>
  <c r="X196" i="1"/>
  <c r="AA194" i="1"/>
  <c r="AA155" i="1"/>
  <c r="AG153" i="1"/>
  <c r="AG151" i="1"/>
  <c r="AI151" i="1" s="1"/>
  <c r="AA149" i="1"/>
  <c r="AA140" i="1"/>
  <c r="AG138" i="1"/>
  <c r="AI138" i="1" s="1"/>
  <c r="AG136" i="1"/>
  <c r="AI136" i="1" s="1"/>
  <c r="X136" i="1"/>
  <c r="X135" i="1"/>
  <c r="AA133" i="1"/>
  <c r="AA124" i="1"/>
  <c r="T123" i="1"/>
  <c r="U123" i="1" s="1"/>
  <c r="S123" i="1" s="1"/>
  <c r="AA120" i="1"/>
  <c r="T119" i="1"/>
  <c r="U119" i="1" s="1"/>
  <c r="S119" i="1" s="1"/>
  <c r="AA117" i="1"/>
  <c r="X111" i="1"/>
  <c r="AA108" i="1"/>
  <c r="T107" i="1"/>
  <c r="U107" i="1" s="1"/>
  <c r="S107" i="1" s="1"/>
  <c r="X204" i="1"/>
  <c r="U99" i="1"/>
  <c r="S99" i="1" s="1"/>
  <c r="X210" i="1"/>
  <c r="AA208" i="1"/>
  <c r="X207" i="1"/>
  <c r="AA200" i="1"/>
  <c r="T200" i="1"/>
  <c r="AA144" i="1"/>
  <c r="X139" i="1"/>
  <c r="AA128" i="1"/>
  <c r="T115" i="1"/>
  <c r="U115" i="1" s="1"/>
  <c r="S115" i="1" s="1"/>
  <c r="AA113" i="1"/>
  <c r="AG108" i="1"/>
  <c r="AI108" i="1" s="1"/>
  <c r="AA106" i="1"/>
  <c r="W106" i="1" s="1"/>
  <c r="X103" i="1"/>
  <c r="X101" i="1"/>
  <c r="AA157" i="1"/>
  <c r="AA148" i="1"/>
  <c r="AA141" i="1"/>
  <c r="AA135" i="1"/>
  <c r="W135" i="1" s="1"/>
  <c r="T135" i="1"/>
  <c r="U135" i="1" s="1"/>
  <c r="S135" i="1" s="1"/>
  <c r="AA132" i="1"/>
  <c r="W132" i="1" s="1"/>
  <c r="AA125" i="1"/>
  <c r="T111" i="1"/>
  <c r="AG213" i="1"/>
  <c r="AA201" i="1"/>
  <c r="X200" i="1"/>
  <c r="AG195" i="1"/>
  <c r="AA104" i="1"/>
  <c r="T103" i="1"/>
  <c r="U103" i="1" s="1"/>
  <c r="S103" i="1" s="1"/>
  <c r="AA100" i="1"/>
  <c r="W100" i="1" s="1"/>
  <c r="AA98" i="1"/>
  <c r="AG97" i="1"/>
  <c r="X97" i="1"/>
  <c r="AI92" i="1"/>
  <c r="AA193" i="1"/>
  <c r="W193" i="1" s="1"/>
  <c r="AA192" i="1"/>
  <c r="T191" i="1"/>
  <c r="T184" i="1"/>
  <c r="AA182" i="1"/>
  <c r="AA181" i="1"/>
  <c r="T181" i="1"/>
  <c r="AG180" i="1"/>
  <c r="U180" i="1" s="1"/>
  <c r="S180" i="1" s="1"/>
  <c r="X177" i="1"/>
  <c r="AG174" i="1"/>
  <c r="U174" i="1" s="1"/>
  <c r="S174" i="1" s="1"/>
  <c r="X174" i="1"/>
  <c r="T94" i="1"/>
  <c r="AG166" i="1"/>
  <c r="U166" i="1" s="1"/>
  <c r="S166" i="1" s="1"/>
  <c r="X162" i="1"/>
  <c r="AG93" i="1"/>
  <c r="U93" i="1" s="1"/>
  <c r="S93" i="1" s="1"/>
  <c r="AG85" i="1"/>
  <c r="U85" i="1" s="1"/>
  <c r="S85" i="1" s="1"/>
  <c r="X85" i="1"/>
  <c r="AA83" i="1"/>
  <c r="AA81" i="1"/>
  <c r="T80" i="1"/>
  <c r="U80" i="1" s="1"/>
  <c r="S80" i="1" s="1"/>
  <c r="X76" i="1"/>
  <c r="AG73" i="1"/>
  <c r="U73" i="1" s="1"/>
  <c r="S73" i="1" s="1"/>
  <c r="X73" i="1"/>
  <c r="X72" i="1"/>
  <c r="AG69" i="1"/>
  <c r="U69" i="1" s="1"/>
  <c r="S69" i="1" s="1"/>
  <c r="X69" i="1"/>
  <c r="X68" i="1"/>
  <c r="AG65" i="1"/>
  <c r="U65" i="1" s="1"/>
  <c r="S65" i="1" s="1"/>
  <c r="X65" i="1"/>
  <c r="X64" i="1"/>
  <c r="AG61" i="1"/>
  <c r="U61" i="1" s="1"/>
  <c r="S61" i="1" s="1"/>
  <c r="X61" i="1"/>
  <c r="X60" i="1"/>
  <c r="AG57" i="1"/>
  <c r="X57" i="1"/>
  <c r="AG54" i="1"/>
  <c r="AI54" i="1" s="1"/>
  <c r="AG53" i="1"/>
  <c r="AG51" i="1"/>
  <c r="AI51" i="1" s="1"/>
  <c r="X46" i="1"/>
  <c r="AG41" i="1"/>
  <c r="AI41" i="1" s="1"/>
  <c r="X41" i="1"/>
  <c r="AG39" i="1"/>
  <c r="AI39" i="1" s="1"/>
  <c r="AA37" i="1"/>
  <c r="T36" i="1"/>
  <c r="U36" i="1" s="1"/>
  <c r="AA33" i="1"/>
  <c r="T32" i="1"/>
  <c r="U32" i="1" s="1"/>
  <c r="S32" i="1" s="1"/>
  <c r="AA29" i="1"/>
  <c r="T28" i="1"/>
  <c r="U28" i="1" s="1"/>
  <c r="S28" i="1" s="1"/>
  <c r="AA25" i="1"/>
  <c r="T24" i="1"/>
  <c r="U24" i="1" s="1"/>
  <c r="S24" i="1" s="1"/>
  <c r="AG20" i="1"/>
  <c r="T19" i="1"/>
  <c r="U19" i="1" s="1"/>
  <c r="S19" i="1" s="1"/>
  <c r="T16" i="1"/>
  <c r="T190" i="1"/>
  <c r="U190" i="1" s="1"/>
  <c r="S190" i="1" s="1"/>
  <c r="AG184" i="1"/>
  <c r="X180" i="1"/>
  <c r="AG178" i="1"/>
  <c r="AI178" i="1" s="1"/>
  <c r="T173" i="1"/>
  <c r="U173" i="1" s="1"/>
  <c r="S173" i="1" s="1"/>
  <c r="AA171" i="1"/>
  <c r="AA170" i="1"/>
  <c r="AG94" i="1"/>
  <c r="X166" i="1"/>
  <c r="AG163" i="1"/>
  <c r="T92" i="1"/>
  <c r="U92" i="1" s="1"/>
  <c r="S92" i="1" s="1"/>
  <c r="AA90" i="1"/>
  <c r="AA89" i="1"/>
  <c r="AG70" i="1"/>
  <c r="U70" i="1" s="1"/>
  <c r="S70" i="1" s="1"/>
  <c r="AG66" i="1"/>
  <c r="AG62" i="1"/>
  <c r="AI62" i="1" s="1"/>
  <c r="AG58" i="1"/>
  <c r="X53" i="1"/>
  <c r="X52" i="1"/>
  <c r="AA49" i="1"/>
  <c r="AG47" i="1"/>
  <c r="AI47" i="1" s="1"/>
  <c r="AA44" i="1"/>
  <c r="W44" i="1" s="1"/>
  <c r="T44" i="1"/>
  <c r="U44" i="1" s="1"/>
  <c r="S44" i="1" s="1"/>
  <c r="X42" i="1"/>
  <c r="X40" i="1"/>
  <c r="AA38" i="1"/>
  <c r="W38" i="1" s="1"/>
  <c r="T38" i="1"/>
  <c r="U38" i="1" s="1"/>
  <c r="S38" i="1" s="1"/>
  <c r="AG37" i="1"/>
  <c r="AI37" i="1" s="1"/>
  <c r="AG33" i="1"/>
  <c r="AI33" i="1" s="1"/>
  <c r="AG29" i="1"/>
  <c r="AI29" i="1" s="1"/>
  <c r="AG25" i="1"/>
  <c r="AI25" i="1" s="1"/>
  <c r="X20" i="1"/>
  <c r="AG16" i="1"/>
  <c r="T15" i="1"/>
  <c r="U15" i="1" s="1"/>
  <c r="S15" i="1" s="1"/>
  <c r="AA204" i="1"/>
  <c r="T101" i="1"/>
  <c r="U101" i="1" s="1"/>
  <c r="S101" i="1" s="1"/>
  <c r="AG192" i="1"/>
  <c r="U192" i="1" s="1"/>
  <c r="S192" i="1" s="1"/>
  <c r="AG191" i="1"/>
  <c r="AI191" i="1" s="1"/>
  <c r="AA188" i="1"/>
  <c r="AG181" i="1"/>
  <c r="AA175" i="1"/>
  <c r="AA174" i="1"/>
  <c r="X167" i="1"/>
  <c r="AA160" i="1"/>
  <c r="AA93" i="1"/>
  <c r="AA86" i="1"/>
  <c r="AG82" i="1"/>
  <c r="U82" i="1" s="1"/>
  <c r="S82" i="1" s="1"/>
  <c r="AA77" i="1"/>
  <c r="T76" i="1"/>
  <c r="U76" i="1" s="1"/>
  <c r="S76" i="1" s="1"/>
  <c r="T72" i="1"/>
  <c r="U72" i="1" s="1"/>
  <c r="S72" i="1" s="1"/>
  <c r="T68" i="1"/>
  <c r="U68" i="1" s="1"/>
  <c r="S68" i="1" s="1"/>
  <c r="T64" i="1"/>
  <c r="U64" i="1" s="1"/>
  <c r="S64" i="1" s="1"/>
  <c r="T60" i="1"/>
  <c r="U60" i="1" s="1"/>
  <c r="S60" i="1" s="1"/>
  <c r="T56" i="1"/>
  <c r="U56" i="1" s="1"/>
  <c r="S56" i="1" s="1"/>
  <c r="AA55" i="1"/>
  <c r="AA54" i="1"/>
  <c r="X48" i="1"/>
  <c r="AA46" i="1"/>
  <c r="W46" i="1" s="1"/>
  <c r="T46" i="1"/>
  <c r="U46" i="1" s="1"/>
  <c r="S46" i="1" s="1"/>
  <c r="AA45" i="1"/>
  <c r="X36" i="1"/>
  <c r="X32" i="1"/>
  <c r="X28" i="1"/>
  <c r="X24" i="1"/>
  <c r="X19" i="1"/>
  <c r="X56" i="1"/>
  <c r="T40" i="1"/>
  <c r="U40" i="1" s="1"/>
  <c r="S40" i="1" s="1"/>
  <c r="AI218" i="1"/>
  <c r="AI186" i="1"/>
  <c r="AI216" i="1"/>
  <c r="AI190" i="1"/>
  <c r="X216" i="1"/>
  <c r="T216" i="1"/>
  <c r="U216" i="1" s="1"/>
  <c r="S216" i="1" s="1"/>
  <c r="AI215" i="1"/>
  <c r="X217" i="1"/>
  <c r="AG214" i="1"/>
  <c r="X213" i="1"/>
  <c r="AG210" i="1"/>
  <c r="X209" i="1"/>
  <c r="AG206" i="1"/>
  <c r="X203" i="1"/>
  <c r="AG200" i="1"/>
  <c r="X199" i="1"/>
  <c r="AG196" i="1"/>
  <c r="X195" i="1"/>
  <c r="X138" i="1"/>
  <c r="X134" i="1"/>
  <c r="X130" i="1"/>
  <c r="X126" i="1"/>
  <c r="X122" i="1"/>
  <c r="AG121" i="1"/>
  <c r="AI121" i="1" s="1"/>
  <c r="X121" i="1"/>
  <c r="AI134" i="1"/>
  <c r="AI131" i="1"/>
  <c r="AI147" i="1"/>
  <c r="U111" i="1"/>
  <c r="S111" i="1" s="1"/>
  <c r="AI127" i="1"/>
  <c r="AG212" i="1"/>
  <c r="AG208" i="1"/>
  <c r="AG202" i="1"/>
  <c r="AG198" i="1"/>
  <c r="AG194" i="1"/>
  <c r="AG157" i="1"/>
  <c r="AG152" i="1"/>
  <c r="AG149" i="1"/>
  <c r="AG145" i="1"/>
  <c r="AG141" i="1"/>
  <c r="AI141" i="1" s="1"/>
  <c r="AG137" i="1"/>
  <c r="AI137" i="1" s="1"/>
  <c r="AG133" i="1"/>
  <c r="AG129" i="1"/>
  <c r="AI129" i="1" s="1"/>
  <c r="AG125" i="1"/>
  <c r="AI125" i="1" s="1"/>
  <c r="AI139" i="1"/>
  <c r="AI135" i="1"/>
  <c r="X212" i="1"/>
  <c r="X208" i="1"/>
  <c r="AI207" i="1"/>
  <c r="X202" i="1"/>
  <c r="X198" i="1"/>
  <c r="X194" i="1"/>
  <c r="X137" i="1"/>
  <c r="X133" i="1"/>
  <c r="X129" i="1"/>
  <c r="X125" i="1"/>
  <c r="AI154" i="1"/>
  <c r="AI143" i="1"/>
  <c r="X118" i="1"/>
  <c r="T118" i="1"/>
  <c r="U118" i="1" s="1"/>
  <c r="S118" i="1" s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X102" i="1"/>
  <c r="T102" i="1"/>
  <c r="U102" i="1" s="1"/>
  <c r="S102" i="1" s="1"/>
  <c r="X100" i="1"/>
  <c r="T100" i="1"/>
  <c r="U100" i="1" s="1"/>
  <c r="S100" i="1" s="1"/>
  <c r="X193" i="1"/>
  <c r="T193" i="1"/>
  <c r="U193" i="1" s="1"/>
  <c r="S193" i="1" s="1"/>
  <c r="X96" i="1"/>
  <c r="T96" i="1"/>
  <c r="U96" i="1" s="1"/>
  <c r="S96" i="1" s="1"/>
  <c r="U112" i="1"/>
  <c r="S112" i="1" s="1"/>
  <c r="T187" i="1"/>
  <c r="AG187" i="1"/>
  <c r="AI187" i="1" s="1"/>
  <c r="T186" i="1"/>
  <c r="U186" i="1" s="1"/>
  <c r="S186" i="1" s="1"/>
  <c r="X186" i="1"/>
  <c r="AA185" i="1"/>
  <c r="AG117" i="1"/>
  <c r="AI117" i="1" s="1"/>
  <c r="AG113" i="1"/>
  <c r="AI113" i="1" s="1"/>
  <c r="AG109" i="1"/>
  <c r="AI109" i="1" s="1"/>
  <c r="X117" i="1"/>
  <c r="X113" i="1"/>
  <c r="X109" i="1"/>
  <c r="X99" i="1"/>
  <c r="X192" i="1"/>
  <c r="X189" i="1"/>
  <c r="X187" i="1"/>
  <c r="AG182" i="1"/>
  <c r="AG179" i="1"/>
  <c r="AI179" i="1" s="1"/>
  <c r="AG175" i="1"/>
  <c r="AI175" i="1" s="1"/>
  <c r="AG171" i="1"/>
  <c r="AI171" i="1" s="1"/>
  <c r="AG168" i="1"/>
  <c r="AG164" i="1"/>
  <c r="AG160" i="1"/>
  <c r="AG90" i="1"/>
  <c r="AG87" i="1"/>
  <c r="T86" i="1"/>
  <c r="X86" i="1"/>
  <c r="AG183" i="1"/>
  <c r="X182" i="1"/>
  <c r="AG95" i="1"/>
  <c r="X179" i="1"/>
  <c r="AG176" i="1"/>
  <c r="X175" i="1"/>
  <c r="AG172" i="1"/>
  <c r="X171" i="1"/>
  <c r="AG169" i="1"/>
  <c r="AI169" i="1" s="1"/>
  <c r="X168" i="1"/>
  <c r="AI101" i="1"/>
  <c r="AG165" i="1"/>
  <c r="X164" i="1"/>
  <c r="AG161" i="1"/>
  <c r="AI161" i="1" s="1"/>
  <c r="AG91" i="1"/>
  <c r="AG88" i="1"/>
  <c r="X87" i="1"/>
  <c r="AG86" i="1"/>
  <c r="AA82" i="1"/>
  <c r="X183" i="1"/>
  <c r="X95" i="1"/>
  <c r="X176" i="1"/>
  <c r="X172" i="1"/>
  <c r="X169" i="1"/>
  <c r="X165" i="1"/>
  <c r="X84" i="1"/>
  <c r="T83" i="1"/>
  <c r="X83" i="1"/>
  <c r="AG83" i="1"/>
  <c r="X80" i="1"/>
  <c r="T79" i="1"/>
  <c r="X79" i="1"/>
  <c r="AG79" i="1"/>
  <c r="AI72" i="1"/>
  <c r="AI68" i="1"/>
  <c r="AI64" i="1"/>
  <c r="AI60" i="1"/>
  <c r="AI56" i="1"/>
  <c r="X82" i="1"/>
  <c r="X78" i="1"/>
  <c r="AG75" i="1"/>
  <c r="X74" i="1"/>
  <c r="AG71" i="1"/>
  <c r="X70" i="1"/>
  <c r="AG67" i="1"/>
  <c r="X66" i="1"/>
  <c r="AG63" i="1"/>
  <c r="X62" i="1"/>
  <c r="AG59" i="1"/>
  <c r="X58" i="1"/>
  <c r="AG55" i="1"/>
  <c r="X54" i="1"/>
  <c r="AI52" i="1"/>
  <c r="AI42" i="1"/>
  <c r="AI36" i="1"/>
  <c r="AI32" i="1"/>
  <c r="AI28" i="1"/>
  <c r="AI24" i="1"/>
  <c r="AI19" i="1"/>
  <c r="X75" i="1"/>
  <c r="T75" i="1"/>
  <c r="X71" i="1"/>
  <c r="T71" i="1"/>
  <c r="X67" i="1"/>
  <c r="T67" i="1"/>
  <c r="X63" i="1"/>
  <c r="T63" i="1"/>
  <c r="X59" i="1"/>
  <c r="T59" i="1"/>
  <c r="X55" i="1"/>
  <c r="T55" i="1"/>
  <c r="AI48" i="1"/>
  <c r="AI15" i="1"/>
  <c r="AI50" i="1"/>
  <c r="AI44" i="1"/>
  <c r="AI38" i="1"/>
  <c r="AI46" i="1"/>
  <c r="AI40" i="1"/>
  <c r="AG34" i="1"/>
  <c r="AG30" i="1"/>
  <c r="AG26" i="1"/>
  <c r="AG22" i="1"/>
  <c r="AG18" i="1"/>
  <c r="AG14" i="1"/>
  <c r="AG35" i="1"/>
  <c r="X34" i="1"/>
  <c r="AG31" i="1"/>
  <c r="X30" i="1"/>
  <c r="AG27" i="1"/>
  <c r="X26" i="1"/>
  <c r="AG23" i="1"/>
  <c r="X22" i="1"/>
  <c r="X18" i="1"/>
  <c r="X51" i="1"/>
  <c r="X47" i="1"/>
  <c r="X43" i="1"/>
  <c r="X39" i="1"/>
  <c r="X35" i="1"/>
  <c r="X31" i="1"/>
  <c r="X27" i="1"/>
  <c r="X23" i="1"/>
  <c r="T25" i="3"/>
  <c r="Y17" i="3"/>
  <c r="AD27" i="3"/>
  <c r="Y19" i="3"/>
  <c r="AE16" i="3"/>
  <c r="Y34" i="3"/>
  <c r="T20" i="3"/>
  <c r="Y12" i="3"/>
  <c r="Y23" i="3"/>
  <c r="Y25" i="3"/>
  <c r="AD29" i="3"/>
  <c r="Y36" i="3"/>
  <c r="AD18" i="3"/>
  <c r="Y35" i="3"/>
  <c r="AD16" i="3"/>
  <c r="AD9" i="3"/>
  <c r="AE9" i="3"/>
  <c r="AD22" i="3"/>
  <c r="AD17" i="3"/>
  <c r="T8" i="3"/>
  <c r="AE11" i="3"/>
  <c r="T17" i="3"/>
  <c r="T16" i="3"/>
  <c r="AD25" i="3"/>
  <c r="AD8" i="3"/>
  <c r="Y30" i="3"/>
  <c r="T18" i="3"/>
  <c r="AE32" i="3"/>
  <c r="Y16" i="3"/>
  <c r="AE27" i="3"/>
  <c r="AC19" i="3"/>
  <c r="T29" i="3"/>
  <c r="Y10" i="3"/>
  <c r="Y37" i="3"/>
  <c r="Y8" i="3"/>
  <c r="AE15" i="3"/>
  <c r="AD13" i="3"/>
  <c r="T9" i="3"/>
  <c r="AE39" i="3"/>
  <c r="AC11" i="3"/>
  <c r="Y18" i="3"/>
  <c r="AE28" i="3"/>
  <c r="Y29" i="3"/>
  <c r="AE24" i="3"/>
  <c r="AC31" i="3"/>
  <c r="AE25" i="3"/>
  <c r="T34" i="3"/>
  <c r="AE12" i="3"/>
  <c r="T30" i="3"/>
  <c r="AE26" i="3"/>
  <c r="T22" i="3"/>
  <c r="AE23" i="3"/>
  <c r="T15" i="3"/>
  <c r="AE19" i="3"/>
  <c r="T36" i="3"/>
  <c r="AE34" i="3"/>
  <c r="T32" i="3"/>
  <c r="AE30" i="3"/>
  <c r="T27" i="3"/>
  <c r="AD38" i="3"/>
  <c r="AE37" i="3"/>
  <c r="T11" i="3"/>
  <c r="AD34" i="3"/>
  <c r="AE33" i="3"/>
  <c r="AD30" i="3"/>
  <c r="AE29" i="3"/>
  <c r="T26" i="3"/>
  <c r="AD26" i="3"/>
  <c r="T19" i="3"/>
  <c r="AD23" i="3"/>
  <c r="AE22" i="3"/>
  <c r="T31" i="3"/>
  <c r="AD19" i="3"/>
  <c r="AE18" i="3"/>
  <c r="T28" i="3"/>
  <c r="AD15" i="3"/>
  <c r="AE14" i="3"/>
  <c r="T14" i="3"/>
  <c r="AD11" i="3"/>
  <c r="AE10" i="3"/>
  <c r="T33" i="3"/>
  <c r="AC24" i="3"/>
  <c r="AE38" i="3"/>
  <c r="T23" i="3"/>
  <c r="AE17" i="3"/>
  <c r="AD14" i="3"/>
  <c r="AE13" i="3"/>
  <c r="AD10" i="3"/>
  <c r="AE8" i="3"/>
  <c r="S21" i="3"/>
  <c r="M21" i="3"/>
  <c r="R21" i="3"/>
  <c r="U21" i="3"/>
  <c r="V21" i="3"/>
  <c r="W21" i="3"/>
  <c r="X21" i="3"/>
  <c r="W14" i="1" l="1"/>
  <c r="W55" i="1"/>
  <c r="U62" i="1"/>
  <c r="S62" i="1" s="1"/>
  <c r="AI211" i="1"/>
  <c r="W112" i="1"/>
  <c r="U209" i="1"/>
  <c r="S209" i="1" s="1"/>
  <c r="W104" i="1"/>
  <c r="U17" i="1"/>
  <c r="S17" i="1" s="1"/>
  <c r="U51" i="1"/>
  <c r="S51" i="1" s="1"/>
  <c r="U151" i="1"/>
  <c r="S151" i="1" s="1"/>
  <c r="U162" i="1"/>
  <c r="S162" i="1" s="1"/>
  <c r="W176" i="1"/>
  <c r="AI82" i="1"/>
  <c r="W159" i="1"/>
  <c r="AI85" i="1"/>
  <c r="W82" i="1"/>
  <c r="W205" i="1"/>
  <c r="W93" i="1"/>
  <c r="U191" i="1"/>
  <c r="S191" i="1" s="1"/>
  <c r="W17" i="1"/>
  <c r="W59" i="1"/>
  <c r="AI61" i="1"/>
  <c r="W204" i="1"/>
  <c r="AI65" i="1"/>
  <c r="AI77" i="1"/>
  <c r="AI89" i="1"/>
  <c r="W163" i="1"/>
  <c r="W97" i="1"/>
  <c r="AI167" i="1"/>
  <c r="U132" i="1"/>
  <c r="S131" i="1" s="1"/>
  <c r="W54" i="1"/>
  <c r="W77" i="1"/>
  <c r="W167" i="1"/>
  <c r="W144" i="1"/>
  <c r="W189" i="1"/>
  <c r="U54" i="1"/>
  <c r="S54" i="1" s="1"/>
  <c r="AI122" i="1"/>
  <c r="U144" i="1"/>
  <c r="W53" i="1"/>
  <c r="W211" i="1"/>
  <c r="W178" i="1"/>
  <c r="AI142" i="1"/>
  <c r="U142" i="1"/>
  <c r="S142" i="1" s="1"/>
  <c r="U29" i="1"/>
  <c r="S29" i="1" s="1"/>
  <c r="U108" i="1"/>
  <c r="S108" i="1" s="1"/>
  <c r="U128" i="1"/>
  <c r="S127" i="1" s="1"/>
  <c r="U78" i="1"/>
  <c r="S78" i="1" s="1"/>
  <c r="W31" i="1"/>
  <c r="AI69" i="1"/>
  <c r="W87" i="1"/>
  <c r="W182" i="1"/>
  <c r="W149" i="1"/>
  <c r="W148" i="1"/>
  <c r="U203" i="1"/>
  <c r="S203" i="1" s="1"/>
  <c r="U21" i="1"/>
  <c r="S21" i="1" s="1"/>
  <c r="U43" i="1"/>
  <c r="S43" i="1" s="1"/>
  <c r="AI93" i="1"/>
  <c r="W58" i="1"/>
  <c r="W203" i="1"/>
  <c r="W151" i="1"/>
  <c r="W21" i="1"/>
  <c r="W74" i="1"/>
  <c r="U39" i="1"/>
  <c r="S39" i="1" s="1"/>
  <c r="AI97" i="1"/>
  <c r="U104" i="1"/>
  <c r="S104" i="1" s="1"/>
  <c r="AI158" i="1"/>
  <c r="W69" i="1"/>
  <c r="W61" i="1"/>
  <c r="W67" i="1"/>
  <c r="U74" i="1"/>
  <c r="S74" i="1" s="1"/>
  <c r="AI146" i="1"/>
  <c r="U97" i="1"/>
  <c r="S97" i="1" s="1"/>
  <c r="U146" i="1"/>
  <c r="S146" i="1" s="1"/>
  <c r="W174" i="1"/>
  <c r="W164" i="1"/>
  <c r="W23" i="1"/>
  <c r="W34" i="1"/>
  <c r="U33" i="1"/>
  <c r="S33" i="1" s="1"/>
  <c r="AI58" i="1"/>
  <c r="AI73" i="1"/>
  <c r="U58" i="1"/>
  <c r="S58" i="1" s="1"/>
  <c r="U138" i="1"/>
  <c r="S138" i="1" s="1"/>
  <c r="W70" i="1"/>
  <c r="U37" i="1"/>
  <c r="S37" i="1" s="1"/>
  <c r="U45" i="1"/>
  <c r="S45" i="1" s="1"/>
  <c r="U170" i="1"/>
  <c r="S170" i="1" s="1"/>
  <c r="AI170" i="1"/>
  <c r="AI130" i="1"/>
  <c r="U130" i="1"/>
  <c r="W133" i="1"/>
  <c r="AI133" i="1"/>
  <c r="W66" i="1"/>
  <c r="U66" i="1"/>
  <c r="S66" i="1" s="1"/>
  <c r="W170" i="1"/>
  <c r="AI116" i="1"/>
  <c r="W116" i="1"/>
  <c r="U116" i="1"/>
  <c r="S116" i="1" s="1"/>
  <c r="AI66" i="1"/>
  <c r="AI126" i="1"/>
  <c r="W153" i="1"/>
  <c r="AI153" i="1"/>
  <c r="U153" i="1"/>
  <c r="S153" i="1" s="1"/>
  <c r="U49" i="1"/>
  <c r="S49" i="1" s="1"/>
  <c r="AI199" i="1"/>
  <c r="U57" i="1"/>
  <c r="S57" i="1" s="1"/>
  <c r="AI57" i="1"/>
  <c r="AI78" i="1"/>
  <c r="W185" i="1"/>
  <c r="W152" i="1"/>
  <c r="U136" i="1"/>
  <c r="S136" i="1" s="1"/>
  <c r="U197" i="1"/>
  <c r="S197" i="1" s="1"/>
  <c r="W210" i="1"/>
  <c r="W45" i="1"/>
  <c r="W89" i="1"/>
  <c r="W98" i="1"/>
  <c r="AI120" i="1"/>
  <c r="W27" i="1"/>
  <c r="U41" i="1"/>
  <c r="S41" i="1" s="1"/>
  <c r="U47" i="1"/>
  <c r="S47" i="1" s="1"/>
  <c r="AI70" i="1"/>
  <c r="AI74" i="1"/>
  <c r="W71" i="1"/>
  <c r="W91" i="1"/>
  <c r="W160" i="1"/>
  <c r="U140" i="1"/>
  <c r="S140" i="1" s="1"/>
  <c r="U201" i="1"/>
  <c r="S201" i="1" s="1"/>
  <c r="U177" i="1"/>
  <c r="S177" i="1" s="1"/>
  <c r="W188" i="1"/>
  <c r="W49" i="1"/>
  <c r="W62" i="1"/>
  <c r="U94" i="1"/>
  <c r="S94" i="1" s="1"/>
  <c r="U178" i="1"/>
  <c r="S178" i="1" s="1"/>
  <c r="W81" i="1"/>
  <c r="W120" i="1"/>
  <c r="W140" i="1"/>
  <c r="W136" i="1"/>
  <c r="W130" i="1"/>
  <c r="W134" i="1"/>
  <c r="W57" i="1"/>
  <c r="W73" i="1"/>
  <c r="U124" i="1"/>
  <c r="S124" i="1" s="1"/>
  <c r="W16" i="1"/>
  <c r="W85" i="1"/>
  <c r="U189" i="1"/>
  <c r="S189" i="1" s="1"/>
  <c r="AI189" i="1"/>
  <c r="W65" i="1"/>
  <c r="U81" i="1"/>
  <c r="S81" i="1" s="1"/>
  <c r="W124" i="1"/>
  <c r="W126" i="1"/>
  <c r="AI150" i="1"/>
  <c r="W198" i="1"/>
  <c r="U155" i="1"/>
  <c r="S155" i="1" s="1"/>
  <c r="AI166" i="1"/>
  <c r="W158" i="1"/>
  <c r="W35" i="1"/>
  <c r="W63" i="1"/>
  <c r="W75" i="1"/>
  <c r="U159" i="1"/>
  <c r="S159" i="1" s="1"/>
  <c r="W209" i="1"/>
  <c r="W105" i="1"/>
  <c r="W155" i="1"/>
  <c r="W169" i="1"/>
  <c r="W26" i="1"/>
  <c r="AI105" i="1"/>
  <c r="U25" i="1"/>
  <c r="S25" i="1" s="1"/>
  <c r="U148" i="1"/>
  <c r="S148" i="1" s="1"/>
  <c r="AI174" i="1"/>
  <c r="W47" i="1"/>
  <c r="W201" i="1"/>
  <c r="W128" i="1"/>
  <c r="W138" i="1"/>
  <c r="W29" i="1"/>
  <c r="W99" i="1"/>
  <c r="U217" i="1"/>
  <c r="S217" i="1" s="1"/>
  <c r="AI217" i="1"/>
  <c r="W177" i="1"/>
  <c r="U185" i="1"/>
  <c r="S185" i="1" s="1"/>
  <c r="AI185" i="1"/>
  <c r="U184" i="1"/>
  <c r="S184" i="1" s="1"/>
  <c r="W166" i="1"/>
  <c r="W162" i="1"/>
  <c r="U205" i="1"/>
  <c r="S205" i="1" s="1"/>
  <c r="AI205" i="1"/>
  <c r="W150" i="1"/>
  <c r="W43" i="1"/>
  <c r="W199" i="1"/>
  <c r="W122" i="1"/>
  <c r="W217" i="1"/>
  <c r="U181" i="1"/>
  <c r="S181" i="1" s="1"/>
  <c r="AI181" i="1"/>
  <c r="U20" i="1"/>
  <c r="S20" i="1" s="1"/>
  <c r="AI20" i="1"/>
  <c r="W181" i="1"/>
  <c r="W192" i="1"/>
  <c r="W51" i="1"/>
  <c r="W108" i="1"/>
  <c r="W175" i="1"/>
  <c r="W191" i="1"/>
  <c r="W37" i="1"/>
  <c r="W184" i="1"/>
  <c r="W180" i="1"/>
  <c r="AI182" i="1"/>
  <c r="U163" i="1"/>
  <c r="S163" i="1" s="1"/>
  <c r="AI163" i="1"/>
  <c r="U213" i="1"/>
  <c r="S213" i="1" s="1"/>
  <c r="AI213" i="1"/>
  <c r="W213" i="1"/>
  <c r="W165" i="1"/>
  <c r="AI165" i="1"/>
  <c r="W183" i="1"/>
  <c r="AI183" i="1"/>
  <c r="W41" i="1"/>
  <c r="W94" i="1"/>
  <c r="U16" i="1"/>
  <c r="S16" i="1" s="1"/>
  <c r="AI16" i="1"/>
  <c r="W25" i="1"/>
  <c r="W33" i="1"/>
  <c r="U53" i="1"/>
  <c r="S53" i="1" s="1"/>
  <c r="AI53" i="1"/>
  <c r="U195" i="1"/>
  <c r="S195" i="1" s="1"/>
  <c r="AI195" i="1"/>
  <c r="W39" i="1"/>
  <c r="W20" i="1"/>
  <c r="W195" i="1"/>
  <c r="AI22" i="1"/>
  <c r="U22" i="1"/>
  <c r="S22" i="1" s="1"/>
  <c r="AI90" i="1"/>
  <c r="U90" i="1"/>
  <c r="S90" i="1" s="1"/>
  <c r="AI106" i="1"/>
  <c r="U171" i="1"/>
  <c r="S171" i="1" s="1"/>
  <c r="U109" i="1"/>
  <c r="S109" i="1" s="1"/>
  <c r="AI145" i="1"/>
  <c r="W109" i="1"/>
  <c r="U125" i="1"/>
  <c r="S125" i="1" s="1"/>
  <c r="AI160" i="1"/>
  <c r="U141" i="1"/>
  <c r="S141" i="1" s="1"/>
  <c r="AI176" i="1"/>
  <c r="U157" i="1"/>
  <c r="S157" i="1" s="1"/>
  <c r="AI192" i="1"/>
  <c r="U208" i="1"/>
  <c r="S208" i="1" s="1"/>
  <c r="AI208" i="1"/>
  <c r="AI198" i="1"/>
  <c r="U196" i="1"/>
  <c r="S196" i="1" s="1"/>
  <c r="AI206" i="1"/>
  <c r="U206" i="1"/>
  <c r="S206" i="1" s="1"/>
  <c r="AI214" i="1"/>
  <c r="U214" i="1"/>
  <c r="S214" i="1" s="1"/>
  <c r="W157" i="1"/>
  <c r="U27" i="1"/>
  <c r="S27" i="1" s="1"/>
  <c r="AI27" i="1"/>
  <c r="U35" i="1"/>
  <c r="S35" i="1" s="1"/>
  <c r="AI35" i="1"/>
  <c r="AI94" i="1"/>
  <c r="U160" i="1"/>
  <c r="S160" i="1" s="1"/>
  <c r="AI110" i="1"/>
  <c r="U175" i="1"/>
  <c r="S175" i="1" s="1"/>
  <c r="U113" i="1"/>
  <c r="S113" i="1" s="1"/>
  <c r="AI149" i="1"/>
  <c r="W171" i="1"/>
  <c r="U129" i="1"/>
  <c r="AI164" i="1"/>
  <c r="U145" i="1"/>
  <c r="AI180" i="1"/>
  <c r="U194" i="1"/>
  <c r="S194" i="1" s="1"/>
  <c r="AI196" i="1"/>
  <c r="U212" i="1"/>
  <c r="S212" i="1" s="1"/>
  <c r="AI212" i="1"/>
  <c r="W206" i="1"/>
  <c r="W129" i="1"/>
  <c r="W141" i="1"/>
  <c r="W196" i="1"/>
  <c r="W214" i="1"/>
  <c r="AI55" i="1"/>
  <c r="U55" i="1"/>
  <c r="S55" i="1" s="1"/>
  <c r="AI59" i="1"/>
  <c r="U59" i="1"/>
  <c r="S59" i="1" s="1"/>
  <c r="AI63" i="1"/>
  <c r="U63" i="1"/>
  <c r="S63" i="1" s="1"/>
  <c r="AI67" i="1"/>
  <c r="U67" i="1"/>
  <c r="S67" i="1" s="1"/>
  <c r="AI71" i="1"/>
  <c r="U71" i="1"/>
  <c r="S71" i="1" s="1"/>
  <c r="AI75" i="1"/>
  <c r="U75" i="1"/>
  <c r="S75" i="1" s="1"/>
  <c r="AI79" i="1"/>
  <c r="U79" i="1"/>
  <c r="S79" i="1" s="1"/>
  <c r="AI83" i="1"/>
  <c r="U83" i="1"/>
  <c r="S83" i="1" s="1"/>
  <c r="W83" i="1"/>
  <c r="AI88" i="1"/>
  <c r="U88" i="1"/>
  <c r="S88" i="1" s="1"/>
  <c r="AI91" i="1"/>
  <c r="U91" i="1"/>
  <c r="S91" i="1" s="1"/>
  <c r="AI95" i="1"/>
  <c r="U161" i="1"/>
  <c r="S161" i="1" s="1"/>
  <c r="AI99" i="1"/>
  <c r="U165" i="1"/>
  <c r="S165" i="1" s="1"/>
  <c r="AI103" i="1"/>
  <c r="U169" i="1"/>
  <c r="S169" i="1" s="1"/>
  <c r="AI107" i="1"/>
  <c r="U172" i="1"/>
  <c r="S172" i="1" s="1"/>
  <c r="AI111" i="1"/>
  <c r="U176" i="1"/>
  <c r="S176" i="1" s="1"/>
  <c r="AI115" i="1"/>
  <c r="U95" i="1"/>
  <c r="S95" i="1" s="1"/>
  <c r="U183" i="1"/>
  <c r="S183" i="1" s="1"/>
  <c r="AI119" i="1"/>
  <c r="AI98" i="1"/>
  <c r="U164" i="1"/>
  <c r="S164" i="1" s="1"/>
  <c r="AI114" i="1"/>
  <c r="U179" i="1"/>
  <c r="S179" i="1" s="1"/>
  <c r="W179" i="1"/>
  <c r="U117" i="1"/>
  <c r="S117" i="1" s="1"/>
  <c r="AI152" i="1"/>
  <c r="W172" i="1"/>
  <c r="U187" i="1"/>
  <c r="S187" i="1" s="1"/>
  <c r="AI123" i="1"/>
  <c r="W88" i="1"/>
  <c r="W117" i="1"/>
  <c r="U133" i="1"/>
  <c r="AI168" i="1"/>
  <c r="U149" i="1"/>
  <c r="S149" i="1" s="1"/>
  <c r="AI184" i="1"/>
  <c r="U198" i="1"/>
  <c r="S198" i="1" s="1"/>
  <c r="AI200" i="1"/>
  <c r="W187" i="1"/>
  <c r="AI157" i="1"/>
  <c r="U121" i="1"/>
  <c r="S121" i="1" s="1"/>
  <c r="AI194" i="1"/>
  <c r="AI202" i="1"/>
  <c r="U200" i="1"/>
  <c r="S200" i="1" s="1"/>
  <c r="AI210" i="1"/>
  <c r="U210" i="1"/>
  <c r="S210" i="1" s="1"/>
  <c r="W145" i="1"/>
  <c r="W125" i="1"/>
  <c r="W200" i="1"/>
  <c r="AI86" i="1"/>
  <c r="U86" i="1"/>
  <c r="S86" i="1" s="1"/>
  <c r="AI26" i="1"/>
  <c r="U26" i="1"/>
  <c r="S26" i="1" s="1"/>
  <c r="AI14" i="1"/>
  <c r="U14" i="1"/>
  <c r="S14" i="1" s="1"/>
  <c r="AI30" i="1"/>
  <c r="U30" i="1"/>
  <c r="S30" i="1" s="1"/>
  <c r="U23" i="1"/>
  <c r="S23" i="1" s="1"/>
  <c r="AI23" i="1"/>
  <c r="U31" i="1"/>
  <c r="S31" i="1" s="1"/>
  <c r="AI31" i="1"/>
  <c r="AI18" i="1"/>
  <c r="U18" i="1"/>
  <c r="S18" i="1" s="1"/>
  <c r="AI34" i="1"/>
  <c r="U34" i="1"/>
  <c r="S34" i="1" s="1"/>
  <c r="W30" i="1"/>
  <c r="W18" i="1"/>
  <c r="W22" i="1"/>
  <c r="W86" i="1"/>
  <c r="W79" i="1"/>
  <c r="AI87" i="1"/>
  <c r="U87" i="1"/>
  <c r="S87" i="1" s="1"/>
  <c r="AI102" i="1"/>
  <c r="U168" i="1"/>
  <c r="S168" i="1" s="1"/>
  <c r="AI118" i="1"/>
  <c r="U182" i="1"/>
  <c r="S182" i="1" s="1"/>
  <c r="W95" i="1"/>
  <c r="W161" i="1"/>
  <c r="W90" i="1"/>
  <c r="W168" i="1"/>
  <c r="W121" i="1"/>
  <c r="U137" i="1"/>
  <c r="S137" i="1" s="1"/>
  <c r="AI172" i="1"/>
  <c r="U152" i="1"/>
  <c r="S152" i="1" s="1"/>
  <c r="AI188" i="1"/>
  <c r="U202" i="1"/>
  <c r="S202" i="1" s="1"/>
  <c r="AI204" i="1"/>
  <c r="W113" i="1"/>
  <c r="W194" i="1"/>
  <c r="W212" i="1"/>
  <c r="W202" i="1"/>
  <c r="W137" i="1"/>
  <c r="W208" i="1"/>
  <c r="AC21" i="3"/>
  <c r="AD21" i="3"/>
  <c r="AE21" i="3"/>
  <c r="T21" i="3"/>
  <c r="Y21" i="3"/>
  <c r="S144" i="1" l="1"/>
  <c r="S129" i="1"/>
  <c r="M28" i="5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N12" i="3" s="1"/>
  <c r="G59" i="4"/>
  <c r="G60" i="4"/>
  <c r="G61" i="4"/>
  <c r="G62" i="4"/>
  <c r="G63" i="4"/>
  <c r="G64" i="4"/>
  <c r="G65" i="4"/>
  <c r="G66" i="4"/>
  <c r="G67" i="4"/>
  <c r="G68" i="4"/>
  <c r="G69" i="4"/>
  <c r="N20" i="3" s="1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9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14" i="3" s="1"/>
  <c r="G144" i="4"/>
  <c r="G145" i="4"/>
  <c r="G146" i="4"/>
  <c r="N34" i="3" s="1"/>
  <c r="G147" i="4"/>
  <c r="G148" i="4"/>
  <c r="G149" i="4"/>
  <c r="N35" i="3" s="1"/>
  <c r="G150" i="4"/>
  <c r="G151" i="4"/>
  <c r="G152" i="4"/>
  <c r="G153" i="4"/>
  <c r="G154" i="4"/>
  <c r="G155" i="4"/>
  <c r="N8" i="3" s="1"/>
  <c r="G156" i="4"/>
  <c r="G157" i="4"/>
  <c r="G158" i="4"/>
  <c r="G159" i="4"/>
  <c r="N28" i="3" s="1"/>
  <c r="G160" i="4"/>
  <c r="G161" i="4"/>
  <c r="N38" i="3" s="1"/>
  <c r="G162" i="4"/>
  <c r="G163" i="4"/>
  <c r="G164" i="4"/>
  <c r="G165" i="4"/>
  <c r="G166" i="4"/>
  <c r="G167" i="4"/>
  <c r="G168" i="4"/>
  <c r="G169" i="4"/>
  <c r="G170" i="4"/>
  <c r="G171" i="4"/>
  <c r="G172" i="4"/>
  <c r="N31" i="3" s="1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N22" i="3" s="1"/>
  <c r="G190" i="4"/>
  <c r="G191" i="4"/>
  <c r="G192" i="4"/>
  <c r="N39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N16" i="3" s="1"/>
  <c r="G205" i="4"/>
  <c r="G206" i="4"/>
  <c r="G207" i="4"/>
  <c r="N26" i="3" s="1"/>
  <c r="G208" i="4"/>
  <c r="G209" i="4"/>
  <c r="N17" i="3" s="1"/>
  <c r="G210" i="4"/>
  <c r="G211" i="4"/>
  <c r="G212" i="4"/>
  <c r="G213" i="4"/>
  <c r="G214" i="4"/>
  <c r="G215" i="4"/>
  <c r="N27" i="3" s="1"/>
  <c r="G216" i="4"/>
  <c r="G217" i="4"/>
  <c r="G218" i="4"/>
  <c r="G219" i="4"/>
  <c r="G220" i="4"/>
  <c r="G221" i="4"/>
  <c r="G222" i="4"/>
  <c r="G223" i="4"/>
  <c r="G224" i="4"/>
  <c r="G225" i="4"/>
  <c r="G226" i="4"/>
  <c r="G227" i="4"/>
  <c r="N32" i="3" s="1"/>
  <c r="G228" i="4"/>
  <c r="G229" i="4"/>
  <c r="G230" i="4"/>
  <c r="G231" i="4"/>
  <c r="G232" i="4"/>
  <c r="G233" i="4"/>
  <c r="G234" i="4"/>
  <c r="G235" i="4"/>
  <c r="G236" i="4"/>
  <c r="N18" i="3" s="1"/>
  <c r="G237" i="4"/>
  <c r="G238" i="4"/>
  <c r="G239" i="4"/>
  <c r="G240" i="4"/>
  <c r="G241" i="4"/>
  <c r="G242" i="4"/>
  <c r="G243" i="4"/>
  <c r="G244" i="4"/>
  <c r="G245" i="4"/>
  <c r="G246" i="4"/>
  <c r="G247" i="4"/>
  <c r="N13" i="3" s="1"/>
  <c r="G248" i="4"/>
  <c r="G249" i="4"/>
  <c r="N11" i="3" s="1"/>
  <c r="G250" i="4"/>
  <c r="G251" i="4"/>
  <c r="G252" i="4"/>
  <c r="G253" i="4"/>
  <c r="G254" i="4"/>
  <c r="G255" i="4"/>
  <c r="G256" i="4"/>
  <c r="G257" i="4"/>
  <c r="G258" i="4"/>
  <c r="G2" i="4"/>
  <c r="N37" i="3" l="1"/>
  <c r="N36" i="3"/>
  <c r="N21" i="3"/>
  <c r="N7" i="3"/>
  <c r="N25" i="3"/>
  <c r="N19" i="3"/>
  <c r="N29" i="3"/>
  <c r="N15" i="3"/>
  <c r="N10" i="3"/>
  <c r="N24" i="3"/>
  <c r="N33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N23" i="3" s="1"/>
  <c r="G274" i="4"/>
  <c r="G275" i="4"/>
  <c r="G276" i="4"/>
  <c r="G277" i="4"/>
  <c r="G278" i="4"/>
  <c r="G279" i="4"/>
  <c r="N30" i="3" s="1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H3" i="6"/>
  <c r="J3" i="6"/>
  <c r="B4" i="6" l="1"/>
  <c r="I4" i="6" l="1"/>
  <c r="F4" i="6"/>
  <c r="G4" i="6"/>
  <c r="J4" i="6"/>
  <c r="H4" i="6"/>
  <c r="B5" i="6"/>
  <c r="I5" i="6" l="1"/>
  <c r="F5" i="6"/>
  <c r="J5" i="6"/>
  <c r="H5" i="6"/>
  <c r="G5" i="6"/>
  <c r="B6" i="6" l="1"/>
  <c r="I6" i="6" l="1"/>
  <c r="F6" i="6"/>
  <c r="B7" i="6"/>
  <c r="G6" i="6"/>
  <c r="H6" i="6"/>
  <c r="J6" i="6"/>
  <c r="I7" i="6" l="1"/>
  <c r="F7" i="6"/>
  <c r="J7" i="6"/>
  <c r="H7" i="6"/>
  <c r="G7" i="6"/>
  <c r="B8" i="6"/>
  <c r="I8" i="6" l="1"/>
  <c r="F8" i="6"/>
  <c r="H8" i="6"/>
  <c r="J8" i="6"/>
  <c r="G8" i="6"/>
  <c r="B9" i="6"/>
  <c r="I9" i="6" l="1"/>
  <c r="F9" i="6"/>
  <c r="H9" i="6"/>
  <c r="J9" i="6"/>
  <c r="G9" i="6"/>
  <c r="B10" i="6"/>
  <c r="I10" i="6" l="1"/>
  <c r="F10" i="6"/>
  <c r="H10" i="6"/>
  <c r="J10" i="6"/>
  <c r="G10" i="6"/>
  <c r="B11" i="6" l="1"/>
  <c r="I11" i="6" l="1"/>
  <c r="F11" i="6"/>
  <c r="B12" i="6"/>
  <c r="J11" i="6"/>
  <c r="G11" i="6"/>
  <c r="H11" i="6"/>
  <c r="I12" i="6" l="1"/>
  <c r="F12" i="6"/>
  <c r="B13" i="6"/>
  <c r="J12" i="6"/>
  <c r="G12" i="6"/>
  <c r="H12" i="6"/>
  <c r="I13" i="6" l="1"/>
  <c r="F13" i="6"/>
  <c r="H13" i="6"/>
  <c r="J13" i="6"/>
  <c r="G13" i="6"/>
  <c r="B14" i="6"/>
  <c r="I14" i="6" l="1"/>
  <c r="F14" i="6"/>
  <c r="B15" i="6"/>
  <c r="G14" i="6"/>
  <c r="J14" i="6"/>
  <c r="H14" i="6"/>
  <c r="I15" i="6" l="1"/>
  <c r="F15" i="6"/>
  <c r="G15" i="6"/>
  <c r="H15" i="6"/>
  <c r="J15" i="6"/>
  <c r="B16" i="6"/>
  <c r="I16" i="6" l="1"/>
  <c r="F16" i="6"/>
  <c r="J16" i="6"/>
  <c r="G16" i="6"/>
  <c r="H16" i="6"/>
  <c r="B17" i="6"/>
  <c r="I17" i="6" l="1"/>
  <c r="F17" i="6"/>
  <c r="G17" i="6"/>
  <c r="H17" i="6"/>
  <c r="J17" i="6"/>
  <c r="B18" i="6"/>
  <c r="I18" i="6" l="1"/>
  <c r="F18" i="6"/>
  <c r="B19" i="6"/>
  <c r="J18" i="6"/>
  <c r="H18" i="6"/>
  <c r="G18" i="6"/>
  <c r="I19" i="6" l="1"/>
  <c r="F19" i="6"/>
  <c r="J19" i="6"/>
  <c r="G19" i="6"/>
  <c r="H19" i="6"/>
  <c r="B20" i="6"/>
  <c r="I20" i="6" l="1"/>
  <c r="F20" i="6"/>
  <c r="B21" i="6"/>
  <c r="G20" i="6"/>
  <c r="J20" i="6"/>
  <c r="H20" i="6"/>
  <c r="I21" i="6" l="1"/>
  <c r="F21" i="6"/>
  <c r="G21" i="6"/>
  <c r="J21" i="6"/>
  <c r="H21" i="6"/>
  <c r="B22" i="6"/>
  <c r="I22" i="6" l="1"/>
  <c r="F22" i="6"/>
  <c r="B23" i="6"/>
  <c r="G22" i="6"/>
  <c r="J22" i="6"/>
  <c r="H22" i="6"/>
  <c r="I23" i="6" l="1"/>
  <c r="F23" i="6"/>
  <c r="G23" i="6"/>
  <c r="H23" i="6"/>
  <c r="J23" i="6"/>
  <c r="B24" i="6"/>
  <c r="I24" i="6" l="1"/>
  <c r="F24" i="6"/>
  <c r="B25" i="6"/>
  <c r="G24" i="6"/>
  <c r="H24" i="6"/>
  <c r="J24" i="6"/>
  <c r="I25" i="6" l="1"/>
  <c r="F25" i="6"/>
  <c r="G25" i="6"/>
  <c r="H25" i="6"/>
  <c r="J25" i="6"/>
  <c r="B26" i="6"/>
  <c r="I26" i="6" l="1"/>
  <c r="F26" i="6"/>
  <c r="G26" i="6"/>
  <c r="H26" i="6"/>
  <c r="J26" i="6"/>
  <c r="B27" i="6"/>
  <c r="I27" i="6" l="1"/>
  <c r="F27" i="6"/>
  <c r="B28" i="6"/>
  <c r="J27" i="6"/>
  <c r="G27" i="6"/>
  <c r="H27" i="6"/>
  <c r="I28" i="6" l="1"/>
  <c r="F28" i="6"/>
  <c r="B29" i="6"/>
  <c r="J28" i="6"/>
  <c r="G28" i="6"/>
  <c r="H28" i="6"/>
  <c r="I29" i="6" l="1"/>
  <c r="F29" i="6"/>
  <c r="H29" i="6"/>
  <c r="G29" i="6"/>
  <c r="J29" i="6"/>
  <c r="B30" i="6"/>
  <c r="I30" i="6" l="1"/>
  <c r="F30" i="6"/>
  <c r="B31" i="6"/>
  <c r="G30" i="6"/>
  <c r="J30" i="6"/>
  <c r="H30" i="6"/>
  <c r="I31" i="6" l="1"/>
  <c r="F31" i="6"/>
  <c r="B32" i="6"/>
  <c r="J31" i="6"/>
  <c r="G31" i="6"/>
  <c r="H31" i="6"/>
  <c r="I32" i="6" l="1"/>
  <c r="F32" i="6"/>
  <c r="J32" i="6"/>
  <c r="G32" i="6"/>
  <c r="H32" i="6"/>
  <c r="B33" i="6"/>
  <c r="I33" i="6" l="1"/>
  <c r="F33" i="6"/>
  <c r="H33" i="6"/>
  <c r="J33" i="6"/>
  <c r="G33" i="6"/>
  <c r="B34" i="6"/>
  <c r="I34" i="6" l="1"/>
  <c r="F34" i="6"/>
  <c r="B35" i="6"/>
  <c r="J34" i="6"/>
  <c r="H34" i="6"/>
  <c r="G34" i="6"/>
  <c r="I35" i="6" l="1"/>
  <c r="F35" i="6"/>
  <c r="J35" i="6"/>
  <c r="G35" i="6"/>
  <c r="H35" i="6"/>
  <c r="B36" i="6"/>
  <c r="I36" i="6" l="1"/>
  <c r="F36" i="6"/>
  <c r="G36" i="6"/>
  <c r="H36" i="6"/>
  <c r="J36" i="6"/>
  <c r="B37" i="6"/>
  <c r="I37" i="6" l="1"/>
  <c r="F37" i="6"/>
  <c r="G37" i="6"/>
  <c r="H37" i="6"/>
  <c r="J37" i="6"/>
  <c r="B38" i="6"/>
  <c r="I38" i="6" l="1"/>
  <c r="F38" i="6"/>
  <c r="B39" i="6"/>
  <c r="J38" i="6"/>
  <c r="H38" i="6"/>
  <c r="G38" i="6"/>
  <c r="I39" i="6" l="1"/>
  <c r="F39" i="6"/>
  <c r="B40" i="6"/>
  <c r="J39" i="6"/>
  <c r="G39" i="6"/>
  <c r="H39" i="6"/>
  <c r="I40" i="6" l="1"/>
  <c r="F40" i="6"/>
  <c r="H40" i="6"/>
  <c r="G40" i="6"/>
  <c r="J40" i="6"/>
  <c r="B41" i="6"/>
  <c r="I41" i="6" l="1"/>
  <c r="F41" i="6"/>
  <c r="G41" i="6"/>
  <c r="H41" i="6"/>
  <c r="J41" i="6"/>
  <c r="B42" i="6"/>
  <c r="I42" i="6" l="1"/>
  <c r="F42" i="6"/>
  <c r="B43" i="6"/>
  <c r="J42" i="6"/>
  <c r="H42" i="6"/>
  <c r="G42" i="6"/>
  <c r="I43" i="6" l="1"/>
  <c r="F43" i="6"/>
  <c r="B44" i="6"/>
  <c r="J43" i="6"/>
  <c r="G43" i="6"/>
  <c r="H43" i="6"/>
  <c r="I44" i="6" l="1"/>
  <c r="F44" i="6"/>
  <c r="B45" i="6"/>
  <c r="J44" i="6"/>
  <c r="G44" i="6"/>
  <c r="H44" i="6"/>
  <c r="I45" i="6" l="1"/>
  <c r="F45" i="6"/>
  <c r="J45" i="6"/>
  <c r="H45" i="6"/>
  <c r="G45" i="6"/>
  <c r="B46" i="6"/>
  <c r="I46" i="6" l="1"/>
  <c r="F46" i="6"/>
  <c r="J46" i="6"/>
  <c r="H46" i="6"/>
  <c r="G46" i="6"/>
  <c r="B47" i="6"/>
  <c r="I47" i="6" l="1"/>
  <c r="F47" i="6"/>
  <c r="J47" i="6"/>
  <c r="G47" i="6"/>
  <c r="H47" i="6"/>
  <c r="B48" i="6"/>
  <c r="I48" i="6" l="1"/>
  <c r="F48" i="6"/>
  <c r="B49" i="6"/>
  <c r="G48" i="6"/>
  <c r="H48" i="6"/>
  <c r="J48" i="6"/>
  <c r="I49" i="6" l="1"/>
  <c r="F49" i="6"/>
  <c r="G49" i="6"/>
  <c r="H49" i="6"/>
  <c r="J49" i="6"/>
  <c r="B50" i="6"/>
  <c r="I50" i="6" l="1"/>
  <c r="F50" i="6"/>
  <c r="B51" i="6"/>
  <c r="J50" i="6"/>
  <c r="G50" i="6"/>
  <c r="H50" i="6"/>
  <c r="I51" i="6" l="1"/>
  <c r="F51" i="6"/>
  <c r="H51" i="6"/>
  <c r="G51" i="6"/>
  <c r="J51" i="6"/>
  <c r="B52" i="6"/>
  <c r="I52" i="6" l="1"/>
  <c r="F52" i="6"/>
  <c r="B53" i="6"/>
  <c r="H52" i="6"/>
  <c r="G52" i="6"/>
  <c r="J52" i="6"/>
  <c r="I53" i="6" l="1"/>
  <c r="F53" i="6"/>
  <c r="B54" i="6"/>
  <c r="J53" i="6"/>
  <c r="H53" i="6"/>
  <c r="G53" i="6"/>
  <c r="I54" i="6" l="1"/>
  <c r="F54" i="6"/>
  <c r="J54" i="6"/>
  <c r="H54" i="6"/>
  <c r="G54" i="6"/>
  <c r="B55" i="6"/>
  <c r="I55" i="6" l="1"/>
  <c r="F55" i="6"/>
  <c r="J55" i="6"/>
  <c r="H55" i="6"/>
  <c r="G55" i="6"/>
  <c r="B56" i="6"/>
  <c r="I56" i="6" l="1"/>
  <c r="F56" i="6"/>
  <c r="B57" i="6"/>
  <c r="J56" i="6"/>
  <c r="G56" i="6"/>
  <c r="H56" i="6"/>
  <c r="I57" i="6" l="1"/>
  <c r="F57" i="6"/>
  <c r="B58" i="6"/>
  <c r="G57" i="6"/>
  <c r="H57" i="6"/>
  <c r="J57" i="6"/>
  <c r="I58" i="6" l="1"/>
  <c r="F58" i="6"/>
  <c r="B59" i="6"/>
  <c r="J58" i="6"/>
  <c r="H58" i="6"/>
  <c r="G58" i="6"/>
  <c r="I59" i="6" l="1"/>
  <c r="F59" i="6"/>
  <c r="B60" i="6"/>
  <c r="H59" i="6"/>
  <c r="J59" i="6"/>
  <c r="G59" i="6"/>
  <c r="I60" i="6" l="1"/>
  <c r="F60" i="6"/>
  <c r="G60" i="6"/>
  <c r="H60" i="6"/>
  <c r="J60" i="6"/>
  <c r="B61" i="6"/>
  <c r="I61" i="6" l="1"/>
  <c r="F61" i="6"/>
  <c r="B62" i="6"/>
  <c r="G61" i="6"/>
  <c r="J61" i="6"/>
  <c r="H61" i="6"/>
  <c r="I62" i="6" l="1"/>
  <c r="F62" i="6"/>
  <c r="H62" i="6"/>
  <c r="J62" i="6"/>
  <c r="G62" i="6"/>
  <c r="B63" i="6"/>
  <c r="I63" i="6" l="1"/>
  <c r="F63" i="6"/>
  <c r="H63" i="6"/>
  <c r="G63" i="6"/>
  <c r="J63" i="6"/>
  <c r="B64" i="6"/>
  <c r="I64" i="6" l="1"/>
  <c r="F64" i="6"/>
  <c r="H64" i="6"/>
  <c r="G64" i="6"/>
  <c r="J64" i="6"/>
  <c r="B65" i="6"/>
  <c r="I65" i="6" l="1"/>
  <c r="F65" i="6"/>
  <c r="H65" i="6"/>
  <c r="J65" i="6"/>
  <c r="G65" i="6"/>
  <c r="B66" i="6"/>
  <c r="I66" i="6" l="1"/>
  <c r="F66" i="6"/>
  <c r="J66" i="6"/>
  <c r="G66" i="6"/>
  <c r="H66" i="6"/>
  <c r="B67" i="6"/>
  <c r="I67" i="6" l="1"/>
  <c r="F67" i="6"/>
  <c r="J67" i="6"/>
  <c r="H67" i="6"/>
  <c r="G67" i="6"/>
  <c r="B68" i="6"/>
  <c r="I68" i="6" l="1"/>
  <c r="F68" i="6"/>
  <c r="G68" i="6"/>
  <c r="H68" i="6"/>
  <c r="J68" i="6"/>
  <c r="B69" i="6"/>
  <c r="I69" i="6" l="1"/>
  <c r="F69" i="6"/>
  <c r="B70" i="6"/>
  <c r="J69" i="6"/>
  <c r="G69" i="6"/>
  <c r="H69" i="6"/>
  <c r="I70" i="6" l="1"/>
  <c r="F70" i="6"/>
  <c r="J70" i="6"/>
  <c r="H70" i="6"/>
  <c r="G70" i="6"/>
  <c r="B71" i="6"/>
  <c r="I71" i="6" l="1"/>
  <c r="F71" i="6"/>
  <c r="B72" i="6"/>
  <c r="J71" i="6"/>
  <c r="G71" i="6"/>
  <c r="H71" i="6"/>
  <c r="I72" i="6" l="1"/>
  <c r="F72" i="6"/>
  <c r="B73" i="6"/>
  <c r="H72" i="6"/>
  <c r="G72" i="6"/>
  <c r="J72" i="6"/>
  <c r="I73" i="6" l="1"/>
  <c r="F73" i="6"/>
  <c r="B74" i="6"/>
  <c r="J73" i="6"/>
  <c r="G73" i="6"/>
  <c r="H73" i="6"/>
  <c r="I74" i="6" l="1"/>
  <c r="F74" i="6"/>
  <c r="B75" i="6"/>
  <c r="J74" i="6"/>
  <c r="H74" i="6"/>
  <c r="G74" i="6"/>
  <c r="I75" i="6" l="1"/>
  <c r="F75" i="6"/>
  <c r="G75" i="6"/>
  <c r="H75" i="6"/>
  <c r="J75" i="6"/>
  <c r="B76" i="6"/>
  <c r="I76" i="6" l="1"/>
  <c r="F76" i="6"/>
  <c r="B77" i="6"/>
  <c r="J76" i="6"/>
  <c r="G76" i="6"/>
  <c r="H76" i="6"/>
  <c r="I77" i="6" l="1"/>
  <c r="F77" i="6"/>
  <c r="G77" i="6"/>
  <c r="H77" i="6"/>
  <c r="J77" i="6"/>
  <c r="B78" i="6"/>
  <c r="I78" i="6" l="1"/>
  <c r="F78" i="6"/>
  <c r="H78" i="6"/>
  <c r="G78" i="6"/>
  <c r="J78" i="6"/>
  <c r="B79" i="6"/>
  <c r="I79" i="6" l="1"/>
  <c r="F79" i="6"/>
  <c r="J79" i="6"/>
  <c r="H79" i="6"/>
  <c r="G79" i="6"/>
  <c r="B80" i="6"/>
  <c r="I80" i="6" l="1"/>
  <c r="F80" i="6"/>
  <c r="H80" i="6"/>
  <c r="G80" i="6"/>
  <c r="J80" i="6"/>
  <c r="B81" i="6"/>
  <c r="I81" i="6" l="1"/>
  <c r="F81" i="6"/>
  <c r="H81" i="6"/>
  <c r="G81" i="6"/>
  <c r="J81" i="6"/>
  <c r="B82" i="6"/>
  <c r="I82" i="6" l="1"/>
  <c r="F82" i="6"/>
  <c r="J82" i="6"/>
  <c r="G82" i="6"/>
  <c r="H82" i="6"/>
  <c r="B83" i="6"/>
  <c r="I83" i="6" l="1"/>
  <c r="F83" i="6"/>
  <c r="G83" i="6"/>
  <c r="H83" i="6"/>
  <c r="J83" i="6"/>
  <c r="B84" i="6"/>
  <c r="I84" i="6" l="1"/>
  <c r="F84" i="6"/>
  <c r="B85" i="6"/>
  <c r="H84" i="6"/>
  <c r="G84" i="6"/>
  <c r="J84" i="6"/>
  <c r="I85" i="6" l="1"/>
  <c r="F85" i="6"/>
  <c r="B86" i="6"/>
  <c r="J85" i="6"/>
  <c r="G85" i="6"/>
  <c r="H85" i="6"/>
  <c r="I86" i="6" l="1"/>
  <c r="F86" i="6"/>
  <c r="H86" i="6"/>
  <c r="G86" i="6"/>
  <c r="J86" i="6"/>
  <c r="B87" i="6"/>
  <c r="I87" i="6" l="1"/>
  <c r="F87" i="6"/>
  <c r="H87" i="6"/>
  <c r="J87" i="6"/>
  <c r="G87" i="6"/>
  <c r="B88" i="6"/>
  <c r="I88" i="6" l="1"/>
  <c r="F88" i="6"/>
  <c r="G88" i="6"/>
  <c r="J88" i="6"/>
  <c r="H88" i="6"/>
  <c r="B89" i="6"/>
  <c r="I89" i="6" l="1"/>
  <c r="F89" i="6"/>
  <c r="B90" i="6"/>
  <c r="H89" i="6"/>
  <c r="J89" i="6"/>
  <c r="G89" i="6"/>
  <c r="I90" i="6" l="1"/>
  <c r="F90" i="6"/>
  <c r="B91" i="6"/>
  <c r="J90" i="6"/>
  <c r="H90" i="6"/>
  <c r="G90" i="6"/>
  <c r="I91" i="6" l="1"/>
  <c r="F91" i="6"/>
  <c r="B93" i="6"/>
  <c r="B92" i="6"/>
  <c r="G91" i="6"/>
  <c r="H91" i="6"/>
  <c r="J91" i="6"/>
  <c r="I92" i="6" l="1"/>
  <c r="F92" i="6"/>
  <c r="I93" i="6"/>
  <c r="F93" i="6"/>
  <c r="G92" i="6"/>
  <c r="H92" i="6"/>
  <c r="J92" i="6"/>
  <c r="J93" i="6"/>
  <c r="G93" i="6"/>
  <c r="H9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<sst xmlns="http://schemas.openxmlformats.org/spreadsheetml/2006/main" count="2852" uniqueCount="951">
  <si>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</si>
  <si>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</si>
  <si>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</si>
  <si>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</si>
  <si>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</si>
  <si>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</si>
  <si>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</si>
  <si>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</si>
  <si>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</si>
  <si>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</si>
  <si>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</si>
  <si>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</si>
  <si>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</si>
  <si>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</si>
  <si>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</si>
  <si>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</si>
  <si>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</si>
  <si>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</si>
  <si>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</si>
  <si>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</si>
  <si>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</si>
  <si>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</si>
  <si>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</si>
  <si>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</si>
  <si>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</si>
  <si>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</si>
  <si>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</si>
  <si>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</si>
  <si>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</si>
  <si>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</si>
  <si>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</si>
  <si>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</si>
  <si>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</si>
  <si>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</si>
  <si>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</si>
  <si>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</si>
  <si>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</si>
  <si>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</si>
  <si>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</si>
  <si>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</si>
  <si>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</si>
  <si>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</si>
  <si>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</si>
  <si>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</si>
  <si>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</si>
  <si>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</si>
  <si>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</si>
  <si>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</si>
  <si>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</si>
  <si>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</si>
  <si>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</si>
  <si>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</si>
  <si>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</si>
  <si>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</si>
  <si>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</si>
  <si>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</si>
  <si>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</si>
  <si>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</si>
  <si>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</si>
  <si>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</si>
  <si>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</si>
  <si>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</si>
  <si>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</si>
  <si>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</si>
  <si>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</si>
  <si>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</si>
  <si>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</si>
  <si>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</si>
  <si>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</si>
  <si>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</si>
  <si>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</si>
  <si>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</si>
  <si>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</si>
  <si>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</si>
  <si>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</si>
  <si>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</si>
  <si>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</si>
  <si>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</si>
  <si>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</si>
  <si>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</si>
  <si>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</si>
  <si>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</si>
  <si>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</si>
  <si>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</si>
  <si>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</si>
  <si>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</si>
  <si>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</si>
  <si>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</si>
  <si>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</si>
  <si>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</si>
  <si>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</si>
  <si>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</si>
  <si>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</si>
  <si>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</si>
  <si>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</si>
  <si>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</si>
  <si>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</si>
  <si>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</si>
  <si>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</si>
  <si>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</si>
  <si>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</si>
  <si>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</si>
  <si>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</si>
  <si>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</si>
  <si>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</si>
  <si>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</si>
  <si>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</si>
  <si>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</si>
  <si>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</si>
  <si>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</si>
  <si>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</si>
  <si>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</si>
  <si>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</si>
  <si>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</si>
  <si>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</si>
  <si>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</si>
  <si>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</si>
  <si>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</si>
  <si>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</si>
  <si>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</si>
  <si>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</si>
  <si>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</si>
  <si>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</si>
  <si>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</si>
  <si>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</si>
  <si>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</si>
  <si>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</si>
  <si>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</si>
  <si>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</si>
  <si>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</si>
  <si>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</si>
  <si>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</si>
  <si>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</si>
  <si>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</si>
  <si>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</si>
  <si>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</si>
  <si>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</si>
  <si>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</si>
  <si>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</si>
  <si>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</si>
  <si>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</si>
  <si>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</si>
  <si>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</si>
  <si>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</si>
  <si>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</si>
  <si>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</si>
  <si>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</si>
  <si>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</si>
  <si>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</si>
  <si>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</si>
  <si>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</si>
  <si>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</si>
  <si>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</si>
  <si>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</si>
  <si>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</si>
  <si>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</si>
  <si>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</si>
  <si>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</si>
  <si>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</si>
  <si>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</si>
  <si>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</si>
  <si>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</si>
  <si>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</si>
  <si>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</si>
  <si>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</si>
  <si>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</si>
  <si>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</si>
  <si>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</si>
  <si>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</si>
  <si>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</si>
  <si>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</si>
  <si>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</si>
  <si>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</si>
  <si>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</si>
  <si>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</si>
  <si>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</si>
  <si>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</si>
  <si>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</si>
  <si>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</si>
  <si>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</si>
  <si>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</si>
  <si>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</si>
  <si>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</si>
  <si>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</si>
  <si>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</si>
  <si>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</si>
  <si>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</si>
  <si>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</si>
  <si>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</si>
  <si>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</si>
  <si>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</si>
  <si>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</si>
  <si>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</si>
  <si>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</si>
  <si>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</si>
  <si>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</si>
  <si>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</si>
  <si>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</si>
  <si>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</si>
  <si>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</si>
  <si>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</si>
  <si>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</si>
  <si>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</si>
  <si>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</si>
  <si>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</si>
  <si>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</si>
  <si>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</si>
  <si>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</si>
  <si>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</si>
  <si>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</si>
  <si>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</si>
  <si>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</si>
  <si>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</si>
  <si>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</si>
  <si>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204:141</t>
  </si>
  <si>
    <t>204:440</t>
  </si>
  <si>
    <t>204:156</t>
  </si>
  <si>
    <t>204:147</t>
  </si>
  <si>
    <t>204:447</t>
  </si>
  <si>
    <t>204:466</t>
  </si>
  <si>
    <t>PERMANENT SPEED RESTRICTION</t>
  </si>
  <si>
    <t>Speed (6)</t>
  </si>
  <si>
    <t>DE.1.0.9.0</t>
  </si>
  <si>
    <t>204:458</t>
  </si>
  <si>
    <t>204:233297</t>
  </si>
  <si>
    <t>204:233299</t>
  </si>
  <si>
    <t>204:233312</t>
  </si>
  <si>
    <t>204:467</t>
  </si>
  <si>
    <t>204:233000</t>
  </si>
  <si>
    <t>204:233295</t>
  </si>
  <si>
    <t>204:232971</t>
  </si>
  <si>
    <t>rtdc.l.rtdc.4020:itc</t>
  </si>
  <si>
    <t>204:469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</si>
  <si>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</si>
  <si>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</si>
  <si>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</si>
  <si>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</si>
  <si>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</si>
  <si>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</si>
  <si>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</si>
  <si>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</si>
  <si>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</si>
  <si>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</si>
  <si>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</si>
  <si>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</si>
  <si>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</si>
  <si>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</si>
  <si>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</si>
  <si>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</si>
  <si>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</si>
  <si>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</si>
  <si>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</si>
  <si>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</si>
  <si>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</si>
  <si>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</si>
  <si>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</si>
  <si>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</si>
  <si>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</si>
  <si>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</si>
  <si>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</si>
  <si>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</si>
  <si>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</si>
  <si>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</si>
  <si>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</si>
  <si>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</si>
  <si>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</si>
  <si>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</si>
  <si>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</si>
  <si>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</si>
  <si>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</si>
  <si>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</si>
  <si>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</si>
  <si>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</si>
  <si>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</si>
  <si>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</si>
  <si>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</si>
  <si>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</si>
  <si>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</si>
  <si>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</si>
  <si>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</si>
  <si>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</si>
  <si>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</si>
  <si>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</si>
  <si>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</si>
  <si>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</si>
  <si>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</si>
  <si>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</si>
  <si>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</si>
  <si>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</si>
  <si>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</si>
  <si>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</si>
  <si>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</si>
  <si>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</si>
  <si>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</si>
  <si>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</si>
  <si>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</si>
  <si>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</si>
  <si>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</si>
  <si>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</si>
  <si>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</si>
  <si>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</si>
  <si>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</si>
  <si>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</si>
  <si>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</si>
  <si>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</si>
  <si>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</si>
  <si>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</si>
  <si>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</si>
  <si>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</si>
  <si>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</si>
  <si>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</si>
  <si>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</si>
  <si>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</si>
  <si>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</si>
  <si>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</si>
  <si>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</si>
  <si>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</si>
  <si>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</si>
  <si>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</si>
  <si>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</si>
  <si>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</si>
  <si>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</si>
  <si>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</si>
  <si>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</si>
  <si>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</si>
  <si>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</si>
  <si>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</si>
  <si>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</si>
  <si>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</si>
  <si>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</si>
  <si>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</si>
  <si>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</si>
  <si>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</si>
  <si>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</si>
  <si>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</si>
  <si>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</si>
  <si>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</si>
  <si>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</si>
  <si>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</si>
  <si>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</si>
  <si>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</si>
  <si>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</si>
  <si>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</si>
  <si>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</si>
  <si>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</si>
  <si>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</si>
  <si>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</si>
  <si>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</si>
  <si>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</si>
  <si>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</si>
  <si>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</si>
  <si>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</si>
  <si>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</si>
  <si>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</si>
  <si>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</si>
  <si>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</si>
  <si>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</si>
  <si>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</si>
  <si>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</si>
  <si>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</si>
  <si>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</si>
  <si>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</si>
  <si>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</si>
  <si>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</si>
  <si>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204:232982</t>
  </si>
  <si>
    <t>rtdc.l.rtdc.4009:itc</t>
  </si>
  <si>
    <t>partly-cloudy-night</t>
  </si>
  <si>
    <t>Partly Cloudy</t>
  </si>
  <si>
    <t>partly-cloudy-day</t>
  </si>
  <si>
    <t>SIGNAL</t>
  </si>
  <si>
    <t>Signal based authority (5)</t>
  </si>
  <si>
    <t>rtdc.l.rtdc.4051:itc</t>
  </si>
  <si>
    <t>Y</t>
  </si>
  <si>
    <t>204:233307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</si>
  <si>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</si>
  <si>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</si>
  <si>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</si>
  <si>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</si>
  <si>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</si>
  <si>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</si>
  <si>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</si>
  <si>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</si>
  <si>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</si>
  <si>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</si>
  <si>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</si>
  <si>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</si>
  <si>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</si>
  <si>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</si>
  <si>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</si>
  <si>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</si>
  <si>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</si>
  <si>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</si>
  <si>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</si>
  <si>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</si>
  <si>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</si>
  <si>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</si>
  <si>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</si>
  <si>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</si>
  <si>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</si>
  <si>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</si>
  <si>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204:233306</t>
  </si>
  <si>
    <t>204:232984</t>
  </si>
  <si>
    <t>204:233293</t>
  </si>
  <si>
    <t>204:233323</t>
  </si>
  <si>
    <t>204:462</t>
  </si>
  <si>
    <t>300:23346</t>
  </si>
  <si>
    <t>204:138</t>
  </si>
  <si>
    <t>rtdc.l.rtdc.4053:itc</t>
  </si>
  <si>
    <t>rtdc.l.rtdc.4054:itc</t>
  </si>
  <si>
    <t>rtdc.l.rtdc.4028:itc</t>
  </si>
  <si>
    <t>rtdc.l.rtdc.4027:itc</t>
  </si>
  <si>
    <t>STAMBAUGH</t>
  </si>
  <si>
    <t>204:232998</t>
  </si>
  <si>
    <t>204:232975</t>
  </si>
  <si>
    <t>300:58939</t>
  </si>
  <si>
    <t>204:232987</t>
  </si>
  <si>
    <t>Onboard in-route failure</t>
  </si>
  <si>
    <t>rtdc.l.rtdc.4010:itc</t>
  </si>
  <si>
    <t>204:471</t>
  </si>
  <si>
    <t>300:23304</t>
  </si>
  <si>
    <t>rtdc.l.rtdc.4032:itc</t>
  </si>
  <si>
    <t>rtdc.l.rtdc.4031:itc</t>
  </si>
  <si>
    <t>LOZA</t>
  </si>
  <si>
    <t>FIDEL</t>
  </si>
  <si>
    <t>rtdc.l.rtdc.4052:itc</t>
  </si>
  <si>
    <t>BADERTSCHER</t>
  </si>
  <si>
    <t>DIANE</t>
  </si>
  <si>
    <t>Clear</t>
  </si>
  <si>
    <t>clear-night</t>
  </si>
  <si>
    <t>204:145</t>
  </si>
  <si>
    <t>204:163</t>
  </si>
  <si>
    <t>rtdc.l.rtdc.4045:itc</t>
  </si>
  <si>
    <t>rtdc.l.rtdc.4046:itc</t>
  </si>
  <si>
    <t>rtdc.l.rtdc.4001:itc</t>
  </si>
  <si>
    <t>GEBRETEKLE</t>
  </si>
  <si>
    <t>DAGNEW</t>
  </si>
  <si>
    <t>JOHN</t>
  </si>
  <si>
    <t>rtdc.l.rtdc.4002:itc</t>
  </si>
  <si>
    <t>HELVIE</t>
  </si>
  <si>
    <t>ADAM</t>
  </si>
  <si>
    <t>DELGADO</t>
  </si>
  <si>
    <t>DIANAH</t>
  </si>
  <si>
    <t>BRUDER</t>
  </si>
  <si>
    <t>RICHARD</t>
  </si>
  <si>
    <t>DE LA ROSA</t>
  </si>
  <si>
    <t>ALEX</t>
  </si>
  <si>
    <t>MENGES</t>
  </si>
  <si>
    <t>BRAD</t>
  </si>
  <si>
    <t>WHITED</t>
  </si>
  <si>
    <t>DUSTIN</t>
  </si>
  <si>
    <t>204:143</t>
  </si>
  <si>
    <t>204:232978</t>
  </si>
  <si>
    <t>204:233304</t>
  </si>
  <si>
    <t>204:233286</t>
  </si>
  <si>
    <t>204:233013</t>
  </si>
  <si>
    <t>204:233308</t>
  </si>
  <si>
    <t>300:58630</t>
  </si>
  <si>
    <t>Early arrival</t>
  </si>
  <si>
    <t>rtdc.l.rtdc.4013:itc</t>
  </si>
  <si>
    <t>rtdc.l.rtdc.4021:itc</t>
  </si>
  <si>
    <t>ROBINSON</t>
  </si>
  <si>
    <t>KADDIBA</t>
  </si>
  <si>
    <t>rtdc.l.rtdc.4022:itc</t>
  </si>
  <si>
    <t>SHOOK</t>
  </si>
  <si>
    <t>SMITH</t>
  </si>
  <si>
    <t>BRANDNER</t>
  </si>
  <si>
    <t>MELINDA</t>
  </si>
  <si>
    <t>rtdc.l.rtdc.4014:itc</t>
  </si>
  <si>
    <t>fog</t>
  </si>
  <si>
    <t>Foggy</t>
  </si>
  <si>
    <t>204:232992</t>
  </si>
  <si>
    <t>204:232979</t>
  </si>
  <si>
    <t>204:446</t>
  </si>
  <si>
    <t>204:743</t>
  </si>
  <si>
    <t>204:444</t>
  </si>
  <si>
    <t>204:233302</t>
  </si>
  <si>
    <t>204:233008</t>
  </si>
  <si>
    <t>204:232994</t>
  </si>
  <si>
    <t>204:232990</t>
  </si>
  <si>
    <t>204:178</t>
  </si>
  <si>
    <t>204:127</t>
  </si>
  <si>
    <t>204:233270</t>
  </si>
  <si>
    <t>204:473</t>
  </si>
  <si>
    <t>204:136</t>
  </si>
  <si>
    <t>204:477</t>
  </si>
  <si>
    <t>300:58935</t>
  </si>
  <si>
    <t>300:58683</t>
  </si>
  <si>
    <t>204:1028</t>
  </si>
  <si>
    <t>300:58677</t>
  </si>
  <si>
    <t>300:58926</t>
  </si>
  <si>
    <t>204:1025</t>
  </si>
  <si>
    <t>300:58626</t>
  </si>
  <si>
    <t>204:967</t>
  </si>
  <si>
    <t>300:58931</t>
  </si>
  <si>
    <t>300:58990</t>
  </si>
  <si>
    <t>204:1020</t>
  </si>
  <si>
    <t>204:675</t>
  </si>
  <si>
    <t>rtdc.l.rtdc.4011:itc</t>
  </si>
  <si>
    <t>rtdc.l.rtdc.4015:itc</t>
  </si>
  <si>
    <t>rtdc.l.rtdc.4044:itc</t>
  </si>
  <si>
    <t>rtdc.l.rtdc.4043:itc</t>
  </si>
  <si>
    <t>rtdc.l.rtdc.4012:itc</t>
  </si>
  <si>
    <t>rtdc.l.rtdc.4023:itc</t>
  </si>
  <si>
    <t>rtdc.l.rtdc.4016:itc</t>
  </si>
  <si>
    <t>STEWART</t>
  </si>
  <si>
    <t>rtdc.l.rtdc.4024:itc</t>
  </si>
  <si>
    <t>ROMERO</t>
  </si>
  <si>
    <t>CHAD</t>
  </si>
  <si>
    <t>LOPES</t>
  </si>
  <si>
    <t>KIMBERLY</t>
  </si>
  <si>
    <t>SAFIEF</t>
  </si>
  <si>
    <t>AEIMEN</t>
  </si>
  <si>
    <t>88-17</t>
  </si>
  <si>
    <t>MAGEE</t>
  </si>
  <si>
    <t>KENYA</t>
  </si>
  <si>
    <t>245-17</t>
  </si>
  <si>
    <t>309-17</t>
  </si>
  <si>
    <t>244-17</t>
  </si>
  <si>
    <t>311-17</t>
  </si>
  <si>
    <t>246-17</t>
  </si>
  <si>
    <t>313-17</t>
  </si>
  <si>
    <t>204:233015</t>
  </si>
  <si>
    <t>204:426</t>
  </si>
  <si>
    <t>204:232961</t>
  </si>
  <si>
    <t>204:233325</t>
  </si>
  <si>
    <t>204:427</t>
  </si>
  <si>
    <t>204:233300</t>
  </si>
  <si>
    <t>204:232985</t>
  </si>
  <si>
    <t>204:172</t>
  </si>
  <si>
    <t>204:233305</t>
  </si>
  <si>
    <t>204:431</t>
  </si>
  <si>
    <t>204:129</t>
  </si>
  <si>
    <t>204:233383</t>
  </si>
  <si>
    <t>204:233278</t>
  </si>
  <si>
    <t>204:232964</t>
  </si>
  <si>
    <t>204:233067</t>
  </si>
  <si>
    <t>204:170</t>
  </si>
  <si>
    <t>204:233076</t>
  </si>
  <si>
    <t>204:233003</t>
  </si>
  <si>
    <t>204:160</t>
  </si>
  <si>
    <t>204:422</t>
  </si>
  <si>
    <t>204:233002</t>
  </si>
  <si>
    <t>204:232946</t>
  </si>
  <si>
    <t>204:233074</t>
  </si>
  <si>
    <t>204:489</t>
  </si>
  <si>
    <t>204:1030</t>
  </si>
  <si>
    <t>204:733</t>
  </si>
  <si>
    <t>204:1023</t>
  </si>
  <si>
    <t>300:58992</t>
  </si>
  <si>
    <t>204:741</t>
  </si>
  <si>
    <t>300:58670</t>
  </si>
  <si>
    <t>300:58675</t>
  </si>
  <si>
    <t>300:58615</t>
  </si>
  <si>
    <t>300:58950</t>
  </si>
  <si>
    <t>300:58933</t>
  </si>
  <si>
    <t>204:107189</t>
  </si>
  <si>
    <t>204:10214</t>
  </si>
  <si>
    <t>204:115914</t>
  </si>
  <si>
    <t>204:64141</t>
  </si>
  <si>
    <t>204:10444</t>
  </si>
  <si>
    <t>204:116240</t>
  </si>
  <si>
    <t>204:740</t>
  </si>
  <si>
    <t>300:58613</t>
  </si>
  <si>
    <t>Form C</t>
  </si>
  <si>
    <t>Overspeed</t>
  </si>
  <si>
    <t>40th 4S STOP</t>
  </si>
  <si>
    <t>102-18</t>
  </si>
  <si>
    <t>123-18</t>
  </si>
  <si>
    <t>116-18</t>
  </si>
  <si>
    <t>122-18</t>
  </si>
  <si>
    <t>154-18</t>
  </si>
  <si>
    <t>167-18</t>
  </si>
  <si>
    <t>172-18</t>
  </si>
  <si>
    <t>181-18</t>
  </si>
  <si>
    <t>187-18</t>
  </si>
  <si>
    <t>rtdc.l.rtdc.4029:itc</t>
  </si>
  <si>
    <t>183-18</t>
  </si>
  <si>
    <t>184-18</t>
  </si>
  <si>
    <t>189-18</t>
  </si>
  <si>
    <t>191-18</t>
  </si>
  <si>
    <t>197-18</t>
  </si>
  <si>
    <t>SWITCH UNKNOWN</t>
  </si>
  <si>
    <t>Track device (7)</t>
  </si>
  <si>
    <t>188-18</t>
  </si>
  <si>
    <t>200-18</t>
  </si>
  <si>
    <t>202-18</t>
  </si>
  <si>
    <t>211-18</t>
  </si>
  <si>
    <t>208-18</t>
  </si>
  <si>
    <t>215-18</t>
  </si>
  <si>
    <t>212-18</t>
  </si>
  <si>
    <t>210-18</t>
  </si>
  <si>
    <t>225-18</t>
  </si>
  <si>
    <t>216-18</t>
  </si>
  <si>
    <t>222-18</t>
  </si>
  <si>
    <t>227-18</t>
  </si>
  <si>
    <t>224-18</t>
  </si>
  <si>
    <t>238-18</t>
  </si>
  <si>
    <t>243-18</t>
  </si>
  <si>
    <t>315-17</t>
  </si>
  <si>
    <t>302-18</t>
  </si>
  <si>
    <t>101-18</t>
  </si>
  <si>
    <t>304-18</t>
  </si>
  <si>
    <t>103-18</t>
  </si>
  <si>
    <t>306-18</t>
  </si>
  <si>
    <t>105-18</t>
  </si>
  <si>
    <t>308-18</t>
  </si>
  <si>
    <t>DAVIS</t>
  </si>
  <si>
    <t>WENDY</t>
  </si>
  <si>
    <t>310-18</t>
  </si>
  <si>
    <t>SANTIZO</t>
  </si>
  <si>
    <t>D. EDY</t>
  </si>
  <si>
    <t>107-18</t>
  </si>
  <si>
    <t>104-18</t>
  </si>
  <si>
    <t>109-18</t>
  </si>
  <si>
    <t>106-18</t>
  </si>
  <si>
    <t>111-18</t>
  </si>
  <si>
    <t>113-18</t>
  </si>
  <si>
    <t>1901-18</t>
  </si>
  <si>
    <t>108-18</t>
  </si>
  <si>
    <t>110-18</t>
  </si>
  <si>
    <t>115-18</t>
  </si>
  <si>
    <t>117-18</t>
  </si>
  <si>
    <t>1800-18</t>
  </si>
  <si>
    <t>112-18</t>
  </si>
  <si>
    <t>119-18</t>
  </si>
  <si>
    <t>MAELZER</t>
  </si>
  <si>
    <t>KURT</t>
  </si>
  <si>
    <t>114-18</t>
  </si>
  <si>
    <t>1801-18</t>
  </si>
  <si>
    <t>121-18</t>
  </si>
  <si>
    <t>118-18</t>
  </si>
  <si>
    <t>1802-18</t>
  </si>
  <si>
    <t>125-18</t>
  </si>
  <si>
    <t>120-18</t>
  </si>
  <si>
    <t>127-18</t>
  </si>
  <si>
    <t>1803-18</t>
  </si>
  <si>
    <t>129-18</t>
  </si>
  <si>
    <t>124-18</t>
  </si>
  <si>
    <t>131-18</t>
  </si>
  <si>
    <t>126-18</t>
  </si>
  <si>
    <t>1804-18</t>
  </si>
  <si>
    <t>133-18</t>
  </si>
  <si>
    <t>135-18</t>
  </si>
  <si>
    <t>128-18</t>
  </si>
  <si>
    <t>1805-18</t>
  </si>
  <si>
    <t>130-18</t>
  </si>
  <si>
    <t>137-18</t>
  </si>
  <si>
    <t>132-18</t>
  </si>
  <si>
    <t>139-18</t>
  </si>
  <si>
    <t>134-18</t>
  </si>
  <si>
    <t>1806-18</t>
  </si>
  <si>
    <t>141-18</t>
  </si>
  <si>
    <t>138-18</t>
  </si>
  <si>
    <t>136-18</t>
  </si>
  <si>
    <t>143-18</t>
  </si>
  <si>
    <t>1807-18</t>
  </si>
  <si>
    <t>145-18</t>
  </si>
  <si>
    <t>140-18</t>
  </si>
  <si>
    <t>147-18</t>
  </si>
  <si>
    <t>142-18</t>
  </si>
  <si>
    <t>1808-18</t>
  </si>
  <si>
    <t>149-18</t>
  </si>
  <si>
    <t>151-18</t>
  </si>
  <si>
    <t>144-18</t>
  </si>
  <si>
    <t>1809-18</t>
  </si>
  <si>
    <t>146-18</t>
  </si>
  <si>
    <t>153-18</t>
  </si>
  <si>
    <t>148-18</t>
  </si>
  <si>
    <t>50-18</t>
  </si>
  <si>
    <t>155-18</t>
  </si>
  <si>
    <t>150-18</t>
  </si>
  <si>
    <t>1810-18</t>
  </si>
  <si>
    <t>152-18</t>
  </si>
  <si>
    <t>157-18</t>
  </si>
  <si>
    <t>159-18</t>
  </si>
  <si>
    <t>1811-18</t>
  </si>
  <si>
    <t>51-18</t>
  </si>
  <si>
    <t>161-18</t>
  </si>
  <si>
    <t>156-18</t>
  </si>
  <si>
    <t>163-18</t>
  </si>
  <si>
    <t>158-18</t>
  </si>
  <si>
    <t>1812-18</t>
  </si>
  <si>
    <t>165-18</t>
  </si>
  <si>
    <t>160-18</t>
  </si>
  <si>
    <t>LEVIN</t>
  </si>
  <si>
    <t>SCOTT</t>
  </si>
  <si>
    <t>1813-18</t>
  </si>
  <si>
    <t>162-18</t>
  </si>
  <si>
    <t>169-18</t>
  </si>
  <si>
    <t>164-18</t>
  </si>
  <si>
    <t>171-18</t>
  </si>
  <si>
    <t>NELSON</t>
  </si>
  <si>
    <t>ARIANE</t>
  </si>
  <si>
    <t>166-18</t>
  </si>
  <si>
    <t>1814-18</t>
  </si>
  <si>
    <t>173-18</t>
  </si>
  <si>
    <t>168-18</t>
  </si>
  <si>
    <t>175-18</t>
  </si>
  <si>
    <t>1815-18</t>
  </si>
  <si>
    <t>170-18</t>
  </si>
  <si>
    <t>177-18</t>
  </si>
  <si>
    <t>179-18</t>
  </si>
  <si>
    <t>1816-18</t>
  </si>
  <si>
    <t>174-18</t>
  </si>
  <si>
    <t>176-18</t>
  </si>
  <si>
    <t>178-18</t>
  </si>
  <si>
    <t>1817-18</t>
  </si>
  <si>
    <t>180-18</t>
  </si>
  <si>
    <t>182-18</t>
  </si>
  <si>
    <t>1818-18</t>
  </si>
  <si>
    <t>193-18</t>
  </si>
  <si>
    <t>1819-18</t>
  </si>
  <si>
    <t>195-18</t>
  </si>
  <si>
    <t>190-18</t>
  </si>
  <si>
    <t>1820-18</t>
  </si>
  <si>
    <t>192-18</t>
  </si>
  <si>
    <t>199-18</t>
  </si>
  <si>
    <t>194-18</t>
  </si>
  <si>
    <t>1821-18</t>
  </si>
  <si>
    <t>201-18</t>
  </si>
  <si>
    <t>196-18</t>
  </si>
  <si>
    <t>203-18</t>
  </si>
  <si>
    <t>198-18</t>
  </si>
  <si>
    <t>1822-18</t>
  </si>
  <si>
    <t>205-18</t>
  </si>
  <si>
    <t>207-18</t>
  </si>
  <si>
    <t>209-18</t>
  </si>
  <si>
    <t>1823-18</t>
  </si>
  <si>
    <t>204-18</t>
  </si>
  <si>
    <t>1824-18</t>
  </si>
  <si>
    <t>206-18</t>
  </si>
  <si>
    <t>70-18</t>
  </si>
  <si>
    <t>75-18</t>
  </si>
  <si>
    <t>213-18</t>
  </si>
  <si>
    <t>217-18</t>
  </si>
  <si>
    <t>1825-18</t>
  </si>
  <si>
    <t>219-18</t>
  </si>
  <si>
    <t>1826-18</t>
  </si>
  <si>
    <t>221-18</t>
  </si>
  <si>
    <t>214-18</t>
  </si>
  <si>
    <t>218-18</t>
  </si>
  <si>
    <t>1827-18</t>
  </si>
  <si>
    <t>223-18</t>
  </si>
  <si>
    <t>220-18</t>
  </si>
  <si>
    <t>1828-18</t>
  </si>
  <si>
    <t>MACDONALD</t>
  </si>
  <si>
    <t>THOMAS</t>
  </si>
  <si>
    <t>1829-18</t>
  </si>
  <si>
    <t>307-18</t>
  </si>
  <si>
    <t>1830-18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</si>
  <si>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</si>
  <si>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</si>
  <si>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</si>
  <si>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</si>
  <si>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</si>
  <si>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</si>
  <si>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</si>
  <si>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</si>
  <si>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</si>
  <si>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</si>
  <si>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</si>
  <si>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</si>
  <si>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</si>
  <si>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</si>
  <si>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</si>
  <si>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</si>
  <si>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</si>
  <si>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</si>
  <si>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</si>
  <si>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</si>
  <si>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</si>
  <si>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</si>
  <si>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</si>
  <si>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</si>
  <si>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</si>
  <si>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204:730</t>
  </si>
  <si>
    <t>204:232656</t>
  </si>
  <si>
    <t>204:770</t>
  </si>
  <si>
    <t>204:233393</t>
  </si>
  <si>
    <t>204:232781</t>
  </si>
  <si>
    <t>204:703</t>
  </si>
  <si>
    <t>204:232660</t>
  </si>
  <si>
    <t>204:233316</t>
  </si>
  <si>
    <t>204:486</t>
  </si>
  <si>
    <t>204:728</t>
  </si>
  <si>
    <t>204:438</t>
  </si>
  <si>
    <t>204:754</t>
  </si>
  <si>
    <t>204:233311</t>
  </si>
  <si>
    <t>204:232986</t>
  </si>
  <si>
    <t>204:449</t>
  </si>
  <si>
    <t>204:232981</t>
  </si>
  <si>
    <t>204:233004</t>
  </si>
  <si>
    <t>204:19121</t>
  </si>
  <si>
    <t>204:233320</t>
  </si>
  <si>
    <t>204:1032</t>
  </si>
  <si>
    <t>204:233010</t>
  </si>
  <si>
    <t>204:233317</t>
  </si>
  <si>
    <t>204:1481</t>
  </si>
  <si>
    <t>204:233303</t>
  </si>
  <si>
    <t>204:189</t>
  </si>
  <si>
    <t>204:233314</t>
  </si>
  <si>
    <t>204:233315</t>
  </si>
  <si>
    <t>204:233309</t>
  </si>
  <si>
    <t>204:478</t>
  </si>
  <si>
    <t>204:233310</t>
  </si>
  <si>
    <t>204:232989</t>
  </si>
  <si>
    <t>204:233368</t>
  </si>
  <si>
    <t>204:233068</t>
  </si>
  <si>
    <t>204:139</t>
  </si>
  <si>
    <t>204:233391</t>
  </si>
  <si>
    <t>204:232973</t>
  </si>
  <si>
    <t>204:233342</t>
  </si>
  <si>
    <t>204:233021</t>
  </si>
  <si>
    <t>204:233336</t>
  </si>
  <si>
    <t>204:233026</t>
  </si>
  <si>
    <t>204:232993</t>
  </si>
  <si>
    <t>204:233339</t>
  </si>
  <si>
    <t>300:58674</t>
  </si>
  <si>
    <t>300:58995</t>
  </si>
  <si>
    <t>204:747</t>
  </si>
  <si>
    <t>300:58993</t>
  </si>
  <si>
    <t>300:58685</t>
  </si>
  <si>
    <t>204:745</t>
  </si>
  <si>
    <t>204:233162</t>
  </si>
  <si>
    <t>300:58681</t>
  </si>
  <si>
    <t>204:727</t>
  </si>
  <si>
    <t>204:1006</t>
  </si>
  <si>
    <t>204:1027</t>
  </si>
  <si>
    <t>300:58999</t>
  </si>
  <si>
    <t>204:761</t>
  </si>
  <si>
    <t>204:1011</t>
  </si>
  <si>
    <t>204:232843</t>
  </si>
  <si>
    <t>204:729</t>
  </si>
  <si>
    <t>300:58943</t>
  </si>
  <si>
    <t>300:58643</t>
  </si>
  <si>
    <t>204:783</t>
  </si>
  <si>
    <t>204:1088</t>
  </si>
  <si>
    <t>204:782</t>
  </si>
  <si>
    <t>204:1058</t>
  </si>
  <si>
    <t>300:58929</t>
  </si>
  <si>
    <t>300:58623</t>
  </si>
  <si>
    <t>204:1044</t>
  </si>
  <si>
    <t>204:233408</t>
  </si>
  <si>
    <t>300:58621</t>
  </si>
  <si>
    <t>204:1034</t>
  </si>
  <si>
    <t>204:822</t>
  </si>
  <si>
    <t>204:1123</t>
  </si>
  <si>
    <t>204:233092</t>
  </si>
  <si>
    <t>204:1169</t>
  </si>
  <si>
    <t>204:497</t>
  </si>
  <si>
    <t>204:233172</t>
  </si>
  <si>
    <t>300:30110</t>
  </si>
  <si>
    <t>300:58971</t>
  </si>
  <si>
    <t>204:233410</t>
  </si>
  <si>
    <t>204:233080</t>
  </si>
  <si>
    <t>204:233362</t>
  </si>
  <si>
    <t>204:233046</t>
  </si>
  <si>
    <t>204:133</t>
  </si>
  <si>
    <t>204:233398</t>
  </si>
  <si>
    <t>204:233070</t>
  </si>
  <si>
    <t>204:233387</t>
  </si>
  <si>
    <t>204:1484</t>
  </si>
  <si>
    <t>204:232996</t>
  </si>
  <si>
    <t>204:233346</t>
  </si>
  <si>
    <t>204:233032</t>
  </si>
  <si>
    <t>204:59051</t>
  </si>
  <si>
    <t>204:59045</t>
  </si>
  <si>
    <t>204:1571</t>
  </si>
  <si>
    <t>204:232980</t>
  </si>
  <si>
    <t>204:64043</t>
  </si>
  <si>
    <t>204:57679</t>
  </si>
  <si>
    <t>204:64716</t>
  </si>
  <si>
    <t>204:59227</t>
  </si>
  <si>
    <t>204:36788</t>
  </si>
  <si>
    <t>204:56060</t>
  </si>
  <si>
    <t>204:64694</t>
  </si>
  <si>
    <t>204:64785</t>
  </si>
  <si>
    <t>204:36767</t>
  </si>
  <si>
    <t>204:913</t>
  </si>
  <si>
    <t>204:64167</t>
  </si>
  <si>
    <t>204:61632</t>
  </si>
  <si>
    <t>204:36810</t>
  </si>
  <si>
    <t>204:1150</t>
  </si>
  <si>
    <t>204:233276</t>
  </si>
  <si>
    <t>204:324</t>
  </si>
  <si>
    <t>204:60275</t>
  </si>
  <si>
    <t>204:36802</t>
  </si>
  <si>
    <t>204:27928</t>
  </si>
  <si>
    <t>204:233291</t>
  </si>
  <si>
    <t>204:657</t>
  </si>
  <si>
    <t>204:233364</t>
  </si>
  <si>
    <t>204:232983</t>
  </si>
  <si>
    <t>204:233065</t>
  </si>
  <si>
    <t>204:37200</t>
  </si>
  <si>
    <t>204:557</t>
  </si>
  <si>
    <t>204:233326</t>
  </si>
  <si>
    <t>204:233009</t>
  </si>
  <si>
    <t>300:21509</t>
  </si>
  <si>
    <t>204:125</t>
  </si>
  <si>
    <t>300:23428</t>
  </si>
  <si>
    <t>204:1238</t>
  </si>
  <si>
    <t>300:23326</t>
  </si>
  <si>
    <t>300:19184</t>
  </si>
  <si>
    <t>204:1156</t>
  </si>
  <si>
    <t>300:22344</t>
  </si>
  <si>
    <t>204:105391</t>
  </si>
  <si>
    <t>204:939</t>
  </si>
  <si>
    <t>204:102805</t>
  </si>
  <si>
    <t>300:23468</t>
  </si>
  <si>
    <t>204:192326</t>
  </si>
  <si>
    <t>204:1679</t>
  </si>
  <si>
    <t>204:154445</t>
  </si>
  <si>
    <t>204:159533</t>
  </si>
  <si>
    <t>204:159523</t>
  </si>
  <si>
    <t>204:192671</t>
  </si>
  <si>
    <t>204:64482</t>
  </si>
  <si>
    <t>204:154446</t>
  </si>
  <si>
    <t>start /low /b %USERPROFILE%\Documents\GitHub\eaglep3\Utilities\DownloadLogsFromS3.py --loco 4014 --day 2017-03-18</t>
  </si>
  <si>
    <t>start /low /b %USERPROFILE%\Documents\GitHub\eaglep3\Utilities\DownloadLogsFromS3.py --loco 4028 --day 2017-03-18</t>
  </si>
  <si>
    <t>start /low /b %USERPROFILE%\Documents\GitHub\eaglep3\Utilities\DownloadLogsFromS3.py --loco 4051 --day 1969-12-31</t>
  </si>
  <si>
    <t>start /low /b %USERPROFILE%\Documents\GitHub\eaglep3\Utilities\DownloadLogsFromS3.py --loco 4010 --day 2017-03-18</t>
  </si>
  <si>
    <t>start /low /b %USERPROFILE%\Documents\GitHub\eaglep3\Utilities\DownloadLogsFromS3.py --loco 4043 --day 2017-03-18</t>
  </si>
  <si>
    <t>start /low /b %USERPROFILE%\Documents\GitHub\eaglep3\Utilities\DownloadLogsFromS3.py --loco 4029 --day 2017-03-18</t>
  </si>
  <si>
    <t>start /low /b %USERPROFILE%\Documents\GitHub\eaglep3\Utilities\DownloadLogsFromS3.py --loco 4030 --day 2017-03-18</t>
  </si>
  <si>
    <t>start /low /b %USERPROFILE%\Documents\GitHub\eaglep3\Utilities\DownloadLogsFromS3.py --loco 4046 --day 2017-03-18</t>
  </si>
  <si>
    <t>start /low /b %USERPROFILE%\Documents\GitHub\eaglep3\Utilities\DownloadLogsFromS3.py --loco 4045 --day 2017-03-18</t>
  </si>
  <si>
    <t>start /low /b %USERPROFILE%\Documents\GitHub\eaglep3\Utilities\DownloadLogsFromS3.py --loco 4023 --day 2017-03-18</t>
  </si>
  <si>
    <t>start /low /b %USERPROFILE%\Documents\GitHub\eaglep3\Utilities\DownloadLogsFromS3.py --loco 4030 --day 2017-03-19</t>
  </si>
  <si>
    <t>start /low /b %USERPROFILE%\Documents\GitHub\eaglep3\Utilities\DownloadLogsFromS3.py --loco 4029 --day 2017-03-19</t>
  </si>
  <si>
    <t>start /low /b %USERPROFILE%\Documents\GitHub\eaglep3\Utilities\DownloadLogsFromS3.py --loco 4044 --day 2017-03-18</t>
  </si>
  <si>
    <t>start /low /b %USERPROFILE%\Documents\GitHub\eaglep3\Utilities\DownloadLogsFromS3.py --loco 4009 --day 2017-03-18</t>
  </si>
  <si>
    <t>start /low /b %USERPROFILE%\Documents\GitHub\eaglep3\Utilities\DownloadLogsFromS3.py --loco 4032 --day 2017-03-19</t>
  </si>
  <si>
    <t>start /low /b %USERPROFILE%\Documents\GitHub\eaglep3\Utilities\DownloadLogsFromS3.py --loco 4010 --day 2017-03-19</t>
  </si>
  <si>
    <t>start /low /b %USERPROFILE%\Documents\GitHub\eaglep3\Utilities\DownloadLogsFromS3.py --loco 4028 --day 2017-03-19</t>
  </si>
  <si>
    <t>start /low /b %USERPROFILE%\Documents\GitHub\eaglep3\Utilities\DownloadLogsFromS3.py --loco 4044 --day 2017-03-19</t>
  </si>
  <si>
    <t>start /low /b %USERPROFILE%\Documents\GitHub\eaglep3\Utilities\DownloadLogsFromS3.py --loco 4046 --day 2017-03-19</t>
  </si>
  <si>
    <t>start /low /b %USERPROFILE%\Documents\GitHub\eaglep3\Utilities\DownloadLogsFromS3.py --loco 4043 --day 2017-03-19</t>
  </si>
  <si>
    <t>start /low /b %USERPROFILE%\Documents\GitHub\eaglep3\Utilities\DownloadLogsFromS3.py --loco 4011 --day 2017-03-19</t>
  </si>
  <si>
    <t>start /low /b %USERPROFILE%\Documents\GitHub\eaglep3\Utilities\DownloadLogsFromS3.py --loco 4045 --day 2017-03-19</t>
  </si>
  <si>
    <t>start /low /b %USERPROFILE%\Documents\GitHub\eaglep3\Utilities\DownloadLogsFromS3.py --loco 4051 --day 2017-03-18</t>
  </si>
  <si>
    <t>start /low /b %USERPROFILE%\Documents\GitHub\eaglep3\Utilities\DownloadLogsFromS3.py --loco 4027 --day 2017-03-18</t>
  </si>
  <si>
    <t>Selected wrong track</t>
  </si>
  <si>
    <t>Cancelled</t>
  </si>
  <si>
    <t>http://stevetu21.github.io/eaglep3/load_kml.html?kml=http://rtdc.gmaps-snips.s3.amazonaws.com/9b35a17b-51c9-4e1e-a89f-838c095782c2.kml</t>
  </si>
  <si>
    <t>Wi-MAX data drop</t>
  </si>
  <si>
    <t>EC0629XH 63-1T 1S STOP</t>
  </si>
  <si>
    <t>EC0690RH (CP SAND CREEK) Signal 2S STOP</t>
  </si>
  <si>
    <t>Stopped too far from Quebec XING to get prompts (improper execution of bulletin)</t>
  </si>
  <si>
    <t>Improper execution of bulletin (many Form C prompts probably confused operator)</t>
  </si>
  <si>
    <t>Arcing issues at Sand Creek Phase Break</t>
  </si>
  <si>
    <t>Arcing issues at Sand Creek Phase Break, PTC commanded brake due to active XING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</si>
</sst>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4"/>
  <sheetViews>
    <sheetView tabSelected="1" workbookViewId="0">
      <selection activeCell="V13" sqref="V13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42812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42812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138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COUNTIFS($N$13:$N$9333,"&gt;0",$AG$13:$AG$9333,I1)</f>
        <v>125</v>
      </c>
      <c r="K5" s="40"/>
      <c r="L5" s="40"/>
      <c r="M5" s="41">
        <f>AVERAGEIFS($N$13:$N$9333,$AG$13:$AG$9333,I1)</f>
        <v>41.575866666873914</v>
      </c>
      <c r="N5" s="39">
        <f t="array" ref="N5">MIN(IF($AG$13:$AG$9333=I1,IF(ISNUMBER($N$13:$N$9333),IF($N$13:$N$9333&gt;0,$N$13:$N$9333))))</f>
        <v>23.016666672192514</v>
      </c>
      <c r="O5" s="3">
        <f t="array" ref="O5">MAX(IF($AG$13:$AG$9333=I1,IF(ISNUMBER($N$13:$N$9333),IF($N$13:$N$9333&gt;0,$N$13:$N$9333))))</f>
        <v>76.83333333581686</v>
      </c>
      <c r="P5" s="2"/>
      <c r="R5" s="74" t="s">
        <v>17</v>
      </c>
      <c r="S5" s="50">
        <f>COUNTIFS($N$13:$N$9333,"&gt;0",$AG$13:$AG$9333,R1)</f>
        <v>34</v>
      </c>
      <c r="T5" s="40"/>
      <c r="U5" s="177"/>
      <c r="V5" s="174">
        <f>AVERAGEIFS($N$13:$N$9333,$AG$13:$AG$9333,R1)</f>
        <v>13.809313726549803</v>
      </c>
      <c r="W5" s="175">
        <f t="array" ref="W5">MIN(IF($AG$13:$AG$9333=R1,IF(ISNUMBER($N$13:$N$9333),IF($N$13:$N$9333&gt;0,$N$13:$N$9333))))</f>
        <v>12.499999998835847</v>
      </c>
      <c r="X5" s="176">
        <f t="array" ref="X5">MAX(IF($AG$13:$AG$9333=R1,IF(ISNUMBER($N$13:$N$9333),IF($N$13:$N$9333&gt;0,$N$13:$N$9333))))</f>
        <v>15.666666672332212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COUNT($O$13:$O$117)</f>
        <v>0</v>
      </c>
      <c r="K6" s="40"/>
      <c r="L6" s="40"/>
      <c r="M6" s="41">
        <f>IFERROR(AVERAGE($O$13:$O$117),0)</f>
        <v>0</v>
      </c>
      <c r="N6" s="39">
        <f>MIN($O$13:$O$117)</f>
        <v>0</v>
      </c>
      <c r="O6" s="3">
        <f>MAX($O$13:$O$117)</f>
        <v>0</v>
      </c>
      <c r="P6" s="2"/>
      <c r="R6" s="75" t="s">
        <v>43</v>
      </c>
      <c r="S6" s="50">
        <f>COUNT($O$13:$O$117)</f>
        <v>0</v>
      </c>
      <c r="T6" s="40"/>
      <c r="U6" s="177"/>
      <c r="V6" s="174">
        <f>IFERROR(AVERAGE($O$13:$O$117),0)</f>
        <v>0</v>
      </c>
      <c r="W6" s="175">
        <f>MIN($O$13:$O$117)</f>
        <v>0</v>
      </c>
      <c r="X6" s="176">
        <f>MAX($O$13:$O$117)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COUNTIFS($P$13:$P$9333,"&gt;0",$AG$13:$AG$9333,I1)</f>
        <v>13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COUNTIFS($P$13:$P$9333,"&gt;0",$AG$13:$AG$9333,R1)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125</v>
      </c>
      <c r="K8" s="40"/>
      <c r="L8" s="40"/>
      <c r="M8" s="41">
        <f>M5</f>
        <v>41.575866666873914</v>
      </c>
      <c r="N8" s="39">
        <f>N5</f>
        <v>23.016666672192514</v>
      </c>
      <c r="O8" s="3">
        <f>O5</f>
        <v>76.83333333581686</v>
      </c>
      <c r="P8" s="2"/>
      <c r="R8" s="74" t="s">
        <v>16</v>
      </c>
      <c r="S8" s="50">
        <f>S5</f>
        <v>34</v>
      </c>
      <c r="T8" s="40"/>
      <c r="U8" s="177"/>
      <c r="V8" s="174">
        <f>V5</f>
        <v>13.809313726549803</v>
      </c>
      <c r="W8" s="175">
        <f>W5</f>
        <v>12.499999998835847</v>
      </c>
      <c r="X8" s="176">
        <f>X5</f>
        <v>15.666666672332212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0.90579710144927539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- 2017-03-18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AVERAGE(S13:S87)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600</v>
      </c>
      <c r="B13" s="7">
        <v>4044</v>
      </c>
      <c r="C13" s="21" t="s">
        <v>222</v>
      </c>
      <c r="D13" s="21" t="s">
        <v>775</v>
      </c>
      <c r="E13" s="13">
        <v>42812.132314814815</v>
      </c>
      <c r="F13" s="13">
        <v>42812.135578703703</v>
      </c>
      <c r="G13" s="7">
        <v>1</v>
      </c>
      <c r="H13" s="21" t="s">
        <v>224</v>
      </c>
      <c r="I13" s="13">
        <v>42812.163472222222</v>
      </c>
      <c r="J13" s="7">
        <v>0</v>
      </c>
      <c r="K13" s="98" t="str">
        <f t="shared" ref="K13:K76" si="0">IF(ISEVEN(B13),(B13-1)&amp;"/"&amp;B13,B13&amp;"/"&amp;(B13+1))</f>
        <v>4043/4044</v>
      </c>
      <c r="L13" s="21" t="str">
        <f>VLOOKUP(A13,'Trips&amp;Operators'!$C$1:$G$99999,5,FALSE)</f>
        <v>BADERTSCHER DIANE</v>
      </c>
      <c r="M13" s="6">
        <f t="shared" ref="M13:M76" si="1">I13-F13</f>
        <v>2.789351851970423E-2</v>
      </c>
      <c r="N13" s="7">
        <f t="shared" ref="N13:N34" si="2">24*60*SUM($M13:$M13)</f>
        <v>40.166666668374091</v>
      </c>
      <c r="O13" s="7"/>
      <c r="P13" s="7"/>
      <c r="Q13" s="22"/>
      <c r="R13" s="22"/>
      <c r="S13" s="31">
        <f t="shared" ref="S13:S35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-18T02:10:32-0600',mode:absolute,to:'2017-03-18T04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44" si="8">RIGHT(D13,LEN(D13)-4)/10000</f>
        <v>7.2999999999999995E-2</v>
      </c>
      <c r="Z13" s="62">
        <f t="shared" ref="Z13:Z44" si="9">RIGHT(H13,LEN(H13)-4)/10000</f>
        <v>23.329699999999999</v>
      </c>
      <c r="AA13" s="62">
        <f t="shared" ref="AA13:AA76" si="10">ABS(Z13-Y13)</f>
        <v>23.256699999999999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0101-18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/stypes="app*4044*20170318*"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4044 --swversion DE.1.0.9.0 --startMP 204:730 --initTime 2017-03-18T03:10:32 --startdatetime 2017-03-18T03:15:14 --delay 1 --endMP 204:233297 --enddatetime 2017-03-18T03:55:24 --enforcementcount 0 &gt;&gt;C:\Users\stu\Documents\GitHub\eaglep3-reporting\EC\2017-03-18-refined-times.txt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{"issue":{"subject":"","project_id":79,"tracker_id":40,"status_id":1,"priority_id":2,"assigned_to_id":23,"start_date":"2017-03-18","description":"","custom_fields":[{"id":1,"name":"Subdivision","value":"EC"},{"id":4,"name":"Milepost","value":"23.3297"},{"id":17,"name":"Train ID","value":"101-18"},{"id":16,"name":"Locomotive ID","value":"4044"},{"id":130,"name":"Impact","value":""},{"id":150,"name":"Time of Event (Mountain Time)","value":"03:55:24"},{"id":151,"name":"Denver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4044 --day 2017-03-18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566</v>
      </c>
      <c r="B14" s="7">
        <v>4030</v>
      </c>
      <c r="C14" s="21" t="s">
        <v>222</v>
      </c>
      <c r="D14" s="21" t="s">
        <v>776</v>
      </c>
      <c r="E14" s="13">
        <v>42812.170324074075</v>
      </c>
      <c r="F14" s="13">
        <v>42812.174571759257</v>
      </c>
      <c r="G14" s="7">
        <v>1</v>
      </c>
      <c r="H14" s="21" t="s">
        <v>184</v>
      </c>
      <c r="I14" s="13">
        <v>42812.203750000001</v>
      </c>
      <c r="J14" s="7">
        <v>0</v>
      </c>
      <c r="K14" s="98" t="str">
        <f t="shared" si="0"/>
        <v>4029/4030</v>
      </c>
      <c r="L14" s="21" t="str">
        <f>VLOOKUP(A14,'Trips&amp;Operators'!$C$1:$G$99999,5,FALSE)</f>
        <v>BADERTSCHER DIANE</v>
      </c>
      <c r="M14" s="6">
        <f t="shared" si="1"/>
        <v>2.9178240743931383E-2</v>
      </c>
      <c r="N14" s="7">
        <f t="shared" si="2"/>
        <v>42.016666671261191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-18T03:05:16-0600',mode:absolute,to:'2017-03-18T05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23.265599999999999</v>
      </c>
      <c r="Z14" s="62">
        <f t="shared" si="9"/>
        <v>1.49E-2</v>
      </c>
      <c r="AA14" s="62">
        <f t="shared" si="10"/>
        <v>23.250699999999998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0102-18</v>
      </c>
      <c r="AE14" s="85" t="str">
        <f t="shared" si="12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14" s="82" t="str">
        <f t="shared" si="13"/>
        <v>"C:\Program Files (x86)\AstroGrep\AstroGrep.exe" /e /r /s /spath="%USERPROFILE%\AppData\Local\Temp\OnboardLogs" /stypes="app*4030*20170318*"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4030 --swversion DE.1.0.9.0 --startMP 204:232656 --initTime 2017-03-18T04:05:16 --startdatetime 2017-03-18T04:11:23 --delay 1 --endMP 204:149 --enddatetime 2017-03-18T04:53:24 --enforcementcount 0 &gt;&gt;C:\Users\stu\Documents\GitHub\eaglep3-reporting\EC\2017-03-18-refined-times.txt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{"issue":{"subject":"","project_id":79,"tracker_id":40,"status_id":1,"priority_id":2,"assigned_to_id":23,"start_date":"2017-03-18","description":"","custom_fields":[{"id":1,"name":"Subdivision","value":"EC"},{"id":4,"name":"Milepost","value":"0.0149"},{"id":17,"name":"Train ID","value":"102-18"},{"id":16,"name":"Locomotive ID","value":"4030"},{"id":130,"name":"Impact","value":""},{"id":150,"name":"Time of Event (Mountain Time)","value":"04:53:24"},{"id":151,"name":"Denver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4030 --day 2017-03-18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602</v>
      </c>
      <c r="B15" s="7">
        <v>4009</v>
      </c>
      <c r="C15" s="21" t="s">
        <v>222</v>
      </c>
      <c r="D15" s="21" t="s">
        <v>777</v>
      </c>
      <c r="E15" s="13">
        <v>42812.151944444442</v>
      </c>
      <c r="F15" s="13">
        <v>42812.156655092593</v>
      </c>
      <c r="G15" s="7">
        <v>1</v>
      </c>
      <c r="H15" s="21" t="s">
        <v>778</v>
      </c>
      <c r="I15" s="13">
        <v>42812.183078703703</v>
      </c>
      <c r="J15" s="7">
        <v>0</v>
      </c>
      <c r="K15" s="98" t="str">
        <f t="shared" si="0"/>
        <v>4009/4010</v>
      </c>
      <c r="L15" s="21" t="str">
        <f>VLOOKUP(A15,'Trips&amp;Operators'!$C$1:$G$99999,5,FALSE)</f>
        <v>ROBINSON KADDIBA</v>
      </c>
      <c r="M15" s="6">
        <f t="shared" si="1"/>
        <v>2.6423611110658385E-2</v>
      </c>
      <c r="N15" s="7">
        <f t="shared" si="2"/>
        <v>38.049999999348074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-18T02:38:48-0600',mode:absolute,to:'2017-03-18T05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7.6999999999999999E-2</v>
      </c>
      <c r="Z15" s="62">
        <f t="shared" si="9"/>
        <v>23.339300000000001</v>
      </c>
      <c r="AA15" s="62">
        <f t="shared" si="10"/>
        <v>23.2623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0103-18</v>
      </c>
      <c r="AE15" s="85" t="str">
        <f t="shared" si="12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15" s="82" t="str">
        <f t="shared" si="13"/>
        <v>"C:\Program Files (x86)\AstroGrep\AstroGrep.exe" /e /r /s /spath="%USERPROFILE%\AppData\Local\Temp\OnboardLogs" /stypes="app*4009*20170318*"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103-18 --locoid 4009 --swversion DE.1.0.9.0 --startMP 204:770 --initTime 2017-03-18T03:38:48 --startdatetime 2017-03-18T03:45:35 --delay 1 --endMP 204:233393 --enddatetime 2017-03-18T04:23:38 --enforcementcount 0 &gt;&gt;C:\Users\stu\Documents\GitHub\eaglep3-reporting\EC\2017-03-18-refined-times.txt</v>
      </c>
      <c r="AI1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{"issue":{"subject":"","project_id":79,"tracker_id":40,"status_id":1,"priority_id":2,"assigned_to_id":23,"start_date":"2017-03-18","description":"","custom_fields":[{"id":1,"name":"Subdivision","value":"EC"},{"id":4,"name":"Milepost","value":"23.3393"},{"id":17,"name":"Train ID","value":"103-18"},{"id":16,"name":"Locomotive ID","value":"4009"},{"id":130,"name":"Impact","value":""},{"id":150,"name":"Time of Event (Mountain Time)","value":"04:23:38"},{"id":151,"name":"Denver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4009 --day 2017-03-18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612</v>
      </c>
      <c r="B16" s="7">
        <v>4052</v>
      </c>
      <c r="C16" s="21" t="s">
        <v>222</v>
      </c>
      <c r="D16" s="21" t="s">
        <v>779</v>
      </c>
      <c r="E16" s="13">
        <v>42812.190601851849</v>
      </c>
      <c r="F16" s="13">
        <v>42812.1953125</v>
      </c>
      <c r="G16" s="7">
        <v>1</v>
      </c>
      <c r="H16" s="21" t="s">
        <v>217</v>
      </c>
      <c r="I16" s="13">
        <v>42812.222905092596</v>
      </c>
      <c r="J16" s="7">
        <v>0</v>
      </c>
      <c r="K16" s="98" t="str">
        <f t="shared" si="0"/>
        <v>4051/4052</v>
      </c>
      <c r="L16" s="21" t="str">
        <f>VLOOKUP(A16,'Trips&amp;Operators'!$C$1:$G$99999,5,FALSE)</f>
        <v>ROBINSON KADDIBA</v>
      </c>
      <c r="M16" s="6">
        <f t="shared" si="1"/>
        <v>2.7592592596192844E-2</v>
      </c>
      <c r="N16" s="7">
        <f t="shared" si="2"/>
        <v>39.733333338517696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-18T03:34:28-0600',mode:absolute,to:'2017-03-18T06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23.278099999999998</v>
      </c>
      <c r="Z16" s="62">
        <f t="shared" si="9"/>
        <v>1.47E-2</v>
      </c>
      <c r="AA16" s="62">
        <f t="shared" si="10"/>
        <v>23.263399999999997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0104-18</v>
      </c>
      <c r="AE16" s="85" t="str">
        <f t="shared" si="12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16" s="82" t="str">
        <f t="shared" si="13"/>
        <v>"C:\Program Files (x86)\AstroGrep\AstroGrep.exe" /e /r /s /spath="%USERPROFILE%\AppData\Local\Temp\OnboardLogs" /stypes="app*4052*20170318*"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104-18 --locoid 4052 --swversion DE.1.0.9.0 --startMP 204:232781 --initTime 2017-03-18T04:34:28 --startdatetime 2017-03-18T04:41:15 --delay 1 --endMP 204:147 --enddatetime 2017-03-18T05:20:59 --enforcementcount 0 &gt;&gt;C:\Users\stu\Documents\GitHub\eaglep3-reporting\EC\2017-03-18-refined-times.txt</v>
      </c>
      <c r="AI1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ID","value":"104-18"},{"id":16,"name":"Locomotive ID","value":"4052"},{"id":130,"name":"Impact","value":""},{"id":150,"name":"Time of Event (Mountain Time)","value":"05:20:59"},{"id":151,"name":"Denver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4052 --day 2017-03-18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604</v>
      </c>
      <c r="B17" s="7">
        <v>4027</v>
      </c>
      <c r="C17" s="21" t="s">
        <v>222</v>
      </c>
      <c r="D17" s="21" t="s">
        <v>780</v>
      </c>
      <c r="E17" s="13">
        <v>42812.169236111113</v>
      </c>
      <c r="F17" s="13">
        <v>42812.177372685182</v>
      </c>
      <c r="G17" s="7">
        <v>1</v>
      </c>
      <c r="H17" s="21" t="s">
        <v>229</v>
      </c>
      <c r="I17" s="13">
        <v>42812.203194444446</v>
      </c>
      <c r="J17" s="7">
        <v>0</v>
      </c>
      <c r="K17" s="98" t="str">
        <f t="shared" si="0"/>
        <v>4027/4028</v>
      </c>
      <c r="L17" s="21" t="str">
        <f>VLOOKUP(A17,'Trips&amp;Operators'!$C$1:$G$99999,5,FALSE)</f>
        <v>DE LA ROSA ALEX</v>
      </c>
      <c r="M17" s="6">
        <f t="shared" si="1"/>
        <v>2.5821759263635613E-2</v>
      </c>
      <c r="N17" s="7">
        <f t="shared" si="2"/>
        <v>37.183333339635283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-18T03:03:42-0600',mode:absolute,to:'2017-03-18T05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7.0300000000000001E-2</v>
      </c>
      <c r="Z17" s="62">
        <f t="shared" si="9"/>
        <v>23.329499999999999</v>
      </c>
      <c r="AA17" s="62">
        <f t="shared" si="10"/>
        <v>23.2592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0105-18</v>
      </c>
      <c r="AE17" s="85" t="str">
        <f t="shared" si="12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17" s="82" t="str">
        <f t="shared" si="13"/>
        <v>"C:\Program Files (x86)\AstroGrep\AstroGrep.exe" /e /r /s /spath="%USERPROFILE%\AppData\Local\Temp\OnboardLogs" /stypes="app*4027*20170318*"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105-18 --locoid 4027 --swversion DE.1.0.9.0 --startMP 204:703 --initTime 2017-03-18T04:03:42 --startdatetime 2017-03-18T04:15:25 --delay 1 --endMP 204:233295 --enddatetime 2017-03-18T04:52:36 --enforcementcount 0 &gt;&gt;C:\Users\stu\Documents\GitHub\eaglep3-reporting\EC\2017-03-18-refined-times.txt</v>
      </c>
      <c r="AI1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{"issue":{"subject":"","project_id":79,"tracker_id":40,"status_id":1,"priority_id":2,"assigned_to_id":23,"start_date":"2017-03-18","description":"","custom_fields":[{"id":1,"name":"Subdivision","value":"EC"},{"id":4,"name":"Milepost","value":"23.3295"},{"id":17,"name":"Train ID","value":"105-18"},{"id":16,"name":"Locomotive ID","value":"4027"},{"id":130,"name":"Impact","value":""},{"id":150,"name":"Time of Event (Mountain Time)","value":"04:52:36"},{"id":151,"name":"Denver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4027 --day 2017-03-18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614</v>
      </c>
      <c r="B18" s="7">
        <v>4032</v>
      </c>
      <c r="C18" s="21" t="s">
        <v>222</v>
      </c>
      <c r="D18" s="21" t="s">
        <v>781</v>
      </c>
      <c r="E18" s="13">
        <v>42812.210370370369</v>
      </c>
      <c r="F18" s="13">
        <v>42812.216331018521</v>
      </c>
      <c r="G18" s="7">
        <v>1</v>
      </c>
      <c r="H18" s="21" t="s">
        <v>205</v>
      </c>
      <c r="I18" s="13">
        <v>42812.243530092594</v>
      </c>
      <c r="J18" s="7">
        <v>0</v>
      </c>
      <c r="K18" s="98" t="str">
        <f t="shared" si="0"/>
        <v>4031/4032</v>
      </c>
      <c r="L18" s="21" t="str">
        <f>VLOOKUP(A18,'Trips&amp;Operators'!$C$1:$G$99999,5,FALSE)</f>
        <v>DE LA ROSA ALEX</v>
      </c>
      <c r="M18" s="6">
        <f t="shared" si="1"/>
        <v>2.7199074072996154E-2</v>
      </c>
      <c r="N18" s="7">
        <f t="shared" si="2"/>
        <v>39.166666665114462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-18T04:02:56-0600',mode:absolute,to:'2017-03-18T06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23.265999999999998</v>
      </c>
      <c r="Z18" s="62">
        <f t="shared" si="9"/>
        <v>1.54E-2</v>
      </c>
      <c r="AA18" s="62">
        <f t="shared" si="10"/>
        <v>23.250599999999999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0106-18</v>
      </c>
      <c r="AE18" s="85" t="str">
        <f t="shared" si="12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18" s="82" t="str">
        <f t="shared" si="13"/>
        <v>"C:\Program Files (x86)\AstroGrep\AstroGrep.exe" /e /r /s /spath="%USERPROFILE%\AppData\Local\Temp\OnboardLogs" /stypes="app*4032*20170318*"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106-18 --locoid 4032 --swversion DE.1.0.9.0 --startMP 204:232660 --initTime 2017-03-18T05:02:56 --startdatetime 2017-03-18T05:11:31 --delay 1 --endMP 204:154 --enddatetime 2017-03-18T05:50:41 --enforcementcount 0 &gt;&gt;C:\Users\stu\Documents\GitHub\eaglep3-reporting\EC\2017-03-18-refined-times.txt</v>
      </c>
      <c r="AI1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ID","value":"106-18"},{"id":16,"name":"Locomotive ID","value":"4032"},{"id":130,"name":"Impact","value":""},{"id":150,"name":"Time of Event (Mountain Time)","value":"05:50:41"},{"id":151,"name":"Denver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4032 --day 2017-03-18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611</v>
      </c>
      <c r="B19" s="7">
        <v>4024</v>
      </c>
      <c r="C19" s="21" t="s">
        <v>222</v>
      </c>
      <c r="D19" s="21" t="s">
        <v>213</v>
      </c>
      <c r="E19" s="13">
        <v>42812.184421296297</v>
      </c>
      <c r="F19" s="13">
        <v>42812.187673611108</v>
      </c>
      <c r="G19" s="7">
        <v>1</v>
      </c>
      <c r="H19" s="21" t="s">
        <v>782</v>
      </c>
      <c r="I19" s="13">
        <v>42812.213576388887</v>
      </c>
      <c r="J19" s="7">
        <v>0</v>
      </c>
      <c r="K19" s="98" t="str">
        <f t="shared" si="0"/>
        <v>4023/4024</v>
      </c>
      <c r="L19" s="21" t="str">
        <f>VLOOKUP(A19,'Trips&amp;Operators'!$C$1:$G$99999,5,FALSE)</f>
        <v>DAVIS WENDY</v>
      </c>
      <c r="M19" s="6">
        <f t="shared" si="1"/>
        <v>2.5902777779265307E-2</v>
      </c>
      <c r="N19" s="7">
        <f t="shared" si="2"/>
        <v>37.300000002142042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-18T03:25:34-0600',mode:absolute,to:'2017-03-18T06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4.5499999999999999E-2</v>
      </c>
      <c r="Z19" s="62">
        <f t="shared" si="9"/>
        <v>23.331600000000002</v>
      </c>
      <c r="AA19" s="62">
        <f t="shared" si="10"/>
        <v>23.286100000000001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0107-18</v>
      </c>
      <c r="AE19" s="85" t="str">
        <f t="shared" si="12"/>
        <v>aws s3 cp s3://rtdc.mdm.uploadarchive.raw/RTDC4024/ "%USERPROFILE%\AppData\Local\Temp\OnboardLogs"\RTDC4024\2017-03-18 --exclude "*" --recursive --include "*20170318*" &amp; "%USERPROFILE%\Documents\GitHub\mrs-test-scripts\Headless Mode &amp; Sideloading\WalkAndUnGZ.bat" "%USERPROFILE%\AppData\Local\Temp\OnboardLogs"\RTDC4024\2017-03-18 &amp; aws s3 cp s3://rtdc.mdm.uploadarchive.raw/RTDC4024/ "%USERPROFILE%\AppData\Local\Temp\OnboardLogs"\RTDC4024\2017-03-19 --exclude "*" --recursive --include "*20170319*" &amp; "%USERPROFILE%\Documents\GitHub\mrs-test-scripts\Headless Mode &amp; Sideloading\WalkAndUnGZ.bat" "%USERPROFILE%\AppData\Local\Temp\OnboardLogs"\RTDC4024\2017-03-19</v>
      </c>
      <c r="AF19" s="82" t="str">
        <f t="shared" si="13"/>
        <v>"C:\Program Files (x86)\AstroGrep\AstroGrep.exe" /e /r /s /spath="%USERPROFILE%\AppData\Local\Temp\OnboardLogs" /stypes="app*4024*20170318*"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107-18 --locoid 4024 --swversion DE.1.0.9.0 --startMP 204:455 --initTime 2017-03-18T04:25:34 --startdatetime 2017-03-18T04:30:15 --delay 1 --endMP 204:233316 --enddatetime 2017-03-18T05:07:33 --enforcementcount 0 &gt;&gt;C:\Users\stu\Documents\GitHub\eaglep3-reporting\EC\2017-03-18-refined-times.txt</v>
      </c>
      <c r="AI1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{"issue":{"subject":"","project_id":79,"tracker_id":40,"status_id":1,"priority_id":2,"assigned_to_id":23,"start_date":"2017-03-18","description":"","custom_fields":[{"id":1,"name":"Subdivision","value":"EC"},{"id":4,"name":"Milepost","value":"23.3316"},{"id":17,"name":"Train ID","value":"107-18"},{"id":16,"name":"Locomotive ID","value":"4024"},{"id":130,"name":"Impact","value":""},{"id":150,"name":"Time of Event (Mountain Time)","value":"05:07:33"},{"id":151,"name":"Denver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4024 --day 2017-03-18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"%USERPROFILE%\AppData\Local\Temp\OnboardLogs"\RTDC4024\*4024*20170318* | grep -SE "(Enforcement Action)|(\[TIMEOUT)|(CHR.+\|PRM\|1\|D.+(SWITCH|SIGNAL).+UNKNOWN)" - &gt;&gt; 2017-03-18-UncaughtWiMAX.txt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618</v>
      </c>
      <c r="B20" s="7">
        <v>4023</v>
      </c>
      <c r="C20" s="21" t="s">
        <v>222</v>
      </c>
      <c r="D20" s="21" t="s">
        <v>477</v>
      </c>
      <c r="E20" s="13">
        <v>42812.223414351851</v>
      </c>
      <c r="F20" s="13">
        <v>42812.226550925923</v>
      </c>
      <c r="G20" s="7">
        <v>1</v>
      </c>
      <c r="H20" s="21" t="s">
        <v>216</v>
      </c>
      <c r="I20" s="13">
        <v>42812.25577546296</v>
      </c>
      <c r="J20" s="7">
        <v>0</v>
      </c>
      <c r="K20" s="98" t="str">
        <f t="shared" si="0"/>
        <v>4023/4024</v>
      </c>
      <c r="L20" s="21" t="str">
        <f>VLOOKUP(A20,'Trips&amp;Operators'!$C$1:$G$99999,5,FALSE)</f>
        <v>DAVIS WENDY</v>
      </c>
      <c r="M20" s="6">
        <f t="shared" si="1"/>
        <v>2.9224537036498077E-2</v>
      </c>
      <c r="N20" s="7">
        <f t="shared" si="2"/>
        <v>42.083333332557231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-18T04:21:43-0600',mode:absolute,to:'2017-03-18T07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23.299399999999999</v>
      </c>
      <c r="Z20" s="62">
        <f t="shared" si="9"/>
        <v>1.5599999999999999E-2</v>
      </c>
      <c r="AA20" s="62">
        <f t="shared" si="10"/>
        <v>23.283799999999999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0108-18</v>
      </c>
      <c r="AE20" s="85" t="str">
        <f t="shared" si="12"/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AF20" s="82" t="str">
        <f t="shared" si="13"/>
        <v>"C:\Program Files (x86)\AstroGrep\AstroGrep.exe" /e /r /s /spath="%USERPROFILE%\AppData\Local\Temp\OnboardLogs" /stypes="app*4023*20170318*"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108-18 --locoid 4023 --swversion DE.1.0.9.0 --startMP 204:232994 --initTime 2017-03-18T05:21:43 --startdatetime 2017-03-18T05:26:14 --delay 1 --endMP 204:156 --enddatetime 2017-03-18T06:08:19 --enforcementcount 0 &gt;&gt;C:\Users\stu\Documents\GitHub\eaglep3-reporting\EC\2017-03-18-refined-times.txt</v>
      </c>
      <c r="AI2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{"issue":{"subject":"","project_id":79,"tracker_id":40,"status_id":1,"priority_id":2,"assigned_to_id":23,"start_date":"2017-03-18","description":"","custom_fields":[{"id":1,"name":"Subdivision","value":"EC"},{"id":4,"name":"Milepost","value":"0.0156"},{"id":17,"name":"Train ID","value":"108-18"},{"id":16,"name":"Locomotive ID","value":"4023"},{"id":130,"name":"Impact","value":""},{"id":150,"name":"Time of Event (Mountain Time)","value":"06:08:19"},{"id":151,"name":"Denver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4023 --day 2017-03-18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"%USERPROFILE%\AppData\Local\Temp\OnboardLogs"\RTDC4023\*4023*20170318* | grep -SE "(Enforcement Action)|(\[TIMEOUT)|(CHR.+\|PRM\|1\|D.+(SWITCH|SIGNAL).+UNKNOWN)" - &gt;&gt; 2017-03-18-UncaughtWiMAX.txt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613</v>
      </c>
      <c r="B21" s="7">
        <v>4014</v>
      </c>
      <c r="C21" s="21" t="s">
        <v>222</v>
      </c>
      <c r="D21" s="21" t="s">
        <v>783</v>
      </c>
      <c r="E21" s="13">
        <v>42812.193287037036</v>
      </c>
      <c r="F21" s="13">
        <v>42812.198217592595</v>
      </c>
      <c r="G21" s="7">
        <v>1</v>
      </c>
      <c r="H21" s="21" t="s">
        <v>526</v>
      </c>
      <c r="I21" s="13">
        <v>42812.223333333335</v>
      </c>
      <c r="J21" s="7">
        <v>0</v>
      </c>
      <c r="K21" s="98" t="str">
        <f t="shared" si="0"/>
        <v>4013/4014</v>
      </c>
      <c r="L21" s="21" t="str">
        <f>VLOOKUP(A21,'Trips&amp;Operators'!$C$1:$G$99999,5,FALSE)</f>
        <v>SANTIZO D. EDY</v>
      </c>
      <c r="M21" s="6">
        <f t="shared" si="1"/>
        <v>2.5115740740147885E-2</v>
      </c>
      <c r="N21" s="7">
        <f t="shared" si="2"/>
        <v>36.166666665812954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-18T03:38:20-0600',mode:absolute,to:'2017-03-18T06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4.8599999999999997E-2</v>
      </c>
      <c r="Z21" s="62">
        <f t="shared" si="9"/>
        <v>23.33</v>
      </c>
      <c r="AA21" s="62">
        <f t="shared" si="10"/>
        <v>23.281399999999998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0109-18</v>
      </c>
      <c r="AE21" s="85" t="str">
        <f t="shared" si="12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21" s="82" t="str">
        <f t="shared" si="13"/>
        <v>"C:\Program Files (x86)\AstroGrep\AstroGrep.exe" /e /r /s /spath="%USERPROFILE%\AppData\Local\Temp\OnboardLogs" /stypes="app*4014*20170318*"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109-18 --locoid 4014 --swversion DE.1.0.9.0 --startMP 204:486 --initTime 2017-03-18T04:38:20 --startdatetime 2017-03-18T04:45:26 --delay 1 --endMP 204:233300 --enddatetime 2017-03-18T05:21:36 --enforcementcount 0 &gt;&gt;C:\Users\stu\Documents\GitHub\eaglep3-reporting\EC\2017-03-18-refined-times.txt</v>
      </c>
      <c r="AI2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{"issue":{"subject":"","project_id":79,"tracker_id":40,"status_id":1,"priority_id":2,"assigned_to_id":23,"start_date":"2017-03-18","description":"","custom_fields":[{"id":1,"name":"Subdivision","value":"EC"},{"id":4,"name":"Milepost","value":"23.33"},{"id":17,"name":"Train ID","value":"109-18"},{"id":16,"name":"Locomotive ID","value":"4014"},{"id":130,"name":"Impact","value":""},{"id":150,"name":"Time of Event (Mountain Time)","value":"05:21:36"},{"id":151,"name":"Denver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4014 --day 2017-03-18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619</v>
      </c>
      <c r="B22" s="7">
        <v>4013</v>
      </c>
      <c r="C22" s="21" t="s">
        <v>222</v>
      </c>
      <c r="D22" s="21" t="s">
        <v>415</v>
      </c>
      <c r="E22" s="13">
        <v>42812.224999999999</v>
      </c>
      <c r="F22" s="13">
        <v>42812.23715277778</v>
      </c>
      <c r="G22" s="7">
        <v>1</v>
      </c>
      <c r="H22" s="21" t="s">
        <v>536</v>
      </c>
      <c r="I22" s="13">
        <v>42812.264606481483</v>
      </c>
      <c r="J22" s="7">
        <v>0</v>
      </c>
      <c r="K22" s="98" t="str">
        <f t="shared" si="0"/>
        <v>4013/4014</v>
      </c>
      <c r="L22" s="21" t="str">
        <f>VLOOKUP(A22,'Trips&amp;Operators'!$C$1:$G$99999,5,FALSE)</f>
        <v>SANTIZO D. EDY</v>
      </c>
      <c r="M22" s="6">
        <f t="shared" si="1"/>
        <v>2.7453703703940846E-2</v>
      </c>
      <c r="N22" s="7">
        <f t="shared" si="2"/>
        <v>39.533333333674818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-18T04:24:00-0600',mode:absolute,to:'2017-03-18T07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23.2987</v>
      </c>
      <c r="Z22" s="62">
        <f t="shared" si="9"/>
        <v>1.7000000000000001E-2</v>
      </c>
      <c r="AA22" s="62">
        <f t="shared" si="10"/>
        <v>23.281700000000001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0110-18</v>
      </c>
      <c r="AE22" s="85" t="str">
        <f t="shared" si="12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22" s="82" t="str">
        <f t="shared" si="13"/>
        <v>"C:\Program Files (x86)\AstroGrep\AstroGrep.exe" /e /r /s /spath="%USERPROFILE%\AppData\Local\Temp\OnboardLogs" /stypes="app*4013*20170318*"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110-18 --locoid 4013 --swversion DE.1.0.9.0 --startMP 204:232987 --initTime 2017-03-18T05:24:00 --startdatetime 2017-03-18T05:41:30 --delay 1 --endMP 204:170 --enddatetime 2017-03-18T06:21:02 --enforcementcount 0 &gt;&gt;C:\Users\stu\Documents\GitHub\eaglep3-reporting\EC\2017-03-18-refined-times.txt</v>
      </c>
      <c r="AI2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{"issue":{"subject":"","project_id":79,"tracker_id":40,"status_id":1,"priority_id":2,"assigned_to_id":23,"start_date":"2017-03-18","description":"","custom_fields":[{"id":1,"name":"Subdivision","value":"EC"},{"id":4,"name":"Milepost","value":"0.017"},{"id":17,"name":"Train ID","value":"110-18"},{"id":16,"name":"Locomotive ID","value":"4013"},{"id":130,"name":"Impact","value":""},{"id":150,"name":"Time of Event (Mountain Time)","value":"06:21:02"},{"id":151,"name":"Denver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4013 --day 2017-03-18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615</v>
      </c>
      <c r="B23" s="7">
        <v>4044</v>
      </c>
      <c r="C23" s="21" t="s">
        <v>222</v>
      </c>
      <c r="D23" s="21" t="s">
        <v>784</v>
      </c>
      <c r="E23" s="13">
        <v>42812.207766203705</v>
      </c>
      <c r="F23" s="13">
        <v>42812.209988425922</v>
      </c>
      <c r="G23" s="7">
        <v>1</v>
      </c>
      <c r="H23" s="21" t="s">
        <v>226</v>
      </c>
      <c r="I23" s="13">
        <v>42812.234884259262</v>
      </c>
      <c r="J23" s="7">
        <v>0</v>
      </c>
      <c r="K23" s="98" t="str">
        <f t="shared" si="0"/>
        <v>4043/4044</v>
      </c>
      <c r="L23" s="21" t="str">
        <f>VLOOKUP(A23,'Trips&amp;Operators'!$C$1:$G$99999,5,FALSE)</f>
        <v>LOZA FIDEL</v>
      </c>
      <c r="M23" s="6">
        <f t="shared" si="1"/>
        <v>2.489583333954215E-2</v>
      </c>
      <c r="N23" s="7">
        <f t="shared" si="2"/>
        <v>35.850000008940697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-18T03:59:11-0600',mode:absolute,to:'2017-03-18T06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7.2800000000000004E-2</v>
      </c>
      <c r="Z23" s="62">
        <f t="shared" si="9"/>
        <v>23.331199999999999</v>
      </c>
      <c r="AA23" s="62">
        <f t="shared" si="10"/>
        <v>23.258399999999998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0111-18</v>
      </c>
      <c r="AE23" s="85" t="str">
        <f t="shared" si="12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23" s="82" t="str">
        <f t="shared" si="13"/>
        <v>"C:\Program Files (x86)\AstroGrep\AstroGrep.exe" /e /r /s /spath="%USERPROFILE%\AppData\Local\Temp\OnboardLogs" /stypes="app*4044*20170318*"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111-18 --locoid 4044 --swversion DE.1.0.9.0 --startMP 204:728 --initTime 2017-03-18T04:59:11 --startdatetime 2017-03-18T05:02:23 --delay 1 --endMP 204:233312 --enddatetime 2017-03-18T05:38:14 --enforcementcount 0 &gt;&gt;C:\Users\stu\Documents\GitHub\eaglep3-reporting\EC\2017-03-18-refined-times.txt</v>
      </c>
      <c r="AI2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{"issue":{"subject":"","project_id":79,"tracker_id":40,"status_id":1,"priority_id":2,"assigned_to_id":23,"start_date":"2017-03-18","description":"","custom_fields":[{"id":1,"name":"Subdivision","value":"EC"},{"id":4,"name":"Milepost","value":"23.3312"},{"id":17,"name":"Train ID","value":"111-18"},{"id":16,"name":"Locomotive ID","value":"4044"},{"id":130,"name":"Impact","value":""},{"id":150,"name":"Time of Event (Mountain Time)","value":"05:38:14"},{"id":151,"name":"Denver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4044 --day 2017-03-18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623</v>
      </c>
      <c r="B24" s="7">
        <v>4043</v>
      </c>
      <c r="C24" s="21" t="s">
        <v>222</v>
      </c>
      <c r="D24" s="21" t="s">
        <v>478</v>
      </c>
      <c r="E24" s="13">
        <v>42812.24590277778</v>
      </c>
      <c r="F24" s="13">
        <v>42812.247743055559</v>
      </c>
      <c r="G24" s="7">
        <v>1</v>
      </c>
      <c r="H24" s="21" t="s">
        <v>205</v>
      </c>
      <c r="I24" s="13">
        <v>42812.273981481485</v>
      </c>
      <c r="J24" s="7">
        <v>0</v>
      </c>
      <c r="K24" s="98" t="str">
        <f t="shared" si="0"/>
        <v>4043/4044</v>
      </c>
      <c r="L24" s="21" t="str">
        <f>VLOOKUP(A24,'Trips&amp;Operators'!$C$1:$G$99999,5,FALSE)</f>
        <v>LOZA FIDEL</v>
      </c>
      <c r="M24" s="6">
        <f t="shared" si="1"/>
        <v>2.6238425925839692E-2</v>
      </c>
      <c r="N24" s="7">
        <f t="shared" si="2"/>
        <v>37.783333333209157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-18T04:54:06-0600',mode:absolute,to:'2017-03-18T07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23.298999999999999</v>
      </c>
      <c r="Z24" s="62">
        <f t="shared" si="9"/>
        <v>1.54E-2</v>
      </c>
      <c r="AA24" s="62">
        <f t="shared" si="10"/>
        <v>23.2836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0112-18</v>
      </c>
      <c r="AE24" s="85" t="str">
        <f t="shared" si="12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24" s="82" t="str">
        <f t="shared" si="13"/>
        <v>"C:\Program Files (x86)\AstroGrep\AstroGrep.exe" /e /r /s /spath="%USERPROFILE%\AppData\Local\Temp\OnboardLogs" /stypes="app*4043*20170318*"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112-18 --locoid 4043 --swversion DE.1.0.9.0 --startMP 204:232990 --initTime 2017-03-18T05:54:06 --startdatetime 2017-03-18T05:56:45 --delay 1 --endMP 204:154 --enddatetime 2017-03-18T06:34:32 --enforcementcount 0 &gt;&gt;C:\Users\stu\Documents\GitHub\eaglep3-reporting\EC\2017-03-18-refined-times.txt</v>
      </c>
      <c r="AI2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ID","value":"112-18"},{"id":16,"name":"Locomotive ID","value":"4043"},{"id":130,"name":"Impact","value":""},{"id":150,"name":"Time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4043 --day 2017-03-18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616</v>
      </c>
      <c r="B25" s="7">
        <v>4029</v>
      </c>
      <c r="C25" s="21" t="s">
        <v>222</v>
      </c>
      <c r="D25" s="21" t="s">
        <v>785</v>
      </c>
      <c r="E25" s="13">
        <v>42812.213009259256</v>
      </c>
      <c r="F25" s="13">
        <v>42812.218912037039</v>
      </c>
      <c r="G25" s="7">
        <v>1</v>
      </c>
      <c r="H25" s="21" t="s">
        <v>533</v>
      </c>
      <c r="I25" s="13">
        <v>42812.245671296296</v>
      </c>
      <c r="J25" s="7">
        <v>0</v>
      </c>
      <c r="K25" s="98" t="str">
        <f t="shared" si="0"/>
        <v>4029/4030</v>
      </c>
      <c r="L25" s="21" t="str">
        <f>VLOOKUP(A25,'Trips&amp;Operators'!$C$1:$G$99999,5,FALSE)</f>
        <v>BADERTSCHER DIANE</v>
      </c>
      <c r="M25" s="6">
        <f t="shared" si="1"/>
        <v>2.675925925723277E-2</v>
      </c>
      <c r="N25" s="7">
        <f t="shared" si="2"/>
        <v>38.533333330415189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-18T04:06:44-0600',mode:absolute,to:'2017-03-18T06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4.3799999999999999E-2</v>
      </c>
      <c r="Z25" s="62">
        <f t="shared" si="9"/>
        <v>23.3278</v>
      </c>
      <c r="AA25" s="62">
        <f t="shared" si="10"/>
        <v>23.283999999999999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0113-18</v>
      </c>
      <c r="AE25" s="85" t="str">
        <f t="shared" si="12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25" s="82" t="str">
        <f t="shared" si="13"/>
        <v>"C:\Program Files (x86)\AstroGrep\AstroGrep.exe" /e /r /s /spath="%USERPROFILE%\AppData\Local\Temp\OnboardLogs" /stypes="app*4029*20170318*"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113-18 --locoid 4029 --swversion DE.1.0.9.0 --startMP 204:438 --initTime 2017-03-18T05:06:44 --startdatetime 2017-03-18T05:15:14 --delay 1 --endMP 204:233278 --enddatetime 2017-03-18T05:53:46 --enforcementcount 0 &gt;&gt;C:\Users\stu\Documents\GitHub\eaglep3-reporting\EC\2017-03-18-refined-times.txt</v>
      </c>
      <c r="AI2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{"issue":{"subject":"","project_id":79,"tracker_id":40,"status_id":1,"priority_id":2,"assigned_to_id":23,"start_date":"2017-03-18","description":"","custom_fields":[{"id":1,"name":"Subdivision","value":"EC"},{"id":4,"name":"Milepost","value":"23.3278"},{"id":17,"name":"Train ID","value":"113-18"},{"id":16,"name":"Locomotive ID","value":"4029"},{"id":130,"name":"Impact","value":""},{"id":150,"name":"Time of Event (Mountain Time)","value":"05:53:46"},{"id":151,"name":"Denver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4029 --day 2017-03-18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627</v>
      </c>
      <c r="B26" s="7">
        <v>4030</v>
      </c>
      <c r="C26" s="21" t="s">
        <v>222</v>
      </c>
      <c r="D26" s="21" t="s">
        <v>534</v>
      </c>
      <c r="E26" s="13">
        <v>42812.248506944445</v>
      </c>
      <c r="F26" s="13">
        <v>42812.257870370369</v>
      </c>
      <c r="G26" s="7">
        <v>1</v>
      </c>
      <c r="H26" s="21" t="s">
        <v>528</v>
      </c>
      <c r="I26" s="13">
        <v>42812.286759259259</v>
      </c>
      <c r="J26" s="7">
        <v>0</v>
      </c>
      <c r="K26" s="98" t="str">
        <f t="shared" si="0"/>
        <v>4029/4030</v>
      </c>
      <c r="L26" s="21" t="str">
        <f>VLOOKUP(A26,'Trips&amp;Operators'!$C$1:$G$99999,5,FALSE)</f>
        <v>BADERTSCHER DIANE</v>
      </c>
      <c r="M26" s="6">
        <f t="shared" si="1"/>
        <v>2.8888888889923692E-2</v>
      </c>
      <c r="N26" s="7">
        <f t="shared" si="2"/>
        <v>41.600000001490116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-18T04:57:51-0600',mode:absolute,to:'2017-03-18T07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23.296399999999998</v>
      </c>
      <c r="Z26" s="62">
        <f t="shared" si="9"/>
        <v>1.72E-2</v>
      </c>
      <c r="AA26" s="62">
        <f t="shared" si="10"/>
        <v>23.279199999999999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0114-18</v>
      </c>
      <c r="AE26" s="85" t="str">
        <f t="shared" si="12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26" s="82" t="str">
        <f t="shared" si="13"/>
        <v>"C:\Program Files (x86)\AstroGrep\AstroGrep.exe" /e /r /s /spath="%USERPROFILE%\AppData\Local\Temp\OnboardLogs" /stypes="app*4030*20170318*"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114-18 --locoid 4030 --swversion DE.1.0.9.0 --startMP 204:232964 --initTime 2017-03-18T05:57:51 --startdatetime 2017-03-18T06:11:20 --delay 1 --endMP 204:172 --enddatetime 2017-03-18T06:52:56 --enforcementcount 0 &gt;&gt;C:\Users\stu\Documents\GitHub\eaglep3-reporting\EC\2017-03-18-refined-times.txt</v>
      </c>
      <c r="AI2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{"issue":{"subject":"","project_id":79,"tracker_id":40,"status_id":1,"priority_id":2,"assigned_to_id":23,"start_date":"2017-03-18","description":"","custom_fields":[{"id":1,"name":"Subdivision","value":"EC"},{"id":4,"name":"Milepost","value":"0.0172"},{"id":17,"name":"Train ID","value":"114-18"},{"id":16,"name":"Locomotive ID","value":"4030"},{"id":130,"name":"Impact","value":""},{"id":150,"name":"Time of Event (Mountain Time)","value":"06:52:56"},{"id":151,"name":"Denver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4030 --day 2017-03-18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620</v>
      </c>
      <c r="B27" s="7">
        <v>4009</v>
      </c>
      <c r="C27" s="21" t="s">
        <v>222</v>
      </c>
      <c r="D27" s="21" t="s">
        <v>786</v>
      </c>
      <c r="E27" s="13">
        <v>42812.225057870368</v>
      </c>
      <c r="F27" s="13">
        <v>42812.22934027778</v>
      </c>
      <c r="G27" s="7">
        <v>3</v>
      </c>
      <c r="H27" s="21" t="s">
        <v>787</v>
      </c>
      <c r="I27" s="13">
        <v>42812.254571759258</v>
      </c>
      <c r="J27" s="7">
        <v>0</v>
      </c>
      <c r="K27" s="98" t="str">
        <f t="shared" si="0"/>
        <v>4009/4010</v>
      </c>
      <c r="L27" s="21" t="str">
        <f>VLOOKUP(A27,'Trips&amp;Operators'!$C$1:$G$99999,5,FALSE)</f>
        <v>GEBRETEKLE DAGNEW</v>
      </c>
      <c r="M27" s="6">
        <f t="shared" si="1"/>
        <v>2.5231481478840578E-2</v>
      </c>
      <c r="N27" s="7">
        <f t="shared" si="2"/>
        <v>36.333333329530433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-18T04:24:05-0600',mode:absolute,to:'2017-03-18T07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7.5399999999999995E-2</v>
      </c>
      <c r="Z27" s="62">
        <f t="shared" si="9"/>
        <v>23.331099999999999</v>
      </c>
      <c r="AA27" s="62">
        <f t="shared" si="10"/>
        <v>23.255700000000001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0115-18</v>
      </c>
      <c r="AE27" s="85" t="str">
        <f t="shared" si="12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27" s="82" t="str">
        <f t="shared" si="13"/>
        <v>"C:\Program Files (x86)\AstroGrep\AstroGrep.exe" /e /r /s /spath="%USERPROFILE%\AppData\Local\Temp\OnboardLogs" /stypes="app*4009*20170318*"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115-18 --locoid 4009 --swversion DE.1.0.9.0 --startMP 204:754 --initTime 2017-03-18T05:24:05 --startdatetime 2017-03-18T05:30:15 --delay 3 --endMP 204:233311 --enddatetime 2017-03-18T06:06:35 --enforcementcount 0 &gt;&gt;C:\Users\stu\Documents\GitHub\eaglep3-reporting\EC\2017-03-18-refined-times.txt</v>
      </c>
      <c r="AI2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{"issue":{"subject":"","project_id":79,"tracker_id":40,"status_id":1,"priority_id":2,"assigned_to_id":23,"start_date":"2017-03-18","description":"","custom_fields":[{"id":1,"name":"Subdivision","value":"EC"},{"id":4,"name":"Milepost","value":"23.3311"},{"id":17,"name":"Train ID","value":"115-18"},{"id":16,"name":"Locomotive ID","value":"4009"},{"id":130,"name":"Impact","value":""},{"id":150,"name":"Time of Event (Mountain Time)","value":"06:06:35"},{"id":151,"name":"Denver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4009 --day 2017-03-18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568</v>
      </c>
      <c r="B28" s="7">
        <v>4010</v>
      </c>
      <c r="C28" s="21" t="s">
        <v>222</v>
      </c>
      <c r="D28" s="21" t="s">
        <v>788</v>
      </c>
      <c r="E28" s="13">
        <v>42812.264236111114</v>
      </c>
      <c r="F28" s="13">
        <v>42812.268252314818</v>
      </c>
      <c r="G28" s="7">
        <v>1</v>
      </c>
      <c r="H28" s="21" t="s">
        <v>200</v>
      </c>
      <c r="I28" s="13">
        <v>42812.29583333333</v>
      </c>
      <c r="J28" s="7">
        <v>0</v>
      </c>
      <c r="K28" s="98" t="str">
        <f t="shared" si="0"/>
        <v>4009/4010</v>
      </c>
      <c r="L28" s="21" t="str">
        <f>VLOOKUP(A28,'Trips&amp;Operators'!$C$1:$G$99999,5,FALSE)</f>
        <v>GEBRETEKLE DAGNEW</v>
      </c>
      <c r="M28" s="6">
        <f t="shared" si="1"/>
        <v>2.7581018512137234E-2</v>
      </c>
      <c r="N28" s="7">
        <f t="shared" si="2"/>
        <v>39.716666657477617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-18T05:20:30-0600',mode:absolute,to:'2017-03-18T08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23.2986</v>
      </c>
      <c r="Z28" s="62">
        <f t="shared" si="9"/>
        <v>1.5800000000000002E-2</v>
      </c>
      <c r="AA28" s="62">
        <f t="shared" si="10"/>
        <v>23.282800000000002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 t="shared" si="11"/>
        <v>0116-18</v>
      </c>
      <c r="AE28" s="85" t="str">
        <f t="shared" si="12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28" s="82" t="str">
        <f t="shared" si="13"/>
        <v>"C:\Program Files (x86)\AstroGrep\AstroGrep.exe" /e /r /s /spath="%USERPROFILE%\AppData\Local\Temp\OnboardLogs" /stypes="app*4010*20170318*"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116-18 --locoid 4010 --swversion DE.1.0.9.0 --startMP 204:232986 --initTime 2017-03-18T06:20:30 --startdatetime 2017-03-18T06:26:17 --delay 1 --endMP 204:158 --enddatetime 2017-03-18T07:06:00 --enforcementcount 0 &gt;&gt;C:\Users\stu\Documents\GitHub\eaglep3-reporting\EC\2017-03-18-refined-times.txt</v>
      </c>
      <c r="AI2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{"issue":{"subject":"","project_id":79,"tracker_id":40,"status_id":1,"priority_id":2,"assigned_to_id":23,"start_date":"2017-03-18","description":"","custom_fields":[{"id":1,"name":"Subdivision","value":"EC"},{"id":4,"name":"Milepost","value":"0.0158"},{"id":17,"name":"Train ID","value":"116-18"},{"id":16,"name":"Locomotive ID","value":"4010"},{"id":130,"name":"Impact","value":""},{"id":150,"name":"Time of Event (Mountain Time)","value":"07:06:00"},{"id":151,"name":"Denver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4010 --day 2017-03-18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621</v>
      </c>
      <c r="B29" s="7">
        <v>4051</v>
      </c>
      <c r="C29" s="21" t="s">
        <v>222</v>
      </c>
      <c r="D29" s="21" t="s">
        <v>789</v>
      </c>
      <c r="E29" s="13">
        <v>42812.233587962961</v>
      </c>
      <c r="F29" s="13">
        <v>42812.23978009259</v>
      </c>
      <c r="G29" s="7">
        <v>1</v>
      </c>
      <c r="H29" s="21" t="s">
        <v>475</v>
      </c>
      <c r="I29" s="13">
        <v>42812.265590277777</v>
      </c>
      <c r="J29" s="7">
        <v>0</v>
      </c>
      <c r="K29" s="98" t="str">
        <f t="shared" si="0"/>
        <v>4051/4052</v>
      </c>
      <c r="L29" s="21" t="str">
        <f>VLOOKUP(A29,'Trips&amp;Operators'!$C$1:$G$99999,5,FALSE)</f>
        <v>ROBINSON KADDIBA</v>
      </c>
      <c r="M29" s="6">
        <f t="shared" si="1"/>
        <v>2.5810185186855961E-2</v>
      </c>
      <c r="N29" s="7">
        <f t="shared" si="2"/>
        <v>37.166666669072583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-18T04:36:22-0600',mode:absolute,to:'2017-03-18T07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4.4900000000000002E-2</v>
      </c>
      <c r="Z29" s="62">
        <f t="shared" si="9"/>
        <v>23.330200000000001</v>
      </c>
      <c r="AA29" s="62">
        <f t="shared" si="10"/>
        <v>23.285300000000003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0117-18</v>
      </c>
      <c r="AE29" s="85" t="str">
        <f t="shared" si="12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29" s="82" t="str">
        <f t="shared" si="13"/>
        <v>"C:\Program Files (x86)\AstroGrep\AstroGrep.exe" /e /r /s /spath="%USERPROFILE%\AppData\Local\Temp\OnboardLogs" /stypes="app*4051*20170318*"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117-18 --locoid 4051 --swversion DE.1.0.9.0 --startMP 204:449 --initTime 2017-03-18T05:36:22 --startdatetime 2017-03-18T05:45:17 --delay 1 --endMP 204:233302 --enddatetime 2017-03-18T06:22:27 --enforcementcount 0 &gt;&gt;C:\Users\stu\Documents\GitHub\eaglep3-reporting\EC\2017-03-18-refined-times.txt</v>
      </c>
      <c r="AI2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{"issue":{"subject":"","project_id":79,"tracker_id":40,"status_id":1,"priority_id":2,"assigned_to_id":23,"start_date":"2017-03-18","description":"","custom_fields":[{"id":1,"name":"Subdivision","value":"EC"},{"id":4,"name":"Milepost","value":"23.3302"},{"id":17,"name":"Train ID","value":"117-18"},{"id":16,"name":"Locomotive ID","value":"4051"},{"id":130,"name":"Impact","value":""},{"id":150,"name":"Time of Event (Mountain Time)","value":"06:22:27"},{"id":151,"name":"Denver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4051 --day 2017-03-18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630</v>
      </c>
      <c r="B30" s="7">
        <v>4052</v>
      </c>
      <c r="C30" s="21" t="s">
        <v>222</v>
      </c>
      <c r="D30" s="21" t="s">
        <v>790</v>
      </c>
      <c r="E30" s="13">
        <v>42812.274074074077</v>
      </c>
      <c r="F30" s="13">
        <v>42812.278634259259</v>
      </c>
      <c r="G30" s="7">
        <v>1</v>
      </c>
      <c r="H30" s="21" t="s">
        <v>205</v>
      </c>
      <c r="I30" s="13">
        <v>42812.306423611109</v>
      </c>
      <c r="J30" s="7">
        <v>0</v>
      </c>
      <c r="K30" s="98" t="str">
        <f t="shared" si="0"/>
        <v>4051/4052</v>
      </c>
      <c r="L30" s="21" t="str">
        <f>VLOOKUP(A30,'Trips&amp;Operators'!$C$1:$G$99999,5,FALSE)</f>
        <v>ROBINSON KADDIBA</v>
      </c>
      <c r="M30" s="6">
        <f t="shared" si="1"/>
        <v>2.7789351850515231E-2</v>
      </c>
      <c r="N30" s="7">
        <f t="shared" si="2"/>
        <v>40.016666664741933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-18T05:34:40-0600',mode:absolute,to:'2017-03-18T08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23.298100000000002</v>
      </c>
      <c r="Z30" s="62">
        <f t="shared" si="9"/>
        <v>1.54E-2</v>
      </c>
      <c r="AA30" s="62">
        <f t="shared" si="10"/>
        <v>23.282700000000002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0118-18</v>
      </c>
      <c r="AE30" s="85" t="str">
        <f t="shared" si="12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30" s="82" t="str">
        <f t="shared" si="13"/>
        <v>"C:\Program Files (x86)\AstroGrep\AstroGrep.exe" /e /r /s /spath="%USERPROFILE%\AppData\Local\Temp\OnboardLogs" /stypes="app*4052*20170318*"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118-18 --locoid 4052 --swversion DE.1.0.9.0 --startMP 204:232981 --initTime 2017-03-18T06:34:40 --startdatetime 2017-03-18T06:41:14 --delay 1 --endMP 204:154 --enddatetime 2017-03-18T07:21:15 --enforcementcount 0 &gt;&gt;C:\Users\stu\Documents\GitHub\eaglep3-reporting\EC\2017-03-18-refined-times.txt</v>
      </c>
      <c r="AI3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ID","value":"118-18"},{"id":16,"name":"Locomotive ID","value":"4052"},{"id":130,"name":"Impact","value":""},{"id":150,"name":"Time of Event (Mountain Time)","value":"07:21:15"},{"id":151,"name":"Denver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4052 --day 2017-03-18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624</v>
      </c>
      <c r="B31" s="7">
        <v>4027</v>
      </c>
      <c r="C31" s="21" t="s">
        <v>222</v>
      </c>
      <c r="D31" s="21" t="s">
        <v>775</v>
      </c>
      <c r="E31" s="13">
        <v>42812.246481481481</v>
      </c>
      <c r="F31" s="13">
        <v>42812.250231481485</v>
      </c>
      <c r="G31" s="7">
        <v>1</v>
      </c>
      <c r="H31" s="21" t="s">
        <v>373</v>
      </c>
      <c r="I31" s="13">
        <v>42812.275196759256</v>
      </c>
      <c r="J31" s="7">
        <v>0</v>
      </c>
      <c r="K31" s="98" t="str">
        <f t="shared" si="0"/>
        <v>4027/4028</v>
      </c>
      <c r="L31" s="21" t="str">
        <f>VLOOKUP(A31,'Trips&amp;Operators'!$C$1:$G$99999,5,FALSE)</f>
        <v>MAELZER KURT</v>
      </c>
      <c r="M31" s="6">
        <f t="shared" si="1"/>
        <v>2.4965277771116234E-2</v>
      </c>
      <c r="N31" s="7">
        <f t="shared" si="2"/>
        <v>35.949999990407377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-18T04:54:56-0600',mode:absolute,to:'2017-03-18T07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7.2999999999999995E-2</v>
      </c>
      <c r="Z31" s="62">
        <f t="shared" si="9"/>
        <v>23.3307</v>
      </c>
      <c r="AA31" s="62">
        <f t="shared" si="10"/>
        <v>23.2577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0119-18</v>
      </c>
      <c r="AE31" s="85" t="str">
        <f t="shared" si="12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31" s="82" t="str">
        <f t="shared" si="13"/>
        <v>"C:\Program Files (x86)\AstroGrep\AstroGrep.exe" /e /r /s /spath="%USERPROFILE%\AppData\Local\Temp\OnboardLogs" /stypes="app*4027*20170318*"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119-18 --locoid 4027 --swversion DE.1.0.9.0 --startMP 204:730 --initTime 2017-03-18T05:54:56 --startdatetime 2017-03-18T06:00:20 --delay 1 --endMP 204:233307 --enddatetime 2017-03-18T06:36:17 --enforcementcount 0 &gt;&gt;C:\Users\stu\Documents\GitHub\eaglep3-reporting\EC\2017-03-18-refined-times.txt</v>
      </c>
      <c r="AI3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{"issue":{"subject":"","project_id":79,"tracker_id":40,"status_id":1,"priority_id":2,"assigned_to_id":23,"start_date":"2017-03-18","description":"","custom_fields":[{"id":1,"name":"Subdivision","value":"EC"},{"id":4,"name":"Milepost","value":"23.3307"},{"id":17,"name":"Train ID","value":"119-18"},{"id":16,"name":"Locomotive ID","value":"4027"},{"id":130,"name":"Impact","value":""},{"id":150,"name":"Time of Event (Mountain Time)","value":"06:36:17"},{"id":151,"name":"Denver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4027 --day 2017-03-18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633</v>
      </c>
      <c r="B32" s="7">
        <v>4028</v>
      </c>
      <c r="C32" s="21" t="s">
        <v>222</v>
      </c>
      <c r="D32" s="21" t="s">
        <v>413</v>
      </c>
      <c r="E32" s="13">
        <v>42812.282986111109</v>
      </c>
      <c r="F32" s="13">
        <v>42812.2891087963</v>
      </c>
      <c r="G32" s="7">
        <v>1</v>
      </c>
      <c r="H32" s="21" t="s">
        <v>214</v>
      </c>
      <c r="I32" s="13">
        <v>42812.316886574074</v>
      </c>
      <c r="J32" s="7">
        <v>0</v>
      </c>
      <c r="K32" s="98" t="str">
        <f t="shared" si="0"/>
        <v>4027/4028</v>
      </c>
      <c r="L32" s="21" t="str">
        <f>VLOOKUP(A32,'Trips&amp;Operators'!$C$1:$G$99999,5,FALSE)</f>
        <v>MAELZER KURT</v>
      </c>
      <c r="M32" s="6">
        <f t="shared" si="1"/>
        <v>2.7777777773735579E-2</v>
      </c>
      <c r="N32" s="7">
        <f t="shared" si="2"/>
        <v>39.999999994179234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-18T05:47:30-0600',mode:absolute,to:'2017-03-18T08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23.297499999999999</v>
      </c>
      <c r="Z32" s="62">
        <f t="shared" si="9"/>
        <v>1.41E-2</v>
      </c>
      <c r="AA32" s="62">
        <f t="shared" si="10"/>
        <v>23.2834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0120-18</v>
      </c>
      <c r="AE32" s="85" t="str">
        <f t="shared" si="12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32" s="82" t="str">
        <f t="shared" si="13"/>
        <v>"C:\Program Files (x86)\AstroGrep\AstroGrep.exe" /e /r /s /spath="%USERPROFILE%\AppData\Local\Temp\OnboardLogs" /stypes="app*4028*20170318*"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120-18 --locoid 4028 --swversion DE.1.0.9.0 --startMP 204:232975 --initTime 2017-03-18T06:47:30 --startdatetime 2017-03-18T06:56:19 --delay 1 --endMP 204:141 --enddatetime 2017-03-18T07:36:19 --enforcementcount 0 &gt;&gt;C:\Users\stu\Documents\GitHub\eaglep3-reporting\EC\2017-03-18-refined-times.txt</v>
      </c>
      <c r="AI3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ID","value":"120-18"},{"id":16,"name":"Locomotive ID","value":"4028"},{"id":130,"name":"Impact","value":""},{"id":150,"name":"Time of Event (Mountain Time)","value":"07:36:19"},{"id":151,"name":"Denver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4028 --day 2017-03-18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629</v>
      </c>
      <c r="B33" s="7">
        <v>4024</v>
      </c>
      <c r="C33" s="21" t="s">
        <v>222</v>
      </c>
      <c r="D33" s="21" t="s">
        <v>213</v>
      </c>
      <c r="E33" s="13">
        <v>42812.257118055553</v>
      </c>
      <c r="F33" s="13">
        <v>42812.260567129626</v>
      </c>
      <c r="G33" s="7">
        <v>3</v>
      </c>
      <c r="H33" s="21" t="s">
        <v>524</v>
      </c>
      <c r="I33" s="13">
        <v>42812.287141203706</v>
      </c>
      <c r="J33" s="7">
        <v>0</v>
      </c>
      <c r="K33" s="98" t="str">
        <f t="shared" si="0"/>
        <v>4023/4024</v>
      </c>
      <c r="L33" s="21" t="str">
        <f>VLOOKUP(A33,'Trips&amp;Operators'!$C$1:$G$99999,5,FALSE)</f>
        <v>DAVIS WENDY</v>
      </c>
      <c r="M33" s="6">
        <f t="shared" si="1"/>
        <v>2.6574074079690035E-2</v>
      </c>
      <c r="N33" s="7">
        <f t="shared" si="2"/>
        <v>38.266666674753651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-18T05:10:15-0600',mode:absolute,to:'2017-03-18T07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4.5499999999999999E-2</v>
      </c>
      <c r="Z33" s="62">
        <f t="shared" si="9"/>
        <v>23.3325</v>
      </c>
      <c r="AA33" s="62">
        <f t="shared" si="10"/>
        <v>23.286999999999999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0121-18</v>
      </c>
      <c r="AE33" s="85" t="str">
        <f t="shared" si="12"/>
        <v>aws s3 cp s3://rtdc.mdm.uploadarchive.raw/RTDC4024/ "%USERPROFILE%\AppData\Local\Temp\OnboardLogs"\RTDC4024\2017-03-18 --exclude "*" --recursive --include "*20170318*" &amp; "%USERPROFILE%\Documents\GitHub\mrs-test-scripts\Headless Mode &amp; Sideloading\WalkAndUnGZ.bat" "%USERPROFILE%\AppData\Local\Temp\OnboardLogs"\RTDC4024\2017-03-18 &amp; aws s3 cp s3://rtdc.mdm.uploadarchive.raw/RTDC4024/ "%USERPROFILE%\AppData\Local\Temp\OnboardLogs"\RTDC4024\2017-03-19 --exclude "*" --recursive --include "*20170319*" &amp; "%USERPROFILE%\Documents\GitHub\mrs-test-scripts\Headless Mode &amp; Sideloading\WalkAndUnGZ.bat" "%USERPROFILE%\AppData\Local\Temp\OnboardLogs"\RTDC4024\2017-03-19</v>
      </c>
      <c r="AF33" s="82" t="str">
        <f t="shared" si="13"/>
        <v>"C:\Program Files (x86)\AstroGrep\AstroGrep.exe" /e /r /s /spath="%USERPROFILE%\AppData\Local\Temp\OnboardLogs" /stypes="app*4024*20170318*"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121-18 --locoid 4024 --swversion DE.1.0.9.0 --startMP 204:455 --initTime 2017-03-18T06:10:15 --startdatetime 2017-03-18T06:15:13 --delay 3 --endMP 204:233325 --enddatetime 2017-03-18T06:53:29 --enforcementcount 0 &gt;&gt;C:\Users\stu\Documents\GitHub\eaglep3-reporting\EC\2017-03-18-refined-times.txt</v>
      </c>
      <c r="AI3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{"issue":{"subject":"","project_id":79,"tracker_id":40,"status_id":1,"priority_id":2,"assigned_to_id":23,"start_date":"2017-03-18","description":"","custom_fields":[{"id":1,"name":"Subdivision","value":"EC"},{"id":4,"name":"Milepost","value":"23.3325"},{"id":17,"name":"Train ID","value":"121-18"},{"id":16,"name":"Locomotive ID","value":"4024"},{"id":130,"name":"Impact","value":""},{"id":150,"name":"Time of Event (Mountain Time)","value":"06:53:29"},{"id":151,"name":"Denver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4024 --day 2017-03-18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"%USERPROFILE%\AppData\Local\Temp\OnboardLogs"\RTDC4024\*4024*20170318* | grep -SE "(Enforcement Action)|(\[TIMEOUT)|(CHR.+\|PRM\|1\|D.+(SWITCH|SIGNAL).+UNKNOWN)" - &gt;&gt; 2017-03-18-UncaughtWiMAX.txt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569</v>
      </c>
      <c r="B34" s="7">
        <v>4023</v>
      </c>
      <c r="C34" s="21" t="s">
        <v>222</v>
      </c>
      <c r="D34" s="21" t="s">
        <v>791</v>
      </c>
      <c r="E34" s="13">
        <v>42812.297858796293</v>
      </c>
      <c r="F34" s="13">
        <v>42812.299467592595</v>
      </c>
      <c r="G34" s="7">
        <v>1</v>
      </c>
      <c r="H34" s="21" t="s">
        <v>216</v>
      </c>
      <c r="I34" s="13">
        <v>42812.328668981485</v>
      </c>
      <c r="J34" s="7">
        <v>0</v>
      </c>
      <c r="K34" s="98" t="str">
        <f t="shared" si="0"/>
        <v>4023/4024</v>
      </c>
      <c r="L34" s="21" t="str">
        <f>VLOOKUP(A34,'Trips&amp;Operators'!$C$1:$G$99999,5,FALSE)</f>
        <v>DAVIS WENDY</v>
      </c>
      <c r="M34" s="6">
        <f t="shared" si="1"/>
        <v>2.920138889021473E-2</v>
      </c>
      <c r="N34" s="7">
        <f t="shared" si="2"/>
        <v>42.050000001909211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-18T06:08:55-0600',mode:absolute,to:'2017-03-18T08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23.3004</v>
      </c>
      <c r="Z34" s="62">
        <f t="shared" si="9"/>
        <v>1.5599999999999999E-2</v>
      </c>
      <c r="AA34" s="62">
        <f t="shared" si="10"/>
        <v>23.284800000000001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0122-18</v>
      </c>
      <c r="AE34" s="85" t="str">
        <f t="shared" si="12"/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AF34" s="82" t="str">
        <f t="shared" si="13"/>
        <v>"C:\Program Files (x86)\AstroGrep\AstroGrep.exe" /e /r /s /spath="%USERPROFILE%\AppData\Local\Temp\OnboardLogs" /stypes="app*4023*20170318*"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122-18 --locoid 4023 --swversion DE.1.0.9.0 --startMP 204:233004 --initTime 2017-03-18T07:08:55 --startdatetime 2017-03-18T07:11:14 --delay 1 --endMP 204:156 --enddatetime 2017-03-18T07:53:17 --enforcementcount 0 &gt;&gt;C:\Users\stu\Documents\GitHub\eaglep3-reporting\EC\2017-03-18-refined-times.txt</v>
      </c>
      <c r="AI3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{"issue":{"subject":"","project_id":79,"tracker_id":40,"status_id":1,"priority_id":2,"assigned_to_id":23,"start_date":"2017-03-18","description":"","custom_fields":[{"id":1,"name":"Subdivision","value":"EC"},{"id":4,"name":"Milepost","value":"0.0156"},{"id":17,"name":"Train ID","value":"122-18"},{"id":16,"name":"Locomotive ID","value":"4023"},{"id":130,"name":"Impact","value":""},{"id":150,"name":"Time of Event (Mountain Time)","value":"07:53:17"},{"id":151,"name":"Denver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4023 --day 2017-03-18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"%USERPROFILE%\AppData\Local\Temp\OnboardLogs"\RTDC4023\*4023*20170318* | grep -SE "(Enforcement Action)|(\[TIMEOUT)|(CHR.+\|PRM\|1\|D.+(SWITCH|SIGNAL).+UNKNOWN)" - &gt;&gt; 2017-03-18-UncaughtWiMAX.txt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567</v>
      </c>
      <c r="B35" s="7">
        <v>4014</v>
      </c>
      <c r="C35" s="21" t="s">
        <v>222</v>
      </c>
      <c r="D35" s="21" t="s">
        <v>792</v>
      </c>
      <c r="E35" s="13">
        <v>42812.274675925924</v>
      </c>
      <c r="F35" s="13">
        <v>42812.275740740741</v>
      </c>
      <c r="G35" s="7">
        <v>1</v>
      </c>
      <c r="H35" s="21" t="s">
        <v>793</v>
      </c>
      <c r="I35" s="13">
        <v>42812.297638888886</v>
      </c>
      <c r="J35" s="7">
        <v>0</v>
      </c>
      <c r="K35" s="98" t="str">
        <f t="shared" si="0"/>
        <v>4013/4014</v>
      </c>
      <c r="L35" s="21" t="str">
        <f>VLOOKUP(A35,'Trips&amp;Operators'!$C$1:$G$99999,5,FALSE)</f>
        <v>SANTIZO D. EDY</v>
      </c>
      <c r="M35" s="6">
        <f t="shared" si="1"/>
        <v>2.1898148144828156E-2</v>
      </c>
      <c r="N35" s="7"/>
      <c r="O35" s="7"/>
      <c r="P35" s="7">
        <f>24*60*SUM($M35:$M35)</f>
        <v>31.533333328552544</v>
      </c>
      <c r="Q35" s="22"/>
      <c r="R35" s="22" t="s">
        <v>941</v>
      </c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-18T05:35:32-0600',mode:absolute,to:'2017-03-18T08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5" s="187" t="str">
        <f t="shared" si="6"/>
        <v>Y</v>
      </c>
      <c r="X35" s="187">
        <f t="shared" si="7"/>
        <v>1</v>
      </c>
      <c r="Y35" s="62">
        <f t="shared" si="8"/>
        <v>1.9120999999999999</v>
      </c>
      <c r="Z35" s="62">
        <f t="shared" si="9"/>
        <v>23.332000000000001</v>
      </c>
      <c r="AA35" s="62">
        <f t="shared" si="10"/>
        <v>21.419900000000002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0123-18</v>
      </c>
      <c r="AE35" s="85" t="str">
        <f t="shared" si="12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35" s="82" t="str">
        <f t="shared" si="13"/>
        <v>"C:\Program Files (x86)\AstroGrep\AstroGrep.exe" /e /r /s /spath="%USERPROFILE%\AppData\Local\Temp\OnboardLogs" /stypes="app*4014*20170318*"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123-18 --locoid 4014 --swversion DE.1.0.9.0 --startMP 204:19121 --initTime 2017-03-18T06:35:32 --startdatetime 2017-03-18T06:37:04 --delay 1 --endMP 204:233320 --enddatetime 2017-03-18T07:08:36 --enforcementcount 0 &gt;&gt;C:\Users\stu\Documents\GitHub\eaglep3-reporting\EC\2017-03-18-refined-times.txt</v>
      </c>
      <c r="AI35" s="108" t="str">
        <f t="shared" si="19"/>
        <v>echo {"issue":{"subject":"Selected wrong track","project_id":79,"tracker_id":40,"status_id":1,"priority_id":2,"assigned_to_id":23,"start_date":"2017-03-18","description":"","custom_fields":[{"id":1,"name":"Subdivision","value":"EC"},{"id":4,"name":"Milepost","value":"23.332"},{"id":17,"name":"Train ID","value":"123-18"},{"id":16,"name":"Locomotive ID","value":"4014"},{"id":130,"name":"Impact","value":""},{"id":150,"name":"Time of Event (Mountain Time)","value":"07:08:36"},{"id":151,"name":"Denver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4014 --day 2017-03-18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567</v>
      </c>
      <c r="B36" s="7">
        <v>4014</v>
      </c>
      <c r="C36" s="21" t="s">
        <v>222</v>
      </c>
      <c r="D36" s="21" t="s">
        <v>213</v>
      </c>
      <c r="E36" s="13">
        <v>42812.265567129631</v>
      </c>
      <c r="F36" s="13">
        <v>42812.275740740741</v>
      </c>
      <c r="G36" s="7">
        <v>1</v>
      </c>
      <c r="H36" s="21" t="s">
        <v>794</v>
      </c>
      <c r="I36" s="13">
        <v>42812.297638888886</v>
      </c>
      <c r="J36" s="7">
        <v>0</v>
      </c>
      <c r="K36" s="98" t="str">
        <f t="shared" si="0"/>
        <v>4013/4014</v>
      </c>
      <c r="L36" s="21" t="str">
        <f>VLOOKUP(A36,'Trips&amp;Operators'!$C$1:$G$99999,5,FALSE)</f>
        <v>SANTIZO D. EDY</v>
      </c>
      <c r="M36" s="6">
        <f t="shared" si="1"/>
        <v>2.1898148144828156E-2</v>
      </c>
      <c r="N36" s="7"/>
      <c r="O36" s="7"/>
      <c r="P36" s="7"/>
      <c r="Q36" s="22"/>
      <c r="R36" s="22"/>
      <c r="S36" s="31"/>
      <c r="T36" s="46" t="str">
        <f t="shared" si="4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-18T05:22:25-0600',mode:absolute,to:'2017-03-18T08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6" s="187" t="str">
        <f t="shared" si="6"/>
        <v>Y</v>
      </c>
      <c r="X36" s="187">
        <f t="shared" si="7"/>
        <v>0</v>
      </c>
      <c r="Y36" s="62">
        <f t="shared" si="8"/>
        <v>4.5499999999999999E-2</v>
      </c>
      <c r="Z36" s="62">
        <f t="shared" si="9"/>
        <v>0.1032</v>
      </c>
      <c r="AA36" s="62">
        <f t="shared" si="10"/>
        <v>5.7700000000000001E-2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0123-18</v>
      </c>
      <c r="AE36" s="85" t="str">
        <f t="shared" si="12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36" s="82" t="str">
        <f t="shared" si="13"/>
        <v>"C:\Program Files (x86)\AstroGrep\AstroGrep.exe" /e /r /s /spath="%USERPROFILE%\AppData\Local\Temp\OnboardLogs" /stypes="app*4014*20170318*" /stext=" 13:.+((SYSTEM_STATE.+slice.+state.+changed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123-18 --locoid 4014 --swversion DE.1.0.9.0 --startMP 204:455 --initTime 2017-03-18T06:22:25 --startdatetime 2017-03-18T06:37:04 --delay 1 --endMP 204:1032 --enddatetime 2017-03-18T07:08:36 --enforcementcount 0 &gt;&gt;C:\Users\stu\Documents\GitHub\eaglep3-reporting\EC\2017-03-18-refined-times.txt</v>
      </c>
      <c r="AI3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{"issue":{"subject":"","project_id":79,"tracker_id":40,"status_id":1,"priority_id":2,"assigned_to_id":23,"start_date":"2017-03-18","description":"","custom_fields":[{"id":1,"name":"Subdivision","value":"EC"},{"id":4,"name":"Milepost","value":"0.1032"},{"id":17,"name":"Train ID","value":"123-18"},{"id":16,"name":"Locomotive ID","value":"4014"},{"id":130,"name":"Impact","value":""},{"id":150,"name":"Time of Event (Mountain Time)","value":"07:08:36"},{"id":151,"name":"Denver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4014 --day 2017-03-18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637</v>
      </c>
      <c r="B37" s="7">
        <v>4013</v>
      </c>
      <c r="C37" s="21" t="s">
        <v>222</v>
      </c>
      <c r="D37" s="21" t="s">
        <v>538</v>
      </c>
      <c r="E37" s="13">
        <v>42812.298854166664</v>
      </c>
      <c r="F37" s="13">
        <v>42812.309930555559</v>
      </c>
      <c r="G37" s="7">
        <v>1</v>
      </c>
      <c r="H37" s="21" t="s">
        <v>214</v>
      </c>
      <c r="I37" s="13">
        <v>42812.336319444446</v>
      </c>
      <c r="J37" s="7">
        <v>0</v>
      </c>
      <c r="K37" s="98" t="str">
        <f t="shared" si="0"/>
        <v>4013/4014</v>
      </c>
      <c r="L37" s="21" t="str">
        <f>VLOOKUP(A37,'Trips&amp;Operators'!$C$1:$G$99999,5,FALSE)</f>
        <v>SANTIZO D. EDY</v>
      </c>
      <c r="M37" s="6">
        <f t="shared" si="1"/>
        <v>2.6388888887595385E-2</v>
      </c>
      <c r="N37" s="7">
        <f t="shared" ref="N37:N68" si="21">24*60*SUM($M37:$M37)</f>
        <v>37.999999998137355</v>
      </c>
      <c r="O37" s="7"/>
      <c r="P37" s="7"/>
      <c r="Q37" s="22"/>
      <c r="R37" s="22"/>
      <c r="S37" s="31">
        <f t="shared" ref="S37:S68" si="22">SUM(U37:U37)/IF(AG37="EC",12,1)</f>
        <v>1</v>
      </c>
      <c r="T37" s="46" t="str">
        <f t="shared" si="4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-18T06:10:21-0600',mode:absolute,to:'2017-03-18T09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23.3003</v>
      </c>
      <c r="Z37" s="62">
        <f t="shared" si="9"/>
        <v>1.41E-2</v>
      </c>
      <c r="AA37" s="62">
        <f t="shared" si="10"/>
        <v>23.286200000000001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0124-18</v>
      </c>
      <c r="AE37" s="85" t="str">
        <f t="shared" si="12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37" s="82" t="str">
        <f t="shared" si="13"/>
        <v>"C:\Program Files (x86)\AstroGrep\AstroGrep.exe" /e /r /s /spath="%USERPROFILE%\AppData\Local\Temp\OnboardLogs" /stypes="app*4013*20170318*" /stext=" 14:.+((SYSTEM_STATE.+slice.+state.+changed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124-18 --locoid 4013 --swversion DE.1.0.9.0 --startMP 204:233003 --initTime 2017-03-18T07:10:21 --startdatetime 2017-03-18T07:26:18 --delay 1 --endMP 204:141 --enddatetime 2017-03-18T08:04:18 --enforcementcount 0 &gt;&gt;C:\Users\stu\Documents\GitHub\eaglep3-reporting\EC\2017-03-18-refined-times.txt</v>
      </c>
      <c r="AI3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ID","value":"124-18"},{"id":16,"name":"Locomotive ID","value":"4013"},{"id":130,"name":"Impact","value":""},{"id":150,"name":"Time of Event (Mountain Time)","value":"08:04:18"},{"id":151,"name":"Denver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4013 --day 2017-03-18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632</v>
      </c>
      <c r="B38" s="7">
        <v>4044</v>
      </c>
      <c r="C38" s="21" t="s">
        <v>222</v>
      </c>
      <c r="D38" s="21" t="s">
        <v>207</v>
      </c>
      <c r="E38" s="13">
        <v>42812.277175925927</v>
      </c>
      <c r="F38" s="13">
        <v>42812.281493055554</v>
      </c>
      <c r="G38" s="7">
        <v>1</v>
      </c>
      <c r="H38" s="21" t="s">
        <v>524</v>
      </c>
      <c r="I38" s="13">
        <v>42812.306377314817</v>
      </c>
      <c r="J38" s="7">
        <v>0</v>
      </c>
      <c r="K38" s="98" t="str">
        <f t="shared" si="0"/>
        <v>4043/4044</v>
      </c>
      <c r="L38" s="21" t="str">
        <f>VLOOKUP(A38,'Trips&amp;Operators'!$C$1:$G$99999,5,FALSE)</f>
        <v>LOZA FIDEL</v>
      </c>
      <c r="M38" s="6">
        <f t="shared" si="1"/>
        <v>2.4884259262762498E-2</v>
      </c>
      <c r="N38" s="7">
        <f t="shared" si="21"/>
        <v>35.833333338377997</v>
      </c>
      <c r="O38" s="7"/>
      <c r="P38" s="7"/>
      <c r="Q38" s="22"/>
      <c r="R38" s="22"/>
      <c r="S38" s="31">
        <f t="shared" si="22"/>
        <v>1</v>
      </c>
      <c r="T38" s="46" t="str">
        <f t="shared" si="4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-18T05:39:08-0600',mode:absolute,to:'2017-03-18T08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4.5100000000000001E-2</v>
      </c>
      <c r="Z38" s="62">
        <f t="shared" si="9"/>
        <v>23.3325</v>
      </c>
      <c r="AA38" s="62">
        <f t="shared" si="10"/>
        <v>23.287399999999998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0125-18</v>
      </c>
      <c r="AE38" s="85" t="str">
        <f t="shared" si="12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38" s="82" t="str">
        <f t="shared" si="13"/>
        <v>"C:\Program Files (x86)\AstroGrep\AstroGrep.exe" /e /r /s /spath="%USERPROFILE%\AppData\Local\Temp\OnboardLogs" /stypes="app*4044*20170318*" /stext=" 13:.+((SYSTEM_STATE.+slice.+state.+changed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125-18 --locoid 4044 --swversion DE.1.0.9.0 --startMP 204:451 --initTime 2017-03-18T06:39:08 --startdatetime 2017-03-18T06:45:21 --delay 1 --endMP 204:233325 --enddatetime 2017-03-18T07:21:11 --enforcementcount 0 &gt;&gt;C:\Users\stu\Documents\GitHub\eaglep3-reporting\EC\2017-03-18-refined-times.txt</v>
      </c>
      <c r="AI3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{"issue":{"subject":"","project_id":79,"tracker_id":40,"status_id":1,"priority_id":2,"assigned_to_id":23,"start_date":"2017-03-18","description":"","custom_fields":[{"id":1,"name":"Subdivision","value":"EC"},{"id":4,"name":"Milepost","value":"23.3325"},{"id":17,"name":"Train ID","value":"125-18"},{"id":16,"name":"Locomotive ID","value":"4044"},{"id":130,"name":"Impact","value":""},{"id":150,"name":"Time of Event (Mountain Time)","value":"07:21:11"},{"id":151,"name":"Denver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4044 --day 2017-03-18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639</v>
      </c>
      <c r="B39" s="7">
        <v>4043</v>
      </c>
      <c r="C39" s="21" t="s">
        <v>222</v>
      </c>
      <c r="D39" s="21" t="s">
        <v>795</v>
      </c>
      <c r="E39" s="13">
        <v>42812.31653935185</v>
      </c>
      <c r="F39" s="13">
        <v>42812.320439814815</v>
      </c>
      <c r="G39" s="7">
        <v>1</v>
      </c>
      <c r="H39" s="21" t="s">
        <v>450</v>
      </c>
      <c r="I39" s="13">
        <v>42812.346817129626</v>
      </c>
      <c r="J39" s="7">
        <v>0</v>
      </c>
      <c r="K39" s="98" t="str">
        <f t="shared" si="0"/>
        <v>4043/4044</v>
      </c>
      <c r="L39" s="21" t="str">
        <f>VLOOKUP(A39,'Trips&amp;Operators'!$C$1:$G$99999,5,FALSE)</f>
        <v>LOZA FIDEL</v>
      </c>
      <c r="M39" s="6">
        <f t="shared" si="1"/>
        <v>2.6377314810815733E-2</v>
      </c>
      <c r="N39" s="7">
        <f t="shared" si="21"/>
        <v>37.983333327574655</v>
      </c>
      <c r="O39" s="7"/>
      <c r="P39" s="7"/>
      <c r="Q39" s="22"/>
      <c r="R39" s="22"/>
      <c r="S39" s="31">
        <f t="shared" si="22"/>
        <v>1</v>
      </c>
      <c r="T39" s="46" t="str">
        <f t="shared" si="4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-18T06:35:49-0600',mode:absolute,to:'2017-03-18T09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23.300999999999998</v>
      </c>
      <c r="Z39" s="62">
        <f t="shared" si="9"/>
        <v>1.43E-2</v>
      </c>
      <c r="AA39" s="62">
        <f t="shared" si="10"/>
        <v>23.2867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0126-18</v>
      </c>
      <c r="AE39" s="85" t="str">
        <f t="shared" si="12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39" s="82" t="str">
        <f t="shared" si="13"/>
        <v>"C:\Program Files (x86)\AstroGrep\AstroGrep.exe" /e /r /s /spath="%USERPROFILE%\AppData\Local\Temp\OnboardLogs" /stypes="app*4043*20170318*" /stext=" 14:.+((SYSTEM_STATE.+slice.+state.+changed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126-18 --locoid 4043 --swversion DE.1.0.9.0 --startMP 204:233010 --initTime 2017-03-18T07:35:49 --startdatetime 2017-03-18T07:41:26 --delay 1 --endMP 204:143 --enddatetime 2017-03-18T08:19:25 --enforcementcount 0 &gt;&gt;C:\Users\stu\Documents\GitHub\eaglep3-reporting\EC\2017-03-18-refined-times.txt</v>
      </c>
      <c r="AI3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{"issue":{"subject":"","project_id":79,"tracker_id":40,"status_id":1,"priority_id":2,"assigned_to_id":23,"start_date":"2017-03-18","description":"","custom_fields":[{"id":1,"name":"Subdivision","value":"EC"},{"id":4,"name":"Milepost","value":"0.0143"},{"id":17,"name":"Train ID","value":"126-18"},{"id":16,"name":"Locomotive ID","value":"4043"},{"id":130,"name":"Impact","value":""},{"id":150,"name":"Time of Event (Mountain Time)","value":"08:19:25"},{"id":151,"name":"Denver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4043 --day 2017-03-18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634</v>
      </c>
      <c r="B40" s="7">
        <v>4029</v>
      </c>
      <c r="C40" s="21" t="s">
        <v>222</v>
      </c>
      <c r="D40" s="21" t="s">
        <v>232</v>
      </c>
      <c r="E40" s="13">
        <v>42812.290393518517</v>
      </c>
      <c r="F40" s="13">
        <v>42812.291932870372</v>
      </c>
      <c r="G40" s="7">
        <v>1</v>
      </c>
      <c r="H40" s="21" t="s">
        <v>224</v>
      </c>
      <c r="I40" s="13">
        <v>42812.317546296297</v>
      </c>
      <c r="J40" s="7">
        <v>0</v>
      </c>
      <c r="K40" s="98" t="str">
        <f t="shared" si="0"/>
        <v>4029/4030</v>
      </c>
      <c r="L40" s="21" t="str">
        <f>VLOOKUP(A40,'Trips&amp;Operators'!$C$1:$G$99999,5,FALSE)</f>
        <v>BADERTSCHER DIANE</v>
      </c>
      <c r="M40" s="6">
        <f t="shared" si="1"/>
        <v>2.5613425925257616E-2</v>
      </c>
      <c r="N40" s="7">
        <f t="shared" si="21"/>
        <v>36.883333332370967</v>
      </c>
      <c r="O40" s="7"/>
      <c r="P40" s="7"/>
      <c r="Q40" s="22"/>
      <c r="R40" s="22"/>
      <c r="S40" s="31">
        <f t="shared" si="22"/>
        <v>1</v>
      </c>
      <c r="T40" s="46" t="str">
        <f t="shared" si="4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-18T05:58:10-0600',mode:absolute,to:'2017-03-18T08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4.6899999999999997E-2</v>
      </c>
      <c r="Z40" s="62">
        <f t="shared" si="9"/>
        <v>23.329699999999999</v>
      </c>
      <c r="AA40" s="62">
        <f t="shared" si="10"/>
        <v>23.282799999999998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0127-18</v>
      </c>
      <c r="AE40" s="85" t="str">
        <f t="shared" si="12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40" s="82" t="str">
        <f t="shared" si="13"/>
        <v>"C:\Program Files (x86)\AstroGrep\AstroGrep.exe" /e /r /s /spath="%USERPROFILE%\AppData\Local\Temp\OnboardLogs" /stypes="app*4029*20170318*" /stext=" 13:.+((SYSTEM_STATE.+slice.+state.+changed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127-18 --locoid 4029 --swversion DE.1.0.9.0 --startMP 204:469 --initTime 2017-03-18T06:58:10 --startdatetime 2017-03-18T07:00:23 --delay 1 --endMP 204:233297 --enddatetime 2017-03-18T07:37:16 --enforcementcount 0 &gt;&gt;C:\Users\stu\Documents\GitHub\eaglep3-reporting\EC\2017-03-18-refined-times.txt</v>
      </c>
      <c r="AI4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{"issue":{"subject":"","project_id":79,"tracker_id":40,"status_id":1,"priority_id":2,"assigned_to_id":23,"start_date":"2017-03-18","description":"","custom_fields":[{"id":1,"name":"Subdivision","value":"EC"},{"id":4,"name":"Milepost","value":"23.3297"},{"id":17,"name":"Train ID","value":"127-18"},{"id":16,"name":"Locomotive ID","value":"4029"},{"id":130,"name":"Impact","value":""},{"id":150,"name":"Time of Event (Mountain Time)","value":"07:37:16"},{"id":151,"name":"Denver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4029 --day 2017-03-18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643</v>
      </c>
      <c r="B41" s="7">
        <v>4030</v>
      </c>
      <c r="C41" s="21" t="s">
        <v>222</v>
      </c>
      <c r="D41" s="21" t="s">
        <v>401</v>
      </c>
      <c r="E41" s="13">
        <v>42812.328043981484</v>
      </c>
      <c r="F41" s="13">
        <v>42812.330729166664</v>
      </c>
      <c r="G41" s="7">
        <v>1</v>
      </c>
      <c r="H41" s="21" t="s">
        <v>205</v>
      </c>
      <c r="I41" s="13">
        <v>42812.358518518522</v>
      </c>
      <c r="J41" s="7">
        <v>0</v>
      </c>
      <c r="K41" s="98" t="str">
        <f t="shared" si="0"/>
        <v>4029/4030</v>
      </c>
      <c r="L41" s="21" t="str">
        <f>VLOOKUP(A41,'Trips&amp;Operators'!$C$1:$G$99999,5,FALSE)</f>
        <v>BADERTSCHER DIANE</v>
      </c>
      <c r="M41" s="6">
        <f t="shared" si="1"/>
        <v>2.7789351857791189E-2</v>
      </c>
      <c r="N41" s="7">
        <f t="shared" si="21"/>
        <v>40.016666675219312</v>
      </c>
      <c r="O41" s="7"/>
      <c r="P41" s="7"/>
      <c r="Q41" s="22"/>
      <c r="R41" s="22"/>
      <c r="S41" s="31">
        <f t="shared" si="22"/>
        <v>1</v>
      </c>
      <c r="T41" s="46" t="str">
        <f t="shared" si="4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-18T06:52:23-0600',mode:absolute,to:'2017-03-18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23.298400000000001</v>
      </c>
      <c r="Z41" s="62">
        <f t="shared" si="9"/>
        <v>1.54E-2</v>
      </c>
      <c r="AA41" s="62">
        <f t="shared" si="10"/>
        <v>23.283000000000001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0128-18</v>
      </c>
      <c r="AE41" s="85" t="str">
        <f t="shared" si="12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41" s="82" t="str">
        <f t="shared" si="13"/>
        <v>"C:\Program Files (x86)\AstroGrep\AstroGrep.exe" /e /r /s /spath="%USERPROFILE%\AppData\Local\Temp\OnboardLogs" /stypes="app*4030*20170318*" /stext=" 14:.+((SYSTEM_STATE.+slice.+state.+changed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128-18 --locoid 4030 --swversion DE.1.0.9.0 --startMP 204:232984 --initTime 2017-03-18T07:52:23 --startdatetime 2017-03-18T07:56:15 --delay 1 --endMP 204:154 --enddatetime 2017-03-18T08:36:16 --enforcementcount 0 &gt;&gt;C:\Users\stu\Documents\GitHub\eaglep3-reporting\EC\2017-03-18-refined-times.txt</v>
      </c>
      <c r="AI4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ID","value":"128-18"},{"id":16,"name":"Locomotive ID","value":"4030"},{"id":130,"name":"Impact","value":""},{"id":150,"name":"Time of Event (Mountain Time)","value":"08:36:16"},{"id":151,"name":"Denver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4030 --day 2017-03-18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636</v>
      </c>
      <c r="B42" s="7">
        <v>4009</v>
      </c>
      <c r="C42" s="21" t="s">
        <v>222</v>
      </c>
      <c r="D42" s="21" t="s">
        <v>209</v>
      </c>
      <c r="E42" s="13">
        <v>42812.298136574071</v>
      </c>
      <c r="F42" s="13">
        <v>42812.302256944444</v>
      </c>
      <c r="G42" s="7">
        <v>1</v>
      </c>
      <c r="H42" s="21" t="s">
        <v>796</v>
      </c>
      <c r="I42" s="13">
        <v>42812.327013888891</v>
      </c>
      <c r="J42" s="7">
        <v>0</v>
      </c>
      <c r="K42" s="98" t="str">
        <f t="shared" si="0"/>
        <v>4009/4010</v>
      </c>
      <c r="L42" s="21" t="str">
        <f>VLOOKUP(A42,'Trips&amp;Operators'!$C$1:$G$99999,5,FALSE)</f>
        <v>GEBRETEKLE DAGNEW</v>
      </c>
      <c r="M42" s="6">
        <f t="shared" si="1"/>
        <v>2.4756944447290152E-2</v>
      </c>
      <c r="N42" s="7">
        <f t="shared" si="21"/>
        <v>35.650000004097819</v>
      </c>
      <c r="O42" s="7"/>
      <c r="P42" s="7"/>
      <c r="Q42" s="22"/>
      <c r="R42" s="22"/>
      <c r="S42" s="31">
        <f t="shared" si="22"/>
        <v>1</v>
      </c>
      <c r="T42" s="46" t="str">
        <f t="shared" si="4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-18T06:09:19-0600',mode:absolute,to:'2017-03-18T08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4.5999999999999999E-2</v>
      </c>
      <c r="Z42" s="62">
        <f t="shared" si="9"/>
        <v>23.331700000000001</v>
      </c>
      <c r="AA42" s="62">
        <f t="shared" si="10"/>
        <v>23.285700000000002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0129-18</v>
      </c>
      <c r="AE42" s="85" t="str">
        <f t="shared" si="12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42" s="82" t="str">
        <f t="shared" si="13"/>
        <v>"C:\Program Files (x86)\AstroGrep\AstroGrep.exe" /e /r /s /spath="%USERPROFILE%\AppData\Local\Temp\OnboardLogs" /stypes="app*4009*20170318*" /stext=" 13:.+((SYSTEM_STATE.+slice.+state.+changed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129-18 --locoid 4009 --swversion DE.1.0.9.0 --startMP 204:460 --initTime 2017-03-18T07:09:19 --startdatetime 2017-03-18T07:15:15 --delay 1 --endMP 204:233317 --enddatetime 2017-03-18T07:50:54 --enforcementcount 0 &gt;&gt;C:\Users\stu\Documents\GitHub\eaglep3-reporting\EC\2017-03-18-refined-times.txt</v>
      </c>
      <c r="AI4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{"issue":{"subject":"","project_id":79,"tracker_id":40,"status_id":1,"priority_id":2,"assigned_to_id":23,"start_date":"2017-03-18","description":"","custom_fields":[{"id":1,"name":"Subdivision","value":"EC"},{"id":4,"name":"Milepost","value":"23.3317"},{"id":17,"name":"Train ID","value":"129-18"},{"id":16,"name":"Locomotive ID","value":"4009"},{"id":130,"name":"Impact","value":""},{"id":150,"name":"Time of Event (Mountain Time)","value":"07:50:54"},{"id":151,"name":"Denver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4009 --day 2017-03-18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645</v>
      </c>
      <c r="B43" s="7">
        <v>4010</v>
      </c>
      <c r="C43" s="21" t="s">
        <v>222</v>
      </c>
      <c r="D43" s="21" t="s">
        <v>412</v>
      </c>
      <c r="E43" s="13">
        <v>42812.337326388886</v>
      </c>
      <c r="F43" s="13">
        <v>42812.341203703705</v>
      </c>
      <c r="G43" s="7">
        <v>1</v>
      </c>
      <c r="H43" s="21" t="s">
        <v>199</v>
      </c>
      <c r="I43" s="13">
        <v>42812.368969907409</v>
      </c>
      <c r="J43" s="7">
        <v>0</v>
      </c>
      <c r="K43" s="98" t="str">
        <f t="shared" si="0"/>
        <v>4009/4010</v>
      </c>
      <c r="L43" s="21" t="str">
        <f>VLOOKUP(A43,'Trips&amp;Operators'!$C$1:$G$99999,5,FALSE)</f>
        <v>GEBRETEKLE DAGNEW</v>
      </c>
      <c r="M43" s="6">
        <f t="shared" si="1"/>
        <v>2.7766203704231884E-2</v>
      </c>
      <c r="N43" s="7">
        <f t="shared" si="21"/>
        <v>39.983333334093913</v>
      </c>
      <c r="O43" s="7"/>
      <c r="P43" s="7"/>
      <c r="Q43" s="22"/>
      <c r="R43" s="22"/>
      <c r="S43" s="31">
        <f t="shared" si="22"/>
        <v>1</v>
      </c>
      <c r="T43" s="46" t="str">
        <f t="shared" si="4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-18T07:05:45-0600',mode:absolute,to:'2017-03-18T09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23.299800000000001</v>
      </c>
      <c r="Z43" s="62">
        <f t="shared" si="9"/>
        <v>1.52E-2</v>
      </c>
      <c r="AA43" s="62">
        <f t="shared" si="10"/>
        <v>23.284600000000001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0130-18</v>
      </c>
      <c r="AE43" s="85" t="str">
        <f t="shared" si="12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43" s="82" t="str">
        <f t="shared" si="13"/>
        <v>"C:\Program Files (x86)\AstroGrep\AstroGrep.exe" /e /r /s /spath="%USERPROFILE%\AppData\Local\Temp\OnboardLogs" /stypes="app*4010*20170318*"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130-18 --locoid 4010 --swversion DE.1.0.9.0 --startMP 204:232998 --initTime 2017-03-18T08:05:45 --startdatetime 2017-03-18T08:11:20 --delay 1 --endMP 204:152 --enddatetime 2017-03-18T08:51:19 --enforcementcount 0 &gt;&gt;C:\Users\stu\Documents\GitHub\eaglep3-reporting\EC\2017-03-18-refined-times.txt</v>
      </c>
      <c r="AI4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{"issue":{"subject":"","project_id":79,"tracker_id":40,"status_id":1,"priority_id":2,"assigned_to_id":23,"start_date":"2017-03-18","description":"","custom_fields":[{"id":1,"name":"Subdivision","value":"EC"},{"id":4,"name":"Milepost","value":"0.0152"},{"id":17,"name":"Train ID","value":"130-18"},{"id":16,"name":"Locomotive ID","value":"4010"},{"id":130,"name":"Impact","value":""},{"id":150,"name":"Time of Event (Mountain Time)","value":"08:51:19"},{"id":151,"name":"Denver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4010 --day 2017-03-18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638</v>
      </c>
      <c r="B44" s="7">
        <v>4051</v>
      </c>
      <c r="C44" s="21" t="s">
        <v>222</v>
      </c>
      <c r="D44" s="21" t="s">
        <v>227</v>
      </c>
      <c r="E44" s="13">
        <v>42812.309629629628</v>
      </c>
      <c r="F44" s="13">
        <v>42812.312696759262</v>
      </c>
      <c r="G44" s="7">
        <v>1</v>
      </c>
      <c r="H44" s="21" t="s">
        <v>529</v>
      </c>
      <c r="I44" s="13">
        <v>42812.33792824074</v>
      </c>
      <c r="J44" s="7">
        <v>0</v>
      </c>
      <c r="K44" s="98" t="str">
        <f t="shared" si="0"/>
        <v>4051/4052</v>
      </c>
      <c r="L44" s="21" t="str">
        <f>VLOOKUP(A44,'Trips&amp;Operators'!$C$1:$G$99999,5,FALSE)</f>
        <v>ROBINSON KADDIBA</v>
      </c>
      <c r="M44" s="6">
        <f t="shared" si="1"/>
        <v>2.5231481478840578E-2</v>
      </c>
      <c r="N44" s="7">
        <f t="shared" si="21"/>
        <v>36.333333329530433</v>
      </c>
      <c r="O44" s="7"/>
      <c r="P44" s="7"/>
      <c r="Q44" s="22"/>
      <c r="R44" s="22"/>
      <c r="S44" s="31">
        <f t="shared" si="22"/>
        <v>1</v>
      </c>
      <c r="T44" s="46" t="str">
        <f t="shared" si="4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-18T06:25:52-0600',mode:absolute,to:'2017-03-18T09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4.6699999999999998E-2</v>
      </c>
      <c r="Z44" s="62">
        <f t="shared" si="9"/>
        <v>23.330500000000001</v>
      </c>
      <c r="AA44" s="62">
        <f t="shared" si="10"/>
        <v>23.283799999999999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0131-18</v>
      </c>
      <c r="AE44" s="85" t="str">
        <f t="shared" si="12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44" s="82" t="str">
        <f t="shared" si="13"/>
        <v>"C:\Program Files (x86)\AstroGrep\AstroGrep.exe" /e /r /s /spath="%USERPROFILE%\AppData\Local\Temp\OnboardLogs" /stypes="app*4051*20170318*" /stext=" 14:.+((SYSTEM_STATE.+slice.+state.+changed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131-18 --locoid 4051 --swversion DE.1.0.9.0 --startMP 204:467 --initTime 2017-03-18T07:25:52 --startdatetime 2017-03-18T07:30:17 --delay 1 --endMP 204:233305 --enddatetime 2017-03-18T08:06:37 --enforcementcount 0 &gt;&gt;C:\Users\stu\Documents\GitHub\eaglep3-reporting\EC\2017-03-18-refined-times.txt</v>
      </c>
      <c r="AI4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{"issue":{"subject":"","project_id":79,"tracker_id":40,"status_id":1,"priority_id":2,"assigned_to_id":23,"start_date":"2017-03-18","description":"","custom_fields":[{"id":1,"name":"Subdivision","value":"EC"},{"id":4,"name":"Milepost","value":"23.3305"},{"id":17,"name":"Train ID","value":"131-18"},{"id":16,"name":"Locomotive ID","value":"4051"},{"id":130,"name":"Impact","value":""},{"id":150,"name":"Time of Event (Mountain Time)","value":"08:06:37"},{"id":151,"name":"Denver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4051 --day 2017-03-18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647</v>
      </c>
      <c r="B45" s="7">
        <v>4052</v>
      </c>
      <c r="C45" s="21" t="s">
        <v>222</v>
      </c>
      <c r="D45" s="21" t="s">
        <v>470</v>
      </c>
      <c r="E45" s="13">
        <v>42812.346226851849</v>
      </c>
      <c r="F45" s="13">
        <v>42812.351550925923</v>
      </c>
      <c r="G45" s="7">
        <v>1</v>
      </c>
      <c r="H45" s="21" t="s">
        <v>200</v>
      </c>
      <c r="I45" s="13">
        <v>42812.377847222226</v>
      </c>
      <c r="J45" s="7">
        <v>0</v>
      </c>
      <c r="K45" s="98" t="str">
        <f t="shared" si="0"/>
        <v>4051/4052</v>
      </c>
      <c r="L45" s="21" t="str">
        <f>VLOOKUP(A45,'Trips&amp;Operators'!$C$1:$G$99999,5,FALSE)</f>
        <v>ROBINSON KADDIBA</v>
      </c>
      <c r="M45" s="6">
        <f t="shared" si="1"/>
        <v>2.6296296302461997E-2</v>
      </c>
      <c r="N45" s="7">
        <f t="shared" si="21"/>
        <v>37.866666675545275</v>
      </c>
      <c r="O45" s="7"/>
      <c r="P45" s="7"/>
      <c r="Q45" s="22"/>
      <c r="R45" s="22"/>
      <c r="S45" s="31">
        <f t="shared" si="22"/>
        <v>1</v>
      </c>
      <c r="T45" s="46" t="str">
        <f t="shared" si="4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-18T07:18:34-0600',mode:absolute,to:'2017-03-18T10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5" s="187" t="str">
        <f t="shared" si="6"/>
        <v>N</v>
      </c>
      <c r="X45" s="187">
        <f t="shared" ref="X45:X76" si="23">VALUE(LEFT(AD45,4))-VALUE(LEFT(AD44,4))</f>
        <v>1</v>
      </c>
      <c r="Y45" s="62">
        <f t="shared" ref="Y45:Y76" si="24">RIGHT(D45,LEN(D45)-4)/10000</f>
        <v>23.299199999999999</v>
      </c>
      <c r="Z45" s="62">
        <f t="shared" ref="Z45:Z76" si="25">RIGHT(H45,LEN(H45)-4)/10000</f>
        <v>1.5800000000000002E-2</v>
      </c>
      <c r="AA45" s="62">
        <f t="shared" si="10"/>
        <v>23.2834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0132-18</v>
      </c>
      <c r="AE45" s="85" t="str">
        <f t="shared" si="12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45" s="82" t="str">
        <f t="shared" si="13"/>
        <v>"C:\Program Files (x86)\AstroGrep\AstroGrep.exe" /e /r /s /spath="%USERPROFILE%\AppData\Local\Temp\OnboardLogs" /stypes="app*4052*20170318*" /stext=" 15:.+((SYSTEM_STATE.+slice.+state.+changed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132-18 --locoid 4052 --swversion DE.1.0.9.0 --startMP 204:232992 --initTime 2017-03-18T08:18:34 --startdatetime 2017-03-18T08:26:14 --delay 1 --endMP 204:158 --enddatetime 2017-03-18T09:04:06 --enforcementcount 0 &gt;&gt;C:\Users\stu\Documents\GitHub\eaglep3-reporting\EC\2017-03-18-refined-times.txt</v>
      </c>
      <c r="AI4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{"issue":{"subject":"","project_id":79,"tracker_id":40,"status_id":1,"priority_id":2,"assigned_to_id":23,"start_date":"2017-03-18","description":"","custom_fields":[{"id":1,"name":"Subdivision","value":"EC"},{"id":4,"name":"Milepost","value":"0.0158"},{"id":17,"name":"Train ID","value":"132-18"},{"id":16,"name":"Locomotive ID","value":"4052"},{"id":130,"name":"Impact","value":""},{"id":150,"name":"Time of Event (Mountain Time)","value":"09:04:06"},{"id":151,"name":"Denver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4052 --day 2017-03-18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641</v>
      </c>
      <c r="B46" s="7">
        <v>4027</v>
      </c>
      <c r="C46" s="21" t="s">
        <v>222</v>
      </c>
      <c r="D46" s="21" t="s">
        <v>404</v>
      </c>
      <c r="E46" s="13">
        <v>42812.318692129629</v>
      </c>
      <c r="F46" s="13">
        <v>42812.323171296295</v>
      </c>
      <c r="G46" s="7">
        <v>1</v>
      </c>
      <c r="H46" s="21" t="s">
        <v>226</v>
      </c>
      <c r="I46" s="13">
        <v>42812.347962962966</v>
      </c>
      <c r="J46" s="7">
        <v>0</v>
      </c>
      <c r="K46" s="98" t="str">
        <f t="shared" si="0"/>
        <v>4027/4028</v>
      </c>
      <c r="L46" s="21" t="str">
        <f>VLOOKUP(A46,'Trips&amp;Operators'!$C$1:$G$99999,5,FALSE)</f>
        <v>MAELZER KURT</v>
      </c>
      <c r="M46" s="6">
        <f t="shared" si="1"/>
        <v>2.4791666670353152E-2</v>
      </c>
      <c r="N46" s="7">
        <f t="shared" si="21"/>
        <v>35.700000005308539</v>
      </c>
      <c r="O46" s="7"/>
      <c r="P46" s="7"/>
      <c r="Q46" s="22"/>
      <c r="R46" s="22"/>
      <c r="S46" s="31">
        <f t="shared" si="22"/>
        <v>1</v>
      </c>
      <c r="T46" s="46" t="str">
        <f t="shared" si="4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-18T06:38:55-0600',mode:absolute,to:'2017-03-18T09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87" t="str">
        <f t="shared" si="6"/>
        <v>N</v>
      </c>
      <c r="X46" s="187">
        <f t="shared" si="23"/>
        <v>1</v>
      </c>
      <c r="Y46" s="62">
        <f t="shared" si="24"/>
        <v>4.6199999999999998E-2</v>
      </c>
      <c r="Z46" s="62">
        <f t="shared" si="25"/>
        <v>23.331199999999999</v>
      </c>
      <c r="AA46" s="62">
        <f t="shared" si="10"/>
        <v>23.285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0133-18</v>
      </c>
      <c r="AE46" s="85" t="str">
        <f t="shared" si="12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46" s="82" t="str">
        <f t="shared" si="13"/>
        <v>"C:\Program Files (x86)\AstroGrep\AstroGrep.exe" /e /r /s /spath="%USERPROFILE%\AppData\Local\Temp\OnboardLogs" /stypes="app*4027*20170318*"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133-18 --locoid 4027 --swversion DE.1.0.9.0 --startMP 204:462 --initTime 2017-03-18T07:38:55 --startdatetime 2017-03-18T07:45:22 --delay 1 --endMP 204:233312 --enddatetime 2017-03-18T08:21:04 --enforcementcount 0 &gt;&gt;C:\Users\stu\Documents\GitHub\eaglep3-reporting\EC\2017-03-18-refined-times.txt</v>
      </c>
      <c r="AI4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{"issue":{"subject":"","project_id":79,"tracker_id":40,"status_id":1,"priority_id":2,"assigned_to_id":23,"start_date":"2017-03-18","description":"","custom_fields":[{"id":1,"name":"Subdivision","value":"EC"},{"id":4,"name":"Milepost","value":"23.3312"},{"id":17,"name":"Train ID","value":"133-18"},{"id":16,"name":"Locomotive ID","value":"4027"},{"id":130,"name":"Impact","value":""},{"id":150,"name":"Time of Event (Mountain Time)","value":"08:21:04"},{"id":151,"name":"Denver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4027 --day 2017-03-18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649</v>
      </c>
      <c r="B47" s="7">
        <v>4028</v>
      </c>
      <c r="C47" s="21" t="s">
        <v>222</v>
      </c>
      <c r="D47" s="21" t="s">
        <v>233</v>
      </c>
      <c r="E47" s="13">
        <v>42812.35260416667</v>
      </c>
      <c r="F47" s="13">
        <v>42812.362071759257</v>
      </c>
      <c r="G47" s="7">
        <v>1</v>
      </c>
      <c r="H47" s="21" t="s">
        <v>191</v>
      </c>
      <c r="I47" s="13">
        <v>42812.388414351852</v>
      </c>
      <c r="J47" s="7">
        <v>0</v>
      </c>
      <c r="K47" s="98" t="str">
        <f t="shared" si="0"/>
        <v>4027/4028</v>
      </c>
      <c r="L47" s="21" t="str">
        <f>VLOOKUP(A47,'Trips&amp;Operators'!$C$1:$G$99999,5,FALSE)</f>
        <v>MAELZER KURT</v>
      </c>
      <c r="M47" s="6">
        <f t="shared" si="1"/>
        <v>2.6342592595028691E-2</v>
      </c>
      <c r="N47" s="7">
        <f t="shared" si="21"/>
        <v>37.933333336841315</v>
      </c>
      <c r="O47" s="7"/>
      <c r="P47" s="7"/>
      <c r="Q47" s="22"/>
      <c r="R47" s="22"/>
      <c r="S47" s="31">
        <f t="shared" si="22"/>
        <v>1</v>
      </c>
      <c r="T47" s="46" t="str">
        <f t="shared" si="4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-18T07:27:45-0600',mode:absolute,to:'2017-03-18T10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187" t="str">
        <f t="shared" si="6"/>
        <v>N</v>
      </c>
      <c r="X47" s="187">
        <f t="shared" si="23"/>
        <v>1</v>
      </c>
      <c r="Y47" s="62">
        <f t="shared" si="24"/>
        <v>23.300599999999999</v>
      </c>
      <c r="Z47" s="62">
        <f t="shared" si="25"/>
        <v>1.4999999999999999E-2</v>
      </c>
      <c r="AA47" s="62">
        <f t="shared" si="10"/>
        <v>23.285599999999999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0134-18</v>
      </c>
      <c r="AE47" s="85" t="str">
        <f t="shared" si="12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47" s="82" t="str">
        <f t="shared" si="13"/>
        <v>"C:\Program Files (x86)\AstroGrep\AstroGrep.exe" /e /r /s /spath="%USERPROFILE%\AppData\Local\Temp\OnboardLogs" /stypes="app*4028*20170318*"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134-18 --locoid 4028 --swversion DE.1.0.9.0 --startMP 204:233006 --initTime 2017-03-18T08:27:45 --startdatetime 2017-03-18T08:41:23 --delay 1 --endMP 204:150 --enddatetime 2017-03-18T09:19:19 --enforcementcount 0 &gt;&gt;C:\Users\stu\Documents\GitHub\eaglep3-reporting\EC\2017-03-18-refined-times.txt</v>
      </c>
      <c r="AI4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{"issue":{"subject":"","project_id":79,"tracker_id":40,"status_id":1,"priority_id":2,"assigned_to_id":23,"start_date":"2017-03-18","description":"","custom_fields":[{"id":1,"name":"Subdivision","value":"EC"},{"id":4,"name":"Milepost","value":"0.015"},{"id":17,"name":"Train ID","value":"134-18"},{"id":16,"name":"Locomotive ID","value":"4028"},{"id":130,"name":"Impact","value":""},{"id":150,"name":"Time of Event (Mountain Time)","value":"09:19:19"},{"id":151,"name":"Denver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4028 --day 2017-03-18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642</v>
      </c>
      <c r="B48" s="7">
        <v>4031</v>
      </c>
      <c r="C48" s="21" t="s">
        <v>222</v>
      </c>
      <c r="D48" s="21" t="s">
        <v>797</v>
      </c>
      <c r="E48" s="13">
        <v>42812.324803240743</v>
      </c>
      <c r="F48" s="13">
        <v>42812.333518518521</v>
      </c>
      <c r="G48" s="7">
        <v>1</v>
      </c>
      <c r="H48" s="21" t="s">
        <v>798</v>
      </c>
      <c r="I48" s="13">
        <v>42812.358969907407</v>
      </c>
      <c r="J48" s="7">
        <v>0</v>
      </c>
      <c r="K48" s="98" t="str">
        <f t="shared" si="0"/>
        <v>4031/4032</v>
      </c>
      <c r="L48" s="21" t="str">
        <f>VLOOKUP(A48,'Trips&amp;Operators'!$C$1:$G$99999,5,FALSE)</f>
        <v>DAVIS WENDY</v>
      </c>
      <c r="M48" s="6">
        <f t="shared" si="1"/>
        <v>2.545138888672227E-2</v>
      </c>
      <c r="N48" s="7">
        <f t="shared" si="21"/>
        <v>36.649999996880069</v>
      </c>
      <c r="O48" s="7"/>
      <c r="P48" s="7"/>
      <c r="Q48" s="22"/>
      <c r="R48" s="22"/>
      <c r="S48" s="31">
        <f t="shared" si="22"/>
        <v>1</v>
      </c>
      <c r="T48" s="46" t="str">
        <f t="shared" si="4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-18T06:47:43-0600',mode:absolute,to:'2017-03-18T09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187" t="str">
        <f t="shared" si="6"/>
        <v>N</v>
      </c>
      <c r="X48" s="187">
        <f t="shared" si="23"/>
        <v>1</v>
      </c>
      <c r="Y48" s="62">
        <f t="shared" si="24"/>
        <v>0.14810000000000001</v>
      </c>
      <c r="Z48" s="62">
        <f t="shared" si="25"/>
        <v>23.330300000000001</v>
      </c>
      <c r="AA48" s="62">
        <f t="shared" si="10"/>
        <v>23.182200000000002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0135-18</v>
      </c>
      <c r="AE48" s="85" t="str">
        <f t="shared" si="12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48" s="82" t="str">
        <f t="shared" si="13"/>
        <v>"C:\Program Files (x86)\AstroGrep\AstroGrep.exe" /e /r /s /spath="%USERPROFILE%\AppData\Local\Temp\OnboardLogs" /stypes="app*4031*20170318*" /stext=" 14:.+((SYSTEM_STATE.+slice.+state.+changed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135-18 --locoid 4031 --swversion DE.1.0.9.0 --startMP 204:1481 --initTime 2017-03-18T07:47:43 --startdatetime 2017-03-18T08:00:16 --delay 1 --endMP 204:233303 --enddatetime 2017-03-18T08:36:55 --enforcementcount 0 &gt;&gt;C:\Users\stu\Documents\GitHub\eaglep3-reporting\EC\2017-03-18-refined-times.txt</v>
      </c>
      <c r="AI4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{"issue":{"subject":"","project_id":79,"tracker_id":40,"status_id":1,"priority_id":2,"assigned_to_id":23,"start_date":"2017-03-18","description":"","custom_fields":[{"id":1,"name":"Subdivision","value":"EC"},{"id":4,"name":"Milepost","value":"23.3303"},{"id":17,"name":"Train ID","value":"135-18"},{"id":16,"name":"Locomotive ID","value":"4031"},{"id":130,"name":"Impact","value":""},{"id":150,"name":"Time of Event (Mountain Time)","value":"08:36:55"},{"id":151,"name":"Denver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4031 --day 2017-03-18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653</v>
      </c>
      <c r="B49" s="7">
        <v>4032</v>
      </c>
      <c r="C49" s="21" t="s">
        <v>222</v>
      </c>
      <c r="D49" s="21" t="s">
        <v>451</v>
      </c>
      <c r="E49" s="13">
        <v>42812.371689814812</v>
      </c>
      <c r="F49" s="13">
        <v>42812.373032407406</v>
      </c>
      <c r="G49" s="7">
        <v>1</v>
      </c>
      <c r="H49" s="21" t="s">
        <v>799</v>
      </c>
      <c r="I49" s="13">
        <v>42812.401134259257</v>
      </c>
      <c r="J49" s="7">
        <v>0</v>
      </c>
      <c r="K49" s="98" t="str">
        <f t="shared" si="0"/>
        <v>4031/4032</v>
      </c>
      <c r="L49" s="21" t="str">
        <f>VLOOKUP(A49,'Trips&amp;Operators'!$C$1:$G$99999,5,FALSE)</f>
        <v>DAVIS WENDY</v>
      </c>
      <c r="M49" s="6">
        <f t="shared" si="1"/>
        <v>2.810185185080627E-2</v>
      </c>
      <c r="N49" s="7">
        <f t="shared" si="21"/>
        <v>40.466666665161029</v>
      </c>
      <c r="O49" s="7"/>
      <c r="P49" s="7"/>
      <c r="Q49" s="22"/>
      <c r="R49" s="22"/>
      <c r="S49" s="31">
        <f t="shared" si="22"/>
        <v>1</v>
      </c>
      <c r="T49" s="46" t="str">
        <f t="shared" si="4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-18T07:55:14-0600',mode:absolute,to:'2017-03-18T10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87" t="str">
        <f t="shared" si="6"/>
        <v>N</v>
      </c>
      <c r="X49" s="187">
        <f t="shared" si="23"/>
        <v>1</v>
      </c>
      <c r="Y49" s="62">
        <f t="shared" si="24"/>
        <v>23.297799999999999</v>
      </c>
      <c r="Z49" s="62">
        <f t="shared" si="25"/>
        <v>1.89E-2</v>
      </c>
      <c r="AA49" s="62">
        <f t="shared" si="10"/>
        <v>23.2789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0136-18</v>
      </c>
      <c r="AE49" s="85" t="str">
        <f t="shared" si="12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49" s="82" t="str">
        <f t="shared" si="13"/>
        <v>"C:\Program Files (x86)\AstroGrep\AstroGrep.exe" /e /r /s /spath="%USERPROFILE%\AppData\Local\Temp\OnboardLogs" /stypes="app*4032*20170318*"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136-18 --locoid 4032 --swversion DE.1.0.9.0 --startMP 204:232978 --initTime 2017-03-18T08:55:14 --startdatetime 2017-03-18T08:57:10 --delay 1 --endMP 204:189 --enddatetime 2017-03-18T09:37:38 --enforcementcount 0 &gt;&gt;C:\Users\stu\Documents\GitHub\eaglep3-reporting\EC\2017-03-18-refined-times.txt</v>
      </c>
      <c r="AI4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{"issue":{"subject":"","project_id":79,"tracker_id":40,"status_id":1,"priority_id":2,"assigned_to_id":23,"start_date":"2017-03-18","description":"","custom_fields":[{"id":1,"name":"Subdivision","value":"EC"},{"id":4,"name":"Milepost","value":"0.0189"},{"id":17,"name":"Train ID","value":"136-18"},{"id":16,"name":"Locomotive ID","value":"4032"},{"id":130,"name":"Impact","value":""},{"id":150,"name":"Time of Event (Mountain Time)","value":"09:37:38"},{"id":151,"name":"Denver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4032 --day 2017-03-18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646</v>
      </c>
      <c r="B50" s="7">
        <v>4014</v>
      </c>
      <c r="C50" s="21" t="s">
        <v>222</v>
      </c>
      <c r="D50" s="21" t="s">
        <v>215</v>
      </c>
      <c r="E50" s="13">
        <v>42812.33766203704</v>
      </c>
      <c r="F50" s="13">
        <v>42812.343912037039</v>
      </c>
      <c r="G50" s="7">
        <v>1</v>
      </c>
      <c r="H50" s="21" t="s">
        <v>800</v>
      </c>
      <c r="I50" s="13">
        <v>42812.368935185186</v>
      </c>
      <c r="J50" s="7">
        <v>0</v>
      </c>
      <c r="K50" s="98" t="str">
        <f t="shared" si="0"/>
        <v>4013/4014</v>
      </c>
      <c r="L50" s="21" t="str">
        <f>VLOOKUP(A50,'Trips&amp;Operators'!$C$1:$G$99999,5,FALSE)</f>
        <v>SANTIZO D. EDY</v>
      </c>
      <c r="M50" s="6">
        <f t="shared" si="1"/>
        <v>2.5023148147738539E-2</v>
      </c>
      <c r="N50" s="7">
        <f t="shared" si="21"/>
        <v>36.033333332743496</v>
      </c>
      <c r="O50" s="7"/>
      <c r="P50" s="7"/>
      <c r="Q50" s="22"/>
      <c r="R50" s="22"/>
      <c r="S50" s="31">
        <f t="shared" si="22"/>
        <v>1</v>
      </c>
      <c r="T50" s="46" t="str">
        <f t="shared" si="4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-18T07:06:14-0600',mode:absolute,to:'2017-03-18T09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0" s="187" t="str">
        <f t="shared" si="6"/>
        <v>N</v>
      </c>
      <c r="X50" s="187">
        <f t="shared" si="23"/>
        <v>1</v>
      </c>
      <c r="Y50" s="62">
        <f t="shared" si="24"/>
        <v>4.3999999999999997E-2</v>
      </c>
      <c r="Z50" s="62">
        <f t="shared" si="25"/>
        <v>23.331399999999999</v>
      </c>
      <c r="AA50" s="62">
        <f t="shared" si="10"/>
        <v>23.287399999999998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0137-18</v>
      </c>
      <c r="AE50" s="85" t="str">
        <f t="shared" si="12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50" s="82" t="str">
        <f t="shared" si="13"/>
        <v>"C:\Program Files (x86)\AstroGrep\AstroGrep.exe" /e /r /s /spath="%USERPROFILE%\AppData\Local\Temp\OnboardLogs" /stypes="app*4014*20170318*" /stext=" 14:.+((SYSTEM_STATE.+slice.+state.+changed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137-18 --locoid 4014 --swversion DE.1.0.9.0 --startMP 204:440 --initTime 2017-03-18T08:06:14 --startdatetime 2017-03-18T08:15:14 --delay 1 --endMP 204:233314 --enddatetime 2017-03-18T08:51:16 --enforcementcount 0 &gt;&gt;C:\Users\stu\Documents\GitHub\eaglep3-reporting\EC\2017-03-18-refined-times.txt</v>
      </c>
      <c r="AI5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{"issue":{"subject":"","project_id":79,"tracker_id":40,"status_id":1,"priority_id":2,"assigned_to_id":23,"start_date":"2017-03-18","description":"","custom_fields":[{"id":1,"name":"Subdivision","value":"EC"},{"id":4,"name":"Milepost","value":"23.3314"},{"id":17,"name":"Train ID","value":"137-18"},{"id":16,"name":"Locomotive ID","value":"4014"},{"id":130,"name":"Impact","value":""},{"id":150,"name":"Time of Event (Mountain Time)","value":"08:51:16"},{"id":151,"name":"Denver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4014 --day 2017-03-18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652</v>
      </c>
      <c r="B51" s="7">
        <v>4013</v>
      </c>
      <c r="C51" s="21" t="s">
        <v>222</v>
      </c>
      <c r="D51" s="21" t="s">
        <v>415</v>
      </c>
      <c r="E51" s="13">
        <v>42812.370138888888</v>
      </c>
      <c r="F51" s="13">
        <v>42812.382800925923</v>
      </c>
      <c r="G51" s="7">
        <v>1</v>
      </c>
      <c r="H51" s="21" t="s">
        <v>406</v>
      </c>
      <c r="I51" s="13">
        <v>42812.40865740741</v>
      </c>
      <c r="J51" s="7">
        <v>0</v>
      </c>
      <c r="K51" s="98" t="str">
        <f t="shared" si="0"/>
        <v>4013/4014</v>
      </c>
      <c r="L51" s="21" t="str">
        <f>VLOOKUP(A51,'Trips&amp;Operators'!$C$1:$G$99999,5,FALSE)</f>
        <v>SANTIZO D. EDY</v>
      </c>
      <c r="M51" s="6">
        <f t="shared" si="1"/>
        <v>2.5856481486698613E-2</v>
      </c>
      <c r="N51" s="7">
        <f t="shared" si="21"/>
        <v>37.233333340846002</v>
      </c>
      <c r="O51" s="7"/>
      <c r="P51" s="7"/>
      <c r="Q51" s="22"/>
      <c r="R51" s="22"/>
      <c r="S51" s="31">
        <f t="shared" si="22"/>
        <v>1</v>
      </c>
      <c r="T51" s="46" t="str">
        <f t="shared" si="4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-18T07:53:00-0600',mode:absolute,to:'2017-03-18T10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1" s="187" t="str">
        <f t="shared" si="6"/>
        <v>N</v>
      </c>
      <c r="X51" s="187">
        <f t="shared" si="23"/>
        <v>1</v>
      </c>
      <c r="Y51" s="62">
        <f t="shared" si="24"/>
        <v>23.2987</v>
      </c>
      <c r="Z51" s="62">
        <f t="shared" si="25"/>
        <v>1.38E-2</v>
      </c>
      <c r="AA51" s="62">
        <f t="shared" si="10"/>
        <v>23.2849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0138-18</v>
      </c>
      <c r="AE51" s="85" t="str">
        <f t="shared" si="12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51" s="82" t="str">
        <f t="shared" si="13"/>
        <v>"C:\Program Files (x86)\AstroGrep\AstroGrep.exe" /e /r /s /spath="%USERPROFILE%\AppData\Local\Temp\OnboardLogs" /stypes="app*4013*20170318*"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138-18 --locoid 4013 --swversion DE.1.0.9.0 --startMP 204:232987 --initTime 2017-03-18T08:53:00 --startdatetime 2017-03-18T09:11:14 --delay 1 --endMP 204:138 --enddatetime 2017-03-18T09:48:28 --enforcementcount 0 &gt;&gt;C:\Users\stu\Documents\GitHub\eaglep3-reporting\EC\2017-03-18-refined-times.txt</v>
      </c>
      <c r="AI5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{"issue":{"subject":"","project_id":79,"tracker_id":40,"status_id":1,"priority_id":2,"assigned_to_id":23,"start_date":"2017-03-18","description":"","custom_fields":[{"id":1,"name":"Subdivision","value":"EC"},{"id":4,"name":"Milepost","value":"0.0138"},{"id":17,"name":"Train ID","value":"138-18"},{"id":16,"name":"Locomotive ID","value":"4013"},{"id":130,"name":"Impact","value":""},{"id":150,"name":"Time of Event (Mountain Time)","value":"09:48:28"},{"id":151,"name":"Denver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4013 --day 2017-03-18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648</v>
      </c>
      <c r="B52" s="7">
        <v>4044</v>
      </c>
      <c r="C52" s="21" t="s">
        <v>222</v>
      </c>
      <c r="D52" s="21" t="s">
        <v>219</v>
      </c>
      <c r="E52" s="13">
        <v>42812.351886574077</v>
      </c>
      <c r="F52" s="13">
        <v>42812.354421296295</v>
      </c>
      <c r="G52" s="7">
        <v>1</v>
      </c>
      <c r="H52" s="21" t="s">
        <v>798</v>
      </c>
      <c r="I52" s="13">
        <v>42812.378784722219</v>
      </c>
      <c r="J52" s="7">
        <v>0</v>
      </c>
      <c r="K52" s="98" t="str">
        <f t="shared" si="0"/>
        <v>4043/4044</v>
      </c>
      <c r="L52" s="21" t="str">
        <f>VLOOKUP(A52,'Trips&amp;Operators'!$C$1:$G$99999,5,FALSE)</f>
        <v>LOZA FIDEL</v>
      </c>
      <c r="M52" s="6">
        <f t="shared" si="1"/>
        <v>2.4363425924093463E-2</v>
      </c>
      <c r="N52" s="7">
        <f t="shared" si="21"/>
        <v>35.083333330694586</v>
      </c>
      <c r="O52" s="7"/>
      <c r="P52" s="7"/>
      <c r="Q52" s="22"/>
      <c r="R52" s="22"/>
      <c r="S52" s="31">
        <f t="shared" si="22"/>
        <v>1</v>
      </c>
      <c r="T52" s="46" t="str">
        <f t="shared" si="4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-18T07:26:43-0600',mode:absolute,to:'2017-03-18T10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2" s="187" t="str">
        <f t="shared" si="6"/>
        <v>N</v>
      </c>
      <c r="X52" s="187">
        <f t="shared" si="23"/>
        <v>1</v>
      </c>
      <c r="Y52" s="62">
        <f t="shared" si="24"/>
        <v>4.6600000000000003E-2</v>
      </c>
      <c r="Z52" s="62">
        <f t="shared" si="25"/>
        <v>23.330300000000001</v>
      </c>
      <c r="AA52" s="62">
        <f t="shared" si="10"/>
        <v>23.2837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0139-18</v>
      </c>
      <c r="AE52" s="85" t="str">
        <f t="shared" si="12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52" s="82" t="str">
        <f t="shared" si="13"/>
        <v>"C:\Program Files (x86)\AstroGrep\AstroGrep.exe" /e /r /s /spath="%USERPROFILE%\AppData\Local\Temp\OnboardLogs" /stypes="app*4044*20170318*" /stext=" 15:.+((SYSTEM_STATE.+slice.+state.+changed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139-18 --locoid 4044 --swversion DE.1.0.9.0 --startMP 204:466 --initTime 2017-03-18T08:26:43 --startdatetime 2017-03-18T08:30:22 --delay 1 --endMP 204:233303 --enddatetime 2017-03-18T09:05:27 --enforcementcount 0 &gt;&gt;C:\Users\stu\Documents\GitHub\eaglep3-reporting\EC\2017-03-18-refined-times.txt</v>
      </c>
      <c r="AI5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{"issue":{"subject":"","project_id":79,"tracker_id":40,"status_id":1,"priority_id":2,"assigned_to_id":23,"start_date":"2017-03-18","description":"","custom_fields":[{"id":1,"name":"Subdivision","value":"EC"},{"id":4,"name":"Milepost","value":"23.3303"},{"id":17,"name":"Train ID","value":"139-18"},{"id":16,"name":"Locomotive ID","value":"4044"},{"id":130,"name":"Impact","value":""},{"id":150,"name":"Time of Event (Mountain Time)","value":"09:05:27"},{"id":151,"name":"Denver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4044 --day 2017-03-18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657</v>
      </c>
      <c r="B53" s="7">
        <v>4043</v>
      </c>
      <c r="C53" s="21" t="s">
        <v>222</v>
      </c>
      <c r="D53" s="21" t="s">
        <v>477</v>
      </c>
      <c r="E53" s="13">
        <v>42812.388784722221</v>
      </c>
      <c r="F53" s="13">
        <v>42812.39366898148</v>
      </c>
      <c r="G53" s="7">
        <v>1</v>
      </c>
      <c r="H53" s="21" t="s">
        <v>184</v>
      </c>
      <c r="I53" s="13">
        <v>42812.421076388891</v>
      </c>
      <c r="J53" s="7">
        <v>0</v>
      </c>
      <c r="K53" s="98" t="str">
        <f t="shared" si="0"/>
        <v>4043/4044</v>
      </c>
      <c r="L53" s="21" t="str">
        <f>VLOOKUP(A53,'Trips&amp;Operators'!$C$1:$G$99999,5,FALSE)</f>
        <v>LOZA FIDEL</v>
      </c>
      <c r="M53" s="6">
        <f t="shared" si="1"/>
        <v>2.7407407411374152E-2</v>
      </c>
      <c r="N53" s="7">
        <f t="shared" si="21"/>
        <v>39.466666672378778</v>
      </c>
      <c r="O53" s="7"/>
      <c r="P53" s="7"/>
      <c r="Q53" s="22"/>
      <c r="R53" s="22"/>
      <c r="S53" s="31">
        <f t="shared" si="22"/>
        <v>1</v>
      </c>
      <c r="T53" s="46" t="str">
        <f t="shared" si="4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-18T08:19:51-0600',mode:absolute,to:'2017-03-18T11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3" s="187" t="str">
        <f t="shared" si="6"/>
        <v>N</v>
      </c>
      <c r="X53" s="187">
        <f t="shared" si="23"/>
        <v>1</v>
      </c>
      <c r="Y53" s="62">
        <f t="shared" si="24"/>
        <v>23.299399999999999</v>
      </c>
      <c r="Z53" s="62">
        <f t="shared" si="25"/>
        <v>1.49E-2</v>
      </c>
      <c r="AA53" s="62">
        <f t="shared" si="10"/>
        <v>23.284499999999998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0140-18</v>
      </c>
      <c r="AE53" s="85" t="str">
        <f t="shared" si="12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53" s="82" t="str">
        <f t="shared" si="13"/>
        <v>"C:\Program Files (x86)\AstroGrep\AstroGrep.exe" /e /r /s /spath="%USERPROFILE%\AppData\Local\Temp\OnboardLogs" /stypes="app*4043*20170318*" /stext=" 16:.+((SYSTEM_STATE.+slice.+state.+changed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140-18 --locoid 4043 --swversion DE.1.0.9.0 --startMP 204:232994 --initTime 2017-03-18T09:19:51 --startdatetime 2017-03-18T09:26:53 --delay 1 --endMP 204:149 --enddatetime 2017-03-18T10:06:21 --enforcementcount 0 &gt;&gt;C:\Users\stu\Documents\GitHub\eaglep3-reporting\EC\2017-03-18-refined-times.txt</v>
      </c>
      <c r="AI5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{"issue":{"subject":"","project_id":79,"tracker_id":40,"status_id":1,"priority_id":2,"assigned_to_id":23,"start_date":"2017-03-18","description":"","custom_fields":[{"id":1,"name":"Subdivision","value":"EC"},{"id":4,"name":"Milepost","value":"0.0149"},{"id":17,"name":"Train ID","value":"140-18"},{"id":16,"name":"Locomotive ID","value":"4043"},{"id":130,"name":"Impact","value":""},{"id":150,"name":"Time of Event (Mountain Time)","value":"10:06:21"},{"id":151,"name":"Denver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4043 --day 2017-03-18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651</v>
      </c>
      <c r="B54" s="7">
        <v>4029</v>
      </c>
      <c r="C54" s="21" t="s">
        <v>222</v>
      </c>
      <c r="D54" s="21" t="s">
        <v>484</v>
      </c>
      <c r="E54" s="13">
        <v>42812.362905092596</v>
      </c>
      <c r="F54" s="13">
        <v>42812.364733796298</v>
      </c>
      <c r="G54" s="7">
        <v>1</v>
      </c>
      <c r="H54" s="21" t="s">
        <v>229</v>
      </c>
      <c r="I54" s="13">
        <v>42812.390196759261</v>
      </c>
      <c r="J54" s="7">
        <v>0</v>
      </c>
      <c r="K54" s="98" t="str">
        <f t="shared" si="0"/>
        <v>4029/4030</v>
      </c>
      <c r="L54" s="21" t="str">
        <f>VLOOKUP(A54,'Trips&amp;Operators'!$C$1:$G$99999,5,FALSE)</f>
        <v>BADERTSCHER DIANE</v>
      </c>
      <c r="M54" s="6">
        <f t="shared" si="1"/>
        <v>2.5462962963501923E-2</v>
      </c>
      <c r="N54" s="7">
        <f t="shared" si="21"/>
        <v>36.666666667442769</v>
      </c>
      <c r="O54" s="7"/>
      <c r="P54" s="7"/>
      <c r="Q54" s="22"/>
      <c r="R54" s="22"/>
      <c r="S54" s="31">
        <f t="shared" si="22"/>
        <v>1</v>
      </c>
      <c r="T54" s="46" t="str">
        <f t="shared" si="4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-18T07:42:35-0600',mode:absolute,to:'2017-03-18T10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187" t="str">
        <f t="shared" si="6"/>
        <v>N</v>
      </c>
      <c r="X54" s="187">
        <f t="shared" si="23"/>
        <v>1</v>
      </c>
      <c r="Y54" s="62">
        <f t="shared" si="24"/>
        <v>4.7699999999999999E-2</v>
      </c>
      <c r="Z54" s="62">
        <f t="shared" si="25"/>
        <v>23.329499999999999</v>
      </c>
      <c r="AA54" s="62">
        <f t="shared" si="10"/>
        <v>23.2818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0141-18</v>
      </c>
      <c r="AE54" s="85" t="str">
        <f t="shared" si="12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54" s="82" t="str">
        <f t="shared" si="13"/>
        <v>"C:\Program Files (x86)\AstroGrep\AstroGrep.exe" /e /r /s /spath="%USERPROFILE%\AppData\Local\Temp\OnboardLogs" /stypes="app*4029*20170318*" /stext=" 15:.+((SYSTEM_STATE.+slice.+state.+changed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141-18 --locoid 4029 --swversion DE.1.0.9.0 --startMP 204:477 --initTime 2017-03-18T08:42:35 --startdatetime 2017-03-18T08:45:13 --delay 1 --endMP 204:233295 --enddatetime 2017-03-18T09:21:53 --enforcementcount 0 &gt;&gt;C:\Users\stu\Documents\GitHub\eaglep3-reporting\EC\2017-03-18-refined-times.txt</v>
      </c>
      <c r="AI5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{"issue":{"subject":"","project_id":79,"tracker_id":40,"status_id":1,"priority_id":2,"assigned_to_id":23,"start_date":"2017-03-18","description":"","custom_fields":[{"id":1,"name":"Subdivision","value":"EC"},{"id":4,"name":"Milepost","value":"23.3295"},{"id":17,"name":"Train ID","value":"141-18"},{"id":16,"name":"Locomotive ID","value":"4029"},{"id":130,"name":"Impact","value":""},{"id":150,"name":"Time of Event (Mountain Time)","value":"09:21:53"},{"id":151,"name":"Denver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4029 --day 2017-03-18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659</v>
      </c>
      <c r="B55" s="7">
        <v>4030</v>
      </c>
      <c r="C55" s="21" t="s">
        <v>222</v>
      </c>
      <c r="D55" s="21" t="s">
        <v>527</v>
      </c>
      <c r="E55" s="13">
        <v>42812.400405092594</v>
      </c>
      <c r="F55" s="13">
        <v>42812.403726851851</v>
      </c>
      <c r="G55" s="7">
        <v>1</v>
      </c>
      <c r="H55" s="21" t="s">
        <v>199</v>
      </c>
      <c r="I55" s="13">
        <v>42812.431423611109</v>
      </c>
      <c r="J55" s="7">
        <v>0</v>
      </c>
      <c r="K55" s="98" t="str">
        <f t="shared" si="0"/>
        <v>4029/4030</v>
      </c>
      <c r="L55" s="21" t="str">
        <f>VLOOKUP(A55,'Trips&amp;Operators'!$C$1:$G$99999,5,FALSE)</f>
        <v>BADERTSCHER DIANE</v>
      </c>
      <c r="M55" s="6">
        <f t="shared" si="1"/>
        <v>2.7696759258105885E-2</v>
      </c>
      <c r="N55" s="7">
        <f t="shared" si="21"/>
        <v>39.883333331672475</v>
      </c>
      <c r="O55" s="7"/>
      <c r="P55" s="7"/>
      <c r="Q55" s="22"/>
      <c r="R55" s="22"/>
      <c r="S55" s="31">
        <f t="shared" si="22"/>
        <v>1</v>
      </c>
      <c r="T55" s="46" t="str">
        <f t="shared" si="4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-18T08:36:35-0600',mode:absolute,to:'2017-03-18T11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5" s="187" t="str">
        <f t="shared" si="6"/>
        <v>N</v>
      </c>
      <c r="X55" s="187">
        <f t="shared" si="23"/>
        <v>1</v>
      </c>
      <c r="Y55" s="62">
        <f t="shared" si="24"/>
        <v>23.298500000000001</v>
      </c>
      <c r="Z55" s="62">
        <f t="shared" si="25"/>
        <v>1.52E-2</v>
      </c>
      <c r="AA55" s="62">
        <f t="shared" si="10"/>
        <v>23.283300000000001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0142-18</v>
      </c>
      <c r="AE55" s="85" t="str">
        <f t="shared" si="12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55" s="82" t="str">
        <f t="shared" si="13"/>
        <v>"C:\Program Files (x86)\AstroGrep\AstroGrep.exe" /e /r /s /spath="%USERPROFILE%\AppData\Local\Temp\OnboardLogs" /stypes="app*4030*20170318*" /stext=" 16:.+((SYSTEM_STATE.+slice.+state.+changed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142-18 --locoid 4030 --swversion DE.1.0.9.0 --startMP 204:232985 --initTime 2017-03-18T09:36:35 --startdatetime 2017-03-18T09:41:22 --delay 1 --endMP 204:152 --enddatetime 2017-03-18T10:21:15 --enforcementcount 0 &gt;&gt;C:\Users\stu\Documents\GitHub\eaglep3-reporting\EC\2017-03-18-refined-times.txt</v>
      </c>
      <c r="AI5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{"issue":{"subject":"","project_id":79,"tracker_id":40,"status_id":1,"priority_id":2,"assigned_to_id":23,"start_date":"2017-03-18","description":"","custom_fields":[{"id":1,"name":"Subdivision","value":"EC"},{"id":4,"name":"Milepost","value":"0.0152"},{"id":17,"name":"Train ID","value":"142-18"},{"id":16,"name":"Locomotive ID","value":"4030"},{"id":130,"name":"Impact","value":""},{"id":150,"name":"Time of Event (Mountain Time)","value":"10:21:15"},{"id":151,"name":"Denver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4030 --day 2017-03-18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654</v>
      </c>
      <c r="B56" s="7">
        <v>4009</v>
      </c>
      <c r="C56" s="21" t="s">
        <v>222</v>
      </c>
      <c r="D56" s="21" t="s">
        <v>484</v>
      </c>
      <c r="E56" s="13">
        <v>42812.371851851851</v>
      </c>
      <c r="F56" s="13">
        <v>42812.375335648147</v>
      </c>
      <c r="G56" s="7">
        <v>1</v>
      </c>
      <c r="H56" s="21" t="s">
        <v>529</v>
      </c>
      <c r="I56" s="13">
        <v>42812.399641203701</v>
      </c>
      <c r="J56" s="7">
        <v>0</v>
      </c>
      <c r="K56" s="98" t="str">
        <f t="shared" si="0"/>
        <v>4009/4010</v>
      </c>
      <c r="L56" s="21" t="str">
        <f>VLOOKUP(A56,'Trips&amp;Operators'!$C$1:$G$99999,5,FALSE)</f>
        <v>GEBRETEKLE DAGNEW</v>
      </c>
      <c r="M56" s="6">
        <f t="shared" si="1"/>
        <v>2.4305555554747116E-2</v>
      </c>
      <c r="N56" s="7">
        <f t="shared" si="21"/>
        <v>34.999999998835847</v>
      </c>
      <c r="O56" s="7"/>
      <c r="P56" s="7"/>
      <c r="Q56" s="22"/>
      <c r="R56" s="22"/>
      <c r="S56" s="31">
        <f t="shared" si="22"/>
        <v>1</v>
      </c>
      <c r="T56" s="46" t="str">
        <f t="shared" si="4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-18T07:55:28-0600',mode:absolute,to:'2017-03-18T10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187" t="str">
        <f t="shared" si="6"/>
        <v>N</v>
      </c>
      <c r="X56" s="187">
        <f t="shared" si="23"/>
        <v>1</v>
      </c>
      <c r="Y56" s="62">
        <f t="shared" si="24"/>
        <v>4.7699999999999999E-2</v>
      </c>
      <c r="Z56" s="62">
        <f t="shared" si="25"/>
        <v>23.330500000000001</v>
      </c>
      <c r="AA56" s="62">
        <f t="shared" si="10"/>
        <v>23.282800000000002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0143-18</v>
      </c>
      <c r="AE56" s="85" t="str">
        <f t="shared" si="12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56" s="82" t="str">
        <f t="shared" si="13"/>
        <v>"C:\Program Files (x86)\AstroGrep\AstroGrep.exe" /e /r /s /spath="%USERPROFILE%\AppData\Local\Temp\OnboardLogs" /stypes="app*4009*20170318*" /stext=" 15:.+((SYSTEM_STATE.+slice.+state.+changed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143-18 --locoid 4009 --swversion DE.1.0.9.0 --startMP 204:477 --initTime 2017-03-18T08:55:28 --startdatetime 2017-03-18T09:00:29 --delay 1 --endMP 204:233305 --enddatetime 2017-03-18T09:35:29 --enforcementcount 0 &gt;&gt;C:\Users\stu\Documents\GitHub\eaglep3-reporting\EC\2017-03-18-refined-times.txt</v>
      </c>
      <c r="AI5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{"issue":{"subject":"","project_id":79,"tracker_id":40,"status_id":1,"priority_id":2,"assigned_to_id":23,"start_date":"2017-03-18","description":"","custom_fields":[{"id":1,"name":"Subdivision","value":"EC"},{"id":4,"name":"Milepost","value":"23.3305"},{"id":17,"name":"Train ID","value":"143-18"},{"id":16,"name":"Locomotive ID","value":"4009"},{"id":130,"name":"Impact","value":""},{"id":150,"name":"Time of Event (Mountain Time)","value":"09:35:29"},{"id":151,"name":"Denver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4009 --day 2017-03-18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663</v>
      </c>
      <c r="B57" s="7">
        <v>4010</v>
      </c>
      <c r="C57" s="21" t="s">
        <v>222</v>
      </c>
      <c r="D57" s="21" t="s">
        <v>412</v>
      </c>
      <c r="E57" s="13">
        <v>42812.410752314812</v>
      </c>
      <c r="F57" s="13">
        <v>42812.4141087963</v>
      </c>
      <c r="G57" s="7">
        <v>1</v>
      </c>
      <c r="H57" s="21" t="s">
        <v>205</v>
      </c>
      <c r="I57" s="13">
        <v>42812.441134259258</v>
      </c>
      <c r="J57" s="7">
        <v>0</v>
      </c>
      <c r="K57" s="98" t="str">
        <f t="shared" si="0"/>
        <v>4009/4010</v>
      </c>
      <c r="L57" s="21" t="str">
        <f>VLOOKUP(A57,'Trips&amp;Operators'!$C$1:$G$99999,5,FALSE)</f>
        <v>GEBRETEKLE DAGNEW</v>
      </c>
      <c r="M57" s="6">
        <f t="shared" si="1"/>
        <v>2.7025462957681157E-2</v>
      </c>
      <c r="N57" s="7">
        <f t="shared" si="21"/>
        <v>38.916666659060866</v>
      </c>
      <c r="O57" s="7"/>
      <c r="P57" s="7"/>
      <c r="Q57" s="22"/>
      <c r="R57" s="22"/>
      <c r="S57" s="31">
        <f t="shared" si="22"/>
        <v>1</v>
      </c>
      <c r="T57" s="46" t="str">
        <f t="shared" si="4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-18T08:51:29-0600',mode:absolute,to:'2017-03-18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7" s="187" t="str">
        <f t="shared" si="6"/>
        <v>N</v>
      </c>
      <c r="X57" s="187">
        <f t="shared" si="23"/>
        <v>1</v>
      </c>
      <c r="Y57" s="62">
        <f t="shared" si="24"/>
        <v>23.299800000000001</v>
      </c>
      <c r="Z57" s="62">
        <f t="shared" si="25"/>
        <v>1.54E-2</v>
      </c>
      <c r="AA57" s="62">
        <f t="shared" si="10"/>
        <v>23.284400000000002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0144-18</v>
      </c>
      <c r="AE57" s="85" t="str">
        <f t="shared" si="12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57" s="82" t="str">
        <f t="shared" si="13"/>
        <v>"C:\Program Files (x86)\AstroGrep\AstroGrep.exe" /e /r /s /spath="%USERPROFILE%\AppData\Local\Temp\OnboardLogs" /stypes="app*4010*20170318*" /stext=" 16:.+((SYSTEM_STATE.+slice.+state.+changed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144-18 --locoid 4010 --swversion DE.1.0.9.0 --startMP 204:232998 --initTime 2017-03-18T09:51:29 --startdatetime 2017-03-18T09:56:19 --delay 1 --endMP 204:154 --enddatetime 2017-03-18T10:35:14 --enforcementcount 0 &gt;&gt;C:\Users\stu\Documents\GitHub\eaglep3-reporting\EC\2017-03-18-refined-times.txt</v>
      </c>
      <c r="AI5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ID","value":"144-18"},{"id":16,"name":"Locomotive ID","value":"4010"},{"id":130,"name":"Impact","value":""},{"id":150,"name":"Time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4010 --day 2017-03-18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656</v>
      </c>
      <c r="B58" s="7">
        <v>4051</v>
      </c>
      <c r="C58" s="21" t="s">
        <v>222</v>
      </c>
      <c r="D58" s="21" t="s">
        <v>207</v>
      </c>
      <c r="E58" s="13">
        <v>42812.380995370368</v>
      </c>
      <c r="F58" s="13">
        <v>42812.385625000003</v>
      </c>
      <c r="G58" s="7">
        <v>1</v>
      </c>
      <c r="H58" s="21" t="s">
        <v>801</v>
      </c>
      <c r="I58" s="13">
        <v>42812.410694444443</v>
      </c>
      <c r="J58" s="7">
        <v>0</v>
      </c>
      <c r="K58" s="98" t="str">
        <f t="shared" si="0"/>
        <v>4051/4052</v>
      </c>
      <c r="L58" s="21" t="str">
        <f>VLOOKUP(A58,'Trips&amp;Operators'!$C$1:$G$99999,5,FALSE)</f>
        <v>ROBINSON KADDIBA</v>
      </c>
      <c r="M58" s="6">
        <f t="shared" si="1"/>
        <v>2.5069444440305233E-2</v>
      </c>
      <c r="N58" s="7">
        <f t="shared" si="21"/>
        <v>36.099999994039536</v>
      </c>
      <c r="O58" s="7"/>
      <c r="P58" s="7"/>
      <c r="Q58" s="22"/>
      <c r="R58" s="22"/>
      <c r="S58" s="31">
        <f t="shared" si="22"/>
        <v>1</v>
      </c>
      <c r="T58" s="46" t="str">
        <f t="shared" si="4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-18T08:08:38-0600',mode:absolute,to:'2017-03-18T10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8" s="187" t="str">
        <f t="shared" si="6"/>
        <v>N</v>
      </c>
      <c r="X58" s="187">
        <f t="shared" si="23"/>
        <v>1</v>
      </c>
      <c r="Y58" s="62">
        <f t="shared" si="24"/>
        <v>4.5100000000000001E-2</v>
      </c>
      <c r="Z58" s="62">
        <f t="shared" si="25"/>
        <v>23.331499999999998</v>
      </c>
      <c r="AA58" s="62">
        <f t="shared" si="10"/>
        <v>23.286399999999997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0145-18</v>
      </c>
      <c r="AE58" s="85" t="str">
        <f t="shared" si="12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58" s="82" t="str">
        <f t="shared" si="13"/>
        <v>"C:\Program Files (x86)\AstroGrep\AstroGrep.exe" /e /r /s /spath="%USERPROFILE%\AppData\Local\Temp\OnboardLogs" /stypes="app*4051*20170318*" /stext=" 15:.+((SYSTEM_STATE.+slice.+state.+changed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145-18 --locoid 4051 --swversion DE.1.0.9.0 --startMP 204:451 --initTime 2017-03-18T09:08:38 --startdatetime 2017-03-18T09:15:18 --delay 1 --endMP 204:233315 --enddatetime 2017-03-18T09:51:24 --enforcementcount 0 &gt;&gt;C:\Users\stu\Documents\GitHub\eaglep3-reporting\EC\2017-03-18-refined-times.txt</v>
      </c>
      <c r="AI5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{"issue":{"subject":"","project_id":79,"tracker_id":40,"status_id":1,"priority_id":2,"assigned_to_id":23,"start_date":"2017-03-18","description":"","custom_fields":[{"id":1,"name":"Subdivision","value":"EC"},{"id":4,"name":"Milepost","value":"23.3315"},{"id":17,"name":"Train ID","value":"145-18"},{"id":16,"name":"Locomotive ID","value":"4051"},{"id":130,"name":"Impact","value":""},{"id":150,"name":"Time of Event (Mountain Time)","value":"09:51:24"},{"id":151,"name":"Denver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4051 --day 2017-03-18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665</v>
      </c>
      <c r="B59" s="7">
        <v>4052</v>
      </c>
      <c r="C59" s="21" t="s">
        <v>222</v>
      </c>
      <c r="D59" s="21" t="s">
        <v>228</v>
      </c>
      <c r="E59" s="13">
        <v>42812.419282407405</v>
      </c>
      <c r="F59" s="13">
        <v>42812.424502314818</v>
      </c>
      <c r="G59" s="7">
        <v>1</v>
      </c>
      <c r="H59" s="21" t="s">
        <v>217</v>
      </c>
      <c r="I59" s="13">
        <v>42812.450729166667</v>
      </c>
      <c r="J59" s="7">
        <v>0</v>
      </c>
      <c r="K59" s="98" t="str">
        <f t="shared" si="0"/>
        <v>4051/4052</v>
      </c>
      <c r="L59" s="21" t="str">
        <f>VLOOKUP(A59,'Trips&amp;Operators'!$C$1:$G$99999,5,FALSE)</f>
        <v>ROBINSON KADDIBA</v>
      </c>
      <c r="M59" s="6">
        <f t="shared" si="1"/>
        <v>2.622685184906004E-2</v>
      </c>
      <c r="N59" s="7">
        <f t="shared" si="21"/>
        <v>37.766666662646458</v>
      </c>
      <c r="O59" s="7"/>
      <c r="P59" s="7"/>
      <c r="Q59" s="22"/>
      <c r="R59" s="22"/>
      <c r="S59" s="31">
        <f t="shared" si="22"/>
        <v>1</v>
      </c>
      <c r="T59" s="46" t="str">
        <f t="shared" si="4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-18T09:03:46-0600',mode:absolute,to:'2017-03-18T11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9" s="187" t="str">
        <f t="shared" si="6"/>
        <v>N</v>
      </c>
      <c r="X59" s="187">
        <f t="shared" si="23"/>
        <v>1</v>
      </c>
      <c r="Y59" s="62">
        <f t="shared" si="24"/>
        <v>23.3</v>
      </c>
      <c r="Z59" s="62">
        <f t="shared" si="25"/>
        <v>1.47E-2</v>
      </c>
      <c r="AA59" s="62">
        <f t="shared" si="10"/>
        <v>23.285299999999999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0146-18</v>
      </c>
      <c r="AE59" s="85" t="str">
        <f t="shared" si="12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59" s="82" t="str">
        <f t="shared" si="13"/>
        <v>"C:\Program Files (x86)\AstroGrep\AstroGrep.exe" /e /r /s /spath="%USERPROFILE%\AppData\Local\Temp\OnboardLogs" /stypes="app*4052*20170318*"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146-18 --locoid 4052 --swversion DE.1.0.9.0 --startMP 204:233000 --initTime 2017-03-18T10:03:46 --startdatetime 2017-03-18T10:11:17 --delay 1 --endMP 204:147 --enddatetime 2017-03-18T10:49:03 --enforcementcount 0 &gt;&gt;C:\Users\stu\Documents\GitHub\eaglep3-reporting\EC\2017-03-18-refined-times.txt</v>
      </c>
      <c r="AI5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ID","value":"146-18"},{"id":16,"name":"Locomotive ID","value":"4052"},{"id":130,"name":"Impact","value":""},{"id":150,"name":"Time of Event (Mountain Time)","value":"10:49:03"},{"id":151,"name":"Denver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4052 --day 2017-03-18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658</v>
      </c>
      <c r="B60" s="7">
        <v>4027</v>
      </c>
      <c r="C60" s="21" t="s">
        <v>222</v>
      </c>
      <c r="D60" s="21" t="s">
        <v>218</v>
      </c>
      <c r="E60" s="13">
        <v>42812.392800925925</v>
      </c>
      <c r="F60" s="13">
        <v>42812.396064814813</v>
      </c>
      <c r="G60" s="7">
        <v>1</v>
      </c>
      <c r="H60" s="21" t="s">
        <v>802</v>
      </c>
      <c r="I60" s="13">
        <v>42812.421585648146</v>
      </c>
      <c r="J60" s="7">
        <v>0</v>
      </c>
      <c r="K60" s="98" t="str">
        <f t="shared" si="0"/>
        <v>4027/4028</v>
      </c>
      <c r="L60" s="21" t="str">
        <f>VLOOKUP(A60,'Trips&amp;Operators'!$C$1:$G$99999,5,FALSE)</f>
        <v>MAELZER KURT</v>
      </c>
      <c r="M60" s="6">
        <f t="shared" si="1"/>
        <v>2.5520833332848269E-2</v>
      </c>
      <c r="N60" s="7">
        <f t="shared" si="21"/>
        <v>36.749999999301508</v>
      </c>
      <c r="O60" s="7"/>
      <c r="P60" s="7"/>
      <c r="Q60" s="22"/>
      <c r="R60" s="22"/>
      <c r="S60" s="31">
        <f t="shared" si="22"/>
        <v>1</v>
      </c>
      <c r="T60" s="46" t="str">
        <f t="shared" si="4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-18T08:25:38-0600',mode:absolute,to:'2017-03-18T11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87" t="str">
        <f t="shared" si="6"/>
        <v>N</v>
      </c>
      <c r="X60" s="187">
        <f t="shared" si="23"/>
        <v>1</v>
      </c>
      <c r="Y60" s="62">
        <f t="shared" si="24"/>
        <v>4.4699999999999997E-2</v>
      </c>
      <c r="Z60" s="62">
        <f t="shared" si="25"/>
        <v>23.3309</v>
      </c>
      <c r="AA60" s="62">
        <f t="shared" si="10"/>
        <v>23.286200000000001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0147-18</v>
      </c>
      <c r="AE60" s="85" t="str">
        <f t="shared" si="12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60" s="82" t="str">
        <f t="shared" si="13"/>
        <v>"C:\Program Files (x86)\AstroGrep\AstroGrep.exe" /e /r /s /spath="%USERPROFILE%\AppData\Local\Temp\OnboardLogs" /stypes="app*4027*20170318*"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147-18 --locoid 4027 --swversion DE.1.0.9.0 --startMP 204:447 --initTime 2017-03-18T09:25:38 --startdatetime 2017-03-18T09:30:20 --delay 1 --endMP 204:233309 --enddatetime 2017-03-18T10:07:05 --enforcementcount 0 &gt;&gt;C:\Users\stu\Documents\GitHub\eaglep3-reporting\EC\2017-03-18-refined-times.txt</v>
      </c>
      <c r="AI6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{"issue":{"subject":"","project_id":79,"tracker_id":40,"status_id":1,"priority_id":2,"assigned_to_id":23,"start_date":"2017-03-18","description":"","custom_fields":[{"id":1,"name":"Subdivision","value":"EC"},{"id":4,"name":"Milepost","value":"23.3309"},{"id":17,"name":"Train ID","value":"147-18"},{"id":16,"name":"Locomotive ID","value":"4027"},{"id":130,"name":"Impact","value":""},{"id":150,"name":"Time of Event (Mountain Time)","value":"10:07:05"},{"id":151,"name":"Denver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4027 --day 2017-03-18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667</v>
      </c>
      <c r="B61" s="7">
        <v>4028</v>
      </c>
      <c r="C61" s="21" t="s">
        <v>222</v>
      </c>
      <c r="D61" s="21" t="s">
        <v>477</v>
      </c>
      <c r="E61" s="13">
        <v>42812.425497685188</v>
      </c>
      <c r="F61" s="13">
        <v>42812.434999999998</v>
      </c>
      <c r="G61" s="7">
        <v>1</v>
      </c>
      <c r="H61" s="21" t="s">
        <v>199</v>
      </c>
      <c r="I61" s="13">
        <v>42812.461909722224</v>
      </c>
      <c r="J61" s="7">
        <v>0</v>
      </c>
      <c r="K61" s="98" t="str">
        <f t="shared" si="0"/>
        <v>4027/4028</v>
      </c>
      <c r="L61" s="21" t="str">
        <f>VLOOKUP(A61,'Trips&amp;Operators'!$C$1:$G$99999,5,FALSE)</f>
        <v>MAELZER KURT</v>
      </c>
      <c r="M61" s="6">
        <f t="shared" si="1"/>
        <v>2.6909722226264421E-2</v>
      </c>
      <c r="N61" s="7">
        <f t="shared" si="21"/>
        <v>38.750000005820766</v>
      </c>
      <c r="O61" s="7"/>
      <c r="P61" s="7"/>
      <c r="Q61" s="22"/>
      <c r="R61" s="22"/>
      <c r="S61" s="31">
        <f t="shared" si="22"/>
        <v>1</v>
      </c>
      <c r="T61" s="46" t="str">
        <f t="shared" si="4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-18T09:12:43-0600',mode:absolute,to:'2017-03-18T12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187" t="str">
        <f t="shared" si="6"/>
        <v>N</v>
      </c>
      <c r="X61" s="187">
        <f t="shared" si="23"/>
        <v>1</v>
      </c>
      <c r="Y61" s="62">
        <f t="shared" si="24"/>
        <v>23.299399999999999</v>
      </c>
      <c r="Z61" s="62">
        <f t="shared" si="25"/>
        <v>1.52E-2</v>
      </c>
      <c r="AA61" s="62">
        <f t="shared" si="10"/>
        <v>23.284199999999998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0148-18</v>
      </c>
      <c r="AE61" s="85" t="str">
        <f t="shared" si="12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61" s="82" t="str">
        <f t="shared" si="13"/>
        <v>"C:\Program Files (x86)\AstroGrep\AstroGrep.exe" /e /r /s /spath="%USERPROFILE%\AppData\Local\Temp\OnboardLogs" /stypes="app*4028*20170318*"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148-18 --locoid 4028 --swversion DE.1.0.9.0 --startMP 204:232994 --initTime 2017-03-18T10:12:43 --startdatetime 2017-03-18T10:26:24 --delay 1 --endMP 204:152 --enddatetime 2017-03-18T11:05:09 --enforcementcount 0 &gt;&gt;C:\Users\stu\Documents\GitHub\eaglep3-reporting\EC\2017-03-18-refined-times.txt</v>
      </c>
      <c r="AI6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{"issue":{"subject":"","project_id":79,"tracker_id":40,"status_id":1,"priority_id":2,"assigned_to_id":23,"start_date":"2017-03-18","description":"","custom_fields":[{"id":1,"name":"Subdivision","value":"EC"},{"id":4,"name":"Milepost","value":"0.0152"},{"id":17,"name":"Train ID","value":"148-18"},{"id":16,"name":"Locomotive ID","value":"4028"},{"id":130,"name":"Impact","value":""},{"id":150,"name":"Time of Event (Mountain Time)","value":"11:05:09"},{"id":151,"name":"Denver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4028 --day 2017-03-18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661</v>
      </c>
      <c r="B62" s="7">
        <v>4031</v>
      </c>
      <c r="C62" s="21" t="s">
        <v>222</v>
      </c>
      <c r="D62" s="21" t="s">
        <v>803</v>
      </c>
      <c r="E62" s="13">
        <v>42812.402557870373</v>
      </c>
      <c r="F62" s="13">
        <v>42812.406377314815</v>
      </c>
      <c r="G62" s="7">
        <v>3</v>
      </c>
      <c r="H62" s="21" t="s">
        <v>804</v>
      </c>
      <c r="I62" s="13">
        <v>42812.432280092595</v>
      </c>
      <c r="J62" s="7">
        <v>0</v>
      </c>
      <c r="K62" s="98" t="str">
        <f t="shared" si="0"/>
        <v>4031/4032</v>
      </c>
      <c r="L62" s="21" t="str">
        <f>VLOOKUP(A62,'Trips&amp;Operators'!$C$1:$G$99999,5,FALSE)</f>
        <v>DAVIS WENDY</v>
      </c>
      <c r="M62" s="6">
        <f t="shared" si="1"/>
        <v>2.5902777779265307E-2</v>
      </c>
      <c r="N62" s="7">
        <f t="shared" si="21"/>
        <v>37.300000002142042</v>
      </c>
      <c r="O62" s="7"/>
      <c r="P62" s="7"/>
      <c r="Q62" s="22"/>
      <c r="R62" s="22"/>
      <c r="S62" s="31">
        <f t="shared" si="22"/>
        <v>1</v>
      </c>
      <c r="T62" s="46" t="str">
        <f t="shared" si="4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-18T08:39:41-0600',mode:absolute,to:'2017-03-18T11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187" t="str">
        <f t="shared" si="6"/>
        <v>N</v>
      </c>
      <c r="X62" s="187">
        <f t="shared" si="23"/>
        <v>1</v>
      </c>
      <c r="Y62" s="62">
        <f t="shared" si="24"/>
        <v>4.7800000000000002E-2</v>
      </c>
      <c r="Z62" s="62">
        <f t="shared" si="25"/>
        <v>23.331</v>
      </c>
      <c r="AA62" s="62">
        <f t="shared" si="10"/>
        <v>23.283200000000001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0149-18</v>
      </c>
      <c r="AE62" s="85" t="str">
        <f t="shared" si="12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62" s="82" t="str">
        <f t="shared" si="13"/>
        <v>"C:\Program Files (x86)\AstroGrep\AstroGrep.exe" /e /r /s /spath="%USERPROFILE%\AppData\Local\Temp\OnboardLogs" /stypes="app*4031*20170318*" /stext=" 16:.+((SYSTEM_STATE.+slice.+state.+changed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149-18 --locoid 4031 --swversion DE.1.0.9.0 --startMP 204:478 --initTime 2017-03-18T09:39:41 --startdatetime 2017-03-18T09:45:11 --delay 3 --endMP 204:233310 --enddatetime 2017-03-18T10:22:29 --enforcementcount 0 &gt;&gt;C:\Users\stu\Documents\GitHub\eaglep3-reporting\EC\2017-03-18-refined-times.txt</v>
      </c>
      <c r="AI6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{"issue":{"subject":"","project_id":79,"tracker_id":40,"status_id":1,"priority_id":2,"assigned_to_id":23,"start_date":"2017-03-18","description":"","custom_fields":[{"id":1,"name":"Subdivision","value":"EC"},{"id":4,"name":"Milepost","value":"23.331"},{"id":17,"name":"Train ID","value":"149-18"},{"id":16,"name":"Locomotive ID","value":"4031"},{"id":130,"name":"Impact","value":""},{"id":150,"name":"Time of Event (Mountain Time)","value":"10:22:29"},{"id":151,"name":"Denver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4031 --day 2017-03-18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670</v>
      </c>
      <c r="B63" s="7">
        <v>4032</v>
      </c>
      <c r="C63" s="21" t="s">
        <v>222</v>
      </c>
      <c r="D63" s="21" t="s">
        <v>805</v>
      </c>
      <c r="E63" s="13">
        <v>42812.442245370374</v>
      </c>
      <c r="F63" s="13">
        <v>42812.445300925923</v>
      </c>
      <c r="G63" s="7">
        <v>1</v>
      </c>
      <c r="H63" s="21" t="s">
        <v>217</v>
      </c>
      <c r="I63" s="13">
        <v>42812.473796296297</v>
      </c>
      <c r="J63" s="7">
        <v>0</v>
      </c>
      <c r="K63" s="98" t="str">
        <f t="shared" si="0"/>
        <v>4031/4032</v>
      </c>
      <c r="L63" s="21" t="str">
        <f>VLOOKUP(A63,'Trips&amp;Operators'!$C$1:$G$99999,5,FALSE)</f>
        <v>DAVIS WENDY</v>
      </c>
      <c r="M63" s="6">
        <f t="shared" si="1"/>
        <v>2.849537037400296E-2</v>
      </c>
      <c r="N63" s="7">
        <f t="shared" si="21"/>
        <v>41.033333338564262</v>
      </c>
      <c r="O63" s="7"/>
      <c r="P63" s="7"/>
      <c r="Q63" s="22"/>
      <c r="R63" s="22"/>
      <c r="S63" s="31">
        <f t="shared" si="22"/>
        <v>1</v>
      </c>
      <c r="T63" s="46" t="str">
        <f t="shared" si="4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-18T09:36:50-0600',mode:absolute,to:'2017-03-18T12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187" t="str">
        <f t="shared" si="6"/>
        <v>N</v>
      </c>
      <c r="X63" s="187">
        <f t="shared" si="23"/>
        <v>1</v>
      </c>
      <c r="Y63" s="62">
        <f t="shared" si="24"/>
        <v>23.2989</v>
      </c>
      <c r="Z63" s="62">
        <f t="shared" si="25"/>
        <v>1.47E-2</v>
      </c>
      <c r="AA63" s="62">
        <f t="shared" si="10"/>
        <v>23.284199999999998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0150-18</v>
      </c>
      <c r="AE63" s="85" t="str">
        <f t="shared" si="12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63" s="82" t="str">
        <f t="shared" si="13"/>
        <v>"C:\Program Files (x86)\AstroGrep\AstroGrep.exe" /e /r /s /spath="%USERPROFILE%\AppData\Local\Temp\OnboardLogs" /stypes="app*4032*20170318*"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150-18 --locoid 4032 --swversion DE.1.0.9.0 --startMP 204:232989 --initTime 2017-03-18T10:36:50 --startdatetime 2017-03-18T10:41:14 --delay 1 --endMP 204:147 --enddatetime 2017-03-18T11:22:16 --enforcementcount 0 &gt;&gt;C:\Users\stu\Documents\GitHub\eaglep3-reporting\EC\2017-03-18-refined-times.txt</v>
      </c>
      <c r="AI6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ID","value":"150-18"},{"id":16,"name":"Locomotive ID","value":"4032"},{"id":130,"name":"Impact","value":""},{"id":150,"name":"Time of Event (Mountain Time)","value":"11:22:16"},{"id":151,"name":"Denver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4032 --day 2017-03-18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662</v>
      </c>
      <c r="B64" s="7">
        <v>4014</v>
      </c>
      <c r="C64" s="21" t="s">
        <v>222</v>
      </c>
      <c r="D64" s="21" t="s">
        <v>208</v>
      </c>
      <c r="E64" s="13">
        <v>42812.409456018519</v>
      </c>
      <c r="F64" s="13">
        <v>42812.416909722226</v>
      </c>
      <c r="G64" s="7">
        <v>1</v>
      </c>
      <c r="H64" s="21" t="s">
        <v>403</v>
      </c>
      <c r="I64" s="13">
        <v>42812.442326388889</v>
      </c>
      <c r="J64" s="7">
        <v>0</v>
      </c>
      <c r="K64" s="98" t="str">
        <f t="shared" si="0"/>
        <v>4013/4014</v>
      </c>
      <c r="L64" s="21" t="str">
        <f>VLOOKUP(A64,'Trips&amp;Operators'!$C$1:$G$99999,5,FALSE)</f>
        <v>SANTIZO D. EDY</v>
      </c>
      <c r="M64" s="6">
        <f t="shared" si="1"/>
        <v>2.5416666663659271E-2</v>
      </c>
      <c r="N64" s="7">
        <f t="shared" si="21"/>
        <v>36.59999999566935</v>
      </c>
      <c r="O64" s="7"/>
      <c r="P64" s="7"/>
      <c r="Q64" s="22"/>
      <c r="R64" s="22"/>
      <c r="S64" s="31">
        <f t="shared" si="22"/>
        <v>1</v>
      </c>
      <c r="T64" s="46" t="str">
        <f t="shared" si="4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-18T08:49:37-0600',mode:absolute,to:'2017-03-18T11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4" s="187" t="str">
        <f t="shared" si="6"/>
        <v>N</v>
      </c>
      <c r="X64" s="187">
        <f t="shared" si="23"/>
        <v>1</v>
      </c>
      <c r="Y64" s="62">
        <f t="shared" si="24"/>
        <v>4.5699999999999998E-2</v>
      </c>
      <c r="Z64" s="62">
        <f t="shared" si="25"/>
        <v>23.3323</v>
      </c>
      <c r="AA64" s="62">
        <f t="shared" si="10"/>
        <v>23.2866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0151-18</v>
      </c>
      <c r="AE64" s="85" t="str">
        <f t="shared" si="12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64" s="82" t="str">
        <f t="shared" si="13"/>
        <v>"C:\Program Files (x86)\AstroGrep\AstroGrep.exe" /e /r /s /spath="%USERPROFILE%\AppData\Local\Temp\OnboardLogs" /stypes="app*4014*20170318*"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151-18 --locoid 4014 --swversion DE.1.0.9.0 --startMP 204:457 --initTime 2017-03-18T09:49:37 --startdatetime 2017-03-18T10:00:21 --delay 1 --endMP 204:233323 --enddatetime 2017-03-18T10:36:57 --enforcementcount 0 &gt;&gt;C:\Users\stu\Documents\GitHub\eaglep3-reporting\EC\2017-03-18-refined-times.txt</v>
      </c>
      <c r="AI6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{"issue":{"subject":"","project_id":79,"tracker_id":40,"status_id":1,"priority_id":2,"assigned_to_id":23,"start_date":"2017-03-18","description":"","custom_fields":[{"id":1,"name":"Subdivision","value":"EC"},{"id":4,"name":"Milepost","value":"23.3323"},{"id":17,"name":"Train ID","value":"151-18"},{"id":16,"name":"Locomotive ID","value":"4014"},{"id":130,"name":"Impact","value":""},{"id":150,"name":"Time of Event (Mountain Time)","value":"10:36:57"},{"id":151,"name":"Denver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4014 --day 2017-03-18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672</v>
      </c>
      <c r="B65" s="7">
        <v>4013</v>
      </c>
      <c r="C65" s="21" t="s">
        <v>222</v>
      </c>
      <c r="D65" s="21" t="s">
        <v>401</v>
      </c>
      <c r="E65" s="13">
        <v>42812.443715277775</v>
      </c>
      <c r="F65" s="13">
        <v>42812.455717592595</v>
      </c>
      <c r="G65" s="7">
        <v>1</v>
      </c>
      <c r="H65" s="21" t="s">
        <v>214</v>
      </c>
      <c r="I65" s="13">
        <v>42812.481898148151</v>
      </c>
      <c r="J65" s="7">
        <v>0</v>
      </c>
      <c r="K65" s="98" t="str">
        <f t="shared" si="0"/>
        <v>4013/4014</v>
      </c>
      <c r="L65" s="21" t="str">
        <f>VLOOKUP(A65,'Trips&amp;Operators'!$C$1:$G$99999,5,FALSE)</f>
        <v>SANTIZO D. EDY</v>
      </c>
      <c r="M65" s="6">
        <f t="shared" si="1"/>
        <v>2.6180555556493346E-2</v>
      </c>
      <c r="N65" s="7">
        <f t="shared" si="21"/>
        <v>37.700000001350418</v>
      </c>
      <c r="O65" s="7"/>
      <c r="P65" s="7"/>
      <c r="Q65" s="22"/>
      <c r="R65" s="22"/>
      <c r="S65" s="31">
        <f t="shared" si="22"/>
        <v>1</v>
      </c>
      <c r="T65" s="46" t="str">
        <f t="shared" si="4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-18T09:38:57-0600',mode:absolute,to:'2017-03-18T12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5" s="187" t="str">
        <f t="shared" si="6"/>
        <v>N</v>
      </c>
      <c r="X65" s="187">
        <f t="shared" si="23"/>
        <v>1</v>
      </c>
      <c r="Y65" s="62">
        <f t="shared" si="24"/>
        <v>23.298400000000001</v>
      </c>
      <c r="Z65" s="62">
        <f t="shared" si="25"/>
        <v>1.41E-2</v>
      </c>
      <c r="AA65" s="62">
        <f t="shared" si="10"/>
        <v>23.284300000000002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0152-18</v>
      </c>
      <c r="AE65" s="85" t="str">
        <f t="shared" si="12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65" s="82" t="str">
        <f t="shared" si="13"/>
        <v>"C:\Program Files (x86)\AstroGrep\AstroGrep.exe" /e /r /s /spath="%USERPROFILE%\AppData\Local\Temp\OnboardLogs" /stypes="app*4013*20170318*"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152-18 --locoid 4013 --swversion DE.1.0.9.0 --startMP 204:232984 --initTime 2017-03-18T10:38:57 --startdatetime 2017-03-18T10:56:14 --delay 1 --endMP 204:141 --enddatetime 2017-03-18T11:33:56 --enforcementcount 0 &gt;&gt;C:\Users\stu\Documents\GitHub\eaglep3-reporting\EC\2017-03-18-refined-times.txt</v>
      </c>
      <c r="AI6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ID","value":"152-18"},{"id":16,"name":"Locomotive ID","value":"4013"},{"id":130,"name":"Impact","value":""},{"id":150,"name":"Time of Event (Mountain Time)","value":"11:33:56"},{"id":151,"name":"Denver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4013 --day 2017-03-18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666</v>
      </c>
      <c r="B66" s="7">
        <v>4044</v>
      </c>
      <c r="C66" s="21" t="s">
        <v>222</v>
      </c>
      <c r="D66" s="21" t="s">
        <v>474</v>
      </c>
      <c r="E66" s="13">
        <v>42812.424803240741</v>
      </c>
      <c r="F66" s="13">
        <v>42812.42732638889</v>
      </c>
      <c r="G66" s="7">
        <v>1</v>
      </c>
      <c r="H66" s="21" t="s">
        <v>806</v>
      </c>
      <c r="I66" s="13">
        <v>42812.452303240738</v>
      </c>
      <c r="J66" s="7">
        <v>0</v>
      </c>
      <c r="K66" s="98" t="str">
        <f t="shared" si="0"/>
        <v>4043/4044</v>
      </c>
      <c r="L66" s="21" t="str">
        <f>VLOOKUP(A66,'Trips&amp;Operators'!$C$1:$G$99999,5,FALSE)</f>
        <v>LOZA FIDEL</v>
      </c>
      <c r="M66" s="6">
        <f t="shared" si="1"/>
        <v>2.4976851847895887E-2</v>
      </c>
      <c r="N66" s="7">
        <f t="shared" si="21"/>
        <v>35.966666660970077</v>
      </c>
      <c r="O66" s="7"/>
      <c r="P66" s="7"/>
      <c r="Q66" s="22"/>
      <c r="R66" s="22"/>
      <c r="S66" s="31">
        <f t="shared" si="22"/>
        <v>1</v>
      </c>
      <c r="T66" s="46" t="str">
        <f t="shared" si="4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-18T09:11:43-0600',mode:absolute,to:'2017-03-18T11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6" s="187" t="str">
        <f t="shared" si="6"/>
        <v>N</v>
      </c>
      <c r="X66" s="187">
        <f t="shared" si="23"/>
        <v>1</v>
      </c>
      <c r="Y66" s="62">
        <f t="shared" si="24"/>
        <v>4.4400000000000002E-2</v>
      </c>
      <c r="Z66" s="62">
        <f t="shared" si="25"/>
        <v>23.3368</v>
      </c>
      <c r="AA66" s="62">
        <f t="shared" si="10"/>
        <v>23.292400000000001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0153-18</v>
      </c>
      <c r="AE66" s="85" t="str">
        <f t="shared" si="12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66" s="82" t="str">
        <f t="shared" si="13"/>
        <v>"C:\Program Files (x86)\AstroGrep\AstroGrep.exe" /e /r /s /spath="%USERPROFILE%\AppData\Local\Temp\OnboardLogs" /stypes="app*4044*20170318*"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153-18 --locoid 4044 --swversion DE.1.0.9.0 --startMP 204:444 --initTime 2017-03-18T10:11:43 --startdatetime 2017-03-18T10:15:21 --delay 1 --endMP 204:233368 --enddatetime 2017-03-18T10:51:19 --enforcementcount 0 &gt;&gt;C:\Users\stu\Documents\GitHub\eaglep3-reporting\EC\2017-03-18-refined-times.txt</v>
      </c>
      <c r="AI6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{"issue":{"subject":"","project_id":79,"tracker_id":40,"status_id":1,"priority_id":2,"assigned_to_id":23,"start_date":"2017-03-18","description":"","custom_fields":[{"id":1,"name":"Subdivision","value":"EC"},{"id":4,"name":"Milepost","value":"23.3368"},{"id":17,"name":"Train ID","value":"153-18"},{"id":16,"name":"Locomotive ID","value":"4044"},{"id":130,"name":"Impact","value":""},{"id":150,"name":"Time of Event (Mountain Time)","value":"10:51:19"},{"id":151,"name":"Denver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4044 --day 2017-03-18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570</v>
      </c>
      <c r="B67" s="7">
        <v>4043</v>
      </c>
      <c r="C67" s="21" t="s">
        <v>222</v>
      </c>
      <c r="D67" s="21" t="s">
        <v>807</v>
      </c>
      <c r="E67" s="13">
        <v>42812.462685185186</v>
      </c>
      <c r="F67" s="13">
        <v>42812.466493055559</v>
      </c>
      <c r="G67" s="7">
        <v>1</v>
      </c>
      <c r="H67" s="21" t="s">
        <v>808</v>
      </c>
      <c r="I67" s="13">
        <v>42812.493437500001</v>
      </c>
      <c r="J67" s="7">
        <v>0</v>
      </c>
      <c r="K67" s="98" t="str">
        <f t="shared" si="0"/>
        <v>4043/4044</v>
      </c>
      <c r="L67" s="21" t="str">
        <f>VLOOKUP(A67,'Trips&amp;Operators'!$C$1:$G$99999,5,FALSE)</f>
        <v>LOZA FIDEL</v>
      </c>
      <c r="M67" s="6">
        <f t="shared" si="1"/>
        <v>2.6944444442051463E-2</v>
      </c>
      <c r="N67" s="7">
        <f t="shared" si="21"/>
        <v>38.799999996554106</v>
      </c>
      <c r="O67" s="7"/>
      <c r="P67" s="7"/>
      <c r="Q67" s="22"/>
      <c r="R67" s="22"/>
      <c r="S67" s="31">
        <f t="shared" si="22"/>
        <v>1</v>
      </c>
      <c r="T67" s="46" t="str">
        <f t="shared" si="4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-18T10:06:16-0600',mode:absolute,to:'2017-03-18T12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7" s="187" t="str">
        <f t="shared" si="6"/>
        <v>N</v>
      </c>
      <c r="X67" s="187">
        <f t="shared" si="23"/>
        <v>1</v>
      </c>
      <c r="Y67" s="62">
        <f t="shared" si="24"/>
        <v>23.306799999999999</v>
      </c>
      <c r="Z67" s="62">
        <f t="shared" si="25"/>
        <v>1.3899999999999999E-2</v>
      </c>
      <c r="AA67" s="62">
        <f t="shared" si="10"/>
        <v>23.292899999999999</v>
      </c>
      <c r="AB67" s="59" t="str">
        <f>VLOOKUP(A67,Enforcements!$C$7:$K$13,8,0)</f>
        <v>Bulletin (2)</v>
      </c>
      <c r="AC67" s="55" t="str">
        <f>VLOOKUP(A67,Enforcements!$C$7:$E$13,3,0)</f>
        <v>GRADE CROSSING</v>
      </c>
      <c r="AD67" s="56" t="str">
        <f t="shared" si="11"/>
        <v>0154-18</v>
      </c>
      <c r="AE67" s="85" t="str">
        <f t="shared" si="12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67" s="82" t="str">
        <f t="shared" si="13"/>
        <v>"C:\Program Files (x86)\AstroGrep\AstroGrep.exe" /e /r /s /spath="%USERPROFILE%\AppData\Local\Temp\OnboardLogs" /stypes="app*4043*20170318*"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154-18 --locoid 4043 --swversion DE.1.0.9.0 --startMP 204:233068 --initTime 2017-03-18T11:06:16 --startdatetime 2017-03-18T11:11:45 --delay 1 --endMP 204:139 --enddatetime 2017-03-18T11:50:33 --enforcementcount 0 &gt;&gt;C:\Users\stu\Documents\GitHub\eaglep3-reporting\EC\2017-03-18-refined-times.txt</v>
      </c>
      <c r="AI6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{"issue":{"subject":"","project_id":79,"tracker_id":40,"status_id":1,"priority_id":2,"assigned_to_id":23,"start_date":"2017-03-18","description":"","custom_fields":[{"id":1,"name":"Subdivision","value":"EC"},{"id":4,"name":"Milepost","value":"0.0139"},{"id":17,"name":"Train ID","value":"154-18"},{"id":16,"name":"Locomotive ID","value":"4043"},{"id":130,"name":"Impact","value":""},{"id":150,"name":"Time of Event (Mountain Time)","value":"11:50:33"},{"id":151,"name":"Denver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4043 --day 2017-03-18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669</v>
      </c>
      <c r="B68" s="7">
        <v>4029</v>
      </c>
      <c r="C68" s="21" t="s">
        <v>222</v>
      </c>
      <c r="D68" s="21" t="s">
        <v>472</v>
      </c>
      <c r="E68" s="13">
        <v>42812.432905092595</v>
      </c>
      <c r="F68" s="13">
        <v>42812.437905092593</v>
      </c>
      <c r="G68" s="7">
        <v>1</v>
      </c>
      <c r="H68" s="21" t="s">
        <v>809</v>
      </c>
      <c r="I68" s="13">
        <v>42812.462453703702</v>
      </c>
      <c r="J68" s="7">
        <v>0</v>
      </c>
      <c r="K68" s="98" t="str">
        <f t="shared" si="0"/>
        <v>4029/4030</v>
      </c>
      <c r="L68" s="21" t="str">
        <f>VLOOKUP(A68,'Trips&amp;Operators'!$C$1:$G$99999,5,FALSE)</f>
        <v>ROMERO CHAD</v>
      </c>
      <c r="M68" s="6">
        <f t="shared" si="1"/>
        <v>2.4548611108912155E-2</v>
      </c>
      <c r="N68" s="7">
        <f t="shared" si="21"/>
        <v>35.349999996833503</v>
      </c>
      <c r="O68" s="7"/>
      <c r="P68" s="7"/>
      <c r="Q68" s="22"/>
      <c r="R68" s="22"/>
      <c r="S68" s="31">
        <f t="shared" si="22"/>
        <v>1</v>
      </c>
      <c r="T68" s="46" t="str">
        <f t="shared" si="4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-18T09:23:23-0600',mode:absolute,to:'2017-03-18T12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187" t="str">
        <f t="shared" si="6"/>
        <v>N</v>
      </c>
      <c r="X68" s="187">
        <f t="shared" si="23"/>
        <v>1</v>
      </c>
      <c r="Y68" s="62">
        <f t="shared" si="24"/>
        <v>4.4600000000000001E-2</v>
      </c>
      <c r="Z68" s="62">
        <f t="shared" si="25"/>
        <v>23.339099999999998</v>
      </c>
      <c r="AA68" s="62">
        <f t="shared" si="10"/>
        <v>23.294499999999999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0155-18</v>
      </c>
      <c r="AE68" s="85" t="str">
        <f t="shared" si="12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68" s="82" t="str">
        <f t="shared" si="13"/>
        <v>"C:\Program Files (x86)\AstroGrep\AstroGrep.exe" /e /r /s /spath="%USERPROFILE%\AppData\Local\Temp\OnboardLogs" /stypes="app*4029*20170318*" /stext=" 17:.+((SYSTEM_STATE.+slice.+state.+changed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155-18 --locoid 4029 --swversion DE.1.0.9.0 --startMP 204:446 --initTime 2017-03-18T10:23:23 --startdatetime 2017-03-18T10:30:35 --delay 1 --endMP 204:233391 --enddatetime 2017-03-18T11:05:56 --enforcementcount 0 &gt;&gt;C:\Users\stu\Documents\GitHub\eaglep3-reporting\EC\2017-03-18-refined-times.txt</v>
      </c>
      <c r="AI6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{"issue":{"subject":"","project_id":79,"tracker_id":40,"status_id":1,"priority_id":2,"assigned_to_id":23,"start_date":"2017-03-18","description":"","custom_fields":[{"id":1,"name":"Subdivision","value":"EC"},{"id":4,"name":"Milepost","value":"23.3391"},{"id":17,"name":"Train ID","value":"155-18"},{"id":16,"name":"Locomotive ID","value":"4029"},{"id":130,"name":"Impact","value":""},{"id":150,"name":"Time of Event (Mountain Time)","value":"11:05:56"},{"id":151,"name":"Denver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4029 --day 2017-03-18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678</v>
      </c>
      <c r="B69" s="7">
        <v>4030</v>
      </c>
      <c r="C69" s="21" t="s">
        <v>222</v>
      </c>
      <c r="D69" s="21" t="s">
        <v>535</v>
      </c>
      <c r="E69" s="13">
        <v>42812.46671296296</v>
      </c>
      <c r="F69" s="13">
        <v>42812.476550925923</v>
      </c>
      <c r="G69" s="7">
        <v>1</v>
      </c>
      <c r="H69" s="21" t="s">
        <v>184</v>
      </c>
      <c r="I69" s="13">
        <v>42812.502696759257</v>
      </c>
      <c r="J69" s="7">
        <v>0</v>
      </c>
      <c r="K69" s="98" t="str">
        <f t="shared" si="0"/>
        <v>4029/4030</v>
      </c>
      <c r="L69" s="21" t="str">
        <f>VLOOKUP(A69,'Trips&amp;Operators'!$C$1:$G$99999,5,FALSE)</f>
        <v>ROMERO CHAD</v>
      </c>
      <c r="M69" s="6">
        <f t="shared" si="1"/>
        <v>2.6145833333430346E-2</v>
      </c>
      <c r="N69" s="7">
        <f t="shared" ref="N69:N100" si="26">24*60*SUM($M69:$M69)</f>
        <v>37.650000000139698</v>
      </c>
      <c r="O69" s="7"/>
      <c r="P69" s="7"/>
      <c r="Q69" s="22"/>
      <c r="R69" s="22"/>
      <c r="S69" s="31">
        <f t="shared" ref="S69:S100" si="27">SUM(U69:U69)/IF(AG69="EC",12,1)</f>
        <v>1</v>
      </c>
      <c r="T69" s="46" t="str">
        <f t="shared" si="4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-18T10:12:04-0600',mode:absolute,to:'2017-03-18T13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187" t="str">
        <f t="shared" si="6"/>
        <v>N</v>
      </c>
      <c r="X69" s="187">
        <f t="shared" si="23"/>
        <v>1</v>
      </c>
      <c r="Y69" s="62">
        <f t="shared" si="24"/>
        <v>23.306699999999999</v>
      </c>
      <c r="Z69" s="62">
        <f t="shared" si="25"/>
        <v>1.49E-2</v>
      </c>
      <c r="AA69" s="62">
        <f t="shared" si="10"/>
        <v>23.291799999999999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0156-18</v>
      </c>
      <c r="AE69" s="85" t="str">
        <f t="shared" si="12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69" s="82" t="str">
        <f t="shared" si="13"/>
        <v>"C:\Program Files (x86)\AstroGrep\AstroGrep.exe" /e /r /s /spath="%USERPROFILE%\AppData\Local\Temp\OnboardLogs" /stypes="app*4030*20170318*" /stext=" 18:.+((SYSTEM_STATE.+slice.+state.+changed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156-18 --locoid 4030 --swversion DE.1.0.9.0 --startMP 204:233067 --initTime 2017-03-18T11:12:04 --startdatetime 2017-03-18T11:26:14 --delay 1 --endMP 204:149 --enddatetime 2017-03-18T12:03:53 --enforcementcount 0 &gt;&gt;C:\Users\stu\Documents\GitHub\eaglep3-reporting\EC\2017-03-18-refined-times.txt</v>
      </c>
      <c r="AI6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{"issue":{"subject":"","project_id":79,"tracker_id":40,"status_id":1,"priority_id":2,"assigned_to_id":23,"start_date":"2017-03-18","description":"","custom_fields":[{"id":1,"name":"Subdivision","value":"EC"},{"id":4,"name":"Milepost","value":"0.0149"},{"id":17,"name":"Train ID","value":"156-18"},{"id":16,"name":"Locomotive ID","value":"4030"},{"id":130,"name":"Impact","value":""},{"id":150,"name":"Time of Event (Mountain Time)","value":"12:03:53"},{"id":151,"name":"Denver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4030 --day 2017-03-18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673</v>
      </c>
      <c r="B70" s="7">
        <v>4009</v>
      </c>
      <c r="C70" s="21" t="s">
        <v>222</v>
      </c>
      <c r="D70" s="21" t="s">
        <v>212</v>
      </c>
      <c r="E70" s="13">
        <v>42812.444675925923</v>
      </c>
      <c r="F70" s="13">
        <v>42812.44809027778</v>
      </c>
      <c r="G70" s="7">
        <v>1</v>
      </c>
      <c r="H70" s="21" t="s">
        <v>403</v>
      </c>
      <c r="I70" s="13">
        <v>42812.473171296297</v>
      </c>
      <c r="J70" s="7">
        <v>0</v>
      </c>
      <c r="K70" s="98" t="str">
        <f t="shared" si="0"/>
        <v>4009/4010</v>
      </c>
      <c r="L70" s="21" t="str">
        <f>VLOOKUP(A70,'Trips&amp;Operators'!$C$1:$G$99999,5,FALSE)</f>
        <v>GEBRETEKLE DAGNEW</v>
      </c>
      <c r="M70" s="6">
        <f t="shared" si="1"/>
        <v>2.5081018517084885E-2</v>
      </c>
      <c r="N70" s="7">
        <f t="shared" si="26"/>
        <v>36.116666664602235</v>
      </c>
      <c r="O70" s="7"/>
      <c r="P70" s="7"/>
      <c r="Q70" s="22"/>
      <c r="R70" s="22"/>
      <c r="S70" s="31">
        <f t="shared" si="27"/>
        <v>1</v>
      </c>
      <c r="T70" s="46" t="str">
        <f t="shared" si="4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-18T09:40:20-0600',mode:absolute,to:'2017-03-18T12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187" t="str">
        <f t="shared" si="6"/>
        <v>N</v>
      </c>
      <c r="X70" s="187">
        <f t="shared" si="23"/>
        <v>1</v>
      </c>
      <c r="Y70" s="62">
        <f t="shared" si="24"/>
        <v>4.53E-2</v>
      </c>
      <c r="Z70" s="62">
        <f t="shared" si="25"/>
        <v>23.3323</v>
      </c>
      <c r="AA70" s="62">
        <f t="shared" si="10"/>
        <v>23.286999999999999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0157-18</v>
      </c>
      <c r="AE70" s="85" t="str">
        <f t="shared" si="12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70" s="82" t="str">
        <f t="shared" si="13"/>
        <v>"C:\Program Files (x86)\AstroGrep\AstroGrep.exe" /e /r /s /spath="%USERPROFILE%\AppData\Local\Temp\OnboardLogs" /stypes="app*4009*20170318*"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157-18 --locoid 4009 --swversion DE.1.0.9.0 --startMP 204:453 --initTime 2017-03-18T10:40:20 --startdatetime 2017-03-18T10:45:15 --delay 1 --endMP 204:233323 --enddatetime 2017-03-18T11:21:22 --enforcementcount 0 &gt;&gt;C:\Users\stu\Documents\GitHub\eaglep3-reporting\EC\2017-03-18-refined-times.txt</v>
      </c>
      <c r="AI7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{"issue":{"subject":"","project_id":79,"tracker_id":40,"status_id":1,"priority_id":2,"assigned_to_id":23,"start_date":"2017-03-18","description":"","custom_fields":[{"id":1,"name":"Subdivision","value":"EC"},{"id":4,"name":"Milepost","value":"23.3323"},{"id":17,"name":"Train ID","value":"157-18"},{"id":16,"name":"Locomotive ID","value":"4009"},{"id":130,"name":"Impact","value":""},{"id":150,"name":"Time of Event (Mountain Time)","value":"11:21:22"},{"id":151,"name":"Denver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4009 --day 2017-03-18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680</v>
      </c>
      <c r="B71" s="7">
        <v>4010</v>
      </c>
      <c r="C71" s="21" t="s">
        <v>222</v>
      </c>
      <c r="D71" s="21" t="s">
        <v>521</v>
      </c>
      <c r="E71" s="13">
        <v>42812.484074074076</v>
      </c>
      <c r="F71" s="13">
        <v>42812.487025462964</v>
      </c>
      <c r="G71" s="7">
        <v>1</v>
      </c>
      <c r="H71" s="21" t="s">
        <v>429</v>
      </c>
      <c r="I71" s="13">
        <v>42812.513877314814</v>
      </c>
      <c r="J71" s="7">
        <v>0</v>
      </c>
      <c r="K71" s="98" t="str">
        <f t="shared" si="0"/>
        <v>4009/4010</v>
      </c>
      <c r="L71" s="21" t="str">
        <f>VLOOKUP(A71,'Trips&amp;Operators'!$C$1:$G$99999,5,FALSE)</f>
        <v>GEBRETEKLE DAGNEW</v>
      </c>
      <c r="M71" s="6">
        <f t="shared" si="1"/>
        <v>2.6851851849642117E-2</v>
      </c>
      <c r="N71" s="7">
        <f t="shared" si="26"/>
        <v>38.666666663484648</v>
      </c>
      <c r="O71" s="7"/>
      <c r="P71" s="7"/>
      <c r="Q71" s="22"/>
      <c r="R71" s="22"/>
      <c r="S71" s="31">
        <f t="shared" si="27"/>
        <v>1</v>
      </c>
      <c r="T71" s="46" t="str">
        <f t="shared" si="4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-18T10:37:04-0600',mode:absolute,to:'2017-03-18T13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1" s="187" t="str">
        <f t="shared" si="6"/>
        <v>N</v>
      </c>
      <c r="X71" s="187">
        <f t="shared" si="23"/>
        <v>1</v>
      </c>
      <c r="Y71" s="62">
        <f t="shared" si="24"/>
        <v>23.301500000000001</v>
      </c>
      <c r="Z71" s="62">
        <f t="shared" si="25"/>
        <v>1.4500000000000001E-2</v>
      </c>
      <c r="AA71" s="62">
        <f t="shared" si="10"/>
        <v>23.286999999999999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0158-18</v>
      </c>
      <c r="AE71" s="85" t="str">
        <f t="shared" si="12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71" s="82" t="str">
        <f t="shared" si="13"/>
        <v>"C:\Program Files (x86)\AstroGrep\AstroGrep.exe" /e /r /s /spath="%USERPROFILE%\AppData\Local\Temp\OnboardLogs" /stypes="app*4010*20170318*"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158-18 --locoid 4010 --swversion DE.1.0.9.0 --startMP 204:233015 --initTime 2017-03-18T11:37:04 --startdatetime 2017-03-18T11:41:19 --delay 1 --endMP 204:145 --enddatetime 2017-03-18T12:19:59 --enforcementcount 0 &gt;&gt;C:\Users\stu\Documents\GitHub\eaglep3-reporting\EC\2017-03-18-refined-times.txt</v>
      </c>
      <c r="AI7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{"issue":{"subject":"","project_id":79,"tracker_id":40,"status_id":1,"priority_id":2,"assigned_to_id":23,"start_date":"2017-03-18","description":"","custom_fields":[{"id":1,"name":"Subdivision","value":"EC"},{"id":4,"name":"Milepost","value":"0.0145"},{"id":17,"name":"Train ID","value":"158-18"},{"id":16,"name":"Locomotive ID","value":"4010"},{"id":130,"name":"Impact","value":""},{"id":150,"name":"Time of Event (Mountain Time)","value":"12:19:59"},{"id":151,"name":"Denver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4010 --day 2017-03-18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674</v>
      </c>
      <c r="B72" s="7">
        <v>4051</v>
      </c>
      <c r="C72" s="21" t="s">
        <v>222</v>
      </c>
      <c r="D72" s="21" t="s">
        <v>472</v>
      </c>
      <c r="E72" s="13">
        <v>42812.452592592592</v>
      </c>
      <c r="F72" s="13">
        <v>42812.458668981482</v>
      </c>
      <c r="G72" s="7">
        <v>1</v>
      </c>
      <c r="H72" s="21" t="s">
        <v>800</v>
      </c>
      <c r="I72" s="13">
        <v>42812.483518518522</v>
      </c>
      <c r="J72" s="7">
        <v>0</v>
      </c>
      <c r="K72" s="98" t="str">
        <f t="shared" si="0"/>
        <v>4051/4052</v>
      </c>
      <c r="L72" s="21" t="str">
        <f>VLOOKUP(A72,'Trips&amp;Operators'!$C$1:$G$99999,5,FALSE)</f>
        <v>STEWART MICHAEL</v>
      </c>
      <c r="M72" s="6">
        <f t="shared" si="1"/>
        <v>2.4849537039699499E-2</v>
      </c>
      <c r="N72" s="7">
        <f t="shared" si="26"/>
        <v>35.783333337167278</v>
      </c>
      <c r="O72" s="7"/>
      <c r="P72" s="7"/>
      <c r="Q72" s="22"/>
      <c r="R72" s="22"/>
      <c r="S72" s="31">
        <f t="shared" si="27"/>
        <v>1</v>
      </c>
      <c r="T72" s="46" t="str">
        <f t="shared" si="4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-18T09:51:44-0600',mode:absolute,to:'2017-03-18T12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2" s="187" t="str">
        <f t="shared" si="6"/>
        <v>N</v>
      </c>
      <c r="X72" s="187">
        <f t="shared" si="23"/>
        <v>1</v>
      </c>
      <c r="Y72" s="62">
        <f t="shared" si="24"/>
        <v>4.4600000000000001E-2</v>
      </c>
      <c r="Z72" s="62">
        <f t="shared" si="25"/>
        <v>23.331399999999999</v>
      </c>
      <c r="AA72" s="62">
        <f t="shared" si="10"/>
        <v>23.286799999999999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0159-18</v>
      </c>
      <c r="AE72" s="85" t="str">
        <f t="shared" si="12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72" s="82" t="str">
        <f t="shared" si="13"/>
        <v>"C:\Program Files (x86)\AstroGrep\AstroGrep.exe" /e /r /s /spath="%USERPROFILE%\AppData\Local\Temp\OnboardLogs" /stypes="app*4051*20170318*"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159-18 --locoid 4051 --swversion DE.1.0.9.0 --startMP 204:446 --initTime 2017-03-18T10:51:44 --startdatetime 2017-03-18T11:00:29 --delay 1 --endMP 204:233314 --enddatetime 2017-03-18T11:36:16 --enforcementcount 0 &gt;&gt;C:\Users\stu\Documents\GitHub\eaglep3-reporting\EC\2017-03-18-refined-times.txt</v>
      </c>
      <c r="AI7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{"issue":{"subject":"","project_id":79,"tracker_id":40,"status_id":1,"priority_id":2,"assigned_to_id":23,"start_date":"2017-03-18","description":"","custom_fields":[{"id":1,"name":"Subdivision","value":"EC"},{"id":4,"name":"Milepost","value":"23.3314"},{"id":17,"name":"Train ID","value":"159-18"},{"id":16,"name":"Locomotive ID","value":"4051"},{"id":130,"name":"Impact","value":""},{"id":150,"name":"Time of Event (Mountain Time)","value":"11:36:16"},{"id":151,"name":"Denver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4051 --day 2017-03-18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683</v>
      </c>
      <c r="B73" s="7">
        <v>4052</v>
      </c>
      <c r="C73" s="21" t="s">
        <v>222</v>
      </c>
      <c r="D73" s="21" t="s">
        <v>810</v>
      </c>
      <c r="E73" s="13">
        <v>42812.494930555556</v>
      </c>
      <c r="F73" s="13">
        <v>42812.497418981482</v>
      </c>
      <c r="G73" s="7">
        <v>1</v>
      </c>
      <c r="H73" s="21" t="s">
        <v>539</v>
      </c>
      <c r="I73" s="13">
        <v>42812.524537037039</v>
      </c>
      <c r="J73" s="7">
        <v>0</v>
      </c>
      <c r="K73" s="98" t="str">
        <f t="shared" si="0"/>
        <v>4051/4052</v>
      </c>
      <c r="L73" s="21" t="str">
        <f>VLOOKUP(A73,'Trips&amp;Operators'!$C$1:$G$99999,5,FALSE)</f>
        <v>STEWART MICHAEL</v>
      </c>
      <c r="M73" s="6">
        <f t="shared" si="1"/>
        <v>2.7118055557366461E-2</v>
      </c>
      <c r="N73" s="7">
        <f t="shared" si="26"/>
        <v>39.050000002607703</v>
      </c>
      <c r="O73" s="7"/>
      <c r="P73" s="7"/>
      <c r="Q73" s="22"/>
      <c r="R73" s="22"/>
      <c r="S73" s="31">
        <f t="shared" si="27"/>
        <v>1</v>
      </c>
      <c r="T73" s="46" t="str">
        <f t="shared" si="4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-18T10:52:42-0600',mode:absolute,to:'2017-03-18T13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3" s="187" t="str">
        <f t="shared" si="6"/>
        <v>N</v>
      </c>
      <c r="X73" s="187">
        <f t="shared" si="23"/>
        <v>1</v>
      </c>
      <c r="Y73" s="62">
        <f t="shared" si="24"/>
        <v>23.2973</v>
      </c>
      <c r="Z73" s="62">
        <f t="shared" si="25"/>
        <v>1.6E-2</v>
      </c>
      <c r="AA73" s="62">
        <f t="shared" si="10"/>
        <v>23.281300000000002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0160-18</v>
      </c>
      <c r="AE73" s="85" t="str">
        <f t="shared" si="12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73" s="82" t="str">
        <f t="shared" si="13"/>
        <v>"C:\Program Files (x86)\AstroGrep\AstroGrep.exe" /e /r /s /spath="%USERPROFILE%\AppData\Local\Temp\OnboardLogs" /stypes="app*4052*20170318*"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160-18 --locoid 4052 --swversion DE.1.0.9.0 --startMP 204:232973 --initTime 2017-03-18T11:52:42 --startdatetime 2017-03-18T11:56:17 --delay 1 --endMP 204:160 --enddatetime 2017-03-18T12:35:20 --enforcementcount 0 &gt;&gt;C:\Users\stu\Documents\GitHub\eaglep3-reporting\EC\2017-03-18-refined-times.txt</v>
      </c>
      <c r="AI7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{"issue":{"subject":"","project_id":79,"tracker_id":40,"status_id":1,"priority_id":2,"assigned_to_id":23,"start_date":"2017-03-18","description":"","custom_fields":[{"id":1,"name":"Subdivision","value":"EC"},{"id":4,"name":"Milepost","value":"0.016"},{"id":17,"name":"Train ID","value":"160-18"},{"id":16,"name":"Locomotive ID","value":"4052"},{"id":130,"name":"Impact","value":""},{"id":150,"name":"Time of Event (Mountain Time)","value":"12:35:20"},{"id":151,"name":"Denver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4052 --day 2017-03-18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677</v>
      </c>
      <c r="B74" s="7">
        <v>4027</v>
      </c>
      <c r="C74" s="21" t="s">
        <v>222</v>
      </c>
      <c r="D74" s="21" t="s">
        <v>540</v>
      </c>
      <c r="E74" s="13">
        <v>42812.46361111111</v>
      </c>
      <c r="F74" s="13">
        <v>42812.468923611108</v>
      </c>
      <c r="G74" s="7">
        <v>2</v>
      </c>
      <c r="H74" s="21" t="s">
        <v>811</v>
      </c>
      <c r="I74" s="13">
        <v>42812.493819444448</v>
      </c>
      <c r="J74" s="7">
        <v>0</v>
      </c>
      <c r="K74" s="98" t="str">
        <f t="shared" si="0"/>
        <v>4027/4028</v>
      </c>
      <c r="L74" s="21" t="str">
        <f>VLOOKUP(A74,'Trips&amp;Operators'!$C$1:$G$99999,5,FALSE)</f>
        <v>DELGADO DIANAH</v>
      </c>
      <c r="M74" s="6">
        <f t="shared" si="1"/>
        <v>2.489583333954215E-2</v>
      </c>
      <c r="N74" s="7">
        <f t="shared" si="26"/>
        <v>35.850000008940697</v>
      </c>
      <c r="O74" s="7"/>
      <c r="P74" s="7"/>
      <c r="Q74" s="22"/>
      <c r="R74" s="22"/>
      <c r="S74" s="31">
        <f t="shared" si="27"/>
        <v>1</v>
      </c>
      <c r="T74" s="46" t="str">
        <f t="shared" si="4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-18T10:07:36-0600',mode:absolute,to:'2017-03-18T12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87" t="str">
        <f t="shared" si="6"/>
        <v>N</v>
      </c>
      <c r="X74" s="187">
        <f t="shared" si="23"/>
        <v>1</v>
      </c>
      <c r="Y74" s="62">
        <f t="shared" si="24"/>
        <v>4.2200000000000001E-2</v>
      </c>
      <c r="Z74" s="62">
        <f t="shared" si="25"/>
        <v>23.334199999999999</v>
      </c>
      <c r="AA74" s="62">
        <f t="shared" si="10"/>
        <v>23.291999999999998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0161-18</v>
      </c>
      <c r="AE74" s="85" t="str">
        <f t="shared" si="12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74" s="82" t="str">
        <f t="shared" si="13"/>
        <v>"C:\Program Files (x86)\AstroGrep\AstroGrep.exe" /e /r /s /spath="%USERPROFILE%\AppData\Local\Temp\OnboardLogs" /stypes="app*4027*20170318*"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161-18 --locoid 4027 --swversion DE.1.0.9.0 --startMP 204:422 --initTime 2017-03-18T11:07:36 --startdatetime 2017-03-18T11:15:15 --delay 2 --endMP 204:233342 --enddatetime 2017-03-18T11:51:06 --enforcementcount 0 &gt;&gt;C:\Users\stu\Documents\GitHub\eaglep3-reporting\EC\2017-03-18-refined-times.txt</v>
      </c>
      <c r="AI7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{"issue":{"subject":"","project_id":79,"tracker_id":40,"status_id":1,"priority_id":2,"assigned_to_id":23,"start_date":"2017-03-18","description":"","custom_fields":[{"id":1,"name":"Subdivision","value":"EC"},{"id":4,"name":"Milepost","value":"23.3342"},{"id":17,"name":"Train ID","value":"161-18"},{"id":16,"name":"Locomotive ID","value":"4027"},{"id":130,"name":"Impact","value":""},{"id":150,"name":"Time of Event (Mountain Time)","value":"11:51:06"},{"id":151,"name":"Denver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4027 --day 2017-03-18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687</v>
      </c>
      <c r="B75" s="7">
        <v>4028</v>
      </c>
      <c r="C75" s="21" t="s">
        <v>222</v>
      </c>
      <c r="D75" s="21" t="s">
        <v>812</v>
      </c>
      <c r="E75" s="13">
        <v>42812.500162037039</v>
      </c>
      <c r="F75" s="13">
        <v>42812.5078125</v>
      </c>
      <c r="G75" s="7">
        <v>1</v>
      </c>
      <c r="H75" s="21" t="s">
        <v>406</v>
      </c>
      <c r="I75" s="13">
        <v>42812.535231481481</v>
      </c>
      <c r="J75" s="7">
        <v>0</v>
      </c>
      <c r="K75" s="98" t="str">
        <f t="shared" si="0"/>
        <v>4027/4028</v>
      </c>
      <c r="L75" s="21" t="str">
        <f>VLOOKUP(A75,'Trips&amp;Operators'!$C$1:$G$99999,5,FALSE)</f>
        <v>DELGADO DIANAH</v>
      </c>
      <c r="M75" s="6">
        <f t="shared" si="1"/>
        <v>2.7418981480877846E-2</v>
      </c>
      <c r="N75" s="7">
        <f t="shared" si="26"/>
        <v>39.483333332464099</v>
      </c>
      <c r="O75" s="7"/>
      <c r="P75" s="7"/>
      <c r="Q75" s="22"/>
      <c r="R75" s="22"/>
      <c r="S75" s="31">
        <f t="shared" si="27"/>
        <v>1</v>
      </c>
      <c r="T75" s="46" t="str">
        <f t="shared" si="4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-18T11:00:14-0600',mode:absolute,to:'2017-03-18T13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87" t="str">
        <f t="shared" si="6"/>
        <v>N</v>
      </c>
      <c r="X75" s="187">
        <f t="shared" si="23"/>
        <v>1</v>
      </c>
      <c r="Y75" s="62">
        <f t="shared" si="24"/>
        <v>23.302099999999999</v>
      </c>
      <c r="Z75" s="62">
        <f t="shared" si="25"/>
        <v>1.38E-2</v>
      </c>
      <c r="AA75" s="62">
        <f t="shared" si="10"/>
        <v>23.2883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0162-18</v>
      </c>
      <c r="AE75" s="85" t="str">
        <f t="shared" si="12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75" s="82" t="str">
        <f t="shared" si="13"/>
        <v>"C:\Program Files (x86)\AstroGrep\AstroGrep.exe" /e /r /s /spath="%USERPROFILE%\AppData\Local\Temp\OnboardLogs" /stypes="app*4028*20170318*"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162-18 --locoid 4028 --swversion DE.1.0.9.0 --startMP 204:233021 --initTime 2017-03-18T12:00:14 --startdatetime 2017-03-18T12:11:15 --delay 1 --endMP 204:138 --enddatetime 2017-03-18T12:50:44 --enforcementcount 0 &gt;&gt;C:\Users\stu\Documents\GitHub\eaglep3-reporting\EC\2017-03-18-refined-times.txt</v>
      </c>
      <c r="AI7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{"issue":{"subject":"","project_id":79,"tracker_id":40,"status_id":1,"priority_id":2,"assigned_to_id":23,"start_date":"2017-03-18","description":"","custom_fields":[{"id":1,"name":"Subdivision","value":"EC"},{"id":4,"name":"Milepost","value":"0.0138"},{"id":17,"name":"Train ID","value":"162-18"},{"id":16,"name":"Locomotive ID","value":"4028"},{"id":130,"name":"Impact","value":""},{"id":150,"name":"Time of Event (Mountain Time)","value":"12:50:44"},{"id":151,"name":"Denver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4028 --day 2017-03-18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679</v>
      </c>
      <c r="B76" s="7">
        <v>4031</v>
      </c>
      <c r="C76" s="21" t="s">
        <v>222</v>
      </c>
      <c r="D76" s="21" t="s">
        <v>474</v>
      </c>
      <c r="E76" s="13">
        <v>42812.476342592592</v>
      </c>
      <c r="F76" s="13">
        <v>42812.479351851849</v>
      </c>
      <c r="G76" s="7">
        <v>1</v>
      </c>
      <c r="H76" s="21" t="s">
        <v>787</v>
      </c>
      <c r="I76" s="13">
        <v>42812.503842592596</v>
      </c>
      <c r="J76" s="7">
        <v>0</v>
      </c>
      <c r="K76" s="98" t="str">
        <f t="shared" si="0"/>
        <v>4031/4032</v>
      </c>
      <c r="L76" s="21" t="str">
        <f>VLOOKUP(A76,'Trips&amp;Operators'!$C$1:$G$99999,5,FALSE)</f>
        <v>BRUDER RICHARD</v>
      </c>
      <c r="M76" s="6">
        <f t="shared" si="1"/>
        <v>2.4490740746841766E-2</v>
      </c>
      <c r="N76" s="7">
        <f t="shared" si="26"/>
        <v>35.266666675452143</v>
      </c>
      <c r="O76" s="7"/>
      <c r="P76" s="7"/>
      <c r="Q76" s="22"/>
      <c r="R76" s="22"/>
      <c r="S76" s="31">
        <f t="shared" si="27"/>
        <v>1</v>
      </c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-18T10:25:56-0600',mode:absolute,to:'2017-03-18T13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187" t="str">
        <f t="shared" si="6"/>
        <v>N</v>
      </c>
      <c r="X76" s="187">
        <f t="shared" si="23"/>
        <v>1</v>
      </c>
      <c r="Y76" s="62">
        <f t="shared" si="24"/>
        <v>4.4400000000000002E-2</v>
      </c>
      <c r="Z76" s="62">
        <f t="shared" si="25"/>
        <v>23.331099999999999</v>
      </c>
      <c r="AA76" s="62">
        <f t="shared" si="10"/>
        <v>23.2867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0163-18</v>
      </c>
      <c r="AE76" s="85" t="str">
        <f t="shared" si="12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76" s="82" t="str">
        <f t="shared" si="13"/>
        <v>"C:\Program Files (x86)\AstroGrep\AstroGrep.exe" /e /r /s /spath="%USERPROFILE%\AppData\Local\Temp\OnboardLogs" /stypes="app*4031*20170318*"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163-18 --locoid 4031 --swversion DE.1.0.9.0 --startMP 204:444 --initTime 2017-03-18T11:25:56 --startdatetime 2017-03-18T11:30:16 --delay 1 --endMP 204:233311 --enddatetime 2017-03-18T12:05:32 --enforcementcount 0 &gt;&gt;C:\Users\stu\Documents\GitHub\eaglep3-reporting\EC\2017-03-18-refined-times.txt</v>
      </c>
      <c r="AI7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{"issue":{"subject":"","project_id":79,"tracker_id":40,"status_id":1,"priority_id":2,"assigned_to_id":23,"start_date":"2017-03-18","description":"","custom_fields":[{"id":1,"name":"Subdivision","value":"EC"},{"id":4,"name":"Milepost","value":"23.3311"},{"id":17,"name":"Train ID","value":"163-18"},{"id":16,"name":"Locomotive ID","value":"4031"},{"id":130,"name":"Impact","value":""},{"id":150,"name":"Time of Event (Mountain Time)","value":"12:05:32"},{"id":151,"name":"Denver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4031 --day 2017-03-18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689</v>
      </c>
      <c r="B77" s="7">
        <v>4032</v>
      </c>
      <c r="C77" s="21" t="s">
        <v>222</v>
      </c>
      <c r="D77" s="21" t="s">
        <v>788</v>
      </c>
      <c r="E77" s="13">
        <v>42812.514907407407</v>
      </c>
      <c r="F77" s="13">
        <v>42812.518252314818</v>
      </c>
      <c r="G77" s="7">
        <v>1</v>
      </c>
      <c r="H77" s="21" t="s">
        <v>808</v>
      </c>
      <c r="I77" s="13">
        <v>42812.545162037037</v>
      </c>
      <c r="J77" s="7">
        <v>0</v>
      </c>
      <c r="K77" s="98" t="str">
        <f t="shared" ref="K77:K140" si="28">IF(ISEVEN(B77),(B77-1)&amp;"/"&amp;B77,B77&amp;"/"&amp;(B77+1))</f>
        <v>4031/4032</v>
      </c>
      <c r="L77" s="21" t="str">
        <f>VLOOKUP(A77,'Trips&amp;Operators'!$C$1:$G$99999,5,FALSE)</f>
        <v>BRUDER RICHARD</v>
      </c>
      <c r="M77" s="6">
        <f t="shared" ref="M77:M140" si="29">I77-F77</f>
        <v>2.6909722218988463E-2</v>
      </c>
      <c r="N77" s="7">
        <f t="shared" si="26"/>
        <v>38.749999995343387</v>
      </c>
      <c r="O77" s="7"/>
      <c r="P77" s="7"/>
      <c r="Q77" s="22"/>
      <c r="R77" s="22"/>
      <c r="S77" s="31">
        <f t="shared" si="27"/>
        <v>1</v>
      </c>
      <c r="T77" s="46" t="str">
        <f t="shared" ref="T77:T140" si="30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-18T11:21:28-0600',mode:absolute,to:'2017-03-18T14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87" t="str">
        <f t="shared" ref="W77:W140" si="32">IF(AA77&lt;IF(AG77="EC",23,5.65),"Y","N")</f>
        <v>N</v>
      </c>
      <c r="X77" s="187">
        <f t="shared" ref="X77:X87" si="33">VALUE(LEFT(AD77,4))-VALUE(LEFT(AD76,4))</f>
        <v>1</v>
      </c>
      <c r="Y77" s="62">
        <f t="shared" ref="Y77:Y108" si="34">RIGHT(D77,LEN(D77)-4)/10000</f>
        <v>23.2986</v>
      </c>
      <c r="Z77" s="62">
        <f t="shared" ref="Z77:Z108" si="35">RIGHT(H77,LEN(H77)-4)/10000</f>
        <v>1.3899999999999999E-2</v>
      </c>
      <c r="AA77" s="62">
        <f t="shared" ref="AA77:AA140" si="36">ABS(Z77-Y77)</f>
        <v>23.284700000000001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7">IF(LEN(A77)=6,"0"&amp;A77,A77)</f>
        <v>0164-18</v>
      </c>
      <c r="AE77" s="85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77" s="82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/stypes="app*4032*20170318*" /stext=" 19:.+((SYSTEM_STATE.+slice.+state.+changed )|(ment ac)|(multiple cpu faults)|(system.+state.+changed )|(\[timeout)|(PRM\|1\|D)|(kpr)|(kdp)|(\|lc)|(penalty))"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164-18 --locoid 4032 --swversion DE.1.0.9.0 --startMP 204:232986 --initTime 2017-03-18T12:21:28 --startdatetime 2017-03-18T12:26:17 --delay 1 --endMP 204:139 --enddatetime 2017-03-18T13:05:02 --enforcementcount 0 &gt;&gt;C:\Users\stu\Documents\GitHub\eaglep3-reporting\EC\2017-03-18-refined-times.txt</v>
      </c>
      <c r="AI7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{"issue":{"subject":"","project_id":79,"tracker_id":40,"status_id":1,"priority_id":2,"assigned_to_id":23,"start_date":"2017-03-18","description":"","custom_fields":[{"id":1,"name":"Subdivision","value":"EC"},{"id":4,"name":"Milepost","value":"0.0139"},{"id":17,"name":"Train ID","value":"164-18"},{"id":16,"name":"Locomotive ID","value":"4032"},{"id":130,"name":"Impact","value":""},{"id":150,"name":"Time of Event (Mountain Time)","value":"13:05:02"},{"id":151,"name":"Denver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4032 --day 2017-03-18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682</v>
      </c>
      <c r="B78" s="7">
        <v>4014</v>
      </c>
      <c r="C78" s="21" t="s">
        <v>222</v>
      </c>
      <c r="D78" s="21" t="s">
        <v>219</v>
      </c>
      <c r="E78" s="13">
        <v>42812.484189814815</v>
      </c>
      <c r="F78" s="13">
        <v>42812.489849537036</v>
      </c>
      <c r="G78" s="7">
        <v>2</v>
      </c>
      <c r="H78" s="21" t="s">
        <v>403</v>
      </c>
      <c r="I78" s="13">
        <v>42812.515462962961</v>
      </c>
      <c r="J78" s="7">
        <v>0</v>
      </c>
      <c r="K78" s="98" t="str">
        <f t="shared" si="28"/>
        <v>4013/4014</v>
      </c>
      <c r="L78" s="21" t="str">
        <f>VLOOKUP(A78,'Trips&amp;Operators'!$C$1:$G$99999,5,FALSE)</f>
        <v>WHITED DUSTIN</v>
      </c>
      <c r="M78" s="6">
        <f t="shared" si="29"/>
        <v>2.5613425925257616E-2</v>
      </c>
      <c r="N78" s="7">
        <f t="shared" si="26"/>
        <v>36.883333332370967</v>
      </c>
      <c r="O78" s="7"/>
      <c r="P78" s="7"/>
      <c r="Q78" s="22"/>
      <c r="R78" s="22"/>
      <c r="S78" s="31">
        <f t="shared" si="27"/>
        <v>1</v>
      </c>
      <c r="T78" s="46" t="str">
        <f t="shared" si="30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1"/>
        <v>https://d0f6bd738d7f1b3e5a7ca70fe4ff75f0.us-east-1.aws.found.io/app/kibana#/discover/Steve-Slow-Train-Analysis-(2080s-and-2083s)?_g=(refreshInterval:(display:Off,pause:!f,section:0,value:0),time:(from:'2017-03-18T10:37:14-0600',mode:absolute,to:'2017-03-18T13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8" s="187" t="str">
        <f t="shared" si="32"/>
        <v>N</v>
      </c>
      <c r="X78" s="187">
        <f t="shared" si="33"/>
        <v>1</v>
      </c>
      <c r="Y78" s="62">
        <f t="shared" si="34"/>
        <v>4.6600000000000003E-2</v>
      </c>
      <c r="Z78" s="62">
        <f t="shared" si="35"/>
        <v>23.3323</v>
      </c>
      <c r="AA78" s="62">
        <f t="shared" si="36"/>
        <v>23.285699999999999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7"/>
        <v>0165-18</v>
      </c>
      <c r="AE78" s="85" t="str">
        <f t="shared" si="38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78" s="82" t="str">
        <f t="shared" si="39"/>
        <v>"C:\Program Files (x86)\AstroGrep\AstroGrep.exe" /e /r /s /spath="%USERPROFILE%\AppData\Local\Temp\OnboardLogs" /stypes="app*4014*20170318*" /stext=" 18:.+((SYSTEM_STATE.+slice.+state.+changed )|(ment ac)|(multiple cpu faults)|(system.+state.+changed )|(\[timeout)|(PRM\|1\|D)|(kpr)|(kdp)|(\|lc)|(penalty))"</v>
      </c>
      <c r="AG78" s="1" t="str">
        <f t="shared" si="40"/>
        <v>EC</v>
      </c>
      <c r="AH78" s="86" t="str">
        <f t="shared" ref="AH78:AH140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165-18 --locoid 4014 --swversion DE.1.0.9.0 --startMP 204:466 --initTime 2017-03-18T11:37:14 --startdatetime 2017-03-18T11:45:23 --delay 2 --endMP 204:233323 --enddatetime 2017-03-18T12:22:16 --enforcementcount 0 &gt;&gt;C:\Users\stu\Documents\GitHub\eaglep3-reporting\EC\2017-03-18-refined-times.txt</v>
      </c>
      <c r="AI78" s="108" t="str">
        <f t="shared" ref="AI78:AI140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{"issue":{"subject":"","project_id":79,"tracker_id":40,"status_id":1,"priority_id":2,"assigned_to_id":23,"start_date":"2017-03-18","description":"","custom_fields":[{"id":1,"name":"Subdivision","value":"EC"},{"id":4,"name":"Milepost","value":"23.3323"},{"id":17,"name":"Train ID","value":"165-18"},{"id":16,"name":"Locomotive ID","value":"4014"},{"id":130,"name":"Impact","value":""},{"id":150,"name":"Time of Event (Mountain Time)","value":"12:22:16"},{"id":151,"name":"Denver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0" si="43">"start /low /b "&amp;dls3logs&amp;" --loco "&amp;B78&amp;" --day "&amp;TEXT(F78,"YYYY-MM-DD")</f>
        <v>start /low /b %USERPROFILE%\Documents\GitHub\eaglep3\Utilities\DownloadLogsFromS3.py --loco 4014 --day 2017-03-18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693</v>
      </c>
      <c r="B79" s="7">
        <v>4013</v>
      </c>
      <c r="C79" s="21" t="s">
        <v>222</v>
      </c>
      <c r="D79" s="21" t="s">
        <v>541</v>
      </c>
      <c r="E79" s="13">
        <v>42812.523275462961</v>
      </c>
      <c r="F79" s="13">
        <v>42812.528726851851</v>
      </c>
      <c r="G79" s="7">
        <v>1</v>
      </c>
      <c r="H79" s="21" t="s">
        <v>531</v>
      </c>
      <c r="I79" s="13">
        <v>42812.555659722224</v>
      </c>
      <c r="J79" s="7">
        <v>0</v>
      </c>
      <c r="K79" s="98" t="str">
        <f t="shared" si="28"/>
        <v>4013/4014</v>
      </c>
      <c r="L79" s="21" t="str">
        <f>VLOOKUP(A79,'Trips&amp;Operators'!$C$1:$G$99999,5,FALSE)</f>
        <v>WHITED DUSTIN</v>
      </c>
      <c r="M79" s="6">
        <f t="shared" si="29"/>
        <v>2.6932870372547768E-2</v>
      </c>
      <c r="N79" s="7">
        <f t="shared" si="26"/>
        <v>38.783333336468786</v>
      </c>
      <c r="O79" s="7"/>
      <c r="P79" s="7"/>
      <c r="Q79" s="22"/>
      <c r="R79" s="22"/>
      <c r="S79" s="31">
        <f t="shared" si="27"/>
        <v>1</v>
      </c>
      <c r="T79" s="46" t="str">
        <f t="shared" si="30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1"/>
        <v>https://d0f6bd738d7f1b3e5a7ca70fe4ff75f0.us-east-1.aws.found.io/app/kibana#/discover/Steve-Slow-Train-Analysis-(2080s-and-2083s)?_g=(refreshInterval:(display:Off,pause:!f,section:0,value:0),time:(from:'2017-03-18T11:33:31-0600',mode:absolute,to:'2017-03-18T14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9" s="187" t="str">
        <f t="shared" si="32"/>
        <v>N</v>
      </c>
      <c r="X79" s="187">
        <f t="shared" si="33"/>
        <v>1</v>
      </c>
      <c r="Y79" s="62">
        <f t="shared" si="34"/>
        <v>23.3002</v>
      </c>
      <c r="Z79" s="62">
        <f t="shared" si="35"/>
        <v>1.29E-2</v>
      </c>
      <c r="AA79" s="62">
        <f t="shared" si="36"/>
        <v>23.287300000000002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7"/>
        <v>0166-18</v>
      </c>
      <c r="AE79" s="85" t="str">
        <f t="shared" si="38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79" s="82" t="str">
        <f t="shared" si="39"/>
        <v>"C:\Program Files (x86)\AstroGrep\AstroGrep.exe" /e /r /s /spath="%USERPROFILE%\AppData\Local\Temp\OnboardLogs" /stypes="app*4013*20170318*" /stext=" 19:.+((SYSTEM_STATE.+slice.+state.+changed )|(ment ac)|(multiple cpu faults)|(system.+state.+changed )|(\[timeout)|(PRM\|1\|D)|(kpr)|(kdp)|(\|lc)|(penalty))"</v>
      </c>
      <c r="AG79" s="1" t="str">
        <f t="shared" si="40"/>
        <v>EC</v>
      </c>
      <c r="AH79" s="86" t="str">
        <f t="shared" si="41"/>
        <v>"%USERPROFILE%\Documents\GitHub\eaglep3\Utilities\RefineRTDCRunTimes.py" --tripid 166-18 --locoid 4013 --swversion DE.1.0.9.0 --startMP 204:233002 --initTime 2017-03-18T12:33:31 --startdatetime 2017-03-18T12:41:22 --delay 1 --endMP 204:129 --enddatetime 2017-03-18T13:20:09 --enforcementcount 0 &gt;&gt;C:\Users\stu\Documents\GitHub\eaglep3-reporting\EC\2017-03-18-refined-times.txt</v>
      </c>
      <c r="AI7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{"issue":{"subject":"","project_id":79,"tracker_id":40,"status_id":1,"priority_id":2,"assigned_to_id":23,"start_date":"2017-03-18","description":"","custom_fields":[{"id":1,"name":"Subdivision","value":"EC"},{"id":4,"name":"Milepost","value":"0.0129"},{"id":17,"name":"Train ID","value":"166-18"},{"id":16,"name":"Locomotive ID","value":"4013"},{"id":130,"name":"Impact","value":""},{"id":150,"name":"Time of Event (Mountain Time)","value":"13:20:09"},{"id":151,"name":"Denver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3"/>
        <v>start /low /b %USERPROFILE%\Documents\GitHub\eaglep3\Utilities\DownloadLogsFromS3.py --loco 4013 --day 2017-03-18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571</v>
      </c>
      <c r="B80" s="7">
        <v>4044</v>
      </c>
      <c r="C80" s="21" t="s">
        <v>222</v>
      </c>
      <c r="D80" s="21" t="s">
        <v>474</v>
      </c>
      <c r="E80" s="13">
        <v>42812.495636574073</v>
      </c>
      <c r="F80" s="13">
        <v>42812.500243055554</v>
      </c>
      <c r="G80" s="7">
        <v>1</v>
      </c>
      <c r="H80" s="21" t="s">
        <v>813</v>
      </c>
      <c r="I80" s="13">
        <v>42812.52553240741</v>
      </c>
      <c r="J80" s="7">
        <v>0</v>
      </c>
      <c r="K80" s="98" t="str">
        <f t="shared" si="28"/>
        <v>4043/4044</v>
      </c>
      <c r="L80" s="21" t="str">
        <f>VLOOKUP(A80,'Trips&amp;Operators'!$C$1:$G$99999,5,FALSE)</f>
        <v>LEVIN SCOTT</v>
      </c>
      <c r="M80" s="6">
        <f t="shared" si="29"/>
        <v>2.5289351855462883E-2</v>
      </c>
      <c r="N80" s="7">
        <f t="shared" si="26"/>
        <v>36.416666671866551</v>
      </c>
      <c r="O80" s="7"/>
      <c r="P80" s="7"/>
      <c r="Q80" s="22"/>
      <c r="R80" s="22"/>
      <c r="S80" s="31">
        <f t="shared" si="27"/>
        <v>1</v>
      </c>
      <c r="T80" s="46" t="str">
        <f t="shared" si="30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1"/>
        <v>https://d0f6bd738d7f1b3e5a7ca70fe4ff75f0.us-east-1.aws.found.io/app/kibana#/discover/Steve-Slow-Train-Analysis-(2080s-and-2083s)?_g=(refreshInterval:(display:Off,pause:!f,section:0,value:0),time:(from:'2017-03-18T10:53:43-0600',mode:absolute,to:'2017-03-18T13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0" s="187" t="str">
        <f t="shared" si="32"/>
        <v>N</v>
      </c>
      <c r="X80" s="187">
        <f t="shared" si="33"/>
        <v>1</v>
      </c>
      <c r="Y80" s="62">
        <f t="shared" si="34"/>
        <v>4.4400000000000002E-2</v>
      </c>
      <c r="Z80" s="62">
        <f t="shared" si="35"/>
        <v>23.333600000000001</v>
      </c>
      <c r="AA80" s="62">
        <f t="shared" si="36"/>
        <v>23.289200000000001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si="37"/>
        <v>0167-18</v>
      </c>
      <c r="AE80" s="85" t="str">
        <f t="shared" si="38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80" s="82" t="str">
        <f t="shared" si="39"/>
        <v>"C:\Program Files (x86)\AstroGrep\AstroGrep.exe" /e /r /s /spath="%USERPROFILE%\AppData\Local\Temp\OnboardLogs" /stypes="app*4044*20170318*" /stext=" 18:.+((SYSTEM_STATE.+slice.+state.+changed )|(ment ac)|(multiple cpu faults)|(system.+state.+changed )|(\[timeout)|(PRM\|1\|D)|(kpr)|(kdp)|(\|lc)|(penalty))"</v>
      </c>
      <c r="AG80" s="1" t="str">
        <f t="shared" si="40"/>
        <v>EC</v>
      </c>
      <c r="AH80" s="86" t="str">
        <f t="shared" si="41"/>
        <v>"%USERPROFILE%\Documents\GitHub\eaglep3\Utilities\RefineRTDCRunTimes.py" --tripid 167-18 --locoid 4044 --swversion DE.1.0.9.0 --startMP 204:444 --initTime 2017-03-18T11:53:43 --startdatetime 2017-03-18T12:00:21 --delay 1 --endMP 204:233336 --enddatetime 2017-03-18T12:36:46 --enforcementcount 0 &gt;&gt;C:\Users\stu\Documents\GitHub\eaglep3-reporting\EC\2017-03-18-refined-times.txt</v>
      </c>
      <c r="AI8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{"issue":{"subject":"","project_id":79,"tracker_id":40,"status_id":1,"priority_id":2,"assigned_to_id":23,"start_date":"2017-03-18","description":"","custom_fields":[{"id":1,"name":"Subdivision","value":"EC"},{"id":4,"name":"Milepost","value":"23.3336"},{"id":17,"name":"Train ID","value":"167-18"},{"id":16,"name":"Locomotive ID","value":"4044"},{"id":130,"name":"Impact","value":""},{"id":150,"name":"Time of Event (Mountain Time)","value":"12:36:46"},{"id":151,"name":"Denver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3"/>
        <v>start /low /b %USERPROFILE%\Documents\GitHub\eaglep3\Utilities\DownloadLogsFromS3.py --loco 4044 --day 2017-03-18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696</v>
      </c>
      <c r="B81" s="7">
        <v>4043</v>
      </c>
      <c r="C81" s="21" t="s">
        <v>222</v>
      </c>
      <c r="D81" s="21" t="s">
        <v>814</v>
      </c>
      <c r="E81" s="13">
        <v>42812.53434027778</v>
      </c>
      <c r="F81" s="13">
        <v>42812.539131944446</v>
      </c>
      <c r="G81" s="7">
        <v>1</v>
      </c>
      <c r="H81" s="21" t="s">
        <v>480</v>
      </c>
      <c r="I81" s="13">
        <v>42812.565613425926</v>
      </c>
      <c r="J81" s="7">
        <v>0</v>
      </c>
      <c r="K81" s="98" t="str">
        <f t="shared" si="28"/>
        <v>4043/4044</v>
      </c>
      <c r="L81" s="21" t="str">
        <f>VLOOKUP(A81,'Trips&amp;Operators'!$C$1:$G$99999,5,FALSE)</f>
        <v>LEVIN SCOTT</v>
      </c>
      <c r="M81" s="6">
        <f t="shared" si="29"/>
        <v>2.6481481480004732E-2</v>
      </c>
      <c r="N81" s="7">
        <f t="shared" si="26"/>
        <v>38.133333331206813</v>
      </c>
      <c r="O81" s="7"/>
      <c r="P81" s="7"/>
      <c r="Q81" s="22"/>
      <c r="R81" s="22"/>
      <c r="S81" s="31">
        <f t="shared" si="27"/>
        <v>1</v>
      </c>
      <c r="T81" s="46" t="str">
        <f t="shared" si="30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1"/>
        <v>https://d0f6bd738d7f1b3e5a7ca70fe4ff75f0.us-east-1.aws.found.io/app/kibana#/discover/Steve-Slow-Train-Analysis-(2080s-and-2083s)?_g=(refreshInterval:(display:Off,pause:!f,section:0,value:0),time:(from:'2017-03-18T11:49:27-0600',mode:absolute,to:'2017-03-18T14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1" s="187" t="str">
        <f t="shared" si="32"/>
        <v>N</v>
      </c>
      <c r="X81" s="187">
        <f t="shared" si="33"/>
        <v>1</v>
      </c>
      <c r="Y81" s="62">
        <f t="shared" si="34"/>
        <v>23.302600000000002</v>
      </c>
      <c r="Z81" s="62">
        <f t="shared" si="35"/>
        <v>1.2699999999999999E-2</v>
      </c>
      <c r="AA81" s="62">
        <f t="shared" si="36"/>
        <v>23.289900000000003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7"/>
        <v>0168-18</v>
      </c>
      <c r="AE81" s="85" t="str">
        <f t="shared" si="38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81" s="82" t="str">
        <f t="shared" si="39"/>
        <v>"C:\Program Files (x86)\AstroGrep\AstroGrep.exe" /e /r /s /spath="%USERPROFILE%\AppData\Local\Temp\OnboardLogs" /stypes="app*4043*20170318*" /stext=" 19:.+((SYSTEM_STATE.+slice.+state.+changed )|(ment ac)|(multiple cpu faults)|(system.+state.+changed )|(\[timeout)|(PRM\|1\|D)|(kpr)|(kdp)|(\|lc)|(penalty))"</v>
      </c>
      <c r="AG81" s="1" t="str">
        <f t="shared" si="40"/>
        <v>EC</v>
      </c>
      <c r="AH81" s="86" t="str">
        <f t="shared" si="41"/>
        <v>"%USERPROFILE%\Documents\GitHub\eaglep3\Utilities\RefineRTDCRunTimes.py" --tripid 168-18 --locoid 4043 --swversion DE.1.0.9.0 --startMP 204:233026 --initTime 2017-03-18T12:49:27 --startdatetime 2017-03-18T12:56:21 --delay 1 --endMP 204:127 --enddatetime 2017-03-18T13:34:29 --enforcementcount 0 &gt;&gt;C:\Users\stu\Documents\GitHub\eaglep3-reporting\EC\2017-03-18-refined-times.txt</v>
      </c>
      <c r="AI81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{"issue":{"subject":"","project_id":79,"tracker_id":40,"status_id":1,"priority_id":2,"assigned_to_id":23,"start_date":"2017-03-18","description":"","custom_fields":[{"id":1,"name":"Subdivision","value":"EC"},{"id":4,"name":"Milepost","value":"0.0127"},{"id":17,"name":"Train ID","value":"168-18"},{"id":16,"name":"Locomotive ID","value":"4043"},{"id":130,"name":"Impact","value":""},{"id":150,"name":"Time of Event (Mountain Time)","value":"13:34:29"},{"id":151,"name":"Denver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3"/>
        <v>start /low /b %USERPROFILE%\Documents\GitHub\eaglep3\Utilities\DownloadLogsFromS3.py --loco 4043 --day 2017-03-18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688</v>
      </c>
      <c r="B82" s="7">
        <v>4029</v>
      </c>
      <c r="C82" s="21" t="s">
        <v>222</v>
      </c>
      <c r="D82" s="21" t="s">
        <v>215</v>
      </c>
      <c r="E82" s="13">
        <v>42812.503946759258</v>
      </c>
      <c r="F82" s="13">
        <v>42812.510601851849</v>
      </c>
      <c r="G82" s="7">
        <v>1</v>
      </c>
      <c r="H82" s="21" t="s">
        <v>804</v>
      </c>
      <c r="I82" s="13">
        <v>42812.536041666666</v>
      </c>
      <c r="J82" s="7">
        <v>0</v>
      </c>
      <c r="K82" s="98" t="str">
        <f t="shared" si="28"/>
        <v>4029/4030</v>
      </c>
      <c r="L82" s="21" t="str">
        <f>VLOOKUP(A82,'Trips&amp;Operators'!$C$1:$G$99999,5,FALSE)</f>
        <v>LOPES KIMBERLY</v>
      </c>
      <c r="M82" s="6">
        <f t="shared" si="29"/>
        <v>2.5439814817218576E-2</v>
      </c>
      <c r="N82" s="7">
        <f t="shared" si="26"/>
        <v>36.633333336794749</v>
      </c>
      <c r="O82" s="7"/>
      <c r="P82" s="7"/>
      <c r="Q82" s="22"/>
      <c r="R82" s="22"/>
      <c r="S82" s="31">
        <f t="shared" si="27"/>
        <v>1</v>
      </c>
      <c r="T82" s="46" t="str">
        <f t="shared" si="30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1"/>
        <v>https://d0f6bd738d7f1b3e5a7ca70fe4ff75f0.us-east-1.aws.found.io/app/kibana#/discover/Steve-Slow-Train-Analysis-(2080s-and-2083s)?_g=(refreshInterval:(display:Off,pause:!f,section:0,value:0),time:(from:'2017-03-18T11:05:41-0600',mode:absolute,to:'2017-03-18T13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187" t="str">
        <f t="shared" si="32"/>
        <v>N</v>
      </c>
      <c r="X82" s="187">
        <f t="shared" si="33"/>
        <v>1</v>
      </c>
      <c r="Y82" s="62">
        <f t="shared" si="34"/>
        <v>4.3999999999999997E-2</v>
      </c>
      <c r="Z82" s="62">
        <f t="shared" si="35"/>
        <v>23.331</v>
      </c>
      <c r="AA82" s="62">
        <f t="shared" si="36"/>
        <v>23.286999999999999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7"/>
        <v>0169-18</v>
      </c>
      <c r="AE82" s="85" t="str">
        <f t="shared" si="38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82" s="82" t="str">
        <f t="shared" si="39"/>
        <v>"C:\Program Files (x86)\AstroGrep\AstroGrep.exe" /e /r /s /spath="%USERPROFILE%\AppData\Local\Temp\OnboardLogs" /stypes="app*4029*20170318*" /stext=" 18:.+((SYSTEM_STATE.+slice.+state.+changed )|(ment ac)|(multiple cpu faults)|(system.+state.+changed )|(\[timeout)|(PRM\|1\|D)|(kpr)|(kdp)|(\|lc)|(penalty))"</v>
      </c>
      <c r="AG82" s="1" t="str">
        <f t="shared" si="40"/>
        <v>EC</v>
      </c>
      <c r="AH82" s="86" t="str">
        <f t="shared" si="41"/>
        <v>"%USERPROFILE%\Documents\GitHub\eaglep3\Utilities\RefineRTDCRunTimes.py" --tripid 169-18 --locoid 4029 --swversion DE.1.0.9.0 --startMP 204:440 --initTime 2017-03-18T12:05:41 --startdatetime 2017-03-18T12:15:16 --delay 1 --endMP 204:233310 --enddatetime 2017-03-18T12:51:54 --enforcementcount 0 &gt;&gt;C:\Users\stu\Documents\GitHub\eaglep3-reporting\EC\2017-03-18-refined-times.txt</v>
      </c>
      <c r="AI8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{"issue":{"subject":"","project_id":79,"tracker_id":40,"status_id":1,"priority_id":2,"assigned_to_id":23,"start_date":"2017-03-18","description":"","custom_fields":[{"id":1,"name":"Subdivision","value":"EC"},{"id":4,"name":"Milepost","value":"23.331"},{"id":17,"name":"Train ID","value":"169-18"},{"id":16,"name":"Locomotive ID","value":"4029"},{"id":130,"name":"Impact","value":""},{"id":150,"name":"Time of Event (Mountain Time)","value":"12:51:54"},{"id":151,"name":"Denver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3"/>
        <v>start /low /b %USERPROFILE%\Documents\GitHub\eaglep3\Utilities\DownloadLogsFromS3.py --loco 4029 --day 2017-03-18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699</v>
      </c>
      <c r="B83" s="7">
        <v>4030</v>
      </c>
      <c r="C83" s="21" t="s">
        <v>222</v>
      </c>
      <c r="D83" s="21" t="s">
        <v>815</v>
      </c>
      <c r="E83" s="13">
        <v>42812.546168981484</v>
      </c>
      <c r="F83" s="13">
        <v>42812.549479166664</v>
      </c>
      <c r="G83" s="7">
        <v>1</v>
      </c>
      <c r="H83" s="21" t="s">
        <v>200</v>
      </c>
      <c r="I83" s="13">
        <v>42812.576516203706</v>
      </c>
      <c r="J83" s="7">
        <v>0</v>
      </c>
      <c r="K83" s="98" t="str">
        <f t="shared" si="28"/>
        <v>4029/4030</v>
      </c>
      <c r="L83" s="21" t="str">
        <f>VLOOKUP(A83,'Trips&amp;Operators'!$C$1:$G$99999,5,FALSE)</f>
        <v>LOPES KIMBERLY</v>
      </c>
      <c r="M83" s="6">
        <f t="shared" si="29"/>
        <v>2.7037037041736767E-2</v>
      </c>
      <c r="N83" s="7">
        <f t="shared" si="26"/>
        <v>38.933333340100944</v>
      </c>
      <c r="O83" s="7"/>
      <c r="P83" s="7"/>
      <c r="Q83" s="22"/>
      <c r="R83" s="22"/>
      <c r="S83" s="31">
        <f t="shared" si="27"/>
        <v>1</v>
      </c>
      <c r="T83" s="46" t="str">
        <f t="shared" si="30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1"/>
        <v>https://d0f6bd738d7f1b3e5a7ca70fe4ff75f0.us-east-1.aws.found.io/app/kibana#/discover/Steve-Slow-Train-Analysis-(2080s-and-2083s)?_g=(refreshInterval:(display:Off,pause:!f,section:0,value:0),time:(from:'2017-03-18T12:06:29-0600',mode:absolute,to:'2017-03-18T14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187" t="str">
        <f t="shared" si="32"/>
        <v>N</v>
      </c>
      <c r="X83" s="187">
        <f t="shared" si="33"/>
        <v>1</v>
      </c>
      <c r="Y83" s="62">
        <f t="shared" si="34"/>
        <v>23.299299999999999</v>
      </c>
      <c r="Z83" s="62">
        <f t="shared" si="35"/>
        <v>1.5800000000000002E-2</v>
      </c>
      <c r="AA83" s="62">
        <f t="shared" si="36"/>
        <v>23.2835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7"/>
        <v>0170-18</v>
      </c>
      <c r="AE83" s="85" t="str">
        <f t="shared" si="38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83" s="82" t="str">
        <f t="shared" si="39"/>
        <v>"C:\Program Files (x86)\AstroGrep\AstroGrep.exe" /e /r /s /spath="%USERPROFILE%\AppData\Local\Temp\OnboardLogs" /stypes="app*4030*20170318*" /stext=" 19:.+((SYSTEM_STATE.+slice.+state.+changed )|(ment ac)|(multiple cpu faults)|(system.+state.+changed )|(\[timeout)|(PRM\|1\|D)|(kpr)|(kdp)|(\|lc)|(penalty))"</v>
      </c>
      <c r="AG83" s="1" t="str">
        <f t="shared" si="40"/>
        <v>EC</v>
      </c>
      <c r="AH83" s="86" t="str">
        <f t="shared" si="41"/>
        <v>"%USERPROFILE%\Documents\GitHub\eaglep3\Utilities\RefineRTDCRunTimes.py" --tripid 170-18 --locoid 4030 --swversion DE.1.0.9.0 --startMP 204:232993 --initTime 2017-03-18T13:06:29 --startdatetime 2017-03-18T13:11:15 --delay 1 --endMP 204:158 --enddatetime 2017-03-18T13:50:11 --enforcementcount 0 &gt;&gt;C:\Users\stu\Documents\GitHub\eaglep3-reporting\EC\2017-03-18-refined-times.txt</v>
      </c>
      <c r="AI8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{"issue":{"subject":"","project_id":79,"tracker_id":40,"status_id":1,"priority_id":2,"assigned_to_id":23,"start_date":"2017-03-18","description":"","custom_fields":[{"id":1,"name":"Subdivision","value":"EC"},{"id":4,"name":"Milepost","value":"0.0158"},{"id":17,"name":"Train ID","value":"170-18"},{"id":16,"name":"Locomotive ID","value":"4030"},{"id":130,"name":"Impact","value":""},{"id":150,"name":"Time of Event (Mountain Time)","value":"13:50:11"},{"id":151,"name":"Denver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3"/>
        <v>start /low /b %USERPROFILE%\Documents\GitHub\eaglep3\Utilities\DownloadLogsFromS3.py --loco 4030 --day 2017-03-18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690</v>
      </c>
      <c r="B84" s="7">
        <v>4009</v>
      </c>
      <c r="C84" s="21" t="s">
        <v>222</v>
      </c>
      <c r="D84" s="21" t="s">
        <v>803</v>
      </c>
      <c r="E84" s="13">
        <v>42812.517013888886</v>
      </c>
      <c r="F84" s="13">
        <v>42812.521087962959</v>
      </c>
      <c r="G84" s="7">
        <v>2</v>
      </c>
      <c r="H84" s="21" t="s">
        <v>529</v>
      </c>
      <c r="I84" s="13">
        <v>42812.546990740739</v>
      </c>
      <c r="J84" s="7">
        <v>0</v>
      </c>
      <c r="K84" s="98" t="str">
        <f t="shared" si="28"/>
        <v>4009/4010</v>
      </c>
      <c r="L84" s="21" t="str">
        <f>VLOOKUP(A84,'Trips&amp;Operators'!$C$1:$G$99999,5,FALSE)</f>
        <v>NELSON ARIANE</v>
      </c>
      <c r="M84" s="6">
        <f t="shared" si="29"/>
        <v>2.5902777779265307E-2</v>
      </c>
      <c r="N84" s="7">
        <f t="shared" si="26"/>
        <v>37.300000002142042</v>
      </c>
      <c r="O84" s="7"/>
      <c r="P84" s="7"/>
      <c r="Q84" s="22"/>
      <c r="R84" s="22"/>
      <c r="S84" s="31">
        <f t="shared" si="27"/>
        <v>1</v>
      </c>
      <c r="T84" s="46" t="str">
        <f t="shared" si="30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1"/>
        <v>https://d0f6bd738d7f1b3e5a7ca70fe4ff75f0.us-east-1.aws.found.io/app/kibana#/discover/Steve-Slow-Train-Analysis-(2080s-and-2083s)?_g=(refreshInterval:(display:Off,pause:!f,section:0,value:0),time:(from:'2017-03-18T11:24:30-0600',mode:absolute,to:'2017-03-18T14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187" t="str">
        <f t="shared" si="32"/>
        <v>N</v>
      </c>
      <c r="X84" s="187">
        <f t="shared" si="33"/>
        <v>1</v>
      </c>
      <c r="Y84" s="62">
        <f t="shared" si="34"/>
        <v>4.7800000000000002E-2</v>
      </c>
      <c r="Z84" s="62">
        <f t="shared" si="35"/>
        <v>23.330500000000001</v>
      </c>
      <c r="AA84" s="62">
        <f t="shared" si="36"/>
        <v>23.282700000000002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7"/>
        <v>0171-18</v>
      </c>
      <c r="AE84" s="85" t="str">
        <f t="shared" si="38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84" s="82" t="str">
        <f t="shared" si="39"/>
        <v>"C:\Program Files (x86)\AstroGrep\AstroGrep.exe" /e /r /s /spath="%USERPROFILE%\AppData\Local\Temp\OnboardLogs" /stypes="app*4009*20170318*" /stext=" 19:.+((SYSTEM_STATE.+slice.+state.+changed )|(ment ac)|(multiple cpu faults)|(system.+state.+changed )|(\[timeout)|(PRM\|1\|D)|(kpr)|(kdp)|(\|lc)|(penalty))"</v>
      </c>
      <c r="AG84" s="1" t="str">
        <f t="shared" si="40"/>
        <v>EC</v>
      </c>
      <c r="AH84" s="86" t="str">
        <f t="shared" si="41"/>
        <v>"%USERPROFILE%\Documents\GitHub\eaglep3\Utilities\RefineRTDCRunTimes.py" --tripid 171-18 --locoid 4009 --swversion DE.1.0.9.0 --startMP 204:478 --initTime 2017-03-18T12:24:30 --startdatetime 2017-03-18T12:30:22 --delay 2 --endMP 204:233305 --enddatetime 2017-03-18T13:07:40 --enforcementcount 0 &gt;&gt;C:\Users\stu\Documents\GitHub\eaglep3-reporting\EC\2017-03-18-refined-times.txt</v>
      </c>
      <c r="AI84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{"issue":{"subject":"","project_id":79,"tracker_id":40,"status_id":1,"priority_id":2,"assigned_to_id":23,"start_date":"2017-03-18","description":"","custom_fields":[{"id":1,"name":"Subdivision","value":"EC"},{"id":4,"name":"Milepost","value":"23.3305"},{"id":17,"name":"Train ID","value":"171-18"},{"id":16,"name":"Locomotive ID","value":"4009"},{"id":130,"name":"Impact","value":""},{"id":150,"name":"Time of Event (Mountain Time)","value":"13:07:40"},{"id":151,"name":"Denver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3"/>
        <v>start /low /b %USERPROFILE%\Documents\GitHub\eaglep3\Utilities\DownloadLogsFromS3.py --loco 4009 --day 2017-03-18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572</v>
      </c>
      <c r="B85" s="7">
        <v>4010</v>
      </c>
      <c r="C85" s="21" t="s">
        <v>222</v>
      </c>
      <c r="D85" s="21" t="s">
        <v>810</v>
      </c>
      <c r="E85" s="13">
        <v>42812.556539351855</v>
      </c>
      <c r="F85" s="13">
        <v>42812.560011574074</v>
      </c>
      <c r="G85" s="7">
        <v>2</v>
      </c>
      <c r="H85" s="21" t="s">
        <v>184</v>
      </c>
      <c r="I85" s="13">
        <v>42812.598865740743</v>
      </c>
      <c r="J85" s="7">
        <v>0</v>
      </c>
      <c r="K85" s="98" t="str">
        <f t="shared" si="28"/>
        <v>4009/4010</v>
      </c>
      <c r="L85" s="21" t="str">
        <f>VLOOKUP(A85,'Trips&amp;Operators'!$C$1:$G$99999,5,FALSE)</f>
        <v>NELSON ARIANE</v>
      </c>
      <c r="M85" s="6">
        <f t="shared" si="29"/>
        <v>3.885416666889796E-2</v>
      </c>
      <c r="N85" s="7">
        <f t="shared" si="26"/>
        <v>55.950000003213063</v>
      </c>
      <c r="O85" s="7"/>
      <c r="P85" s="7"/>
      <c r="Q85" s="22"/>
      <c r="R85" s="22"/>
      <c r="S85" s="31">
        <f t="shared" si="27"/>
        <v>1</v>
      </c>
      <c r="T85" s="46" t="str">
        <f t="shared" si="30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1"/>
        <v>https://d0f6bd738d7f1b3e5a7ca70fe4ff75f0.us-east-1.aws.found.io/app/kibana#/discover/Steve-Slow-Train-Analysis-(2080s-and-2083s)?_g=(refreshInterval:(display:Off,pause:!f,section:0,value:0),time:(from:'2017-03-18T12:21:25-0600',mode:absolute,to:'2017-03-18T15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187" t="str">
        <f t="shared" si="32"/>
        <v>N</v>
      </c>
      <c r="X85" s="187">
        <f t="shared" si="33"/>
        <v>1</v>
      </c>
      <c r="Y85" s="62">
        <f t="shared" si="34"/>
        <v>23.2973</v>
      </c>
      <c r="Z85" s="62">
        <f t="shared" si="35"/>
        <v>1.49E-2</v>
      </c>
      <c r="AA85" s="62">
        <f t="shared" si="36"/>
        <v>23.282399999999999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7"/>
        <v>0172-18</v>
      </c>
      <c r="AE85" s="85" t="str">
        <f t="shared" si="38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85" s="82" t="str">
        <f t="shared" si="39"/>
        <v>"C:\Program Files (x86)\AstroGrep\AstroGrep.exe" /e /r /s /spath="%USERPROFILE%\AppData\Local\Temp\OnboardLogs" /stypes="app*4010*20170318*" /stext=" 20:.+((SYSTEM_STATE.+slice.+state.+changed )|(ment ac)|(multiple cpu faults)|(system.+state.+changed )|(\[timeout)|(PRM\|1\|D)|(kpr)|(kdp)|(\|lc)|(penalty))"</v>
      </c>
      <c r="AG85" s="1" t="str">
        <f t="shared" si="40"/>
        <v>EC</v>
      </c>
      <c r="AH85" s="86" t="str">
        <f t="shared" si="41"/>
        <v>"%USERPROFILE%\Documents\GitHub\eaglep3\Utilities\RefineRTDCRunTimes.py" --tripid 172-18 --locoid 4010 --swversion DE.1.0.9.0 --startMP 204:232973 --initTime 2017-03-18T13:21:25 --startdatetime 2017-03-18T13:26:25 --delay 2 --endMP 204:149 --enddatetime 2017-03-18T14:22:22 --enforcementcount 0 &gt;&gt;C:\Users\stu\Documents\GitHub\eaglep3-reporting\EC\2017-03-18-refined-times.txt</v>
      </c>
      <c r="AI85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{"issue":{"subject":"","project_id":79,"tracker_id":40,"status_id":1,"priority_id":2,"assigned_to_id":23,"start_date":"2017-03-18","description":"","custom_fields":[{"id":1,"name":"Subdivision","value":"EC"},{"id":4,"name":"Milepost","value":"0.0149"},{"id":17,"name":"Train ID","value":"172-18"},{"id":16,"name":"Locomotive ID","value":"4010"},{"id":130,"name":"Impact","value":""},{"id":150,"name":"Time of Event (Mountain Time)","value":"14:22:22"},{"id":151,"name":"Denver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3"/>
        <v>start /low /b %USERPROFILE%\Documents\GitHub\eaglep3\Utilities\DownloadLogsFromS3.py --loco 4010 --day 2017-03-18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</row>
    <row r="86" spans="1:91" s="20" customFormat="1" x14ac:dyDescent="0.25">
      <c r="A86" s="33" t="s">
        <v>695</v>
      </c>
      <c r="B86" s="7">
        <v>4051</v>
      </c>
      <c r="C86" s="21" t="s">
        <v>222</v>
      </c>
      <c r="D86" s="21" t="s">
        <v>482</v>
      </c>
      <c r="E86" s="13">
        <v>42812.527256944442</v>
      </c>
      <c r="F86" s="13">
        <v>42812.531446759262</v>
      </c>
      <c r="G86" s="7">
        <v>1</v>
      </c>
      <c r="H86" s="21" t="s">
        <v>475</v>
      </c>
      <c r="I86" s="13">
        <v>42812.556423611109</v>
      </c>
      <c r="J86" s="7">
        <v>0</v>
      </c>
      <c r="K86" s="98" t="str">
        <f t="shared" si="28"/>
        <v>4051/4052</v>
      </c>
      <c r="L86" s="21" t="str">
        <f>VLOOKUP(A86,'Trips&amp;Operators'!$C$1:$G$99999,5,FALSE)</f>
        <v>STEWART MICHAEL</v>
      </c>
      <c r="M86" s="6">
        <f t="shared" si="29"/>
        <v>2.4976851847895887E-2</v>
      </c>
      <c r="N86" s="7">
        <f t="shared" si="26"/>
        <v>35.966666660970077</v>
      </c>
      <c r="O86" s="7"/>
      <c r="P86" s="7"/>
      <c r="Q86" s="22"/>
      <c r="R86" s="22"/>
      <c r="S86" s="31">
        <f t="shared" si="27"/>
        <v>1</v>
      </c>
      <c r="T86" s="46" t="str">
        <f t="shared" si="30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1"/>
        <v>https://d0f6bd738d7f1b3e5a7ca70fe4ff75f0.us-east-1.aws.found.io/app/kibana#/discover/Steve-Slow-Train-Analysis-(2080s-and-2083s)?_g=(refreshInterval:(display:Off,pause:!f,section:0,value:0),time:(from:'2017-03-18T11:39:15-0600',mode:absolute,to:'2017-03-18T14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6" s="187" t="str">
        <f t="shared" si="32"/>
        <v>N</v>
      </c>
      <c r="X86" s="187">
        <f t="shared" si="33"/>
        <v>1</v>
      </c>
      <c r="Y86" s="62">
        <f t="shared" si="34"/>
        <v>4.7300000000000002E-2</v>
      </c>
      <c r="Z86" s="62">
        <f t="shared" si="35"/>
        <v>23.330200000000001</v>
      </c>
      <c r="AA86" s="62">
        <f t="shared" si="36"/>
        <v>23.282900000000001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7"/>
        <v>0173-18</v>
      </c>
      <c r="AE86" s="85" t="str">
        <f t="shared" si="38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86" s="82" t="str">
        <f t="shared" si="39"/>
        <v>"C:\Program Files (x86)\AstroGrep\AstroGrep.exe" /e /r /s /spath="%USERPROFILE%\AppData\Local\Temp\OnboardLogs" /stypes="app*4051*20170318*" /stext=" 19:.+((SYSTEM_STATE.+slice.+state.+changed )|(ment ac)|(multiple cpu faults)|(system.+state.+changed )|(\[timeout)|(PRM\|1\|D)|(kpr)|(kdp)|(\|lc)|(penalty))"</v>
      </c>
      <c r="AG86" s="1" t="str">
        <f t="shared" si="40"/>
        <v>EC</v>
      </c>
      <c r="AH86" s="86" t="str">
        <f t="shared" si="41"/>
        <v>"%USERPROFILE%\Documents\GitHub\eaglep3\Utilities\RefineRTDCRunTimes.py" --tripid 173-18 --locoid 4051 --swversion DE.1.0.9.0 --startMP 204:473 --initTime 2017-03-18T12:39:15 --startdatetime 2017-03-18T12:45:17 --delay 1 --endMP 204:233302 --enddatetime 2017-03-18T13:21:15 --enforcementcount 0 &gt;&gt;C:\Users\stu\Documents\GitHub\eaglep3-reporting\EC\2017-03-18-refined-times.txt</v>
      </c>
      <c r="AI8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{"issue":{"subject":"","project_id":79,"tracker_id":40,"status_id":1,"priority_id":2,"assigned_to_id":23,"start_date":"2017-03-18","description":"","custom_fields":[{"id":1,"name":"Subdivision","value":"EC"},{"id":4,"name":"Milepost","value":"23.3302"},{"id":17,"name":"Train ID","value":"173-18"},{"id":16,"name":"Locomotive ID","value":"4051"},{"id":130,"name":"Impact","value":""},{"id":150,"name":"Time of Event (Mountain Time)","value":"13:21:15"},{"id":151,"name":"Denver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3"/>
        <v>start /low /b %USERPROFILE%\Documents\GitHub\eaglep3\Utilities\DownloadLogsFromS3.py --loco 4051 --day 2017-03-18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703</v>
      </c>
      <c r="B87" s="7">
        <v>4052</v>
      </c>
      <c r="C87" s="21" t="s">
        <v>222</v>
      </c>
      <c r="D87" s="21" t="s">
        <v>471</v>
      </c>
      <c r="E87" s="13">
        <v>42812.569756944446</v>
      </c>
      <c r="F87" s="13">
        <v>42812.573229166665</v>
      </c>
      <c r="G87" s="7">
        <v>1</v>
      </c>
      <c r="H87" s="21" t="s">
        <v>199</v>
      </c>
      <c r="I87" s="13">
        <v>42812.607025462959</v>
      </c>
      <c r="J87" s="7">
        <v>0</v>
      </c>
      <c r="K87" s="98" t="str">
        <f t="shared" si="28"/>
        <v>4051/4052</v>
      </c>
      <c r="L87" s="21" t="str">
        <f>VLOOKUP(A87,'Trips&amp;Operators'!$C$1:$G$99999,5,FALSE)</f>
        <v>STEWART MICHAEL</v>
      </c>
      <c r="M87" s="6">
        <f t="shared" si="29"/>
        <v>3.3796296294895001E-2</v>
      </c>
      <c r="N87" s="7">
        <f t="shared" si="26"/>
        <v>48.666666664648801</v>
      </c>
      <c r="O87" s="7"/>
      <c r="P87" s="7"/>
      <c r="Q87" s="22"/>
      <c r="R87" s="22"/>
      <c r="S87" s="31">
        <f t="shared" si="27"/>
        <v>1</v>
      </c>
      <c r="T87" s="46" t="str">
        <f t="shared" si="30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1"/>
        <v>https://d0f6bd738d7f1b3e5a7ca70fe4ff75f0.us-east-1.aws.found.io/app/kibana#/discover/Steve-Slow-Train-Analysis-(2080s-and-2083s)?_g=(refreshInterval:(display:Off,pause:!f,section:0,value:0),time:(from:'2017-03-18T12:40:27-0600',mode:absolute,to:'2017-03-18T15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7" s="187" t="str">
        <f t="shared" si="32"/>
        <v>N</v>
      </c>
      <c r="X87" s="187">
        <f t="shared" si="33"/>
        <v>1</v>
      </c>
      <c r="Y87" s="62">
        <f t="shared" si="34"/>
        <v>23.297899999999998</v>
      </c>
      <c r="Z87" s="62">
        <f t="shared" si="35"/>
        <v>1.52E-2</v>
      </c>
      <c r="AA87" s="62">
        <f t="shared" si="36"/>
        <v>23.282699999999998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7"/>
        <v>0174-18</v>
      </c>
      <c r="AE87" s="85" t="str">
        <f t="shared" si="38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87" s="82" t="str">
        <f t="shared" si="39"/>
        <v>"C:\Program Files (x86)\AstroGrep\AstroGrep.exe" /e /r /s /spath="%USERPROFILE%\AppData\Local\Temp\OnboardLogs" /stypes="app*4052*20170318*" /stext=" 20:.+((SYSTEM_STATE.+slice.+state.+changed )|(ment ac)|(multiple cpu faults)|(system.+state.+changed )|(\[timeout)|(PRM\|1\|D)|(kpr)|(kdp)|(\|lc)|(penalty))"</v>
      </c>
      <c r="AG87" s="1" t="str">
        <f t="shared" si="40"/>
        <v>EC</v>
      </c>
      <c r="AH87" s="86" t="str">
        <f t="shared" si="41"/>
        <v>"%USERPROFILE%\Documents\GitHub\eaglep3\Utilities\RefineRTDCRunTimes.py" --tripid 174-18 --locoid 4052 --swversion DE.1.0.9.0 --startMP 204:232979 --initTime 2017-03-18T13:40:27 --startdatetime 2017-03-18T13:45:27 --delay 1 --endMP 204:152 --enddatetime 2017-03-18T14:34:07 --enforcementcount 0 &gt;&gt;C:\Users\stu\Documents\GitHub\eaglep3-reporting\EC\2017-03-18-refined-times.txt</v>
      </c>
      <c r="AI87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{"issue":{"subject":"","project_id":79,"tracker_id":40,"status_id":1,"priority_id":2,"assigned_to_id":23,"start_date":"2017-03-18","description":"","custom_fields":[{"id":1,"name":"Subdivision","value":"EC"},{"id":4,"name":"Milepost","value":"0.0152"},{"id":17,"name":"Train ID","value":"174-18"},{"id":16,"name":"Locomotive ID","value":"4052"},{"id":130,"name":"Impact","value":""},{"id":150,"name":"Time of Event (Mountain Time)","value":"14:34:07"},{"id":151,"name":"Denver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3"/>
        <v>start /low /b %USERPROFILE%\Documents\GitHub\eaglep3\Utilities\DownloadLogsFromS3.py --loco 4052 --day 2017-03-18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697</v>
      </c>
      <c r="B88" s="7">
        <v>4027</v>
      </c>
      <c r="C88" s="21" t="s">
        <v>222</v>
      </c>
      <c r="D88" s="21" t="s">
        <v>207</v>
      </c>
      <c r="E88" s="13">
        <v>42812.536851851852</v>
      </c>
      <c r="F88" s="13">
        <v>42812.541863425926</v>
      </c>
      <c r="G88" s="7">
        <v>1</v>
      </c>
      <c r="H88" s="21" t="s">
        <v>532</v>
      </c>
      <c r="I88" s="13">
        <v>42812.566331018519</v>
      </c>
      <c r="J88" s="7">
        <v>0</v>
      </c>
      <c r="K88" s="98" t="str">
        <f t="shared" si="28"/>
        <v>4027/4028</v>
      </c>
      <c r="L88" s="21" t="str">
        <f>VLOOKUP(A88,'Trips&amp;Operators'!$C$1:$G$99999,5,FALSE)</f>
        <v>DELGADO DIANAH</v>
      </c>
      <c r="M88" s="6">
        <f t="shared" si="29"/>
        <v>2.4467592593282461E-2</v>
      </c>
      <c r="N88" s="7">
        <f t="shared" si="26"/>
        <v>35.233333334326744</v>
      </c>
      <c r="O88" s="7"/>
      <c r="P88" s="7"/>
      <c r="Q88" s="22"/>
      <c r="R88" s="22"/>
      <c r="S88" s="31">
        <f t="shared" si="27"/>
        <v>1</v>
      </c>
      <c r="T88" s="46" t="str">
        <f t="shared" si="30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1"/>
        <v>https://d0f6bd738d7f1b3e5a7ca70fe4ff75f0.us-east-1.aws.found.io/app/kibana#/discover/Steve-Slow-Train-Analysis-(2080s-and-2083s)?_g=(refreshInterval:(display:Off,pause:!f,section:0,value:0),time:(from:'2017-03-18T11:53:04-0600',mode:absolute,to:'2017-03-18T14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87" t="str">
        <f t="shared" si="32"/>
        <v>N</v>
      </c>
      <c r="X88" s="187">
        <f t="shared" ref="X88:X93" si="44">VALUE(LEFT(AD88,4))-VALUE(LEFT(AD87,4))</f>
        <v>1</v>
      </c>
      <c r="Y88" s="62">
        <f t="shared" si="34"/>
        <v>4.5100000000000001E-2</v>
      </c>
      <c r="Z88" s="62">
        <f t="shared" si="35"/>
        <v>23.3383</v>
      </c>
      <c r="AA88" s="62">
        <f t="shared" si="36"/>
        <v>23.293199999999999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7"/>
        <v>0175-18</v>
      </c>
      <c r="AE88" s="85" t="str">
        <f t="shared" si="38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88" s="82" t="str">
        <f t="shared" si="39"/>
        <v>"C:\Program Files (x86)\AstroGrep\AstroGrep.exe" /e /r /s /spath="%USERPROFILE%\AppData\Local\Temp\OnboardLogs" /stypes="app*4027*20170318*" /stext=" 19:.+((SYSTEM_STATE.+slice.+state.+changed )|(ment ac)|(multiple cpu faults)|(system.+state.+changed )|(\[timeout)|(PRM\|1\|D)|(kpr)|(kdp)|(\|lc)|(penalty))"</v>
      </c>
      <c r="AG88" s="1" t="str">
        <f t="shared" si="40"/>
        <v>EC</v>
      </c>
      <c r="AH88" s="86" t="str">
        <f t="shared" si="41"/>
        <v>"%USERPROFILE%\Documents\GitHub\eaglep3\Utilities\RefineRTDCRunTimes.py" --tripid 175-18 --locoid 4027 --swversion DE.1.0.9.0 --startMP 204:451 --initTime 2017-03-18T12:53:04 --startdatetime 2017-03-18T13:00:17 --delay 1 --endMP 204:233383 --enddatetime 2017-03-18T13:35:31 --enforcementcount 0 &gt;&gt;C:\Users\stu\Documents\GitHub\eaglep3-reporting\EC\2017-03-18-refined-times.txt</v>
      </c>
      <c r="AI8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{"issue":{"subject":"","project_id":79,"tracker_id":40,"status_id":1,"priority_id":2,"assigned_to_id":23,"start_date":"2017-03-18","description":"","custom_fields":[{"id":1,"name":"Subdivision","value":"EC"},{"id":4,"name":"Milepost","value":"23.3383"},{"id":17,"name":"Train ID","value":"175-18"},{"id":16,"name":"Locomotive ID","value":"4027"},{"id":130,"name":"Impact","value":""},{"id":150,"name":"Time of Event (Mountain Time)","value":"13:35:31"},{"id":151,"name":"Denver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3"/>
        <v>start /low /b %USERPROFILE%\Documents\GitHub\eaglep3\Utilities\DownloadLogsFromS3.py --loco 4027 --day 2017-03-18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704</v>
      </c>
      <c r="B89" s="7">
        <v>4028</v>
      </c>
      <c r="C89" s="21" t="s">
        <v>222</v>
      </c>
      <c r="D89" s="21" t="s">
        <v>537</v>
      </c>
      <c r="E89" s="13">
        <v>42812.583796296298</v>
      </c>
      <c r="F89" s="13">
        <v>42812.58520833333</v>
      </c>
      <c r="G89" s="7">
        <v>1</v>
      </c>
      <c r="H89" s="21" t="s">
        <v>214</v>
      </c>
      <c r="I89" s="13">
        <v>42812.613969907405</v>
      </c>
      <c r="J89" s="7">
        <v>0</v>
      </c>
      <c r="K89" s="98" t="str">
        <f t="shared" si="28"/>
        <v>4027/4028</v>
      </c>
      <c r="L89" s="21" t="str">
        <f>VLOOKUP(A89,'Trips&amp;Operators'!$C$1:$G$99999,5,FALSE)</f>
        <v>DELGADO DIANAH</v>
      </c>
      <c r="M89" s="6">
        <f t="shared" si="29"/>
        <v>2.8761574074451346E-2</v>
      </c>
      <c r="N89" s="7">
        <f t="shared" si="26"/>
        <v>41.416666667209938</v>
      </c>
      <c r="O89" s="7"/>
      <c r="P89" s="7"/>
      <c r="Q89" s="22"/>
      <c r="R89" s="22"/>
      <c r="S89" s="31">
        <f t="shared" si="27"/>
        <v>1</v>
      </c>
      <c r="T89" s="46" t="str">
        <f t="shared" si="30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1"/>
        <v>https://d0f6bd738d7f1b3e5a7ca70fe4ff75f0.us-east-1.aws.found.io/app/kibana#/discover/Steve-Slow-Train-Analysis-(2080s-and-2083s)?_g=(refreshInterval:(display:Off,pause:!f,section:0,value:0),time:(from:'2017-03-18T13:00:40-0600',mode:absolute,to:'2017-03-18T15:44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87" t="str">
        <f t="shared" si="32"/>
        <v>N</v>
      </c>
      <c r="X89" s="187">
        <f t="shared" si="44"/>
        <v>1</v>
      </c>
      <c r="Y89" s="62">
        <f t="shared" si="34"/>
        <v>23.307600000000001</v>
      </c>
      <c r="Z89" s="62">
        <f t="shared" si="35"/>
        <v>1.41E-2</v>
      </c>
      <c r="AA89" s="62">
        <f t="shared" si="36"/>
        <v>23.293500000000002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7"/>
        <v>0176-18</v>
      </c>
      <c r="AE89" s="85" t="str">
        <f t="shared" si="38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89" s="82" t="str">
        <f t="shared" si="39"/>
        <v>"C:\Program Files (x86)\AstroGrep\AstroGrep.exe" /e /r /s /spath="%USERPROFILE%\AppData\Local\Temp\OnboardLogs" /stypes="app*4028*20170318*" /stext=" 20:.+((SYSTEM_STATE.+slice.+state.+changed )|(ment ac)|(multiple cpu faults)|(system.+state.+changed )|(\[timeout)|(PRM\|1\|D)|(kpr)|(kdp)|(\|lc)|(penalty))"</v>
      </c>
      <c r="AG89" s="1" t="str">
        <f t="shared" si="40"/>
        <v>EC</v>
      </c>
      <c r="AH89" s="86" t="str">
        <f t="shared" si="41"/>
        <v>"%USERPROFILE%\Documents\GitHub\eaglep3\Utilities\RefineRTDCRunTimes.py" --tripid 176-18 --locoid 4028 --swversion DE.1.0.9.0 --startMP 204:233076 --initTime 2017-03-18T14:00:40 --startdatetime 2017-03-18T14:02:42 --delay 1 --endMP 204:141 --enddatetime 2017-03-18T14:44:07 --enforcementcount 0 &gt;&gt;C:\Users\stu\Documents\GitHub\eaglep3-reporting\EC\2017-03-18-refined-times.txt</v>
      </c>
      <c r="AI8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ID","value":"176-18"},{"id":16,"name":"Locomotive ID","value":"4028"},{"id":130,"name":"Impact","value":""},{"id":150,"name":"Time of Event (Mountain Time)","value":"14:44:07"},{"id":151,"name":"Denver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3"/>
        <v>start /low /b %USERPROFILE%\Documents\GitHub\eaglep3\Utilities\DownloadLogsFromS3.py --loco 4028 --day 2017-03-18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</row>
    <row r="90" spans="1:91" s="20" customFormat="1" x14ac:dyDescent="0.25">
      <c r="A90" s="33" t="s">
        <v>700</v>
      </c>
      <c r="B90" s="7">
        <v>4031</v>
      </c>
      <c r="C90" s="21" t="s">
        <v>222</v>
      </c>
      <c r="D90" s="21" t="s">
        <v>213</v>
      </c>
      <c r="E90" s="13">
        <v>42812.547268518516</v>
      </c>
      <c r="F90" s="13">
        <v>42812.552256944444</v>
      </c>
      <c r="G90" s="7">
        <v>1</v>
      </c>
      <c r="H90" s="21" t="s">
        <v>400</v>
      </c>
      <c r="I90" s="13">
        <v>42812.578518518516</v>
      </c>
      <c r="J90" s="7">
        <v>0</v>
      </c>
      <c r="K90" s="98" t="str">
        <f t="shared" si="28"/>
        <v>4031/4032</v>
      </c>
      <c r="L90" s="21" t="str">
        <f>VLOOKUP(A90,'Trips&amp;Operators'!$C$1:$G$99999,5,FALSE)</f>
        <v>BRUDER RICHARD</v>
      </c>
      <c r="M90" s="6">
        <f t="shared" si="29"/>
        <v>2.626157407212304E-2</v>
      </c>
      <c r="N90" s="7">
        <f t="shared" si="26"/>
        <v>37.816666663857177</v>
      </c>
      <c r="O90" s="7"/>
      <c r="P90" s="7"/>
      <c r="Q90" s="22"/>
      <c r="R90" s="22"/>
      <c r="S90" s="31">
        <f t="shared" si="27"/>
        <v>1</v>
      </c>
      <c r="T90" s="46" t="str">
        <f t="shared" si="30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1"/>
        <v>https://d0f6bd738d7f1b3e5a7ca70fe4ff75f0.us-east-1.aws.found.io/app/kibana#/discover/Steve-Slow-Train-Analysis-(2080s-and-2083s)?_g=(refreshInterval:(display:Off,pause:!f,section:0,value:0),time:(from:'2017-03-18T12:08:04-0600',mode:absolute,to:'2017-03-18T14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0" s="187" t="str">
        <f t="shared" si="32"/>
        <v>N</v>
      </c>
      <c r="X90" s="187">
        <f t="shared" si="44"/>
        <v>1</v>
      </c>
      <c r="Y90" s="62">
        <f t="shared" si="34"/>
        <v>4.5499999999999999E-2</v>
      </c>
      <c r="Z90" s="62">
        <f t="shared" si="35"/>
        <v>23.3306</v>
      </c>
      <c r="AA90" s="62">
        <f t="shared" si="36"/>
        <v>23.2851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7"/>
        <v>0177-18</v>
      </c>
      <c r="AE90" s="85" t="str">
        <f t="shared" si="38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90" s="82" t="str">
        <f t="shared" si="39"/>
        <v>"C:\Program Files (x86)\AstroGrep\AstroGrep.exe" /e /r /s /spath="%USERPROFILE%\AppData\Local\Temp\OnboardLogs" /stypes="app*4031*20170318*" /stext=" 19:.+((SYSTEM_STATE.+slice.+state.+changed )|(ment ac)|(multiple cpu faults)|(system.+state.+changed )|(\[timeout)|(PRM\|1\|D)|(kpr)|(kdp)|(\|lc)|(penalty))"</v>
      </c>
      <c r="AG90" s="1" t="str">
        <f t="shared" si="40"/>
        <v>EC</v>
      </c>
      <c r="AH90" s="86" t="str">
        <f t="shared" si="41"/>
        <v>"%USERPROFILE%\Documents\GitHub\eaglep3\Utilities\RefineRTDCRunTimes.py" --tripid 177-18 --locoid 4031 --swversion DE.1.0.9.0 --startMP 204:455 --initTime 2017-03-18T13:08:04 --startdatetime 2017-03-18T13:15:15 --delay 1 --endMP 204:233306 --enddatetime 2017-03-18T13:53:04 --enforcementcount 0 &gt;&gt;C:\Users\stu\Documents\GitHub\eaglep3-reporting\EC\2017-03-18-refined-times.txt</v>
      </c>
      <c r="AI9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{"issue":{"subject":"","project_id":79,"tracker_id":40,"status_id":1,"priority_id":2,"assigned_to_id":23,"start_date":"2017-03-18","description":"","custom_fields":[{"id":1,"name":"Subdivision","value":"EC"},{"id":4,"name":"Milepost","value":"23.3306"},{"id":17,"name":"Train ID","value":"177-18"},{"id":16,"name":"Locomotive ID","value":"4031"},{"id":130,"name":"Impact","value":""},{"id":150,"name":"Time of Event (Mountain Time)","value":"13:53:04"},{"id":151,"name":"Denver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3"/>
        <v>start /low /b %USERPROFILE%\Documents\GitHub\eaglep3\Utilities\DownloadLogsFromS3.py --loco 4031 --day 2017-03-18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705</v>
      </c>
      <c r="B91" s="7">
        <v>4032</v>
      </c>
      <c r="C91" s="21" t="s">
        <v>222</v>
      </c>
      <c r="D91" s="21" t="s">
        <v>805</v>
      </c>
      <c r="E91" s="13">
        <v>42812.59103009259</v>
      </c>
      <c r="F91" s="13">
        <v>42812.593530092592</v>
      </c>
      <c r="G91" s="7">
        <v>1</v>
      </c>
      <c r="H91" s="21" t="s">
        <v>539</v>
      </c>
      <c r="I91" s="13">
        <v>42812.624479166669</v>
      </c>
      <c r="J91" s="7">
        <v>0</v>
      </c>
      <c r="K91" s="98" t="str">
        <f t="shared" si="28"/>
        <v>4031/4032</v>
      </c>
      <c r="L91" s="21" t="str">
        <f>VLOOKUP(A91,'Trips&amp;Operators'!$C$1:$G$99999,5,FALSE)</f>
        <v>BRUDER RICHARD</v>
      </c>
      <c r="M91" s="6">
        <f t="shared" si="29"/>
        <v>3.0949074076488614E-2</v>
      </c>
      <c r="N91" s="7">
        <f t="shared" si="26"/>
        <v>44.566666670143604</v>
      </c>
      <c r="O91" s="7"/>
      <c r="P91" s="7"/>
      <c r="Q91" s="22"/>
      <c r="R91" s="22"/>
      <c r="S91" s="31">
        <f t="shared" si="27"/>
        <v>1</v>
      </c>
      <c r="T91" s="46" t="str">
        <f t="shared" si="30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1"/>
        <v>https://d0f6bd738d7f1b3e5a7ca70fe4ff75f0.us-east-1.aws.found.io/app/kibana#/discover/Steve-Slow-Train-Analysis-(2080s-and-2083s)?_g=(refreshInterval:(display:Off,pause:!f,section:0,value:0),time:(from:'2017-03-18T13:11:05-0600',mode:absolute,to:'2017-03-18T15:59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187" t="str">
        <f t="shared" si="32"/>
        <v>N</v>
      </c>
      <c r="X91" s="187">
        <f t="shared" si="44"/>
        <v>1</v>
      </c>
      <c r="Y91" s="62">
        <f t="shared" si="34"/>
        <v>23.2989</v>
      </c>
      <c r="Z91" s="62">
        <f t="shared" si="35"/>
        <v>1.6E-2</v>
      </c>
      <c r="AA91" s="62">
        <f t="shared" si="36"/>
        <v>23.282900000000001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7"/>
        <v>0178-18</v>
      </c>
      <c r="AE91" s="85" t="str">
        <f t="shared" si="38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91" s="82" t="str">
        <f t="shared" si="39"/>
        <v>"C:\Program Files (x86)\AstroGrep\AstroGrep.exe" /e /r /s /spath="%USERPROFILE%\AppData\Local\Temp\OnboardLogs" /stypes="app*4032*20170318*" /stext=" 20:.+((SYSTEM_STATE.+slice.+state.+changed )|(ment ac)|(multiple cpu faults)|(system.+state.+changed )|(\[timeout)|(PRM\|1\|D)|(kpr)|(kdp)|(\|lc)|(penalty))"</v>
      </c>
      <c r="AG91" s="1" t="str">
        <f t="shared" si="40"/>
        <v>EC</v>
      </c>
      <c r="AH91" s="86" t="str">
        <f t="shared" si="41"/>
        <v>"%USERPROFILE%\Documents\GitHub\eaglep3\Utilities\RefineRTDCRunTimes.py" --tripid 178-18 --locoid 4032 --swversion DE.1.0.9.0 --startMP 204:232989 --initTime 2017-03-18T14:11:05 --startdatetime 2017-03-18T14:14:41 --delay 1 --endMP 204:160 --enddatetime 2017-03-18T14:59:15 --enforcementcount 0 &gt;&gt;C:\Users\stu\Documents\GitHub\eaglep3-reporting\EC\2017-03-18-refined-times.txt</v>
      </c>
      <c r="AI91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{"issue":{"subject":"","project_id":79,"tracker_id":40,"status_id":1,"priority_id":2,"assigned_to_id":23,"start_date":"2017-03-18","description":"","custom_fields":[{"id":1,"name":"Subdivision","value":"EC"},{"id":4,"name":"Milepost","value":"0.016"},{"id":17,"name":"Train ID","value":"178-18"},{"id":16,"name":"Locomotive ID","value":"4032"},{"id":130,"name":"Impact","value":""},{"id":150,"name":"Time of Event (Mountain Time)","value":"14:59:15"},{"id":151,"name":"Denver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3"/>
        <v>start /low /b %USERPROFILE%\Documents\GitHub\eaglep3\Utilities\DownloadLogsFromS3.py --loco 4032 --day 2017-03-18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701</v>
      </c>
      <c r="B92" s="7">
        <v>4014</v>
      </c>
      <c r="C92" s="21" t="s">
        <v>222</v>
      </c>
      <c r="D92" s="21" t="s">
        <v>472</v>
      </c>
      <c r="E92" s="13">
        <v>42812.558587962965</v>
      </c>
      <c r="F92" s="13">
        <v>42812.562777777777</v>
      </c>
      <c r="G92" s="7">
        <v>1</v>
      </c>
      <c r="H92" s="21" t="s">
        <v>816</v>
      </c>
      <c r="I92" s="13">
        <v>42812.599432870367</v>
      </c>
      <c r="J92" s="7">
        <v>0</v>
      </c>
      <c r="K92" s="98" t="str">
        <f t="shared" si="28"/>
        <v>4013/4014</v>
      </c>
      <c r="L92" s="21" t="str">
        <f>VLOOKUP(A92,'Trips&amp;Operators'!$C$1:$G$99999,5,FALSE)</f>
        <v>WHITED DUSTIN</v>
      </c>
      <c r="M92" s="6">
        <f t="shared" si="29"/>
        <v>3.665509259008104E-2</v>
      </c>
      <c r="N92" s="7">
        <f t="shared" si="26"/>
        <v>52.783333329716697</v>
      </c>
      <c r="O92" s="7"/>
      <c r="P92" s="7"/>
      <c r="Q92" s="22"/>
      <c r="R92" s="22"/>
      <c r="S92" s="31">
        <f t="shared" si="27"/>
        <v>1</v>
      </c>
      <c r="T92" s="46" t="str">
        <f t="shared" si="30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1"/>
        <v>https://d0f6bd738d7f1b3e5a7ca70fe4ff75f0.us-east-1.aws.found.io/app/kibana#/discover/Steve-Slow-Train-Analysis-(2080s-and-2083s)?_g=(refreshInterval:(display:Off,pause:!f,section:0,value:0),time:(from:'2017-03-18T12:24:22-0600',mode:absolute,to:'2017-03-18T15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2" s="187" t="str">
        <f t="shared" si="32"/>
        <v>N</v>
      </c>
      <c r="X92" s="187">
        <f t="shared" si="44"/>
        <v>1</v>
      </c>
      <c r="Y92" s="62">
        <f t="shared" si="34"/>
        <v>4.4600000000000001E-2</v>
      </c>
      <c r="Z92" s="62">
        <f t="shared" si="35"/>
        <v>23.3339</v>
      </c>
      <c r="AA92" s="62">
        <f t="shared" si="36"/>
        <v>23.289300000000001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7"/>
        <v>0179-18</v>
      </c>
      <c r="AE92" s="85" t="str">
        <f t="shared" si="38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92" s="82" t="str">
        <f t="shared" si="39"/>
        <v>"C:\Program Files (x86)\AstroGrep\AstroGrep.exe" /e /r /s /spath="%USERPROFILE%\AppData\Local\Temp\OnboardLogs" /stypes="app*4014*20170318*" /stext=" 20:.+((SYSTEM_STATE.+slice.+state.+changed )|(ment ac)|(multiple cpu faults)|(system.+state.+changed )|(\[timeout)|(PRM\|1\|D)|(kpr)|(kdp)|(\|lc)|(penalty))"</v>
      </c>
      <c r="AG92" s="1" t="str">
        <f t="shared" si="40"/>
        <v>EC</v>
      </c>
      <c r="AH92" s="86" t="str">
        <f t="shared" si="41"/>
        <v>"%USERPROFILE%\Documents\GitHub\eaglep3\Utilities\RefineRTDCRunTimes.py" --tripid 179-18 --locoid 4014 --swversion DE.1.0.9.0 --startMP 204:446 --initTime 2017-03-18T13:24:22 --startdatetime 2017-03-18T13:30:24 --delay 1 --endMP 204:233339 --enddatetime 2017-03-18T14:23:11 --enforcementcount 0 &gt;&gt;C:\Users\stu\Documents\GitHub\eaglep3-reporting\EC\2017-03-18-refined-times.txt</v>
      </c>
      <c r="AI9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{"issue":{"subject":"","project_id":79,"tracker_id":40,"status_id":1,"priority_id":2,"assigned_to_id":23,"start_date":"2017-03-18","description":"","custom_fields":[{"id":1,"name":"Subdivision","value":"EC"},{"id":4,"name":"Milepost","value":"23.3339"},{"id":17,"name":"Train ID","value":"179-18"},{"id":16,"name":"Locomotive ID","value":"4014"},{"id":130,"name":"Impact","value":""},{"id":150,"name":"Time of Event (Mountain Time)","value":"14:23:11"},{"id":151,"name":"Denver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3"/>
        <v>start /low /b %USERPROFILE%\Documents\GitHub\eaglep3\Utilities\DownloadLogsFromS3.py --loco 4014 --day 2017-03-18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707</v>
      </c>
      <c r="B93" s="7">
        <v>4013</v>
      </c>
      <c r="C93" s="21" t="s">
        <v>222</v>
      </c>
      <c r="D93" s="21" t="s">
        <v>521</v>
      </c>
      <c r="E93" s="13">
        <v>42812.600694444445</v>
      </c>
      <c r="F93" s="13">
        <v>42812.602094907408</v>
      </c>
      <c r="G93" s="7">
        <v>1</v>
      </c>
      <c r="H93" s="21" t="s">
        <v>205</v>
      </c>
      <c r="I93" s="13">
        <v>42812.632002314815</v>
      </c>
      <c r="J93" s="7">
        <v>0</v>
      </c>
      <c r="K93" s="98" t="str">
        <f t="shared" si="28"/>
        <v>4013/4014</v>
      </c>
      <c r="L93" s="21" t="str">
        <f>VLOOKUP(A93,'Trips&amp;Operators'!$C$1:$G$99999,5,FALSE)</f>
        <v>WHITED DUSTIN</v>
      </c>
      <c r="M93" s="6">
        <f t="shared" si="29"/>
        <v>2.9907407406426501E-2</v>
      </c>
      <c r="N93" s="7">
        <f t="shared" si="26"/>
        <v>43.066666665254161</v>
      </c>
      <c r="O93" s="7"/>
      <c r="P93" s="7"/>
      <c r="Q93" s="22"/>
      <c r="R93" s="22"/>
      <c r="S93" s="31">
        <f t="shared" si="27"/>
        <v>1</v>
      </c>
      <c r="T93" s="46" t="str">
        <f t="shared" si="30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1"/>
        <v>https://d0f6bd738d7f1b3e5a7ca70fe4ff75f0.us-east-1.aws.found.io/app/kibana#/discover/Steve-Slow-Train-Analysis-(2080s-and-2083s)?_g=(refreshInterval:(display:Off,pause:!f,section:0,value:0),time:(from:'2017-03-18T13:25:00-0600',mode:absolute,to:'2017-03-18T16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3" s="187" t="str">
        <f t="shared" si="32"/>
        <v>N</v>
      </c>
      <c r="X93" s="187">
        <f t="shared" si="44"/>
        <v>1</v>
      </c>
      <c r="Y93" s="62">
        <f t="shared" si="34"/>
        <v>23.301500000000001</v>
      </c>
      <c r="Z93" s="62">
        <f t="shared" si="35"/>
        <v>1.54E-2</v>
      </c>
      <c r="AA93" s="62">
        <f t="shared" si="36"/>
        <v>23.286100000000001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7"/>
        <v>0180-18</v>
      </c>
      <c r="AE93" s="85" t="str">
        <f t="shared" si="38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93" s="82" t="str">
        <f t="shared" si="39"/>
        <v>"C:\Program Files (x86)\AstroGrep\AstroGrep.exe" /e /r /s /spath="%USERPROFILE%\AppData\Local\Temp\OnboardLogs" /stypes="app*4013*20170318*" /stext=" 21:.+((SYSTEM_STATE.+slice.+state.+changed )|(ment ac)|(multiple cpu faults)|(system.+state.+changed )|(\[timeout)|(PRM\|1\|D)|(kpr)|(kdp)|(\|lc)|(penalty))"</v>
      </c>
      <c r="AG93" s="1" t="str">
        <f t="shared" si="40"/>
        <v>EC</v>
      </c>
      <c r="AH93" s="86" t="str">
        <f t="shared" si="41"/>
        <v>"%USERPROFILE%\Documents\GitHub\eaglep3\Utilities\RefineRTDCRunTimes.py" --tripid 180-18 --locoid 4013 --swversion DE.1.0.9.0 --startMP 204:233015 --initTime 2017-03-18T14:25:00 --startdatetime 2017-03-18T14:27:01 --delay 1 --endMP 204:154 --enddatetime 2017-03-18T15:10:05 --enforcementcount 0 &gt;&gt;C:\Users\stu\Documents\GitHub\eaglep3-reporting\EC\2017-03-18-refined-times.txt</v>
      </c>
      <c r="AI9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ID","value":"180-18"},{"id":16,"name":"Locomotive ID","value":"4013"},{"id":130,"name":"Impact","value":""},{"id":150,"name":"Time of Event (Mountain Time)","value":"15:10:05"},{"id":151,"name":"Denver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3"/>
        <v>start /low /b %USERPROFILE%\Documents\GitHub\eaglep3\Utilities\DownloadLogsFromS3.py --loco 4013 --day 2017-03-18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573</v>
      </c>
      <c r="B94" s="7">
        <v>4044</v>
      </c>
      <c r="C94" s="21" t="s">
        <v>222</v>
      </c>
      <c r="D94" s="21" t="s">
        <v>522</v>
      </c>
      <c r="E94" s="13">
        <v>42812.568124999998</v>
      </c>
      <c r="F94" s="13">
        <v>42812.573530092595</v>
      </c>
      <c r="G94" s="7">
        <v>1</v>
      </c>
      <c r="H94" s="21" t="s">
        <v>823</v>
      </c>
      <c r="I94" s="13">
        <v>42812.606874999998</v>
      </c>
      <c r="J94" s="7">
        <v>0</v>
      </c>
      <c r="K94" s="98" t="str">
        <f t="shared" si="28"/>
        <v>4043/4044</v>
      </c>
      <c r="L94" s="21" t="str">
        <f>VLOOKUP(A94,'Trips&amp;Operators'!$C$1:$G$99999,5,FALSE)</f>
        <v>LEVIN SCOTT</v>
      </c>
      <c r="M94" s="6">
        <f t="shared" si="29"/>
        <v>3.3344907402351964E-2</v>
      </c>
      <c r="N94" s="7">
        <f t="shared" si="26"/>
        <v>48.016666659386829</v>
      </c>
      <c r="O94" s="7"/>
      <c r="P94" s="7"/>
      <c r="Q94" s="22"/>
      <c r="R94" s="22"/>
      <c r="S94" s="31">
        <f t="shared" si="27"/>
        <v>1</v>
      </c>
      <c r="T94" s="46" t="str">
        <f t="shared" si="30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1"/>
        <v>https://d0f6bd738d7f1b3e5a7ca70fe4ff75f0.us-east-1.aws.found.io/app/kibana#/discover/Steve-Slow-Train-Analysis-(2080s-and-2083s)?_g=(refreshInterval:(display:Off,pause:!f,section:0,value:0),time:(from:'2017-03-18T12:38:06-0600',mode:absolute,to:'2017-03-18T15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4" s="187" t="str">
        <f t="shared" si="32"/>
        <v>N</v>
      </c>
      <c r="X94" s="187">
        <f t="shared" ref="X94:X139" si="45">VALUE(LEFT(AD94,4))-VALUE(LEFT(AD93,4))</f>
        <v>1</v>
      </c>
      <c r="Y94" s="62">
        <f t="shared" si="34"/>
        <v>4.2599999999999999E-2</v>
      </c>
      <c r="Z94" s="62">
        <f t="shared" si="35"/>
        <v>23.316199999999998</v>
      </c>
      <c r="AA94" s="62">
        <f t="shared" si="36"/>
        <v>23.273599999999998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7"/>
        <v>0181-18</v>
      </c>
      <c r="AE94" s="85" t="str">
        <f t="shared" si="38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94" s="82" t="str">
        <f t="shared" si="39"/>
        <v>"C:\Program Files (x86)\AstroGrep\AstroGrep.exe" /e /r /s /spath="%USERPROFILE%\AppData\Local\Temp\OnboardLogs" /stypes="app*4044*20170318*" /stext=" 20:.+((SYSTEM_STATE.+slice.+state.+changed )|(ment ac)|(multiple cpu faults)|(system.+state.+changed )|(\[timeout)|(PRM\|1\|D)|(kpr)|(kdp)|(\|lc)|(penalty))"</v>
      </c>
      <c r="AG94" s="1" t="str">
        <f t="shared" si="40"/>
        <v>EC</v>
      </c>
      <c r="AH94" s="86" t="str">
        <f t="shared" si="41"/>
        <v>"%USERPROFILE%\Documents\GitHub\eaglep3\Utilities\RefineRTDCRunTimes.py" --tripid 181-18 --locoid 4044 --swversion DE.1.0.9.0 --startMP 204:426 --initTime 2017-03-18T13:38:06 --startdatetime 2017-03-18T13:45:53 --delay 1 --endMP 204:233162 --enddatetime 2017-03-18T14:33:54 --enforcementcount 0 &gt;&gt;C:\Users\stu\Documents\GitHub\eaglep3-reporting\EC\2017-03-18-refined-times.txt</v>
      </c>
      <c r="AI94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{"issue":{"subject":"","project_id":79,"tracker_id":40,"status_id":1,"priority_id":2,"assigned_to_id":23,"start_date":"2017-03-18","description":"","custom_fields":[{"id":1,"name":"Subdivision","value":"EC"},{"id":4,"name":"Milepost","value":"23.3162"},{"id":17,"name":"Train ID","value":"181-18"},{"id":16,"name":"Locomotive ID","value":"4044"},{"id":130,"name":"Impact","value":""},{"id":150,"name":"Time of Event (Mountain Time)","value":"14:33:54"},{"id":151,"name":"Denver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3"/>
        <v>start /low /b %USERPROFILE%\Documents\GitHub\eaglep3\Utilities\DownloadLogsFromS3.py --loco 4044 --day 2017-03-18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708</v>
      </c>
      <c r="B95" s="7">
        <v>4043</v>
      </c>
      <c r="C95" s="21" t="s">
        <v>222</v>
      </c>
      <c r="D95" s="21" t="s">
        <v>831</v>
      </c>
      <c r="E95" s="13">
        <v>42812.608668981484</v>
      </c>
      <c r="F95" s="13">
        <v>42812.61210648148</v>
      </c>
      <c r="G95" s="7">
        <v>1</v>
      </c>
      <c r="H95" s="21" t="s">
        <v>214</v>
      </c>
      <c r="I95" s="13">
        <v>42812.647534722222</v>
      </c>
      <c r="J95" s="7">
        <v>0</v>
      </c>
      <c r="K95" s="98" t="str">
        <f t="shared" si="28"/>
        <v>4043/4044</v>
      </c>
      <c r="L95" s="21" t="str">
        <f>VLOOKUP(A95,'Trips&amp;Operators'!$C$1:$G$99999,5,FALSE)</f>
        <v>LEVIN SCOTT</v>
      </c>
      <c r="M95" s="6">
        <f t="shared" si="29"/>
        <v>3.5428240742476191E-2</v>
      </c>
      <c r="N95" s="7">
        <f t="shared" si="26"/>
        <v>51.016666669165716</v>
      </c>
      <c r="O95" s="7"/>
      <c r="P95" s="7"/>
      <c r="Q95" s="22"/>
      <c r="R95" s="22"/>
      <c r="S95" s="31">
        <f t="shared" si="27"/>
        <v>1</v>
      </c>
      <c r="T95" s="46" t="str">
        <f t="shared" si="30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1"/>
        <v>https://d0f6bd738d7f1b3e5a7ca70fe4ff75f0.us-east-1.aws.found.io/app/kibana#/discover/Steve-Slow-Train-Analysis-(2080s-and-2083s)?_g=(refreshInterval:(display:Off,pause:!f,section:0,value:0),time:(from:'2017-03-18T13:36:29-0600',mode:absolute,to:'2017-03-18T16:32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5" s="187" t="str">
        <f t="shared" si="32"/>
        <v>N</v>
      </c>
      <c r="X95" s="187">
        <f t="shared" si="45"/>
        <v>1</v>
      </c>
      <c r="Y95" s="62">
        <f t="shared" si="34"/>
        <v>23.284300000000002</v>
      </c>
      <c r="Z95" s="62">
        <f t="shared" si="35"/>
        <v>1.41E-2</v>
      </c>
      <c r="AA95" s="62">
        <f t="shared" si="36"/>
        <v>23.270200000000003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7"/>
        <v>0182-18</v>
      </c>
      <c r="AE95" s="85" t="str">
        <f t="shared" si="38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95" s="82" t="str">
        <f t="shared" si="39"/>
        <v>"C:\Program Files (x86)\AstroGrep\AstroGrep.exe" /e /r /s /spath="%USERPROFILE%\AppData\Local\Temp\OnboardLogs" /stypes="app*4043*20170318*" /stext=" 21:.+((SYSTEM_STATE.+slice.+state.+changed )|(ment ac)|(multiple cpu faults)|(system.+state.+changed )|(\[timeout)|(PRM\|1\|D)|(kpr)|(kdp)|(\|lc)|(penalty))"</v>
      </c>
      <c r="AG95" s="1" t="str">
        <f t="shared" si="40"/>
        <v>EC</v>
      </c>
      <c r="AH95" s="86" t="str">
        <f t="shared" si="41"/>
        <v>"%USERPROFILE%\Documents\GitHub\eaglep3\Utilities\RefineRTDCRunTimes.py" --tripid 182-18 --locoid 4043 --swversion DE.1.0.9.0 --startMP 204:232843 --initTime 2017-03-18T14:36:29 --startdatetime 2017-03-18T14:41:26 --delay 1 --endMP 204:141 --enddatetime 2017-03-18T15:32:27 --enforcementcount 0 &gt;&gt;C:\Users\stu\Documents\GitHub\eaglep3-reporting\EC\2017-03-18-refined-times.txt</v>
      </c>
      <c r="AI95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ID","value":"182-18"},{"id":16,"name":"Locomotive ID","value":"4043"},{"id":130,"name":"Impact","value":""},{"id":150,"name":"Time of Event (Mountain Time)","value":"15:32:27"},{"id":151,"name":"Denver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3"/>
        <v>start /low /b %USERPROFILE%\Documents\GitHub\eaglep3\Utilities\DownloadLogsFromS3.py --loco 4043 --day 2017-03-18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576</v>
      </c>
      <c r="B96" s="7">
        <v>4029</v>
      </c>
      <c r="C96" s="21" t="s">
        <v>222</v>
      </c>
      <c r="D96" s="21" t="s">
        <v>783</v>
      </c>
      <c r="E96" s="13">
        <v>42812.578263888892</v>
      </c>
      <c r="F96" s="13">
        <v>42812.585636574076</v>
      </c>
      <c r="G96" s="7">
        <v>1</v>
      </c>
      <c r="H96" s="21" t="s">
        <v>842</v>
      </c>
      <c r="I96" s="13">
        <v>42812.615057870367</v>
      </c>
      <c r="J96" s="7">
        <v>0</v>
      </c>
      <c r="K96" s="98" t="str">
        <f t="shared" si="28"/>
        <v>4029/4030</v>
      </c>
      <c r="L96" s="21" t="str">
        <f>VLOOKUP(A96,'Trips&amp;Operators'!$C$1:$G$99999,5,FALSE)</f>
        <v>ROMERO CHAD</v>
      </c>
      <c r="M96" s="6">
        <f t="shared" si="29"/>
        <v>2.9421296290820464E-2</v>
      </c>
      <c r="N96" s="7">
        <f t="shared" si="26"/>
        <v>42.366666658781469</v>
      </c>
      <c r="O96" s="7"/>
      <c r="P96" s="7"/>
      <c r="Q96" s="22"/>
      <c r="R96" s="22"/>
      <c r="S96" s="31">
        <f t="shared" si="27"/>
        <v>1</v>
      </c>
      <c r="T96" s="46" t="str">
        <f t="shared" si="30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1"/>
        <v>https://d0f6bd738d7f1b3e5a7ca70fe4ff75f0.us-east-1.aws.found.io/app/kibana#/discover/Steve-Slow-Train-Analysis-(2080s-and-2083s)?_g=(refreshInterval:(display:Off,pause:!f,section:0,value:0),time:(from:'2017-03-18T12:52:42-0600',mode:absolute,to:'2017-03-18T15:45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187" t="str">
        <f t="shared" si="32"/>
        <v>N</v>
      </c>
      <c r="X96" s="187">
        <f t="shared" si="45"/>
        <v>1</v>
      </c>
      <c r="Y96" s="62">
        <f t="shared" si="34"/>
        <v>4.8599999999999997E-2</v>
      </c>
      <c r="Z96" s="62">
        <f t="shared" si="35"/>
        <v>23.340800000000002</v>
      </c>
      <c r="AA96" s="62">
        <f t="shared" si="36"/>
        <v>23.292200000000001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7"/>
        <v>0183-18</v>
      </c>
      <c r="AE96" s="85" t="str">
        <f t="shared" si="38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96" s="82" t="str">
        <f t="shared" si="39"/>
        <v>"C:\Program Files (x86)\AstroGrep\AstroGrep.exe" /e /r /s /spath="%USERPROFILE%\AppData\Local\Temp\OnboardLogs" /stypes="app*4029*20170318*" /stext=" 20:.+((SYSTEM_STATE.+slice.+state.+changed )|(ment ac)|(multiple cpu faults)|(system.+state.+changed )|(\[timeout)|(PRM\|1\|D)|(kpr)|(kdp)|(\|lc)|(penalty))"</v>
      </c>
      <c r="AG96" s="1" t="str">
        <f t="shared" si="40"/>
        <v>EC</v>
      </c>
      <c r="AH96" s="86" t="str">
        <f t="shared" si="41"/>
        <v>"%USERPROFILE%\Documents\GitHub\eaglep3\Utilities\RefineRTDCRunTimes.py" --tripid 183-18 --locoid 4029 --swversion DE.1.0.9.0 --startMP 204:486 --initTime 2017-03-18T13:52:42 --startdatetime 2017-03-18T14:03:19 --delay 1 --endMP 204:233408 --enddatetime 2017-03-18T14:45:41 --enforcementcount 0 &gt;&gt;C:\Users\stu\Documents\GitHub\eaglep3-reporting\EC\2017-03-18-refined-times.txt</v>
      </c>
      <c r="AI9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{"issue":{"subject":"","project_id":79,"tracker_id":40,"status_id":1,"priority_id":2,"assigned_to_id":23,"start_date":"2017-03-18","description":"","custom_fields":[{"id":1,"name":"Subdivision","value":"EC"},{"id":4,"name":"Milepost","value":"23.3408"},{"id":17,"name":"Train ID","value":"183-18"},{"id":16,"name":"Locomotive ID","value":"4029"},{"id":130,"name":"Impact","value":""},{"id":150,"name":"Time of Event (Mountain Time)","value":"14:45:41"},{"id":151,"name":"Denver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3"/>
        <v>start /low /b %USERPROFILE%\Documents\GitHub\eaglep3\Utilities\DownloadLogsFromS3.py --loco 4029 --day 2017-03-18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577</v>
      </c>
      <c r="B97" s="7">
        <v>4030</v>
      </c>
      <c r="C97" s="21" t="s">
        <v>222</v>
      </c>
      <c r="D97" s="21" t="s">
        <v>847</v>
      </c>
      <c r="E97" s="13">
        <v>42812.618368055555</v>
      </c>
      <c r="F97" s="13">
        <v>42812.622499999998</v>
      </c>
      <c r="G97" s="7">
        <v>1</v>
      </c>
      <c r="H97" s="21" t="s">
        <v>406</v>
      </c>
      <c r="I97" s="13">
        <v>42812.657233796293</v>
      </c>
      <c r="J97" s="7">
        <v>0</v>
      </c>
      <c r="K97" s="98" t="str">
        <f t="shared" si="28"/>
        <v>4029/4030</v>
      </c>
      <c r="L97" s="21" t="str">
        <f>VLOOKUP(A97,'Trips&amp;Operators'!$C$1:$G$99999,5,FALSE)</f>
        <v>ROMERO CHAD</v>
      </c>
      <c r="M97" s="6">
        <f t="shared" si="29"/>
        <v>3.4733796295768116E-2</v>
      </c>
      <c r="N97" s="7">
        <f t="shared" si="26"/>
        <v>50.016666665906087</v>
      </c>
      <c r="O97" s="7"/>
      <c r="P97" s="7"/>
      <c r="Q97" s="22"/>
      <c r="R97" s="22"/>
      <c r="S97" s="31">
        <f t="shared" si="27"/>
        <v>1</v>
      </c>
      <c r="T97" s="46" t="str">
        <f t="shared" si="30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1"/>
        <v>https://d0f6bd738d7f1b3e5a7ca70fe4ff75f0.us-east-1.aws.found.io/app/kibana#/discover/Steve-Slow-Train-Analysis-(2080s-and-2083s)?_g=(refreshInterval:(display:Off,pause:!f,section:0,value:0),time:(from:'2017-03-18T13:50:27-0600',mode:absolute,to:'2017-03-18T16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187" t="str">
        <f t="shared" si="32"/>
        <v>N</v>
      </c>
      <c r="X97" s="187">
        <f t="shared" si="45"/>
        <v>1</v>
      </c>
      <c r="Y97" s="62">
        <f t="shared" si="34"/>
        <v>23.309200000000001</v>
      </c>
      <c r="Z97" s="62">
        <f t="shared" si="35"/>
        <v>1.38E-2</v>
      </c>
      <c r="AA97" s="62">
        <f t="shared" si="36"/>
        <v>23.295400000000001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7"/>
        <v>0184-18</v>
      </c>
      <c r="AE97" s="85" t="str">
        <f t="shared" si="38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97" s="82" t="str">
        <f t="shared" si="39"/>
        <v>"C:\Program Files (x86)\AstroGrep\AstroGrep.exe" /e /r /s /spath="%USERPROFILE%\AppData\Local\Temp\OnboardLogs" /stypes="app*4030*20170318*" /stext=" 21:.+((SYSTEM_STATE.+slice.+state.+changed )|(ment ac)|(multiple cpu faults)|(system.+state.+changed )|(\[timeout)|(PRM\|1\|D)|(kpr)|(kdp)|(\|lc)|(penalty))"</v>
      </c>
      <c r="AG97" s="1" t="str">
        <f t="shared" si="40"/>
        <v>EC</v>
      </c>
      <c r="AH97" s="86" t="str">
        <f t="shared" si="41"/>
        <v>"%USERPROFILE%\Documents\GitHub\eaglep3\Utilities\RefineRTDCRunTimes.py" --tripid 184-18 --locoid 4030 --swversion DE.1.0.9.0 --startMP 204:233092 --initTime 2017-03-18T14:50:27 --startdatetime 2017-03-18T14:56:24 --delay 1 --endMP 204:138 --enddatetime 2017-03-18T15:46:25 --enforcementcount 0 &gt;&gt;C:\Users\stu\Documents\GitHub\eaglep3-reporting\EC\2017-03-18-refined-times.txt</v>
      </c>
      <c r="AI97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{"issue":{"subject":"","project_id":79,"tracker_id":40,"status_id":1,"priority_id":2,"assigned_to_id":23,"start_date":"2017-03-18","description":"","custom_fields":[{"id":1,"name":"Subdivision","value":"EC"},{"id":4,"name":"Milepost","value":"0.0138"},{"id":17,"name":"Train ID","value":"184-18"},{"id":16,"name":"Locomotive ID","value":"4030"},{"id":130,"name":"Impact","value":""},{"id":150,"name":"Time of Event (Mountain Time)","value":"15:46:25"},{"id":151,"name":"Denver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3"/>
        <v>start /low /b %USERPROFILE%\Documents\GitHub\eaglep3\Utilities\DownloadLogsFromS3.py --loco 4030 --day 2017-03-18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</row>
    <row r="98" spans="1:91" s="20" customFormat="1" x14ac:dyDescent="0.25">
      <c r="A98" s="33" t="s">
        <v>574</v>
      </c>
      <c r="B98" s="7">
        <v>4009</v>
      </c>
      <c r="C98" s="21" t="s">
        <v>222</v>
      </c>
      <c r="D98" s="21" t="s">
        <v>530</v>
      </c>
      <c r="E98" s="13">
        <v>42812.602094907408</v>
      </c>
      <c r="F98" s="13">
        <v>42812.604560185187</v>
      </c>
      <c r="G98" s="7">
        <v>2</v>
      </c>
      <c r="H98" s="21" t="s">
        <v>529</v>
      </c>
      <c r="I98" s="13">
        <v>42812.637291666666</v>
      </c>
      <c r="J98" s="7">
        <v>0</v>
      </c>
      <c r="K98" s="98" t="str">
        <f t="shared" si="28"/>
        <v>4009/4010</v>
      </c>
      <c r="L98" s="21" t="str">
        <f>VLOOKUP(A98,'Trips&amp;Operators'!$C$1:$G$99999,5,FALSE)</f>
        <v>NELSON ARIANE</v>
      </c>
      <c r="M98" s="6">
        <f t="shared" si="29"/>
        <v>3.273148147854954E-2</v>
      </c>
      <c r="N98" s="7">
        <f t="shared" si="26"/>
        <v>47.133333329111338</v>
      </c>
      <c r="O98" s="7"/>
      <c r="P98" s="7"/>
      <c r="Q98" s="22"/>
      <c r="R98" s="22"/>
      <c r="S98" s="31">
        <f t="shared" si="27"/>
        <v>1</v>
      </c>
      <c r="T98" s="46" t="str">
        <f t="shared" si="30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1"/>
        <v>https://d0f6bd738d7f1b3e5a7ca70fe4ff75f0.us-east-1.aws.found.io/app/kibana#/discover/Steve-Slow-Train-Analysis-(2080s-and-2083s)?_g=(refreshInterval:(display:Off,pause:!f,section:0,value:0),time:(from:'2017-03-18T13:27:01-0600',mode:absolute,to:'2017-03-18T16:17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187" t="str">
        <f t="shared" si="32"/>
        <v>N</v>
      </c>
      <c r="X98" s="187">
        <f t="shared" si="45"/>
        <v>3</v>
      </c>
      <c r="Y98" s="62">
        <f t="shared" si="34"/>
        <v>4.3099999999999999E-2</v>
      </c>
      <c r="Z98" s="62">
        <f t="shared" si="35"/>
        <v>23.330500000000001</v>
      </c>
      <c r="AA98" s="62">
        <f t="shared" si="36"/>
        <v>23.287400000000002</v>
      </c>
      <c r="AB98" s="59" t="str">
        <f>VLOOKUP(A98,Enforcements!$C$7:$K$13,8,0)</f>
        <v>Bulletin (2)</v>
      </c>
      <c r="AC98" s="55" t="str">
        <f>VLOOKUP(A98,Enforcements!$C$7:$E$13,3,0)</f>
        <v>GRADE CROSSING</v>
      </c>
      <c r="AD98" s="56" t="str">
        <f t="shared" si="37"/>
        <v>0187-18</v>
      </c>
      <c r="AE98" s="85" t="str">
        <f t="shared" si="38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98" s="82" t="str">
        <f t="shared" si="39"/>
        <v>"C:\Program Files (x86)\AstroGrep\AstroGrep.exe" /e /r /s /spath="%USERPROFILE%\AppData\Local\Temp\OnboardLogs" /stypes="app*4009*20170318*" /stext=" 21:.+((SYSTEM_STATE.+slice.+state.+changed )|(ment ac)|(multiple cpu faults)|(system.+state.+changed )|(\[timeout)|(PRM\|1\|D)|(kpr)|(kdp)|(\|lc)|(penalty))"</v>
      </c>
      <c r="AG98" s="1" t="str">
        <f t="shared" si="40"/>
        <v>EC</v>
      </c>
      <c r="AH98" s="86" t="str">
        <f t="shared" si="41"/>
        <v>"%USERPROFILE%\Documents\GitHub\eaglep3\Utilities\RefineRTDCRunTimes.py" --tripid 187-18 --locoid 4009 --swversion DE.1.0.9.0 --startMP 204:431 --initTime 2017-03-18T14:27:01 --startdatetime 2017-03-18T14:30:34 --delay 2 --endMP 204:233305 --enddatetime 2017-03-18T15:17:42 --enforcementcount 0 &gt;&gt;C:\Users\stu\Documents\GitHub\eaglep3-reporting\EC\2017-03-18-refined-times.txt</v>
      </c>
      <c r="AI9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{"issue":{"subject":"","project_id":79,"tracker_id":40,"status_id":1,"priority_id":2,"assigned_to_id":23,"start_date":"2017-03-18","description":"","custom_fields":[{"id":1,"name":"Subdivision","value":"EC"},{"id":4,"name":"Milepost","value":"23.3305"},{"id":17,"name":"Train ID","value":"187-18"},{"id":16,"name":"Locomotive ID","value":"4009"},{"id":130,"name":"Impact","value":""},{"id":150,"name":"Time of Event (Mountain Time)","value":"15:17:42"},{"id":151,"name":"Denver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3"/>
        <v>start /low /b %USERPROFILE%\Documents\GitHub\eaglep3\Utilities\DownloadLogsFromS3.py --loco 4009 --day 2017-03-18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583</v>
      </c>
      <c r="B99" s="7">
        <v>4010</v>
      </c>
      <c r="C99" s="21" t="s">
        <v>222</v>
      </c>
      <c r="D99" s="21" t="s">
        <v>401</v>
      </c>
      <c r="E99" s="13">
        <v>42812.644189814811</v>
      </c>
      <c r="F99" s="13">
        <v>42812.645509259259</v>
      </c>
      <c r="G99" s="7">
        <v>1</v>
      </c>
      <c r="H99" s="21" t="s">
        <v>848</v>
      </c>
      <c r="I99" s="13">
        <v>42812.683495370373</v>
      </c>
      <c r="J99" s="7">
        <v>0</v>
      </c>
      <c r="K99" s="98" t="str">
        <f t="shared" si="28"/>
        <v>4009/4010</v>
      </c>
      <c r="L99" s="21" t="str">
        <f>VLOOKUP(A99,'Trips&amp;Operators'!$C$1:$G$99999,5,FALSE)</f>
        <v>NELSON ARIANE</v>
      </c>
      <c r="M99" s="6">
        <f t="shared" si="29"/>
        <v>3.7986111114150845E-2</v>
      </c>
      <c r="N99" s="7">
        <f t="shared" si="26"/>
        <v>54.700000004377216</v>
      </c>
      <c r="O99" s="7"/>
      <c r="P99" s="7"/>
      <c r="Q99" s="22"/>
      <c r="R99" s="22"/>
      <c r="S99" s="31">
        <f t="shared" si="27"/>
        <v>1</v>
      </c>
      <c r="T99" s="46" t="str">
        <f t="shared" si="30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1"/>
        <v>https://d0f6bd738d7f1b3e5a7ca70fe4ff75f0.us-east-1.aws.found.io/app/kibana#/discover/Steve-Slow-Train-Analysis-(2080s-and-2083s)?_g=(refreshInterval:(display:Off,pause:!f,section:0,value:0),time:(from:'2017-03-18T14:27:38-0600',mode:absolute,to:'2017-03-18T17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9" s="187" t="str">
        <f t="shared" si="32"/>
        <v>N</v>
      </c>
      <c r="X99" s="187">
        <f t="shared" si="45"/>
        <v>1</v>
      </c>
      <c r="Y99" s="62">
        <f t="shared" si="34"/>
        <v>23.298400000000001</v>
      </c>
      <c r="Z99" s="62">
        <f t="shared" si="35"/>
        <v>0.1169</v>
      </c>
      <c r="AA99" s="62">
        <f t="shared" si="36"/>
        <v>23.1815</v>
      </c>
      <c r="AB99" s="59" t="str">
        <f>VLOOKUP(A99,Enforcements!$C$7:$K$13,8,0)</f>
        <v>Bulletin (2)</v>
      </c>
      <c r="AC99" s="55" t="str">
        <f>VLOOKUP(A99,Enforcements!$C$7:$E$13,3,0)</f>
        <v>GRADE CROSSING</v>
      </c>
      <c r="AD99" s="56" t="str">
        <f t="shared" si="37"/>
        <v>0188-18</v>
      </c>
      <c r="AE99" s="85" t="str">
        <f t="shared" si="38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99" s="82" t="str">
        <f t="shared" si="39"/>
        <v>"C:\Program Files (x86)\AstroGrep\AstroGrep.exe" /e /r /s /spath="%USERPROFILE%\AppData\Local\Temp\OnboardLogs" /stypes="app*4010*20170318*" /stext=" 22:.+((SYSTEM_STATE.+slice.+state.+changed )|(ment ac)|(multiple cpu faults)|(system.+state.+changed )|(\[timeout)|(PRM\|1\|D)|(kpr)|(kdp)|(\|lc)|(penalty))"</v>
      </c>
      <c r="AG99" s="1" t="str">
        <f t="shared" si="40"/>
        <v>EC</v>
      </c>
      <c r="AH99" s="86" t="str">
        <f t="shared" si="41"/>
        <v>"%USERPROFILE%\Documents\GitHub\eaglep3\Utilities\RefineRTDCRunTimes.py" --tripid 188-18 --locoid 4010 --swversion DE.1.0.9.0 --startMP 204:232984 --initTime 2017-03-18T15:27:38 --startdatetime 2017-03-18T15:29:32 --delay 1 --endMP 204:1169 --enddatetime 2017-03-18T16:24:14 --enforcementcount 0 &gt;&gt;C:\Users\stu\Documents\GitHub\eaglep3-reporting\EC\2017-03-18-refined-times.txt</v>
      </c>
      <c r="AI9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{"issue":{"subject":"","project_id":79,"tracker_id":40,"status_id":1,"priority_id":2,"assigned_to_id":23,"start_date":"2017-03-18","description":"","custom_fields":[{"id":1,"name":"Subdivision","value":"EC"},{"id":4,"name":"Milepost","value":"0.1169"},{"id":17,"name":"Train ID","value":"188-18"},{"id":16,"name":"Locomotive ID","value":"4010"},{"id":130,"name":"Impact","value":""},{"id":150,"name":"Time of Event (Mountain Time)","value":"16:24:14"},{"id":151,"name":"Denver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3"/>
        <v>start /low /b %USERPROFILE%\Documents\GitHub\eaglep3\Utilities\DownloadLogsFromS3.py --loco 4010 --day 2017-03-18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578</v>
      </c>
      <c r="B100" s="7">
        <v>4051</v>
      </c>
      <c r="C100" s="21" t="s">
        <v>222</v>
      </c>
      <c r="D100" s="21" t="s">
        <v>849</v>
      </c>
      <c r="E100" s="13">
        <v>42812.611296296294</v>
      </c>
      <c r="F100" s="13">
        <v>42812.614872685182</v>
      </c>
      <c r="G100" s="7">
        <v>2</v>
      </c>
      <c r="H100" s="21" t="s">
        <v>850</v>
      </c>
      <c r="I100" s="13">
        <v>42812.643796296295</v>
      </c>
      <c r="J100" s="7">
        <v>0</v>
      </c>
      <c r="K100" s="98" t="str">
        <f t="shared" si="28"/>
        <v>4051/4052</v>
      </c>
      <c r="L100" s="21" t="str">
        <f>VLOOKUP(A100,'Trips&amp;Operators'!$C$1:$G$99999,5,FALSE)</f>
        <v>STEWART MICHAEL</v>
      </c>
      <c r="M100" s="6">
        <f t="shared" si="29"/>
        <v>2.8923611112986691E-2</v>
      </c>
      <c r="N100" s="7">
        <f t="shared" si="26"/>
        <v>41.650000002700835</v>
      </c>
      <c r="O100" s="7"/>
      <c r="P100" s="7"/>
      <c r="Q100" s="22"/>
      <c r="R100" s="22"/>
      <c r="S100" s="31">
        <f t="shared" si="27"/>
        <v>1</v>
      </c>
      <c r="T100" s="46" t="str">
        <f t="shared" si="30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1"/>
        <v>https://d0f6bd738d7f1b3e5a7ca70fe4ff75f0.us-east-1.aws.found.io/app/kibana#/discover/Steve-Slow-Train-Analysis-(2080s-and-2083s)?_g=(refreshInterval:(display:Off,pause:!f,section:0,value:0),time:(from:'2017-03-18T13:40:16-0600',mode:absolute,to:'2017-03-18T16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0" s="187" t="str">
        <f t="shared" si="32"/>
        <v>N</v>
      </c>
      <c r="X100" s="187">
        <f t="shared" si="45"/>
        <v>1</v>
      </c>
      <c r="Y100" s="62">
        <f t="shared" si="34"/>
        <v>4.9700000000000001E-2</v>
      </c>
      <c r="Z100" s="62">
        <f t="shared" si="35"/>
        <v>23.3172</v>
      </c>
      <c r="AA100" s="62">
        <f t="shared" si="36"/>
        <v>23.267499999999998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7"/>
        <v>0189-18</v>
      </c>
      <c r="AE100" s="85" t="str">
        <f t="shared" si="38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100" s="82" t="str">
        <f t="shared" si="39"/>
        <v>"C:\Program Files (x86)\AstroGrep\AstroGrep.exe" /e /r /s /spath="%USERPROFILE%\AppData\Local\Temp\OnboardLogs" /stypes="app*4051*20170318*" /stext=" 21:.+((SYSTEM_STATE.+slice.+state.+changed )|(ment ac)|(multiple cpu faults)|(system.+state.+changed )|(\[timeout)|(PRM\|1\|D)|(kpr)|(kdp)|(\|lc)|(penalty))"</v>
      </c>
      <c r="AG100" s="1" t="str">
        <f t="shared" si="40"/>
        <v>EC</v>
      </c>
      <c r="AH100" s="86" t="str">
        <f t="shared" si="41"/>
        <v>"%USERPROFILE%\Documents\GitHub\eaglep3\Utilities\RefineRTDCRunTimes.py" --tripid 189-18 --locoid 4051 --swversion DE.1.0.9.0 --startMP 204:497 --initTime 2017-03-18T14:40:16 --startdatetime 2017-03-18T14:45:25 --delay 2 --endMP 204:233172 --enddatetime 2017-03-18T15:27:04 --enforcementcount 0 &gt;&gt;C:\Users\stu\Documents\GitHub\eaglep3-reporting\EC\2017-03-18-refined-times.txt</v>
      </c>
      <c r="AI10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{"issue":{"subject":"","project_id":79,"tracker_id":40,"status_id":1,"priority_id":2,"assigned_to_id":23,"start_date":"2017-03-18","description":"","custom_fields":[{"id":1,"name":"Subdivision","value":"EC"},{"id":4,"name":"Milepost","value":"23.3172"},{"id":17,"name":"Train ID","value":"189-18"},{"id":16,"name":"Locomotive ID","value":"4051"},{"id":130,"name":"Impact","value":""},{"id":150,"name":"Time of Event (Mountain Time)","value":"15:27:04"},{"id":151,"name":"Denver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3"/>
        <v>start /low /b %USERPROFILE%\Documents\GitHub\eaglep3\Utilities\DownloadLogsFromS3.py --loco 4051 --day 2017-03-18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713</v>
      </c>
      <c r="B101" s="7">
        <v>4052</v>
      </c>
      <c r="C101" s="21" t="s">
        <v>222</v>
      </c>
      <c r="D101" s="21" t="s">
        <v>471</v>
      </c>
      <c r="E101" s="13">
        <v>42812.651550925926</v>
      </c>
      <c r="F101" s="13">
        <v>42812.653726851851</v>
      </c>
      <c r="G101" s="7">
        <v>1</v>
      </c>
      <c r="H101" s="21" t="s">
        <v>217</v>
      </c>
      <c r="I101" s="13">
        <v>42812.687465277777</v>
      </c>
      <c r="J101" s="7">
        <v>0</v>
      </c>
      <c r="K101" s="98" t="str">
        <f t="shared" si="28"/>
        <v>4051/4052</v>
      </c>
      <c r="L101" s="21" t="str">
        <f>VLOOKUP(A101,'Trips&amp;Operators'!$C$1:$G$99999,5,FALSE)</f>
        <v>STEWART MICHAEL</v>
      </c>
      <c r="M101" s="6">
        <f t="shared" si="29"/>
        <v>3.3738425925548654E-2</v>
      </c>
      <c r="N101" s="7">
        <f t="shared" ref="N101:N113" si="46">24*60*SUM($M101:$M101)</f>
        <v>48.583333332790062</v>
      </c>
      <c r="O101" s="7"/>
      <c r="P101" s="7"/>
      <c r="Q101" s="22"/>
      <c r="R101" s="22"/>
      <c r="S101" s="31">
        <f t="shared" ref="S101:S120" si="47">SUM(U101:U101)/IF(AG101="EC",12,1)</f>
        <v>1</v>
      </c>
      <c r="T101" s="46" t="str">
        <f t="shared" si="30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1"/>
        <v>https://d0f6bd738d7f1b3e5a7ca70fe4ff75f0.us-east-1.aws.found.io/app/kibana#/discover/Steve-Slow-Train-Analysis-(2080s-and-2083s)?_g=(refreshInterval:(display:Off,pause:!f,section:0,value:0),time:(from:'2017-03-18T14:38:14-0600',mode:absolute,to:'2017-03-18T17:29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1" s="187" t="str">
        <f t="shared" si="32"/>
        <v>N</v>
      </c>
      <c r="X101" s="187">
        <f t="shared" si="45"/>
        <v>1</v>
      </c>
      <c r="Y101" s="62">
        <f t="shared" si="34"/>
        <v>23.297899999999998</v>
      </c>
      <c r="Z101" s="62">
        <f t="shared" si="35"/>
        <v>1.47E-2</v>
      </c>
      <c r="AA101" s="62">
        <f t="shared" si="36"/>
        <v>23.283199999999997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7"/>
        <v>0190-18</v>
      </c>
      <c r="AE101" s="85" t="str">
        <f t="shared" si="38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101" s="82" t="str">
        <f t="shared" si="39"/>
        <v>"C:\Program Files (x86)\AstroGrep\AstroGrep.exe" /e /r /s /spath="%USERPROFILE%\AppData\Local\Temp\OnboardLogs" /stypes="app*4052*20170318*" /stext=" 22:.+((SYSTEM_STATE.+slice.+state.+changed )|(ment ac)|(multiple cpu faults)|(system.+state.+changed )|(\[timeout)|(PRM\|1\|D)|(kpr)|(kdp)|(\|lc)|(penalty))"</v>
      </c>
      <c r="AG101" s="1" t="str">
        <f t="shared" si="40"/>
        <v>EC</v>
      </c>
      <c r="AH101" s="86" t="str">
        <f t="shared" si="41"/>
        <v>"%USERPROFILE%\Documents\GitHub\eaglep3\Utilities\RefineRTDCRunTimes.py" --tripid 190-18 --locoid 4052 --swversion DE.1.0.9.0 --startMP 204:232979 --initTime 2017-03-18T15:38:14 --startdatetime 2017-03-18T15:41:22 --delay 1 --endMP 204:147 --enddatetime 2017-03-18T16:29:57 --enforcementcount 0 &gt;&gt;C:\Users\stu\Documents\GitHub\eaglep3-reporting\EC\2017-03-18-refined-times.txt</v>
      </c>
      <c r="AI101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ID","value":"190-18"},{"id":16,"name":"Locomotive ID","value":"4052"},{"id":130,"name":"Impact","value":""},{"id":150,"name":"Time of Event (Mountain Time)","value":"16:29:57"},{"id":151,"name":"Denver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3"/>
        <v>start /low /b %USERPROFILE%\Documents\GitHub\eaglep3\Utilities\DownloadLogsFromS3.py --loco 4052 --day 2017-03-18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579</v>
      </c>
      <c r="B102" s="7">
        <v>4027</v>
      </c>
      <c r="C102" s="21" t="s">
        <v>222</v>
      </c>
      <c r="D102" s="21" t="s">
        <v>213</v>
      </c>
      <c r="E102" s="13">
        <v>42812.620682870373</v>
      </c>
      <c r="F102" s="13">
        <v>42812.625196759262</v>
      </c>
      <c r="G102" s="7">
        <v>1</v>
      </c>
      <c r="H102" s="21" t="s">
        <v>853</v>
      </c>
      <c r="I102" s="13">
        <v>42812.654039351852</v>
      </c>
      <c r="J102" s="7">
        <v>0</v>
      </c>
      <c r="K102" s="98" t="str">
        <f t="shared" si="28"/>
        <v>4027/4028</v>
      </c>
      <c r="L102" s="21" t="str">
        <f>VLOOKUP(A102,'Trips&amp;Operators'!$C$1:$G$99999,5,FALSE)</f>
        <v>DELGADO DIANAH</v>
      </c>
      <c r="M102" s="6">
        <f t="shared" si="29"/>
        <v>2.884259259008104E-2</v>
      </c>
      <c r="N102" s="7">
        <f t="shared" si="46"/>
        <v>41.533333329716697</v>
      </c>
      <c r="O102" s="7"/>
      <c r="P102" s="7"/>
      <c r="Q102" s="22"/>
      <c r="R102" s="22"/>
      <c r="S102" s="31">
        <f t="shared" si="47"/>
        <v>1</v>
      </c>
      <c r="T102" s="46" t="str">
        <f t="shared" si="30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1"/>
        <v>https://d0f6bd738d7f1b3e5a7ca70fe4ff75f0.us-east-1.aws.found.io/app/kibana#/discover/Steve-Slow-Train-Analysis-(2080s-and-2083s)?_g=(refreshInterval:(display:Off,pause:!f,section:0,value:0),time:(from:'2017-03-18T13:53:47-0600',mode:absolute,to:'2017-03-18T16:41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187" t="str">
        <f t="shared" si="32"/>
        <v>N</v>
      </c>
      <c r="X102" s="187">
        <f t="shared" si="45"/>
        <v>1</v>
      </c>
      <c r="Y102" s="62">
        <f t="shared" si="34"/>
        <v>4.5499999999999999E-2</v>
      </c>
      <c r="Z102" s="62">
        <f t="shared" si="35"/>
        <v>23.341000000000001</v>
      </c>
      <c r="AA102" s="62">
        <f t="shared" si="36"/>
        <v>23.295500000000001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7"/>
        <v>0191-18</v>
      </c>
      <c r="AE102" s="85" t="str">
        <f t="shared" si="38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102" s="82" t="str">
        <f t="shared" si="39"/>
        <v>"C:\Program Files (x86)\AstroGrep\AstroGrep.exe" /e /r /s /spath="%USERPROFILE%\AppData\Local\Temp\OnboardLogs" /stypes="app*4027*20170318*" /stext=" 21:.+((SYSTEM_STATE.+slice.+state.+changed )|(ment ac)|(multiple cpu faults)|(system.+state.+changed )|(\[timeout)|(PRM\|1\|D)|(kpr)|(kdp)|(\|lc)|(penalty))"</v>
      </c>
      <c r="AG102" s="1" t="str">
        <f t="shared" si="40"/>
        <v>EC</v>
      </c>
      <c r="AH102" s="86" t="str">
        <f t="shared" si="41"/>
        <v>"%USERPROFILE%\Documents\GitHub\eaglep3\Utilities\RefineRTDCRunTimes.py" --tripid 191-18 --locoid 4027 --swversion DE.1.0.9.0 --startMP 204:455 --initTime 2017-03-18T14:53:47 --startdatetime 2017-03-18T15:00:17 --delay 1 --endMP 204:233410 --enddatetime 2017-03-18T15:41:49 --enforcementcount 0 &gt;&gt;C:\Users\stu\Documents\GitHub\eaglep3-reporting\EC\2017-03-18-refined-times.txt</v>
      </c>
      <c r="AI10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{"issue":{"subject":"","project_id":79,"tracker_id":40,"status_id":1,"priority_id":2,"assigned_to_id":23,"start_date":"2017-03-18","description":"","custom_fields":[{"id":1,"name":"Subdivision","value":"EC"},{"id":4,"name":"Milepost","value":"23.341"},{"id":17,"name":"Train ID","value":"191-18"},{"id":16,"name":"Locomotive ID","value":"4027"},{"id":130,"name":"Impact","value":""},{"id":150,"name":"Time of Event (Mountain Time)","value":"15:41:49"},{"id":151,"name":"Denver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3"/>
        <v>start /low /b %USERPROFILE%\Documents\GitHub\eaglep3\Utilities\DownloadLogsFromS3.py --loco 4027 --day 2017-03-18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715</v>
      </c>
      <c r="B103" s="7">
        <v>4028</v>
      </c>
      <c r="C103" s="21" t="s">
        <v>222</v>
      </c>
      <c r="D103" s="21" t="s">
        <v>854</v>
      </c>
      <c r="E103" s="13">
        <v>42812.657280092593</v>
      </c>
      <c r="F103" s="13">
        <v>42812.6640625</v>
      </c>
      <c r="G103" s="7">
        <v>1</v>
      </c>
      <c r="H103" s="21" t="s">
        <v>429</v>
      </c>
      <c r="I103" s="13">
        <v>42812.69736111111</v>
      </c>
      <c r="J103" s="7">
        <v>0</v>
      </c>
      <c r="K103" s="98" t="str">
        <f t="shared" si="28"/>
        <v>4027/4028</v>
      </c>
      <c r="L103" s="21" t="str">
        <f>VLOOKUP(A103,'Trips&amp;Operators'!$C$1:$G$99999,5,FALSE)</f>
        <v>DELGADO DIANAH</v>
      </c>
      <c r="M103" s="6">
        <f t="shared" si="29"/>
        <v>3.329861110978527E-2</v>
      </c>
      <c r="N103" s="7">
        <f t="shared" si="46"/>
        <v>47.949999998090789</v>
      </c>
      <c r="O103" s="7"/>
      <c r="P103" s="7"/>
      <c r="Q103" s="22"/>
      <c r="R103" s="22"/>
      <c r="S103" s="31">
        <f t="shared" si="47"/>
        <v>1</v>
      </c>
      <c r="T103" s="46" t="str">
        <f t="shared" si="30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1"/>
        <v>https://d0f6bd738d7f1b3e5a7ca70fe4ff75f0.us-east-1.aws.found.io/app/kibana#/discover/Steve-Slow-Train-Analysis-(2080s-and-2083s)?_g=(refreshInterval:(display:Off,pause:!f,section:0,value:0),time:(from:'2017-03-18T14:46:29-0600',mode:absolute,to:'2017-03-18T17:44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87" t="str">
        <f t="shared" si="32"/>
        <v>N</v>
      </c>
      <c r="X103" s="187">
        <f t="shared" si="45"/>
        <v>1</v>
      </c>
      <c r="Y103" s="62">
        <f t="shared" si="34"/>
        <v>23.308</v>
      </c>
      <c r="Z103" s="62">
        <f t="shared" si="35"/>
        <v>1.4500000000000001E-2</v>
      </c>
      <c r="AA103" s="62">
        <f t="shared" si="36"/>
        <v>23.293499999999998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7"/>
        <v>0192-18</v>
      </c>
      <c r="AE103" s="85" t="str">
        <f t="shared" si="38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103" s="82" t="str">
        <f t="shared" si="39"/>
        <v>"C:\Program Files (x86)\AstroGrep\AstroGrep.exe" /e /r /s /spath="%USERPROFILE%\AppData\Local\Temp\OnboardLogs" /stypes="app*4028*20170318*" /stext=" 22:.+((SYSTEM_STATE.+slice.+state.+changed )|(ment ac)|(multiple cpu faults)|(system.+state.+changed )|(\[timeout)|(PRM\|1\|D)|(kpr)|(kdp)|(\|lc)|(penalty))"</v>
      </c>
      <c r="AG103" s="1" t="str">
        <f t="shared" si="40"/>
        <v>EC</v>
      </c>
      <c r="AH103" s="86" t="str">
        <f t="shared" si="41"/>
        <v>"%USERPROFILE%\Documents\GitHub\eaglep3\Utilities\RefineRTDCRunTimes.py" --tripid 192-18 --locoid 4028 --swversion DE.1.0.9.0 --startMP 204:233080 --initTime 2017-03-18T15:46:29 --startdatetime 2017-03-18T15:56:15 --delay 1 --endMP 204:145 --enddatetime 2017-03-18T16:44:12 --enforcementcount 0 &gt;&gt;C:\Users\stu\Documents\GitHub\eaglep3-reporting\EC\2017-03-18-refined-times.txt</v>
      </c>
      <c r="AI10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{"issue":{"subject":"","project_id":79,"tracker_id":40,"status_id":1,"priority_id":2,"assigned_to_id":23,"start_date":"2017-03-18","description":"","custom_fields":[{"id":1,"name":"Subdivision","value":"EC"},{"id":4,"name":"Milepost","value":"0.0145"},{"id":17,"name":"Train ID","value":"192-18"},{"id":16,"name":"Locomotive ID","value":"4028"},{"id":130,"name":"Impact","value":""},{"id":150,"name":"Time of Event (Mountain Time)","value":"16:44:12"},{"id":151,"name":"Denver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3"/>
        <v>start /low /b %USERPROFILE%\Documents\GitHub\eaglep3\Utilities\DownloadLogsFromS3.py --loco 4028 --day 2017-03-18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710</v>
      </c>
      <c r="B104" s="7">
        <v>4031</v>
      </c>
      <c r="C104" s="21" t="s">
        <v>222</v>
      </c>
      <c r="D104" s="21" t="s">
        <v>227</v>
      </c>
      <c r="E104" s="13">
        <v>42812.630949074075</v>
      </c>
      <c r="F104" s="13">
        <v>42812.635706018518</v>
      </c>
      <c r="G104" s="7">
        <v>4</v>
      </c>
      <c r="H104" s="21" t="s">
        <v>455</v>
      </c>
      <c r="I104" s="13">
        <v>42812.663240740738</v>
      </c>
      <c r="J104" s="7">
        <v>0</v>
      </c>
      <c r="K104" s="98" t="str">
        <f t="shared" si="28"/>
        <v>4031/4032</v>
      </c>
      <c r="L104" s="21" t="str">
        <f>VLOOKUP(A104,'Trips&amp;Operators'!$C$1:$G$99999,5,FALSE)</f>
        <v>BRUDER RICHARD</v>
      </c>
      <c r="M104" s="6">
        <f t="shared" si="29"/>
        <v>2.753472221957054E-2</v>
      </c>
      <c r="N104" s="7">
        <f t="shared" si="46"/>
        <v>39.649999996181577</v>
      </c>
      <c r="O104" s="7"/>
      <c r="P104" s="7"/>
      <c r="Q104" s="22"/>
      <c r="R104" s="22"/>
      <c r="S104" s="31">
        <f t="shared" si="47"/>
        <v>1</v>
      </c>
      <c r="T104" s="46" t="str">
        <f t="shared" si="30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1"/>
        <v>https://d0f6bd738d7f1b3e5a7ca70fe4ff75f0.us-east-1.aws.found.io/app/kibana#/discover/Steve-Slow-Train-Analysis-(2080s-and-2083s)?_g=(refreshInterval:(display:Off,pause:!f,section:0,value:0),time:(from:'2017-03-18T14:08:34-0600',mode:absolute,to:'2017-03-18T16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4" s="187" t="str">
        <f t="shared" si="32"/>
        <v>N</v>
      </c>
      <c r="X104" s="187">
        <f t="shared" si="45"/>
        <v>1</v>
      </c>
      <c r="Y104" s="62">
        <f t="shared" si="34"/>
        <v>4.6699999999999998E-2</v>
      </c>
      <c r="Z104" s="62">
        <f t="shared" si="35"/>
        <v>23.3308</v>
      </c>
      <c r="AA104" s="62">
        <f t="shared" si="36"/>
        <v>23.284099999999999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7"/>
        <v>0193-18</v>
      </c>
      <c r="AE104" s="85" t="str">
        <f t="shared" si="38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104" s="82" t="str">
        <f t="shared" si="39"/>
        <v>"C:\Program Files (x86)\AstroGrep\AstroGrep.exe" /e /r /s /spath="%USERPROFILE%\AppData\Local\Temp\OnboardLogs" /stypes="app*4031*20170318*" /stext=" 21:.+((SYSTEM_STATE.+slice.+state.+changed )|(ment ac)|(multiple cpu faults)|(system.+state.+changed )|(\[timeout)|(PRM\|1\|D)|(kpr)|(kdp)|(\|lc)|(penalty))"</v>
      </c>
      <c r="AG104" s="1" t="str">
        <f t="shared" si="40"/>
        <v>EC</v>
      </c>
      <c r="AH104" s="86" t="str">
        <f t="shared" si="41"/>
        <v>"%USERPROFILE%\Documents\GitHub\eaglep3\Utilities\RefineRTDCRunTimes.py" --tripid 193-18 --locoid 4031 --swversion DE.1.0.9.0 --startMP 204:467 --initTime 2017-03-18T15:08:34 --startdatetime 2017-03-18T15:15:25 --delay 4 --endMP 204:233308 --enddatetime 2017-03-18T15:55:04 --enforcementcount 0 &gt;&gt;C:\Users\stu\Documents\GitHub\eaglep3-reporting\EC\2017-03-18-refined-times.txt</v>
      </c>
      <c r="AI104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{"issue":{"subject":"","project_id":79,"tracker_id":40,"status_id":1,"priority_id":2,"assigned_to_id":23,"start_date":"2017-03-18","description":"","custom_fields":[{"id":1,"name":"Subdivision","value":"EC"},{"id":4,"name":"Milepost","value":"23.3308"},{"id":17,"name":"Train ID","value":"193-18"},{"id":16,"name":"Locomotive ID","value":"4031"},{"id":130,"name":"Impact","value":""},{"id":150,"name":"Time of Event (Mountain Time)","value":"15:55:04"},{"id":151,"name":"Denver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3"/>
        <v>start /low /b %USERPROFILE%\Documents\GitHub\eaglep3\Utilities\DownloadLogsFromS3.py --loco 4031 --day 2017-03-18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717</v>
      </c>
      <c r="B105" s="7">
        <v>4032</v>
      </c>
      <c r="C105" s="21" t="s">
        <v>222</v>
      </c>
      <c r="D105" s="21" t="s">
        <v>412</v>
      </c>
      <c r="E105" s="13">
        <v>42812.671793981484</v>
      </c>
      <c r="F105" s="13">
        <v>42812.674467592595</v>
      </c>
      <c r="G105" s="7">
        <v>2</v>
      </c>
      <c r="H105" s="21" t="s">
        <v>217</v>
      </c>
      <c r="I105" s="13">
        <v>42812.70511574074</v>
      </c>
      <c r="J105" s="7">
        <v>0</v>
      </c>
      <c r="K105" s="98" t="str">
        <f t="shared" si="28"/>
        <v>4031/4032</v>
      </c>
      <c r="L105" s="21" t="str">
        <f>VLOOKUP(A105,'Trips&amp;Operators'!$C$1:$G$99999,5,FALSE)</f>
        <v>BRUDER RICHARD</v>
      </c>
      <c r="M105" s="6">
        <f t="shared" si="29"/>
        <v>3.0648148145701271E-2</v>
      </c>
      <c r="N105" s="7">
        <f t="shared" si="46"/>
        <v>44.13333332980983</v>
      </c>
      <c r="O105" s="7"/>
      <c r="P105" s="7"/>
      <c r="Q105" s="22"/>
      <c r="R105" s="22"/>
      <c r="S105" s="31">
        <f t="shared" si="47"/>
        <v>1</v>
      </c>
      <c r="T105" s="46" t="str">
        <f t="shared" si="30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1"/>
        <v>https://d0f6bd738d7f1b3e5a7ca70fe4ff75f0.us-east-1.aws.found.io/app/kibana#/discover/Steve-Slow-Train-Analysis-(2080s-and-2083s)?_g=(refreshInterval:(display:Off,pause:!f,section:0,value:0),time:(from:'2017-03-18T15:07:23-0600',mode:absolute,to:'2017-03-18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5" s="187" t="str">
        <f t="shared" si="32"/>
        <v>N</v>
      </c>
      <c r="X105" s="187">
        <f t="shared" si="45"/>
        <v>1</v>
      </c>
      <c r="Y105" s="62">
        <f t="shared" si="34"/>
        <v>23.299800000000001</v>
      </c>
      <c r="Z105" s="62">
        <f t="shared" si="35"/>
        <v>1.47E-2</v>
      </c>
      <c r="AA105" s="62">
        <f t="shared" si="36"/>
        <v>23.2851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7"/>
        <v>0194-18</v>
      </c>
      <c r="AE105" s="85" t="str">
        <f t="shared" si="38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105" s="82" t="str">
        <f t="shared" si="39"/>
        <v>"C:\Program Files (x86)\AstroGrep\AstroGrep.exe" /e /r /s /spath="%USERPROFILE%\AppData\Local\Temp\OnboardLogs" /stypes="app*4032*20170318*" /stext=" 22:.+((SYSTEM_STATE.+slice.+state.+changed )|(ment ac)|(multiple cpu faults)|(system.+state.+changed )|(\[timeout)|(PRM\|1\|D)|(kpr)|(kdp)|(\|lc)|(penalty))"</v>
      </c>
      <c r="AG105" s="1" t="str">
        <f t="shared" si="40"/>
        <v>EC</v>
      </c>
      <c r="AH105" s="86" t="str">
        <f t="shared" si="41"/>
        <v>"%USERPROFILE%\Documents\GitHub\eaglep3\Utilities\RefineRTDCRunTimes.py" --tripid 194-18 --locoid 4032 --swversion DE.1.0.9.0 --startMP 204:232998 --initTime 2017-03-18T16:07:23 --startdatetime 2017-03-18T16:11:14 --delay 2 --endMP 204:147 --enddatetime 2017-03-18T16:55:22 --enforcementcount 0 &gt;&gt;C:\Users\stu\Documents\GitHub\eaglep3-reporting\EC\2017-03-18-refined-times.txt</v>
      </c>
      <c r="AI105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ID","value":"194-18"},{"id":16,"name":"Locomotive ID","value":"4032"},{"id":130,"name":"Impact","value":""},{"id":150,"name":"Time of Event (Mountain Time)","value":"16:55:22"},{"id":151,"name":"Denver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3"/>
        <v>start /low /b %USERPROFILE%\Documents\GitHub\eaglep3\Utilities\DownloadLogsFromS3.py --loco 4032 --day 2017-03-18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712</v>
      </c>
      <c r="B106" s="7">
        <v>4014</v>
      </c>
      <c r="C106" s="21" t="s">
        <v>222</v>
      </c>
      <c r="D106" s="21" t="s">
        <v>207</v>
      </c>
      <c r="E106" s="13">
        <v>42812.640543981484</v>
      </c>
      <c r="F106" s="13">
        <v>42812.646006944444</v>
      </c>
      <c r="G106" s="7">
        <v>1</v>
      </c>
      <c r="H106" s="21" t="s">
        <v>855</v>
      </c>
      <c r="I106" s="13">
        <v>42812.677453703705</v>
      </c>
      <c r="J106" s="7">
        <v>0</v>
      </c>
      <c r="K106" s="98" t="str">
        <f t="shared" si="28"/>
        <v>4013/4014</v>
      </c>
      <c r="L106" s="21" t="str">
        <f>VLOOKUP(A106,'Trips&amp;Operators'!$C$1:$G$99999,5,FALSE)</f>
        <v>WHITED DUSTIN</v>
      </c>
      <c r="M106" s="6">
        <f t="shared" si="29"/>
        <v>3.1446759261598345E-2</v>
      </c>
      <c r="N106" s="7">
        <f t="shared" si="46"/>
        <v>45.283333336701617</v>
      </c>
      <c r="O106" s="7"/>
      <c r="P106" s="7"/>
      <c r="Q106" s="22"/>
      <c r="R106" s="22"/>
      <c r="S106" s="31">
        <f t="shared" si="47"/>
        <v>1</v>
      </c>
      <c r="T106" s="46" t="str">
        <f t="shared" si="30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1"/>
        <v>https://d0f6bd738d7f1b3e5a7ca70fe4ff75f0.us-east-1.aws.found.io/app/kibana#/discover/Steve-Slow-Train-Analysis-(2080s-and-2083s)?_g=(refreshInterval:(display:Off,pause:!f,section:0,value:0),time:(from:'2017-03-18T14:22:23-0600',mode:absolute,to:'2017-03-18T17:15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6" s="187" t="str">
        <f t="shared" si="32"/>
        <v>N</v>
      </c>
      <c r="X106" s="187">
        <f t="shared" si="45"/>
        <v>1</v>
      </c>
      <c r="Y106" s="62">
        <f t="shared" si="34"/>
        <v>4.5100000000000001E-2</v>
      </c>
      <c r="Z106" s="62">
        <f t="shared" si="35"/>
        <v>23.336200000000002</v>
      </c>
      <c r="AA106" s="62">
        <f t="shared" si="36"/>
        <v>23.2911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7"/>
        <v>0195-18</v>
      </c>
      <c r="AE106" s="85" t="str">
        <f t="shared" si="38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106" s="82" t="str">
        <f t="shared" si="39"/>
        <v>"C:\Program Files (x86)\AstroGrep\AstroGrep.exe" /e /r /s /spath="%USERPROFILE%\AppData\Local\Temp\OnboardLogs" /stypes="app*4014*20170318*" /stext=" 22:.+((SYSTEM_STATE.+slice.+state.+changed )|(ment ac)|(multiple cpu faults)|(system.+state.+changed )|(\[timeout)|(PRM\|1\|D)|(kpr)|(kdp)|(\|lc)|(penalty))"</v>
      </c>
      <c r="AG106" s="1" t="str">
        <f t="shared" si="40"/>
        <v>EC</v>
      </c>
      <c r="AH106" s="86" t="str">
        <f t="shared" si="41"/>
        <v>"%USERPROFILE%\Documents\GitHub\eaglep3\Utilities\RefineRTDCRunTimes.py" --tripid 195-18 --locoid 4014 --swversion DE.1.0.9.0 --startMP 204:451 --initTime 2017-03-18T15:22:23 --startdatetime 2017-03-18T15:30:15 --delay 1 --endMP 204:233362 --enddatetime 2017-03-18T16:15:32 --enforcementcount 0 &gt;&gt;C:\Users\stu\Documents\GitHub\eaglep3-reporting\EC\2017-03-18-refined-times.txt</v>
      </c>
      <c r="AI10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{"issue":{"subject":"","project_id":79,"tracker_id":40,"status_id":1,"priority_id":2,"assigned_to_id":23,"start_date":"2017-03-18","description":"","custom_fields":[{"id":1,"name":"Subdivision","value":"EC"},{"id":4,"name":"Milepost","value":"23.3362"},{"id":17,"name":"Train ID","value":"195-18"},{"id":16,"name":"Locomotive ID","value":"4014"},{"id":130,"name":"Impact","value":""},{"id":150,"name":"Time of Event (Mountain Time)","value":"16:15:32"},{"id":151,"name":"Denver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3"/>
        <v>start /low /b %USERPROFILE%\Documents\GitHub\eaglep3\Utilities\DownloadLogsFromS3.py --loco 4014 --day 2017-03-18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720</v>
      </c>
      <c r="B107" s="7">
        <v>4013</v>
      </c>
      <c r="C107" s="21" t="s">
        <v>222</v>
      </c>
      <c r="D107" s="21" t="s">
        <v>856</v>
      </c>
      <c r="E107" s="13">
        <v>42812.680925925924</v>
      </c>
      <c r="F107" s="13">
        <v>42812.685115740744</v>
      </c>
      <c r="G107" s="7">
        <v>1</v>
      </c>
      <c r="H107" s="21" t="s">
        <v>857</v>
      </c>
      <c r="I107" s="13">
        <v>42812.717453703706</v>
      </c>
      <c r="J107" s="7">
        <v>0</v>
      </c>
      <c r="K107" s="98" t="str">
        <f t="shared" si="28"/>
        <v>4013/4014</v>
      </c>
      <c r="L107" s="21" t="str">
        <f>VLOOKUP(A107,'Trips&amp;Operators'!$C$1:$G$99999,5,FALSE)</f>
        <v>WHITED DUSTIN</v>
      </c>
      <c r="M107" s="6">
        <f t="shared" si="29"/>
        <v>3.2337962962628808E-2</v>
      </c>
      <c r="N107" s="7">
        <f t="shared" si="46"/>
        <v>46.566666666185483</v>
      </c>
      <c r="O107" s="7"/>
      <c r="P107" s="7"/>
      <c r="Q107" s="22"/>
      <c r="R107" s="22"/>
      <c r="S107" s="31">
        <f t="shared" si="47"/>
        <v>1</v>
      </c>
      <c r="T107" s="46" t="str">
        <f t="shared" si="30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1"/>
        <v>https://d0f6bd738d7f1b3e5a7ca70fe4ff75f0.us-east-1.aws.found.io/app/kibana#/discover/Steve-Slow-Train-Analysis-(2080s-and-2083s)?_g=(refreshInterval:(display:Off,pause:!f,section:0,value:0),time:(from:'2017-03-18T15:20:32-0600',mode:absolute,to:'2017-03-18T18:13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7" s="187" t="str">
        <f t="shared" si="32"/>
        <v>N</v>
      </c>
      <c r="X107" s="187">
        <f t="shared" si="45"/>
        <v>1</v>
      </c>
      <c r="Y107" s="62">
        <f t="shared" si="34"/>
        <v>23.304600000000001</v>
      </c>
      <c r="Z107" s="62">
        <f t="shared" si="35"/>
        <v>1.3299999999999999E-2</v>
      </c>
      <c r="AA107" s="62">
        <f t="shared" si="36"/>
        <v>23.2913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7"/>
        <v>0196-18</v>
      </c>
      <c r="AE107" s="85" t="str">
        <f t="shared" si="38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107" s="82" t="str">
        <f t="shared" si="39"/>
        <v>"C:\Program Files (x86)\AstroGrep\AstroGrep.exe" /e /r /s /spath="%USERPROFILE%\AppData\Local\Temp\OnboardLogs" /stypes="app*4013*20170318*" /stext=" 23:.+((SYSTEM_STATE.+slice.+state.+changed )|(ment ac)|(multiple cpu faults)|(system.+state.+changed )|(\[timeout)|(PRM\|1\|D)|(kpr)|(kdp)|(\|lc)|(penalty))"</v>
      </c>
      <c r="AG107" s="1" t="str">
        <f t="shared" si="40"/>
        <v>EC</v>
      </c>
      <c r="AH107" s="86" t="str">
        <f t="shared" si="41"/>
        <v>"%USERPROFILE%\Documents\GitHub\eaglep3\Utilities\RefineRTDCRunTimes.py" --tripid 196-18 --locoid 4013 --swversion DE.1.0.9.0 --startMP 204:233046 --initTime 2017-03-18T16:20:32 --startdatetime 2017-03-18T16:26:34 --delay 1 --endMP 204:133 --enddatetime 2017-03-18T17:13:08 --enforcementcount 0 &gt;&gt;C:\Users\stu\Documents\GitHub\eaglep3-reporting\EC\2017-03-18-refined-times.txt</v>
      </c>
      <c r="AI107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{"issue":{"subject":"","project_id":79,"tracker_id":40,"status_id":1,"priority_id":2,"assigned_to_id":23,"start_date":"2017-03-18","description":"","custom_fields":[{"id":1,"name":"Subdivision","value":"EC"},{"id":4,"name":"Milepost","value":"0.0133"},{"id":17,"name":"Train ID","value":"196-18"},{"id":16,"name":"Locomotive ID","value":"4013"},{"id":130,"name":"Impact","value":""},{"id":150,"name":"Time of Event (Mountain Time)","value":"17:13:08"},{"id":151,"name":"Denver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3"/>
        <v>start /low /b %USERPROFILE%\Documents\GitHub\eaglep3\Utilities\DownloadLogsFromS3.py --loco 4013 --day 2017-03-18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580</v>
      </c>
      <c r="B108" s="7">
        <v>4044</v>
      </c>
      <c r="C108" s="21" t="s">
        <v>222</v>
      </c>
      <c r="D108" s="21" t="s">
        <v>785</v>
      </c>
      <c r="E108" s="13">
        <v>42812.652592592596</v>
      </c>
      <c r="F108" s="13">
        <v>42812.656458333331</v>
      </c>
      <c r="G108" s="7">
        <v>1</v>
      </c>
      <c r="H108" s="21" t="s">
        <v>858</v>
      </c>
      <c r="I108" s="13">
        <v>42812.683576388888</v>
      </c>
      <c r="J108" s="7">
        <v>0</v>
      </c>
      <c r="K108" s="98" t="str">
        <f t="shared" si="28"/>
        <v>4043/4044</v>
      </c>
      <c r="L108" s="21" t="str">
        <f>VLOOKUP(A108,'Trips&amp;Operators'!$C$1:$G$99999,5,FALSE)</f>
        <v>LEVIN SCOTT</v>
      </c>
      <c r="M108" s="6">
        <f t="shared" si="29"/>
        <v>2.7118055557366461E-2</v>
      </c>
      <c r="N108" s="7">
        <f t="shared" si="46"/>
        <v>39.050000002607703</v>
      </c>
      <c r="O108" s="7"/>
      <c r="P108" s="7"/>
      <c r="Q108" s="22"/>
      <c r="R108" s="22"/>
      <c r="S108" s="31">
        <f t="shared" si="47"/>
        <v>1</v>
      </c>
      <c r="T108" s="46" t="str">
        <f t="shared" si="30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1"/>
        <v>https://d0f6bd738d7f1b3e5a7ca70fe4ff75f0.us-east-1.aws.found.io/app/kibana#/discover/Steve-Slow-Train-Analysis-(2080s-and-2083s)?_g=(refreshInterval:(display:Off,pause:!f,section:0,value:0),time:(from:'2017-03-18T14:39:44-0600',mode:absolute,to:'2017-03-18T17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8" s="187" t="str">
        <f t="shared" si="32"/>
        <v>N</v>
      </c>
      <c r="X108" s="187">
        <f t="shared" si="45"/>
        <v>1</v>
      </c>
      <c r="Y108" s="62">
        <f t="shared" si="34"/>
        <v>4.3799999999999999E-2</v>
      </c>
      <c r="Z108" s="62">
        <f t="shared" si="35"/>
        <v>23.3398</v>
      </c>
      <c r="AA108" s="62">
        <f t="shared" si="36"/>
        <v>23.295999999999999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7"/>
        <v>0197-18</v>
      </c>
      <c r="AE108" s="85" t="str">
        <f t="shared" si="38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108" s="82" t="str">
        <f t="shared" si="39"/>
        <v>"C:\Program Files (x86)\AstroGrep\AstroGrep.exe" /e /r /s /spath="%USERPROFILE%\AppData\Local\Temp\OnboardLogs" /stypes="app*4044*20170318*" /stext=" 22:.+((SYSTEM_STATE.+slice.+state.+changed )|(ment ac)|(multiple cpu faults)|(system.+state.+changed )|(\[timeout)|(PRM\|1\|D)|(kpr)|(kdp)|(\|lc)|(penalty))"</v>
      </c>
      <c r="AG108" s="1" t="str">
        <f t="shared" si="40"/>
        <v>EC</v>
      </c>
      <c r="AH108" s="86" t="str">
        <f t="shared" si="41"/>
        <v>"%USERPROFILE%\Documents\GitHub\eaglep3\Utilities\RefineRTDCRunTimes.py" --tripid 197-18 --locoid 4044 --swversion DE.1.0.9.0 --startMP 204:438 --initTime 2017-03-18T15:39:44 --startdatetime 2017-03-18T15:45:18 --delay 1 --endMP 204:233398 --enddatetime 2017-03-18T16:24:21 --enforcementcount 0 &gt;&gt;C:\Users\stu\Documents\GitHub\eaglep3-reporting\EC\2017-03-18-refined-times.txt</v>
      </c>
      <c r="AI10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{"issue":{"subject":"","project_id":79,"tracker_id":40,"status_id":1,"priority_id":2,"assigned_to_id":23,"start_date":"2017-03-18","description":"","custom_fields":[{"id":1,"name":"Subdivision","value":"EC"},{"id":4,"name":"Milepost","value":"23.3398"},{"id":17,"name":"Train ID","value":"197-18"},{"id":16,"name":"Locomotive ID","value":"4044"},{"id":130,"name":"Impact","value":""},{"id":150,"name":"Time of Event (Mountain Time)","value":"16:24:21"},{"id":151,"name":"Denver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3"/>
        <v>start /low /b %USERPROFILE%\Documents\GitHub\eaglep3\Utilities\DownloadLogsFromS3.py --loco 4044 --day 2017-03-18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722</v>
      </c>
      <c r="B109" s="7">
        <v>4043</v>
      </c>
      <c r="C109" s="21" t="s">
        <v>222</v>
      </c>
      <c r="D109" s="21" t="s">
        <v>859</v>
      </c>
      <c r="E109" s="13">
        <v>42812.693043981482</v>
      </c>
      <c r="F109" s="13">
        <v>42812.695497685185</v>
      </c>
      <c r="G109" s="7">
        <v>1</v>
      </c>
      <c r="H109" s="21" t="s">
        <v>217</v>
      </c>
      <c r="I109" s="13">
        <v>42812.724849537037</v>
      </c>
      <c r="J109" s="7">
        <v>0</v>
      </c>
      <c r="K109" s="98" t="str">
        <f t="shared" si="28"/>
        <v>4043/4044</v>
      </c>
      <c r="L109" s="21" t="str">
        <f>VLOOKUP(A109,'Trips&amp;Operators'!$C$1:$G$99999,5,FALSE)</f>
        <v>LEVIN SCOTT</v>
      </c>
      <c r="M109" s="6">
        <f t="shared" si="29"/>
        <v>2.9351851851970423E-2</v>
      </c>
      <c r="N109" s="7">
        <f t="shared" si="46"/>
        <v>42.266666666837409</v>
      </c>
      <c r="O109" s="7"/>
      <c r="P109" s="7"/>
      <c r="Q109" s="22"/>
      <c r="R109" s="22"/>
      <c r="S109" s="31">
        <f t="shared" si="47"/>
        <v>1</v>
      </c>
      <c r="T109" s="46" t="str">
        <f t="shared" si="30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1"/>
        <v>https://d0f6bd738d7f1b3e5a7ca70fe4ff75f0.us-east-1.aws.found.io/app/kibana#/discover/Steve-Slow-Train-Analysis-(2080s-and-2083s)?_g=(refreshInterval:(display:Off,pause:!f,section:0,value:0),time:(from:'2017-03-18T15:37:59-0600',mode:absolute,to:'2017-03-18T18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9" s="187" t="str">
        <f t="shared" si="32"/>
        <v>N</v>
      </c>
      <c r="X109" s="187">
        <f t="shared" si="45"/>
        <v>1</v>
      </c>
      <c r="Y109" s="62">
        <f t="shared" ref="Y109:Y140" si="48">RIGHT(D109,LEN(D109)-4)/10000</f>
        <v>23.306999999999999</v>
      </c>
      <c r="Z109" s="62">
        <f t="shared" ref="Z109:Z140" si="49">RIGHT(H109,LEN(H109)-4)/10000</f>
        <v>1.47E-2</v>
      </c>
      <c r="AA109" s="62">
        <f t="shared" si="36"/>
        <v>23.292299999999997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7"/>
        <v>0198-18</v>
      </c>
      <c r="AE109" s="85" t="str">
        <f t="shared" si="38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109" s="82" t="str">
        <f t="shared" si="39"/>
        <v>"C:\Program Files (x86)\AstroGrep\AstroGrep.exe" /e /r /s /spath="%USERPROFILE%\AppData\Local\Temp\OnboardLogs" /stypes="app*4043*20170318*" /stext=" 23:.+((SYSTEM_STATE.+slice.+state.+changed )|(ment ac)|(multiple cpu faults)|(system.+state.+changed )|(\[timeout)|(PRM\|1\|D)|(kpr)|(kdp)|(\|lc)|(penalty))"</v>
      </c>
      <c r="AG109" s="1" t="str">
        <f t="shared" si="40"/>
        <v>EC</v>
      </c>
      <c r="AH109" s="86" t="str">
        <f t="shared" si="41"/>
        <v>"%USERPROFILE%\Documents\GitHub\eaglep3\Utilities\RefineRTDCRunTimes.py" --tripid 198-18 --locoid 4043 --swversion DE.1.0.9.0 --startMP 204:233070 --initTime 2017-03-18T16:37:59 --startdatetime 2017-03-18T16:41:31 --delay 1 --endMP 204:147 --enddatetime 2017-03-18T17:23:47 --enforcementcount 0 &gt;&gt;C:\Users\stu\Documents\GitHub\eaglep3-reporting\EC\2017-03-18-refined-times.txt</v>
      </c>
      <c r="AI10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ID","value":"198-18"},{"id":16,"name":"Locomotive ID","value":"4043"},{"id":130,"name":"Impact","value":""},{"id":150,"name":"Time of Event (Mountain Time)","value":"17:23:47"},{"id":151,"name":"Denver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3"/>
        <v>start /low /b %USERPROFILE%\Documents\GitHub\eaglep3\Utilities\DownloadLogsFromS3.py --loco 4043 --day 2017-03-18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716</v>
      </c>
      <c r="B110" s="7">
        <v>4029</v>
      </c>
      <c r="C110" s="21" t="s">
        <v>222</v>
      </c>
      <c r="D110" s="21" t="s">
        <v>227</v>
      </c>
      <c r="E110" s="13">
        <v>42812.662233796298</v>
      </c>
      <c r="F110" s="13">
        <v>42812.666863425926</v>
      </c>
      <c r="G110" s="7">
        <v>2</v>
      </c>
      <c r="H110" s="21" t="s">
        <v>860</v>
      </c>
      <c r="I110" s="13">
        <v>42812.694247685184</v>
      </c>
      <c r="J110" s="7">
        <v>0</v>
      </c>
      <c r="K110" s="98" t="str">
        <f t="shared" si="28"/>
        <v>4029/4030</v>
      </c>
      <c r="L110" s="21" t="str">
        <f>VLOOKUP(A110,'Trips&amp;Operators'!$C$1:$G$99999,5,FALSE)</f>
        <v>ROMERO CHAD</v>
      </c>
      <c r="M110" s="6">
        <f t="shared" si="29"/>
        <v>2.7384259257814847E-2</v>
      </c>
      <c r="N110" s="7">
        <f t="shared" si="46"/>
        <v>39.43333333125338</v>
      </c>
      <c r="O110" s="7"/>
      <c r="P110" s="7"/>
      <c r="Q110" s="22"/>
      <c r="R110" s="22"/>
      <c r="S110" s="31">
        <f t="shared" si="47"/>
        <v>1</v>
      </c>
      <c r="T110" s="46" t="str">
        <f t="shared" si="30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1"/>
        <v>https://d0f6bd738d7f1b3e5a7ca70fe4ff75f0.us-east-1.aws.found.io/app/kibana#/discover/Steve-Slow-Train-Analysis-(2080s-and-2083s)?_g=(refreshInterval:(display:Off,pause:!f,section:0,value:0),time:(from:'2017-03-18T14:53:37-0600',mode:absolute,to:'2017-03-18T17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87" t="str">
        <f t="shared" si="32"/>
        <v>N</v>
      </c>
      <c r="X110" s="187">
        <f t="shared" si="45"/>
        <v>1</v>
      </c>
      <c r="Y110" s="62">
        <f t="shared" si="48"/>
        <v>4.6699999999999998E-2</v>
      </c>
      <c r="Z110" s="62">
        <f t="shared" si="49"/>
        <v>23.338699999999999</v>
      </c>
      <c r="AA110" s="62">
        <f t="shared" si="36"/>
        <v>23.291999999999998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7"/>
        <v>0199-18</v>
      </c>
      <c r="AE110" s="85" t="str">
        <f t="shared" si="38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110" s="82" t="str">
        <f t="shared" si="39"/>
        <v>"C:\Program Files (x86)\AstroGrep\AstroGrep.exe" /e /r /s /spath="%USERPROFILE%\AppData\Local\Temp\OnboardLogs" /stypes="app*4029*20170318*" /stext=" 22:.+((SYSTEM_STATE.+slice.+state.+changed )|(ment ac)|(multiple cpu faults)|(system.+state.+changed )|(\[timeout)|(PRM\|1\|D)|(kpr)|(kdp)|(\|lc)|(penalty))"</v>
      </c>
      <c r="AG110" s="1" t="str">
        <f t="shared" si="40"/>
        <v>EC</v>
      </c>
      <c r="AH110" s="86" t="str">
        <f t="shared" si="41"/>
        <v>"%USERPROFILE%\Documents\GitHub\eaglep3\Utilities\RefineRTDCRunTimes.py" --tripid 199-18 --locoid 4029 --swversion DE.1.0.9.0 --startMP 204:467 --initTime 2017-03-18T15:53:37 --startdatetime 2017-03-18T16:00:17 --delay 2 --endMP 204:233387 --enddatetime 2017-03-18T16:39:43 --enforcementcount 0 &gt;&gt;C:\Users\stu\Documents\GitHub\eaglep3-reporting\EC\2017-03-18-refined-times.txt</v>
      </c>
      <c r="AI11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{"issue":{"subject":"","project_id":79,"tracker_id":40,"status_id":1,"priority_id":2,"assigned_to_id":23,"start_date":"2017-03-18","description":"","custom_fields":[{"id":1,"name":"Subdivision","value":"EC"},{"id":4,"name":"Milepost","value":"23.3387"},{"id":17,"name":"Train ID","value":"199-18"},{"id":16,"name":"Locomotive ID","value":"4029"},{"id":130,"name":"Impact","value":""},{"id":150,"name":"Time of Event (Mountain Time)","value":"16:39:43"},{"id":151,"name":"Denver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3"/>
        <v>start /low /b %USERPROFILE%\Documents\GitHub\eaglep3\Utilities\DownloadLogsFromS3.py --loco 4029 --day 2017-03-18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584</v>
      </c>
      <c r="B111" s="7">
        <v>4030</v>
      </c>
      <c r="C111" s="21" t="s">
        <v>222</v>
      </c>
      <c r="D111" s="21" t="s">
        <v>543</v>
      </c>
      <c r="E111" s="13">
        <v>42812.700069444443</v>
      </c>
      <c r="F111" s="13">
        <v>42812.705868055556</v>
      </c>
      <c r="G111" s="7">
        <v>1</v>
      </c>
      <c r="H111" s="21" t="s">
        <v>205</v>
      </c>
      <c r="I111" s="13">
        <v>42812.738819444443</v>
      </c>
      <c r="J111" s="7">
        <v>0</v>
      </c>
      <c r="K111" s="98" t="str">
        <f t="shared" si="28"/>
        <v>4029/4030</v>
      </c>
      <c r="L111" s="21" t="str">
        <f>VLOOKUP(A111,'Trips&amp;Operators'!$C$1:$G$99999,5,FALSE)</f>
        <v>ROMERO CHAD</v>
      </c>
      <c r="M111" s="6">
        <f t="shared" si="29"/>
        <v>3.2951388886431232E-2</v>
      </c>
      <c r="N111" s="7">
        <f t="shared" si="46"/>
        <v>47.449999996460974</v>
      </c>
      <c r="O111" s="7"/>
      <c r="P111" s="7"/>
      <c r="Q111" s="22"/>
      <c r="R111" s="22"/>
      <c r="S111" s="31">
        <f t="shared" si="47"/>
        <v>1</v>
      </c>
      <c r="T111" s="46" t="str">
        <f t="shared" si="30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1"/>
        <v>https://d0f6bd738d7f1b3e5a7ca70fe4ff75f0.us-east-1.aws.found.io/app/kibana#/discover/Steve-Slow-Train-Analysis-(2080s-and-2083s)?_g=(refreshInterval:(display:Off,pause:!f,section:0,value:0),time:(from:'2017-03-18T15:48:06-0600',mode:absolute,to:'2017-03-18T18:43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187" t="str">
        <f t="shared" si="32"/>
        <v>N</v>
      </c>
      <c r="X111" s="187">
        <f t="shared" si="45"/>
        <v>1</v>
      </c>
      <c r="Y111" s="62">
        <f t="shared" si="48"/>
        <v>23.307400000000001</v>
      </c>
      <c r="Z111" s="62">
        <f t="shared" si="49"/>
        <v>1.54E-2</v>
      </c>
      <c r="AA111" s="62">
        <f t="shared" si="36"/>
        <v>23.292000000000002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7"/>
        <v>0200-18</v>
      </c>
      <c r="AE111" s="85" t="str">
        <f t="shared" si="38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111" s="82" t="str">
        <f t="shared" si="39"/>
        <v>"C:\Program Files (x86)\AstroGrep\AstroGrep.exe" /e /r /s /spath="%USERPROFILE%\AppData\Local\Temp\OnboardLogs" /stypes="app*4030*20170318*" /stext=" 23:.+((SYSTEM_STATE.+slice.+state.+changed )|(ment ac)|(multiple cpu faults)|(system.+state.+changed )|(\[timeout)|(PRM\|1\|D)|(kpr)|(kdp)|(\|lc)|(penalty))"</v>
      </c>
      <c r="AG111" s="1" t="str">
        <f t="shared" si="40"/>
        <v>EC</v>
      </c>
      <c r="AH111" s="86" t="str">
        <f t="shared" si="41"/>
        <v>"%USERPROFILE%\Documents\GitHub\eaglep3\Utilities\RefineRTDCRunTimes.py" --tripid 200-18 --locoid 4030 --swversion DE.1.0.9.0 --startMP 204:233074 --initTime 2017-03-18T16:48:06 --startdatetime 2017-03-18T16:56:27 --delay 1 --endMP 204:154 --enddatetime 2017-03-18T17:43:54 --enforcementcount 0 &gt;&gt;C:\Users\stu\Documents\GitHub\eaglep3-reporting\EC\2017-03-18-refined-times.txt</v>
      </c>
      <c r="AI111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ID","value":"200-18"},{"id":16,"name":"Locomotive ID","value":"4030"},{"id":130,"name":"Impact","value":""},{"id":150,"name":"Time of Event (Mountain Time)","value":"17:43:54"},{"id":151,"name":"Denver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3"/>
        <v>start /low /b %USERPROFILE%\Documents\GitHub\eaglep3\Utilities\DownloadLogsFromS3.py --loco 4030 --day 2017-03-18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719</v>
      </c>
      <c r="B112" s="7">
        <v>4024</v>
      </c>
      <c r="C112" s="21" t="s">
        <v>222</v>
      </c>
      <c r="D112" s="21" t="s">
        <v>861</v>
      </c>
      <c r="E112" s="13">
        <v>42812.677164351851</v>
      </c>
      <c r="F112" s="13">
        <v>42812.680092592593</v>
      </c>
      <c r="G112" s="7">
        <v>2</v>
      </c>
      <c r="H112" s="21" t="s">
        <v>452</v>
      </c>
      <c r="I112" s="13">
        <v>42812.713402777779</v>
      </c>
      <c r="J112" s="7">
        <v>0</v>
      </c>
      <c r="K112" s="98" t="str">
        <f t="shared" si="28"/>
        <v>4023/4024</v>
      </c>
      <c r="L112" s="21" t="str">
        <f>VLOOKUP(A112,'Trips&amp;Operators'!$C$1:$G$99999,5,FALSE)</f>
        <v>BRANDNER MELINDA</v>
      </c>
      <c r="M112" s="6">
        <f t="shared" si="29"/>
        <v>3.3310185186564922E-2</v>
      </c>
      <c r="N112" s="7">
        <f t="shared" si="46"/>
        <v>47.966666668653488</v>
      </c>
      <c r="O112" s="7"/>
      <c r="P112" s="7"/>
      <c r="Q112" s="22"/>
      <c r="R112" s="22"/>
      <c r="S112" s="31">
        <f t="shared" si="47"/>
        <v>1</v>
      </c>
      <c r="T112" s="46" t="str">
        <f t="shared" si="30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1"/>
        <v>https://d0f6bd738d7f1b3e5a7ca70fe4ff75f0.us-east-1.aws.found.io/app/kibana#/discover/Steve-Slow-Train-Analysis-(2080s-and-2083s)?_g=(refreshInterval:(display:Off,pause:!f,section:0,value:0),time:(from:'2017-03-18T15:15:07-0600',mode:absolute,to:'2017-03-18T18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2" s="187" t="str">
        <f t="shared" si="32"/>
        <v>N</v>
      </c>
      <c r="X112" s="187">
        <f t="shared" si="45"/>
        <v>1</v>
      </c>
      <c r="Y112" s="62">
        <f t="shared" si="48"/>
        <v>0.1484</v>
      </c>
      <c r="Z112" s="62">
        <f t="shared" si="49"/>
        <v>23.330400000000001</v>
      </c>
      <c r="AA112" s="62">
        <f t="shared" si="36"/>
        <v>23.182000000000002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7"/>
        <v>0201-18</v>
      </c>
      <c r="AE112" s="85" t="str">
        <f t="shared" si="38"/>
        <v>aws s3 cp s3://rtdc.mdm.uploadarchive.raw/RTDC4024/ "%USERPROFILE%\AppData\Local\Temp\OnboardLogs"\RTDC4024\2017-03-18 --exclude "*" --recursive --include "*20170318*" &amp; "%USERPROFILE%\Documents\GitHub\mrs-test-scripts\Headless Mode &amp; Sideloading\WalkAndUnGZ.bat" "%USERPROFILE%\AppData\Local\Temp\OnboardLogs"\RTDC4024\2017-03-18 &amp; aws s3 cp s3://rtdc.mdm.uploadarchive.raw/RTDC4024/ "%USERPROFILE%\AppData\Local\Temp\OnboardLogs"\RTDC4024\2017-03-19 --exclude "*" --recursive --include "*20170319*" &amp; "%USERPROFILE%\Documents\GitHub\mrs-test-scripts\Headless Mode &amp; Sideloading\WalkAndUnGZ.bat" "%USERPROFILE%\AppData\Local\Temp\OnboardLogs"\RTDC4024\2017-03-19</v>
      </c>
      <c r="AF112" s="82" t="str">
        <f t="shared" si="39"/>
        <v>"C:\Program Files (x86)\AstroGrep\AstroGrep.exe" /e /r /s /spath="%USERPROFILE%\AppData\Local\Temp\OnboardLogs" /stypes="app*4024*20170318*" /stext=" 23:.+((SYSTEM_STATE.+slice.+state.+changed )|(ment ac)|(multiple cpu faults)|(system.+state.+changed )|(\[timeout)|(PRM\|1\|D)|(kpr)|(kdp)|(\|lc)|(penalty))"</v>
      </c>
      <c r="AG112" s="1" t="str">
        <f t="shared" si="40"/>
        <v>EC</v>
      </c>
      <c r="AH112" s="86" t="str">
        <f t="shared" si="41"/>
        <v>"%USERPROFILE%\Documents\GitHub\eaglep3\Utilities\RefineRTDCRunTimes.py" --tripid 201-18 --locoid 4024 --swversion DE.1.0.9.0 --startMP 204:1484 --initTime 2017-03-18T16:15:07 --startdatetime 2017-03-18T16:19:20 --delay 2 --endMP 204:233304 --enddatetime 2017-03-18T17:07:18 --enforcementcount 0 &gt;&gt;C:\Users\stu\Documents\GitHub\eaglep3-reporting\EC\2017-03-18-refined-times.txt</v>
      </c>
      <c r="AI11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{"issue":{"subject":"","project_id":79,"tracker_id":40,"status_id":1,"priority_id":2,"assigned_to_id":23,"start_date":"2017-03-18","description":"","custom_fields":[{"id":1,"name":"Subdivision","value":"EC"},{"id":4,"name":"Milepost","value":"23.3304"},{"id":17,"name":"Train ID","value":"201-18"},{"id":16,"name":"Locomotive ID","value":"4024"},{"id":130,"name":"Impact","value":""},{"id":150,"name":"Time of Event (Mountain Time)","value":"17:07:18"},{"id":151,"name":"Denver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3"/>
        <v>start /low /b %USERPROFILE%\Documents\GitHub\eaglep3\Utilities\DownloadLogsFromS3.py --loco 4024 --day 2017-03-18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"%USERPROFILE%\AppData\Local\Temp\OnboardLogs"\RTDC4024\*4024*20170318* | grep -SE "(Enforcement Action)|(\[TIMEOUT)|(CHR.+\|PRM\|1\|D.+(SWITCH|SIGNAL).+UNKNOWN)" - &gt;&gt; 2017-03-18-UncaughtWiMAX.txt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585</v>
      </c>
      <c r="B113" s="7">
        <v>4023</v>
      </c>
      <c r="C113" s="21" t="s">
        <v>222</v>
      </c>
      <c r="D113" s="21" t="s">
        <v>862</v>
      </c>
      <c r="E113" s="13">
        <v>42812.716597222221</v>
      </c>
      <c r="F113" s="13">
        <v>42812.718159722222</v>
      </c>
      <c r="G113" s="7">
        <v>1</v>
      </c>
      <c r="H113" s="21" t="s">
        <v>191</v>
      </c>
      <c r="I113" s="13">
        <v>42812.753981481481</v>
      </c>
      <c r="J113" s="7">
        <v>0</v>
      </c>
      <c r="K113" s="98" t="str">
        <f t="shared" si="28"/>
        <v>4023/4024</v>
      </c>
      <c r="L113" s="21" t="str">
        <f>VLOOKUP(A113,'Trips&amp;Operators'!$C$1:$G$99999,5,FALSE)</f>
        <v>BRANDNER MELINDA</v>
      </c>
      <c r="M113" s="6">
        <f t="shared" si="29"/>
        <v>3.5821759258396924E-2</v>
      </c>
      <c r="N113" s="7">
        <f t="shared" si="46"/>
        <v>51.58333333209157</v>
      </c>
      <c r="O113" s="7"/>
      <c r="P113" s="7"/>
      <c r="Q113" s="22"/>
      <c r="R113" s="22"/>
      <c r="S113" s="31">
        <f t="shared" si="47"/>
        <v>1</v>
      </c>
      <c r="T113" s="46" t="str">
        <f t="shared" si="30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1"/>
        <v>https://d0f6bd738d7f1b3e5a7ca70fe4ff75f0.us-east-1.aws.found.io/app/kibana#/discover/Steve-Slow-Train-Analysis-(2080s-and-2083s)?_g=(refreshInterval:(display:Off,pause:!f,section:0,value:0),time:(from:'2017-03-18T16:11:54-0600',mode:absolute,to:'2017-03-18T19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3" s="187" t="str">
        <f t="shared" si="32"/>
        <v>N</v>
      </c>
      <c r="X113" s="187">
        <f t="shared" si="45"/>
        <v>1</v>
      </c>
      <c r="Y113" s="62">
        <f t="shared" si="48"/>
        <v>23.299600000000002</v>
      </c>
      <c r="Z113" s="62">
        <f t="shared" si="49"/>
        <v>1.4999999999999999E-2</v>
      </c>
      <c r="AA113" s="62">
        <f t="shared" si="36"/>
        <v>23.284600000000001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7"/>
        <v>0202-18</v>
      </c>
      <c r="AE113" s="85" t="str">
        <f t="shared" si="38"/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AF113" s="82" t="str">
        <f t="shared" si="39"/>
        <v>"C:\Program Files (x86)\AstroGrep\AstroGrep.exe" /e /r /s /spath="%USERPROFILE%\AppData\Local\Temp\OnboardLogs" /stypes="app*4023*20170319*" /stext=" 00:.+((SYSTEM_STATE.+slice.+state.+changed )|(ment ac)|(multiple cpu faults)|(system.+state.+changed )|(\[timeout)|(PRM\|1\|D)|(kpr)|(kdp)|(\|lc)|(penalty))"</v>
      </c>
      <c r="AG113" s="1" t="str">
        <f t="shared" si="40"/>
        <v>EC</v>
      </c>
      <c r="AH113" s="86" t="str">
        <f t="shared" si="41"/>
        <v>"%USERPROFILE%\Documents\GitHub\eaglep3\Utilities\RefineRTDCRunTimes.py" --tripid 202-18 --locoid 4023 --swversion DE.1.0.9.0 --startMP 204:232996 --initTime 2017-03-18T17:11:54 --startdatetime 2017-03-18T17:14:09 --delay 1 --endMP 204:150 --enddatetime 2017-03-18T18:05:44 --enforcementcount 0 &gt;&gt;C:\Users\stu\Documents\GitHub\eaglep3-reporting\EC\2017-03-18-refined-times.txt</v>
      </c>
      <c r="AI11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{"issue":{"subject":"","project_id":79,"tracker_id":40,"status_id":1,"priority_id":2,"assigned_to_id":23,"start_date":"2017-03-18","description":"","custom_fields":[{"id":1,"name":"Subdivision","value":"EC"},{"id":4,"name":"Milepost","value":"0.015"},{"id":17,"name":"Train ID","value":"202-18"},{"id":16,"name":"Locomotive ID","value":"4023"},{"id":130,"name":"Impact","value":""},{"id":150,"name":"Time of Event (Mountain Time)","value":"18:05:44"},{"id":151,"name":"Denver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3"/>
        <v>start /low /b %USERPROFILE%\Documents\GitHub\eaglep3\Utilities\DownloadLogsFromS3.py --loco 4023 --day 2017-03-18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"%USERPROFILE%\AppData\Local\Temp\OnboardLogs"\RTDC4023\*4023*20170318* | grep -SE "(Enforcement Action)|(\[TIMEOUT)|(CHR.+\|PRM\|1\|D.+(SWITCH|SIGNAL).+UNKNOWN)" - &gt;&gt; 2017-03-18-UncaughtWiMAX.txt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721</v>
      </c>
      <c r="B114" s="7">
        <v>4051</v>
      </c>
      <c r="C114" s="21" t="s">
        <v>222</v>
      </c>
      <c r="D114" s="21" t="s">
        <v>404</v>
      </c>
      <c r="E114" s="13">
        <v>42812.689120370371</v>
      </c>
      <c r="F114" s="13">
        <v>42812.691828703704</v>
      </c>
      <c r="G114" s="7">
        <v>3</v>
      </c>
      <c r="H114" s="21" t="s">
        <v>414</v>
      </c>
      <c r="I114" s="13">
        <v>42812.692361111112</v>
      </c>
      <c r="J114" s="7">
        <v>0</v>
      </c>
      <c r="K114" s="98" t="str">
        <f t="shared" si="28"/>
        <v>4051/4052</v>
      </c>
      <c r="L114" s="21" t="str">
        <f>VLOOKUP(A114,'Trips&amp;Operators'!$C$1:$G$99999,5,FALSE)</f>
        <v>STEWART MICHAEL</v>
      </c>
      <c r="M114" s="6">
        <f t="shared" si="29"/>
        <v>5.3240740817273036E-4</v>
      </c>
      <c r="N114" s="7"/>
      <c r="O114" s="7"/>
      <c r="P114" s="7">
        <f>24*60*SUM($M114:$M114)</f>
        <v>0.76666666776873171</v>
      </c>
      <c r="Q114" s="22"/>
      <c r="R114" s="22" t="s">
        <v>416</v>
      </c>
      <c r="S114" s="31">
        <f t="shared" si="47"/>
        <v>0.66666666666666663</v>
      </c>
      <c r="T114" s="46" t="str">
        <f t="shared" si="30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8</v>
      </c>
      <c r="V114" s="186" t="str">
        <f t="shared" si="31"/>
        <v>https://d0f6bd738d7f1b3e5a7ca70fe4ff75f0.us-east-1.aws.found.io/app/kibana#/discover/Steve-Slow-Train-Analysis-(2080s-and-2083s)?_g=(refreshInterval:(display:Off,pause:!f,section:0,value:0),time:(from:'2017-03-18T15:32:20-0600',mode:absolute,to:'2017-03-18T17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4" s="187" t="str">
        <f t="shared" si="32"/>
        <v>Y</v>
      </c>
      <c r="X114" s="187">
        <f t="shared" si="45"/>
        <v>1</v>
      </c>
      <c r="Y114" s="62">
        <f t="shared" si="48"/>
        <v>4.6199999999999998E-2</v>
      </c>
      <c r="Z114" s="62">
        <f t="shared" si="49"/>
        <v>5.8939000000000004</v>
      </c>
      <c r="AA114" s="62">
        <f t="shared" si="36"/>
        <v>5.8477000000000006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7"/>
        <v>0203-18</v>
      </c>
      <c r="AE114" s="85" t="str">
        <f t="shared" si="38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114" s="82" t="str">
        <f t="shared" si="39"/>
        <v>"C:\Program Files (x86)\AstroGrep\AstroGrep.exe" /e /r /s /spath="%USERPROFILE%\AppData\Local\Temp\OnboardLogs" /stypes="app*4051*20170318*" /stext=" 22:.+((SYSTEM_STATE.+slice.+state.+changed )|(ment ac)|(multiple cpu faults)|(system.+state.+changed )|(\[timeout)|(PRM\|1\|D)|(kpr)|(kdp)|(\|lc)|(penalty))"</v>
      </c>
      <c r="AG114" s="1" t="str">
        <f t="shared" si="40"/>
        <v>EC</v>
      </c>
      <c r="AH114" s="86" t="str">
        <f t="shared" si="41"/>
        <v>"%USERPROFILE%\Documents\GitHub\eaglep3\Utilities\RefineRTDCRunTimes.py" --tripid 203-18 --locoid 4051 --swversion DE.1.0.9.0 --startMP 204:462 --initTime 2017-03-18T16:32:20 --startdatetime 2017-03-18T16:36:14 --delay 3 --endMP 300:58939 --enddatetime 2017-03-18T16:37:00 --enforcementcount 0 &gt;&gt;C:\Users\stu\Documents\GitHub\eaglep3-reporting\EC\2017-03-18-refined-times.txt</v>
      </c>
      <c r="AI114" s="108" t="str">
        <f t="shared" si="42"/>
        <v>echo {"issue":{"subject":"Onboard in-route failure","project_id":79,"tracker_id":40,"status_id":1,"priority_id":2,"assigned_to_id":23,"start_date":"2017-03-18","description":"","custom_fields":[{"id":1,"name":"Subdivision","value":"EC"},{"id":4,"name":"Milepost","value":"5.8939"},{"id":17,"name":"Train ID","value":"203-18"},{"id":16,"name":"Locomotive ID","value":"4051"},{"id":130,"name":"Impact","value":""},{"id":150,"name":"Time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3"/>
        <v>start /low /b %USERPROFILE%\Documents\GitHub\eaglep3\Utilities\DownloadLogsFromS3.py --loco 4051 --day 2017-03-18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</row>
    <row r="115" spans="1:91" s="20" customFormat="1" x14ac:dyDescent="0.25">
      <c r="A115" s="33" t="s">
        <v>728</v>
      </c>
      <c r="B115" s="7">
        <v>4052</v>
      </c>
      <c r="C115" s="21" t="s">
        <v>222</v>
      </c>
      <c r="D115" s="21" t="s">
        <v>401</v>
      </c>
      <c r="E115" s="13">
        <v>42812.728738425925</v>
      </c>
      <c r="F115" s="13">
        <v>42812.730196759258</v>
      </c>
      <c r="G115" s="7">
        <v>1</v>
      </c>
      <c r="H115" s="21" t="s">
        <v>429</v>
      </c>
      <c r="I115" s="13">
        <v>42812.76158564815</v>
      </c>
      <c r="J115" s="7">
        <v>0</v>
      </c>
      <c r="K115" s="98" t="str">
        <f t="shared" si="28"/>
        <v>4051/4052</v>
      </c>
      <c r="L115" s="21" t="str">
        <f>VLOOKUP(A115,'Trips&amp;Operators'!$C$1:$G$99999,5,FALSE)</f>
        <v>STEWART MICHAEL</v>
      </c>
      <c r="M115" s="6">
        <f t="shared" si="29"/>
        <v>3.1388888892251998E-2</v>
      </c>
      <c r="N115" s="7">
        <f t="shared" ref="N115:N120" si="50">24*60*SUM($M115:$M115)</f>
        <v>45.200000004842877</v>
      </c>
      <c r="O115" s="7"/>
      <c r="P115" s="7"/>
      <c r="Q115" s="22"/>
      <c r="R115" s="22"/>
      <c r="S115" s="31">
        <f t="shared" si="47"/>
        <v>1</v>
      </c>
      <c r="T115" s="46" t="str">
        <f t="shared" si="30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1"/>
        <v>https://d0f6bd738d7f1b3e5a7ca70fe4ff75f0.us-east-1.aws.found.io/app/kibana#/discover/Steve-Slow-Train-Analysis-(2080s-and-2083s)?_g=(refreshInterval:(display:Off,pause:!f,section:0,value:0),time:(from:'2017-03-18T16:29:23-0600',mode:absolute,to:'2017-03-18T19:16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5" s="187" t="str">
        <f t="shared" si="32"/>
        <v>N</v>
      </c>
      <c r="X115" s="187">
        <f t="shared" si="45"/>
        <v>1</v>
      </c>
      <c r="Y115" s="62">
        <f t="shared" si="48"/>
        <v>23.298400000000001</v>
      </c>
      <c r="Z115" s="62">
        <f t="shared" si="49"/>
        <v>1.4500000000000001E-2</v>
      </c>
      <c r="AA115" s="62">
        <f t="shared" si="36"/>
        <v>23.283899999999999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7"/>
        <v>0204-18</v>
      </c>
      <c r="AE115" s="85" t="str">
        <f t="shared" si="38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115" s="82" t="str">
        <f t="shared" si="39"/>
        <v>"C:\Program Files (x86)\AstroGrep\AstroGrep.exe" /e /r /s /spath="%USERPROFILE%\AppData\Local\Temp\OnboardLogs" /stypes="app*4052*20170319*" /stext=" 00:.+((SYSTEM_STATE.+slice.+state.+changed )|(ment ac)|(multiple cpu faults)|(system.+state.+changed )|(\[timeout)|(PRM\|1\|D)|(kpr)|(kdp)|(\|lc)|(penalty))"</v>
      </c>
      <c r="AG115" s="1" t="str">
        <f t="shared" si="40"/>
        <v>EC</v>
      </c>
      <c r="AH115" s="86" t="str">
        <f t="shared" si="41"/>
        <v>"%USERPROFILE%\Documents\GitHub\eaglep3\Utilities\RefineRTDCRunTimes.py" --tripid 204-18 --locoid 4052 --swversion DE.1.0.9.0 --startMP 204:232984 --initTime 2017-03-18T17:29:23 --startdatetime 2017-03-18T17:31:29 --delay 1 --endMP 204:145 --enddatetime 2017-03-18T18:16:41 --enforcementcount 0 &gt;&gt;C:\Users\stu\Documents\GitHub\eaglep3-reporting\EC\2017-03-18-refined-times.txt</v>
      </c>
      <c r="AI115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{"issue":{"subject":"","project_id":79,"tracker_id":40,"status_id":1,"priority_id":2,"assigned_to_id":23,"start_date":"2017-03-18","description":"","custom_fields":[{"id":1,"name":"Subdivision","value":"EC"},{"id":4,"name":"Milepost","value":"0.0145"},{"id":17,"name":"Train ID","value":"204-18"},{"id":16,"name":"Locomotive ID","value":"4052"},{"id":130,"name":"Impact","value":""},{"id":150,"name":"Time of Event (Mountain Time)","value":"18:16:41"},{"id":151,"name":"Denver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3"/>
        <v>start /low /b %USERPROFILE%\Documents\GitHub\eaglep3\Utilities\DownloadLogsFromS3.py --loco 4052 --day 2017-03-18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724</v>
      </c>
      <c r="B116" s="7">
        <v>4027</v>
      </c>
      <c r="C116" s="21" t="s">
        <v>222</v>
      </c>
      <c r="D116" s="21" t="s">
        <v>525</v>
      </c>
      <c r="E116" s="13">
        <v>42812.698414351849</v>
      </c>
      <c r="F116" s="13">
        <v>42812.699606481481</v>
      </c>
      <c r="G116" s="7">
        <v>1</v>
      </c>
      <c r="H116" s="21" t="s">
        <v>863</v>
      </c>
      <c r="I116" s="13">
        <v>42812.732048611113</v>
      </c>
      <c r="J116" s="7">
        <v>0</v>
      </c>
      <c r="K116" s="98" t="str">
        <f t="shared" si="28"/>
        <v>4027/4028</v>
      </c>
      <c r="L116" s="21" t="str">
        <f>VLOOKUP(A116,'Trips&amp;Operators'!$C$1:$G$99999,5,FALSE)</f>
        <v>DELGADO DIANAH</v>
      </c>
      <c r="M116" s="6">
        <f t="shared" si="29"/>
        <v>3.2442129631817807E-2</v>
      </c>
      <c r="N116" s="7">
        <f t="shared" si="50"/>
        <v>46.716666669817641</v>
      </c>
      <c r="O116" s="7"/>
      <c r="P116" s="7"/>
      <c r="Q116" s="22"/>
      <c r="R116" s="22"/>
      <c r="S116" s="31">
        <f t="shared" si="47"/>
        <v>1</v>
      </c>
      <c r="T116" s="46" t="str">
        <f t="shared" si="30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1"/>
        <v>https://d0f6bd738d7f1b3e5a7ca70fe4ff75f0.us-east-1.aws.found.io/app/kibana#/discover/Steve-Slow-Train-Analysis-(2080s-and-2083s)?_g=(refreshInterval:(display:Off,pause:!f,section:0,value:0),time:(from:'2017-03-18T15:45:43-0600',mode:absolute,to:'2017-03-18T18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187" t="str">
        <f t="shared" si="32"/>
        <v>N</v>
      </c>
      <c r="X116" s="187">
        <f t="shared" si="45"/>
        <v>1</v>
      </c>
      <c r="Y116" s="62">
        <f t="shared" si="48"/>
        <v>4.2700000000000002E-2</v>
      </c>
      <c r="Z116" s="62">
        <f t="shared" si="49"/>
        <v>23.334599999999998</v>
      </c>
      <c r="AA116" s="62">
        <f t="shared" si="36"/>
        <v>23.291899999999998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7"/>
        <v>0205-18</v>
      </c>
      <c r="AE116" s="85" t="str">
        <f t="shared" si="38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116" s="82" t="str">
        <f t="shared" si="39"/>
        <v>"C:\Program Files (x86)\AstroGrep\AstroGrep.exe" /e /r /s /spath="%USERPROFILE%\AppData\Local\Temp\OnboardLogs" /stypes="app*4027*20170318*" /stext=" 23:.+((SYSTEM_STATE.+slice.+state.+changed )|(ment ac)|(multiple cpu faults)|(system.+state.+changed )|(\[timeout)|(PRM\|1\|D)|(kpr)|(kdp)|(\|lc)|(penalty))"</v>
      </c>
      <c r="AG116" s="1" t="str">
        <f t="shared" si="40"/>
        <v>EC</v>
      </c>
      <c r="AH116" s="86" t="str">
        <f t="shared" si="41"/>
        <v>"%USERPROFILE%\Documents\GitHub\eaglep3\Utilities\RefineRTDCRunTimes.py" --tripid 205-18 --locoid 4027 --swversion DE.1.0.9.0 --startMP 204:427 --initTime 2017-03-18T16:45:43 --startdatetime 2017-03-18T16:47:26 --delay 1 --endMP 204:233346 --enddatetime 2017-03-18T17:34:09 --enforcementcount 0 &gt;&gt;C:\Users\stu\Documents\GitHub\eaglep3-reporting\EC\2017-03-18-refined-times.txt</v>
      </c>
      <c r="AI11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{"issue":{"subject":"","project_id":79,"tracker_id":40,"status_id":1,"priority_id":2,"assigned_to_id":23,"start_date":"2017-03-18","description":"","custom_fields":[{"id":1,"name":"Subdivision","value":"EC"},{"id":4,"name":"Milepost","value":"23.3346"},{"id":17,"name":"Train ID","value":"205-18"},{"id":16,"name":"Locomotive ID","value":"4027"},{"id":130,"name":"Impact","value":""},{"id":150,"name":"Time of Event (Mountain Time)","value":"17:34:09"},{"id":151,"name":"Denver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3"/>
        <v>start /low /b %USERPROFILE%\Documents\GitHub\eaglep3\Utilities\DownloadLogsFromS3.py --loco 4027 --day 2017-03-18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</row>
    <row r="117" spans="1:91" s="20" customFormat="1" x14ac:dyDescent="0.25">
      <c r="A117" s="33" t="s">
        <v>730</v>
      </c>
      <c r="B117" s="7">
        <v>4028</v>
      </c>
      <c r="C117" s="21" t="s">
        <v>222</v>
      </c>
      <c r="D117" s="21" t="s">
        <v>864</v>
      </c>
      <c r="E117" s="13">
        <v>42812.737905092596</v>
      </c>
      <c r="F117" s="13">
        <v>42812.739050925928</v>
      </c>
      <c r="G117" s="7">
        <v>0</v>
      </c>
      <c r="H117" s="21" t="s">
        <v>214</v>
      </c>
      <c r="I117" s="13">
        <v>42812.774293981478</v>
      </c>
      <c r="J117" s="7">
        <v>0</v>
      </c>
      <c r="K117" s="98" t="str">
        <f t="shared" si="28"/>
        <v>4027/4028</v>
      </c>
      <c r="L117" s="21" t="str">
        <f>VLOOKUP(A117,'Trips&amp;Operators'!$C$1:$G$99999,5,FALSE)</f>
        <v>DELGADO DIANAH</v>
      </c>
      <c r="M117" s="6">
        <f t="shared" si="29"/>
        <v>3.5243055550381541E-2</v>
      </c>
      <c r="N117" s="7">
        <f t="shared" si="50"/>
        <v>50.749999992549419</v>
      </c>
      <c r="O117" s="7"/>
      <c r="P117" s="7"/>
      <c r="Q117" s="22"/>
      <c r="R117" s="22"/>
      <c r="S117" s="31">
        <f t="shared" si="47"/>
        <v>1</v>
      </c>
      <c r="T117" s="46" t="str">
        <f t="shared" si="30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1"/>
        <v>https://d0f6bd738d7f1b3e5a7ca70fe4ff75f0.us-east-1.aws.found.io/app/kibana#/discover/Steve-Slow-Train-Analysis-(2080s-and-2083s)?_g=(refreshInterval:(display:Off,pause:!f,section:0,value:0),time:(from:'2017-03-18T16:42:35-0600',mode:absolute,to:'2017-03-18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87" t="str">
        <f t="shared" si="32"/>
        <v>N</v>
      </c>
      <c r="X117" s="187">
        <f t="shared" si="45"/>
        <v>1</v>
      </c>
      <c r="Y117" s="62">
        <f t="shared" si="48"/>
        <v>23.3032</v>
      </c>
      <c r="Z117" s="62">
        <f t="shared" si="49"/>
        <v>1.41E-2</v>
      </c>
      <c r="AA117" s="62">
        <f t="shared" si="36"/>
        <v>23.289100000000001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7"/>
        <v>0206-18</v>
      </c>
      <c r="AE117" s="85" t="str">
        <f t="shared" si="38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117" s="82" t="str">
        <f t="shared" si="39"/>
        <v>"C:\Program Files (x86)\AstroGrep\AstroGrep.exe" /e /r /s /spath="%USERPROFILE%\AppData\Local\Temp\OnboardLogs" /stypes="app*4028*20170319*" /stext=" 00:.+((SYSTEM_STATE.+slice.+state.+changed )|(ment ac)|(multiple cpu faults)|(system.+state.+changed )|(\[timeout)|(PRM\|1\|D)|(kpr)|(kdp)|(\|lc)|(penalty))"</v>
      </c>
      <c r="AG117" s="1" t="str">
        <f t="shared" si="40"/>
        <v>EC</v>
      </c>
      <c r="AH117" s="86" t="str">
        <f t="shared" si="41"/>
        <v>"%USERPROFILE%\Documents\GitHub\eaglep3\Utilities\RefineRTDCRunTimes.py" --tripid 206-18 --locoid 4028 --swversion DE.1.0.9.0 --startMP 204:233032 --initTime 2017-03-18T17:42:35 --startdatetime 2017-03-18T17:44:14 --delay 0 --endMP 204:141 --enddatetime 2017-03-18T18:34:59 --enforcementcount 0 &gt;&gt;C:\Users\stu\Documents\GitHub\eaglep3-reporting\EC\2017-03-18-refined-times.txt</v>
      </c>
      <c r="AI117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ID","value":"206-18"},{"id":16,"name":"Locomotive ID","value":"4028"},{"id":130,"name":"Impact","value":""},{"id":150,"name":"Time of Event (Mountain Time)","value":"18:34:59"},{"id":151,"name":"Denver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3"/>
        <v>start /low /b %USERPROFILE%\Documents\GitHub\eaglep3\Utilities\DownloadLogsFromS3.py --loco 4028 --day 2017-03-18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"%USERPROFILE%\AppData\Local\Temp\OnboardLogs"\RTDC4028\*4028*20170319* | grep -SE "(Enforcement Action)|(\[TIMEOUT)|(CHR.+\|PRM\|1\|D.+(SWITCH|SIGNAL).+UNKNOWN)" - &gt;&gt; 2017-03-18-UncaughtWiMAX.txt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725</v>
      </c>
      <c r="B118" s="7">
        <v>4031</v>
      </c>
      <c r="C118" s="21" t="s">
        <v>222</v>
      </c>
      <c r="D118" s="21" t="s">
        <v>482</v>
      </c>
      <c r="E118" s="13">
        <v>42812.70621527778</v>
      </c>
      <c r="F118" s="13">
        <v>42812.708553240744</v>
      </c>
      <c r="G118" s="7">
        <v>1</v>
      </c>
      <c r="H118" s="21" t="s">
        <v>225</v>
      </c>
      <c r="I118" s="13">
        <v>42812.736666666664</v>
      </c>
      <c r="J118" s="7">
        <v>0</v>
      </c>
      <c r="K118" s="98" t="str">
        <f t="shared" si="28"/>
        <v>4031/4032</v>
      </c>
      <c r="L118" s="21" t="str">
        <f>VLOOKUP(A118,'Trips&amp;Operators'!$C$1:$G$99999,5,FALSE)</f>
        <v>BRUDER RICHARD</v>
      </c>
      <c r="M118" s="6">
        <f t="shared" si="29"/>
        <v>2.8113425920309965E-2</v>
      </c>
      <c r="N118" s="7">
        <f t="shared" si="50"/>
        <v>40.483333325246349</v>
      </c>
      <c r="O118" s="7"/>
      <c r="P118" s="7"/>
      <c r="Q118" s="22"/>
      <c r="R118" s="22"/>
      <c r="S118" s="31">
        <f t="shared" si="47"/>
        <v>1</v>
      </c>
      <c r="T118" s="46" t="str">
        <f t="shared" si="30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1"/>
        <v>https://d0f6bd738d7f1b3e5a7ca70fe4ff75f0.us-east-1.aws.found.io/app/kibana#/discover/Steve-Slow-Train-Analysis-(2080s-and-2083s)?_g=(refreshInterval:(display:Off,pause:!f,section:0,value:0),time:(from:'2017-03-18T15:56:57-0600',mode:absolute,to:'2017-03-18T18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8" s="187" t="str">
        <f t="shared" si="32"/>
        <v>N</v>
      </c>
      <c r="X118" s="187">
        <f t="shared" si="45"/>
        <v>1</v>
      </c>
      <c r="Y118" s="62">
        <f t="shared" si="48"/>
        <v>4.7300000000000002E-2</v>
      </c>
      <c r="Z118" s="62">
        <f t="shared" si="49"/>
        <v>23.329899999999999</v>
      </c>
      <c r="AA118" s="62">
        <f t="shared" si="36"/>
        <v>23.282599999999999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7"/>
        <v>0207-18</v>
      </c>
      <c r="AE118" s="85" t="str">
        <f t="shared" si="38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118" s="82" t="str">
        <f t="shared" si="39"/>
        <v>"C:\Program Files (x86)\AstroGrep\AstroGrep.exe" /e /r /s /spath="%USERPROFILE%\AppData\Local\Temp\OnboardLogs" /stypes="app*4031*20170318*" /stext=" 23:.+((SYSTEM_STATE.+slice.+state.+changed )|(ment ac)|(multiple cpu faults)|(system.+state.+changed )|(\[timeout)|(PRM\|1\|D)|(kpr)|(kdp)|(\|lc)|(penalty))"</v>
      </c>
      <c r="AG118" s="1" t="str">
        <f t="shared" si="40"/>
        <v>EC</v>
      </c>
      <c r="AH118" s="86" t="str">
        <f t="shared" si="41"/>
        <v>"%USERPROFILE%\Documents\GitHub\eaglep3\Utilities\RefineRTDCRunTimes.py" --tripid 207-18 --locoid 4031 --swversion DE.1.0.9.0 --startMP 204:473 --initTime 2017-03-18T16:56:57 --startdatetime 2017-03-18T17:00:19 --delay 1 --endMP 204:233299 --enddatetime 2017-03-18T17:40:48 --enforcementcount 0 &gt;&gt;C:\Users\stu\Documents\GitHub\eaglep3-reporting\EC\2017-03-18-refined-times.txt</v>
      </c>
      <c r="AI11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{"issue":{"subject":"","project_id":79,"tracker_id":40,"status_id":1,"priority_id":2,"assigned_to_id":23,"start_date":"2017-03-18","description":"","custom_fields":[{"id":1,"name":"Subdivision","value":"EC"},{"id":4,"name":"Milepost","value":"23.3299"},{"id":17,"name":"Train ID","value":"207-18"},{"id":16,"name":"Locomotive ID","value":"4031"},{"id":130,"name":"Impact","value":""},{"id":150,"name":"Time of Event (Mountain Time)","value":"17:40:48"},{"id":151,"name":"Denver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3"/>
        <v>start /low /b %USERPROFILE%\Documents\GitHub\eaglep3\Utilities\DownloadLogsFromS3.py --loco 4031 --day 2017-03-18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587</v>
      </c>
      <c r="B119" s="7">
        <v>4032</v>
      </c>
      <c r="C119" s="21" t="s">
        <v>222</v>
      </c>
      <c r="D119" s="21" t="s">
        <v>478</v>
      </c>
      <c r="E119" s="13">
        <v>42812.744201388887</v>
      </c>
      <c r="F119" s="13">
        <v>42812.747453703705</v>
      </c>
      <c r="G119" s="7">
        <v>1</v>
      </c>
      <c r="H119" s="21" t="s">
        <v>808</v>
      </c>
      <c r="I119" s="13">
        <v>42812.779976851853</v>
      </c>
      <c r="J119" s="7">
        <v>0</v>
      </c>
      <c r="K119" s="98" t="str">
        <f t="shared" si="28"/>
        <v>4031/4032</v>
      </c>
      <c r="L119" s="21" t="str">
        <f>VLOOKUP(A119,'Trips&amp;Operators'!$C$1:$G$99999,5,FALSE)</f>
        <v>BRUDER RICHARD</v>
      </c>
      <c r="M119" s="6">
        <f t="shared" si="29"/>
        <v>3.25231481474475E-2</v>
      </c>
      <c r="N119" s="7">
        <f t="shared" si="50"/>
        <v>46.833333332324401</v>
      </c>
      <c r="O119" s="7"/>
      <c r="P119" s="7"/>
      <c r="Q119" s="22"/>
      <c r="R119" s="22"/>
      <c r="S119" s="31">
        <f t="shared" si="47"/>
        <v>1</v>
      </c>
      <c r="T119" s="46" t="str">
        <f t="shared" si="30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1"/>
        <v>https://d0f6bd738d7f1b3e5a7ca70fe4ff75f0.us-east-1.aws.found.io/app/kibana#/discover/Steve-Slow-Train-Analysis-(2080s-and-2083s)?_g=(refreshInterval:(display:Off,pause:!f,section:0,value:0),time:(from:'2017-03-18T16:51:39-0600',mode:absolute,to:'2017-03-18T19:43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9" s="187" t="str">
        <f t="shared" si="32"/>
        <v>N</v>
      </c>
      <c r="X119" s="187">
        <f t="shared" si="45"/>
        <v>1</v>
      </c>
      <c r="Y119" s="62">
        <f t="shared" si="48"/>
        <v>23.298999999999999</v>
      </c>
      <c r="Z119" s="62">
        <f t="shared" si="49"/>
        <v>1.3899999999999999E-2</v>
      </c>
      <c r="AA119" s="62">
        <f t="shared" si="36"/>
        <v>23.2851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7"/>
        <v>0208-18</v>
      </c>
      <c r="AE119" s="85" t="str">
        <f t="shared" si="38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119" s="82" t="str">
        <f t="shared" si="39"/>
        <v>"C:\Program Files (x86)\AstroGrep\AstroGrep.exe" /e /r /s /spath="%USERPROFILE%\AppData\Local\Temp\OnboardLogs" /stypes="app*4032*20170319*" /stext=" 00:.+((SYSTEM_STATE.+slice.+state.+changed )|(ment ac)|(multiple cpu faults)|(system.+state.+changed )|(\[timeout)|(PRM\|1\|D)|(kpr)|(kdp)|(\|lc)|(penalty))"</v>
      </c>
      <c r="AG119" s="1" t="str">
        <f t="shared" si="40"/>
        <v>EC</v>
      </c>
      <c r="AH119" s="86" t="str">
        <f t="shared" si="41"/>
        <v>"%USERPROFILE%\Documents\GitHub\eaglep3\Utilities\RefineRTDCRunTimes.py" --tripid 208-18 --locoid 4032 --swversion DE.1.0.9.0 --startMP 204:232990 --initTime 2017-03-18T17:51:39 --startdatetime 2017-03-18T17:56:20 --delay 1 --endMP 204:139 --enddatetime 2017-03-18T18:43:10 --enforcementcount 0 &gt;&gt;C:\Users\stu\Documents\GitHub\eaglep3-reporting\EC\2017-03-18-refined-times.txt</v>
      </c>
      <c r="AI11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{"issue":{"subject":"","project_id":79,"tracker_id":40,"status_id":1,"priority_id":2,"assigned_to_id":23,"start_date":"2017-03-18","description":"","custom_fields":[{"id":1,"name":"Subdivision","value":"EC"},{"id":4,"name":"Milepost","value":"0.0139"},{"id":17,"name":"Train ID","value":"208-18"},{"id":16,"name":"Locomotive ID","value":"4032"},{"id":130,"name":"Impact","value":""},{"id":150,"name":"Time of Event (Mountain Time)","value":"18:43:10"},{"id":151,"name":"Denver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3"/>
        <v>start /low /b %USERPROFILE%\Documents\GitHub\eaglep3\Utilities\DownloadLogsFromS3.py --loco 4032 --day 2017-03-18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"%USERPROFILE%\AppData\Local\Temp\OnboardLogs"\RTDC4032\*4032*20170319* | grep -SE "(Enforcement Action)|(\[TIMEOUT)|(CHR.+\|PRM\|1\|D.+(SWITCH|SIGNAL).+UNKNOWN)" - &gt;&gt; 2017-03-18-UncaughtWiMAX.txt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726</v>
      </c>
      <c r="B120" s="7">
        <v>4009</v>
      </c>
      <c r="C120" s="21" t="s">
        <v>222</v>
      </c>
      <c r="D120" s="21" t="s">
        <v>404</v>
      </c>
      <c r="E120" s="13">
        <v>42812.714641203704</v>
      </c>
      <c r="F120" s="13">
        <v>42812.719780092593</v>
      </c>
      <c r="G120" s="7">
        <v>2</v>
      </c>
      <c r="H120" s="21" t="s">
        <v>403</v>
      </c>
      <c r="I120" s="13">
        <v>42812.747870370367</v>
      </c>
      <c r="J120" s="7">
        <v>0</v>
      </c>
      <c r="K120" s="98" t="str">
        <f t="shared" si="28"/>
        <v>4009/4010</v>
      </c>
      <c r="L120" s="21" t="str">
        <f>VLOOKUP(A120,'Trips&amp;Operators'!$C$1:$G$99999,5,FALSE)</f>
        <v>LOPES KIMBERLY</v>
      </c>
      <c r="M120" s="6">
        <f t="shared" si="29"/>
        <v>2.8090277774026617E-2</v>
      </c>
      <c r="N120" s="7">
        <f t="shared" si="50"/>
        <v>40.449999994598329</v>
      </c>
      <c r="O120" s="7"/>
      <c r="P120" s="7"/>
      <c r="Q120" s="22"/>
      <c r="R120" s="22"/>
      <c r="S120" s="31">
        <f t="shared" si="47"/>
        <v>1</v>
      </c>
      <c r="T120" s="46" t="str">
        <f t="shared" si="30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1"/>
        <v>https://d0f6bd738d7f1b3e5a7ca70fe4ff75f0.us-east-1.aws.found.io/app/kibana#/discover/Steve-Slow-Train-Analysis-(2080s-and-2083s)?_g=(refreshInterval:(display:Off,pause:!f,section:0,value:0),time:(from:'2017-03-18T16:09:05-0600',mode:absolute,to:'2017-03-18T18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187" t="str">
        <f t="shared" si="32"/>
        <v>N</v>
      </c>
      <c r="X120" s="187">
        <f t="shared" si="45"/>
        <v>1</v>
      </c>
      <c r="Y120" s="62">
        <f t="shared" si="48"/>
        <v>4.6199999999999998E-2</v>
      </c>
      <c r="Z120" s="62">
        <f t="shared" si="49"/>
        <v>23.3323</v>
      </c>
      <c r="AA120" s="62">
        <f t="shared" si="36"/>
        <v>23.286100000000001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7"/>
        <v>0209-18</v>
      </c>
      <c r="AE120" s="85" t="str">
        <f t="shared" si="38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120" s="82" t="str">
        <f t="shared" si="39"/>
        <v>"C:\Program Files (x86)\AstroGrep\AstroGrep.exe" /e /r /s /spath="%USERPROFILE%\AppData\Local\Temp\OnboardLogs" /stypes="app*4009*20170318*" /stext=" 23:.+((SYSTEM_STATE.+slice.+state.+changed )|(ment ac)|(multiple cpu faults)|(system.+state.+changed )|(\[timeout)|(PRM\|1\|D)|(kpr)|(kdp)|(\|lc)|(penalty))"</v>
      </c>
      <c r="AG120" s="1" t="str">
        <f t="shared" si="40"/>
        <v>EC</v>
      </c>
      <c r="AH120" s="86" t="str">
        <f t="shared" si="41"/>
        <v>"%USERPROFILE%\Documents\GitHub\eaglep3\Utilities\RefineRTDCRunTimes.py" --tripid 209-18 --locoid 4009 --swversion DE.1.0.9.0 --startMP 204:462 --initTime 2017-03-18T17:09:05 --startdatetime 2017-03-18T17:16:29 --delay 2 --endMP 204:233323 --enddatetime 2017-03-18T17:56:56 --enforcementcount 0 &gt;&gt;C:\Users\stu\Documents\GitHub\eaglep3-reporting\EC\2017-03-18-refined-times.txt</v>
      </c>
      <c r="AI12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{"issue":{"subject":"","project_id":79,"tracker_id":40,"status_id":1,"priority_id":2,"assigned_to_id":23,"start_date":"2017-03-18","description":"","custom_fields":[{"id":1,"name":"Subdivision","value":"EC"},{"id":4,"name":"Milepost","value":"23.3323"},{"id":17,"name":"Train ID","value":"209-18"},{"id":16,"name":"Locomotive ID","value":"4009"},{"id":130,"name":"Impact","value":""},{"id":150,"name":"Time of Event (Mountain Time)","value":"17:56:56"},{"id":151,"name":"Denver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3"/>
        <v>start /low /b %USERPROFILE%\Documents\GitHub\eaglep3\Utilities\DownloadLogsFromS3.py --loco 4009 --day 2017-03-18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590</v>
      </c>
      <c r="B121" s="7">
        <v>4010</v>
      </c>
      <c r="C121" s="21" t="s">
        <v>222</v>
      </c>
      <c r="D121" s="21" t="s">
        <v>476</v>
      </c>
      <c r="E121" s="13">
        <v>42812.755613425928</v>
      </c>
      <c r="F121" s="13">
        <v>42812.757928240739</v>
      </c>
      <c r="G121" s="7">
        <v>0</v>
      </c>
      <c r="H121" s="21" t="s">
        <v>865</v>
      </c>
      <c r="I121" s="13">
        <v>42812.780347222222</v>
      </c>
      <c r="J121" s="7">
        <v>0</v>
      </c>
      <c r="K121" s="98" t="str">
        <f t="shared" si="28"/>
        <v>4009/4010</v>
      </c>
      <c r="L121" s="21" t="str">
        <f>VLOOKUP(A121,'Trips&amp;Operators'!$C$1:$G$99999,5,FALSE)</f>
        <v>LOPES KIMBERLY</v>
      </c>
      <c r="M121" s="6">
        <f t="shared" si="29"/>
        <v>2.2418981483497191E-2</v>
      </c>
      <c r="N121" s="7">
        <f>24*60*SUM($M121:$M122)</f>
        <v>54.31666667573154</v>
      </c>
      <c r="O121" s="7"/>
      <c r="P121" s="7"/>
      <c r="Q121" s="22"/>
      <c r="R121" s="22" t="s">
        <v>949</v>
      </c>
      <c r="S121" s="31">
        <f>SUM(U121:U122)/IF(AG121="EC",12,1)</f>
        <v>1</v>
      </c>
      <c r="T121" s="46" t="str">
        <f t="shared" si="30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4</v>
      </c>
      <c r="V121" s="186" t="str">
        <f t="shared" si="31"/>
        <v>https://d0f6bd738d7f1b3e5a7ca70fe4ff75f0.us-east-1.aws.found.io/app/kibana#/discover/Steve-Slow-Train-Analysis-(2080s-and-2083s)?_g=(refreshInterval:(display:Off,pause:!f,section:0,value:0),time:(from:'2017-03-18T17:08:05-0600',mode:absolute,to:'2017-03-18T19:43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1" s="187" t="str">
        <f t="shared" si="32"/>
        <v>Y</v>
      </c>
      <c r="X121" s="187">
        <f t="shared" si="45"/>
        <v>1</v>
      </c>
      <c r="Y121" s="62">
        <f t="shared" si="48"/>
        <v>23.300799999999999</v>
      </c>
      <c r="Z121" s="62">
        <f t="shared" si="49"/>
        <v>5.9051</v>
      </c>
      <c r="AA121" s="62">
        <f t="shared" si="36"/>
        <v>17.395699999999998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7"/>
        <v>0210-18</v>
      </c>
      <c r="AE121" s="85" t="str">
        <f t="shared" si="38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121" s="82" t="str">
        <f t="shared" si="39"/>
        <v>"C:\Program Files (x86)\AstroGrep\AstroGrep.exe" /e /r /s /spath="%USERPROFILE%\AppData\Local\Temp\OnboardLogs" /stypes="app*4010*20170319*" /stext=" 00:.+((SYSTEM_STATE.+slice.+state.+changed )|(ment ac)|(multiple cpu faults)|(system.+state.+changed )|(\[timeout)|(PRM\|1\|D)|(kpr)|(kdp)|(\|lc)|(penalty))"</v>
      </c>
      <c r="AG121" s="1" t="str">
        <f t="shared" si="40"/>
        <v>EC</v>
      </c>
      <c r="AH121" s="86" t="str">
        <f t="shared" si="41"/>
        <v>"%USERPROFILE%\Documents\GitHub\eaglep3\Utilities\RefineRTDCRunTimes.py" --tripid 210-18 --locoid 4010 --swversion DE.1.0.9.0 --startMP 204:233008 --initTime 2017-03-18T18:08:05 --startdatetime 2017-03-18T18:11:25 --delay 0 --endMP 204:59051 --enddatetime 2017-03-18T18:43:42 --enforcementcount 0 &gt;&gt;C:\Users\stu\Documents\GitHub\eaglep3-reporting\EC\2017-03-18-refined-times.txt</v>
      </c>
      <c r="AI121" s="108" t="str">
        <f t="shared" si="42"/>
        <v>echo {"issue":{"subject":"Arcing issues at Sand Creek Phase Break","project_id":79,"tracker_id":40,"status_id":1,"priority_id":2,"assigned_to_id":23,"start_date":"2017-03-18","description":"","custom_fields":[{"id":1,"name":"Subdivision","value":"EC"},{"id":4,"name":"Milepost","value":"5.9051"},{"id":17,"name":"Train ID","value":"210-18"},{"id":16,"name":"Locomotive ID","value":"4010"},{"id":130,"name":"Impact","value":""},{"id":150,"name":"Time of Event (Mountain Time)","value":"18:43:42"},{"id":151,"name":"Denver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3"/>
        <v>start /low /b %USERPROFILE%\Documents\GitHub\eaglep3\Utilities\DownloadLogsFromS3.py --loco 4010 --day 2017-03-18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"%USERPROFILE%\AppData\Local\Temp\OnboardLogs"\RTDC4010\*4010*20170319* | grep -SE "(Enforcement Action)|(\[TIMEOUT)|(CHR.+\|PRM\|1\|D.+(SWITCH|SIGNAL).+UNKNOWN)" - &gt;&gt; 2017-03-18-UncaughtWiMAX.txt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590</v>
      </c>
      <c r="B122" s="7">
        <v>4010</v>
      </c>
      <c r="C122" s="21" t="s">
        <v>222</v>
      </c>
      <c r="D122" s="21" t="s">
        <v>866</v>
      </c>
      <c r="E122" s="13">
        <v>42812.815879629627</v>
      </c>
      <c r="F122" s="13">
        <v>42812.819062499999</v>
      </c>
      <c r="G122" s="7">
        <v>0</v>
      </c>
      <c r="H122" s="21" t="s">
        <v>867</v>
      </c>
      <c r="I122" s="13">
        <v>42812.834363425929</v>
      </c>
      <c r="J122" s="7">
        <v>0</v>
      </c>
      <c r="K122" s="98" t="str">
        <f t="shared" si="28"/>
        <v>4009/4010</v>
      </c>
      <c r="L122" s="21" t="str">
        <f>VLOOKUP(A122,'Trips&amp;Operators'!$C$1:$G$99999,5,FALSE)</f>
        <v>LOPES KIMBERLY</v>
      </c>
      <c r="M122" s="6">
        <f t="shared" si="29"/>
        <v>1.5300925930205267E-2</v>
      </c>
      <c r="N122" s="7"/>
      <c r="O122" s="7"/>
      <c r="P122" s="7"/>
      <c r="Q122" s="22"/>
      <c r="R122" s="22"/>
      <c r="S122" s="31"/>
      <c r="T122" s="46" t="str">
        <f t="shared" si="30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8</v>
      </c>
      <c r="V122" s="186" t="str">
        <f t="shared" si="31"/>
        <v>https://d0f6bd738d7f1b3e5a7ca70fe4ff75f0.us-east-1.aws.found.io/app/kibana#/discover/Steve-Slow-Train-Analysis-(2080s-and-2083s)?_g=(refreshInterval:(display:Off,pause:!f,section:0,value:0),time:(from:'2017-03-18T18:34:52-0600',mode:absolute,to:'2017-03-18T21:01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187" t="str">
        <f t="shared" si="32"/>
        <v>Y</v>
      </c>
      <c r="X122" s="187">
        <f t="shared" si="45"/>
        <v>0</v>
      </c>
      <c r="Y122" s="62">
        <f t="shared" si="48"/>
        <v>5.9044999999999996</v>
      </c>
      <c r="Z122" s="62">
        <f t="shared" si="49"/>
        <v>0.15709999999999999</v>
      </c>
      <c r="AA122" s="62">
        <f t="shared" si="36"/>
        <v>5.7473999999999998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7"/>
        <v>0210-18</v>
      </c>
      <c r="AE122" s="85" t="str">
        <f t="shared" si="38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122" s="82" t="str">
        <f t="shared" si="39"/>
        <v>"C:\Program Files (x86)\AstroGrep\AstroGrep.exe" /e /r /s /spath="%USERPROFILE%\AppData\Local\Temp\OnboardLogs" /stypes="app*4010*20170319*" /stext=" 02:.+((SYSTEM_STATE.+slice.+state.+changed )|(ment ac)|(multiple cpu faults)|(system.+state.+changed )|(\[timeout)|(PRM\|1\|D)|(kpr)|(kdp)|(\|lc)|(penalty))"</v>
      </c>
      <c r="AG122" s="1" t="str">
        <f t="shared" si="40"/>
        <v>EC</v>
      </c>
      <c r="AH122" s="86" t="str">
        <f t="shared" si="41"/>
        <v>"%USERPROFILE%\Documents\GitHub\eaglep3\Utilities\RefineRTDCRunTimes.py" --tripid 210-18 --locoid 4010 --swversion DE.1.0.9.0 --startMP 204:59045 --initTime 2017-03-18T19:34:52 --startdatetime 2017-03-18T19:39:27 --delay 0 --endMP 204:1571 --enddatetime 2017-03-18T20:01:29 --enforcementcount 0 &gt;&gt;C:\Users\stu\Documents\GitHub\eaglep3-reporting\EC\2017-03-18-refined-times.txt</v>
      </c>
      <c r="AI12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{"issue":{"subject":"","project_id":79,"tracker_id":40,"status_id":1,"priority_id":2,"assigned_to_id":23,"start_date":"2017-03-18","description":"","custom_fields":[{"id":1,"name":"Subdivision","value":"EC"},{"id":4,"name":"Milepost","value":"0.1571"},{"id":17,"name":"Train ID","value":"210-18"},{"id":16,"name":"Locomotive ID","value":"4010"},{"id":130,"name":"Impact","value":""},{"id":150,"name":"Time of Event (Mountain Time)","value":"20:01:29"},{"id":151,"name":"Denver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3"/>
        <v>start /low /b %USERPROFILE%\Documents\GitHub\eaglep3\Utilities\DownloadLogsFromS3.py --loco 4010 --day 2017-03-18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"%USERPROFILE%\AppData\Local\Temp\OnboardLogs"\RTDC4010\*4010*20170319* | grep -SE "(Enforcement Action)|(\[TIMEOUT)|(CHR.+\|PRM\|1\|D.+(SWITCH|SIGNAL).+UNKNOWN)" - &gt;&gt; 2017-03-18-UncaughtWiMAX.txt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586</v>
      </c>
      <c r="B123" s="7">
        <v>4044</v>
      </c>
      <c r="C123" s="21" t="s">
        <v>222</v>
      </c>
      <c r="D123" s="21" t="s">
        <v>404</v>
      </c>
      <c r="E123" s="13">
        <v>42812.726678240739</v>
      </c>
      <c r="F123" s="13">
        <v>42812.729409722226</v>
      </c>
      <c r="G123" s="7">
        <v>2</v>
      </c>
      <c r="H123" s="21" t="s">
        <v>402</v>
      </c>
      <c r="I123" s="13">
        <v>42812.761886574073</v>
      </c>
      <c r="J123" s="7">
        <v>0</v>
      </c>
      <c r="K123" s="98" t="str">
        <f t="shared" si="28"/>
        <v>4043/4044</v>
      </c>
      <c r="L123" s="21" t="str">
        <f>VLOOKUP(A123,'Trips&amp;Operators'!$C$1:$G$99999,5,FALSE)</f>
        <v>WHITED DUSTIN</v>
      </c>
      <c r="M123" s="6">
        <f t="shared" si="29"/>
        <v>3.2476851847604848E-2</v>
      </c>
      <c r="N123" s="7">
        <f>24*60*SUM($M123:$M123)</f>
        <v>46.766666660550982</v>
      </c>
      <c r="O123" s="7"/>
      <c r="P123" s="7"/>
      <c r="Q123" s="22"/>
      <c r="R123" s="22"/>
      <c r="S123" s="31">
        <f>SUM(U123:U123)/IF(AG123="EC",12,1)</f>
        <v>1</v>
      </c>
      <c r="T123" s="46" t="str">
        <f t="shared" si="30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1"/>
        <v>https://d0f6bd738d7f1b3e5a7ca70fe4ff75f0.us-east-1.aws.found.io/app/kibana#/discover/Steve-Slow-Train-Analysis-(2080s-and-2083s)?_g=(refreshInterval:(display:Off,pause:!f,section:0,value:0),time:(from:'2017-03-18T16:26:25-0600',mode:absolute,to:'2017-03-18T19:17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187" t="str">
        <f t="shared" si="32"/>
        <v>N</v>
      </c>
      <c r="X123" s="187">
        <f t="shared" si="45"/>
        <v>1</v>
      </c>
      <c r="Y123" s="62">
        <f t="shared" si="48"/>
        <v>4.6199999999999998E-2</v>
      </c>
      <c r="Z123" s="62">
        <f t="shared" si="49"/>
        <v>23.3293</v>
      </c>
      <c r="AA123" s="62">
        <f t="shared" si="36"/>
        <v>23.283100000000001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7"/>
        <v>0211-18</v>
      </c>
      <c r="AE123" s="85" t="str">
        <f t="shared" si="38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123" s="82" t="str">
        <f t="shared" si="39"/>
        <v>"C:\Program Files (x86)\AstroGrep\AstroGrep.exe" /e /r /s /spath="%USERPROFILE%\AppData\Local\Temp\OnboardLogs" /stypes="app*4044*20170319*" /stext=" 00:.+((SYSTEM_STATE.+slice.+state.+changed )|(ment ac)|(multiple cpu faults)|(system.+state.+changed )|(\[timeout)|(PRM\|1\|D)|(kpr)|(kdp)|(\|lc)|(penalty))"</v>
      </c>
      <c r="AG123" s="1" t="str">
        <f t="shared" si="40"/>
        <v>EC</v>
      </c>
      <c r="AH123" s="86" t="str">
        <f t="shared" si="41"/>
        <v>"%USERPROFILE%\Documents\GitHub\eaglep3\Utilities\RefineRTDCRunTimes.py" --tripid 211-18 --locoid 4044 --swversion DE.1.0.9.0 --startMP 204:462 --initTime 2017-03-18T17:26:25 --startdatetime 2017-03-18T17:30:21 --delay 2 --endMP 204:233293 --enddatetime 2017-03-18T18:17:07 --enforcementcount 0 &gt;&gt;C:\Users\stu\Documents\GitHub\eaglep3-reporting\EC\2017-03-18-refined-times.txt</v>
      </c>
      <c r="AI12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{"issue":{"subject":"","project_id":79,"tracker_id":40,"status_id":1,"priority_id":2,"assigned_to_id":23,"start_date":"2017-03-18","description":"","custom_fields":[{"id":1,"name":"Subdivision","value":"EC"},{"id":4,"name":"Milepost","value":"23.3293"},{"id":17,"name":"Train ID","value":"211-18"},{"id":16,"name":"Locomotive ID","value":"4044"},{"id":130,"name":"Impact","value":""},{"id":150,"name":"Time of Event (Mountain Time)","value":"18:17:07"},{"id":151,"name":"Denver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3"/>
        <v>start /low /b %USERPROFILE%\Documents\GitHub\eaglep3\Utilities\DownloadLogsFromS3.py --loco 4044 --day 2017-03-18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589</v>
      </c>
      <c r="B124" s="7">
        <v>4043</v>
      </c>
      <c r="C124" s="21" t="s">
        <v>222</v>
      </c>
      <c r="D124" s="21" t="s">
        <v>868</v>
      </c>
      <c r="E124" s="13">
        <v>42812.767951388887</v>
      </c>
      <c r="F124" s="13">
        <v>42812.769780092596</v>
      </c>
      <c r="G124" s="7">
        <v>2</v>
      </c>
      <c r="H124" s="21" t="s">
        <v>869</v>
      </c>
      <c r="I124" s="13">
        <v>42812.80541666667</v>
      </c>
      <c r="J124" s="7">
        <v>0</v>
      </c>
      <c r="K124" s="98" t="str">
        <f t="shared" si="28"/>
        <v>4043/4044</v>
      </c>
      <c r="L124" s="21" t="str">
        <f>VLOOKUP(A124,'Trips&amp;Operators'!$C$1:$G$99999,5,FALSE)</f>
        <v>WHITED DUSTIN</v>
      </c>
      <c r="M124" s="6">
        <f t="shared" si="29"/>
        <v>3.5636574073578231E-2</v>
      </c>
      <c r="N124" s="7"/>
      <c r="O124" s="7"/>
      <c r="P124" s="7">
        <f>24*60*SUM($M124:$M124)</f>
        <v>51.316666665952653</v>
      </c>
      <c r="Q124" s="22"/>
      <c r="R124" s="22" t="s">
        <v>949</v>
      </c>
      <c r="S124" s="31">
        <f>SUM(U124:U124)/IF(AG124="EC",12,1)</f>
        <v>0.25</v>
      </c>
      <c r="T124" s="46" t="str">
        <f t="shared" si="30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3</v>
      </c>
      <c r="V124" s="186" t="str">
        <f t="shared" si="31"/>
        <v>https://d0f6bd738d7f1b3e5a7ca70fe4ff75f0.us-east-1.aws.found.io/app/kibana#/discover/Steve-Slow-Train-Analysis-(2080s-and-2083s)?_g=(refreshInterval:(display:Off,pause:!f,section:0,value:0),time:(from:'2017-03-18T17:25:51-0600',mode:absolute,to:'2017-03-18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187" t="str">
        <f t="shared" si="32"/>
        <v>Y</v>
      </c>
      <c r="X124" s="187">
        <f t="shared" si="45"/>
        <v>1</v>
      </c>
      <c r="Y124" s="62">
        <f t="shared" si="48"/>
        <v>23.297999999999998</v>
      </c>
      <c r="Z124" s="62">
        <f t="shared" si="49"/>
        <v>6.4043000000000001</v>
      </c>
      <c r="AA124" s="62">
        <f t="shared" si="36"/>
        <v>16.893699999999999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7"/>
        <v>0212-18</v>
      </c>
      <c r="AE124" s="85" t="str">
        <f t="shared" si="38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124" s="82" t="str">
        <f t="shared" si="39"/>
        <v>"C:\Program Files (x86)\AstroGrep\AstroGrep.exe" /e /r /s /spath="%USERPROFILE%\AppData\Local\Temp\OnboardLogs" /stypes="app*4043*20170319*" /stext=" 01:.+((SYSTEM_STATE.+slice.+state.+changed )|(ment ac)|(multiple cpu faults)|(system.+state.+changed )|(\[timeout)|(PRM\|1\|D)|(kpr)|(kdp)|(\|lc)|(penalty))"</v>
      </c>
      <c r="AG124" s="1" t="str">
        <f t="shared" si="40"/>
        <v>EC</v>
      </c>
      <c r="AH124" s="86" t="str">
        <f t="shared" si="41"/>
        <v>"%USERPROFILE%\Documents\GitHub\eaglep3\Utilities\RefineRTDCRunTimes.py" --tripid 212-18 --locoid 4043 --swversion DE.1.0.9.0 --startMP 204:232980 --initTime 2017-03-18T18:25:51 --startdatetime 2017-03-18T18:28:29 --delay 2 --endMP 204:64043 --enddatetime 2017-03-18T19:19:48 --enforcementcount 0 &gt;&gt;C:\Users\stu\Documents\GitHub\eaglep3-reporting\EC\2017-03-18-refined-times.txt</v>
      </c>
      <c r="AI124" s="108" t="str">
        <f t="shared" si="42"/>
        <v>echo {"issue":{"subject":"Arcing issues at Sand Creek Phase Break","project_id":79,"tracker_id":40,"status_id":1,"priority_id":2,"assigned_to_id":23,"start_date":"2017-03-18","description":"","custom_fields":[{"id":1,"name":"Subdivision","value":"EC"},{"id":4,"name":"Milepost","value":"6.4043"},{"id":17,"name":"Train ID","value":"212-18"},{"id":16,"name":"Locomotive ID","value":"4043"},{"id":130,"name":"Impact","value":""},{"id":150,"name":"Time of Event (Mountain Time)","value":"19:19:48"},{"id":151,"name":"Denver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3"/>
        <v>start /low /b %USERPROFILE%\Documents\GitHub\eaglep3\Utilities\DownloadLogsFromS3.py --loco 4043 --day 2017-03-18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"%USERPROFILE%\AppData\Local\Temp\OnboardLogs"\RTDC4043\*4043*20170319* | grep -SE "(Enforcement Action)|(\[TIMEOUT)|(CHR.+\|PRM\|1\|D.+(SWITCH|SIGNAL).+UNKNOWN)" - &gt;&gt; 2017-03-18-UncaughtWiMAX.txt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733</v>
      </c>
      <c r="B125" s="7">
        <v>4029</v>
      </c>
      <c r="C125" s="21" t="s">
        <v>222</v>
      </c>
      <c r="D125" s="21" t="s">
        <v>223</v>
      </c>
      <c r="E125" s="13">
        <v>42812.743715277778</v>
      </c>
      <c r="F125" s="13">
        <v>42812.764097222222</v>
      </c>
      <c r="G125" s="7">
        <v>1</v>
      </c>
      <c r="H125" s="21" t="s">
        <v>870</v>
      </c>
      <c r="I125" s="13">
        <v>42812.780358796299</v>
      </c>
      <c r="J125" s="7">
        <v>0</v>
      </c>
      <c r="K125" s="98" t="str">
        <f t="shared" si="28"/>
        <v>4029/4030</v>
      </c>
      <c r="L125" s="21" t="str">
        <f>VLOOKUP(A125,'Trips&amp;Operators'!$C$1:$G$99999,5,FALSE)</f>
        <v>SMITH MICHAEL</v>
      </c>
      <c r="M125" s="6">
        <f t="shared" si="29"/>
        <v>1.6261574077361729E-2</v>
      </c>
      <c r="N125" s="7"/>
      <c r="O125" s="7"/>
      <c r="P125" s="7">
        <f>24*60*SUM($M125:$M126)</f>
        <v>46.83333334280178</v>
      </c>
      <c r="Q125" s="22"/>
      <c r="R125" s="22" t="s">
        <v>948</v>
      </c>
      <c r="S125" s="31">
        <f>SUM(U125:U126)/IF(AG125="EC",12,1)</f>
        <v>0.75</v>
      </c>
      <c r="T125" s="46" t="str">
        <f t="shared" si="30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6</v>
      </c>
      <c r="V125" s="186" t="str">
        <f t="shared" si="31"/>
        <v>https://d0f6bd738d7f1b3e5a7ca70fe4ff75f0.us-east-1.aws.found.io/app/kibana#/discover/Steve-Slow-Train-Analysis-(2080s-and-2083s)?_g=(refreshInterval:(display:Off,pause:!f,section:0,value:0),time:(from:'2017-03-18T16:50:57-0600',mode:absolute,to:'2017-03-18T19:43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5" s="187" t="str">
        <f t="shared" si="32"/>
        <v>Y</v>
      </c>
      <c r="X125" s="187">
        <f t="shared" si="45"/>
        <v>1</v>
      </c>
      <c r="Y125" s="62">
        <f t="shared" si="48"/>
        <v>4.58E-2</v>
      </c>
      <c r="Z125" s="62">
        <f t="shared" si="49"/>
        <v>5.7679</v>
      </c>
      <c r="AA125" s="62">
        <f t="shared" si="36"/>
        <v>5.7221000000000002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7"/>
        <v>0213-18</v>
      </c>
      <c r="AE125" s="85" t="str">
        <f t="shared" si="38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125" s="82" t="str">
        <f t="shared" si="39"/>
        <v>"C:\Program Files (x86)\AstroGrep\AstroGrep.exe" /e /r /s /spath="%USERPROFILE%\AppData\Local\Temp\OnboardLogs" /stypes="app*4029*20170319*" /stext=" 00:.+((SYSTEM_STATE.+slice.+state.+changed )|(ment ac)|(multiple cpu faults)|(system.+state.+changed )|(\[timeout)|(PRM\|1\|D)|(kpr)|(kdp)|(\|lc)|(penalty))"</v>
      </c>
      <c r="AG125" s="1" t="str">
        <f t="shared" si="40"/>
        <v>EC</v>
      </c>
      <c r="AH125" s="86" t="str">
        <f t="shared" si="41"/>
        <v>"%USERPROFILE%\Documents\GitHub\eaglep3\Utilities\RefineRTDCRunTimes.py" --tripid 213-18 --locoid 4029 --swversion DE.1.0.9.0 --startMP 204:458 --initTime 2017-03-18T17:50:57 --startdatetime 2017-03-18T18:20:18 --delay 1 --endMP 204:57679 --enddatetime 2017-03-18T18:43:43 --enforcementcount 0 &gt;&gt;C:\Users\stu\Documents\GitHub\eaglep3-reporting\EC\2017-03-18-refined-times.txt</v>
      </c>
      <c r="AI125" s="108" t="str">
        <f t="shared" si="42"/>
        <v>echo {"issue":{"subject":"Improper execution of bulletin (many Form C prompts probably confused operator)","project_id":79,"tracker_id":40,"status_id":1,"priority_id":2,"assigned_to_id":23,"start_date":"2017-03-18","description":"","custom_fields":[{"id":1,"name":"Subdivision","value":"EC"},{"id":4,"name":"Milepost","value":"5.7679"},{"id":17,"name":"Train ID","value":"213-18"},{"id":16,"name":"Locomotive ID","value":"4029"},{"id":130,"name":"Impact","value":""},{"id":150,"name":"Time of Event (Mountain Time)","value":"18:43:43"},{"id":151,"name":"Denver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3"/>
        <v>start /low /b %USERPROFILE%\Documents\GitHub\eaglep3\Utilities\DownloadLogsFromS3.py --loco 4029 --day 2017-03-18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733</v>
      </c>
      <c r="B126" s="7">
        <v>4029</v>
      </c>
      <c r="C126" s="21" t="s">
        <v>222</v>
      </c>
      <c r="D126" s="21" t="s">
        <v>871</v>
      </c>
      <c r="E126" s="13">
        <v>42812.763067129628</v>
      </c>
      <c r="F126" s="13">
        <v>42812.764097222222</v>
      </c>
      <c r="G126" s="7">
        <v>1</v>
      </c>
      <c r="H126" s="21" t="s">
        <v>475</v>
      </c>
      <c r="I126" s="13">
        <v>42812.780358796299</v>
      </c>
      <c r="J126" s="7">
        <v>0</v>
      </c>
      <c r="K126" s="98" t="str">
        <f t="shared" si="28"/>
        <v>4029/4030</v>
      </c>
      <c r="L126" s="21" t="str">
        <f>VLOOKUP(A126,'Trips&amp;Operators'!$C$1:$G$99999,5,FALSE)</f>
        <v>SMITH MICHAEL</v>
      </c>
      <c r="M126" s="6">
        <f t="shared" si="29"/>
        <v>1.6261574077361729E-2</v>
      </c>
      <c r="N126" s="7"/>
      <c r="O126" s="7"/>
      <c r="P126" s="7"/>
      <c r="Q126" s="22"/>
      <c r="R126" s="22"/>
      <c r="S126" s="31"/>
      <c r="T126" s="46" t="str">
        <f t="shared" si="30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3</v>
      </c>
      <c r="V126" s="186" t="str">
        <f t="shared" si="31"/>
        <v>https://d0f6bd738d7f1b3e5a7ca70fe4ff75f0.us-east-1.aws.found.io/app/kibana#/discover/Steve-Slow-Train-Analysis-(2080s-and-2083s)?_g=(refreshInterval:(display:Off,pause:!f,section:0,value:0),time:(from:'2017-03-18T17:18:49-0600',mode:absolute,to:'2017-03-18T19:43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87" t="str">
        <f t="shared" si="32"/>
        <v>Y</v>
      </c>
      <c r="X126" s="187">
        <f t="shared" si="45"/>
        <v>0</v>
      </c>
      <c r="Y126" s="62">
        <f t="shared" si="48"/>
        <v>6.4715999999999996</v>
      </c>
      <c r="Z126" s="62">
        <f t="shared" si="49"/>
        <v>23.330200000000001</v>
      </c>
      <c r="AA126" s="62">
        <f t="shared" si="36"/>
        <v>16.858600000000003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7"/>
        <v>0213-18</v>
      </c>
      <c r="AE126" s="85" t="str">
        <f t="shared" si="38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126" s="82" t="str">
        <f t="shared" si="39"/>
        <v>"C:\Program Files (x86)\AstroGrep\AstroGrep.exe" /e /r /s /spath="%USERPROFILE%\AppData\Local\Temp\OnboardLogs" /stypes="app*4029*20170319*" /stext=" 00:.+((SYSTEM_STATE.+slice.+state.+changed )|(ment ac)|(multiple cpu faults)|(system.+state.+changed )|(\[timeout)|(PRM\|1\|D)|(kpr)|(kdp)|(\|lc)|(penalty))"</v>
      </c>
      <c r="AG126" s="1" t="str">
        <f t="shared" si="40"/>
        <v>EC</v>
      </c>
      <c r="AH126" s="86" t="str">
        <f t="shared" si="41"/>
        <v>"%USERPROFILE%\Documents\GitHub\eaglep3\Utilities\RefineRTDCRunTimes.py" --tripid 213-18 --locoid 4029 --swversion DE.1.0.9.0 --startMP 204:64716 --initTime 2017-03-18T18:18:49 --startdatetime 2017-03-18T18:20:18 --delay 1 --endMP 204:233302 --enddatetime 2017-03-18T18:43:43 --enforcementcount 0 &gt;&gt;C:\Users\stu\Documents\GitHub\eaglep3-reporting\EC\2017-03-18-refined-times.txt</v>
      </c>
      <c r="AI12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{"issue":{"subject":"","project_id":79,"tracker_id":40,"status_id":1,"priority_id":2,"assigned_to_id":23,"start_date":"2017-03-18","description":"","custom_fields":[{"id":1,"name":"Subdivision","value":"EC"},{"id":4,"name":"Milepost","value":"23.3302"},{"id":17,"name":"Train ID","value":"213-18"},{"id":16,"name":"Locomotive ID","value":"4029"},{"id":130,"name":"Impact","value":""},{"id":150,"name":"Time of Event (Mountain Time)","value":"18:43:43"},{"id":151,"name":"Denver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3"/>
        <v>start /low /b %USERPROFILE%\Documents\GitHub\eaglep3\Utilities\DownloadLogsFromS3.py --loco 4029 --day 2017-03-18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739</v>
      </c>
      <c r="B127" s="7">
        <v>4030</v>
      </c>
      <c r="C127" s="21" t="s">
        <v>222</v>
      </c>
      <c r="D127" s="21" t="s">
        <v>477</v>
      </c>
      <c r="E127" s="13">
        <v>42812.7815162037</v>
      </c>
      <c r="F127" s="13">
        <v>42812.835925925923</v>
      </c>
      <c r="G127" s="7">
        <v>1</v>
      </c>
      <c r="H127" s="21" t="s">
        <v>872</v>
      </c>
      <c r="I127" s="13">
        <v>42812.844398148147</v>
      </c>
      <c r="J127" s="7">
        <v>0</v>
      </c>
      <c r="K127" s="98" t="str">
        <f t="shared" si="28"/>
        <v>4029/4030</v>
      </c>
      <c r="L127" s="21" t="str">
        <f>VLOOKUP(A127,'Trips&amp;Operators'!$C$1:$G$99999,5,FALSE)</f>
        <v>SMITH MICHAEL</v>
      </c>
      <c r="M127" s="6">
        <f t="shared" si="29"/>
        <v>8.4722222236450762E-3</v>
      </c>
      <c r="N127" s="7"/>
      <c r="O127" s="7"/>
      <c r="P127" s="7">
        <f>24*60*SUM($M127:$M128)</f>
        <v>24.400000004097819</v>
      </c>
      <c r="Q127" s="22"/>
      <c r="R127" s="22" t="s">
        <v>950</v>
      </c>
      <c r="S127" s="31">
        <f>SUM(U127:U128)/IF(AG127="EC",12,1)</f>
        <v>0.58333333333333337</v>
      </c>
      <c r="T127" s="46" t="str">
        <f t="shared" si="30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4</v>
      </c>
      <c r="V127" s="186" t="str">
        <f t="shared" si="31"/>
        <v>https://d0f6bd738d7f1b3e5a7ca70fe4ff75f0.us-east-1.aws.found.io/app/kibana#/discover/Steve-Slow-Train-Analysis-(2080s-and-2083s)?_g=(refreshInterval:(display:Off,pause:!f,section:0,value:0),time:(from:'2017-03-18T17:45:23-0600',mode:absolute,to:'2017-03-18T21:15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87" t="str">
        <f t="shared" si="32"/>
        <v>Y</v>
      </c>
      <c r="X127" s="187">
        <f t="shared" si="45"/>
        <v>1</v>
      </c>
      <c r="Y127" s="62">
        <f t="shared" si="48"/>
        <v>23.299399999999999</v>
      </c>
      <c r="Z127" s="62">
        <f t="shared" si="49"/>
        <v>5.9226999999999999</v>
      </c>
      <c r="AA127" s="62">
        <f t="shared" si="36"/>
        <v>17.3767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7"/>
        <v>0214-18</v>
      </c>
      <c r="AE127" s="85" t="str">
        <f t="shared" si="38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127" s="82" t="str">
        <f t="shared" si="39"/>
        <v>"C:\Program Files (x86)\AstroGrep\AstroGrep.exe" /e /r /s /spath="%USERPROFILE%\AppData\Local\Temp\OnboardLogs" /stypes="app*4030*20170319*" /stext=" 02:.+((SYSTEM_STATE.+slice.+state.+changed )|(ment ac)|(multiple cpu faults)|(system.+state.+changed )|(\[timeout)|(PRM\|1\|D)|(kpr)|(kdp)|(\|lc)|(penalty))"</v>
      </c>
      <c r="AG127" s="1" t="str">
        <f t="shared" si="40"/>
        <v>EC</v>
      </c>
      <c r="AH127" s="86" t="str">
        <f t="shared" si="41"/>
        <v>"%USERPROFILE%\Documents\GitHub\eaglep3\Utilities\RefineRTDCRunTimes.py" --tripid 214-18 --locoid 4030 --swversion DE.1.0.9.0 --startMP 204:232994 --initTime 2017-03-18T18:45:23 --startdatetime 2017-03-18T20:03:44 --delay 1 --endMP 204:59227 --enddatetime 2017-03-18T20:15:56 --enforcementcount 0 &gt;&gt;C:\Users\stu\Documents\GitHub\eaglep3-reporting\EC\2017-03-18-refined-times.txt</v>
      </c>
      <c r="AI127" s="108" t="str">
        <f t="shared" si="42"/>
        <v>echo {"issue":{"subject":"Arcing issues at Sand Creek Phase Break, PTC commanded brake due to active XING session","project_id":79,"tracker_id":40,"status_id":1,"priority_id":2,"assigned_to_id":23,"start_date":"2017-03-18","description":"","custom_fields":[{"id":1,"name":"Subdivision","value":"EC"},{"id":4,"name":"Milepost","value":"5.9227"},{"id":17,"name":"Train ID","value":"214-18"},{"id":16,"name":"Locomotive ID","value":"4030"},{"id":130,"name":"Impact","value":""},{"id":150,"name":"Time of Event (Mountain Time)","value":"20:15:56"},{"id":151,"name":"Denver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3"/>
        <v>start /low /b %USERPROFILE%\Documents\GitHub\eaglep3\Utilities\DownloadLogsFromS3.py --loco 4030 --day 2017-03-18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"%USERPROFILE%\AppData\Local\Temp\OnboardLogs"\RTDC4030\*4030*20170319* | grep -SE "(Enforcement Action)|(\[TIMEOUT)|(CHR.+\|PRM\|1\|D.+(SWITCH|SIGNAL).+UNKNOWN)" - &gt;&gt; 2017-03-18-UncaughtWiMAX.txt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739</v>
      </c>
      <c r="B128" s="7">
        <v>4030</v>
      </c>
      <c r="C128" s="21" t="s">
        <v>222</v>
      </c>
      <c r="D128" s="21" t="s">
        <v>873</v>
      </c>
      <c r="E128" s="13">
        <v>42812.834837962961</v>
      </c>
      <c r="F128" s="13">
        <v>42812.835925925923</v>
      </c>
      <c r="G128" s="7">
        <v>0</v>
      </c>
      <c r="H128" s="21" t="s">
        <v>216</v>
      </c>
      <c r="I128" s="13">
        <v>42812.844398148147</v>
      </c>
      <c r="J128" s="7">
        <v>0</v>
      </c>
      <c r="K128" s="98" t="str">
        <f t="shared" si="28"/>
        <v>4029/4030</v>
      </c>
      <c r="L128" s="21" t="str">
        <f>VLOOKUP(A128,'Trips&amp;Operators'!$C$1:$G$99999,5,FALSE)</f>
        <v>SMITH MICHAEL</v>
      </c>
      <c r="M128" s="6">
        <f t="shared" si="29"/>
        <v>8.4722222236450762E-3</v>
      </c>
      <c r="N128" s="7"/>
      <c r="O128" s="7"/>
      <c r="P128" s="7"/>
      <c r="Q128" s="22"/>
      <c r="R128" s="22"/>
      <c r="S128" s="31"/>
      <c r="T128" s="46" t="str">
        <f t="shared" si="30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3</v>
      </c>
      <c r="V128" s="186" t="str">
        <f t="shared" si="31"/>
        <v>https://d0f6bd738d7f1b3e5a7ca70fe4ff75f0.us-east-1.aws.found.io/app/kibana#/discover/Steve-Slow-Train-Analysis-(2080s-and-2083s)?_g=(refreshInterval:(display:Off,pause:!f,section:0,value:0),time:(from:'2017-03-18T19:02:10-0600',mode:absolute,to:'2017-03-18T21:15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8" s="187" t="str">
        <f t="shared" si="32"/>
        <v>Y</v>
      </c>
      <c r="X128" s="187">
        <f t="shared" si="45"/>
        <v>0</v>
      </c>
      <c r="Y128" s="62">
        <f t="shared" si="48"/>
        <v>3.6787999999999998</v>
      </c>
      <c r="Z128" s="62">
        <f t="shared" si="49"/>
        <v>1.5599999999999999E-2</v>
      </c>
      <c r="AA128" s="62">
        <f t="shared" si="36"/>
        <v>3.6631999999999998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7"/>
        <v>0214-18</v>
      </c>
      <c r="AE128" s="85" t="str">
        <f t="shared" si="38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128" s="82" t="str">
        <f t="shared" si="39"/>
        <v>"C:\Program Files (x86)\AstroGrep\AstroGrep.exe" /e /r /s /spath="%USERPROFILE%\AppData\Local\Temp\OnboardLogs" /stypes="app*4030*20170319*" /stext=" 02:.+((SYSTEM_STATE.+slice.+state.+changed )|(ment ac)|(multiple cpu faults)|(system.+state.+changed )|(\[timeout)|(PRM\|1\|D)|(kpr)|(kdp)|(\|lc)|(penalty))"</v>
      </c>
      <c r="AG128" s="1" t="str">
        <f t="shared" si="40"/>
        <v>EC</v>
      </c>
      <c r="AH128" s="86" t="str">
        <f t="shared" si="41"/>
        <v>"%USERPROFILE%\Documents\GitHub\eaglep3\Utilities\RefineRTDCRunTimes.py" --tripid 214-18 --locoid 4030 --swversion DE.1.0.9.0 --startMP 204:36788 --initTime 2017-03-18T20:02:10 --startdatetime 2017-03-18T20:03:44 --delay 0 --endMP 204:156 --enddatetime 2017-03-18T20:15:56 --enforcementcount 0 &gt;&gt;C:\Users\stu\Documents\GitHub\eaglep3-reporting\EC\2017-03-18-refined-times.txt</v>
      </c>
      <c r="AI12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{"issue":{"subject":"","project_id":79,"tracker_id":40,"status_id":1,"priority_id":2,"assigned_to_id":23,"start_date":"2017-03-18","description":"","custom_fields":[{"id":1,"name":"Subdivision","value":"EC"},{"id":4,"name":"Milepost","value":"0.0156"},{"id":17,"name":"Train ID","value":"214-18"},{"id":16,"name":"Locomotive ID","value":"4030"},{"id":130,"name":"Impact","value":""},{"id":150,"name":"Time of Event (Mountain Time)","value":"20:15:56"},{"id":151,"name":"Denver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3"/>
        <v>start /low /b %USERPROFILE%\Documents\GitHub\eaglep3\Utilities\DownloadLogsFromS3.py --loco 4030 --day 2017-03-18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"%USERPROFILE%\AppData\Local\Temp\OnboardLogs"\RTDC4030\*4030*20170319* | grep -SE "(Enforcement Action)|(\[TIMEOUT)|(CHR.+\|PRM\|1\|D.+(SWITCH|SIGNAL).+UNKNOWN)" - &gt;&gt; 2017-03-18-UncaughtWiMAX.txt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588</v>
      </c>
      <c r="B129" s="7">
        <v>4046</v>
      </c>
      <c r="C129" s="21" t="s">
        <v>222</v>
      </c>
      <c r="D129" s="21" t="s">
        <v>789</v>
      </c>
      <c r="E129" s="13">
        <v>42812.750231481485</v>
      </c>
      <c r="F129" s="13">
        <v>42812.77107638889</v>
      </c>
      <c r="G129" s="7">
        <v>1</v>
      </c>
      <c r="H129" s="21" t="s">
        <v>874</v>
      </c>
      <c r="I129" s="13">
        <v>42812.788912037038</v>
      </c>
      <c r="J129" s="7">
        <v>0</v>
      </c>
      <c r="K129" s="98" t="str">
        <f t="shared" si="28"/>
        <v>4045/4046</v>
      </c>
      <c r="L129" s="21" t="str">
        <f>VLOOKUP(A129,'Trips&amp;Operators'!$C$1:$G$99999,5,FALSE)</f>
        <v>NELSON ARIANE</v>
      </c>
      <c r="M129" s="6">
        <f t="shared" si="29"/>
        <v>1.7835648148320615E-2</v>
      </c>
      <c r="N129" s="7"/>
      <c r="O129" s="7"/>
      <c r="P129" s="7">
        <f>24*60*SUM($M129:$M130)</f>
        <v>51.366666667163372</v>
      </c>
      <c r="Q129" s="22"/>
      <c r="R129" s="22" t="s">
        <v>949</v>
      </c>
      <c r="S129" s="31">
        <f>SUM(U129:U130)/IF(AG129="EC",12,1)</f>
        <v>0.75</v>
      </c>
      <c r="T129" s="46" t="str">
        <f t="shared" si="30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6</v>
      </c>
      <c r="V129" s="186" t="str">
        <f t="shared" si="31"/>
        <v>https://d0f6bd738d7f1b3e5a7ca70fe4ff75f0.us-east-1.aws.found.io/app/kibana#/discover/Steve-Slow-Train-Analysis-(2080s-and-2083s)?_g=(refreshInterval:(display:Off,pause:!f,section:0,value:0),time:(from:'2017-03-18T17:00:20-0600',mode:absolute,to:'2017-03-18T19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9" s="187" t="str">
        <f t="shared" si="32"/>
        <v>Y</v>
      </c>
      <c r="X129" s="187">
        <f t="shared" si="45"/>
        <v>1</v>
      </c>
      <c r="Y129" s="62">
        <f t="shared" si="48"/>
        <v>4.4900000000000002E-2</v>
      </c>
      <c r="Z129" s="62">
        <f t="shared" si="49"/>
        <v>5.6059999999999999</v>
      </c>
      <c r="AA129" s="62">
        <f t="shared" si="36"/>
        <v>5.5610999999999997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7"/>
        <v>0215-18</v>
      </c>
      <c r="AE129" s="85" t="str">
        <f t="shared" si="38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129" s="82" t="str">
        <f t="shared" si="39"/>
        <v>"C:\Program Files (x86)\AstroGrep\AstroGrep.exe" /e /r /s /spath="%USERPROFILE%\AppData\Local\Temp\OnboardLogs" /stypes="app*4046*20170319*" /stext=" 00:.+((SYSTEM_STATE.+slice.+state.+changed )|(ment ac)|(multiple cpu faults)|(system.+state.+changed )|(\[timeout)|(PRM\|1\|D)|(kpr)|(kdp)|(\|lc)|(penalty))"</v>
      </c>
      <c r="AG129" s="1" t="str">
        <f t="shared" si="40"/>
        <v>EC</v>
      </c>
      <c r="AH129" s="86" t="str">
        <f t="shared" si="41"/>
        <v>"%USERPROFILE%\Documents\GitHub\eaglep3\Utilities\RefineRTDCRunTimes.py" --tripid 215-18 --locoid 4046 --swversion DE.1.0.9.0 --startMP 204:449 --initTime 2017-03-18T18:00:20 --startdatetime 2017-03-18T18:30:21 --delay 1 --endMP 204:56060 --enddatetime 2017-03-18T18:56:02 --enforcementcount 0 &gt;&gt;C:\Users\stu\Documents\GitHub\eaglep3-reporting\EC\2017-03-18-refined-times.txt</v>
      </c>
      <c r="AI129" s="108" t="str">
        <f t="shared" si="42"/>
        <v>echo {"issue":{"subject":"Arcing issues at Sand Creek Phase Break","project_id":79,"tracker_id":40,"status_id":1,"priority_id":2,"assigned_to_id":23,"start_date":"2017-03-18","description":"","custom_fields":[{"id":1,"name":"Subdivision","value":"EC"},{"id":4,"name":"Milepost","value":"5.606"},{"id":17,"name":"Train ID","value":"215-18"},{"id":16,"name":"Locomotive ID","value":"4046"},{"id":130,"name":"Impact","value":""},{"id":150,"name":"Time of Event (Mountain Time)","value":"18:56:02"},{"id":151,"name":"Denver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3"/>
        <v>start /low /b %USERPROFILE%\Documents\GitHub\eaglep3\Utilities\DownloadLogsFromS3.py --loco 4046 --day 2017-03-18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"%USERPROFILE%\AppData\Local\Temp\OnboardLogs"\RTDC4046\*4046*20170319* | grep -SE "(Enforcement Action)|(\[TIMEOUT)|(CHR.+\|PRM\|1\|D.+(SWITCH|SIGNAL).+UNKNOWN)" - &gt;&gt; 2017-03-18-UncaughtWiMAX.txt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588</v>
      </c>
      <c r="B130" s="7">
        <v>4046</v>
      </c>
      <c r="C130" s="21" t="s">
        <v>222</v>
      </c>
      <c r="D130" s="21" t="s">
        <v>875</v>
      </c>
      <c r="E130" s="13">
        <v>42812.769918981481</v>
      </c>
      <c r="F130" s="13">
        <v>42812.77107638889</v>
      </c>
      <c r="G130" s="7">
        <v>1</v>
      </c>
      <c r="H130" s="21" t="s">
        <v>481</v>
      </c>
      <c r="I130" s="13">
        <v>42812.788912037038</v>
      </c>
      <c r="J130" s="7">
        <v>0</v>
      </c>
      <c r="K130" s="98" t="str">
        <f t="shared" si="28"/>
        <v>4045/4046</v>
      </c>
      <c r="L130" s="21" t="str">
        <f>VLOOKUP(A130,'Trips&amp;Operators'!$C$1:$G$99999,5,FALSE)</f>
        <v>NELSON ARIANE</v>
      </c>
      <c r="M130" s="6">
        <f t="shared" si="29"/>
        <v>1.7835648148320615E-2</v>
      </c>
      <c r="N130" s="7"/>
      <c r="O130" s="7"/>
      <c r="P130" s="7"/>
      <c r="Q130" s="22"/>
      <c r="R130" s="22"/>
      <c r="S130" s="31"/>
      <c r="T130" s="46" t="str">
        <f t="shared" si="30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3</v>
      </c>
      <c r="V130" s="186" t="str">
        <f t="shared" si="31"/>
        <v>https://d0f6bd738d7f1b3e5a7ca70fe4ff75f0.us-east-1.aws.found.io/app/kibana#/discover/Steve-Slow-Train-Analysis-(2080s-and-2083s)?_g=(refreshInterval:(display:Off,pause:!f,section:0,value:0),time:(from:'2017-03-18T17:28:41-0600',mode:absolute,to:'2017-03-18T19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0" s="187" t="str">
        <f t="shared" si="32"/>
        <v>Y</v>
      </c>
      <c r="X130" s="187">
        <f t="shared" si="45"/>
        <v>0</v>
      </c>
      <c r="Y130" s="62">
        <f t="shared" si="48"/>
        <v>6.4694000000000003</v>
      </c>
      <c r="Z130" s="62">
        <f t="shared" si="49"/>
        <v>23.327000000000002</v>
      </c>
      <c r="AA130" s="62">
        <f t="shared" si="36"/>
        <v>16.857600000000001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7"/>
        <v>0215-18</v>
      </c>
      <c r="AE130" s="85" t="str">
        <f t="shared" si="38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130" s="82" t="str">
        <f t="shared" si="39"/>
        <v>"C:\Program Files (x86)\AstroGrep\AstroGrep.exe" /e /r /s /spath="%USERPROFILE%\AppData\Local\Temp\OnboardLogs" /stypes="app*4046*20170319*" /stext=" 00:.+((SYSTEM_STATE.+slice.+state.+changed )|(ment ac)|(multiple cpu faults)|(system.+state.+changed )|(\[timeout)|(PRM\|1\|D)|(kpr)|(kdp)|(\|lc)|(penalty))"</v>
      </c>
      <c r="AG130" s="1" t="str">
        <f t="shared" si="40"/>
        <v>EC</v>
      </c>
      <c r="AH130" s="86" t="str">
        <f t="shared" si="41"/>
        <v>"%USERPROFILE%\Documents\GitHub\eaglep3\Utilities\RefineRTDCRunTimes.py" --tripid 215-18 --locoid 4046 --swversion DE.1.0.9.0 --startMP 204:64694 --initTime 2017-03-18T18:28:41 --startdatetime 2017-03-18T18:30:21 --delay 1 --endMP 204:233270 --enddatetime 2017-03-18T18:56:02 --enforcementcount 0 &gt;&gt;C:\Users\stu\Documents\GitHub\eaglep3-reporting\EC\2017-03-18-refined-times.txt</v>
      </c>
      <c r="AI13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{"issue":{"subject":"","project_id":79,"tracker_id":40,"status_id":1,"priority_id":2,"assigned_to_id":23,"start_date":"2017-03-18","description":"","custom_fields":[{"id":1,"name":"Subdivision","value":"EC"},{"id":4,"name":"Milepost","value":"23.327"},{"id":17,"name":"Train ID","value":"215-18"},{"id":16,"name":"Locomotive ID","value":"4046"},{"id":130,"name":"Impact","value":""},{"id":150,"name":"Time of Event (Mountain Time)","value":"18:56:02"},{"id":151,"name":"Denver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3"/>
        <v>start /low /b %USERPROFILE%\Documents\GitHub\eaglep3\Utilities\DownloadLogsFromS3.py --loco 4046 --day 2017-03-18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"%USERPROFILE%\AppData\Local\Temp\OnboardLogs"\RTDC4046\*4046*20170319* | grep -SE "(Enforcement Action)|(\[TIMEOUT)|(CHR.+\|PRM\|1\|D.+(SWITCH|SIGNAL).+UNKNOWN)" - &gt;&gt; 2017-03-18-UncaughtWiMAX.txt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592</v>
      </c>
      <c r="B131" s="7">
        <v>4045</v>
      </c>
      <c r="C131" s="21" t="s">
        <v>222</v>
      </c>
      <c r="D131" s="21" t="s">
        <v>542</v>
      </c>
      <c r="E131" s="13">
        <v>42812.79010416667</v>
      </c>
      <c r="F131" s="13">
        <v>42812.844456018516</v>
      </c>
      <c r="G131" s="7">
        <v>2</v>
      </c>
      <c r="H131" s="21" t="s">
        <v>876</v>
      </c>
      <c r="I131" s="13">
        <v>42812.847002314818</v>
      </c>
      <c r="J131" s="7">
        <v>0</v>
      </c>
      <c r="K131" s="98" t="str">
        <f t="shared" si="28"/>
        <v>4045/4046</v>
      </c>
      <c r="L131" s="21" t="str">
        <f>VLOOKUP(A131,'Trips&amp;Operators'!$C$1:$G$99999,5,FALSE)</f>
        <v>NELSON ARIANE</v>
      </c>
      <c r="M131" s="6">
        <f t="shared" si="29"/>
        <v>2.5462963021709584E-3</v>
      </c>
      <c r="N131" s="7"/>
      <c r="O131" s="7"/>
      <c r="P131" s="7">
        <f>24*60*SUM($M131:$M133)</f>
        <v>11.00000002537854</v>
      </c>
      <c r="Q131" s="22"/>
      <c r="R131" s="22" t="s">
        <v>949</v>
      </c>
      <c r="S131" s="31">
        <f>SUM(U131:U132)/IF(AG131="EC",12,1)</f>
        <v>0.5</v>
      </c>
      <c r="T131" s="46" t="str">
        <f t="shared" si="30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3</v>
      </c>
      <c r="V131" s="186" t="str">
        <f t="shared" si="31"/>
        <v>https://d0f6bd738d7f1b3e5a7ca70fe4ff75f0.us-east-1.aws.found.io/app/kibana#/discover/Steve-Slow-Train-Analysis-(2080s-and-2083s)?_g=(refreshInterval:(display:Off,pause:!f,section:0,value:0),time:(from:'2017-03-18T17:57:45-0600',mode:absolute,to:'2017-03-18T21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1" s="187" t="str">
        <f t="shared" si="32"/>
        <v>Y</v>
      </c>
      <c r="X131" s="187">
        <f t="shared" si="45"/>
        <v>1</v>
      </c>
      <c r="Y131" s="62">
        <f t="shared" si="48"/>
        <v>23.294599999999999</v>
      </c>
      <c r="Z131" s="62">
        <f t="shared" si="49"/>
        <v>6.4785000000000004</v>
      </c>
      <c r="AA131" s="62">
        <f t="shared" si="36"/>
        <v>16.816099999999999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7"/>
        <v>0216-18</v>
      </c>
      <c r="AE131" s="85" t="str">
        <f t="shared" si="38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131" s="82" t="str">
        <f t="shared" si="39"/>
        <v>"C:\Program Files (x86)\AstroGrep\AstroGrep.exe" /e /r /s /spath="%USERPROFILE%\AppData\Local\Temp\OnboardLogs" /stypes="app*4045*20170319*" /stext=" 02:.+((SYSTEM_STATE.+slice.+state.+changed )|(ment ac)|(multiple cpu faults)|(system.+state.+changed )|(\[timeout)|(PRM\|1\|D)|(kpr)|(kdp)|(\|lc)|(penalty))"</v>
      </c>
      <c r="AG131" s="1" t="str">
        <f t="shared" si="40"/>
        <v>EC</v>
      </c>
      <c r="AH131" s="86" t="str">
        <f t="shared" si="41"/>
        <v>"%USERPROFILE%\Documents\GitHub\eaglep3\Utilities\RefineRTDCRunTimes.py" --tripid 216-18 --locoid 4045 --swversion DE.1.0.9.0 --startMP 204:232946 --initTime 2017-03-18T18:57:45 --startdatetime 2017-03-18T20:16:01 --delay 2 --endMP 204:64785 --enddatetime 2017-03-18T20:19:41 --enforcementcount 0 &gt;&gt;C:\Users\stu\Documents\GitHub\eaglep3-reporting\EC\2017-03-18-refined-times.txt</v>
      </c>
      <c r="AI131" s="108" t="str">
        <f t="shared" si="42"/>
        <v>echo {"issue":{"subject":"Arcing issues at Sand Creek Phase Break","project_id":79,"tracker_id":40,"status_id":1,"priority_id":2,"assigned_to_id":23,"start_date":"2017-03-18","description":"","custom_fields":[{"id":1,"name":"Subdivision","value":"EC"},{"id":4,"name":"Milepost","value":"6.4785"},{"id":17,"name":"Train ID","value":"216-18"},{"id":16,"name":"Locomotive ID","value":"4045"},{"id":130,"name":"Impact","value":""},{"id":150,"name":"Time of Event (Mountain Time)","value":"20:19:41"},{"id":151,"name":"Denver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3"/>
        <v>start /low /b %USERPROFILE%\Documents\GitHub\eaglep3\Utilities\DownloadLogsFromS3.py --loco 4045 --day 2017-03-18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"%USERPROFILE%\AppData\Local\Temp\OnboardLogs"\RTDC4045\*4045*20170319* | grep -SE "(Enforcement Action)|(\[TIMEOUT)|(CHR.+\|PRM\|1\|D.+(SWITCH|SIGNAL).+UNKNOWN)" - &gt;&gt; 2017-03-18-UncaughtWiMAX.txt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592</v>
      </c>
      <c r="B132" s="7">
        <v>4045</v>
      </c>
      <c r="C132" s="21" t="s">
        <v>222</v>
      </c>
      <c r="D132" s="21" t="s">
        <v>877</v>
      </c>
      <c r="E132" s="13">
        <v>42812.843182870369</v>
      </c>
      <c r="F132" s="13">
        <v>42812.844456018516</v>
      </c>
      <c r="G132" s="7">
        <v>1</v>
      </c>
      <c r="H132" s="21" t="s">
        <v>878</v>
      </c>
      <c r="I132" s="13">
        <v>42812.847002314818</v>
      </c>
      <c r="J132" s="7">
        <v>0</v>
      </c>
      <c r="K132" s="98" t="str">
        <f t="shared" si="28"/>
        <v>4045/4046</v>
      </c>
      <c r="L132" s="21" t="str">
        <f>VLOOKUP(A132,'Trips&amp;Operators'!$C$1:$G$99999,5,FALSE)</f>
        <v>NELSON ARIANE</v>
      </c>
      <c r="M132" s="6">
        <f t="shared" si="29"/>
        <v>2.5462963021709584E-3</v>
      </c>
      <c r="N132" s="7"/>
      <c r="O132" s="7"/>
      <c r="P132" s="7"/>
      <c r="Q132" s="22"/>
      <c r="R132" s="22"/>
      <c r="S132" s="31"/>
      <c r="T132" s="46" t="str">
        <f t="shared" si="30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3</v>
      </c>
      <c r="V132" s="186" t="str">
        <f t="shared" si="31"/>
        <v>https://d0f6bd738d7f1b3e5a7ca70fe4ff75f0.us-east-1.aws.found.io/app/kibana#/discover/Steve-Slow-Train-Analysis-(2080s-and-2083s)?_g=(refreshInterval:(display:Off,pause:!f,section:0,value:0),time:(from:'2017-03-18T19:14:11-0600',mode:absolute,to:'2017-03-18T21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2" s="187" t="str">
        <f t="shared" si="32"/>
        <v>Y</v>
      </c>
      <c r="X132" s="187">
        <f t="shared" si="45"/>
        <v>0</v>
      </c>
      <c r="Y132" s="62">
        <f t="shared" si="48"/>
        <v>3.6766999999999999</v>
      </c>
      <c r="Z132" s="62">
        <f t="shared" si="49"/>
        <v>9.1300000000000006E-2</v>
      </c>
      <c r="AA132" s="62">
        <f t="shared" si="36"/>
        <v>3.5853999999999999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7"/>
        <v>0216-18</v>
      </c>
      <c r="AE132" s="85" t="str">
        <f t="shared" si="38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132" s="82" t="str">
        <f t="shared" si="39"/>
        <v>"C:\Program Files (x86)\AstroGrep\AstroGrep.exe" /e /r /s /spath="%USERPROFILE%\AppData\Local\Temp\OnboardLogs" /stypes="app*4045*20170319*" /stext=" 02:.+((SYSTEM_STATE.+slice.+state.+changed )|(ment ac)|(multiple cpu faults)|(system.+state.+changed )|(\[timeout)|(PRM\|1\|D)|(kpr)|(kdp)|(\|lc)|(penalty))"</v>
      </c>
      <c r="AG132" s="1" t="str">
        <f t="shared" si="40"/>
        <v>EC</v>
      </c>
      <c r="AH132" s="86" t="str">
        <f t="shared" si="41"/>
        <v>"%USERPROFILE%\Documents\GitHub\eaglep3\Utilities\RefineRTDCRunTimes.py" --tripid 216-18 --locoid 4045 --swversion DE.1.0.9.0 --startMP 204:36767 --initTime 2017-03-18T20:14:11 --startdatetime 2017-03-18T20:16:01 --delay 1 --endMP 204:913 --enddatetime 2017-03-18T20:19:41 --enforcementcount 0 &gt;&gt;C:\Users\stu\Documents\GitHub\eaglep3-reporting\EC\2017-03-18-refined-times.txt</v>
      </c>
      <c r="AI13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{"issue":{"subject":"","project_id":79,"tracker_id":40,"status_id":1,"priority_id":2,"assigned_to_id":23,"start_date":"2017-03-18","description":"","custom_fields":[{"id":1,"name":"Subdivision","value":"EC"},{"id":4,"name":"Milepost","value":"0.0913"},{"id":17,"name":"Train ID","value":"216-18"},{"id":16,"name":"Locomotive ID","value":"4045"},{"id":130,"name":"Impact","value":""},{"id":150,"name":"Time of Event (Mountain Time)","value":"20:19:41"},{"id":151,"name":"Denver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3"/>
        <v>start /low /b %USERPROFILE%\Documents\GitHub\eaglep3\Utilities\DownloadLogsFromS3.py --loco 4045 --day 2017-03-18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"%USERPROFILE%\AppData\Local\Temp\OnboardLogs"\RTDC4045\*4045*20170319* | grep -SE "(Enforcement Action)|(\[TIMEOUT)|(CHR.+\|PRM\|1\|D.+(SWITCH|SIGNAL).+UNKNOWN)" - &gt;&gt; 2017-03-18-UncaughtWiMAX.txt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592</v>
      </c>
      <c r="B133" s="7">
        <v>4045</v>
      </c>
      <c r="C133" s="21" t="s">
        <v>222</v>
      </c>
      <c r="D133" s="21" t="s">
        <v>879</v>
      </c>
      <c r="E133" s="13">
        <v>42812.834537037037</v>
      </c>
      <c r="F133" s="13">
        <v>42812.844456018516</v>
      </c>
      <c r="G133" s="7">
        <v>1</v>
      </c>
      <c r="H133" s="21" t="s">
        <v>880</v>
      </c>
      <c r="I133" s="13">
        <v>42812.847002314818</v>
      </c>
      <c r="J133" s="7">
        <v>0</v>
      </c>
      <c r="K133" s="98" t="str">
        <f t="shared" si="28"/>
        <v>4045/4046</v>
      </c>
      <c r="L133" s="21" t="str">
        <f>VLOOKUP(A133,'Trips&amp;Operators'!$C$1:$G$99999,5,FALSE)</f>
        <v>NELSON ARIANE</v>
      </c>
      <c r="M133" s="6">
        <f t="shared" si="29"/>
        <v>2.5462963021709584E-3</v>
      </c>
      <c r="N133" s="7"/>
      <c r="O133" s="7"/>
      <c r="P133" s="7"/>
      <c r="Q133" s="22"/>
      <c r="R133" s="22"/>
      <c r="S133" s="31"/>
      <c r="T133" s="46" t="str">
        <f t="shared" si="30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</v>
      </c>
      <c r="V133" s="186" t="str">
        <f t="shared" si="31"/>
        <v>https://d0f6bd738d7f1b3e5a7ca70fe4ff75f0.us-east-1.aws.found.io/app/kibana#/discover/Steve-Slow-Train-Analysis-(2080s-and-2083s)?_g=(refreshInterval:(display:Off,pause:!f,section:0,value:0),time:(from:'2017-03-18T19:01:44-0600',mode:absolute,to:'2017-03-18T21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187" t="str">
        <f t="shared" si="32"/>
        <v>Y</v>
      </c>
      <c r="X133" s="187">
        <f t="shared" si="45"/>
        <v>0</v>
      </c>
      <c r="Y133" s="62">
        <f t="shared" si="48"/>
        <v>6.4166999999999996</v>
      </c>
      <c r="Z133" s="62">
        <f t="shared" si="49"/>
        <v>6.1631999999999998</v>
      </c>
      <c r="AA133" s="62">
        <f t="shared" si="36"/>
        <v>0.25349999999999984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7"/>
        <v>0216-18</v>
      </c>
      <c r="AE133" s="85" t="str">
        <f t="shared" si="38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133" s="82" t="str">
        <f t="shared" si="39"/>
        <v>"C:\Program Files (x86)\AstroGrep\AstroGrep.exe" /e /r /s /spath="%USERPROFILE%\AppData\Local\Temp\OnboardLogs" /stypes="app*4045*20170319*" /stext=" 02:.+((SYSTEM_STATE.+slice.+state.+changed )|(ment ac)|(multiple cpu faults)|(system.+state.+changed )|(\[timeout)|(PRM\|1\|D)|(kpr)|(kdp)|(\|lc)|(penalty))"</v>
      </c>
      <c r="AG133" s="1" t="str">
        <f t="shared" si="40"/>
        <v>EC</v>
      </c>
      <c r="AH133" s="86" t="str">
        <f t="shared" si="41"/>
        <v>"%USERPROFILE%\Documents\GitHub\eaglep3\Utilities\RefineRTDCRunTimes.py" --tripid 216-18 --locoid 4045 --swversion DE.1.0.9.0 --startMP 204:64167 --initTime 2017-03-18T20:01:44 --startdatetime 2017-03-18T20:16:01 --delay 1 --endMP 204:61632 --enddatetime 2017-03-18T20:19:41 --enforcementcount 0 &gt;&gt;C:\Users\stu\Documents\GitHub\eaglep3-reporting\EC\2017-03-18-refined-times.txt</v>
      </c>
      <c r="AI13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{"issue":{"subject":"","project_id":79,"tracker_id":40,"status_id":1,"priority_id":2,"assigned_to_id":23,"start_date":"2017-03-18","description":"","custom_fields":[{"id":1,"name":"Subdivision","value":"EC"},{"id":4,"name":"Milepost","value":"6.1632"},{"id":17,"name":"Train ID","value":"216-18"},{"id":16,"name":"Locomotive ID","value":"4045"},{"id":130,"name":"Impact","value":""},{"id":150,"name":"Time of Event (Mountain Time)","value":"20:19:41"},{"id":151,"name":"Denver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3"/>
        <v>start /low /b %USERPROFILE%\Documents\GitHub\eaglep3\Utilities\DownloadLogsFromS3.py --loco 4045 --day 2017-03-18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"%USERPROFILE%\AppData\Local\Temp\OnboardLogs"\RTDC4045\*4045*20170319* | grep -SE "(Enforcement Action)|(\[TIMEOUT)|(CHR.+\|PRM\|1\|D.+(SWITCH|SIGNAL).+UNKNOWN)" - &gt;&gt; 2017-03-18-UncaughtWiMAX.txt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734</v>
      </c>
      <c r="B134" s="7">
        <v>4024</v>
      </c>
      <c r="C134" s="21" t="s">
        <v>222</v>
      </c>
      <c r="D134" s="21" t="s">
        <v>218</v>
      </c>
      <c r="E134" s="13">
        <v>42812.755937499998</v>
      </c>
      <c r="F134" s="13">
        <v>42812.761990740742</v>
      </c>
      <c r="G134" s="7">
        <v>3</v>
      </c>
      <c r="H134" s="21" t="s">
        <v>809</v>
      </c>
      <c r="I134" s="13">
        <v>42812.790914351855</v>
      </c>
      <c r="J134" s="7">
        <v>0</v>
      </c>
      <c r="K134" s="98" t="str">
        <f t="shared" si="28"/>
        <v>4023/4024</v>
      </c>
      <c r="L134" s="21" t="str">
        <f>VLOOKUP(A134,'Trips&amp;Operators'!$C$1:$G$99999,5,FALSE)</f>
        <v>STAMBAUGH JAMES</v>
      </c>
      <c r="M134" s="6">
        <f t="shared" si="29"/>
        <v>2.8923611112986691E-2</v>
      </c>
      <c r="N134" s="7">
        <f>24*60*SUM($M134:$M134)</f>
        <v>41.650000002700835</v>
      </c>
      <c r="O134" s="7"/>
      <c r="P134" s="7"/>
      <c r="Q134" s="22"/>
      <c r="R134" s="22"/>
      <c r="S134" s="31">
        <f t="shared" ref="S134:S143" si="51">SUM(U134:U134)/IF(AG134="EC",12,1)</f>
        <v>1</v>
      </c>
      <c r="T134" s="46" t="str">
        <f t="shared" si="30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1"/>
        <v>https://d0f6bd738d7f1b3e5a7ca70fe4ff75f0.us-east-1.aws.found.io/app/kibana#/discover/Steve-Slow-Train-Analysis-(2080s-and-2083s)?_g=(refreshInterval:(display:Off,pause:!f,section:0,value:0),time:(from:'2017-03-18T17:08:33-0600',mode:absolute,to:'2017-03-18T19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4" s="187" t="str">
        <f t="shared" si="32"/>
        <v>N</v>
      </c>
      <c r="X134" s="187">
        <f t="shared" si="45"/>
        <v>1</v>
      </c>
      <c r="Y134" s="62">
        <f t="shared" si="48"/>
        <v>4.4699999999999997E-2</v>
      </c>
      <c r="Z134" s="62">
        <f t="shared" si="49"/>
        <v>23.339099999999998</v>
      </c>
      <c r="AA134" s="62">
        <f t="shared" si="36"/>
        <v>23.2944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7"/>
        <v>0217-18</v>
      </c>
      <c r="AE134" s="85" t="str">
        <f t="shared" si="38"/>
        <v>aws s3 cp s3://rtdc.mdm.uploadarchive.raw/RTDC4024/ "%USERPROFILE%\AppData\Local\Temp\OnboardLogs"\RTDC4024\2017-03-18 --exclude "*" --recursive --include "*20170318*" &amp; "%USERPROFILE%\Documents\GitHub\mrs-test-scripts\Headless Mode &amp; Sideloading\WalkAndUnGZ.bat" "%USERPROFILE%\AppData\Local\Temp\OnboardLogs"\RTDC4024\2017-03-18 &amp; aws s3 cp s3://rtdc.mdm.uploadarchive.raw/RTDC4024/ "%USERPROFILE%\AppData\Local\Temp\OnboardLogs"\RTDC4024\2017-03-19 --exclude "*" --recursive --include "*20170319*" &amp; "%USERPROFILE%\Documents\GitHub\mrs-test-scripts\Headless Mode &amp; Sideloading\WalkAndUnGZ.bat" "%USERPROFILE%\AppData\Local\Temp\OnboardLogs"\RTDC4024\2017-03-19</v>
      </c>
      <c r="AF134" s="82" t="str">
        <f t="shared" si="39"/>
        <v>"C:\Program Files (x86)\AstroGrep\AstroGrep.exe" /e /r /s /spath="%USERPROFILE%\AppData\Local\Temp\OnboardLogs" /stypes="app*4024*20170319*" /stext=" 00:.+((SYSTEM_STATE.+slice.+state.+changed )|(ment ac)|(multiple cpu faults)|(system.+state.+changed )|(\[timeout)|(PRM\|1\|D)|(kpr)|(kdp)|(\|lc)|(penalty))"</v>
      </c>
      <c r="AG134" s="1" t="str">
        <f t="shared" si="40"/>
        <v>EC</v>
      </c>
      <c r="AH134" s="86" t="str">
        <f t="shared" si="41"/>
        <v>"%USERPROFILE%\Documents\GitHub\eaglep3\Utilities\RefineRTDCRunTimes.py" --tripid 217-18 --locoid 4024 --swversion DE.1.0.9.0 --startMP 204:447 --initTime 2017-03-18T18:08:33 --startdatetime 2017-03-18T18:17:16 --delay 3 --endMP 204:233391 --enddatetime 2017-03-18T18:58:55 --enforcementcount 0 &gt;&gt;C:\Users\stu\Documents\GitHub\eaglep3-reporting\EC\2017-03-18-refined-times.txt</v>
      </c>
      <c r="AI134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{"issue":{"subject":"","project_id":79,"tracker_id":40,"status_id":1,"priority_id":2,"assigned_to_id":23,"start_date":"2017-03-18","description":"","custom_fields":[{"id":1,"name":"Subdivision","value":"EC"},{"id":4,"name":"Milepost","value":"23.3391"},{"id":17,"name":"Train ID","value":"217-18"},{"id":16,"name":"Locomotive ID","value":"4024"},{"id":130,"name":"Impact","value":""},{"id":150,"name":"Time of Event (Mountain Time)","value":"18:58:55"},{"id":151,"name":"Denver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3"/>
        <v>start /low /b %USERPROFILE%\Documents\GitHub\eaglep3\Utilities\DownloadLogsFromS3.py --loco 4024 --day 2017-03-18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"%USERPROFILE%\AppData\Local\Temp\OnboardLogs"\RTDC4024\*4024*20170319* | grep -SE "(Enforcement Action)|(\[TIMEOUT)|(CHR.+\|PRM\|1\|D.+(SWITCH|SIGNAL).+UNKNOWN)" - &gt;&gt; 2017-03-18-UncaughtWiMAX.txt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740</v>
      </c>
      <c r="B135" s="7">
        <v>4023</v>
      </c>
      <c r="C135" s="21" t="s">
        <v>222</v>
      </c>
      <c r="D135" s="21" t="s">
        <v>543</v>
      </c>
      <c r="E135" s="13">
        <v>42812.796944444446</v>
      </c>
      <c r="F135" s="13">
        <v>42812.800127314818</v>
      </c>
      <c r="G135" s="7">
        <v>1</v>
      </c>
      <c r="H135" s="21" t="s">
        <v>881</v>
      </c>
      <c r="I135" s="13">
        <v>42812.85083333333</v>
      </c>
      <c r="J135" s="7">
        <v>0</v>
      </c>
      <c r="K135" s="98" t="str">
        <f t="shared" si="28"/>
        <v>4023/4024</v>
      </c>
      <c r="L135" s="21" t="str">
        <f>VLOOKUP(A135,'Trips&amp;Operators'!$C$1:$G$99999,5,FALSE)</f>
        <v>STAMBAUGH JAMES</v>
      </c>
      <c r="M135" s="6">
        <f t="shared" si="29"/>
        <v>5.0706018511846196E-2</v>
      </c>
      <c r="N135" s="7"/>
      <c r="O135" s="7"/>
      <c r="P135" s="7">
        <f>24*60*SUM($M135:$M135)</f>
        <v>73.016666657058522</v>
      </c>
      <c r="Q135" s="22"/>
      <c r="R135" s="22" t="s">
        <v>949</v>
      </c>
      <c r="S135" s="31">
        <f t="shared" si="51"/>
        <v>0.75</v>
      </c>
      <c r="T135" s="46" t="str">
        <f t="shared" si="30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9</v>
      </c>
      <c r="V135" s="186" t="str">
        <f t="shared" si="31"/>
        <v>https://d0f6bd738d7f1b3e5a7ca70fe4ff75f0.us-east-1.aws.found.io/app/kibana#/discover/Steve-Slow-Train-Analysis-(2080s-and-2083s)?_g=(refreshInterval:(display:Off,pause:!f,section:0,value:0),time:(from:'2017-03-18T18:07:36-0600',mode:absolute,to:'2017-03-18T21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5" s="187" t="str">
        <f t="shared" si="32"/>
        <v>Y</v>
      </c>
      <c r="X135" s="187">
        <f t="shared" si="45"/>
        <v>1</v>
      </c>
      <c r="Y135" s="62">
        <f t="shared" si="48"/>
        <v>23.307400000000001</v>
      </c>
      <c r="Z135" s="62">
        <f t="shared" si="49"/>
        <v>3.681</v>
      </c>
      <c r="AA135" s="62">
        <f t="shared" si="36"/>
        <v>19.6264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7"/>
        <v>0218-18</v>
      </c>
      <c r="AE135" s="85" t="str">
        <f t="shared" si="38"/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AF135" s="82" t="str">
        <f t="shared" si="39"/>
        <v>"C:\Program Files (x86)\AstroGrep\AstroGrep.exe" /e /r /s /spath="%USERPROFILE%\AppData\Local\Temp\OnboardLogs" /stypes="app*4023*20170319*" /stext=" 02:.+((SYSTEM_STATE.+slice.+state.+changed )|(ment ac)|(multiple cpu faults)|(system.+state.+changed )|(\[timeout)|(PRM\|1\|D)|(kpr)|(kdp)|(\|lc)|(penalty))"</v>
      </c>
      <c r="AG135" s="1" t="str">
        <f t="shared" si="40"/>
        <v>EC</v>
      </c>
      <c r="AH135" s="86" t="str">
        <f t="shared" si="41"/>
        <v>"%USERPROFILE%\Documents\GitHub\eaglep3\Utilities\RefineRTDCRunTimes.py" --tripid 218-18 --locoid 4023 --swversion DE.1.0.9.0 --startMP 204:233074 --initTime 2017-03-18T19:07:36 --startdatetime 2017-03-18T19:12:11 --delay 1 --endMP 204:36810 --enddatetime 2017-03-18T20:25:12 --enforcementcount 0 &gt;&gt;C:\Users\stu\Documents\GitHub\eaglep3-reporting\EC\2017-03-18-refined-times.txt</v>
      </c>
      <c r="AI135" s="108" t="str">
        <f t="shared" si="42"/>
        <v>echo {"issue":{"subject":"Arcing issues at Sand Creek Phase Break","project_id":79,"tracker_id":40,"status_id":1,"priority_id":2,"assigned_to_id":23,"start_date":"2017-03-18","description":"","custom_fields":[{"id":1,"name":"Subdivision","value":"EC"},{"id":4,"name":"Milepost","value":"3.681"},{"id":17,"name":"Train ID","value":"218-18"},{"id":16,"name":"Locomotive ID","value":"4023"},{"id":130,"name":"Impact","value":""},{"id":150,"name":"Time of Event (Mountain Time)","value":"20:25:12"},{"id":151,"name":"Denver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3"/>
        <v>start /low /b %USERPROFILE%\Documents\GitHub\eaglep3\Utilities\DownloadLogsFromS3.py --loco 4023 --day 2017-03-18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"%USERPROFILE%\AppData\Local\Temp\OnboardLogs"\RTDC4023\*4023*20170319* | grep -SE "(Enforcement Action)|(\[TIMEOUT)|(CHR.+\|PRM\|1\|D.+(SWITCH|SIGNAL).+UNKNOWN)" - &gt;&gt; 2017-03-18-UncaughtWiMAX.txt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736</v>
      </c>
      <c r="B136" s="7">
        <v>4011</v>
      </c>
      <c r="C136" s="21" t="s">
        <v>222</v>
      </c>
      <c r="D136" s="21" t="s">
        <v>882</v>
      </c>
      <c r="E136" s="13">
        <v>42812.767013888886</v>
      </c>
      <c r="F136" s="13">
        <v>42812.771527777775</v>
      </c>
      <c r="G136" s="7">
        <v>2</v>
      </c>
      <c r="H136" s="21" t="s">
        <v>453</v>
      </c>
      <c r="I136" s="13">
        <v>42812.805636574078</v>
      </c>
      <c r="J136" s="7">
        <v>0</v>
      </c>
      <c r="K136" s="98" t="str">
        <f t="shared" si="28"/>
        <v>4011/4012</v>
      </c>
      <c r="L136" s="21" t="str">
        <f>VLOOKUP(A136,'Trips&amp;Operators'!$C$1:$G$99999,5,FALSE)</f>
        <v>SWANSON BRYCE</v>
      </c>
      <c r="M136" s="6">
        <f t="shared" si="29"/>
        <v>3.4108796302461997E-2</v>
      </c>
      <c r="N136" s="7">
        <f t="shared" ref="N136:N141" si="52">24*60*SUM($M136:$M136)</f>
        <v>49.116666675545275</v>
      </c>
      <c r="O136" s="7"/>
      <c r="P136" s="7"/>
      <c r="Q136" s="22"/>
      <c r="R136" s="22"/>
      <c r="S136" s="31">
        <f t="shared" si="51"/>
        <v>1</v>
      </c>
      <c r="T136" s="46" t="str">
        <f t="shared" si="30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1"/>
        <v>https://d0f6bd738d7f1b3e5a7ca70fe4ff75f0.us-east-1.aws.found.io/app/kibana#/discover/Steve-Slow-Train-Analysis-(2080s-and-2083s)?_g=(refreshInterval:(display:Off,pause:!f,section:0,value:0),time:(from:'2017-03-18T17:24:30-0600',mode:absolute,to:'2017-03-18T20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6" s="187" t="str">
        <f t="shared" si="32"/>
        <v>N</v>
      </c>
      <c r="X136" s="187">
        <f t="shared" si="45"/>
        <v>1</v>
      </c>
      <c r="Y136" s="62">
        <f t="shared" si="48"/>
        <v>0.115</v>
      </c>
      <c r="Z136" s="62">
        <f t="shared" si="49"/>
        <v>23.328600000000002</v>
      </c>
      <c r="AA136" s="62">
        <f t="shared" si="36"/>
        <v>23.213600000000003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7"/>
        <v>0219-18</v>
      </c>
      <c r="AE136" s="85" t="str">
        <f t="shared" si="38"/>
        <v>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 &amp; aws s3 cp s3://rtdc.mdm.uploadarchive.raw/RTDC4011/ "%USERPROFILE%\AppData\Local\Temp\OnboardLogs"\RTDC4011\2017-03-19 --exclude "*" --recursive --include "*20170319*" &amp; "%USERPROFILE%\Documents\GitHub\mrs-test-scripts\Headless Mode &amp; Sideloading\WalkAndUnGZ.bat" "%USERPROFILE%\AppData\Local\Temp\OnboardLogs"\RTDC4011\2017-03-19</v>
      </c>
      <c r="AF136" s="82" t="str">
        <f t="shared" si="39"/>
        <v>"C:\Program Files (x86)\AstroGrep\AstroGrep.exe" /e /r /s /spath="%USERPROFILE%\AppData\Local\Temp\OnboardLogs" /stypes="app*4011*20170319*" /stext=" 01:.+((SYSTEM_STATE.+slice.+state.+changed )|(ment ac)|(multiple cpu faults)|(system.+state.+changed )|(\[timeout)|(PRM\|1\|D)|(kpr)|(kdp)|(\|lc)|(penalty))"</v>
      </c>
      <c r="AG136" s="1" t="str">
        <f t="shared" si="40"/>
        <v>EC</v>
      </c>
      <c r="AH136" s="86" t="str">
        <f t="shared" si="41"/>
        <v>"%USERPROFILE%\Documents\GitHub\eaglep3\Utilities\RefineRTDCRunTimes.py" --tripid 219-18 --locoid 4011 --swversion DE.1.0.9.0 --startMP 204:1150 --initTime 2017-03-18T18:24:30 --startdatetime 2017-03-18T18:31:00 --delay 2 --endMP 204:233286 --enddatetime 2017-03-18T19:20:07 --enforcementcount 0 &gt;&gt;C:\Users\stu\Documents\GitHub\eaglep3-reporting\EC\2017-03-18-refined-times.txt</v>
      </c>
      <c r="AI13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{"issue":{"subject":"","project_id":79,"tracker_id":40,"status_id":1,"priority_id":2,"assigned_to_id":23,"start_date":"2017-03-18","description":"","custom_fields":[{"id":1,"name":"Subdivision","value":"EC"},{"id":4,"name":"Milepost","value":"23.3286"},{"id":17,"name":"Train ID","value":"219-18"},{"id":16,"name":"Locomotive ID","value":"4011"},{"id":130,"name":"Impact","value":""},{"id":150,"name":"Time of Event (Mountain Time)","value":"19:20:07"},{"id":151,"name":"Denver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3"/>
        <v>start /low /b %USERPROFILE%\Documents\GitHub\eaglep3\Utilities\DownloadLogsFromS3.py --loco 4011 --day 2017-03-18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"%USERPROFILE%\AppData\Local\Temp\OnboardLogs"\RTDC4011\*4011*20170319* | grep -SE "(Enforcement Action)|(\[TIMEOUT)|(CHR.+\|PRM\|1\|D.+(SWITCH|SIGNAL).+UNKNOWN)" - &gt;&gt; 2017-03-18-UncaughtWiMAX.txt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743</v>
      </c>
      <c r="B137" s="7">
        <v>4012</v>
      </c>
      <c r="C137" s="21" t="s">
        <v>222</v>
      </c>
      <c r="D137" s="21" t="s">
        <v>523</v>
      </c>
      <c r="E137" s="13">
        <v>42812.808194444442</v>
      </c>
      <c r="F137" s="13">
        <v>42812.819479166668</v>
      </c>
      <c r="G137" s="7">
        <v>1</v>
      </c>
      <c r="H137" s="21" t="s">
        <v>799</v>
      </c>
      <c r="I137" s="13">
        <v>42812.872835648152</v>
      </c>
      <c r="J137" s="7">
        <v>0</v>
      </c>
      <c r="K137" s="98" t="str">
        <f t="shared" si="28"/>
        <v>4011/4012</v>
      </c>
      <c r="L137" s="21" t="str">
        <f>VLOOKUP(A137,'Trips&amp;Operators'!$C$1:$G$99999,5,FALSE)</f>
        <v>SWANSON BRYCE</v>
      </c>
      <c r="M137" s="6">
        <f t="shared" si="29"/>
        <v>5.3356481483206153E-2</v>
      </c>
      <c r="N137" s="7">
        <f t="shared" si="52"/>
        <v>76.83333333581686</v>
      </c>
      <c r="O137" s="7"/>
      <c r="P137" s="7"/>
      <c r="Q137" s="22"/>
      <c r="R137" s="22"/>
      <c r="S137" s="31">
        <f t="shared" si="51"/>
        <v>1</v>
      </c>
      <c r="T137" s="46" t="str">
        <f t="shared" si="30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1"/>
        <v>https://d0f6bd738d7f1b3e5a7ca70fe4ff75f0.us-east-1.aws.found.io/app/kibana#/discover/Steve-Slow-Train-Analysis-(2080s-and-2083s)?_g=(refreshInterval:(display:Off,pause:!f,section:0,value:0),time:(from:'2017-03-18T18:23:48-0600',mode:absolute,to:'2017-03-18T21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187" t="str">
        <f t="shared" si="32"/>
        <v>N</v>
      </c>
      <c r="X137" s="187">
        <f t="shared" si="45"/>
        <v>1</v>
      </c>
      <c r="Y137" s="62">
        <f t="shared" si="48"/>
        <v>23.296099999999999</v>
      </c>
      <c r="Z137" s="62">
        <f t="shared" si="49"/>
        <v>1.89E-2</v>
      </c>
      <c r="AA137" s="62">
        <f t="shared" si="36"/>
        <v>23.277200000000001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7"/>
        <v>0220-18</v>
      </c>
      <c r="AE137" s="85" t="str">
        <f t="shared" si="38"/>
        <v>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 &amp; aws s3 cp s3://rtdc.mdm.uploadarchive.raw/RTDC4012/ "%USERPROFILE%\AppData\Local\Temp\OnboardLogs"\RTDC4012\2017-03-19 --exclude "*" --recursive --include "*20170319*" &amp; "%USERPROFILE%\Documents\GitHub\mrs-test-scripts\Headless Mode &amp; Sideloading\WalkAndUnGZ.bat" "%USERPROFILE%\AppData\Local\Temp\OnboardLogs"\RTDC4012\2017-03-19</v>
      </c>
      <c r="AF137" s="82" t="str">
        <f t="shared" si="39"/>
        <v>"C:\Program Files (x86)\AstroGrep\AstroGrep.exe" /e /r /s /spath="%USERPROFILE%\AppData\Local\Temp\OnboardLogs" /stypes="app*4012*20170319*" /stext=" 02:.+((SYSTEM_STATE.+slice.+state.+changed )|(ment ac)|(multiple cpu faults)|(system.+state.+changed )|(\[timeout)|(PRM\|1\|D)|(kpr)|(kdp)|(\|lc)|(penalty))"</v>
      </c>
      <c r="AG137" s="1" t="str">
        <f t="shared" si="40"/>
        <v>EC</v>
      </c>
      <c r="AH137" s="86" t="str">
        <f t="shared" si="41"/>
        <v>"%USERPROFILE%\Documents\GitHub\eaglep3\Utilities\RefineRTDCRunTimes.py" --tripid 220-18 --locoid 4012 --swversion DE.1.0.9.0 --startMP 204:232961 --initTime 2017-03-18T19:23:48 --startdatetime 2017-03-18T19:40:03 --delay 1 --endMP 204:189 --enddatetime 2017-03-18T20:56:53 --enforcementcount 0 &gt;&gt;C:\Users\stu\Documents\GitHub\eaglep3-reporting\EC\2017-03-18-refined-times.txt</v>
      </c>
      <c r="AI137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{"issue":{"subject":"","project_id":79,"tracker_id":40,"status_id":1,"priority_id":2,"assigned_to_id":23,"start_date":"2017-03-18","description":"","custom_fields":[{"id":1,"name":"Subdivision","value":"EC"},{"id":4,"name":"Milepost","value":"0.0189"},{"id":17,"name":"Train ID","value":"220-18"},{"id":16,"name":"Locomotive ID","value":"4012"},{"id":130,"name":"Impact","value":""},{"id":150,"name":"Time of Event (Mountain Time)","value":"20:56:53"},{"id":151,"name":"Denver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3"/>
        <v>start /low /b %USERPROFILE%\Documents\GitHub\eaglep3\Utilities\DownloadLogsFromS3.py --loco 4012 --day 2017-03-18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"%USERPROFILE%\AppData\Local\Temp\OnboardLogs"\RTDC4012\*4012*20170319* | grep -SE "(Enforcement Action)|(\[TIMEOUT)|(CHR.+\|PRM\|1\|D.+(SWITCH|SIGNAL).+UNKNOWN)" - &gt;&gt; 2017-03-18-UncaughtWiMAX.txt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738</v>
      </c>
      <c r="B138" s="7">
        <v>4027</v>
      </c>
      <c r="C138" s="21" t="s">
        <v>222</v>
      </c>
      <c r="D138" s="21" t="s">
        <v>207</v>
      </c>
      <c r="E138" s="13">
        <v>42812.779918981483</v>
      </c>
      <c r="F138" s="13">
        <v>42812.791828703703</v>
      </c>
      <c r="G138" s="7">
        <v>1</v>
      </c>
      <c r="H138" s="21" t="s">
        <v>883</v>
      </c>
      <c r="I138" s="13">
        <v>42812.821944444448</v>
      </c>
      <c r="J138" s="7">
        <v>0</v>
      </c>
      <c r="K138" s="98" t="str">
        <f t="shared" si="28"/>
        <v>4027/4028</v>
      </c>
      <c r="L138" s="21" t="str">
        <f>VLOOKUP(A138,'Trips&amp;Operators'!$C$1:$G$99999,5,FALSE)</f>
        <v>BROWN JACOB</v>
      </c>
      <c r="M138" s="6">
        <f t="shared" si="29"/>
        <v>3.0115740744804498E-2</v>
      </c>
      <c r="N138" s="7">
        <f t="shared" si="52"/>
        <v>43.366666672518477</v>
      </c>
      <c r="O138" s="7"/>
      <c r="P138" s="7"/>
      <c r="Q138" s="22"/>
      <c r="R138" s="22"/>
      <c r="S138" s="31">
        <f t="shared" si="51"/>
        <v>1</v>
      </c>
      <c r="T138" s="46" t="str">
        <f t="shared" si="30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1"/>
        <v>https://d0f6bd738d7f1b3e5a7ca70fe4ff75f0.us-east-1.aws.found.io/app/kibana#/discover/Steve-Slow-Train-Analysis-(2080s-and-2083s)?_g=(refreshInterval:(display:Off,pause:!f,section:0,value:0),time:(from:'2017-03-18T17:43:05-0600',mode:absolute,to:'2017-03-18T20:43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187" t="str">
        <f t="shared" si="32"/>
        <v>N</v>
      </c>
      <c r="X138" s="187">
        <f t="shared" si="45"/>
        <v>1</v>
      </c>
      <c r="Y138" s="62">
        <f t="shared" si="48"/>
        <v>4.5100000000000001E-2</v>
      </c>
      <c r="Z138" s="62">
        <f t="shared" si="49"/>
        <v>23.3276</v>
      </c>
      <c r="AA138" s="62">
        <f t="shared" si="36"/>
        <v>23.282499999999999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7"/>
        <v>0221-18</v>
      </c>
      <c r="AE138" s="85" t="str">
        <f t="shared" si="38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138" s="82" t="str">
        <f t="shared" si="39"/>
        <v>"C:\Program Files (x86)\AstroGrep\AstroGrep.exe" /e /r /s /spath="%USERPROFILE%\AppData\Local\Temp\OnboardLogs" /stypes="app*4027*20170319*" /stext=" 01:.+((SYSTEM_STATE.+slice.+state.+changed )|(ment ac)|(multiple cpu faults)|(system.+state.+changed )|(\[timeout)|(PRM\|1\|D)|(kpr)|(kdp)|(\|lc)|(penalty))"</v>
      </c>
      <c r="AG138" s="1" t="str">
        <f t="shared" si="40"/>
        <v>EC</v>
      </c>
      <c r="AH138" s="86" t="str">
        <f t="shared" si="41"/>
        <v>"%USERPROFILE%\Documents\GitHub\eaglep3\Utilities\RefineRTDCRunTimes.py" --tripid 221-18 --locoid 4027 --swversion DE.1.0.9.0 --startMP 204:451 --initTime 2017-03-18T18:43:05 --startdatetime 2017-03-18T19:00:14 --delay 1 --endMP 204:233276 --enddatetime 2017-03-18T19:43:36 --enforcementcount 0 &gt;&gt;C:\Users\stu\Documents\GitHub\eaglep3-reporting\EC\2017-03-18-refined-times.txt</v>
      </c>
      <c r="AI13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{"issue":{"subject":"","project_id":79,"tracker_id":40,"status_id":1,"priority_id":2,"assigned_to_id":23,"start_date":"2017-03-18","description":"","custom_fields":[{"id":1,"name":"Subdivision","value":"EC"},{"id":4,"name":"Milepost","value":"23.3276"},{"id":17,"name":"Train ID","value":"221-18"},{"id":16,"name":"Locomotive ID","value":"4027"},{"id":130,"name":"Impact","value":""},{"id":150,"name":"Time of Event (Mountain Time)","value":"19:43:36"},{"id":151,"name":"Denver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3"/>
        <v>start /low /b %USERPROFILE%\Documents\GitHub\eaglep3\Utilities\DownloadLogsFromS3.py --loco 4027 --day 2017-03-18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"%USERPROFILE%\AppData\Local\Temp\OnboardLogs"\RTDC4027\*4027*20170319* | grep -SE "(Enforcement Action)|(\[TIMEOUT)|(CHR.+\|PRM\|1\|D.+(SWITCH|SIGNAL).+UNKNOWN)" - &gt;&gt; 2017-03-18-UncaughtWiMAX.txt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593</v>
      </c>
      <c r="B139" s="7">
        <v>4028</v>
      </c>
      <c r="C139" s="21" t="s">
        <v>222</v>
      </c>
      <c r="D139" s="21" t="s">
        <v>454</v>
      </c>
      <c r="E139" s="13">
        <v>42812.832824074074</v>
      </c>
      <c r="F139" s="13">
        <v>42812.834363425929</v>
      </c>
      <c r="G139" s="7">
        <v>1</v>
      </c>
      <c r="H139" s="21" t="s">
        <v>884</v>
      </c>
      <c r="I139" s="13">
        <v>42812.881365740737</v>
      </c>
      <c r="J139" s="7">
        <v>0</v>
      </c>
      <c r="K139" s="98" t="str">
        <f t="shared" si="28"/>
        <v>4027/4028</v>
      </c>
      <c r="L139" s="21" t="str">
        <f>VLOOKUP(A139,'Trips&amp;Operators'!$C$1:$G$99999,5,FALSE)</f>
        <v>BROWN JACOB</v>
      </c>
      <c r="M139" s="6">
        <f t="shared" si="29"/>
        <v>4.7002314808196388E-2</v>
      </c>
      <c r="N139" s="7">
        <f t="shared" si="52"/>
        <v>67.683333323802799</v>
      </c>
      <c r="O139" s="7"/>
      <c r="P139" s="7"/>
      <c r="Q139" s="22"/>
      <c r="R139" s="22"/>
      <c r="S139" s="31">
        <f t="shared" si="51"/>
        <v>1</v>
      </c>
      <c r="T139" s="46" t="str">
        <f t="shared" si="30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1"/>
        <v>https://d0f6bd738d7f1b3e5a7ca70fe4ff75f0.us-east-1.aws.found.io/app/kibana#/discover/Steve-Slow-Train-Analysis-(2080s-and-2083s)?_g=(refreshInterval:(display:Off,pause:!f,section:0,value:0),time:(from:'2017-03-18T18:59:16-0600',mode:absolute,to:'2017-03-18T22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87" t="str">
        <f t="shared" si="32"/>
        <v>N</v>
      </c>
      <c r="X139" s="187">
        <f t="shared" si="45"/>
        <v>1</v>
      </c>
      <c r="Y139" s="62">
        <f t="shared" si="48"/>
        <v>23.301300000000001</v>
      </c>
      <c r="Z139" s="62">
        <f t="shared" si="49"/>
        <v>3.2399999999999998E-2</v>
      </c>
      <c r="AA139" s="62">
        <f t="shared" si="36"/>
        <v>23.268900000000002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7"/>
        <v>0222-18</v>
      </c>
      <c r="AE139" s="85" t="str">
        <f t="shared" si="38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139" s="82" t="str">
        <f t="shared" si="39"/>
        <v>"C:\Program Files (x86)\AstroGrep\AstroGrep.exe" /e /r /s /spath="%USERPROFILE%\AppData\Local\Temp\OnboardLogs" /stypes="app*4028*20170319*" /stext=" 03:.+((SYSTEM_STATE.+slice.+state.+changed )|(ment ac)|(multiple cpu faults)|(system.+state.+changed )|(\[timeout)|(PRM\|1\|D)|(kpr)|(kdp)|(\|lc)|(penalty))"</v>
      </c>
      <c r="AG139" s="1" t="str">
        <f t="shared" si="40"/>
        <v>EC</v>
      </c>
      <c r="AH139" s="86" t="str">
        <f t="shared" si="41"/>
        <v>"%USERPROFILE%\Documents\GitHub\eaglep3\Utilities\RefineRTDCRunTimes.py" --tripid 222-18 --locoid 4028 --swversion DE.1.0.9.0 --startMP 204:233013 --initTime 2017-03-18T19:59:16 --startdatetime 2017-03-18T20:01:29 --delay 1 --endMP 204:324 --enddatetime 2017-03-18T21:09:10 --enforcementcount 0 &gt;&gt;C:\Users\stu\Documents\GitHub\eaglep3-reporting\EC\2017-03-18-refined-times.txt</v>
      </c>
      <c r="AI13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{"issue":{"subject":"","project_id":79,"tracker_id":40,"status_id":1,"priority_id":2,"assigned_to_id":23,"start_date":"2017-03-18","description":"","custom_fields":[{"id":1,"name":"Subdivision","value":"EC"},{"id":4,"name":"Milepost","value":"0.0324"},{"id":17,"name":"Train ID","value":"222-18"},{"id":16,"name":"Locomotive ID","value":"4028"},{"id":130,"name":"Impact","value":""},{"id":150,"name":"Time of Event (Mountain Time)","value":"21:09:10"},{"id":151,"name":"Denver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3"/>
        <v>start /low /b %USERPROFILE%\Documents\GitHub\eaglep3\Utilities\DownloadLogsFromS3.py --loco 4028 --day 2017-03-18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"%USERPROFILE%\AppData\Local\Temp\OnboardLogs"\RTDC4028\*4028*20170319* | grep -SE "(Enforcement Action)|(\[TIMEOUT)|(CHR.+\|PRM\|1\|D.+(SWITCH|SIGNAL).+UNKNOWN)" - &gt;&gt; 2017-03-18-UncaughtWiMAX.txt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742</v>
      </c>
      <c r="B140" s="7">
        <v>4031</v>
      </c>
      <c r="C140" s="21" t="s">
        <v>222</v>
      </c>
      <c r="D140" s="21" t="s">
        <v>223</v>
      </c>
      <c r="E140" s="13">
        <v>42812.809444444443</v>
      </c>
      <c r="F140" s="13">
        <v>42812.813402777778</v>
      </c>
      <c r="G140" s="7">
        <v>1</v>
      </c>
      <c r="H140" s="21" t="s">
        <v>402</v>
      </c>
      <c r="I140" s="13">
        <v>42812.848055555558</v>
      </c>
      <c r="J140" s="7">
        <v>0</v>
      </c>
      <c r="K140" s="98" t="str">
        <f t="shared" si="28"/>
        <v>4031/4032</v>
      </c>
      <c r="L140" s="21" t="str">
        <f>VLOOKUP(A140,'Trips&amp;Operators'!$C$1:$G$99999,5,FALSE)</f>
        <v>SAFIEF AEIMEN</v>
      </c>
      <c r="M140" s="6">
        <f t="shared" si="29"/>
        <v>3.4652777780138422E-2</v>
      </c>
      <c r="N140" s="7">
        <f t="shared" si="52"/>
        <v>49.900000003399327</v>
      </c>
      <c r="O140" s="7"/>
      <c r="P140" s="7"/>
      <c r="Q140" s="22"/>
      <c r="R140" s="22"/>
      <c r="S140" s="31">
        <f t="shared" si="51"/>
        <v>1</v>
      </c>
      <c r="T140" s="46" t="str">
        <f t="shared" si="30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1"/>
        <v>https://d0f6bd738d7f1b3e5a7ca70fe4ff75f0.us-east-1.aws.found.io/app/kibana#/discover/Steve-Slow-Train-Analysis-(2080s-and-2083s)?_g=(refreshInterval:(display:Off,pause:!f,section:0,value:0),time:(from:'2017-03-18T18:25:36-0600',mode:absolute,to:'2017-03-18T21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0" s="187" t="str">
        <f t="shared" si="32"/>
        <v>N</v>
      </c>
      <c r="X140" s="187">
        <f t="shared" ref="X140:X155" si="53">VALUE(LEFT(AD140,4))-VALUE(LEFT(AD139,4))</f>
        <v>1</v>
      </c>
      <c r="Y140" s="62">
        <f t="shared" si="48"/>
        <v>4.58E-2</v>
      </c>
      <c r="Z140" s="62">
        <f t="shared" si="49"/>
        <v>23.3293</v>
      </c>
      <c r="AA140" s="62">
        <f t="shared" si="36"/>
        <v>23.2835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7"/>
        <v>0223-18</v>
      </c>
      <c r="AE140" s="85" t="str">
        <f t="shared" si="38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140" s="82" t="str">
        <f t="shared" si="39"/>
        <v>"C:\Program Files (x86)\AstroGrep\AstroGrep.exe" /e /r /s /spath="%USERPROFILE%\AppData\Local\Temp\OnboardLogs" /stypes="app*4031*20170319*" /stext=" 02:.+((SYSTEM_STATE.+slice.+state.+changed )|(ment ac)|(multiple cpu faults)|(system.+state.+changed )|(\[timeout)|(PRM\|1\|D)|(kpr)|(kdp)|(\|lc)|(penalty))"</v>
      </c>
      <c r="AG140" s="1" t="str">
        <f t="shared" si="40"/>
        <v>EC</v>
      </c>
      <c r="AH140" s="86" t="str">
        <f t="shared" si="41"/>
        <v>"%USERPROFILE%\Documents\GitHub\eaglep3\Utilities\RefineRTDCRunTimes.py" --tripid 223-18 --locoid 4031 --swversion DE.1.0.9.0 --startMP 204:458 --initTime 2017-03-18T19:25:36 --startdatetime 2017-03-18T19:31:18 --delay 1 --endMP 204:233293 --enddatetime 2017-03-18T20:21:12 --enforcementcount 0 &gt;&gt;C:\Users\stu\Documents\GitHub\eaglep3-reporting\EC\2017-03-18-refined-times.txt</v>
      </c>
      <c r="AI14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{"issue":{"subject":"","project_id":79,"tracker_id":40,"status_id":1,"priority_id":2,"assigned_to_id":23,"start_date":"2017-03-18","description":"","custom_fields":[{"id":1,"name":"Subdivision","value":"EC"},{"id":4,"name":"Milepost","value":"23.3293"},{"id":17,"name":"Train ID","value":"223-18"},{"id":16,"name":"Locomotive ID","value":"4031"},{"id":130,"name":"Impact","value":""},{"id":150,"name":"Time of Event (Mountain Time)","value":"20:21:12"},{"id":151,"name":"Denver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3"/>
        <v>start /low /b %USERPROFILE%\Documents\GitHub\eaglep3\Utilities\DownloadLogsFromS3.py --loco 4031 --day 2017-03-18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"%USERPROFILE%\AppData\Local\Temp\OnboardLogs"\RTDC4031\*4031*20170319* | grep -SE "(Enforcement Action)|(\[TIMEOUT)|(CHR.+\|PRM\|1\|D.+(SWITCH|SIGNAL).+UNKNOWN)" - &gt;&gt; 2017-03-18-UncaughtWiMAX.txt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595</v>
      </c>
      <c r="B141" s="7">
        <v>4032</v>
      </c>
      <c r="C141" s="21" t="s">
        <v>222</v>
      </c>
      <c r="D141" s="21" t="s">
        <v>788</v>
      </c>
      <c r="E141" s="13">
        <v>42812.850717592592</v>
      </c>
      <c r="F141" s="13">
        <v>42812.85396990741</v>
      </c>
      <c r="G141" s="7">
        <v>2</v>
      </c>
      <c r="H141" s="21" t="s">
        <v>450</v>
      </c>
      <c r="I141" s="13">
        <v>42812.903645833336</v>
      </c>
      <c r="J141" s="7">
        <v>0</v>
      </c>
      <c r="K141" s="98" t="str">
        <f t="shared" ref="K141:K204" si="54">IF(ISEVEN(B141),(B141-1)&amp;"/"&amp;B141,B141&amp;"/"&amp;(B141+1))</f>
        <v>4031/4032</v>
      </c>
      <c r="L141" s="21" t="str">
        <f>VLOOKUP(A141,'Trips&amp;Operators'!$C$1:$G$99999,5,FALSE)</f>
        <v>SAFIEF AEIMEN</v>
      </c>
      <c r="M141" s="6">
        <f t="shared" ref="M141:M204" si="55">I141-F141</f>
        <v>4.9675925925839692E-2</v>
      </c>
      <c r="N141" s="7">
        <f t="shared" si="52"/>
        <v>71.533333333209157</v>
      </c>
      <c r="O141" s="7"/>
      <c r="P141" s="7"/>
      <c r="Q141" s="22"/>
      <c r="R141" s="22"/>
      <c r="S141" s="31">
        <f t="shared" si="51"/>
        <v>1</v>
      </c>
      <c r="T141" s="46" t="str">
        <f t="shared" ref="T141:T204" si="56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-18T19:25:02-0600',mode:absolute,to:'2017-03-18T22:41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187" t="str">
        <f t="shared" ref="W141:W204" si="58">IF(AA141&lt;IF(AG141="EC",23,5.65),"Y","N")</f>
        <v>N</v>
      </c>
      <c r="X141" s="187">
        <f t="shared" si="53"/>
        <v>1</v>
      </c>
      <c r="Y141" s="62">
        <f t="shared" ref="Y141:Y155" si="59">RIGHT(D141,LEN(D141)-4)/10000</f>
        <v>23.2986</v>
      </c>
      <c r="Z141" s="62">
        <f t="shared" ref="Z141:Z155" si="60">RIGHT(H141,LEN(H141)-4)/10000</f>
        <v>1.43E-2</v>
      </c>
      <c r="AA141" s="62">
        <f t="shared" ref="AA141:AA204" si="61">ABS(Z141-Y141)</f>
        <v>23.284300000000002</v>
      </c>
      <c r="AB141" s="59" t="str">
        <f>VLOOKUP(A141,Enforcements!$C$7:$K$13,8,0)</f>
        <v>Bulletin (2)</v>
      </c>
      <c r="AC141" s="55" t="str">
        <f>VLOOKUP(A141,Enforcements!$C$7:$E$13,3,0)</f>
        <v>GRADE CROSSING</v>
      </c>
      <c r="AD141" s="56" t="str">
        <f t="shared" ref="AD141:AD204" si="62">IF(LEN(A141)=6,"0"&amp;A141,A141)</f>
        <v>0224-18</v>
      </c>
      <c r="AE141" s="85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141" s="82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/stypes="app*4032*20170319*" /stext=" 03:.+((SYSTEM_STATE.+slice.+state.+changed )|(ment ac)|(multiple cpu faults)|(system.+state.+changed )|(\[timeout)|(PRM\|1\|D)|(kpr)|(kdp)|(\|lc)|(penalty))"</v>
      </c>
      <c r="AG141" s="1" t="str">
        <f t="shared" ref="AG141:AG204" si="65">IFERROR(IF(VALUE(LEFT(AD141,2))&lt;=2,"EC",IF(OR(VALUE(LEFT(AD141,2))=8,VALUE(LEFT(AD141,2))=18),"NW","Other")),"Other")</f>
        <v>EC</v>
      </c>
      <c r="AH141" s="86" t="str">
        <f t="shared" ref="AH141:AH203" si="6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224-18 --locoid 4032 --swversion DE.1.0.9.0 --startMP 204:232986 --initTime 2017-03-18T20:25:02 --startdatetime 2017-03-18T20:29:43 --delay 2 --endMP 204:143 --enddatetime 2017-03-18T21:41:15 --enforcementcount 0 &gt;&gt;C:\Users\stu\Documents\GitHub\eaglep3-reporting\EC\2017-03-18-refined-times.txt</v>
      </c>
      <c r="AI141" s="108" t="str">
        <f t="shared" ref="AI141:AI203" si="6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{"issue":{"subject":"","project_id":79,"tracker_id":40,"status_id":1,"priority_id":2,"assigned_to_id":23,"start_date":"2017-03-18","description":"","custom_fields":[{"id":1,"name":"Subdivision","value":"EC"},{"id":4,"name":"Milepost","value":"0.0143"},{"id":17,"name":"Train ID","value":"224-18"},{"id":16,"name":"Locomotive ID","value":"4032"},{"id":130,"name":"Impact","value":""},{"id":150,"name":"Time of Event (Mountain Time)","value":"21:41:15"},{"id":151,"name":"Denver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3" si="68">"start /low /b "&amp;dls3logs&amp;" --loco "&amp;B141&amp;" --day "&amp;TEXT(F141,"YYYY-MM-DD")</f>
        <v>start /low /b %USERPROFILE%\Documents\GitHub\eaglep3\Utilities\DownloadLogsFromS3.py --loco 4032 --day 2017-03-18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"%USERPROFILE%\AppData\Local\Temp\OnboardLogs"\RTDC4032\*4032*20170319* | grep -SE "(Enforcement Action)|(\[TIMEOUT)|(CHR.+\|PRM\|1\|D.+(SWITCH|SIGNAL).+UNKNOWN)" - &gt;&gt; 2017-03-18-UncaughtWiMAX.txt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591</v>
      </c>
      <c r="B142" s="7">
        <v>4044</v>
      </c>
      <c r="C142" s="21" t="s">
        <v>222</v>
      </c>
      <c r="D142" s="21" t="s">
        <v>788</v>
      </c>
      <c r="E142" s="13">
        <v>42812.850717592592</v>
      </c>
      <c r="F142" s="13">
        <v>42812.845405092594</v>
      </c>
      <c r="G142" s="7">
        <v>2</v>
      </c>
      <c r="H142" s="21" t="s">
        <v>450</v>
      </c>
      <c r="I142" s="13">
        <v>42812.847430555557</v>
      </c>
      <c r="J142" s="7">
        <v>0</v>
      </c>
      <c r="K142" s="98" t="str">
        <f t="shared" si="54"/>
        <v>4043/4044</v>
      </c>
      <c r="L142" s="21" t="str">
        <f>VLOOKUP(A142,'Trips&amp;Operators'!$C$1:$G$99999,5,FALSE)</f>
        <v>MACDONALD THOMAS</v>
      </c>
      <c r="M142" s="6">
        <f t="shared" si="55"/>
        <v>2.0254629635019228E-3</v>
      </c>
      <c r="N142" s="7"/>
      <c r="O142" s="7"/>
      <c r="P142" s="7">
        <f>24*60*SUM($M142:$M142)</f>
        <v>2.9166666674427688</v>
      </c>
      <c r="Q142" s="22"/>
      <c r="R142" s="22" t="s">
        <v>416</v>
      </c>
      <c r="S142" s="31">
        <f t="shared" si="51"/>
        <v>0</v>
      </c>
      <c r="T142" s="46" t="str">
        <f t="shared" si="56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86" t="str">
        <f t="shared" si="57"/>
        <v>https://d0f6bd738d7f1b3e5a7ca70fe4ff75f0.us-east-1.aws.found.io/app/kibana#/discover/Steve-Slow-Train-Analysis-(2080s-and-2083s)?_g=(refreshInterval:(display:Off,pause:!f,section:0,value:0),time:(from:'2017-03-18T19:25:02-0600',mode:absolute,to:'2017-03-18T21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187" t="str">
        <f t="shared" si="58"/>
        <v>N</v>
      </c>
      <c r="X142" s="187">
        <f t="shared" ref="X142:X143" si="69">VALUE(LEFT(AD142,4))-VALUE(LEFT(AD141,4))</f>
        <v>1</v>
      </c>
      <c r="Y142" s="62">
        <f t="shared" si="59"/>
        <v>23.2986</v>
      </c>
      <c r="Z142" s="62">
        <f t="shared" si="60"/>
        <v>1.43E-2</v>
      </c>
      <c r="AA142" s="62">
        <f t="shared" si="61"/>
        <v>23.284300000000002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2"/>
        <v>0225-18</v>
      </c>
      <c r="AE142" s="85" t="str">
        <f t="shared" si="63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142" s="82" t="str">
        <f t="shared" si="64"/>
        <v>"C:\Program Files (x86)\AstroGrep\AstroGrep.exe" /e /r /s /spath="%USERPROFILE%\AppData\Local\Temp\OnboardLogs" /stypes="app*4044*20170319*" /stext=" 02:.+((SYSTEM_STATE.+slice.+state.+changed )|(ment ac)|(multiple cpu faults)|(system.+state.+changed )|(\[timeout)|(PRM\|1\|D)|(kpr)|(kdp)|(\|lc)|(penalty))"</v>
      </c>
      <c r="AG142" s="1" t="str">
        <f t="shared" si="65"/>
        <v>EC</v>
      </c>
      <c r="AH142" s="86" t="str">
        <f t="shared" ref="AH142" si="7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225-18 --locoid 4044 --swversion DE.1.0.9.0 --startMP 204:232986 --initTime 2017-03-18T20:25:02 --startdatetime 2017-03-18T20:17:23 --delay 2 --endMP 204:143 --enddatetime 2017-03-18T20:20:18 --enforcementcount 0 &gt;&gt;C:\Users\stu\Documents\GitHub\eaglep3-reporting\EC\2017-03-18-refined-times.txt</v>
      </c>
      <c r="AI142" s="108" t="str">
        <f t="shared" ref="AI142" si="7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failure","project_id":79,"tracker_id":40,"status_id":1,"priority_id":2,"assigned_to_id":23,"start_date":"2017-03-18","description":"","custom_fields":[{"id":1,"name":"Subdivision","value":"EC"},{"id":4,"name":"Milepost","value":"0.0143"},{"id":17,"name":"Train ID","value":"225-18"},{"id":16,"name":"Locomotive ID","value":"4044"},{"id":130,"name":"Impact","value":""},{"id":150,"name":"Time of Event (Mountain Time)","value":"20:20:18"},{"id":151,"name":"Denver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" si="72">"start /low /b "&amp;dls3logs&amp;" --loco "&amp;B142&amp;" --day "&amp;TEXT(F142,"YYYY-MM-DD")</f>
        <v>start /low /b %USERPROFILE%\Documents\GitHub\eaglep3\Utilities\DownloadLogsFromS3.py --loco 4044 --day 2017-03-18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"%USERPROFILE%\AppData\Local\Temp\OnboardLogs"\RTDC4044\*4044*20170319* | grep -SE "(Enforcement Action)|(\[TIMEOUT)|(CHR.+\|PRM\|1\|D.+(SWITCH|SIGNAL).+UNKNOWN)" - &gt;&gt; 2017-03-18-UncaughtWiMAX.txt</v>
      </c>
    </row>
    <row r="143" spans="1:91" s="20" customFormat="1" x14ac:dyDescent="0.25">
      <c r="A143" s="33" t="s">
        <v>594</v>
      </c>
      <c r="B143" s="7">
        <v>4029</v>
      </c>
      <c r="C143" s="21" t="s">
        <v>222</v>
      </c>
      <c r="D143" s="21" t="s">
        <v>208</v>
      </c>
      <c r="E143" s="13">
        <v>42812.853877314818</v>
      </c>
      <c r="F143" s="13">
        <v>42812.85565972222</v>
      </c>
      <c r="G143" s="7">
        <v>1</v>
      </c>
      <c r="H143" s="21" t="s">
        <v>526</v>
      </c>
      <c r="I143" s="13">
        <v>42812.87164351852</v>
      </c>
      <c r="J143" s="7">
        <v>0</v>
      </c>
      <c r="K143" s="98" t="str">
        <f t="shared" si="54"/>
        <v>4029/4030</v>
      </c>
      <c r="L143" s="21" t="str">
        <f>VLOOKUP(A143,'Trips&amp;Operators'!$C$1:$G$99999,5,FALSE)</f>
        <v>SMITH MICHAEL</v>
      </c>
      <c r="M143" s="6">
        <f t="shared" si="55"/>
        <v>1.598379630013369E-2</v>
      </c>
      <c r="N143" s="7">
        <f>24*60*SUM($M143:$M143)</f>
        <v>23.016666672192514</v>
      </c>
      <c r="O143" s="7"/>
      <c r="P143" s="7"/>
      <c r="Q143" s="22"/>
      <c r="R143" s="22"/>
      <c r="S143" s="31">
        <f t="shared" si="51"/>
        <v>1</v>
      </c>
      <c r="T143" s="46" t="str">
        <f t="shared" si="56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7"/>
        <v>https://d0f6bd738d7f1b3e5a7ca70fe4ff75f0.us-east-1.aws.found.io/app/kibana#/discover/Steve-Slow-Train-Analysis-(2080s-and-2083s)?_g=(refreshInterval:(display:Off,pause:!f,section:0,value:0),time:(from:'2017-03-18T19:29:35-0600',mode:absolute,to:'2017-03-18T21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3" s="187" t="str">
        <f t="shared" si="58"/>
        <v>N</v>
      </c>
      <c r="X143" s="187">
        <f t="shared" si="69"/>
        <v>2</v>
      </c>
      <c r="Y143" s="62">
        <f t="shared" si="59"/>
        <v>4.5699999999999998E-2</v>
      </c>
      <c r="Z143" s="62">
        <f t="shared" si="60"/>
        <v>23.33</v>
      </c>
      <c r="AA143" s="62">
        <f t="shared" si="61"/>
        <v>23.284299999999998</v>
      </c>
      <c r="AB143" s="59" t="str">
        <f>VLOOKUP(A143,Enforcements!$C$7:$K$13,8,0)</f>
        <v>Bulletin (2)</v>
      </c>
      <c r="AC143" s="55" t="str">
        <f>VLOOKUP(A143,Enforcements!$C$7:$E$13,3,0)</f>
        <v>GRADE CROSSING</v>
      </c>
      <c r="AD143" s="56" t="str">
        <f t="shared" si="62"/>
        <v>0227-18</v>
      </c>
      <c r="AE143" s="85" t="str">
        <f t="shared" si="63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143" s="82" t="str">
        <f t="shared" si="64"/>
        <v>"C:\Program Files (x86)\AstroGrep\AstroGrep.exe" /e /r /s /spath="%USERPROFILE%\AppData\Local\Temp\OnboardLogs" /stypes="app*4029*20170319*" /stext=" 02:.+((SYSTEM_STATE.+slice.+state.+changed )|(ment ac)|(multiple cpu faults)|(system.+state.+changed )|(\[timeout)|(PRM\|1\|D)|(kpr)|(kdp)|(\|lc)|(penalty))"</v>
      </c>
      <c r="AG143" s="1" t="str">
        <f t="shared" si="65"/>
        <v>EC</v>
      </c>
      <c r="AH143" s="86" t="str">
        <f t="shared" si="66"/>
        <v>"%USERPROFILE%\Documents\GitHub\eaglep3\Utilities\RefineRTDCRunTimes.py" --tripid 227-18 --locoid 4029 --swversion DE.1.0.9.0 --startMP 204:457 --initTime 2017-03-18T20:29:35 --startdatetime 2017-03-18T20:32:09 --delay 1 --endMP 204:233300 --enddatetime 2017-03-18T20:55:10 --enforcementcount 0 &gt;&gt;C:\Users\stu\Documents\GitHub\eaglep3-reporting\EC\2017-03-18-refined-times.txt</v>
      </c>
      <c r="AI143" s="108" t="str">
        <f t="shared" si="67"/>
        <v>echo {"issue":{"subject":"","project_id":79,"tracker_id":40,"status_id":1,"priority_id":2,"assigned_to_id":23,"start_date":"2017-03-18","description":"","custom_fields":[{"id":1,"name":"Subdivision","value":"EC"},{"id":4,"name":"Milepost","value":"23.33"},{"id":17,"name":"Train ID","value":"227-18"},{"id":16,"name":"Locomotive ID","value":"4029"},{"id":130,"name":"Impact","value":""},{"id":150,"name":"Time of Event (Mountain Time)","value":"20:55:10"},{"id":151,"name":"Denver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8"/>
        <v>start /low /b %USERPROFILE%\Documents\GitHub\eaglep3\Utilities\DownloadLogsFromS3.py --loco 4029 --day 2017-03-18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753</v>
      </c>
      <c r="B144" s="7">
        <v>4043</v>
      </c>
      <c r="C144" s="21" t="s">
        <v>222</v>
      </c>
      <c r="D144" s="21" t="s">
        <v>364</v>
      </c>
      <c r="E144" s="13">
        <v>42812.89267361111</v>
      </c>
      <c r="F144" s="13">
        <v>42812.932638888888</v>
      </c>
      <c r="G144" s="7">
        <v>1</v>
      </c>
      <c r="H144" s="21" t="s">
        <v>885</v>
      </c>
      <c r="I144" s="13">
        <v>42812.941782407404</v>
      </c>
      <c r="J144" s="7">
        <v>0</v>
      </c>
      <c r="K144" s="98" t="str">
        <f t="shared" si="54"/>
        <v>4043/4044</v>
      </c>
      <c r="L144" s="21" t="str">
        <f>VLOOKUP(A144,'Trips&amp;Operators'!$C$1:$G$99999,5,FALSE)</f>
        <v>MACDONALD THOMAS</v>
      </c>
      <c r="M144" s="6">
        <f t="shared" si="55"/>
        <v>9.1435185167938471E-3</v>
      </c>
      <c r="N144" s="7"/>
      <c r="O144" s="7"/>
      <c r="P144" s="7">
        <f>24*60*SUM($M144:$M144)</f>
        <v>13.16666666418314</v>
      </c>
      <c r="Q144" s="22"/>
      <c r="R144" s="22" t="s">
        <v>947</v>
      </c>
      <c r="S144" s="31">
        <f>SUM(U144:U145)/IF(AG144="EC",12,1)</f>
        <v>0.58333333333333337</v>
      </c>
      <c r="T144" s="46" t="str">
        <f t="shared" si="56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4</v>
      </c>
      <c r="V144" s="186" t="str">
        <f t="shared" si="57"/>
        <v>https://d0f6bd738d7f1b3e5a7ca70fe4ff75f0.us-east-1.aws.found.io/app/kibana#/discover/Steve-Slow-Train-Analysis-(2080s-and-2083s)?_g=(refreshInterval:(display:Off,pause:!f,section:0,value:0),time:(from:'2017-03-18T20:25:27-0600',mode:absolute,to:'2017-03-18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187" t="str">
        <f t="shared" si="58"/>
        <v>Y</v>
      </c>
      <c r="X144" s="187">
        <f t="shared" si="53"/>
        <v>1</v>
      </c>
      <c r="Y144" s="62">
        <f t="shared" si="59"/>
        <v>23.298200000000001</v>
      </c>
      <c r="Z144" s="62">
        <f t="shared" si="60"/>
        <v>6.0274999999999999</v>
      </c>
      <c r="AA144" s="62">
        <f t="shared" si="61"/>
        <v>17.270700000000001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2"/>
        <v>0228-18</v>
      </c>
      <c r="AE144" s="85" t="str">
        <f t="shared" si="63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144" s="82" t="str">
        <f t="shared" si="64"/>
        <v>"C:\Program Files (x86)\AstroGrep\AstroGrep.exe" /e /r /s /spath="%USERPROFILE%\AppData\Local\Temp\OnboardLogs" /stypes="app*4043*20170319*" /stext=" 04:.+((SYSTEM_STATE.+slice.+state.+changed )|(ment ac)|(multiple cpu faults)|(system.+state.+changed )|(\[timeout)|(PRM\|1\|D)|(kpr)|(kdp)|(\|lc)|(penalty))"</v>
      </c>
      <c r="AG144" s="1" t="str">
        <f t="shared" si="65"/>
        <v>EC</v>
      </c>
      <c r="AH144" s="86" t="str">
        <f t="shared" si="66"/>
        <v>"%USERPROFILE%\Documents\GitHub\eaglep3\Utilities\RefineRTDCRunTimes.py" --tripid 228-18 --locoid 4043 --swversion DE.1.0.9.0 --startMP 204:232982 --initTime 2017-03-18T21:25:27 --startdatetime 2017-03-18T22:23:00 --delay 1 --endMP 204:60275 --enddatetime 2017-03-18T22:36:10 --enforcementcount 0 &gt;&gt;C:\Users\stu\Documents\GitHub\eaglep3-reporting\EC\2017-03-18-refined-times.txt</v>
      </c>
      <c r="AI144" s="108" t="str">
        <f t="shared" si="67"/>
        <v>echo {"issue":{"subject":"Stopped too far from Quebec XING to get prompts (improper execution of bulletin)","project_id":79,"tracker_id":40,"status_id":1,"priority_id":2,"assigned_to_id":23,"start_date":"2017-03-18","description":"","custom_fields":[{"id":1,"name":"Subdivision","value":"EC"},{"id":4,"name":"Milepost","value":"6.0275"},{"id":17,"name":"Train ID","value":"228-18"},{"id":16,"name":"Locomotive ID","value":"4043"},{"id":130,"name":"Impact","value":""},{"id":150,"name":"Time of Event (Mountain Time)","value":"22:36:10"},{"id":151,"name":"Denver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8"/>
        <v>start /low /b %USERPROFILE%\Documents\GitHub\eaglep3\Utilities\DownloadLogsFromS3.py --loco 4043 --day 2017-03-18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"%USERPROFILE%\AppData\Local\Temp\OnboardLogs"\RTDC4043\*4043*20170319* | grep -SE "(Enforcement Action)|(\[TIMEOUT)|(CHR.+\|PRM\|1\|D.+(SWITCH|SIGNAL).+UNKNOWN)" - &gt;&gt; 2017-03-18-UncaughtWiMAX.txt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753</v>
      </c>
      <c r="B145" s="7">
        <v>4043</v>
      </c>
      <c r="C145" s="21" t="s">
        <v>222</v>
      </c>
      <c r="D145" s="21" t="s">
        <v>886</v>
      </c>
      <c r="E145" s="13">
        <v>42812.931620370371</v>
      </c>
      <c r="F145" s="13">
        <v>42812.932638888888</v>
      </c>
      <c r="G145" s="7">
        <v>1</v>
      </c>
      <c r="H145" s="21" t="s">
        <v>184</v>
      </c>
      <c r="I145" s="13">
        <v>42812.941782407404</v>
      </c>
      <c r="J145" s="7">
        <v>0</v>
      </c>
      <c r="K145" s="98" t="str">
        <f t="shared" si="54"/>
        <v>4043/4044</v>
      </c>
      <c r="L145" s="21" t="str">
        <f>VLOOKUP(A145,'Trips&amp;Operators'!$C$1:$G$99999,5,FALSE)</f>
        <v>MACDONALD THOMAS</v>
      </c>
      <c r="M145" s="6">
        <f t="shared" si="55"/>
        <v>9.1435185167938471E-3</v>
      </c>
      <c r="N145" s="7"/>
      <c r="O145" s="7"/>
      <c r="P145" s="7"/>
      <c r="Q145" s="22"/>
      <c r="R145" s="22"/>
      <c r="S145" s="31"/>
      <c r="T145" s="46" t="str">
        <f t="shared" si="56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3</v>
      </c>
      <c r="V145" s="186" t="str">
        <f t="shared" si="57"/>
        <v>https://d0f6bd738d7f1b3e5a7ca70fe4ff75f0.us-east-1.aws.found.io/app/kibana#/discover/Steve-Slow-Train-Analysis-(2080s-and-2083s)?_g=(refreshInterval:(display:Off,pause:!f,section:0,value:0),time:(from:'2017-03-18T21:21:32-0600',mode:absolute,to:'2017-03-18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5" s="187" t="str">
        <f t="shared" si="58"/>
        <v>Y</v>
      </c>
      <c r="X145" s="187">
        <f t="shared" si="53"/>
        <v>0</v>
      </c>
      <c r="Y145" s="62">
        <f t="shared" si="59"/>
        <v>3.6802000000000001</v>
      </c>
      <c r="Z145" s="62">
        <f t="shared" si="60"/>
        <v>1.49E-2</v>
      </c>
      <c r="AA145" s="62">
        <f t="shared" si="61"/>
        <v>3.6653000000000002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2"/>
        <v>0228-18</v>
      </c>
      <c r="AE145" s="85" t="str">
        <f t="shared" si="63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145" s="82" t="str">
        <f t="shared" si="64"/>
        <v>"C:\Program Files (x86)\AstroGrep\AstroGrep.exe" /e /r /s /spath="%USERPROFILE%\AppData\Local\Temp\OnboardLogs" /stypes="app*4043*20170319*" /stext=" 04:.+((SYSTEM_STATE.+slice.+state.+changed )|(ment ac)|(multiple cpu faults)|(system.+state.+changed )|(\[timeout)|(PRM\|1\|D)|(kpr)|(kdp)|(\|lc)|(penalty))"</v>
      </c>
      <c r="AG145" s="1" t="str">
        <f t="shared" si="65"/>
        <v>EC</v>
      </c>
      <c r="AH145" s="86" t="str">
        <f t="shared" si="66"/>
        <v>"%USERPROFILE%\Documents\GitHub\eaglep3\Utilities\RefineRTDCRunTimes.py" --tripid 228-18 --locoid 4043 --swversion DE.1.0.9.0 --startMP 204:36802 --initTime 2017-03-18T22:21:32 --startdatetime 2017-03-18T22:23:00 --delay 1 --endMP 204:149 --enddatetime 2017-03-18T22:36:10 --enforcementcount 0 &gt;&gt;C:\Users\stu\Documents\GitHub\eaglep3-reporting\EC\2017-03-18-refined-times.txt</v>
      </c>
      <c r="AI145" s="108" t="str">
        <f t="shared" si="67"/>
        <v>echo {"issue":{"subject":"","project_id":79,"tracker_id":40,"status_id":1,"priority_id":2,"assigned_to_id":23,"start_date":"2017-03-18","description":"","custom_fields":[{"id":1,"name":"Subdivision","value":"EC"},{"id":4,"name":"Milepost","value":"0.0149"},{"id":17,"name":"Train ID","value":"228-18"},{"id":16,"name":"Locomotive ID","value":"4043"},{"id":130,"name":"Impact","value":""},{"id":150,"name":"Time of Event (Mountain Time)","value":"22:36:10"},{"id":151,"name":"Denver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8"/>
        <v>start /low /b %USERPROFILE%\Documents\GitHub\eaglep3\Utilities\DownloadLogsFromS3.py --loco 4043 --day 2017-03-18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"%USERPROFILE%\AppData\Local\Temp\OnboardLogs"\RTDC4043\*4043*20170319* | grep -SE "(Enforcement Action)|(\[TIMEOUT)|(CHR.+\|PRM\|1\|D.+(SWITCH|SIGNAL).+UNKNOWN)" - &gt;&gt; 2017-03-18-UncaughtWiMAX.txt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755</v>
      </c>
      <c r="B146" s="7">
        <v>4030</v>
      </c>
      <c r="C146" s="21" t="s">
        <v>222</v>
      </c>
      <c r="D146" s="21" t="s">
        <v>477</v>
      </c>
      <c r="E146" s="13">
        <v>42812.900462962964</v>
      </c>
      <c r="F146" s="13">
        <v>42813.045451388891</v>
      </c>
      <c r="G146" s="7">
        <v>1</v>
      </c>
      <c r="H146" s="21" t="s">
        <v>887</v>
      </c>
      <c r="I146" s="13">
        <v>42813.075428240743</v>
      </c>
      <c r="J146" s="7">
        <v>0</v>
      </c>
      <c r="K146" s="98" t="str">
        <f t="shared" si="54"/>
        <v>4029/4030</v>
      </c>
      <c r="L146" s="21" t="str">
        <f>VLOOKUP(A146,'Trips&amp;Operators'!$C$1:$G$99999,5,FALSE)</f>
        <v>SMITH MICHAEL</v>
      </c>
      <c r="M146" s="6">
        <f t="shared" si="55"/>
        <v>2.99768518525525E-2</v>
      </c>
      <c r="N146" s="7"/>
      <c r="O146" s="7"/>
      <c r="P146" s="7">
        <f>24*60*SUM($M146:$M146)</f>
        <v>43.166666667675599</v>
      </c>
      <c r="Q146" s="22"/>
      <c r="R146" s="22" t="s">
        <v>949</v>
      </c>
      <c r="S146" s="31">
        <f t="shared" ref="S146:S177" si="73">SUM(U146:U146)/IF(AG146="EC",12,1)</f>
        <v>0.91666666666666663</v>
      </c>
      <c r="T146" s="46" t="str">
        <f t="shared" si="56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11</v>
      </c>
      <c r="V146" s="186" t="str">
        <f t="shared" si="57"/>
        <v>https://d0f6bd738d7f1b3e5a7ca70fe4ff75f0.us-east-1.aws.found.io/app/kibana#/discover/Steve-Slow-Train-Analysis-(2080s-and-2083s)?_g=(refreshInterval:(display:Off,pause:!f,section:0,value:0),time:(from:'2017-03-18T20:36:40-0600',mode:absolute,to:'2017-03-19T02:48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187" t="str">
        <f t="shared" si="58"/>
        <v>Y</v>
      </c>
      <c r="X146" s="187">
        <f t="shared" si="53"/>
        <v>2</v>
      </c>
      <c r="Y146" s="62">
        <f t="shared" si="59"/>
        <v>23.299399999999999</v>
      </c>
      <c r="Z146" s="62">
        <f t="shared" si="60"/>
        <v>2.7928000000000002</v>
      </c>
      <c r="AA146" s="62">
        <f t="shared" si="61"/>
        <v>20.506599999999999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2"/>
        <v>0230-18</v>
      </c>
      <c r="AE146" s="85" t="str">
        <f t="shared" si="63"/>
        <v>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 &amp; aws s3 cp s3://rtdc.mdm.uploadarchive.raw/RTDC4030/ "%USERPROFILE%\AppData\Local\Temp\OnboardLogs"\RTDC4030\2017-03-20 --exclude "*" --recursive --include "*20170320*" &amp; "%USERPROFILE%\Documents\GitHub\mrs-test-scripts\Headless Mode &amp; Sideloading\WalkAndUnGZ.bat" "%USERPROFILE%\AppData\Local\Temp\OnboardLogs"\RTDC4030\2017-03-20</v>
      </c>
      <c r="AF146" s="82" t="str">
        <f t="shared" si="64"/>
        <v>"C:\Program Files (x86)\AstroGrep\AstroGrep.exe" /e /r /s /spath="%USERPROFILE%\AppData\Local\Temp\OnboardLogs" /stypes="app*4030*20170319*" /stext=" 07:.+((SYSTEM_STATE.+slice.+state.+changed )|(ment ac)|(multiple cpu faults)|(system.+state.+changed )|(\[timeout)|(PRM\|1\|D)|(kpr)|(kdp)|(\|lc)|(penalty))"</v>
      </c>
      <c r="AG146" s="1" t="str">
        <f t="shared" si="65"/>
        <v>EC</v>
      </c>
      <c r="AH146" s="86" t="str">
        <f t="shared" si="66"/>
        <v>"%USERPROFILE%\Documents\GitHub\eaglep3\Utilities\RefineRTDCRunTimes.py" --tripid 230-18 --locoid 4030 --swversion DE.1.0.9.0 --startMP 204:232994 --initTime 2017-03-18T21:36:40 --startdatetime 2017-03-19T01:05:27 --delay 1 --endMP 204:27928 --enddatetime 2017-03-19T01:48:37 --enforcementcount 0 &gt;&gt;C:\Users\stu\Documents\GitHub\eaglep3-reporting\EC\2017-03-18-refined-times.txt</v>
      </c>
      <c r="AI146" s="108" t="str">
        <f t="shared" si="67"/>
        <v>echo {"issue":{"subject":"Arcing issues at Sand Creek Phase Break","project_id":79,"tracker_id":40,"status_id":1,"priority_id":2,"assigned_to_id":23,"start_date":"2017-03-19","description":"","custom_fields":[{"id":1,"name":"Subdivision","value":"EC"},{"id":4,"name":"Milepost","value":"2.7928"},{"id":17,"name":"Train ID","value":"230-18"},{"id":16,"name":"Locomotive ID","value":"4030"},{"id":130,"name":"Impact","value":""},{"id":150,"name":"Time of Event (Mountain Time)","value":"01:48:37"},{"id":151,"name":"Denver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8"/>
        <v>start /low /b %USERPROFILE%\Documents\GitHub\eaglep3\Utilities\DownloadLogsFromS3.py --loco 4030 --day 2017-03-19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"%USERPROFILE%\AppData\Local\Temp\OnboardLogs"\RTDC4030\*4030*20170319* | grep -SE "(Enforcement Action)|(\[TIMEOUT)|(CHR.+\|PRM\|1\|D.+(SWITCH|SIGNAL).+UNKNOWN)" - &gt;&gt; 2017-03-18-UncaughtWiMAX.txt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750</v>
      </c>
      <c r="B147" s="7">
        <v>4011</v>
      </c>
      <c r="C147" s="21" t="s">
        <v>222</v>
      </c>
      <c r="D147" s="21" t="s">
        <v>418</v>
      </c>
      <c r="E147" s="13">
        <v>42812.881238425929</v>
      </c>
      <c r="F147" s="13">
        <v>42812.896307870367</v>
      </c>
      <c r="G147" s="7">
        <v>2</v>
      </c>
      <c r="H147" s="21" t="s">
        <v>888</v>
      </c>
      <c r="I147" s="13">
        <v>42812.927268518521</v>
      </c>
      <c r="J147" s="7">
        <v>0</v>
      </c>
      <c r="K147" s="98" t="str">
        <f t="shared" si="54"/>
        <v>4011/4012</v>
      </c>
      <c r="L147" s="21" t="str">
        <f>VLOOKUP(A147,'Trips&amp;Operators'!$C$1:$G$99999,5,FALSE)</f>
        <v>SWANSON BRYCE</v>
      </c>
      <c r="M147" s="6">
        <f t="shared" si="55"/>
        <v>3.0960648153268266E-2</v>
      </c>
      <c r="N147" s="7">
        <f t="shared" ref="N147:N152" si="74">24*60*SUM($M147:$M147)</f>
        <v>44.583333340706304</v>
      </c>
      <c r="O147" s="7"/>
      <c r="P147" s="7"/>
      <c r="Q147" s="22"/>
      <c r="R147" s="22"/>
      <c r="S147" s="31">
        <f t="shared" si="73"/>
        <v>1</v>
      </c>
      <c r="T147" s="46" t="str">
        <f t="shared" si="56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7"/>
        <v>https://d0f6bd738d7f1b3e5a7ca70fe4ff75f0.us-east-1.aws.found.io/app/kibana#/discover/Steve-Slow-Train-Analysis-(2080s-and-2083s)?_g=(refreshInterval:(display:Off,pause:!f,section:0,value:0),time:(from:'2017-03-18T20:08:59-0600',mode:absolute,to:'2017-03-18T23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187" t="str">
        <f t="shared" si="58"/>
        <v>N</v>
      </c>
      <c r="X147" s="187">
        <f t="shared" si="53"/>
        <v>1</v>
      </c>
      <c r="Y147" s="62">
        <f t="shared" si="59"/>
        <v>4.7100000000000003E-2</v>
      </c>
      <c r="Z147" s="62">
        <f t="shared" si="60"/>
        <v>23.3291</v>
      </c>
      <c r="AA147" s="62">
        <f t="shared" si="61"/>
        <v>23.282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2"/>
        <v>0231-18</v>
      </c>
      <c r="AE147" s="85" t="str">
        <f t="shared" si="63"/>
        <v>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 &amp; aws s3 cp s3://rtdc.mdm.uploadarchive.raw/RTDC4011/ "%USERPROFILE%\AppData\Local\Temp\OnboardLogs"\RTDC4011\2017-03-19 --exclude "*" --recursive --include "*20170319*" &amp; "%USERPROFILE%\Documents\GitHub\mrs-test-scripts\Headless Mode &amp; Sideloading\WalkAndUnGZ.bat" "%USERPROFILE%\AppData\Local\Temp\OnboardLogs"\RTDC4011\2017-03-19</v>
      </c>
      <c r="AF147" s="82" t="str">
        <f t="shared" si="64"/>
        <v>"C:\Program Files (x86)\AstroGrep\AstroGrep.exe" /e /r /s /spath="%USERPROFILE%\AppData\Local\Temp\OnboardLogs" /stypes="app*4011*20170319*" /stext=" 04:.+((SYSTEM_STATE.+slice.+state.+changed )|(ment ac)|(multiple cpu faults)|(system.+state.+changed )|(\[timeout)|(PRM\|1\|D)|(kpr)|(kdp)|(\|lc)|(penalty))"</v>
      </c>
      <c r="AG147" s="1" t="str">
        <f t="shared" si="65"/>
        <v>EC</v>
      </c>
      <c r="AH147" s="86" t="str">
        <f t="shared" si="66"/>
        <v>"%USERPROFILE%\Documents\GitHub\eaglep3\Utilities\RefineRTDCRunTimes.py" --tripid 231-18 --locoid 4011 --swversion DE.1.0.9.0 --startMP 204:471 --initTime 2017-03-18T21:08:59 --startdatetime 2017-03-18T21:30:41 --delay 2 --endMP 204:233291 --enddatetime 2017-03-18T22:15:16 --enforcementcount 0 &gt;&gt;C:\Users\stu\Documents\GitHub\eaglep3-reporting\EC\2017-03-18-refined-times.txt</v>
      </c>
      <c r="AI147" s="108" t="str">
        <f t="shared" si="67"/>
        <v>echo {"issue":{"subject":"","project_id":79,"tracker_id":40,"status_id":1,"priority_id":2,"assigned_to_id":23,"start_date":"2017-03-18","description":"","custom_fields":[{"id":1,"name":"Subdivision","value":"EC"},{"id":4,"name":"Milepost","value":"23.3291"},{"id":17,"name":"Train ID","value":"231-18"},{"id":16,"name":"Locomotive ID","value":"4011"},{"id":130,"name":"Impact","value":""},{"id":150,"name":"Time of Event (Mountain Time)","value":"22:15:16"},{"id":151,"name":"Denver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8"/>
        <v>start /low /b %USERPROFILE%\Documents\GitHub\eaglep3\Utilities\DownloadLogsFromS3.py --loco 4011 --day 2017-03-18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"%USERPROFILE%\AppData\Local\Temp\OnboardLogs"\RTDC4011\*4011*20170319* | grep -SE "(Enforcement Action)|(\[TIMEOUT)|(CHR.+\|PRM\|1\|D.+(SWITCH|SIGNAL).+UNKNOWN)" - &gt;&gt; 2017-03-18-UncaughtWiMAX.txt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756</v>
      </c>
      <c r="B148" s="7">
        <v>4027</v>
      </c>
      <c r="C148" s="21" t="s">
        <v>222</v>
      </c>
      <c r="D148" s="21" t="s">
        <v>889</v>
      </c>
      <c r="E148" s="13">
        <v>42812.911215277774</v>
      </c>
      <c r="F148" s="13">
        <v>42812.933946759258</v>
      </c>
      <c r="G148" s="7">
        <v>1</v>
      </c>
      <c r="H148" s="21" t="s">
        <v>526</v>
      </c>
      <c r="I148" s="13">
        <v>42812.965717592589</v>
      </c>
      <c r="J148" s="7">
        <v>0</v>
      </c>
      <c r="K148" s="98" t="str">
        <f t="shared" si="54"/>
        <v>4027/4028</v>
      </c>
      <c r="L148" s="21" t="str">
        <f>VLOOKUP(A148,'Trips&amp;Operators'!$C$1:$G$99999,5,FALSE)</f>
        <v>BROWN JACOB</v>
      </c>
      <c r="M148" s="6">
        <f t="shared" si="55"/>
        <v>3.1770833331393078E-2</v>
      </c>
      <c r="N148" s="7">
        <f t="shared" si="74"/>
        <v>45.749999997206032</v>
      </c>
      <c r="O148" s="7"/>
      <c r="P148" s="7"/>
      <c r="Q148" s="22"/>
      <c r="R148" s="22"/>
      <c r="S148" s="31">
        <f t="shared" si="73"/>
        <v>1</v>
      </c>
      <c r="T148" s="46" t="str">
        <f t="shared" si="56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7"/>
        <v>https://d0f6bd738d7f1b3e5a7ca70fe4ff75f0.us-east-1.aws.found.io/app/kibana#/discover/Steve-Slow-Train-Analysis-(2080s-and-2083s)?_g=(refreshInterval:(display:Off,pause:!f,section:0,value:0),time:(from:'2017-03-18T20:52:09-0600',mode:absolute,to:'2017-03-19T00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87" t="str">
        <f t="shared" si="58"/>
        <v>N</v>
      </c>
      <c r="X148" s="187">
        <f t="shared" si="53"/>
        <v>2</v>
      </c>
      <c r="Y148" s="62">
        <f t="shared" si="59"/>
        <v>6.5699999999999995E-2</v>
      </c>
      <c r="Z148" s="62">
        <f t="shared" si="60"/>
        <v>23.33</v>
      </c>
      <c r="AA148" s="62">
        <f t="shared" si="61"/>
        <v>23.264299999999999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2"/>
        <v>0233-18</v>
      </c>
      <c r="AE148" s="85" t="str">
        <f t="shared" si="63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148" s="82" t="str">
        <f t="shared" si="64"/>
        <v>"C:\Program Files (x86)\AstroGrep\AstroGrep.exe" /e /r /s /spath="%USERPROFILE%\AppData\Local\Temp\OnboardLogs" /stypes="app*4027*20170319*" /stext=" 05:.+((SYSTEM_STATE.+slice.+state.+changed )|(ment ac)|(multiple cpu faults)|(system.+state.+changed )|(\[timeout)|(PRM\|1\|D)|(kpr)|(kdp)|(\|lc)|(penalty))"</v>
      </c>
      <c r="AG148" s="1" t="str">
        <f t="shared" si="65"/>
        <v>EC</v>
      </c>
      <c r="AH148" s="86" t="str">
        <f t="shared" si="66"/>
        <v>"%USERPROFILE%\Documents\GitHub\eaglep3\Utilities\RefineRTDCRunTimes.py" --tripid 233-18 --locoid 4027 --swversion DE.1.0.9.0 --startMP 204:657 --initTime 2017-03-18T21:52:09 --startdatetime 2017-03-18T22:24:53 --delay 1 --endMP 204:233300 --enddatetime 2017-03-18T23:10:38 --enforcementcount 0 &gt;&gt;C:\Users\stu\Documents\GitHub\eaglep3-reporting\EC\2017-03-18-refined-times.txt</v>
      </c>
      <c r="AI148" s="108" t="str">
        <f t="shared" si="67"/>
        <v>echo {"issue":{"subject":"","project_id":79,"tracker_id":40,"status_id":1,"priority_id":2,"assigned_to_id":23,"start_date":"2017-03-18","description":"","custom_fields":[{"id":1,"name":"Subdivision","value":"EC"},{"id":4,"name":"Milepost","value":"23.33"},{"id":17,"name":"Train ID","value":"233-18"},{"id":16,"name":"Locomotive ID","value":"4027"},{"id":130,"name":"Impact","value":""},{"id":150,"name":"Time of Event (Mountain Time)","value":"23:10:38"},{"id":151,"name":"Denver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8"/>
        <v>start /low /b %USERPROFILE%\Documents\GitHub\eaglep3\Utilities\DownloadLogsFromS3.py --loco 4027 --day 2017-03-18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"%USERPROFILE%\AppData\Local\Temp\OnboardLogs"\RTDC4027\*4027*20170319* | grep -SE "(Enforcement Action)|(\[TIMEOUT)|(CHR.+\|PRM\|1\|D.+(SWITCH|SIGNAL).+UNKNOWN)" - &gt;&gt; 2017-03-18-UncaughtWiMAX.txt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758</v>
      </c>
      <c r="B149" s="7">
        <v>4012</v>
      </c>
      <c r="C149" s="21" t="s">
        <v>222</v>
      </c>
      <c r="D149" s="21" t="s">
        <v>810</v>
      </c>
      <c r="E149" s="13">
        <v>42812.932835648149</v>
      </c>
      <c r="F149" s="13">
        <v>42812.956736111111</v>
      </c>
      <c r="G149" s="7">
        <v>4</v>
      </c>
      <c r="H149" s="21" t="s">
        <v>429</v>
      </c>
      <c r="I149" s="13">
        <v>42813.007337962961</v>
      </c>
      <c r="J149" s="7">
        <v>0</v>
      </c>
      <c r="K149" s="98" t="str">
        <f t="shared" si="54"/>
        <v>4011/4012</v>
      </c>
      <c r="L149" s="21" t="str">
        <f>VLOOKUP(A149,'Trips&amp;Operators'!$C$1:$G$99999,5,FALSE)</f>
        <v>SWANSON BRYCE</v>
      </c>
      <c r="M149" s="6">
        <f t="shared" si="55"/>
        <v>5.0601851849933155E-2</v>
      </c>
      <c r="N149" s="7">
        <f t="shared" si="74"/>
        <v>72.866666663903743</v>
      </c>
      <c r="O149" s="7"/>
      <c r="P149" s="7"/>
      <c r="Q149" s="22"/>
      <c r="R149" s="22"/>
      <c r="S149" s="31">
        <f t="shared" si="73"/>
        <v>1</v>
      </c>
      <c r="T149" s="46" t="str">
        <f t="shared" si="56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7"/>
        <v>https://d0f6bd738d7f1b3e5a7ca70fe4ff75f0.us-east-1.aws.found.io/app/kibana#/discover/Steve-Slow-Train-Analysis-(2080s-and-2083s)?_g=(refreshInterval:(display:Off,pause:!f,section:0,value:0),time:(from:'2017-03-18T21:23:17-0600',mode:absolute,to:'2017-03-19T01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9" s="187" t="str">
        <f t="shared" si="58"/>
        <v>N</v>
      </c>
      <c r="X149" s="187">
        <f t="shared" si="53"/>
        <v>1</v>
      </c>
      <c r="Y149" s="62">
        <f t="shared" si="59"/>
        <v>23.2973</v>
      </c>
      <c r="Z149" s="62">
        <f t="shared" si="60"/>
        <v>1.4500000000000001E-2</v>
      </c>
      <c r="AA149" s="62">
        <f t="shared" si="61"/>
        <v>23.282799999999998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2"/>
        <v>0234-18</v>
      </c>
      <c r="AE149" s="85" t="str">
        <f t="shared" si="63"/>
        <v>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 &amp; aws s3 cp s3://rtdc.mdm.uploadarchive.raw/RTDC4012/ "%USERPROFILE%\AppData\Local\Temp\OnboardLogs"\RTDC4012\2017-03-19 --exclude "*" --recursive --include "*20170319*" &amp; "%USERPROFILE%\Documents\GitHub\mrs-test-scripts\Headless Mode &amp; Sideloading\WalkAndUnGZ.bat" "%USERPROFILE%\AppData\Local\Temp\OnboardLogs"\RTDC4012\2017-03-19</v>
      </c>
      <c r="AF149" s="82" t="str">
        <f t="shared" si="64"/>
        <v>"C:\Program Files (x86)\AstroGrep\AstroGrep.exe" /e /r /s /spath="%USERPROFILE%\AppData\Local\Temp\OnboardLogs" /stypes="app*4012*20170319*" /stext=" 06:.+((SYSTEM_STATE.+slice.+state.+changed )|(ment ac)|(multiple cpu faults)|(system.+state.+changed )|(\[timeout)|(PRM\|1\|D)|(kpr)|(kdp)|(\|lc)|(penalty))"</v>
      </c>
      <c r="AG149" s="1" t="str">
        <f t="shared" si="65"/>
        <v>EC</v>
      </c>
      <c r="AH149" s="86" t="str">
        <f t="shared" si="66"/>
        <v>"%USERPROFILE%\Documents\GitHub\eaglep3\Utilities\RefineRTDCRunTimes.py" --tripid 234-18 --locoid 4012 --swversion DE.1.0.9.0 --startMP 204:232973 --initTime 2017-03-18T22:23:17 --startdatetime 2017-03-18T22:57:42 --delay 4 --endMP 204:145 --enddatetime 2017-03-19T00:10:34 --enforcementcount 0 &gt;&gt;C:\Users\stu\Documents\GitHub\eaglep3-reporting\EC\2017-03-18-refined-times.txt</v>
      </c>
      <c r="AI149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{"issue":{"subject":"","project_id":79,"tracker_id":40,"status_id":1,"priority_id":2,"assigned_to_id":23,"start_date":"2017-03-19","description":"","custom_fields":[{"id":1,"name":"Subdivision","value":"EC"},{"id":4,"name":"Milepost","value":"0.0145"},{"id":17,"name":"Train ID","value":"234-18"},{"id":16,"name":"Locomotive ID","value":"4012"},{"id":130,"name":"Impact","value":""},{"id":150,"name":"Time of Event (Mountain Time)","value":"00:10:34"},{"id":151,"name":"Denver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8"/>
        <v>start /low /b %USERPROFILE%\Documents\GitHub\eaglep3\Utilities\DownloadLogsFromS3.py --loco 4012 --day 2017-03-18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"%USERPROFILE%\AppData\Local\Temp\OnboardLogs"\RTDC4012\*4012*20170319* | grep -SE "(Enforcement Action)|(\[TIMEOUT)|(CHR.+\|PRM\|1\|D.+(SWITCH|SIGNAL).+UNKNOWN)" - &gt;&gt; 2017-03-18-UncaughtWiMAX.txt</v>
      </c>
    </row>
    <row r="150" spans="1:91" s="20" customFormat="1" x14ac:dyDescent="0.25">
      <c r="A150" s="33" t="s">
        <v>759</v>
      </c>
      <c r="B150" s="7">
        <v>4031</v>
      </c>
      <c r="C150" s="21" t="s">
        <v>222</v>
      </c>
      <c r="D150" s="21" t="s">
        <v>218</v>
      </c>
      <c r="E150" s="13">
        <v>42812.938356481478</v>
      </c>
      <c r="F150" s="13">
        <v>42812.973622685182</v>
      </c>
      <c r="G150" s="7">
        <v>1</v>
      </c>
      <c r="H150" s="21" t="s">
        <v>890</v>
      </c>
      <c r="I150" s="13">
        <v>42812.999432870369</v>
      </c>
      <c r="J150" s="7">
        <v>0</v>
      </c>
      <c r="K150" s="98" t="str">
        <f t="shared" si="54"/>
        <v>4031/4032</v>
      </c>
      <c r="L150" s="21" t="str">
        <f>VLOOKUP(A150,'Trips&amp;Operators'!$C$1:$G$99999,5,FALSE)</f>
        <v>STAMBAUGH JAMES</v>
      </c>
      <c r="M150" s="6">
        <f t="shared" si="55"/>
        <v>2.5810185186855961E-2</v>
      </c>
      <c r="N150" s="7">
        <f t="shared" si="74"/>
        <v>37.166666669072583</v>
      </c>
      <c r="O150" s="7"/>
      <c r="P150" s="7"/>
      <c r="Q150" s="22"/>
      <c r="R150" s="22"/>
      <c r="S150" s="31">
        <f t="shared" si="73"/>
        <v>1</v>
      </c>
      <c r="T150" s="46" t="str">
        <f t="shared" si="56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7"/>
        <v>https://d0f6bd738d7f1b3e5a7ca70fe4ff75f0.us-east-1.aws.found.io/app/kibana#/discover/Steve-Slow-Train-Analysis-(2080s-and-2083s)?_g=(refreshInterval:(display:Off,pause:!f,section:0,value:0),time:(from:'2017-03-18T21:31:14-0600',mode:absolute,to:'2017-03-19T00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0" s="187" t="str">
        <f t="shared" si="58"/>
        <v>N</v>
      </c>
      <c r="X150" s="187">
        <f t="shared" si="53"/>
        <v>3</v>
      </c>
      <c r="Y150" s="62">
        <f t="shared" si="59"/>
        <v>4.4699999999999997E-2</v>
      </c>
      <c r="Z150" s="62">
        <f t="shared" si="60"/>
        <v>23.336400000000001</v>
      </c>
      <c r="AA150" s="62">
        <f t="shared" si="61"/>
        <v>23.291700000000002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2"/>
        <v>0237-18</v>
      </c>
      <c r="AE150" s="85" t="str">
        <f t="shared" si="63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150" s="82" t="str">
        <f t="shared" si="64"/>
        <v>"C:\Program Files (x86)\AstroGrep\AstroGrep.exe" /e /r /s /spath="%USERPROFILE%\AppData\Local\Temp\OnboardLogs" /stypes="app*4031*20170319*" /stext=" 05:.+((SYSTEM_STATE.+slice.+state.+changed )|(ment ac)|(multiple cpu faults)|(system.+state.+changed )|(\[timeout)|(PRM\|1\|D)|(kpr)|(kdp)|(\|lc)|(penalty))"</v>
      </c>
      <c r="AG150" s="1" t="str">
        <f t="shared" si="65"/>
        <v>EC</v>
      </c>
      <c r="AH150" s="86" t="str">
        <f t="shared" si="66"/>
        <v>"%USERPROFILE%\Documents\GitHub\eaglep3\Utilities\RefineRTDCRunTimes.py" --tripid 237-18 --locoid 4031 --swversion DE.1.0.9.0 --startMP 204:447 --initTime 2017-03-18T22:31:14 --startdatetime 2017-03-18T23:22:01 --delay 1 --endMP 204:233364 --enddatetime 2017-03-18T23:59:11 --enforcementcount 0 &gt;&gt;C:\Users\stu\Documents\GitHub\eaglep3-reporting\EC\2017-03-18-refined-times.txt</v>
      </c>
      <c r="AI150" s="108" t="str">
        <f t="shared" si="67"/>
        <v>echo {"issue":{"subject":"","project_id":79,"tracker_id":40,"status_id":1,"priority_id":2,"assigned_to_id":23,"start_date":"2017-03-18","description":"","custom_fields":[{"id":1,"name":"Subdivision","value":"EC"},{"id":4,"name":"Milepost","value":"23.3364"},{"id":17,"name":"Train ID","value":"237-18"},{"id":16,"name":"Locomotive ID","value":"4031"},{"id":130,"name":"Impact","value":""},{"id":150,"name":"Time of Event (Mountain Time)","value":"23:59:11"},{"id":151,"name":"Denver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8"/>
        <v>start /low /b %USERPROFILE%\Documents\GitHub\eaglep3\Utilities\DownloadLogsFromS3.py --loco 4031 --day 2017-03-18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"%USERPROFILE%\AppData\Local\Temp\OnboardLogs"\RTDC4031\*4031*20170319* | grep -SE "(Enforcement Action)|(\[TIMEOUT)|(CHR.+\|PRM\|1\|D.+(SWITCH|SIGNAL).+UNKNOWN)" - &gt;&gt; 2017-03-18-UncaughtWiMAX.txt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596</v>
      </c>
      <c r="B151" s="7">
        <v>4028</v>
      </c>
      <c r="C151" s="21" t="s">
        <v>222</v>
      </c>
      <c r="D151" s="21" t="s">
        <v>891</v>
      </c>
      <c r="E151" s="13">
        <v>42812.991979166669</v>
      </c>
      <c r="F151" s="13">
        <v>42812.997407407405</v>
      </c>
      <c r="G151" s="7">
        <v>1</v>
      </c>
      <c r="H151" s="21" t="s">
        <v>217</v>
      </c>
      <c r="I151" s="13">
        <v>42813.024745370371</v>
      </c>
      <c r="J151" s="7">
        <v>0</v>
      </c>
      <c r="K151" s="98" t="str">
        <f t="shared" si="54"/>
        <v>4027/4028</v>
      </c>
      <c r="L151" s="21" t="str">
        <f>VLOOKUP(A151,'Trips&amp;Operators'!$C$1:$G$99999,5,FALSE)</f>
        <v>BROWN JACOB</v>
      </c>
      <c r="M151" s="6">
        <f t="shared" si="55"/>
        <v>2.7337962965248153E-2</v>
      </c>
      <c r="N151" s="7">
        <f t="shared" si="74"/>
        <v>39.36666666995734</v>
      </c>
      <c r="O151" s="7"/>
      <c r="P151" s="7"/>
      <c r="Q151" s="22"/>
      <c r="R151" s="22"/>
      <c r="S151" s="31">
        <f t="shared" si="73"/>
        <v>1</v>
      </c>
      <c r="T151" s="46" t="str">
        <f t="shared" si="56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7"/>
        <v>https://d0f6bd738d7f1b3e5a7ca70fe4ff75f0.us-east-1.aws.found.io/app/kibana#/discover/Steve-Slow-Train-Analysis-(2080s-and-2083s)?_g=(refreshInterval:(display:Off,pause:!f,section:0,value:0),time:(from:'2017-03-18T22:48:27-0600',mode:absolute,to:'2017-03-19T01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87" t="str">
        <f t="shared" si="58"/>
        <v>N</v>
      </c>
      <c r="X151" s="187">
        <f t="shared" si="53"/>
        <v>1</v>
      </c>
      <c r="Y151" s="62">
        <f t="shared" si="59"/>
        <v>23.298300000000001</v>
      </c>
      <c r="Z151" s="62">
        <f t="shared" si="60"/>
        <v>1.47E-2</v>
      </c>
      <c r="AA151" s="62">
        <f t="shared" si="61"/>
        <v>23.2836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2"/>
        <v>0238-18</v>
      </c>
      <c r="AE151" s="85" t="str">
        <f t="shared" si="63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151" s="82" t="str">
        <f t="shared" si="64"/>
        <v>"C:\Program Files (x86)\AstroGrep\AstroGrep.exe" /e /r /s /spath="%USERPROFILE%\AppData\Local\Temp\OnboardLogs" /stypes="app*4028*20170319*" /stext=" 06:.+((SYSTEM_STATE.+slice.+state.+changed )|(ment ac)|(multiple cpu faults)|(system.+state.+changed )|(\[timeout)|(PRM\|1\|D)|(kpr)|(kdp)|(\|lc)|(penalty))"</v>
      </c>
      <c r="AG151" s="1" t="str">
        <f t="shared" si="65"/>
        <v>EC</v>
      </c>
      <c r="AH151" s="86" t="str">
        <f t="shared" si="66"/>
        <v>"%USERPROFILE%\Documents\GitHub\eaglep3\Utilities\RefineRTDCRunTimes.py" --tripid 238-18 --locoid 4028 --swversion DE.1.0.9.0 --startMP 204:232983 --initTime 2017-03-18T23:48:27 --startdatetime 2017-03-18T23:56:16 --delay 1 --endMP 204:147 --enddatetime 2017-03-19T00:35:38 --enforcementcount 0 &gt;&gt;C:\Users\stu\Documents\GitHub\eaglep3-reporting\EC\2017-03-18-refined-times.txt</v>
      </c>
      <c r="AI151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{"issue":{"subject":"","project_id":79,"tracker_id":40,"status_id":1,"priority_id":2,"assigned_to_id":23,"start_date":"2017-03-19","description":"","custom_fields":[{"id":1,"name":"Subdivision","value":"EC"},{"id":4,"name":"Milepost","value":"0.0147"},{"id":17,"name":"Train ID","value":"238-18"},{"id":16,"name":"Locomotive ID","value":"4028"},{"id":130,"name":"Impact","value":""},{"id":150,"name":"Time of Event (Mountain Time)","value":"00:35:38"},{"id":151,"name":"Denver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8"/>
        <v>start /low /b %USERPROFILE%\Documents\GitHub\eaglep3\Utilities\DownloadLogsFromS3.py --loco 4028 --day 2017-03-18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"%USERPROFILE%\AppData\Local\Temp\OnboardLogs"\RTDC4028\*4028*20170319* | grep -SE "(Enforcement Action)|(\[TIMEOUT)|(CHR.+\|PRM\|1\|D.+(SWITCH|SIGNAL).+UNKNOWN)" - &gt;&gt; 2017-03-18-UncaughtWiMAX.txt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765</v>
      </c>
      <c r="B152" s="7">
        <v>4032</v>
      </c>
      <c r="C152" s="21" t="s">
        <v>222</v>
      </c>
      <c r="D152" s="21" t="s">
        <v>892</v>
      </c>
      <c r="E152" s="13">
        <v>42813.014062499999</v>
      </c>
      <c r="F152" s="13">
        <v>42813.018784722219</v>
      </c>
      <c r="G152" s="7">
        <v>1</v>
      </c>
      <c r="H152" s="21" t="s">
        <v>479</v>
      </c>
      <c r="I152" s="13">
        <v>42813.04478009259</v>
      </c>
      <c r="J152" s="7">
        <v>0</v>
      </c>
      <c r="K152" s="98" t="str">
        <f t="shared" si="54"/>
        <v>4031/4032</v>
      </c>
      <c r="L152" s="21" t="str">
        <f>VLOOKUP(A152,'Trips&amp;Operators'!$C$1:$G$99999,5,FALSE)</f>
        <v>STAMBAUGH JAMES</v>
      </c>
      <c r="M152" s="6">
        <f t="shared" si="55"/>
        <v>2.5995370371674653E-2</v>
      </c>
      <c r="N152" s="7">
        <f t="shared" si="74"/>
        <v>37.433333335211501</v>
      </c>
      <c r="O152" s="7"/>
      <c r="P152" s="7"/>
      <c r="Q152" s="22"/>
      <c r="R152" s="22"/>
      <c r="S152" s="31">
        <f t="shared" si="73"/>
        <v>1</v>
      </c>
      <c r="T152" s="46" t="str">
        <f t="shared" si="56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7"/>
        <v>https://d0f6bd738d7f1b3e5a7ca70fe4ff75f0.us-east-1.aws.found.io/app/kibana#/discover/Steve-Slow-Train-Analysis-(2080s-and-2083s)?_g=(refreshInterval:(display:Off,pause:!f,section:0,value:0),time:(from:'2017-03-18T23:20:15-0600',mode:absolute,to:'2017-03-19T02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187" t="str">
        <f t="shared" si="58"/>
        <v>N</v>
      </c>
      <c r="X152" s="187">
        <f t="shared" si="53"/>
        <v>2</v>
      </c>
      <c r="Y152" s="62">
        <f t="shared" si="59"/>
        <v>23.3065</v>
      </c>
      <c r="Z152" s="62">
        <f t="shared" si="60"/>
        <v>1.78E-2</v>
      </c>
      <c r="AA152" s="62">
        <f t="shared" si="61"/>
        <v>23.288699999999999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2"/>
        <v>0240-18</v>
      </c>
      <c r="AE152" s="85" t="str">
        <f t="shared" si="63"/>
        <v>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 &amp; 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</v>
      </c>
      <c r="AF152" s="82" t="str">
        <f t="shared" si="64"/>
        <v>"C:\Program Files (x86)\AstroGrep\AstroGrep.exe" /e /r /s /spath="%USERPROFILE%\AppData\Local\Temp\OnboardLogs" /stypes="app*4032*20170319*" /stext=" 07:.+((SYSTEM_STATE.+slice.+state.+changed )|(ment ac)|(multiple cpu faults)|(system.+state.+changed )|(\[timeout)|(PRM\|1\|D)|(kpr)|(kdp)|(\|lc)|(penalty))"</v>
      </c>
      <c r="AG152" s="1" t="str">
        <f t="shared" si="65"/>
        <v>EC</v>
      </c>
      <c r="AH152" s="86" t="str">
        <f t="shared" si="66"/>
        <v>"%USERPROFILE%\Documents\GitHub\eaglep3\Utilities\RefineRTDCRunTimes.py" --tripid 240-18 --locoid 4032 --swversion DE.1.0.9.0 --startMP 204:233065 --initTime 2017-03-19T00:20:15 --startdatetime 2017-03-19T00:27:03 --delay 1 --endMP 204:178 --enddatetime 2017-03-19T01:04:29 --enforcementcount 0 &gt;&gt;C:\Users\stu\Documents\GitHub\eaglep3-reporting\EC\2017-03-18-refined-times.txt</v>
      </c>
      <c r="AI152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{"issue":{"subject":"","project_id":79,"tracker_id":40,"status_id":1,"priority_id":2,"assigned_to_id":23,"start_date":"2017-03-19","description":"","custom_fields":[{"id":1,"name":"Subdivision","value":"EC"},{"id":4,"name":"Milepost","value":"0.0178"},{"id":17,"name":"Train ID","value":"240-18"},{"id":16,"name":"Locomotive ID","value":"4032"},{"id":130,"name":"Impact","value":""},{"id":150,"name":"Time of Event (Mountain Time)","value":"01:04:29"},{"id":151,"name":"Denver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8"/>
        <v>start /low /b %USERPROFILE%\Documents\GitHub\eaglep3\Utilities\DownloadLogsFromS3.py --loco 4032 --day 2017-03-19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"%USERPROFILE%\AppData\Local\Temp\OnboardLogs"\RTDC4032\*4032*20170319* | grep -SE "(Enforcement Action)|(\[TIMEOUT)|(CHR.+\|PRM\|1\|D.+(SWITCH|SIGNAL).+UNKNOWN)" - &gt;&gt; 2017-03-18-UncaughtWiMAX.txt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764</v>
      </c>
      <c r="B153" s="7">
        <v>4029</v>
      </c>
      <c r="C153" s="21" t="s">
        <v>222</v>
      </c>
      <c r="D153" s="21" t="s">
        <v>893</v>
      </c>
      <c r="E153" s="13">
        <v>42813.020590277774</v>
      </c>
      <c r="F153" s="13">
        <v>42813.021851851852</v>
      </c>
      <c r="G153" s="7">
        <v>0</v>
      </c>
      <c r="H153" s="21" t="s">
        <v>529</v>
      </c>
      <c r="I153" s="13">
        <v>42813.042303240742</v>
      </c>
      <c r="J153" s="7">
        <v>0</v>
      </c>
      <c r="K153" s="98" t="str">
        <f t="shared" si="54"/>
        <v>4029/4030</v>
      </c>
      <c r="L153" s="21" t="str">
        <f>VLOOKUP(A153,'Trips&amp;Operators'!$C$1:$G$99999,5,FALSE)</f>
        <v>SMITH MICHAEL</v>
      </c>
      <c r="M153" s="6">
        <f t="shared" si="55"/>
        <v>2.0451388889341615E-2</v>
      </c>
      <c r="N153" s="7"/>
      <c r="O153" s="7"/>
      <c r="P153" s="7">
        <f>24*60*SUM($M153:$M153)</f>
        <v>29.450000000651926</v>
      </c>
      <c r="Q153" s="22"/>
      <c r="R153" s="22" t="s">
        <v>416</v>
      </c>
      <c r="S153" s="31">
        <f t="shared" si="73"/>
        <v>0.75</v>
      </c>
      <c r="T153" s="46" t="str">
        <f t="shared" si="56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9</v>
      </c>
      <c r="V153" s="186" t="str">
        <f t="shared" si="57"/>
        <v>https://d0f6bd738d7f1b3e5a7ca70fe4ff75f0.us-east-1.aws.found.io/app/kibana#/discover/Steve-Slow-Train-Analysis-(2080s-and-2083s)?_g=(refreshInterval:(display:Off,pause:!f,section:0,value:0),time:(from:'2017-03-18T23:29:39-0600',mode:absolute,to:'2017-03-19T02:00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187" t="str">
        <f t="shared" si="58"/>
        <v>Y</v>
      </c>
      <c r="X153" s="187">
        <f t="shared" si="53"/>
        <v>1</v>
      </c>
      <c r="Y153" s="62">
        <f t="shared" si="59"/>
        <v>3.72</v>
      </c>
      <c r="Z153" s="62">
        <f t="shared" si="60"/>
        <v>23.330500000000001</v>
      </c>
      <c r="AA153" s="62">
        <f t="shared" si="61"/>
        <v>19.610500000000002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2"/>
        <v>0241-18</v>
      </c>
      <c r="AE153" s="85" t="str">
        <f t="shared" si="63"/>
        <v>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 &amp; aws s3 cp s3://rtdc.mdm.uploadarchive.raw/RTDC4029/ "%USERPROFILE%\AppData\Local\Temp\OnboardLogs"\RTDC4029\2017-03-20 --exclude "*" --recursive --include "*20170320*" &amp; "%USERPROFILE%\Documents\GitHub\mrs-test-scripts\Headless Mode &amp; Sideloading\WalkAndUnGZ.bat" "%USERPROFILE%\AppData\Local\Temp\OnboardLogs"\RTDC4029\2017-03-20</v>
      </c>
      <c r="AF153" s="82" t="str">
        <f t="shared" si="64"/>
        <v>"C:\Program Files (x86)\AstroGrep\AstroGrep.exe" /e /r /s /spath="%USERPROFILE%\AppData\Local\Temp\OnboardLogs" /stypes="app*4029*20170319*" /stext=" 07:.+((SYSTEM_STATE.+slice.+state.+changed )|(ment ac)|(multiple cpu faults)|(system.+state.+changed )|(\[timeout)|(PRM\|1\|D)|(kpr)|(kdp)|(\|lc)|(penalty))"</v>
      </c>
      <c r="AG153" s="1" t="str">
        <f t="shared" si="65"/>
        <v>EC</v>
      </c>
      <c r="AH153" s="86" t="str">
        <f t="shared" si="66"/>
        <v>"%USERPROFILE%\Documents\GitHub\eaglep3\Utilities\RefineRTDCRunTimes.py" --tripid 241-18 --locoid 4029 --swversion DE.1.0.9.0 --startMP 204:37200 --initTime 2017-03-19T00:29:39 --startdatetime 2017-03-19T00:31:28 --delay 0 --endMP 204:233305 --enddatetime 2017-03-19T01:00:55 --enforcementcount 0 &gt;&gt;C:\Users\stu\Documents\GitHub\eaglep3-reporting\EC\2017-03-18-refined-times.txt</v>
      </c>
      <c r="AI153" s="108" t="str">
        <f t="shared" si="67"/>
        <v>echo {"issue":{"subject":"Onboard in-route failure","project_id":79,"tracker_id":40,"status_id":1,"priority_id":2,"assigned_to_id":23,"start_date":"2017-03-19","description":"","custom_fields":[{"id":1,"name":"Subdivision","value":"EC"},{"id":4,"name":"Milepost","value":"23.3305"},{"id":17,"name":"Train ID","value":"241-18"},{"id":16,"name":"Locomotive ID","value":"4029"},{"id":130,"name":"Impact","value":""},{"id":150,"name":"Time of Event (Mountain Time)","value":"01:00:55"},{"id":151,"name":"Denver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8"/>
        <v>start /low /b %USERPROFILE%\Documents\GitHub\eaglep3\Utilities\DownloadLogsFromS3.py --loco 4029 --day 2017-03-19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764</v>
      </c>
      <c r="B154" s="7">
        <v>4029</v>
      </c>
      <c r="C154" s="21" t="s">
        <v>222</v>
      </c>
      <c r="D154" s="21" t="s">
        <v>894</v>
      </c>
      <c r="E154" s="13">
        <v>42813.00509259259</v>
      </c>
      <c r="F154" s="13">
        <v>42813.021851851852</v>
      </c>
      <c r="G154" s="7">
        <v>1</v>
      </c>
      <c r="H154" s="21" t="s">
        <v>496</v>
      </c>
      <c r="I154" s="13">
        <v>42813.042303240742</v>
      </c>
      <c r="J154" s="7">
        <v>0</v>
      </c>
      <c r="K154" s="98" t="str">
        <f t="shared" si="54"/>
        <v>4029/4030</v>
      </c>
      <c r="L154" s="21" t="str">
        <f>VLOOKUP(A154,'Trips&amp;Operators'!$C$1:$G$99999,5,FALSE)</f>
        <v>SMITH MICHAEL</v>
      </c>
      <c r="M154" s="6">
        <f t="shared" si="55"/>
        <v>2.0451388889341615E-2</v>
      </c>
      <c r="N154" s="7"/>
      <c r="O154" s="7"/>
      <c r="P154" s="7"/>
      <c r="Q154" s="22"/>
      <c r="R154" s="22"/>
      <c r="S154" s="31">
        <f t="shared" si="73"/>
        <v>0</v>
      </c>
      <c r="T154" s="46" t="str">
        <f t="shared" si="56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186" t="str">
        <f t="shared" si="57"/>
        <v>https://d0f6bd738d7f1b3e5a7ca70fe4ff75f0.us-east-1.aws.found.io/app/kibana#/discover/Steve-Slow-Train-Analysis-(2080s-and-2083s)?_g=(refreshInterval:(display:Off,pause:!f,section:0,value:0),time:(from:'2017-03-18T23:07:20-0600',mode:absolute,to:'2017-03-19T02:00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187" t="str">
        <f t="shared" si="58"/>
        <v>Y</v>
      </c>
      <c r="X154" s="187">
        <f t="shared" si="53"/>
        <v>0</v>
      </c>
      <c r="Y154" s="62">
        <f t="shared" si="59"/>
        <v>5.57E-2</v>
      </c>
      <c r="Z154" s="62">
        <f t="shared" si="60"/>
        <v>6.7500000000000004E-2</v>
      </c>
      <c r="AA154" s="62">
        <f t="shared" si="61"/>
        <v>1.1800000000000005E-2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2"/>
        <v>0241-18</v>
      </c>
      <c r="AE154" s="85" t="str">
        <f t="shared" si="63"/>
        <v>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 &amp; aws s3 cp s3://rtdc.mdm.uploadarchive.raw/RTDC4029/ "%USERPROFILE%\AppData\Local\Temp\OnboardLogs"\RTDC4029\2017-03-20 --exclude "*" --recursive --include "*20170320*" &amp; "%USERPROFILE%\Documents\GitHub\mrs-test-scripts\Headless Mode &amp; Sideloading\WalkAndUnGZ.bat" "%USERPROFILE%\AppData\Local\Temp\OnboardLogs"\RTDC4029\2017-03-20</v>
      </c>
      <c r="AF154" s="82" t="str">
        <f t="shared" si="64"/>
        <v>"C:\Program Files (x86)\AstroGrep\AstroGrep.exe" /e /r /s /spath="%USERPROFILE%\AppData\Local\Temp\OnboardLogs" /stypes="app*4029*20170319*" /stext=" 07:.+((SYSTEM_STATE.+slice.+state.+changed )|(ment ac)|(multiple cpu faults)|(system.+state.+changed )|(\[timeout)|(PRM\|1\|D)|(kpr)|(kdp)|(\|lc)|(penalty))"</v>
      </c>
      <c r="AG154" s="1" t="str">
        <f t="shared" si="65"/>
        <v>EC</v>
      </c>
      <c r="AH154" s="86" t="str">
        <f t="shared" si="66"/>
        <v>"%USERPROFILE%\Documents\GitHub\eaglep3\Utilities\RefineRTDCRunTimes.py" --tripid 241-18 --locoid 4029 --swversion DE.1.0.9.0 --startMP 204:557 --initTime 2017-03-19T00:07:20 --startdatetime 2017-03-19T00:31:28 --delay 1 --endMP 204:675 --enddatetime 2017-03-19T01:00:55 --enforcementcount 0 &gt;&gt;C:\Users\stu\Documents\GitHub\eaglep3-reporting\EC\2017-03-18-refined-times.txt</v>
      </c>
      <c r="AI154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{"issue":{"subject":"","project_id":79,"tracker_id":40,"status_id":1,"priority_id":2,"assigned_to_id":23,"start_date":"2017-03-19","description":"","custom_fields":[{"id":1,"name":"Subdivision","value":"EC"},{"id":4,"name":"Milepost","value":"0.0675"},{"id":17,"name":"Train ID","value":"241-18"},{"id":16,"name":"Locomotive ID","value":"4029"},{"id":130,"name":"Impact","value":""},{"id":150,"name":"Time of Event (Mountain Time)","value":"01:00:55"},{"id":151,"name":"Denver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8"/>
        <v>start /low /b %USERPROFILE%\Documents\GitHub\eaglep3\Utilities\DownloadLogsFromS3.py --loco 4029 --day 2017-03-19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768</v>
      </c>
      <c r="B155" s="7">
        <v>4030</v>
      </c>
      <c r="C155" s="21" t="s">
        <v>222</v>
      </c>
      <c r="D155" s="21" t="s">
        <v>230</v>
      </c>
      <c r="E155" s="13">
        <v>42813.043622685182</v>
      </c>
      <c r="F155" s="13">
        <v>42813.045451388891</v>
      </c>
      <c r="G155" s="7">
        <v>1</v>
      </c>
      <c r="H155" s="21" t="s">
        <v>199</v>
      </c>
      <c r="I155" s="13">
        <v>42813.075428240743</v>
      </c>
      <c r="J155" s="7">
        <v>0</v>
      </c>
      <c r="K155" s="98" t="str">
        <f t="shared" si="54"/>
        <v>4029/4030</v>
      </c>
      <c r="L155" s="21" t="str">
        <f>VLOOKUP(A155,'Trips&amp;Operators'!$C$1:$G$99999,5,FALSE)</f>
        <v>SMITH MICHAEL</v>
      </c>
      <c r="M155" s="6">
        <f t="shared" si="55"/>
        <v>2.99768518525525E-2</v>
      </c>
      <c r="N155" s="7">
        <f>24*60*SUM($M155:$M155)</f>
        <v>43.166666667675599</v>
      </c>
      <c r="O155" s="7"/>
      <c r="P155" s="7"/>
      <c r="Q155" s="22"/>
      <c r="R155" s="22"/>
      <c r="S155" s="31">
        <f t="shared" si="73"/>
        <v>1</v>
      </c>
      <c r="T155" s="46" t="str">
        <f t="shared" si="56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7"/>
        <v>https://d0f6bd738d7f1b3e5a7ca70fe4ff75f0.us-east-1.aws.found.io/app/kibana#/discover/Steve-Slow-Train-Analysis-(2080s-and-2083s)?_g=(refreshInterval:(display:Off,pause:!f,section:0,value:0),time:(from:'2017-03-19T00:02:49-0600',mode:absolute,to:'2017-03-19T02:48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5" s="187" t="str">
        <f t="shared" si="58"/>
        <v>N</v>
      </c>
      <c r="X155" s="187">
        <f t="shared" si="53"/>
        <v>1</v>
      </c>
      <c r="Y155" s="62">
        <f t="shared" si="59"/>
        <v>23.2971</v>
      </c>
      <c r="Z155" s="62">
        <f t="shared" si="60"/>
        <v>1.52E-2</v>
      </c>
      <c r="AA155" s="62">
        <f t="shared" si="61"/>
        <v>23.2819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2"/>
        <v>0242-18</v>
      </c>
      <c r="AE155" s="85" t="str">
        <f t="shared" si="63"/>
        <v>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 &amp; aws s3 cp s3://rtdc.mdm.uploadarchive.raw/RTDC4030/ "%USERPROFILE%\AppData\Local\Temp\OnboardLogs"\RTDC4030\2017-03-20 --exclude "*" --recursive --include "*20170320*" &amp; "%USERPROFILE%\Documents\GitHub\mrs-test-scripts\Headless Mode &amp; Sideloading\WalkAndUnGZ.bat" "%USERPROFILE%\AppData\Local\Temp\OnboardLogs"\RTDC4030\2017-03-20</v>
      </c>
      <c r="AF155" s="82" t="str">
        <f t="shared" si="64"/>
        <v>"C:\Program Files (x86)\AstroGrep\AstroGrep.exe" /e /r /s /spath="%USERPROFILE%\AppData\Local\Temp\OnboardLogs" /stypes="app*4030*20170319*" /stext=" 07:.+((SYSTEM_STATE.+slice.+state.+changed )|(ment ac)|(multiple cpu faults)|(system.+state.+changed )|(\[timeout)|(PRM\|1\|D)|(kpr)|(kdp)|(\|lc)|(penalty))"</v>
      </c>
      <c r="AG155" s="1" t="str">
        <f t="shared" si="65"/>
        <v>EC</v>
      </c>
      <c r="AH155" s="86" t="str">
        <f t="shared" si="66"/>
        <v>"%USERPROFILE%\Documents\GitHub\eaglep3\Utilities\RefineRTDCRunTimes.py" --tripid 242-18 --locoid 4030 --swversion DE.1.0.9.0 --startMP 204:232971 --initTime 2017-03-19T01:02:49 --startdatetime 2017-03-19T01:05:27 --delay 1 --endMP 204:152 --enddatetime 2017-03-19T01:48:37 --enforcementcount 0 &gt;&gt;C:\Users\stu\Documents\GitHub\eaglep3-reporting\EC\2017-03-18-refined-times.txt</v>
      </c>
      <c r="AI155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{"issue":{"subject":"","project_id":79,"tracker_id":40,"status_id":1,"priority_id":2,"assigned_to_id":23,"start_date":"2017-03-19","description":"","custom_fields":[{"id":1,"name":"Subdivision","value":"EC"},{"id":4,"name":"Milepost","value":"0.0152"},{"id":17,"name":"Train ID","value":"242-18"},{"id":16,"name":"Locomotive ID","value":"4030"},{"id":130,"name":"Impact","value":""},{"id":150,"name":"Time of Event (Mountain Time)","value":"01:48:37"},{"id":151,"name":"Denver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8"/>
        <v>start /low /b %USERPROFILE%\Documents\GitHub\eaglep3\Utilities\DownloadLogsFromS3.py --loco 4030 --day 2017-03-19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"%USERPROFILE%\AppData\Local\Temp\OnboardLogs"\RTDC4030\*4030*20170319* | grep -SE "(Enforcement Action)|(\[TIMEOUT)|(CHR.+\|PRM\|1\|D.+(SWITCH|SIGNAL).+UNKNOWN)" - &gt;&gt; 2017-03-18-UncaughtWiMAX.txt</v>
      </c>
    </row>
    <row r="156" spans="1:91" s="20" customFormat="1" x14ac:dyDescent="0.25">
      <c r="A156" s="33" t="s">
        <v>597</v>
      </c>
      <c r="B156" s="7">
        <v>4011</v>
      </c>
      <c r="C156" s="21" t="s">
        <v>222</v>
      </c>
      <c r="D156" s="21" t="s">
        <v>230</v>
      </c>
      <c r="E156" s="13">
        <v>42813.043622685182</v>
      </c>
      <c r="F156" s="13">
        <v>42813.023055555554</v>
      </c>
      <c r="G156" s="7">
        <v>1</v>
      </c>
      <c r="H156" s="21" t="s">
        <v>199</v>
      </c>
      <c r="I156" s="13">
        <v>42813.035601851851</v>
      </c>
      <c r="J156" s="7">
        <v>0</v>
      </c>
      <c r="K156" s="98" t="str">
        <f t="shared" si="54"/>
        <v>4011/4012</v>
      </c>
      <c r="L156" s="21" t="str">
        <f>VLOOKUP(A156,'Trips&amp;Operators'!$C$1:$G$99999,5,FALSE)</f>
        <v>SWANSON BRYCE</v>
      </c>
      <c r="M156" s="6">
        <f t="shared" si="55"/>
        <v>1.2546296296932269E-2</v>
      </c>
      <c r="N156" s="7"/>
      <c r="O156" s="7"/>
      <c r="P156" s="7">
        <f>24*60*SUM($M156:$M156)</f>
        <v>18.066666667582467</v>
      </c>
      <c r="Q156" s="22"/>
      <c r="R156" s="22" t="s">
        <v>416</v>
      </c>
      <c r="S156" s="31">
        <f t="shared" si="73"/>
        <v>1</v>
      </c>
      <c r="T156" s="46" t="str">
        <f t="shared" si="56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7"/>
        <v>https://d0f6bd738d7f1b3e5a7ca70fe4ff75f0.us-east-1.aws.found.io/app/kibana#/discover/Steve-Slow-Train-Analysis-(2080s-and-2083s)?_g=(refreshInterval:(display:Off,pause:!f,section:0,value:0),time:(from:'2017-03-19T00:02:49-0600',mode:absolute,to:'2017-03-19T01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6" s="187" t="str">
        <f t="shared" si="58"/>
        <v>Y</v>
      </c>
      <c r="X156" s="187">
        <f t="shared" ref="X156:X158" si="75">VALUE(LEFT(AD156,4))-VALUE(LEFT(AD155,4))</f>
        <v>1</v>
      </c>
      <c r="Y156" s="62">
        <v>0</v>
      </c>
      <c r="Z156" s="62">
        <v>21.9</v>
      </c>
      <c r="AA156" s="62">
        <f t="shared" si="61"/>
        <v>21.9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2"/>
        <v>0243-18</v>
      </c>
      <c r="AE156" s="85" t="str">
        <f t="shared" si="63"/>
        <v>aws s3 cp s3://rtdc.mdm.uploadarchive.raw/RTDC4011/ "%USERPROFILE%\AppData\Local\Temp\OnboardLogs"\RTDC4011\2017-03-19 --exclude "*" --recursive --include "*20170319*" &amp; "%USERPROFILE%\Documents\GitHub\mrs-test-scripts\Headless Mode &amp; Sideloading\WalkAndUnGZ.bat" "%USERPROFILE%\AppData\Local\Temp\OnboardLogs"\RTDC4011\2017-03-19 &amp; aws s3 cp s3://rtdc.mdm.uploadarchive.raw/RTDC4011/ "%USERPROFILE%\AppData\Local\Temp\OnboardLogs"\RTDC4011\2017-03-20 --exclude "*" --recursive --include "*20170320*" &amp; "%USERPROFILE%\Documents\GitHub\mrs-test-scripts\Headless Mode &amp; Sideloading\WalkAndUnGZ.bat" "%USERPROFILE%\AppData\Local\Temp\OnboardLogs"\RTDC4011\2017-03-20</v>
      </c>
      <c r="AF156" s="82" t="str">
        <f t="shared" si="64"/>
        <v>"C:\Program Files (x86)\AstroGrep\AstroGrep.exe" /e /r /s /spath="%USERPROFILE%\AppData\Local\Temp\OnboardLogs" /stypes="app*4011*20170319*" /stext=" 06:.+((SYSTEM_STATE.+slice.+state.+changed )|(ment ac)|(multiple cpu faults)|(system.+state.+changed )|(\[timeout)|(PRM\|1\|D)|(kpr)|(kdp)|(\|lc)|(penalty))"</v>
      </c>
      <c r="AG156" s="1" t="str">
        <f t="shared" si="65"/>
        <v>EC</v>
      </c>
      <c r="AH156" s="86" t="str">
        <f t="shared" ref="AH156" si="76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243-18 --locoid 4011 --swversion DE.1.0.9.0 --startMP 204:232971 --initTime 2017-03-19T01:02:49 --startdatetime 2017-03-19T00:33:12 --delay 1 --endMP 204:152 --enddatetime 2017-03-19T00:51:16 --enforcementcount 0 &gt;&gt;C:\Users\stu\Documents\GitHub\eaglep3-reporting\EC\2017-03-18-refined-times.txt</v>
      </c>
      <c r="AI156" s="108" t="str">
        <f t="shared" ref="AI156" si="77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failure","project_id":79,"tracker_id":40,"status_id":1,"priority_id":2,"assigned_to_id":23,"start_date":"2017-03-19","description":"","custom_fields":[{"id":1,"name":"Subdivision","value":"EC"},{"id":4,"name":"Milepost","value":"21.9"},{"id":17,"name":"Train ID","value":"243-18"},{"id":16,"name":"Locomotive ID","value":"4011"},{"id":130,"name":"Impact","value":""},{"id":150,"name":"Time of Event (Mountain Time)","value":"00:51:16"},{"id":151,"name":"Denver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ref="AM156" si="78">"start /low /b "&amp;dls3logs&amp;" --loco "&amp;B156&amp;" --day "&amp;TEXT(F156,"YYYY-MM-DD")</f>
        <v>start /low /b %USERPROFILE%\Documents\GitHub\eaglep3\Utilities\DownloadLogsFromS3.py --loco 4011 --day 2017-03-19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"%USERPROFILE%\AppData\Local\Temp\OnboardLogs"\RTDC4011\*4011*20170319* | grep -SE "(Enforcement Action)|(\[TIMEOUT)|(CHR.+\|PRM\|1\|D.+(SWITCH|SIGNAL).+UNKNOWN)" - &gt;&gt; 2017-03-18-UncaughtWiMAX.txt</v>
      </c>
    </row>
    <row r="157" spans="1:91" s="20" customFormat="1" x14ac:dyDescent="0.25">
      <c r="A157" s="33" t="s">
        <v>770</v>
      </c>
      <c r="B157" s="7">
        <v>4012</v>
      </c>
      <c r="C157" s="21" t="s">
        <v>222</v>
      </c>
      <c r="D157" s="21" t="s">
        <v>812</v>
      </c>
      <c r="E157" s="13">
        <v>42813.056898148148</v>
      </c>
      <c r="F157" s="13">
        <v>42813.059930555559</v>
      </c>
      <c r="G157" s="7">
        <v>1</v>
      </c>
      <c r="H157" s="21" t="s">
        <v>483</v>
      </c>
      <c r="I157" s="13">
        <v>42813.088773148149</v>
      </c>
      <c r="J157" s="7">
        <v>0</v>
      </c>
      <c r="K157" s="98" t="str">
        <f t="shared" si="54"/>
        <v>4011/4012</v>
      </c>
      <c r="L157" s="21" t="str">
        <f>VLOOKUP(A157,'Trips&amp;Operators'!$C$1:$G$99999,5,FALSE)</f>
        <v>SWANSON BRYCE</v>
      </c>
      <c r="M157" s="6">
        <f t="shared" si="55"/>
        <v>2.884259259008104E-2</v>
      </c>
      <c r="N157" s="7">
        <f t="shared" ref="N157:N188" si="79">24*60*SUM($M157:$M157)</f>
        <v>41.533333329716697</v>
      </c>
      <c r="O157" s="7"/>
      <c r="P157" s="7"/>
      <c r="Q157" s="22"/>
      <c r="R157" s="22"/>
      <c r="S157" s="31">
        <f t="shared" si="73"/>
        <v>1</v>
      </c>
      <c r="T157" s="46" t="str">
        <f t="shared" si="56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7"/>
        <v>https://d0f6bd738d7f1b3e5a7ca70fe4ff75f0.us-east-1.aws.found.io/app/kibana#/discover/Steve-Slow-Train-Analysis-(2080s-and-2083s)?_g=(refreshInterval:(display:Off,pause:!f,section:0,value:0),time:(from:'2017-03-19T00:21:56-0600',mode:absolute,to:'2017-03-19T03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7" s="187" t="str">
        <f t="shared" si="58"/>
        <v>N</v>
      </c>
      <c r="X157" s="187">
        <f t="shared" si="75"/>
        <v>1</v>
      </c>
      <c r="Y157" s="62">
        <f t="shared" ref="Y157:Y188" si="80">RIGHT(D157,LEN(D157)-4)/10000</f>
        <v>23.302099999999999</v>
      </c>
      <c r="Z157" s="62">
        <f t="shared" ref="Z157:Z188" si="81">RIGHT(H157,LEN(H157)-4)/10000</f>
        <v>1.3599999999999999E-2</v>
      </c>
      <c r="AA157" s="62">
        <f t="shared" si="61"/>
        <v>23.288499999999999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2"/>
        <v>0244-18</v>
      </c>
      <c r="AE157" s="85" t="str">
        <f t="shared" si="63"/>
        <v>aws s3 cp s3://rtdc.mdm.uploadarchive.raw/RTDC4012/ "%USERPROFILE%\AppData\Local\Temp\OnboardLogs"\RTDC4012\2017-03-19 --exclude "*" --recursive --include "*20170319*" &amp; "%USERPROFILE%\Documents\GitHub\mrs-test-scripts\Headless Mode &amp; Sideloading\WalkAndUnGZ.bat" "%USERPROFILE%\AppData\Local\Temp\OnboardLogs"\RTDC4012\2017-03-19 &amp; aws s3 cp s3://rtdc.mdm.uploadarchive.raw/RTDC4012/ "%USERPROFILE%\AppData\Local\Temp\OnboardLogs"\RTDC4012\2017-03-20 --exclude "*" --recursive --include "*20170320*" &amp; "%USERPROFILE%\Documents\GitHub\mrs-test-scripts\Headless Mode &amp; Sideloading\WalkAndUnGZ.bat" "%USERPROFILE%\AppData\Local\Temp\OnboardLogs"\RTDC4012\2017-03-20</v>
      </c>
      <c r="AF157" s="82" t="str">
        <f t="shared" si="64"/>
        <v>"C:\Program Files (x86)\AstroGrep\AstroGrep.exe" /e /r /s /spath="%USERPROFILE%\AppData\Local\Temp\OnboardLogs" /stypes="app*4012*20170319*" /stext=" 08:.+((SYSTEM_STATE.+slice.+state.+changed )|(ment ac)|(multiple cpu faults)|(system.+state.+changed )|(\[timeout)|(PRM\|1\|D)|(kpr)|(kdp)|(\|lc)|(penalty))"</v>
      </c>
      <c r="AG157" s="1" t="str">
        <f t="shared" si="65"/>
        <v>EC</v>
      </c>
      <c r="AH157" s="86" t="str">
        <f t="shared" si="66"/>
        <v>"%USERPROFILE%\Documents\GitHub\eaglep3\Utilities\RefineRTDCRunTimes.py" --tripid 244-18 --locoid 4012 --swversion DE.1.0.9.0 --startMP 204:233021 --initTime 2017-03-19T01:21:56 --startdatetime 2017-03-19T01:26:18 --delay 1 --endMP 204:136 --enddatetime 2017-03-19T02:07:50 --enforcementcount 0 &gt;&gt;C:\Users\stu\Documents\GitHub\eaglep3-reporting\EC\2017-03-18-refined-times.txt</v>
      </c>
      <c r="AI157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{"issue":{"subject":"","project_id":79,"tracker_id":40,"status_id":1,"priority_id":2,"assigned_to_id":23,"start_date":"2017-03-19","description":"","custom_fields":[{"id":1,"name":"Subdivision","value":"EC"},{"id":4,"name":"Milepost","value":"0.0136"},{"id":17,"name":"Train ID","value":"244-18"},{"id":16,"name":"Locomotive ID","value":"4012"},{"id":130,"name":"Impact","value":""},{"id":150,"name":"Time of Event (Mountain Time)","value":"02:07:50"},{"id":151,"name":"Denver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8"/>
        <v>start /low /b %USERPROFILE%\Documents\GitHub\eaglep3\Utilities\DownloadLogsFromS3.py --loco 4012 --day 2017-03-19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"%USERPROFILE%\AppData\Local\Temp\OnboardLogs"\RTDC4012\*4012*20170319* | grep -SE "(Enforcement Action)|(\[TIMEOUT)|(CHR.+\|PRM\|1\|D.+(SWITCH|SIGNAL).+UNKNOWN)" - &gt;&gt; 2017-03-18-UncaughtWiMAX.txt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767</v>
      </c>
      <c r="B158" s="7">
        <v>4027</v>
      </c>
      <c r="C158" s="21" t="s">
        <v>222</v>
      </c>
      <c r="D158" s="21" t="s">
        <v>223</v>
      </c>
      <c r="E158" s="13">
        <v>42813.032129629632</v>
      </c>
      <c r="F158" s="13">
        <v>42813.041886574072</v>
      </c>
      <c r="G158" s="7">
        <v>2</v>
      </c>
      <c r="H158" s="21" t="s">
        <v>895</v>
      </c>
      <c r="I158" s="13">
        <v>42813.066967592589</v>
      </c>
      <c r="J158" s="7">
        <v>0</v>
      </c>
      <c r="K158" s="98" t="str">
        <f t="shared" si="54"/>
        <v>4027/4028</v>
      </c>
      <c r="L158" s="21" t="str">
        <f>VLOOKUP(A158,'Trips&amp;Operators'!$C$1:$G$99999,5,FALSE)</f>
        <v>BROWN JACOB</v>
      </c>
      <c r="M158" s="6">
        <f t="shared" si="55"/>
        <v>2.5081018517084885E-2</v>
      </c>
      <c r="N158" s="7">
        <f t="shared" si="79"/>
        <v>36.116666664602235</v>
      </c>
      <c r="O158" s="7"/>
      <c r="P158" s="7"/>
      <c r="Q158" s="22"/>
      <c r="R158" s="22"/>
      <c r="S158" s="31">
        <f t="shared" si="73"/>
        <v>1</v>
      </c>
      <c r="T158" s="46" t="str">
        <f t="shared" si="56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7"/>
        <v>https://d0f6bd738d7f1b3e5a7ca70fe4ff75f0.us-east-1.aws.found.io/app/kibana#/discover/Steve-Slow-Train-Analysis-(2080s-and-2083s)?_g=(refreshInterval:(display:Off,pause:!f,section:0,value:0),time:(from:'2017-03-18T23:46:16-0600',mode:absolute,to:'2017-03-19T02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8" s="187" t="str">
        <f t="shared" si="58"/>
        <v>N</v>
      </c>
      <c r="X158" s="187">
        <f t="shared" si="75"/>
        <v>1</v>
      </c>
      <c r="Y158" s="62">
        <f t="shared" si="80"/>
        <v>4.58E-2</v>
      </c>
      <c r="Z158" s="62">
        <f t="shared" si="81"/>
        <v>23.332599999999999</v>
      </c>
      <c r="AA158" s="62">
        <f t="shared" si="61"/>
        <v>23.286799999999999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2"/>
        <v>0245-18</v>
      </c>
      <c r="AE158" s="85" t="str">
        <f t="shared" si="63"/>
        <v>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 &amp; 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</v>
      </c>
      <c r="AF158" s="82" t="str">
        <f t="shared" si="64"/>
        <v>"C:\Program Files (x86)\AstroGrep\AstroGrep.exe" /e /r /s /spath="%USERPROFILE%\AppData\Local\Temp\OnboardLogs" /stypes="app*4027*20170319*" /stext=" 07:.+((SYSTEM_STATE.+slice.+state.+changed )|(ment ac)|(multiple cpu faults)|(system.+state.+changed )|(\[timeout)|(PRM\|1\|D)|(kpr)|(kdp)|(\|lc)|(penalty))"</v>
      </c>
      <c r="AG158" s="1" t="str">
        <f t="shared" si="65"/>
        <v>EC</v>
      </c>
      <c r="AH158" s="86" t="str">
        <f t="shared" si="66"/>
        <v>"%USERPROFILE%\Documents\GitHub\eaglep3\Utilities\RefineRTDCRunTimes.py" --tripid 245-18 --locoid 4027 --swversion DE.1.0.9.0 --startMP 204:458 --initTime 2017-03-19T00:46:16 --startdatetime 2017-03-19T01:00:19 --delay 2 --endMP 204:233326 --enddatetime 2017-03-19T01:36:26 --enforcementcount 0 &gt;&gt;C:\Users\stu\Documents\GitHub\eaglep3-reporting\EC\2017-03-18-refined-times.txt</v>
      </c>
      <c r="AI158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{"issue":{"subject":"","project_id":79,"tracker_id":40,"status_id":1,"priority_id":2,"assigned_to_id":23,"start_date":"2017-03-19","description":"","custom_fields":[{"id":1,"name":"Subdivision","value":"EC"},{"id":4,"name":"Milepost","value":"23.3326"},{"id":17,"name":"Train ID","value":"245-18"},{"id":16,"name":"Locomotive ID","value":"4027"},{"id":130,"name":"Impact","value":""},{"id":150,"name":"Time of Event (Mountain Time)","value":"01:36:26"},{"id":151,"name":"Denver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8"/>
        <v>start /low /b %USERPROFILE%\Documents\GitHub\eaglep3\Utilities\DownloadLogsFromS3.py --loco 4027 --day 2017-03-19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"%USERPROFILE%\AppData\Local\Temp\OnboardLogs"\RTDC4027\*4027*20170319* | grep -SE "(Enforcement Action)|(\[TIMEOUT)|(CHR.+\|PRM\|1\|D.+(SWITCH|SIGNAL).+UNKNOWN)" - &gt;&gt; 2017-03-18-UncaughtWiMAX.txt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772</v>
      </c>
      <c r="B159" s="7">
        <v>4028</v>
      </c>
      <c r="C159" s="21" t="s">
        <v>222</v>
      </c>
      <c r="D159" s="21" t="s">
        <v>896</v>
      </c>
      <c r="E159" s="13">
        <v>42813.080092592594</v>
      </c>
      <c r="F159" s="13">
        <v>42813.081377314818</v>
      </c>
      <c r="G159" s="7">
        <v>1</v>
      </c>
      <c r="H159" s="21" t="s">
        <v>539</v>
      </c>
      <c r="I159" s="13">
        <v>42813.108113425929</v>
      </c>
      <c r="J159" s="7">
        <v>0</v>
      </c>
      <c r="K159" s="98" t="str">
        <f t="shared" si="54"/>
        <v>4027/4028</v>
      </c>
      <c r="L159" s="21" t="str">
        <f>VLOOKUP(A159,'Trips&amp;Operators'!$C$1:$G$99999,5,FALSE)</f>
        <v>BROWN JACOB</v>
      </c>
      <c r="M159" s="6">
        <f t="shared" si="55"/>
        <v>2.6736111110949423E-2</v>
      </c>
      <c r="N159" s="7">
        <f t="shared" si="79"/>
        <v>38.499999999767169</v>
      </c>
      <c r="O159" s="7"/>
      <c r="P159" s="7"/>
      <c r="Q159" s="22"/>
      <c r="R159" s="22"/>
      <c r="S159" s="31">
        <f t="shared" si="73"/>
        <v>1</v>
      </c>
      <c r="T159" s="46" t="str">
        <f t="shared" si="56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57"/>
        <v>https://d0f6bd738d7f1b3e5a7ca70fe4ff75f0.us-east-1.aws.found.io/app/kibana#/discover/Steve-Slow-Train-Analysis-(2080s-and-2083s)?_g=(refreshInterval:(display:Off,pause:!f,section:0,value:0),time:(from:'2017-03-19T00:55:20-0600',mode:absolute,to:'2017-03-19T03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9" s="187" t="str">
        <f t="shared" si="58"/>
        <v>N</v>
      </c>
      <c r="X159" s="187">
        <f t="shared" ref="X159:X161" si="82">VALUE(LEFT(AD159,4))-VALUE(LEFT(AD158,4))</f>
        <v>1</v>
      </c>
      <c r="Y159" s="62">
        <f t="shared" si="80"/>
        <v>23.300899999999999</v>
      </c>
      <c r="Z159" s="62">
        <f t="shared" si="81"/>
        <v>1.6E-2</v>
      </c>
      <c r="AA159" s="62">
        <f t="shared" si="61"/>
        <v>23.2849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2"/>
        <v>0246-18</v>
      </c>
      <c r="AE159" s="85" t="str">
        <f t="shared" si="63"/>
        <v>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 &amp; 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</v>
      </c>
      <c r="AF159" s="82" t="str">
        <f t="shared" si="64"/>
        <v>"C:\Program Files (x86)\AstroGrep\AstroGrep.exe" /e /r /s /spath="%USERPROFILE%\AppData\Local\Temp\OnboardLogs" /stypes="app*4028*20170319*" /stext=" 08:.+((SYSTEM_STATE.+slice.+state.+changed )|(ment ac)|(multiple cpu faults)|(system.+state.+changed )|(\[timeout)|(PRM\|1\|D)|(kpr)|(kdp)|(\|lc)|(penalty))"</v>
      </c>
      <c r="AG159" s="1" t="str">
        <f t="shared" si="65"/>
        <v>EC</v>
      </c>
      <c r="AH159" s="86" t="str">
        <f t="shared" si="66"/>
        <v>"%USERPROFILE%\Documents\GitHub\eaglep3\Utilities\RefineRTDCRunTimes.py" --tripid 246-18 --locoid 4028 --swversion DE.1.0.9.0 --startMP 204:233009 --initTime 2017-03-19T01:55:20 --startdatetime 2017-03-19T01:57:11 --delay 1 --endMP 204:160 --enddatetime 2017-03-19T02:35:41 --enforcementcount 0 &gt;&gt;C:\Users\stu\Documents\GitHub\eaglep3-reporting\EC\2017-03-18-refined-times.txt</v>
      </c>
      <c r="AI159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{"issue":{"subject":"","project_id":79,"tracker_id":40,"status_id":1,"priority_id":2,"assigned_to_id":23,"start_date":"2017-03-19","description":"","custom_fields":[{"id":1,"name":"Subdivision","value":"EC"},{"id":4,"name":"Milepost","value":"0.016"},{"id":17,"name":"Train ID","value":"246-18"},{"id":16,"name":"Locomotive ID","value":"4028"},{"id":130,"name":"Impact","value":""},{"id":150,"name":"Time of Event (Mountain Time)","value":"02:35:41"},{"id":151,"name":"Denver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8"/>
        <v>start /low /b %USERPROFILE%\Documents\GitHub\eaglep3\Utilities\DownloadLogsFromS3.py --loco 4028 --day 2017-03-19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"%USERPROFILE%\AppData\Local\Temp\OnboardLogs"\RTDC4028\*4028*20170319* | grep -SE "(Enforcement Action)|(\[TIMEOUT)|(CHR.+\|PRM\|1\|D.+(SWITCH|SIGNAL).+UNKNOWN)" - &gt;&gt; 2017-03-18-UncaughtWiMAX.txt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622</v>
      </c>
      <c r="B160" s="7">
        <v>4021</v>
      </c>
      <c r="C160" s="21" t="s">
        <v>222</v>
      </c>
      <c r="D160" s="21" t="s">
        <v>817</v>
      </c>
      <c r="E160" s="13">
        <v>42812.234976851854</v>
      </c>
      <c r="F160" s="13">
        <v>42812.264756944445</v>
      </c>
      <c r="G160" s="7">
        <v>1</v>
      </c>
      <c r="H160" s="21" t="s">
        <v>546</v>
      </c>
      <c r="I160" s="13">
        <v>42812.274224537039</v>
      </c>
      <c r="J160" s="7">
        <v>0</v>
      </c>
      <c r="K160" s="98" t="str">
        <f t="shared" si="54"/>
        <v>4021/4022</v>
      </c>
      <c r="L160" s="21" t="str">
        <f>VLOOKUP(A160,'Trips&amp;Operators'!$C$1:$G$99999,5,FALSE)</f>
        <v>SHOOK JOHN</v>
      </c>
      <c r="M160" s="6">
        <f t="shared" si="55"/>
        <v>9.4675925938645378E-3</v>
      </c>
      <c r="N160" s="7">
        <f t="shared" si="79"/>
        <v>13.633333335164934</v>
      </c>
      <c r="O160" s="7"/>
      <c r="P160" s="7"/>
      <c r="Q160" s="22"/>
      <c r="R160" s="22"/>
      <c r="S160" s="31">
        <f t="shared" si="73"/>
        <v>1</v>
      </c>
      <c r="T160" s="46" t="str">
        <f t="shared" si="56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7"/>
        <v>https://d0f6bd738d7f1b3e5a7ca70fe4ff75f0.us-east-1.aws.found.io/app/kibana#/discover/Steve-Slow-Train-Analysis-(2080s-and-2083s)?_g=(refreshInterval:(display:Off,pause:!f,section:0,value:0),time:(from:'2017-03-18T04:38:22-0600',mode:absolute,to:'2017-03-18T07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187" t="str">
        <f t="shared" si="58"/>
        <v>N</v>
      </c>
      <c r="X160" s="187">
        <f t="shared" si="82"/>
        <v>1554</v>
      </c>
      <c r="Y160" s="62">
        <f t="shared" si="80"/>
        <v>5.8673999999999999</v>
      </c>
      <c r="Z160" s="62">
        <f t="shared" si="81"/>
        <v>7.3300000000000004E-2</v>
      </c>
      <c r="AA160" s="62">
        <f t="shared" si="61"/>
        <v>5.7941000000000003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2"/>
        <v>1800-18</v>
      </c>
      <c r="AE160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60" s="82" t="str">
        <f t="shared" si="64"/>
        <v>"C:\Program Files (x86)\AstroGrep\AstroGrep.exe" /e /r /s /spath="%USERPROFILE%\AppData\Local\Temp\OnboardLogs" /stypes="app*4021*20170318*" /stext=" 12:.+((SYSTEM_STATE.+slice.+state.+changed )|(ment ac)|(multiple cpu faults)|(system.+state.+changed )|(\[timeout)|(PRM\|1\|D)|(kpr)|(kdp)|(\|lc)|(penalty))"</v>
      </c>
      <c r="AG160" s="1" t="str">
        <f t="shared" si="65"/>
        <v>NW</v>
      </c>
      <c r="AH160" s="86" t="str">
        <f t="shared" si="66"/>
        <v>"%USERPROFILE%\Documents\GitHub\eaglep3\Utilities\RefineRTDCRunTimes.py" --tripid 1800-18 --locoid 4021 --swversion DE.1.0.9.0 --startMP 300:58674 --initTime 2017-03-18T05:38:22 --startdatetime 2017-03-18T06:21:15 --delay 1 --endMP 204:733 --enddatetime 2017-03-18T06:34:53 --enforcementcount 0 &gt;&gt;C:\Users\stu\Documents\GitHub\eaglep3-reporting\EC\2017-03-18-refined-times.txt</v>
      </c>
      <c r="AI160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{"issue":{"subject":"","project_id":79,"tracker_id":40,"status_id":1,"priority_id":2,"assigned_to_id":23,"start_date":"2017-03-18","description":"","custom_fields":[{"id":1,"name":"Subdivision","value":"NW"},{"id":4,"name":"Milepost","value":"0.0733"},{"id":17,"name":"Train ID","value":"1800-18"},{"id":16,"name":"Locomotive ID","value":"4021"},{"id":130,"name":"Impact","value":""},{"id":150,"name":"Time of Event (Mountain Time)","value":"06:34:53"},{"id":151,"name":"Denver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8"/>
        <v>start /low /b %USERPROFILE%\Documents\GitHub\eaglep3\Utilities\DownloadLogsFromS3.py --loco 4021 --day 2017-03-18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61" spans="1:91" x14ac:dyDescent="0.25">
      <c r="A161" s="33" t="s">
        <v>628</v>
      </c>
      <c r="B161" s="7">
        <v>4022</v>
      </c>
      <c r="C161" s="21" t="s">
        <v>222</v>
      </c>
      <c r="D161" s="21" t="s">
        <v>487</v>
      </c>
      <c r="E161" s="13">
        <v>42812.249745370369</v>
      </c>
      <c r="F161" s="13">
        <v>42812.264756944445</v>
      </c>
      <c r="G161" s="7">
        <v>1</v>
      </c>
      <c r="H161" s="21" t="s">
        <v>818</v>
      </c>
      <c r="I161" s="13">
        <v>42812.274224537039</v>
      </c>
      <c r="J161" s="7">
        <v>0</v>
      </c>
      <c r="K161" s="98" t="str">
        <f t="shared" si="54"/>
        <v>4021/4022</v>
      </c>
      <c r="L161" s="21" t="str">
        <f>VLOOKUP(A161,'Trips&amp;Operators'!$C$1:$G$99999,5,FALSE)</f>
        <v>SHOOK JOHN</v>
      </c>
      <c r="M161" s="6">
        <f t="shared" si="55"/>
        <v>9.4675925938645378E-3</v>
      </c>
      <c r="N161" s="7">
        <f t="shared" si="79"/>
        <v>13.633333335164934</v>
      </c>
      <c r="O161" s="7"/>
      <c r="P161" s="7"/>
      <c r="Q161" s="22"/>
      <c r="R161" s="22"/>
      <c r="S161" s="31">
        <f t="shared" si="73"/>
        <v>1</v>
      </c>
      <c r="T161" s="46" t="str">
        <f t="shared" si="56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7"/>
        <v>https://d0f6bd738d7f1b3e5a7ca70fe4ff75f0.us-east-1.aws.found.io/app/kibana#/discover/Steve-Slow-Train-Analysis-(2080s-and-2083s)?_g=(refreshInterval:(display:Off,pause:!f,section:0,value:0),time:(from:'2017-03-18T04:59:38-0600',mode:absolute,to:'2017-03-18T07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187" t="str">
        <f t="shared" si="58"/>
        <v>N</v>
      </c>
      <c r="X161" s="187">
        <f t="shared" si="82"/>
        <v>1</v>
      </c>
      <c r="Y161" s="62">
        <f t="shared" si="80"/>
        <v>0.1028</v>
      </c>
      <c r="Z161" s="62">
        <f t="shared" si="81"/>
        <v>5.8994999999999997</v>
      </c>
      <c r="AA161" s="62">
        <f t="shared" si="61"/>
        <v>5.7966999999999995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2"/>
        <v>1801-18</v>
      </c>
      <c r="AE161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61" s="82" t="str">
        <f t="shared" si="64"/>
        <v>"C:\Program Files (x86)\AstroGrep\AstroGrep.exe" /e /r /s /spath="%USERPROFILE%\AppData\Local\Temp\OnboardLogs" /stypes="app*4022*20170318*" /stext=" 12:.+((SYSTEM_STATE.+slice.+state.+changed )|(ment ac)|(multiple cpu faults)|(system.+state.+changed )|(\[timeout)|(PRM\|1\|D)|(kpr)|(kdp)|(\|lc)|(penalty))"</v>
      </c>
      <c r="AG161" s="1" t="str">
        <f t="shared" si="65"/>
        <v>NW</v>
      </c>
      <c r="AH161" s="86" t="str">
        <f t="shared" si="66"/>
        <v>"%USERPROFILE%\Documents\GitHub\eaglep3\Utilities\RefineRTDCRunTimes.py" --tripid 1801-18 --locoid 4022 --swversion DE.1.0.9.0 --startMP 204:1028 --initTime 2017-03-18T05:59:38 --startdatetime 2017-03-18T06:21:15 --delay 1 --endMP 300:58995 --enddatetime 2017-03-18T06:34:53 --enforcementcount 0 &gt;&gt;C:\Users\stu\Documents\GitHub\eaglep3-reporting\EC\2017-03-18-refined-times.txt</v>
      </c>
      <c r="AI161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{"issue":{"subject":"","project_id":79,"tracker_id":40,"status_id":1,"priority_id":2,"assigned_to_id":23,"start_date":"2017-03-18","description":"","custom_fields":[{"id":1,"name":"Subdivision","value":"NW"},{"id":4,"name":"Milepost","value":"5.8995"},{"id":17,"name":"Train ID","value":"1801-18"},{"id":16,"name":"Locomotive ID","value":"4022"},{"id":130,"name":"Impact","value":""},{"id":150,"name":"Time of Event (Mountain Time)","value":"06:34:53"},{"id":151,"name":"Denver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8"/>
        <v>start /low /b %USERPROFILE%\Documents\GitHub\eaglep3\Utilities\DownloadLogsFromS3.py --loco 4022 --day 2017-03-18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62" spans="1:91" x14ac:dyDescent="0.25">
      <c r="A162" s="33" t="s">
        <v>631</v>
      </c>
      <c r="B162" s="7">
        <v>4021</v>
      </c>
      <c r="C162" s="21" t="s">
        <v>222</v>
      </c>
      <c r="D162" s="21" t="s">
        <v>488</v>
      </c>
      <c r="E162" s="13">
        <v>42812.27648148148</v>
      </c>
      <c r="F162" s="13">
        <v>42812.278402777774</v>
      </c>
      <c r="G162" s="7">
        <v>1</v>
      </c>
      <c r="H162" s="21" t="s">
        <v>819</v>
      </c>
      <c r="I162" s="13">
        <v>42812.288136574076</v>
      </c>
      <c r="J162" s="7">
        <v>0</v>
      </c>
      <c r="K162" s="98" t="str">
        <f t="shared" si="54"/>
        <v>4021/4022</v>
      </c>
      <c r="L162" s="21" t="str">
        <f>VLOOKUP(A162,'Trips&amp;Operators'!$C$1:$G$99999,5,FALSE)</f>
        <v>SHOOK JOHN</v>
      </c>
      <c r="M162" s="6">
        <f t="shared" si="55"/>
        <v>9.7337963015888818E-3</v>
      </c>
      <c r="N162" s="7">
        <f t="shared" si="79"/>
        <v>14.01666667428799</v>
      </c>
      <c r="O162" s="7"/>
      <c r="P162" s="7"/>
      <c r="Q162" s="22"/>
      <c r="R162" s="22"/>
      <c r="S162" s="31">
        <f t="shared" si="73"/>
        <v>1</v>
      </c>
      <c r="T162" s="46" t="str">
        <f t="shared" si="56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7"/>
        <v>https://d0f6bd738d7f1b3e5a7ca70fe4ff75f0.us-east-1.aws.found.io/app/kibana#/discover/Steve-Slow-Train-Analysis-(2080s-and-2083s)?_g=(refreshInterval:(display:Off,pause:!f,section:0,value:0),time:(from:'2017-03-18T05:38:08-0600',mode:absolute,to:'2017-03-18T07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187" t="str">
        <f t="shared" si="58"/>
        <v>N</v>
      </c>
      <c r="X162" s="187">
        <f t="shared" ref="X162:X193" si="83">VALUE(LEFT(AD162,4))-VALUE(LEFT(AD161,4))</f>
        <v>1</v>
      </c>
      <c r="Y162" s="62">
        <f t="shared" si="80"/>
        <v>5.8677000000000001</v>
      </c>
      <c r="Z162" s="62">
        <f t="shared" si="81"/>
        <v>7.4700000000000003E-2</v>
      </c>
      <c r="AA162" s="62">
        <f t="shared" si="61"/>
        <v>5.7930000000000001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2"/>
        <v>1802-18</v>
      </c>
      <c r="AE162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62" s="82" t="str">
        <f t="shared" si="64"/>
        <v>"C:\Program Files (x86)\AstroGrep\AstroGrep.exe" /e /r /s /spath="%USERPROFILE%\AppData\Local\Temp\OnboardLogs" /stypes="app*4021*20170318*" /stext=" 12:.+((SYSTEM_STATE.+slice.+state.+changed )|(ment ac)|(multiple cpu faults)|(system.+state.+changed )|(\[timeout)|(PRM\|1\|D)|(kpr)|(kdp)|(\|lc)|(penalty))"</v>
      </c>
      <c r="AG162" s="1" t="str">
        <f t="shared" si="65"/>
        <v>NW</v>
      </c>
      <c r="AH162" s="86" t="str">
        <f t="shared" si="66"/>
        <v>"%USERPROFILE%\Documents\GitHub\eaglep3\Utilities\RefineRTDCRunTimes.py" --tripid 1802-18 --locoid 4021 --swversion DE.1.0.9.0 --startMP 300:58677 --initTime 2017-03-18T06:38:08 --startdatetime 2017-03-18T06:40:54 --delay 1 --endMP 204:747 --enddatetime 2017-03-18T06:54:55 --enforcementcount 0 &gt;&gt;C:\Users\stu\Documents\GitHub\eaglep3-reporting\EC\2017-03-18-refined-times.txt</v>
      </c>
      <c r="AI162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{"issue":{"subject":"","project_id":79,"tracker_id":40,"status_id":1,"priority_id":2,"assigned_to_id":23,"start_date":"2017-03-18","description":"","custom_fields":[{"id":1,"name":"Subdivision","value":"NW"},{"id":4,"name":"Milepost","value":"0.0747"},{"id":17,"name":"Train ID","value":"1802-18"},{"id":16,"name":"Locomotive ID","value":"4021"},{"id":130,"name":"Impact","value":""},{"id":150,"name":"Time of Event (Mountain Time)","value":"06:54:55"},{"id":151,"name":"Denver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8"/>
        <v>start /low /b %USERPROFILE%\Documents\GitHub\eaglep3\Utilities\DownloadLogsFromS3.py --loco 4021 --day 2017-03-18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63" spans="1:91" x14ac:dyDescent="0.25">
      <c r="A163" s="33" t="s">
        <v>635</v>
      </c>
      <c r="B163" s="7">
        <v>4022</v>
      </c>
      <c r="C163" s="21" t="s">
        <v>222</v>
      </c>
      <c r="D163" s="21" t="s">
        <v>547</v>
      </c>
      <c r="E163" s="13">
        <v>42812.29010416667</v>
      </c>
      <c r="F163" s="13">
        <v>42812.306423611109</v>
      </c>
      <c r="G163" s="7">
        <v>1</v>
      </c>
      <c r="H163" s="21" t="s">
        <v>820</v>
      </c>
      <c r="I163" s="13">
        <v>42812.315740740742</v>
      </c>
      <c r="J163" s="7">
        <v>0</v>
      </c>
      <c r="K163" s="98" t="str">
        <f t="shared" si="54"/>
        <v>4021/4022</v>
      </c>
      <c r="L163" s="21" t="str">
        <f>VLOOKUP(A163,'Trips&amp;Operators'!$C$1:$G$99999,5,FALSE)</f>
        <v>SHOOK JOHN</v>
      </c>
      <c r="M163" s="6">
        <f t="shared" si="55"/>
        <v>9.3171296321088448E-3</v>
      </c>
      <c r="N163" s="7">
        <f t="shared" si="79"/>
        <v>13.416666670236737</v>
      </c>
      <c r="O163" s="7"/>
      <c r="P163" s="7"/>
      <c r="Q163" s="22"/>
      <c r="R163" s="22"/>
      <c r="S163" s="31">
        <f t="shared" si="73"/>
        <v>1</v>
      </c>
      <c r="T163" s="46" t="str">
        <f t="shared" si="56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7"/>
        <v>https://d0f6bd738d7f1b3e5a7ca70fe4ff75f0.us-east-1.aws.found.io/app/kibana#/discover/Steve-Slow-Train-Analysis-(2080s-and-2083s)?_g=(refreshInterval:(display:Off,pause:!f,section:0,value:0),time:(from:'2017-03-18T05:57:45-0600',mode:absolute,to:'2017-03-18T08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3" s="187" t="str">
        <f t="shared" si="58"/>
        <v>N</v>
      </c>
      <c r="X163" s="187">
        <f t="shared" si="83"/>
        <v>1</v>
      </c>
      <c r="Y163" s="62">
        <f t="shared" si="80"/>
        <v>0.1023</v>
      </c>
      <c r="Z163" s="62">
        <f t="shared" si="81"/>
        <v>5.8993000000000002</v>
      </c>
      <c r="AA163" s="62">
        <f t="shared" si="61"/>
        <v>5.7970000000000006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2"/>
        <v>1803-18</v>
      </c>
      <c r="AE163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63" s="82" t="str">
        <f t="shared" si="64"/>
        <v>"C:\Program Files (x86)\AstroGrep\AstroGrep.exe" /e /r /s /spath="%USERPROFILE%\AppData\Local\Temp\OnboardLogs" /stypes="app*4022*20170318*" /stext=" 13:.+((SYSTEM_STATE.+slice.+state.+changed )|(ment ac)|(multiple cpu faults)|(system.+state.+changed )|(\[timeout)|(PRM\|1\|D)|(kpr)|(kdp)|(\|lc)|(penalty))"</v>
      </c>
      <c r="AG163" s="1" t="str">
        <f t="shared" si="65"/>
        <v>NW</v>
      </c>
      <c r="AH163" s="86" t="str">
        <f t="shared" si="66"/>
        <v>"%USERPROFILE%\Documents\GitHub\eaglep3\Utilities\RefineRTDCRunTimes.py" --tripid 1803-18 --locoid 4022 --swversion DE.1.0.9.0 --startMP 204:1023 --initTime 2017-03-18T06:57:45 --startdatetime 2017-03-18T07:21:15 --delay 1 --endMP 300:58993 --enddatetime 2017-03-18T07:34:40 --enforcementcount 0 &gt;&gt;C:\Users\stu\Documents\GitHub\eaglep3-reporting\EC\2017-03-18-refined-times.txt</v>
      </c>
      <c r="AI163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{"issue":{"subject":"","project_id":79,"tracker_id":40,"status_id":1,"priority_id":2,"assigned_to_id":23,"start_date":"2017-03-18","description":"","custom_fields":[{"id":1,"name":"Subdivision","value":"NW"},{"id":4,"name":"Milepost","value":"5.8993"},{"id":17,"name":"Train ID","value":"1803-18"},{"id":16,"name":"Locomotive ID","value":"4022"},{"id":130,"name":"Impact","value":""},{"id":150,"name":"Time of Event (Mountain Time)","value":"07:34:40"},{"id":151,"name":"Denver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8"/>
        <v>start /low /b %USERPROFILE%\Documents\GitHub\eaglep3\Utilities\DownloadLogsFromS3.py --loco 4022 --day 2017-03-18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64" spans="1:91" x14ac:dyDescent="0.25">
      <c r="A164" s="33" t="s">
        <v>640</v>
      </c>
      <c r="B164" s="7">
        <v>4021</v>
      </c>
      <c r="C164" s="21" t="s">
        <v>222</v>
      </c>
      <c r="D164" s="21" t="s">
        <v>821</v>
      </c>
      <c r="E164" s="13">
        <v>42812.317557870374</v>
      </c>
      <c r="F164" s="13">
        <v>42812.320081018515</v>
      </c>
      <c r="G164" s="7">
        <v>1</v>
      </c>
      <c r="H164" s="21" t="s">
        <v>822</v>
      </c>
      <c r="I164" s="13">
        <v>42812.329895833333</v>
      </c>
      <c r="J164" s="7">
        <v>0</v>
      </c>
      <c r="K164" s="98" t="str">
        <f t="shared" si="54"/>
        <v>4021/4022</v>
      </c>
      <c r="L164" s="21" t="str">
        <f>VLOOKUP(A164,'Trips&amp;Operators'!$C$1:$G$99999,5,FALSE)</f>
        <v>SHOOK JOHN</v>
      </c>
      <c r="M164" s="6">
        <f t="shared" si="55"/>
        <v>9.8148148172185756E-3</v>
      </c>
      <c r="N164" s="7">
        <f t="shared" si="79"/>
        <v>14.133333336794749</v>
      </c>
      <c r="O164" s="7"/>
      <c r="P164" s="7"/>
      <c r="Q164" s="22"/>
      <c r="R164" s="22"/>
      <c r="S164" s="31">
        <f t="shared" si="73"/>
        <v>1</v>
      </c>
      <c r="T164" s="46" t="str">
        <f t="shared" si="56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7"/>
        <v>https://d0f6bd738d7f1b3e5a7ca70fe4ff75f0.us-east-1.aws.found.io/app/kibana#/discover/Steve-Slow-Train-Analysis-(2080s-and-2083s)?_g=(refreshInterval:(display:Off,pause:!f,section:0,value:0),time:(from:'2017-03-18T06:37:17-0600',mode:absolute,to:'2017-03-18T08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4" s="187" t="str">
        <f t="shared" si="58"/>
        <v>N</v>
      </c>
      <c r="X164" s="187">
        <f t="shared" si="83"/>
        <v>1</v>
      </c>
      <c r="Y164" s="62">
        <f t="shared" si="80"/>
        <v>5.8685</v>
      </c>
      <c r="Z164" s="62">
        <f t="shared" si="81"/>
        <v>7.4499999999999997E-2</v>
      </c>
      <c r="AA164" s="62">
        <f t="shared" si="61"/>
        <v>5.7940000000000005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2"/>
        <v>1804-18</v>
      </c>
      <c r="AE164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64" s="82" t="str">
        <f t="shared" si="64"/>
        <v>"C:\Program Files (x86)\AstroGrep\AstroGrep.exe" /e /r /s /spath="%USERPROFILE%\AppData\Local\Temp\OnboardLogs" /stypes="app*4021*20170318*" /stext=" 13:.+((SYSTEM_STATE.+slice.+state.+changed )|(ment ac)|(multiple cpu faults)|(system.+state.+changed )|(\[timeout)|(PRM\|1\|D)|(kpr)|(kdp)|(\|lc)|(penalty))"</v>
      </c>
      <c r="AG164" s="1" t="str">
        <f t="shared" si="65"/>
        <v>NW</v>
      </c>
      <c r="AH164" s="86" t="str">
        <f t="shared" si="66"/>
        <v>"%USERPROFILE%\Documents\GitHub\eaglep3\Utilities\RefineRTDCRunTimes.py" --tripid 1804-18 --locoid 4021 --swversion DE.1.0.9.0 --startMP 300:58685 --initTime 2017-03-18T07:37:17 --startdatetime 2017-03-18T07:40:55 --delay 1 --endMP 204:745 --enddatetime 2017-03-18T07:55:03 --enforcementcount 0 &gt;&gt;C:\Users\stu\Documents\GitHub\eaglep3-reporting\EC\2017-03-18-refined-times.txt</v>
      </c>
      <c r="AI164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{"issue":{"subject":"","project_id":79,"tracker_id":40,"status_id":1,"priority_id":2,"assigned_to_id":23,"start_date":"2017-03-18","description":"","custom_fields":[{"id":1,"name":"Subdivision","value":"NW"},{"id":4,"name":"Milepost","value":"0.0745"},{"id":17,"name":"Train ID","value":"1804-18"},{"id":16,"name":"Locomotive ID","value":"4021"},{"id":130,"name":"Impact","value":""},{"id":150,"name":"Time of Event (Mountain Time)","value":"07:55:03"},{"id":151,"name":"Denver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8"/>
        <v>start /low /b %USERPROFILE%\Documents\GitHub\eaglep3\Utilities\DownloadLogsFromS3.py --loco 4021 --day 2017-03-18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65" spans="1:91" x14ac:dyDescent="0.25">
      <c r="A165" s="33" t="s">
        <v>644</v>
      </c>
      <c r="B165" s="7">
        <v>4022</v>
      </c>
      <c r="C165" s="21" t="s">
        <v>222</v>
      </c>
      <c r="D165" s="21" t="s">
        <v>495</v>
      </c>
      <c r="E165" s="13">
        <v>42812.332187499997</v>
      </c>
      <c r="F165" s="13">
        <v>42812.348090277781</v>
      </c>
      <c r="G165" s="7">
        <v>1</v>
      </c>
      <c r="H165" s="21" t="s">
        <v>548</v>
      </c>
      <c r="I165" s="13">
        <v>42812.357361111113</v>
      </c>
      <c r="J165" s="7">
        <v>0</v>
      </c>
      <c r="K165" s="98" t="str">
        <f t="shared" si="54"/>
        <v>4021/4022</v>
      </c>
      <c r="L165" s="21" t="str">
        <f>VLOOKUP(A165,'Trips&amp;Operators'!$C$1:$G$99999,5,FALSE)</f>
        <v>SHOOK JOHN</v>
      </c>
      <c r="M165" s="6">
        <f t="shared" si="55"/>
        <v>9.2708333322661929E-3</v>
      </c>
      <c r="N165" s="7">
        <f t="shared" si="79"/>
        <v>13.349999998463318</v>
      </c>
      <c r="O165" s="7"/>
      <c r="P165" s="7"/>
      <c r="Q165" s="22"/>
      <c r="R165" s="22"/>
      <c r="S165" s="31">
        <f t="shared" si="73"/>
        <v>1</v>
      </c>
      <c r="T165" s="46" t="str">
        <f t="shared" si="56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7"/>
        <v>https://d0f6bd738d7f1b3e5a7ca70fe4ff75f0.us-east-1.aws.found.io/app/kibana#/discover/Steve-Slow-Train-Analysis-(2080s-and-2083s)?_g=(refreshInterval:(display:Off,pause:!f,section:0,value:0),time:(from:'2017-03-18T06:58:21-0600',mode:absolute,to:'2017-03-18T09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187" t="str">
        <f t="shared" si="58"/>
        <v>N</v>
      </c>
      <c r="X165" s="187">
        <f t="shared" si="83"/>
        <v>1</v>
      </c>
      <c r="Y165" s="62">
        <f t="shared" si="80"/>
        <v>0.10199999999999999</v>
      </c>
      <c r="Z165" s="62">
        <f t="shared" si="81"/>
        <v>5.8992000000000004</v>
      </c>
      <c r="AA165" s="62">
        <f t="shared" si="61"/>
        <v>5.7972000000000001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2"/>
        <v>1805-18</v>
      </c>
      <c r="AE165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65" s="82" t="str">
        <f t="shared" si="64"/>
        <v>"C:\Program Files (x86)\AstroGrep\AstroGrep.exe" /e /r /s /spath="%USERPROFILE%\AppData\Local\Temp\OnboardLogs" /stypes="app*4022*20170318*" /stext=" 14:.+((SYSTEM_STATE.+slice.+state.+changed )|(ment ac)|(multiple cpu faults)|(system.+state.+changed )|(\[timeout)|(PRM\|1\|D)|(kpr)|(kdp)|(\|lc)|(penalty))"</v>
      </c>
      <c r="AG165" s="1" t="str">
        <f t="shared" si="65"/>
        <v>NW</v>
      </c>
      <c r="AH165" s="86" t="str">
        <f t="shared" si="66"/>
        <v>"%USERPROFILE%\Documents\GitHub\eaglep3\Utilities\RefineRTDCRunTimes.py" --tripid 1805-18 --locoid 4022 --swversion DE.1.0.9.0 --startMP 204:1020 --initTime 2017-03-18T07:58:21 --startdatetime 2017-03-18T08:21:15 --delay 1 --endMP 300:58992 --enddatetime 2017-03-18T08:34:36 --enforcementcount 0 &gt;&gt;C:\Users\stu\Documents\GitHub\eaglep3-reporting\EC\2017-03-18-refined-times.txt</v>
      </c>
      <c r="AI165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{"issue":{"subject":"","project_id":79,"tracker_id":40,"status_id":1,"priority_id":2,"assigned_to_id":23,"start_date":"2017-03-18","description":"","custom_fields":[{"id":1,"name":"Subdivision","value":"NW"},{"id":4,"name":"Milepost","value":"5.8992"},{"id":17,"name":"Train ID","value":"1805-18"},{"id":16,"name":"Locomotive ID","value":"4022"},{"id":130,"name":"Impact","value":""},{"id":150,"name":"Time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8"/>
        <v>start /low /b %USERPROFILE%\Documents\GitHub\eaglep3\Utilities\DownloadLogsFromS3.py --loco 4022 --day 2017-03-18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66" spans="1:91" x14ac:dyDescent="0.25">
      <c r="A166" s="33" t="s">
        <v>650</v>
      </c>
      <c r="B166" s="7">
        <v>4021</v>
      </c>
      <c r="C166" s="21" t="s">
        <v>222</v>
      </c>
      <c r="D166" s="21" t="s">
        <v>486</v>
      </c>
      <c r="E166" s="13">
        <v>42812.359571759262</v>
      </c>
      <c r="F166" s="13">
        <v>42812.361689814818</v>
      </c>
      <c r="G166" s="7">
        <v>1</v>
      </c>
      <c r="H166" s="21" t="s">
        <v>822</v>
      </c>
      <c r="I166" s="13">
        <v>42812.371469907404</v>
      </c>
      <c r="J166" s="7">
        <v>0</v>
      </c>
      <c r="K166" s="98" t="str">
        <f t="shared" si="54"/>
        <v>4021/4022</v>
      </c>
      <c r="L166" s="21" t="str">
        <f>VLOOKUP(A166,'Trips&amp;Operators'!$C$1:$G$99999,5,FALSE)</f>
        <v>SHOOK JOHN</v>
      </c>
      <c r="M166" s="6">
        <f t="shared" si="55"/>
        <v>9.7800925868796185E-3</v>
      </c>
      <c r="N166" s="7">
        <f t="shared" si="79"/>
        <v>14.083333325106651</v>
      </c>
      <c r="O166" s="7"/>
      <c r="P166" s="7"/>
      <c r="Q166" s="22"/>
      <c r="R166" s="22"/>
      <c r="S166" s="31">
        <f t="shared" si="73"/>
        <v>1</v>
      </c>
      <c r="T166" s="46" t="str">
        <f t="shared" si="56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7"/>
        <v>https://d0f6bd738d7f1b3e5a7ca70fe4ff75f0.us-east-1.aws.found.io/app/kibana#/discover/Steve-Slow-Train-Analysis-(2080s-and-2083s)?_g=(refreshInterval:(display:Off,pause:!f,section:0,value:0),time:(from:'2017-03-18T07:37:47-0600',mode:absolute,to:'2017-03-18T09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187" t="str">
        <f t="shared" si="58"/>
        <v>N</v>
      </c>
      <c r="X166" s="187">
        <f t="shared" si="83"/>
        <v>1</v>
      </c>
      <c r="Y166" s="62">
        <f t="shared" si="80"/>
        <v>5.8682999999999996</v>
      </c>
      <c r="Z166" s="62">
        <f t="shared" si="81"/>
        <v>7.4499999999999997E-2</v>
      </c>
      <c r="AA166" s="62">
        <f t="shared" si="61"/>
        <v>5.7938000000000001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2"/>
        <v>1806-18</v>
      </c>
      <c r="AE166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66" s="82" t="str">
        <f t="shared" si="64"/>
        <v>"C:\Program Files (x86)\AstroGrep\AstroGrep.exe" /e /r /s /spath="%USERPROFILE%\AppData\Local\Temp\OnboardLogs" /stypes="app*4021*20170318*" /stext=" 14:.+((SYSTEM_STATE.+slice.+state.+changed )|(ment ac)|(multiple cpu faults)|(system.+state.+changed )|(\[timeout)|(PRM\|1\|D)|(kpr)|(kdp)|(\|lc)|(penalty))"</v>
      </c>
      <c r="AG166" s="1" t="str">
        <f t="shared" si="65"/>
        <v>NW</v>
      </c>
      <c r="AH166" s="86" t="str">
        <f t="shared" si="66"/>
        <v>"%USERPROFILE%\Documents\GitHub\eaglep3\Utilities\RefineRTDCRunTimes.py" --tripid 1806-18 --locoid 4021 --swversion DE.1.0.9.0 --startMP 300:58683 --initTime 2017-03-18T08:37:47 --startdatetime 2017-03-18T08:40:50 --delay 1 --endMP 204:745 --enddatetime 2017-03-18T08:54:55 --enforcementcount 0 &gt;&gt;C:\Users\stu\Documents\GitHub\eaglep3-reporting\EC\2017-03-18-refined-times.txt</v>
      </c>
      <c r="AI166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{"issue":{"subject":"","project_id":79,"tracker_id":40,"status_id":1,"priority_id":2,"assigned_to_id":23,"start_date":"2017-03-18","description":"","custom_fields":[{"id":1,"name":"Subdivision","value":"NW"},{"id":4,"name":"Milepost","value":"0.0745"},{"id":17,"name":"Train ID","value":"1806-18"},{"id":16,"name":"Locomotive ID","value":"4021"},{"id":130,"name":"Impact","value":""},{"id":150,"name":"Time of Event (Mountain Time)","value":"08:54:55"},{"id":151,"name":"Denver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8"/>
        <v>start /low /b %USERPROFILE%\Documents\GitHub\eaglep3\Utilities\DownloadLogsFromS3.py --loco 4021 --day 2017-03-18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67" spans="1:91" x14ac:dyDescent="0.25">
      <c r="A167" s="33" t="s">
        <v>655</v>
      </c>
      <c r="B167" s="7">
        <v>4022</v>
      </c>
      <c r="C167" s="21" t="s">
        <v>222</v>
      </c>
      <c r="D167" s="21" t="s">
        <v>794</v>
      </c>
      <c r="E167" s="13">
        <v>42812.373842592591</v>
      </c>
      <c r="F167" s="13">
        <v>42812.389768518522</v>
      </c>
      <c r="G167" s="7">
        <v>1</v>
      </c>
      <c r="H167" s="21" t="s">
        <v>820</v>
      </c>
      <c r="I167" s="13">
        <v>42812.399108796293</v>
      </c>
      <c r="J167" s="7">
        <v>0</v>
      </c>
      <c r="K167" s="98" t="str">
        <f t="shared" si="54"/>
        <v>4021/4022</v>
      </c>
      <c r="L167" s="21" t="str">
        <f>VLOOKUP(A167,'Trips&amp;Operators'!$C$1:$G$99999,5,FALSE)</f>
        <v>SHOOK JOHN</v>
      </c>
      <c r="M167" s="6">
        <f t="shared" si="55"/>
        <v>9.3402777711162344E-3</v>
      </c>
      <c r="N167" s="7">
        <f t="shared" si="79"/>
        <v>13.449999990407377</v>
      </c>
      <c r="O167" s="7"/>
      <c r="P167" s="7"/>
      <c r="Q167" s="22"/>
      <c r="R167" s="22"/>
      <c r="S167" s="31">
        <f t="shared" si="73"/>
        <v>1</v>
      </c>
      <c r="T167" s="46" t="str">
        <f t="shared" si="56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7"/>
        <v>https://d0f6bd738d7f1b3e5a7ca70fe4ff75f0.us-east-1.aws.found.io/app/kibana#/discover/Steve-Slow-Train-Analysis-(2080s-and-2083s)?_g=(refreshInterval:(display:Off,pause:!f,section:0,value:0),time:(from:'2017-03-18T07:58:20-0600',mode:absolute,to:'2017-03-18T10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7" s="187" t="str">
        <f t="shared" si="58"/>
        <v>N</v>
      </c>
      <c r="X167" s="187">
        <f t="shared" si="83"/>
        <v>1</v>
      </c>
      <c r="Y167" s="62">
        <f t="shared" si="80"/>
        <v>0.1032</v>
      </c>
      <c r="Z167" s="62">
        <f t="shared" si="81"/>
        <v>5.8993000000000002</v>
      </c>
      <c r="AA167" s="62">
        <f t="shared" si="61"/>
        <v>5.7961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2"/>
        <v>1807-18</v>
      </c>
      <c r="AE167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67" s="82" t="str">
        <f t="shared" si="64"/>
        <v>"C:\Program Files (x86)\AstroGrep\AstroGrep.exe" /e /r /s /spath="%USERPROFILE%\AppData\Local\Temp\OnboardLogs" /stypes="app*4022*20170318*" /stext=" 15:.+((SYSTEM_STATE.+slice.+state.+changed )|(ment ac)|(multiple cpu faults)|(system.+state.+changed )|(\[timeout)|(PRM\|1\|D)|(kpr)|(kdp)|(\|lc)|(penalty))"</v>
      </c>
      <c r="AG167" s="1" t="str">
        <f t="shared" si="65"/>
        <v>NW</v>
      </c>
      <c r="AH167" s="86" t="str">
        <f t="shared" si="66"/>
        <v>"%USERPROFILE%\Documents\GitHub\eaglep3\Utilities\RefineRTDCRunTimes.py" --tripid 1807-18 --locoid 4022 --swversion DE.1.0.9.0 --startMP 204:1032 --initTime 2017-03-18T08:58:20 --startdatetime 2017-03-18T09:21:16 --delay 1 --endMP 300:58993 --enddatetime 2017-03-18T09:34:43 --enforcementcount 0 &gt;&gt;C:\Users\stu\Documents\GitHub\eaglep3-reporting\EC\2017-03-18-refined-times.txt</v>
      </c>
      <c r="AI167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{"issue":{"subject":"","project_id":79,"tracker_id":40,"status_id":1,"priority_id":2,"assigned_to_id":23,"start_date":"2017-03-18","description":"","custom_fields":[{"id":1,"name":"Subdivision","value":"NW"},{"id":4,"name":"Milepost","value":"5.8993"},{"id":17,"name":"Train ID","value":"1807-18"},{"id":16,"name":"Locomotive ID","value":"4022"},{"id":130,"name":"Impact","value":""},{"id":150,"name":"Time of Event (Mountain Time)","value":"09:34:43"},{"id":151,"name":"Denver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8"/>
        <v>start /low /b %USERPROFILE%\Documents\GitHub\eaglep3\Utilities\DownloadLogsFromS3.py --loco 4022 --day 2017-03-18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68" spans="1:91" s="20" customFormat="1" x14ac:dyDescent="0.25">
      <c r="A168" s="33" t="s">
        <v>660</v>
      </c>
      <c r="B168" s="7">
        <v>4021</v>
      </c>
      <c r="C168" s="21" t="s">
        <v>222</v>
      </c>
      <c r="D168" s="21" t="s">
        <v>551</v>
      </c>
      <c r="E168" s="13">
        <v>42812.401331018518</v>
      </c>
      <c r="F168" s="13">
        <v>42812.403310185182</v>
      </c>
      <c r="G168" s="7">
        <v>1</v>
      </c>
      <c r="H168" s="21" t="s">
        <v>473</v>
      </c>
      <c r="I168" s="13">
        <v>42812.413275462961</v>
      </c>
      <c r="J168" s="7">
        <v>0</v>
      </c>
      <c r="K168" s="98" t="str">
        <f t="shared" si="54"/>
        <v>4021/4022</v>
      </c>
      <c r="L168" s="21" t="str">
        <f>VLOOKUP(A168,'Trips&amp;Operators'!$C$1:$G$99999,5,FALSE)</f>
        <v>SHOOK JOHN</v>
      </c>
      <c r="M168" s="6">
        <f t="shared" si="55"/>
        <v>9.9652777789742686E-3</v>
      </c>
      <c r="N168" s="7">
        <f t="shared" si="79"/>
        <v>14.350000001722947</v>
      </c>
      <c r="O168" s="7"/>
      <c r="P168" s="7"/>
      <c r="Q168" s="22"/>
      <c r="R168" s="22"/>
      <c r="S168" s="31">
        <f t="shared" si="73"/>
        <v>1</v>
      </c>
      <c r="T168" s="46" t="str">
        <f t="shared" si="56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7"/>
        <v>https://d0f6bd738d7f1b3e5a7ca70fe4ff75f0.us-east-1.aws.found.io/app/kibana#/discover/Steve-Slow-Train-Analysis-(2080s-and-2083s)?_g=(refreshInterval:(display:Off,pause:!f,section:0,value:0),time:(from:'2017-03-18T08:37:55-0600',mode:absolute,to:'2017-03-18T10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8" s="187" t="str">
        <f t="shared" si="58"/>
        <v>N</v>
      </c>
      <c r="X168" s="187">
        <f t="shared" si="83"/>
        <v>1</v>
      </c>
      <c r="Y168" s="62">
        <f t="shared" si="80"/>
        <v>5.8674999999999997</v>
      </c>
      <c r="Z168" s="62">
        <f t="shared" si="81"/>
        <v>7.4300000000000005E-2</v>
      </c>
      <c r="AA168" s="62">
        <f t="shared" si="61"/>
        <v>5.7931999999999997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2"/>
        <v>1808-18</v>
      </c>
      <c r="AE168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68" s="82" t="str">
        <f t="shared" si="64"/>
        <v>"C:\Program Files (x86)\AstroGrep\AstroGrep.exe" /e /r /s /spath="%USERPROFILE%\AppData\Local\Temp\OnboardLogs" /stypes="app*4021*20170318*" /stext=" 15:.+((SYSTEM_STATE.+slice.+state.+changed )|(ment ac)|(multiple cpu faults)|(system.+state.+changed )|(\[timeout)|(PRM\|1\|D)|(kpr)|(kdp)|(\|lc)|(penalty))"</v>
      </c>
      <c r="AG168" s="1" t="str">
        <f t="shared" si="65"/>
        <v>NW</v>
      </c>
      <c r="AH168" s="86" t="str">
        <f t="shared" si="66"/>
        <v>"%USERPROFILE%\Documents\GitHub\eaglep3\Utilities\RefineRTDCRunTimes.py" --tripid 1808-18 --locoid 4021 --swversion DE.1.0.9.0 --startMP 300:58675 --initTime 2017-03-18T09:37:55 --startdatetime 2017-03-18T09:40:46 --delay 1 --endMP 204:743 --enddatetime 2017-03-18T09:55:07 --enforcementcount 0 &gt;&gt;C:\Users\stu\Documents\GitHub\eaglep3-reporting\EC\2017-03-18-refined-times.txt</v>
      </c>
      <c r="AI168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{"issue":{"subject":"","project_id":79,"tracker_id":40,"status_id":1,"priority_id":2,"assigned_to_id":23,"start_date":"2017-03-18","description":"","custom_fields":[{"id":1,"name":"Subdivision","value":"NW"},{"id":4,"name":"Milepost","value":"0.0743"},{"id":17,"name":"Train ID","value":"1808-18"},{"id":16,"name":"Locomotive ID","value":"4021"},{"id":130,"name":"Impact","value":""},{"id":150,"name":"Time of Event (Mountain Time)","value":"09:55:07"},{"id":151,"name":"Denver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8"/>
        <v>start /low /b %USERPROFILE%\Documents\GitHub\eaglep3\Utilities\DownloadLogsFromS3.py --loco 4021 --day 2017-03-18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664</v>
      </c>
      <c r="B169" s="7">
        <v>4022</v>
      </c>
      <c r="C169" s="21" t="s">
        <v>222</v>
      </c>
      <c r="D169" s="21" t="s">
        <v>794</v>
      </c>
      <c r="E169" s="13">
        <v>42812.414953703701</v>
      </c>
      <c r="F169" s="13">
        <v>42812.431446759256</v>
      </c>
      <c r="G169" s="7">
        <v>0</v>
      </c>
      <c r="H169" s="21" t="s">
        <v>548</v>
      </c>
      <c r="I169" s="13">
        <v>42812.440682870372</v>
      </c>
      <c r="J169" s="7">
        <v>0</v>
      </c>
      <c r="K169" s="98" t="str">
        <f t="shared" si="54"/>
        <v>4021/4022</v>
      </c>
      <c r="L169" s="21" t="str">
        <f>VLOOKUP(A169,'Trips&amp;Operators'!$C$1:$G$99999,5,FALSE)</f>
        <v>SHOOK JOHN</v>
      </c>
      <c r="M169" s="6">
        <f t="shared" si="55"/>
        <v>9.236111116479151E-3</v>
      </c>
      <c r="N169" s="7">
        <f t="shared" si="79"/>
        <v>13.300000007729977</v>
      </c>
      <c r="O169" s="7"/>
      <c r="P169" s="7"/>
      <c r="Q169" s="22"/>
      <c r="R169" s="22"/>
      <c r="S169" s="31">
        <f t="shared" si="73"/>
        <v>1</v>
      </c>
      <c r="T169" s="46" t="str">
        <f t="shared" si="56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7"/>
        <v>https://d0f6bd738d7f1b3e5a7ca70fe4ff75f0.us-east-1.aws.found.io/app/kibana#/discover/Steve-Slow-Train-Analysis-(2080s-and-2083s)?_g=(refreshInterval:(display:Off,pause:!f,section:0,value:0),time:(from:'2017-03-18T08:57:32-0600',mode:absolute,to:'2017-03-18T11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187" t="str">
        <f t="shared" si="58"/>
        <v>N</v>
      </c>
      <c r="X169" s="187">
        <f t="shared" si="83"/>
        <v>1</v>
      </c>
      <c r="Y169" s="62">
        <f t="shared" si="80"/>
        <v>0.1032</v>
      </c>
      <c r="Z169" s="62">
        <f t="shared" si="81"/>
        <v>5.8992000000000004</v>
      </c>
      <c r="AA169" s="62">
        <f t="shared" si="61"/>
        <v>5.7960000000000003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2"/>
        <v>1809-18</v>
      </c>
      <c r="AE169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69" s="82" t="str">
        <f t="shared" si="64"/>
        <v>"C:\Program Files (x86)\AstroGrep\AstroGrep.exe" /e /r /s /spath="%USERPROFILE%\AppData\Local\Temp\OnboardLogs" /stypes="app*4022*20170318*" /stext=" 16:.+((SYSTEM_STATE.+slice.+state.+changed )|(ment ac)|(multiple cpu faults)|(system.+state.+changed )|(\[timeout)|(PRM\|1\|D)|(kpr)|(kdp)|(\|lc)|(penalty))"</v>
      </c>
      <c r="AG169" s="1" t="str">
        <f t="shared" si="65"/>
        <v>NW</v>
      </c>
      <c r="AH169" s="86" t="str">
        <f t="shared" si="66"/>
        <v>"%USERPROFILE%\Documents\GitHub\eaglep3\Utilities\RefineRTDCRunTimes.py" --tripid 1809-18 --locoid 4022 --swversion DE.1.0.9.0 --startMP 204:1032 --initTime 2017-03-18T09:57:32 --startdatetime 2017-03-18T10:21:17 --delay 0 --endMP 300:58992 --enddatetime 2017-03-18T10:34:35 --enforcementcount 0 &gt;&gt;C:\Users\stu\Documents\GitHub\eaglep3-reporting\EC\2017-03-18-refined-times.txt</v>
      </c>
      <c r="AI169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{"issue":{"subject":"","project_id":79,"tracker_id":40,"status_id":1,"priority_id":2,"assigned_to_id":23,"start_date":"2017-03-18","description":"","custom_fields":[{"id":1,"name":"Subdivision","value":"NW"},{"id":4,"name":"Milepost","value":"5.8992"},{"id":17,"name":"Train ID","value":"1809-18"},{"id":16,"name":"Locomotive ID","value":"4022"},{"id":130,"name":"Impact","value":""},{"id":150,"name":"Time of Event (Mountain Time)","value":"10:34:35"},{"id":151,"name":"Denver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8"/>
        <v>start /low /b %USERPROFILE%\Documents\GitHub\eaglep3\Utilities\DownloadLogsFromS3.py --loco 4022 --day 2017-03-18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70" spans="1:91" x14ac:dyDescent="0.25">
      <c r="A170" s="33" t="s">
        <v>671</v>
      </c>
      <c r="B170" s="7">
        <v>4021</v>
      </c>
      <c r="C170" s="21" t="s">
        <v>222</v>
      </c>
      <c r="D170" s="21" t="s">
        <v>824</v>
      </c>
      <c r="E170" s="13">
        <v>42812.442372685182</v>
      </c>
      <c r="F170" s="13">
        <v>42812.444965277777</v>
      </c>
      <c r="G170" s="7">
        <v>1</v>
      </c>
      <c r="H170" s="21" t="s">
        <v>825</v>
      </c>
      <c r="I170" s="13">
        <v>42812.454791666663</v>
      </c>
      <c r="J170" s="7">
        <v>0</v>
      </c>
      <c r="K170" s="98" t="str">
        <f t="shared" si="54"/>
        <v>4021/4022</v>
      </c>
      <c r="L170" s="21" t="str">
        <f>VLOOKUP(A170,'Trips&amp;Operators'!$C$1:$G$99999,5,FALSE)</f>
        <v>SHOOK JOHN</v>
      </c>
      <c r="M170" s="6">
        <f t="shared" si="55"/>
        <v>9.8263888867222704E-3</v>
      </c>
      <c r="N170" s="7">
        <f t="shared" si="79"/>
        <v>14.149999996880069</v>
      </c>
      <c r="O170" s="7"/>
      <c r="P170" s="7"/>
      <c r="Q170" s="22"/>
      <c r="R170" s="22"/>
      <c r="S170" s="31">
        <f t="shared" si="73"/>
        <v>1</v>
      </c>
      <c r="T170" s="46" t="str">
        <f t="shared" si="56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7"/>
        <v>https://d0f6bd738d7f1b3e5a7ca70fe4ff75f0.us-east-1.aws.found.io/app/kibana#/discover/Steve-Slow-Train-Analysis-(2080s-and-2083s)?_g=(refreshInterval:(display:Off,pause:!f,section:0,value:0),time:(from:'2017-03-18T09:37:01-0600',mode:absolute,to:'2017-03-18T11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187" t="str">
        <f t="shared" si="58"/>
        <v>N</v>
      </c>
      <c r="X170" s="187">
        <f t="shared" si="83"/>
        <v>1</v>
      </c>
      <c r="Y170" s="62">
        <f t="shared" si="80"/>
        <v>5.8681000000000001</v>
      </c>
      <c r="Z170" s="62">
        <f t="shared" si="81"/>
        <v>7.2700000000000001E-2</v>
      </c>
      <c r="AA170" s="62">
        <f t="shared" si="61"/>
        <v>5.7953999999999999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2"/>
        <v>1810-18</v>
      </c>
      <c r="AE170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70" s="82" t="str">
        <f t="shared" si="64"/>
        <v>"C:\Program Files (x86)\AstroGrep\AstroGrep.exe" /e /r /s /spath="%USERPROFILE%\AppData\Local\Temp\OnboardLogs" /stypes="app*4021*20170318*" /stext=" 16:.+((SYSTEM_STATE.+slice.+state.+changed )|(ment ac)|(multiple cpu faults)|(system.+state.+changed )|(\[timeout)|(PRM\|1\|D)|(kpr)|(kdp)|(\|lc)|(penalty))"</v>
      </c>
      <c r="AG170" s="1" t="str">
        <f t="shared" si="65"/>
        <v>NW</v>
      </c>
      <c r="AH170" s="86" t="str">
        <f t="shared" si="66"/>
        <v>"%USERPROFILE%\Documents\GitHub\eaglep3\Utilities\RefineRTDCRunTimes.py" --tripid 1810-18 --locoid 4021 --swversion DE.1.0.9.0 --startMP 300:58681 --initTime 2017-03-18T10:37:01 --startdatetime 2017-03-18T10:40:45 --delay 1 --endMP 204:727 --enddatetime 2017-03-18T10:54:54 --enforcementcount 0 &gt;&gt;C:\Users\stu\Documents\GitHub\eaglep3-reporting\EC\2017-03-18-refined-times.txt</v>
      </c>
      <c r="AI170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{"issue":{"subject":"","project_id":79,"tracker_id":40,"status_id":1,"priority_id":2,"assigned_to_id":23,"start_date":"2017-03-18","description":"","custom_fields":[{"id":1,"name":"Subdivision","value":"NW"},{"id":4,"name":"Milepost","value":"0.0727"},{"id":17,"name":"Train ID","value":"1810-18"},{"id":16,"name":"Locomotive ID","value":"4021"},{"id":130,"name":"Impact","value":""},{"id":150,"name":"Time of Event (Mountain Time)","value":"10:54:54"},{"id":151,"name":"Denver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8"/>
        <v>start /low /b %USERPROFILE%\Documents\GitHub\eaglep3\Utilities\DownloadLogsFromS3.py --loco 4021 --day 2017-03-18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71" spans="1:91" x14ac:dyDescent="0.25">
      <c r="A171" s="33" t="s">
        <v>675</v>
      </c>
      <c r="B171" s="7">
        <v>4022</v>
      </c>
      <c r="C171" s="21" t="s">
        <v>222</v>
      </c>
      <c r="D171" s="21" t="s">
        <v>826</v>
      </c>
      <c r="E171" s="13">
        <v>42812.456400462965</v>
      </c>
      <c r="F171" s="13">
        <v>42812.473090277781</v>
      </c>
      <c r="G171" s="7">
        <v>1</v>
      </c>
      <c r="H171" s="21" t="s">
        <v>494</v>
      </c>
      <c r="I171" s="13">
        <v>42812.482569444444</v>
      </c>
      <c r="J171" s="7">
        <v>0</v>
      </c>
      <c r="K171" s="98" t="str">
        <f t="shared" si="54"/>
        <v>4021/4022</v>
      </c>
      <c r="L171" s="21" t="str">
        <f>VLOOKUP(A171,'Trips&amp;Operators'!$C$1:$G$99999,5,FALSE)</f>
        <v>SHOOK JOHN</v>
      </c>
      <c r="M171" s="6">
        <f t="shared" si="55"/>
        <v>9.4791666633682325E-3</v>
      </c>
      <c r="N171" s="7">
        <f t="shared" si="79"/>
        <v>13.649999995250255</v>
      </c>
      <c r="O171" s="7"/>
      <c r="P171" s="7"/>
      <c r="Q171" s="22"/>
      <c r="R171" s="22"/>
      <c r="S171" s="31">
        <f t="shared" si="73"/>
        <v>1</v>
      </c>
      <c r="T171" s="46" t="str">
        <f t="shared" si="56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7"/>
        <v>https://d0f6bd738d7f1b3e5a7ca70fe4ff75f0.us-east-1.aws.found.io/app/kibana#/discover/Steve-Slow-Train-Analysis-(2080s-and-2083s)?_g=(refreshInterval:(display:Off,pause:!f,section:0,value:0),time:(from:'2017-03-18T09:57:13-0600',mode:absolute,to:'2017-03-18T12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1" s="187" t="str">
        <f t="shared" si="58"/>
        <v>N</v>
      </c>
      <c r="X171" s="187">
        <f t="shared" si="83"/>
        <v>1</v>
      </c>
      <c r="Y171" s="62">
        <f t="shared" si="80"/>
        <v>0.10059999999999999</v>
      </c>
      <c r="Z171" s="62">
        <f t="shared" si="81"/>
        <v>5.899</v>
      </c>
      <c r="AA171" s="62">
        <f t="shared" si="61"/>
        <v>5.7984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2"/>
        <v>1811-18</v>
      </c>
      <c r="AE171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71" s="82" t="str">
        <f t="shared" si="64"/>
        <v>"C:\Program Files (x86)\AstroGrep\AstroGrep.exe" /e /r /s /spath="%USERPROFILE%\AppData\Local\Temp\OnboardLogs" /stypes="app*4022*20170318*" /stext=" 17:.+((SYSTEM_STATE.+slice.+state.+changed )|(ment ac)|(multiple cpu faults)|(system.+state.+changed )|(\[timeout)|(PRM\|1\|D)|(kpr)|(kdp)|(\|lc)|(penalty))"</v>
      </c>
      <c r="AG171" s="1" t="str">
        <f t="shared" si="65"/>
        <v>NW</v>
      </c>
      <c r="AH171" s="86" t="str">
        <f t="shared" si="66"/>
        <v>"%USERPROFILE%\Documents\GitHub\eaglep3\Utilities\RefineRTDCRunTimes.py" --tripid 1811-18 --locoid 4022 --swversion DE.1.0.9.0 --startMP 204:1006 --initTime 2017-03-18T10:57:13 --startdatetime 2017-03-18T11:21:15 --delay 1 --endMP 300:58990 --enddatetime 2017-03-18T11:34:54 --enforcementcount 0 &gt;&gt;C:\Users\stu\Documents\GitHub\eaglep3-reporting\EC\2017-03-18-refined-times.txt</v>
      </c>
      <c r="AI171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{"issue":{"subject":"","project_id":79,"tracker_id":40,"status_id":1,"priority_id":2,"assigned_to_id":23,"start_date":"2017-03-18","description":"","custom_fields":[{"id":1,"name":"Subdivision","value":"NW"},{"id":4,"name":"Milepost","value":"5.899"},{"id":17,"name":"Train ID","value":"1811-18"},{"id":16,"name":"Locomotive ID","value":"4022"},{"id":130,"name":"Impact","value":""},{"id":150,"name":"Time of Event (Mountain Time)","value":"11:34:54"},{"id":151,"name":"Denver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8"/>
        <v>start /low /b %USERPROFILE%\Documents\GitHub\eaglep3\Utilities\DownloadLogsFromS3.py --loco 4022 --day 2017-03-18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72" spans="1:91" s="20" customFormat="1" x14ac:dyDescent="0.25">
      <c r="A172" s="33" t="s">
        <v>681</v>
      </c>
      <c r="B172" s="7">
        <v>4021</v>
      </c>
      <c r="C172" s="21" t="s">
        <v>222</v>
      </c>
      <c r="D172" s="21" t="s">
        <v>550</v>
      </c>
      <c r="E172" s="13">
        <v>42812.484305555554</v>
      </c>
      <c r="F172" s="13">
        <v>42812.486631944441</v>
      </c>
      <c r="G172" s="7">
        <v>1</v>
      </c>
      <c r="H172" s="21" t="s">
        <v>546</v>
      </c>
      <c r="I172" s="13">
        <v>42812.496516203704</v>
      </c>
      <c r="J172" s="7">
        <v>0</v>
      </c>
      <c r="K172" s="98" t="str">
        <f t="shared" si="54"/>
        <v>4021/4022</v>
      </c>
      <c r="L172" s="21" t="str">
        <f>VLOOKUP(A172,'Trips&amp;Operators'!$C$1:$G$99999,5,FALSE)</f>
        <v>SHOOK JOHN</v>
      </c>
      <c r="M172" s="6">
        <f t="shared" si="55"/>
        <v>9.8842592633445747E-3</v>
      </c>
      <c r="N172" s="7">
        <f t="shared" si="79"/>
        <v>14.233333339216188</v>
      </c>
      <c r="O172" s="7"/>
      <c r="P172" s="7"/>
      <c r="Q172" s="22"/>
      <c r="R172" s="22"/>
      <c r="S172" s="31">
        <f t="shared" si="73"/>
        <v>1</v>
      </c>
      <c r="T172" s="46" t="str">
        <f t="shared" si="56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7"/>
        <v>https://d0f6bd738d7f1b3e5a7ca70fe4ff75f0.us-east-1.aws.found.io/app/kibana#/discover/Steve-Slow-Train-Analysis-(2080s-and-2083s)?_g=(refreshInterval:(display:Off,pause:!f,section:0,value:0),time:(from:'2017-03-18T10:37:24-0600',mode:absolute,to:'2017-03-18T12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2" s="187" t="str">
        <f t="shared" si="58"/>
        <v>N</v>
      </c>
      <c r="X172" s="187">
        <f t="shared" si="83"/>
        <v>1</v>
      </c>
      <c r="Y172" s="62">
        <f t="shared" si="80"/>
        <v>5.867</v>
      </c>
      <c r="Z172" s="62">
        <f t="shared" si="81"/>
        <v>7.3300000000000004E-2</v>
      </c>
      <c r="AA172" s="62">
        <f t="shared" si="61"/>
        <v>5.7937000000000003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2"/>
        <v>1812-18</v>
      </c>
      <c r="AE172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72" s="82" t="str">
        <f t="shared" si="64"/>
        <v>"C:\Program Files (x86)\AstroGrep\AstroGrep.exe" /e /r /s /spath="%USERPROFILE%\AppData\Local\Temp\OnboardLogs" /stypes="app*4021*20170318*" /stext=" 17:.+((SYSTEM_STATE.+slice.+state.+changed )|(ment ac)|(multiple cpu faults)|(system.+state.+changed )|(\[timeout)|(PRM\|1\|D)|(kpr)|(kdp)|(\|lc)|(penalty))"</v>
      </c>
      <c r="AG172" s="1" t="str">
        <f t="shared" si="65"/>
        <v>NW</v>
      </c>
      <c r="AH172" s="86" t="str">
        <f t="shared" si="66"/>
        <v>"%USERPROFILE%\Documents\GitHub\eaglep3\Utilities\RefineRTDCRunTimes.py" --tripid 1812-18 --locoid 4021 --swversion DE.1.0.9.0 --startMP 300:58670 --initTime 2017-03-18T11:37:24 --startdatetime 2017-03-18T11:40:45 --delay 1 --endMP 204:733 --enddatetime 2017-03-18T11:54:59 --enforcementcount 0 &gt;&gt;C:\Users\stu\Documents\GitHub\eaglep3-reporting\EC\2017-03-18-refined-times.txt</v>
      </c>
      <c r="AI172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{"issue":{"subject":"","project_id":79,"tracker_id":40,"status_id":1,"priority_id":2,"assigned_to_id":23,"start_date":"2017-03-18","description":"","custom_fields":[{"id":1,"name":"Subdivision","value":"NW"},{"id":4,"name":"Milepost","value":"0.0733"},{"id":17,"name":"Train ID","value":"1812-18"},{"id":16,"name":"Locomotive ID","value":"4021"},{"id":130,"name":"Impact","value":""},{"id":150,"name":"Time of Event (Mountain Time)","value":"11:54:59"},{"id":151,"name":"Denver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8"/>
        <v>start /low /b %USERPROFILE%\Documents\GitHub\eaglep3\Utilities\DownloadLogsFromS3.py --loco 4021 --day 2017-03-18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686</v>
      </c>
      <c r="B173" s="7">
        <v>4022</v>
      </c>
      <c r="C173" s="21" t="s">
        <v>222</v>
      </c>
      <c r="D173" s="21" t="s">
        <v>827</v>
      </c>
      <c r="E173" s="13">
        <v>42812.498460648145</v>
      </c>
      <c r="F173" s="13">
        <v>42812.514756944445</v>
      </c>
      <c r="G173" s="7">
        <v>1</v>
      </c>
      <c r="H173" s="21" t="s">
        <v>828</v>
      </c>
      <c r="I173" s="13">
        <v>42812.524525462963</v>
      </c>
      <c r="J173" s="7">
        <v>0</v>
      </c>
      <c r="K173" s="98" t="str">
        <f t="shared" si="54"/>
        <v>4021/4022</v>
      </c>
      <c r="L173" s="21" t="str">
        <f>VLOOKUP(A173,'Trips&amp;Operators'!$C$1:$G$99999,5,FALSE)</f>
        <v>SHOOK JOHN</v>
      </c>
      <c r="M173" s="6">
        <f t="shared" si="55"/>
        <v>9.7685185173759237E-3</v>
      </c>
      <c r="N173" s="7">
        <f t="shared" si="79"/>
        <v>14.06666666502133</v>
      </c>
      <c r="O173" s="7"/>
      <c r="P173" s="7"/>
      <c r="Q173" s="22"/>
      <c r="R173" s="22"/>
      <c r="S173" s="31">
        <f t="shared" si="73"/>
        <v>1</v>
      </c>
      <c r="T173" s="46" t="str">
        <f t="shared" si="56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7"/>
        <v>https://d0f6bd738d7f1b3e5a7ca70fe4ff75f0.us-east-1.aws.found.io/app/kibana#/discover/Steve-Slow-Train-Analysis-(2080s-and-2083s)?_g=(refreshInterval:(display:Off,pause:!f,section:0,value:0),time:(from:'2017-03-18T10:57:47-0600',mode:absolute,to:'2017-03-18T13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3" s="187" t="str">
        <f t="shared" si="58"/>
        <v>N</v>
      </c>
      <c r="X173" s="187">
        <f t="shared" si="83"/>
        <v>1</v>
      </c>
      <c r="Y173" s="62">
        <f t="shared" si="80"/>
        <v>0.1027</v>
      </c>
      <c r="Z173" s="62">
        <f t="shared" si="81"/>
        <v>5.8998999999999997</v>
      </c>
      <c r="AA173" s="62">
        <f t="shared" si="61"/>
        <v>5.7972000000000001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2"/>
        <v>1813-18</v>
      </c>
      <c r="AE173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73" s="82" t="str">
        <f t="shared" si="64"/>
        <v>"C:\Program Files (x86)\AstroGrep\AstroGrep.exe" /e /r /s /spath="%USERPROFILE%\AppData\Local\Temp\OnboardLogs" /stypes="app*4022*20170318*" /stext=" 18:.+((SYSTEM_STATE.+slice.+state.+changed )|(ment ac)|(multiple cpu faults)|(system.+state.+changed )|(\[timeout)|(PRM\|1\|D)|(kpr)|(kdp)|(\|lc)|(penalty))"</v>
      </c>
      <c r="AG173" s="1" t="str">
        <f t="shared" si="65"/>
        <v>NW</v>
      </c>
      <c r="AH173" s="86" t="str">
        <f t="shared" si="66"/>
        <v>"%USERPROFILE%\Documents\GitHub\eaglep3\Utilities\RefineRTDCRunTimes.py" --tripid 1813-18 --locoid 4022 --swversion DE.1.0.9.0 --startMP 204:1027 --initTime 2017-03-18T11:57:47 --startdatetime 2017-03-18T12:21:15 --delay 1 --endMP 300:58999 --enddatetime 2017-03-18T12:35:19 --enforcementcount 0 &gt;&gt;C:\Users\stu\Documents\GitHub\eaglep3-reporting\EC\2017-03-18-refined-times.txt</v>
      </c>
      <c r="AI173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{"issue":{"subject":"","project_id":79,"tracker_id":40,"status_id":1,"priority_id":2,"assigned_to_id":23,"start_date":"2017-03-18","description":"","custom_fields":[{"id":1,"name":"Subdivision","value":"NW"},{"id":4,"name":"Milepost","value":"5.8999"},{"id":17,"name":"Train ID","value":"1813-18"},{"id":16,"name":"Locomotive ID","value":"4022"},{"id":130,"name":"Impact","value":""},{"id":150,"name":"Time of Event (Mountain Time)","value":"12:35:19"},{"id":151,"name":"Denver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8"/>
        <v>start /low /b %USERPROFILE%\Documents\GitHub\eaglep3\Utilities\DownloadLogsFromS3.py --loco 4022 --day 2017-03-18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3" t="s">
        <v>694</v>
      </c>
      <c r="B174" s="7">
        <v>4021</v>
      </c>
      <c r="C174" s="21" t="s">
        <v>222</v>
      </c>
      <c r="D174" s="21" t="s">
        <v>824</v>
      </c>
      <c r="E174" s="13">
        <v>42812.526261574072</v>
      </c>
      <c r="F174" s="13">
        <v>42812.528287037036</v>
      </c>
      <c r="G174" s="7">
        <v>1</v>
      </c>
      <c r="H174" s="21" t="s">
        <v>473</v>
      </c>
      <c r="I174" s="13">
        <v>42812.538078703707</v>
      </c>
      <c r="J174" s="7">
        <v>0</v>
      </c>
      <c r="K174" s="98" t="str">
        <f t="shared" si="54"/>
        <v>4021/4022</v>
      </c>
      <c r="L174" s="21" t="str">
        <f>VLOOKUP(A174,'Trips&amp;Operators'!$C$1:$G$99999,5,FALSE)</f>
        <v>SHOOK JOHN</v>
      </c>
      <c r="M174" s="6">
        <f t="shared" si="55"/>
        <v>9.7916666709352285E-3</v>
      </c>
      <c r="N174" s="7">
        <f t="shared" si="79"/>
        <v>14.100000006146729</v>
      </c>
      <c r="O174" s="7"/>
      <c r="P174" s="7"/>
      <c r="Q174" s="22"/>
      <c r="R174" s="22"/>
      <c r="S174" s="31">
        <f t="shared" si="73"/>
        <v>1</v>
      </c>
      <c r="T174" s="46" t="str">
        <f t="shared" si="56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7"/>
        <v>https://d0f6bd738d7f1b3e5a7ca70fe4ff75f0.us-east-1.aws.found.io/app/kibana#/discover/Steve-Slow-Train-Analysis-(2080s-and-2083s)?_g=(refreshInterval:(display:Off,pause:!f,section:0,value:0),time:(from:'2017-03-18T11:37:49-0600',mode:absolute,to:'2017-03-18T13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4" s="187" t="str">
        <f t="shared" si="58"/>
        <v>N</v>
      </c>
      <c r="X174" s="187">
        <f t="shared" si="83"/>
        <v>1</v>
      </c>
      <c r="Y174" s="62">
        <f t="shared" si="80"/>
        <v>5.8681000000000001</v>
      </c>
      <c r="Z174" s="62">
        <f t="shared" si="81"/>
        <v>7.4300000000000005E-2</v>
      </c>
      <c r="AA174" s="62">
        <f t="shared" si="61"/>
        <v>5.7938000000000001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2"/>
        <v>1814-18</v>
      </c>
      <c r="AE174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74" s="82" t="str">
        <f t="shared" si="64"/>
        <v>"C:\Program Files (x86)\AstroGrep\AstroGrep.exe" /e /r /s /spath="%USERPROFILE%\AppData\Local\Temp\OnboardLogs" /stypes="app*4021*20170318*" /stext=" 18:.+((SYSTEM_STATE.+slice.+state.+changed )|(ment ac)|(multiple cpu faults)|(system.+state.+changed )|(\[timeout)|(PRM\|1\|D)|(kpr)|(kdp)|(\|lc)|(penalty))"</v>
      </c>
      <c r="AG174" s="1" t="str">
        <f t="shared" si="65"/>
        <v>NW</v>
      </c>
      <c r="AH174" s="86" t="str">
        <f t="shared" si="66"/>
        <v>"%USERPROFILE%\Documents\GitHub\eaglep3\Utilities\RefineRTDCRunTimes.py" --tripid 1814-18 --locoid 4021 --swversion DE.1.0.9.0 --startMP 300:58681 --initTime 2017-03-18T12:37:49 --startdatetime 2017-03-18T12:40:44 --delay 1 --endMP 204:743 --enddatetime 2017-03-18T12:54:50 --enforcementcount 0 &gt;&gt;C:\Users\stu\Documents\GitHub\eaglep3-reporting\EC\2017-03-18-refined-times.txt</v>
      </c>
      <c r="AI174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{"issue":{"subject":"","project_id":79,"tracker_id":40,"status_id":1,"priority_id":2,"assigned_to_id":23,"start_date":"2017-03-18","description":"","custom_fields":[{"id":1,"name":"Subdivision","value":"NW"},{"id":4,"name":"Milepost","value":"0.0743"},{"id":17,"name":"Train ID","value":"1814-18"},{"id":16,"name":"Locomotive ID","value":"4021"},{"id":130,"name":"Impact","value":""},{"id":150,"name":"Time of Event (Mountain Time)","value":"12:54:50"},{"id":151,"name":"Denver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8"/>
        <v>start /low /b %USERPROFILE%\Documents\GitHub\eaglep3\Utilities\DownloadLogsFromS3.py --loco 4021 --day 2017-03-18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698</v>
      </c>
      <c r="B175" s="7">
        <v>4022</v>
      </c>
      <c r="C175" s="21" t="s">
        <v>222</v>
      </c>
      <c r="D175" s="21" t="s">
        <v>547</v>
      </c>
      <c r="E175" s="13">
        <v>42812.539687500001</v>
      </c>
      <c r="F175" s="13">
        <v>42812.556423611109</v>
      </c>
      <c r="G175" s="7">
        <v>1</v>
      </c>
      <c r="H175" s="21" t="s">
        <v>548</v>
      </c>
      <c r="I175" s="13">
        <v>42812.565706018519</v>
      </c>
      <c r="J175" s="7">
        <v>0</v>
      </c>
      <c r="K175" s="98" t="str">
        <f t="shared" si="54"/>
        <v>4021/4022</v>
      </c>
      <c r="L175" s="21" t="str">
        <f>VLOOKUP(A175,'Trips&amp;Operators'!$C$1:$G$99999,5,FALSE)</f>
        <v>SHOOK JOHN</v>
      </c>
      <c r="M175" s="6">
        <f t="shared" si="55"/>
        <v>9.2824074090458453E-3</v>
      </c>
      <c r="N175" s="7">
        <f t="shared" si="79"/>
        <v>13.366666669026017</v>
      </c>
      <c r="O175" s="7"/>
      <c r="P175" s="7"/>
      <c r="Q175" s="22"/>
      <c r="R175" s="22"/>
      <c r="S175" s="31">
        <f t="shared" si="73"/>
        <v>1</v>
      </c>
      <c r="T175" s="46" t="str">
        <f t="shared" si="56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7"/>
        <v>https://d0f6bd738d7f1b3e5a7ca70fe4ff75f0.us-east-1.aws.found.io/app/kibana#/discover/Steve-Slow-Train-Analysis-(2080s-and-2083s)?_g=(refreshInterval:(display:Off,pause:!f,section:0,value:0),time:(from:'2017-03-18T11:57:09-0600',mode:absolute,to:'2017-03-18T14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5" s="187" t="str">
        <f t="shared" si="58"/>
        <v>N</v>
      </c>
      <c r="X175" s="187">
        <f t="shared" si="83"/>
        <v>1</v>
      </c>
      <c r="Y175" s="62">
        <f t="shared" si="80"/>
        <v>0.1023</v>
      </c>
      <c r="Z175" s="62">
        <f t="shared" si="81"/>
        <v>5.8992000000000004</v>
      </c>
      <c r="AA175" s="62">
        <f t="shared" si="61"/>
        <v>5.7969000000000008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2"/>
        <v>1815-18</v>
      </c>
      <c r="AE175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75" s="82" t="str">
        <f t="shared" si="64"/>
        <v>"C:\Program Files (x86)\AstroGrep\AstroGrep.exe" /e /r /s /spath="%USERPROFILE%\AppData\Local\Temp\OnboardLogs" /stypes="app*4022*20170318*" /stext=" 19:.+((SYSTEM_STATE.+slice.+state.+changed )|(ment ac)|(multiple cpu faults)|(system.+state.+changed )|(\[timeout)|(PRM\|1\|D)|(kpr)|(kdp)|(\|lc)|(penalty))"</v>
      </c>
      <c r="AG175" s="1" t="str">
        <f t="shared" si="65"/>
        <v>NW</v>
      </c>
      <c r="AH175" s="86" t="str">
        <f t="shared" si="66"/>
        <v>"%USERPROFILE%\Documents\GitHub\eaglep3\Utilities\RefineRTDCRunTimes.py" --tripid 1815-18 --locoid 4022 --swversion DE.1.0.9.0 --startMP 204:1023 --initTime 2017-03-18T12:57:09 --startdatetime 2017-03-18T13:21:15 --delay 1 --endMP 300:58992 --enddatetime 2017-03-18T13:34:37 --enforcementcount 0 &gt;&gt;C:\Users\stu\Documents\GitHub\eaglep3-reporting\EC\2017-03-18-refined-times.txt</v>
      </c>
      <c r="AI175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{"issue":{"subject":"","project_id":79,"tracker_id":40,"status_id":1,"priority_id":2,"assigned_to_id":23,"start_date":"2017-03-18","description":"","custom_fields":[{"id":1,"name":"Subdivision","value":"NW"},{"id":4,"name":"Milepost","value":"5.8992"},{"id":17,"name":"Train ID","value":"1815-18"},{"id":16,"name":"Locomotive ID","value":"4022"},{"id":130,"name":"Impact","value":""},{"id":150,"name":"Time of Event (Mountain Time)","value":"13:34:37"},{"id":151,"name":"Denver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8"/>
        <v>start /low /b %USERPROFILE%\Documents\GitHub\eaglep3\Utilities\DownloadLogsFromS3.py --loco 4022 --day 2017-03-18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76" spans="1:91" s="20" customFormat="1" x14ac:dyDescent="0.25">
      <c r="A176" s="33" t="s">
        <v>702</v>
      </c>
      <c r="B176" s="7">
        <v>4021</v>
      </c>
      <c r="C176" s="21" t="s">
        <v>222</v>
      </c>
      <c r="D176" s="21" t="s">
        <v>488</v>
      </c>
      <c r="E176" s="13">
        <v>42812.567916666667</v>
      </c>
      <c r="F176" s="13">
        <v>42812.570023148146</v>
      </c>
      <c r="G176" s="7">
        <v>1</v>
      </c>
      <c r="H176" s="21" t="s">
        <v>546</v>
      </c>
      <c r="I176" s="13">
        <v>42812.579618055555</v>
      </c>
      <c r="J176" s="7">
        <v>0</v>
      </c>
      <c r="K176" s="98" t="str">
        <f t="shared" si="54"/>
        <v>4021/4022</v>
      </c>
      <c r="L176" s="21" t="str">
        <f>VLOOKUP(A176,'Trips&amp;Operators'!$C$1:$G$99999,5,FALSE)</f>
        <v>SHOOK JOHN</v>
      </c>
      <c r="M176" s="6">
        <f t="shared" si="55"/>
        <v>9.5949074093368836E-3</v>
      </c>
      <c r="N176" s="7">
        <f t="shared" si="79"/>
        <v>13.816666669445112</v>
      </c>
      <c r="O176" s="7"/>
      <c r="P176" s="7"/>
      <c r="Q176" s="22"/>
      <c r="R176" s="22"/>
      <c r="S176" s="31">
        <f t="shared" si="73"/>
        <v>1</v>
      </c>
      <c r="T176" s="46" t="str">
        <f t="shared" si="56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7"/>
        <v>https://d0f6bd738d7f1b3e5a7ca70fe4ff75f0.us-east-1.aws.found.io/app/kibana#/discover/Steve-Slow-Train-Analysis-(2080s-and-2083s)?_g=(refreshInterval:(display:Off,pause:!f,section:0,value:0),time:(from:'2017-03-18T12:37:48-0600',mode:absolute,to:'2017-03-18T14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6" s="187" t="str">
        <f t="shared" si="58"/>
        <v>N</v>
      </c>
      <c r="X176" s="187">
        <f t="shared" si="83"/>
        <v>1</v>
      </c>
      <c r="Y176" s="62">
        <f t="shared" si="80"/>
        <v>5.8677000000000001</v>
      </c>
      <c r="Z176" s="62">
        <f t="shared" si="81"/>
        <v>7.3300000000000004E-2</v>
      </c>
      <c r="AA176" s="62">
        <f t="shared" si="61"/>
        <v>5.7944000000000004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2"/>
        <v>1816-18</v>
      </c>
      <c r="AE176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76" s="82" t="str">
        <f t="shared" si="64"/>
        <v>"C:\Program Files (x86)\AstroGrep\AstroGrep.exe" /e /r /s /spath="%USERPROFILE%\AppData\Local\Temp\OnboardLogs" /stypes="app*4021*20170318*" /stext=" 19:.+((SYSTEM_STATE.+slice.+state.+changed )|(ment ac)|(multiple cpu faults)|(system.+state.+changed )|(\[timeout)|(PRM\|1\|D)|(kpr)|(kdp)|(\|lc)|(penalty))"</v>
      </c>
      <c r="AG176" s="1" t="str">
        <f t="shared" si="65"/>
        <v>NW</v>
      </c>
      <c r="AH176" s="86" t="str">
        <f t="shared" si="66"/>
        <v>"%USERPROFILE%\Documents\GitHub\eaglep3\Utilities\RefineRTDCRunTimes.py" --tripid 1816-18 --locoid 4021 --swversion DE.1.0.9.0 --startMP 300:58677 --initTime 2017-03-18T13:37:48 --startdatetime 2017-03-18T13:40:50 --delay 1 --endMP 204:733 --enddatetime 2017-03-18T13:54:39 --enforcementcount 0 &gt;&gt;C:\Users\stu\Documents\GitHub\eaglep3-reporting\EC\2017-03-18-refined-times.txt</v>
      </c>
      <c r="AI176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{"issue":{"subject":"","project_id":79,"tracker_id":40,"status_id":1,"priority_id":2,"assigned_to_id":23,"start_date":"2017-03-18","description":"","custom_fields":[{"id":1,"name":"Subdivision","value":"NW"},{"id":4,"name":"Milepost","value":"0.0733"},{"id":17,"name":"Train ID","value":"1816-18"},{"id":16,"name":"Locomotive ID","value":"4021"},{"id":130,"name":"Impact","value":""},{"id":150,"name":"Time of Event (Mountain Time)","value":"13:54:39"},{"id":151,"name":"Denver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8"/>
        <v>start /low /b %USERPROFILE%\Documents\GitHub\eaglep3\Utilities\DownloadLogsFromS3.py --loco 4021 --day 2017-03-18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706</v>
      </c>
      <c r="B177" s="7">
        <v>4022</v>
      </c>
      <c r="C177" s="21" t="s">
        <v>222</v>
      </c>
      <c r="D177" s="21" t="s">
        <v>487</v>
      </c>
      <c r="E177" s="13">
        <v>42812.594456018516</v>
      </c>
      <c r="F177" s="13">
        <v>42812.598217592589</v>
      </c>
      <c r="G177" s="7">
        <v>1</v>
      </c>
      <c r="H177" s="21" t="s">
        <v>553</v>
      </c>
      <c r="I177" s="13">
        <v>42812.607349537036</v>
      </c>
      <c r="J177" s="7">
        <v>0</v>
      </c>
      <c r="K177" s="98" t="str">
        <f t="shared" si="54"/>
        <v>4021/4022</v>
      </c>
      <c r="L177" s="21" t="str">
        <f>VLOOKUP(A177,'Trips&amp;Operators'!$C$1:$G$99999,5,FALSE)</f>
        <v>HELVIE ADAM</v>
      </c>
      <c r="M177" s="6">
        <f t="shared" si="55"/>
        <v>9.1319444472901523E-3</v>
      </c>
      <c r="N177" s="7">
        <f t="shared" si="79"/>
        <v>13.150000004097819</v>
      </c>
      <c r="O177" s="7"/>
      <c r="P177" s="7"/>
      <c r="Q177" s="22"/>
      <c r="R177" s="22"/>
      <c r="S177" s="31">
        <f t="shared" si="73"/>
        <v>1</v>
      </c>
      <c r="T177" s="46" t="str">
        <f t="shared" si="56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7"/>
        <v>https://d0f6bd738d7f1b3e5a7ca70fe4ff75f0.us-east-1.aws.found.io/app/kibana#/discover/Steve-Slow-Train-Analysis-(2080s-and-2083s)?_g=(refreshInterval:(display:Off,pause:!f,section:0,value:0),time:(from:'2017-03-18T13:16:01-0600',mode:absolute,to:'2017-03-18T15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7" s="187" t="str">
        <f t="shared" si="58"/>
        <v>N</v>
      </c>
      <c r="X177" s="187">
        <f t="shared" si="83"/>
        <v>1</v>
      </c>
      <c r="Y177" s="62">
        <f t="shared" si="80"/>
        <v>0.1028</v>
      </c>
      <c r="Z177" s="62">
        <f t="shared" si="81"/>
        <v>5.8949999999999996</v>
      </c>
      <c r="AA177" s="62">
        <f t="shared" si="61"/>
        <v>5.7921999999999993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2"/>
        <v>1817-18</v>
      </c>
      <c r="AE177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77" s="82" t="str">
        <f t="shared" si="64"/>
        <v>"C:\Program Files (x86)\AstroGrep\AstroGrep.exe" /e /r /s /spath="%USERPROFILE%\AppData\Local\Temp\OnboardLogs" /stypes="app*4022*20170318*" /stext=" 20:.+((SYSTEM_STATE.+slice.+state.+changed )|(ment ac)|(multiple cpu faults)|(system.+state.+changed )|(\[timeout)|(PRM\|1\|D)|(kpr)|(kdp)|(\|lc)|(penalty))"</v>
      </c>
      <c r="AG177" s="1" t="str">
        <f t="shared" si="65"/>
        <v>NW</v>
      </c>
      <c r="AH177" s="86" t="str">
        <f t="shared" si="66"/>
        <v>"%USERPROFILE%\Documents\GitHub\eaglep3\Utilities\RefineRTDCRunTimes.py" --tripid 1817-18 --locoid 4022 --swversion DE.1.0.9.0 --startMP 204:1028 --initTime 2017-03-18T14:16:01 --startdatetime 2017-03-18T14:21:26 --delay 1 --endMP 300:58950 --enddatetime 2017-03-18T14:34:35 --enforcementcount 0 &gt;&gt;C:\Users\stu\Documents\GitHub\eaglep3-reporting\EC\2017-03-18-refined-times.txt</v>
      </c>
      <c r="AI177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{"issue":{"subject":"","project_id":79,"tracker_id":40,"status_id":1,"priority_id":2,"assigned_to_id":23,"start_date":"2017-03-18","description":"","custom_fields":[{"id":1,"name":"Subdivision","value":"NW"},{"id":4,"name":"Milepost","value":"5.895"},{"id":17,"name":"Train ID","value":"1817-18"},{"id":16,"name":"Locomotive ID","value":"4022"},{"id":130,"name":"Impact","value":""},{"id":150,"name":"Time of Event (Mountain Time)","value":"14:34:35"},{"id":151,"name":"Denver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8"/>
        <v>start /low /b %USERPROFILE%\Documents\GitHub\eaglep3\Utilities\DownloadLogsFromS3.py --loco 4022 --day 2017-03-18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78" spans="1:91" s="20" customFormat="1" x14ac:dyDescent="0.25">
      <c r="A178" s="33" t="s">
        <v>709</v>
      </c>
      <c r="B178" s="7">
        <v>4021</v>
      </c>
      <c r="C178" s="21" t="s">
        <v>222</v>
      </c>
      <c r="D178" s="21" t="s">
        <v>456</v>
      </c>
      <c r="E178" s="13">
        <v>42812.610960648148</v>
      </c>
      <c r="F178" s="13">
        <v>42812.612395833334</v>
      </c>
      <c r="G178" s="7">
        <v>1</v>
      </c>
      <c r="H178" s="21" t="s">
        <v>829</v>
      </c>
      <c r="I178" s="13">
        <v>42812.621076388888</v>
      </c>
      <c r="J178" s="7">
        <v>0</v>
      </c>
      <c r="K178" s="98" t="str">
        <f t="shared" si="54"/>
        <v>4021/4022</v>
      </c>
      <c r="L178" s="21" t="str">
        <f>VLOOKUP(A178,'Trips&amp;Operators'!$C$1:$G$99999,5,FALSE)</f>
        <v>HELVIE ADAM</v>
      </c>
      <c r="M178" s="6">
        <f t="shared" si="55"/>
        <v>8.6805555547471158E-3</v>
      </c>
      <c r="N178" s="7">
        <f t="shared" si="79"/>
        <v>12.499999998835847</v>
      </c>
      <c r="O178" s="7"/>
      <c r="P178" s="7"/>
      <c r="Q178" s="22"/>
      <c r="R178" s="22"/>
      <c r="S178" s="31">
        <f t="shared" ref="S178:S209" si="84">SUM(U178:U178)/IF(AG178="EC",12,1)</f>
        <v>1</v>
      </c>
      <c r="T178" s="46" t="str">
        <f t="shared" si="56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7"/>
        <v>https://d0f6bd738d7f1b3e5a7ca70fe4ff75f0.us-east-1.aws.found.io/app/kibana#/discover/Steve-Slow-Train-Analysis-(2080s-and-2083s)?_g=(refreshInterval:(display:Off,pause:!f,section:0,value:0),time:(from:'2017-03-18T13:39:47-0600',mode:absolute,to:'2017-03-18T15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8" s="187" t="str">
        <f t="shared" si="58"/>
        <v>N</v>
      </c>
      <c r="X178" s="187">
        <f t="shared" si="83"/>
        <v>1</v>
      </c>
      <c r="Y178" s="62">
        <f t="shared" si="80"/>
        <v>5.8630000000000004</v>
      </c>
      <c r="Z178" s="62">
        <f t="shared" si="81"/>
        <v>7.6100000000000001E-2</v>
      </c>
      <c r="AA178" s="62">
        <f t="shared" si="61"/>
        <v>5.7869000000000002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2"/>
        <v>1818-18</v>
      </c>
      <c r="AE178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78" s="82" t="str">
        <f t="shared" si="64"/>
        <v>"C:\Program Files (x86)\AstroGrep\AstroGrep.exe" /e /r /s /spath="%USERPROFILE%\AppData\Local\Temp\OnboardLogs" /stypes="app*4021*20170318*" /stext=" 20:.+((SYSTEM_STATE.+slice.+state.+changed )|(ment ac)|(multiple cpu faults)|(system.+state.+changed )|(\[timeout)|(PRM\|1\|D)|(kpr)|(kdp)|(\|lc)|(penalty))"</v>
      </c>
      <c r="AG178" s="1" t="str">
        <f t="shared" si="65"/>
        <v>NW</v>
      </c>
      <c r="AH178" s="86" t="str">
        <f t="shared" si="66"/>
        <v>"%USERPROFILE%\Documents\GitHub\eaglep3\Utilities\RefineRTDCRunTimes.py" --tripid 1818-18 --locoid 4021 --swversion DE.1.0.9.0 --startMP 300:58630 --initTime 2017-03-18T14:39:47 --startdatetime 2017-03-18T14:41:51 --delay 1 --endMP 204:761 --enddatetime 2017-03-18T14:54:21 --enforcementcount 0 &gt;&gt;C:\Users\stu\Documents\GitHub\eaglep3-reporting\EC\2017-03-18-refined-times.txt</v>
      </c>
      <c r="AI178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{"issue":{"subject":"","project_id":79,"tracker_id":40,"status_id":1,"priority_id":2,"assigned_to_id":23,"start_date":"2017-03-18","description":"","custom_fields":[{"id":1,"name":"Subdivision","value":"NW"},{"id":4,"name":"Milepost","value":"0.0761"},{"id":17,"name":"Train ID","value":"1818-18"},{"id":16,"name":"Locomotive ID","value":"4021"},{"id":130,"name":"Impact","value":""},{"id":150,"name":"Time of Event (Mountain Time)","value":"14:54:21"},{"id":151,"name":"Denver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8"/>
        <v>start /low /b %USERPROFILE%\Documents\GitHub\eaglep3\Utilities\DownloadLogsFromS3.py --loco 4021 --day 2017-03-18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711</v>
      </c>
      <c r="B179" s="7">
        <v>4022</v>
      </c>
      <c r="C179" s="21" t="s">
        <v>222</v>
      </c>
      <c r="D179" s="21" t="s">
        <v>830</v>
      </c>
      <c r="E179" s="13">
        <v>42812.637291666666</v>
      </c>
      <c r="F179" s="13">
        <v>42812.640185185184</v>
      </c>
      <c r="G179" s="7">
        <v>1</v>
      </c>
      <c r="H179" s="21" t="s">
        <v>485</v>
      </c>
      <c r="I179" s="13">
        <v>42812.649664351855</v>
      </c>
      <c r="J179" s="7">
        <v>0</v>
      </c>
      <c r="K179" s="98" t="str">
        <f t="shared" si="54"/>
        <v>4021/4022</v>
      </c>
      <c r="L179" s="21" t="str">
        <f>VLOOKUP(A179,'Trips&amp;Operators'!$C$1:$G$99999,5,FALSE)</f>
        <v>HELVIE ADAM</v>
      </c>
      <c r="M179" s="6">
        <f t="shared" si="55"/>
        <v>9.4791666706441902E-3</v>
      </c>
      <c r="N179" s="7">
        <f t="shared" si="79"/>
        <v>13.650000005727634</v>
      </c>
      <c r="O179" s="7"/>
      <c r="P179" s="7"/>
      <c r="Q179" s="22"/>
      <c r="R179" s="22"/>
      <c r="S179" s="31">
        <f t="shared" si="84"/>
        <v>1</v>
      </c>
      <c r="T179" s="46" t="str">
        <f t="shared" si="56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7"/>
        <v>https://d0f6bd738d7f1b3e5a7ca70fe4ff75f0.us-east-1.aws.found.io/app/kibana#/discover/Steve-Slow-Train-Analysis-(2080s-and-2083s)?_g=(refreshInterval:(display:Off,pause:!f,section:0,value:0),time:(from:'2017-03-18T14:17:42-0600',mode:absolute,to:'2017-03-18T16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9" s="187" t="str">
        <f t="shared" si="58"/>
        <v>N</v>
      </c>
      <c r="X179" s="187">
        <f t="shared" si="83"/>
        <v>1</v>
      </c>
      <c r="Y179" s="62">
        <f t="shared" si="80"/>
        <v>0.1011</v>
      </c>
      <c r="Z179" s="62">
        <f t="shared" si="81"/>
        <v>5.8935000000000004</v>
      </c>
      <c r="AA179" s="62">
        <f t="shared" si="61"/>
        <v>5.7924000000000007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2"/>
        <v>1819-18</v>
      </c>
      <c r="AE179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79" s="82" t="str">
        <f t="shared" si="64"/>
        <v>"C:\Program Files (x86)\AstroGrep\AstroGrep.exe" /e /r /s /spath="%USERPROFILE%\AppData\Local\Temp\OnboardLogs" /stypes="app*4022*20170318*" /stext=" 21:.+((SYSTEM_STATE.+slice.+state.+changed )|(ment ac)|(multiple cpu faults)|(system.+state.+changed )|(\[timeout)|(PRM\|1\|D)|(kpr)|(kdp)|(\|lc)|(penalty))"</v>
      </c>
      <c r="AG179" s="1" t="str">
        <f t="shared" si="65"/>
        <v>NW</v>
      </c>
      <c r="AH179" s="86" t="str">
        <f t="shared" si="66"/>
        <v>"%USERPROFILE%\Documents\GitHub\eaglep3\Utilities\RefineRTDCRunTimes.py" --tripid 1819-18 --locoid 4022 --swversion DE.1.0.9.0 --startMP 204:1011 --initTime 2017-03-18T15:17:42 --startdatetime 2017-03-18T15:21:52 --delay 1 --endMP 300:58935 --enddatetime 2017-03-18T15:35:31 --enforcementcount 0 &gt;&gt;C:\Users\stu\Documents\GitHub\eaglep3-reporting\EC\2017-03-18-refined-times.txt</v>
      </c>
      <c r="AI179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{"issue":{"subject":"","project_id":79,"tracker_id":40,"status_id":1,"priority_id":2,"assigned_to_id":23,"start_date":"2017-03-18","description":"","custom_fields":[{"id":1,"name":"Subdivision","value":"NW"},{"id":4,"name":"Milepost","value":"5.8935"},{"id":17,"name":"Train ID","value":"1819-18"},{"id":16,"name":"Locomotive ID","value":"4022"},{"id":130,"name":"Impact","value":""},{"id":150,"name":"Time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8"/>
        <v>start /low /b %USERPROFILE%\Documents\GitHub\eaglep3\Utilities\DownloadLogsFromS3.py --loco 4022 --day 2017-03-18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80" spans="1:91" s="20" customFormat="1" x14ac:dyDescent="0.25">
      <c r="A180" s="33" t="s">
        <v>714</v>
      </c>
      <c r="B180" s="7">
        <v>4021</v>
      </c>
      <c r="C180" s="21" t="s">
        <v>222</v>
      </c>
      <c r="D180" s="21" t="s">
        <v>491</v>
      </c>
      <c r="E180" s="13">
        <v>42812.650706018518</v>
      </c>
      <c r="F180" s="13">
        <v>42812.651886574073</v>
      </c>
      <c r="G180" s="7">
        <v>1</v>
      </c>
      <c r="H180" s="21" t="s">
        <v>832</v>
      </c>
      <c r="I180" s="13">
        <v>42812.662766203706</v>
      </c>
      <c r="J180" s="7">
        <v>0</v>
      </c>
      <c r="K180" s="98" t="str">
        <f t="shared" si="54"/>
        <v>4021/4022</v>
      </c>
      <c r="L180" s="21" t="str">
        <f>VLOOKUP(A180,'Trips&amp;Operators'!$C$1:$G$99999,5,FALSE)</f>
        <v>HELVIE ADAM</v>
      </c>
      <c r="M180" s="6">
        <f t="shared" si="55"/>
        <v>1.0879629633564036E-2</v>
      </c>
      <c r="N180" s="7">
        <f t="shared" si="79"/>
        <v>15.666666672332212</v>
      </c>
      <c r="O180" s="7"/>
      <c r="P180" s="7"/>
      <c r="Q180" s="22"/>
      <c r="R180" s="22"/>
      <c r="S180" s="31">
        <f t="shared" si="84"/>
        <v>1</v>
      </c>
      <c r="T180" s="46" t="str">
        <f t="shared" si="56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7"/>
        <v>https://d0f6bd738d7f1b3e5a7ca70fe4ff75f0.us-east-1.aws.found.io/app/kibana#/discover/Steve-Slow-Train-Analysis-(2080s-and-2083s)?_g=(refreshInterval:(display:Off,pause:!f,section:0,value:0),time:(from:'2017-03-18T14:37:01-0600',mode:absolute,to:'2017-03-18T16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0" s="187" t="str">
        <f t="shared" si="58"/>
        <v>N</v>
      </c>
      <c r="X180" s="187">
        <f t="shared" si="83"/>
        <v>1</v>
      </c>
      <c r="Y180" s="62">
        <f t="shared" si="80"/>
        <v>5.8625999999999996</v>
      </c>
      <c r="Z180" s="62">
        <f t="shared" si="81"/>
        <v>7.2900000000000006E-2</v>
      </c>
      <c r="AA180" s="62">
        <f t="shared" si="61"/>
        <v>5.7896999999999998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2"/>
        <v>1820-18</v>
      </c>
      <c r="AE180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80" s="82" t="str">
        <f t="shared" si="64"/>
        <v>"C:\Program Files (x86)\AstroGrep\AstroGrep.exe" /e /r /s /spath="%USERPROFILE%\AppData\Local\Temp\OnboardLogs" /stypes="app*4021*20170318*" /stext=" 21:.+((SYSTEM_STATE.+slice.+state.+changed )|(ment ac)|(multiple cpu faults)|(system.+state.+changed )|(\[timeout)|(PRM\|1\|D)|(kpr)|(kdp)|(\|lc)|(penalty))"</v>
      </c>
      <c r="AG180" s="1" t="str">
        <f t="shared" si="65"/>
        <v>NW</v>
      </c>
      <c r="AH180" s="86" t="str">
        <f t="shared" si="66"/>
        <v>"%USERPROFILE%\Documents\GitHub\eaglep3\Utilities\RefineRTDCRunTimes.py" --tripid 1820-18 --locoid 4021 --swversion DE.1.0.9.0 --startMP 300:58626 --initTime 2017-03-18T15:37:01 --startdatetime 2017-03-18T15:38:43 --delay 1 --endMP 204:729 --enddatetime 2017-03-18T15:54:23 --enforcementcount 0 &gt;&gt;C:\Users\stu\Documents\GitHub\eaglep3-reporting\EC\2017-03-18-refined-times.txt</v>
      </c>
      <c r="AI180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{"issue":{"subject":"","project_id":79,"tracker_id":40,"status_id":1,"priority_id":2,"assigned_to_id":23,"start_date":"2017-03-18","description":"","custom_fields":[{"id":1,"name":"Subdivision","value":"NW"},{"id":4,"name":"Milepost","value":"0.0729"},{"id":17,"name":"Train ID","value":"1820-18"},{"id":16,"name":"Locomotive ID","value":"4021"},{"id":130,"name":"Impact","value":""},{"id":150,"name":"Time of Event (Mountain Time)","value":"15:54:23"},{"id":151,"name":"Denver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8"/>
        <v>start /low /b %USERPROFILE%\Documents\GitHub\eaglep3\Utilities\DownloadLogsFromS3.py --loco 4021 --day 2017-03-18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718</v>
      </c>
      <c r="B181" s="7">
        <v>4022</v>
      </c>
      <c r="C181" s="21" t="s">
        <v>222</v>
      </c>
      <c r="D181" s="21" t="s">
        <v>490</v>
      </c>
      <c r="E181" s="13">
        <v>42812.677268518521</v>
      </c>
      <c r="F181" s="13">
        <v>42812.681863425925</v>
      </c>
      <c r="G181" s="7">
        <v>1</v>
      </c>
      <c r="H181" s="21" t="s">
        <v>833</v>
      </c>
      <c r="I181" s="13">
        <v>42812.690891203703</v>
      </c>
      <c r="J181" s="7">
        <v>0</v>
      </c>
      <c r="K181" s="98" t="str">
        <f t="shared" si="54"/>
        <v>4021/4022</v>
      </c>
      <c r="L181" s="21" t="str">
        <f>VLOOKUP(A181,'Trips&amp;Operators'!$C$1:$G$99999,5,FALSE)</f>
        <v>HELVIE ADAM</v>
      </c>
      <c r="M181" s="6">
        <f t="shared" si="55"/>
        <v>9.0277777781011537E-3</v>
      </c>
      <c r="N181" s="7">
        <f t="shared" si="79"/>
        <v>13.000000000465661</v>
      </c>
      <c r="O181" s="7"/>
      <c r="P181" s="7"/>
      <c r="Q181" s="22"/>
      <c r="R181" s="22"/>
      <c r="S181" s="31">
        <f t="shared" si="84"/>
        <v>1</v>
      </c>
      <c r="T181" s="46" t="str">
        <f t="shared" si="56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7"/>
        <v>https://d0f6bd738d7f1b3e5a7ca70fe4ff75f0.us-east-1.aws.found.io/app/kibana#/discover/Steve-Slow-Train-Analysis-(2080s-and-2083s)?_g=(refreshInterval:(display:Off,pause:!f,section:0,value:0),time:(from:'2017-03-18T15:15:16-0600',mode:absolute,to:'2017-03-18T17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1" s="187" t="str">
        <f t="shared" si="58"/>
        <v>N</v>
      </c>
      <c r="X181" s="187">
        <f t="shared" si="83"/>
        <v>1</v>
      </c>
      <c r="Y181" s="62">
        <f t="shared" si="80"/>
        <v>0.10249999999999999</v>
      </c>
      <c r="Z181" s="62">
        <f t="shared" si="81"/>
        <v>5.8943000000000003</v>
      </c>
      <c r="AA181" s="62">
        <f t="shared" si="61"/>
        <v>5.7918000000000003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2"/>
        <v>1821-18</v>
      </c>
      <c r="AE181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81" s="82" t="str">
        <f t="shared" si="64"/>
        <v>"C:\Program Files (x86)\AstroGrep\AstroGrep.exe" /e /r /s /spath="%USERPROFILE%\AppData\Local\Temp\OnboardLogs" /stypes="app*4022*20170318*" /stext=" 22:.+((SYSTEM_STATE.+slice.+state.+changed )|(ment ac)|(multiple cpu faults)|(system.+state.+changed )|(\[timeout)|(PRM\|1\|D)|(kpr)|(kdp)|(\|lc)|(penalty))"</v>
      </c>
      <c r="AG181" s="1" t="str">
        <f t="shared" si="65"/>
        <v>NW</v>
      </c>
      <c r="AH181" s="86" t="str">
        <f t="shared" si="66"/>
        <v>"%USERPROFILE%\Documents\GitHub\eaglep3\Utilities\RefineRTDCRunTimes.py" --tripid 1821-18 --locoid 4022 --swversion DE.1.0.9.0 --startMP 204:1025 --initTime 2017-03-18T16:15:16 --startdatetime 2017-03-18T16:21:53 --delay 1 --endMP 300:58943 --enddatetime 2017-03-18T16:34:53 --enforcementcount 0 &gt;&gt;C:\Users\stu\Documents\GitHub\eaglep3-reporting\EC\2017-03-18-refined-times.txt</v>
      </c>
      <c r="AI181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{"issue":{"subject":"","project_id":79,"tracker_id":40,"status_id":1,"priority_id":2,"assigned_to_id":23,"start_date":"2017-03-18","description":"","custom_fields":[{"id":1,"name":"Subdivision","value":"NW"},{"id":4,"name":"Milepost","value":"5.8943"},{"id":17,"name":"Train ID","value":"1821-18"},{"id":16,"name":"Locomotive ID","value":"4022"},{"id":130,"name":"Impact","value":""},{"id":150,"name":"Time of Event (Mountain Time)","value":"16:34:53"},{"id":151,"name":"Denver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8"/>
        <v>start /low /b %USERPROFILE%\Documents\GitHub\eaglep3\Utilities\DownloadLogsFromS3.py --loco 4022 --day 2017-03-18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82" spans="1:91" x14ac:dyDescent="0.25">
      <c r="A182" s="33" t="s">
        <v>723</v>
      </c>
      <c r="B182" s="7">
        <v>4021</v>
      </c>
      <c r="C182" s="21" t="s">
        <v>222</v>
      </c>
      <c r="D182" s="21" t="s">
        <v>834</v>
      </c>
      <c r="E182" s="13">
        <v>42812.69222222222</v>
      </c>
      <c r="F182" s="13">
        <v>42812.694131944445</v>
      </c>
      <c r="G182" s="7">
        <v>1</v>
      </c>
      <c r="H182" s="21" t="s">
        <v>835</v>
      </c>
      <c r="I182" s="13">
        <v>42812.704305555555</v>
      </c>
      <c r="J182" s="7">
        <v>0</v>
      </c>
      <c r="K182" s="98" t="str">
        <f t="shared" si="54"/>
        <v>4021/4022</v>
      </c>
      <c r="L182" s="21" t="str">
        <f>VLOOKUP(A182,'Trips&amp;Operators'!$C$1:$G$99999,5,FALSE)</f>
        <v>HELVIE ADAM</v>
      </c>
      <c r="M182" s="6">
        <f t="shared" si="55"/>
        <v>1.0173611110076308E-2</v>
      </c>
      <c r="N182" s="7">
        <f t="shared" si="79"/>
        <v>14.649999998509884</v>
      </c>
      <c r="O182" s="7"/>
      <c r="P182" s="7"/>
      <c r="Q182" s="22"/>
      <c r="R182" s="22"/>
      <c r="S182" s="31">
        <f t="shared" si="84"/>
        <v>1</v>
      </c>
      <c r="T182" s="46" t="str">
        <f t="shared" si="56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7"/>
        <v>https://d0f6bd738d7f1b3e5a7ca70fe4ff75f0.us-east-1.aws.found.io/app/kibana#/discover/Steve-Slow-Train-Analysis-(2080s-and-2083s)?_g=(refreshInterval:(display:Off,pause:!f,section:0,value:0),time:(from:'2017-03-18T15:36:48-0600',mode:absolute,to:'2017-03-18T17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2" s="187" t="str">
        <f t="shared" si="58"/>
        <v>N</v>
      </c>
      <c r="X182" s="187">
        <f t="shared" si="83"/>
        <v>1</v>
      </c>
      <c r="Y182" s="62">
        <f t="shared" si="80"/>
        <v>5.8643000000000001</v>
      </c>
      <c r="Z182" s="62">
        <f t="shared" si="81"/>
        <v>7.8299999999999995E-2</v>
      </c>
      <c r="AA182" s="62">
        <f t="shared" si="61"/>
        <v>5.7860000000000005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2"/>
        <v>1822-18</v>
      </c>
      <c r="AE182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82" s="82" t="str">
        <f t="shared" si="64"/>
        <v>"C:\Program Files (x86)\AstroGrep\AstroGrep.exe" /e /r /s /spath="%USERPROFILE%\AppData\Local\Temp\OnboardLogs" /stypes="app*4021*20170318*" /stext=" 22:.+((SYSTEM_STATE.+slice.+state.+changed )|(ment ac)|(multiple cpu faults)|(system.+state.+changed )|(\[timeout)|(PRM\|1\|D)|(kpr)|(kdp)|(\|lc)|(penalty))"</v>
      </c>
      <c r="AG182" s="1" t="str">
        <f t="shared" si="65"/>
        <v>NW</v>
      </c>
      <c r="AH182" s="86" t="str">
        <f t="shared" si="66"/>
        <v>"%USERPROFILE%\Documents\GitHub\eaglep3\Utilities\RefineRTDCRunTimes.py" --tripid 1822-18 --locoid 4021 --swversion DE.1.0.9.0 --startMP 300:58643 --initTime 2017-03-18T16:36:48 --startdatetime 2017-03-18T16:39:33 --delay 1 --endMP 204:783 --enddatetime 2017-03-18T16:54:12 --enforcementcount 0 &gt;&gt;C:\Users\stu\Documents\GitHub\eaglep3-reporting\EC\2017-03-18-refined-times.txt</v>
      </c>
      <c r="AI182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{"issue":{"subject":"","project_id":79,"tracker_id":40,"status_id":1,"priority_id":2,"assigned_to_id":23,"start_date":"2017-03-18","description":"","custom_fields":[{"id":1,"name":"Subdivision","value":"NW"},{"id":4,"name":"Milepost","value":"0.0783"},{"id":17,"name":"Train ID","value":"1822-18"},{"id":16,"name":"Locomotive ID","value":"4021"},{"id":130,"name":"Impact","value":""},{"id":150,"name":"Time of Event (Mountain Time)","value":"16:54:12"},{"id":151,"name":"Denver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8"/>
        <v>start /low /b %USERPROFILE%\Documents\GitHub\eaglep3\Utilities\DownloadLogsFromS3.py --loco 4021 --day 2017-03-18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83" spans="1:91" s="20" customFormat="1" x14ac:dyDescent="0.25">
      <c r="A183" s="33" t="s">
        <v>727</v>
      </c>
      <c r="B183" s="7">
        <v>4022</v>
      </c>
      <c r="C183" s="21" t="s">
        <v>222</v>
      </c>
      <c r="D183" s="21" t="s">
        <v>836</v>
      </c>
      <c r="E183" s="13">
        <v>42812.721134259256</v>
      </c>
      <c r="F183" s="13">
        <v>42812.723657407405</v>
      </c>
      <c r="G183" s="7">
        <v>1</v>
      </c>
      <c r="H183" s="21" t="s">
        <v>553</v>
      </c>
      <c r="I183" s="13">
        <v>42812.732754629629</v>
      </c>
      <c r="J183" s="7">
        <v>0</v>
      </c>
      <c r="K183" s="98" t="str">
        <f t="shared" si="54"/>
        <v>4021/4022</v>
      </c>
      <c r="L183" s="21" t="str">
        <f>VLOOKUP(A183,'Trips&amp;Operators'!$C$1:$G$99999,5,FALSE)</f>
        <v>HELVIE ADAM</v>
      </c>
      <c r="M183" s="6">
        <f t="shared" si="55"/>
        <v>9.0972222242271528E-3</v>
      </c>
      <c r="N183" s="7">
        <f t="shared" si="79"/>
        <v>13.1000000028871</v>
      </c>
      <c r="O183" s="7"/>
      <c r="P183" s="7"/>
      <c r="Q183" s="22"/>
      <c r="R183" s="22"/>
      <c r="S183" s="31">
        <f t="shared" si="84"/>
        <v>1</v>
      </c>
      <c r="T183" s="46" t="str">
        <f t="shared" si="56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7"/>
        <v>https://d0f6bd738d7f1b3e5a7ca70fe4ff75f0.us-east-1.aws.found.io/app/kibana#/discover/Steve-Slow-Train-Analysis-(2080s-and-2083s)?_g=(refreshInterval:(display:Off,pause:!f,section:0,value:0),time:(from:'2017-03-18T16:18:26-0600',mode:absolute,to:'2017-03-18T18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3" s="187" t="str">
        <f t="shared" si="58"/>
        <v>N</v>
      </c>
      <c r="X183" s="187">
        <f t="shared" si="83"/>
        <v>1</v>
      </c>
      <c r="Y183" s="62">
        <f t="shared" si="80"/>
        <v>0.10879999999999999</v>
      </c>
      <c r="Z183" s="62">
        <f t="shared" si="81"/>
        <v>5.8949999999999996</v>
      </c>
      <c r="AA183" s="62">
        <f t="shared" si="61"/>
        <v>5.7862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2"/>
        <v>1823-18</v>
      </c>
      <c r="AE183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83" s="82" t="str">
        <f t="shared" si="64"/>
        <v>"C:\Program Files (x86)\AstroGrep\AstroGrep.exe" /e /r /s /spath="%USERPROFILE%\AppData\Local\Temp\OnboardLogs" /stypes="app*4022*20170318*" /stext=" 23:.+((SYSTEM_STATE.+slice.+state.+changed )|(ment ac)|(multiple cpu faults)|(system.+state.+changed )|(\[timeout)|(PRM\|1\|D)|(kpr)|(kdp)|(\|lc)|(penalty))"</v>
      </c>
      <c r="AG183" s="1" t="str">
        <f t="shared" si="65"/>
        <v>NW</v>
      </c>
      <c r="AH183" s="86" t="str">
        <f t="shared" si="66"/>
        <v>"%USERPROFILE%\Documents\GitHub\eaglep3\Utilities\RefineRTDCRunTimes.py" --tripid 1823-18 --locoid 4022 --swversion DE.1.0.9.0 --startMP 204:1088 --initTime 2017-03-18T17:18:26 --startdatetime 2017-03-18T17:22:04 --delay 1 --endMP 300:58950 --enddatetime 2017-03-18T17:35:10 --enforcementcount 0 &gt;&gt;C:\Users\stu\Documents\GitHub\eaglep3-reporting\EC\2017-03-18-refined-times.txt</v>
      </c>
      <c r="AI183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{"issue":{"subject":"","project_id":79,"tracker_id":40,"status_id":1,"priority_id":2,"assigned_to_id":23,"start_date":"2017-03-18","description":"","custom_fields":[{"id":1,"name":"Subdivision","value":"NW"},{"id":4,"name":"Milepost","value":"5.895"},{"id":17,"name":"Train ID","value":"1823-18"},{"id":16,"name":"Locomotive ID","value":"4022"},{"id":130,"name":"Impact","value":""},{"id":150,"name":"Time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8"/>
        <v>start /low /b %USERPROFILE%\Documents\GitHub\eaglep3\Utilities\DownloadLogsFromS3.py --loco 4022 --day 2017-03-18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729</v>
      </c>
      <c r="B184" s="7">
        <v>4021</v>
      </c>
      <c r="C184" s="21" t="s">
        <v>222</v>
      </c>
      <c r="D184" s="21" t="s">
        <v>552</v>
      </c>
      <c r="E184" s="13">
        <v>42812.734050925923</v>
      </c>
      <c r="F184" s="13">
        <v>42812.73537037037</v>
      </c>
      <c r="G184" s="7">
        <v>1</v>
      </c>
      <c r="H184" s="21" t="s">
        <v>837</v>
      </c>
      <c r="I184" s="13">
        <v>42812.746192129627</v>
      </c>
      <c r="J184" s="7">
        <v>0</v>
      </c>
      <c r="K184" s="98" t="str">
        <f t="shared" si="54"/>
        <v>4021/4022</v>
      </c>
      <c r="L184" s="21" t="str">
        <f>VLOOKUP(A184,'Trips&amp;Operators'!$C$1:$G$99999,5,FALSE)</f>
        <v>HELVIE ADAM</v>
      </c>
      <c r="M184" s="6">
        <f t="shared" si="55"/>
        <v>1.0821759256941732E-2</v>
      </c>
      <c r="N184" s="7">
        <f t="shared" si="79"/>
        <v>15.583333329996094</v>
      </c>
      <c r="O184" s="7"/>
      <c r="P184" s="7"/>
      <c r="Q184" s="22"/>
      <c r="R184" s="22"/>
      <c r="S184" s="31">
        <f t="shared" si="84"/>
        <v>1</v>
      </c>
      <c r="T184" s="46" t="str">
        <f t="shared" si="56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7"/>
        <v>https://d0f6bd738d7f1b3e5a7ca70fe4ff75f0.us-east-1.aws.found.io/app/kibana#/discover/Steve-Slow-Train-Analysis-(2080s-and-2083s)?_g=(refreshInterval:(display:Off,pause:!f,section:0,value:0),time:(from:'2017-03-18T16:37:02-0600',mode:absolute,to:'2017-03-18T18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4" s="187" t="str">
        <f t="shared" si="58"/>
        <v>N</v>
      </c>
      <c r="X184" s="187">
        <f t="shared" si="83"/>
        <v>1</v>
      </c>
      <c r="Y184" s="62">
        <f t="shared" si="80"/>
        <v>5.8615000000000004</v>
      </c>
      <c r="Z184" s="62">
        <f t="shared" si="81"/>
        <v>7.8200000000000006E-2</v>
      </c>
      <c r="AA184" s="62">
        <f t="shared" si="61"/>
        <v>5.7833000000000006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2"/>
        <v>1824-18</v>
      </c>
      <c r="AE184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84" s="82" t="str">
        <f t="shared" si="64"/>
        <v>"C:\Program Files (x86)\AstroGrep\AstroGrep.exe" /e /r /s /spath="%USERPROFILE%\AppData\Local\Temp\OnboardLogs" /stypes="app*4021*20170318*" /stext=" 23:.+((SYSTEM_STATE.+slice.+state.+changed )|(ment ac)|(multiple cpu faults)|(system.+state.+changed )|(\[timeout)|(PRM\|1\|D)|(kpr)|(kdp)|(\|lc)|(penalty))"</v>
      </c>
      <c r="AG184" s="1" t="str">
        <f t="shared" si="65"/>
        <v>NW</v>
      </c>
      <c r="AH184" s="86" t="str">
        <f t="shared" si="66"/>
        <v>"%USERPROFILE%\Documents\GitHub\eaglep3\Utilities\RefineRTDCRunTimes.py" --tripid 1824-18 --locoid 4021 --swversion DE.1.0.9.0 --startMP 300:58615 --initTime 2017-03-18T17:37:02 --startdatetime 2017-03-18T17:38:56 --delay 1 --endMP 204:782 --enddatetime 2017-03-18T17:54:31 --enforcementcount 0 &gt;&gt;C:\Users\stu\Documents\GitHub\eaglep3-reporting\EC\2017-03-18-refined-times.txt</v>
      </c>
      <c r="AI184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{"issue":{"subject":"","project_id":79,"tracker_id":40,"status_id":1,"priority_id":2,"assigned_to_id":23,"start_date":"2017-03-18","description":"","custom_fields":[{"id":1,"name":"Subdivision","value":"NW"},{"id":4,"name":"Milepost","value":"0.0782"},{"id":17,"name":"Train ID","value":"1824-18"},{"id":16,"name":"Locomotive ID","value":"4021"},{"id":130,"name":"Impact","value":""},{"id":150,"name":"Time of Event (Mountain Time)","value":"17:54:31"},{"id":151,"name":"Denver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8"/>
        <v>start /low /b %USERPROFILE%\Documents\GitHub\eaglep3\Utilities\DownloadLogsFromS3.py --loco 4021 --day 2017-03-18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85" spans="1:91" s="20" customFormat="1" x14ac:dyDescent="0.25">
      <c r="A185" s="33" t="s">
        <v>735</v>
      </c>
      <c r="B185" s="7">
        <v>4022</v>
      </c>
      <c r="C185" s="21" t="s">
        <v>222</v>
      </c>
      <c r="D185" s="21" t="s">
        <v>838</v>
      </c>
      <c r="E185" s="13">
        <v>42812.762719907405</v>
      </c>
      <c r="F185" s="13">
        <v>42812.764907407407</v>
      </c>
      <c r="G185" s="7">
        <v>1</v>
      </c>
      <c r="H185" s="21" t="s">
        <v>839</v>
      </c>
      <c r="I185" s="13">
        <v>42812.774467592593</v>
      </c>
      <c r="J185" s="7">
        <v>0</v>
      </c>
      <c r="K185" s="98" t="str">
        <f t="shared" si="54"/>
        <v>4021/4022</v>
      </c>
      <c r="L185" s="21" t="str">
        <f>VLOOKUP(A185,'Trips&amp;Operators'!$C$1:$G$99999,5,FALSE)</f>
        <v>HELVIE ADAM</v>
      </c>
      <c r="M185" s="6">
        <f t="shared" si="55"/>
        <v>9.560185186273884E-3</v>
      </c>
      <c r="N185" s="7">
        <f t="shared" si="79"/>
        <v>13.766666668234393</v>
      </c>
      <c r="O185" s="7"/>
      <c r="P185" s="7"/>
      <c r="Q185" s="22"/>
      <c r="R185" s="22"/>
      <c r="S185" s="31">
        <f t="shared" si="84"/>
        <v>1</v>
      </c>
      <c r="T185" s="46" t="str">
        <f t="shared" si="56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7"/>
        <v>https://d0f6bd738d7f1b3e5a7ca70fe4ff75f0.us-east-1.aws.found.io/app/kibana#/discover/Steve-Slow-Train-Analysis-(2080s-and-2083s)?_g=(refreshInterval:(display:Off,pause:!f,section:0,value:0),time:(from:'2017-03-18T17:18:19-0600',mode:absolute,to:'2017-03-18T19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5" s="187" t="str">
        <f t="shared" si="58"/>
        <v>N</v>
      </c>
      <c r="X185" s="187">
        <f t="shared" si="83"/>
        <v>1</v>
      </c>
      <c r="Y185" s="62">
        <f t="shared" si="80"/>
        <v>0.10580000000000001</v>
      </c>
      <c r="Z185" s="62">
        <f t="shared" si="81"/>
        <v>5.8929</v>
      </c>
      <c r="AA185" s="62">
        <f t="shared" si="61"/>
        <v>5.7870999999999997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2"/>
        <v>1825-18</v>
      </c>
      <c r="AE185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85" s="82" t="str">
        <f t="shared" si="64"/>
        <v>"C:\Program Files (x86)\AstroGrep\AstroGrep.exe" /e /r /s /spath="%USERPROFILE%\AppData\Local\Temp\OnboardLogs" /stypes="app*4022*20170319*" /stext=" 00:.+((SYSTEM_STATE.+slice.+state.+changed )|(ment ac)|(multiple cpu faults)|(system.+state.+changed )|(\[timeout)|(PRM\|1\|D)|(kpr)|(kdp)|(\|lc)|(penalty))"</v>
      </c>
      <c r="AG185" s="1" t="str">
        <f t="shared" si="65"/>
        <v>NW</v>
      </c>
      <c r="AH185" s="86" t="str">
        <f t="shared" si="66"/>
        <v>"%USERPROFILE%\Documents\GitHub\eaglep3\Utilities\RefineRTDCRunTimes.py" --tripid 1825-18 --locoid 4022 --swversion DE.1.0.9.0 --startMP 204:1058 --initTime 2017-03-18T18:18:19 --startdatetime 2017-03-18T18:21:28 --delay 1 --endMP 300:58929 --enddatetime 2017-03-18T18:35:14 --enforcementcount 0 &gt;&gt;C:\Users\stu\Documents\GitHub\eaglep3-reporting\EC\2017-03-18-refined-times.txt</v>
      </c>
      <c r="AI185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{"issue":{"subject":"","project_id":79,"tracker_id":40,"status_id":1,"priority_id":2,"assigned_to_id":23,"start_date":"2017-03-18","description":"","custom_fields":[{"id":1,"name":"Subdivision","value":"NW"},{"id":4,"name":"Milepost","value":"5.8929"},{"id":17,"name":"Train ID","value":"1825-18"},{"id":16,"name":"Locomotive ID","value":"4022"},{"id":130,"name":"Impact","value":""},{"id":150,"name":"Time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8"/>
        <v>start /low /b %USERPROFILE%\Documents\GitHub\eaglep3\Utilities\DownloadLogsFromS3.py --loco 4022 --day 2017-03-18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737</v>
      </c>
      <c r="B186" s="7">
        <v>4021</v>
      </c>
      <c r="C186" s="21" t="s">
        <v>222</v>
      </c>
      <c r="D186" s="21" t="s">
        <v>840</v>
      </c>
      <c r="E186" s="13">
        <v>42812.776643518519</v>
      </c>
      <c r="F186" s="13">
        <v>42812.778506944444</v>
      </c>
      <c r="G186" s="7">
        <v>1</v>
      </c>
      <c r="H186" s="21" t="s">
        <v>819</v>
      </c>
      <c r="I186" s="13">
        <v>42812.787789351853</v>
      </c>
      <c r="J186" s="7">
        <v>0</v>
      </c>
      <c r="K186" s="98" t="str">
        <f t="shared" si="54"/>
        <v>4021/4022</v>
      </c>
      <c r="L186" s="21" t="str">
        <f>VLOOKUP(A186,'Trips&amp;Operators'!$C$1:$G$99999,5,FALSE)</f>
        <v>HELVIE ADAM</v>
      </c>
      <c r="M186" s="6">
        <f t="shared" si="55"/>
        <v>9.2824074090458453E-3</v>
      </c>
      <c r="N186" s="7">
        <f t="shared" si="79"/>
        <v>13.366666669026017</v>
      </c>
      <c r="O186" s="7"/>
      <c r="P186" s="7"/>
      <c r="Q186" s="22"/>
      <c r="R186" s="22"/>
      <c r="S186" s="31">
        <f t="shared" si="84"/>
        <v>1</v>
      </c>
      <c r="T186" s="46" t="str">
        <f t="shared" si="56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7"/>
        <v>https://d0f6bd738d7f1b3e5a7ca70fe4ff75f0.us-east-1.aws.found.io/app/kibana#/discover/Steve-Slow-Train-Analysis-(2080s-and-2083s)?_g=(refreshInterval:(display:Off,pause:!f,section:0,value:0),time:(from:'2017-03-18T17:38:22-0600',mode:absolute,to:'2017-03-18T19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6" s="187" t="str">
        <f t="shared" si="58"/>
        <v>N</v>
      </c>
      <c r="X186" s="187">
        <f t="shared" si="83"/>
        <v>1</v>
      </c>
      <c r="Y186" s="62">
        <f t="shared" si="80"/>
        <v>5.8623000000000003</v>
      </c>
      <c r="Z186" s="62">
        <f t="shared" si="81"/>
        <v>7.4700000000000003E-2</v>
      </c>
      <c r="AA186" s="62">
        <f t="shared" si="61"/>
        <v>5.7876000000000003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2"/>
        <v>1826-18</v>
      </c>
      <c r="AE186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86" s="82" t="str">
        <f t="shared" si="64"/>
        <v>"C:\Program Files (x86)\AstroGrep\AstroGrep.exe" /e /r /s /spath="%USERPROFILE%\AppData\Local\Temp\OnboardLogs" /stypes="app*4021*20170319*" /stext=" 00:.+((SYSTEM_STATE.+slice.+state.+changed )|(ment ac)|(multiple cpu faults)|(system.+state.+changed )|(\[timeout)|(PRM\|1\|D)|(kpr)|(kdp)|(\|lc)|(penalty))"</v>
      </c>
      <c r="AG186" s="1" t="str">
        <f t="shared" si="65"/>
        <v>NW</v>
      </c>
      <c r="AH186" s="86" t="str">
        <f t="shared" si="66"/>
        <v>"%USERPROFILE%\Documents\GitHub\eaglep3\Utilities\RefineRTDCRunTimes.py" --tripid 1826-18 --locoid 4021 --swversion DE.1.0.9.0 --startMP 300:58623 --initTime 2017-03-18T18:38:22 --startdatetime 2017-03-18T18:41:03 --delay 1 --endMP 204:747 --enddatetime 2017-03-18T18:54:25 --enforcementcount 0 &gt;&gt;C:\Users\stu\Documents\GitHub\eaglep3-reporting\EC\2017-03-18-refined-times.txt</v>
      </c>
      <c r="AI186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{"issue":{"subject":"","project_id":79,"tracker_id":40,"status_id":1,"priority_id":2,"assigned_to_id":23,"start_date":"2017-03-18","description":"","custom_fields":[{"id":1,"name":"Subdivision","value":"NW"},{"id":4,"name":"Milepost","value":"0.0747"},{"id":17,"name":"Train ID","value":"1826-18"},{"id":16,"name":"Locomotive ID","value":"4021"},{"id":130,"name":"Impact","value":""},{"id":150,"name":"Time of Event (Mountain Time)","value":"18:54:25"},{"id":151,"name":"Denver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8"/>
        <v>start /low /b %USERPROFILE%\Documents\GitHub\eaglep3\Utilities\DownloadLogsFromS3.py --loco 4021 --day 2017-03-18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187" spans="1:91" x14ac:dyDescent="0.25">
      <c r="A187" s="33" t="s">
        <v>741</v>
      </c>
      <c r="B187" s="7">
        <v>4022</v>
      </c>
      <c r="C187" s="21" t="s">
        <v>222</v>
      </c>
      <c r="D187" s="21" t="s">
        <v>841</v>
      </c>
      <c r="E187" s="13">
        <v>42812.805138888885</v>
      </c>
      <c r="F187" s="13">
        <v>42812.806770833333</v>
      </c>
      <c r="G187" s="7">
        <v>1</v>
      </c>
      <c r="H187" s="21" t="s">
        <v>489</v>
      </c>
      <c r="I187" s="13">
        <v>42812.816388888888</v>
      </c>
      <c r="J187" s="7">
        <v>0</v>
      </c>
      <c r="K187" s="98" t="str">
        <f t="shared" si="54"/>
        <v>4021/4022</v>
      </c>
      <c r="L187" s="21" t="str">
        <f>VLOOKUP(A187,'Trips&amp;Operators'!$C$1:$G$99999,5,FALSE)</f>
        <v>HELVIE ADAM</v>
      </c>
      <c r="M187" s="6">
        <f t="shared" si="55"/>
        <v>9.6180555556202307E-3</v>
      </c>
      <c r="N187" s="7">
        <f t="shared" si="79"/>
        <v>13.850000000093132</v>
      </c>
      <c r="O187" s="7"/>
      <c r="P187" s="7"/>
      <c r="Q187" s="22"/>
      <c r="R187" s="22"/>
      <c r="S187" s="31">
        <f t="shared" si="84"/>
        <v>1</v>
      </c>
      <c r="T187" s="46" t="str">
        <f t="shared" si="56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7"/>
        <v>https://d0f6bd738d7f1b3e5a7ca70fe4ff75f0.us-east-1.aws.found.io/app/kibana#/discover/Steve-Slow-Train-Analysis-(2080s-and-2083s)?_g=(refreshInterval:(display:Off,pause:!f,section:0,value:0),time:(from:'2017-03-18T18:19:24-0600',mode:absolute,to:'2017-03-18T20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187" t="str">
        <f t="shared" si="58"/>
        <v>N</v>
      </c>
      <c r="X187" s="187">
        <f t="shared" si="83"/>
        <v>1</v>
      </c>
      <c r="Y187" s="62">
        <f t="shared" si="80"/>
        <v>0.10440000000000001</v>
      </c>
      <c r="Z187" s="62">
        <f t="shared" si="81"/>
        <v>5.8925999999999998</v>
      </c>
      <c r="AA187" s="62">
        <f t="shared" si="61"/>
        <v>5.7881999999999998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2"/>
        <v>1827-18</v>
      </c>
      <c r="AE187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87" s="82" t="str">
        <f t="shared" si="64"/>
        <v>"C:\Program Files (x86)\AstroGrep\AstroGrep.exe" /e /r /s /spath="%USERPROFILE%\AppData\Local\Temp\OnboardLogs" /stypes="app*4022*20170319*" /stext=" 01:.+((SYSTEM_STATE.+slice.+state.+changed )|(ment ac)|(multiple cpu faults)|(system.+state.+changed )|(\[timeout)|(PRM\|1\|D)|(kpr)|(kdp)|(\|lc)|(penalty))"</v>
      </c>
      <c r="AG187" s="1" t="str">
        <f t="shared" si="65"/>
        <v>NW</v>
      </c>
      <c r="AH187" s="86" t="str">
        <f t="shared" si="66"/>
        <v>"%USERPROFILE%\Documents\GitHub\eaglep3\Utilities\RefineRTDCRunTimes.py" --tripid 1827-18 --locoid 4022 --swversion DE.1.0.9.0 --startMP 204:1044 --initTime 2017-03-18T19:19:24 --startdatetime 2017-03-18T19:21:45 --delay 1 --endMP 300:58926 --enddatetime 2017-03-18T19:35:36 --enforcementcount 0 &gt;&gt;C:\Users\stu\Documents\GitHub\eaglep3-reporting\EC\2017-03-18-refined-times.txt</v>
      </c>
      <c r="AI187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{"issue":{"subject":"","project_id":79,"tracker_id":40,"status_id":1,"priority_id":2,"assigned_to_id":23,"start_date":"2017-03-18","description":"","custom_fields":[{"id":1,"name":"Subdivision","value":"NW"},{"id":4,"name":"Milepost","value":"5.8926"},{"id":17,"name":"Train ID","value":"1827-18"},{"id":16,"name":"Locomotive ID","value":"4022"},{"id":130,"name":"Impact","value":""},{"id":150,"name":"Time of Event (Mountain Time)","value":"19:35:36"},{"id":151,"name":"Denver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8"/>
        <v>start /low /b %USERPROFILE%\Documents\GitHub\eaglep3\Utilities\DownloadLogsFromS3.py --loco 4022 --day 2017-03-18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188" spans="1:91" x14ac:dyDescent="0.25">
      <c r="A188" s="33" t="s">
        <v>744</v>
      </c>
      <c r="B188" s="7">
        <v>4021</v>
      </c>
      <c r="C188" s="21" t="s">
        <v>222</v>
      </c>
      <c r="D188" s="21" t="s">
        <v>552</v>
      </c>
      <c r="E188" s="13">
        <v>42812.817476851851</v>
      </c>
      <c r="F188" s="13">
        <v>42812.819814814815</v>
      </c>
      <c r="G188" s="7">
        <v>1</v>
      </c>
      <c r="H188" s="21" t="s">
        <v>561</v>
      </c>
      <c r="I188" s="13">
        <v>42812.82949074074</v>
      </c>
      <c r="J188" s="7">
        <v>0</v>
      </c>
      <c r="K188" s="98" t="str">
        <f t="shared" si="54"/>
        <v>4021/4022</v>
      </c>
      <c r="L188" s="21" t="str">
        <f>VLOOKUP(A188,'Trips&amp;Operators'!$C$1:$G$99999,5,FALSE)</f>
        <v>HELVIE ADAM</v>
      </c>
      <c r="M188" s="6">
        <f t="shared" si="55"/>
        <v>9.6759259249665774E-3</v>
      </c>
      <c r="N188" s="7">
        <f t="shared" si="79"/>
        <v>13.933333331951872</v>
      </c>
      <c r="O188" s="7"/>
      <c r="P188" s="7"/>
      <c r="Q188" s="22"/>
      <c r="R188" s="22"/>
      <c r="S188" s="31">
        <f t="shared" si="84"/>
        <v>1</v>
      </c>
      <c r="T188" s="46" t="str">
        <f t="shared" si="56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7"/>
        <v>https://d0f6bd738d7f1b3e5a7ca70fe4ff75f0.us-east-1.aws.found.io/app/kibana#/discover/Steve-Slow-Train-Analysis-(2080s-and-2083s)?_g=(refreshInterval:(display:Off,pause:!f,section:0,value:0),time:(from:'2017-03-18T18:37:10-0600',mode:absolute,to:'2017-03-18T20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187" t="str">
        <f t="shared" si="58"/>
        <v>N</v>
      </c>
      <c r="X188" s="187">
        <f t="shared" si="83"/>
        <v>1</v>
      </c>
      <c r="Y188" s="62">
        <f t="shared" si="80"/>
        <v>5.8615000000000004</v>
      </c>
      <c r="Z188" s="62">
        <f t="shared" si="81"/>
        <v>7.3999999999999996E-2</v>
      </c>
      <c r="AA188" s="62">
        <f t="shared" si="61"/>
        <v>5.7875000000000005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2"/>
        <v>1828-18</v>
      </c>
      <c r="AE188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88" s="82" t="str">
        <f t="shared" si="64"/>
        <v>"C:\Program Files (x86)\AstroGrep\AstroGrep.exe" /e /r /s /spath="%USERPROFILE%\AppData\Local\Temp\OnboardLogs" /stypes="app*4021*20170319*" /stext=" 01:.+((SYSTEM_STATE.+slice.+state.+changed )|(ment ac)|(multiple cpu faults)|(system.+state.+changed )|(\[timeout)|(PRM\|1\|D)|(kpr)|(kdp)|(\|lc)|(penalty))"</v>
      </c>
      <c r="AG188" s="1" t="str">
        <f t="shared" si="65"/>
        <v>NW</v>
      </c>
      <c r="AH188" s="86" t="str">
        <f t="shared" si="66"/>
        <v>"%USERPROFILE%\Documents\GitHub\eaglep3\Utilities\RefineRTDCRunTimes.py" --tripid 1828-18 --locoid 4021 --swversion DE.1.0.9.0 --startMP 300:58615 --initTime 2017-03-18T19:37:10 --startdatetime 2017-03-18T19:40:32 --delay 1 --endMP 204:740 --enddatetime 2017-03-18T19:54:28 --enforcementcount 0 &gt;&gt;C:\Users\stu\Documents\GitHub\eaglep3-reporting\EC\2017-03-18-refined-times.txt</v>
      </c>
      <c r="AI188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{"issue":{"subject":"","project_id":79,"tracker_id":40,"status_id":1,"priority_id":2,"assigned_to_id":23,"start_date":"2017-03-18","description":"","custom_fields":[{"id":1,"name":"Subdivision","value":"NW"},{"id":4,"name":"Milepost","value":"0.074"},{"id":17,"name":"Train ID","value":"1828-18"},{"id":16,"name":"Locomotive ID","value":"4021"},{"id":130,"name":"Impact","value":""},{"id":150,"name":"Time of Event (Mountain Time)","value":"19:54:28"},{"id":151,"name":"Denver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8"/>
        <v>start /low /b %USERPROFILE%\Documents\GitHub\eaglep3\Utilities\DownloadLogsFromS3.py --loco 4021 --day 2017-03-18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189" spans="1:91" x14ac:dyDescent="0.25">
      <c r="A189" s="33" t="s">
        <v>747</v>
      </c>
      <c r="B189" s="7">
        <v>4022</v>
      </c>
      <c r="C189" s="21" t="s">
        <v>222</v>
      </c>
      <c r="D189" s="21" t="s">
        <v>545</v>
      </c>
      <c r="E189" s="13">
        <v>42812.845509259256</v>
      </c>
      <c r="F189" s="13">
        <v>42812.848136574074</v>
      </c>
      <c r="G189" s="7">
        <v>1</v>
      </c>
      <c r="H189" s="21" t="s">
        <v>414</v>
      </c>
      <c r="I189" s="13">
        <v>42812.857233796298</v>
      </c>
      <c r="J189" s="7">
        <v>0</v>
      </c>
      <c r="K189" s="98" t="str">
        <f t="shared" si="54"/>
        <v>4021/4022</v>
      </c>
      <c r="L189" s="21" t="str">
        <f>VLOOKUP(A189,'Trips&amp;Operators'!$C$1:$G$99999,5,FALSE)</f>
        <v>HELVIE ADAM</v>
      </c>
      <c r="M189" s="6">
        <f t="shared" si="55"/>
        <v>9.0972222242271528E-3</v>
      </c>
      <c r="N189" s="7">
        <f t="shared" ref="N189:N218" si="85">24*60*SUM($M189:$M189)</f>
        <v>13.1000000028871</v>
      </c>
      <c r="O189" s="7"/>
      <c r="P189" s="7"/>
      <c r="Q189" s="22"/>
      <c r="R189" s="22"/>
      <c r="S189" s="31">
        <f t="shared" si="84"/>
        <v>1</v>
      </c>
      <c r="T189" s="46" t="str">
        <f t="shared" si="56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7"/>
        <v>https://d0f6bd738d7f1b3e5a7ca70fe4ff75f0.us-east-1.aws.found.io/app/kibana#/discover/Steve-Slow-Train-Analysis-(2080s-and-2083s)?_g=(refreshInterval:(display:Off,pause:!f,section:0,value:0),time:(from:'2017-03-18T19:17:32-0600',mode:absolute,to:'2017-03-18T21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9" s="187" t="str">
        <f t="shared" si="58"/>
        <v>N</v>
      </c>
      <c r="X189" s="187">
        <f t="shared" si="83"/>
        <v>1</v>
      </c>
      <c r="Y189" s="62">
        <f t="shared" ref="Y189:Y218" si="86">RIGHT(D189,LEN(D189)-4)/10000</f>
        <v>0.10299999999999999</v>
      </c>
      <c r="Z189" s="62">
        <f t="shared" ref="Z189:Z218" si="87">RIGHT(H189,LEN(H189)-4)/10000</f>
        <v>5.8939000000000004</v>
      </c>
      <c r="AA189" s="62">
        <f t="shared" si="61"/>
        <v>5.7909000000000006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2"/>
        <v>1829-18</v>
      </c>
      <c r="AE189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89" s="82" t="str">
        <f t="shared" si="64"/>
        <v>"C:\Program Files (x86)\AstroGrep\AstroGrep.exe" /e /r /s /spath="%USERPROFILE%\AppData\Local\Temp\OnboardLogs" /stypes="app*4022*20170319*" /stext=" 02:.+((SYSTEM_STATE.+slice.+state.+changed )|(ment ac)|(multiple cpu faults)|(system.+state.+changed )|(\[timeout)|(PRM\|1\|D)|(kpr)|(kdp)|(\|lc)|(penalty))"</v>
      </c>
      <c r="AG189" s="1" t="str">
        <f t="shared" si="65"/>
        <v>NW</v>
      </c>
      <c r="AH189" s="86" t="str">
        <f t="shared" si="66"/>
        <v>"%USERPROFILE%\Documents\GitHub\eaglep3\Utilities\RefineRTDCRunTimes.py" --tripid 1829-18 --locoid 4022 --swversion DE.1.0.9.0 --startMP 204:1030 --initTime 2017-03-18T20:17:32 --startdatetime 2017-03-18T20:21:19 --delay 1 --endMP 300:58939 --enddatetime 2017-03-18T20:34:25 --enforcementcount 0 &gt;&gt;C:\Users\stu\Documents\GitHub\eaglep3-reporting\EC\2017-03-18-refined-times.txt</v>
      </c>
      <c r="AI189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{"issue":{"subject":"","project_id":79,"tracker_id":40,"status_id":1,"priority_id":2,"assigned_to_id":23,"start_date":"2017-03-18","description":"","custom_fields":[{"id":1,"name":"Subdivision","value":"NW"},{"id":4,"name":"Milepost","value":"5.8939"},{"id":17,"name":"Train ID","value":"1829-18"},{"id":16,"name":"Locomotive ID","value":"4022"},{"id":130,"name":"Impact","value":""},{"id":150,"name":"Time of Event (Mountain Time)","value":"20:34:25"},{"id":151,"name":"Denver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8"/>
        <v>start /low /b %USERPROFILE%\Documents\GitHub\eaglep3\Utilities\DownloadLogsFromS3.py --loco 4022 --day 2017-03-18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190" spans="1:91" x14ac:dyDescent="0.25">
      <c r="A190" s="33" t="s">
        <v>749</v>
      </c>
      <c r="B190" s="7">
        <v>4021</v>
      </c>
      <c r="C190" s="21" t="s">
        <v>222</v>
      </c>
      <c r="D190" s="21" t="s">
        <v>843</v>
      </c>
      <c r="E190" s="13">
        <v>42812.858703703707</v>
      </c>
      <c r="F190" s="13">
        <v>42812.861458333333</v>
      </c>
      <c r="G190" s="7">
        <v>1</v>
      </c>
      <c r="H190" s="21" t="s">
        <v>549</v>
      </c>
      <c r="I190" s="13">
        <v>42812.871203703704</v>
      </c>
      <c r="J190" s="7">
        <v>0</v>
      </c>
      <c r="K190" s="98" t="str">
        <f t="shared" si="54"/>
        <v>4021/4022</v>
      </c>
      <c r="L190" s="21" t="str">
        <f>VLOOKUP(A190,'Trips&amp;Operators'!$C$1:$G$99999,5,FALSE)</f>
        <v>HELVIE ADAM</v>
      </c>
      <c r="M190" s="6">
        <f t="shared" si="55"/>
        <v>9.7453703710925765E-3</v>
      </c>
      <c r="N190" s="7">
        <f t="shared" si="85"/>
        <v>14.03333333437331</v>
      </c>
      <c r="O190" s="7"/>
      <c r="P190" s="7"/>
      <c r="Q190" s="22"/>
      <c r="R190" s="22"/>
      <c r="S190" s="31">
        <f t="shared" si="84"/>
        <v>1</v>
      </c>
      <c r="T190" s="46" t="str">
        <f t="shared" si="56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7"/>
        <v>https://d0f6bd738d7f1b3e5a7ca70fe4ff75f0.us-east-1.aws.found.io/app/kibana#/discover/Steve-Slow-Train-Analysis-(2080s-and-2083s)?_g=(refreshInterval:(display:Off,pause:!f,section:0,value:0),time:(from:'2017-03-18T19:36:32-0600',mode:absolute,to:'2017-03-18T21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0" s="187" t="str">
        <f t="shared" si="58"/>
        <v>N</v>
      </c>
      <c r="X190" s="187">
        <f t="shared" si="83"/>
        <v>1</v>
      </c>
      <c r="Y190" s="62">
        <f t="shared" si="86"/>
        <v>5.8620999999999999</v>
      </c>
      <c r="Z190" s="62">
        <f t="shared" si="87"/>
        <v>7.4099999999999999E-2</v>
      </c>
      <c r="AA190" s="62">
        <f t="shared" si="61"/>
        <v>5.7880000000000003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2"/>
        <v>1830-18</v>
      </c>
      <c r="AE190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90" s="82" t="str">
        <f t="shared" si="64"/>
        <v>"C:\Program Files (x86)\AstroGrep\AstroGrep.exe" /e /r /s /spath="%USERPROFILE%\AppData\Local\Temp\OnboardLogs" /stypes="app*4021*20170319*" /stext=" 02:.+((SYSTEM_STATE.+slice.+state.+changed )|(ment ac)|(multiple cpu faults)|(system.+state.+changed )|(\[timeout)|(PRM\|1\|D)|(kpr)|(kdp)|(\|lc)|(penalty))"</v>
      </c>
      <c r="AG190" s="1" t="str">
        <f t="shared" si="65"/>
        <v>NW</v>
      </c>
      <c r="AH190" s="86" t="str">
        <f t="shared" si="66"/>
        <v>"%USERPROFILE%\Documents\GitHub\eaglep3\Utilities\RefineRTDCRunTimes.py" --tripid 1830-18 --locoid 4021 --swversion DE.1.0.9.0 --startMP 300:58621 --initTime 2017-03-18T20:36:32 --startdatetime 2017-03-18T20:40:30 --delay 1 --endMP 204:741 --enddatetime 2017-03-18T20:54:32 --enforcementcount 0 &gt;&gt;C:\Users\stu\Documents\GitHub\eaglep3-reporting\EC\2017-03-18-refined-times.txt</v>
      </c>
      <c r="AI190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{"issue":{"subject":"","project_id":79,"tracker_id":40,"status_id":1,"priority_id":2,"assigned_to_id":23,"start_date":"2017-03-18","description":"","custom_fields":[{"id":1,"name":"Subdivision","value":"NW"},{"id":4,"name":"Milepost","value":"0.0741"},{"id":17,"name":"Train ID","value":"1830-18"},{"id":16,"name":"Locomotive ID","value":"4021"},{"id":130,"name":"Impact","value":""},{"id":150,"name":"Time of Event (Mountain Time)","value":"20:54:32"},{"id":151,"name":"Denver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8"/>
        <v>start /low /b %USERPROFILE%\Documents\GitHub\eaglep3\Utilities\DownloadLogsFromS3.py --loco 4021 --day 2017-03-18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191" spans="1:91" x14ac:dyDescent="0.25">
      <c r="A191" s="33" t="s">
        <v>752</v>
      </c>
      <c r="B191" s="7">
        <v>4022</v>
      </c>
      <c r="C191" s="21" t="s">
        <v>222</v>
      </c>
      <c r="D191" s="21" t="s">
        <v>844</v>
      </c>
      <c r="E191" s="13">
        <v>42812.88821759259</v>
      </c>
      <c r="F191" s="13">
        <v>42812.889953703707</v>
      </c>
      <c r="G191" s="7">
        <v>1</v>
      </c>
      <c r="H191" s="21" t="s">
        <v>554</v>
      </c>
      <c r="I191" s="13">
        <v>42812.899236111109</v>
      </c>
      <c r="J191" s="7">
        <v>0</v>
      </c>
      <c r="K191" s="98" t="str">
        <f t="shared" si="54"/>
        <v>4021/4022</v>
      </c>
      <c r="L191" s="21" t="str">
        <f>VLOOKUP(A191,'Trips&amp;Operators'!$C$1:$G$99999,5,FALSE)</f>
        <v>HELVIE ADAM</v>
      </c>
      <c r="M191" s="6">
        <f t="shared" si="55"/>
        <v>9.2824074017698877E-3</v>
      </c>
      <c r="N191" s="7">
        <f t="shared" si="85"/>
        <v>13.366666658548638</v>
      </c>
      <c r="O191" s="7"/>
      <c r="P191" s="7"/>
      <c r="Q191" s="22"/>
      <c r="R191" s="22"/>
      <c r="S191" s="31">
        <f t="shared" si="84"/>
        <v>1</v>
      </c>
      <c r="T191" s="46" t="str">
        <f t="shared" si="56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7"/>
        <v>https://d0f6bd738d7f1b3e5a7ca70fe4ff75f0.us-east-1.aws.found.io/app/kibana#/discover/Steve-Slow-Train-Analysis-(2080s-and-2083s)?_g=(refreshInterval:(display:Off,pause:!f,section:0,value:0),time:(from:'2017-03-18T20:19:02-0600',mode:absolute,to:'2017-03-18T22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187" t="str">
        <f t="shared" si="58"/>
        <v>N</v>
      </c>
      <c r="X191" s="187">
        <f t="shared" si="83"/>
        <v>1</v>
      </c>
      <c r="Y191" s="62">
        <f t="shared" si="86"/>
        <v>0.10340000000000001</v>
      </c>
      <c r="Z191" s="62">
        <f t="shared" si="87"/>
        <v>5.8933</v>
      </c>
      <c r="AA191" s="62">
        <f t="shared" si="61"/>
        <v>5.7899000000000003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2"/>
        <v>1831-18</v>
      </c>
      <c r="AE191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91" s="82" t="str">
        <f t="shared" si="64"/>
        <v>"C:\Program Files (x86)\AstroGrep\AstroGrep.exe" /e /r /s /spath="%USERPROFILE%\AppData\Local\Temp\OnboardLogs" /stypes="app*4022*20170319*" /stext=" 03:.+((SYSTEM_STATE.+slice.+state.+changed )|(ment ac)|(multiple cpu faults)|(system.+state.+changed )|(\[timeout)|(PRM\|1\|D)|(kpr)|(kdp)|(\|lc)|(penalty))"</v>
      </c>
      <c r="AG191" s="1" t="str">
        <f t="shared" si="65"/>
        <v>NW</v>
      </c>
      <c r="AH191" s="86" t="str">
        <f t="shared" si="66"/>
        <v>"%USERPROFILE%\Documents\GitHub\eaglep3\Utilities\RefineRTDCRunTimes.py" --tripid 1831-18 --locoid 4022 --swversion DE.1.0.9.0 --startMP 204:1034 --initTime 2017-03-18T21:19:02 --startdatetime 2017-03-18T21:21:32 --delay 1 --endMP 300:58933 --enddatetime 2017-03-18T21:34:54 --enforcementcount 0 &gt;&gt;C:\Users\stu\Documents\GitHub\eaglep3-reporting\EC\2017-03-18-refined-times.txt</v>
      </c>
      <c r="AI191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{"issue":{"subject":"","project_id":79,"tracker_id":40,"status_id":1,"priority_id":2,"assigned_to_id":23,"start_date":"2017-03-18","description":"","custom_fields":[{"id":1,"name":"Subdivision","value":"NW"},{"id":4,"name":"Milepost","value":"5.8933"},{"id":17,"name":"Train ID","value":"1831-18"},{"id":16,"name":"Locomotive ID","value":"4022"},{"id":130,"name":"Impact","value":""},{"id":150,"name":"Time of Event (Mountain Time)","value":"21:34:54"},{"id":151,"name":"Denver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8"/>
        <v>start /low /b %USERPROFILE%\Documents\GitHub\eaglep3\Utilities\DownloadLogsFromS3.py --loco 4022 --day 2017-03-18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192" spans="1:91" x14ac:dyDescent="0.25">
      <c r="A192" s="33" t="s">
        <v>754</v>
      </c>
      <c r="B192" s="7">
        <v>4021</v>
      </c>
      <c r="C192" s="21" t="s">
        <v>222</v>
      </c>
      <c r="D192" s="21" t="s">
        <v>840</v>
      </c>
      <c r="E192" s="13">
        <v>42812.900740740741</v>
      </c>
      <c r="F192" s="13">
        <v>42812.902303240742</v>
      </c>
      <c r="G192" s="7">
        <v>1</v>
      </c>
      <c r="H192" s="21" t="s">
        <v>845</v>
      </c>
      <c r="I192" s="13">
        <v>42812.912766203706</v>
      </c>
      <c r="J192" s="7">
        <v>0</v>
      </c>
      <c r="K192" s="98" t="str">
        <f t="shared" si="54"/>
        <v>4021/4022</v>
      </c>
      <c r="L192" s="21" t="str">
        <f>VLOOKUP(A192,'Trips&amp;Operators'!$C$1:$G$99999,5,FALSE)</f>
        <v>HELVIE ADAM</v>
      </c>
      <c r="M192" s="6">
        <f t="shared" si="55"/>
        <v>1.0462962964083999E-2</v>
      </c>
      <c r="N192" s="7">
        <f t="shared" si="85"/>
        <v>15.066666668280959</v>
      </c>
      <c r="O192" s="7"/>
      <c r="P192" s="7"/>
      <c r="Q192" s="22"/>
      <c r="R192" s="22"/>
      <c r="S192" s="31">
        <f t="shared" si="84"/>
        <v>1</v>
      </c>
      <c r="T192" s="46" t="str">
        <f t="shared" si="56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7"/>
        <v>https://d0f6bd738d7f1b3e5a7ca70fe4ff75f0.us-east-1.aws.found.io/app/kibana#/discover/Steve-Slow-Train-Analysis-(2080s-and-2083s)?_g=(refreshInterval:(display:Off,pause:!f,section:0,value:0),time:(from:'2017-03-18T20:37:04-0600',mode:absolute,to:'2017-03-18T22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187" t="str">
        <f t="shared" si="58"/>
        <v>N</v>
      </c>
      <c r="X192" s="187">
        <f t="shared" si="83"/>
        <v>1</v>
      </c>
      <c r="Y192" s="62">
        <f t="shared" si="86"/>
        <v>5.8623000000000003</v>
      </c>
      <c r="Z192" s="62">
        <f t="shared" si="87"/>
        <v>8.2199999999999995E-2</v>
      </c>
      <c r="AA192" s="62">
        <f t="shared" si="61"/>
        <v>5.7801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2"/>
        <v>1832-18</v>
      </c>
      <c r="AE192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92" s="82" t="str">
        <f t="shared" si="64"/>
        <v>"C:\Program Files (x86)\AstroGrep\AstroGrep.exe" /e /r /s /spath="%USERPROFILE%\AppData\Local\Temp\OnboardLogs" /stypes="app*4021*20170319*" /stext=" 03:.+((SYSTEM_STATE.+slice.+state.+changed )|(ment ac)|(multiple cpu faults)|(system.+state.+changed )|(\[timeout)|(PRM\|1\|D)|(kpr)|(kdp)|(\|lc)|(penalty))"</v>
      </c>
      <c r="AG192" s="1" t="str">
        <f t="shared" si="65"/>
        <v>NW</v>
      </c>
      <c r="AH192" s="86" t="str">
        <f t="shared" si="66"/>
        <v>"%USERPROFILE%\Documents\GitHub\eaglep3\Utilities\RefineRTDCRunTimes.py" --tripid 1832-18 --locoid 4021 --swversion DE.1.0.9.0 --startMP 300:58623 --initTime 2017-03-18T21:37:04 --startdatetime 2017-03-18T21:39:19 --delay 1 --endMP 204:822 --enddatetime 2017-03-18T21:54:23 --enforcementcount 0 &gt;&gt;C:\Users\stu\Documents\GitHub\eaglep3-reporting\EC\2017-03-18-refined-times.txt</v>
      </c>
      <c r="AI192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{"issue":{"subject":"","project_id":79,"tracker_id":40,"status_id":1,"priority_id":2,"assigned_to_id":23,"start_date":"2017-03-18","description":"","custom_fields":[{"id":1,"name":"Subdivision","value":"NW"},{"id":4,"name":"Milepost","value":"0.0822"},{"id":17,"name":"Train ID","value":"1832-18"},{"id":16,"name":"Locomotive ID","value":"4021"},{"id":130,"name":"Impact","value":""},{"id":150,"name":"Time of Event (Mountain Time)","value":"21:54:23"},{"id":151,"name":"Denver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8"/>
        <v>start /low /b %USERPROFILE%\Documents\GitHub\eaglep3\Utilities\DownloadLogsFromS3.py --loco 4021 --day 2017-03-18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193" spans="1:40" x14ac:dyDescent="0.25">
      <c r="A193" s="33" t="s">
        <v>757</v>
      </c>
      <c r="B193" s="7">
        <v>4022</v>
      </c>
      <c r="C193" s="21" t="s">
        <v>222</v>
      </c>
      <c r="D193" s="21" t="s">
        <v>846</v>
      </c>
      <c r="E193" s="13">
        <v>42812.925625000003</v>
      </c>
      <c r="F193" s="13">
        <v>42812.931481481479</v>
      </c>
      <c r="G193" s="7">
        <v>1</v>
      </c>
      <c r="H193" s="21" t="s">
        <v>493</v>
      </c>
      <c r="I193" s="13">
        <v>42812.940497685187</v>
      </c>
      <c r="J193" s="7">
        <v>0</v>
      </c>
      <c r="K193" s="98" t="str">
        <f t="shared" si="54"/>
        <v>4021/4022</v>
      </c>
      <c r="L193" s="21" t="str">
        <f>VLOOKUP(A193,'Trips&amp;Operators'!$C$1:$G$99999,5,FALSE)</f>
        <v>HELVIE ADAM</v>
      </c>
      <c r="M193" s="6">
        <f t="shared" si="55"/>
        <v>9.0162037085974589E-3</v>
      </c>
      <c r="N193" s="7">
        <f t="shared" si="85"/>
        <v>12.983333340380341</v>
      </c>
      <c r="O193" s="7"/>
      <c r="P193" s="7"/>
      <c r="Q193" s="22"/>
      <c r="R193" s="22"/>
      <c r="S193" s="31">
        <f t="shared" si="84"/>
        <v>1</v>
      </c>
      <c r="T193" s="46" t="str">
        <f t="shared" si="56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7"/>
        <v>https://d0f6bd738d7f1b3e5a7ca70fe4ff75f0.us-east-1.aws.found.io/app/kibana#/discover/Steve-Slow-Train-Analysis-(2080s-and-2083s)?_g=(refreshInterval:(display:Off,pause:!f,section:0,value:0),time:(from:'2017-03-18T21:12:54-0600',mode:absolute,to:'2017-03-18T23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3" s="187" t="str">
        <f t="shared" si="58"/>
        <v>N</v>
      </c>
      <c r="X193" s="187">
        <f t="shared" si="83"/>
        <v>1</v>
      </c>
      <c r="Y193" s="62">
        <f t="shared" si="86"/>
        <v>0.1123</v>
      </c>
      <c r="Z193" s="62">
        <f t="shared" si="87"/>
        <v>5.8930999999999996</v>
      </c>
      <c r="AA193" s="62">
        <f t="shared" si="61"/>
        <v>5.7807999999999993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2"/>
        <v>1833-18</v>
      </c>
      <c r="AE193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93" s="82" t="str">
        <f t="shared" si="64"/>
        <v>"C:\Program Files (x86)\AstroGrep\AstroGrep.exe" /e /r /s /spath="%USERPROFILE%\AppData\Local\Temp\OnboardLogs" /stypes="app*4022*20170319*" /stext=" 04:.+((SYSTEM_STATE.+slice.+state.+changed )|(ment ac)|(multiple cpu faults)|(system.+state.+changed )|(\[timeout)|(PRM\|1\|D)|(kpr)|(kdp)|(\|lc)|(penalty))"</v>
      </c>
      <c r="AG193" s="1" t="str">
        <f t="shared" si="65"/>
        <v>NW</v>
      </c>
      <c r="AH193" s="86" t="str">
        <f t="shared" si="66"/>
        <v>"%USERPROFILE%\Documents\GitHub\eaglep3\Utilities\RefineRTDCRunTimes.py" --tripid 1833-18 --locoid 4022 --swversion DE.1.0.9.0 --startMP 204:1123 --initTime 2017-03-18T22:12:54 --startdatetime 2017-03-18T22:21:20 --delay 1 --endMP 300:58931 --enddatetime 2017-03-18T22:34:19 --enforcementcount 0 &gt;&gt;C:\Users\stu\Documents\GitHub\eaglep3-reporting\EC\2017-03-18-refined-times.txt</v>
      </c>
      <c r="AI193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{"issue":{"subject":"","project_id":79,"tracker_id":40,"status_id":1,"priority_id":2,"assigned_to_id":23,"start_date":"2017-03-18","description":"","custom_fields":[{"id":1,"name":"Subdivision","value":"NW"},{"id":4,"name":"Milepost","value":"5.8931"},{"id":17,"name":"Train ID","value":"1833-18"},{"id":16,"name":"Locomotive ID","value":"4022"},{"id":130,"name":"Impact","value":""},{"id":150,"name":"Time of Event (Mountain Time)","value":"22:34:19"},{"id":151,"name":"Denver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8"/>
        <v>start /low /b %USERPROFILE%\Documents\GitHub\eaglep3\Utilities\DownloadLogsFromS3.py --loco 4022 --day 2017-03-18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194" spans="1:40" x14ac:dyDescent="0.25">
      <c r="A194" s="33" t="s">
        <v>599</v>
      </c>
      <c r="B194" s="7">
        <v>4030</v>
      </c>
      <c r="C194" s="21" t="s">
        <v>222</v>
      </c>
      <c r="D194" s="21" t="s">
        <v>897</v>
      </c>
      <c r="E194" s="13">
        <v>42812.1175</v>
      </c>
      <c r="F194" s="13">
        <v>42812.121562499997</v>
      </c>
      <c r="G194" s="7">
        <v>5</v>
      </c>
      <c r="H194" s="21" t="s">
        <v>898</v>
      </c>
      <c r="I194" s="13">
        <v>42812.128032407411</v>
      </c>
      <c r="J194" s="7">
        <v>0</v>
      </c>
      <c r="K194" s="98" t="str">
        <f t="shared" si="54"/>
        <v>4029/4030</v>
      </c>
      <c r="L194" s="21" t="str">
        <f>VLOOKUP(A194,'Trips&amp;Operators'!$C$1:$G$99999,5,FALSE)</f>
        <v>BADERTSCHER DIANE</v>
      </c>
      <c r="M194" s="6">
        <f t="shared" si="55"/>
        <v>6.4699074137024581E-3</v>
      </c>
      <c r="N194" s="7">
        <f t="shared" si="85"/>
        <v>9.3166666757315397</v>
      </c>
      <c r="O194" s="7"/>
      <c r="P194" s="7"/>
      <c r="Q194" s="22"/>
      <c r="R194" s="22"/>
      <c r="S194" s="31">
        <f t="shared" si="84"/>
        <v>1</v>
      </c>
      <c r="T194" s="46" t="str">
        <f t="shared" si="56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7"/>
        <v>https://d0f6bd738d7f1b3e5a7ca70fe4ff75f0.us-east-1.aws.found.io/app/kibana#/discover/Steve-Slow-Train-Analysis-(2080s-and-2083s)?_g=(refreshInterval:(display:Off,pause:!f,section:0,value:0),time:(from:'2017-03-18T01:49:12-0600',mode:absolute,to:'2017-03-18T04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187" t="str">
        <f t="shared" si="58"/>
        <v>Y</v>
      </c>
      <c r="X194" s="187">
        <f t="shared" ref="X194:X218" si="88">VALUE(LEFT(AD194,4))-VALUE(LEFT(AD193,4))</f>
        <v>-1531</v>
      </c>
      <c r="Y194" s="62">
        <f t="shared" si="86"/>
        <v>2.1509</v>
      </c>
      <c r="Z194" s="62">
        <f t="shared" si="87"/>
        <v>1.2500000000000001E-2</v>
      </c>
      <c r="AA194" s="62">
        <f t="shared" si="61"/>
        <v>2.1383999999999999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2"/>
        <v>0302-18</v>
      </c>
      <c r="AE194" s="85" t="str">
        <f t="shared" si="63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194" s="82" t="str">
        <f t="shared" si="64"/>
        <v>"C:\Program Files (x86)\AstroGrep\AstroGrep.exe" /e /r /s /spath="%USERPROFILE%\AppData\Local\Temp\OnboardLogs" /stypes="app*4030*20170318*" /stext=" 09:.+((SYSTEM_STATE.+slice.+state.+changed )|(ment ac)|(multiple cpu faults)|(system.+state.+changed )|(\[timeout)|(PRM\|1\|D)|(kpr)|(kdp)|(\|lc)|(penalty))"</v>
      </c>
      <c r="AG194" s="1" t="str">
        <f t="shared" si="65"/>
        <v>Other</v>
      </c>
      <c r="AH194" s="86" t="str">
        <f t="shared" si="66"/>
        <v>"%USERPROFILE%\Documents\GitHub\eaglep3\Utilities\RefineRTDCRunTimes.py" --tripid 302-18 --locoid 4030 --swversion DE.1.0.9.0 --startMP 300:21509 --initTime 2017-03-18T02:49:12 --startdatetime 2017-03-18T02:55:03 --delay 5 --endMP 204:125 --enddatetime 2017-03-18T03:04:22 --enforcementcount 0 &gt;&gt;C:\Users\stu\Documents\GitHub\eaglep3-reporting\EC\2017-03-18-refined-times.txt</v>
      </c>
      <c r="AI194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{"issue":{"subject":"","project_id":79,"tracker_id":40,"status_id":1,"priority_id":2,"assigned_to_id":23,"start_date":"2017-03-18","description":"","custom_fields":[{"id":1,"name":"Subdivision","value":"Other"},{"id":4,"name":"Milepost","value":"0.0125"},{"id":17,"name":"Train ID","value":"302-18"},{"id":16,"name":"Locomotive ID","value":"4030"},{"id":130,"name":"Impact","value":""},{"id":150,"name":"Time of Event (Mountain Time)","value":"03:04:22"},{"id":151,"name":"Denver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8"/>
        <v>start /low /b %USERPROFILE%\Documents\GitHub\eaglep3\Utilities\DownloadLogsFromS3.py --loco 4030 --day 2017-03-18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</row>
    <row r="195" spans="1:40" x14ac:dyDescent="0.25">
      <c r="A195" s="33" t="s">
        <v>603</v>
      </c>
      <c r="B195" s="7">
        <v>4032</v>
      </c>
      <c r="C195" s="21" t="s">
        <v>222</v>
      </c>
      <c r="D195" s="21" t="s">
        <v>899</v>
      </c>
      <c r="E195" s="13">
        <v>42812.158599537041</v>
      </c>
      <c r="F195" s="13">
        <v>42812.161099537036</v>
      </c>
      <c r="G195" s="7">
        <v>3</v>
      </c>
      <c r="H195" s="21" t="s">
        <v>430</v>
      </c>
      <c r="I195" s="13">
        <v>42812.16684027778</v>
      </c>
      <c r="J195" s="7">
        <v>0</v>
      </c>
      <c r="K195" s="98" t="str">
        <f t="shared" si="54"/>
        <v>4031/4032</v>
      </c>
      <c r="L195" s="21" t="str">
        <f>VLOOKUP(A195,'Trips&amp;Operators'!$C$1:$G$99999,5,FALSE)</f>
        <v>DE LA ROSA ALEX</v>
      </c>
      <c r="M195" s="6">
        <f t="shared" si="55"/>
        <v>5.7407407439313829E-3</v>
      </c>
      <c r="N195" s="7">
        <f t="shared" si="85"/>
        <v>8.2666666712611914</v>
      </c>
      <c r="O195" s="7"/>
      <c r="P195" s="7"/>
      <c r="Q195" s="22"/>
      <c r="R195" s="22"/>
      <c r="S195" s="31">
        <f t="shared" si="84"/>
        <v>1</v>
      </c>
      <c r="T195" s="46" t="str">
        <f t="shared" si="56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7"/>
        <v>https://d0f6bd738d7f1b3e5a7ca70fe4ff75f0.us-east-1.aws.found.io/app/kibana#/discover/Steve-Slow-Train-Analysis-(2080s-and-2083s)?_g=(refreshInterval:(display:Off,pause:!f,section:0,value:0),time:(from:'2017-03-18T02:48:23-0600',mode:absolute,to:'2017-03-18T05:00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187" t="str">
        <f t="shared" si="58"/>
        <v>Y</v>
      </c>
      <c r="X195" s="187">
        <f t="shared" si="88"/>
        <v>4</v>
      </c>
      <c r="Y195" s="62">
        <f t="shared" si="86"/>
        <v>2.3428</v>
      </c>
      <c r="Z195" s="62">
        <f t="shared" si="87"/>
        <v>1.6299999999999999E-2</v>
      </c>
      <c r="AA195" s="62">
        <f t="shared" si="61"/>
        <v>2.3264999999999998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2"/>
        <v>0306-18</v>
      </c>
      <c r="AE195" s="85" t="str">
        <f t="shared" si="63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195" s="82" t="str">
        <f t="shared" si="64"/>
        <v>"C:\Program Files (x86)\AstroGrep\AstroGrep.exe" /e /r /s /spath="%USERPROFILE%\AppData\Local\Temp\OnboardLogs" /stypes="app*4032*20170318*" /stext=" 10:.+((SYSTEM_STATE.+slice.+state.+changed )|(ment ac)|(multiple cpu faults)|(system.+state.+changed )|(\[timeout)|(PRM\|1\|D)|(kpr)|(kdp)|(\|lc)|(penalty))"</v>
      </c>
      <c r="AG195" s="1" t="str">
        <f t="shared" si="65"/>
        <v>Other</v>
      </c>
      <c r="AH195" s="86" t="str">
        <f t="shared" si="66"/>
        <v>"%USERPROFILE%\Documents\GitHub\eaglep3\Utilities\RefineRTDCRunTimes.py" --tripid 306-18 --locoid 4032 --swversion DE.1.0.9.0 --startMP 300:23428 --initTime 2017-03-18T03:48:23 --startdatetime 2017-03-18T03:51:59 --delay 3 --endMP 204:163 --enddatetime 2017-03-18T04:00:15 --enforcementcount 0 &gt;&gt;C:\Users\stu\Documents\GitHub\eaglep3-reporting\EC\2017-03-18-refined-times.txt</v>
      </c>
      <c r="AI195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{"issue":{"subject":"","project_id":79,"tracker_id":40,"status_id":1,"priority_id":2,"assigned_to_id":23,"start_date":"2017-03-18","description":"","custom_fields":[{"id":1,"name":"Subdivision","value":"Other"},{"id":4,"name":"Milepost","value":"0.0163"},{"id":17,"name":"Train ID","value":"306-18"},{"id":16,"name":"Locomotive ID","value":"4032"},{"id":130,"name":"Impact","value":""},{"id":150,"name":"Time of Event (Mountain Time)","value":"04:00:15"},{"id":151,"name":"Denver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8"/>
        <v>start /low /b %USERPROFILE%\Documents\GitHub\eaglep3\Utilities\DownloadLogsFromS3.py --loco 4032 --day 2017-03-18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</row>
    <row r="196" spans="1:40" x14ac:dyDescent="0.25">
      <c r="A196" s="33" t="s">
        <v>748</v>
      </c>
      <c r="B196" s="7">
        <v>4046</v>
      </c>
      <c r="C196" s="21" t="s">
        <v>222</v>
      </c>
      <c r="D196" s="21" t="s">
        <v>900</v>
      </c>
      <c r="E196" s="13">
        <v>42812.858229166668</v>
      </c>
      <c r="F196" s="13">
        <v>42812.860150462962</v>
      </c>
      <c r="G196" s="7">
        <v>1</v>
      </c>
      <c r="H196" s="21" t="s">
        <v>405</v>
      </c>
      <c r="I196" s="13">
        <v>42812.867835648147</v>
      </c>
      <c r="J196" s="7">
        <v>0</v>
      </c>
      <c r="K196" s="98" t="str">
        <f t="shared" si="54"/>
        <v>4045/4046</v>
      </c>
      <c r="L196" s="21" t="str">
        <f>VLOOKUP(A196,'Trips&amp;Operators'!$C$1:$G$99999,5,FALSE)</f>
        <v>NELSON ARIANE</v>
      </c>
      <c r="M196" s="6">
        <f t="shared" si="55"/>
        <v>7.6851851845276542E-3</v>
      </c>
      <c r="N196" s="7">
        <f t="shared" si="85"/>
        <v>11.066666665719822</v>
      </c>
      <c r="O196" s="7"/>
      <c r="P196" s="7"/>
      <c r="Q196" s="22"/>
      <c r="R196" s="22"/>
      <c r="S196" s="31">
        <f t="shared" si="84"/>
        <v>1</v>
      </c>
      <c r="T196" s="46" t="str">
        <f t="shared" si="56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7"/>
        <v>https://d0f6bd738d7f1b3e5a7ca70fe4ff75f0.us-east-1.aws.found.io/app/kibana#/discover/Steve-Slow-Train-Analysis-(2080s-and-2083s)?_g=(refreshInterval:(display:Off,pause:!f,section:0,value:0),time:(from:'2017-03-18T19:35:51-0600',mode:absolute,to:'2017-03-18T21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6" s="187" t="str">
        <f t="shared" si="58"/>
        <v>Y</v>
      </c>
      <c r="X196" s="187">
        <f t="shared" si="88"/>
        <v>1</v>
      </c>
      <c r="Y196" s="62">
        <f t="shared" si="86"/>
        <v>0.12379999999999999</v>
      </c>
      <c r="Z196" s="62">
        <f t="shared" si="87"/>
        <v>2.3346</v>
      </c>
      <c r="AA196" s="62">
        <f t="shared" si="61"/>
        <v>2.2107999999999999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2"/>
        <v>0307-18</v>
      </c>
      <c r="AE196" s="85" t="str">
        <f t="shared" si="63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196" s="82" t="str">
        <f t="shared" si="64"/>
        <v>"C:\Program Files (x86)\AstroGrep\AstroGrep.exe" /e /r /s /spath="%USERPROFILE%\AppData\Local\Temp\OnboardLogs" /stypes="app*4046*20170319*" /stext=" 02:.+((SYSTEM_STATE.+slice.+state.+changed )|(ment ac)|(multiple cpu faults)|(system.+state.+changed )|(\[timeout)|(PRM\|1\|D)|(kpr)|(kdp)|(\|lc)|(penalty))"</v>
      </c>
      <c r="AG196" s="1" t="str">
        <f t="shared" si="65"/>
        <v>Other</v>
      </c>
      <c r="AH196" s="86" t="str">
        <f t="shared" si="66"/>
        <v>"%USERPROFILE%\Documents\GitHub\eaglep3\Utilities\RefineRTDCRunTimes.py" --tripid 307-18 --locoid 4046 --swversion DE.1.0.9.0 --startMP 204:1238 --initTime 2017-03-18T20:35:51 --startdatetime 2017-03-18T20:38:37 --delay 1 --endMP 300:23346 --enddatetime 2017-03-18T20:49:41 --enforcementcount 0 &gt;&gt;C:\Users\stu\Documents\GitHub\eaglep3-reporting\EC\2017-03-18-refined-times.txt</v>
      </c>
      <c r="AI196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{"issue":{"subject":"","project_id":79,"tracker_id":40,"status_id":1,"priority_id":2,"assigned_to_id":23,"start_date":"2017-03-18","description":"","custom_fields":[{"id":1,"name":"Subdivision","value":"Other"},{"id":4,"name":"Milepost","value":"2.3346"},{"id":17,"name":"Train ID","value":"307-18"},{"id":16,"name":"Locomotive ID","value":"4046"},{"id":130,"name":"Impact","value":""},{"id":150,"name":"Time of Event (Mountain Time)","value":"20:49:41"},{"id":151,"name":"Denver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8"/>
        <v>start /low /b %USERPROFILE%\Documents\GitHub\eaglep3\Utilities\DownloadLogsFromS3.py --loco 4046 --day 2017-03-18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"%USERPROFILE%\AppData\Local\Temp\OnboardLogs"\RTDC4046\*4046*20170319* | grep -SE "(Enforcement Action)|(\[TIMEOUT)|(CHR.+\|PRM\|1\|D.+(SWITCH|SIGNAL).+UNKNOWN)" - &gt;&gt; 2017-03-18-UncaughtWiMAX.txt</v>
      </c>
    </row>
    <row r="197" spans="1:40" x14ac:dyDescent="0.25">
      <c r="A197" s="33" t="s">
        <v>605</v>
      </c>
      <c r="B197" s="7">
        <v>4023</v>
      </c>
      <c r="C197" s="21" t="s">
        <v>222</v>
      </c>
      <c r="D197" s="21" t="s">
        <v>901</v>
      </c>
      <c r="E197" s="13">
        <v>42812.172835648147</v>
      </c>
      <c r="F197" s="13">
        <v>42812.175983796296</v>
      </c>
      <c r="G197" s="7">
        <v>4</v>
      </c>
      <c r="H197" s="21" t="s">
        <v>184</v>
      </c>
      <c r="I197" s="13">
        <v>42812.18173611111</v>
      </c>
      <c r="J197" s="7">
        <v>0</v>
      </c>
      <c r="K197" s="98" t="str">
        <f t="shared" si="54"/>
        <v>4023/4024</v>
      </c>
      <c r="L197" s="21" t="str">
        <f>VLOOKUP(A197,'Trips&amp;Operators'!$C$1:$G$99999,5,FALSE)</f>
        <v>DAVIS WENDY</v>
      </c>
      <c r="M197" s="6">
        <f t="shared" si="55"/>
        <v>5.7523148134350777E-3</v>
      </c>
      <c r="N197" s="7">
        <f t="shared" si="85"/>
        <v>8.2833333313465118</v>
      </c>
      <c r="O197" s="7"/>
      <c r="P197" s="7"/>
      <c r="Q197" s="22"/>
      <c r="R197" s="22"/>
      <c r="S197" s="31">
        <f t="shared" si="84"/>
        <v>1</v>
      </c>
      <c r="T197" s="46" t="str">
        <f t="shared" si="56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7"/>
        <v>https://d0f6bd738d7f1b3e5a7ca70fe4ff75f0.us-east-1.aws.found.io/app/kibana#/discover/Steve-Slow-Train-Analysis-(2080s-and-2083s)?_g=(refreshInterval:(display:Off,pause:!f,section:0,value:0),time:(from:'2017-03-18T03:08:53-0600',mode:absolute,to:'2017-03-18T05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7" s="187" t="str">
        <f t="shared" si="58"/>
        <v>Y</v>
      </c>
      <c r="X197" s="187">
        <f t="shared" si="88"/>
        <v>1</v>
      </c>
      <c r="Y197" s="62">
        <f t="shared" si="86"/>
        <v>2.3325999999999998</v>
      </c>
      <c r="Z197" s="62">
        <f t="shared" si="87"/>
        <v>1.49E-2</v>
      </c>
      <c r="AA197" s="62">
        <f t="shared" si="61"/>
        <v>2.3176999999999999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2"/>
        <v>0308-18</v>
      </c>
      <c r="AE197" s="85" t="str">
        <f t="shared" si="63"/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AF197" s="82" t="str">
        <f t="shared" si="64"/>
        <v>"C:\Program Files (x86)\AstroGrep\AstroGrep.exe" /e /r /s /spath="%USERPROFILE%\AppData\Local\Temp\OnboardLogs" /stypes="app*4023*20170318*" /stext=" 10:.+((SYSTEM_STATE.+slice.+state.+changed )|(ment ac)|(multiple cpu faults)|(system.+state.+changed )|(\[timeout)|(PRM\|1\|D)|(kpr)|(kdp)|(\|lc)|(penalty))"</v>
      </c>
      <c r="AG197" s="1" t="str">
        <f t="shared" si="65"/>
        <v>Other</v>
      </c>
      <c r="AH197" s="86" t="str">
        <f t="shared" si="66"/>
        <v>"%USERPROFILE%\Documents\GitHub\eaglep3\Utilities\RefineRTDCRunTimes.py" --tripid 308-18 --locoid 4023 --swversion DE.1.0.9.0 --startMP 300:23326 --initTime 2017-03-18T04:08:53 --startdatetime 2017-03-18T04:13:25 --delay 4 --endMP 204:149 --enddatetime 2017-03-18T04:21:42 --enforcementcount 0 &gt;&gt;C:\Users\stu\Documents\GitHub\eaglep3-reporting\EC\2017-03-18-refined-times.txt</v>
      </c>
      <c r="AI197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{"issue":{"subject":"","project_id":79,"tracker_id":40,"status_id":1,"priority_id":2,"assigned_to_id":23,"start_date":"2017-03-18","description":"","custom_fields":[{"id":1,"name":"Subdivision","value":"Other"},{"id":4,"name":"Milepost","value":"0.0149"},{"id":17,"name":"Train ID","value":"308-18"},{"id":16,"name":"Locomotive ID","value":"4023"},{"id":130,"name":"Impact","value":""},{"id":150,"name":"Time of Event (Mountain Time)","value":"04:21:42"},{"id":151,"name":"Denver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8"/>
        <v>start /low /b %USERPROFILE%\Documents\GitHub\eaglep3\Utilities\DownloadLogsFromS3.py --loco 4023 --day 2017-03-18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"%USERPROFILE%\AppData\Local\Temp\OnboardLogs"\RTDC4023\*4023*20170318* | grep -SE "(Enforcement Action)|(\[TIMEOUT)|(CHR.+\|PRM\|1\|D.+(SWITCH|SIGNAL).+UNKNOWN)" - &gt;&gt; 2017-03-18-UncaughtWiMAX.txt</v>
      </c>
    </row>
    <row r="198" spans="1:40" x14ac:dyDescent="0.25">
      <c r="A198" s="33" t="s">
        <v>769</v>
      </c>
      <c r="B198" s="7">
        <v>4031</v>
      </c>
      <c r="C198" s="21" t="s">
        <v>222</v>
      </c>
      <c r="D198" s="21" t="s">
        <v>803</v>
      </c>
      <c r="E198" s="13">
        <v>42813.046087962961</v>
      </c>
      <c r="F198" s="13">
        <v>42813.048425925925</v>
      </c>
      <c r="G198" s="7">
        <v>3</v>
      </c>
      <c r="H198" s="21" t="s">
        <v>405</v>
      </c>
      <c r="I198" s="13">
        <v>42813.054583333331</v>
      </c>
      <c r="J198" s="7">
        <v>0</v>
      </c>
      <c r="K198" s="98" t="str">
        <f t="shared" si="54"/>
        <v>4031/4032</v>
      </c>
      <c r="L198" s="21" t="str">
        <f>VLOOKUP(A198,'Trips&amp;Operators'!$C$1:$G$99999,5,FALSE)</f>
        <v>STAMBAUGH JAMES</v>
      </c>
      <c r="M198" s="6">
        <f t="shared" si="55"/>
        <v>6.1574074061354622E-3</v>
      </c>
      <c r="N198" s="7">
        <f t="shared" si="85"/>
        <v>8.8666666648350656</v>
      </c>
      <c r="O198" s="7"/>
      <c r="P198" s="7"/>
      <c r="Q198" s="22"/>
      <c r="R198" s="22"/>
      <c r="S198" s="31">
        <f t="shared" si="84"/>
        <v>1</v>
      </c>
      <c r="T198" s="46" t="str">
        <f t="shared" si="56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7"/>
        <v>https://d0f6bd738d7f1b3e5a7ca70fe4ff75f0.us-east-1.aws.found.io/app/kibana#/discover/Steve-Slow-Train-Analysis-(2080s-and-2083s)?_g=(refreshInterval:(display:Off,pause:!f,section:0,value:0),time:(from:'2017-03-19T00:06:22-0600',mode:absolute,to:'2017-03-19T02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8" s="187" t="str">
        <f t="shared" si="58"/>
        <v>Y</v>
      </c>
      <c r="X198" s="187">
        <f t="shared" si="88"/>
        <v>1</v>
      </c>
      <c r="Y198" s="62">
        <f t="shared" si="86"/>
        <v>4.7800000000000002E-2</v>
      </c>
      <c r="Z198" s="62">
        <f t="shared" si="87"/>
        <v>2.3346</v>
      </c>
      <c r="AA198" s="62">
        <f t="shared" si="61"/>
        <v>2.2867999999999999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2"/>
        <v>0309-18</v>
      </c>
      <c r="AE198" s="85" t="str">
        <f t="shared" si="63"/>
        <v>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 &amp; 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</v>
      </c>
      <c r="AF198" s="82" t="str">
        <f t="shared" si="64"/>
        <v>"C:\Program Files (x86)\AstroGrep\AstroGrep.exe" /e /r /s /spath="%USERPROFILE%\AppData\Local\Temp\OnboardLogs" /stypes="app*4031*20170319*" /stext=" 07:.+((SYSTEM_STATE.+slice.+state.+changed )|(ment ac)|(multiple cpu faults)|(system.+state.+changed )|(\[timeout)|(PRM\|1\|D)|(kpr)|(kdp)|(\|lc)|(penalty))"</v>
      </c>
      <c r="AG198" s="1" t="str">
        <f t="shared" si="65"/>
        <v>Other</v>
      </c>
      <c r="AH198" s="86" t="str">
        <f t="shared" si="66"/>
        <v>"%USERPROFILE%\Documents\GitHub\eaglep3\Utilities\RefineRTDCRunTimes.py" --tripid 309-18 --locoid 4031 --swversion DE.1.0.9.0 --startMP 204:478 --initTime 2017-03-19T01:06:22 --startdatetime 2017-03-19T01:09:44 --delay 3 --endMP 300:23346 --enddatetime 2017-03-19T01:18:36 --enforcementcount 0 &gt;&gt;C:\Users\stu\Documents\GitHub\eaglep3-reporting\EC\2017-03-18-refined-times.txt</v>
      </c>
      <c r="AI198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{"issue":{"subject":"","project_id":79,"tracker_id":40,"status_id":1,"priority_id":2,"assigned_to_id":23,"start_date":"2017-03-19","description":"","custom_fields":[{"id":1,"name":"Subdivision","value":"Other"},{"id":4,"name":"Milepost","value":"2.3346"},{"id":17,"name":"Train ID","value":"309-18"},{"id":16,"name":"Locomotive ID","value":"4031"},{"id":130,"name":"Impact","value":""},{"id":150,"name":"Time of Event (Mountain Time)","value":"01:18:36"},{"id":151,"name":"Denver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8"/>
        <v>start /low /b %USERPROFILE%\Documents\GitHub\eaglep3\Utilities\DownloadLogsFromS3.py --loco 4031 --day 2017-03-19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"%USERPROFILE%\AppData\Local\Temp\OnboardLogs"\RTDC4031\*4031*20170319* | grep -SE "(Enforcement Action)|(\[TIMEOUT)|(CHR.+\|PRM\|1\|D.+(SWITCH|SIGNAL).+UNKNOWN)" - &gt;&gt; 2017-03-18-UncaughtWiMAX.txt</v>
      </c>
    </row>
    <row r="199" spans="1:40" x14ac:dyDescent="0.25">
      <c r="A199" s="33" t="s">
        <v>608</v>
      </c>
      <c r="B199" s="7">
        <v>4013</v>
      </c>
      <c r="C199" s="21" t="s">
        <v>222</v>
      </c>
      <c r="D199" s="21" t="s">
        <v>902</v>
      </c>
      <c r="E199" s="13">
        <v>42812.183333333334</v>
      </c>
      <c r="F199" s="13">
        <v>42812.186562499999</v>
      </c>
      <c r="G199" s="7">
        <v>4</v>
      </c>
      <c r="H199" s="21" t="s">
        <v>217</v>
      </c>
      <c r="I199" s="13">
        <v>42812.190972222219</v>
      </c>
      <c r="J199" s="7">
        <v>0</v>
      </c>
      <c r="K199" s="98" t="str">
        <f t="shared" si="54"/>
        <v>4013/4014</v>
      </c>
      <c r="L199" s="21" t="str">
        <f>VLOOKUP(A199,'Trips&amp;Operators'!$C$1:$G$99999,5,FALSE)</f>
        <v>SANTIZO D. EDY</v>
      </c>
      <c r="M199" s="6">
        <f t="shared" si="55"/>
        <v>4.4097222198615782E-3</v>
      </c>
      <c r="N199" s="7">
        <f t="shared" si="85"/>
        <v>6.3499999966006726</v>
      </c>
      <c r="O199" s="7"/>
      <c r="P199" s="7"/>
      <c r="Q199" s="22"/>
      <c r="R199" s="22"/>
      <c r="S199" s="31">
        <f t="shared" si="84"/>
        <v>1</v>
      </c>
      <c r="T199" s="46" t="str">
        <f t="shared" si="56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7"/>
        <v>https://d0f6bd738d7f1b3e5a7ca70fe4ff75f0.us-east-1.aws.found.io/app/kibana#/discover/Steve-Slow-Train-Analysis-(2080s-and-2083s)?_g=(refreshInterval:(display:Off,pause:!f,section:0,value:0),time:(from:'2017-03-18T03:24:00-0600',mode:absolute,to:'2017-03-18T05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187" t="str">
        <f t="shared" si="58"/>
        <v>Y</v>
      </c>
      <c r="X199" s="187">
        <f t="shared" si="88"/>
        <v>1</v>
      </c>
      <c r="Y199" s="62">
        <f t="shared" si="86"/>
        <v>1.9184000000000001</v>
      </c>
      <c r="Z199" s="62">
        <f t="shared" si="87"/>
        <v>1.47E-2</v>
      </c>
      <c r="AA199" s="62">
        <f t="shared" si="61"/>
        <v>1.9037000000000002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2"/>
        <v>0310-18</v>
      </c>
      <c r="AE199" s="85" t="str">
        <f t="shared" si="63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199" s="82" t="str">
        <f t="shared" si="64"/>
        <v>"C:\Program Files (x86)\AstroGrep\AstroGrep.exe" /e /r /s /spath="%USERPROFILE%\AppData\Local\Temp\OnboardLogs" /stypes="app*4013*20170318*" /stext=" 10:.+((SYSTEM_STATE.+slice.+state.+changed )|(ment ac)|(multiple cpu faults)|(system.+state.+changed )|(\[timeout)|(PRM\|1\|D)|(kpr)|(kdp)|(\|lc)|(penalty))"</v>
      </c>
      <c r="AG199" s="1" t="str">
        <f t="shared" si="65"/>
        <v>Other</v>
      </c>
      <c r="AH199" s="86" t="str">
        <f t="shared" si="66"/>
        <v>"%USERPROFILE%\Documents\GitHub\eaglep3\Utilities\RefineRTDCRunTimes.py" --tripid 310-18 --locoid 4013 --swversion DE.1.0.9.0 --startMP 300:19184 --initTime 2017-03-18T04:24:00 --startdatetime 2017-03-18T04:28:39 --delay 4 --endMP 204:147 --enddatetime 2017-03-18T04:35:00 --enforcementcount 0 &gt;&gt;C:\Users\stu\Documents\GitHub\eaglep3-reporting\EC\2017-03-18-refined-times.txt</v>
      </c>
      <c r="AI199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{"issue":{"subject":"","project_id":79,"tracker_id":40,"status_id":1,"priority_id":2,"assigned_to_id":23,"start_date":"2017-03-18","description":"","custom_fields":[{"id":1,"name":"Subdivision","value":"Other"},{"id":4,"name":"Milepost","value":"0.0147"},{"id":17,"name":"Train ID","value":"310-18"},{"id":16,"name":"Locomotive ID","value":"4013"},{"id":130,"name":"Impact","value":""},{"id":150,"name":"Time of Event (Mountain Time)","value":"04:35:00"},{"id":151,"name":"Denver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8"/>
        <v>start /low /b %USERPROFILE%\Documents\GitHub\eaglep3\Utilities\DownloadLogsFromS3.py --loco 4013 --day 2017-03-18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</row>
    <row r="200" spans="1:40" x14ac:dyDescent="0.25">
      <c r="A200" s="33" t="s">
        <v>771</v>
      </c>
      <c r="B200" s="7">
        <v>4029</v>
      </c>
      <c r="C200" s="21" t="s">
        <v>222</v>
      </c>
      <c r="D200" s="21" t="s">
        <v>418</v>
      </c>
      <c r="E200" s="13">
        <v>42813.077534722222</v>
      </c>
      <c r="F200" s="13">
        <v>42813.079444444447</v>
      </c>
      <c r="G200" s="7">
        <v>2</v>
      </c>
      <c r="H200" s="21" t="s">
        <v>419</v>
      </c>
      <c r="I200" s="13">
        <v>42813.084201388891</v>
      </c>
      <c r="J200" s="7">
        <v>0</v>
      </c>
      <c r="K200" s="98" t="str">
        <f t="shared" si="54"/>
        <v>4029/4030</v>
      </c>
      <c r="L200" s="21" t="str">
        <f>VLOOKUP(A200,'Trips&amp;Operators'!$C$1:$G$99999,5,FALSE)</f>
        <v>SMITH MICHAEL</v>
      </c>
      <c r="M200" s="6">
        <f t="shared" si="55"/>
        <v>4.756944443215616E-3</v>
      </c>
      <c r="N200" s="7">
        <f t="shared" si="85"/>
        <v>6.8499999982304871</v>
      </c>
      <c r="O200" s="7"/>
      <c r="P200" s="7"/>
      <c r="Q200" s="22"/>
      <c r="R200" s="22"/>
      <c r="S200" s="31">
        <f t="shared" si="84"/>
        <v>1</v>
      </c>
      <c r="T200" s="46" t="str">
        <f t="shared" si="56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7"/>
        <v>https://d0f6bd738d7f1b3e5a7ca70fe4ff75f0.us-east-1.aws.found.io/app/kibana#/discover/Steve-Slow-Train-Analysis-(2080s-and-2083s)?_g=(refreshInterval:(display:Off,pause:!f,section:0,value:0),time:(from:'2017-03-19T00:51:39-0600',mode:absolute,to:'2017-03-19T03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187" t="str">
        <f t="shared" si="58"/>
        <v>Y</v>
      </c>
      <c r="X200" s="187">
        <f t="shared" si="88"/>
        <v>1</v>
      </c>
      <c r="Y200" s="62">
        <f t="shared" si="86"/>
        <v>4.7100000000000003E-2</v>
      </c>
      <c r="Z200" s="62">
        <f t="shared" si="87"/>
        <v>2.3304</v>
      </c>
      <c r="AA200" s="62">
        <f t="shared" si="61"/>
        <v>2.2833000000000001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2"/>
        <v>0311-18</v>
      </c>
      <c r="AE200" s="85" t="str">
        <f t="shared" si="63"/>
        <v>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 &amp; aws s3 cp s3://rtdc.mdm.uploadarchive.raw/RTDC4029/ "%USERPROFILE%\AppData\Local\Temp\OnboardLogs"\RTDC4029\2017-03-20 --exclude "*" --recursive --include "*20170320*" &amp; "%USERPROFILE%\Documents\GitHub\mrs-test-scripts\Headless Mode &amp; Sideloading\WalkAndUnGZ.bat" "%USERPROFILE%\AppData\Local\Temp\OnboardLogs"\RTDC4029\2017-03-20</v>
      </c>
      <c r="AF200" s="82" t="str">
        <f t="shared" si="64"/>
        <v>"C:\Program Files (x86)\AstroGrep\AstroGrep.exe" /e /r /s /spath="%USERPROFILE%\AppData\Local\Temp\OnboardLogs" /stypes="app*4029*20170319*" /stext=" 08:.+((SYSTEM_STATE.+slice.+state.+changed )|(ment ac)|(multiple cpu faults)|(system.+state.+changed )|(\[timeout)|(PRM\|1\|D)|(kpr)|(kdp)|(\|lc)|(penalty))"</v>
      </c>
      <c r="AG200" s="1" t="str">
        <f t="shared" si="65"/>
        <v>Other</v>
      </c>
      <c r="AH200" s="86" t="str">
        <f t="shared" si="66"/>
        <v>"%USERPROFILE%\Documents\GitHub\eaglep3\Utilities\RefineRTDCRunTimes.py" --tripid 311-18 --locoid 4029 --swversion DE.1.0.9.0 --startMP 204:471 --initTime 2017-03-19T01:51:39 --startdatetime 2017-03-19T01:54:24 --delay 2 --endMP 300:23304 --enddatetime 2017-03-19T02:01:15 --enforcementcount 0 &gt;&gt;C:\Users\stu\Documents\GitHub\eaglep3-reporting\EC\2017-03-18-refined-times.txt</v>
      </c>
      <c r="AI200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{"issue":{"subject":"","project_id":79,"tracker_id":40,"status_id":1,"priority_id":2,"assigned_to_id":23,"start_date":"2017-03-19","description":"","custom_fields":[{"id":1,"name":"Subdivision","value":"Other"},{"id":4,"name":"Milepost","value":"2.3304"},{"id":17,"name":"Train ID","value":"311-18"},{"id":16,"name":"Locomotive ID","value":"4029"},{"id":130,"name":"Impact","value":""},{"id":150,"name":"Time of Event (Mountain Time)","value":"02:01:15"},{"id":151,"name":"Denver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8"/>
        <v>start /low /b %USERPROFILE%\Documents\GitHub\eaglep3\Utilities\DownloadLogsFromS3.py --loco 4029 --day 2017-03-19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</row>
    <row r="201" spans="1:40" x14ac:dyDescent="0.25">
      <c r="A201" s="33" t="s">
        <v>520</v>
      </c>
      <c r="B201" s="7">
        <v>4002</v>
      </c>
      <c r="C201" s="21" t="s">
        <v>222</v>
      </c>
      <c r="D201" s="21" t="s">
        <v>544</v>
      </c>
      <c r="E201" s="13">
        <v>42812.092465277776</v>
      </c>
      <c r="F201" s="13">
        <v>42812.094456018516</v>
      </c>
      <c r="G201" s="7">
        <v>1</v>
      </c>
      <c r="H201" s="21" t="s">
        <v>405</v>
      </c>
      <c r="I201" s="13">
        <v>42812.102025462962</v>
      </c>
      <c r="J201" s="7">
        <v>0</v>
      </c>
      <c r="K201" s="98" t="str">
        <f t="shared" si="54"/>
        <v>4001/4002</v>
      </c>
      <c r="L201" s="21" t="str">
        <f>VLOOKUP(A201,'Trips&amp;Operators'!$C$1:$G$99999,5,FALSE)</f>
        <v>SWANSON BRYCE</v>
      </c>
      <c r="M201" s="6">
        <f t="shared" si="55"/>
        <v>7.5694444458349608E-3</v>
      </c>
      <c r="N201" s="7">
        <f t="shared" si="85"/>
        <v>10.900000002002344</v>
      </c>
      <c r="O201" s="7"/>
      <c r="P201" s="7"/>
      <c r="Q201" s="22"/>
      <c r="R201" s="22"/>
      <c r="S201" s="31">
        <f t="shared" si="84"/>
        <v>1</v>
      </c>
      <c r="T201" s="46" t="str">
        <f t="shared" si="56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7"/>
        <v>https://d0f6bd738d7f1b3e5a7ca70fe4ff75f0.us-east-1.aws.found.io/app/kibana#/discover/Steve-Slow-Train-Analysis-(2080s-and-2083s)?_g=(refreshInterval:(display:Off,pause:!f,section:0,value:0),time:(from:'2017-03-18T01:13:09-0600',mode:absolute,to:'2017-03-18T03:26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87" t="str">
        <f t="shared" si="58"/>
        <v>Y</v>
      </c>
      <c r="X201" s="187">
        <f t="shared" si="88"/>
        <v>2</v>
      </c>
      <c r="Y201" s="62">
        <f t="shared" si="86"/>
        <v>4.8899999999999999E-2</v>
      </c>
      <c r="Z201" s="62">
        <f t="shared" si="87"/>
        <v>2.3346</v>
      </c>
      <c r="AA201" s="62">
        <f t="shared" si="61"/>
        <v>2.2856999999999998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2"/>
        <v>0313-17</v>
      </c>
      <c r="AE201" s="85" t="str">
        <f t="shared" si="63"/>
        <v>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 &amp; 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</v>
      </c>
      <c r="AF201" s="82" t="str">
        <f t="shared" si="64"/>
        <v>"C:\Program Files (x86)\AstroGrep\AstroGrep.exe" /e /r /s /spath="%USERPROFILE%\AppData\Local\Temp\OnboardLogs" /stypes="app*4002*20170318*" /stext=" 08:.+((SYSTEM_STATE.+slice.+state.+changed )|(ment ac)|(multiple cpu faults)|(system.+state.+changed )|(\[timeout)|(PRM\|1\|D)|(kpr)|(kdp)|(\|lc)|(penalty))"</v>
      </c>
      <c r="AG201" s="1" t="str">
        <f t="shared" si="65"/>
        <v>Other</v>
      </c>
      <c r="AH201" s="86" t="str">
        <f t="shared" si="66"/>
        <v>"%USERPROFILE%\Documents\GitHub\eaglep3\Utilities\RefineRTDCRunTimes.py" --tripid 313-17 --locoid 4002 --swversion DE.1.0.9.0 --startMP 204:489 --initTime 2017-03-18T02:13:09 --startdatetime 2017-03-18T02:16:01 --delay 1 --endMP 300:23346 --enddatetime 2017-03-18T02:26:55 --enforcementcount 0 &gt;&gt;C:\Users\stu\Documents\GitHub\eaglep3-reporting\EC\2017-03-18-refined-times.txt</v>
      </c>
      <c r="AI201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{"issue":{"subject":"","project_id":79,"tracker_id":40,"status_id":1,"priority_id":2,"assigned_to_id":23,"start_date":"2017-03-18","description":"","custom_fields":[{"id":1,"name":"Subdivision","value":"Other"},{"id":4,"name":"Milepost","value":"2.3346"},{"id":17,"name":"Train ID","value":"313-17"},{"id":16,"name":"Locomotive ID","value":"4002"},{"id":130,"name":"Impact","value":""},{"id":150,"name":"Time of Event (Mountain Time)","value":"02:26:55"},{"id":151,"name":"Denver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8"/>
        <v>start /low /b %USERPROFILE%\Documents\GitHub\eaglep3\Utilities\DownloadLogsFromS3.py --loco 4002 --day 2017-03-18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2017-03-18-UncaughtWiMAX.txt</v>
      </c>
    </row>
    <row r="202" spans="1:40" x14ac:dyDescent="0.25">
      <c r="A202" s="33" t="s">
        <v>773</v>
      </c>
      <c r="B202" s="7">
        <v>4022</v>
      </c>
      <c r="C202" s="21" t="s">
        <v>222</v>
      </c>
      <c r="D202" s="21" t="s">
        <v>903</v>
      </c>
      <c r="E202" s="13">
        <v>42813.093055555553</v>
      </c>
      <c r="F202" s="13">
        <v>42813.094641203701</v>
      </c>
      <c r="G202" s="7">
        <v>1</v>
      </c>
      <c r="H202" s="21" t="s">
        <v>405</v>
      </c>
      <c r="I202" s="13">
        <v>42813.103807870371</v>
      </c>
      <c r="J202" s="7">
        <v>0</v>
      </c>
      <c r="K202" s="98" t="str">
        <f t="shared" si="54"/>
        <v>4021/4022</v>
      </c>
      <c r="L202" s="21" t="str">
        <f>VLOOKUP(A202,'Trips&amp;Operators'!$C$1:$G$99999,5,FALSE)</f>
        <v>SWANSON BRYCE</v>
      </c>
      <c r="M202" s="6">
        <f t="shared" si="55"/>
        <v>9.1666666703531519E-3</v>
      </c>
      <c r="N202" s="7">
        <f t="shared" si="85"/>
        <v>13.200000005308539</v>
      </c>
      <c r="O202" s="7"/>
      <c r="P202" s="7"/>
      <c r="Q202" s="22"/>
      <c r="R202" s="22"/>
      <c r="S202" s="31">
        <f t="shared" si="84"/>
        <v>1</v>
      </c>
      <c r="T202" s="46" t="str">
        <f t="shared" si="56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7"/>
        <v>https://d0f6bd738d7f1b3e5a7ca70fe4ff75f0.us-east-1.aws.found.io/app/kibana#/discover/Steve-Slow-Train-Analysis-(2080s-and-2083s)?_g=(refreshInterval:(display:Off,pause:!f,section:0,value:0),time:(from:'2017-03-19T01:14:00-0600',mode:absolute,to:'2017-03-19T03:29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87" t="str">
        <f t="shared" si="58"/>
        <v>Y</v>
      </c>
      <c r="X202" s="187">
        <f t="shared" si="88"/>
        <v>0</v>
      </c>
      <c r="Y202" s="62">
        <f t="shared" si="86"/>
        <v>0.11559999999999999</v>
      </c>
      <c r="Z202" s="62">
        <f t="shared" si="87"/>
        <v>2.3346</v>
      </c>
      <c r="AA202" s="62">
        <f t="shared" si="61"/>
        <v>2.2189999999999999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2"/>
        <v>0313-18</v>
      </c>
      <c r="AE202" s="85" t="str">
        <f t="shared" si="63"/>
        <v>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 &amp; 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</v>
      </c>
      <c r="AF202" s="82" t="str">
        <f t="shared" si="64"/>
        <v>"C:\Program Files (x86)\AstroGrep\AstroGrep.exe" /e /r /s /spath="%USERPROFILE%\AppData\Local\Temp\OnboardLogs" /stypes="app*4022*20170319*" /stext=" 08:.+((SYSTEM_STATE.+slice.+state.+changed )|(ment ac)|(multiple cpu faults)|(system.+state.+changed )|(\[timeout)|(PRM\|1\|D)|(kpr)|(kdp)|(\|lc)|(penalty))"</v>
      </c>
      <c r="AG202" s="1" t="str">
        <f t="shared" si="65"/>
        <v>Other</v>
      </c>
      <c r="AH202" s="86" t="str">
        <f t="shared" si="66"/>
        <v>"%USERPROFILE%\Documents\GitHub\eaglep3\Utilities\RefineRTDCRunTimes.py" --tripid 313-18 --locoid 4022 --swversion DE.1.0.9.0 --startMP 204:1156 --initTime 2017-03-19T02:14:00 --startdatetime 2017-03-19T02:16:17 --delay 1 --endMP 300:23346 --enddatetime 2017-03-19T02:29:29 --enforcementcount 0 &gt;&gt;C:\Users\stu\Documents\GitHub\eaglep3-reporting\EC\2017-03-18-refined-times.txt</v>
      </c>
      <c r="AI202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{"issue":{"subject":"","project_id":79,"tracker_id":40,"status_id":1,"priority_id":2,"assigned_to_id":23,"start_date":"2017-03-19","description":"","custom_fields":[{"id":1,"name":"Subdivision","value":"Other"},{"id":4,"name":"Milepost","value":"2.3346"},{"id":17,"name":"Train ID","value":"313-18"},{"id":16,"name":"Locomotive ID","value":"4022"},{"id":130,"name":"Impact","value":""},{"id":150,"name":"Time of Event (Mountain Time)","value":"02:29:29"},{"id":151,"name":"Denver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8"/>
        <v>start /low /b %USERPROFILE%\Documents\GitHub\eaglep3\Utilities\DownloadLogsFromS3.py --loco 4022 --day 2017-03-19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203" spans="1:40" x14ac:dyDescent="0.25">
      <c r="A203" s="33" t="s">
        <v>774</v>
      </c>
      <c r="B203" s="7">
        <v>4027</v>
      </c>
      <c r="C203" s="21" t="s">
        <v>222</v>
      </c>
      <c r="D203" s="21" t="s">
        <v>789</v>
      </c>
      <c r="E203" s="13">
        <v>42813.112349537034</v>
      </c>
      <c r="F203" s="13">
        <v>42813.113819444443</v>
      </c>
      <c r="G203" s="7">
        <v>1</v>
      </c>
      <c r="H203" s="21" t="s">
        <v>405</v>
      </c>
      <c r="I203" s="13">
        <v>42813.122002314813</v>
      </c>
      <c r="J203" s="7">
        <v>0</v>
      </c>
      <c r="K203" s="98" t="str">
        <f t="shared" si="54"/>
        <v>4027/4028</v>
      </c>
      <c r="L203" s="21" t="str">
        <f>VLOOKUP(A203,'Trips&amp;Operators'!$C$1:$G$99999,5,FALSE)</f>
        <v>BROWN JACOB</v>
      </c>
      <c r="M203" s="6">
        <f t="shared" si="55"/>
        <v>8.182870369637385E-3</v>
      </c>
      <c r="N203" s="7">
        <f t="shared" si="85"/>
        <v>11.783333332277834</v>
      </c>
      <c r="O203" s="7"/>
      <c r="P203" s="7"/>
      <c r="Q203" s="22"/>
      <c r="R203" s="22"/>
      <c r="S203" s="31">
        <f t="shared" si="84"/>
        <v>1</v>
      </c>
      <c r="T203" s="46" t="str">
        <f t="shared" si="56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7"/>
        <v>https://d0f6bd738d7f1b3e5a7ca70fe4ff75f0.us-east-1.aws.found.io/app/kibana#/discover/Steve-Slow-Train-Analysis-(2080s-and-2083s)?_g=(refreshInterval:(display:Off,pause:!f,section:0,value:0),time:(from:'2017-03-19T01:41:47-0600',mode:absolute,to:'2017-03-19T03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3" s="187" t="str">
        <f t="shared" si="58"/>
        <v>Y</v>
      </c>
      <c r="X203" s="187">
        <f t="shared" si="88"/>
        <v>2</v>
      </c>
      <c r="Y203" s="62">
        <f t="shared" si="86"/>
        <v>4.4900000000000002E-2</v>
      </c>
      <c r="Z203" s="62">
        <f t="shared" si="87"/>
        <v>2.3346</v>
      </c>
      <c r="AA203" s="62">
        <f t="shared" si="61"/>
        <v>2.2896999999999998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2"/>
        <v>0315-18</v>
      </c>
      <c r="AE203" s="85" t="str">
        <f t="shared" si="63"/>
        <v>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 &amp; 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</v>
      </c>
      <c r="AF203" s="82" t="str">
        <f t="shared" si="64"/>
        <v>"C:\Program Files (x86)\AstroGrep\AstroGrep.exe" /e /r /s /spath="%USERPROFILE%\AppData\Local\Temp\OnboardLogs" /stypes="app*4027*20170319*" /stext=" 08:.+((SYSTEM_STATE.+slice.+state.+changed )|(ment ac)|(multiple cpu faults)|(system.+state.+changed )|(\[timeout)|(PRM\|1\|D)|(kpr)|(kdp)|(\|lc)|(penalty))"</v>
      </c>
      <c r="AG203" s="1" t="str">
        <f t="shared" si="65"/>
        <v>Other</v>
      </c>
      <c r="AH203" s="86" t="str">
        <f t="shared" si="66"/>
        <v>"%USERPROFILE%\Documents\GitHub\eaglep3\Utilities\RefineRTDCRunTimes.py" --tripid 315-18 --locoid 4027 --swversion DE.1.0.9.0 --startMP 204:449 --initTime 2017-03-19T02:41:47 --startdatetime 2017-03-19T02:43:54 --delay 1 --endMP 300:23346 --enddatetime 2017-03-19T02:55:41 --enforcementcount 0 &gt;&gt;C:\Users\stu\Documents\GitHub\eaglep3-reporting\EC\2017-03-18-refined-times.txt</v>
      </c>
      <c r="AI203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{"issue":{"subject":"","project_id":79,"tracker_id":40,"status_id":1,"priority_id":2,"assigned_to_id":23,"start_date":"2017-03-19","description":"","custom_fields":[{"id":1,"name":"Subdivision","value":"Other"},{"id":4,"name":"Milepost","value":"2.3346"},{"id":17,"name":"Train ID","value":"315-18"},{"id":16,"name":"Locomotive ID","value":"4027"},{"id":130,"name":"Impact","value":""},{"id":150,"name":"Time of Event (Mountain Time)","value":"02:55:41"},{"id":151,"name":"Denver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8"/>
        <v>start /low /b %USERPROFILE%\Documents\GitHub\eaglep3\Utilities\DownloadLogsFromS3.py --loco 4027 --day 2017-03-19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"%USERPROFILE%\AppData\Local\Temp\OnboardLogs"\RTDC4027\*4027*20170319* | grep -SE "(Enforcement Action)|(\[TIMEOUT)|(CHR.+\|PRM\|1\|D.+(SWITCH|SIGNAL).+UNKNOWN)" - &gt;&gt; 2017-03-18-UncaughtWiMAX.txt</v>
      </c>
    </row>
    <row r="204" spans="1:40" x14ac:dyDescent="0.25">
      <c r="A204" s="33" t="s">
        <v>617</v>
      </c>
      <c r="B204" s="7">
        <v>4022</v>
      </c>
      <c r="C204" s="21" t="s">
        <v>222</v>
      </c>
      <c r="D204" s="21" t="s">
        <v>851</v>
      </c>
      <c r="E204" s="13">
        <v>42812.221053240741</v>
      </c>
      <c r="F204" s="13">
        <v>42812.226631944446</v>
      </c>
      <c r="G204" s="7">
        <v>7</v>
      </c>
      <c r="H204" s="21" t="s">
        <v>852</v>
      </c>
      <c r="I204" s="13">
        <v>42812.232754629629</v>
      </c>
      <c r="J204" s="7">
        <v>0</v>
      </c>
      <c r="K204" s="98" t="str">
        <f t="shared" si="54"/>
        <v>4021/4022</v>
      </c>
      <c r="L204" s="21" t="str">
        <f>VLOOKUP(A204,'Trips&amp;Operators'!$C$1:$G$99999,5,FALSE)</f>
        <v>SHOOK JOHN</v>
      </c>
      <c r="M204" s="6">
        <f t="shared" si="55"/>
        <v>6.1226851830724627E-3</v>
      </c>
      <c r="N204" s="7">
        <f t="shared" si="85"/>
        <v>8.8166666636243463</v>
      </c>
      <c r="O204" s="7"/>
      <c r="P204" s="7"/>
      <c r="Q204" s="22"/>
      <c r="R204" s="22"/>
      <c r="S204" s="31">
        <f t="shared" si="84"/>
        <v>0</v>
      </c>
      <c r="T204" s="46" t="str">
        <f t="shared" si="56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6" t="str">
        <f t="shared" si="57"/>
        <v>https://d0f6bd738d7f1b3e5a7ca70fe4ff75f0.us-east-1.aws.found.io/app/kibana#/discover/Steve-Slow-Train-Analysis-(2080s-and-2083s)?_g=(refreshInterval:(display:Off,pause:!f,section:0,value:0),time:(from:'2017-03-18T04:18:19-0600',mode:absolute,to:'2017-03-18T06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187" t="str">
        <f t="shared" si="58"/>
        <v>Y</v>
      </c>
      <c r="X204" s="187">
        <f t="shared" si="88"/>
        <v>1586</v>
      </c>
      <c r="Y204" s="62">
        <f t="shared" si="86"/>
        <v>3.0110000000000001</v>
      </c>
      <c r="Z204" s="62">
        <f t="shared" si="87"/>
        <v>5.8971</v>
      </c>
      <c r="AA204" s="62">
        <f t="shared" si="61"/>
        <v>2.8860999999999999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2"/>
        <v>1901-18</v>
      </c>
      <c r="AE204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204" s="82" t="str">
        <f t="shared" si="64"/>
        <v>"C:\Program Files (x86)\AstroGrep\AstroGrep.exe" /e /r /s /spath="%USERPROFILE%\AppData\Local\Temp\OnboardLogs" /stypes="app*4022*20170318*" /stext=" 11:.+((SYSTEM_STATE.+slice.+state.+changed )|(ment ac)|(multiple cpu faults)|(system.+state.+changed )|(\[timeout)|(PRM\|1\|D)|(kpr)|(kdp)|(\|lc)|(penalty))"</v>
      </c>
      <c r="AG204" s="1" t="str">
        <f t="shared" si="65"/>
        <v>Other</v>
      </c>
      <c r="AH204" s="86" t="str">
        <f t="shared" ref="AH204:AH218" si="8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1901-18 --locoid 4022 --swversion DE.1.0.9.0 --startMP 300:30110 --initTime 2017-03-18T05:18:19 --startdatetime 2017-03-18T05:26:21 --delay 7 --endMP 300:58971 --enddatetime 2017-03-18T05:35:10 --enforcementcount 0 &gt;&gt;C:\Users\stu\Documents\GitHub\eaglep3-reporting\EC\2017-03-18-refined-times.txt</v>
      </c>
      <c r="AI204" s="108" t="str">
        <f t="shared" ref="AI204:AI218" si="9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{"issue":{"subject":"","project_id":79,"tracker_id":40,"status_id":1,"priority_id":2,"assigned_to_id":23,"start_date":"2017-03-18","description":"","custom_fields":[{"id":1,"name":"Subdivision","value":"Other"},{"id":4,"name":"Milepost","value":"5.8971"},{"id":17,"name":"Train ID","value":"1901-18"},{"id":16,"name":"Locomotive ID","value":"4022"},{"id":130,"name":"Impact","value":""},{"id":150,"name":"Time of Event (Mountain Time)","value":"05:35:10"},{"id":151,"name":"Denver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ref="AM204:AM218" si="91">"start /low /b "&amp;dls3logs&amp;" --loco "&amp;B204&amp;" --day "&amp;TEXT(F204,"YYYY-MM-DD")</f>
        <v>start /low /b %USERPROFILE%\Documents\GitHub\eaglep3\Utilities\DownloadLogsFromS3.py --loco 4022 --day 2017-03-18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205" spans="1:40" x14ac:dyDescent="0.25">
      <c r="A205" s="33" t="s">
        <v>760</v>
      </c>
      <c r="B205" s="7">
        <v>4021</v>
      </c>
      <c r="C205" s="21" t="s">
        <v>222</v>
      </c>
      <c r="D205" s="21" t="s">
        <v>562</v>
      </c>
      <c r="E205" s="13">
        <v>42812.941643518519</v>
      </c>
      <c r="F205" s="13">
        <v>42812.942893518521</v>
      </c>
      <c r="G205" s="7">
        <v>1</v>
      </c>
      <c r="H205" s="21" t="s">
        <v>191</v>
      </c>
      <c r="I205" s="13">
        <v>42812.952789351853</v>
      </c>
      <c r="J205" s="7">
        <v>0</v>
      </c>
      <c r="K205" s="98" t="str">
        <f t="shared" ref="K205:K218" si="92">IF(ISEVEN(B205),(B205-1)&amp;"/"&amp;B205,B205&amp;"/"&amp;(B205+1))</f>
        <v>4021/4022</v>
      </c>
      <c r="L205" s="21" t="str">
        <f>VLOOKUP(A205,'Trips&amp;Operators'!$C$1:$G$99999,5,FALSE)</f>
        <v>HELVIE ADAM</v>
      </c>
      <c r="M205" s="6">
        <f t="shared" ref="M205:M218" si="93">I205-F205</f>
        <v>9.8958333328482695E-3</v>
      </c>
      <c r="N205" s="7">
        <f t="shared" si="85"/>
        <v>14.249999999301508</v>
      </c>
      <c r="O205" s="7"/>
      <c r="P205" s="7"/>
      <c r="Q205" s="22"/>
      <c r="R205" s="22"/>
      <c r="S205" s="31">
        <f t="shared" si="84"/>
        <v>1</v>
      </c>
      <c r="T205" s="46" t="str">
        <f t="shared" ref="T205:T218" si="94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18" si="9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-18T21:35:58-0600',mode:absolute,to:'2017-03-18T23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5" s="187" t="str">
        <f t="shared" ref="W205:W218" si="96">IF(AA205&lt;IF(AG205="EC",23,5.65),"Y","N")</f>
        <v>N</v>
      </c>
      <c r="X205" s="187">
        <f t="shared" si="88"/>
        <v>1</v>
      </c>
      <c r="Y205" s="62">
        <f t="shared" si="86"/>
        <v>5.8613</v>
      </c>
      <c r="Z205" s="62">
        <f t="shared" si="87"/>
        <v>1.4999999999999999E-2</v>
      </c>
      <c r="AA205" s="62">
        <f t="shared" ref="AA205:AA218" si="97">ABS(Z205-Y205)</f>
        <v>5.8463000000000003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18" si="98">IF(LEN(A205)=6,"0"&amp;A205,A205)</f>
        <v>1902-18</v>
      </c>
      <c r="AE205" s="85" t="str">
        <f t="shared" ref="AE205:AE218" si="9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205" s="82" t="str">
        <f t="shared" ref="AF205:AF218" si="10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/stypes="app*4021*20170319*" /stext=" 04:.+((SYSTEM_STATE.+slice.+state.+changed )|(ment ac)|(multiple cpu faults)|(system.+state.+changed )|(\[timeout)|(PRM\|1\|D)|(kpr)|(kdp)|(\|lc)|(penalty))"</v>
      </c>
      <c r="AG205" s="1" t="str">
        <f t="shared" ref="AG205:AG218" si="101">IFERROR(IF(VALUE(LEFT(AD205,2))&lt;=2,"EC",IF(OR(VALUE(LEFT(AD205,2))=8,VALUE(LEFT(AD205,2))=18),"NW","Other")),"Other")</f>
        <v>Other</v>
      </c>
      <c r="AH205" s="86" t="str">
        <f t="shared" si="89"/>
        <v>"%USERPROFILE%\Documents\GitHub\eaglep3\Utilities\RefineRTDCRunTimes.py" --tripid 1902-18 --locoid 4021 --swversion DE.1.0.9.0 --startMP 300:58613 --initTime 2017-03-18T22:35:58 --startdatetime 2017-03-18T22:37:46 --delay 1 --endMP 204:150 --enddatetime 2017-03-18T22:52:01 --enforcementcount 0 &gt;&gt;C:\Users\stu\Documents\GitHub\eaglep3-reporting\EC\2017-03-18-refined-times.txt</v>
      </c>
      <c r="AI205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{"issue":{"subject":"","project_id":79,"tracker_id":40,"status_id":1,"priority_id":2,"assigned_to_id":23,"start_date":"2017-03-18","description":"","custom_fields":[{"id":1,"name":"Subdivision","value":"Other"},{"id":4,"name":"Milepost","value":"0.015"},{"id":17,"name":"Train ID","value":"1902-18"},{"id":16,"name":"Locomotive ID","value":"4021"},{"id":130,"name":"Impact","value":""},{"id":150,"name":"Time of Event (Mountain Time)","value":"22:52:01"},{"id":151,"name":"Denver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91"/>
        <v>start /low /b %USERPROFILE%\Documents\GitHub\eaglep3\Utilities\DownloadLogsFromS3.py --loco 4021 --day 2017-03-18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206" spans="1:40" x14ac:dyDescent="0.25">
      <c r="A206" s="33" t="s">
        <v>668</v>
      </c>
      <c r="B206" s="7">
        <v>4015</v>
      </c>
      <c r="C206" s="21" t="s">
        <v>222</v>
      </c>
      <c r="D206" s="21" t="s">
        <v>904</v>
      </c>
      <c r="E206" s="13">
        <v>42812.432326388887</v>
      </c>
      <c r="F206" s="13">
        <v>42812.436759259261</v>
      </c>
      <c r="G206" s="7">
        <v>6</v>
      </c>
      <c r="H206" s="21" t="s">
        <v>184</v>
      </c>
      <c r="I206" s="13">
        <v>42812.442152777781</v>
      </c>
      <c r="J206" s="7">
        <v>0</v>
      </c>
      <c r="K206" s="98" t="str">
        <f t="shared" si="92"/>
        <v>4015/4016</v>
      </c>
      <c r="L206" s="21" t="str">
        <f>VLOOKUP(A206,'Trips&amp;Operators'!$C$1:$G$99999,5,FALSE)</f>
        <v>STEWART MICHAEL</v>
      </c>
      <c r="M206" s="6">
        <f t="shared" si="93"/>
        <v>5.393518520577345E-3</v>
      </c>
      <c r="N206" s="7">
        <f t="shared" si="85"/>
        <v>7.7666666696313769</v>
      </c>
      <c r="O206" s="7"/>
      <c r="P206" s="7"/>
      <c r="Q206" s="22"/>
      <c r="R206" s="22"/>
      <c r="S206" s="31">
        <f t="shared" si="84"/>
        <v>0</v>
      </c>
      <c r="T206" s="46" t="e">
        <f t="shared" si="94"/>
        <v>#VALUE!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6" t="str">
        <f t="shared" si="95"/>
        <v>https://d0f6bd738d7f1b3e5a7ca70fe4ff75f0.us-east-1.aws.found.io/app/kibana#/discover/Steve-Slow-Train-Analysis-(2080s-and-2083s)?_g=(refreshInterval:(display:Off,pause:!f,section:0,value:0),time:(from:'2017-03-18T09:22:33-0600',mode:absolute,to:'2017-03-18T11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187" t="str">
        <f t="shared" si="96"/>
        <v>Y</v>
      </c>
      <c r="X206" s="187" t="e">
        <f t="shared" si="88"/>
        <v>#VALUE!</v>
      </c>
      <c r="Y206" s="62">
        <f t="shared" si="86"/>
        <v>2.2343999999999999</v>
      </c>
      <c r="Z206" s="62">
        <f t="shared" si="87"/>
        <v>1.49E-2</v>
      </c>
      <c r="AA206" s="62">
        <f t="shared" si="97"/>
        <v>2.2195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8"/>
        <v>50-18</v>
      </c>
      <c r="AE206" s="85" t="str">
        <f t="shared" si="99"/>
        <v>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 &amp; 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</v>
      </c>
      <c r="AF206" s="82" t="str">
        <f t="shared" si="100"/>
        <v>"C:\Program Files (x86)\AstroGrep\AstroGrep.exe" /e /r /s /spath="%USERPROFILE%\AppData\Local\Temp\OnboardLogs" /stypes="app*4015*20170318*" /stext=" 16:.+((SYSTEM_STATE.+slice.+state.+changed )|(ment ac)|(multiple cpu faults)|(system.+state.+changed )|(\[timeout)|(PRM\|1\|D)|(kpr)|(kdp)|(\|lc)|(penalty))"</v>
      </c>
      <c r="AG206" s="1" t="str">
        <f t="shared" si="101"/>
        <v>Other</v>
      </c>
      <c r="AH206" s="86" t="str">
        <f t="shared" si="89"/>
        <v>"%USERPROFILE%\Documents\GitHub\eaglep3\Utilities\RefineRTDCRunTimes.py" --tripid 50-18 --locoid 4015 --swversion DE.1.0.9.0 --startMP 300:22344 --initTime 2017-03-18T10:22:33 --startdatetime 2017-03-18T10:28:56 --delay 6 --endMP 204:149 --enddatetime 2017-03-18T10:36:42 --enforcementcount 0 &gt;&gt;C:\Users\stu\Documents\GitHub\eaglep3-reporting\EC\2017-03-18-refined-times.txt</v>
      </c>
      <c r="AI206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{"issue":{"subject":"","project_id":79,"tracker_id":40,"status_id":1,"priority_id":2,"assigned_to_id":23,"start_date":"2017-03-18","description":"","custom_fields":[{"id":1,"name":"Subdivision","value":"Other"},{"id":4,"name":"Milepost","value":"0.0149"},{"id":17,"name":"Train ID","value":"50-18"},{"id":16,"name":"Locomotive ID","value":"4015"},{"id":130,"name":"Impact","value":""},{"id":150,"name":"Time of Event (Mountain Time)","value":"10:36:42"},{"id":151,"name":"Denver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91"/>
        <v>start /low /b %USERPROFILE%\Documents\GitHub\eaglep3\Utilities\DownloadLogsFromS3.py --loco 4015 --day 2017-03-18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"%USERPROFILE%\AppData\Local\Temp\OnboardLogs"\RTDC4015\*4015*20170318* | grep -SE "(Enforcement Action)|(\[TIMEOUT)|(CHR.+\|PRM\|1\|D.+(SWITCH|SIGNAL).+UNKNOWN)" - &gt;&gt; 2017-03-18-UncaughtWiMAX.txt</v>
      </c>
    </row>
    <row r="207" spans="1:40" x14ac:dyDescent="0.25">
      <c r="A207" s="33" t="s">
        <v>676</v>
      </c>
      <c r="B207" s="7">
        <v>4016</v>
      </c>
      <c r="C207" s="21" t="s">
        <v>222</v>
      </c>
      <c r="D207" s="21" t="s">
        <v>213</v>
      </c>
      <c r="E207" s="13">
        <v>42812.456701388888</v>
      </c>
      <c r="F207" s="13">
        <v>42812.45853009259</v>
      </c>
      <c r="G207" s="7">
        <v>1</v>
      </c>
      <c r="H207" s="21" t="s">
        <v>419</v>
      </c>
      <c r="I207" s="13">
        <v>42812.469085648147</v>
      </c>
      <c r="J207" s="7">
        <v>0</v>
      </c>
      <c r="K207" s="98" t="str">
        <f t="shared" si="92"/>
        <v>4015/4016</v>
      </c>
      <c r="L207" s="21" t="str">
        <f>VLOOKUP(A207,'Trips&amp;Operators'!$C$1:$G$99999,5,FALSE)</f>
        <v>DE LA ROSA ALEX</v>
      </c>
      <c r="M207" s="6">
        <f t="shared" si="93"/>
        <v>1.0555555556493346E-2</v>
      </c>
      <c r="N207" s="7">
        <f t="shared" si="85"/>
        <v>15.200000001350418</v>
      </c>
      <c r="O207" s="7"/>
      <c r="P207" s="7"/>
      <c r="Q207" s="22"/>
      <c r="R207" s="22"/>
      <c r="S207" s="31">
        <f t="shared" si="84"/>
        <v>0</v>
      </c>
      <c r="T207" s="46" t="e">
        <f t="shared" si="94"/>
        <v>#VALUE!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95"/>
        <v>https://d0f6bd738d7f1b3e5a7ca70fe4ff75f0.us-east-1.aws.found.io/app/kibana#/discover/Steve-Slow-Train-Analysis-(2080s-and-2083s)?_g=(refreshInterval:(display:Off,pause:!f,section:0,value:0),time:(from:'2017-03-18T09:57:39-0600',mode:absolute,to:'2017-03-18T12:15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187" t="str">
        <f t="shared" si="96"/>
        <v>Y</v>
      </c>
      <c r="X207" s="187" t="e">
        <f t="shared" si="88"/>
        <v>#VALUE!</v>
      </c>
      <c r="Y207" s="62">
        <f t="shared" si="86"/>
        <v>4.5499999999999999E-2</v>
      </c>
      <c r="Z207" s="62">
        <f t="shared" si="87"/>
        <v>2.3304</v>
      </c>
      <c r="AA207" s="62">
        <f t="shared" si="97"/>
        <v>2.2848999999999999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8"/>
        <v>51-18</v>
      </c>
      <c r="AE207" s="85" t="str">
        <f t="shared" si="99"/>
        <v>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 &amp; 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</v>
      </c>
      <c r="AF207" s="82" t="str">
        <f t="shared" si="100"/>
        <v>"C:\Program Files (x86)\AstroGrep\AstroGrep.exe" /e /r /s /spath="%USERPROFILE%\AppData\Local\Temp\OnboardLogs" /stypes="app*4016*20170318*" /stext=" 17:.+((SYSTEM_STATE.+slice.+state.+changed )|(ment ac)|(multiple cpu faults)|(system.+state.+changed )|(\[timeout)|(PRM\|1\|D)|(kpr)|(kdp)|(\|lc)|(penalty))"</v>
      </c>
      <c r="AG207" s="1" t="str">
        <f t="shared" si="101"/>
        <v>Other</v>
      </c>
      <c r="AH207" s="86" t="str">
        <f t="shared" si="89"/>
        <v>"%USERPROFILE%\Documents\GitHub\eaglep3\Utilities\RefineRTDCRunTimes.py" --tripid 51-18 --locoid 4016 --swversion DE.1.0.9.0 --startMP 204:455 --initTime 2017-03-18T10:57:39 --startdatetime 2017-03-18T11:00:17 --delay 1 --endMP 300:23304 --enddatetime 2017-03-18T11:15:29 --enforcementcount 0 &gt;&gt;C:\Users\stu\Documents\GitHub\eaglep3-reporting\EC\2017-03-18-refined-times.txt</v>
      </c>
      <c r="AI207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{"issue":{"subject":"","project_id":79,"tracker_id":40,"status_id":1,"priority_id":2,"assigned_to_id":23,"start_date":"2017-03-18","description":"","custom_fields":[{"id":1,"name":"Subdivision","value":"Other"},{"id":4,"name":"Milepost","value":"2.3304"},{"id":17,"name":"Train ID","value":"51-18"},{"id":16,"name":"Locomotive ID","value":"4016"},{"id":130,"name":"Impact","value":""},{"id":150,"name":"Time of Event (Mountain Time)","value":"11:15:29"},{"id":151,"name":"Denver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91"/>
        <v>start /low /b %USERPROFILE%\Documents\GitHub\eaglep3\Utilities\DownloadLogsFromS3.py --loco 4016 --day 2017-03-18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2017-03-18-UncaughtWiMAX.txt</v>
      </c>
    </row>
    <row r="208" spans="1:40" x14ac:dyDescent="0.25">
      <c r="A208" s="33" t="s">
        <v>762</v>
      </c>
      <c r="B208" s="7">
        <v>4021</v>
      </c>
      <c r="C208" s="21" t="s">
        <v>222</v>
      </c>
      <c r="D208" s="21" t="s">
        <v>905</v>
      </c>
      <c r="E208" s="13">
        <v>42812.990173611113</v>
      </c>
      <c r="F208" s="13">
        <v>42812.991828703707</v>
      </c>
      <c r="G208" s="7">
        <v>1</v>
      </c>
      <c r="H208" s="21" t="s">
        <v>906</v>
      </c>
      <c r="I208" s="13">
        <v>42813.01771990741</v>
      </c>
      <c r="J208" s="7">
        <v>0</v>
      </c>
      <c r="K208" s="98" t="str">
        <f t="shared" si="92"/>
        <v>4021/4022</v>
      </c>
      <c r="L208" s="21" t="str">
        <f>VLOOKUP(A208,'Trips&amp;Operators'!$C$1:$G$99999,5,FALSE)</f>
        <v>SAFIEF AEIMEN</v>
      </c>
      <c r="M208" s="6">
        <f t="shared" si="93"/>
        <v>2.5891203702485655E-2</v>
      </c>
      <c r="N208" s="7">
        <f t="shared" si="85"/>
        <v>37.283333331579342</v>
      </c>
      <c r="O208" s="7"/>
      <c r="P208" s="7"/>
      <c r="Q208" s="22"/>
      <c r="R208" s="22"/>
      <c r="S208" s="31">
        <f t="shared" si="84"/>
        <v>0</v>
      </c>
      <c r="T208" s="46" t="e">
        <f t="shared" si="94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95"/>
        <v>https://d0f6bd738d7f1b3e5a7ca70fe4ff75f0.us-east-1.aws.found.io/app/kibana#/discover/Steve-Slow-Train-Analysis-(2080s-and-2083s)?_g=(refreshInterval:(display:Off,pause:!f,section:0,value:0),time:(from:'2017-03-18T22:45:51-0600',mode:absolute,to:'2017-03-19T01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8" s="187" t="str">
        <f t="shared" si="96"/>
        <v>N</v>
      </c>
      <c r="X208" s="187" t="e">
        <f t="shared" si="88"/>
        <v>#VALUE!</v>
      </c>
      <c r="Y208" s="62">
        <f t="shared" si="86"/>
        <v>10.539099999999999</v>
      </c>
      <c r="Z208" s="62">
        <f t="shared" si="87"/>
        <v>9.3899999999999997E-2</v>
      </c>
      <c r="AA208" s="62">
        <f t="shared" si="97"/>
        <v>10.4452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8"/>
        <v>52-18</v>
      </c>
      <c r="AE208" s="85" t="str">
        <f t="shared" si="99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208" s="82" t="str">
        <f t="shared" si="100"/>
        <v>"C:\Program Files (x86)\AstroGrep\AstroGrep.exe" /e /r /s /spath="%USERPROFILE%\AppData\Local\Temp\OnboardLogs" /stypes="app*4021*20170319*" /stext=" 06:.+((SYSTEM_STATE.+slice.+state.+changed )|(ment ac)|(multiple cpu faults)|(system.+state.+changed )|(\[timeout)|(PRM\|1\|D)|(kpr)|(kdp)|(\|lc)|(penalty))"</v>
      </c>
      <c r="AG208" s="1" t="str">
        <f t="shared" si="101"/>
        <v>Other</v>
      </c>
      <c r="AH208" s="86" t="str">
        <f t="shared" si="89"/>
        <v>"%USERPROFILE%\Documents\GitHub\eaglep3\Utilities\RefineRTDCRunTimes.py" --tripid 52-18 --locoid 4021 --swversion DE.1.0.9.0 --startMP 204:105391 --initTime 2017-03-18T23:45:51 --startdatetime 2017-03-18T23:48:14 --delay 1 --endMP 204:939 --enddatetime 2017-03-19T00:25:31 --enforcementcount 0 &gt;&gt;C:\Users\stu\Documents\GitHub\eaglep3-reporting\EC\2017-03-18-refined-times.txt</v>
      </c>
      <c r="AI208" s="108" t="str">
        <f t="shared" si="90"/>
        <v>echo {"issue":{"subject":"","project_id":79,"tracker_id":40,"status_id":1,"priority_id":2,"assigned_to_id":23,"start_date":"2017-03-19","description":"","custom_fields":[{"id":1,"name":"Subdivision","value":"Other"},{"id":4,"name":"Milepost","value":"0.0939"},{"id":17,"name":"Train ID","value":"52-18"},{"id":16,"name":"Locomotive ID","value":"4021"},{"id":130,"name":"Impact","value":""},{"id":150,"name":"Time of Event (Mountain Time)","value":"00:25:31"},{"id":151,"name":"Denver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1"/>
        <v>start /low /b %USERPROFILE%\Documents\GitHub\eaglep3\Utilities\DownloadLogsFromS3.py --loco 4021 --day 2017-03-18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209" spans="1:40" x14ac:dyDescent="0.25">
      <c r="A209" s="33" t="s">
        <v>761</v>
      </c>
      <c r="B209" s="7">
        <v>4022</v>
      </c>
      <c r="C209" s="21" t="s">
        <v>222</v>
      </c>
      <c r="D209" s="21" t="s">
        <v>232</v>
      </c>
      <c r="E209" s="13">
        <v>42812.964745370373</v>
      </c>
      <c r="F209" s="13">
        <v>42812.969537037039</v>
      </c>
      <c r="G209" s="7">
        <v>2</v>
      </c>
      <c r="H209" s="21" t="s">
        <v>907</v>
      </c>
      <c r="I209" s="13">
        <v>42812.985960648148</v>
      </c>
      <c r="J209" s="7">
        <v>0</v>
      </c>
      <c r="K209" s="98" t="str">
        <f t="shared" si="92"/>
        <v>4021/4022</v>
      </c>
      <c r="L209" s="21" t="str">
        <f>VLOOKUP(A209,'Trips&amp;Operators'!$C$1:$G$99999,5,FALSE)</f>
        <v>SAFIEF AEIMEN</v>
      </c>
      <c r="M209" s="6">
        <f t="shared" si="93"/>
        <v>1.6423611108621117E-2</v>
      </c>
      <c r="N209" s="7">
        <f t="shared" si="85"/>
        <v>23.649999996414408</v>
      </c>
      <c r="O209" s="7"/>
      <c r="P209" s="7"/>
      <c r="Q209" s="22"/>
      <c r="R209" s="22"/>
      <c r="S209" s="31">
        <f t="shared" si="84"/>
        <v>0</v>
      </c>
      <c r="T209" s="46" t="e">
        <f t="shared" si="94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95"/>
        <v>https://d0f6bd738d7f1b3e5a7ca70fe4ff75f0.us-east-1.aws.found.io/app/kibana#/discover/Steve-Slow-Train-Analysis-(2080s-and-2083s)?_g=(refreshInterval:(display:Off,pause:!f,section:0,value:0),time:(from:'2017-03-18T22:09:14-0600',mode:absolute,to:'2017-03-19T00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9" s="187" t="str">
        <f t="shared" si="96"/>
        <v>N</v>
      </c>
      <c r="X209" s="187" t="e">
        <f t="shared" si="88"/>
        <v>#VALUE!</v>
      </c>
      <c r="Y209" s="62">
        <f t="shared" si="86"/>
        <v>4.6899999999999997E-2</v>
      </c>
      <c r="Z209" s="62">
        <f t="shared" si="87"/>
        <v>10.2805</v>
      </c>
      <c r="AA209" s="62">
        <f t="shared" si="97"/>
        <v>10.233599999999999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8"/>
        <v>53-18</v>
      </c>
      <c r="AE209" s="85" t="str">
        <f t="shared" si="99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209" s="82" t="str">
        <f t="shared" si="100"/>
        <v>"C:\Program Files (x86)\AstroGrep\AstroGrep.exe" /e /r /s /spath="%USERPROFILE%\AppData\Local\Temp\OnboardLogs" /stypes="app*4022*20170319*" /stext=" 05:.+((SYSTEM_STATE.+slice.+state.+changed )|(ment ac)|(multiple cpu faults)|(system.+state.+changed )|(\[timeout)|(PRM\|1\|D)|(kpr)|(kdp)|(\|lc)|(penalty))"</v>
      </c>
      <c r="AG209" s="1" t="str">
        <f t="shared" si="101"/>
        <v>Other</v>
      </c>
      <c r="AH209" s="86" t="str">
        <f t="shared" si="89"/>
        <v>"%USERPROFILE%\Documents\GitHub\eaglep3\Utilities\RefineRTDCRunTimes.py" --tripid 53-18 --locoid 4022 --swversion DE.1.0.9.0 --startMP 204:469 --initTime 2017-03-18T23:09:14 --startdatetime 2017-03-18T23:16:08 --delay 2 --endMP 204:102805 --enddatetime 2017-03-18T23:39:47 --enforcementcount 0 &gt;&gt;C:\Users\stu\Documents\GitHub\eaglep3-reporting\EC\2017-03-18-refined-times.txt</v>
      </c>
      <c r="AI209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{"issue":{"subject":"","project_id":79,"tracker_id":40,"status_id":1,"priority_id":2,"assigned_to_id":23,"start_date":"2017-03-18","description":"","custom_fields":[{"id":1,"name":"Subdivision","value":"Other"},{"id":4,"name":"Milepost","value":"10.2805"},{"id":17,"name":"Train ID","value":"53-18"},{"id":16,"name":"Locomotive ID","value":"4022"},{"id":130,"name":"Impact","value":""},{"id":150,"name":"Time of Event (Mountain Time)","value":"23:39:47"},{"id":151,"name":"Denver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1"/>
        <v>start /low /b %USERPROFILE%\Documents\GitHub\eaglep3\Utilities\DownloadLogsFromS3.py --loco 4022 --day 2017-03-18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210" spans="1:40" x14ac:dyDescent="0.25">
      <c r="A210" s="33" t="s">
        <v>763</v>
      </c>
      <c r="B210" s="7">
        <v>4029</v>
      </c>
      <c r="C210" s="21" t="s">
        <v>222</v>
      </c>
      <c r="D210" s="21" t="s">
        <v>223</v>
      </c>
      <c r="E210" s="13">
        <v>42813.000879629632</v>
      </c>
      <c r="F210" s="13">
        <v>42813.006377314814</v>
      </c>
      <c r="G210" s="7">
        <v>2</v>
      </c>
      <c r="H210" s="21" t="s">
        <v>209</v>
      </c>
      <c r="I210" s="13">
        <v>42813.006585648145</v>
      </c>
      <c r="J210" s="7">
        <v>0</v>
      </c>
      <c r="K210" s="98" t="str">
        <f t="shared" si="92"/>
        <v>4029/4030</v>
      </c>
      <c r="L210" s="21" t="str">
        <f>VLOOKUP(A210,'Trips&amp;Operators'!$C$1:$G$99999,5,FALSE)</f>
        <v>SMITH MICHAEL</v>
      </c>
      <c r="M210" s="6">
        <f t="shared" si="93"/>
        <v>2.0833333110203966E-4</v>
      </c>
      <c r="N210" s="7">
        <f t="shared" si="85"/>
        <v>0.29999999678693712</v>
      </c>
      <c r="O210" s="7"/>
      <c r="P210" s="7"/>
      <c r="Q210" s="22"/>
      <c r="R210" s="22"/>
      <c r="S210" s="31">
        <f t="shared" ref="S210:S218" si="102">SUM(U210:U210)/IF(AG210="EC",12,1)</f>
        <v>0</v>
      </c>
      <c r="T210" s="46" t="e">
        <f t="shared" si="94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95"/>
        <v>https://d0f6bd738d7f1b3e5a7ca70fe4ff75f0.us-east-1.aws.found.io/app/kibana#/discover/Steve-Slow-Train-Analysis-(2080s-and-2083s)?_g=(refreshInterval:(display:Off,pause:!f,section:0,value:0),time:(from:'2017-03-18T23:01:16-0600',mode:absolute,to:'2017-03-19T01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0" s="187" t="str">
        <f t="shared" si="96"/>
        <v>Y</v>
      </c>
      <c r="X210" s="187" t="e">
        <f t="shared" si="88"/>
        <v>#VALUE!</v>
      </c>
      <c r="Y210" s="62">
        <f t="shared" si="86"/>
        <v>4.58E-2</v>
      </c>
      <c r="Z210" s="62">
        <f t="shared" si="87"/>
        <v>4.5999999999999999E-2</v>
      </c>
      <c r="AA210" s="62">
        <f t="shared" si="97"/>
        <v>1.9999999999999879E-4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8"/>
        <v>55-18</v>
      </c>
      <c r="AE210" s="85" t="str">
        <f t="shared" si="99"/>
        <v>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 &amp; aws s3 cp s3://rtdc.mdm.uploadarchive.raw/RTDC4029/ "%USERPROFILE%\AppData\Local\Temp\OnboardLogs"\RTDC4029\2017-03-20 --exclude "*" --recursive --include "*20170320*" &amp; "%USERPROFILE%\Documents\GitHub\mrs-test-scripts\Headless Mode &amp; Sideloading\WalkAndUnGZ.bat" "%USERPROFILE%\AppData\Local\Temp\OnboardLogs"\RTDC4029\2017-03-20</v>
      </c>
      <c r="AF210" s="82" t="str">
        <f t="shared" si="100"/>
        <v>"C:\Program Files (x86)\AstroGrep\AstroGrep.exe" /e /r /s /spath="%USERPROFILE%\AppData\Local\Temp\OnboardLogs" /stypes="app*4029*20170319*" /stext=" 06:.+((SYSTEM_STATE.+slice.+state.+changed )|(ment ac)|(multiple cpu faults)|(system.+state.+changed )|(\[timeout)|(PRM\|1\|D)|(kpr)|(kdp)|(\|lc)|(penalty))"</v>
      </c>
      <c r="AG210" s="1" t="str">
        <f t="shared" si="101"/>
        <v>Other</v>
      </c>
      <c r="AH210" s="86" t="str">
        <f t="shared" si="89"/>
        <v>"%USERPROFILE%\Documents\GitHub\eaglep3\Utilities\RefineRTDCRunTimes.py" --tripid 55-18 --locoid 4029 --swversion DE.1.0.9.0 --startMP 204:458 --initTime 2017-03-19T00:01:16 --startdatetime 2017-03-19T00:09:11 --delay 2 --endMP 204:460 --enddatetime 2017-03-19T00:09:29 --enforcementcount 0 &gt;&gt;C:\Users\stu\Documents\GitHub\eaglep3-reporting\EC\2017-03-18-refined-times.txt</v>
      </c>
      <c r="AI210" s="108" t="str">
        <f t="shared" si="90"/>
        <v>echo {"issue":{"subject":"","project_id":79,"tracker_id":40,"status_id":1,"priority_id":2,"assigned_to_id":23,"start_date":"2017-03-19","description":"","custom_fields":[{"id":1,"name":"Subdivision","value":"Other"},{"id":4,"name":"Milepost","value":"0.046"},{"id":17,"name":"Train ID","value":"55-18"},{"id":16,"name":"Locomotive ID","value":"4029"},{"id":130,"name":"Impact","value":""},{"id":150,"name":"Time of Event (Mountain Time)","value":"00:09:29"},{"id":151,"name":"Denver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1"/>
        <v>start /low /b %USERPROFILE%\Documents\GitHub\eaglep3\Utilities\DownloadLogsFromS3.py --loco 4029 --day 2017-03-19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</row>
    <row r="211" spans="1:40" x14ac:dyDescent="0.25">
      <c r="A211" s="33" t="s">
        <v>731</v>
      </c>
      <c r="B211" s="7">
        <v>4012</v>
      </c>
      <c r="C211" s="21" t="s">
        <v>222</v>
      </c>
      <c r="D211" s="21" t="s">
        <v>908</v>
      </c>
      <c r="E211" s="13">
        <v>42812.736481481479</v>
      </c>
      <c r="F211" s="13">
        <v>42812.743379629632</v>
      </c>
      <c r="G211" s="7">
        <v>9</v>
      </c>
      <c r="H211" s="21" t="s">
        <v>492</v>
      </c>
      <c r="I211" s="13">
        <v>42812.749432870369</v>
      </c>
      <c r="J211" s="7">
        <v>0</v>
      </c>
      <c r="K211" s="98" t="str">
        <f t="shared" si="92"/>
        <v>4011/4012</v>
      </c>
      <c r="L211" s="21" t="str">
        <f>VLOOKUP(A211,'Trips&amp;Operators'!$C$1:$G$99999,5,FALSE)</f>
        <v>SAFIEF AEIMEN</v>
      </c>
      <c r="M211" s="6">
        <f t="shared" si="93"/>
        <v>6.0532407369464636E-3</v>
      </c>
      <c r="N211" s="7">
        <f t="shared" si="85"/>
        <v>8.7166666612029076</v>
      </c>
      <c r="O211" s="7"/>
      <c r="P211" s="7"/>
      <c r="Q211" s="22"/>
      <c r="R211" s="22"/>
      <c r="S211" s="31">
        <f t="shared" si="102"/>
        <v>0</v>
      </c>
      <c r="T211" s="46" t="e">
        <f t="shared" si="94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95"/>
        <v>https://d0f6bd738d7f1b3e5a7ca70fe4ff75f0.us-east-1.aws.found.io/app/kibana#/discover/Steve-Slow-Train-Analysis-(2080s-and-2083s)?_g=(refreshInterval:(display:Off,pause:!f,section:0,value:0),time:(from:'2017-03-18T16:40:32-0600',mode:absolute,to:'2017-03-18T18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187" t="str">
        <f t="shared" si="96"/>
        <v>Y</v>
      </c>
      <c r="X211" s="187" t="e">
        <f t="shared" si="88"/>
        <v>#VALUE!</v>
      </c>
      <c r="Y211" s="62">
        <f t="shared" si="86"/>
        <v>2.3468</v>
      </c>
      <c r="Z211" s="62">
        <f t="shared" si="87"/>
        <v>9.6699999999999994E-2</v>
      </c>
      <c r="AA211" s="62">
        <f t="shared" si="97"/>
        <v>2.2501000000000002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8"/>
        <v>70-18</v>
      </c>
      <c r="AE211" s="85" t="str">
        <f t="shared" si="99"/>
        <v>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 &amp; aws s3 cp s3://rtdc.mdm.uploadarchive.raw/RTDC4012/ "%USERPROFILE%\AppData\Local\Temp\OnboardLogs"\RTDC4012\2017-03-19 --exclude "*" --recursive --include "*20170319*" &amp; "%USERPROFILE%\Documents\GitHub\mrs-test-scripts\Headless Mode &amp; Sideloading\WalkAndUnGZ.bat" "%USERPROFILE%\AppData\Local\Temp\OnboardLogs"\RTDC4012\2017-03-19</v>
      </c>
      <c r="AF211" s="82" t="str">
        <f t="shared" si="100"/>
        <v>"C:\Program Files (x86)\AstroGrep\AstroGrep.exe" /e /r /s /spath="%USERPROFILE%\AppData\Local\Temp\OnboardLogs" /stypes="app*4012*20170318*" /stext=" 23:.+((SYSTEM_STATE.+slice.+state.+changed )|(ment ac)|(multiple cpu faults)|(system.+state.+changed )|(\[timeout)|(PRM\|1\|D)|(kpr)|(kdp)|(\|lc)|(penalty))"</v>
      </c>
      <c r="AG211" s="1" t="str">
        <f t="shared" si="101"/>
        <v>Other</v>
      </c>
      <c r="AH211" s="86" t="str">
        <f t="shared" si="89"/>
        <v>"%USERPROFILE%\Documents\GitHub\eaglep3\Utilities\RefineRTDCRunTimes.py" --tripid 70-18 --locoid 4012 --swversion DE.1.0.9.0 --startMP 300:23468 --initTime 2017-03-18T17:40:32 --startdatetime 2017-03-18T17:50:28 --delay 9 --endMP 204:967 --enddatetime 2017-03-18T17:59:11 --enforcementcount 0 &gt;&gt;C:\Users\stu\Documents\GitHub\eaglep3-reporting\EC\2017-03-18-refined-times.txt</v>
      </c>
      <c r="AI211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{"issue":{"subject":"","project_id":79,"tracker_id":40,"status_id":1,"priority_id":2,"assigned_to_id":23,"start_date":"2017-03-18","description":"","custom_fields":[{"id":1,"name":"Subdivision","value":"Other"},{"id":4,"name":"Milepost","value":"0.0967"},{"id":17,"name":"Train ID","value":"70-18"},{"id":16,"name":"Locomotive ID","value":"4012"},{"id":130,"name":"Impact","value":""},{"id":150,"name":"Time of Event (Mountain Time)","value":"17:59:11"},{"id":151,"name":"Denver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1"/>
        <v>start /low /b %USERPROFILE%\Documents\GitHub\eaglep3\Utilities\DownloadLogsFromS3.py --loco 4012 --day 2017-03-18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"%USERPROFILE%\AppData\Local\Temp\OnboardLogs"\RTDC4012\*4012*20170318* | grep -SE "(Enforcement Action)|(\[TIMEOUT)|(CHR.+\|PRM\|1\|D.+(SWITCH|SIGNAL).+UNKNOWN)" - &gt;&gt; 2017-03-18-UncaughtWiMAX.txt</v>
      </c>
    </row>
    <row r="212" spans="1:40" x14ac:dyDescent="0.25">
      <c r="A212" s="33" t="s">
        <v>512</v>
      </c>
      <c r="B212" s="7">
        <v>4045</v>
      </c>
      <c r="C212" s="21" t="s">
        <v>222</v>
      </c>
      <c r="D212" s="21" t="s">
        <v>555</v>
      </c>
      <c r="E212" s="13">
        <v>42812.080752314818</v>
      </c>
      <c r="F212" s="13">
        <v>42812.114212962966</v>
      </c>
      <c r="G212" s="7">
        <v>1</v>
      </c>
      <c r="H212" s="21" t="s">
        <v>556</v>
      </c>
      <c r="I212" s="13">
        <v>42812.120856481481</v>
      </c>
      <c r="J212" s="7">
        <v>0</v>
      </c>
      <c r="K212" s="98" t="str">
        <f t="shared" si="92"/>
        <v>4045/4046</v>
      </c>
      <c r="L212" s="21" t="str">
        <f>VLOOKUP(A212,'Trips&amp;Operators'!$C$1:$G$99999,5,FALSE)</f>
        <v>MAGEE KENYA</v>
      </c>
      <c r="M212" s="6">
        <f t="shared" si="93"/>
        <v>6.6435185144655406E-3</v>
      </c>
      <c r="N212" s="7">
        <f t="shared" si="85"/>
        <v>9.5666666608303785</v>
      </c>
      <c r="O212" s="7"/>
      <c r="P212" s="7"/>
      <c r="Q212" s="22"/>
      <c r="R212" s="22"/>
      <c r="S212" s="31">
        <f t="shared" si="102"/>
        <v>0</v>
      </c>
      <c r="T212" s="46" t="e">
        <f t="shared" si="94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95"/>
        <v>https://d0f6bd738d7f1b3e5a7ca70fe4ff75f0.us-east-1.aws.found.io/app/kibana#/discover/Steve-Slow-Train-Analysis-(2080s-and-2083s)?_g=(refreshInterval:(display:Off,pause:!f,section:0,value:0),time:(from:'2017-03-18T00:56:17-0600',mode:absolute,to:'2017-03-18T03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187" t="str">
        <f t="shared" si="96"/>
        <v>N</v>
      </c>
      <c r="X212" s="187" t="e">
        <f t="shared" si="88"/>
        <v>#VALUE!</v>
      </c>
      <c r="Y212" s="62">
        <f t="shared" si="86"/>
        <v>10.7189</v>
      </c>
      <c r="Z212" s="62">
        <f t="shared" si="87"/>
        <v>1.0214000000000001</v>
      </c>
      <c r="AA212" s="62">
        <f t="shared" si="97"/>
        <v>9.6974999999999998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8"/>
        <v>88-17</v>
      </c>
      <c r="AE212" s="85" t="str">
        <f t="shared" si="99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12" s="82" t="str">
        <f t="shared" si="100"/>
        <v>"C:\Program Files (x86)\AstroGrep\AstroGrep.exe" /e /r /s /spath="%USERPROFILE%\AppData\Local\Temp\OnboardLogs" /stypes="app*4045*20170318*" /stext=" 08:.+((SYSTEM_STATE.+slice.+state.+changed )|(ment ac)|(multiple cpu faults)|(system.+state.+changed )|(\[timeout)|(PRM\|1\|D)|(kpr)|(kdp)|(\|lc)|(penalty))"</v>
      </c>
      <c r="AG212" s="1" t="str">
        <f t="shared" si="101"/>
        <v>Other</v>
      </c>
      <c r="AH212" s="86" t="str">
        <f t="shared" si="89"/>
        <v>"%USERPROFILE%\Documents\GitHub\eaglep3\Utilities\RefineRTDCRunTimes.py" --tripid 88-17 --locoid 4045 --swversion DE.1.0.9.0 --startMP 204:107189 --initTime 2017-03-18T01:56:17 --startdatetime 2017-03-18T02:44:28 --delay 1 --endMP 204:10214 --enddatetime 2017-03-18T02:54:02 --enforcementcount 0 &gt;&gt;C:\Users\stu\Documents\GitHub\eaglep3-reporting\EC\2017-03-18-refined-times.txt</v>
      </c>
      <c r="AI212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{"issue":{"subject":"","project_id":79,"tracker_id":40,"status_id":1,"priority_id":2,"assigned_to_id":23,"start_date":"2017-03-18","description":"","custom_fields":[{"id":1,"name":"Subdivision","value":"Other"},{"id":4,"name":"Milepost","value":"1.0214"},{"id":17,"name":"Train ID","value":"88-17"},{"id":16,"name":"Locomotive ID","value":"4045"},{"id":130,"name":"Impact","value":""},{"id":150,"name":"Time of Event (Mountain Time)","value":"02:54:02"},{"id":151,"name":"Denver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1"/>
        <v>start /low /b %USERPROFILE%\Documents\GitHub\eaglep3\Utilities\DownloadLogsFromS3.py --loco 4045 --day 2017-03-18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2017-03-18-UncaughtWiMAX.txt</v>
      </c>
    </row>
    <row r="213" spans="1:40" x14ac:dyDescent="0.25">
      <c r="A213" s="33" t="s">
        <v>512</v>
      </c>
      <c r="B213" s="7">
        <v>4045</v>
      </c>
      <c r="C213" s="21" t="s">
        <v>222</v>
      </c>
      <c r="D213" s="21" t="s">
        <v>557</v>
      </c>
      <c r="E213" s="13">
        <v>42812.11309027778</v>
      </c>
      <c r="F213" s="13">
        <v>42812.141238425924</v>
      </c>
      <c r="G213" s="7">
        <v>1</v>
      </c>
      <c r="H213" s="21" t="s">
        <v>558</v>
      </c>
      <c r="I213" s="13">
        <v>42812.142268518517</v>
      </c>
      <c r="J213" s="7">
        <v>0</v>
      </c>
      <c r="K213" s="98" t="str">
        <f t="shared" si="92"/>
        <v>4045/4046</v>
      </c>
      <c r="L213" s="21" t="str">
        <f>VLOOKUP(A213,'Trips&amp;Operators'!$C$1:$G$99999,5,FALSE)</f>
        <v>MAGEE KENYA</v>
      </c>
      <c r="M213" s="6">
        <f t="shared" si="93"/>
        <v>1.0300925932824612E-3</v>
      </c>
      <c r="N213" s="7">
        <f t="shared" si="85"/>
        <v>1.4833333343267441</v>
      </c>
      <c r="O213" s="7"/>
      <c r="P213" s="7"/>
      <c r="Q213" s="22"/>
      <c r="R213" s="22"/>
      <c r="S213" s="31">
        <f t="shared" si="102"/>
        <v>0</v>
      </c>
      <c r="T213" s="46" t="e">
        <f t="shared" si="94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95"/>
        <v>https://d0f6bd738d7f1b3e5a7ca70fe4ff75f0.us-east-1.aws.found.io/app/kibana#/discover/Steve-Slow-Train-Analysis-(2080s-and-2083s)?_g=(refreshInterval:(display:Off,pause:!f,section:0,value:0),time:(from:'2017-03-18T01:42:51-0600',mode:absolute,to:'2017-03-18T04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3" s="187" t="str">
        <f t="shared" si="96"/>
        <v>Y</v>
      </c>
      <c r="X213" s="187" t="e">
        <f t="shared" si="88"/>
        <v>#VALUE!</v>
      </c>
      <c r="Y213" s="62">
        <f t="shared" si="86"/>
        <v>11.5914</v>
      </c>
      <c r="Z213" s="62">
        <f t="shared" si="87"/>
        <v>6.4141000000000004</v>
      </c>
      <c r="AA213" s="62">
        <f t="shared" si="97"/>
        <v>5.1772999999999998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8"/>
        <v>88-17</v>
      </c>
      <c r="AE213" s="85" t="str">
        <f t="shared" si="99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13" s="82" t="str">
        <f t="shared" si="100"/>
        <v>"C:\Program Files (x86)\AstroGrep\AstroGrep.exe" /e /r /s /spath="%USERPROFILE%\AppData\Local\Temp\OnboardLogs" /stypes="app*4045*20170318*" /stext=" 09:.+((SYSTEM_STATE.+slice.+state.+changed )|(ment ac)|(multiple cpu faults)|(system.+state.+changed )|(\[timeout)|(PRM\|1\|D)|(kpr)|(kdp)|(\|lc)|(penalty))"</v>
      </c>
      <c r="AG213" s="1" t="str">
        <f t="shared" si="101"/>
        <v>Other</v>
      </c>
      <c r="AH213" s="86" t="str">
        <f t="shared" si="89"/>
        <v>"%USERPROFILE%\Documents\GitHub\eaglep3\Utilities\RefineRTDCRunTimes.py" --tripid 88-17 --locoid 4045 --swversion DE.1.0.9.0 --startMP 204:115914 --initTime 2017-03-18T02:42:51 --startdatetime 2017-03-18T03:23:23 --delay 1 --endMP 204:64141 --enddatetime 2017-03-18T03:24:52 --enforcementcount 0 &gt;&gt;C:\Users\stu\Documents\GitHub\eaglep3-reporting\EC\2017-03-18-refined-times.txt</v>
      </c>
      <c r="AI213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{"issue":{"subject":"","project_id":79,"tracker_id":40,"status_id":1,"priority_id":2,"assigned_to_id":23,"start_date":"2017-03-18","description":"","custom_fields":[{"id":1,"name":"Subdivision","value":"Other"},{"id":4,"name":"Milepost","value":"6.4141"},{"id":17,"name":"Train ID","value":"88-17"},{"id":16,"name":"Locomotive ID","value":"4045"},{"id":130,"name":"Impact","value":""},{"id":150,"name":"Time of Event (Mountain Time)","value":"03:24:52"},{"id":151,"name":"Denver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1"/>
        <v>start /low /b %USERPROFILE%\Documents\GitHub\eaglep3\Utilities\DownloadLogsFromS3.py --loco 4045 --day 2017-03-18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2017-03-18-UncaughtWiMAX.txt</v>
      </c>
    </row>
    <row r="214" spans="1:40" x14ac:dyDescent="0.25">
      <c r="A214" s="33" t="s">
        <v>512</v>
      </c>
      <c r="B214" s="7">
        <v>4045</v>
      </c>
      <c r="C214" s="21" t="s">
        <v>222</v>
      </c>
      <c r="D214" s="21" t="s">
        <v>909</v>
      </c>
      <c r="E214" s="13">
        <v>42812.151226851849</v>
      </c>
      <c r="F214" s="13">
        <v>42812.152175925927</v>
      </c>
      <c r="G214" s="7">
        <v>1</v>
      </c>
      <c r="H214" s="21" t="s">
        <v>910</v>
      </c>
      <c r="I214" s="13">
        <v>42812.174375000002</v>
      </c>
      <c r="J214" s="7">
        <v>0</v>
      </c>
      <c r="K214" s="98" t="str">
        <f t="shared" si="92"/>
        <v>4045/4046</v>
      </c>
      <c r="L214" s="21" t="str">
        <f>VLOOKUP(A214,'Trips&amp;Operators'!$C$1:$G$99999,5,FALSE)</f>
        <v>MAGEE KENYA</v>
      </c>
      <c r="M214" s="6">
        <f t="shared" si="93"/>
        <v>2.2199074075615499E-2</v>
      </c>
      <c r="N214" s="7">
        <f t="shared" si="85"/>
        <v>31.966666668886319</v>
      </c>
      <c r="O214" s="7"/>
      <c r="P214" s="7"/>
      <c r="Q214" s="22"/>
      <c r="R214" s="22"/>
      <c r="S214" s="31">
        <f t="shared" si="102"/>
        <v>0</v>
      </c>
      <c r="T214" s="46" t="e">
        <f t="shared" si="94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95"/>
        <v>https://d0f6bd738d7f1b3e5a7ca70fe4ff75f0.us-east-1.aws.found.io/app/kibana#/discover/Steve-Slow-Train-Analysis-(2080s-and-2083s)?_g=(refreshInterval:(display:Off,pause:!f,section:0,value:0),time:(from:'2017-03-18T02:37:46-0600',mode:absolute,to:'2017-03-18T05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87" t="str">
        <f t="shared" si="96"/>
        <v>N</v>
      </c>
      <c r="X214" s="187" t="e">
        <f t="shared" si="88"/>
        <v>#VALUE!</v>
      </c>
      <c r="Y214" s="62">
        <f t="shared" si="86"/>
        <v>19.232600000000001</v>
      </c>
      <c r="Z214" s="62">
        <f t="shared" si="87"/>
        <v>0.16789999999999999</v>
      </c>
      <c r="AA214" s="62">
        <f t="shared" si="97"/>
        <v>19.064700000000002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8"/>
        <v>88-17</v>
      </c>
      <c r="AE214" s="85" t="str">
        <f t="shared" si="99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14" s="82" t="str">
        <f t="shared" si="100"/>
        <v>"C:\Program Files (x86)\AstroGrep\AstroGrep.exe" /e /r /s /spath="%USERPROFILE%\AppData\Local\Temp\OnboardLogs" /stypes="app*4045*20170318*" /stext=" 10:.+((SYSTEM_STATE.+slice.+state.+changed )|(ment ac)|(multiple cpu faults)|(system.+state.+changed )|(\[timeout)|(PRM\|1\|D)|(kpr)|(kdp)|(\|lc)|(penalty))"</v>
      </c>
      <c r="AG214" s="1" t="str">
        <f t="shared" si="101"/>
        <v>Other</v>
      </c>
      <c r="AH214" s="86" t="str">
        <f t="shared" si="89"/>
        <v>"%USERPROFILE%\Documents\GitHub\eaglep3\Utilities\RefineRTDCRunTimes.py" --tripid 88-17 --locoid 4045 --swversion DE.1.0.9.0 --startMP 204:192326 --initTime 2017-03-18T03:37:46 --startdatetime 2017-03-18T03:39:08 --delay 1 --endMP 204:1679 --enddatetime 2017-03-18T04:11:06 --enforcementcount 0 &gt;&gt;C:\Users\stu\Documents\GitHub\eaglep3-reporting\EC\2017-03-18-refined-times.txt</v>
      </c>
      <c r="AI214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{"issue":{"subject":"","project_id":79,"tracker_id":40,"status_id":1,"priority_id":2,"assigned_to_id":23,"start_date":"2017-03-18","description":"","custom_fields":[{"id":1,"name":"Subdivision","value":"Other"},{"id":4,"name":"Milepost","value":"0.1679"},{"id":17,"name":"Train ID","value":"88-17"},{"id":16,"name":"Locomotive ID","value":"4045"},{"id":130,"name":"Impact","value":""},{"id":150,"name":"Time of Event (Mountain Time)","value":"04:11:06"},{"id":151,"name":"Denver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1"/>
        <v>start /low /b %USERPROFILE%\Documents\GitHub\eaglep3\Utilities\DownloadLogsFromS3.py --loco 4045 --day 2017-03-18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2017-03-18-UncaughtWiMAX.txt</v>
      </c>
    </row>
    <row r="215" spans="1:40" x14ac:dyDescent="0.25">
      <c r="A215" s="33" t="s">
        <v>512</v>
      </c>
      <c r="B215" s="7">
        <v>4046</v>
      </c>
      <c r="C215" s="21" t="s">
        <v>222</v>
      </c>
      <c r="D215" s="21" t="s">
        <v>559</v>
      </c>
      <c r="E215" s="13">
        <v>42812.096215277779</v>
      </c>
      <c r="F215" s="13">
        <v>42812.124097222222</v>
      </c>
      <c r="G215" s="7">
        <v>1</v>
      </c>
      <c r="H215" s="21" t="s">
        <v>560</v>
      </c>
      <c r="I215" s="13">
        <v>42812.136307870373</v>
      </c>
      <c r="J215" s="7">
        <v>0</v>
      </c>
      <c r="K215" s="98" t="str">
        <f t="shared" si="92"/>
        <v>4045/4046</v>
      </c>
      <c r="L215" s="21" t="str">
        <f>VLOOKUP(A215,'Trips&amp;Operators'!$C$1:$G$99999,5,FALSE)</f>
        <v>MAGEE KENYA</v>
      </c>
      <c r="M215" s="6">
        <f t="shared" si="93"/>
        <v>1.2210648150357883E-2</v>
      </c>
      <c r="N215" s="7">
        <f t="shared" si="85"/>
        <v>17.583333336515352</v>
      </c>
      <c r="O215" s="7"/>
      <c r="P215" s="7"/>
      <c r="Q215" s="22"/>
      <c r="R215" s="22"/>
      <c r="S215" s="31">
        <f t="shared" si="102"/>
        <v>0</v>
      </c>
      <c r="T215" s="46" t="e">
        <f t="shared" si="94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95"/>
        <v>https://d0f6bd738d7f1b3e5a7ca70fe4ff75f0.us-east-1.aws.found.io/app/kibana#/discover/Steve-Slow-Train-Analysis-(2080s-and-2083s)?_g=(refreshInterval:(display:Off,pause:!f,section:0,value:0),time:(from:'2017-03-18T01:18:33-0600',mode:absolute,to:'2017-03-18T04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5" s="187" t="str">
        <f t="shared" si="96"/>
        <v>N</v>
      </c>
      <c r="X215" s="187" t="e">
        <f t="shared" si="88"/>
        <v>#VALUE!</v>
      </c>
      <c r="Y215" s="62">
        <f t="shared" si="86"/>
        <v>1.0444</v>
      </c>
      <c r="Z215" s="62">
        <f t="shared" si="87"/>
        <v>11.624000000000001</v>
      </c>
      <c r="AA215" s="62">
        <f t="shared" si="97"/>
        <v>10.579600000000001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8"/>
        <v>88-17</v>
      </c>
      <c r="AE215" s="85" t="str">
        <f t="shared" si="99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15" s="82" t="str">
        <f t="shared" si="100"/>
        <v>"C:\Program Files (x86)\AstroGrep\AstroGrep.exe" /e /r /s /spath="%USERPROFILE%\AppData\Local\Temp\OnboardLogs" /stypes="app*4046*20170318*" /stext=" 09:.+((SYSTEM_STATE.+slice.+state.+changed )|(ment ac)|(multiple cpu faults)|(system.+state.+changed )|(\[timeout)|(PRM\|1\|D)|(kpr)|(kdp)|(\|lc)|(penalty))"</v>
      </c>
      <c r="AG215" s="1" t="str">
        <f t="shared" si="101"/>
        <v>Other</v>
      </c>
      <c r="AH215" s="86" t="str">
        <f t="shared" si="89"/>
        <v>"%USERPROFILE%\Documents\GitHub\eaglep3\Utilities\RefineRTDCRunTimes.py" --tripid 88-17 --locoid 4046 --swversion DE.1.0.9.0 --startMP 204:10444 --initTime 2017-03-18T02:18:33 --startdatetime 2017-03-18T02:58:42 --delay 1 --endMP 204:116240 --enddatetime 2017-03-18T03:16:17 --enforcementcount 0 &gt;&gt;C:\Users\stu\Documents\GitHub\eaglep3-reporting\EC\2017-03-18-refined-times.txt</v>
      </c>
      <c r="AI215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{"issue":{"subject":"","project_id":79,"tracker_id":40,"status_id":1,"priority_id":2,"assigned_to_id":23,"start_date":"2017-03-18","description":"","custom_fields":[{"id":1,"name":"Subdivision","value":"Other"},{"id":4,"name":"Milepost","value":"11.624"},{"id":17,"name":"Train ID","value":"88-17"},{"id":16,"name":"Locomotive ID","value":"4046"},{"id":130,"name":"Impact","value":""},{"id":150,"name":"Time of Event (Mountain Time)","value":"03:16:17"},{"id":151,"name":"Denver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1"/>
        <v>start /low /b %USERPROFILE%\Documents\GitHub\eaglep3\Utilities\DownloadLogsFromS3.py --loco 4046 --day 2017-03-18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2017-03-18-UncaughtWiMAX.txt</v>
      </c>
    </row>
    <row r="216" spans="1:40" x14ac:dyDescent="0.25">
      <c r="A216" s="33" t="s">
        <v>512</v>
      </c>
      <c r="B216" s="7">
        <v>4046</v>
      </c>
      <c r="C216" s="21" t="s">
        <v>222</v>
      </c>
      <c r="D216" s="21" t="s">
        <v>911</v>
      </c>
      <c r="E216" s="13">
        <v>42812.140115740738</v>
      </c>
      <c r="F216" s="13">
        <v>42812.152175925927</v>
      </c>
      <c r="G216" s="7">
        <v>1</v>
      </c>
      <c r="H216" s="21" t="s">
        <v>912</v>
      </c>
      <c r="I216" s="13">
        <v>42812.174375000002</v>
      </c>
      <c r="J216" s="7">
        <v>0</v>
      </c>
      <c r="K216" s="98" t="str">
        <f t="shared" si="92"/>
        <v>4045/4046</v>
      </c>
      <c r="L216" s="21" t="str">
        <f>VLOOKUP(A216,'Trips&amp;Operators'!$C$1:$G$99999,5,FALSE)</f>
        <v>MAGEE KENYA</v>
      </c>
      <c r="M216" s="6">
        <f t="shared" si="93"/>
        <v>2.2199074075615499E-2</v>
      </c>
      <c r="N216" s="7">
        <f t="shared" si="85"/>
        <v>31.966666668886319</v>
      </c>
      <c r="O216" s="7"/>
      <c r="P216" s="7"/>
      <c r="Q216" s="22"/>
      <c r="R216" s="22"/>
      <c r="S216" s="31">
        <f t="shared" si="102"/>
        <v>0</v>
      </c>
      <c r="T216" s="46" t="e">
        <f t="shared" si="94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95"/>
        <v>https://d0f6bd738d7f1b3e5a7ca70fe4ff75f0.us-east-1.aws.found.io/app/kibana#/discover/Steve-Slow-Train-Analysis-(2080s-and-2083s)?_g=(refreshInterval:(display:Off,pause:!f,section:0,value:0),time:(from:'2017-03-18T02:21:46-0600',mode:absolute,to:'2017-03-18T05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6" s="187" t="str">
        <f t="shared" si="96"/>
        <v>Y</v>
      </c>
      <c r="X216" s="187" t="e">
        <f t="shared" si="88"/>
        <v>#VALUE!</v>
      </c>
      <c r="Y216" s="62">
        <f t="shared" si="86"/>
        <v>15.4445</v>
      </c>
      <c r="Z216" s="62">
        <f t="shared" si="87"/>
        <v>15.9533</v>
      </c>
      <c r="AA216" s="62">
        <f t="shared" si="97"/>
        <v>0.50880000000000081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8"/>
        <v>88-17</v>
      </c>
      <c r="AE216" s="85" t="str">
        <f t="shared" si="99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16" s="82" t="str">
        <f t="shared" si="100"/>
        <v>"C:\Program Files (x86)\AstroGrep\AstroGrep.exe" /e /r /s /spath="%USERPROFILE%\AppData\Local\Temp\OnboardLogs" /stypes="app*4046*20170318*" /stext=" 10:.+((SYSTEM_STATE.+slice.+state.+changed )|(ment ac)|(multiple cpu faults)|(system.+state.+changed )|(\[timeout)|(PRM\|1\|D)|(kpr)|(kdp)|(\|lc)|(penalty))"</v>
      </c>
      <c r="AG216" s="1" t="str">
        <f t="shared" si="101"/>
        <v>Other</v>
      </c>
      <c r="AH216" s="86" t="str">
        <f t="shared" si="89"/>
        <v>"%USERPROFILE%\Documents\GitHub\eaglep3\Utilities\RefineRTDCRunTimes.py" --tripid 88-17 --locoid 4046 --swversion DE.1.0.9.0 --startMP 204:154445 --initTime 2017-03-18T03:21:46 --startdatetime 2017-03-18T03:39:08 --delay 1 --endMP 204:159533 --enddatetime 2017-03-18T04:11:06 --enforcementcount 0 &gt;&gt;C:\Users\stu\Documents\GitHub\eaglep3-reporting\EC\2017-03-18-refined-times.txt</v>
      </c>
      <c r="AI216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{"issue":{"subject":"","project_id":79,"tracker_id":40,"status_id":1,"priority_id":2,"assigned_to_id":23,"start_date":"2017-03-18","description":"","custom_fields":[{"id":1,"name":"Subdivision","value":"Other"},{"id":4,"name":"Milepost","value":"15.9533"},{"id":17,"name":"Train ID","value":"88-17"},{"id":16,"name":"Locomotive ID","value":"4046"},{"id":130,"name":"Impact","value":""},{"id":150,"name":"Time of Event (Mountain Time)","value":"04:11:06"},{"id":151,"name":"Denver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1"/>
        <v>start /low /b %USERPROFILE%\Documents\GitHub\eaglep3\Utilities\DownloadLogsFromS3.py --loco 4046 --day 2017-03-18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2017-03-18-UncaughtWiMAX.txt</v>
      </c>
    </row>
    <row r="217" spans="1:40" x14ac:dyDescent="0.25">
      <c r="A217" s="33" t="s">
        <v>512</v>
      </c>
      <c r="B217" s="7">
        <v>4046</v>
      </c>
      <c r="C217" s="21" t="s">
        <v>222</v>
      </c>
      <c r="D217" s="21" t="s">
        <v>913</v>
      </c>
      <c r="E217" s="13">
        <v>42812.14466435185</v>
      </c>
      <c r="F217" s="13">
        <v>42812.152175925927</v>
      </c>
      <c r="G217" s="7">
        <v>1</v>
      </c>
      <c r="H217" s="21" t="s">
        <v>914</v>
      </c>
      <c r="I217" s="13">
        <v>42812.174375000002</v>
      </c>
      <c r="J217" s="7">
        <v>0</v>
      </c>
      <c r="K217" s="98" t="str">
        <f t="shared" si="92"/>
        <v>4045/4046</v>
      </c>
      <c r="L217" s="21" t="str">
        <f>VLOOKUP(A217,'Trips&amp;Operators'!$C$1:$G$99999,5,FALSE)</f>
        <v>MAGEE KENYA</v>
      </c>
      <c r="M217" s="6">
        <f t="shared" si="93"/>
        <v>2.2199074075615499E-2</v>
      </c>
      <c r="N217" s="7">
        <f t="shared" si="85"/>
        <v>31.966666668886319</v>
      </c>
      <c r="O217" s="7"/>
      <c r="P217" s="7"/>
      <c r="Q217" s="22"/>
      <c r="R217" s="22"/>
      <c r="S217" s="31">
        <f t="shared" si="102"/>
        <v>0</v>
      </c>
      <c r="T217" s="46" t="e">
        <f t="shared" si="94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95"/>
        <v>https://d0f6bd738d7f1b3e5a7ca70fe4ff75f0.us-east-1.aws.found.io/app/kibana#/discover/Steve-Slow-Train-Analysis-(2080s-and-2083s)?_g=(refreshInterval:(display:Off,pause:!f,section:0,value:0),time:(from:'2017-03-18T02:28:19-0600',mode:absolute,to:'2017-03-18T05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187" t="str">
        <f t="shared" si="96"/>
        <v>Y</v>
      </c>
      <c r="X217" s="187" t="e">
        <f t="shared" si="88"/>
        <v>#VALUE!</v>
      </c>
      <c r="Y217" s="62">
        <f t="shared" si="86"/>
        <v>15.952299999999999</v>
      </c>
      <c r="Z217" s="62">
        <f t="shared" si="87"/>
        <v>19.267099999999999</v>
      </c>
      <c r="AA217" s="62">
        <f t="shared" si="97"/>
        <v>3.3148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8"/>
        <v>88-17</v>
      </c>
      <c r="AE217" s="85" t="str">
        <f t="shared" si="99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17" s="82" t="str">
        <f t="shared" si="100"/>
        <v>"C:\Program Files (x86)\AstroGrep\AstroGrep.exe" /e /r /s /spath="%USERPROFILE%\AppData\Local\Temp\OnboardLogs" /stypes="app*4046*20170318*" /stext=" 10:.+((SYSTEM_STATE.+slice.+state.+changed )|(ment ac)|(multiple cpu faults)|(system.+state.+changed )|(\[timeout)|(PRM\|1\|D)|(kpr)|(kdp)|(\|lc)|(penalty))"</v>
      </c>
      <c r="AG217" s="1" t="str">
        <f t="shared" si="101"/>
        <v>Other</v>
      </c>
      <c r="AH217" s="86" t="str">
        <f t="shared" si="89"/>
        <v>"%USERPROFILE%\Documents\GitHub\eaglep3\Utilities\RefineRTDCRunTimes.py" --tripid 88-17 --locoid 4046 --swversion DE.1.0.9.0 --startMP 204:159523 --initTime 2017-03-18T03:28:19 --startdatetime 2017-03-18T03:39:08 --delay 1 --endMP 204:192671 --enddatetime 2017-03-18T04:11:06 --enforcementcount 0 &gt;&gt;C:\Users\stu\Documents\GitHub\eaglep3-reporting\EC\2017-03-18-refined-times.txt</v>
      </c>
      <c r="AI217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{"issue":{"subject":"","project_id":79,"tracker_id":40,"status_id":1,"priority_id":2,"assigned_to_id":23,"start_date":"2017-03-18","description":"","custom_fields":[{"id":1,"name":"Subdivision","value":"Other"},{"id":4,"name":"Milepost","value":"19.2671"},{"id":17,"name":"Train ID","value":"88-17"},{"id":16,"name":"Locomotive ID","value":"4046"},{"id":130,"name":"Impact","value":""},{"id":150,"name":"Time of Event (Mountain Time)","value":"04:11:06"},{"id":151,"name":"Denver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1"/>
        <v>start /low /b %USERPROFILE%\Documents\GitHub\eaglep3\Utilities\DownloadLogsFromS3.py --loco 4046 --day 2017-03-18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2017-03-18-UncaughtWiMAX.txt</v>
      </c>
    </row>
    <row r="218" spans="1:40" x14ac:dyDescent="0.25">
      <c r="A218" s="33" t="s">
        <v>512</v>
      </c>
      <c r="B218" s="7">
        <v>4046</v>
      </c>
      <c r="C218" s="21" t="s">
        <v>222</v>
      </c>
      <c r="D218" s="21" t="s">
        <v>915</v>
      </c>
      <c r="E218" s="13">
        <v>42812.122974537036</v>
      </c>
      <c r="F218" s="13">
        <v>42812.152175925927</v>
      </c>
      <c r="G218" s="7">
        <v>1</v>
      </c>
      <c r="H218" s="21" t="s">
        <v>916</v>
      </c>
      <c r="I218" s="13">
        <v>42812.174375000002</v>
      </c>
      <c r="J218" s="7">
        <v>0</v>
      </c>
      <c r="K218" s="98" t="str">
        <f t="shared" si="92"/>
        <v>4045/4046</v>
      </c>
      <c r="L218" s="21" t="str">
        <f>VLOOKUP(A218,'Trips&amp;Operators'!$C$1:$G$99999,5,FALSE)</f>
        <v>MAGEE KENYA</v>
      </c>
      <c r="M218" s="6">
        <f t="shared" si="93"/>
        <v>2.2199074075615499E-2</v>
      </c>
      <c r="N218" s="7">
        <f t="shared" si="85"/>
        <v>31.966666668886319</v>
      </c>
      <c r="O218" s="7"/>
      <c r="P218" s="7"/>
      <c r="Q218" s="22"/>
      <c r="R218" s="22"/>
      <c r="S218" s="31">
        <f t="shared" si="102"/>
        <v>0</v>
      </c>
      <c r="T218" s="46" t="e">
        <f t="shared" si="94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95"/>
        <v>https://d0f6bd738d7f1b3e5a7ca70fe4ff75f0.us-east-1.aws.found.io/app/kibana#/discover/Steve-Slow-Train-Analysis-(2080s-and-2083s)?_g=(refreshInterval:(display:Off,pause:!f,section:0,value:0),time:(from:'2017-03-18T01:57:05-0600',mode:absolute,to:'2017-03-18T05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8" s="187" t="str">
        <f t="shared" si="96"/>
        <v>N</v>
      </c>
      <c r="X218" s="187" t="e">
        <f t="shared" si="88"/>
        <v>#VALUE!</v>
      </c>
      <c r="Y218" s="62">
        <f t="shared" si="86"/>
        <v>6.4481999999999999</v>
      </c>
      <c r="Z218" s="62">
        <f t="shared" si="87"/>
        <v>15.444599999999999</v>
      </c>
      <c r="AA218" s="62">
        <f t="shared" si="97"/>
        <v>8.9963999999999995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8"/>
        <v>88-17</v>
      </c>
      <c r="AE218" s="85" t="str">
        <f t="shared" si="99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18" s="82" t="str">
        <f t="shared" si="100"/>
        <v>"C:\Program Files (x86)\AstroGrep\AstroGrep.exe" /e /r /s /spath="%USERPROFILE%\AppData\Local\Temp\OnboardLogs" /stypes="app*4046*20170318*" /stext=" 10:.+((SYSTEM_STATE.+slice.+state.+changed )|(ment ac)|(multiple cpu faults)|(system.+state.+changed )|(\[timeout)|(PRM\|1\|D)|(kpr)|(kdp)|(\|lc)|(penalty))"</v>
      </c>
      <c r="AG218" s="1" t="str">
        <f t="shared" si="101"/>
        <v>Other</v>
      </c>
      <c r="AH218" s="86" t="str">
        <f t="shared" si="89"/>
        <v>"%USERPROFILE%\Documents\GitHub\eaglep3\Utilities\RefineRTDCRunTimes.py" --tripid 88-17 --locoid 4046 --swversion DE.1.0.9.0 --startMP 204:64482 --initTime 2017-03-18T02:57:05 --startdatetime 2017-03-18T03:39:08 --delay 1 --endMP 204:154446 --enddatetime 2017-03-18T04:11:06 --enforcementcount 0 &gt;&gt;C:\Users\stu\Documents\GitHub\eaglep3-reporting\EC\2017-03-18-refined-times.txt</v>
      </c>
      <c r="AI218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{"issue":{"subject":"","project_id":79,"tracker_id":40,"status_id":1,"priority_id":2,"assigned_to_id":23,"start_date":"2017-03-18","description":"","custom_fields":[{"id":1,"name":"Subdivision","value":"Other"},{"id":4,"name":"Milepost","value":"15.4446"},{"id":17,"name":"Train ID","value":"88-17"},{"id":16,"name":"Locomotive ID","value":"4046"},{"id":130,"name":"Impact","value":""},{"id":150,"name":"Time of Event (Mountain Time)","value":"04:11:06"},{"id":151,"name":"Denver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1"/>
        <v>start /low /b %USERPROFILE%\Documents\GitHub\eaglep3\Utilities\DownloadLogsFromS3.py --loco 4046 --day 2017-03-18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2017-03-18-UncaughtWiMAX.txt</v>
      </c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</sheetData>
  <autoFilter ref="A12:AG268"/>
  <sortState ref="A13:AH200">
    <sortCondition ref="AG13:AG200"/>
    <sortCondition ref="AD13:AD200"/>
  </sortState>
  <mergeCells count="1">
    <mergeCell ref="A11:P11"/>
  </mergeCells>
  <conditionalFormatting sqref="W11:W12 W275:X1048576 W13:X218">
    <cfRule type="cellIs" dxfId="10" priority="370" operator="equal">
      <formula>"Y"</formula>
    </cfRule>
  </conditionalFormatting>
  <conditionalFormatting sqref="X275:X1048576 X13:X218">
    <cfRule type="cellIs" dxfId="9" priority="353" operator="greaterThan">
      <formula>1</formula>
    </cfRule>
  </conditionalFormatting>
  <conditionalFormatting sqref="X275:X1048576 X12:X218">
    <cfRule type="cellIs" dxfId="8" priority="350" operator="equal">
      <formula>0</formula>
    </cfRule>
  </conditionalFormatting>
  <conditionalFormatting sqref="A13:S218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workbookViewId="0">
      <selection activeCell="C13" sqref="C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>
        <v>2</v>
      </c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COUNTIF($O$7:$O$308,"=Y")</f>
        <v>3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COUNTA($O$7:$O$308)-O2</f>
        <v>30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- 2017-03-18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42812.504594907405</v>
      </c>
      <c r="B7" s="30" t="s">
        <v>499</v>
      </c>
      <c r="C7" s="30" t="s">
        <v>571</v>
      </c>
      <c r="D7" s="30" t="s">
        <v>49</v>
      </c>
      <c r="E7" s="30" t="s">
        <v>193</v>
      </c>
      <c r="F7" s="43">
        <v>160</v>
      </c>
      <c r="G7" s="43">
        <v>218</v>
      </c>
      <c r="H7" s="43">
        <v>26647</v>
      </c>
      <c r="I7" s="43">
        <v>27016</v>
      </c>
      <c r="J7" s="30" t="s">
        <v>194</v>
      </c>
      <c r="K7" s="43">
        <v>27053</v>
      </c>
      <c r="L7" s="143" t="s">
        <v>50</v>
      </c>
      <c r="M7" s="144">
        <f t="shared" ref="M7:M39" si="0">CONVERT((I7-K7)/10000,"mi","ft")*IF(L7="Increasing Mileposts (1)",-1,1)</f>
        <v>19.536000000000001</v>
      </c>
      <c r="N7" s="145" t="str">
        <f>VLOOKUP(C7,'Trips&amp;Operators'!$C$1:$G$99999,5,FALSE)</f>
        <v>LEVIN SCOTT</v>
      </c>
      <c r="O7" s="194" t="s">
        <v>185</v>
      </c>
      <c r="P7" s="146" t="s">
        <v>457</v>
      </c>
      <c r="Q7" s="30"/>
      <c r="R7" s="89" t="str">
        <f>IF(VLOOKUP(C7,'Train Runs'!$A$13:$AE$9944,1,1)=C7,VLOOKUP(C7,'Train Runs'!$A$13:$AE$9944,31,1),NA())</f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S7" s="92" t="str">
        <f>VLOOKUP(C7,'Train Runs'!$A$13:$AE$9944,22,0)</f>
        <v>https://d0f6bd738d7f1b3e5a7ca70fe4ff75f0.us-east-1.aws.found.io/app/kibana#/discover/Steve-Slow-Train-Analysis-(2080s-and-2083s)?_g=(refreshInterval:(display:Off,pause:!f,section:0,value:0),time:(from:'2017-03-18T10:53:43-0600',mode:absolute,to:'2017-03-18T13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94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/stypes="*4044*201703181*" /stext=" 18:.+((SYSTEM_STATE.+slice.+state.+changed )|(ment ac)|(multiple cpu faults)|(system.+state.+changed )|(\[timeout)|(PRM\|1\|D)|(kpr)|(kdp)|(\|lc)|(penalty))"</v>
      </c>
      <c r="U7" s="9" t="str">
        <f t="shared" ref="U7:U39" si="2">MID(B7,13,4)</f>
        <v>4044</v>
      </c>
      <c r="V7" s="32">
        <f t="shared" ref="V7:V39" si="3">A7-utc_offset/24</f>
        <v>42812.754594907405</v>
      </c>
      <c r="W7" s="46" t="str">
        <f t="shared" ref="W7:W3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9" si="5">IF(AND(E7="TRACK WARRANT AUTHORITY",G7&lt;10),"OMIT","KEEP")</f>
        <v>KEEP</v>
      </c>
      <c r="Y7" s="108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arrival","project_id":79,"tracker_id":40,"status_id":1,"priority_id":2,"assigned_to_id":23,"start_date":"2017-03-18","description":"","custom_fields":[{"id":1,"name":"Subdivision","value":"EC"},{"id":4,"name":"Milepost","value":"2.7053"},{"id":17,"name":"Train ID","value":"167-18"},{"id":16,"name":"Locomotive ID","value":"4044"},{"id":130,"name":"Impact","value":""},{"id":150,"name":"Time of Event (Mountain Time)","value":"12:06:37"},{"id":151,"name":"Denver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"%USERPROFILE%\AppData\Local\Temp\OnboardLogs"\RTDC4044\*4044*201703181*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"%USERPROFILE%\AppData\Local\Temp\OnboardLogs"\RTDC4044\*4044*201703181* &gt;&gt; 2017-03-18-SliceDisagreementCheck.txt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4044 --day 2017-03-18</v>
      </c>
    </row>
    <row r="8" spans="1:32" s="1" customFormat="1" x14ac:dyDescent="0.25">
      <c r="A8" s="32">
        <v>42812.613680555558</v>
      </c>
      <c r="B8" s="30" t="s">
        <v>365</v>
      </c>
      <c r="C8" s="30" t="s">
        <v>574</v>
      </c>
      <c r="D8" s="30" t="s">
        <v>49</v>
      </c>
      <c r="E8" s="30" t="s">
        <v>193</v>
      </c>
      <c r="F8" s="43">
        <v>0</v>
      </c>
      <c r="G8" s="43">
        <v>423</v>
      </c>
      <c r="H8" s="43">
        <v>50359</v>
      </c>
      <c r="I8" s="43">
        <v>51692</v>
      </c>
      <c r="J8" s="30" t="s">
        <v>194</v>
      </c>
      <c r="K8" s="43">
        <v>53155</v>
      </c>
      <c r="L8" s="143" t="s">
        <v>50</v>
      </c>
      <c r="M8" s="144">
        <f t="shared" si="0"/>
        <v>772.46400000000006</v>
      </c>
      <c r="N8" s="145" t="str">
        <f>VLOOKUP(C8,'Trips&amp;Operators'!$C$1:$G$99999,5,FALSE)</f>
        <v>NELSON ARIANE</v>
      </c>
      <c r="O8" s="194" t="s">
        <v>185</v>
      </c>
      <c r="P8" s="146" t="s">
        <v>563</v>
      </c>
      <c r="Q8" s="30"/>
      <c r="R8" s="89" t="e">
        <f>IF(VLOOKUP(C8,'Train Runs'!$A$13:$AE$9944,1,1)=C8,VLOOKUP(C8,'Train Runs'!$A$13:$AE$9944,31,1),NA())</f>
        <v>#N/A</v>
      </c>
      <c r="S8" s="92" t="str">
        <f>VLOOKUP(C8,'Train Runs'!$A$13:$AE$9944,22,0)</f>
        <v>https://d0f6bd738d7f1b3e5a7ca70fe4ff75f0.us-east-1.aws.found.io/app/kibana#/discover/Steve-Slow-Train-Analysis-(2080s-and-2083s)?_g=(refreshInterval:(display:Off,pause:!f,section:0,value:0),time:(from:'2017-03-18T13:27:01-0600',mode:absolute,to:'2017-03-18T16:17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94" t="str">
        <f t="shared" si="1"/>
        <v>"C:\Program Files (x86)\AstroGrep\AstroGrep.exe" /e /r /s /spath="%USERPROFILE%\AppData\Local\Temp\OnboardLogs" /stypes="*4009*201703182*" /stext=" 20:.+((SYSTEM_STATE.+slice.+state.+changed )|(ment ac)|(multiple cpu faults)|(system.+state.+changed )|(\[timeout)|(PRM\|1\|D)|(kpr)|(kdp)|(\|lc)|(penalty))"</v>
      </c>
      <c r="U8" s="9" t="str">
        <f t="shared" si="2"/>
        <v>4009</v>
      </c>
      <c r="V8" s="32">
        <f t="shared" si="3"/>
        <v>42812.863680555558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C","project_id":79,"tracker_id":40,"status_id":1,"priority_id":2,"assigned_to_id":23,"start_date":"2017-03-18","description":"","custom_fields":[{"id":1,"name":"Subdivision","value":"EC"},{"id":4,"name":"Milepost","value":"5.3155"},{"id":17,"name":"Train ID","value":"187-18"},{"id":16,"name":"Locomotive ID","value":"4009"},{"id":130,"name":"Impact","value":""},{"id":150,"name":"Time of Event (Mountain Time)","value":"14:43:42"},{"id":151,"name":"Denver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"%USERPROFILE%\AppData\Local\Temp\OnboardLogs"\RTDC4009\*4009*201703182*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"%USERPROFILE%\AppData\Local\Temp\OnboardLogs"\RTDC4009\*4009*201703182* &gt;&gt; 2017-03-18-SliceDisagreementCheck.txt</v>
      </c>
      <c r="AE8" s="157" t="str">
        <f t="shared" ref="AE8:AE39" si="9">"start /low /b "&amp;dls3logs&amp;" --loco "&amp;U8&amp;" --day "&amp;TEXT(V8,"YYYY-MM-DD")</f>
        <v>start /low /b %USERPROFILE%\Documents\GitHub\eaglep3\Utilities\DownloadLogsFromS3.py --loco 4009 --day 2017-03-18</v>
      </c>
    </row>
    <row r="9" spans="1:32" s="1" customFormat="1" x14ac:dyDescent="0.25">
      <c r="A9" s="32">
        <v>42812.484039351853</v>
      </c>
      <c r="B9" s="30" t="s">
        <v>500</v>
      </c>
      <c r="C9" s="30" t="s">
        <v>570</v>
      </c>
      <c r="D9" s="30" t="s">
        <v>49</v>
      </c>
      <c r="E9" s="30" t="s">
        <v>193</v>
      </c>
      <c r="F9" s="43">
        <v>0</v>
      </c>
      <c r="G9" s="43">
        <v>373</v>
      </c>
      <c r="H9" s="43">
        <v>58746</v>
      </c>
      <c r="I9" s="43">
        <v>57524</v>
      </c>
      <c r="J9" s="30" t="s">
        <v>194</v>
      </c>
      <c r="K9" s="43">
        <v>58301</v>
      </c>
      <c r="L9" s="143" t="s">
        <v>51</v>
      </c>
      <c r="M9" s="144">
        <f t="shared" si="0"/>
        <v>-410.25599999999997</v>
      </c>
      <c r="N9" s="145" t="str">
        <f>VLOOKUP(C9,'Trips&amp;Operators'!$C$1:$G$99999,5,FALSE)</f>
        <v>LOZA FIDEL</v>
      </c>
      <c r="O9" s="194" t="s">
        <v>185</v>
      </c>
      <c r="P9" s="146" t="s">
        <v>457</v>
      </c>
      <c r="Q9" s="30"/>
      <c r="R9" s="89" t="str">
        <f>IF(VLOOKUP(C9,'Train Runs'!$A$13:$AE$9944,1,1)=C9,VLOOKUP(C9,'Train Runs'!$A$13:$AE$9944,31,1),NA())</f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S9" s="92" t="str">
        <f>VLOOKUP(C9,'Train Runs'!$A$13:$AE$9944,22,0)</f>
        <v>https://d0f6bd738d7f1b3e5a7ca70fe4ff75f0.us-east-1.aws.found.io/app/kibana#/discover/Steve-Slow-Train-Analysis-(2080s-and-2083s)?_g=(refreshInterval:(display:Off,pause:!f,section:0,value:0),time:(from:'2017-03-18T10:06:16-0600',mode:absolute,to:'2017-03-18T12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94" t="str">
        <f t="shared" si="1"/>
        <v>"C:\Program Files (x86)\AstroGrep\AstroGrep.exe" /e /r /s /spath="%USERPROFILE%\AppData\Local\Temp\OnboardLogs" /stypes="*4043*201703181*" /stext=" 17:.+((SYSTEM_STATE.+slice.+state.+changed )|(ment ac)|(multiple cpu faults)|(system.+state.+changed )|(\[timeout)|(PRM\|1\|D)|(kpr)|(kdp)|(\|lc)|(penalty))"</v>
      </c>
      <c r="U9" s="9" t="str">
        <f t="shared" si="2"/>
        <v>4043</v>
      </c>
      <c r="V9" s="32">
        <f t="shared" si="3"/>
        <v>42812.734039351853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arrival","project_id":79,"tracker_id":40,"status_id":1,"priority_id":2,"assigned_to_id":23,"start_date":"2017-03-18","description":"","custom_fields":[{"id":1,"name":"Subdivision","value":"EC"},{"id":4,"name":"Milepost","value":"5.8301"},{"id":17,"name":"Train ID","value":"154-18"},{"id":16,"name":"Locomotive ID","value":"4043"},{"id":130,"name":"Impact","value":""},{"id":150,"name":"Time of Event (Mountain Time)","value":"11:37:01"},{"id":151,"name":"Denver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"%USERPROFILE%\AppData\Local\Temp\OnboardLogs"\RTDC4043\*4043*201703181*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"%USERPROFILE%\AppData\Local\Temp\OnboardLogs"\RTDC4043\*4043*201703181* &gt;&gt; 2017-03-18-SliceDisagreementCheck.txt</v>
      </c>
      <c r="AE9" s="157" t="str">
        <f t="shared" si="9"/>
        <v>start /low /b %USERPROFILE%\Documents\GitHub\eaglep3\Utilities\DownloadLogsFromS3.py --loco 4043 --day 2017-03-18</v>
      </c>
    </row>
    <row r="10" spans="1:32" s="1" customFormat="1" x14ac:dyDescent="0.25">
      <c r="A10" s="32">
        <v>42812.667291666665</v>
      </c>
      <c r="B10" s="30" t="s">
        <v>417</v>
      </c>
      <c r="C10" s="30" t="s">
        <v>583</v>
      </c>
      <c r="D10" s="30" t="s">
        <v>49</v>
      </c>
      <c r="E10" s="30" t="s">
        <v>193</v>
      </c>
      <c r="F10" s="43">
        <v>0</v>
      </c>
      <c r="G10" s="43">
        <v>54</v>
      </c>
      <c r="H10" s="43">
        <v>58763</v>
      </c>
      <c r="I10" s="43">
        <v>58732</v>
      </c>
      <c r="J10" s="30" t="s">
        <v>194</v>
      </c>
      <c r="K10" s="43">
        <v>58301</v>
      </c>
      <c r="L10" s="143" t="s">
        <v>51</v>
      </c>
      <c r="M10" s="144">
        <f t="shared" si="0"/>
        <v>227.56800000000001</v>
      </c>
      <c r="N10" s="145" t="str">
        <f>VLOOKUP(C10,'Trips&amp;Operators'!$C$1:$G$99999,5,FALSE)</f>
        <v>NELSON ARIANE</v>
      </c>
      <c r="O10" s="194" t="s">
        <v>185</v>
      </c>
      <c r="P10" s="146" t="s">
        <v>563</v>
      </c>
      <c r="Q10" s="30"/>
      <c r="R10" s="89" t="e">
        <f>IF(VLOOKUP(C10,'Train Runs'!$A$13:$AE$9944,1,1)=C10,VLOOKUP(C10,'Train Runs'!$A$13:$AE$9944,31,1),NA())</f>
        <v>#N/A</v>
      </c>
      <c r="S10" s="92" t="str">
        <f>VLOOKUP(C10,'Train Runs'!$A$13:$AE$9944,22,0)</f>
        <v>https://d0f6bd738d7f1b3e5a7ca70fe4ff75f0.us-east-1.aws.found.io/app/kibana#/discover/Steve-Slow-Train-Analysis-(2080s-and-2083s)?_g=(refreshInterval:(display:Off,pause:!f,section:0,value:0),time:(from:'2017-03-18T14:27:38-0600',mode:absolute,to:'2017-03-18T17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0" s="94" t="str">
        <f t="shared" si="1"/>
        <v>"C:\Program Files (x86)\AstroGrep\AstroGrep.exe" /e /r /s /spath="%USERPROFILE%\AppData\Local\Temp\OnboardLogs" /stypes="*4010*201703182*" /stext=" 22:.+((SYSTEM_STATE.+slice.+state.+changed )|(ment ac)|(multiple cpu faults)|(system.+state.+changed )|(\[timeout)|(PRM\|1\|D)|(kpr)|(kdp)|(\|lc)|(penalty))"</v>
      </c>
      <c r="U10" s="9" t="str">
        <f t="shared" si="2"/>
        <v>4010</v>
      </c>
      <c r="V10" s="32">
        <f t="shared" si="3"/>
        <v>42812.917291666665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C","project_id":79,"tracker_id":40,"status_id":1,"priority_id":2,"assigned_to_id":23,"start_date":"2017-03-18","description":"","custom_fields":[{"id":1,"name":"Subdivision","value":"EC"},{"id":4,"name":"Milepost","value":"5.8301"},{"id":17,"name":"Train ID","value":"188-18"},{"id":16,"name":"Locomotive ID","value":"4010"},{"id":130,"name":"Impact","value":""},{"id":150,"name":"Time of Event (Mountain Time)","value":"16:00:54"},{"id":151,"name":"Denver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"%USERPROFILE%\AppData\Local\Temp\OnboardLogs"\RTDC4010\*4010*201703182*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"%USERPROFILE%\AppData\Local\Temp\OnboardLogs"\RTDC4010\*4010*201703182* &gt;&gt; 2017-03-18-SliceDisagreementCheck.txt</v>
      </c>
      <c r="AE10" s="157" t="str">
        <f t="shared" si="9"/>
        <v>start /low /b %USERPROFILE%\Documents\GitHub\eaglep3\Utilities\DownloadLogsFromS3.py --loco 4010 --day 2017-03-18</v>
      </c>
    </row>
    <row r="11" spans="1:32" s="1" customFormat="1" x14ac:dyDescent="0.25">
      <c r="A11" s="32">
        <v>42812.892268518517</v>
      </c>
      <c r="B11" s="30" t="s">
        <v>420</v>
      </c>
      <c r="C11" s="30" t="s">
        <v>595</v>
      </c>
      <c r="D11" s="30" t="s">
        <v>49</v>
      </c>
      <c r="E11" s="30" t="s">
        <v>193</v>
      </c>
      <c r="F11" s="43">
        <v>0</v>
      </c>
      <c r="G11" s="43">
        <v>92</v>
      </c>
      <c r="H11" s="43">
        <v>58792</v>
      </c>
      <c r="I11" s="43">
        <v>58651</v>
      </c>
      <c r="J11" s="30" t="s">
        <v>194</v>
      </c>
      <c r="K11" s="43">
        <v>58301</v>
      </c>
      <c r="L11" s="143" t="s">
        <v>51</v>
      </c>
      <c r="M11" s="144">
        <f t="shared" si="0"/>
        <v>184.8</v>
      </c>
      <c r="N11" s="145" t="str">
        <f>VLOOKUP(C11,'Trips&amp;Operators'!$C$1:$G$99999,5,FALSE)</f>
        <v>SAFIEF AEIMEN</v>
      </c>
      <c r="O11" s="194" t="s">
        <v>185</v>
      </c>
      <c r="P11" s="146" t="s">
        <v>563</v>
      </c>
      <c r="Q11" s="30"/>
      <c r="R11" s="89" t="e">
        <f>IF(VLOOKUP(C11,'Train Runs'!$A$13:$AE$9944,1,1)=C11,VLOOKUP(C11,'Train Runs'!$A$13:$AE$9944,31,1),NA())</f>
        <v>#N/A</v>
      </c>
      <c r="S11" s="92" t="str">
        <f>VLOOKUP(C11,'Train Runs'!$A$13:$AE$9944,22,0)</f>
        <v>https://d0f6bd738d7f1b3e5a7ca70fe4ff75f0.us-east-1.aws.found.io/app/kibana#/discover/Steve-Slow-Train-Analysis-(2080s-and-2083s)?_g=(refreshInterval:(display:Off,pause:!f,section:0,value:0),time:(from:'2017-03-18T19:25:02-0600',mode:absolute,to:'2017-03-18T22:41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1" s="94" t="str">
        <f t="shared" si="1"/>
        <v>"C:\Program Files (x86)\AstroGrep\AstroGrep.exe" /e /r /s /spath="%USERPROFILE%\AppData\Local\Temp\OnboardLogs" /stypes="*4032*201703190*" /stext=" 03:.+((SYSTEM_STATE.+slice.+state.+changed )|(ment ac)|(multiple cpu faults)|(system.+state.+changed )|(\[timeout)|(PRM\|1\|D)|(kpr)|(kdp)|(\|lc)|(penalty))"</v>
      </c>
      <c r="U11" s="9" t="str">
        <f t="shared" si="2"/>
        <v>4032</v>
      </c>
      <c r="V11" s="32">
        <f t="shared" si="3"/>
        <v>42813.142268518517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C","project_id":79,"tracker_id":40,"status_id":1,"priority_id":2,"assigned_to_id":23,"start_date":"2017-03-18","description":"","custom_fields":[{"id":1,"name":"Subdivision","value":"EC"},{"id":4,"name":"Milepost","value":"5.8301"},{"id":17,"name":"Train ID","value":"224-18"},{"id":16,"name":"Locomotive ID","value":"4032"},{"id":130,"name":"Impact","value":""},{"id":150,"name":"Time of Event (Mountain Time)","value":"21:24:52"},{"id":151,"name":"Denver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"%USERPROFILE%\AppData\Local\Temp\OnboardLogs"\RTDC4032\*4032*201703190*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"%USERPROFILE%\AppData\Local\Temp\OnboardLogs"\RTDC4032\*4032*201703190* &gt;&gt; 2017-03-18-SliceDisagreementCheck.txt</v>
      </c>
      <c r="AE11" s="157" t="str">
        <f t="shared" si="9"/>
        <v>start /low /b %USERPROFILE%\Documents\GitHub\eaglep3\Utilities\DownloadLogsFromS3.py --loco 4032 --day 2017-03-19</v>
      </c>
    </row>
    <row r="12" spans="1:32" s="1" customFormat="1" x14ac:dyDescent="0.25">
      <c r="A12" s="32">
        <v>42812.285821759258</v>
      </c>
      <c r="B12" s="30" t="s">
        <v>417</v>
      </c>
      <c r="C12" s="30" t="s">
        <v>568</v>
      </c>
      <c r="D12" s="30" t="s">
        <v>49</v>
      </c>
      <c r="E12" s="30" t="s">
        <v>193</v>
      </c>
      <c r="F12" s="43">
        <v>270</v>
      </c>
      <c r="G12" s="43">
        <v>322</v>
      </c>
      <c r="H12" s="43">
        <v>58790</v>
      </c>
      <c r="I12" s="43">
        <v>57753</v>
      </c>
      <c r="J12" s="30" t="s">
        <v>194</v>
      </c>
      <c r="K12" s="43">
        <v>58301</v>
      </c>
      <c r="L12" s="143" t="s">
        <v>51</v>
      </c>
      <c r="M12" s="144">
        <f t="shared" si="0"/>
        <v>-289.34399999999999</v>
      </c>
      <c r="N12" s="145" t="str">
        <f>VLOOKUP(C12,'Trips&amp;Operators'!$C$1:$G$99999,5,FALSE)</f>
        <v>GEBRETEKLE DAGNEW</v>
      </c>
      <c r="O12" s="194" t="s">
        <v>185</v>
      </c>
      <c r="P12" s="146" t="s">
        <v>457</v>
      </c>
      <c r="Q12" s="30"/>
      <c r="R12" s="89" t="str">
        <f>IF(VLOOKUP(C12,'Train Runs'!$A$13:$AE$9944,1,1)=C12,VLOOKUP(C12,'Train Runs'!$A$13:$AE$9944,31,1),NA())</f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S12" s="92" t="str">
        <f>VLOOKUP(C12,'Train Runs'!$A$13:$AE$9944,22,0)</f>
        <v>https://d0f6bd738d7f1b3e5a7ca70fe4ff75f0.us-east-1.aws.found.io/app/kibana#/discover/Steve-Slow-Train-Analysis-(2080s-and-2083s)?_g=(refreshInterval:(display:Off,pause:!f,section:0,value:0),time:(from:'2017-03-18T05:20:30-0600',mode:absolute,to:'2017-03-18T08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2" s="94" t="str">
        <f t="shared" si="1"/>
        <v>"C:\Program Files (x86)\AstroGrep\AstroGrep.exe" /e /r /s /spath="%USERPROFILE%\AppData\Local\Temp\OnboardLogs" /stypes="*4010*201703181*" /stext=" 12:.+((SYSTEM_STATE.+slice.+state.+changed )|(ment ac)|(multiple cpu faults)|(system.+state.+changed )|(\[timeout)|(PRM\|1\|D)|(kpr)|(kdp)|(\|lc)|(penalty))"</v>
      </c>
      <c r="U12" s="9" t="str">
        <f t="shared" si="2"/>
        <v>4010</v>
      </c>
      <c r="V12" s="32">
        <f t="shared" si="3"/>
        <v>42812.535821759258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arrival","project_id":79,"tracker_id":40,"status_id":1,"priority_id":2,"assigned_to_id":23,"start_date":"2017-03-18","description":"","custom_fields":[{"id":1,"name":"Subdivision","value":"EC"},{"id":4,"name":"Milepost","value":"5.8301"},{"id":17,"name":"Train ID","value":"116-18"},{"id":16,"name":"Locomotive ID","value":"4010"},{"id":130,"name":"Impact","value":""},{"id":150,"name":"Time of Event (Mountain Time)","value":"06:51:35"},{"id":151,"name":"Denver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"%USERPROFILE%\AppData\Local\Temp\OnboardLogs"\RTDC4010\*4010*201703181*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"%USERPROFILE%\AppData\Local\Temp\OnboardLogs"\RTDC4010\*4010*201703181* &gt;&gt; 2017-03-18-SliceDisagreementCheck.txt</v>
      </c>
      <c r="AE12" s="157" t="str">
        <f t="shared" si="9"/>
        <v>start /low /b %USERPROFILE%\Documents\GitHub\eaglep3\Utilities\DownloadLogsFromS3.py --loco 4010 --day 2017-03-18</v>
      </c>
    </row>
    <row r="13" spans="1:32" s="1" customFormat="1" x14ac:dyDescent="0.25">
      <c r="A13" s="32">
        <v>42812.873541666668</v>
      </c>
      <c r="B13" s="30" t="s">
        <v>575</v>
      </c>
      <c r="C13" s="30" t="s">
        <v>594</v>
      </c>
      <c r="D13" s="30" t="s">
        <v>98</v>
      </c>
      <c r="E13" s="30" t="s">
        <v>193</v>
      </c>
      <c r="F13" s="43">
        <v>0</v>
      </c>
      <c r="G13" s="43">
        <v>73</v>
      </c>
      <c r="H13" s="43">
        <v>58831</v>
      </c>
      <c r="I13" s="43">
        <v>58875</v>
      </c>
      <c r="J13" s="30" t="s">
        <v>194</v>
      </c>
      <c r="K13" s="43">
        <v>58783</v>
      </c>
      <c r="L13" s="143" t="s">
        <v>50</v>
      </c>
      <c r="M13" s="144">
        <f t="shared" si="0"/>
        <v>-48.576000000000001</v>
      </c>
      <c r="N13" s="145" t="str">
        <f>VLOOKUP(C13,'Trips&amp;Operators'!$C$1:$G$99999,5,FALSE)</f>
        <v>SMITH MICHAEL</v>
      </c>
      <c r="O13" s="194" t="s">
        <v>185</v>
      </c>
      <c r="P13" s="146" t="s">
        <v>563</v>
      </c>
      <c r="Q13" s="30"/>
      <c r="R13" s="89" t="e">
        <f>IF(VLOOKUP(C13,'Train Runs'!$A$13:$AE$9944,1,1)=C13,VLOOKUP(C13,'Train Runs'!$A$13:$AE$9944,31,1),NA())</f>
        <v>#N/A</v>
      </c>
      <c r="S13" s="92" t="str">
        <f>VLOOKUP(C13,'Train Runs'!$A$13:$AE$9944,22,0)</f>
        <v>https://d0f6bd738d7f1b3e5a7ca70fe4ff75f0.us-east-1.aws.found.io/app/kibana#/discover/Steve-Slow-Train-Analysis-(2080s-and-2083s)?_g=(refreshInterval:(display:Off,pause:!f,section:0,value:0),time:(from:'2017-03-18T19:29:35-0600',mode:absolute,to:'2017-03-18T21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94" t="str">
        <f t="shared" si="1"/>
        <v>"C:\Program Files (x86)\AstroGrep\AstroGrep.exe" /e /r /s /spath="%USERPROFILE%\AppData\Local\Temp\OnboardLogs" /stypes="*4029*201703190*" /stext=" 02:.+((SYSTEM_STATE.+slice.+state.+changed )|(ment ac)|(multiple cpu faults)|(system.+state.+changed )|(\[timeout)|(PRM\|1\|D)|(kpr)|(kdp)|(\|lc)|(penalty))"</v>
      </c>
      <c r="U13" s="9" t="str">
        <f t="shared" si="2"/>
        <v>4029</v>
      </c>
      <c r="V13" s="32">
        <f t="shared" si="3"/>
        <v>42813.123541666668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C","project_id":79,"tracker_id":40,"status_id":1,"priority_id":2,"assigned_to_id":23,"start_date":"2017-03-18","description":"","custom_fields":[{"id":1,"name":"Subdivision","value":"EC"},{"id":4,"name":"Milepost","value":"5.8783"},{"id":17,"name":"Train ID","value":"227-18"},{"id":16,"name":"Locomotive ID","value":"4029"},{"id":130,"name":"Impact","value":""},{"id":150,"name":"Time of Event (Mountain Time)","value":"20:57:54"},{"id":151,"name":"Denver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"%USERPROFILE%\AppData\Local\Temp\OnboardLogs"\RTDC4029\*4029*201703190*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"%USERPROFILE%\AppData\Local\Temp\OnboardLogs"\RTDC4029\*4029*201703190* &gt;&gt; 2017-03-18-SliceDisagreementCheck.txt</v>
      </c>
      <c r="AE13" s="157" t="str">
        <f t="shared" si="9"/>
        <v>start /low /b %USERPROFILE%\Documents\GitHub\eaglep3\Utilities\DownloadLogsFromS3.py --loco 4029 --day 2017-03-19</v>
      </c>
    </row>
    <row r="14" spans="1:32" x14ac:dyDescent="0.25">
      <c r="A14" s="32">
        <v>42812.58520833333</v>
      </c>
      <c r="B14" s="30" t="s">
        <v>417</v>
      </c>
      <c r="C14" s="30" t="s">
        <v>572</v>
      </c>
      <c r="D14" s="30" t="s">
        <v>49</v>
      </c>
      <c r="E14" s="30" t="s">
        <v>193</v>
      </c>
      <c r="F14" s="43">
        <v>0</v>
      </c>
      <c r="G14" s="43">
        <v>89</v>
      </c>
      <c r="H14" s="43">
        <v>59190</v>
      </c>
      <c r="I14" s="43">
        <v>59093</v>
      </c>
      <c r="J14" s="30" t="s">
        <v>194</v>
      </c>
      <c r="K14" s="43">
        <v>58904</v>
      </c>
      <c r="L14" s="143" t="s">
        <v>51</v>
      </c>
      <c r="M14" s="144">
        <f t="shared" si="0"/>
        <v>99.792000000000002</v>
      </c>
      <c r="N14" s="145" t="str">
        <f>VLOOKUP(C14,'Trips&amp;Operators'!$C$1:$G$99999,5,FALSE)</f>
        <v>NELSON ARIANE</v>
      </c>
      <c r="O14" s="194" t="s">
        <v>185</v>
      </c>
      <c r="P14" s="146" t="s">
        <v>563</v>
      </c>
      <c r="Q14" s="30"/>
      <c r="R14" s="89" t="str">
        <f>IF(VLOOKUP(C14,'Train Runs'!$A$13:$AE$9944,1,1)=C14,VLOOKUP(C14,'Train Runs'!$A$13:$AE$9944,31,1),NA())</f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S14" s="92" t="str">
        <f>VLOOKUP(C14,'Train Runs'!$A$13:$AE$9944,22,0)</f>
        <v>https://d0f6bd738d7f1b3e5a7ca70fe4ff75f0.us-east-1.aws.found.io/app/kibana#/discover/Steve-Slow-Train-Analysis-(2080s-and-2083s)?_g=(refreshInterval:(display:Off,pause:!f,section:0,value:0),time:(from:'2017-03-18T12:21:25-0600',mode:absolute,to:'2017-03-18T15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94" t="str">
        <f t="shared" si="1"/>
        <v>"C:\Program Files (x86)\AstroGrep\AstroGrep.exe" /e /r /s /spath="%USERPROFILE%\AppData\Local\Temp\OnboardLogs" /stypes="*4010*201703182*" /stext=" 20:.+((SYSTEM_STATE.+slice.+state.+changed )|(ment ac)|(multiple cpu faults)|(system.+state.+changed )|(\[timeout)|(PRM\|1\|D)|(kpr)|(kdp)|(\|lc)|(penalty))"</v>
      </c>
      <c r="U14" s="9" t="str">
        <f t="shared" si="2"/>
        <v>4010</v>
      </c>
      <c r="V14" s="32">
        <f t="shared" si="3"/>
        <v>42812.83520833333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C","project_id":79,"tracker_id":40,"status_id":1,"priority_id":2,"assigned_to_id":23,"start_date":"2017-03-18","description":"","custom_fields":[{"id":1,"name":"Subdivision","value":"EC"},{"id":4,"name":"Milepost","value":"5.8904"},{"id":17,"name":"Train ID","value":"172-18"},{"id":16,"name":"Locomotive ID","value":"4010"},{"id":130,"name":"Impact","value":""},{"id":150,"name":"Time of Event (Mountain Time)","value":"14:02:42"},{"id":151,"name":"Denver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"%USERPROFILE%\AppData\Local\Temp\OnboardLogs"\RTDC4010\*4010*201703182*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"%USERPROFILE%\AppData\Local\Temp\OnboardLogs"\RTDC4010\*4010*201703182* &gt;&gt; 2017-03-18-SliceDisagreementCheck.txt</v>
      </c>
      <c r="AE14" s="157" t="str">
        <f t="shared" si="9"/>
        <v>start /low /b %USERPROFILE%\Documents\GitHub\eaglep3\Utilities\DownloadLogsFromS3.py --loco 4010 --day 2017-03-18</v>
      </c>
      <c r="AF14" s="1"/>
    </row>
    <row r="15" spans="1:32" x14ac:dyDescent="0.25">
      <c r="A15" s="32">
        <v>42812.665844907409</v>
      </c>
      <c r="B15" s="30" t="s">
        <v>417</v>
      </c>
      <c r="C15" s="30" t="s">
        <v>583</v>
      </c>
      <c r="D15" s="30" t="s">
        <v>49</v>
      </c>
      <c r="E15" s="30" t="s">
        <v>193</v>
      </c>
      <c r="F15" s="43">
        <v>0</v>
      </c>
      <c r="G15" s="43">
        <v>119</v>
      </c>
      <c r="H15" s="43">
        <v>59363</v>
      </c>
      <c r="I15" s="43">
        <v>59245</v>
      </c>
      <c r="J15" s="30" t="s">
        <v>194</v>
      </c>
      <c r="K15" s="43">
        <v>58904</v>
      </c>
      <c r="L15" s="143" t="s">
        <v>51</v>
      </c>
      <c r="M15" s="144">
        <f t="shared" si="0"/>
        <v>180.048</v>
      </c>
      <c r="N15" s="145" t="str">
        <f>VLOOKUP(C15,'Trips&amp;Operators'!$C$1:$G$99999,5,FALSE)</f>
        <v>NELSON ARIANE</v>
      </c>
      <c r="O15" s="194" t="s">
        <v>185</v>
      </c>
      <c r="P15" s="146" t="s">
        <v>563</v>
      </c>
      <c r="Q15" s="30"/>
      <c r="R15" s="89" t="e">
        <f>IF(VLOOKUP(C15,'Train Runs'!$A$13:$AE$9944,1,1)=C15,VLOOKUP(C15,'Train Runs'!$A$13:$AE$9944,31,1),NA())</f>
        <v>#N/A</v>
      </c>
      <c r="S15" s="92" t="str">
        <f>VLOOKUP(C15,'Train Runs'!$A$13:$AE$9944,22,0)</f>
        <v>https://d0f6bd738d7f1b3e5a7ca70fe4ff75f0.us-east-1.aws.found.io/app/kibana#/discover/Steve-Slow-Train-Analysis-(2080s-and-2083s)?_g=(refreshInterval:(display:Off,pause:!f,section:0,value:0),time:(from:'2017-03-18T14:27:38-0600',mode:absolute,to:'2017-03-18T17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94" t="str">
        <f t="shared" si="1"/>
        <v>"C:\Program Files (x86)\AstroGrep\AstroGrep.exe" /e /r /s /spath="%USERPROFILE%\AppData\Local\Temp\OnboardLogs" /stypes="*4010*201703182*" /stext=" 21:.+((SYSTEM_STATE.+slice.+state.+changed )|(ment ac)|(multiple cpu faults)|(system.+state.+changed )|(\[timeout)|(PRM\|1\|D)|(kpr)|(kdp)|(\|lc)|(penalty))"</v>
      </c>
      <c r="U15" s="9" t="str">
        <f t="shared" si="2"/>
        <v>4010</v>
      </c>
      <c r="V15" s="32">
        <f t="shared" si="3"/>
        <v>42812.915844907409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C","project_id":79,"tracker_id":40,"status_id":1,"priority_id":2,"assigned_to_id":23,"start_date":"2017-03-18","description":"","custom_fields":[{"id":1,"name":"Subdivision","value":"EC"},{"id":4,"name":"Milepost","value":"5.8904"},{"id":17,"name":"Train ID","value":"188-18"},{"id":16,"name":"Locomotive ID","value":"4010"},{"id":130,"name":"Impact","value":""},{"id":150,"name":"Time of Event (Mountain Time)","value":"15:58:49"},{"id":151,"name":"Denver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"%USERPROFILE%\AppData\Local\Temp\OnboardLogs"\RTDC4010\*4010*201703182*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"%USERPROFILE%\AppData\Local\Temp\OnboardLogs"\RTDC4010\*4010*201703182* &gt;&gt; 2017-03-18-SliceDisagreementCheck.txt</v>
      </c>
      <c r="AE15" s="157" t="str">
        <f t="shared" si="9"/>
        <v>start /low /b %USERPROFILE%\Documents\GitHub\eaglep3\Utilities\DownloadLogsFromS3.py --loco 4010 --day 2017-03-18</v>
      </c>
      <c r="AF15" s="1"/>
    </row>
    <row r="16" spans="1:32" x14ac:dyDescent="0.25">
      <c r="A16" s="32">
        <v>42812.765555555554</v>
      </c>
      <c r="B16" s="30" t="s">
        <v>420</v>
      </c>
      <c r="C16" s="30" t="s">
        <v>587</v>
      </c>
      <c r="D16" s="30" t="s">
        <v>49</v>
      </c>
      <c r="E16" s="30" t="s">
        <v>193</v>
      </c>
      <c r="F16" s="43">
        <v>0</v>
      </c>
      <c r="G16" s="43">
        <v>66</v>
      </c>
      <c r="H16" s="43">
        <v>59088</v>
      </c>
      <c r="I16" s="43">
        <v>59023</v>
      </c>
      <c r="J16" s="30" t="s">
        <v>194</v>
      </c>
      <c r="K16" s="43">
        <v>58904</v>
      </c>
      <c r="L16" s="143" t="s">
        <v>51</v>
      </c>
      <c r="M16" s="144">
        <f t="shared" si="0"/>
        <v>62.832000000000001</v>
      </c>
      <c r="N16" s="145" t="str">
        <f>VLOOKUP(C16,'Trips&amp;Operators'!$C$1:$G$99999,5,FALSE)</f>
        <v>BRUDER RICHARD</v>
      </c>
      <c r="O16" s="194" t="s">
        <v>185</v>
      </c>
      <c r="P16" s="146" t="s">
        <v>563</v>
      </c>
      <c r="Q16" s="30"/>
      <c r="R16" s="89" t="e">
        <f>IF(VLOOKUP(C16,'Train Runs'!$A$13:$AE$9944,1,1)=C16,VLOOKUP(C16,'Train Runs'!$A$13:$AE$9944,31,1),NA())</f>
        <v>#N/A</v>
      </c>
      <c r="S16" s="92" t="str">
        <f>VLOOKUP(C16,'Train Runs'!$A$13:$AE$9944,22,0)</f>
        <v>https://d0f6bd738d7f1b3e5a7ca70fe4ff75f0.us-east-1.aws.found.io/app/kibana#/discover/Steve-Slow-Train-Analysis-(2080s-and-2083s)?_g=(refreshInterval:(display:Off,pause:!f,section:0,value:0),time:(from:'2017-03-18T16:51:39-0600',mode:absolute,to:'2017-03-18T19:43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6" s="94" t="str">
        <f t="shared" si="1"/>
        <v>"C:\Program Files (x86)\AstroGrep\AstroGrep.exe" /e /r /s /spath="%USERPROFILE%\AppData\Local\Temp\OnboardLogs" /stypes="*4032*201703190*" /stext=" 00:.+((SYSTEM_STATE.+slice.+state.+changed )|(ment ac)|(multiple cpu faults)|(system.+state.+changed )|(\[timeout)|(PRM\|1\|D)|(kpr)|(kdp)|(\|lc)|(penalty))"</v>
      </c>
      <c r="U16" s="9" t="str">
        <f t="shared" si="2"/>
        <v>4032</v>
      </c>
      <c r="V16" s="32">
        <f t="shared" si="3"/>
        <v>42813.015555555554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C","project_id":79,"tracker_id":40,"status_id":1,"priority_id":2,"assigned_to_id":23,"start_date":"2017-03-18","description":"","custom_fields":[{"id":1,"name":"Subdivision","value":"EC"},{"id":4,"name":"Milepost","value":"5.8904"},{"id":17,"name":"Train ID","value":"208-18"},{"id":16,"name":"Locomotive ID","value":"4032"},{"id":130,"name":"Impact","value":""},{"id":150,"name":"Time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"%USERPROFILE%\AppData\Local\Temp\OnboardLogs"\RTDC4032\*4032*201703190*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"%USERPROFILE%\AppData\Local\Temp\OnboardLogs"\RTDC4032\*4032*201703190* &gt;&gt; 2017-03-18-SliceDisagreementCheck.txt</v>
      </c>
      <c r="AE16" s="157" t="str">
        <f t="shared" si="9"/>
        <v>start /low /b %USERPROFILE%\Documents\GitHub\eaglep3\Utilities\DownloadLogsFromS3.py --loco 4032 --day 2017-03-19</v>
      </c>
      <c r="AF16" s="1"/>
    </row>
    <row r="17" spans="1:32" x14ac:dyDescent="0.25">
      <c r="A17" s="32">
        <v>42812.819201388891</v>
      </c>
      <c r="B17" s="30" t="s">
        <v>417</v>
      </c>
      <c r="C17" s="30" t="s">
        <v>590</v>
      </c>
      <c r="D17" s="30" t="s">
        <v>98</v>
      </c>
      <c r="E17" s="30" t="s">
        <v>193</v>
      </c>
      <c r="F17" s="43">
        <v>0</v>
      </c>
      <c r="G17" s="43">
        <v>64</v>
      </c>
      <c r="H17" s="43">
        <v>58848</v>
      </c>
      <c r="I17" s="43">
        <v>58813</v>
      </c>
      <c r="J17" s="30" t="s">
        <v>194</v>
      </c>
      <c r="K17" s="43">
        <v>58904</v>
      </c>
      <c r="L17" s="143" t="s">
        <v>51</v>
      </c>
      <c r="M17" s="144">
        <f t="shared" si="0"/>
        <v>-48.048000000000002</v>
      </c>
      <c r="N17" s="145" t="str">
        <f>VLOOKUP(C17,'Trips&amp;Operators'!$C$1:$G$99999,5,FALSE)</f>
        <v>LOPES KIMBERLY</v>
      </c>
      <c r="O17" s="194" t="s">
        <v>185</v>
      </c>
      <c r="P17" s="146" t="s">
        <v>563</v>
      </c>
      <c r="Q17" s="30"/>
      <c r="R17" s="89" t="e">
        <f>IF(VLOOKUP(C17,'Train Runs'!$A$13:$AE$9944,1,1)=C17,VLOOKUP(C17,'Train Runs'!$A$13:$AE$9944,31,1),NA())</f>
        <v>#N/A</v>
      </c>
      <c r="S17" s="92" t="str">
        <f>VLOOKUP(C17,'Train Runs'!$A$13:$AE$9944,22,0)</f>
        <v>https://d0f6bd738d7f1b3e5a7ca70fe4ff75f0.us-east-1.aws.found.io/app/kibana#/discover/Steve-Slow-Train-Analysis-(2080s-and-2083s)?_g=(refreshInterval:(display:Off,pause:!f,section:0,value:0),time:(from:'2017-03-18T17:08:05-0600',mode:absolute,to:'2017-03-18T19:43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7" s="94" t="str">
        <f t="shared" si="1"/>
        <v>"C:\Program Files (x86)\AstroGrep\AstroGrep.exe" /e /r /s /spath="%USERPROFILE%\AppData\Local\Temp\OnboardLogs" /stypes="*4010*201703190*" /stext=" 01:.+((SYSTEM_STATE.+slice.+state.+changed )|(ment ac)|(multiple cpu faults)|(system.+state.+changed )|(\[timeout)|(PRM\|1\|D)|(kpr)|(kdp)|(\|lc)|(penalty))"</v>
      </c>
      <c r="U17" s="9" t="str">
        <f t="shared" si="2"/>
        <v>4010</v>
      </c>
      <c r="V17" s="32">
        <f t="shared" si="3"/>
        <v>42813.069201388891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C","project_id":79,"tracker_id":40,"status_id":1,"priority_id":2,"assigned_to_id":23,"start_date":"2017-03-18","description":"","custom_fields":[{"id":1,"name":"Subdivision","value":"EC"},{"id":4,"name":"Milepost","value":"5.8904"},{"id":17,"name":"Train ID","value":"210-18"},{"id":16,"name":"Locomotive ID","value":"4010"},{"id":130,"name":"Impact","value":""},{"id":150,"name":"Time of Event (Mountain Time)","value":"19:39:39"},{"id":151,"name":"Denver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"%USERPROFILE%\AppData\Local\Temp\OnboardLogs"\RTDC4010\*4010*201703190*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"%USERPROFILE%\AppData\Local\Temp\OnboardLogs"\RTDC4010\*4010*201703190* &gt;&gt; 2017-03-18-SliceDisagreementCheck.txt</v>
      </c>
      <c r="AE17" s="157" t="str">
        <f t="shared" si="9"/>
        <v>start /low /b %USERPROFILE%\Documents\GitHub\eaglep3\Utilities\DownloadLogsFromS3.py --loco 4010 --day 2017-03-19</v>
      </c>
      <c r="AF17" s="1"/>
    </row>
    <row r="18" spans="1:32" ht="15" customHeight="1" x14ac:dyDescent="0.25">
      <c r="A18" s="32">
        <v>42812.86146990741</v>
      </c>
      <c r="B18" s="30" t="s">
        <v>409</v>
      </c>
      <c r="C18" s="30" t="s">
        <v>593</v>
      </c>
      <c r="D18" s="30" t="s">
        <v>49</v>
      </c>
      <c r="E18" s="30" t="s">
        <v>193</v>
      </c>
      <c r="F18" s="43">
        <v>0</v>
      </c>
      <c r="G18" s="43">
        <v>106</v>
      </c>
      <c r="H18" s="43">
        <v>59266</v>
      </c>
      <c r="I18" s="43">
        <v>59095</v>
      </c>
      <c r="J18" s="30" t="s">
        <v>194</v>
      </c>
      <c r="K18" s="43">
        <v>58904</v>
      </c>
      <c r="L18" s="143" t="s">
        <v>51</v>
      </c>
      <c r="M18" s="144">
        <f t="shared" si="0"/>
        <v>100.848</v>
      </c>
      <c r="N18" s="145" t="str">
        <f>VLOOKUP(C18,'Trips&amp;Operators'!$C$1:$G$99999,5,FALSE)</f>
        <v>BROWN JACOB</v>
      </c>
      <c r="O18" s="194" t="s">
        <v>185</v>
      </c>
      <c r="P18" s="146" t="s">
        <v>563</v>
      </c>
      <c r="Q18" s="30"/>
      <c r="R18" s="89" t="e">
        <f>IF(VLOOKUP(C18,'Train Runs'!$A$13:$AE$9944,1,1)=C18,VLOOKUP(C18,'Train Runs'!$A$13:$AE$9944,31,1),NA())</f>
        <v>#N/A</v>
      </c>
      <c r="S18" s="92" t="str">
        <f>VLOOKUP(C18,'Train Runs'!$A$13:$AE$9944,22,0)</f>
        <v>https://d0f6bd738d7f1b3e5a7ca70fe4ff75f0.us-east-1.aws.found.io/app/kibana#/discover/Steve-Slow-Train-Analysis-(2080s-and-2083s)?_g=(refreshInterval:(display:Off,pause:!f,section:0,value:0),time:(from:'2017-03-18T18:59:16-0600',mode:absolute,to:'2017-03-18T22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94" t="str">
        <f t="shared" si="1"/>
        <v>"C:\Program Files (x86)\AstroGrep\AstroGrep.exe" /e /r /s /spath="%USERPROFILE%\AppData\Local\Temp\OnboardLogs" /stypes="*4028*201703190*" /stext=" 02:.+((SYSTEM_STATE.+slice.+state.+changed )|(ment ac)|(multiple cpu faults)|(system.+state.+changed )|(\[timeout)|(PRM\|1\|D)|(kpr)|(kdp)|(\|lc)|(penalty))"</v>
      </c>
      <c r="U18" s="9" t="str">
        <f t="shared" si="2"/>
        <v>4028</v>
      </c>
      <c r="V18" s="32">
        <f t="shared" si="3"/>
        <v>42813.11146990741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C","project_id":79,"tracker_id":40,"status_id":1,"priority_id":2,"assigned_to_id":23,"start_date":"2017-03-18","description":"","custom_fields":[{"id":1,"name":"Subdivision","value":"EC"},{"id":4,"name":"Milepost","value":"5.8904"},{"id":17,"name":"Train ID","value":"222-18"},{"id":16,"name":"Locomotive ID","value":"4028"},{"id":130,"name":"Impact","value":""},{"id":150,"name":"Time of Event (Mountain Time)","value":"20:40:31"},{"id":151,"name":"Denver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"%USERPROFILE%\AppData\Local\Temp\OnboardLogs"\RTDC4028\*4028*201703190*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"%USERPROFILE%\AppData\Local\Temp\OnboardLogs"\RTDC4028\*4028*201703190* &gt;&gt; 2017-03-18-SliceDisagreementCheck.txt</v>
      </c>
      <c r="AE18" s="157" t="str">
        <f t="shared" si="9"/>
        <v>start /low /b %USERPROFILE%\Documents\GitHub\eaglep3\Utilities\DownloadLogsFromS3.py --loco 4028 --day 2017-03-19</v>
      </c>
      <c r="AF18" s="1"/>
    </row>
    <row r="19" spans="1:32" x14ac:dyDescent="0.25">
      <c r="A19" s="32">
        <v>42812.721562500003</v>
      </c>
      <c r="B19" s="30" t="s">
        <v>201</v>
      </c>
      <c r="C19" s="30" t="s">
        <v>584</v>
      </c>
      <c r="D19" s="30" t="s">
        <v>49</v>
      </c>
      <c r="E19" s="30" t="s">
        <v>193</v>
      </c>
      <c r="F19" s="43">
        <v>410</v>
      </c>
      <c r="G19" s="43">
        <v>464</v>
      </c>
      <c r="H19" s="43">
        <v>79566</v>
      </c>
      <c r="I19" s="43">
        <v>78350</v>
      </c>
      <c r="J19" s="30" t="s">
        <v>194</v>
      </c>
      <c r="K19" s="43">
        <v>78469</v>
      </c>
      <c r="L19" s="143" t="s">
        <v>51</v>
      </c>
      <c r="M19" s="144">
        <f t="shared" si="0"/>
        <v>-62.832000000000001</v>
      </c>
      <c r="N19" s="145" t="str">
        <f>VLOOKUP(C19,'Trips&amp;Operators'!$C$1:$G$99999,5,FALSE)</f>
        <v>ROMERO CHAD</v>
      </c>
      <c r="O19" s="194" t="s">
        <v>185</v>
      </c>
      <c r="P19" s="146" t="s">
        <v>457</v>
      </c>
      <c r="Q19" s="30"/>
      <c r="R19" s="89" t="e">
        <f>IF(VLOOKUP(C19,'Train Runs'!$A$13:$AE$9944,1,1)=C19,VLOOKUP(C19,'Train Runs'!$A$13:$AE$9944,31,1),NA())</f>
        <v>#N/A</v>
      </c>
      <c r="S19" s="92" t="str">
        <f>VLOOKUP(C19,'Train Runs'!$A$13:$AE$9944,22,0)</f>
        <v>https://d0f6bd738d7f1b3e5a7ca70fe4ff75f0.us-east-1.aws.found.io/app/kibana#/discover/Steve-Slow-Train-Analysis-(2080s-and-2083s)?_g=(refreshInterval:(display:Off,pause:!f,section:0,value:0),time:(from:'2017-03-18T15:48:06-0600',mode:absolute,to:'2017-03-18T18:43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9" s="94" t="str">
        <f t="shared" si="1"/>
        <v>"C:\Program Files (x86)\AstroGrep\AstroGrep.exe" /e /r /s /spath="%USERPROFILE%\AppData\Local\Temp\OnboardLogs" /stypes="*4030*201703182*" /stext=" 23:.+((SYSTEM_STATE.+slice.+state.+changed )|(ment ac)|(multiple cpu faults)|(system.+state.+changed )|(\[timeout)|(PRM\|1\|D)|(kpr)|(kdp)|(\|lc)|(penalty))"</v>
      </c>
      <c r="U19" s="9" t="str">
        <f t="shared" si="2"/>
        <v>4030</v>
      </c>
      <c r="V19" s="32">
        <f t="shared" si="3"/>
        <v>42812.971562500003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arrival","project_id":79,"tracker_id":40,"status_id":1,"priority_id":2,"assigned_to_id":23,"start_date":"2017-03-18","description":"","custom_fields":[{"id":1,"name":"Subdivision","value":"EC"},{"id":4,"name":"Milepost","value":"7.8469"},{"id":17,"name":"Train ID","value":"200-18"},{"id":16,"name":"Locomotive ID","value":"4030"},{"id":130,"name":"Impact","value":""},{"id":150,"name":"Time of Event (Mountain Time)","value":"17:19:03"},{"id":151,"name":"Denver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"%USERPROFILE%\AppData\Local\Temp\OnboardLogs"\RTDC4030\*4030*201703182*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"%USERPROFILE%\AppData\Local\Temp\OnboardLogs"\RTDC4030\*4030*201703182* &gt;&gt; 2017-03-18-SliceDisagreementCheck.txt</v>
      </c>
      <c r="AE19" s="157" t="str">
        <f t="shared" si="9"/>
        <v>start /low /b %USERPROFILE%\Documents\GitHub\eaglep3\Utilities\DownloadLogsFromS3.py --loco 4030 --day 2017-03-18</v>
      </c>
      <c r="AF19" s="1"/>
    </row>
    <row r="20" spans="1:32" x14ac:dyDescent="0.25">
      <c r="A20" s="32">
        <v>42812.311620370368</v>
      </c>
      <c r="B20" s="30" t="s">
        <v>502</v>
      </c>
      <c r="C20" s="30" t="s">
        <v>569</v>
      </c>
      <c r="D20" s="30" t="s">
        <v>49</v>
      </c>
      <c r="E20" s="30" t="s">
        <v>193</v>
      </c>
      <c r="F20" s="43">
        <v>0</v>
      </c>
      <c r="G20" s="43">
        <v>398</v>
      </c>
      <c r="H20" s="43">
        <v>109452</v>
      </c>
      <c r="I20" s="43">
        <v>108676</v>
      </c>
      <c r="J20" s="30" t="s">
        <v>194</v>
      </c>
      <c r="K20" s="43">
        <v>109135</v>
      </c>
      <c r="L20" s="143" t="s">
        <v>51</v>
      </c>
      <c r="M20" s="144">
        <f t="shared" si="0"/>
        <v>-242.352</v>
      </c>
      <c r="N20" s="145" t="str">
        <f>VLOOKUP(C20,'Trips&amp;Operators'!$C$1:$G$99999,5,FALSE)</f>
        <v>DAVIS WENDY</v>
      </c>
      <c r="O20" s="194" t="s">
        <v>185</v>
      </c>
      <c r="P20" s="146" t="s">
        <v>457</v>
      </c>
      <c r="Q20" s="30"/>
      <c r="R20" s="89" t="str">
        <f>IF(VLOOKUP(C20,'Train Runs'!$A$13:$AE$9944,1,1)=C20,VLOOKUP(C20,'Train Runs'!$A$13:$AE$9944,31,1),NA())</f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S20" s="92" t="str">
        <f>VLOOKUP(C20,'Train Runs'!$A$13:$AE$9944,22,0)</f>
        <v>https://d0f6bd738d7f1b3e5a7ca70fe4ff75f0.us-east-1.aws.found.io/app/kibana#/discover/Steve-Slow-Train-Analysis-(2080s-and-2083s)?_g=(refreshInterval:(display:Off,pause:!f,section:0,value:0),time:(from:'2017-03-18T06:08:55-0600',mode:absolute,to:'2017-03-18T08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0" s="94" t="str">
        <f t="shared" si="1"/>
        <v>"C:\Program Files (x86)\AstroGrep\AstroGrep.exe" /e /r /s /spath="%USERPROFILE%\AppData\Local\Temp\OnboardLogs" /stypes="*4023*201703181*" /stext=" 13:.+((SYSTEM_STATE.+slice.+state.+changed )|(ment ac)|(multiple cpu faults)|(system.+state.+changed )|(\[timeout)|(PRM\|1\|D)|(kpr)|(kdp)|(\|lc)|(penalty))"</v>
      </c>
      <c r="U20" s="9" t="str">
        <f t="shared" si="2"/>
        <v>4023</v>
      </c>
      <c r="V20" s="32">
        <f t="shared" si="3"/>
        <v>42812.561620370368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arrival","project_id":79,"tracker_id":40,"status_id":1,"priority_id":2,"assigned_to_id":23,"start_date":"2017-03-18","description":"","custom_fields":[{"id":1,"name":"Subdivision","value":"EC"},{"id":4,"name":"Milepost","value":"10.9135"},{"id":17,"name":"Train ID","value":"122-18"},{"id":16,"name":"Locomotive ID","value":"4023"},{"id":130,"name":"Impact","value":""},{"id":150,"name":"Time of Event (Mountain Time)","value":"07:28:44"},{"id":151,"name":"Denver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"%USERPROFILE%\AppData\Local\Temp\OnboardLogs"\RTDC4023\*4023*201703181*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"%USERPROFILE%\AppData\Local\Temp\OnboardLogs"\RTDC4023\*4023*201703181* &gt;&gt; 2017-03-18-SliceDisagreementCheck.txt</v>
      </c>
      <c r="AE20" s="157" t="str">
        <f t="shared" si="9"/>
        <v>start /low /b %USERPROFILE%\Documents\GitHub\eaglep3\Utilities\DownloadLogsFromS3.py --loco 4023 --day 2017-03-18</v>
      </c>
      <c r="AF20" s="1"/>
    </row>
    <row r="21" spans="1:32" x14ac:dyDescent="0.25">
      <c r="A21" s="32">
        <v>42812.187430555554</v>
      </c>
      <c r="B21" s="30" t="s">
        <v>201</v>
      </c>
      <c r="C21" s="30" t="s">
        <v>566</v>
      </c>
      <c r="D21" s="30" t="s">
        <v>49</v>
      </c>
      <c r="E21" s="30" t="s">
        <v>193</v>
      </c>
      <c r="F21" s="43">
        <v>370</v>
      </c>
      <c r="G21" s="43">
        <v>425</v>
      </c>
      <c r="H21" s="43">
        <v>110242</v>
      </c>
      <c r="I21" s="43">
        <v>108866</v>
      </c>
      <c r="J21" s="30" t="s">
        <v>194</v>
      </c>
      <c r="K21" s="43">
        <v>109135</v>
      </c>
      <c r="L21" s="143" t="s">
        <v>51</v>
      </c>
      <c r="M21" s="144">
        <f t="shared" si="0"/>
        <v>-142.03200000000001</v>
      </c>
      <c r="N21" s="145" t="str">
        <f>VLOOKUP(C21,'Trips&amp;Operators'!$C$1:$G$99999,5,FALSE)</f>
        <v>BADERTSCHER DIANE</v>
      </c>
      <c r="O21" s="194" t="s">
        <v>185</v>
      </c>
      <c r="P21" s="146" t="s">
        <v>457</v>
      </c>
      <c r="Q21" s="30"/>
      <c r="R21" s="89" t="str">
        <f>IF(VLOOKUP(C21,'Train Runs'!$A$13:$AE$9944,1,1)=C21,VLOOKUP(C21,'Train Runs'!$A$13:$AE$9944,31,1),NA())</f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S21" s="92" t="str">
        <f>VLOOKUP(C21,'Train Runs'!$A$13:$AE$9944,22,0)</f>
        <v>https://d0f6bd738d7f1b3e5a7ca70fe4ff75f0.us-east-1.aws.found.io/app/kibana#/discover/Steve-Slow-Train-Analysis-(2080s-and-2083s)?_g=(refreshInterval:(display:Off,pause:!f,section:0,value:0),time:(from:'2017-03-18T03:05:16-0600',mode:absolute,to:'2017-03-18T05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94" t="str">
        <f t="shared" si="1"/>
        <v>"C:\Program Files (x86)\AstroGrep\AstroGrep.exe" /e /r /s /spath="%USERPROFILE%\AppData\Local\Temp\OnboardLogs" /stypes="*4030*201703181*" /stext=" 10:.+((SYSTEM_STATE.+slice.+state.+changed )|(ment ac)|(multiple cpu faults)|(system.+state.+changed )|(\[timeout)|(PRM\|1\|D)|(kpr)|(kdp)|(\|lc)|(penalty))"</v>
      </c>
      <c r="U21" s="9" t="str">
        <f t="shared" si="2"/>
        <v>4030</v>
      </c>
      <c r="V21" s="32">
        <f t="shared" si="3"/>
        <v>42812.437430555554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arrival","project_id":79,"tracker_id":40,"status_id":1,"priority_id":2,"assigned_to_id":23,"start_date":"2017-03-18","description":"","custom_fields":[{"id":1,"name":"Subdivision","value":"EC"},{"id":4,"name":"Milepost","value":"10.9135"},{"id":17,"name":"Train ID","value":"102-18"},{"id":16,"name":"Locomotive ID","value":"4030"},{"id":130,"name":"Impact","value":""},{"id":150,"name":"Time of Event (Mountain Time)","value":"04:29:54"},{"id":151,"name":"Denver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"%USERPROFILE%\AppData\Local\Temp\OnboardLogs"\RTDC4030\*4030*201703181*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"%USERPROFILE%\AppData\Local\Temp\OnboardLogs"\RTDC4030\*4030*201703181* &gt;&gt; 2017-03-18-SliceDisagreementCheck.txt</v>
      </c>
      <c r="AE21" s="157" t="str">
        <f t="shared" si="9"/>
        <v>start /low /b %USERPROFILE%\Documents\GitHub\eaglep3\Utilities\DownloadLogsFromS3.py --loco 4030 --day 2017-03-18</v>
      </c>
      <c r="AF21" s="1"/>
    </row>
    <row r="22" spans="1:32" x14ac:dyDescent="0.25">
      <c r="A22" s="32">
        <v>42812.730196759258</v>
      </c>
      <c r="B22" s="30" t="s">
        <v>502</v>
      </c>
      <c r="C22" s="30" t="s">
        <v>585</v>
      </c>
      <c r="D22" s="30" t="s">
        <v>49</v>
      </c>
      <c r="E22" s="30" t="s">
        <v>193</v>
      </c>
      <c r="F22" s="43">
        <v>390</v>
      </c>
      <c r="G22" s="43">
        <v>443</v>
      </c>
      <c r="H22" s="43">
        <v>110224</v>
      </c>
      <c r="I22" s="43">
        <v>108990</v>
      </c>
      <c r="J22" s="30" t="s">
        <v>194</v>
      </c>
      <c r="K22" s="43">
        <v>109135</v>
      </c>
      <c r="L22" s="143" t="s">
        <v>51</v>
      </c>
      <c r="M22" s="144">
        <f t="shared" si="0"/>
        <v>-76.56</v>
      </c>
      <c r="N22" s="145" t="str">
        <f>VLOOKUP(C22,'Trips&amp;Operators'!$C$1:$G$99999,5,FALSE)</f>
        <v>BRANDNER MELINDA</v>
      </c>
      <c r="O22" s="194" t="s">
        <v>185</v>
      </c>
      <c r="P22" s="146" t="s">
        <v>457</v>
      </c>
      <c r="Q22" s="30"/>
      <c r="R22" s="89" t="e">
        <f>IF(VLOOKUP(C22,'Train Runs'!$A$13:$AE$9944,1,1)=C22,VLOOKUP(C22,'Train Runs'!$A$13:$AE$9944,31,1),NA())</f>
        <v>#N/A</v>
      </c>
      <c r="S22" s="92" t="str">
        <f>VLOOKUP(C22,'Train Runs'!$A$13:$AE$9944,22,0)</f>
        <v>https://d0f6bd738d7f1b3e5a7ca70fe4ff75f0.us-east-1.aws.found.io/app/kibana#/discover/Steve-Slow-Train-Analysis-(2080s-and-2083s)?_g=(refreshInterval:(display:Off,pause:!f,section:0,value:0),time:(from:'2017-03-18T16:11:54-0600',mode:absolute,to:'2017-03-18T19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2" s="94" t="str">
        <f t="shared" si="1"/>
        <v>"C:\Program Files (x86)\AstroGrep\AstroGrep.exe" /e /r /s /spath="%USERPROFILE%\AppData\Local\Temp\OnboardLogs" /stypes="*4023*201703182*" /stext=" 23:.+((SYSTEM_STATE.+slice.+state.+changed )|(ment ac)|(multiple cpu faults)|(system.+state.+changed )|(\[timeout)|(PRM\|1\|D)|(kpr)|(kdp)|(\|lc)|(penalty))"</v>
      </c>
      <c r="U22" s="9" t="str">
        <f t="shared" si="2"/>
        <v>4023</v>
      </c>
      <c r="V22" s="32">
        <f t="shared" si="3"/>
        <v>42812.980196759258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arrival","project_id":79,"tracker_id":40,"status_id":1,"priority_id":2,"assigned_to_id":23,"start_date":"2017-03-18","description":"","custom_fields":[{"id":1,"name":"Subdivision","value":"EC"},{"id":4,"name":"Milepost","value":"10.9135"},{"id":17,"name":"Train ID","value":"202-18"},{"id":16,"name":"Locomotive ID","value":"4023"},{"id":130,"name":"Impact","value":""},{"id":150,"name":"Time of Event (Mountain Time)","value":"17:31:29"},{"id":151,"name":"Denver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"%USERPROFILE%\AppData\Local\Temp\OnboardLogs"\RTDC4023\*4023*201703182*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"%USERPROFILE%\AppData\Local\Temp\OnboardLogs"\RTDC4023\*4023*201703182* &gt;&gt; 2017-03-18-SliceDisagreementCheck.txt</v>
      </c>
      <c r="AE22" s="157" t="str">
        <f t="shared" si="9"/>
        <v>start /low /b %USERPROFILE%\Documents\GitHub\eaglep3\Utilities\DownloadLogsFromS3.py --loco 4023 --day 2017-03-18</v>
      </c>
      <c r="AF22" s="1"/>
    </row>
    <row r="23" spans="1:32" x14ac:dyDescent="0.25">
      <c r="A23" s="32">
        <v>42813.008379629631</v>
      </c>
      <c r="B23" s="30" t="s">
        <v>409</v>
      </c>
      <c r="C23" s="30" t="s">
        <v>596</v>
      </c>
      <c r="D23" s="30" t="s">
        <v>49</v>
      </c>
      <c r="E23" s="30" t="s">
        <v>220</v>
      </c>
      <c r="F23" s="43">
        <v>400</v>
      </c>
      <c r="G23" s="43">
        <v>464</v>
      </c>
      <c r="H23" s="43">
        <v>120852</v>
      </c>
      <c r="I23" s="43">
        <v>119258</v>
      </c>
      <c r="J23" s="30" t="s">
        <v>221</v>
      </c>
      <c r="K23" s="43">
        <v>119716</v>
      </c>
      <c r="L23" s="143" t="s">
        <v>51</v>
      </c>
      <c r="M23" s="144">
        <f t="shared" si="0"/>
        <v>-241.82400000000001</v>
      </c>
      <c r="N23" s="145" t="str">
        <f>VLOOKUP(C23,'Trips&amp;Operators'!$C$1:$G$99999,5,FALSE)</f>
        <v>BROWN JACOB</v>
      </c>
      <c r="O23" s="194" t="s">
        <v>185</v>
      </c>
      <c r="P23" s="146"/>
      <c r="Q23" s="30"/>
      <c r="R23" s="89" t="e">
        <f>IF(VLOOKUP(C23,'Train Runs'!$A$13:$AE$9944,1,1)=C23,VLOOKUP(C23,'Train Runs'!$A$13:$AE$9944,31,1),NA())</f>
        <v>#N/A</v>
      </c>
      <c r="S23" s="92" t="str">
        <f>VLOOKUP(C23,'Train Runs'!$A$13:$AE$9944,22,0)</f>
        <v>https://d0f6bd738d7f1b3e5a7ca70fe4ff75f0.us-east-1.aws.found.io/app/kibana#/discover/Steve-Slow-Train-Analysis-(2080s-and-2083s)?_g=(refreshInterval:(display:Off,pause:!f,section:0,value:0),time:(from:'2017-03-18T22:48:27-0600',mode:absolute,to:'2017-03-19T01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3" s="94" t="str">
        <f t="shared" si="1"/>
        <v>"C:\Program Files (x86)\AstroGrep\AstroGrep.exe" /e /r /s /spath="%USERPROFILE%\AppData\Local\Temp\OnboardLogs" /stypes="*4028*201703190*" /stext=" 06:.+((SYSTEM_STATE.+slice.+state.+changed )|(ment ac)|(multiple cpu faults)|(system.+state.+changed )|(\[timeout)|(PRM\|1\|D)|(kpr)|(kdp)|(\|lc)|(penalty))"</v>
      </c>
      <c r="U23" s="9" t="str">
        <f t="shared" si="2"/>
        <v>4028</v>
      </c>
      <c r="V23" s="32">
        <f t="shared" si="3"/>
        <v>42813.258379629631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{"issue":{"subject":"","project_id":79,"tracker_id":40,"status_id":1,"priority_id":2,"assigned_to_id":23,"start_date":"2017-03-19","description":"","custom_fields":[{"id":1,"name":"Subdivision","value":"EC"},{"id":4,"name":"Milepost","value":"11.9716"},{"id":17,"name":"Train ID","value":"238-18"},{"id":16,"name":"Locomotive ID","value":"4028"},{"id":130,"name":"Impact","value":""},{"id":150,"name":"Time of Event (Mountain Time)","value":"00:12:04"},{"id":151,"name":"Denver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"%USERPROFILE%\AppData\Local\Temp\OnboardLogs"\RTDC4028\*4028*201703190*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"%USERPROFILE%\AppData\Local\Temp\OnboardLogs"\RTDC4028\*4028*201703190* &gt;&gt; 2017-03-18-SliceDisagreementCheck.txt</v>
      </c>
      <c r="AE23" s="157" t="str">
        <f t="shared" si="9"/>
        <v>start /low /b %USERPROFILE%\Documents\GitHub\eaglep3\Utilities\DownloadLogsFromS3.py --loco 4028 --day 2017-03-19</v>
      </c>
      <c r="AF23" s="1"/>
    </row>
    <row r="24" spans="1:32" x14ac:dyDescent="0.25">
      <c r="A24" s="32">
        <v>42812.271249999998</v>
      </c>
      <c r="B24" s="30" t="s">
        <v>467</v>
      </c>
      <c r="C24" s="30" t="s">
        <v>567</v>
      </c>
      <c r="D24" s="30" t="s">
        <v>49</v>
      </c>
      <c r="E24" s="30" t="s">
        <v>369</v>
      </c>
      <c r="F24" s="43">
        <v>0</v>
      </c>
      <c r="G24" s="43">
        <v>129</v>
      </c>
      <c r="H24" s="43">
        <v>945</v>
      </c>
      <c r="I24" s="43">
        <v>1065</v>
      </c>
      <c r="J24" s="30" t="s">
        <v>370</v>
      </c>
      <c r="K24" s="43">
        <v>1692</v>
      </c>
      <c r="L24" s="143" t="s">
        <v>50</v>
      </c>
      <c r="M24" s="144">
        <f t="shared" si="0"/>
        <v>331.05600000000004</v>
      </c>
      <c r="N24" s="145" t="str">
        <f>VLOOKUP(C24,'Trips&amp;Operators'!$C$1:$G$99999,5,FALSE)</f>
        <v>SANTIZO D. EDY</v>
      </c>
      <c r="O24" s="194" t="s">
        <v>185</v>
      </c>
      <c r="P24" s="146" t="s">
        <v>941</v>
      </c>
      <c r="Q24" s="30"/>
      <c r="R24" s="89" t="str">
        <f>IF(VLOOKUP(C24,'Train Runs'!$A$13:$AE$9944,1,1)=C24,VLOOKUP(C24,'Train Runs'!$A$13:$AE$9944,31,1),NA())</f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S24" s="92" t="str">
        <f>VLOOKUP(C24,'Train Runs'!$A$13:$AE$9944,22,0)</f>
        <v>https://d0f6bd738d7f1b3e5a7ca70fe4ff75f0.us-east-1.aws.found.io/app/kibana#/discover/Steve-Slow-Train-Analysis-(2080s-and-2083s)?_g=(refreshInterval:(display:Off,pause:!f,section:0,value:0),time:(from:'2017-03-18T05:35:32-0600',mode:absolute,to:'2017-03-18T08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4" s="94" t="str">
        <f t="shared" si="1"/>
        <v>"C:\Program Files (x86)\AstroGrep\AstroGrep.exe" /e /r /s /spath="%USERPROFILE%\AppData\Local\Temp\OnboardLogs" /stypes="*4014*201703181*" /stext=" 12:.+((SYSTEM_STATE.+slice.+state.+changed )|(ment ac)|(multiple cpu faults)|(system.+state.+changed )|(\[timeout)|(PRM\|1\|D)|(kpr)|(kdp)|(\|lc)|(penalty))"</v>
      </c>
      <c r="U24" s="9" t="str">
        <f t="shared" si="2"/>
        <v>4014</v>
      </c>
      <c r="V24" s="32">
        <f t="shared" si="3"/>
        <v>42812.521249999998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{"issue":{"subject":"Selected wrong track","project_id":79,"tracker_id":40,"status_id":1,"priority_id":2,"assigned_to_id":23,"start_date":"2017-03-18","description":"","custom_fields":[{"id":1,"name":"Subdivision","value":"EC"},{"id":4,"name":"Milepost","value":"0.1692"},{"id":17,"name":"Train ID","value":"123-18"},{"id":16,"name":"Locomotive ID","value":"4014"},{"id":130,"name":"Impact","value":""},{"id":150,"name":"Time of Event (Mountain Time)","value":"06:30:36"},{"id":151,"name":"Denver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"%USERPROFILE%\AppData\Local\Temp\OnboardLogs"\RTDC4014\*4014*201703181*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"%USERPROFILE%\AppData\Local\Temp\OnboardLogs"\RTDC4014\*4014*201703181* &gt;&gt; 2017-03-18-SliceDisagreementCheck.txt</v>
      </c>
      <c r="AE24" s="157" t="str">
        <f t="shared" si="9"/>
        <v>start /low /b %USERPROFILE%\Documents\GitHub\eaglep3\Utilities\DownloadLogsFromS3.py --loco 4014 --day 2017-03-18</v>
      </c>
      <c r="AF24" s="1"/>
    </row>
    <row r="25" spans="1:32" x14ac:dyDescent="0.25">
      <c r="A25" s="32">
        <v>42812.847094907411</v>
      </c>
      <c r="B25" s="30" t="s">
        <v>499</v>
      </c>
      <c r="C25" s="30" t="s">
        <v>591</v>
      </c>
      <c r="D25" s="30" t="s">
        <v>98</v>
      </c>
      <c r="E25" s="30" t="s">
        <v>369</v>
      </c>
      <c r="F25" s="43">
        <v>0</v>
      </c>
      <c r="G25" s="43">
        <v>80</v>
      </c>
      <c r="H25" s="43">
        <v>1775</v>
      </c>
      <c r="I25" s="43">
        <v>1893</v>
      </c>
      <c r="J25" s="30" t="s">
        <v>370</v>
      </c>
      <c r="K25" s="43">
        <v>1692</v>
      </c>
      <c r="L25" s="143" t="s">
        <v>50</v>
      </c>
      <c r="M25" s="144">
        <f t="shared" si="0"/>
        <v>-106.128</v>
      </c>
      <c r="N25" s="145" t="str">
        <f>VLOOKUP(C25,'Trips&amp;Operators'!$C$1:$G$99999,5,FALSE)</f>
        <v>MACDONALD THOMAS</v>
      </c>
      <c r="O25" s="194" t="s">
        <v>372</v>
      </c>
      <c r="P25" s="146" t="s">
        <v>416</v>
      </c>
      <c r="Q25" s="30"/>
      <c r="R25" s="89" t="e">
        <f>IF(VLOOKUP(C25,'Train Runs'!$A$13:$AE$9944,1,1)=C25,VLOOKUP(C25,'Train Runs'!$A$13:$AE$9944,31,1),NA())</f>
        <v>#N/A</v>
      </c>
      <c r="S25" s="92" t="str">
        <f>VLOOKUP(C25,'Train Runs'!$A$13:$AE$9944,22,0)</f>
        <v>https://d0f6bd738d7f1b3e5a7ca70fe4ff75f0.us-east-1.aws.found.io/app/kibana#/discover/Steve-Slow-Train-Analysis-(2080s-and-2083s)?_g=(refreshInterval:(display:Off,pause:!f,section:0,value:0),time:(from:'2017-03-18T19:25:02-0600',mode:absolute,to:'2017-03-18T21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94" t="str">
        <f t="shared" si="1"/>
        <v>"C:\Program Files (x86)\AstroGrep\AstroGrep.exe" /e /r /s /spath="%USERPROFILE%\AppData\Local\Temp\OnboardLogs" /stypes="*4044*201703190*" /stext=" 02:.+((SYSTEM_STATE.+slice.+state.+changed )|(ment ac)|(multiple cpu faults)|(system.+state.+changed )|(\[timeout)|(PRM\|1\|D)|(kpr)|(kdp)|(\|lc)|(penalty))"</v>
      </c>
      <c r="U25" s="9" t="str">
        <f t="shared" si="2"/>
        <v>4044</v>
      </c>
      <c r="V25" s="32">
        <f t="shared" si="3"/>
        <v>42813.097094907411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{"issue":{"subject":"Onboard in-route failure","project_id":79,"tracker_id":40,"status_id":1,"priority_id":2,"assigned_to_id":23,"start_date":"2017-03-18","description":"","custom_fields":[{"id":1,"name":"Subdivision","value":"EC"},{"id":4,"name":"Milepost","value":"0.1692"},{"id":17,"name":"Train ID","value":"225-18"},{"id":16,"name":"Locomotive ID","value":"4044"},{"id":130,"name":"Impact","value":""},{"id":150,"name":"Time of Event (Mountain Time)","value":"20:19:49"},{"id":151,"name":"Denver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"%USERPROFILE%\AppData\Local\Temp\OnboardLogs"\RTDC4044\*4044*201703190*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"%USERPROFILE%\AppData\Local\Temp\OnboardLogs"\RTDC4044\*4044*201703190* &gt;&gt; 2017-03-18-SliceDisagreementCheck.txt</v>
      </c>
      <c r="AE25" s="157" t="str">
        <f t="shared" si="9"/>
        <v>start /low /b %USERPROFILE%\Documents\GitHub\eaglep3\Utilities\DownloadLogsFromS3.py --loco 4044 --day 2017-03-19</v>
      </c>
      <c r="AF25" s="1"/>
    </row>
    <row r="26" spans="1:32" x14ac:dyDescent="0.25">
      <c r="A26" s="32">
        <v>42812.771307870367</v>
      </c>
      <c r="B26" s="30" t="s">
        <v>432</v>
      </c>
      <c r="C26" s="30" t="s">
        <v>588</v>
      </c>
      <c r="D26" s="30" t="s">
        <v>98</v>
      </c>
      <c r="E26" s="30" t="s">
        <v>369</v>
      </c>
      <c r="F26" s="43">
        <v>200</v>
      </c>
      <c r="G26" s="43">
        <v>364</v>
      </c>
      <c r="H26" s="43">
        <v>66508</v>
      </c>
      <c r="I26" s="43">
        <v>67683</v>
      </c>
      <c r="J26" s="30" t="s">
        <v>370</v>
      </c>
      <c r="K26" s="43">
        <v>63995</v>
      </c>
      <c r="L26" s="143" t="s">
        <v>50</v>
      </c>
      <c r="M26" s="144">
        <f t="shared" si="0"/>
        <v>-1947.2639999999999</v>
      </c>
      <c r="N26" s="145" t="str">
        <f>VLOOKUP(C26,'Trips&amp;Operators'!$C$1:$G$99999,5,FALSE)</f>
        <v>NELSON ARIANE</v>
      </c>
      <c r="O26" s="194" t="s">
        <v>185</v>
      </c>
      <c r="P26" s="146" t="s">
        <v>564</v>
      </c>
      <c r="Q26" s="30"/>
      <c r="R26" s="89" t="e">
        <f>IF(VLOOKUP(C26,'Train Runs'!$A$13:$AE$9944,1,1)=C26,VLOOKUP(C26,'Train Runs'!$A$13:$AE$9944,31,1),NA())</f>
        <v>#N/A</v>
      </c>
      <c r="S26" s="92" t="str">
        <f>VLOOKUP(C26,'Train Runs'!$A$13:$AE$9944,22,0)</f>
        <v>https://d0f6bd738d7f1b3e5a7ca70fe4ff75f0.us-east-1.aws.found.io/app/kibana#/discover/Steve-Slow-Train-Analysis-(2080s-and-2083s)?_g=(refreshInterval:(display:Off,pause:!f,section:0,value:0),time:(from:'2017-03-18T17:00:20-0600',mode:absolute,to:'2017-03-18T19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6" s="94" t="str">
        <f t="shared" si="1"/>
        <v>"C:\Program Files (x86)\AstroGrep\AstroGrep.exe" /e /r /s /spath="%USERPROFILE%\AppData\Local\Temp\OnboardLogs" /stypes="*4046*201703190*" /stext=" 00:.+((SYSTEM_STATE.+slice.+state.+changed )|(ment ac)|(multiple cpu faults)|(system.+state.+changed )|(\[timeout)|(PRM\|1\|D)|(kpr)|(kdp)|(\|lc)|(penalty))"</v>
      </c>
      <c r="U26" s="9" t="str">
        <f t="shared" si="2"/>
        <v>4046</v>
      </c>
      <c r="V26" s="32">
        <f t="shared" si="3"/>
        <v>42813.021307870367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Overspeed","project_id":79,"tracker_id":40,"status_id":1,"priority_id":2,"assigned_to_id":23,"start_date":"2017-03-18","description":"","custom_fields":[{"id":1,"name":"Subdivision","value":"EC"},{"id":4,"name":"Milepost","value":"6.3995"},{"id":17,"name":"Train ID","value":"215-18"},{"id":16,"name":"Locomotive ID","value":"4046"},{"id":130,"name":"Impact","value":""},{"id":150,"name":"Time of Event (Mountain Time)","value":"18:30:41"},{"id":151,"name":"Denver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"%USERPROFILE%\AppData\Local\Temp\OnboardLogs"\RTDC4046\*4046*201703190*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"%USERPROFILE%\AppData\Local\Temp\OnboardLogs"\RTDC4046\*4046*201703190* &gt;&gt; 2017-03-18-SliceDisagreementCheck.txt</v>
      </c>
      <c r="AE26" s="157" t="str">
        <f t="shared" si="9"/>
        <v>start /low /b %USERPROFILE%\Documents\GitHub\eaglep3\Utilities\DownloadLogsFromS3.py --loco 4046 --day 2017-03-19</v>
      </c>
      <c r="AF26" s="1"/>
    </row>
    <row r="27" spans="1:32" x14ac:dyDescent="0.25">
      <c r="A27" s="32">
        <v>42812.80678240741</v>
      </c>
      <c r="B27" s="30" t="s">
        <v>500</v>
      </c>
      <c r="C27" s="30" t="s">
        <v>589</v>
      </c>
      <c r="D27" s="30" t="s">
        <v>49</v>
      </c>
      <c r="E27" s="30" t="s">
        <v>369</v>
      </c>
      <c r="F27" s="43">
        <v>0</v>
      </c>
      <c r="G27" s="43">
        <v>50</v>
      </c>
      <c r="H27" s="43">
        <v>64056</v>
      </c>
      <c r="I27" s="43">
        <v>64031</v>
      </c>
      <c r="J27" s="30" t="s">
        <v>370</v>
      </c>
      <c r="K27" s="43">
        <v>64008</v>
      </c>
      <c r="L27" s="143" t="s">
        <v>51</v>
      </c>
      <c r="M27" s="144">
        <f t="shared" si="0"/>
        <v>12.144</v>
      </c>
      <c r="N27" s="145" t="str">
        <f>VLOOKUP(C27,'Trips&amp;Operators'!$C$1:$G$99999,5,FALSE)</f>
        <v>WHITED DUSTIN</v>
      </c>
      <c r="O27" s="194" t="s">
        <v>185</v>
      </c>
      <c r="P27" s="146" t="s">
        <v>945</v>
      </c>
      <c r="Q27" s="30"/>
      <c r="R27" s="89" t="e">
        <f>IF(VLOOKUP(C27,'Train Runs'!$A$13:$AE$9944,1,1)=C27,VLOOKUP(C27,'Train Runs'!$A$13:$AE$9944,31,1),NA())</f>
        <v>#N/A</v>
      </c>
      <c r="S27" s="92" t="str">
        <f>VLOOKUP(C27,'Train Runs'!$A$13:$AE$9944,22,0)</f>
        <v>https://d0f6bd738d7f1b3e5a7ca70fe4ff75f0.us-east-1.aws.found.io/app/kibana#/discover/Steve-Slow-Train-Analysis-(2080s-and-2083s)?_g=(refreshInterval:(display:Off,pause:!f,section:0,value:0),time:(from:'2017-03-18T17:25:51-0600',mode:absolute,to:'2017-03-18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94" t="str">
        <f t="shared" si="1"/>
        <v>"C:\Program Files (x86)\AstroGrep\AstroGrep.exe" /e /r /s /spath="%USERPROFILE%\AppData\Local\Temp\OnboardLogs" /stypes="*4043*201703190*" /stext=" 01:.+((SYSTEM_STATE.+slice.+state.+changed )|(ment ac)|(multiple cpu faults)|(system.+state.+changed )|(\[timeout)|(PRM\|1\|D)|(kpr)|(kdp)|(\|lc)|(penalty))"</v>
      </c>
      <c r="U27" s="9" t="str">
        <f t="shared" si="2"/>
        <v>4043</v>
      </c>
      <c r="V27" s="32">
        <f t="shared" si="3"/>
        <v>42813.05678240741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{"issue":{"subject":"EC0629XH 63-1T 1S STOP","project_id":79,"tracker_id":40,"status_id":1,"priority_id":2,"assigned_to_id":23,"start_date":"2017-03-18","description":"","custom_fields":[{"id":1,"name":"Subdivision","value":"EC"},{"id":4,"name":"Milepost","value":"6.4008"},{"id":17,"name":"Train ID","value":"212-18"},{"id":16,"name":"Locomotive ID","value":"4043"},{"id":130,"name":"Impact","value":""},{"id":150,"name":"Time of Event (Mountain Time)","value":"19:21:46"},{"id":151,"name":"Denver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"%USERPROFILE%\AppData\Local\Temp\OnboardLogs"\RTDC4043\*4043*201703190*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"%USERPROFILE%\AppData\Local\Temp\OnboardLogs"\RTDC4043\*4043*201703190* &gt;&gt; 2017-03-18-SliceDisagreementCheck.txt</v>
      </c>
      <c r="AE27" s="157" t="str">
        <f t="shared" si="9"/>
        <v>start /low /b %USERPROFILE%\Documents\GitHub\eaglep3\Utilities\DownloadLogsFromS3.py --loco 4043 --day 2017-03-19</v>
      </c>
      <c r="AF27" s="1"/>
    </row>
    <row r="28" spans="1:32" x14ac:dyDescent="0.25">
      <c r="A28" s="32">
        <v>42812.640810185185</v>
      </c>
      <c r="B28" s="30" t="s">
        <v>201</v>
      </c>
      <c r="C28" s="30" t="s">
        <v>577</v>
      </c>
      <c r="D28" s="30" t="s">
        <v>49</v>
      </c>
      <c r="E28" s="30" t="s">
        <v>369</v>
      </c>
      <c r="F28" s="43">
        <v>0</v>
      </c>
      <c r="G28" s="43">
        <v>39</v>
      </c>
      <c r="H28" s="43">
        <v>69471</v>
      </c>
      <c r="I28" s="43">
        <v>69450</v>
      </c>
      <c r="J28" s="30" t="s">
        <v>370</v>
      </c>
      <c r="K28" s="43">
        <v>69363</v>
      </c>
      <c r="L28" s="143" t="s">
        <v>51</v>
      </c>
      <c r="M28" s="144">
        <f t="shared" si="0"/>
        <v>45.936</v>
      </c>
      <c r="N28" s="145" t="str">
        <f>VLOOKUP(C28,'Trips&amp;Operators'!$C$1:$G$99999,5,FALSE)</f>
        <v>ROMERO CHAD</v>
      </c>
      <c r="O28" s="194" t="s">
        <v>185</v>
      </c>
      <c r="P28" s="146" t="s">
        <v>946</v>
      </c>
      <c r="Q28" s="30"/>
      <c r="R28" s="89" t="e">
        <f>IF(VLOOKUP(C28,'Train Runs'!$A$13:$AE$9944,1,1)=C28,VLOOKUP(C28,'Train Runs'!$A$13:$AE$9944,31,1),NA())</f>
        <v>#N/A</v>
      </c>
      <c r="S28" s="92" t="str">
        <f>VLOOKUP(C28,'Train Runs'!$A$13:$AE$9944,22,0)</f>
        <v>https://d0f6bd738d7f1b3e5a7ca70fe4ff75f0.us-east-1.aws.found.io/app/kibana#/discover/Steve-Slow-Train-Analysis-(2080s-and-2083s)?_g=(refreshInterval:(display:Off,pause:!f,section:0,value:0),time:(from:'2017-03-18T13:50:27-0600',mode:absolute,to:'2017-03-18T16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8" s="94" t="str">
        <f t="shared" si="1"/>
        <v>"C:\Program Files (x86)\AstroGrep\AstroGrep.exe" /e /r /s /spath="%USERPROFILE%\AppData\Local\Temp\OnboardLogs" /stypes="*4030*201703182*" /stext=" 21:.+((SYSTEM_STATE.+slice.+state.+changed )|(ment ac)|(multiple cpu faults)|(system.+state.+changed )|(\[timeout)|(PRM\|1\|D)|(kpr)|(kdp)|(\|lc)|(penalty))"</v>
      </c>
      <c r="U28" s="9" t="str">
        <f t="shared" si="2"/>
        <v>4030</v>
      </c>
      <c r="V28" s="32">
        <f t="shared" si="3"/>
        <v>42812.890810185185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{"issue":{"subject":"EC0690RH (CP SAND CREEK) Signal 2S STOP","project_id":79,"tracker_id":40,"status_id":1,"priority_id":2,"assigned_to_id":23,"start_date":"2017-03-18","description":"","custom_fields":[{"id":1,"name":"Subdivision","value":"EC"},{"id":4,"name":"Milepost","value":"6.9363"},{"id":17,"name":"Train ID","value":"184-18"},{"id":16,"name":"Locomotive ID","value":"4030"},{"id":130,"name":"Impact","value":""},{"id":150,"name":"Time of Event (Mountain Time)","value":"15:22:46"},{"id":151,"name":"Denver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"%USERPROFILE%\AppData\Local\Temp\OnboardLogs"\RTDC4030\*4030*201703182*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"%USERPROFILE%\AppData\Local\Temp\OnboardLogs"\RTDC4030\*4030*201703182* &gt;&gt; 2017-03-18-SliceDisagreementCheck.txt</v>
      </c>
      <c r="AE28" s="157" t="str">
        <f t="shared" si="9"/>
        <v>start /low /b %USERPROFILE%\Documents\GitHub\eaglep3\Utilities\DownloadLogsFromS3.py --loco 4030 --day 2017-03-18</v>
      </c>
      <c r="AF28" s="1"/>
    </row>
    <row r="29" spans="1:32" x14ac:dyDescent="0.25">
      <c r="A29" s="32">
        <v>42812.715254629627</v>
      </c>
      <c r="B29" s="30" t="s">
        <v>201</v>
      </c>
      <c r="C29" s="30" t="s">
        <v>584</v>
      </c>
      <c r="D29" s="30" t="s">
        <v>49</v>
      </c>
      <c r="E29" s="30" t="s">
        <v>369</v>
      </c>
      <c r="F29" s="43">
        <v>0</v>
      </c>
      <c r="G29" s="43">
        <v>344</v>
      </c>
      <c r="H29" s="43">
        <v>130090</v>
      </c>
      <c r="I29" s="43">
        <v>129079</v>
      </c>
      <c r="J29" s="30" t="s">
        <v>370</v>
      </c>
      <c r="K29" s="43">
        <v>127587</v>
      </c>
      <c r="L29" s="143" t="s">
        <v>51</v>
      </c>
      <c r="M29" s="144">
        <f t="shared" si="0"/>
        <v>787.77599999999995</v>
      </c>
      <c r="N29" s="145" t="str">
        <f>VLOOKUP(C29,'Trips&amp;Operators'!$C$1:$G$99999,5,FALSE)</f>
        <v>ROMERO CHAD</v>
      </c>
      <c r="O29" s="194" t="s">
        <v>185</v>
      </c>
      <c r="P29" s="146" t="s">
        <v>565</v>
      </c>
      <c r="Q29" s="30"/>
      <c r="R29" s="89" t="e">
        <f>IF(VLOOKUP(C29,'Train Runs'!$A$13:$AE$9944,1,1)=C29,VLOOKUP(C29,'Train Runs'!$A$13:$AE$9944,31,1),NA())</f>
        <v>#N/A</v>
      </c>
      <c r="S29" s="92" t="str">
        <f>VLOOKUP(C29,'Train Runs'!$A$13:$AE$9944,22,0)</f>
        <v>https://d0f6bd738d7f1b3e5a7ca70fe4ff75f0.us-east-1.aws.found.io/app/kibana#/discover/Steve-Slow-Train-Analysis-(2080s-and-2083s)?_g=(refreshInterval:(display:Off,pause:!f,section:0,value:0),time:(from:'2017-03-18T15:48:06-0600',mode:absolute,to:'2017-03-18T18:43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94" t="str">
        <f t="shared" si="1"/>
        <v>"C:\Program Files (x86)\AstroGrep\AstroGrep.exe" /e /r /s /spath="%USERPROFILE%\AppData\Local\Temp\OnboardLogs" /stypes="*4030*201703182*" /stext=" 23:.+((SYSTEM_STATE.+slice.+state.+changed )|(ment ac)|(multiple cpu faults)|(system.+state.+changed )|(\[timeout)|(PRM\|1\|D)|(kpr)|(kdp)|(\|lc)|(penalty))"</v>
      </c>
      <c r="U29" s="9" t="str">
        <f t="shared" si="2"/>
        <v>4030</v>
      </c>
      <c r="V29" s="32">
        <f t="shared" si="3"/>
        <v>42812.965254629627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{"issue":{"subject":"40th 4S STOP","project_id":79,"tracker_id":40,"status_id":1,"priority_id":2,"assigned_to_id":23,"start_date":"2017-03-18","description":"","custom_fields":[{"id":1,"name":"Subdivision","value":"EC"},{"id":4,"name":"Milepost","value":"12.7587"},{"id":17,"name":"Train ID","value":"200-18"},{"id":16,"name":"Locomotive ID","value":"4030"},{"id":130,"name":"Impact","value":""},{"id":150,"name":"Time of Event (Mountain Time)","value":"17:09:58"},{"id":151,"name":"Denver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"%USERPROFILE%\AppData\Local\Temp\OnboardLogs"\RTDC4030\*4030*201703182*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"%USERPROFILE%\AppData\Local\Temp\OnboardLogs"\RTDC4030\*4030*201703182* &gt;&gt; 2017-03-18-SliceDisagreementCheck.txt</v>
      </c>
      <c r="AE29" s="157" t="str">
        <f t="shared" si="9"/>
        <v>start /low /b %USERPROFILE%\Documents\GitHub\eaglep3\Utilities\DownloadLogsFromS3.py --loco 4030 --day 2017-03-18</v>
      </c>
      <c r="AF29" s="1"/>
    </row>
    <row r="30" spans="1:32" x14ac:dyDescent="0.25">
      <c r="A30" s="32">
        <v>42813.044756944444</v>
      </c>
      <c r="B30" s="30" t="s">
        <v>497</v>
      </c>
      <c r="C30" s="30" t="s">
        <v>597</v>
      </c>
      <c r="D30" s="30" t="s">
        <v>98</v>
      </c>
      <c r="E30" s="30" t="s">
        <v>369</v>
      </c>
      <c r="F30" s="43">
        <v>0</v>
      </c>
      <c r="G30" s="43">
        <v>598</v>
      </c>
      <c r="H30" s="43">
        <v>217165</v>
      </c>
      <c r="I30" s="43">
        <v>219975</v>
      </c>
      <c r="J30" s="30" t="s">
        <v>370</v>
      </c>
      <c r="K30" s="43">
        <v>217106</v>
      </c>
      <c r="L30" s="143" t="s">
        <v>50</v>
      </c>
      <c r="M30" s="144">
        <f t="shared" si="0"/>
        <v>-1514.8320000000001</v>
      </c>
      <c r="N30" s="145" t="str">
        <f>VLOOKUP(C30,'Trips&amp;Operators'!$C$1:$G$99999,5,FALSE)</f>
        <v>SWANSON BRYCE</v>
      </c>
      <c r="O30" s="194" t="s">
        <v>372</v>
      </c>
      <c r="P30" s="146" t="s">
        <v>416</v>
      </c>
      <c r="Q30" s="30"/>
      <c r="R30" s="89" t="e">
        <f>IF(VLOOKUP(C30,'Train Runs'!$A$13:$AE$9944,1,1)=C30,VLOOKUP(C30,'Train Runs'!$A$13:$AE$9944,31,1),NA())</f>
        <v>#N/A</v>
      </c>
      <c r="S30" s="92" t="str">
        <f>VLOOKUP(C30,'Train Runs'!$A$13:$AE$9944,22,0)</f>
        <v>https://d0f6bd738d7f1b3e5a7ca70fe4ff75f0.us-east-1.aws.found.io/app/kibana#/discover/Steve-Slow-Train-Analysis-(2080s-and-2083s)?_g=(refreshInterval:(display:Off,pause:!f,section:0,value:0),time:(from:'2017-03-19T00:02:49-0600',mode:absolute,to:'2017-03-19T01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0" s="94" t="str">
        <f t="shared" si="1"/>
        <v>"C:\Program Files (x86)\AstroGrep\AstroGrep.exe" /e /r /s /spath="%USERPROFILE%\AppData\Local\Temp\OnboardLogs" /stypes="*4011*201703190*" /stext=" 07:.+((SYSTEM_STATE.+slice.+state.+changed )|(ment ac)|(multiple cpu faults)|(system.+state.+changed )|(\[timeout)|(PRM\|1\|D)|(kpr)|(kdp)|(\|lc)|(penalty))"</v>
      </c>
      <c r="U30" s="9" t="str">
        <f t="shared" si="2"/>
        <v>4011</v>
      </c>
      <c r="V30" s="32">
        <f t="shared" si="3"/>
        <v>42813.294756944444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{"issue":{"subject":"Onboard in-route failure","project_id":79,"tracker_id":40,"status_id":1,"priority_id":2,"assigned_to_id":23,"start_date":"2017-03-19","description":"","custom_fields":[{"id":1,"name":"Subdivision","value":"EC"},{"id":4,"name":"Milepost","value":"21.7106"},{"id":17,"name":"Train ID","value":"243-18"},{"id":16,"name":"Locomotive ID","value":"4011"},{"id":130,"name":"Impact","value":""},{"id":150,"name":"Time of Event (Mountain Time)","value":"01:04:27"},{"id":151,"name":"Denver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"%USERPROFILE%\AppData\Local\Temp\OnboardLogs"\RTDC4011\*4011*201703190*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"%USERPROFILE%\AppData\Local\Temp\OnboardLogs"\RTDC4011\*4011*201703190* &gt;&gt; 2017-03-18-SliceDisagreementCheck.txt</v>
      </c>
      <c r="AE30" s="157" t="str">
        <f t="shared" si="9"/>
        <v>start /low /b %USERPROFILE%\Documents\GitHub\eaglep3\Utilities\DownloadLogsFromS3.py --loco 4011 --day 2017-03-19</v>
      </c>
      <c r="AF30" s="1"/>
    </row>
    <row r="31" spans="1:32" x14ac:dyDescent="0.25">
      <c r="A31" s="32">
        <v>42812.657384259262</v>
      </c>
      <c r="B31" s="30" t="s">
        <v>499</v>
      </c>
      <c r="C31" s="30" t="s">
        <v>580</v>
      </c>
      <c r="D31" s="30" t="s">
        <v>98</v>
      </c>
      <c r="E31" s="30" t="s">
        <v>581</v>
      </c>
      <c r="F31" s="43">
        <v>0</v>
      </c>
      <c r="G31" s="43">
        <v>165</v>
      </c>
      <c r="H31" s="43">
        <v>3625</v>
      </c>
      <c r="I31" s="43">
        <v>3897</v>
      </c>
      <c r="J31" s="30" t="s">
        <v>582</v>
      </c>
      <c r="K31" s="43">
        <v>2789</v>
      </c>
      <c r="L31" s="143" t="s">
        <v>50</v>
      </c>
      <c r="M31" s="144">
        <f t="shared" si="0"/>
        <v>-585.024</v>
      </c>
      <c r="N31" s="145" t="str">
        <f>VLOOKUP(C31,'Trips&amp;Operators'!$C$1:$G$99999,5,FALSE)</f>
        <v>LEVIN SCOTT</v>
      </c>
      <c r="O31" s="194" t="s">
        <v>372</v>
      </c>
      <c r="P31" s="146" t="s">
        <v>944</v>
      </c>
      <c r="Q31" s="30"/>
      <c r="R31" s="89" t="e">
        <f>IF(VLOOKUP(C31,'Train Runs'!$A$13:$AE$9944,1,1)=C31,VLOOKUP(C31,'Train Runs'!$A$13:$AE$9944,31,1),NA())</f>
        <v>#N/A</v>
      </c>
      <c r="S31" s="92" t="str">
        <f>VLOOKUP(C31,'Train Runs'!$A$13:$AE$9944,22,0)</f>
        <v>https://d0f6bd738d7f1b3e5a7ca70fe4ff75f0.us-east-1.aws.found.io/app/kibana#/discover/Steve-Slow-Train-Analysis-(2080s-and-2083s)?_g=(refreshInterval:(display:Off,pause:!f,section:0,value:0),time:(from:'2017-03-18T14:39:44-0600',mode:absolute,to:'2017-03-18T17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94" t="str">
        <f t="shared" si="1"/>
        <v>"C:\Program Files (x86)\AstroGrep\AstroGrep.exe" /e /r /s /spath="%USERPROFILE%\AppData\Local\Temp\OnboardLogs" /stypes="*4044*201703182*" /stext=" 21:.+((SYSTEM_STATE.+slice.+state.+changed )|(ment ac)|(multiple cpu faults)|(system.+state.+changed )|(\[timeout)|(PRM\|1\|D)|(kpr)|(kdp)|(\|lc)|(penalty))"</v>
      </c>
      <c r="U31" s="9" t="str">
        <f t="shared" si="2"/>
        <v>4044</v>
      </c>
      <c r="V31" s="32">
        <f t="shared" si="3"/>
        <v>42812.907384259262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{"issue":{"subject":"Wi-MAX data drop","project_id":79,"tracker_id":40,"status_id":1,"priority_id":2,"assigned_to_id":23,"start_date":"2017-03-18","description":"http://stevetu21.github.io/eaglep3/load_kml.html?kml=http://rtdc.gmaps-snips.s3.amazonaws.com/9b35a17b-51c9-4e1e-a89f-838c095782c2.kml","custom_fields":[{"id":1,"name":"Subdivision","value":"EC"},{"id":4,"name":"Milepost","value":"0.2789"},{"id":17,"name":"Train ID","value":"197-18"},{"id":16,"name":"Locomotive ID","value":"4044"},{"id":130,"name":"Impact","value":"Enforcement"},{"id":150,"name":"Time of Event (Mountain Time)","value":"15:46:38"},{"id":151,"name":"Denver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1" t="s">
        <v>943</v>
      </c>
      <c r="AA31" s="48" t="s">
        <v>124</v>
      </c>
      <c r="AB31" s="48" t="s">
        <v>137</v>
      </c>
      <c r="AC31" s="127" t="str">
        <f t="shared" si="7"/>
        <v>grep -hSE -A400 "Enforcement Action" "%USERPROFILE%\AppData\Local\Temp\OnboardLogs"\RTDC4044\*4044*201703182*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"%USERPROFILE%\AppData\Local\Temp\OnboardLogs"\RTDC4044\*4044*201703182* &gt;&gt; 2017-03-18-SliceDisagreementCheck.txt</v>
      </c>
      <c r="AE31" s="157" t="str">
        <f t="shared" si="9"/>
        <v>start /low /b %USERPROFILE%\Documents\GitHub\eaglep3\Utilities\DownloadLogsFromS3.py --loco 4044 --day 2017-03-18</v>
      </c>
      <c r="AF31" s="1"/>
    </row>
    <row r="32" spans="1:32" x14ac:dyDescent="0.25">
      <c r="A32" s="32">
        <v>42812.856539351851</v>
      </c>
      <c r="B32" s="30" t="s">
        <v>431</v>
      </c>
      <c r="C32" s="30" t="s">
        <v>592</v>
      </c>
      <c r="D32" s="30" t="s">
        <v>49</v>
      </c>
      <c r="E32" s="30" t="s">
        <v>186</v>
      </c>
      <c r="F32" s="43">
        <v>0</v>
      </c>
      <c r="G32" s="43">
        <v>19</v>
      </c>
      <c r="H32" s="43">
        <v>893</v>
      </c>
      <c r="I32" s="43">
        <v>885</v>
      </c>
      <c r="J32" s="30" t="s">
        <v>187</v>
      </c>
      <c r="K32" s="43">
        <v>826</v>
      </c>
      <c r="L32" s="143" t="s">
        <v>51</v>
      </c>
      <c r="M32" s="144">
        <f t="shared" si="0"/>
        <v>31.152000000000001</v>
      </c>
      <c r="N32" s="145" t="str">
        <f>VLOOKUP(C32,'Trips&amp;Operators'!$C$1:$G$99999,5,FALSE)</f>
        <v>NELSON ARIANE</v>
      </c>
      <c r="O32" s="194" t="s">
        <v>185</v>
      </c>
      <c r="P32" s="146"/>
      <c r="Q32" s="30"/>
      <c r="R32" s="89" t="e">
        <f>IF(VLOOKUP(C32,'Train Runs'!$A$13:$AE$9944,1,1)=C32,VLOOKUP(C32,'Train Runs'!$A$13:$AE$9944,31,1),NA())</f>
        <v>#N/A</v>
      </c>
      <c r="S32" s="92" t="str">
        <f>VLOOKUP(C32,'Train Runs'!$A$13:$AE$9944,22,0)</f>
        <v>https://d0f6bd738d7f1b3e5a7ca70fe4ff75f0.us-east-1.aws.found.io/app/kibana#/discover/Steve-Slow-Train-Analysis-(2080s-and-2083s)?_g=(refreshInterval:(display:Off,pause:!f,section:0,value:0),time:(from:'2017-03-18T17:57:45-0600',mode:absolute,to:'2017-03-18T21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2" s="94" t="str">
        <f t="shared" si="1"/>
        <v>"C:\Program Files (x86)\AstroGrep\AstroGrep.exe" /e /r /s /spath="%USERPROFILE%\AppData\Local\Temp\OnboardLogs" /stypes="*4045*201703190*" /stext=" 02:.+((SYSTEM_STATE.+slice.+state.+changed )|(ment ac)|(multiple cpu faults)|(system.+state.+changed )|(\[timeout)|(PRM\|1\|D)|(kpr)|(kdp)|(\|lc)|(penalty))"</v>
      </c>
      <c r="U32" s="9" t="str">
        <f t="shared" si="2"/>
        <v>4045</v>
      </c>
      <c r="V32" s="32">
        <f t="shared" si="3"/>
        <v>42813.106539351851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{"issue":{"subject":"","project_id":79,"tracker_id":40,"status_id":1,"priority_id":2,"assigned_to_id":23,"start_date":"2017-03-18","description":"","custom_fields":[{"id":1,"name":"Subdivision","value":"EC"},{"id":4,"name":"Milepost","value":"0.0826"},{"id":17,"name":"Train ID","value":"216-18"},{"id":16,"name":"Locomotive ID","value":"4045"},{"id":130,"name":"Impact","value":""},{"id":150,"name":"Time of Event (Mountain Time)","value":"20:33:25"},{"id":151,"name":"Denver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"%USERPROFILE%\AppData\Local\Temp\OnboardLogs"\RTDC4045\*4045*201703190*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"%USERPROFILE%\AppData\Local\Temp\OnboardLogs"\RTDC4045\*4045*201703190* &gt;&gt; 2017-03-18-SliceDisagreementCheck.txt</v>
      </c>
      <c r="AE32" s="157" t="str">
        <f t="shared" si="9"/>
        <v>start /low /b %USERPROFILE%\Documents\GitHub\eaglep3\Utilities\DownloadLogsFromS3.py --loco 4045 --day 2017-03-19</v>
      </c>
      <c r="AF32" s="1"/>
    </row>
    <row r="33" spans="1:32" x14ac:dyDescent="0.25">
      <c r="A33" s="32">
        <v>42812.297627314816</v>
      </c>
      <c r="B33" s="30" t="s">
        <v>467</v>
      </c>
      <c r="C33" s="30" t="s">
        <v>567</v>
      </c>
      <c r="D33" s="30" t="s">
        <v>49</v>
      </c>
      <c r="E33" s="30" t="s">
        <v>186</v>
      </c>
      <c r="F33" s="43">
        <v>0</v>
      </c>
      <c r="G33" s="43">
        <v>55</v>
      </c>
      <c r="H33" s="43">
        <v>233289</v>
      </c>
      <c r="I33" s="43">
        <v>233343</v>
      </c>
      <c r="J33" s="30" t="s">
        <v>187</v>
      </c>
      <c r="K33" s="43">
        <v>233491</v>
      </c>
      <c r="L33" s="143" t="s">
        <v>50</v>
      </c>
      <c r="M33" s="144">
        <f t="shared" si="0"/>
        <v>78.144000000000005</v>
      </c>
      <c r="N33" s="145" t="str">
        <f>VLOOKUP(C33,'Trips&amp;Operators'!$C$1:$G$99999,5,FALSE)</f>
        <v>SANTIZO D. EDY</v>
      </c>
      <c r="O33" s="194" t="s">
        <v>185</v>
      </c>
      <c r="P33" s="146"/>
      <c r="Q33" s="30"/>
      <c r="R33" s="89" t="str">
        <f>IF(VLOOKUP(C33,'Train Runs'!$A$13:$AE$9944,1,1)=C33,VLOOKUP(C33,'Train Runs'!$A$13:$AE$9944,31,1),NA())</f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S33" s="92" t="str">
        <f>VLOOKUP(C33,'Train Runs'!$A$13:$AE$9944,22,0)</f>
        <v>https://d0f6bd738d7f1b3e5a7ca70fe4ff75f0.us-east-1.aws.found.io/app/kibana#/discover/Steve-Slow-Train-Analysis-(2080s-and-2083s)?_g=(refreshInterval:(display:Off,pause:!f,section:0,value:0),time:(from:'2017-03-18T05:35:32-0600',mode:absolute,to:'2017-03-18T08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3" s="94" t="str">
        <f t="shared" si="1"/>
        <v>"C:\Program Files (x86)\AstroGrep\AstroGrep.exe" /e /r /s /spath="%USERPROFILE%\AppData\Local\Temp\OnboardLogs" /stypes="*4014*201703181*" /stext=" 13:.+((SYSTEM_STATE.+slice.+state.+changed )|(ment ac)|(multiple cpu faults)|(system.+state.+changed )|(\[timeout)|(PRM\|1\|D)|(kpr)|(kdp)|(\|lc)|(penalty))"</v>
      </c>
      <c r="U33" s="9" t="str">
        <f t="shared" si="2"/>
        <v>4014</v>
      </c>
      <c r="V33" s="32">
        <f t="shared" si="3"/>
        <v>42812.547627314816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ID","value":"123-18"},{"id":16,"name":"Locomotive ID","value":"4014"},{"id":130,"name":"Impact","value":""},{"id":150,"name":"Time of Event (Mountain Time)","value":"07:08:35"},{"id":151,"name":"Denver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"%USERPROFILE%\AppData\Local\Temp\OnboardLogs"\RTDC4014\*4014*201703181*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"%USERPROFILE%\AppData\Local\Temp\OnboardLogs"\RTDC4014\*4014*201703181* &gt;&gt; 2017-03-18-SliceDisagreementCheck.txt</v>
      </c>
      <c r="AE33" s="157" t="str">
        <f t="shared" si="9"/>
        <v>start /low /b %USERPROFILE%\Documents\GitHub\eaglep3\Utilities\DownloadLogsFromS3.py --loco 4014 --day 2017-03-18</v>
      </c>
      <c r="AF33" s="1"/>
    </row>
    <row r="34" spans="1:32" x14ac:dyDescent="0.25">
      <c r="A34" s="32">
        <v>42812.606874999998</v>
      </c>
      <c r="B34" s="30" t="s">
        <v>499</v>
      </c>
      <c r="C34" s="30" t="s">
        <v>573</v>
      </c>
      <c r="D34" s="30" t="s">
        <v>49</v>
      </c>
      <c r="E34" s="30" t="s">
        <v>186</v>
      </c>
      <c r="F34" s="43">
        <v>0</v>
      </c>
      <c r="G34" s="43">
        <v>91</v>
      </c>
      <c r="H34" s="43">
        <v>233106</v>
      </c>
      <c r="I34" s="43">
        <v>233198</v>
      </c>
      <c r="J34" s="30" t="s">
        <v>187</v>
      </c>
      <c r="K34" s="43">
        <v>233491</v>
      </c>
      <c r="L34" s="143" t="s">
        <v>50</v>
      </c>
      <c r="M34" s="144">
        <f t="shared" si="0"/>
        <v>154.70400000000001</v>
      </c>
      <c r="N34" s="145" t="str">
        <f>VLOOKUP(C34,'Trips&amp;Operators'!$C$1:$G$99999,5,FALSE)</f>
        <v>LEVIN SCOTT</v>
      </c>
      <c r="O34" s="194" t="s">
        <v>185</v>
      </c>
      <c r="P34" s="146"/>
      <c r="Q34" s="30"/>
      <c r="R34" s="89" t="e">
        <f>IF(VLOOKUP(C34,'Train Runs'!$A$13:$AE$9944,1,1)=C34,VLOOKUP(C34,'Train Runs'!$A$13:$AE$9944,31,1),NA())</f>
        <v>#N/A</v>
      </c>
      <c r="S34" s="92" t="str">
        <f>VLOOKUP(C34,'Train Runs'!$A$13:$AE$9944,22,0)</f>
        <v>https://d0f6bd738d7f1b3e5a7ca70fe4ff75f0.us-east-1.aws.found.io/app/kibana#/discover/Steve-Slow-Train-Analysis-(2080s-and-2083s)?_g=(refreshInterval:(display:Off,pause:!f,section:0,value:0),time:(from:'2017-03-18T12:38:06-0600',mode:absolute,to:'2017-03-18T15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94" t="str">
        <f t="shared" si="1"/>
        <v>"C:\Program Files (x86)\AstroGrep\AstroGrep.exe" /e /r /s /spath="%USERPROFILE%\AppData\Local\Temp\OnboardLogs" /stypes="*4044*201703182*" /stext=" 20:.+((SYSTEM_STATE.+slice.+state.+changed )|(ment ac)|(multiple cpu faults)|(system.+state.+changed )|(\[timeout)|(PRM\|1\|D)|(kpr)|(kdp)|(\|lc)|(penalty))"</v>
      </c>
      <c r="U34" s="9" t="str">
        <f t="shared" si="2"/>
        <v>4044</v>
      </c>
      <c r="V34" s="32">
        <f t="shared" si="3"/>
        <v>42812.856874999998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ID","value":"181-18"},{"id":16,"name":"Locomotive ID","value":"4044"},{"id":130,"name":"Impact","value":""},{"id":150,"name":"Time of Event (Mountain Time)","value":"14:33:54"},{"id":151,"name":"Denver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"%USERPROFILE%\AppData\Local\Temp\OnboardLogs"\RTDC4044\*4044*201703182*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"%USERPROFILE%\AppData\Local\Temp\OnboardLogs"\RTDC4044\*4044*201703182* &gt;&gt; 2017-03-18-SliceDisagreementCheck.txt</v>
      </c>
      <c r="AE34" s="157" t="str">
        <f t="shared" si="9"/>
        <v>start /low /b %USERPROFILE%\Documents\GitHub\eaglep3\Utilities\DownloadLogsFromS3.py --loco 4044 --day 2017-03-18</v>
      </c>
      <c r="AF34" s="1"/>
    </row>
    <row r="35" spans="1:32" x14ac:dyDescent="0.25">
      <c r="A35" s="32">
        <v>42812.615069444444</v>
      </c>
      <c r="B35" s="30" t="s">
        <v>575</v>
      </c>
      <c r="C35" s="30" t="s">
        <v>576</v>
      </c>
      <c r="D35" s="30" t="s">
        <v>49</v>
      </c>
      <c r="E35" s="30" t="s">
        <v>186</v>
      </c>
      <c r="F35" s="43">
        <v>0</v>
      </c>
      <c r="G35" s="43">
        <v>25</v>
      </c>
      <c r="H35" s="43">
        <v>233433</v>
      </c>
      <c r="I35" s="43">
        <v>233437</v>
      </c>
      <c r="J35" s="30" t="s">
        <v>187</v>
      </c>
      <c r="K35" s="43">
        <v>233491</v>
      </c>
      <c r="L35" s="143" t="s">
        <v>50</v>
      </c>
      <c r="M35" s="144">
        <f t="shared" si="0"/>
        <v>28.512</v>
      </c>
      <c r="N35" s="145" t="str">
        <f>VLOOKUP(C35,'Trips&amp;Operators'!$C$1:$G$99999,5,FALSE)</f>
        <v>ROMERO CHAD</v>
      </c>
      <c r="O35" s="194" t="s">
        <v>185</v>
      </c>
      <c r="P35" s="146"/>
      <c r="Q35" s="30"/>
      <c r="R35" s="89" t="e">
        <f>IF(VLOOKUP(C35,'Train Runs'!$A$13:$AE$9944,1,1)=C35,VLOOKUP(C35,'Train Runs'!$A$13:$AE$9944,31,1),NA())</f>
        <v>#N/A</v>
      </c>
      <c r="S35" s="92" t="str">
        <f>VLOOKUP(C35,'Train Runs'!$A$13:$AE$9944,22,0)</f>
        <v>https://d0f6bd738d7f1b3e5a7ca70fe4ff75f0.us-east-1.aws.found.io/app/kibana#/discover/Steve-Slow-Train-Analysis-(2080s-and-2083s)?_g=(refreshInterval:(display:Off,pause:!f,section:0,value:0),time:(from:'2017-03-18T12:52:42-0600',mode:absolute,to:'2017-03-18T15:45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94" t="str">
        <f t="shared" si="1"/>
        <v>"C:\Program Files (x86)\AstroGrep\AstroGrep.exe" /e /r /s /spath="%USERPROFILE%\AppData\Local\Temp\OnboardLogs" /stypes="*4029*201703182*" /stext=" 20:.+((SYSTEM_STATE.+slice.+state.+changed )|(ment ac)|(multiple cpu faults)|(system.+state.+changed )|(\[timeout)|(PRM\|1\|D)|(kpr)|(kdp)|(\|lc)|(penalty))"</v>
      </c>
      <c r="U35" s="9" t="str">
        <f t="shared" si="2"/>
        <v>4029</v>
      </c>
      <c r="V35" s="32">
        <f t="shared" si="3"/>
        <v>42812.865069444444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ID","value":"183-18"},{"id":16,"name":"Locomotive ID","value":"4029"},{"id":130,"name":"Impact","value":""},{"id":150,"name":"Time of Event (Mountain Time)","value":"14:45:42"},{"id":151,"name":"Denver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"%USERPROFILE%\AppData\Local\Temp\OnboardLogs"\RTDC4029\*4029*201703182*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"%USERPROFILE%\AppData\Local\Temp\OnboardLogs"\RTDC4029\*4029*201703182* &gt;&gt; 2017-03-18-SliceDisagreementCheck.txt</v>
      </c>
      <c r="AE35" s="157" t="str">
        <f t="shared" si="9"/>
        <v>start /low /b %USERPROFILE%\Documents\GitHub\eaglep3\Utilities\DownloadLogsFromS3.py --loco 4029 --day 2017-03-18</v>
      </c>
      <c r="AF35" s="1"/>
    </row>
    <row r="36" spans="1:32" x14ac:dyDescent="0.25">
      <c r="A36" s="32">
        <v>42812.643807870372</v>
      </c>
      <c r="B36" s="30" t="s">
        <v>371</v>
      </c>
      <c r="C36" s="30" t="s">
        <v>578</v>
      </c>
      <c r="D36" s="30" t="s">
        <v>49</v>
      </c>
      <c r="E36" s="30" t="s">
        <v>186</v>
      </c>
      <c r="F36" s="43">
        <v>0</v>
      </c>
      <c r="G36" s="43">
        <v>126</v>
      </c>
      <c r="H36" s="43">
        <v>232881</v>
      </c>
      <c r="I36" s="43">
        <v>233045</v>
      </c>
      <c r="J36" s="30" t="s">
        <v>187</v>
      </c>
      <c r="K36" s="43">
        <v>233491</v>
      </c>
      <c r="L36" s="143" t="s">
        <v>50</v>
      </c>
      <c r="M36" s="144">
        <f t="shared" si="0"/>
        <v>235.488</v>
      </c>
      <c r="N36" s="145" t="str">
        <f>VLOOKUP(C36,'Trips&amp;Operators'!$C$1:$G$99999,5,FALSE)</f>
        <v>STEWART MICHAEL</v>
      </c>
      <c r="O36" s="194" t="s">
        <v>185</v>
      </c>
      <c r="P36" s="146"/>
      <c r="Q36" s="30"/>
      <c r="R36" s="89" t="e">
        <f>IF(VLOOKUP(C36,'Train Runs'!$A$13:$AE$9944,1,1)=C36,VLOOKUP(C36,'Train Runs'!$A$13:$AE$9944,31,1),NA())</f>
        <v>#N/A</v>
      </c>
      <c r="S36" s="92" t="str">
        <f>VLOOKUP(C36,'Train Runs'!$A$13:$AE$9944,22,0)</f>
        <v>https://d0f6bd738d7f1b3e5a7ca70fe4ff75f0.us-east-1.aws.found.io/app/kibana#/discover/Steve-Slow-Train-Analysis-(2080s-and-2083s)?_g=(refreshInterval:(display:Off,pause:!f,section:0,value:0),time:(from:'2017-03-18T13:40:16-0600',mode:absolute,to:'2017-03-18T16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6" s="94" t="str">
        <f t="shared" si="1"/>
        <v>"C:\Program Files (x86)\AstroGrep\AstroGrep.exe" /e /r /s /spath="%USERPROFILE%\AppData\Local\Temp\OnboardLogs" /stypes="*4051*201703182*" /stext=" 21:.+((SYSTEM_STATE.+slice.+state.+changed )|(ment ac)|(multiple cpu faults)|(system.+state.+changed )|(\[timeout)|(PRM\|1\|D)|(kpr)|(kdp)|(\|lc)|(penalty))"</v>
      </c>
      <c r="U36" s="9" t="str">
        <f t="shared" si="2"/>
        <v>4051</v>
      </c>
      <c r="V36" s="32">
        <f t="shared" si="3"/>
        <v>42812.893807870372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ID","value":"189-18"},{"id":16,"name":"Locomotive ID","value":"4051"},{"id":130,"name":"Impact","value":""},{"id":150,"name":"Time of Event (Mountain Time)","value":"15:27:05"},{"id":151,"name":"Denver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"%USERPROFILE%\AppData\Local\Temp\OnboardLogs"\RTDC4051\*4051*201703182*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"%USERPROFILE%\AppData\Local\Temp\OnboardLogs"\RTDC4051\*4051*201703182* &gt;&gt; 2017-03-18-SliceDisagreementCheck.txt</v>
      </c>
      <c r="AE36" s="157" t="str">
        <f t="shared" si="9"/>
        <v>start /low /b %USERPROFILE%\Documents\GitHub\eaglep3\Utilities\DownloadLogsFromS3.py --loco 4051 --day 2017-03-18</v>
      </c>
      <c r="AF36" s="1"/>
    </row>
    <row r="37" spans="1:32" x14ac:dyDescent="0.25">
      <c r="A37" s="32">
        <v>42812.644212962965</v>
      </c>
      <c r="B37" s="30" t="s">
        <v>371</v>
      </c>
      <c r="C37" s="30" t="s">
        <v>578</v>
      </c>
      <c r="D37" s="30" t="s">
        <v>49</v>
      </c>
      <c r="E37" s="30" t="s">
        <v>186</v>
      </c>
      <c r="F37" s="43">
        <v>0</v>
      </c>
      <c r="G37" s="43">
        <v>56</v>
      </c>
      <c r="H37" s="43">
        <v>233087</v>
      </c>
      <c r="I37" s="43">
        <v>233206</v>
      </c>
      <c r="J37" s="30" t="s">
        <v>187</v>
      </c>
      <c r="K37" s="43">
        <v>233491</v>
      </c>
      <c r="L37" s="143" t="s">
        <v>50</v>
      </c>
      <c r="M37" s="144">
        <f t="shared" si="0"/>
        <v>150.47999999999999</v>
      </c>
      <c r="N37" s="145" t="str">
        <f>VLOOKUP(C37,'Trips&amp;Operators'!$C$1:$G$99999,5,FALSE)</f>
        <v>STEWART MICHAEL</v>
      </c>
      <c r="O37" s="194" t="s">
        <v>185</v>
      </c>
      <c r="P37" s="146"/>
      <c r="Q37" s="30"/>
      <c r="R37" s="89" t="e">
        <f>IF(VLOOKUP(C37,'Train Runs'!$A$13:$AE$9944,1,1)=C37,VLOOKUP(C37,'Train Runs'!$A$13:$AE$9944,31,1),NA())</f>
        <v>#N/A</v>
      </c>
      <c r="S37" s="92" t="str">
        <f>VLOOKUP(C37,'Train Runs'!$A$13:$AE$9944,22,0)</f>
        <v>https://d0f6bd738d7f1b3e5a7ca70fe4ff75f0.us-east-1.aws.found.io/app/kibana#/discover/Steve-Slow-Train-Analysis-(2080s-and-2083s)?_g=(refreshInterval:(display:Off,pause:!f,section:0,value:0),time:(from:'2017-03-18T13:40:16-0600',mode:absolute,to:'2017-03-18T16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7" s="94" t="str">
        <f t="shared" si="1"/>
        <v>"C:\Program Files (x86)\AstroGrep\AstroGrep.exe" /e /r /s /spath="%USERPROFILE%\AppData\Local\Temp\OnboardLogs" /stypes="*4051*201703182*" /stext=" 21:.+((SYSTEM_STATE.+slice.+state.+changed )|(ment ac)|(multiple cpu faults)|(system.+state.+changed )|(\[timeout)|(PRM\|1\|D)|(kpr)|(kdp)|(\|lc)|(penalty))"</v>
      </c>
      <c r="U37" s="9" t="str">
        <f t="shared" si="2"/>
        <v>4051</v>
      </c>
      <c r="V37" s="32">
        <f t="shared" si="3"/>
        <v>42812.894212962965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ID","value":"189-18"},{"id":16,"name":"Locomotive ID","value":"4051"},{"id":130,"name":"Impact","value":""},{"id":150,"name":"Time of Event (Mountain Time)","value":"15:27:40"},{"id":151,"name":"Denver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"%USERPROFILE%\AppData\Local\Temp\OnboardLogs"\RTDC4051\*4051*201703182*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"%USERPROFILE%\AppData\Local\Temp\OnboardLogs"\RTDC4051\*4051*201703182* &gt;&gt; 2017-03-18-SliceDisagreementCheck.txt</v>
      </c>
      <c r="AE37" s="157" t="str">
        <f t="shared" si="9"/>
        <v>start /low /b %USERPROFILE%\Documents\GitHub\eaglep3\Utilities\DownloadLogsFromS3.py --loco 4051 --day 2017-03-18</v>
      </c>
      <c r="AF37" s="1"/>
    </row>
    <row r="38" spans="1:32" x14ac:dyDescent="0.25">
      <c r="A38" s="32">
        <v>42812.654039351852</v>
      </c>
      <c r="B38" s="30" t="s">
        <v>410</v>
      </c>
      <c r="C38" s="30" t="s">
        <v>579</v>
      </c>
      <c r="D38" s="30" t="s">
        <v>49</v>
      </c>
      <c r="E38" s="30" t="s">
        <v>186</v>
      </c>
      <c r="F38" s="43">
        <v>0</v>
      </c>
      <c r="G38" s="43">
        <v>29</v>
      </c>
      <c r="H38" s="43">
        <v>233420</v>
      </c>
      <c r="I38" s="43">
        <v>233435</v>
      </c>
      <c r="J38" s="30" t="s">
        <v>187</v>
      </c>
      <c r="K38" s="43">
        <v>233491</v>
      </c>
      <c r="L38" s="143" t="s">
        <v>50</v>
      </c>
      <c r="M38" s="144">
        <f t="shared" si="0"/>
        <v>29.568000000000001</v>
      </c>
      <c r="N38" s="145" t="str">
        <f>VLOOKUP(C38,'Trips&amp;Operators'!$C$1:$G$99999,5,FALSE)</f>
        <v>DELGADO DIANAH</v>
      </c>
      <c r="O38" s="194" t="s">
        <v>185</v>
      </c>
      <c r="P38" s="146"/>
      <c r="Q38" s="30"/>
      <c r="R38" s="89" t="e">
        <f>IF(VLOOKUP(C38,'Train Runs'!$A$13:$AE$9944,1,1)=C38,VLOOKUP(C38,'Train Runs'!$A$13:$AE$9944,31,1),NA())</f>
        <v>#N/A</v>
      </c>
      <c r="S38" s="92" t="str">
        <f>VLOOKUP(C38,'Train Runs'!$A$13:$AE$9944,22,0)</f>
        <v>https://d0f6bd738d7f1b3e5a7ca70fe4ff75f0.us-east-1.aws.found.io/app/kibana#/discover/Steve-Slow-Train-Analysis-(2080s-and-2083s)?_g=(refreshInterval:(display:Off,pause:!f,section:0,value:0),time:(from:'2017-03-18T13:53:47-0600',mode:absolute,to:'2017-03-18T16:41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8" s="94" t="str">
        <f t="shared" si="1"/>
        <v>"C:\Program Files (x86)\AstroGrep\AstroGrep.exe" /e /r /s /spath="%USERPROFILE%\AppData\Local\Temp\OnboardLogs" /stypes="*4027*201703182*" /stext=" 21:.+((SYSTEM_STATE.+slice.+state.+changed )|(ment ac)|(multiple cpu faults)|(system.+state.+changed )|(\[timeout)|(PRM\|1\|D)|(kpr)|(kdp)|(\|lc)|(penalty))"</v>
      </c>
      <c r="U38" s="9" t="str">
        <f t="shared" si="2"/>
        <v>4027</v>
      </c>
      <c r="V38" s="32">
        <f t="shared" si="3"/>
        <v>42812.904039351852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ID","value":"191-18"},{"id":16,"name":"Locomotive ID","value":"4027"},{"id":130,"name":"Impact","value":""},{"id":150,"name":"Time of Event (Mountain Time)","value":"15:41:49"},{"id":151,"name":"Denver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"%USERPROFILE%\AppData\Local\Temp\OnboardLogs"\RTDC4027\*4027*201703182*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"%USERPROFILE%\AppData\Local\Temp\OnboardLogs"\RTDC4027\*4027*201703182* &gt;&gt; 2017-03-18-SliceDisagreementCheck.txt</v>
      </c>
      <c r="AE38" s="157" t="str">
        <f t="shared" si="9"/>
        <v>start /low /b %USERPROFILE%\Documents\GitHub\eaglep3\Utilities\DownloadLogsFromS3.py --loco 4027 --day 2017-03-18</v>
      </c>
      <c r="AF38" s="1"/>
    </row>
    <row r="39" spans="1:32" x14ac:dyDescent="0.25">
      <c r="A39" s="32">
        <v>42812.761886574073</v>
      </c>
      <c r="B39" s="30" t="s">
        <v>499</v>
      </c>
      <c r="C39" s="30" t="s">
        <v>586</v>
      </c>
      <c r="D39" s="30" t="s">
        <v>49</v>
      </c>
      <c r="E39" s="30" t="s">
        <v>186</v>
      </c>
      <c r="F39" s="43">
        <v>0</v>
      </c>
      <c r="G39" s="43">
        <v>59</v>
      </c>
      <c r="H39" s="43">
        <v>233268</v>
      </c>
      <c r="I39" s="43">
        <v>233330</v>
      </c>
      <c r="J39" s="30" t="s">
        <v>187</v>
      </c>
      <c r="K39" s="43">
        <v>233491</v>
      </c>
      <c r="L39" s="143" t="s">
        <v>50</v>
      </c>
      <c r="M39" s="144">
        <f t="shared" si="0"/>
        <v>85.007999999999996</v>
      </c>
      <c r="N39" s="145" t="str">
        <f>VLOOKUP(C39,'Trips&amp;Operators'!$C$1:$G$99999,5,FALSE)</f>
        <v>WHITED DUSTIN</v>
      </c>
      <c r="O39" s="194" t="s">
        <v>185</v>
      </c>
      <c r="P39" s="146"/>
      <c r="Q39" s="30"/>
      <c r="R39" s="89" t="e">
        <f>IF(VLOOKUP(C39,'Train Runs'!$A$13:$AE$9944,1,1)=C39,VLOOKUP(C39,'Train Runs'!$A$13:$AE$9944,31,1),NA())</f>
        <v>#N/A</v>
      </c>
      <c r="S39" s="92" t="str">
        <f>VLOOKUP(C39,'Train Runs'!$A$13:$AE$9944,22,0)</f>
        <v>https://d0f6bd738d7f1b3e5a7ca70fe4ff75f0.us-east-1.aws.found.io/app/kibana#/discover/Steve-Slow-Train-Analysis-(2080s-and-2083s)?_g=(refreshInterval:(display:Off,pause:!f,section:0,value:0),time:(from:'2017-03-18T16:26:25-0600',mode:absolute,to:'2017-03-18T19:17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9" s="94" t="str">
        <f t="shared" si="1"/>
        <v>"C:\Program Files (x86)\AstroGrep\AstroGrep.exe" /e /r /s /spath="%USERPROFILE%\AppData\Local\Temp\OnboardLogs" /stypes="*4044*201703190*" /stext=" 00:.+((SYSTEM_STATE.+slice.+state.+changed )|(ment ac)|(multiple cpu faults)|(system.+state.+changed )|(\[timeout)|(PRM\|1\|D)|(kpr)|(kdp)|(\|lc)|(penalty))"</v>
      </c>
      <c r="U39" s="9" t="str">
        <f t="shared" si="2"/>
        <v>4044</v>
      </c>
      <c r="V39" s="32">
        <f t="shared" si="3"/>
        <v>42813.011886574073</v>
      </c>
      <c r="W39" s="46" t="str">
        <f t="shared" si="4"/>
        <v>EC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ID","value":"211-18"},{"id":16,"name":"Locomotive ID","value":"4044"},{"id":130,"name":"Impact","value":""},{"id":150,"name":"Time of Event (Mountain Time)","value":"18:17:07"},{"id":151,"name":"Denver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"%USERPROFILE%\AppData\Local\Temp\OnboardLogs"\RTDC4044\*4044*201703190*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"%USERPROFILE%\AppData\Local\Temp\OnboardLogs"\RTDC4044\*4044*201703190* &gt;&gt; 2017-03-18-SliceDisagreementCheck.txt</v>
      </c>
      <c r="AE39" s="157" t="str">
        <f t="shared" si="9"/>
        <v>start /low /b %USERPROFILE%\Documents\GitHub\eaglep3\Utilities\DownloadLogsFromS3.py --loco 4044 --day 2017-03-19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</sheetData>
  <autoFilter ref="A6:AC62"/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3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3"/>
  <sheetViews>
    <sheetView workbookViewId="0">
      <selection activeCell="A10" sqref="A3:A10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2017-03-18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185</v>
      </c>
      <c r="B3" s="43" t="str">
        <f>A3&amp;"-"&amp;IF(DAY(Variables!$A$2)&lt;10,0,"")&amp;DAY(Variables!$A$2)</f>
        <v>185-18</v>
      </c>
      <c r="C3" s="147"/>
      <c r="D3" s="165"/>
      <c r="E3" s="30" t="s">
        <v>942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22185-18%22)),sort:!(Time.ISO8601,asc))</v>
      </c>
      <c r="J3" s="30" t="e">
        <f>VLOOKUP(B3,'Train Runs'!$A$13:$A$99941,1,FALSE)</f>
        <v>#N/A</v>
      </c>
    </row>
    <row r="4" spans="1:10" x14ac:dyDescent="0.25">
      <c r="A4" s="185">
        <v>186</v>
      </c>
      <c r="B4" s="43" t="str">
        <f>A4&amp;"-"&amp;IF(DAY(Variables!$A$2)&lt;10,0,"")&amp;DAY(Variables!$A$2)</f>
        <v>186-18</v>
      </c>
      <c r="C4" s="147"/>
      <c r="D4" s="165"/>
      <c r="E4" s="30" t="s">
        <v>942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22186-18%22)),sort:!(Time.ISO8601,asc))</v>
      </c>
      <c r="J4" s="30" t="e">
        <f>VLOOKUP(B4,'Train Runs'!$A$13:$A$99941,1,FALSE)</f>
        <v>#N/A</v>
      </c>
    </row>
    <row r="5" spans="1:10" x14ac:dyDescent="0.25">
      <c r="A5" s="185">
        <v>226</v>
      </c>
      <c r="B5" s="43" t="str">
        <f>A5&amp;"-"&amp;IF(DAY(Variables!$A$2)&lt;10,0,"")&amp;DAY(Variables!$A$2)</f>
        <v>226-18</v>
      </c>
      <c r="C5" s="147"/>
      <c r="D5" s="165"/>
      <c r="E5" s="30" t="s">
        <v>942</v>
      </c>
      <c r="F5" s="21" t="str">
        <f>VLOOKUP(B5,'Trips&amp;Operators'!$C$2:$E$10000,3,FALSE)</f>
        <v>MACDONALD</v>
      </c>
      <c r="G5" s="21" t="str">
        <f>VLOOKUP(B5,'Trips&amp;Operators'!$C$1:$F$10000,4,FALSE)</f>
        <v>THOMAS</v>
      </c>
      <c r="H5" s="29" t="str">
        <f>VLOOKUP(B5,'Trips&amp;Operators'!$C$1:$H$10000,5,FALSE)</f>
        <v>MACDONALD THOMAS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22226-18%22)),sort:!(Time.ISO8601,asc))</v>
      </c>
      <c r="J5" s="30" t="e">
        <f>VLOOKUP(B5,'Train Runs'!$A$13:$A$99941,1,FALSE)</f>
        <v>#N/A</v>
      </c>
    </row>
    <row r="6" spans="1:10" x14ac:dyDescent="0.25">
      <c r="A6" s="185">
        <v>229</v>
      </c>
      <c r="B6" s="43" t="str">
        <f>A6&amp;"-"&amp;IF(DAY(Variables!$A$2)&lt;10,0,"")&amp;DAY(Variables!$A$2)</f>
        <v>229-18</v>
      </c>
      <c r="C6" s="147"/>
      <c r="D6" s="165"/>
      <c r="E6" s="30" t="s">
        <v>942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22229-18%22)),sort:!(Time.ISO8601,asc))</v>
      </c>
      <c r="J6" s="30" t="e">
        <f>VLOOKUP(B6,'Train Runs'!$A$13:$A$99941,1,FALSE)</f>
        <v>#N/A</v>
      </c>
    </row>
    <row r="7" spans="1:10" x14ac:dyDescent="0.25">
      <c r="A7" s="185">
        <v>232</v>
      </c>
      <c r="B7" s="43" t="str">
        <f>A7&amp;"-"&amp;IF(DAY(Variables!$A$2)&lt;10,0,"")&amp;DAY(Variables!$A$2)</f>
        <v>232-18</v>
      </c>
      <c r="C7" s="147"/>
      <c r="D7" s="165"/>
      <c r="E7" s="30" t="s">
        <v>942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22232-18%22)),sort:!(Time.ISO8601,asc))</v>
      </c>
      <c r="J7" s="30" t="e">
        <f>VLOOKUP(B7,'Train Runs'!$A$13:$A$99941,1,FALSE)</f>
        <v>#N/A</v>
      </c>
    </row>
    <row r="8" spans="1:10" x14ac:dyDescent="0.25">
      <c r="A8" s="185">
        <v>235</v>
      </c>
      <c r="B8" s="43" t="str">
        <f>A8&amp;"-"&amp;IF(DAY(Variables!$A$2)&lt;10,0,"")&amp;DAY(Variables!$A$2)</f>
        <v>235-18</v>
      </c>
      <c r="C8" s="147"/>
      <c r="D8" s="165"/>
      <c r="E8" s="30" t="s">
        <v>942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22235-18%22)),sort:!(Time.ISO8601,asc))</v>
      </c>
      <c r="J8" s="30" t="e">
        <f>VLOOKUP(B8,'Train Runs'!$A$13:$A$99941,1,FALSE)</f>
        <v>#N/A</v>
      </c>
    </row>
    <row r="9" spans="1:10" x14ac:dyDescent="0.25">
      <c r="A9" s="185">
        <v>236</v>
      </c>
      <c r="B9" s="43" t="str">
        <f>A9&amp;"-"&amp;IF(DAY(Variables!$A$2)&lt;10,0,"")&amp;DAY(Variables!$A$2)</f>
        <v>236-18</v>
      </c>
      <c r="C9" s="147"/>
      <c r="D9" s="165"/>
      <c r="E9" s="30" t="s">
        <v>942</v>
      </c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ref="I9:I39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22236-18%22)),sort:!(Time.ISO8601,asc))</v>
      </c>
      <c r="J9" s="30" t="e">
        <f>VLOOKUP(B9,'Train Runs'!$A$13:$A$99941,1,FALSE)</f>
        <v>#N/A</v>
      </c>
    </row>
    <row r="10" spans="1:10" x14ac:dyDescent="0.25">
      <c r="A10" s="185">
        <v>239</v>
      </c>
      <c r="B10" s="43" t="str">
        <f>A10&amp;"-"&amp;IF(DAY(Variables!$A$2)&lt;10,0,"")&amp;DAY(Variables!$A$2)</f>
        <v>239-18</v>
      </c>
      <c r="C10" s="147"/>
      <c r="D10" s="165"/>
      <c r="E10" s="30" t="s">
        <v>942</v>
      </c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22239-18%22)),sort:!(Time.ISO8601,asc))</v>
      </c>
      <c r="J10" s="30" t="e">
        <f>VLOOKUP(B10,'Train Runs'!$A$13:$A$99941,1,FALSE)</f>
        <v>#N/A</v>
      </c>
    </row>
    <row r="11" spans="1:10" x14ac:dyDescent="0.25">
      <c r="A11" s="185"/>
      <c r="B11" s="43" t="str">
        <f>A11&amp;"-"&amp;IF(DAY(Variables!$A$2)&lt;10,0,"")&amp;DAY(Variables!$A$2)</f>
        <v>-18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Runs'!$A$13:$A$99941,1,FALSE)</f>
        <v>#N/A</v>
      </c>
    </row>
    <row r="12" spans="1:10" x14ac:dyDescent="0.25">
      <c r="A12" s="185"/>
      <c r="B12" s="43" t="str">
        <f>A12&amp;"-"&amp;IF(DAY(Variables!$A$2)&lt;10,0,"")&amp;DAY(Variables!$A$2)</f>
        <v>-18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Runs'!$A$13:$A$99941,1,FALSE)</f>
        <v>#N/A</v>
      </c>
    </row>
    <row r="13" spans="1:10" x14ac:dyDescent="0.25">
      <c r="A13" s="185"/>
      <c r="B13" s="43" t="str">
        <f>A13&amp;"-"&amp;IF(DAY(Variables!$A$2)&lt;10,0,"")&amp;DAY(Variables!$A$2)</f>
        <v>-18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Runs'!$A$13:$A$99941,1,FALSE)</f>
        <v>#N/A</v>
      </c>
    </row>
    <row r="14" spans="1:10" x14ac:dyDescent="0.25">
      <c r="A14" s="185"/>
      <c r="B14" s="43" t="str">
        <f>A14&amp;"-"&amp;IF(DAY(Variables!$A$2)&lt;10,0,"")&amp;DAY(Variables!$A$2)</f>
        <v>-18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Runs'!$A$13:$A$99941,1,FALSE)</f>
        <v>#N/A</v>
      </c>
    </row>
    <row r="15" spans="1:10" x14ac:dyDescent="0.25">
      <c r="A15" s="185"/>
      <c r="B15" s="43" t="str">
        <f>A15&amp;"-"&amp;IF(DAY(Variables!$A$2)&lt;10,0,"")&amp;DAY(Variables!$A$2)</f>
        <v>-18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Runs'!$A$13:$A$99941,1,FALSE)</f>
        <v>#N/A</v>
      </c>
    </row>
    <row r="16" spans="1:10" x14ac:dyDescent="0.25">
      <c r="A16" s="185"/>
      <c r="B16" s="43" t="str">
        <f>A16&amp;"-"&amp;IF(DAY(Variables!$A$2)&lt;10,0,"")&amp;DAY(Variables!$A$2)</f>
        <v>-18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Runs'!$A$13:$A$99941,1,FALSE)</f>
        <v>#N/A</v>
      </c>
    </row>
    <row r="17" spans="1:10" x14ac:dyDescent="0.25">
      <c r="A17" s="185"/>
      <c r="B17" s="43" t="str">
        <f>A17&amp;"-"&amp;IF(DAY(Variables!$A$2)&lt;10,0,"")&amp;DAY(Variables!$A$2)</f>
        <v>-18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Runs'!$A$13:$A$99941,1,FALSE)</f>
        <v>#N/A</v>
      </c>
    </row>
    <row r="18" spans="1:10" x14ac:dyDescent="0.25">
      <c r="A18" s="185"/>
      <c r="B18" s="43" t="str">
        <f>A18&amp;"-"&amp;IF(DAY(Variables!$A$2)&lt;10,0,"")&amp;DAY(Variables!$A$2)</f>
        <v>-18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Runs'!$A$13:$A$99941,1,FALSE)</f>
        <v>#N/A</v>
      </c>
    </row>
    <row r="19" spans="1:10" x14ac:dyDescent="0.25">
      <c r="A19" s="185"/>
      <c r="B19" s="43" t="str">
        <f>A19&amp;"-"&amp;IF(DAY(Variables!$A$2)&lt;10,0,"")&amp;DAY(Variables!$A$2)</f>
        <v>-18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9" s="30" t="e">
        <f>VLOOKUP(B19,'Train Runs'!$A$13:$A$99941,1,FALSE)</f>
        <v>#N/A</v>
      </c>
    </row>
    <row r="20" spans="1:10" x14ac:dyDescent="0.25">
      <c r="A20" s="185"/>
      <c r="B20" s="43" t="str">
        <f>A20&amp;"-"&amp;IF(DAY(Variables!$A$2)&lt;10,0,"")&amp;DAY(Variables!$A$2)</f>
        <v>-18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0" s="30" t="e">
        <f>VLOOKUP(B20,'Train Runs'!$A$13:$A$99941,1,FALSE)</f>
        <v>#N/A</v>
      </c>
    </row>
    <row r="21" spans="1:10" x14ac:dyDescent="0.25">
      <c r="A21" s="185"/>
      <c r="B21" s="43" t="str">
        <f>A21&amp;"-"&amp;IF(DAY(Variables!$A$2)&lt;10,0,"")&amp;DAY(Variables!$A$2)</f>
        <v>-18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1" s="30" t="e">
        <f>VLOOKUP(B21,'Train Runs'!$A$13:$A$99941,1,FALSE)</f>
        <v>#N/A</v>
      </c>
    </row>
    <row r="22" spans="1:10" x14ac:dyDescent="0.25">
      <c r="A22" s="185"/>
      <c r="B22" s="43" t="str">
        <f>A22&amp;"-"&amp;IF(DAY(Variables!$A$2)&lt;10,0,"")&amp;DAY(Variables!$A$2)</f>
        <v>-18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2" s="30" t="e">
        <f>VLOOKUP(B22,'Train Runs'!$A$13:$A$99941,1,FALSE)</f>
        <v>#N/A</v>
      </c>
    </row>
    <row r="23" spans="1:10" x14ac:dyDescent="0.25">
      <c r="A23" s="185"/>
      <c r="B23" s="43" t="str">
        <f>A23&amp;"-"&amp;IF(DAY(Variables!$A$2)&lt;10,0,"")&amp;DAY(Variables!$A$2)</f>
        <v>-18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3" s="30" t="e">
        <f>VLOOKUP(B23,'Train Runs'!$A$13:$A$99941,1,FALSE)</f>
        <v>#N/A</v>
      </c>
    </row>
    <row r="24" spans="1:10" x14ac:dyDescent="0.25">
      <c r="A24" s="185"/>
      <c r="B24" s="43" t="str">
        <f>A24&amp;"-"&amp;IF(DAY(Variables!$A$2)&lt;10,0,"")&amp;DAY(Variables!$A$2)</f>
        <v>-18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4" s="30" t="e">
        <f>VLOOKUP(B24,'Train Runs'!$A$13:$A$99941,1,FALSE)</f>
        <v>#N/A</v>
      </c>
    </row>
    <row r="25" spans="1:10" x14ac:dyDescent="0.25">
      <c r="A25" s="185"/>
      <c r="B25" s="43" t="str">
        <f>A25&amp;"-"&amp;IF(DAY(Variables!$A$2)&lt;10,0,"")&amp;DAY(Variables!$A$2)</f>
        <v>-18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5" s="30" t="e">
        <f>VLOOKUP(B25,'Train Runs'!$A$13:$A$99941,1,FALSE)</f>
        <v>#N/A</v>
      </c>
    </row>
    <row r="26" spans="1:10" x14ac:dyDescent="0.25">
      <c r="A26" s="185"/>
      <c r="B26" s="43" t="str">
        <f>A26&amp;"-"&amp;IF(DAY(Variables!$A$2)&lt;10,0,"")&amp;DAY(Variables!$A$2)</f>
        <v>-18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6" s="30" t="e">
        <f>VLOOKUP(B26,'Train Runs'!$A$13:$A$99941,1,FALSE)</f>
        <v>#N/A</v>
      </c>
    </row>
    <row r="27" spans="1:10" x14ac:dyDescent="0.25">
      <c r="A27" s="185"/>
      <c r="B27" s="43" t="str">
        <f>A27&amp;"-"&amp;IF(DAY(Variables!$A$2)&lt;10,0,"")&amp;DAY(Variables!$A$2)</f>
        <v>-18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7" s="30" t="e">
        <f>VLOOKUP(B27,'Train Runs'!$A$13:$A$99941,1,FALSE)</f>
        <v>#N/A</v>
      </c>
    </row>
    <row r="28" spans="1:10" x14ac:dyDescent="0.25">
      <c r="A28" s="185"/>
      <c r="B28" s="43" t="str">
        <f>A28&amp;"-"&amp;IF(DAY(Variables!$A$2)&lt;10,0,"")&amp;DAY(Variables!$A$2)</f>
        <v>-18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8" s="30" t="e">
        <f>VLOOKUP(B28,'Train Runs'!$A$13:$A$99941,1,FALSE)</f>
        <v>#N/A</v>
      </c>
    </row>
    <row r="29" spans="1:10" x14ac:dyDescent="0.25">
      <c r="A29" s="185"/>
      <c r="B29" s="43" t="str">
        <f>A29&amp;"-"&amp;IF(DAY(Variables!$A$2)&lt;10,0,"")&amp;DAY(Variables!$A$2)</f>
        <v>-18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9" s="30" t="e">
        <f>VLOOKUP(B29,'Train Runs'!$A$13:$A$99941,1,FALSE)</f>
        <v>#N/A</v>
      </c>
    </row>
    <row r="30" spans="1:10" x14ac:dyDescent="0.25">
      <c r="A30" s="185"/>
      <c r="B30" s="43" t="str">
        <f>A30&amp;"-"&amp;IF(DAY(Variables!$A$2)&lt;10,0,"")&amp;DAY(Variables!$A$2)</f>
        <v>-18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0" s="30" t="e">
        <f>VLOOKUP(B30,'Train Runs'!$A$13:$A$99941,1,FALSE)</f>
        <v>#N/A</v>
      </c>
    </row>
    <row r="31" spans="1:10" x14ac:dyDescent="0.25">
      <c r="A31" s="185"/>
      <c r="B31" s="43" t="str">
        <f>A31&amp;"-"&amp;IF(DAY(Variables!$A$2)&lt;10,0,"")&amp;DAY(Variables!$A$2)</f>
        <v>-18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1" s="30" t="e">
        <f>VLOOKUP(B31,'Train Runs'!$A$13:$A$99941,1,FALSE)</f>
        <v>#N/A</v>
      </c>
    </row>
    <row r="32" spans="1:10" x14ac:dyDescent="0.25">
      <c r="A32" s="185"/>
      <c r="B32" s="43" t="str">
        <f>A32&amp;"-"&amp;IF(DAY(Variables!$A$2)&lt;10,0,"")&amp;DAY(Variables!$A$2)</f>
        <v>-18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2" s="30" t="e">
        <f>VLOOKUP(B32,'Train Runs'!$A$13:$A$99941,1,FALSE)</f>
        <v>#N/A</v>
      </c>
    </row>
    <row r="33" spans="1:10" x14ac:dyDescent="0.25">
      <c r="A33" s="185"/>
      <c r="B33" s="43" t="str">
        <f>A33&amp;"-"&amp;IF(DAY(Variables!$A$2)&lt;10,0,"")&amp;DAY(Variables!$A$2)</f>
        <v>-18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3" s="30" t="e">
        <f>VLOOKUP(B33,'Train Runs'!$A$13:$A$99941,1,FALSE)</f>
        <v>#N/A</v>
      </c>
    </row>
    <row r="34" spans="1:10" x14ac:dyDescent="0.25">
      <c r="A34" s="185"/>
      <c r="B34" s="43" t="str">
        <f>A34&amp;"-"&amp;IF(DAY(Variables!$A$2)&lt;10,0,"")&amp;DAY(Variables!$A$2)</f>
        <v>-18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4" s="30" t="e">
        <f>VLOOKUP(B34,'Train Runs'!$A$13:$A$99941,1,FALSE)</f>
        <v>#N/A</v>
      </c>
    </row>
    <row r="35" spans="1:10" x14ac:dyDescent="0.25">
      <c r="A35" s="185"/>
      <c r="B35" s="43" t="str">
        <f>A35&amp;"-"&amp;IF(DAY(Variables!$A$2)&lt;10,0,"")&amp;DAY(Variables!$A$2)</f>
        <v>-18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5" s="30" t="e">
        <f>VLOOKUP(B35,'Train Runs'!$A$13:$A$99941,1,FALSE)</f>
        <v>#N/A</v>
      </c>
    </row>
    <row r="36" spans="1:10" x14ac:dyDescent="0.25">
      <c r="A36" s="185"/>
      <c r="B36" s="43" t="str">
        <f>A36&amp;"-"&amp;IF(DAY(Variables!$A$2)&lt;10,0,"")&amp;DAY(Variables!$A$2)</f>
        <v>-18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6" s="30" t="e">
        <f>VLOOKUP(B36,'Train Runs'!$A$13:$A$99941,1,FALSE)</f>
        <v>#N/A</v>
      </c>
    </row>
    <row r="37" spans="1:10" x14ac:dyDescent="0.25">
      <c r="A37" s="185"/>
      <c r="B37" s="43" t="str">
        <f>A37&amp;"-"&amp;IF(DAY(Variables!$A$2)&lt;10,0,"")&amp;DAY(Variables!$A$2)</f>
        <v>-18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7" s="30" t="e">
        <f>VLOOKUP(B37,'Train Runs'!$A$13:$A$99941,1,FALSE)</f>
        <v>#N/A</v>
      </c>
    </row>
    <row r="38" spans="1:10" x14ac:dyDescent="0.25">
      <c r="A38" s="185"/>
      <c r="B38" s="43" t="str">
        <f>A38&amp;"-"&amp;IF(DAY(Variables!$A$2)&lt;10,0,"")&amp;DAY(Variables!$A$2)</f>
        <v>-18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8" s="30" t="e">
        <f>VLOOKUP(B38,'Train Runs'!$A$13:$A$99941,1,FALSE)</f>
        <v>#N/A</v>
      </c>
    </row>
    <row r="39" spans="1:10" x14ac:dyDescent="0.25">
      <c r="A39" s="185"/>
      <c r="B39" s="43" t="str">
        <f>A39&amp;"-"&amp;IF(DAY(Variables!$A$2)&lt;10,0,"")&amp;DAY(Variables!$A$2)</f>
        <v>-18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9" s="30" t="e">
        <f>VLOOKUP(B39,'Train Runs'!$A$13:$A$99941,1,FALSE)</f>
        <v>#N/A</v>
      </c>
    </row>
    <row r="40" spans="1:10" x14ac:dyDescent="0.25">
      <c r="A40" s="185"/>
      <c r="B40" s="43" t="str">
        <f>A40&amp;"-"&amp;IF(DAY(Variables!$A$2)&lt;10,0,"")&amp;DAY(Variables!$A$2)</f>
        <v>-18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ref="I40:I71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0" s="30" t="e">
        <f>VLOOKUP(B40,'Train Runs'!$A$13:$A$99941,1,FALSE)</f>
        <v>#N/A</v>
      </c>
    </row>
    <row r="41" spans="1:10" x14ac:dyDescent="0.25">
      <c r="A41" s="185"/>
      <c r="B41" s="43" t="str">
        <f>A41&amp;"-"&amp;IF(DAY(Variables!$A$2)&lt;10,0,"")&amp;DAY(Variables!$A$2)</f>
        <v>-18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1" s="30" t="e">
        <f>VLOOKUP(B41,'Train Runs'!$A$13:$A$99941,1,FALSE)</f>
        <v>#N/A</v>
      </c>
    </row>
    <row r="42" spans="1:10" x14ac:dyDescent="0.25">
      <c r="A42" s="185"/>
      <c r="B42" s="43" t="str">
        <f>A42&amp;"-"&amp;IF(DAY(Variables!$A$2)&lt;10,0,"")&amp;DAY(Variables!$A$2)</f>
        <v>-18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2" s="30" t="e">
        <f>VLOOKUP(B42,'Train Runs'!$A$13:$A$99941,1,FALSE)</f>
        <v>#N/A</v>
      </c>
    </row>
    <row r="43" spans="1:10" x14ac:dyDescent="0.25">
      <c r="A43" s="185"/>
      <c r="B43" s="43" t="str">
        <f>A43&amp;"-"&amp;IF(DAY(Variables!$A$2)&lt;10,0,"")&amp;DAY(Variables!$A$2)</f>
        <v>-18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3" s="30" t="e">
        <f>VLOOKUP(B43,'Train Runs'!$A$13:$A$99941,1,FALSE)</f>
        <v>#N/A</v>
      </c>
    </row>
    <row r="44" spans="1:10" x14ac:dyDescent="0.25">
      <c r="A44" s="185"/>
      <c r="B44" s="43" t="str">
        <f>A44&amp;"-"&amp;IF(DAY(Variables!$A$2)&lt;10,0,"")&amp;DAY(Variables!$A$2)</f>
        <v>-18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4" s="30" t="e">
        <f>VLOOKUP(B44,'Train Runs'!$A$13:$A$99941,1,FALSE)</f>
        <v>#N/A</v>
      </c>
    </row>
    <row r="45" spans="1:10" x14ac:dyDescent="0.25">
      <c r="A45" s="185"/>
      <c r="B45" s="43" t="str">
        <f>A45&amp;"-"&amp;IF(DAY(Variables!$A$2)&lt;10,0,"")&amp;DAY(Variables!$A$2)</f>
        <v>-18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5" s="30" t="e">
        <f>VLOOKUP(B45,'Train Runs'!$A$13:$A$99941,1,FALSE)</f>
        <v>#N/A</v>
      </c>
    </row>
    <row r="46" spans="1:10" x14ac:dyDescent="0.25">
      <c r="A46" s="185"/>
      <c r="B46" s="43" t="str">
        <f>A46&amp;"-"&amp;IF(DAY(Variables!$A$2)&lt;10,0,"")&amp;DAY(Variables!$A$2)</f>
        <v>-18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6" s="30" t="e">
        <f>VLOOKUP(B46,'Train Runs'!$A$13:$A$99941,1,FALSE)</f>
        <v>#N/A</v>
      </c>
    </row>
    <row r="47" spans="1:10" x14ac:dyDescent="0.25">
      <c r="A47" s="185"/>
      <c r="B47" s="43" t="str">
        <f>A47&amp;"-"&amp;IF(DAY(Variables!$A$2)&lt;10,0,"")&amp;DAY(Variables!$A$2)</f>
        <v>-18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7" s="30" t="e">
        <f>VLOOKUP(B47,'Train Runs'!$A$13:$A$99941,1,FALSE)</f>
        <v>#N/A</v>
      </c>
    </row>
    <row r="48" spans="1:10" x14ac:dyDescent="0.25">
      <c r="A48" s="185"/>
      <c r="B48" s="43" t="str">
        <f>A48&amp;"-"&amp;IF(DAY(Variables!$A$2)&lt;10,0,"")&amp;DAY(Variables!$A$2)</f>
        <v>-18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8" s="30" t="e">
        <f>VLOOKUP(B48,'Train Runs'!$A$13:$A$99941,1,FALSE)</f>
        <v>#N/A</v>
      </c>
    </row>
    <row r="49" spans="1:10" x14ac:dyDescent="0.25">
      <c r="A49" s="185"/>
      <c r="B49" s="43" t="str">
        <f>A49&amp;"-"&amp;IF(DAY(Variables!$A$2)&lt;10,0,"")&amp;DAY(Variables!$A$2)</f>
        <v>-18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9" s="30" t="e">
        <f>VLOOKUP(B49,'Train Runs'!$A$13:$A$99941,1,FALSE)</f>
        <v>#N/A</v>
      </c>
    </row>
    <row r="50" spans="1:10" x14ac:dyDescent="0.25">
      <c r="A50" s="185"/>
      <c r="B50" s="43" t="str">
        <f>A50&amp;"-"&amp;IF(DAY(Variables!$A$2)&lt;10,0,"")&amp;DAY(Variables!$A$2)</f>
        <v>-18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0" s="30" t="e">
        <f>VLOOKUP(B50,'Train Runs'!$A$13:$A$99941,1,FALSE)</f>
        <v>#N/A</v>
      </c>
    </row>
    <row r="51" spans="1:10" x14ac:dyDescent="0.25">
      <c r="A51" s="185"/>
      <c r="B51" s="43" t="str">
        <f>A51&amp;"-"&amp;IF(DAY(Variables!$A$2)&lt;10,0,"")&amp;DAY(Variables!$A$2)</f>
        <v>-18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1" s="30" t="e">
        <f>VLOOKUP(B51,'Train Runs'!$A$13:$A$99941,1,FALSE)</f>
        <v>#N/A</v>
      </c>
    </row>
    <row r="52" spans="1:10" x14ac:dyDescent="0.25">
      <c r="A52" s="185"/>
      <c r="B52" s="43" t="str">
        <f>A52&amp;"-"&amp;IF(DAY(Variables!$A$2)&lt;10,0,"")&amp;DAY(Variables!$A$2)</f>
        <v>-18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2" s="30" t="e">
        <f>VLOOKUP(B52,'Train Runs'!$A$13:$A$99941,1,FALSE)</f>
        <v>#N/A</v>
      </c>
    </row>
    <row r="53" spans="1:10" x14ac:dyDescent="0.25">
      <c r="A53" s="185"/>
      <c r="B53" s="43" t="str">
        <f>A53&amp;"-"&amp;IF(DAY(Variables!$A$2)&lt;10,0,"")&amp;DAY(Variables!$A$2)</f>
        <v>-18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3" s="30" t="e">
        <f>VLOOKUP(B53,'Train Runs'!$A$13:$A$99941,1,FALSE)</f>
        <v>#N/A</v>
      </c>
    </row>
    <row r="54" spans="1:10" x14ac:dyDescent="0.25">
      <c r="A54" s="185"/>
      <c r="B54" s="43" t="str">
        <f>A54&amp;"-"&amp;IF(DAY(Variables!$A$2)&lt;10,0,"")&amp;DAY(Variables!$A$2)</f>
        <v>-18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4" s="30" t="e">
        <f>VLOOKUP(B54,'Train Runs'!$A$13:$A$99941,1,FALSE)</f>
        <v>#N/A</v>
      </c>
    </row>
    <row r="55" spans="1:10" x14ac:dyDescent="0.25">
      <c r="A55" s="185"/>
      <c r="B55" s="43" t="str">
        <f>A55&amp;"-"&amp;IF(DAY(Variables!$A$2)&lt;10,0,"")&amp;DAY(Variables!$A$2)</f>
        <v>-18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5" s="30" t="e">
        <f>VLOOKUP(B55,'Train Runs'!$A$13:$A$99941,1,FALSE)</f>
        <v>#N/A</v>
      </c>
    </row>
    <row r="56" spans="1:10" x14ac:dyDescent="0.25">
      <c r="A56" s="185"/>
      <c r="B56" s="43" t="str">
        <f>A56&amp;"-"&amp;IF(DAY(Variables!$A$2)&lt;10,0,"")&amp;DAY(Variables!$A$2)</f>
        <v>-18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6" s="30" t="e">
        <f>VLOOKUP(B56,'Train Runs'!$A$13:$A$99941,1,FALSE)</f>
        <v>#N/A</v>
      </c>
    </row>
    <row r="57" spans="1:10" x14ac:dyDescent="0.25">
      <c r="A57" s="185"/>
      <c r="B57" s="43" t="str">
        <f>A57&amp;"-"&amp;IF(DAY(Variables!$A$2)&lt;10,0,"")&amp;DAY(Variables!$A$2)</f>
        <v>-18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7" s="30" t="e">
        <f>VLOOKUP(B57,'Train Runs'!$A$13:$A$99941,1,FALSE)</f>
        <v>#N/A</v>
      </c>
    </row>
    <row r="58" spans="1:10" x14ac:dyDescent="0.25">
      <c r="A58" s="185"/>
      <c r="B58" s="43" t="str">
        <f>A58&amp;"-"&amp;IF(DAY(Variables!$A$2)&lt;10,0,"")&amp;DAY(Variables!$A$2)</f>
        <v>-18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8" s="30" t="e">
        <f>VLOOKUP(B58,'Train Runs'!$A$13:$A$99941,1,FALSE)</f>
        <v>#N/A</v>
      </c>
    </row>
    <row r="59" spans="1:10" x14ac:dyDescent="0.25">
      <c r="A59" s="185"/>
      <c r="B59" s="43" t="str">
        <f>A59&amp;"-"&amp;IF(DAY(Variables!$A$2)&lt;10,0,"")&amp;DAY(Variables!$A$2)</f>
        <v>-18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9" s="30" t="e">
        <f>VLOOKUP(B59,'Train Runs'!$A$13:$A$99941,1,FALSE)</f>
        <v>#N/A</v>
      </c>
    </row>
    <row r="60" spans="1:10" x14ac:dyDescent="0.25">
      <c r="A60" s="185"/>
      <c r="B60" s="43" t="str">
        <f>A60&amp;"-"&amp;IF(DAY(Variables!$A$2)&lt;10,0,"")&amp;DAY(Variables!$A$2)</f>
        <v>-18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0" s="30" t="e">
        <f>VLOOKUP(B60,'Train Runs'!$A$13:$A$99941,1,FALSE)</f>
        <v>#N/A</v>
      </c>
    </row>
    <row r="61" spans="1:10" x14ac:dyDescent="0.25">
      <c r="A61" s="185"/>
      <c r="B61" s="43" t="str">
        <f>A61&amp;"-"&amp;IF(DAY(Variables!$A$2)&lt;10,0,"")&amp;DAY(Variables!$A$2)</f>
        <v>-18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1" s="30" t="e">
        <f>VLOOKUP(B61,'Train Runs'!$A$13:$A$99941,1,FALSE)</f>
        <v>#N/A</v>
      </c>
    </row>
    <row r="62" spans="1:10" x14ac:dyDescent="0.25">
      <c r="A62" s="185"/>
      <c r="B62" s="43" t="str">
        <f>A62&amp;"-"&amp;IF(DAY(Variables!$A$2)&lt;10,0,"")&amp;DAY(Variables!$A$2)</f>
        <v>-18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2" s="30" t="e">
        <f>VLOOKUP(B62,'Train Runs'!$A$13:$A$99941,1,FALSE)</f>
        <v>#N/A</v>
      </c>
    </row>
    <row r="63" spans="1:10" x14ac:dyDescent="0.25">
      <c r="A63" s="185"/>
      <c r="B63" s="43" t="str">
        <f>A63&amp;"-"&amp;IF(DAY(Variables!$A$2)&lt;10,0,"")&amp;DAY(Variables!$A$2)</f>
        <v>-18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3" s="30" t="e">
        <f>VLOOKUP(B63,'Train Runs'!$A$13:$A$99941,1,FALSE)</f>
        <v>#N/A</v>
      </c>
    </row>
    <row r="64" spans="1:10" x14ac:dyDescent="0.25">
      <c r="A64" s="185"/>
      <c r="B64" s="43" t="str">
        <f>A64&amp;"-"&amp;IF(DAY(Variables!$A$2)&lt;10,0,"")&amp;DAY(Variables!$A$2)</f>
        <v>-18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4" s="30" t="e">
        <f>VLOOKUP(B64,'Train Runs'!$A$13:$A$99941,1,FALSE)</f>
        <v>#N/A</v>
      </c>
    </row>
    <row r="65" spans="1:10" x14ac:dyDescent="0.25">
      <c r="A65" s="185"/>
      <c r="B65" s="43" t="str">
        <f>A65&amp;"-"&amp;IF(DAY(Variables!$A$2)&lt;10,0,"")&amp;DAY(Variables!$A$2)</f>
        <v>-18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5" s="30" t="e">
        <f>VLOOKUP(B65,'Train Runs'!$A$13:$A$99941,1,FALSE)</f>
        <v>#N/A</v>
      </c>
    </row>
    <row r="66" spans="1:10" x14ac:dyDescent="0.25">
      <c r="A66" s="185"/>
      <c r="B66" s="43" t="str">
        <f>A66&amp;"-"&amp;IF(DAY(Variables!$A$2)&lt;10,0,"")&amp;DAY(Variables!$A$2)</f>
        <v>-18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6" s="30" t="e">
        <f>VLOOKUP(B66,'Train Runs'!$A$13:$A$99941,1,FALSE)</f>
        <v>#N/A</v>
      </c>
    </row>
    <row r="67" spans="1:10" x14ac:dyDescent="0.25">
      <c r="A67" s="185"/>
      <c r="B67" s="43" t="str">
        <f>A67&amp;"-"&amp;IF(DAY(Variables!$A$2)&lt;10,0,"")&amp;DAY(Variables!$A$2)</f>
        <v>-18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7" s="30" t="e">
        <f>VLOOKUP(B67,'Train Runs'!$A$13:$A$99941,1,FALSE)</f>
        <v>#N/A</v>
      </c>
    </row>
    <row r="68" spans="1:10" x14ac:dyDescent="0.25">
      <c r="A68" s="185"/>
      <c r="B68" s="43" t="str">
        <f>A68&amp;"-"&amp;IF(DAY(Variables!$A$2)&lt;10,0,"")&amp;DAY(Variables!$A$2)</f>
        <v>-18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8" s="30" t="e">
        <f>VLOOKUP(B68,'Train Runs'!$A$13:$A$99941,1,FALSE)</f>
        <v>#N/A</v>
      </c>
    </row>
    <row r="69" spans="1:10" x14ac:dyDescent="0.25">
      <c r="A69" s="185"/>
      <c r="B69" s="43" t="str">
        <f>A69&amp;"-"&amp;IF(DAY(Variables!$A$2)&lt;10,0,"")&amp;DAY(Variables!$A$2)</f>
        <v>-18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9" s="30" t="e">
        <f>VLOOKUP(B69,'Train Runs'!$A$13:$A$99941,1,FALSE)</f>
        <v>#N/A</v>
      </c>
    </row>
    <row r="70" spans="1:10" x14ac:dyDescent="0.25">
      <c r="A70" s="185"/>
      <c r="B70" s="43" t="str">
        <f>A70&amp;"-"&amp;IF(DAY(Variables!$A$2)&lt;10,0,"")&amp;DAY(Variables!$A$2)</f>
        <v>-18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0" s="30" t="e">
        <f>VLOOKUP(B70,'Train Runs'!$A$13:$A$99941,1,FALSE)</f>
        <v>#N/A</v>
      </c>
    </row>
    <row r="71" spans="1:10" x14ac:dyDescent="0.25">
      <c r="A71" s="185"/>
      <c r="B71" s="43" t="str">
        <f>A71&amp;"-"&amp;IF(DAY(Variables!$A$2)&lt;10,0,"")&amp;DAY(Variables!$A$2)</f>
        <v>-18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1" s="30" t="e">
        <f>VLOOKUP(B71,'Train Runs'!$A$13:$A$99941,1,FALSE)</f>
        <v>#N/A</v>
      </c>
    </row>
    <row r="72" spans="1:10" x14ac:dyDescent="0.25">
      <c r="A72" s="185"/>
      <c r="B72" s="43" t="str">
        <f>A72&amp;"-"&amp;IF(DAY(Variables!$A$2)&lt;10,0,"")&amp;DAY(Variables!$A$2)</f>
        <v>-18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ref="I72:I93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2" s="30" t="e">
        <f>VLOOKUP(B72,'Train Runs'!$A$13:$A$99941,1,FALSE)</f>
        <v>#N/A</v>
      </c>
    </row>
    <row r="73" spans="1:10" x14ac:dyDescent="0.25">
      <c r="A73" s="185"/>
      <c r="B73" s="43" t="str">
        <f>A73&amp;"-"&amp;IF(DAY(Variables!$A$2)&lt;10,0,"")&amp;DAY(Variables!$A$2)</f>
        <v>-18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3" s="30" t="e">
        <f>VLOOKUP(B73,'Train Runs'!$A$13:$A$99941,1,FALSE)</f>
        <v>#N/A</v>
      </c>
    </row>
    <row r="74" spans="1:10" x14ac:dyDescent="0.25">
      <c r="A74" s="185"/>
      <c r="B74" s="43" t="str">
        <f>A74&amp;"-"&amp;IF(DAY(Variables!$A$2)&lt;10,0,"")&amp;DAY(Variables!$A$2)</f>
        <v>-18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4" s="30" t="e">
        <f>VLOOKUP(B74,'Train Runs'!$A$13:$A$99941,1,FALSE)</f>
        <v>#N/A</v>
      </c>
    </row>
    <row r="75" spans="1:10" x14ac:dyDescent="0.25">
      <c r="A75" s="185"/>
      <c r="B75" s="43" t="str">
        <f>A75&amp;"-"&amp;IF(DAY(Variables!$A$2)&lt;10,0,"")&amp;DAY(Variables!$A$2)</f>
        <v>-18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5" s="30" t="e">
        <f>VLOOKUP(B75,'Train Runs'!$A$13:$A$99941,1,FALSE)</f>
        <v>#N/A</v>
      </c>
    </row>
    <row r="76" spans="1:10" x14ac:dyDescent="0.25">
      <c r="A76" s="185"/>
      <c r="B76" s="43" t="str">
        <f>A76&amp;"-"&amp;IF(DAY(Variables!$A$2)&lt;10,0,"")&amp;DAY(Variables!$A$2)</f>
        <v>-18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6" s="30" t="e">
        <f>VLOOKUP(B76,'Train Runs'!$A$13:$A$99941,1,FALSE)</f>
        <v>#N/A</v>
      </c>
    </row>
    <row r="77" spans="1:10" x14ac:dyDescent="0.25">
      <c r="A77" s="185"/>
      <c r="B77" s="43" t="str">
        <f>A77&amp;"-"&amp;IF(DAY(Variables!$A$2)&lt;10,0,"")&amp;DAY(Variables!$A$2)</f>
        <v>-18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7" s="30" t="e">
        <f>VLOOKUP(B77,'Train Runs'!$A$13:$A$99941,1,FALSE)</f>
        <v>#N/A</v>
      </c>
    </row>
    <row r="78" spans="1:10" x14ac:dyDescent="0.25">
      <c r="A78" s="185"/>
      <c r="B78" s="43" t="str">
        <f>A78&amp;"-"&amp;IF(DAY(Variables!$A$2)&lt;10,0,"")&amp;DAY(Variables!$A$2)</f>
        <v>-18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8" s="30" t="e">
        <f>VLOOKUP(B78,'Train Runs'!$A$13:$A$99941,1,FALSE)</f>
        <v>#N/A</v>
      </c>
    </row>
    <row r="79" spans="1:10" x14ac:dyDescent="0.25">
      <c r="A79" s="185"/>
      <c r="B79" s="43" t="str">
        <f>A79&amp;"-"&amp;IF(DAY(Variables!$A$2)&lt;10,0,"")&amp;DAY(Variables!$A$2)</f>
        <v>-18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9" s="30" t="e">
        <f>VLOOKUP(B79,'Train Runs'!$A$13:$A$99941,1,FALSE)</f>
        <v>#N/A</v>
      </c>
    </row>
    <row r="80" spans="1:10" x14ac:dyDescent="0.25">
      <c r="A80" s="185"/>
      <c r="B80" s="43" t="str">
        <f>A80&amp;"-"&amp;IF(DAY(Variables!$A$2)&lt;10,0,"")&amp;DAY(Variables!$A$2)</f>
        <v>-18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0" s="30" t="e">
        <f>VLOOKUP(B80,'Train Runs'!$A$13:$A$99941,1,FALSE)</f>
        <v>#N/A</v>
      </c>
    </row>
    <row r="81" spans="1:10" x14ac:dyDescent="0.25">
      <c r="A81" s="185"/>
      <c r="B81" s="43" t="str">
        <f>A81&amp;"-"&amp;IF(DAY(Variables!$A$2)&lt;10,0,"")&amp;DAY(Variables!$A$2)</f>
        <v>-18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1" s="30" t="e">
        <f>VLOOKUP(B81,'Train Runs'!$A$13:$A$99941,1,FALSE)</f>
        <v>#N/A</v>
      </c>
    </row>
    <row r="82" spans="1:10" x14ac:dyDescent="0.25">
      <c r="A82" s="185"/>
      <c r="B82" s="43" t="str">
        <f>A82&amp;"-"&amp;IF(DAY(Variables!$A$2)&lt;10,0,"")&amp;DAY(Variables!$A$2)</f>
        <v>-18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2" s="30" t="e">
        <f>VLOOKUP(B82,'Train Runs'!$A$13:$A$99941,1,FALSE)</f>
        <v>#N/A</v>
      </c>
    </row>
    <row r="83" spans="1:10" x14ac:dyDescent="0.25">
      <c r="A83" s="185"/>
      <c r="B83" s="43" t="str">
        <f>A83&amp;"-"&amp;IF(DAY(Variables!$A$2)&lt;10,0,"")&amp;DAY(Variables!$A$2)</f>
        <v>-18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3" s="30" t="e">
        <f>VLOOKUP(B83,'Train Runs'!$A$13:$A$99941,1,FALSE)</f>
        <v>#N/A</v>
      </c>
    </row>
    <row r="84" spans="1:10" x14ac:dyDescent="0.25">
      <c r="A84" s="185"/>
      <c r="B84" s="43" t="str">
        <f>A84&amp;"-"&amp;IF(DAY(Variables!$A$2)&lt;10,0,"")&amp;DAY(Variables!$A$2)</f>
        <v>-18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4" s="30" t="e">
        <f>VLOOKUP(B84,'Train Runs'!$A$13:$A$99941,1,FALSE)</f>
        <v>#N/A</v>
      </c>
    </row>
    <row r="85" spans="1:10" x14ac:dyDescent="0.25">
      <c r="A85" s="185"/>
      <c r="B85" s="43" t="str">
        <f>A85&amp;"-"&amp;IF(DAY(Variables!$A$2)&lt;10,0,"")&amp;DAY(Variables!$A$2)</f>
        <v>-18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5" s="30" t="e">
        <f>VLOOKUP(B85,'Train Runs'!$A$13:$A$99941,1,FALSE)</f>
        <v>#N/A</v>
      </c>
    </row>
    <row r="86" spans="1:10" x14ac:dyDescent="0.25">
      <c r="A86" s="185"/>
      <c r="B86" s="43" t="str">
        <f>A86&amp;"-"&amp;IF(DAY(Variables!$A$2)&lt;10,0,"")&amp;DAY(Variables!$A$2)</f>
        <v>-18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6" s="30" t="e">
        <f>VLOOKUP(B86,'Train Runs'!$A$13:$A$99941,1,FALSE)</f>
        <v>#N/A</v>
      </c>
    </row>
    <row r="87" spans="1:10" x14ac:dyDescent="0.25">
      <c r="A87" s="185"/>
      <c r="B87" s="43" t="str">
        <f>A87&amp;"-"&amp;IF(DAY(Variables!$A$2)&lt;10,0,"")&amp;DAY(Variables!$A$2)</f>
        <v>-18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7" s="30" t="e">
        <f>VLOOKUP(B87,'Train Runs'!$A$13:$A$99941,1,FALSE)</f>
        <v>#N/A</v>
      </c>
    </row>
    <row r="88" spans="1:10" x14ac:dyDescent="0.25">
      <c r="A88" s="185"/>
      <c r="B88" s="43" t="str">
        <f>A88&amp;"-"&amp;IF(DAY(Variables!$A$2)&lt;10,0,"")&amp;DAY(Variables!$A$2)</f>
        <v>-18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8" s="30" t="e">
        <f>VLOOKUP(B88,'Train Runs'!$A$13:$A$99941,1,FALSE)</f>
        <v>#N/A</v>
      </c>
    </row>
    <row r="89" spans="1:10" x14ac:dyDescent="0.25">
      <c r="A89" s="185"/>
      <c r="B89" s="43" t="str">
        <f>A89&amp;"-"&amp;IF(DAY(Variables!$A$2)&lt;10,0,"")&amp;DAY(Variables!$A$2)</f>
        <v>-18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9" s="30" t="e">
        <f>VLOOKUP(B89,'Train Runs'!$A$13:$A$99941,1,FALSE)</f>
        <v>#N/A</v>
      </c>
    </row>
    <row r="90" spans="1:10" x14ac:dyDescent="0.25">
      <c r="A90" s="185"/>
      <c r="B90" s="43" t="str">
        <f>A90&amp;"-"&amp;IF(DAY(Variables!$A$2)&lt;10,0,"")&amp;DAY(Variables!$A$2)</f>
        <v>-18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0" s="30" t="e">
        <f>VLOOKUP(B90,'Train Runs'!$A$13:$A$99941,1,FALSE)</f>
        <v>#N/A</v>
      </c>
    </row>
    <row r="91" spans="1:10" x14ac:dyDescent="0.25">
      <c r="A91" s="185"/>
      <c r="B91" s="43" t="str">
        <f>A91&amp;"-"&amp;IF(DAY(Variables!$A$2)&lt;10,0,"")&amp;DAY(Variables!$A$2)</f>
        <v>-18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1" s="30" t="e">
        <f>VLOOKUP(B91,'Train Runs'!$A$13:$A$99941,1,FALSE)</f>
        <v>#N/A</v>
      </c>
    </row>
    <row r="92" spans="1:10" x14ac:dyDescent="0.25">
      <c r="A92" s="185"/>
      <c r="B92" s="43" t="str">
        <f>A92&amp;"-"&amp;IF(DAY(Variables!$A$2)&lt;10,0,"")&amp;DAY(Variables!$A$2)</f>
        <v>-18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2" s="30" t="e">
        <f>VLOOKUP(B92,'Train Runs'!$A$13:$A$99941,1,FALSE)</f>
        <v>#N/A</v>
      </c>
    </row>
    <row r="93" spans="1:10" x14ac:dyDescent="0.25">
      <c r="A93" s="185"/>
      <c r="B93" s="43" t="str">
        <f>A93&amp;"-"&amp;IF(DAY(Variables!$A$2)&lt;10,0,"")&amp;DAY(Variables!$A$2)</f>
        <v>-18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3" s="30" t="e">
        <f>VLOOKUP(B93,'Train Runs'!$A$13:$A$99941,1,FALSE)</f>
        <v>#N/A</v>
      </c>
    </row>
  </sheetData>
  <autoFilter ref="A2:J9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375</v>
      </c>
      <c r="B1" s="207" t="s">
        <v>376</v>
      </c>
      <c r="C1" s="199" t="s">
        <v>384</v>
      </c>
      <c r="D1" s="211" t="s">
        <v>58</v>
      </c>
      <c r="E1" s="196" t="s">
        <v>24</v>
      </c>
      <c r="F1" s="211" t="s">
        <v>390</v>
      </c>
      <c r="G1" s="215" t="s">
        <v>94</v>
      </c>
      <c r="H1" s="217" t="s">
        <v>394</v>
      </c>
      <c r="I1" s="213" t="s">
        <v>393</v>
      </c>
      <c r="J1" s="209" t="s">
        <v>84</v>
      </c>
      <c r="K1" s="209" t="s">
        <v>389</v>
      </c>
      <c r="L1" s="204" t="s">
        <v>386</v>
      </c>
      <c r="M1" s="204" t="s">
        <v>377</v>
      </c>
      <c r="N1" s="204" t="s">
        <v>379</v>
      </c>
      <c r="O1" s="204" t="s">
        <v>380</v>
      </c>
      <c r="P1" s="204" t="s">
        <v>381</v>
      </c>
      <c r="Q1" s="203" t="s">
        <v>378</v>
      </c>
    </row>
    <row r="2" spans="1:17" x14ac:dyDescent="0.25">
      <c r="A2" s="201">
        <v>42800.21875</v>
      </c>
      <c r="B2" s="208" t="s">
        <v>383</v>
      </c>
      <c r="C2" s="198" t="s">
        <v>385</v>
      </c>
      <c r="D2" s="212">
        <v>104</v>
      </c>
      <c r="E2" s="30" t="s">
        <v>388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/stypes="*4052*201703061*"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"%USERPROFILE%\AppData\Local\Temp\OnboardLogs"\RTDC4052\*4052*201703061*</v>
      </c>
      <c r="I2" s="214" t="str">
        <f>IF(VLOOKUP(K2,'Train Runs'!$A$13:$V$997,1,TRUE)=K2,VLOOKUP(K2,'Train Runs'!$A$13:$V$997,22,TRUE),NA())</f>
        <v>https://d0f6bd738d7f1b3e5a7ca70fe4ff75f0.us-east-1.aws.found.io/app/kibana#/discover/Steve-Slow-Train-Analysis-(2080s-and-2083s)?_g=(refreshInterval:(display:Off,pause:!f,section:0,value:0),time:(from:'2017-03-18T03:34:28-0600',mode:absolute,to:'2017-03-18T06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104-18</v>
      </c>
      <c r="L2" s="206">
        <f>IF(VLOOKUP(K2,'Train Runs'!$A$12:$B$997,1,TRUE)=K2,VLOOKUP(K2,'Train Runs'!$A$12:$B$997,2,TRUE),NA())</f>
        <v>4052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383</v>
      </c>
      <c r="C3" s="198" t="s">
        <v>385</v>
      </c>
      <c r="D3" s="212">
        <v>126</v>
      </c>
      <c r="E3" s="30" t="s">
        <v>387</v>
      </c>
      <c r="F3" s="212" t="b">
        <v>1</v>
      </c>
      <c r="G3" s="216" t="str">
        <f t="shared" si="0"/>
        <v>"C:\Program Files (x86)\AstroGrep\AstroGrep.exe" /e /r /s /spath="%USERPROFILE%\AppData\Local\Temp\OnboardLogs" /stypes="*4043*201703061*"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"%USERPROFILE%\AppData\Local\Temp\OnboardLogs"\RTDC4043\*4043*201703061*</v>
      </c>
      <c r="I3" s="214" t="str">
        <f>IF(VLOOKUP(K3,'Train Runs'!$A$13:$V$997,1,TRUE)=K3,VLOOKUP(K3,'Train Runs'!$A$13:$V$997,22,TRUE),NA())</f>
        <v>https://d0f6bd738d7f1b3e5a7ca70fe4ff75f0.us-east-1.aws.found.io/app/kibana#/discover/Steve-Slow-Train-Analysis-(2080s-and-2083s)?_g=(refreshInterval:(display:Off,pause:!f,section:0,value:0),time:(from:'2017-03-18T06:35:49-0600',mode:absolute,to:'2017-03-18T09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126-18</v>
      </c>
      <c r="L3" s="206">
        <f>IF(VLOOKUP(K3,'Train Runs'!$A$12:$B$997,1,TRUE)=K3,VLOOKUP(K3,'Train Runs'!$A$12:$B$997,2,TRUE),NA())</f>
        <v>4043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383</v>
      </c>
      <c r="C4" s="198" t="s">
        <v>385</v>
      </c>
      <c r="D4" s="212">
        <v>128</v>
      </c>
      <c r="E4" s="30" t="s">
        <v>387</v>
      </c>
      <c r="F4" s="212" t="b">
        <v>1</v>
      </c>
      <c r="G4" s="216" t="str">
        <f t="shared" si="0"/>
        <v>"C:\Program Files (x86)\AstroGrep\AstroGrep.exe" /e /r /s /spath="%USERPROFILE%\AppData\Local\Temp\OnboardLogs" /stypes="*4030*201703061*"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"%USERPROFILE%\AppData\Local\Temp\OnboardLogs"\RTDC4030\*4030*201703061*</v>
      </c>
      <c r="I4" s="214" t="str">
        <f>IF(VLOOKUP(K4,'Train Runs'!$A$13:$V$997,1,TRUE)=K4,VLOOKUP(K4,'Train Runs'!$A$13:$V$997,22,TRUE),NA())</f>
        <v>https://d0f6bd738d7f1b3e5a7ca70fe4ff75f0.us-east-1.aws.found.io/app/kibana#/discover/Steve-Slow-Train-Analysis-(2080s-and-2083s)?_g=(refreshInterval:(display:Off,pause:!f,section:0,value:0),time:(from:'2017-03-18T06:52:23-0600',mode:absolute,to:'2017-03-18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128-18</v>
      </c>
      <c r="L4" s="206">
        <f>IF(VLOOKUP(K4,'Train Runs'!$A$12:$B$997,1,TRUE)=K4,VLOOKUP(K4,'Train Runs'!$A$12:$B$997,2,TRUE),NA())</f>
        <v>4030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383</v>
      </c>
      <c r="C5" s="198" t="s">
        <v>385</v>
      </c>
      <c r="D5" s="212">
        <f>D4+2</f>
        <v>130</v>
      </c>
      <c r="E5" s="30" t="s">
        <v>387</v>
      </c>
      <c r="F5" s="212" t="b">
        <v>1</v>
      </c>
      <c r="G5" s="216" t="str">
        <f t="shared" si="0"/>
        <v>"C:\Program Files (x86)\AstroGrep\AstroGrep.exe" /e /r /s /spath="%USERPROFILE%\AppData\Local\Temp\OnboardLogs" /stypes="*4010*201703061*"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"%USERPROFILE%\AppData\Local\Temp\OnboardLogs"\RTDC4010\*4010*201703061*</v>
      </c>
      <c r="I5" s="214" t="str">
        <f>IF(VLOOKUP(K5,'Train Runs'!$A$13:$V$997,1,TRUE)=K5,VLOOKUP(K5,'Train Runs'!$A$13:$V$997,22,TRUE),NA())</f>
        <v>https://d0f6bd738d7f1b3e5a7ca70fe4ff75f0.us-east-1.aws.found.io/app/kibana#/discover/Steve-Slow-Train-Analysis-(2080s-and-2083s)?_g=(refreshInterval:(display:Off,pause:!f,section:0,value:0),time:(from:'2017-03-18T07:05:45-0600',mode:absolute,to:'2017-03-18T09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130-18</v>
      </c>
      <c r="L5" s="206">
        <f>IF(VLOOKUP(K5,'Train Runs'!$A$12:$B$997,1,TRUE)=K5,VLOOKUP(K5,'Train Runs'!$A$12:$B$997,2,TRUE),NA())</f>
        <v>4010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383</v>
      </c>
      <c r="C6" s="198" t="s">
        <v>385</v>
      </c>
      <c r="D6" s="212">
        <f>D5+2</f>
        <v>132</v>
      </c>
      <c r="E6" s="30" t="s">
        <v>387</v>
      </c>
      <c r="F6" s="212" t="b">
        <v>1</v>
      </c>
      <c r="G6" s="216" t="str">
        <f t="shared" si="0"/>
        <v>"C:\Program Files (x86)\AstroGrep\AstroGrep.exe" /e /r /s /spath="%USERPROFILE%\AppData\Local\Temp\OnboardLogs" /stypes="*4052*201703061*"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"%USERPROFILE%\AppData\Local\Temp\OnboardLogs"\RTDC4052\*4052*201703061*</v>
      </c>
      <c r="I6" s="214" t="str">
        <f>IF(VLOOKUP(K6,'Train Runs'!$A$13:$V$997,1,TRUE)=K6,VLOOKUP(K6,'Train Runs'!$A$13:$V$997,22,TRUE),NA())</f>
        <v>https://d0f6bd738d7f1b3e5a7ca70fe4ff75f0.us-east-1.aws.found.io/app/kibana#/discover/Steve-Slow-Train-Analysis-(2080s-and-2083s)?_g=(refreshInterval:(display:Off,pause:!f,section:0,value:0),time:(from:'2017-03-18T07:18:34-0600',mode:absolute,to:'2017-03-18T10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6" s="210">
        <f t="shared" si="2"/>
        <v>42800.625</v>
      </c>
      <c r="K6" s="210" t="str">
        <f>D6&amp;"-"&amp;IF(DAY(Variables!$A$2)&lt;10,0,"")&amp;DAY(Variables!$A$2)</f>
        <v>132-18</v>
      </c>
      <c r="L6" s="206">
        <f>IF(VLOOKUP(K6,'Train Runs'!$A$12:$B$997,1,TRUE)=K6,VLOOKUP(K6,'Train Runs'!$A$12:$B$997,2,TRUE),NA())</f>
        <v>4052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383</v>
      </c>
      <c r="C7" s="198" t="s">
        <v>385</v>
      </c>
      <c r="D7" s="212">
        <f t="shared" ref="D7:D11" si="4">D6+2</f>
        <v>134</v>
      </c>
      <c r="E7" s="30" t="s">
        <v>387</v>
      </c>
      <c r="F7" s="212" t="b">
        <v>1</v>
      </c>
      <c r="G7" s="216" t="str">
        <f t="shared" si="0"/>
        <v>"C:\Program Files (x86)\AstroGrep\AstroGrep.exe" /e /r /s /spath="%USERPROFILE%\AppData\Local\Temp\OnboardLogs" /stypes="*4028*201703061*"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"%USERPROFILE%\AppData\Local\Temp\OnboardLogs"\RTDC4028\*4028*201703061*</v>
      </c>
      <c r="I7" s="214" t="str">
        <f>IF(VLOOKUP(K7,'Train Runs'!$A$13:$V$997,1,TRUE)=K7,VLOOKUP(K7,'Train Runs'!$A$13:$V$997,22,TRUE),NA())</f>
        <v>https://d0f6bd738d7f1b3e5a7ca70fe4ff75f0.us-east-1.aws.found.io/app/kibana#/discover/Steve-Slow-Train-Analysis-(2080s-and-2083s)?_g=(refreshInterval:(display:Off,pause:!f,section:0,value:0),time:(from:'2017-03-18T07:27:45-0600',mode:absolute,to:'2017-03-18T10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134-18</v>
      </c>
      <c r="L7" s="206">
        <f>IF(VLOOKUP(K7,'Train Runs'!$A$12:$B$997,1,TRUE)=K7,VLOOKUP(K7,'Train Runs'!$A$12:$B$997,2,TRUE),NA())</f>
        <v>4028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383</v>
      </c>
      <c r="C8" s="198" t="s">
        <v>385</v>
      </c>
      <c r="D8" s="212">
        <f t="shared" si="4"/>
        <v>136</v>
      </c>
      <c r="E8" s="30" t="s">
        <v>387</v>
      </c>
      <c r="F8" s="212" t="b">
        <v>1</v>
      </c>
      <c r="G8" s="216" t="str">
        <f t="shared" si="0"/>
        <v>"C:\Program Files (x86)\AstroGrep\AstroGrep.exe" /e /r /s /spath="%USERPROFILE%\AppData\Local\Temp\OnboardLogs" /stypes="*4032*201703061*"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"%USERPROFILE%\AppData\Local\Temp\OnboardLogs"\RTDC4032\*4032*201703061*</v>
      </c>
      <c r="I8" s="214" t="str">
        <f>IF(VLOOKUP(K8,'Train Runs'!$A$13:$V$997,1,TRUE)=K8,VLOOKUP(K8,'Train Runs'!$A$13:$V$997,22,TRUE),NA())</f>
        <v>https://d0f6bd738d7f1b3e5a7ca70fe4ff75f0.us-east-1.aws.found.io/app/kibana#/discover/Steve-Slow-Train-Analysis-(2080s-and-2083s)?_g=(refreshInterval:(display:Off,pause:!f,section:0,value:0),time:(from:'2017-03-18T07:55:14-0600',mode:absolute,to:'2017-03-18T10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136-18</v>
      </c>
      <c r="L8" s="206">
        <f>IF(VLOOKUP(K8,'Train Runs'!$A$12:$B$997,1,TRUE)=K8,VLOOKUP(K8,'Train Runs'!$A$12:$B$997,2,TRUE),NA())</f>
        <v>4032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383</v>
      </c>
      <c r="C9" s="198" t="s">
        <v>385</v>
      </c>
      <c r="D9" s="212">
        <f t="shared" si="4"/>
        <v>138</v>
      </c>
      <c r="E9" s="30" t="s">
        <v>387</v>
      </c>
      <c r="F9" s="212" t="b">
        <v>1</v>
      </c>
      <c r="G9" s="216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"%USERPROFILE%\AppData\Local\Temp\OnboardLogs"\RTDC4013\*4013*201703061*</v>
      </c>
      <c r="I9" s="214" t="str">
        <f>IF(VLOOKUP(K9,'Train Runs'!$A$13:$V$997,1,TRUE)=K9,VLOOKUP(K9,'Train Runs'!$A$13:$V$997,22,TRUE),NA())</f>
        <v>https://d0f6bd738d7f1b3e5a7ca70fe4ff75f0.us-east-1.aws.found.io/app/kibana#/discover/Steve-Slow-Train-Analysis-(2080s-and-2083s)?_g=(refreshInterval:(display:Off,pause:!f,section:0,value:0),time:(from:'2017-03-18T07:53:00-0600',mode:absolute,to:'2017-03-18T10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138-18</v>
      </c>
      <c r="L9" s="206">
        <f>IF(VLOOKUP(K9,'Train Runs'!$A$12:$B$997,1,TRUE)=K9,VLOOKUP(K9,'Train Runs'!$A$12:$B$997,2,TRUE),NA())</f>
        <v>4013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383</v>
      </c>
      <c r="C10" s="198" t="s">
        <v>385</v>
      </c>
      <c r="D10" s="212">
        <f t="shared" si="4"/>
        <v>140</v>
      </c>
      <c r="E10" s="30" t="s">
        <v>387</v>
      </c>
      <c r="F10" s="212" t="b">
        <v>1</v>
      </c>
      <c r="G10" s="216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"%USERPROFILE%\AppData\Local\Temp\OnboardLogs"\RTDC4043\*4043*201703061*</v>
      </c>
      <c r="I10" s="214" t="str">
        <f>IF(VLOOKUP(K10,'Train Runs'!$A$13:$V$997,1,TRUE)=K10,VLOOKUP(K10,'Train Runs'!$A$13:$V$997,22,TRUE),NA())</f>
        <v>https://d0f6bd738d7f1b3e5a7ca70fe4ff75f0.us-east-1.aws.found.io/app/kibana#/discover/Steve-Slow-Train-Analysis-(2080s-and-2083s)?_g=(refreshInterval:(display:Off,pause:!f,section:0,value:0),time:(from:'2017-03-18T08:19:51-0600',mode:absolute,to:'2017-03-18T11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140-18</v>
      </c>
      <c r="L10" s="206">
        <f>IF(VLOOKUP(K10,'Train Runs'!$A$12:$B$997,1,TRUE)=K10,VLOOKUP(K10,'Train Runs'!$A$12:$B$997,2,TRUE),NA())</f>
        <v>4043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383</v>
      </c>
      <c r="C11" s="198" t="s">
        <v>385</v>
      </c>
      <c r="D11" s="212">
        <f t="shared" si="4"/>
        <v>142</v>
      </c>
      <c r="E11" s="30" t="s">
        <v>387</v>
      </c>
      <c r="F11" s="212" t="b">
        <v>1</v>
      </c>
      <c r="G11" s="216" t="str">
        <f t="shared" si="0"/>
        <v>"C:\Program Files (x86)\AstroGrep\AstroGrep.exe" /e /r /s /spath="%USERPROFILE%\AppData\Local\Temp\OnboardLogs" /stypes="*4030*201703061*"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"%USERPROFILE%\AppData\Local\Temp\OnboardLogs"\RTDC4030\*4030*201703061*</v>
      </c>
      <c r="I11" s="214" t="str">
        <f>IF(VLOOKUP(K11,'Train Runs'!$A$13:$V$997,1,TRUE)=K11,VLOOKUP(K11,'Train Runs'!$A$13:$V$997,22,TRUE),NA())</f>
        <v>https://d0f6bd738d7f1b3e5a7ca70fe4ff75f0.us-east-1.aws.found.io/app/kibana#/discover/Steve-Slow-Train-Analysis-(2080s-and-2083s)?_g=(refreshInterval:(display:Off,pause:!f,section:0,value:0),time:(from:'2017-03-18T08:36:35-0600',mode:absolute,to:'2017-03-18T11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142-18</v>
      </c>
      <c r="L11" s="206">
        <f>IF(VLOOKUP(K11,'Train Runs'!$A$12:$B$997,1,TRUE)=K11,VLOOKUP(K11,'Train Runs'!$A$12:$B$997,2,TRUE),NA())</f>
        <v>4030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383</v>
      </c>
      <c r="C12" s="198" t="s">
        <v>385</v>
      </c>
      <c r="D12" s="212">
        <v>144</v>
      </c>
      <c r="E12" s="30" t="s">
        <v>387</v>
      </c>
      <c r="F12" s="212" t="b">
        <v>1</v>
      </c>
      <c r="G12" s="216" t="str">
        <f t="shared" si="0"/>
        <v>"C:\Program Files (x86)\AstroGrep\AstroGrep.exe" /e /r /s /spath="%USERPROFILE%\AppData\Local\Temp\OnboardLogs" /stypes="*4010*201703061*"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"%USERPROFILE%\AppData\Local\Temp\OnboardLogs"\RTDC4010\*4010*201703061*</v>
      </c>
      <c r="I12" s="214" t="str">
        <f>IF(VLOOKUP(K12,'Train Runs'!$A$13:$V$997,1,TRUE)=K12,VLOOKUP(K12,'Train Runs'!$A$13:$V$997,22,TRUE),NA())</f>
        <v>https://d0f6bd738d7f1b3e5a7ca70fe4ff75f0.us-east-1.aws.found.io/app/kibana#/discover/Steve-Slow-Train-Analysis-(2080s-and-2083s)?_g=(refreshInterval:(display:Off,pause:!f,section:0,value:0),time:(from:'2017-03-18T08:51:29-0600',mode:absolute,to:'2017-03-18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144-18</v>
      </c>
      <c r="L12" s="206">
        <f>IF(VLOOKUP(K12,'Train Runs'!$A$12:$B$997,1,TRUE)=K12,VLOOKUP(K12,'Train Runs'!$A$12:$B$997,2,TRUE),NA())</f>
        <v>4010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383</v>
      </c>
      <c r="C13" s="198" t="s">
        <v>385</v>
      </c>
      <c r="D13" s="212">
        <v>146</v>
      </c>
      <c r="E13" s="30" t="s">
        <v>387</v>
      </c>
      <c r="F13" s="212" t="b">
        <v>1</v>
      </c>
      <c r="G13" s="216" t="str">
        <f t="shared" si="0"/>
        <v>"C:\Program Files (x86)\AstroGrep\AstroGrep.exe" /e /r /s /spath="%USERPROFILE%\AppData\Local\Temp\OnboardLogs" /stypes="*4052*201703061*"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"%USERPROFILE%\AppData\Local\Temp\OnboardLogs"\RTDC4052\*4052*201703061*</v>
      </c>
      <c r="I13" s="214" t="str">
        <f>IF(VLOOKUP(K13,'Train Runs'!$A$13:$V$997,1,TRUE)=K13,VLOOKUP(K13,'Train Runs'!$A$13:$V$997,22,TRUE),NA())</f>
        <v>https://d0f6bd738d7f1b3e5a7ca70fe4ff75f0.us-east-1.aws.found.io/app/kibana#/discover/Steve-Slow-Train-Analysis-(2080s-and-2083s)?_g=(refreshInterval:(display:Off,pause:!f,section:0,value:0),time:(from:'2017-03-18T09:03:46-0600',mode:absolute,to:'2017-03-18T11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146-18</v>
      </c>
      <c r="L13" s="206">
        <f>IF(VLOOKUP(K13,'Train Runs'!$A$12:$B$997,1,TRUE)=K13,VLOOKUP(K13,'Train Runs'!$A$12:$B$997,2,TRUE),NA())</f>
        <v>4052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383</v>
      </c>
      <c r="C14" s="198" t="s">
        <v>385</v>
      </c>
      <c r="D14" s="212">
        <v>148</v>
      </c>
      <c r="E14" s="30" t="s">
        <v>391</v>
      </c>
      <c r="F14" s="212" t="b">
        <v>1</v>
      </c>
      <c r="G14" s="216" t="str">
        <f t="shared" si="0"/>
        <v>"C:\Program Files (x86)\AstroGrep\AstroGrep.exe" /e /r /s /spath="%USERPROFILE%\AppData\Local\Temp\OnboardLogs" /stypes="*4028*201703061*"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"%USERPROFILE%\AppData\Local\Temp\OnboardLogs"\RTDC4028\*4028*201703061*</v>
      </c>
      <c r="I14" s="214" t="str">
        <f>IF(VLOOKUP(K14,'Train Runs'!$A$13:$V$997,1,TRUE)=K14,VLOOKUP(K14,'Train Runs'!$A$13:$V$997,22,TRUE),NA())</f>
        <v>https://d0f6bd738d7f1b3e5a7ca70fe4ff75f0.us-east-1.aws.found.io/app/kibana#/discover/Steve-Slow-Train-Analysis-(2080s-and-2083s)?_g=(refreshInterval:(display:Off,pause:!f,section:0,value:0),time:(from:'2017-03-18T09:12:43-0600',mode:absolute,to:'2017-03-18T12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148-18</v>
      </c>
      <c r="L14" s="206">
        <f>IF(VLOOKUP(K14,'Train Runs'!$A$12:$B$997,1,TRUE)=K14,VLOOKUP(K14,'Train Runs'!$A$12:$B$997,2,TRUE),NA())</f>
        <v>4028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383</v>
      </c>
      <c r="C15" s="198" t="s">
        <v>385</v>
      </c>
      <c r="D15" s="212">
        <v>178</v>
      </c>
      <c r="E15" s="30" t="s">
        <v>392</v>
      </c>
      <c r="F15" s="212" t="b">
        <v>1</v>
      </c>
      <c r="G15" s="216" t="str">
        <f t="shared" si="0"/>
        <v>"C:\Program Files (x86)\AstroGrep\AstroGrep.exe" /e /r /s /spath="%USERPROFILE%\AppData\Local\Temp\OnboardLogs" /stypes="*4032*201703062*"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"%USERPROFILE%\AppData\Local\Temp\OnboardLogs"\RTDC4032\*4032*201703062*</v>
      </c>
      <c r="I15" s="214" t="str">
        <f>IF(VLOOKUP(K15,'Train Runs'!$A$13:$V$997,1,TRUE)=K15,VLOOKUP(K15,'Train Runs'!$A$13:$V$997,22,TRUE),NA())</f>
        <v>https://d0f6bd738d7f1b3e5a7ca70fe4ff75f0.us-east-1.aws.found.io/app/kibana#/discover/Steve-Slow-Train-Analysis-(2080s-and-2083s)?_g=(refreshInterval:(display:Off,pause:!f,section:0,value:0),time:(from:'2017-03-18T13:11:05-0600',mode:absolute,to:'2017-03-18T15:59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178-18</v>
      </c>
      <c r="L15" s="206">
        <f>IF(VLOOKUP(K15,'Train Runs'!$A$12:$B$997,1,TRUE)=K15,VLOOKUP(K15,'Train Runs'!$A$12:$B$997,2,TRUE),NA())</f>
        <v>4032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383</v>
      </c>
      <c r="C16" s="198" t="s">
        <v>385</v>
      </c>
      <c r="D16" s="212">
        <v>194</v>
      </c>
      <c r="E16" s="30" t="s">
        <v>392</v>
      </c>
      <c r="F16" s="212" t="b">
        <v>1</v>
      </c>
      <c r="G16" s="216" t="str">
        <f t="shared" si="0"/>
        <v>"C:\Program Files (x86)\AstroGrep\AstroGrep.exe" /e /r /s /spath="%USERPROFILE%\AppData\Local\Temp\OnboardLogs" /stypes="*4032*201703062*"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"%USERPROFILE%\AppData\Local\Temp\OnboardLogs"\RTDC4032\*4032*201703062*</v>
      </c>
      <c r="I16" s="214" t="str">
        <f>IF(VLOOKUP(K16,'Train Runs'!$A$13:$V$997,1,TRUE)=K16,VLOOKUP(K16,'Train Runs'!$A$13:$V$997,22,TRUE),NA())</f>
        <v>https://d0f6bd738d7f1b3e5a7ca70fe4ff75f0.us-east-1.aws.found.io/app/kibana#/discover/Steve-Slow-Train-Analysis-(2080s-and-2083s)?_g=(refreshInterval:(display:Off,pause:!f,section:0,value:0),time:(from:'2017-03-18T15:07:23-0600',mode:absolute,to:'2017-03-18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194-18</v>
      </c>
      <c r="L16" s="206">
        <f>IF(VLOOKUP(K16,'Train Runs'!$A$12:$B$997,1,TRUE)=K16,VLOOKUP(K16,'Train Runs'!$A$12:$B$997,2,TRUE),NA())</f>
        <v>4032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383</v>
      </c>
      <c r="C17" s="198" t="s">
        <v>385</v>
      </c>
      <c r="D17" s="212">
        <v>206</v>
      </c>
      <c r="E17" s="30" t="s">
        <v>387</v>
      </c>
      <c r="F17" s="212" t="b">
        <v>1</v>
      </c>
      <c r="G17" s="216" t="str">
        <f t="shared" si="0"/>
        <v>"C:\Program Files (x86)\AstroGrep\AstroGrep.exe" /e /r /s /spath="%USERPROFILE%\AppData\Local\Temp\OnboardLogs" /stypes="*4028*201703070*"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"%USERPROFILE%\AppData\Local\Temp\OnboardLogs"\RTDC4028\*4028*201703070*</v>
      </c>
      <c r="I17" s="214" t="str">
        <f>IF(VLOOKUP(K17,'Train Runs'!$A$13:$V$997,1,TRUE)=K17,VLOOKUP(K17,'Train Runs'!$A$13:$V$997,22,TRUE),NA())</f>
        <v>https://d0f6bd738d7f1b3e5a7ca70fe4ff75f0.us-east-1.aws.found.io/app/kibana#/discover/Steve-Slow-Train-Analysis-(2080s-and-2083s)?_g=(refreshInterval:(display:Off,pause:!f,section:0,value:0),time:(from:'2017-03-18T16:42:35-0600',mode:absolute,to:'2017-03-18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206-18</v>
      </c>
      <c r="L17" s="206">
        <f>IF(VLOOKUP(K17,'Train Runs'!$A$12:$B$997,1,TRUE)=K17,VLOOKUP(K17,'Train Runs'!$A$12:$B$997,2,TRUE),NA())</f>
        <v>4028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383</v>
      </c>
      <c r="C18" s="198" t="s">
        <v>385</v>
      </c>
      <c r="D18" s="212">
        <v>210</v>
      </c>
      <c r="E18" s="30" t="s">
        <v>387</v>
      </c>
      <c r="F18" s="212" t="b">
        <v>1</v>
      </c>
      <c r="G18" s="216" t="str">
        <f t="shared" si="0"/>
        <v>"C:\Program Files (x86)\AstroGrep\AstroGrep.exe" /e /r /s /spath="%USERPROFILE%\AppData\Local\Temp\OnboardLogs" /stypes="*4010*201703070*"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"%USERPROFILE%\AppData\Local\Temp\OnboardLogs"\RTDC4010\*4010*201703070*</v>
      </c>
      <c r="I18" s="214" t="str">
        <f>IF(VLOOKUP(K18,'Train Runs'!$A$13:$V$997,1,TRUE)=K18,VLOOKUP(K18,'Train Runs'!$A$13:$V$997,22,TRUE),NA())</f>
        <v>https://d0f6bd738d7f1b3e5a7ca70fe4ff75f0.us-east-1.aws.found.io/app/kibana#/discover/Steve-Slow-Train-Analysis-(2080s-and-2083s)?_g=(refreshInterval:(display:Off,pause:!f,section:0,value:0),time:(from:'2017-03-18T18:34:52-0600',mode:absolute,to:'2017-03-18T21:01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210-18</v>
      </c>
      <c r="L18" s="206">
        <f>IF(VLOOKUP(K18,'Train Runs'!$A$12:$B$997,1,TRUE)=K18,VLOOKUP(K18,'Train Runs'!$A$12:$B$997,2,TRUE),NA())</f>
        <v>4010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383</v>
      </c>
      <c r="C19" s="198" t="s">
        <v>385</v>
      </c>
      <c r="D19" s="212">
        <f>D18+2</f>
        <v>212</v>
      </c>
      <c r="E19" s="30" t="s">
        <v>387</v>
      </c>
      <c r="F19" s="212" t="b">
        <v>1</v>
      </c>
      <c r="G19" s="216" t="str">
        <f t="shared" si="0"/>
        <v>"C:\Program Files (x86)\AstroGrep\AstroGrep.exe" /e /r /s /spath="%USERPROFILE%\AppData\Local\Temp\OnboardLogs" /stypes="*4043*201703070*"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"%USERPROFILE%\AppData\Local\Temp\OnboardLogs"\RTDC4043\*4043*201703070*</v>
      </c>
      <c r="I19" s="214" t="str">
        <f>IF(VLOOKUP(K19,'Train Runs'!$A$13:$V$997,1,TRUE)=K19,VLOOKUP(K19,'Train Runs'!$A$13:$V$997,22,TRUE),NA())</f>
        <v>https://d0f6bd738d7f1b3e5a7ca70fe4ff75f0.us-east-1.aws.found.io/app/kibana#/discover/Steve-Slow-Train-Analysis-(2080s-and-2083s)?_g=(refreshInterval:(display:Off,pause:!f,section:0,value:0),time:(from:'2017-03-18T17:25:51-0600',mode:absolute,to:'2017-03-18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212-18</v>
      </c>
      <c r="L19" s="206">
        <f>IF(VLOOKUP(K19,'Train Runs'!$A$12:$B$997,1,TRUE)=K19,VLOOKUP(K19,'Train Runs'!$A$12:$B$997,2,TRUE),NA())</f>
        <v>4043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383</v>
      </c>
      <c r="C20" s="198" t="s">
        <v>385</v>
      </c>
      <c r="D20" s="212">
        <v>214</v>
      </c>
      <c r="E20" s="30" t="s">
        <v>387</v>
      </c>
      <c r="F20" s="212" t="b">
        <v>1</v>
      </c>
      <c r="G20" s="216" t="str">
        <f t="shared" si="0"/>
        <v>"C:\Program Files (x86)\AstroGrep\AstroGrep.exe" /e /r /s /spath="%USERPROFILE%\AppData\Local\Temp\OnboardLogs" /stypes="*4030*201703070*"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"%USERPROFILE%\AppData\Local\Temp\OnboardLogs"\RTDC4030\*4030*201703070*</v>
      </c>
      <c r="I20" s="214" t="str">
        <f>IF(VLOOKUP(K20,'Train Runs'!$A$13:$V$997,1,TRUE)=K20,VLOOKUP(K20,'Train Runs'!$A$13:$V$997,22,TRUE),NA())</f>
        <v>https://d0f6bd738d7f1b3e5a7ca70fe4ff75f0.us-east-1.aws.found.io/app/kibana#/discover/Steve-Slow-Train-Analysis-(2080s-and-2083s)?_g=(refreshInterval:(display:Off,pause:!f,section:0,value:0),time:(from:'2017-03-18T19:02:10-0600',mode:absolute,to:'2017-03-18T21:15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214-18</v>
      </c>
      <c r="L20" s="206">
        <f>IF(VLOOKUP(K20,'Train Runs'!$A$12:$B$997,1,TRUE)=K20,VLOOKUP(K20,'Train Runs'!$A$12:$B$997,2,TRUE),NA())</f>
        <v>4030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383</v>
      </c>
      <c r="C21" s="198" t="s">
        <v>385</v>
      </c>
      <c r="D21" s="212">
        <v>216</v>
      </c>
      <c r="E21" s="30" t="s">
        <v>387</v>
      </c>
      <c r="F21" s="212" t="b">
        <v>1</v>
      </c>
      <c r="G21" s="216" t="str">
        <f t="shared" si="0"/>
        <v>"C:\Program Files (x86)\AstroGrep\AstroGrep.exe" /e /r /s /spath="%USERPROFILE%\AppData\Local\Temp\OnboardLogs" /stypes="*4045*201703070*"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"%USERPROFILE%\AppData\Local\Temp\OnboardLogs"\RTDC4045\*4045*201703070*</v>
      </c>
      <c r="I21" s="214" t="str">
        <f>IF(VLOOKUP(K21,'Train Runs'!$A$13:$V$997,1,TRUE)=K21,VLOOKUP(K21,'Train Runs'!$A$13:$V$997,22,TRUE),NA())</f>
        <v>https://d0f6bd738d7f1b3e5a7ca70fe4ff75f0.us-east-1.aws.found.io/app/kibana#/discover/Steve-Slow-Train-Analysis-(2080s-and-2083s)?_g=(refreshInterval:(display:Off,pause:!f,section:0,value:0),time:(from:'2017-03-18T19:01:44-0600',mode:absolute,to:'2017-03-18T21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216-18</v>
      </c>
      <c r="L21" s="206">
        <f>IF(VLOOKUP(K21,'Train Runs'!$A$12:$B$997,1,TRUE)=K21,VLOOKUP(K21,'Train Runs'!$A$12:$B$997,2,TRUE),NA())</f>
        <v>4045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383</v>
      </c>
      <c r="C22" s="198" t="s">
        <v>385</v>
      </c>
      <c r="D22" s="212">
        <f>D21+2</f>
        <v>218</v>
      </c>
      <c r="E22" s="30" t="s">
        <v>387</v>
      </c>
      <c r="F22" s="212" t="b">
        <v>1</v>
      </c>
      <c r="G22" s="216" t="e">
        <f t="shared" si="0"/>
        <v>#N/A</v>
      </c>
      <c r="H22" s="218" t="e">
        <f t="shared" si="1"/>
        <v>#N/A</v>
      </c>
      <c r="I22" s="214" t="str">
        <f>IF(VLOOKUP(K22,'Train Runs'!$A$13:$V$997,1,TRUE)=K22,VLOOKUP(K22,'Train Runs'!$A$13:$V$997,22,TRUE),NA())</f>
        <v>https://d0f6bd738d7f1b3e5a7ca70fe4ff75f0.us-east-1.aws.found.io/app/kibana#/discover/Steve-Slow-Train-Analysis-(2080s-and-2083s)?_g=(refreshInterval:(display:Off,pause:!f,section:0,value:0),time:(from:'2017-03-18T18:07:36-0600',mode:absolute,to:'2017-03-18T21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218-18</v>
      </c>
      <c r="L22" s="206" t="e">
        <f>IF(VLOOKUP(K22,'Train Runs'!$A$12:$B$997,1,TRUE)=K22,VLOOKUP(K22,'Train Runs'!$A$12:$B$997,2,TRUE),NA())</f>
        <v>#N/A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383</v>
      </c>
      <c r="C23" s="198" t="s">
        <v>385</v>
      </c>
      <c r="D23" s="212">
        <f>D22+2</f>
        <v>220</v>
      </c>
      <c r="E23" s="30" t="s">
        <v>387</v>
      </c>
      <c r="F23" s="212" t="b">
        <v>1</v>
      </c>
      <c r="G23" s="216" t="e">
        <f t="shared" si="0"/>
        <v>#N/A</v>
      </c>
      <c r="H23" s="218" t="e">
        <f t="shared" si="1"/>
        <v>#N/A</v>
      </c>
      <c r="I23" s="214" t="e">
        <f>IF(VLOOKUP(K23,'Train Runs'!$A$13:$V$997,1,TRUE)=K23,VLOOKUP(K23,'Train Runs'!$A$13:$V$997,22,TRUE),NA())</f>
        <v>#N/A</v>
      </c>
      <c r="J23" s="210">
        <f t="shared" si="2"/>
        <v>42801.085416666669</v>
      </c>
      <c r="K23" s="210" t="str">
        <f>D23&amp;"-"&amp;IF(DAY(Variables!$A$2)&lt;10,0,"")&amp;DAY(Variables!$A$2)</f>
        <v>220-18</v>
      </c>
      <c r="L23" s="206" t="e">
        <f>IF(VLOOKUP(K23,'Train Runs'!$A$12:$B$997,1,TRUE)=K23,VLOOKUP(K23,'Train Runs'!$A$12:$B$997,2,TRUE),NA())</f>
        <v>#N/A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383</v>
      </c>
      <c r="C24" s="198" t="s">
        <v>385</v>
      </c>
      <c r="D24" s="212">
        <f>D23+2</f>
        <v>222</v>
      </c>
      <c r="E24" s="30" t="s">
        <v>387</v>
      </c>
      <c r="F24" s="212" t="b">
        <v>1</v>
      </c>
      <c r="G24" s="216" t="e">
        <f t="shared" si="0"/>
        <v>#N/A</v>
      </c>
      <c r="H24" s="218" t="e">
        <f t="shared" si="1"/>
        <v>#N/A</v>
      </c>
      <c r="I24" s="214" t="e">
        <f>IF(VLOOKUP(K24,'Train Runs'!$A$13:$V$997,1,TRUE)=K24,VLOOKUP(K24,'Train Runs'!$A$13:$V$997,22,TRUE),NA())</f>
        <v>#N/A</v>
      </c>
      <c r="J24" s="210">
        <f t="shared" si="2"/>
        <v>42801.104166666664</v>
      </c>
      <c r="K24" s="210" t="str">
        <f>D24&amp;"-"&amp;IF(DAY(Variables!$A$2)&lt;10,0,"")&amp;DAY(Variables!$A$2)</f>
        <v>222-18</v>
      </c>
      <c r="L24" s="206" t="e">
        <f>IF(VLOOKUP(K24,'Train Runs'!$A$12:$B$997,1,TRUE)=K24,VLOOKUP(K24,'Train Runs'!$A$12:$B$997,2,TRUE),NA())</f>
        <v>#N/A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383</v>
      </c>
      <c r="C25" s="198" t="s">
        <v>385</v>
      </c>
      <c r="D25" s="212">
        <f>D24+2</f>
        <v>224</v>
      </c>
      <c r="E25" s="30" t="s">
        <v>387</v>
      </c>
      <c r="F25" s="212" t="b">
        <v>1</v>
      </c>
      <c r="G25" s="216" t="e">
        <f t="shared" si="0"/>
        <v>#N/A</v>
      </c>
      <c r="H25" s="218" t="e">
        <f t="shared" si="1"/>
        <v>#N/A</v>
      </c>
      <c r="I25" s="214" t="e">
        <f>IF(VLOOKUP(K25,'Train Runs'!$A$13:$V$997,1,TRUE)=K25,VLOOKUP(K25,'Train Runs'!$A$13:$V$997,22,TRUE),NA())</f>
        <v>#N/A</v>
      </c>
      <c r="J25" s="210">
        <f t="shared" si="2"/>
        <v>42801.122916666667</v>
      </c>
      <c r="K25" s="210" t="str">
        <f>D25&amp;"-"&amp;IF(DAY(Variables!$A$2)&lt;10,0,"")&amp;DAY(Variables!$A$2)</f>
        <v>224-18</v>
      </c>
      <c r="L25" s="206" t="e">
        <f>IF(VLOOKUP(K25,'Train Runs'!$A$12:$B$997,1,TRUE)=K25,VLOOKUP(K25,'Train Runs'!$A$12:$B$997,2,TRUE),NA())</f>
        <v>#N/A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383</v>
      </c>
      <c r="C26" s="198" t="s">
        <v>385</v>
      </c>
      <c r="D26" s="212">
        <f>D25+2</f>
        <v>226</v>
      </c>
      <c r="E26" s="30" t="s">
        <v>387</v>
      </c>
      <c r="F26" s="212" t="b">
        <v>1</v>
      </c>
      <c r="G26" s="216" t="e">
        <f t="shared" si="0"/>
        <v>#N/A</v>
      </c>
      <c r="H26" s="218" t="e">
        <f t="shared" si="1"/>
        <v>#N/A</v>
      </c>
      <c r="I26" s="214" t="e">
        <f>IF(VLOOKUP(K26,'Train Runs'!$A$13:$V$997,1,TRUE)=K26,VLOOKUP(K26,'Train Runs'!$A$13:$V$997,22,TRUE),NA())</f>
        <v>#N/A</v>
      </c>
      <c r="J26" s="210">
        <f t="shared" si="2"/>
        <v>42801.145138888889</v>
      </c>
      <c r="K26" s="210" t="str">
        <f>D26&amp;"-"&amp;IF(DAY(Variables!$A$2)&lt;10,0,"")&amp;DAY(Variables!$A$2)</f>
        <v>226-18</v>
      </c>
      <c r="L26" s="206" t="e">
        <f>IF(VLOOKUP(K26,'Train Runs'!$A$12:$B$997,1,TRUE)=K26,VLOOKUP(K26,'Train Runs'!$A$12:$B$997,2,TRUE),NA())</f>
        <v>#N/A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383</v>
      </c>
      <c r="C27" s="198" t="s">
        <v>385</v>
      </c>
      <c r="D27" s="212">
        <f t="shared" ref="D27:D33" si="5">D26+2</f>
        <v>228</v>
      </c>
      <c r="E27" s="30" t="s">
        <v>387</v>
      </c>
      <c r="F27" s="212" t="b">
        <v>1</v>
      </c>
      <c r="G27" s="216" t="e">
        <f t="shared" si="0"/>
        <v>#N/A</v>
      </c>
      <c r="H27" s="218" t="e">
        <f t="shared" si="1"/>
        <v>#N/A</v>
      </c>
      <c r="I27" s="214" t="e">
        <f>IF(VLOOKUP(K27,'Train Runs'!$A$13:$V$997,1,TRUE)=K27,VLOOKUP(K27,'Train Runs'!$A$13:$V$997,22,TRUE),NA())</f>
        <v>#N/A</v>
      </c>
      <c r="J27" s="210">
        <f t="shared" si="2"/>
        <v>42801.166666666664</v>
      </c>
      <c r="K27" s="210" t="str">
        <f>D27&amp;"-"&amp;IF(DAY(Variables!$A$2)&lt;10,0,"")&amp;DAY(Variables!$A$2)</f>
        <v>228-18</v>
      </c>
      <c r="L27" s="206" t="e">
        <f>IF(VLOOKUP(K27,'Train Runs'!$A$12:$B$997,1,TRUE)=K27,VLOOKUP(K27,'Train Runs'!$A$12:$B$997,2,TRUE),NA())</f>
        <v>#N/A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383</v>
      </c>
      <c r="C28" s="198" t="s">
        <v>385</v>
      </c>
      <c r="D28" s="212">
        <f t="shared" si="5"/>
        <v>230</v>
      </c>
      <c r="E28" s="30" t="s">
        <v>387</v>
      </c>
      <c r="F28" s="212" t="b">
        <v>1</v>
      </c>
      <c r="G28" s="216" t="e">
        <f t="shared" si="0"/>
        <v>#N/A</v>
      </c>
      <c r="H28" s="218" t="e">
        <f t="shared" si="1"/>
        <v>#N/A</v>
      </c>
      <c r="I28" s="214" t="e">
        <f>IF(VLOOKUP(K28,'Train Runs'!$A$13:$V$997,1,TRUE)=K28,VLOOKUP(K28,'Train Runs'!$A$13:$V$997,22,TRUE),NA())</f>
        <v>#N/A</v>
      </c>
      <c r="J28" s="210">
        <f t="shared" si="2"/>
        <v>42801.189583333333</v>
      </c>
      <c r="K28" s="210" t="str">
        <f>D28&amp;"-"&amp;IF(DAY(Variables!$A$2)&lt;10,0,"")&amp;DAY(Variables!$A$2)</f>
        <v>230-18</v>
      </c>
      <c r="L28" s="206" t="e">
        <f>IF(VLOOKUP(K28,'Train Runs'!$A$12:$B$997,1,TRUE)=K28,VLOOKUP(K28,'Train Runs'!$A$12:$B$997,2,TRUE),NA())</f>
        <v>#N/A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383</v>
      </c>
      <c r="C29" s="198" t="s">
        <v>385</v>
      </c>
      <c r="D29" s="212">
        <f t="shared" si="5"/>
        <v>232</v>
      </c>
      <c r="E29" s="30" t="s">
        <v>387</v>
      </c>
      <c r="F29" s="212" t="b">
        <v>1</v>
      </c>
      <c r="G29" s="216" t="e">
        <f t="shared" si="0"/>
        <v>#N/A</v>
      </c>
      <c r="H29" s="218" t="e">
        <f t="shared" si="1"/>
        <v>#N/A</v>
      </c>
      <c r="I29" s="214" t="e">
        <f>IF(VLOOKUP(K29,'Train Runs'!$A$13:$V$997,1,TRUE)=K29,VLOOKUP(K29,'Train Runs'!$A$13:$V$997,22,TRUE),NA())</f>
        <v>#N/A</v>
      </c>
      <c r="J29" s="210">
        <f t="shared" si="2"/>
        <v>42801.207638888889</v>
      </c>
      <c r="K29" s="210" t="str">
        <f>D29&amp;"-"&amp;IF(DAY(Variables!$A$2)&lt;10,0,"")&amp;DAY(Variables!$A$2)</f>
        <v>232-18</v>
      </c>
      <c r="L29" s="206" t="e">
        <f>IF(VLOOKUP(K29,'Train Runs'!$A$12:$B$997,1,TRUE)=K29,VLOOKUP(K29,'Train Runs'!$A$12:$B$997,2,TRUE),NA())</f>
        <v>#N/A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383</v>
      </c>
      <c r="C30" s="198" t="s">
        <v>385</v>
      </c>
      <c r="D30" s="212">
        <f t="shared" si="5"/>
        <v>234</v>
      </c>
      <c r="E30" s="30" t="s">
        <v>387</v>
      </c>
      <c r="F30" s="212" t="b">
        <v>1</v>
      </c>
      <c r="G30" s="216" t="e">
        <f t="shared" si="0"/>
        <v>#N/A</v>
      </c>
      <c r="H30" s="218" t="e">
        <f t="shared" si="1"/>
        <v>#N/A</v>
      </c>
      <c r="I30" s="214" t="e">
        <f>IF(VLOOKUP(K30,'Train Runs'!$A$13:$V$997,1,TRUE)=K30,VLOOKUP(K30,'Train Runs'!$A$13:$V$997,22,TRUE),NA())</f>
        <v>#N/A</v>
      </c>
      <c r="J30" s="210">
        <f t="shared" si="2"/>
        <v>42801.21875</v>
      </c>
      <c r="K30" s="210" t="str">
        <f>D30&amp;"-"&amp;IF(DAY(Variables!$A$2)&lt;10,0,"")&amp;DAY(Variables!$A$2)</f>
        <v>234-18</v>
      </c>
      <c r="L30" s="206" t="e">
        <f>IF(VLOOKUP(K30,'Train Runs'!$A$12:$B$997,1,TRUE)=K30,VLOOKUP(K30,'Train Runs'!$A$12:$B$997,2,TRUE),NA())</f>
        <v>#N/A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383</v>
      </c>
      <c r="C31" s="198" t="s">
        <v>385</v>
      </c>
      <c r="D31" s="212">
        <f t="shared" si="5"/>
        <v>236</v>
      </c>
      <c r="E31" s="30" t="s">
        <v>387</v>
      </c>
      <c r="F31" s="212" t="b">
        <v>1</v>
      </c>
      <c r="G31" s="216" t="e">
        <f t="shared" si="0"/>
        <v>#N/A</v>
      </c>
      <c r="H31" s="218" t="e">
        <f t="shared" si="1"/>
        <v>#N/A</v>
      </c>
      <c r="I31" s="214" t="e">
        <f>IF(VLOOKUP(K31,'Train Runs'!$A$13:$V$997,1,TRUE)=K31,VLOOKUP(K31,'Train Runs'!$A$13:$V$997,22,TRUE),NA())</f>
        <v>#N/A</v>
      </c>
      <c r="J31" s="210">
        <f t="shared" si="2"/>
        <v>42801.229861111111</v>
      </c>
      <c r="K31" s="210" t="str">
        <f>D31&amp;"-"&amp;IF(DAY(Variables!$A$2)&lt;10,0,"")&amp;DAY(Variables!$A$2)</f>
        <v>236-18</v>
      </c>
      <c r="L31" s="206" t="e">
        <f>IF(VLOOKUP(K31,'Train Runs'!$A$12:$B$997,1,TRUE)=K31,VLOOKUP(K31,'Train Runs'!$A$12:$B$997,2,TRUE),NA())</f>
        <v>#N/A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383</v>
      </c>
      <c r="C32" s="198" t="s">
        <v>385</v>
      </c>
      <c r="D32" s="212">
        <f t="shared" si="5"/>
        <v>238</v>
      </c>
      <c r="E32" s="30" t="s">
        <v>387</v>
      </c>
      <c r="F32" s="212" t="b">
        <v>1</v>
      </c>
      <c r="G32" s="216" t="e">
        <f t="shared" si="0"/>
        <v>#N/A</v>
      </c>
      <c r="H32" s="218" t="e">
        <f t="shared" si="1"/>
        <v>#N/A</v>
      </c>
      <c r="I32" s="214" t="e">
        <f>IF(VLOOKUP(K32,'Train Runs'!$A$13:$V$997,1,TRUE)=K32,VLOOKUP(K32,'Train Runs'!$A$13:$V$997,22,TRUE),NA())</f>
        <v>#N/A</v>
      </c>
      <c r="J32" s="210">
        <f t="shared" si="2"/>
        <v>42801.249305555553</v>
      </c>
      <c r="K32" s="210" t="str">
        <f>D32&amp;"-"&amp;IF(DAY(Variables!$A$2)&lt;10,0,"")&amp;DAY(Variables!$A$2)</f>
        <v>238-18</v>
      </c>
      <c r="L32" s="206" t="e">
        <f>IF(VLOOKUP(K32,'Train Runs'!$A$12:$B$997,1,TRUE)=K32,VLOOKUP(K32,'Train Runs'!$A$12:$B$997,2,TRUE),NA())</f>
        <v>#N/A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383</v>
      </c>
      <c r="C33" s="198" t="s">
        <v>385</v>
      </c>
      <c r="D33" s="212">
        <f t="shared" si="5"/>
        <v>240</v>
      </c>
      <c r="E33" s="30" t="s">
        <v>387</v>
      </c>
      <c r="F33" s="212" t="b">
        <v>1</v>
      </c>
      <c r="G33" s="216" t="e">
        <f t="shared" si="0"/>
        <v>#N/A</v>
      </c>
      <c r="H33" s="218" t="e">
        <f t="shared" si="1"/>
        <v>#N/A</v>
      </c>
      <c r="I33" s="214" t="e">
        <f>IF(VLOOKUP(K33,'Train Runs'!$A$13:$V$997,1,TRUE)=K33,VLOOKUP(K33,'Train Runs'!$A$13:$V$997,22,TRUE),NA())</f>
        <v>#N/A</v>
      </c>
      <c r="J33" s="210">
        <f t="shared" si="2"/>
        <v>42801.272222222222</v>
      </c>
      <c r="K33" s="210" t="str">
        <f>D33&amp;"-"&amp;IF(DAY(Variables!$A$2)&lt;10,0,"")&amp;DAY(Variables!$A$2)</f>
        <v>240-18</v>
      </c>
      <c r="L33" s="206" t="e">
        <f>IF(VLOOKUP(K33,'Train Runs'!$A$12:$B$997,1,TRUE)=K33,VLOOKUP(K33,'Train Runs'!$A$12:$B$997,2,TRUE),NA())</f>
        <v>#N/A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383</v>
      </c>
      <c r="C34" s="198" t="s">
        <v>385</v>
      </c>
      <c r="D34" s="212">
        <v>240</v>
      </c>
      <c r="E34" s="30" t="s">
        <v>387</v>
      </c>
      <c r="F34" s="212" t="b">
        <v>1</v>
      </c>
      <c r="G34" s="216" t="e">
        <f t="shared" si="0"/>
        <v>#N/A</v>
      </c>
      <c r="H34" s="218" t="e">
        <f t="shared" si="1"/>
        <v>#N/A</v>
      </c>
      <c r="I34" s="214" t="e">
        <f>IF(VLOOKUP(K34,'Train Runs'!$A$13:$V$997,1,TRUE)=K34,VLOOKUP(K34,'Train Runs'!$A$13:$V$997,22,TRUE),NA())</f>
        <v>#N/A</v>
      </c>
      <c r="J34" s="210">
        <f t="shared" si="2"/>
        <v>42801.290277777778</v>
      </c>
      <c r="K34" s="210" t="str">
        <f>D34&amp;"-"&amp;IF(DAY(Variables!$A$2)&lt;10,0,"")&amp;DAY(Variables!$A$2)</f>
        <v>240-18</v>
      </c>
      <c r="L34" s="206" t="e">
        <f>IF(VLOOKUP(K34,'Train Runs'!$A$12:$B$997,1,TRUE)=K34,VLOOKUP(K34,'Train Runs'!$A$12:$B$997,2,TRUE),NA())</f>
        <v>#N/A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383</v>
      </c>
      <c r="C35" s="198" t="s">
        <v>385</v>
      </c>
      <c r="D35" s="212">
        <v>242</v>
      </c>
      <c r="E35" s="30" t="s">
        <v>387</v>
      </c>
      <c r="F35" s="212" t="b">
        <v>1</v>
      </c>
      <c r="G35" s="216" t="e">
        <f t="shared" si="0"/>
        <v>#N/A</v>
      </c>
      <c r="H35" s="218" t="e">
        <f t="shared" si="1"/>
        <v>#N/A</v>
      </c>
      <c r="I35" s="214" t="e">
        <f>IF(VLOOKUP(K35,'Train Runs'!$A$13:$V$997,1,TRUE)=K35,VLOOKUP(K35,'Train Runs'!$A$13:$V$997,22,TRUE),NA())</f>
        <v>#N/A</v>
      </c>
      <c r="J35" s="210">
        <f t="shared" si="2"/>
        <v>42801.311805555553</v>
      </c>
      <c r="K35" s="210" t="str">
        <f>D35&amp;"-"&amp;IF(DAY(Variables!$A$2)&lt;10,0,"")&amp;DAY(Variables!$A$2)</f>
        <v>242-18</v>
      </c>
      <c r="L35" s="206" t="e">
        <f>IF(VLOOKUP(K35,'Train Runs'!$A$12:$B$997,1,TRUE)=K35,VLOOKUP(K35,'Train Runs'!$A$12:$B$997,2,TRUE),NA())</f>
        <v>#N/A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9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42812.039085648146</v>
      </c>
      <c r="B2" s="20" t="s">
        <v>407</v>
      </c>
      <c r="C2" s="20" t="s">
        <v>515</v>
      </c>
      <c r="D2" s="150">
        <v>2270000</v>
      </c>
      <c r="E2" s="20" t="s">
        <v>210</v>
      </c>
      <c r="F2" s="20" t="s">
        <v>211</v>
      </c>
      <c r="G2" s="8" t="str">
        <f>E2&amp;" "&amp;F2</f>
        <v>BROWN JACOB</v>
      </c>
    </row>
    <row r="3" spans="1:7" x14ac:dyDescent="0.25">
      <c r="A3" s="8">
        <v>42812.050196759257</v>
      </c>
      <c r="B3" s="20" t="s">
        <v>503</v>
      </c>
      <c r="C3" s="20" t="s">
        <v>516</v>
      </c>
      <c r="D3" s="150">
        <v>3020000</v>
      </c>
      <c r="E3" s="20" t="s">
        <v>446</v>
      </c>
      <c r="F3" s="20" t="s">
        <v>447</v>
      </c>
      <c r="G3" s="8" t="str">
        <f t="shared" ref="G3:G66" si="0">E3&amp;" "&amp;F3</f>
        <v>MENGES BRAD</v>
      </c>
    </row>
    <row r="4" spans="1:7" x14ac:dyDescent="0.25">
      <c r="A4" s="8">
        <v>42812.054884259262</v>
      </c>
      <c r="B4" s="20" t="s">
        <v>433</v>
      </c>
      <c r="C4" s="20" t="s">
        <v>517</v>
      </c>
      <c r="D4" s="150">
        <v>2150000</v>
      </c>
      <c r="E4" s="20" t="s">
        <v>398</v>
      </c>
      <c r="F4" s="20" t="s">
        <v>399</v>
      </c>
      <c r="G4" s="8" t="str">
        <f t="shared" si="0"/>
        <v>SWANSON BRYCE</v>
      </c>
    </row>
    <row r="5" spans="1:7" x14ac:dyDescent="0.25">
      <c r="A5" s="8">
        <v>42812.062650462962</v>
      </c>
      <c r="B5" s="20" t="s">
        <v>432</v>
      </c>
      <c r="C5" s="20" t="s">
        <v>512</v>
      </c>
      <c r="D5" s="150">
        <v>2610000</v>
      </c>
      <c r="E5" s="20" t="s">
        <v>513</v>
      </c>
      <c r="F5" s="20" t="s">
        <v>514</v>
      </c>
      <c r="G5" s="8" t="str">
        <f t="shared" si="0"/>
        <v>MAGEE KENYA</v>
      </c>
    </row>
    <row r="6" spans="1:7" x14ac:dyDescent="0.25">
      <c r="A6" s="8">
        <v>42812.068206018521</v>
      </c>
      <c r="B6" s="20" t="s">
        <v>231</v>
      </c>
      <c r="C6" s="20" t="s">
        <v>518</v>
      </c>
      <c r="D6" s="150">
        <v>2000000</v>
      </c>
      <c r="E6" s="20" t="s">
        <v>411</v>
      </c>
      <c r="F6" s="20" t="s">
        <v>195</v>
      </c>
      <c r="G6" s="8" t="str">
        <f t="shared" si="0"/>
        <v>STAMBAUGH JAMES</v>
      </c>
    </row>
    <row r="7" spans="1:7" x14ac:dyDescent="0.25">
      <c r="A7" s="8">
        <v>42812.077222222222</v>
      </c>
      <c r="B7" s="20" t="s">
        <v>408</v>
      </c>
      <c r="C7" s="20" t="s">
        <v>519</v>
      </c>
      <c r="D7" s="150">
        <v>2270000</v>
      </c>
      <c r="E7" s="20" t="s">
        <v>210</v>
      </c>
      <c r="F7" s="20" t="s">
        <v>211</v>
      </c>
      <c r="G7" s="8" t="str">
        <f t="shared" si="0"/>
        <v>BROWN JACOB</v>
      </c>
    </row>
    <row r="8" spans="1:7" x14ac:dyDescent="0.25">
      <c r="A8" s="8">
        <v>42812.081041666665</v>
      </c>
      <c r="B8" s="20" t="s">
        <v>431</v>
      </c>
      <c r="C8" s="20" t="s">
        <v>512</v>
      </c>
      <c r="D8" s="150">
        <v>2610000</v>
      </c>
      <c r="E8" s="20" t="s">
        <v>513</v>
      </c>
      <c r="F8" s="20" t="s">
        <v>514</v>
      </c>
      <c r="G8" s="8" t="str">
        <f t="shared" si="0"/>
        <v>MAGEE KENYA</v>
      </c>
    </row>
    <row r="9" spans="1:7" ht="15.75" thickBot="1" x14ac:dyDescent="0.3">
      <c r="A9" s="24">
        <v>42812.092881944445</v>
      </c>
      <c r="B9" s="20" t="s">
        <v>437</v>
      </c>
      <c r="C9" s="20" t="s">
        <v>520</v>
      </c>
      <c r="D9" s="150">
        <v>2150000</v>
      </c>
      <c r="E9" s="20" t="s">
        <v>398</v>
      </c>
      <c r="F9" s="20" t="s">
        <v>399</v>
      </c>
      <c r="G9" s="8" t="str">
        <f t="shared" si="0"/>
        <v>SWANSON BRYCE</v>
      </c>
    </row>
    <row r="10" spans="1:7" x14ac:dyDescent="0.25">
      <c r="A10" s="8">
        <v>42812.096770833334</v>
      </c>
      <c r="B10" s="20" t="s">
        <v>432</v>
      </c>
      <c r="C10" s="20" t="s">
        <v>512</v>
      </c>
      <c r="D10" s="150">
        <v>2610000</v>
      </c>
      <c r="E10" s="20" t="s">
        <v>513</v>
      </c>
      <c r="F10" s="20" t="s">
        <v>514</v>
      </c>
      <c r="G10" s="8" t="str">
        <f t="shared" si="0"/>
        <v>MAGEE KENYA</v>
      </c>
    </row>
    <row r="11" spans="1:7" x14ac:dyDescent="0.25">
      <c r="A11" s="8">
        <v>42812.113379629627</v>
      </c>
      <c r="B11" s="20" t="s">
        <v>431</v>
      </c>
      <c r="C11" s="20" t="s">
        <v>512</v>
      </c>
      <c r="D11" s="150">
        <v>2610000</v>
      </c>
      <c r="E11" s="20" t="s">
        <v>513</v>
      </c>
      <c r="F11" s="20" t="s">
        <v>514</v>
      </c>
      <c r="G11" s="8" t="str">
        <f t="shared" si="0"/>
        <v>MAGEE KENYA</v>
      </c>
    </row>
    <row r="12" spans="1:7" x14ac:dyDescent="0.25">
      <c r="A12" s="8">
        <v>42812.114675925928</v>
      </c>
      <c r="B12" s="20" t="s">
        <v>407</v>
      </c>
      <c r="C12" s="20" t="s">
        <v>598</v>
      </c>
      <c r="D12" s="150">
        <v>2270000</v>
      </c>
      <c r="E12" s="20" t="s">
        <v>210</v>
      </c>
      <c r="F12" s="20" t="s">
        <v>211</v>
      </c>
      <c r="G12" s="8" t="str">
        <f t="shared" si="0"/>
        <v>BROWN JACOB</v>
      </c>
    </row>
    <row r="13" spans="1:7" x14ac:dyDescent="0.25">
      <c r="A13" s="8">
        <v>42812.115960648145</v>
      </c>
      <c r="B13" s="20" t="s">
        <v>201</v>
      </c>
      <c r="C13" s="20" t="s">
        <v>599</v>
      </c>
      <c r="D13" s="150">
        <v>2550000</v>
      </c>
      <c r="E13" s="20" t="s">
        <v>425</v>
      </c>
      <c r="F13" s="20" t="s">
        <v>426</v>
      </c>
      <c r="G13" s="8" t="str">
        <f t="shared" si="0"/>
        <v>BADERTSCHER DIANE</v>
      </c>
    </row>
    <row r="14" spans="1:7" x14ac:dyDescent="0.25">
      <c r="A14" s="8">
        <v>42812.117835648147</v>
      </c>
      <c r="B14" s="20" t="s">
        <v>201</v>
      </c>
      <c r="C14" s="20" t="s">
        <v>599</v>
      </c>
      <c r="D14" s="150">
        <v>2550000</v>
      </c>
      <c r="E14" s="20" t="s">
        <v>425</v>
      </c>
      <c r="F14" s="20" t="s">
        <v>426</v>
      </c>
      <c r="G14" s="8" t="str">
        <f t="shared" si="0"/>
        <v>BADERTSCHER DIANE</v>
      </c>
    </row>
    <row r="15" spans="1:7" x14ac:dyDescent="0.25">
      <c r="A15" s="8">
        <v>42812.122303240743</v>
      </c>
      <c r="B15" s="20" t="s">
        <v>432</v>
      </c>
      <c r="C15" s="20" t="s">
        <v>512</v>
      </c>
      <c r="D15" s="150">
        <v>2610000</v>
      </c>
      <c r="E15" s="20" t="s">
        <v>513</v>
      </c>
      <c r="F15" s="20" t="s">
        <v>514</v>
      </c>
      <c r="G15" s="8" t="str">
        <f t="shared" si="0"/>
        <v>MAGEE KENYA</v>
      </c>
    </row>
    <row r="16" spans="1:7" x14ac:dyDescent="0.25">
      <c r="A16" s="8">
        <v>42812.123240740744</v>
      </c>
      <c r="B16" s="20" t="s">
        <v>432</v>
      </c>
      <c r="C16" s="20" t="s">
        <v>512</v>
      </c>
      <c r="D16" s="150">
        <v>2610000</v>
      </c>
      <c r="E16" s="20" t="s">
        <v>513</v>
      </c>
      <c r="F16" s="20" t="s">
        <v>514</v>
      </c>
      <c r="G16" s="8" t="str">
        <f t="shared" si="0"/>
        <v>MAGEE KENYA</v>
      </c>
    </row>
    <row r="17" spans="1:7" x14ac:dyDescent="0.25">
      <c r="A17" s="8">
        <v>42812.131481481483</v>
      </c>
      <c r="B17" s="20" t="s">
        <v>499</v>
      </c>
      <c r="C17" s="20" t="s">
        <v>600</v>
      </c>
      <c r="D17" s="150">
        <v>2550000</v>
      </c>
      <c r="E17" s="20" t="s">
        <v>425</v>
      </c>
      <c r="F17" s="20" t="s">
        <v>426</v>
      </c>
      <c r="G17" s="8" t="str">
        <f t="shared" si="0"/>
        <v>BADERTSCHER DIANE</v>
      </c>
    </row>
    <row r="18" spans="1:7" x14ac:dyDescent="0.25">
      <c r="A18" s="8">
        <v>42812.132719907408</v>
      </c>
      <c r="B18" s="20" t="s">
        <v>499</v>
      </c>
      <c r="C18" s="20" t="s">
        <v>600</v>
      </c>
      <c r="D18" s="150">
        <v>2550000</v>
      </c>
      <c r="E18" s="20" t="s">
        <v>425</v>
      </c>
      <c r="F18" s="20" t="s">
        <v>426</v>
      </c>
      <c r="G18" s="8" t="str">
        <f t="shared" si="0"/>
        <v>BADERTSCHER DIANE</v>
      </c>
    </row>
    <row r="19" spans="1:7" x14ac:dyDescent="0.25">
      <c r="A19" s="8">
        <v>42812.136319444442</v>
      </c>
      <c r="B19" s="20" t="s">
        <v>424</v>
      </c>
      <c r="C19" s="20" t="s">
        <v>601</v>
      </c>
      <c r="D19" s="150">
        <v>2140000</v>
      </c>
      <c r="E19" s="20" t="s">
        <v>460</v>
      </c>
      <c r="F19" s="20" t="s">
        <v>461</v>
      </c>
      <c r="G19" s="8" t="str">
        <f t="shared" si="0"/>
        <v>ROBINSON KADDIBA</v>
      </c>
    </row>
    <row r="20" spans="1:7" x14ac:dyDescent="0.25">
      <c r="A20" s="8">
        <v>42812.13721064815</v>
      </c>
      <c r="B20" s="20" t="s">
        <v>424</v>
      </c>
      <c r="C20" s="20" t="s">
        <v>601</v>
      </c>
      <c r="D20" s="150">
        <v>2140000</v>
      </c>
      <c r="E20" s="20" t="s">
        <v>460</v>
      </c>
      <c r="F20" s="20" t="s">
        <v>461</v>
      </c>
      <c r="G20" s="8" t="str">
        <f t="shared" si="0"/>
        <v>ROBINSON KADDIBA</v>
      </c>
    </row>
    <row r="21" spans="1:7" x14ac:dyDescent="0.25">
      <c r="A21" s="8">
        <v>42812.137858796297</v>
      </c>
      <c r="B21" s="20" t="s">
        <v>424</v>
      </c>
      <c r="C21" s="20" t="s">
        <v>601</v>
      </c>
      <c r="D21" s="150">
        <v>2140000</v>
      </c>
      <c r="E21" s="20" t="s">
        <v>460</v>
      </c>
      <c r="F21" s="20" t="s">
        <v>461</v>
      </c>
      <c r="G21" s="8" t="str">
        <f t="shared" si="0"/>
        <v>ROBINSON KADDIBA</v>
      </c>
    </row>
    <row r="22" spans="1:7" x14ac:dyDescent="0.25">
      <c r="A22" s="26">
        <v>42812.138773148145</v>
      </c>
      <c r="B22" s="20" t="s">
        <v>424</v>
      </c>
      <c r="C22" s="20" t="s">
        <v>601</v>
      </c>
      <c r="D22" s="150">
        <v>2140000</v>
      </c>
      <c r="E22" s="20" t="s">
        <v>460</v>
      </c>
      <c r="F22" s="20" t="s">
        <v>461</v>
      </c>
      <c r="G22" s="8" t="str">
        <f t="shared" si="0"/>
        <v>ROBINSON KADDIBA</v>
      </c>
    </row>
    <row r="23" spans="1:7" x14ac:dyDescent="0.25">
      <c r="A23" s="8">
        <v>42812.13994212963</v>
      </c>
      <c r="B23" s="20" t="s">
        <v>424</v>
      </c>
      <c r="C23" s="20" t="s">
        <v>601</v>
      </c>
      <c r="D23" s="150">
        <v>2140000</v>
      </c>
      <c r="E23" s="20" t="s">
        <v>460</v>
      </c>
      <c r="F23" s="20" t="s">
        <v>461</v>
      </c>
      <c r="G23" s="8" t="str">
        <f t="shared" si="0"/>
        <v>ROBINSON KADDIBA</v>
      </c>
    </row>
    <row r="24" spans="1:7" x14ac:dyDescent="0.25">
      <c r="A24" s="8">
        <v>42812.140601851854</v>
      </c>
      <c r="B24" s="20" t="s">
        <v>432</v>
      </c>
      <c r="C24" s="20" t="s">
        <v>512</v>
      </c>
      <c r="D24" s="150">
        <v>2610000</v>
      </c>
      <c r="E24" s="20" t="s">
        <v>513</v>
      </c>
      <c r="F24" s="20" t="s">
        <v>514</v>
      </c>
      <c r="G24" s="8" t="str">
        <f t="shared" si="0"/>
        <v>MAGEE KENYA</v>
      </c>
    </row>
    <row r="25" spans="1:7" x14ac:dyDescent="0.25">
      <c r="A25" s="8">
        <v>42812.143564814818</v>
      </c>
      <c r="B25" s="20" t="s">
        <v>431</v>
      </c>
      <c r="C25" s="20" t="s">
        <v>512</v>
      </c>
      <c r="D25" s="150">
        <v>2610000</v>
      </c>
      <c r="E25" s="20" t="s">
        <v>513</v>
      </c>
      <c r="F25" s="20" t="s">
        <v>514</v>
      </c>
      <c r="G25" s="8" t="str">
        <f t="shared" si="0"/>
        <v>MAGEE KENYA</v>
      </c>
    </row>
    <row r="26" spans="1:7" x14ac:dyDescent="0.25">
      <c r="A26" s="8">
        <v>42812.145150462966</v>
      </c>
      <c r="B26" s="20" t="s">
        <v>432</v>
      </c>
      <c r="C26" s="20" t="s">
        <v>512</v>
      </c>
      <c r="D26" s="150">
        <v>2610000</v>
      </c>
      <c r="E26" s="20" t="s">
        <v>513</v>
      </c>
      <c r="F26" s="20" t="s">
        <v>514</v>
      </c>
      <c r="G26" s="8" t="str">
        <f t="shared" si="0"/>
        <v>MAGEE KENYA</v>
      </c>
    </row>
    <row r="27" spans="1:7" x14ac:dyDescent="0.25">
      <c r="A27" s="8">
        <v>42812.150231481479</v>
      </c>
      <c r="B27" s="20" t="s">
        <v>431</v>
      </c>
      <c r="C27" s="20" t="s">
        <v>512</v>
      </c>
      <c r="D27" s="150">
        <v>2610000</v>
      </c>
      <c r="E27" s="20" t="s">
        <v>513</v>
      </c>
      <c r="F27" s="20" t="s">
        <v>514</v>
      </c>
      <c r="G27" s="8" t="str">
        <f t="shared" si="0"/>
        <v>MAGEE KENYA</v>
      </c>
    </row>
    <row r="28" spans="1:7" x14ac:dyDescent="0.25">
      <c r="A28" s="8">
        <v>42812.150949074072</v>
      </c>
      <c r="B28" s="20" t="s">
        <v>365</v>
      </c>
      <c r="C28" s="20" t="s">
        <v>602</v>
      </c>
      <c r="D28" s="150">
        <v>2140000</v>
      </c>
      <c r="E28" s="20" t="s">
        <v>460</v>
      </c>
      <c r="F28" s="20" t="s">
        <v>461</v>
      </c>
      <c r="G28" s="8" t="str">
        <f t="shared" si="0"/>
        <v>ROBINSON KADDIBA</v>
      </c>
    </row>
    <row r="29" spans="1:7" x14ac:dyDescent="0.25">
      <c r="A29" s="8">
        <v>42812.151608796295</v>
      </c>
      <c r="B29" s="20" t="s">
        <v>431</v>
      </c>
      <c r="C29" s="20" t="s">
        <v>512</v>
      </c>
      <c r="D29" s="150">
        <v>2610000</v>
      </c>
      <c r="E29" s="20" t="s">
        <v>513</v>
      </c>
      <c r="F29" s="20" t="s">
        <v>514</v>
      </c>
      <c r="G29" s="8" t="str">
        <f t="shared" si="0"/>
        <v>MAGEE KENYA</v>
      </c>
    </row>
    <row r="30" spans="1:7" x14ac:dyDescent="0.25">
      <c r="A30" s="8">
        <v>42812.152303240742</v>
      </c>
      <c r="B30" s="20" t="s">
        <v>365</v>
      </c>
      <c r="C30" s="20" t="s">
        <v>602</v>
      </c>
      <c r="D30" s="150">
        <v>2140000</v>
      </c>
      <c r="E30" s="20" t="s">
        <v>460</v>
      </c>
      <c r="F30" s="20" t="s">
        <v>461</v>
      </c>
      <c r="G30" s="8" t="str">
        <f t="shared" si="0"/>
        <v>ROBINSON KADDIBA</v>
      </c>
    </row>
    <row r="31" spans="1:7" x14ac:dyDescent="0.25">
      <c r="A31" s="8">
        <v>42812.159328703703</v>
      </c>
      <c r="B31" s="20" t="s">
        <v>420</v>
      </c>
      <c r="C31" s="20" t="s">
        <v>603</v>
      </c>
      <c r="D31" s="150">
        <v>1780000</v>
      </c>
      <c r="E31" s="20" t="s">
        <v>444</v>
      </c>
      <c r="F31" s="20" t="s">
        <v>445</v>
      </c>
      <c r="G31" s="8" t="str">
        <f t="shared" si="0"/>
        <v>DE LA ROSA ALEX</v>
      </c>
    </row>
    <row r="32" spans="1:7" x14ac:dyDescent="0.25">
      <c r="A32" s="8">
        <v>42812.169791666667</v>
      </c>
      <c r="B32" s="20" t="s">
        <v>410</v>
      </c>
      <c r="C32" s="20" t="s">
        <v>604</v>
      </c>
      <c r="D32" s="150">
        <v>1780000</v>
      </c>
      <c r="E32" s="20" t="s">
        <v>444</v>
      </c>
      <c r="F32" s="20" t="s">
        <v>445</v>
      </c>
      <c r="G32" s="8" t="str">
        <f t="shared" si="0"/>
        <v>DE LA ROSA ALEX</v>
      </c>
    </row>
    <row r="33" spans="1:7" x14ac:dyDescent="0.25">
      <c r="A33" s="8">
        <v>42812.170717592591</v>
      </c>
      <c r="B33" s="20" t="s">
        <v>201</v>
      </c>
      <c r="C33" s="20" t="s">
        <v>566</v>
      </c>
      <c r="D33" s="150">
        <v>2550000</v>
      </c>
      <c r="E33" s="20" t="s">
        <v>425</v>
      </c>
      <c r="F33" s="20" t="s">
        <v>426</v>
      </c>
      <c r="G33" s="8" t="str">
        <f t="shared" si="0"/>
        <v>BADERTSCHER DIANE</v>
      </c>
    </row>
    <row r="34" spans="1:7" x14ac:dyDescent="0.25">
      <c r="A34" s="8">
        <v>42812.173495370371</v>
      </c>
      <c r="B34" s="20" t="s">
        <v>502</v>
      </c>
      <c r="C34" s="20" t="s">
        <v>605</v>
      </c>
      <c r="D34" s="150">
        <v>1990000</v>
      </c>
      <c r="E34" s="20" t="s">
        <v>606</v>
      </c>
      <c r="F34" s="20" t="s">
        <v>607</v>
      </c>
      <c r="G34" s="8" t="str">
        <f t="shared" si="0"/>
        <v>DAVIS WENDY</v>
      </c>
    </row>
    <row r="35" spans="1:7" x14ac:dyDescent="0.25">
      <c r="A35" s="8">
        <v>42812.183877314812</v>
      </c>
      <c r="B35" s="20" t="s">
        <v>458</v>
      </c>
      <c r="C35" s="20" t="s">
        <v>608</v>
      </c>
      <c r="D35" s="150">
        <v>1360000</v>
      </c>
      <c r="E35" s="20" t="s">
        <v>609</v>
      </c>
      <c r="F35" s="20" t="s">
        <v>610</v>
      </c>
      <c r="G35" s="8" t="str">
        <f t="shared" si="0"/>
        <v>SANTIZO D. EDY</v>
      </c>
    </row>
    <row r="36" spans="1:7" x14ac:dyDescent="0.25">
      <c r="A36" s="8">
        <v>42812.184965277775</v>
      </c>
      <c r="B36" s="20" t="s">
        <v>505</v>
      </c>
      <c r="C36" s="20" t="s">
        <v>611</v>
      </c>
      <c r="D36" s="150">
        <v>1990000</v>
      </c>
      <c r="E36" s="20" t="s">
        <v>606</v>
      </c>
      <c r="F36" s="20" t="s">
        <v>607</v>
      </c>
      <c r="G36" s="8" t="str">
        <f t="shared" si="0"/>
        <v>DAVIS WENDY</v>
      </c>
    </row>
    <row r="37" spans="1:7" x14ac:dyDescent="0.25">
      <c r="A37" s="8">
        <v>42812.189826388887</v>
      </c>
      <c r="B37" s="20" t="s">
        <v>424</v>
      </c>
      <c r="C37" s="20" t="s">
        <v>612</v>
      </c>
      <c r="D37" s="150">
        <v>2140000</v>
      </c>
      <c r="E37" s="20" t="s">
        <v>460</v>
      </c>
      <c r="F37" s="20" t="s">
        <v>461</v>
      </c>
      <c r="G37" s="8" t="str">
        <f t="shared" si="0"/>
        <v>ROBINSON KADDIBA</v>
      </c>
    </row>
    <row r="38" spans="1:7" x14ac:dyDescent="0.25">
      <c r="A38" s="8">
        <v>42812.190925925926</v>
      </c>
      <c r="B38" s="20" t="s">
        <v>424</v>
      </c>
      <c r="C38" s="20" t="s">
        <v>612</v>
      </c>
      <c r="D38" s="150">
        <v>2140000</v>
      </c>
      <c r="E38" s="20" t="s">
        <v>460</v>
      </c>
      <c r="F38" s="20" t="s">
        <v>461</v>
      </c>
      <c r="G38" s="8" t="str">
        <f t="shared" si="0"/>
        <v>ROBINSON KADDIBA</v>
      </c>
    </row>
    <row r="39" spans="1:7" x14ac:dyDescent="0.25">
      <c r="A39" s="8">
        <v>42812.194027777776</v>
      </c>
      <c r="B39" s="20" t="s">
        <v>467</v>
      </c>
      <c r="C39" s="20" t="s">
        <v>613</v>
      </c>
      <c r="D39" s="150">
        <v>1360000</v>
      </c>
      <c r="E39" s="20" t="s">
        <v>609</v>
      </c>
      <c r="F39" s="20" t="s">
        <v>610</v>
      </c>
      <c r="G39" s="8" t="str">
        <f t="shared" si="0"/>
        <v>SANTIZO D. EDY</v>
      </c>
    </row>
    <row r="40" spans="1:7" x14ac:dyDescent="0.25">
      <c r="A40" s="8">
        <v>42812.208067129628</v>
      </c>
      <c r="B40" s="25" t="s">
        <v>420</v>
      </c>
      <c r="C40" s="20" t="s">
        <v>614</v>
      </c>
      <c r="D40" s="150">
        <v>1780000</v>
      </c>
      <c r="E40" s="20" t="s">
        <v>444</v>
      </c>
      <c r="F40" s="20" t="s">
        <v>445</v>
      </c>
      <c r="G40" s="8" t="str">
        <f t="shared" si="0"/>
        <v>DE LA ROSA ALEX</v>
      </c>
    </row>
    <row r="41" spans="1:7" x14ac:dyDescent="0.25">
      <c r="A41" s="8">
        <v>42812.208402777775</v>
      </c>
      <c r="B41" s="20" t="s">
        <v>499</v>
      </c>
      <c r="C41" s="20" t="s">
        <v>615</v>
      </c>
      <c r="D41" s="150">
        <v>890000</v>
      </c>
      <c r="E41" s="20" t="s">
        <v>422</v>
      </c>
      <c r="F41" s="20" t="s">
        <v>423</v>
      </c>
      <c r="G41" s="8" t="str">
        <f t="shared" si="0"/>
        <v>LOZA FIDEL</v>
      </c>
    </row>
    <row r="42" spans="1:7" x14ac:dyDescent="0.25">
      <c r="A42" s="8">
        <v>42812.209143518521</v>
      </c>
      <c r="B42" s="20" t="s">
        <v>420</v>
      </c>
      <c r="C42" s="20" t="s">
        <v>614</v>
      </c>
      <c r="D42" s="150">
        <v>1780000</v>
      </c>
      <c r="E42" s="20" t="s">
        <v>444</v>
      </c>
      <c r="F42" s="20" t="s">
        <v>445</v>
      </c>
      <c r="G42" s="8" t="str">
        <f t="shared" si="0"/>
        <v>DE LA ROSA ALEX</v>
      </c>
    </row>
    <row r="43" spans="1:7" x14ac:dyDescent="0.25">
      <c r="A43" s="8">
        <v>42812.2109837963</v>
      </c>
      <c r="B43" s="20" t="s">
        <v>420</v>
      </c>
      <c r="C43" s="20" t="s">
        <v>614</v>
      </c>
      <c r="D43" s="150">
        <v>1780000</v>
      </c>
      <c r="E43" s="20" t="s">
        <v>444</v>
      </c>
      <c r="F43" s="20" t="s">
        <v>445</v>
      </c>
      <c r="G43" s="8" t="str">
        <f t="shared" si="0"/>
        <v>DE LA ROSA ALEX</v>
      </c>
    </row>
    <row r="44" spans="1:7" x14ac:dyDescent="0.25">
      <c r="A44" s="8">
        <v>42812.213865740741</v>
      </c>
      <c r="B44" s="20" t="s">
        <v>575</v>
      </c>
      <c r="C44" s="20" t="s">
        <v>616</v>
      </c>
      <c r="D44" s="150">
        <v>2550000</v>
      </c>
      <c r="E44" s="20" t="s">
        <v>425</v>
      </c>
      <c r="F44" s="20" t="s">
        <v>426</v>
      </c>
      <c r="G44" s="8" t="str">
        <f t="shared" si="0"/>
        <v>BADERTSCHER DIANE</v>
      </c>
    </row>
    <row r="45" spans="1:7" x14ac:dyDescent="0.25">
      <c r="A45" s="8">
        <v>42812.221747685187</v>
      </c>
      <c r="B45" s="20" t="s">
        <v>462</v>
      </c>
      <c r="C45" s="20" t="s">
        <v>617</v>
      </c>
      <c r="D45" s="150">
        <v>2020000</v>
      </c>
      <c r="E45" s="20" t="s">
        <v>463</v>
      </c>
      <c r="F45" s="20" t="s">
        <v>436</v>
      </c>
      <c r="G45" s="8" t="str">
        <f t="shared" si="0"/>
        <v>SHOOK JOHN</v>
      </c>
    </row>
    <row r="46" spans="1:7" x14ac:dyDescent="0.25">
      <c r="A46" s="8">
        <v>42812.223738425928</v>
      </c>
      <c r="B46" s="20" t="s">
        <v>502</v>
      </c>
      <c r="C46" s="20" t="s">
        <v>618</v>
      </c>
      <c r="D46" s="150">
        <v>1990000</v>
      </c>
      <c r="E46" s="20" t="s">
        <v>606</v>
      </c>
      <c r="F46" s="20" t="s">
        <v>607</v>
      </c>
      <c r="G46" s="8" t="str">
        <f t="shared" si="0"/>
        <v>DAVIS WENDY</v>
      </c>
    </row>
    <row r="47" spans="1:7" x14ac:dyDescent="0.25">
      <c r="A47" s="8">
        <v>42812.225428240738</v>
      </c>
      <c r="B47" s="20" t="s">
        <v>458</v>
      </c>
      <c r="C47" s="20" t="s">
        <v>619</v>
      </c>
      <c r="D47" s="150">
        <v>1360000</v>
      </c>
      <c r="E47" s="20" t="s">
        <v>609</v>
      </c>
      <c r="F47" s="20" t="s">
        <v>610</v>
      </c>
      <c r="G47" s="8" t="str">
        <f t="shared" si="0"/>
        <v>SANTIZO D. EDY</v>
      </c>
    </row>
    <row r="48" spans="1:7" x14ac:dyDescent="0.25">
      <c r="A48" s="8">
        <v>42812.226122685184</v>
      </c>
      <c r="B48" s="20" t="s">
        <v>365</v>
      </c>
      <c r="C48" s="20" t="s">
        <v>620</v>
      </c>
      <c r="D48" s="150">
        <v>1100000</v>
      </c>
      <c r="E48" s="20" t="s">
        <v>434</v>
      </c>
      <c r="F48" s="20" t="s">
        <v>435</v>
      </c>
      <c r="G48" s="8" t="str">
        <f t="shared" si="0"/>
        <v>GEBRETEKLE DAGNEW</v>
      </c>
    </row>
    <row r="49" spans="1:7" x14ac:dyDescent="0.25">
      <c r="A49" s="8">
        <v>42812.234201388892</v>
      </c>
      <c r="B49" s="20" t="s">
        <v>371</v>
      </c>
      <c r="C49" s="20" t="s">
        <v>621</v>
      </c>
      <c r="D49" s="150">
        <v>2140000</v>
      </c>
      <c r="E49" s="20" t="s">
        <v>460</v>
      </c>
      <c r="F49" s="20" t="s">
        <v>461</v>
      </c>
      <c r="G49" s="8" t="str">
        <f t="shared" si="0"/>
        <v>ROBINSON KADDIBA</v>
      </c>
    </row>
    <row r="50" spans="1:7" x14ac:dyDescent="0.25">
      <c r="A50" s="8">
        <v>42812.235636574071</v>
      </c>
      <c r="B50" s="20" t="s">
        <v>459</v>
      </c>
      <c r="C50" s="20" t="s">
        <v>622</v>
      </c>
      <c r="D50" s="150">
        <v>2020000</v>
      </c>
      <c r="E50" s="20" t="s">
        <v>463</v>
      </c>
      <c r="F50" s="20" t="s">
        <v>436</v>
      </c>
      <c r="G50" s="8" t="str">
        <f t="shared" si="0"/>
        <v>SHOOK JOHN</v>
      </c>
    </row>
    <row r="51" spans="1:7" x14ac:dyDescent="0.25">
      <c r="A51" s="8">
        <v>42812.246608796297</v>
      </c>
      <c r="B51" s="20" t="s">
        <v>500</v>
      </c>
      <c r="C51" s="20" t="s">
        <v>623</v>
      </c>
      <c r="D51" s="150">
        <v>890000</v>
      </c>
      <c r="E51" s="20" t="s">
        <v>422</v>
      </c>
      <c r="F51" s="20" t="s">
        <v>423</v>
      </c>
      <c r="G51" s="8" t="str">
        <f t="shared" si="0"/>
        <v>LOZA FIDEL</v>
      </c>
    </row>
    <row r="52" spans="1:7" x14ac:dyDescent="0.25">
      <c r="A52" s="8">
        <v>42812.246921296297</v>
      </c>
      <c r="B52" s="20" t="s">
        <v>410</v>
      </c>
      <c r="C52" s="20" t="s">
        <v>624</v>
      </c>
      <c r="D52" s="150">
        <v>2010000</v>
      </c>
      <c r="E52" s="20" t="s">
        <v>625</v>
      </c>
      <c r="F52" s="20" t="s">
        <v>626</v>
      </c>
      <c r="G52" s="8" t="str">
        <f t="shared" si="0"/>
        <v>MAELZER KURT</v>
      </c>
    </row>
    <row r="53" spans="1:7" x14ac:dyDescent="0.25">
      <c r="A53" s="8">
        <v>42812.248888888891</v>
      </c>
      <c r="B53" s="20" t="s">
        <v>201</v>
      </c>
      <c r="C53" s="20" t="s">
        <v>627</v>
      </c>
      <c r="D53" s="150">
        <v>2550000</v>
      </c>
      <c r="E53" s="20" t="s">
        <v>425</v>
      </c>
      <c r="F53" s="20" t="s">
        <v>426</v>
      </c>
      <c r="G53" s="8" t="str">
        <f t="shared" si="0"/>
        <v>BADERTSCHER DIANE</v>
      </c>
    </row>
    <row r="54" spans="1:7" x14ac:dyDescent="0.25">
      <c r="A54" s="8">
        <v>42812.249537037038</v>
      </c>
      <c r="B54" s="20" t="s">
        <v>462</v>
      </c>
      <c r="C54" s="20" t="s">
        <v>622</v>
      </c>
      <c r="D54" s="150">
        <v>2020000</v>
      </c>
      <c r="E54" s="20" t="s">
        <v>463</v>
      </c>
      <c r="F54" s="20" t="s">
        <v>436</v>
      </c>
      <c r="G54" s="8" t="str">
        <f t="shared" si="0"/>
        <v>SHOOK JOHN</v>
      </c>
    </row>
    <row r="55" spans="1:7" x14ac:dyDescent="0.25">
      <c r="A55" s="8">
        <v>42812.250104166669</v>
      </c>
      <c r="B55" s="20" t="s">
        <v>462</v>
      </c>
      <c r="C55" s="20" t="s">
        <v>628</v>
      </c>
      <c r="D55" s="150">
        <v>2020000</v>
      </c>
      <c r="E55" s="20" t="s">
        <v>463</v>
      </c>
      <c r="F55" s="20" t="s">
        <v>436</v>
      </c>
      <c r="G55" s="8" t="str">
        <f t="shared" si="0"/>
        <v>SHOOK JOHN</v>
      </c>
    </row>
    <row r="56" spans="1:7" x14ac:dyDescent="0.25">
      <c r="A56" s="8">
        <v>42812.25744212963</v>
      </c>
      <c r="B56" s="20" t="s">
        <v>505</v>
      </c>
      <c r="C56" s="20" t="s">
        <v>629</v>
      </c>
      <c r="D56" s="150">
        <v>1990000</v>
      </c>
      <c r="E56" s="20" t="s">
        <v>606</v>
      </c>
      <c r="F56" s="20" t="s">
        <v>607</v>
      </c>
      <c r="G56" s="8" t="str">
        <f t="shared" si="0"/>
        <v>DAVIS WENDY</v>
      </c>
    </row>
    <row r="57" spans="1:7" x14ac:dyDescent="0.25">
      <c r="A57" s="8">
        <v>42812.259085648147</v>
      </c>
      <c r="B57" s="20" t="s">
        <v>505</v>
      </c>
      <c r="C57" s="20" t="s">
        <v>629</v>
      </c>
      <c r="D57" s="150">
        <v>1990000</v>
      </c>
      <c r="E57" s="20" t="s">
        <v>606</v>
      </c>
      <c r="F57" s="20" t="s">
        <v>607</v>
      </c>
      <c r="G57" s="8" t="str">
        <f t="shared" si="0"/>
        <v>DAVIS WENDY</v>
      </c>
    </row>
    <row r="58" spans="1:7" x14ac:dyDescent="0.25">
      <c r="A58" s="8">
        <v>42812.264780092592</v>
      </c>
      <c r="B58" s="20" t="s">
        <v>417</v>
      </c>
      <c r="C58" s="20" t="s">
        <v>568</v>
      </c>
      <c r="D58" s="150">
        <v>1100000</v>
      </c>
      <c r="E58" s="20" t="s">
        <v>434</v>
      </c>
      <c r="F58" s="20" t="s">
        <v>435</v>
      </c>
      <c r="G58" s="8" t="str">
        <f t="shared" si="0"/>
        <v>GEBRETEKLE DAGNEW</v>
      </c>
    </row>
    <row r="59" spans="1:7" x14ac:dyDescent="0.25">
      <c r="A59" s="8">
        <v>42812.26599537037</v>
      </c>
      <c r="B59" s="20" t="s">
        <v>467</v>
      </c>
      <c r="C59" s="20" t="s">
        <v>567</v>
      </c>
      <c r="D59" s="150">
        <v>1360000</v>
      </c>
      <c r="E59" s="20" t="s">
        <v>609</v>
      </c>
      <c r="F59" s="20" t="s">
        <v>610</v>
      </c>
      <c r="G59" s="8" t="str">
        <f t="shared" si="0"/>
        <v>SANTIZO D. EDY</v>
      </c>
    </row>
    <row r="60" spans="1:7" x14ac:dyDescent="0.25">
      <c r="A60" s="8">
        <v>42812.274641203701</v>
      </c>
      <c r="B60" s="20" t="s">
        <v>424</v>
      </c>
      <c r="C60" s="20" t="s">
        <v>630</v>
      </c>
      <c r="D60" s="150">
        <v>2140000</v>
      </c>
      <c r="E60" s="20" t="s">
        <v>460</v>
      </c>
      <c r="F60" s="20" t="s">
        <v>461</v>
      </c>
      <c r="G60" s="8" t="str">
        <f t="shared" si="0"/>
        <v>ROBINSON KADDIBA</v>
      </c>
    </row>
    <row r="61" spans="1:7" x14ac:dyDescent="0.25">
      <c r="A61" s="8">
        <v>42812.274918981479</v>
      </c>
      <c r="B61" s="20" t="s">
        <v>467</v>
      </c>
      <c r="C61" s="20" t="s">
        <v>567</v>
      </c>
      <c r="D61" s="150">
        <v>1360000</v>
      </c>
      <c r="E61" s="20" t="s">
        <v>609</v>
      </c>
      <c r="F61" s="20" t="s">
        <v>610</v>
      </c>
      <c r="G61" s="8" t="str">
        <f t="shared" si="0"/>
        <v>SANTIZO D. EDY</v>
      </c>
    </row>
    <row r="62" spans="1:7" x14ac:dyDescent="0.25">
      <c r="A62" s="8">
        <v>42812.276875000003</v>
      </c>
      <c r="B62" s="20" t="s">
        <v>459</v>
      </c>
      <c r="C62" s="20" t="s">
        <v>631</v>
      </c>
      <c r="D62" s="150">
        <v>2020000</v>
      </c>
      <c r="E62" s="20" t="s">
        <v>463</v>
      </c>
      <c r="F62" s="20" t="s">
        <v>436</v>
      </c>
      <c r="G62" s="8" t="str">
        <f t="shared" si="0"/>
        <v>SHOOK JOHN</v>
      </c>
    </row>
    <row r="63" spans="1:7" x14ac:dyDescent="0.25">
      <c r="A63" s="8">
        <v>42812.27753472222</v>
      </c>
      <c r="B63" s="20" t="s">
        <v>499</v>
      </c>
      <c r="C63" s="20" t="s">
        <v>632</v>
      </c>
      <c r="D63" s="150">
        <v>890000</v>
      </c>
      <c r="E63" s="20" t="s">
        <v>422</v>
      </c>
      <c r="F63" s="20" t="s">
        <v>423</v>
      </c>
      <c r="G63" s="8" t="str">
        <f t="shared" si="0"/>
        <v>LOZA FIDEL</v>
      </c>
    </row>
    <row r="64" spans="1:7" x14ac:dyDescent="0.25">
      <c r="A64" s="26">
        <v>42812.283379629633</v>
      </c>
      <c r="B64" s="20" t="s">
        <v>409</v>
      </c>
      <c r="C64" s="20" t="s">
        <v>633</v>
      </c>
      <c r="D64" s="150">
        <v>2010000</v>
      </c>
      <c r="E64" s="20" t="s">
        <v>625</v>
      </c>
      <c r="F64" s="20" t="s">
        <v>626</v>
      </c>
      <c r="G64" s="8" t="str">
        <f t="shared" si="0"/>
        <v>MAELZER KURT</v>
      </c>
    </row>
    <row r="65" spans="1:7" x14ac:dyDescent="0.25">
      <c r="A65" s="8">
        <v>42812.289166666669</v>
      </c>
      <c r="B65" s="20" t="s">
        <v>575</v>
      </c>
      <c r="C65" s="20" t="s">
        <v>634</v>
      </c>
      <c r="D65" s="150">
        <v>2550000</v>
      </c>
      <c r="E65" s="20" t="s">
        <v>425</v>
      </c>
      <c r="F65" s="20" t="s">
        <v>426</v>
      </c>
      <c r="G65" s="8" t="str">
        <f t="shared" si="0"/>
        <v>BADERTSCHER DIANE</v>
      </c>
    </row>
    <row r="66" spans="1:7" x14ac:dyDescent="0.25">
      <c r="A66" s="8">
        <v>42812.28979166667</v>
      </c>
      <c r="B66" s="20" t="s">
        <v>575</v>
      </c>
      <c r="C66" s="20" t="s">
        <v>634</v>
      </c>
      <c r="D66" s="150">
        <v>2550000</v>
      </c>
      <c r="E66" s="20" t="s">
        <v>425</v>
      </c>
      <c r="F66" s="20" t="s">
        <v>426</v>
      </c>
      <c r="G66" s="8" t="str">
        <f t="shared" si="0"/>
        <v>BADERTSCHER DIANE</v>
      </c>
    </row>
    <row r="67" spans="1:7" x14ac:dyDescent="0.25">
      <c r="A67" s="8">
        <v>42812.29047453704</v>
      </c>
      <c r="B67" s="20" t="s">
        <v>462</v>
      </c>
      <c r="C67" s="20" t="s">
        <v>635</v>
      </c>
      <c r="D67" s="150">
        <v>2020000</v>
      </c>
      <c r="E67" s="20" t="s">
        <v>463</v>
      </c>
      <c r="F67" s="20" t="s">
        <v>436</v>
      </c>
      <c r="G67" s="8" t="str">
        <f t="shared" ref="G67:G130" si="1">E67&amp;" "&amp;F67</f>
        <v>SHOOK JOHN</v>
      </c>
    </row>
    <row r="68" spans="1:7" x14ac:dyDescent="0.25">
      <c r="A68" s="8">
        <v>42812.29074074074</v>
      </c>
      <c r="B68" s="20" t="s">
        <v>575</v>
      </c>
      <c r="C68" s="20" t="s">
        <v>634</v>
      </c>
      <c r="D68" s="150">
        <v>2550000</v>
      </c>
      <c r="E68" s="20" t="s">
        <v>425</v>
      </c>
      <c r="F68" s="20" t="s">
        <v>426</v>
      </c>
      <c r="G68" s="8" t="str">
        <f t="shared" si="1"/>
        <v>BADERTSCHER DIANE</v>
      </c>
    </row>
    <row r="69" spans="1:7" x14ac:dyDescent="0.25">
      <c r="A69" s="8">
        <v>42812.298229166663</v>
      </c>
      <c r="B69" s="20" t="s">
        <v>502</v>
      </c>
      <c r="C69" s="20" t="s">
        <v>569</v>
      </c>
      <c r="D69" s="150">
        <v>1990000</v>
      </c>
      <c r="E69" s="20" t="s">
        <v>606</v>
      </c>
      <c r="F69" s="20" t="s">
        <v>607</v>
      </c>
      <c r="G69" s="8" t="str">
        <f t="shared" si="1"/>
        <v>DAVIS WENDY</v>
      </c>
    </row>
    <row r="70" spans="1:7" x14ac:dyDescent="0.25">
      <c r="A70" s="8">
        <v>42812.298449074071</v>
      </c>
      <c r="B70" s="20" t="s">
        <v>365</v>
      </c>
      <c r="C70" s="20" t="s">
        <v>636</v>
      </c>
      <c r="D70" s="150">
        <v>1100000</v>
      </c>
      <c r="E70" s="20" t="s">
        <v>434</v>
      </c>
      <c r="F70" s="20" t="s">
        <v>435</v>
      </c>
      <c r="G70" s="8" t="str">
        <f t="shared" si="1"/>
        <v>GEBRETEKLE DAGNEW</v>
      </c>
    </row>
    <row r="71" spans="1:7" x14ac:dyDescent="0.25">
      <c r="A71" s="8">
        <v>42812.299490740741</v>
      </c>
      <c r="B71" s="20" t="s">
        <v>458</v>
      </c>
      <c r="C71" s="20" t="s">
        <v>637</v>
      </c>
      <c r="D71" s="150">
        <v>1360000</v>
      </c>
      <c r="E71" s="20" t="s">
        <v>609</v>
      </c>
      <c r="F71" s="20" t="s">
        <v>610</v>
      </c>
      <c r="G71" s="8" t="str">
        <f t="shared" si="1"/>
        <v>SANTIZO D. EDY</v>
      </c>
    </row>
    <row r="72" spans="1:7" x14ac:dyDescent="0.25">
      <c r="A72" s="8">
        <v>42812.309953703705</v>
      </c>
      <c r="B72" s="20" t="s">
        <v>371</v>
      </c>
      <c r="C72" s="20" t="s">
        <v>638</v>
      </c>
      <c r="D72" s="150">
        <v>2140000</v>
      </c>
      <c r="E72" s="20" t="s">
        <v>460</v>
      </c>
      <c r="F72" s="20" t="s">
        <v>461</v>
      </c>
      <c r="G72" s="8" t="str">
        <f t="shared" si="1"/>
        <v>ROBINSON KADDIBA</v>
      </c>
    </row>
    <row r="73" spans="1:7" x14ac:dyDescent="0.25">
      <c r="A73" s="8">
        <v>42812.31722222222</v>
      </c>
      <c r="B73" s="20" t="s">
        <v>500</v>
      </c>
      <c r="C73" s="20" t="s">
        <v>639</v>
      </c>
      <c r="D73" s="150">
        <v>890000</v>
      </c>
      <c r="E73" s="20" t="s">
        <v>422</v>
      </c>
      <c r="F73" s="20" t="s">
        <v>423</v>
      </c>
      <c r="G73" s="8" t="str">
        <f t="shared" si="1"/>
        <v>LOZA FIDEL</v>
      </c>
    </row>
    <row r="74" spans="1:7" x14ac:dyDescent="0.25">
      <c r="A74" s="8">
        <v>42812.318055555559</v>
      </c>
      <c r="B74" s="20" t="s">
        <v>459</v>
      </c>
      <c r="C74" s="20" t="s">
        <v>640</v>
      </c>
      <c r="D74" s="150">
        <v>2020000</v>
      </c>
      <c r="E74" s="20" t="s">
        <v>463</v>
      </c>
      <c r="F74" s="20" t="s">
        <v>436</v>
      </c>
      <c r="G74" s="8" t="str">
        <f t="shared" si="1"/>
        <v>SHOOK JOHN</v>
      </c>
    </row>
    <row r="75" spans="1:7" x14ac:dyDescent="0.25">
      <c r="A75" s="8">
        <v>42812.319097222222</v>
      </c>
      <c r="B75" s="20" t="s">
        <v>410</v>
      </c>
      <c r="C75" s="20" t="s">
        <v>641</v>
      </c>
      <c r="D75" s="150">
        <v>2010000</v>
      </c>
      <c r="E75" s="20" t="s">
        <v>625</v>
      </c>
      <c r="F75" s="20" t="s">
        <v>626</v>
      </c>
      <c r="G75" s="8" t="str">
        <f t="shared" si="1"/>
        <v>MAELZER KURT</v>
      </c>
    </row>
    <row r="76" spans="1:7" x14ac:dyDescent="0.25">
      <c r="A76" s="8">
        <v>42812.325613425928</v>
      </c>
      <c r="B76" s="20" t="s">
        <v>421</v>
      </c>
      <c r="C76" s="20" t="s">
        <v>642</v>
      </c>
      <c r="D76" s="150">
        <v>1990000</v>
      </c>
      <c r="E76" s="20" t="s">
        <v>606</v>
      </c>
      <c r="F76" s="20" t="s">
        <v>607</v>
      </c>
      <c r="G76" s="8" t="str">
        <f t="shared" si="1"/>
        <v>DAVIS WENDY</v>
      </c>
    </row>
    <row r="77" spans="1:7" x14ac:dyDescent="0.25">
      <c r="A77" s="8">
        <v>42812.328402777777</v>
      </c>
      <c r="B77" s="20" t="s">
        <v>201</v>
      </c>
      <c r="C77" s="20" t="s">
        <v>643</v>
      </c>
      <c r="D77" s="150">
        <v>2550000</v>
      </c>
      <c r="E77" s="20" t="s">
        <v>425</v>
      </c>
      <c r="F77" s="20" t="s">
        <v>426</v>
      </c>
      <c r="G77" s="8" t="str">
        <f t="shared" si="1"/>
        <v>BADERTSCHER DIANE</v>
      </c>
    </row>
    <row r="78" spans="1:7" x14ac:dyDescent="0.25">
      <c r="A78" s="8">
        <v>42812.332627314812</v>
      </c>
      <c r="B78" s="20" t="s">
        <v>462</v>
      </c>
      <c r="C78" s="20" t="s">
        <v>644</v>
      </c>
      <c r="D78" s="150">
        <v>2020000</v>
      </c>
      <c r="E78" s="20" t="s">
        <v>463</v>
      </c>
      <c r="F78" s="20" t="s">
        <v>436</v>
      </c>
      <c r="G78" s="8" t="str">
        <f t="shared" si="1"/>
        <v>SHOOK JOHN</v>
      </c>
    </row>
    <row r="79" spans="1:7" x14ac:dyDescent="0.25">
      <c r="A79" s="8">
        <v>42812.337638888886</v>
      </c>
      <c r="B79" s="20" t="s">
        <v>417</v>
      </c>
      <c r="C79" s="20" t="s">
        <v>645</v>
      </c>
      <c r="D79" s="150">
        <v>1100000</v>
      </c>
      <c r="E79" s="20" t="s">
        <v>434</v>
      </c>
      <c r="F79" s="20" t="s">
        <v>435</v>
      </c>
      <c r="G79" s="8" t="str">
        <f t="shared" si="1"/>
        <v>GEBRETEKLE DAGNEW</v>
      </c>
    </row>
    <row r="80" spans="1:7" x14ac:dyDescent="0.25">
      <c r="A80" s="8">
        <v>42812.338287037041</v>
      </c>
      <c r="B80" s="20" t="s">
        <v>467</v>
      </c>
      <c r="C80" s="20" t="s">
        <v>646</v>
      </c>
      <c r="D80" s="150">
        <v>1360000</v>
      </c>
      <c r="E80" s="20" t="s">
        <v>609</v>
      </c>
      <c r="F80" s="20" t="s">
        <v>610</v>
      </c>
      <c r="G80" s="8" t="str">
        <f t="shared" si="1"/>
        <v>SANTIZO D. EDY</v>
      </c>
    </row>
    <row r="81" spans="1:7" x14ac:dyDescent="0.25">
      <c r="A81" s="8">
        <v>42812.346597222226</v>
      </c>
      <c r="B81" s="20" t="s">
        <v>424</v>
      </c>
      <c r="C81" s="20" t="s">
        <v>647</v>
      </c>
      <c r="D81" s="150">
        <v>2140000</v>
      </c>
      <c r="E81" s="20" t="s">
        <v>460</v>
      </c>
      <c r="F81" s="20" t="s">
        <v>461</v>
      </c>
      <c r="G81" s="8" t="str">
        <f t="shared" si="1"/>
        <v>ROBINSON KADDIBA</v>
      </c>
    </row>
    <row r="82" spans="1:7" x14ac:dyDescent="0.25">
      <c r="A82" s="8">
        <v>42812.352233796293</v>
      </c>
      <c r="B82" s="20" t="s">
        <v>499</v>
      </c>
      <c r="C82" s="20" t="s">
        <v>648</v>
      </c>
      <c r="D82" s="150">
        <v>890000</v>
      </c>
      <c r="E82" s="20" t="s">
        <v>422</v>
      </c>
      <c r="F82" s="20" t="s">
        <v>423</v>
      </c>
      <c r="G82" s="8" t="str">
        <f t="shared" si="1"/>
        <v>LOZA FIDEL</v>
      </c>
    </row>
    <row r="83" spans="1:7" x14ac:dyDescent="0.25">
      <c r="A83" s="8">
        <v>42812.353078703702</v>
      </c>
      <c r="B83" s="20" t="s">
        <v>409</v>
      </c>
      <c r="C83" s="20" t="s">
        <v>649</v>
      </c>
      <c r="D83" s="150">
        <v>2010000</v>
      </c>
      <c r="E83" s="20" t="s">
        <v>625</v>
      </c>
      <c r="F83" s="20" t="s">
        <v>626</v>
      </c>
      <c r="G83" s="8" t="str">
        <f t="shared" si="1"/>
        <v>MAELZER KURT</v>
      </c>
    </row>
    <row r="84" spans="1:7" x14ac:dyDescent="0.25">
      <c r="A84" s="8">
        <v>42812.36</v>
      </c>
      <c r="B84" s="20" t="s">
        <v>459</v>
      </c>
      <c r="C84" s="20" t="s">
        <v>650</v>
      </c>
      <c r="D84" s="150">
        <v>2020000</v>
      </c>
      <c r="E84" s="20" t="s">
        <v>463</v>
      </c>
      <c r="F84" s="20" t="s">
        <v>436</v>
      </c>
      <c r="G84" s="8" t="str">
        <f t="shared" si="1"/>
        <v>SHOOK JOHN</v>
      </c>
    </row>
    <row r="85" spans="1:7" x14ac:dyDescent="0.25">
      <c r="A85" s="8">
        <v>42812.361516203702</v>
      </c>
      <c r="B85" s="20" t="s">
        <v>575</v>
      </c>
      <c r="C85" s="20" t="s">
        <v>651</v>
      </c>
      <c r="D85" s="150">
        <v>2550000</v>
      </c>
      <c r="E85" s="20" t="s">
        <v>425</v>
      </c>
      <c r="F85" s="20" t="s">
        <v>426</v>
      </c>
      <c r="G85" s="8" t="str">
        <f t="shared" si="1"/>
        <v>BADERTSCHER DIANE</v>
      </c>
    </row>
    <row r="86" spans="1:7" x14ac:dyDescent="0.25">
      <c r="A86" s="8">
        <v>42812.36209490741</v>
      </c>
      <c r="B86" s="20" t="s">
        <v>575</v>
      </c>
      <c r="C86" s="20" t="s">
        <v>651</v>
      </c>
      <c r="D86" s="150">
        <v>2550000</v>
      </c>
      <c r="E86" s="20" t="s">
        <v>425</v>
      </c>
      <c r="F86" s="20" t="s">
        <v>426</v>
      </c>
      <c r="G86" s="8" t="str">
        <f t="shared" si="1"/>
        <v>BADERTSCHER DIANE</v>
      </c>
    </row>
    <row r="87" spans="1:7" x14ac:dyDescent="0.25">
      <c r="A87" s="8">
        <v>42812.363217592596</v>
      </c>
      <c r="B87" s="20" t="s">
        <v>575</v>
      </c>
      <c r="C87" s="20" t="s">
        <v>651</v>
      </c>
      <c r="D87" s="150">
        <v>2550000</v>
      </c>
      <c r="E87" s="20" t="s">
        <v>425</v>
      </c>
      <c r="F87" s="20" t="s">
        <v>426</v>
      </c>
      <c r="G87" s="8" t="str">
        <f t="shared" si="1"/>
        <v>BADERTSCHER DIANE</v>
      </c>
    </row>
    <row r="88" spans="1:7" x14ac:dyDescent="0.25">
      <c r="A88" s="8">
        <v>42812.370462962965</v>
      </c>
      <c r="B88" s="20" t="s">
        <v>458</v>
      </c>
      <c r="C88" s="20" t="s">
        <v>652</v>
      </c>
      <c r="D88" s="150">
        <v>1360000</v>
      </c>
      <c r="E88" s="20" t="s">
        <v>609</v>
      </c>
      <c r="F88" s="20" t="s">
        <v>610</v>
      </c>
      <c r="G88" s="8" t="str">
        <f t="shared" si="1"/>
        <v>SANTIZO D. EDY</v>
      </c>
    </row>
    <row r="89" spans="1:7" x14ac:dyDescent="0.25">
      <c r="A89" s="8">
        <v>42812.371006944442</v>
      </c>
      <c r="B89" s="20" t="s">
        <v>420</v>
      </c>
      <c r="C89" s="20" t="s">
        <v>653</v>
      </c>
      <c r="D89" s="150">
        <v>1990000</v>
      </c>
      <c r="E89" s="20" t="s">
        <v>606</v>
      </c>
      <c r="F89" s="20" t="s">
        <v>607</v>
      </c>
      <c r="G89" s="8" t="str">
        <f t="shared" si="1"/>
        <v>DAVIS WENDY</v>
      </c>
    </row>
    <row r="90" spans="1:7" x14ac:dyDescent="0.25">
      <c r="A90" s="8">
        <v>42812.372094907405</v>
      </c>
      <c r="B90" s="20" t="s">
        <v>420</v>
      </c>
      <c r="C90" s="20" t="s">
        <v>653</v>
      </c>
      <c r="D90" s="150">
        <v>1990000</v>
      </c>
      <c r="E90" s="20" t="s">
        <v>606</v>
      </c>
      <c r="F90" s="20" t="s">
        <v>607</v>
      </c>
      <c r="G90" s="8" t="str">
        <f t="shared" si="1"/>
        <v>DAVIS WENDY</v>
      </c>
    </row>
    <row r="91" spans="1:7" x14ac:dyDescent="0.25">
      <c r="A91" s="8">
        <v>42812.372303240743</v>
      </c>
      <c r="B91" s="20" t="s">
        <v>365</v>
      </c>
      <c r="C91" s="20" t="s">
        <v>654</v>
      </c>
      <c r="D91" s="150">
        <v>1100000</v>
      </c>
      <c r="E91" s="20" t="s">
        <v>434</v>
      </c>
      <c r="F91" s="20" t="s">
        <v>435</v>
      </c>
      <c r="G91" s="8" t="str">
        <f t="shared" si="1"/>
        <v>GEBRETEKLE DAGNEW</v>
      </c>
    </row>
    <row r="92" spans="1:7" x14ac:dyDescent="0.25">
      <c r="A92" s="8">
        <v>42812.374224537038</v>
      </c>
      <c r="B92" s="20" t="s">
        <v>462</v>
      </c>
      <c r="C92" s="20" t="s">
        <v>655</v>
      </c>
      <c r="D92" s="150">
        <v>2020000</v>
      </c>
      <c r="E92" s="20" t="s">
        <v>463</v>
      </c>
      <c r="F92" s="20" t="s">
        <v>436</v>
      </c>
      <c r="G92" s="8" t="str">
        <f t="shared" si="1"/>
        <v>SHOOK JOHN</v>
      </c>
    </row>
    <row r="93" spans="1:7" x14ac:dyDescent="0.25">
      <c r="A93" s="8">
        <v>42812.381354166668</v>
      </c>
      <c r="B93" s="20" t="s">
        <v>371</v>
      </c>
      <c r="C93" s="20" t="s">
        <v>656</v>
      </c>
      <c r="D93" s="150">
        <v>2140000</v>
      </c>
      <c r="E93" s="20" t="s">
        <v>460</v>
      </c>
      <c r="F93" s="20" t="s">
        <v>461</v>
      </c>
      <c r="G93" s="8" t="str">
        <f t="shared" si="1"/>
        <v>ROBINSON KADDIBA</v>
      </c>
    </row>
    <row r="94" spans="1:7" x14ac:dyDescent="0.25">
      <c r="A94" s="8">
        <v>42812.389189814814</v>
      </c>
      <c r="B94" s="20" t="s">
        <v>500</v>
      </c>
      <c r="C94" s="20" t="s">
        <v>657</v>
      </c>
      <c r="D94" s="150">
        <v>890000</v>
      </c>
      <c r="E94" s="20" t="s">
        <v>422</v>
      </c>
      <c r="F94" s="20" t="s">
        <v>423</v>
      </c>
      <c r="G94" s="8" t="str">
        <f t="shared" si="1"/>
        <v>LOZA FIDEL</v>
      </c>
    </row>
    <row r="95" spans="1:7" x14ac:dyDescent="0.25">
      <c r="A95" s="8">
        <v>42812.393101851849</v>
      </c>
      <c r="B95" s="20" t="s">
        <v>410</v>
      </c>
      <c r="C95" s="20" t="s">
        <v>658</v>
      </c>
      <c r="D95" s="150">
        <v>2010000</v>
      </c>
      <c r="E95" s="20" t="s">
        <v>625</v>
      </c>
      <c r="F95" s="20" t="s">
        <v>626</v>
      </c>
      <c r="G95" s="8" t="str">
        <f t="shared" si="1"/>
        <v>MAELZER KURT</v>
      </c>
    </row>
    <row r="96" spans="1:7" x14ac:dyDescent="0.25">
      <c r="A96" s="8">
        <v>42812.400717592594</v>
      </c>
      <c r="B96" s="20" t="s">
        <v>201</v>
      </c>
      <c r="C96" s="20" t="s">
        <v>659</v>
      </c>
      <c r="D96" s="150">
        <v>2550000</v>
      </c>
      <c r="E96" s="20" t="s">
        <v>425</v>
      </c>
      <c r="F96" s="20" t="s">
        <v>426</v>
      </c>
      <c r="G96" s="8" t="str">
        <f t="shared" si="1"/>
        <v>BADERTSCHER DIANE</v>
      </c>
    </row>
    <row r="97" spans="1:7" x14ac:dyDescent="0.25">
      <c r="A97" s="8">
        <v>42812.401828703703</v>
      </c>
      <c r="B97" s="20" t="s">
        <v>459</v>
      </c>
      <c r="C97" s="20" t="s">
        <v>660</v>
      </c>
      <c r="D97" s="150">
        <v>2020000</v>
      </c>
      <c r="E97" s="20" t="s">
        <v>463</v>
      </c>
      <c r="F97" s="20" t="s">
        <v>436</v>
      </c>
      <c r="G97" s="8" t="str">
        <f t="shared" si="1"/>
        <v>SHOOK JOHN</v>
      </c>
    </row>
    <row r="98" spans="1:7" x14ac:dyDescent="0.25">
      <c r="A98" s="8">
        <v>42812.402905092589</v>
      </c>
      <c r="B98" s="20" t="s">
        <v>421</v>
      </c>
      <c r="C98" s="20" t="s">
        <v>661</v>
      </c>
      <c r="D98" s="150">
        <v>1990000</v>
      </c>
      <c r="E98" s="20" t="s">
        <v>606</v>
      </c>
      <c r="F98" s="20" t="s">
        <v>607</v>
      </c>
      <c r="G98" s="8" t="str">
        <f t="shared" si="1"/>
        <v>DAVIS WENDY</v>
      </c>
    </row>
    <row r="99" spans="1:7" x14ac:dyDescent="0.25">
      <c r="A99" s="8">
        <v>42812.404537037037</v>
      </c>
      <c r="B99" s="20" t="s">
        <v>421</v>
      </c>
      <c r="C99" s="20" t="s">
        <v>661</v>
      </c>
      <c r="D99" s="150">
        <v>1990000</v>
      </c>
      <c r="E99" s="20" t="s">
        <v>606</v>
      </c>
      <c r="F99" s="20" t="s">
        <v>607</v>
      </c>
      <c r="G99" s="8" t="str">
        <f t="shared" si="1"/>
        <v>DAVIS WENDY</v>
      </c>
    </row>
    <row r="100" spans="1:7" x14ac:dyDescent="0.25">
      <c r="A100" s="8">
        <v>42812.409756944442</v>
      </c>
      <c r="B100" s="20" t="s">
        <v>467</v>
      </c>
      <c r="C100" s="20" t="s">
        <v>662</v>
      </c>
      <c r="D100" s="150">
        <v>1360000</v>
      </c>
      <c r="E100" s="20" t="s">
        <v>609</v>
      </c>
      <c r="F100" s="20" t="s">
        <v>610</v>
      </c>
      <c r="G100" s="8" t="str">
        <f t="shared" si="1"/>
        <v>SANTIZO D. EDY</v>
      </c>
    </row>
    <row r="101" spans="1:7" x14ac:dyDescent="0.25">
      <c r="A101" s="8">
        <v>42812.411076388889</v>
      </c>
      <c r="B101" s="20" t="s">
        <v>417</v>
      </c>
      <c r="C101" s="20" t="s">
        <v>663</v>
      </c>
      <c r="D101" s="150">
        <v>1100000</v>
      </c>
      <c r="E101" s="20" t="s">
        <v>434</v>
      </c>
      <c r="F101" s="20" t="s">
        <v>435</v>
      </c>
      <c r="G101" s="8" t="str">
        <f t="shared" si="1"/>
        <v>GEBRETEKLE DAGNEW</v>
      </c>
    </row>
    <row r="102" spans="1:7" x14ac:dyDescent="0.25">
      <c r="A102" s="8">
        <v>42812.415324074071</v>
      </c>
      <c r="B102" s="20" t="s">
        <v>462</v>
      </c>
      <c r="C102" s="20" t="s">
        <v>664</v>
      </c>
      <c r="D102" s="150">
        <v>2020000</v>
      </c>
      <c r="E102" s="20" t="s">
        <v>463</v>
      </c>
      <c r="F102" s="20" t="s">
        <v>436</v>
      </c>
      <c r="G102" s="8" t="str">
        <f t="shared" si="1"/>
        <v>SHOOK JOHN</v>
      </c>
    </row>
    <row r="103" spans="1:7" x14ac:dyDescent="0.25">
      <c r="A103" s="8">
        <v>42812.419791666667</v>
      </c>
      <c r="B103" s="20" t="s">
        <v>424</v>
      </c>
      <c r="C103" s="20" t="s">
        <v>665</v>
      </c>
      <c r="D103" s="150">
        <v>2140000</v>
      </c>
      <c r="E103" s="20" t="s">
        <v>460</v>
      </c>
      <c r="F103" s="20" t="s">
        <v>461</v>
      </c>
      <c r="G103" s="8" t="str">
        <f t="shared" si="1"/>
        <v>ROBINSON KADDIBA</v>
      </c>
    </row>
    <row r="104" spans="1:7" x14ac:dyDescent="0.25">
      <c r="A104" s="8">
        <v>42812.425208333334</v>
      </c>
      <c r="B104" s="20" t="s">
        <v>499</v>
      </c>
      <c r="C104" s="20" t="s">
        <v>666</v>
      </c>
      <c r="D104" s="150">
        <v>890000</v>
      </c>
      <c r="E104" s="20" t="s">
        <v>422</v>
      </c>
      <c r="F104" s="20" t="s">
        <v>423</v>
      </c>
      <c r="G104" s="8" t="str">
        <f t="shared" si="1"/>
        <v>LOZA FIDEL</v>
      </c>
    </row>
    <row r="105" spans="1:7" x14ac:dyDescent="0.25">
      <c r="A105" s="8">
        <v>42812.425810185188</v>
      </c>
      <c r="B105" s="20" t="s">
        <v>409</v>
      </c>
      <c r="C105" s="20" t="s">
        <v>667</v>
      </c>
      <c r="D105" s="150">
        <v>2010000</v>
      </c>
      <c r="E105" s="20" t="s">
        <v>625</v>
      </c>
      <c r="F105" s="20" t="s">
        <v>626</v>
      </c>
      <c r="G105" s="8" t="str">
        <f t="shared" si="1"/>
        <v>MAELZER KURT</v>
      </c>
    </row>
    <row r="106" spans="1:7" x14ac:dyDescent="0.25">
      <c r="A106" s="8">
        <v>42812.43277777778</v>
      </c>
      <c r="B106" s="20" t="s">
        <v>498</v>
      </c>
      <c r="C106" s="20" t="s">
        <v>668</v>
      </c>
      <c r="D106" s="150">
        <v>880000</v>
      </c>
      <c r="E106" s="20" t="s">
        <v>504</v>
      </c>
      <c r="F106" s="20" t="s">
        <v>198</v>
      </c>
      <c r="G106" s="8" t="str">
        <f t="shared" si="1"/>
        <v>STEWART MICHAEL</v>
      </c>
    </row>
    <row r="107" spans="1:7" x14ac:dyDescent="0.25">
      <c r="A107" s="8">
        <v>42812.433599537035</v>
      </c>
      <c r="B107" s="20" t="s">
        <v>575</v>
      </c>
      <c r="C107" s="20" t="s">
        <v>669</v>
      </c>
      <c r="D107" s="150">
        <v>2470000</v>
      </c>
      <c r="E107" s="20" t="s">
        <v>506</v>
      </c>
      <c r="F107" s="20" t="s">
        <v>507</v>
      </c>
      <c r="G107" s="8" t="str">
        <f t="shared" si="1"/>
        <v>ROMERO CHAD</v>
      </c>
    </row>
    <row r="108" spans="1:7" x14ac:dyDescent="0.25">
      <c r="A108" s="8">
        <v>42812.44090277778</v>
      </c>
      <c r="B108" s="20" t="s">
        <v>420</v>
      </c>
      <c r="C108" s="20" t="s">
        <v>670</v>
      </c>
      <c r="D108" s="150">
        <v>1990000</v>
      </c>
      <c r="E108" s="20" t="s">
        <v>606</v>
      </c>
      <c r="F108" s="20" t="s">
        <v>607</v>
      </c>
      <c r="G108" s="8" t="str">
        <f t="shared" si="1"/>
        <v>DAVIS WENDY</v>
      </c>
    </row>
    <row r="109" spans="1:7" x14ac:dyDescent="0.25">
      <c r="A109" s="8">
        <v>42812.441527777781</v>
      </c>
      <c r="B109" s="20" t="s">
        <v>420</v>
      </c>
      <c r="C109" s="20" t="s">
        <v>670</v>
      </c>
      <c r="D109" s="150">
        <v>1990000</v>
      </c>
      <c r="E109" s="20" t="s">
        <v>606</v>
      </c>
      <c r="F109" s="20" t="s">
        <v>607</v>
      </c>
      <c r="G109" s="8" t="str">
        <f t="shared" si="1"/>
        <v>DAVIS WENDY</v>
      </c>
    </row>
    <row r="110" spans="1:7" x14ac:dyDescent="0.25">
      <c r="A110" s="8">
        <v>42812.44258101852</v>
      </c>
      <c r="B110" s="20" t="s">
        <v>420</v>
      </c>
      <c r="C110" s="20" t="s">
        <v>670</v>
      </c>
      <c r="D110" s="150">
        <v>1990000</v>
      </c>
      <c r="E110" s="20" t="s">
        <v>606</v>
      </c>
      <c r="F110" s="20" t="s">
        <v>607</v>
      </c>
      <c r="G110" s="8" t="str">
        <f t="shared" si="1"/>
        <v>DAVIS WENDY</v>
      </c>
    </row>
    <row r="111" spans="1:7" x14ac:dyDescent="0.25">
      <c r="A111" s="8">
        <v>42812.442835648151</v>
      </c>
      <c r="B111" s="20" t="s">
        <v>459</v>
      </c>
      <c r="C111" s="20" t="s">
        <v>671</v>
      </c>
      <c r="D111" s="150">
        <v>2020000</v>
      </c>
      <c r="E111" s="20" t="s">
        <v>463</v>
      </c>
      <c r="F111" s="20" t="s">
        <v>436</v>
      </c>
      <c r="G111" s="8" t="str">
        <f t="shared" si="1"/>
        <v>SHOOK JOHN</v>
      </c>
    </row>
    <row r="112" spans="1:7" x14ac:dyDescent="0.25">
      <c r="A112" s="8">
        <v>42812.443981481483</v>
      </c>
      <c r="B112" s="20" t="s">
        <v>458</v>
      </c>
      <c r="C112" s="20" t="s">
        <v>672</v>
      </c>
      <c r="D112" s="150">
        <v>1360000</v>
      </c>
      <c r="E112" s="20" t="s">
        <v>609</v>
      </c>
      <c r="F112" s="20" t="s">
        <v>610</v>
      </c>
      <c r="G112" s="8" t="str">
        <f t="shared" si="1"/>
        <v>SANTIZO D. EDY</v>
      </c>
    </row>
    <row r="113" spans="1:7" x14ac:dyDescent="0.25">
      <c r="A113" s="8">
        <v>42812.445011574076</v>
      </c>
      <c r="B113" s="20" t="s">
        <v>365</v>
      </c>
      <c r="C113" s="20" t="s">
        <v>673</v>
      </c>
      <c r="D113" s="150">
        <v>1100000</v>
      </c>
      <c r="E113" s="20" t="s">
        <v>434</v>
      </c>
      <c r="F113" s="20" t="s">
        <v>435</v>
      </c>
      <c r="G113" s="8" t="str">
        <f t="shared" si="1"/>
        <v>GEBRETEKLE DAGNEW</v>
      </c>
    </row>
    <row r="114" spans="1:7" x14ac:dyDescent="0.25">
      <c r="A114" s="8">
        <v>42812.453298611108</v>
      </c>
      <c r="B114" s="20" t="s">
        <v>371</v>
      </c>
      <c r="C114" s="20" t="s">
        <v>674</v>
      </c>
      <c r="D114" s="150">
        <v>880000</v>
      </c>
      <c r="E114" s="20" t="s">
        <v>504</v>
      </c>
      <c r="F114" s="20" t="s">
        <v>198</v>
      </c>
      <c r="G114" s="8" t="str">
        <f t="shared" si="1"/>
        <v>STEWART MICHAEL</v>
      </c>
    </row>
    <row r="115" spans="1:7" x14ac:dyDescent="0.25">
      <c r="A115" s="8">
        <v>42812.456736111111</v>
      </c>
      <c r="B115" s="20" t="s">
        <v>462</v>
      </c>
      <c r="C115" s="20" t="s">
        <v>675</v>
      </c>
      <c r="D115" s="150">
        <v>2020000</v>
      </c>
      <c r="E115" s="20" t="s">
        <v>463</v>
      </c>
      <c r="F115" s="20" t="s">
        <v>436</v>
      </c>
      <c r="G115" s="8" t="str">
        <f t="shared" si="1"/>
        <v>SHOOK JOHN</v>
      </c>
    </row>
    <row r="116" spans="1:7" x14ac:dyDescent="0.25">
      <c r="A116" s="8">
        <v>42812.457395833335</v>
      </c>
      <c r="B116" s="20" t="s">
        <v>503</v>
      </c>
      <c r="C116" s="20" t="s">
        <v>676</v>
      </c>
      <c r="D116" s="150">
        <v>1780000</v>
      </c>
      <c r="E116" s="20" t="s">
        <v>444</v>
      </c>
      <c r="F116" s="20" t="s">
        <v>445</v>
      </c>
      <c r="G116" s="8" t="str">
        <f t="shared" si="1"/>
        <v>DE LA ROSA ALEX</v>
      </c>
    </row>
    <row r="117" spans="1:7" x14ac:dyDescent="0.25">
      <c r="A117" s="8">
        <v>42812.463206018518</v>
      </c>
      <c r="B117" s="20" t="s">
        <v>500</v>
      </c>
      <c r="C117" s="20" t="s">
        <v>570</v>
      </c>
      <c r="D117" s="150">
        <v>890000</v>
      </c>
      <c r="E117" s="20" t="s">
        <v>422</v>
      </c>
      <c r="F117" s="20" t="s">
        <v>423</v>
      </c>
      <c r="G117" s="8" t="str">
        <f t="shared" si="1"/>
        <v>LOZA FIDEL</v>
      </c>
    </row>
    <row r="118" spans="1:7" x14ac:dyDescent="0.25">
      <c r="A118" s="8">
        <v>42812.464432870373</v>
      </c>
      <c r="B118" s="20" t="s">
        <v>410</v>
      </c>
      <c r="C118" s="20" t="s">
        <v>677</v>
      </c>
      <c r="D118" s="150">
        <v>2370000</v>
      </c>
      <c r="E118" s="20" t="s">
        <v>440</v>
      </c>
      <c r="F118" s="20" t="s">
        <v>441</v>
      </c>
      <c r="G118" s="8" t="str">
        <f t="shared" si="1"/>
        <v>DELGADO DIANAH</v>
      </c>
    </row>
    <row r="119" spans="1:7" x14ac:dyDescent="0.25">
      <c r="A119" s="8">
        <v>42812.465428240743</v>
      </c>
      <c r="B119" s="20" t="s">
        <v>201</v>
      </c>
      <c r="C119" s="20" t="s">
        <v>678</v>
      </c>
      <c r="D119" s="150">
        <v>2470000</v>
      </c>
      <c r="E119" s="20" t="s">
        <v>506</v>
      </c>
      <c r="F119" s="20" t="s">
        <v>507</v>
      </c>
      <c r="G119" s="8" t="str">
        <f t="shared" si="1"/>
        <v>ROMERO CHAD</v>
      </c>
    </row>
    <row r="120" spans="1:7" x14ac:dyDescent="0.25">
      <c r="A120" s="8">
        <v>42812.467094907406</v>
      </c>
      <c r="B120" s="20" t="s">
        <v>201</v>
      </c>
      <c r="C120" s="20" t="s">
        <v>678</v>
      </c>
      <c r="D120" s="150">
        <v>2470000</v>
      </c>
      <c r="E120" s="20" t="s">
        <v>506</v>
      </c>
      <c r="F120" s="20" t="s">
        <v>507</v>
      </c>
      <c r="G120" s="8" t="str">
        <f t="shared" si="1"/>
        <v>ROMERO CHAD</v>
      </c>
    </row>
    <row r="121" spans="1:7" x14ac:dyDescent="0.25">
      <c r="A121" s="8">
        <v>42812.477060185185</v>
      </c>
      <c r="B121" s="20" t="s">
        <v>421</v>
      </c>
      <c r="C121" s="20" t="s">
        <v>679</v>
      </c>
      <c r="D121" s="150">
        <v>1770000</v>
      </c>
      <c r="E121" s="20" t="s">
        <v>442</v>
      </c>
      <c r="F121" s="20" t="s">
        <v>443</v>
      </c>
      <c r="G121" s="8" t="str">
        <f t="shared" si="1"/>
        <v>BRUDER RICHARD</v>
      </c>
    </row>
    <row r="122" spans="1:7" x14ac:dyDescent="0.25">
      <c r="A122" s="8">
        <v>42812.484490740739</v>
      </c>
      <c r="B122" s="25" t="s">
        <v>417</v>
      </c>
      <c r="C122" s="20" t="s">
        <v>680</v>
      </c>
      <c r="D122" s="150">
        <v>1100000</v>
      </c>
      <c r="E122" s="20" t="s">
        <v>434</v>
      </c>
      <c r="F122" s="20" t="s">
        <v>435</v>
      </c>
      <c r="G122" s="8" t="str">
        <f t="shared" si="1"/>
        <v>GEBRETEKLE DAGNEW</v>
      </c>
    </row>
    <row r="123" spans="1:7" x14ac:dyDescent="0.25">
      <c r="A123" s="8">
        <v>42812.484652777777</v>
      </c>
      <c r="B123" s="20" t="s">
        <v>459</v>
      </c>
      <c r="C123" s="20" t="s">
        <v>681</v>
      </c>
      <c r="D123" s="150">
        <v>2020000</v>
      </c>
      <c r="E123" s="20" t="s">
        <v>463</v>
      </c>
      <c r="F123" s="20" t="s">
        <v>436</v>
      </c>
      <c r="G123" s="8" t="str">
        <f t="shared" si="1"/>
        <v>SHOOK JOHN</v>
      </c>
    </row>
    <row r="124" spans="1:7" x14ac:dyDescent="0.25">
      <c r="A124" s="8">
        <v>42812.484918981485</v>
      </c>
      <c r="B124" s="20" t="s">
        <v>467</v>
      </c>
      <c r="C124" s="20" t="s">
        <v>682</v>
      </c>
      <c r="D124" s="150">
        <v>2480000</v>
      </c>
      <c r="E124" s="20" t="s">
        <v>448</v>
      </c>
      <c r="F124" s="20" t="s">
        <v>449</v>
      </c>
      <c r="G124" s="8" t="str">
        <f t="shared" si="1"/>
        <v>WHITED DUSTIN</v>
      </c>
    </row>
    <row r="125" spans="1:7" x14ac:dyDescent="0.25">
      <c r="A125" s="8">
        <v>42812.495763888888</v>
      </c>
      <c r="B125" s="20" t="s">
        <v>424</v>
      </c>
      <c r="C125" s="20" t="s">
        <v>683</v>
      </c>
      <c r="D125" s="150">
        <v>880000</v>
      </c>
      <c r="E125" s="20" t="s">
        <v>504</v>
      </c>
      <c r="F125" s="20" t="s">
        <v>198</v>
      </c>
      <c r="G125" s="8" t="str">
        <f t="shared" si="1"/>
        <v>STEWART MICHAEL</v>
      </c>
    </row>
    <row r="126" spans="1:7" x14ac:dyDescent="0.25">
      <c r="A126" s="8">
        <v>42812.496296296296</v>
      </c>
      <c r="B126" s="20" t="s">
        <v>499</v>
      </c>
      <c r="C126" s="20" t="s">
        <v>571</v>
      </c>
      <c r="D126" s="150">
        <v>1300000</v>
      </c>
      <c r="E126" s="20" t="s">
        <v>684</v>
      </c>
      <c r="F126" s="20" t="s">
        <v>685</v>
      </c>
      <c r="G126" s="8" t="str">
        <f t="shared" si="1"/>
        <v>LEVIN SCOTT</v>
      </c>
    </row>
    <row r="127" spans="1:7" x14ac:dyDescent="0.25">
      <c r="A127" s="8">
        <v>42812.498842592591</v>
      </c>
      <c r="B127" s="20" t="s">
        <v>462</v>
      </c>
      <c r="C127" s="20" t="s">
        <v>686</v>
      </c>
      <c r="D127" s="150">
        <v>2020000</v>
      </c>
      <c r="E127" s="20" t="s">
        <v>463</v>
      </c>
      <c r="F127" s="20" t="s">
        <v>436</v>
      </c>
      <c r="G127" s="8" t="str">
        <f t="shared" si="1"/>
        <v>SHOOK JOHN</v>
      </c>
    </row>
    <row r="128" spans="1:7" x14ac:dyDescent="0.25">
      <c r="A128" s="8">
        <v>42812.500659722224</v>
      </c>
      <c r="B128" s="20" t="s">
        <v>409</v>
      </c>
      <c r="C128" s="20" t="s">
        <v>687</v>
      </c>
      <c r="D128" s="150">
        <v>2370000</v>
      </c>
      <c r="E128" s="20" t="s">
        <v>440</v>
      </c>
      <c r="F128" s="20" t="s">
        <v>441</v>
      </c>
      <c r="G128" s="8" t="str">
        <f t="shared" si="1"/>
        <v>DELGADO DIANAH</v>
      </c>
    </row>
    <row r="129" spans="1:7" x14ac:dyDescent="0.25">
      <c r="A129" s="8">
        <v>42812.504432870373</v>
      </c>
      <c r="B129" s="20" t="s">
        <v>575</v>
      </c>
      <c r="C129" s="20" t="s">
        <v>688</v>
      </c>
      <c r="D129" s="150">
        <v>2440000</v>
      </c>
      <c r="E129" s="20" t="s">
        <v>508</v>
      </c>
      <c r="F129" s="20" t="s">
        <v>509</v>
      </c>
      <c r="G129" s="8" t="str">
        <f t="shared" si="1"/>
        <v>LOPES KIMBERLY</v>
      </c>
    </row>
    <row r="130" spans="1:7" x14ac:dyDescent="0.25">
      <c r="A130" s="8">
        <v>42812.514189814814</v>
      </c>
      <c r="B130" s="20" t="s">
        <v>420</v>
      </c>
      <c r="C130" s="20" t="s">
        <v>689</v>
      </c>
      <c r="D130" s="150">
        <v>1770000</v>
      </c>
      <c r="E130" s="20" t="s">
        <v>442</v>
      </c>
      <c r="F130" s="20" t="s">
        <v>443</v>
      </c>
      <c r="G130" s="8" t="str">
        <f t="shared" si="1"/>
        <v>BRUDER RICHARD</v>
      </c>
    </row>
    <row r="131" spans="1:7" x14ac:dyDescent="0.25">
      <c r="A131" s="8">
        <v>42812.515335648146</v>
      </c>
      <c r="B131" s="20" t="s">
        <v>420</v>
      </c>
      <c r="C131" s="20" t="s">
        <v>689</v>
      </c>
      <c r="D131" s="150">
        <v>1770000</v>
      </c>
      <c r="E131" s="20" t="s">
        <v>442</v>
      </c>
      <c r="F131" s="20" t="s">
        <v>443</v>
      </c>
      <c r="G131" s="8" t="str">
        <f t="shared" ref="G131:G194" si="2">E131&amp;" "&amp;F131</f>
        <v>BRUDER RICHARD</v>
      </c>
    </row>
    <row r="132" spans="1:7" x14ac:dyDescent="0.25">
      <c r="A132" s="8">
        <v>42812.517581018517</v>
      </c>
      <c r="B132" s="20" t="s">
        <v>365</v>
      </c>
      <c r="C132" s="20" t="s">
        <v>690</v>
      </c>
      <c r="D132" s="150">
        <v>2450000</v>
      </c>
      <c r="E132" s="20" t="s">
        <v>691</v>
      </c>
      <c r="F132" s="20" t="s">
        <v>692</v>
      </c>
      <c r="G132" s="8" t="str">
        <f t="shared" si="2"/>
        <v>NELSON ARIANE</v>
      </c>
    </row>
    <row r="133" spans="1:7" x14ac:dyDescent="0.25">
      <c r="A133" s="8">
        <v>42812.523865740739</v>
      </c>
      <c r="B133" s="20" t="s">
        <v>458</v>
      </c>
      <c r="C133" s="20" t="s">
        <v>693</v>
      </c>
      <c r="D133" s="150">
        <v>2480000</v>
      </c>
      <c r="E133" s="20" t="s">
        <v>448</v>
      </c>
      <c r="F133" s="20" t="s">
        <v>449</v>
      </c>
      <c r="G133" s="8" t="str">
        <f t="shared" si="2"/>
        <v>WHITED DUSTIN</v>
      </c>
    </row>
    <row r="134" spans="1:7" x14ac:dyDescent="0.25">
      <c r="A134" s="8">
        <v>42812.526620370372</v>
      </c>
      <c r="B134" s="20" t="s">
        <v>459</v>
      </c>
      <c r="C134" s="20" t="s">
        <v>694</v>
      </c>
      <c r="D134" s="150">
        <v>2020000</v>
      </c>
      <c r="E134" s="20" t="s">
        <v>463</v>
      </c>
      <c r="F134" s="20" t="s">
        <v>436</v>
      </c>
      <c r="G134" s="8" t="str">
        <f t="shared" si="2"/>
        <v>SHOOK JOHN</v>
      </c>
    </row>
    <row r="135" spans="1:7" x14ac:dyDescent="0.25">
      <c r="A135" s="8">
        <v>42812.528067129628</v>
      </c>
      <c r="B135" s="20" t="s">
        <v>371</v>
      </c>
      <c r="C135" s="20" t="s">
        <v>695</v>
      </c>
      <c r="D135" s="150">
        <v>880000</v>
      </c>
      <c r="E135" s="20" t="s">
        <v>504</v>
      </c>
      <c r="F135" s="20" t="s">
        <v>198</v>
      </c>
      <c r="G135" s="8" t="str">
        <f t="shared" si="2"/>
        <v>STEWART MICHAEL</v>
      </c>
    </row>
    <row r="136" spans="1:7" x14ac:dyDescent="0.25">
      <c r="A136" s="8">
        <v>42812.534930555557</v>
      </c>
      <c r="B136" s="20" t="s">
        <v>500</v>
      </c>
      <c r="C136" s="20" t="s">
        <v>696</v>
      </c>
      <c r="D136" s="150">
        <v>1300000</v>
      </c>
      <c r="E136" s="20" t="s">
        <v>684</v>
      </c>
      <c r="F136" s="20" t="s">
        <v>685</v>
      </c>
      <c r="G136" s="8" t="str">
        <f t="shared" si="2"/>
        <v>LEVIN SCOTT</v>
      </c>
    </row>
    <row r="137" spans="1:7" x14ac:dyDescent="0.25">
      <c r="A137" s="8">
        <v>42812.537222222221</v>
      </c>
      <c r="B137" s="20" t="s">
        <v>410</v>
      </c>
      <c r="C137" s="20" t="s">
        <v>697</v>
      </c>
      <c r="D137" s="150">
        <v>2370000</v>
      </c>
      <c r="E137" s="20" t="s">
        <v>440</v>
      </c>
      <c r="F137" s="20" t="s">
        <v>441</v>
      </c>
      <c r="G137" s="8" t="str">
        <f t="shared" si="2"/>
        <v>DELGADO DIANAH</v>
      </c>
    </row>
    <row r="138" spans="1:7" x14ac:dyDescent="0.25">
      <c r="A138" s="8">
        <v>42812.540023148147</v>
      </c>
      <c r="B138" s="20" t="s">
        <v>462</v>
      </c>
      <c r="C138" s="20" t="s">
        <v>698</v>
      </c>
      <c r="D138" s="150">
        <v>2020000</v>
      </c>
      <c r="E138" s="20" t="s">
        <v>463</v>
      </c>
      <c r="F138" s="20" t="s">
        <v>436</v>
      </c>
      <c r="G138" s="8" t="str">
        <f t="shared" si="2"/>
        <v>SHOOK JOHN</v>
      </c>
    </row>
    <row r="139" spans="1:7" x14ac:dyDescent="0.25">
      <c r="A139" s="8">
        <v>42812.544456018521</v>
      </c>
      <c r="B139" s="20" t="s">
        <v>201</v>
      </c>
      <c r="C139" s="20" t="s">
        <v>699</v>
      </c>
      <c r="D139" s="150">
        <v>2440000</v>
      </c>
      <c r="E139" s="20" t="s">
        <v>508</v>
      </c>
      <c r="F139" s="20" t="s">
        <v>509</v>
      </c>
      <c r="G139" s="8" t="str">
        <f t="shared" si="2"/>
        <v>LOPES KIMBERLY</v>
      </c>
    </row>
    <row r="140" spans="1:7" x14ac:dyDescent="0.25">
      <c r="A140" s="8">
        <v>42812.545138888891</v>
      </c>
      <c r="B140" s="20" t="s">
        <v>201</v>
      </c>
      <c r="C140" s="20" t="s">
        <v>699</v>
      </c>
      <c r="D140" s="150">
        <v>2440000</v>
      </c>
      <c r="E140" s="20" t="s">
        <v>508</v>
      </c>
      <c r="F140" s="20" t="s">
        <v>509</v>
      </c>
      <c r="G140" s="8" t="str">
        <f t="shared" si="2"/>
        <v>LOPES KIMBERLY</v>
      </c>
    </row>
    <row r="141" spans="1:7" x14ac:dyDescent="0.25">
      <c r="A141" s="8">
        <v>42812.546493055554</v>
      </c>
      <c r="B141" s="20" t="s">
        <v>201</v>
      </c>
      <c r="C141" s="20" t="s">
        <v>699</v>
      </c>
      <c r="D141" s="150">
        <v>2440000</v>
      </c>
      <c r="E141" s="20" t="s">
        <v>508</v>
      </c>
      <c r="F141" s="20" t="s">
        <v>509</v>
      </c>
      <c r="G141" s="8" t="str">
        <f t="shared" si="2"/>
        <v>LOPES KIMBERLY</v>
      </c>
    </row>
    <row r="142" spans="1:7" x14ac:dyDescent="0.25">
      <c r="A142" s="8">
        <v>42812.547662037039</v>
      </c>
      <c r="B142" s="20" t="s">
        <v>421</v>
      </c>
      <c r="C142" s="20" t="s">
        <v>700</v>
      </c>
      <c r="D142" s="150">
        <v>1770000</v>
      </c>
      <c r="E142" s="20" t="s">
        <v>442</v>
      </c>
      <c r="F142" s="20" t="s">
        <v>443</v>
      </c>
      <c r="G142" s="8" t="str">
        <f t="shared" si="2"/>
        <v>BRUDER RICHARD</v>
      </c>
    </row>
    <row r="143" spans="1:7" x14ac:dyDescent="0.25">
      <c r="A143" s="8">
        <v>42812.557141203702</v>
      </c>
      <c r="B143" s="20" t="s">
        <v>417</v>
      </c>
      <c r="C143" s="20" t="s">
        <v>572</v>
      </c>
      <c r="D143" s="150">
        <v>2450000</v>
      </c>
      <c r="E143" s="20" t="s">
        <v>691</v>
      </c>
      <c r="F143" s="20" t="s">
        <v>692</v>
      </c>
      <c r="G143" s="8" t="str">
        <f t="shared" si="2"/>
        <v>NELSON ARIANE</v>
      </c>
    </row>
    <row r="144" spans="1:7" x14ac:dyDescent="0.25">
      <c r="A144" s="8">
        <v>42812.558912037035</v>
      </c>
      <c r="B144" s="20" t="s">
        <v>467</v>
      </c>
      <c r="C144" s="20" t="s">
        <v>701</v>
      </c>
      <c r="D144" s="150">
        <v>2480000</v>
      </c>
      <c r="E144" s="20" t="s">
        <v>448</v>
      </c>
      <c r="F144" s="20" t="s">
        <v>449</v>
      </c>
      <c r="G144" s="8" t="str">
        <f t="shared" si="2"/>
        <v>WHITED DUSTIN</v>
      </c>
    </row>
    <row r="145" spans="1:7" x14ac:dyDescent="0.25">
      <c r="A145" s="8">
        <v>42812.568240740744</v>
      </c>
      <c r="B145" s="20" t="s">
        <v>459</v>
      </c>
      <c r="C145" s="20" t="s">
        <v>702</v>
      </c>
      <c r="D145" s="150">
        <v>2020000</v>
      </c>
      <c r="E145" s="20" t="s">
        <v>463</v>
      </c>
      <c r="F145" s="20" t="s">
        <v>436</v>
      </c>
      <c r="G145" s="8" t="str">
        <f t="shared" si="2"/>
        <v>SHOOK JOHN</v>
      </c>
    </row>
    <row r="146" spans="1:7" x14ac:dyDescent="0.25">
      <c r="A146" s="8">
        <v>42812.568425925929</v>
      </c>
      <c r="B146" s="20" t="s">
        <v>499</v>
      </c>
      <c r="C146" s="20" t="s">
        <v>573</v>
      </c>
      <c r="D146" s="150">
        <v>1300000</v>
      </c>
      <c r="E146" s="20" t="s">
        <v>684</v>
      </c>
      <c r="F146" s="20" t="s">
        <v>685</v>
      </c>
      <c r="G146" s="8" t="str">
        <f t="shared" si="2"/>
        <v>LEVIN SCOTT</v>
      </c>
    </row>
    <row r="147" spans="1:7" x14ac:dyDescent="0.25">
      <c r="A147" s="8">
        <v>42812.570416666669</v>
      </c>
      <c r="B147" s="20" t="s">
        <v>424</v>
      </c>
      <c r="C147" s="20" t="s">
        <v>703</v>
      </c>
      <c r="D147" s="150">
        <v>880000</v>
      </c>
      <c r="E147" s="20" t="s">
        <v>504</v>
      </c>
      <c r="F147" s="20" t="s">
        <v>198</v>
      </c>
      <c r="G147" s="8" t="str">
        <f t="shared" si="2"/>
        <v>STEWART MICHAEL</v>
      </c>
    </row>
    <row r="148" spans="1:7" x14ac:dyDescent="0.25">
      <c r="A148" s="8">
        <v>42812.572731481479</v>
      </c>
      <c r="B148" s="20" t="s">
        <v>409</v>
      </c>
      <c r="C148" s="20" t="s">
        <v>704</v>
      </c>
      <c r="D148" s="150">
        <v>2370000</v>
      </c>
      <c r="E148" s="20" t="s">
        <v>440</v>
      </c>
      <c r="F148" s="20" t="s">
        <v>441</v>
      </c>
      <c r="G148" s="8" t="str">
        <f t="shared" si="2"/>
        <v>DELGADO DIANAH</v>
      </c>
    </row>
    <row r="149" spans="1:7" x14ac:dyDescent="0.25">
      <c r="A149" s="8">
        <v>42812.578796296293</v>
      </c>
      <c r="B149" s="20" t="s">
        <v>575</v>
      </c>
      <c r="C149" s="20" t="s">
        <v>576</v>
      </c>
      <c r="D149" s="150">
        <v>2470000</v>
      </c>
      <c r="E149" s="20" t="s">
        <v>506</v>
      </c>
      <c r="F149" s="20" t="s">
        <v>507</v>
      </c>
      <c r="G149" s="8" t="str">
        <f t="shared" si="2"/>
        <v>ROMERO CHAD</v>
      </c>
    </row>
    <row r="150" spans="1:7" x14ac:dyDescent="0.25">
      <c r="A150" s="8">
        <v>42812.584224537037</v>
      </c>
      <c r="B150" s="20" t="s">
        <v>409</v>
      </c>
      <c r="C150" s="20" t="s">
        <v>704</v>
      </c>
      <c r="D150" s="150">
        <v>2370000</v>
      </c>
      <c r="E150" s="20" t="s">
        <v>440</v>
      </c>
      <c r="F150" s="20" t="s">
        <v>441</v>
      </c>
      <c r="G150" s="8" t="str">
        <f t="shared" si="2"/>
        <v>DELGADO DIANAH</v>
      </c>
    </row>
    <row r="151" spans="1:7" x14ac:dyDescent="0.25">
      <c r="A151" s="8">
        <v>42812.590509259258</v>
      </c>
      <c r="B151" s="20" t="s">
        <v>420</v>
      </c>
      <c r="C151" s="20" t="s">
        <v>705</v>
      </c>
      <c r="D151" s="150">
        <v>1770000</v>
      </c>
      <c r="E151" s="20" t="s">
        <v>442</v>
      </c>
      <c r="F151" s="20" t="s">
        <v>443</v>
      </c>
      <c r="G151" s="8" t="str">
        <f t="shared" si="2"/>
        <v>BRUDER RICHARD</v>
      </c>
    </row>
    <row r="152" spans="1:7" x14ac:dyDescent="0.25">
      <c r="A152" s="8">
        <v>42812.591597222221</v>
      </c>
      <c r="B152" s="20" t="s">
        <v>420</v>
      </c>
      <c r="C152" s="20" t="s">
        <v>705</v>
      </c>
      <c r="D152" s="150">
        <v>1770000</v>
      </c>
      <c r="E152" s="20" t="s">
        <v>442</v>
      </c>
      <c r="F152" s="20" t="s">
        <v>443</v>
      </c>
      <c r="G152" s="8" t="str">
        <f t="shared" si="2"/>
        <v>BRUDER RICHARD</v>
      </c>
    </row>
    <row r="153" spans="1:7" x14ac:dyDescent="0.25">
      <c r="A153" s="8">
        <v>42812.594953703701</v>
      </c>
      <c r="B153" s="20" t="s">
        <v>462</v>
      </c>
      <c r="C153" s="20" t="s">
        <v>706</v>
      </c>
      <c r="D153" s="150">
        <v>1540000</v>
      </c>
      <c r="E153" s="20" t="s">
        <v>438</v>
      </c>
      <c r="F153" s="20" t="s">
        <v>439</v>
      </c>
      <c r="G153" s="8" t="str">
        <f t="shared" si="2"/>
        <v>HELVIE ADAM</v>
      </c>
    </row>
    <row r="154" spans="1:7" x14ac:dyDescent="0.25">
      <c r="A154" s="8">
        <v>42812.601030092592</v>
      </c>
      <c r="B154" s="20" t="s">
        <v>458</v>
      </c>
      <c r="C154" s="20" t="s">
        <v>707</v>
      </c>
      <c r="D154" s="150">
        <v>2480000</v>
      </c>
      <c r="E154" s="20" t="s">
        <v>448</v>
      </c>
      <c r="F154" s="20" t="s">
        <v>449</v>
      </c>
      <c r="G154" s="8" t="str">
        <f t="shared" si="2"/>
        <v>WHITED DUSTIN</v>
      </c>
    </row>
    <row r="155" spans="1:7" x14ac:dyDescent="0.25">
      <c r="A155" s="8">
        <v>42812.602685185186</v>
      </c>
      <c r="B155" s="20" t="s">
        <v>365</v>
      </c>
      <c r="C155" s="20" t="s">
        <v>574</v>
      </c>
      <c r="D155" s="150">
        <v>2450000</v>
      </c>
      <c r="E155" s="20" t="s">
        <v>691</v>
      </c>
      <c r="F155" s="20" t="s">
        <v>692</v>
      </c>
      <c r="G155" s="8" t="str">
        <f t="shared" si="2"/>
        <v>NELSON ARIANE</v>
      </c>
    </row>
    <row r="156" spans="1:7" x14ac:dyDescent="0.25">
      <c r="A156" s="8">
        <v>42812.609085648146</v>
      </c>
      <c r="B156" s="20" t="s">
        <v>500</v>
      </c>
      <c r="C156" s="20" t="s">
        <v>708</v>
      </c>
      <c r="D156" s="150">
        <v>1300000</v>
      </c>
      <c r="E156" s="20" t="s">
        <v>684</v>
      </c>
      <c r="F156" s="20" t="s">
        <v>685</v>
      </c>
      <c r="G156" s="8" t="str">
        <f t="shared" si="2"/>
        <v>LEVIN SCOTT</v>
      </c>
    </row>
    <row r="157" spans="1:7" x14ac:dyDescent="0.25">
      <c r="A157" s="8">
        <v>42812.611585648148</v>
      </c>
      <c r="B157" s="20" t="s">
        <v>459</v>
      </c>
      <c r="C157" s="20" t="s">
        <v>709</v>
      </c>
      <c r="D157" s="150">
        <v>1540000</v>
      </c>
      <c r="E157" s="20" t="s">
        <v>438</v>
      </c>
      <c r="F157" s="20" t="s">
        <v>439</v>
      </c>
      <c r="G157" s="8" t="str">
        <f t="shared" si="2"/>
        <v>HELVIE ADAM</v>
      </c>
    </row>
    <row r="158" spans="1:7" x14ac:dyDescent="0.25">
      <c r="A158" s="8">
        <v>42812.612129629626</v>
      </c>
      <c r="B158" s="20" t="s">
        <v>371</v>
      </c>
      <c r="C158" s="20" t="s">
        <v>578</v>
      </c>
      <c r="D158" s="150">
        <v>880000</v>
      </c>
      <c r="E158" s="20" t="s">
        <v>504</v>
      </c>
      <c r="F158" s="20" t="s">
        <v>198</v>
      </c>
      <c r="G158" s="8" t="str">
        <f t="shared" si="2"/>
        <v>STEWART MICHAEL</v>
      </c>
    </row>
    <row r="159" spans="1:7" x14ac:dyDescent="0.25">
      <c r="A159" s="8">
        <v>42812.617604166669</v>
      </c>
      <c r="B159" s="20" t="s">
        <v>201</v>
      </c>
      <c r="C159" s="20" t="s">
        <v>577</v>
      </c>
      <c r="D159" s="150">
        <v>2470000</v>
      </c>
      <c r="E159" s="20" t="s">
        <v>506</v>
      </c>
      <c r="F159" s="20" t="s">
        <v>507</v>
      </c>
      <c r="G159" s="8" t="str">
        <f t="shared" si="2"/>
        <v>ROMERO CHAD</v>
      </c>
    </row>
    <row r="160" spans="1:7" x14ac:dyDescent="0.25">
      <c r="A160" s="8">
        <v>42812.618761574071</v>
      </c>
      <c r="B160" s="20" t="s">
        <v>201</v>
      </c>
      <c r="C160" s="20" t="s">
        <v>577</v>
      </c>
      <c r="D160" s="150">
        <v>2470000</v>
      </c>
      <c r="E160" s="20" t="s">
        <v>506</v>
      </c>
      <c r="F160" s="20" t="s">
        <v>507</v>
      </c>
      <c r="G160" s="8" t="str">
        <f t="shared" si="2"/>
        <v>ROMERO CHAD</v>
      </c>
    </row>
    <row r="161" spans="1:7" x14ac:dyDescent="0.25">
      <c r="A161" s="8">
        <v>42812.62127314815</v>
      </c>
      <c r="B161" s="20" t="s">
        <v>410</v>
      </c>
      <c r="C161" s="20" t="s">
        <v>579</v>
      </c>
      <c r="D161" s="150">
        <v>2370000</v>
      </c>
      <c r="E161" s="20" t="s">
        <v>440</v>
      </c>
      <c r="F161" s="20" t="s">
        <v>441</v>
      </c>
      <c r="G161" s="8" t="str">
        <f t="shared" si="2"/>
        <v>DELGADO DIANAH</v>
      </c>
    </row>
    <row r="162" spans="1:7" x14ac:dyDescent="0.25">
      <c r="A162" s="8">
        <v>42812.632060185184</v>
      </c>
      <c r="B162" s="20" t="s">
        <v>421</v>
      </c>
      <c r="C162" s="20" t="s">
        <v>710</v>
      </c>
      <c r="D162" s="150">
        <v>1770000</v>
      </c>
      <c r="E162" s="20" t="s">
        <v>442</v>
      </c>
      <c r="F162" s="20" t="s">
        <v>443</v>
      </c>
      <c r="G162" s="8" t="str">
        <f t="shared" si="2"/>
        <v>BRUDER RICHARD</v>
      </c>
    </row>
    <row r="163" spans="1:7" x14ac:dyDescent="0.25">
      <c r="A163" s="8">
        <v>42812.637696759259</v>
      </c>
      <c r="B163" s="20" t="s">
        <v>462</v>
      </c>
      <c r="C163" s="20" t="s">
        <v>711</v>
      </c>
      <c r="D163" s="150">
        <v>1540000</v>
      </c>
      <c r="E163" s="20" t="s">
        <v>438</v>
      </c>
      <c r="F163" s="20" t="s">
        <v>439</v>
      </c>
      <c r="G163" s="8" t="str">
        <f t="shared" si="2"/>
        <v>HELVIE ADAM</v>
      </c>
    </row>
    <row r="164" spans="1:7" x14ac:dyDescent="0.25">
      <c r="A164" s="8">
        <v>42812.639699074076</v>
      </c>
      <c r="B164" s="20" t="s">
        <v>467</v>
      </c>
      <c r="C164" s="20" t="s">
        <v>712</v>
      </c>
      <c r="D164" s="150">
        <v>2480000</v>
      </c>
      <c r="E164" s="20" t="s">
        <v>448</v>
      </c>
      <c r="F164" s="20" t="s">
        <v>449</v>
      </c>
      <c r="G164" s="8" t="str">
        <f t="shared" si="2"/>
        <v>WHITED DUSTIN</v>
      </c>
    </row>
    <row r="165" spans="1:7" x14ac:dyDescent="0.25">
      <c r="A165" s="8">
        <v>42812.640949074077</v>
      </c>
      <c r="B165" s="20" t="s">
        <v>467</v>
      </c>
      <c r="C165" s="20" t="s">
        <v>712</v>
      </c>
      <c r="D165" s="150">
        <v>2480000</v>
      </c>
      <c r="E165" s="20" t="s">
        <v>448</v>
      </c>
      <c r="F165" s="20" t="s">
        <v>449</v>
      </c>
      <c r="G165" s="8" t="str">
        <f t="shared" si="2"/>
        <v>WHITED DUSTIN</v>
      </c>
    </row>
    <row r="166" spans="1:7" x14ac:dyDescent="0.25">
      <c r="A166" s="8">
        <v>42812.640949074077</v>
      </c>
      <c r="B166" s="20" t="s">
        <v>417</v>
      </c>
      <c r="C166" s="20" t="s">
        <v>583</v>
      </c>
      <c r="D166" s="150">
        <v>2450000</v>
      </c>
      <c r="E166" s="20" t="s">
        <v>691</v>
      </c>
      <c r="F166" s="20" t="s">
        <v>692</v>
      </c>
      <c r="G166" s="8" t="str">
        <f t="shared" si="2"/>
        <v>NELSON ARIANE</v>
      </c>
    </row>
    <row r="167" spans="1:7" x14ac:dyDescent="0.25">
      <c r="A167" s="8">
        <v>42812.642916666664</v>
      </c>
      <c r="B167" s="20" t="s">
        <v>417</v>
      </c>
      <c r="C167" s="20" t="s">
        <v>583</v>
      </c>
      <c r="D167" s="150">
        <v>2450000</v>
      </c>
      <c r="E167" s="20" t="s">
        <v>691</v>
      </c>
      <c r="F167" s="20" t="s">
        <v>692</v>
      </c>
      <c r="G167" s="8" t="str">
        <f t="shared" si="2"/>
        <v>NELSON ARIANE</v>
      </c>
    </row>
    <row r="168" spans="1:7" x14ac:dyDescent="0.25">
      <c r="A168" s="8">
        <v>42812.644513888888</v>
      </c>
      <c r="B168" s="20" t="s">
        <v>417</v>
      </c>
      <c r="C168" s="20" t="s">
        <v>583</v>
      </c>
      <c r="D168" s="150">
        <v>2450000</v>
      </c>
      <c r="E168" s="20" t="s">
        <v>691</v>
      </c>
      <c r="F168" s="20" t="s">
        <v>692</v>
      </c>
      <c r="G168" s="8" t="str">
        <f t="shared" si="2"/>
        <v>NELSON ARIANE</v>
      </c>
    </row>
    <row r="169" spans="1:7" x14ac:dyDescent="0.25">
      <c r="A169" s="8">
        <v>42812.650902777779</v>
      </c>
      <c r="B169" s="20" t="s">
        <v>424</v>
      </c>
      <c r="C169" s="20" t="s">
        <v>713</v>
      </c>
      <c r="D169" s="150">
        <v>880000</v>
      </c>
      <c r="E169" s="20" t="s">
        <v>504</v>
      </c>
      <c r="F169" s="20" t="s">
        <v>198</v>
      </c>
      <c r="G169" s="8" t="str">
        <f t="shared" si="2"/>
        <v>STEWART MICHAEL</v>
      </c>
    </row>
    <row r="170" spans="1:7" x14ac:dyDescent="0.25">
      <c r="A170" s="8">
        <v>42812.651041666664</v>
      </c>
      <c r="B170" s="20" t="s">
        <v>459</v>
      </c>
      <c r="C170" s="20" t="s">
        <v>714</v>
      </c>
      <c r="D170" s="150">
        <v>1540000</v>
      </c>
      <c r="E170" s="20" t="s">
        <v>438</v>
      </c>
      <c r="F170" s="20" t="s">
        <v>439</v>
      </c>
      <c r="G170" s="8" t="str">
        <f t="shared" si="2"/>
        <v>HELVIE ADAM</v>
      </c>
    </row>
    <row r="171" spans="1:7" x14ac:dyDescent="0.25">
      <c r="A171" s="8">
        <v>42812.651921296296</v>
      </c>
      <c r="B171" s="20" t="s">
        <v>424</v>
      </c>
      <c r="C171" s="20" t="s">
        <v>713</v>
      </c>
      <c r="D171" s="150">
        <v>880000</v>
      </c>
      <c r="E171" s="20" t="s">
        <v>504</v>
      </c>
      <c r="F171" s="20" t="s">
        <v>198</v>
      </c>
      <c r="G171" s="8" t="str">
        <f t="shared" si="2"/>
        <v>STEWART MICHAEL</v>
      </c>
    </row>
    <row r="172" spans="1:7" x14ac:dyDescent="0.25">
      <c r="A172" s="8">
        <v>42812.652916666666</v>
      </c>
      <c r="B172" s="20" t="s">
        <v>499</v>
      </c>
      <c r="C172" s="20" t="s">
        <v>580</v>
      </c>
      <c r="D172" s="150">
        <v>1300000</v>
      </c>
      <c r="E172" s="20" t="s">
        <v>684</v>
      </c>
      <c r="F172" s="20" t="s">
        <v>685</v>
      </c>
      <c r="G172" s="8" t="str">
        <f t="shared" si="2"/>
        <v>LEVIN SCOTT</v>
      </c>
    </row>
    <row r="173" spans="1:7" x14ac:dyDescent="0.25">
      <c r="A173" s="8">
        <v>42812.657673611109</v>
      </c>
      <c r="B173" s="20" t="s">
        <v>409</v>
      </c>
      <c r="C173" s="20" t="s">
        <v>715</v>
      </c>
      <c r="D173" s="150">
        <v>2370000</v>
      </c>
      <c r="E173" s="20" t="s">
        <v>440</v>
      </c>
      <c r="F173" s="20" t="s">
        <v>441</v>
      </c>
      <c r="G173" s="8" t="str">
        <f t="shared" si="2"/>
        <v>DELGADO DIANAH</v>
      </c>
    </row>
    <row r="174" spans="1:7" x14ac:dyDescent="0.25">
      <c r="A174" s="8">
        <v>42812.660497685189</v>
      </c>
      <c r="B174" s="20" t="s">
        <v>575</v>
      </c>
      <c r="C174" s="20" t="s">
        <v>716</v>
      </c>
      <c r="D174" s="150">
        <v>2470000</v>
      </c>
      <c r="E174" s="20" t="s">
        <v>506</v>
      </c>
      <c r="F174" s="20" t="s">
        <v>507</v>
      </c>
      <c r="G174" s="8" t="str">
        <f t="shared" si="2"/>
        <v>ROMERO CHAD</v>
      </c>
    </row>
    <row r="175" spans="1:7" x14ac:dyDescent="0.25">
      <c r="A175" s="8">
        <v>42812.662847222222</v>
      </c>
      <c r="B175" s="20" t="s">
        <v>575</v>
      </c>
      <c r="C175" s="20" t="s">
        <v>716</v>
      </c>
      <c r="D175" s="150">
        <v>2470000</v>
      </c>
      <c r="E175" s="20" t="s">
        <v>506</v>
      </c>
      <c r="F175" s="20" t="s">
        <v>507</v>
      </c>
      <c r="G175" s="8" t="str">
        <f t="shared" si="2"/>
        <v>ROMERO CHAD</v>
      </c>
    </row>
    <row r="176" spans="1:7" x14ac:dyDescent="0.25">
      <c r="A176" s="8">
        <v>42812.670659722222</v>
      </c>
      <c r="B176" s="20" t="s">
        <v>420</v>
      </c>
      <c r="C176" s="20" t="s">
        <v>717</v>
      </c>
      <c r="D176" s="150">
        <v>1770000</v>
      </c>
      <c r="E176" s="20" t="s">
        <v>442</v>
      </c>
      <c r="F176" s="20" t="s">
        <v>443</v>
      </c>
      <c r="G176" s="8" t="str">
        <f t="shared" si="2"/>
        <v>BRUDER RICHARD</v>
      </c>
    </row>
    <row r="177" spans="1:7" x14ac:dyDescent="0.25">
      <c r="A177" s="8">
        <v>42812.672407407408</v>
      </c>
      <c r="B177" s="20" t="s">
        <v>420</v>
      </c>
      <c r="C177" s="20" t="s">
        <v>717</v>
      </c>
      <c r="D177" s="150">
        <v>1770000</v>
      </c>
      <c r="E177" s="20" t="s">
        <v>442</v>
      </c>
      <c r="F177" s="20" t="s">
        <v>443</v>
      </c>
      <c r="G177" s="8" t="str">
        <f t="shared" si="2"/>
        <v>BRUDER RICHARD</v>
      </c>
    </row>
    <row r="178" spans="1:7" x14ac:dyDescent="0.25">
      <c r="A178" s="8">
        <v>42812.677800925929</v>
      </c>
      <c r="B178" s="20" t="s">
        <v>462</v>
      </c>
      <c r="C178" s="20" t="s">
        <v>718</v>
      </c>
      <c r="D178" s="150">
        <v>1540000</v>
      </c>
      <c r="E178" s="20" t="s">
        <v>438</v>
      </c>
      <c r="F178" s="20" t="s">
        <v>439</v>
      </c>
      <c r="G178" s="8" t="str">
        <f t="shared" si="2"/>
        <v>HELVIE ADAM</v>
      </c>
    </row>
    <row r="179" spans="1:7" x14ac:dyDescent="0.25">
      <c r="A179" s="8">
        <v>42812.678344907406</v>
      </c>
      <c r="B179" s="20" t="s">
        <v>505</v>
      </c>
      <c r="C179" s="20" t="s">
        <v>719</v>
      </c>
      <c r="D179" s="150">
        <v>2360000</v>
      </c>
      <c r="E179" s="20" t="s">
        <v>465</v>
      </c>
      <c r="F179" s="20" t="s">
        <v>466</v>
      </c>
      <c r="G179" s="8" t="str">
        <f t="shared" si="2"/>
        <v>BRANDNER MELINDA</v>
      </c>
    </row>
    <row r="180" spans="1:7" x14ac:dyDescent="0.25">
      <c r="A180" s="8">
        <v>42812.681342592594</v>
      </c>
      <c r="B180" s="20" t="s">
        <v>458</v>
      </c>
      <c r="C180" s="20" t="s">
        <v>720</v>
      </c>
      <c r="D180" s="150">
        <v>2480000</v>
      </c>
      <c r="E180" s="20" t="s">
        <v>448</v>
      </c>
      <c r="F180" s="20" t="s">
        <v>449</v>
      </c>
      <c r="G180" s="8" t="str">
        <f t="shared" si="2"/>
        <v>WHITED DUSTIN</v>
      </c>
    </row>
    <row r="181" spans="1:7" x14ac:dyDescent="0.25">
      <c r="A181" s="8">
        <v>42812.68990740741</v>
      </c>
      <c r="B181" s="20" t="s">
        <v>371</v>
      </c>
      <c r="C181" s="20" t="s">
        <v>721</v>
      </c>
      <c r="D181" s="150">
        <v>880000</v>
      </c>
      <c r="E181" s="20" t="s">
        <v>504</v>
      </c>
      <c r="F181" s="20" t="s">
        <v>198</v>
      </c>
      <c r="G181" s="8" t="str">
        <f t="shared" si="2"/>
        <v>STEWART MICHAEL</v>
      </c>
    </row>
    <row r="182" spans="1:7" x14ac:dyDescent="0.25">
      <c r="A182" s="8">
        <v>42812.692407407405</v>
      </c>
      <c r="B182" s="20" t="s">
        <v>500</v>
      </c>
      <c r="C182" s="20" t="s">
        <v>722</v>
      </c>
      <c r="D182" s="150">
        <v>1300000</v>
      </c>
      <c r="E182" s="20" t="s">
        <v>684</v>
      </c>
      <c r="F182" s="20" t="s">
        <v>685</v>
      </c>
      <c r="G182" s="8" t="str">
        <f t="shared" si="2"/>
        <v>LEVIN SCOTT</v>
      </c>
    </row>
    <row r="183" spans="1:7" x14ac:dyDescent="0.25">
      <c r="A183" s="8">
        <v>42812.69295138889</v>
      </c>
      <c r="B183" s="20" t="s">
        <v>459</v>
      </c>
      <c r="C183" s="20" t="s">
        <v>723</v>
      </c>
      <c r="D183" s="150">
        <v>1540000</v>
      </c>
      <c r="E183" s="20" t="s">
        <v>438</v>
      </c>
      <c r="F183" s="20" t="s">
        <v>439</v>
      </c>
      <c r="G183" s="8" t="str">
        <f t="shared" si="2"/>
        <v>HELVIE ADAM</v>
      </c>
    </row>
    <row r="184" spans="1:7" x14ac:dyDescent="0.25">
      <c r="A184" s="8">
        <v>42812.693379629629</v>
      </c>
      <c r="B184" s="20" t="s">
        <v>500</v>
      </c>
      <c r="C184" s="20" t="s">
        <v>722</v>
      </c>
      <c r="D184" s="150">
        <v>1300000</v>
      </c>
      <c r="E184" s="20" t="s">
        <v>684</v>
      </c>
      <c r="F184" s="20" t="s">
        <v>685</v>
      </c>
      <c r="G184" s="8" t="str">
        <f t="shared" si="2"/>
        <v>LEVIN SCOTT</v>
      </c>
    </row>
    <row r="185" spans="1:7" x14ac:dyDescent="0.25">
      <c r="A185" s="8">
        <v>42812.698738425926</v>
      </c>
      <c r="B185" s="20" t="s">
        <v>410</v>
      </c>
      <c r="C185" s="20" t="s">
        <v>724</v>
      </c>
      <c r="D185" s="150">
        <v>2370000</v>
      </c>
      <c r="E185" s="20" t="s">
        <v>440</v>
      </c>
      <c r="F185" s="20" t="s">
        <v>441</v>
      </c>
      <c r="G185" s="8" t="str">
        <f t="shared" si="2"/>
        <v>DELGADO DIANAH</v>
      </c>
    </row>
    <row r="186" spans="1:7" x14ac:dyDescent="0.25">
      <c r="A186" s="8">
        <v>42812.700509259259</v>
      </c>
      <c r="B186" s="20" t="s">
        <v>201</v>
      </c>
      <c r="C186" s="20" t="s">
        <v>584</v>
      </c>
      <c r="D186" s="150">
        <v>2470000</v>
      </c>
      <c r="E186" s="20" t="s">
        <v>506</v>
      </c>
      <c r="F186" s="20" t="s">
        <v>507</v>
      </c>
      <c r="G186" s="8" t="str">
        <f t="shared" si="2"/>
        <v>ROMERO CHAD</v>
      </c>
    </row>
    <row r="187" spans="1:7" x14ac:dyDescent="0.25">
      <c r="A187" s="8">
        <v>42812.706574074073</v>
      </c>
      <c r="B187" s="20" t="s">
        <v>421</v>
      </c>
      <c r="C187" s="20" t="s">
        <v>725</v>
      </c>
      <c r="D187" s="150">
        <v>1770000</v>
      </c>
      <c r="E187" s="20" t="s">
        <v>442</v>
      </c>
      <c r="F187" s="20" t="s">
        <v>443</v>
      </c>
      <c r="G187" s="8" t="str">
        <f t="shared" si="2"/>
        <v>BRUDER RICHARD</v>
      </c>
    </row>
    <row r="188" spans="1:7" x14ac:dyDescent="0.25">
      <c r="A188" s="8">
        <v>42812.715162037035</v>
      </c>
      <c r="B188" s="20" t="s">
        <v>365</v>
      </c>
      <c r="C188" s="20" t="s">
        <v>726</v>
      </c>
      <c r="D188" s="150">
        <v>2440000</v>
      </c>
      <c r="E188" s="20" t="s">
        <v>508</v>
      </c>
      <c r="F188" s="20" t="s">
        <v>509</v>
      </c>
      <c r="G188" s="8" t="str">
        <f t="shared" si="2"/>
        <v>LOPES KIMBERLY</v>
      </c>
    </row>
    <row r="189" spans="1:7" x14ac:dyDescent="0.25">
      <c r="A189" s="8">
        <v>42812.715358796297</v>
      </c>
      <c r="B189" s="20" t="s">
        <v>502</v>
      </c>
      <c r="C189" s="20" t="s">
        <v>585</v>
      </c>
      <c r="D189" s="150">
        <v>2360000</v>
      </c>
      <c r="E189" s="20" t="s">
        <v>465</v>
      </c>
      <c r="F189" s="20" t="s">
        <v>466</v>
      </c>
      <c r="G189" s="8" t="str">
        <f t="shared" si="2"/>
        <v>BRANDNER MELINDA</v>
      </c>
    </row>
    <row r="190" spans="1:7" x14ac:dyDescent="0.25">
      <c r="A190" s="8">
        <v>42812.716944444444</v>
      </c>
      <c r="B190" s="20" t="s">
        <v>502</v>
      </c>
      <c r="C190" s="20" t="s">
        <v>585</v>
      </c>
      <c r="D190" s="150">
        <v>2360000</v>
      </c>
      <c r="E190" s="20" t="s">
        <v>465</v>
      </c>
      <c r="F190" s="20" t="s">
        <v>466</v>
      </c>
      <c r="G190" s="8" t="str">
        <f t="shared" si="2"/>
        <v>BRANDNER MELINDA</v>
      </c>
    </row>
    <row r="191" spans="1:7" x14ac:dyDescent="0.25">
      <c r="A191" s="8">
        <v>42812.721562500003</v>
      </c>
      <c r="B191" s="20" t="s">
        <v>462</v>
      </c>
      <c r="C191" s="20" t="s">
        <v>727</v>
      </c>
      <c r="D191" s="150">
        <v>1540000</v>
      </c>
      <c r="E191" s="20" t="s">
        <v>438</v>
      </c>
      <c r="F191" s="20" t="s">
        <v>439</v>
      </c>
      <c r="G191" s="8" t="str">
        <f t="shared" si="2"/>
        <v>HELVIE ADAM</v>
      </c>
    </row>
    <row r="192" spans="1:7" x14ac:dyDescent="0.25">
      <c r="A192" s="8">
        <v>42812.727488425924</v>
      </c>
      <c r="B192" s="20" t="s">
        <v>499</v>
      </c>
      <c r="C192" s="20" t="s">
        <v>586</v>
      </c>
      <c r="D192" s="150">
        <v>2480000</v>
      </c>
      <c r="E192" s="20" t="s">
        <v>448</v>
      </c>
      <c r="F192" s="20" t="s">
        <v>449</v>
      </c>
      <c r="G192" s="8" t="str">
        <f t="shared" si="2"/>
        <v>WHITED DUSTIN</v>
      </c>
    </row>
    <row r="193" spans="1:7" x14ac:dyDescent="0.25">
      <c r="A193" s="8">
        <v>42812.728101851855</v>
      </c>
      <c r="B193" s="20" t="s">
        <v>424</v>
      </c>
      <c r="C193" s="20" t="s">
        <v>728</v>
      </c>
      <c r="D193" s="150">
        <v>880000</v>
      </c>
      <c r="E193" s="20" t="s">
        <v>504</v>
      </c>
      <c r="F193" s="20" t="s">
        <v>198</v>
      </c>
      <c r="G193" s="8" t="str">
        <f t="shared" si="2"/>
        <v>STEWART MICHAEL</v>
      </c>
    </row>
    <row r="194" spans="1:7" x14ac:dyDescent="0.25">
      <c r="A194" s="8">
        <v>42812.729074074072</v>
      </c>
      <c r="B194" s="20" t="s">
        <v>424</v>
      </c>
      <c r="C194" s="20" t="s">
        <v>728</v>
      </c>
      <c r="D194" s="150">
        <v>880000</v>
      </c>
      <c r="E194" s="20" t="s">
        <v>504</v>
      </c>
      <c r="F194" s="20" t="s">
        <v>198</v>
      </c>
      <c r="G194" s="8" t="str">
        <f t="shared" si="2"/>
        <v>STEWART MICHAEL</v>
      </c>
    </row>
    <row r="195" spans="1:7" x14ac:dyDescent="0.25">
      <c r="A195" s="8">
        <v>42812.734548611108</v>
      </c>
      <c r="B195" s="20" t="s">
        <v>459</v>
      </c>
      <c r="C195" s="20" t="s">
        <v>729</v>
      </c>
      <c r="D195" s="150">
        <v>1540000</v>
      </c>
      <c r="E195" s="20" t="s">
        <v>438</v>
      </c>
      <c r="F195" s="20" t="s">
        <v>439</v>
      </c>
      <c r="G195" s="8" t="str">
        <f t="shared" ref="G195:G258" si="3">E195&amp;" "&amp;F195</f>
        <v>HELVIE ADAM</v>
      </c>
    </row>
    <row r="196" spans="1:7" x14ac:dyDescent="0.25">
      <c r="A196" s="8">
        <v>42812.736793981479</v>
      </c>
      <c r="B196" s="20" t="s">
        <v>409</v>
      </c>
      <c r="C196" s="20" t="s">
        <v>730</v>
      </c>
      <c r="D196" s="150">
        <v>2370000</v>
      </c>
      <c r="E196" s="20" t="s">
        <v>440</v>
      </c>
      <c r="F196" s="20" t="s">
        <v>441</v>
      </c>
      <c r="G196" s="8" t="str">
        <f t="shared" si="3"/>
        <v>DELGADO DIANAH</v>
      </c>
    </row>
    <row r="197" spans="1:7" x14ac:dyDescent="0.25">
      <c r="A197" s="8">
        <v>42812.73715277778</v>
      </c>
      <c r="B197" s="20" t="s">
        <v>501</v>
      </c>
      <c r="C197" s="20" t="s">
        <v>731</v>
      </c>
      <c r="D197" s="150">
        <v>2630000</v>
      </c>
      <c r="E197" s="20" t="s">
        <v>510</v>
      </c>
      <c r="F197" s="20" t="s">
        <v>511</v>
      </c>
      <c r="G197" s="8" t="str">
        <f t="shared" si="3"/>
        <v>SAFIEF AEIMEN</v>
      </c>
    </row>
    <row r="198" spans="1:7" x14ac:dyDescent="0.25">
      <c r="A198" s="8">
        <v>42812.737442129626</v>
      </c>
      <c r="B198" s="20" t="s">
        <v>409</v>
      </c>
      <c r="C198" s="20" t="s">
        <v>730</v>
      </c>
      <c r="D198" s="150">
        <v>2370000</v>
      </c>
      <c r="E198" s="20" t="s">
        <v>440</v>
      </c>
      <c r="F198" s="20" t="s">
        <v>441</v>
      </c>
      <c r="G198" s="8" t="str">
        <f t="shared" si="3"/>
        <v>DELGADO DIANAH</v>
      </c>
    </row>
    <row r="199" spans="1:7" x14ac:dyDescent="0.25">
      <c r="A199" s="8">
        <v>42812.738182870373</v>
      </c>
      <c r="B199" s="20" t="s">
        <v>409</v>
      </c>
      <c r="C199" s="20" t="s">
        <v>730</v>
      </c>
      <c r="D199" s="150">
        <v>2370000</v>
      </c>
      <c r="E199" s="20" t="s">
        <v>440</v>
      </c>
      <c r="F199" s="20" t="s">
        <v>441</v>
      </c>
      <c r="G199" s="8" t="str">
        <f t="shared" si="3"/>
        <v>DELGADO DIANAH</v>
      </c>
    </row>
    <row r="200" spans="1:7" x14ac:dyDescent="0.25">
      <c r="A200" s="8">
        <v>42812.739942129629</v>
      </c>
      <c r="B200" s="20" t="s">
        <v>467</v>
      </c>
      <c r="C200" s="20" t="s">
        <v>732</v>
      </c>
      <c r="D200" s="150">
        <v>1300000</v>
      </c>
      <c r="E200" s="20" t="s">
        <v>684</v>
      </c>
      <c r="F200" s="20" t="s">
        <v>685</v>
      </c>
      <c r="G200" s="8" t="str">
        <f t="shared" si="3"/>
        <v>LEVIN SCOTT</v>
      </c>
    </row>
    <row r="201" spans="1:7" x14ac:dyDescent="0.25">
      <c r="A201" s="8">
        <v>42812.740763888891</v>
      </c>
      <c r="B201" s="20" t="s">
        <v>467</v>
      </c>
      <c r="C201" s="20" t="s">
        <v>732</v>
      </c>
      <c r="D201" s="150">
        <v>1300000</v>
      </c>
      <c r="E201" s="20" t="s">
        <v>684</v>
      </c>
      <c r="F201" s="20" t="s">
        <v>685</v>
      </c>
      <c r="G201" s="8" t="str">
        <f t="shared" si="3"/>
        <v>LEVIN SCOTT</v>
      </c>
    </row>
    <row r="202" spans="1:7" x14ac:dyDescent="0.25">
      <c r="A202" s="26">
        <v>42812.742372685185</v>
      </c>
      <c r="B202" s="20" t="s">
        <v>575</v>
      </c>
      <c r="C202" s="20" t="s">
        <v>733</v>
      </c>
      <c r="D202" s="150">
        <v>2230000</v>
      </c>
      <c r="E202" s="20" t="s">
        <v>464</v>
      </c>
      <c r="F202" s="20" t="s">
        <v>198</v>
      </c>
      <c r="G202" s="8" t="str">
        <f t="shared" si="3"/>
        <v>SMITH MICHAEL</v>
      </c>
    </row>
    <row r="203" spans="1:7" x14ac:dyDescent="0.25">
      <c r="A203" s="8">
        <v>42812.743078703701</v>
      </c>
      <c r="B203" s="20" t="s">
        <v>575</v>
      </c>
      <c r="C203" s="20" t="s">
        <v>733</v>
      </c>
      <c r="D203" s="150">
        <v>2230000</v>
      </c>
      <c r="E203" s="20" t="s">
        <v>464</v>
      </c>
      <c r="F203" s="20" t="s">
        <v>198</v>
      </c>
      <c r="G203" s="8" t="str">
        <f t="shared" si="3"/>
        <v>SMITH MICHAEL</v>
      </c>
    </row>
    <row r="204" spans="1:7" x14ac:dyDescent="0.25">
      <c r="A204" s="8">
        <v>42812.743541666663</v>
      </c>
      <c r="B204" s="20" t="s">
        <v>420</v>
      </c>
      <c r="C204" s="20" t="s">
        <v>587</v>
      </c>
      <c r="D204" s="150">
        <v>1770000</v>
      </c>
      <c r="E204" s="20" t="s">
        <v>442</v>
      </c>
      <c r="F204" s="20" t="s">
        <v>443</v>
      </c>
      <c r="G204" s="8" t="str">
        <f t="shared" si="3"/>
        <v>BRUDER RICHARD</v>
      </c>
    </row>
    <row r="205" spans="1:7" x14ac:dyDescent="0.25">
      <c r="A205" s="8">
        <v>42812.744097222225</v>
      </c>
      <c r="B205" s="20" t="s">
        <v>575</v>
      </c>
      <c r="C205" s="20" t="s">
        <v>733</v>
      </c>
      <c r="D205" s="150">
        <v>2230000</v>
      </c>
      <c r="E205" s="20" t="s">
        <v>464</v>
      </c>
      <c r="F205" s="20" t="s">
        <v>198</v>
      </c>
      <c r="G205" s="8" t="str">
        <f t="shared" si="3"/>
        <v>SMITH MICHAEL</v>
      </c>
    </row>
    <row r="206" spans="1:7" x14ac:dyDescent="0.25">
      <c r="A206" s="8">
        <v>42812.744803240741</v>
      </c>
      <c r="B206" s="20" t="s">
        <v>420</v>
      </c>
      <c r="C206" s="20" t="s">
        <v>587</v>
      </c>
      <c r="D206" s="150">
        <v>1770000</v>
      </c>
      <c r="E206" s="20" t="s">
        <v>442</v>
      </c>
      <c r="F206" s="20" t="s">
        <v>443</v>
      </c>
      <c r="G206" s="8" t="str">
        <f t="shared" si="3"/>
        <v>BRUDER RICHARD</v>
      </c>
    </row>
    <row r="207" spans="1:7" x14ac:dyDescent="0.25">
      <c r="A207" s="8">
        <v>42812.747523148151</v>
      </c>
      <c r="B207" s="20" t="s">
        <v>432</v>
      </c>
      <c r="C207" s="20" t="s">
        <v>588</v>
      </c>
      <c r="D207" s="150">
        <v>2450000</v>
      </c>
      <c r="E207" s="20" t="s">
        <v>691</v>
      </c>
      <c r="F207" s="20" t="s">
        <v>692</v>
      </c>
      <c r="G207" s="8" t="str">
        <f t="shared" si="3"/>
        <v>NELSON ARIANE</v>
      </c>
    </row>
    <row r="208" spans="1:7" x14ac:dyDescent="0.25">
      <c r="A208" s="8">
        <v>42812.750555555554</v>
      </c>
      <c r="B208" s="20" t="s">
        <v>432</v>
      </c>
      <c r="C208" s="20" t="s">
        <v>588</v>
      </c>
      <c r="D208" s="150">
        <v>2450000</v>
      </c>
      <c r="E208" s="20" t="s">
        <v>691</v>
      </c>
      <c r="F208" s="20" t="s">
        <v>692</v>
      </c>
      <c r="G208" s="8" t="str">
        <f t="shared" si="3"/>
        <v>NELSON ARIANE</v>
      </c>
    </row>
    <row r="209" spans="1:7" x14ac:dyDescent="0.25">
      <c r="A209" s="8">
        <v>42812.75476851852</v>
      </c>
      <c r="B209" s="20" t="s">
        <v>417</v>
      </c>
      <c r="C209" s="20" t="s">
        <v>590</v>
      </c>
      <c r="D209" s="150">
        <v>2440000</v>
      </c>
      <c r="E209" s="20" t="s">
        <v>508</v>
      </c>
      <c r="F209" s="20" t="s">
        <v>509</v>
      </c>
      <c r="G209" s="8" t="str">
        <f t="shared" si="3"/>
        <v>LOPES KIMBERLY</v>
      </c>
    </row>
    <row r="210" spans="1:7" x14ac:dyDescent="0.25">
      <c r="A210" s="8">
        <v>42812.755914351852</v>
      </c>
      <c r="B210" s="20" t="s">
        <v>417</v>
      </c>
      <c r="C210" s="20" t="s">
        <v>590</v>
      </c>
      <c r="D210" s="150">
        <v>2440000</v>
      </c>
      <c r="E210" s="20" t="s">
        <v>508</v>
      </c>
      <c r="F210" s="20" t="s">
        <v>509</v>
      </c>
      <c r="G210" s="8" t="str">
        <f t="shared" si="3"/>
        <v>LOPES KIMBERLY</v>
      </c>
    </row>
    <row r="211" spans="1:7" x14ac:dyDescent="0.25">
      <c r="A211" s="8">
        <v>42812.756655092591</v>
      </c>
      <c r="B211" s="20" t="s">
        <v>505</v>
      </c>
      <c r="C211" s="20" t="s">
        <v>734</v>
      </c>
      <c r="D211" s="150">
        <v>2000000</v>
      </c>
      <c r="E211" s="20" t="s">
        <v>411</v>
      </c>
      <c r="F211" s="20" t="s">
        <v>195</v>
      </c>
      <c r="G211" s="8" t="str">
        <f t="shared" si="3"/>
        <v>STAMBAUGH JAMES</v>
      </c>
    </row>
    <row r="212" spans="1:7" x14ac:dyDescent="0.25">
      <c r="A212" s="8">
        <v>42812.763078703705</v>
      </c>
      <c r="B212" s="20" t="s">
        <v>462</v>
      </c>
      <c r="C212" s="20" t="s">
        <v>735</v>
      </c>
      <c r="D212" s="150">
        <v>1540000</v>
      </c>
      <c r="E212" s="20" t="s">
        <v>438</v>
      </c>
      <c r="F212" s="20" t="s">
        <v>439</v>
      </c>
      <c r="G212" s="8" t="str">
        <f t="shared" si="3"/>
        <v>HELVIE ADAM</v>
      </c>
    </row>
    <row r="213" spans="1:7" x14ac:dyDescent="0.25">
      <c r="A213" s="8">
        <v>42812.763252314813</v>
      </c>
      <c r="B213" s="20" t="s">
        <v>575</v>
      </c>
      <c r="C213" s="20" t="s">
        <v>733</v>
      </c>
      <c r="D213" s="150">
        <v>2230000</v>
      </c>
      <c r="E213" s="20" t="s">
        <v>464</v>
      </c>
      <c r="F213" s="20" t="s">
        <v>198</v>
      </c>
      <c r="G213" s="8" t="str">
        <f t="shared" si="3"/>
        <v>SMITH MICHAEL</v>
      </c>
    </row>
    <row r="214" spans="1:7" x14ac:dyDescent="0.25">
      <c r="A214" s="8">
        <v>42812.76599537037</v>
      </c>
      <c r="B214" s="20" t="s">
        <v>497</v>
      </c>
      <c r="C214" s="20" t="s">
        <v>736</v>
      </c>
      <c r="D214" s="150">
        <v>2150000</v>
      </c>
      <c r="E214" s="20" t="s">
        <v>398</v>
      </c>
      <c r="F214" s="20" t="s">
        <v>399</v>
      </c>
      <c r="G214" s="8" t="str">
        <f t="shared" si="3"/>
        <v>SWANSON BRYCE</v>
      </c>
    </row>
    <row r="215" spans="1:7" x14ac:dyDescent="0.25">
      <c r="A215" s="8">
        <v>42812.766006944446</v>
      </c>
      <c r="B215" s="20" t="s">
        <v>500</v>
      </c>
      <c r="C215" s="20" t="s">
        <v>589</v>
      </c>
      <c r="D215" s="150">
        <v>2480000</v>
      </c>
      <c r="E215" s="20" t="s">
        <v>448</v>
      </c>
      <c r="F215" s="20" t="s">
        <v>449</v>
      </c>
      <c r="G215" s="8" t="str">
        <f t="shared" si="3"/>
        <v>WHITED DUSTIN</v>
      </c>
    </row>
    <row r="216" spans="1:7" x14ac:dyDescent="0.25">
      <c r="A216" s="8">
        <v>42812.767025462963</v>
      </c>
      <c r="B216" s="20" t="s">
        <v>500</v>
      </c>
      <c r="C216" s="20" t="s">
        <v>589</v>
      </c>
      <c r="D216" s="150">
        <v>2480000</v>
      </c>
      <c r="E216" s="20" t="s">
        <v>448</v>
      </c>
      <c r="F216" s="20" t="s">
        <v>449</v>
      </c>
      <c r="G216" s="8" t="str">
        <f t="shared" si="3"/>
        <v>WHITED DUSTIN</v>
      </c>
    </row>
    <row r="217" spans="1:7" x14ac:dyDescent="0.25">
      <c r="A217" s="8">
        <v>42812.767835648148</v>
      </c>
      <c r="B217" s="20" t="s">
        <v>497</v>
      </c>
      <c r="C217" s="20" t="s">
        <v>736</v>
      </c>
      <c r="D217" s="150">
        <v>2150000</v>
      </c>
      <c r="E217" s="20" t="s">
        <v>398</v>
      </c>
      <c r="F217" s="20" t="s">
        <v>399</v>
      </c>
      <c r="G217" s="8" t="str">
        <f t="shared" si="3"/>
        <v>SWANSON BRYCE</v>
      </c>
    </row>
    <row r="218" spans="1:7" x14ac:dyDescent="0.25">
      <c r="A218" s="8">
        <v>42812.768252314818</v>
      </c>
      <c r="B218" s="20" t="s">
        <v>500</v>
      </c>
      <c r="C218" s="20" t="s">
        <v>589</v>
      </c>
      <c r="D218" s="150">
        <v>2480000</v>
      </c>
      <c r="E218" s="20" t="s">
        <v>448</v>
      </c>
      <c r="F218" s="20" t="s">
        <v>449</v>
      </c>
      <c r="G218" s="8" t="str">
        <f t="shared" si="3"/>
        <v>WHITED DUSTIN</v>
      </c>
    </row>
    <row r="219" spans="1:7" x14ac:dyDescent="0.25">
      <c r="A219" s="8">
        <v>42812.769479166665</v>
      </c>
      <c r="B219" s="20" t="s">
        <v>432</v>
      </c>
      <c r="C219" s="20" t="s">
        <v>588</v>
      </c>
      <c r="D219" s="150">
        <v>2450000</v>
      </c>
      <c r="E219" s="20" t="s">
        <v>691</v>
      </c>
      <c r="F219" s="20" t="s">
        <v>692</v>
      </c>
      <c r="G219" s="8" t="str">
        <f t="shared" si="3"/>
        <v>NELSON ARIANE</v>
      </c>
    </row>
    <row r="220" spans="1:7" x14ac:dyDescent="0.25">
      <c r="A220" s="8">
        <v>42812.770231481481</v>
      </c>
      <c r="B220" s="20" t="s">
        <v>432</v>
      </c>
      <c r="C220" s="20" t="s">
        <v>588</v>
      </c>
      <c r="D220" s="150">
        <v>2450000</v>
      </c>
      <c r="E220" s="20" t="s">
        <v>691</v>
      </c>
      <c r="F220" s="20" t="s">
        <v>692</v>
      </c>
      <c r="G220" s="8" t="str">
        <f t="shared" si="3"/>
        <v>NELSON ARIANE</v>
      </c>
    </row>
    <row r="221" spans="1:7" x14ac:dyDescent="0.25">
      <c r="A221" s="8">
        <v>42812.777013888888</v>
      </c>
      <c r="B221" s="20" t="s">
        <v>459</v>
      </c>
      <c r="C221" s="20" t="s">
        <v>737</v>
      </c>
      <c r="D221" s="150">
        <v>1540000</v>
      </c>
      <c r="E221" s="20" t="s">
        <v>438</v>
      </c>
      <c r="F221" s="20" t="s">
        <v>439</v>
      </c>
      <c r="G221" s="8" t="str">
        <f t="shared" si="3"/>
        <v>HELVIE ADAM</v>
      </c>
    </row>
    <row r="222" spans="1:7" x14ac:dyDescent="0.25">
      <c r="A222" s="8">
        <v>42812.77753472222</v>
      </c>
      <c r="B222" s="20" t="s">
        <v>410</v>
      </c>
      <c r="C222" s="20" t="s">
        <v>738</v>
      </c>
      <c r="D222" s="150">
        <v>2270000</v>
      </c>
      <c r="E222" s="20" t="s">
        <v>210</v>
      </c>
      <c r="F222" s="20" t="s">
        <v>211</v>
      </c>
      <c r="G222" s="8" t="str">
        <f t="shared" si="3"/>
        <v>BROWN JACOB</v>
      </c>
    </row>
    <row r="223" spans="1:7" x14ac:dyDescent="0.25">
      <c r="A223" s="8">
        <v>42812.778101851851</v>
      </c>
      <c r="B223" s="20" t="s">
        <v>410</v>
      </c>
      <c r="C223" s="20" t="s">
        <v>738</v>
      </c>
      <c r="D223" s="150">
        <v>2270000</v>
      </c>
      <c r="E223" s="20" t="s">
        <v>210</v>
      </c>
      <c r="F223" s="20" t="s">
        <v>211</v>
      </c>
      <c r="G223" s="8" t="str">
        <f t="shared" si="3"/>
        <v>BROWN JACOB</v>
      </c>
    </row>
    <row r="224" spans="1:7" x14ac:dyDescent="0.25">
      <c r="A224" s="8">
        <v>42812.778726851851</v>
      </c>
      <c r="B224" t="s">
        <v>410</v>
      </c>
      <c r="C224" t="s">
        <v>738</v>
      </c>
      <c r="D224" s="150">
        <v>2270000</v>
      </c>
      <c r="E224" t="s">
        <v>210</v>
      </c>
      <c r="F224" s="20" t="s">
        <v>211</v>
      </c>
      <c r="G224" s="8" t="str">
        <f t="shared" si="3"/>
        <v>BROWN JACOB</v>
      </c>
    </row>
    <row r="225" spans="1:7" x14ac:dyDescent="0.25">
      <c r="A225" s="8">
        <v>42812.780347222222</v>
      </c>
      <c r="B225" t="s">
        <v>410</v>
      </c>
      <c r="C225" t="s">
        <v>738</v>
      </c>
      <c r="D225" s="150">
        <v>2270000</v>
      </c>
      <c r="E225" t="s">
        <v>210</v>
      </c>
      <c r="F225" s="20" t="s">
        <v>211</v>
      </c>
      <c r="G225" s="8" t="str">
        <f t="shared" si="3"/>
        <v>BROWN JACOB</v>
      </c>
    </row>
    <row r="226" spans="1:7" x14ac:dyDescent="0.25">
      <c r="A226" s="8">
        <v>42812.782129629632</v>
      </c>
      <c r="B226" t="s">
        <v>201</v>
      </c>
      <c r="C226" t="s">
        <v>739</v>
      </c>
      <c r="D226" s="150">
        <v>2230000</v>
      </c>
      <c r="E226" t="s">
        <v>464</v>
      </c>
      <c r="F226" s="20" t="s">
        <v>198</v>
      </c>
      <c r="G226" s="8" t="str">
        <f t="shared" si="3"/>
        <v>SMITH MICHAEL</v>
      </c>
    </row>
    <row r="227" spans="1:7" x14ac:dyDescent="0.25">
      <c r="A227" s="8">
        <v>42812.790706018517</v>
      </c>
      <c r="B227" t="s">
        <v>431</v>
      </c>
      <c r="C227" t="s">
        <v>592</v>
      </c>
      <c r="D227" s="150">
        <v>2450000</v>
      </c>
      <c r="E227" t="s">
        <v>691</v>
      </c>
      <c r="F227" s="20" t="s">
        <v>692</v>
      </c>
      <c r="G227" s="8" t="str">
        <f t="shared" si="3"/>
        <v>NELSON ARIANE</v>
      </c>
    </row>
    <row r="228" spans="1:7" x14ac:dyDescent="0.25">
      <c r="A228" s="8">
        <v>42812.797708333332</v>
      </c>
      <c r="B228" t="s">
        <v>502</v>
      </c>
      <c r="C228" t="s">
        <v>740</v>
      </c>
      <c r="D228" s="150">
        <v>2000000</v>
      </c>
      <c r="E228" t="s">
        <v>411</v>
      </c>
      <c r="F228" s="20" t="s">
        <v>195</v>
      </c>
      <c r="G228" s="8" t="str">
        <f t="shared" si="3"/>
        <v>STAMBAUGH JAMES</v>
      </c>
    </row>
    <row r="229" spans="1:7" x14ac:dyDescent="0.25">
      <c r="A229" s="8">
        <v>42812.805590277778</v>
      </c>
      <c r="B229" t="s">
        <v>462</v>
      </c>
      <c r="C229" t="s">
        <v>741</v>
      </c>
      <c r="D229" s="150">
        <v>1540000</v>
      </c>
      <c r="E229" t="s">
        <v>438</v>
      </c>
      <c r="F229" s="20" t="s">
        <v>439</v>
      </c>
      <c r="G229" s="8" t="str">
        <f t="shared" si="3"/>
        <v>HELVIE ADAM</v>
      </c>
    </row>
    <row r="230" spans="1:7" x14ac:dyDescent="0.25">
      <c r="A230" s="8">
        <v>42812.806354166663</v>
      </c>
      <c r="B230" t="s">
        <v>421</v>
      </c>
      <c r="C230" t="s">
        <v>742</v>
      </c>
      <c r="D230" s="150">
        <v>2630000</v>
      </c>
      <c r="E230" t="s">
        <v>510</v>
      </c>
      <c r="F230" s="20" t="s">
        <v>511</v>
      </c>
      <c r="G230" s="8" t="str">
        <f t="shared" si="3"/>
        <v>SAFIEF AEIMEN</v>
      </c>
    </row>
    <row r="231" spans="1:7" x14ac:dyDescent="0.25">
      <c r="A231" s="8">
        <v>42812.807372685187</v>
      </c>
      <c r="B231" t="s">
        <v>421</v>
      </c>
      <c r="C231" t="s">
        <v>742</v>
      </c>
      <c r="D231" s="150">
        <v>2630000</v>
      </c>
      <c r="E231" t="s">
        <v>510</v>
      </c>
      <c r="F231" s="20" t="s">
        <v>511</v>
      </c>
      <c r="G231" s="8" t="str">
        <f t="shared" si="3"/>
        <v>SAFIEF AEIMEN</v>
      </c>
    </row>
    <row r="232" spans="1:7" x14ac:dyDescent="0.25">
      <c r="A232" s="8">
        <v>42812.808715277781</v>
      </c>
      <c r="B232" t="s">
        <v>501</v>
      </c>
      <c r="C232" t="s">
        <v>743</v>
      </c>
      <c r="D232" s="150">
        <v>2150000</v>
      </c>
      <c r="E232" t="s">
        <v>398</v>
      </c>
      <c r="F232" s="20" t="s">
        <v>399</v>
      </c>
      <c r="G232" s="8" t="str">
        <f t="shared" si="3"/>
        <v>SWANSON BRYCE</v>
      </c>
    </row>
    <row r="233" spans="1:7" x14ac:dyDescent="0.25">
      <c r="A233" s="8">
        <v>42812.809837962966</v>
      </c>
      <c r="B233" t="s">
        <v>421</v>
      </c>
      <c r="C233" t="s">
        <v>742</v>
      </c>
      <c r="D233" s="150">
        <v>2630000</v>
      </c>
      <c r="E233" t="s">
        <v>510</v>
      </c>
      <c r="F233" s="20" t="s">
        <v>511</v>
      </c>
      <c r="G233" s="8" t="str">
        <f t="shared" si="3"/>
        <v>SAFIEF AEIMEN</v>
      </c>
    </row>
    <row r="234" spans="1:7" x14ac:dyDescent="0.25">
      <c r="A234" s="8">
        <v>42812.816180555557</v>
      </c>
      <c r="B234" t="s">
        <v>417</v>
      </c>
      <c r="C234" t="s">
        <v>590</v>
      </c>
      <c r="D234" s="150">
        <v>2440000</v>
      </c>
      <c r="E234" t="s">
        <v>508</v>
      </c>
      <c r="F234" s="20" t="s">
        <v>509</v>
      </c>
      <c r="G234" s="8" t="str">
        <f t="shared" si="3"/>
        <v>LOPES KIMBERLY</v>
      </c>
    </row>
    <row r="235" spans="1:7" x14ac:dyDescent="0.25">
      <c r="A235" s="8">
        <v>42812.817986111113</v>
      </c>
      <c r="B235" t="s">
        <v>459</v>
      </c>
      <c r="C235" t="s">
        <v>744</v>
      </c>
      <c r="D235" s="150">
        <v>1540000</v>
      </c>
      <c r="E235" t="s">
        <v>438</v>
      </c>
      <c r="F235" s="20" t="s">
        <v>439</v>
      </c>
      <c r="G235" s="8" t="str">
        <f t="shared" si="3"/>
        <v>HELVIE ADAM</v>
      </c>
    </row>
    <row r="236" spans="1:7" x14ac:dyDescent="0.25">
      <c r="A236" s="8">
        <v>42812.830474537041</v>
      </c>
      <c r="B236" t="s">
        <v>409</v>
      </c>
      <c r="C236" t="s">
        <v>593</v>
      </c>
      <c r="D236" s="150">
        <v>2270000</v>
      </c>
      <c r="E236" t="s">
        <v>210</v>
      </c>
      <c r="F236" s="20" t="s">
        <v>211</v>
      </c>
      <c r="G236" s="8" t="str">
        <f t="shared" si="3"/>
        <v>BROWN JACOB</v>
      </c>
    </row>
    <row r="237" spans="1:7" x14ac:dyDescent="0.25">
      <c r="A237" s="8">
        <v>42812.831053240741</v>
      </c>
      <c r="B237" t="s">
        <v>409</v>
      </c>
      <c r="C237" t="s">
        <v>593</v>
      </c>
      <c r="D237" s="150">
        <v>2270000</v>
      </c>
      <c r="E237" t="s">
        <v>210</v>
      </c>
      <c r="F237" s="20" t="s">
        <v>211</v>
      </c>
      <c r="G237" s="8" t="str">
        <f t="shared" si="3"/>
        <v>BROWN JACOB</v>
      </c>
    </row>
    <row r="238" spans="1:7" x14ac:dyDescent="0.25">
      <c r="A238" s="8">
        <v>42812.832025462965</v>
      </c>
      <c r="B238" t="s">
        <v>409</v>
      </c>
      <c r="C238" t="s">
        <v>593</v>
      </c>
      <c r="D238" s="150">
        <v>2270000</v>
      </c>
      <c r="E238" t="s">
        <v>210</v>
      </c>
      <c r="F238" s="20" t="s">
        <v>211</v>
      </c>
      <c r="G238" s="8" t="str">
        <f t="shared" si="3"/>
        <v>BROWN JACOB</v>
      </c>
    </row>
    <row r="239" spans="1:7" x14ac:dyDescent="0.25">
      <c r="A239" s="8">
        <v>42812.833148148151</v>
      </c>
      <c r="B239" t="s">
        <v>409</v>
      </c>
      <c r="C239" t="s">
        <v>593</v>
      </c>
      <c r="D239" s="150">
        <v>2270000</v>
      </c>
      <c r="E239" t="s">
        <v>210</v>
      </c>
      <c r="F239" s="20" t="s">
        <v>211</v>
      </c>
      <c r="G239" s="8" t="str">
        <f t="shared" si="3"/>
        <v>BROWN JACOB</v>
      </c>
    </row>
    <row r="240" spans="1:7" x14ac:dyDescent="0.25">
      <c r="A240" s="8">
        <v>42812.83488425926</v>
      </c>
      <c r="B240" t="s">
        <v>431</v>
      </c>
      <c r="C240" t="s">
        <v>592</v>
      </c>
      <c r="D240" s="150">
        <v>2450000</v>
      </c>
      <c r="E240" t="s">
        <v>691</v>
      </c>
      <c r="F240" s="20" t="s">
        <v>692</v>
      </c>
      <c r="G240" s="8" t="str">
        <f t="shared" si="3"/>
        <v>NELSON ARIANE</v>
      </c>
    </row>
    <row r="241" spans="1:7" x14ac:dyDescent="0.25">
      <c r="A241" s="8">
        <v>42812.835011574076</v>
      </c>
      <c r="B241" t="s">
        <v>201</v>
      </c>
      <c r="C241" t="s">
        <v>739</v>
      </c>
      <c r="D241" s="150">
        <v>2230000</v>
      </c>
      <c r="E241" t="s">
        <v>464</v>
      </c>
      <c r="F241" s="20" t="s">
        <v>198</v>
      </c>
      <c r="G241" s="8" t="str">
        <f t="shared" si="3"/>
        <v>SMITH MICHAEL</v>
      </c>
    </row>
    <row r="242" spans="1:7" x14ac:dyDescent="0.25">
      <c r="A242" s="8">
        <v>42812.843414351853</v>
      </c>
      <c r="B242" t="s">
        <v>499</v>
      </c>
      <c r="C242" t="s">
        <v>591</v>
      </c>
      <c r="D242" s="150">
        <v>2560000</v>
      </c>
      <c r="E242" t="s">
        <v>745</v>
      </c>
      <c r="F242" s="20" t="s">
        <v>746</v>
      </c>
      <c r="G242" s="8" t="str">
        <f t="shared" si="3"/>
        <v>MACDONALD THOMAS</v>
      </c>
    </row>
    <row r="243" spans="1:7" x14ac:dyDescent="0.25">
      <c r="A243" s="8">
        <v>42812.843518518515</v>
      </c>
      <c r="B243" t="s">
        <v>431</v>
      </c>
      <c r="C243" t="s">
        <v>592</v>
      </c>
      <c r="D243" s="150">
        <v>2450000</v>
      </c>
      <c r="E243" t="s">
        <v>691</v>
      </c>
      <c r="F243" s="20" t="s">
        <v>692</v>
      </c>
      <c r="G243" s="8" t="str">
        <f t="shared" si="3"/>
        <v>NELSON ARIANE</v>
      </c>
    </row>
    <row r="244" spans="1:7" x14ac:dyDescent="0.25">
      <c r="A244" s="8">
        <v>42812.844050925924</v>
      </c>
      <c r="B244" t="s">
        <v>499</v>
      </c>
      <c r="C244" t="s">
        <v>591</v>
      </c>
      <c r="D244" s="150">
        <v>2560000</v>
      </c>
      <c r="E244" t="s">
        <v>745</v>
      </c>
      <c r="F244" s="20" t="s">
        <v>746</v>
      </c>
      <c r="G244" s="8" t="str">
        <f t="shared" si="3"/>
        <v>MACDONALD THOMAS</v>
      </c>
    </row>
    <row r="245" spans="1:7" x14ac:dyDescent="0.25">
      <c r="A245" s="8">
        <v>42812.844965277778</v>
      </c>
      <c r="B245" t="s">
        <v>499</v>
      </c>
      <c r="C245" t="s">
        <v>591</v>
      </c>
      <c r="D245" s="150">
        <v>2560000</v>
      </c>
      <c r="E245" t="s">
        <v>745</v>
      </c>
      <c r="F245" s="20" t="s">
        <v>746</v>
      </c>
      <c r="G245" s="8" t="str">
        <f t="shared" si="3"/>
        <v>MACDONALD THOMAS</v>
      </c>
    </row>
    <row r="246" spans="1:7" x14ac:dyDescent="0.25">
      <c r="A246" s="8">
        <v>42812.846030092594</v>
      </c>
      <c r="B246" t="s">
        <v>462</v>
      </c>
      <c r="C246" t="s">
        <v>747</v>
      </c>
      <c r="D246" s="150">
        <v>1540000</v>
      </c>
      <c r="E246" t="s">
        <v>438</v>
      </c>
      <c r="F246" s="20" t="s">
        <v>439</v>
      </c>
      <c r="G246" s="8" t="str">
        <f t="shared" si="3"/>
        <v>HELVIE ADAM</v>
      </c>
    </row>
    <row r="247" spans="1:7" x14ac:dyDescent="0.25">
      <c r="A247" s="8">
        <v>42812.85119212963</v>
      </c>
      <c r="B247" t="s">
        <v>575</v>
      </c>
      <c r="C247" t="s">
        <v>594</v>
      </c>
      <c r="D247" s="150">
        <v>2230000</v>
      </c>
      <c r="E247" t="s">
        <v>464</v>
      </c>
      <c r="F247" s="20" t="s">
        <v>198</v>
      </c>
      <c r="G247" s="8" t="str">
        <f t="shared" si="3"/>
        <v>SMITH MICHAEL</v>
      </c>
    </row>
    <row r="248" spans="1:7" x14ac:dyDescent="0.25">
      <c r="A248" s="8">
        <v>42812.852048611108</v>
      </c>
      <c r="B248" t="s">
        <v>575</v>
      </c>
      <c r="C248" t="s">
        <v>594</v>
      </c>
      <c r="D248" s="150">
        <v>2230000</v>
      </c>
      <c r="E248" t="s">
        <v>464</v>
      </c>
      <c r="F248" s="20" t="s">
        <v>198</v>
      </c>
      <c r="G248" s="8" t="str">
        <f t="shared" si="3"/>
        <v>SMITH MICHAEL</v>
      </c>
    </row>
    <row r="249" spans="1:7" x14ac:dyDescent="0.25">
      <c r="A249" s="8">
        <v>42812.852372685185</v>
      </c>
      <c r="B249" t="s">
        <v>420</v>
      </c>
      <c r="C249" t="s">
        <v>595</v>
      </c>
      <c r="D249" s="150">
        <v>2630000</v>
      </c>
      <c r="E249" t="s">
        <v>510</v>
      </c>
      <c r="F249" s="20" t="s">
        <v>511</v>
      </c>
      <c r="G249" s="8" t="str">
        <f t="shared" si="3"/>
        <v>SAFIEF AEIMEN</v>
      </c>
    </row>
    <row r="250" spans="1:7" x14ac:dyDescent="0.25">
      <c r="A250" s="8">
        <v>42812.853321759256</v>
      </c>
      <c r="B250" t="s">
        <v>575</v>
      </c>
      <c r="C250" t="s">
        <v>594</v>
      </c>
      <c r="D250" s="150">
        <v>2230000</v>
      </c>
      <c r="E250" t="s">
        <v>464</v>
      </c>
      <c r="F250" s="20" t="s">
        <v>198</v>
      </c>
      <c r="G250" s="8" t="str">
        <f t="shared" si="3"/>
        <v>SMITH MICHAEL</v>
      </c>
    </row>
    <row r="251" spans="1:7" x14ac:dyDescent="0.25">
      <c r="A251" s="8">
        <v>42812.854247685187</v>
      </c>
      <c r="B251" t="s">
        <v>575</v>
      </c>
      <c r="C251" t="s">
        <v>594</v>
      </c>
      <c r="D251" s="150">
        <v>2230000</v>
      </c>
      <c r="E251" t="s">
        <v>464</v>
      </c>
      <c r="F251" s="20" t="s">
        <v>198</v>
      </c>
      <c r="G251" s="8" t="str">
        <f t="shared" si="3"/>
        <v>SMITH MICHAEL</v>
      </c>
    </row>
    <row r="252" spans="1:7" x14ac:dyDescent="0.25">
      <c r="A252" s="8">
        <v>42812.859027777777</v>
      </c>
      <c r="B252" t="s">
        <v>432</v>
      </c>
      <c r="C252" t="s">
        <v>748</v>
      </c>
      <c r="D252" s="150">
        <v>2450000</v>
      </c>
      <c r="E252" t="s">
        <v>691</v>
      </c>
      <c r="F252" s="20" t="s">
        <v>692</v>
      </c>
      <c r="G252" s="8" t="str">
        <f t="shared" si="3"/>
        <v>NELSON ARIANE</v>
      </c>
    </row>
    <row r="253" spans="1:7" x14ac:dyDescent="0.25">
      <c r="A253" s="8">
        <v>42812.859166666669</v>
      </c>
      <c r="B253" t="s">
        <v>459</v>
      </c>
      <c r="C253" t="s">
        <v>749</v>
      </c>
      <c r="D253" s="150">
        <v>1540000</v>
      </c>
      <c r="E253" t="s">
        <v>438</v>
      </c>
      <c r="F253" s="20" t="s">
        <v>439</v>
      </c>
      <c r="G253" s="8" t="str">
        <f t="shared" si="3"/>
        <v>HELVIE ADAM</v>
      </c>
    </row>
    <row r="254" spans="1:7" x14ac:dyDescent="0.25">
      <c r="A254" s="8">
        <v>42812.88082175926</v>
      </c>
      <c r="B254" t="s">
        <v>497</v>
      </c>
      <c r="C254" t="s">
        <v>750</v>
      </c>
      <c r="D254" s="150">
        <v>2150000</v>
      </c>
      <c r="E254" t="s">
        <v>398</v>
      </c>
      <c r="F254" s="20" t="s">
        <v>399</v>
      </c>
      <c r="G254" s="8" t="str">
        <f t="shared" si="3"/>
        <v>SWANSON BRYCE</v>
      </c>
    </row>
    <row r="255" spans="1:7" x14ac:dyDescent="0.25">
      <c r="A255" s="8">
        <v>42812.881689814814</v>
      </c>
      <c r="B255" t="s">
        <v>497</v>
      </c>
      <c r="C255" t="s">
        <v>750</v>
      </c>
      <c r="D255" s="150">
        <v>2150000</v>
      </c>
      <c r="E255" t="s">
        <v>398</v>
      </c>
      <c r="F255" s="20" t="s">
        <v>399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500</v>
      </c>
      <c r="C256" t="s">
        <v>751</v>
      </c>
      <c r="D256" s="150">
        <v>2560000</v>
      </c>
      <c r="E256" t="s">
        <v>745</v>
      </c>
      <c r="F256" s="20" t="s">
        <v>746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462</v>
      </c>
      <c r="C257" t="s">
        <v>752</v>
      </c>
      <c r="D257" s="150">
        <v>1540000</v>
      </c>
      <c r="E257" t="s">
        <v>438</v>
      </c>
      <c r="F257" s="20" t="s">
        <v>439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500</v>
      </c>
      <c r="C258" t="s">
        <v>753</v>
      </c>
      <c r="D258" s="150">
        <v>2560000</v>
      </c>
      <c r="E258" t="s">
        <v>745</v>
      </c>
      <c r="F258" s="20" t="s">
        <v>746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500</v>
      </c>
      <c r="C259" t="s">
        <v>753</v>
      </c>
      <c r="D259" s="150">
        <v>2560000</v>
      </c>
      <c r="E259" t="s">
        <v>745</v>
      </c>
      <c r="F259" s="20" t="s">
        <v>746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500</v>
      </c>
      <c r="C260" t="s">
        <v>753</v>
      </c>
      <c r="D260" s="150">
        <v>2560000</v>
      </c>
      <c r="E260" t="s">
        <v>745</v>
      </c>
      <c r="F260" s="20" t="s">
        <v>746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500</v>
      </c>
      <c r="C261" t="s">
        <v>753</v>
      </c>
      <c r="D261" s="150">
        <v>2560000</v>
      </c>
      <c r="E261" t="s">
        <v>745</v>
      </c>
      <c r="F261" s="20" t="s">
        <v>746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459</v>
      </c>
      <c r="C262" t="s">
        <v>754</v>
      </c>
      <c r="D262" s="150">
        <v>1540000</v>
      </c>
      <c r="E262" t="s">
        <v>438</v>
      </c>
      <c r="F262" s="20" t="s">
        <v>439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755</v>
      </c>
      <c r="D263" s="150">
        <v>2230000</v>
      </c>
      <c r="E263" t="s">
        <v>464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410</v>
      </c>
      <c r="C264" t="s">
        <v>756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462</v>
      </c>
      <c r="C265" t="s">
        <v>757</v>
      </c>
      <c r="D265" s="150">
        <v>1540000</v>
      </c>
      <c r="E265" t="s">
        <v>438</v>
      </c>
      <c r="F265" s="20" t="s">
        <v>439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500</v>
      </c>
      <c r="C266" t="s">
        <v>753</v>
      </c>
      <c r="D266" s="150">
        <v>2560000</v>
      </c>
      <c r="E266" t="s">
        <v>745</v>
      </c>
      <c r="F266" s="20" t="s">
        <v>746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501</v>
      </c>
      <c r="C267" t="s">
        <v>758</v>
      </c>
      <c r="D267" s="150">
        <v>2150000</v>
      </c>
      <c r="E267" t="s">
        <v>398</v>
      </c>
      <c r="F267" s="20" t="s">
        <v>399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421</v>
      </c>
      <c r="C268" t="s">
        <v>759</v>
      </c>
      <c r="D268" s="150">
        <v>2000000</v>
      </c>
      <c r="E268" t="s">
        <v>411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459</v>
      </c>
      <c r="C269" t="s">
        <v>760</v>
      </c>
      <c r="D269" s="150">
        <v>1540000</v>
      </c>
      <c r="E269" t="s">
        <v>438</v>
      </c>
      <c r="F269" s="20" t="s">
        <v>439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462</v>
      </c>
      <c r="C270" t="s">
        <v>761</v>
      </c>
      <c r="D270" s="150">
        <v>2630000</v>
      </c>
      <c r="E270" t="s">
        <v>510</v>
      </c>
      <c r="F270" s="20" t="s">
        <v>511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421</v>
      </c>
      <c r="C271" t="s">
        <v>759</v>
      </c>
      <c r="D271" s="150">
        <v>2000000</v>
      </c>
      <c r="E271" t="s">
        <v>411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755</v>
      </c>
      <c r="D272" s="150">
        <v>2230000</v>
      </c>
      <c r="E272" t="s">
        <v>464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409</v>
      </c>
      <c r="C273" t="s">
        <v>596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459</v>
      </c>
      <c r="C274" t="s">
        <v>762</v>
      </c>
      <c r="D274" s="150">
        <v>2630000</v>
      </c>
      <c r="E274" t="s">
        <v>510</v>
      </c>
      <c r="F274" s="20" t="s">
        <v>511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409</v>
      </c>
      <c r="C275" t="s">
        <v>596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409</v>
      </c>
      <c r="C276" t="s">
        <v>596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575</v>
      </c>
      <c r="C277" t="s">
        <v>763</v>
      </c>
      <c r="D277" s="150">
        <v>2230000</v>
      </c>
      <c r="E277" t="s">
        <v>464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575</v>
      </c>
      <c r="C278" t="s">
        <v>764</v>
      </c>
      <c r="D278" s="150">
        <v>2230000</v>
      </c>
      <c r="E278" t="s">
        <v>464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497</v>
      </c>
      <c r="C279" t="s">
        <v>597</v>
      </c>
      <c r="D279" s="150">
        <v>2150000</v>
      </c>
      <c r="E279" t="s">
        <v>398</v>
      </c>
      <c r="F279" s="20" t="s">
        <v>399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497</v>
      </c>
      <c r="C280" t="s">
        <v>597</v>
      </c>
      <c r="D280" s="150">
        <v>2150000</v>
      </c>
      <c r="E280" t="s">
        <v>398</v>
      </c>
      <c r="F280" s="20" t="s">
        <v>399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575</v>
      </c>
      <c r="C281" t="s">
        <v>764</v>
      </c>
      <c r="D281" s="150">
        <v>2230000</v>
      </c>
      <c r="E281" t="s">
        <v>464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420</v>
      </c>
      <c r="C282" t="s">
        <v>765</v>
      </c>
      <c r="D282" s="150">
        <v>2000000</v>
      </c>
      <c r="E282" t="s">
        <v>411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575</v>
      </c>
      <c r="C283" t="s">
        <v>764</v>
      </c>
      <c r="D283" s="150">
        <v>2230000</v>
      </c>
      <c r="E283" t="s">
        <v>464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499</v>
      </c>
      <c r="C284" t="s">
        <v>766</v>
      </c>
      <c r="D284" s="150">
        <v>2560000</v>
      </c>
      <c r="E284" t="s">
        <v>745</v>
      </c>
      <c r="F284" s="20" t="s">
        <v>746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575</v>
      </c>
      <c r="C285" t="s">
        <v>764</v>
      </c>
      <c r="D285" s="150">
        <v>2230000</v>
      </c>
      <c r="E285" t="s">
        <v>464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410</v>
      </c>
      <c r="C286" t="s">
        <v>767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768</v>
      </c>
      <c r="D287" s="150">
        <v>2230000</v>
      </c>
      <c r="E287" t="s">
        <v>464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421</v>
      </c>
      <c r="C288" t="s">
        <v>769</v>
      </c>
      <c r="D288" s="150">
        <v>2000000</v>
      </c>
      <c r="E288" t="s">
        <v>411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501</v>
      </c>
      <c r="C289" t="s">
        <v>770</v>
      </c>
      <c r="D289" s="150">
        <v>2150000</v>
      </c>
      <c r="E289" t="s">
        <v>398</v>
      </c>
      <c r="F289" s="20" t="s">
        <v>399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501</v>
      </c>
      <c r="C290" t="s">
        <v>770</v>
      </c>
      <c r="D290" s="150">
        <v>2150000</v>
      </c>
      <c r="E290" t="s">
        <v>398</v>
      </c>
      <c r="F290" s="20" t="s">
        <v>399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501</v>
      </c>
      <c r="C291" t="s">
        <v>770</v>
      </c>
      <c r="D291" s="150">
        <v>2150000</v>
      </c>
      <c r="E291" t="s">
        <v>398</v>
      </c>
      <c r="F291" s="20" t="s">
        <v>399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575</v>
      </c>
      <c r="C292" t="s">
        <v>771</v>
      </c>
      <c r="D292" s="150">
        <v>2230000</v>
      </c>
      <c r="E292" t="s">
        <v>464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409</v>
      </c>
      <c r="C293" t="s">
        <v>772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409</v>
      </c>
      <c r="C294" t="s">
        <v>772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409</v>
      </c>
      <c r="C295" t="s">
        <v>772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462</v>
      </c>
      <c r="C296" t="s">
        <v>773</v>
      </c>
      <c r="D296" s="150">
        <v>2150000</v>
      </c>
      <c r="E296" t="s">
        <v>398</v>
      </c>
      <c r="F296" s="20" t="s">
        <v>399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410</v>
      </c>
      <c r="C297" t="s">
        <v>774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51.06</v>
      </c>
      <c r="B2" s="168">
        <v>0.23</v>
      </c>
      <c r="C2" s="168">
        <v>31.2</v>
      </c>
      <c r="D2" s="8">
        <v>42812</v>
      </c>
      <c r="E2" s="168">
        <v>0.46</v>
      </c>
      <c r="F2" s="168" t="s">
        <v>468</v>
      </c>
      <c r="G2" s="168">
        <v>315</v>
      </c>
      <c r="H2" s="168">
        <v>0</v>
      </c>
      <c r="I2" s="168">
        <v>0</v>
      </c>
      <c r="J2" s="168">
        <v>1022.69</v>
      </c>
      <c r="K2" s="168" t="s">
        <v>469</v>
      </c>
      <c r="L2" s="168">
        <v>51.06</v>
      </c>
      <c r="M2" s="168">
        <v>1489816800</v>
      </c>
      <c r="N2" s="168">
        <v>1.1000000000000001</v>
      </c>
      <c r="O2" s="168">
        <v>333</v>
      </c>
      <c r="P2" s="168">
        <v>1.98</v>
      </c>
      <c r="Q2"/>
      <c r="R2"/>
    </row>
    <row r="3" spans="1:18" x14ac:dyDescent="0.25">
      <c r="A3" s="168">
        <v>49.86</v>
      </c>
      <c r="B3" s="168">
        <v>0.26</v>
      </c>
      <c r="C3" s="168">
        <v>32.090000000000003</v>
      </c>
      <c r="D3" s="8">
        <v>42812.041666666664</v>
      </c>
      <c r="E3" s="168">
        <v>0.5</v>
      </c>
      <c r="F3" s="168" t="s">
        <v>468</v>
      </c>
      <c r="G3" s="168">
        <v>314.93</v>
      </c>
      <c r="H3" s="168">
        <v>0</v>
      </c>
      <c r="I3" s="168">
        <v>0</v>
      </c>
      <c r="J3" s="168">
        <v>1022.84</v>
      </c>
      <c r="K3" s="168" t="s">
        <v>469</v>
      </c>
      <c r="L3" s="168">
        <v>49.86</v>
      </c>
      <c r="M3" s="168">
        <v>1489820400</v>
      </c>
      <c r="N3" s="168">
        <v>1.1000000000000001</v>
      </c>
      <c r="O3" s="168">
        <v>319</v>
      </c>
      <c r="P3" s="168">
        <v>1.26</v>
      </c>
      <c r="Q3"/>
      <c r="R3"/>
    </row>
    <row r="4" spans="1:18" x14ac:dyDescent="0.25">
      <c r="A4" s="168">
        <v>47.57</v>
      </c>
      <c r="B4" s="168">
        <v>0.28000000000000003</v>
      </c>
      <c r="C4" s="168">
        <v>31.18</v>
      </c>
      <c r="D4" s="8">
        <v>42812.083333333336</v>
      </c>
      <c r="E4" s="168">
        <v>0.53</v>
      </c>
      <c r="F4" s="168" t="s">
        <v>468</v>
      </c>
      <c r="G4" s="168">
        <v>314.87</v>
      </c>
      <c r="H4" s="168">
        <v>0</v>
      </c>
      <c r="I4" s="168">
        <v>0</v>
      </c>
      <c r="J4" s="168">
        <v>1023.09</v>
      </c>
      <c r="K4" s="168" t="s">
        <v>469</v>
      </c>
      <c r="L4" s="168">
        <v>47.57</v>
      </c>
      <c r="M4" s="168">
        <v>1489824000</v>
      </c>
      <c r="N4" s="168">
        <v>1.1000000000000001</v>
      </c>
      <c r="O4" s="168">
        <v>263</v>
      </c>
      <c r="P4" s="168">
        <v>1.36</v>
      </c>
      <c r="Q4"/>
      <c r="R4"/>
    </row>
    <row r="5" spans="1:18" x14ac:dyDescent="0.25">
      <c r="A5" s="168">
        <v>45.7</v>
      </c>
      <c r="B5" s="168">
        <v>0.31</v>
      </c>
      <c r="C5" s="168">
        <v>29.39</v>
      </c>
      <c r="D5" s="8">
        <v>42812.125</v>
      </c>
      <c r="E5" s="168">
        <v>0.53</v>
      </c>
      <c r="F5" s="168" t="s">
        <v>468</v>
      </c>
      <c r="G5" s="168">
        <v>314.8</v>
      </c>
      <c r="H5" s="168">
        <v>0</v>
      </c>
      <c r="I5" s="168">
        <v>0</v>
      </c>
      <c r="J5" s="168">
        <v>1023.3</v>
      </c>
      <c r="K5" s="168" t="s">
        <v>469</v>
      </c>
      <c r="L5" s="168">
        <v>45.7</v>
      </c>
      <c r="M5" s="168">
        <v>1489827600</v>
      </c>
      <c r="N5" s="168">
        <v>1.1000000000000001</v>
      </c>
      <c r="O5" s="168">
        <v>186</v>
      </c>
      <c r="P5" s="168">
        <v>1.67</v>
      </c>
      <c r="Q5"/>
      <c r="R5"/>
    </row>
    <row r="6" spans="1:18" x14ac:dyDescent="0.25">
      <c r="A6" s="168">
        <v>43.06</v>
      </c>
      <c r="B6" s="168">
        <v>0.31</v>
      </c>
      <c r="C6" s="168">
        <v>28.37</v>
      </c>
      <c r="D6" s="8">
        <v>42812.166666666664</v>
      </c>
      <c r="E6" s="168">
        <v>0.56000000000000005</v>
      </c>
      <c r="F6" s="168" t="s">
        <v>468</v>
      </c>
      <c r="G6" s="168">
        <v>315.06</v>
      </c>
      <c r="H6" s="168">
        <v>0</v>
      </c>
      <c r="I6" s="168">
        <v>0</v>
      </c>
      <c r="J6" s="168">
        <v>1023.31</v>
      </c>
      <c r="K6" s="168" t="s">
        <v>469</v>
      </c>
      <c r="L6" s="168">
        <v>43.06</v>
      </c>
      <c r="M6" s="168">
        <v>1489831200</v>
      </c>
      <c r="N6" s="168">
        <v>1.1000000000000001</v>
      </c>
      <c r="O6" s="168">
        <v>256</v>
      </c>
      <c r="P6" s="168">
        <v>2.04</v>
      </c>
      <c r="Q6"/>
      <c r="R6"/>
    </row>
    <row r="7" spans="1:18" x14ac:dyDescent="0.25">
      <c r="A7" s="168">
        <v>41.46</v>
      </c>
      <c r="B7" s="168">
        <v>0.31</v>
      </c>
      <c r="C7" s="168">
        <v>27.83</v>
      </c>
      <c r="D7" s="8">
        <v>42812.208333333336</v>
      </c>
      <c r="E7" s="168">
        <v>0.57999999999999996</v>
      </c>
      <c r="F7" s="168" t="s">
        <v>468</v>
      </c>
      <c r="G7" s="168">
        <v>315.47000000000003</v>
      </c>
      <c r="H7" s="168">
        <v>0</v>
      </c>
      <c r="I7" s="168">
        <v>0</v>
      </c>
      <c r="J7" s="168">
        <v>1023.23</v>
      </c>
      <c r="K7" s="168" t="s">
        <v>469</v>
      </c>
      <c r="L7" s="168">
        <v>41.46</v>
      </c>
      <c r="M7" s="168">
        <v>1489834800</v>
      </c>
      <c r="N7" s="168">
        <v>1.1000000000000001</v>
      </c>
      <c r="O7" s="168">
        <v>318</v>
      </c>
      <c r="P7" s="168">
        <v>0.67</v>
      </c>
      <c r="Q7"/>
      <c r="R7"/>
    </row>
    <row r="8" spans="1:18" x14ac:dyDescent="0.25">
      <c r="A8" s="168">
        <v>40.53</v>
      </c>
      <c r="B8" s="168">
        <v>0.3</v>
      </c>
      <c r="C8" s="168">
        <v>27.5</v>
      </c>
      <c r="D8" s="8">
        <v>42812.25</v>
      </c>
      <c r="E8" s="168">
        <v>0.59</v>
      </c>
      <c r="F8" s="168" t="s">
        <v>468</v>
      </c>
      <c r="G8" s="168">
        <v>315.89999999999998</v>
      </c>
      <c r="H8" s="168">
        <v>0</v>
      </c>
      <c r="I8" s="168">
        <v>0</v>
      </c>
      <c r="J8" s="168">
        <v>1023.08</v>
      </c>
      <c r="K8" s="168" t="s">
        <v>469</v>
      </c>
      <c r="L8" s="168">
        <v>40.53</v>
      </c>
      <c r="M8" s="168">
        <v>1489838400</v>
      </c>
      <c r="N8" s="168">
        <v>1.1000000000000001</v>
      </c>
      <c r="O8" s="168">
        <v>250</v>
      </c>
      <c r="P8" s="168">
        <v>0.56000000000000005</v>
      </c>
      <c r="Q8"/>
      <c r="R8"/>
    </row>
    <row r="9" spans="1:18" x14ac:dyDescent="0.25">
      <c r="A9" s="168">
        <v>39.590000000000003</v>
      </c>
      <c r="B9" s="168">
        <v>0.28999999999999998</v>
      </c>
      <c r="C9" s="168">
        <v>27.97</v>
      </c>
      <c r="D9" s="8">
        <v>42812.291666666664</v>
      </c>
      <c r="E9" s="168">
        <v>0.63</v>
      </c>
      <c r="F9" s="168" t="s">
        <v>468</v>
      </c>
      <c r="G9" s="168">
        <v>316.24</v>
      </c>
      <c r="H9" s="168">
        <v>0</v>
      </c>
      <c r="I9" s="168">
        <v>0</v>
      </c>
      <c r="J9" s="168">
        <v>1022.96</v>
      </c>
      <c r="K9" s="168" t="s">
        <v>469</v>
      </c>
      <c r="L9" s="168">
        <v>39.590000000000003</v>
      </c>
      <c r="M9" s="168">
        <v>1489842000</v>
      </c>
      <c r="N9" s="168">
        <v>1.1000000000000001</v>
      </c>
      <c r="O9" s="168">
        <v>205</v>
      </c>
      <c r="P9" s="168">
        <v>0.56999999999999995</v>
      </c>
      <c r="Q9"/>
      <c r="R9"/>
    </row>
    <row r="10" spans="1:18" x14ac:dyDescent="0.25">
      <c r="A10" s="168">
        <v>40.06</v>
      </c>
      <c r="B10" s="168">
        <v>0.28000000000000003</v>
      </c>
      <c r="C10" s="168">
        <v>28.16</v>
      </c>
      <c r="D10" s="8">
        <v>42812.333333333336</v>
      </c>
      <c r="E10" s="168">
        <v>0.62</v>
      </c>
      <c r="F10" s="168" t="s">
        <v>468</v>
      </c>
      <c r="G10" s="168">
        <v>316.60000000000002</v>
      </c>
      <c r="H10" s="168">
        <v>0</v>
      </c>
      <c r="I10" s="168">
        <v>0</v>
      </c>
      <c r="J10" s="168">
        <v>1022.76</v>
      </c>
      <c r="K10" s="168" t="s">
        <v>469</v>
      </c>
      <c r="L10" s="168">
        <v>40.06</v>
      </c>
      <c r="M10" s="168">
        <v>1489845600</v>
      </c>
      <c r="N10" s="168">
        <v>1.1000000000000001</v>
      </c>
      <c r="O10" s="168">
        <v>266</v>
      </c>
      <c r="P10" s="168">
        <v>1.29</v>
      </c>
      <c r="Q10"/>
      <c r="R10"/>
    </row>
    <row r="11" spans="1:18" x14ac:dyDescent="0.25">
      <c r="A11" s="168">
        <v>45.73</v>
      </c>
      <c r="B11" s="168">
        <v>0.27</v>
      </c>
      <c r="C11" s="168">
        <v>31.57</v>
      </c>
      <c r="D11" s="8">
        <v>42812.375</v>
      </c>
      <c r="E11" s="168">
        <v>0.56999999999999995</v>
      </c>
      <c r="F11" s="168" t="s">
        <v>468</v>
      </c>
      <c r="G11" s="168">
        <v>317.2</v>
      </c>
      <c r="H11" s="168">
        <v>0</v>
      </c>
      <c r="I11" s="168">
        <v>0</v>
      </c>
      <c r="J11" s="168">
        <v>1022.17</v>
      </c>
      <c r="K11" s="168" t="s">
        <v>469</v>
      </c>
      <c r="L11" s="168">
        <v>45.73</v>
      </c>
      <c r="M11" s="168">
        <v>1489849200</v>
      </c>
      <c r="N11" s="168">
        <v>1.1000000000000001</v>
      </c>
      <c r="O11" s="168">
        <v>261</v>
      </c>
      <c r="P11" s="168">
        <v>1.79</v>
      </c>
      <c r="Q11"/>
      <c r="R11"/>
    </row>
    <row r="12" spans="1:18" x14ac:dyDescent="0.25">
      <c r="A12" s="168">
        <v>52.83</v>
      </c>
      <c r="B12" s="168">
        <v>0.25</v>
      </c>
      <c r="C12" s="168">
        <v>33.130000000000003</v>
      </c>
      <c r="D12" s="8">
        <v>42812.416666666664</v>
      </c>
      <c r="E12" s="168">
        <v>0.47</v>
      </c>
      <c r="F12" s="168" t="s">
        <v>468</v>
      </c>
      <c r="G12" s="168">
        <v>318.33999999999997</v>
      </c>
      <c r="H12" s="168">
        <v>0</v>
      </c>
      <c r="I12" s="168">
        <v>0</v>
      </c>
      <c r="J12" s="168">
        <v>1020.84</v>
      </c>
      <c r="K12" s="168" t="s">
        <v>469</v>
      </c>
      <c r="L12" s="168">
        <v>52.83</v>
      </c>
      <c r="M12" s="168">
        <v>1489852800</v>
      </c>
      <c r="N12" s="168">
        <v>1.1000000000000001</v>
      </c>
      <c r="O12" s="168">
        <v>218</v>
      </c>
      <c r="P12" s="168">
        <v>0.81</v>
      </c>
      <c r="Q12"/>
      <c r="R12"/>
    </row>
    <row r="13" spans="1:18" x14ac:dyDescent="0.25">
      <c r="A13" s="168">
        <v>61.84</v>
      </c>
      <c r="B13" s="168">
        <v>0.22</v>
      </c>
      <c r="C13" s="168">
        <v>31.6</v>
      </c>
      <c r="D13" s="8">
        <v>42812.458333333336</v>
      </c>
      <c r="E13" s="168">
        <v>0.32</v>
      </c>
      <c r="F13" s="168" t="s">
        <v>468</v>
      </c>
      <c r="G13" s="168">
        <v>319.72000000000003</v>
      </c>
      <c r="H13" s="168">
        <v>0</v>
      </c>
      <c r="I13" s="168">
        <v>0</v>
      </c>
      <c r="J13" s="168">
        <v>1019.38</v>
      </c>
      <c r="K13" s="168" t="s">
        <v>469</v>
      </c>
      <c r="L13" s="168">
        <v>61.84</v>
      </c>
      <c r="M13" s="168">
        <v>1489856400</v>
      </c>
      <c r="N13" s="168">
        <v>1.1000000000000001</v>
      </c>
      <c r="O13" s="168">
        <v>203</v>
      </c>
      <c r="P13" s="168">
        <v>2.41</v>
      </c>
      <c r="Q13"/>
      <c r="R13"/>
    </row>
    <row r="14" spans="1:18" x14ac:dyDescent="0.25">
      <c r="A14" s="168">
        <v>70.88</v>
      </c>
      <c r="B14" s="168">
        <v>0.19</v>
      </c>
      <c r="C14" s="168">
        <v>29.03</v>
      </c>
      <c r="D14" s="8">
        <v>42812.5</v>
      </c>
      <c r="E14" s="168">
        <v>0.21</v>
      </c>
      <c r="F14" s="168" t="s">
        <v>468</v>
      </c>
      <c r="G14" s="168">
        <v>320.60000000000002</v>
      </c>
      <c r="H14" s="168">
        <v>0</v>
      </c>
      <c r="I14" s="168">
        <v>0</v>
      </c>
      <c r="J14" s="168">
        <v>1018.17</v>
      </c>
      <c r="K14" s="168" t="s">
        <v>469</v>
      </c>
      <c r="L14" s="168">
        <v>70.88</v>
      </c>
      <c r="M14" s="168">
        <v>1489860000</v>
      </c>
      <c r="N14" s="168">
        <v>1.1000000000000001</v>
      </c>
      <c r="O14" s="168">
        <v>184</v>
      </c>
      <c r="P14" s="168">
        <v>2.15</v>
      </c>
      <c r="Q14"/>
      <c r="R14"/>
    </row>
    <row r="15" spans="1:18" x14ac:dyDescent="0.25">
      <c r="A15" s="168">
        <v>74.73</v>
      </c>
      <c r="B15" s="168">
        <v>0.16</v>
      </c>
      <c r="C15" s="168">
        <v>26.36</v>
      </c>
      <c r="D15" s="8">
        <v>42812.541666666664</v>
      </c>
      <c r="E15" s="168">
        <v>0.17</v>
      </c>
      <c r="F15" s="168" t="s">
        <v>468</v>
      </c>
      <c r="G15" s="168">
        <v>320.49</v>
      </c>
      <c r="H15" s="168">
        <v>0</v>
      </c>
      <c r="I15" s="168">
        <v>0</v>
      </c>
      <c r="J15" s="168">
        <v>1017.28</v>
      </c>
      <c r="K15" s="168" t="s">
        <v>469</v>
      </c>
      <c r="L15" s="168">
        <v>74.73</v>
      </c>
      <c r="M15" s="168">
        <v>1489863600</v>
      </c>
      <c r="N15" s="168">
        <v>1.1000000000000001</v>
      </c>
      <c r="O15" s="168">
        <v>120</v>
      </c>
      <c r="P15" s="168">
        <v>0.86</v>
      </c>
      <c r="Q15"/>
      <c r="R15"/>
    </row>
    <row r="16" spans="1:18" x14ac:dyDescent="0.25">
      <c r="A16" s="168">
        <v>78.319999999999993</v>
      </c>
      <c r="B16" s="168">
        <v>0.13</v>
      </c>
      <c r="C16" s="168">
        <v>23.31</v>
      </c>
      <c r="D16" s="8">
        <v>42812.583333333336</v>
      </c>
      <c r="E16" s="168">
        <v>0.13</v>
      </c>
      <c r="F16" s="168" t="s">
        <v>468</v>
      </c>
      <c r="G16" s="168">
        <v>319.88</v>
      </c>
      <c r="H16" s="168">
        <v>0</v>
      </c>
      <c r="I16" s="168">
        <v>0</v>
      </c>
      <c r="J16" s="168">
        <v>1016.49</v>
      </c>
      <c r="K16" s="168" t="s">
        <v>469</v>
      </c>
      <c r="L16" s="168">
        <v>78.319999999999993</v>
      </c>
      <c r="M16" s="168">
        <v>1489867200</v>
      </c>
      <c r="N16" s="168">
        <v>1.1000000000000001</v>
      </c>
      <c r="O16" s="168">
        <v>202</v>
      </c>
      <c r="P16" s="168">
        <v>0.51</v>
      </c>
      <c r="Q16"/>
      <c r="R16"/>
    </row>
    <row r="17" spans="1:18" x14ac:dyDescent="0.25">
      <c r="A17" s="168">
        <v>79.84</v>
      </c>
      <c r="B17" s="168">
        <v>0.06</v>
      </c>
      <c r="C17" s="168">
        <v>23.64</v>
      </c>
      <c r="D17" s="8">
        <v>42812.625</v>
      </c>
      <c r="E17" s="168">
        <v>0.12</v>
      </c>
      <c r="F17" s="168" t="s">
        <v>468</v>
      </c>
      <c r="G17" s="168">
        <v>319.5</v>
      </c>
      <c r="H17" s="168">
        <v>0</v>
      </c>
      <c r="I17" s="168">
        <v>0</v>
      </c>
      <c r="J17" s="168">
        <v>1015.65</v>
      </c>
      <c r="K17" s="168" t="s">
        <v>469</v>
      </c>
      <c r="L17" s="168">
        <v>79.84</v>
      </c>
      <c r="M17" s="168">
        <v>1489870800</v>
      </c>
      <c r="N17" s="168">
        <v>1.98</v>
      </c>
      <c r="O17" s="168">
        <v>12</v>
      </c>
      <c r="P17" s="168">
        <v>1.83</v>
      </c>
      <c r="Q17"/>
      <c r="R17"/>
    </row>
    <row r="18" spans="1:18" x14ac:dyDescent="0.25">
      <c r="A18" s="168">
        <v>78.67</v>
      </c>
      <c r="B18" s="168">
        <v>0.18</v>
      </c>
      <c r="C18" s="168">
        <v>23.65</v>
      </c>
      <c r="D18" s="8">
        <v>42812.666666666664</v>
      </c>
      <c r="E18" s="168">
        <v>0.12</v>
      </c>
      <c r="F18" s="168" t="s">
        <v>468</v>
      </c>
      <c r="G18" s="168">
        <v>319.8</v>
      </c>
      <c r="H18" s="168">
        <v>0</v>
      </c>
      <c r="I18" s="168">
        <v>0</v>
      </c>
      <c r="J18" s="168">
        <v>1014.53</v>
      </c>
      <c r="K18" s="168" t="s">
        <v>469</v>
      </c>
      <c r="L18" s="168">
        <v>80.8</v>
      </c>
      <c r="M18" s="168">
        <v>1489874400</v>
      </c>
      <c r="N18" s="168">
        <v>1.86</v>
      </c>
      <c r="O18" s="168">
        <v>14</v>
      </c>
      <c r="P18" s="168">
        <v>1.8</v>
      </c>
      <c r="Q18"/>
      <c r="R18"/>
    </row>
    <row r="19" spans="1:18" x14ac:dyDescent="0.25">
      <c r="A19" s="168">
        <v>78.33</v>
      </c>
      <c r="B19" s="168">
        <v>0.28999999999999998</v>
      </c>
      <c r="C19" s="168">
        <v>21.51</v>
      </c>
      <c r="D19" s="8">
        <v>42812.708333333336</v>
      </c>
      <c r="E19" s="168">
        <v>0.11</v>
      </c>
      <c r="F19" s="168" t="s">
        <v>368</v>
      </c>
      <c r="G19" s="168">
        <v>320.33999999999997</v>
      </c>
      <c r="H19" s="168">
        <v>0</v>
      </c>
      <c r="I19" s="168">
        <v>0</v>
      </c>
      <c r="J19" s="168">
        <v>1013.43</v>
      </c>
      <c r="K19" s="168" t="s">
        <v>367</v>
      </c>
      <c r="L19" s="168">
        <v>80.48</v>
      </c>
      <c r="M19" s="168">
        <v>1489878000</v>
      </c>
      <c r="N19" s="168">
        <v>4.13</v>
      </c>
      <c r="O19" s="168">
        <v>31</v>
      </c>
      <c r="P19" s="168">
        <v>2.5499999999999998</v>
      </c>
      <c r="Q19"/>
      <c r="R19"/>
    </row>
    <row r="20" spans="1:18" x14ac:dyDescent="0.25">
      <c r="A20" s="168">
        <v>78.63</v>
      </c>
      <c r="B20" s="168">
        <v>0.4</v>
      </c>
      <c r="C20" s="168">
        <v>21.37</v>
      </c>
      <c r="D20" s="8">
        <v>42812.75</v>
      </c>
      <c r="E20" s="168">
        <v>0.12</v>
      </c>
      <c r="F20" s="168" t="s">
        <v>368</v>
      </c>
      <c r="G20" s="168">
        <v>320.45999999999998</v>
      </c>
      <c r="H20" s="168">
        <v>0</v>
      </c>
      <c r="I20" s="168">
        <v>0</v>
      </c>
      <c r="J20" s="168">
        <v>1012.89</v>
      </c>
      <c r="K20" s="168" t="s">
        <v>367</v>
      </c>
      <c r="L20" s="168">
        <v>78.63</v>
      </c>
      <c r="M20" s="168">
        <v>1489881600</v>
      </c>
      <c r="N20" s="168">
        <v>3.36</v>
      </c>
      <c r="O20" s="168">
        <v>32</v>
      </c>
      <c r="P20" s="168">
        <v>2.12</v>
      </c>
      <c r="Q20"/>
      <c r="R20"/>
    </row>
    <row r="21" spans="1:18" x14ac:dyDescent="0.25">
      <c r="A21" s="168">
        <v>76.38</v>
      </c>
      <c r="B21" s="168">
        <v>0.36</v>
      </c>
      <c r="C21" s="168">
        <v>21.93</v>
      </c>
      <c r="D21" s="8">
        <v>42812.791666666664</v>
      </c>
      <c r="E21" s="168">
        <v>0.13</v>
      </c>
      <c r="F21" s="168" t="s">
        <v>368</v>
      </c>
      <c r="G21" s="168">
        <v>320.06</v>
      </c>
      <c r="H21" s="168">
        <v>0</v>
      </c>
      <c r="I21" s="168">
        <v>0</v>
      </c>
      <c r="J21" s="168">
        <v>1013.44</v>
      </c>
      <c r="K21" s="168" t="s">
        <v>367</v>
      </c>
      <c r="L21" s="168">
        <v>76.38</v>
      </c>
      <c r="M21" s="168">
        <v>1489885200</v>
      </c>
      <c r="N21" s="168">
        <v>3.03</v>
      </c>
      <c r="O21" s="168">
        <v>56</v>
      </c>
      <c r="P21" s="168">
        <v>2.5499999999999998</v>
      </c>
      <c r="Q21"/>
      <c r="R21"/>
    </row>
    <row r="22" spans="1:18" x14ac:dyDescent="0.25">
      <c r="A22" s="168">
        <v>72.58</v>
      </c>
      <c r="B22" s="168">
        <v>0.22</v>
      </c>
      <c r="C22" s="168">
        <v>25.33</v>
      </c>
      <c r="D22" s="8">
        <v>42812.833333333336</v>
      </c>
      <c r="E22" s="168">
        <v>0.17</v>
      </c>
      <c r="F22" s="168" t="s">
        <v>428</v>
      </c>
      <c r="G22" s="168">
        <v>319.25</v>
      </c>
      <c r="H22" s="168">
        <v>0</v>
      </c>
      <c r="I22" s="168">
        <v>0</v>
      </c>
      <c r="J22" s="168">
        <v>1014.45</v>
      </c>
      <c r="K22" s="168" t="s">
        <v>427</v>
      </c>
      <c r="L22" s="168">
        <v>72.58</v>
      </c>
      <c r="M22" s="168">
        <v>1489888800</v>
      </c>
      <c r="N22" s="168">
        <v>2.79</v>
      </c>
      <c r="O22" s="168">
        <v>25</v>
      </c>
      <c r="P22" s="168">
        <v>2.4</v>
      </c>
      <c r="Q22"/>
      <c r="R22"/>
    </row>
    <row r="23" spans="1:18" x14ac:dyDescent="0.25">
      <c r="A23" s="168">
        <v>69.94</v>
      </c>
      <c r="B23" s="168">
        <v>0.13</v>
      </c>
      <c r="C23" s="168">
        <v>25.06</v>
      </c>
      <c r="D23" s="8">
        <v>42812.875</v>
      </c>
      <c r="E23" s="168">
        <v>0.18</v>
      </c>
      <c r="F23" s="168" t="s">
        <v>428</v>
      </c>
      <c r="G23" s="168">
        <v>317.81</v>
      </c>
      <c r="H23" s="168">
        <v>0</v>
      </c>
      <c r="I23" s="168">
        <v>0</v>
      </c>
      <c r="J23" s="168">
        <v>1015.34</v>
      </c>
      <c r="K23" s="168" t="s">
        <v>427</v>
      </c>
      <c r="L23" s="168">
        <v>69.94</v>
      </c>
      <c r="M23" s="168">
        <v>1489892400</v>
      </c>
      <c r="N23" s="168">
        <v>2.66</v>
      </c>
      <c r="O23" s="168">
        <v>342</v>
      </c>
      <c r="P23" s="168">
        <v>2.27</v>
      </c>
      <c r="Q23"/>
      <c r="R23"/>
    </row>
    <row r="24" spans="1:18" x14ac:dyDescent="0.25">
      <c r="A24" s="168">
        <v>64.55</v>
      </c>
      <c r="B24" s="168">
        <v>0.23</v>
      </c>
      <c r="C24" s="168">
        <v>25.89</v>
      </c>
      <c r="D24" s="8">
        <v>42812.916666666664</v>
      </c>
      <c r="E24" s="168">
        <v>0.23</v>
      </c>
      <c r="F24" s="168" t="s">
        <v>468</v>
      </c>
      <c r="G24" s="168">
        <v>315.22000000000003</v>
      </c>
      <c r="H24" s="168">
        <v>0</v>
      </c>
      <c r="I24" s="168">
        <v>0</v>
      </c>
      <c r="J24" s="168">
        <v>1015.49</v>
      </c>
      <c r="K24" s="168" t="s">
        <v>469</v>
      </c>
      <c r="L24" s="168">
        <v>64.55</v>
      </c>
      <c r="M24" s="168">
        <v>1489896000</v>
      </c>
      <c r="N24" s="168">
        <v>1.98</v>
      </c>
      <c r="O24" s="168">
        <v>264</v>
      </c>
      <c r="P24" s="168">
        <v>1.66</v>
      </c>
      <c r="Q24"/>
      <c r="R24"/>
    </row>
    <row r="25" spans="1:18" x14ac:dyDescent="0.25">
      <c r="A25" s="168">
        <v>61.67</v>
      </c>
      <c r="B25" s="168">
        <v>0.42</v>
      </c>
      <c r="C25" s="168">
        <v>26.02</v>
      </c>
      <c r="D25" s="8">
        <v>42812.958333333336</v>
      </c>
      <c r="E25" s="168">
        <v>0.26</v>
      </c>
      <c r="F25" s="168" t="s">
        <v>468</v>
      </c>
      <c r="G25" s="168">
        <v>312</v>
      </c>
      <c r="H25" s="168">
        <v>0</v>
      </c>
      <c r="I25" s="168">
        <v>0</v>
      </c>
      <c r="J25" s="168">
        <v>1015.32</v>
      </c>
      <c r="K25" s="168" t="s">
        <v>469</v>
      </c>
      <c r="L25" s="168">
        <v>61.67</v>
      </c>
      <c r="M25" s="168">
        <v>1489899600</v>
      </c>
      <c r="N25" s="168">
        <v>1.72</v>
      </c>
      <c r="O25" s="168">
        <v>276</v>
      </c>
      <c r="P25" s="168">
        <v>2.21</v>
      </c>
      <c r="Q25"/>
      <c r="R25"/>
    </row>
    <row r="26" spans="1:18" x14ac:dyDescent="0.25">
      <c r="A26" s="168">
        <v>57.43</v>
      </c>
      <c r="B26" s="168">
        <v>0.55000000000000004</v>
      </c>
      <c r="C26" s="168">
        <v>24.62</v>
      </c>
      <c r="D26" s="8">
        <v>42813</v>
      </c>
      <c r="E26" s="168">
        <v>0.28000000000000003</v>
      </c>
      <c r="F26" s="168" t="s">
        <v>366</v>
      </c>
      <c r="G26" s="168">
        <v>309.45999999999998</v>
      </c>
      <c r="H26" s="168">
        <v>0</v>
      </c>
      <c r="I26" s="168">
        <v>0</v>
      </c>
      <c r="J26" s="168">
        <v>1015.28</v>
      </c>
      <c r="K26" s="168" t="s">
        <v>367</v>
      </c>
      <c r="L26" s="168">
        <v>57.43</v>
      </c>
      <c r="M26" s="168">
        <v>1489903200</v>
      </c>
      <c r="N26" s="168">
        <v>3.52</v>
      </c>
      <c r="O26" s="168">
        <v>248</v>
      </c>
      <c r="P26" s="168">
        <v>1.65</v>
      </c>
      <c r="Q26"/>
      <c r="R26"/>
    </row>
    <row r="27" spans="1:18" x14ac:dyDescent="0.25">
      <c r="A27" s="168">
        <v>56.24</v>
      </c>
      <c r="B27" s="168">
        <v>0.47</v>
      </c>
      <c r="C27" s="168">
        <v>25.55</v>
      </c>
      <c r="D27" s="8">
        <v>42813.041666666664</v>
      </c>
      <c r="E27" s="168">
        <v>0.3</v>
      </c>
      <c r="F27" s="168" t="s">
        <v>366</v>
      </c>
      <c r="G27" s="168">
        <v>308.69</v>
      </c>
      <c r="H27" s="168">
        <v>0</v>
      </c>
      <c r="I27" s="168">
        <v>0</v>
      </c>
      <c r="J27" s="168">
        <v>1015.96</v>
      </c>
      <c r="K27" s="168" t="s">
        <v>367</v>
      </c>
      <c r="L27" s="168">
        <v>56.24</v>
      </c>
      <c r="M27" s="168">
        <v>1489906800</v>
      </c>
      <c r="N27" s="168">
        <v>10</v>
      </c>
      <c r="O27" s="168">
        <v>217</v>
      </c>
      <c r="P27" s="168">
        <v>3.56</v>
      </c>
      <c r="Q27"/>
      <c r="R27"/>
    </row>
    <row r="28" spans="1:18" x14ac:dyDescent="0.25">
      <c r="A28" s="168">
        <v>53.91</v>
      </c>
      <c r="B28" s="168">
        <v>0.39</v>
      </c>
      <c r="C28" s="168">
        <v>23.71</v>
      </c>
      <c r="D28" s="8">
        <v>42813.083333333336</v>
      </c>
      <c r="E28" s="168">
        <v>0.31</v>
      </c>
      <c r="F28" s="168" t="s">
        <v>366</v>
      </c>
      <c r="G28" s="168">
        <v>307.93</v>
      </c>
      <c r="H28" s="168">
        <v>0</v>
      </c>
      <c r="I28" s="168">
        <v>0</v>
      </c>
      <c r="J28" s="168">
        <v>1016.51</v>
      </c>
      <c r="K28" s="168" t="s">
        <v>367</v>
      </c>
      <c r="L28" s="168">
        <v>53.91</v>
      </c>
      <c r="M28" s="168">
        <v>1489910400</v>
      </c>
      <c r="N28" s="168">
        <v>3.82</v>
      </c>
      <c r="O28" s="168">
        <v>231</v>
      </c>
      <c r="P28" s="168">
        <v>2.95</v>
      </c>
      <c r="Q28"/>
      <c r="R28"/>
    </row>
    <row r="29" spans="1:18" x14ac:dyDescent="0.25">
      <c r="A29" s="168">
        <v>51.47</v>
      </c>
      <c r="B29" s="168">
        <v>0.37</v>
      </c>
      <c r="C29" s="168">
        <v>22.71</v>
      </c>
      <c r="D29" s="8">
        <v>42813.125</v>
      </c>
      <c r="E29" s="168">
        <v>0.32</v>
      </c>
      <c r="F29" s="168" t="s">
        <v>366</v>
      </c>
      <c r="G29" s="168">
        <v>307.16000000000003</v>
      </c>
      <c r="H29" s="168">
        <v>0</v>
      </c>
      <c r="I29" s="168">
        <v>0</v>
      </c>
      <c r="J29" s="168">
        <v>1017.02</v>
      </c>
      <c r="K29" s="168" t="s">
        <v>367</v>
      </c>
      <c r="L29" s="168">
        <v>51.47</v>
      </c>
      <c r="M29" s="168">
        <v>1489914000</v>
      </c>
      <c r="N29" s="168">
        <v>3.59</v>
      </c>
      <c r="O29" s="168">
        <v>235</v>
      </c>
      <c r="P29" s="168">
        <v>3.18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382</v>
      </c>
      <c r="U1" s="219"/>
      <c r="V1" s="219"/>
      <c r="W1" s="219"/>
      <c r="X1" s="219"/>
    </row>
    <row r="2" spans="1:24" ht="15.75" thickBot="1" x14ac:dyDescent="0.3">
      <c r="A2" s="12">
        <v>42812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383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395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396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397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917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918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919</v>
      </c>
      <c r="J20" s="152" t="s">
        <v>87</v>
      </c>
      <c r="M20" s="168" t="s">
        <v>374</v>
      </c>
      <c r="N20" s="168" t="s">
        <v>374</v>
      </c>
      <c r="T20" s="197"/>
      <c r="U20" s="197"/>
      <c r="V20" s="197"/>
      <c r="W20" s="197"/>
      <c r="X20" s="197"/>
    </row>
    <row r="21" spans="3:24" x14ac:dyDescent="0.25">
      <c r="C21" t="s">
        <v>920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921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922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923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924</v>
      </c>
      <c r="J25" s="152" t="s">
        <v>150</v>
      </c>
      <c r="M25" s="168" t="b">
        <v>1</v>
      </c>
    </row>
    <row r="26" spans="3:24" x14ac:dyDescent="0.25">
      <c r="C26" t="s">
        <v>925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C:\Users\stu\Documents\GitHub\eaglep3-reporting\EC\2017-03-18-refined-times.txt</v>
      </c>
    </row>
    <row r="27" spans="3:24" x14ac:dyDescent="0.25">
      <c r="C27" t="s">
        <v>926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C:\Users\stu\Documents\GitHub\eaglep3-reporting\EC\2017-03-18-Enforcements.txt</v>
      </c>
    </row>
    <row r="28" spans="3:24" x14ac:dyDescent="0.25">
      <c r="C28" t="s">
        <v>927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C:\Users\stu\Documents\GitHub\eaglep3-reporting\EC\2017-03-18-Runs-refined.txt</v>
      </c>
    </row>
    <row r="29" spans="3:24" x14ac:dyDescent="0.25">
      <c r="C29" t="s">
        <v>928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C:\Users\stu\Documents\GitHub\eaglep3-reporting\EC\2017-03-18-Trips.txt</v>
      </c>
    </row>
    <row r="30" spans="3:24" x14ac:dyDescent="0.25">
      <c r="C30" t="s">
        <v>929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C:\Users\stu\Documents\GitHub\eaglep3-reporting\EC\2017-03-18-Weather.txt</v>
      </c>
    </row>
    <row r="31" spans="3:24" x14ac:dyDescent="0.25">
      <c r="C31" t="s">
        <v>930</v>
      </c>
      <c r="J31" s="152" t="s">
        <v>203</v>
      </c>
      <c r="M31" s="168" t="s">
        <v>204</v>
      </c>
    </row>
    <row r="32" spans="3:24" x14ac:dyDescent="0.25">
      <c r="C32" t="s">
        <v>931</v>
      </c>
    </row>
    <row r="33" spans="3:3" x14ac:dyDescent="0.25">
      <c r="C33" t="s">
        <v>932</v>
      </c>
    </row>
    <row r="34" spans="3:3" x14ac:dyDescent="0.25">
      <c r="C34" t="s">
        <v>933</v>
      </c>
    </row>
    <row r="35" spans="3:3" x14ac:dyDescent="0.25">
      <c r="C35" t="s">
        <v>934</v>
      </c>
    </row>
    <row r="36" spans="3:3" x14ac:dyDescent="0.25">
      <c r="C36" t="s">
        <v>935</v>
      </c>
    </row>
    <row r="37" spans="3:3" x14ac:dyDescent="0.25">
      <c r="C37" t="s">
        <v>936</v>
      </c>
    </row>
    <row r="38" spans="3:3" x14ac:dyDescent="0.25">
      <c r="C38" t="s">
        <v>937</v>
      </c>
    </row>
    <row r="39" spans="3:3" x14ac:dyDescent="0.25">
      <c r="C39" t="s">
        <v>938</v>
      </c>
    </row>
    <row r="40" spans="3:3" x14ac:dyDescent="0.25">
      <c r="C40" t="s">
        <v>939</v>
      </c>
    </row>
    <row r="41" spans="3:3" x14ac:dyDescent="0.25">
      <c r="C41" t="s">
        <v>940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234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235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236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237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238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239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240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241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242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243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244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245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246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247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248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249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250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251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252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253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254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255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256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257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258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259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260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261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262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263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264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265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266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267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268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269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270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271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272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273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274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275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276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277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278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279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280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281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282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283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284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285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286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287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288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289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290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291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292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293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294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295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296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297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298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299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300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301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302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303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304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305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306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307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308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309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310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311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312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313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314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315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316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317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318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319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320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321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322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323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324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325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326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327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328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329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330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331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332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333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334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335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336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337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338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339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340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341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342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343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344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345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346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347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348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349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350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351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352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353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354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355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356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357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358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359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360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361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362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363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2017-04-20T20:38:53Z</dcterms:modified>
</cp:coreProperties>
</file>