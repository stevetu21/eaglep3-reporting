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Enforcements!$A$6:$AC$68</definedName>
    <definedName name="_xlnm._FilterDatabase" localSheetId="2" hidden="1">'Missing Trips'!$A$2:$J$115</definedName>
    <definedName name="_xlnm._FilterDatabase" localSheetId="0" hidden="1">'Train Runs'!$A$12:$AG$252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7" i="9" l="1"/>
  <c r="C147" i="9"/>
  <c r="B148" i="9"/>
  <c r="C149" i="9" s="1"/>
  <c r="C148" i="9"/>
  <c r="B149" i="9"/>
  <c r="B150" i="9"/>
  <c r="C151" i="9" s="1"/>
  <c r="C150" i="9"/>
  <c r="B151" i="9"/>
  <c r="B152" i="9"/>
  <c r="C153" i="9" s="1"/>
  <c r="C152" i="9"/>
  <c r="B153" i="9"/>
  <c r="B154" i="9"/>
  <c r="C155" i="9" s="1"/>
  <c r="C154" i="9"/>
  <c r="B155" i="9"/>
  <c r="B156" i="9"/>
  <c r="C157" i="9" s="1"/>
  <c r="C156" i="9"/>
  <c r="B157" i="9"/>
  <c r="B158" i="9"/>
  <c r="C159" i="9" s="1"/>
  <c r="C158" i="9"/>
  <c r="B159" i="9"/>
  <c r="B160" i="9"/>
  <c r="C161" i="9" s="1"/>
  <c r="C160" i="9"/>
  <c r="B161" i="9"/>
  <c r="B162" i="9"/>
  <c r="C162" i="9"/>
  <c r="X25" i="1" l="1"/>
  <c r="K24" i="1"/>
  <c r="L24" i="1"/>
  <c r="M24" i="1"/>
  <c r="V24" i="1"/>
  <c r="AA24" i="1"/>
  <c r="AB24" i="1"/>
  <c r="AC24" i="1"/>
  <c r="AD24" i="1"/>
  <c r="T24" i="1" s="1"/>
  <c r="AE24" i="1"/>
  <c r="AF24" i="1"/>
  <c r="AH24" i="1"/>
  <c r="AM24" i="1"/>
  <c r="AN24" i="1"/>
  <c r="W24" i="1" l="1"/>
  <c r="AG24" i="1"/>
  <c r="X24" i="1"/>
  <c r="K14" i="1"/>
  <c r="M14" i="1"/>
  <c r="P14" i="1" s="1"/>
  <c r="V14" i="1"/>
  <c r="S46" i="3" s="1"/>
  <c r="Y14" i="1"/>
  <c r="Z14" i="1"/>
  <c r="AB14" i="1"/>
  <c r="AC14" i="1"/>
  <c r="AD14" i="1"/>
  <c r="AE14" i="1"/>
  <c r="AF14" i="1"/>
  <c r="AH14" i="1"/>
  <c r="AM14" i="1"/>
  <c r="AN14" i="1"/>
  <c r="K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M19" i="1"/>
  <c r="N19" i="1" s="1"/>
  <c r="V19" i="1"/>
  <c r="S18" i="3" s="1"/>
  <c r="Y19" i="1"/>
  <c r="Z19" i="1"/>
  <c r="AB19" i="1"/>
  <c r="AC19" i="1"/>
  <c r="AD19" i="1"/>
  <c r="T19" i="1" s="1"/>
  <c r="AE19" i="1"/>
  <c r="R17" i="3" s="1"/>
  <c r="AF19" i="1"/>
  <c r="AH19" i="1"/>
  <c r="AM19" i="1"/>
  <c r="AN19" i="1"/>
  <c r="K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M21" i="1"/>
  <c r="N21" i="1" s="1"/>
  <c r="V21" i="1"/>
  <c r="S12" i="3" s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M23" i="1"/>
  <c r="P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M34" i="1"/>
  <c r="N34" i="1" s="1"/>
  <c r="V34" i="1"/>
  <c r="S32" i="3" s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M36" i="1"/>
  <c r="N36" i="1" s="1"/>
  <c r="V36" i="1"/>
  <c r="Y36" i="1"/>
  <c r="Z36" i="1"/>
  <c r="AI36" i="1" s="1"/>
  <c r="AB36" i="1"/>
  <c r="AC36" i="1"/>
  <c r="AD36" i="1"/>
  <c r="AG36" i="1" s="1"/>
  <c r="AE36" i="1"/>
  <c r="AF36" i="1"/>
  <c r="AH36" i="1"/>
  <c r="AM36" i="1"/>
  <c r="AN36" i="1"/>
  <c r="K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M38" i="1"/>
  <c r="N38" i="1" s="1"/>
  <c r="V38" i="1"/>
  <c r="S48" i="3" s="1"/>
  <c r="Y38" i="1"/>
  <c r="Z38" i="1"/>
  <c r="AB38" i="1"/>
  <c r="AC38" i="1"/>
  <c r="AD38" i="1"/>
  <c r="AE38" i="1"/>
  <c r="AF38" i="1"/>
  <c r="AH38" i="1"/>
  <c r="AM38" i="1"/>
  <c r="AN38" i="1"/>
  <c r="K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M40" i="1"/>
  <c r="N40" i="1" s="1"/>
  <c r="V40" i="1"/>
  <c r="Y40" i="1"/>
  <c r="Z40" i="1"/>
  <c r="AA40" i="1" s="1"/>
  <c r="W40" i="1" s="1"/>
  <c r="AB40" i="1"/>
  <c r="AC40" i="1"/>
  <c r="AD40" i="1"/>
  <c r="AG40" i="1" s="1"/>
  <c r="AE40" i="1"/>
  <c r="R21" i="3" s="1"/>
  <c r="AF40" i="1"/>
  <c r="AH40" i="1"/>
  <c r="AM40" i="1"/>
  <c r="AN40" i="1"/>
  <c r="K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M44" i="1"/>
  <c r="N44" i="1" s="1"/>
  <c r="V44" i="1"/>
  <c r="Y44" i="1"/>
  <c r="Z44" i="1"/>
  <c r="AA44" i="1" s="1"/>
  <c r="W44" i="1" s="1"/>
  <c r="AB44" i="1"/>
  <c r="AC44" i="1"/>
  <c r="AD44" i="1"/>
  <c r="AG44" i="1" s="1"/>
  <c r="AE44" i="1"/>
  <c r="AF44" i="1"/>
  <c r="AH44" i="1"/>
  <c r="AM44" i="1"/>
  <c r="AN44" i="1"/>
  <c r="K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M47" i="1"/>
  <c r="N47" i="1" s="1"/>
  <c r="V47" i="1"/>
  <c r="Y47" i="1"/>
  <c r="Z47" i="1"/>
  <c r="AB47" i="1"/>
  <c r="AC47" i="1"/>
  <c r="AD47" i="1"/>
  <c r="AE47" i="1"/>
  <c r="R7" i="3" s="1"/>
  <c r="AF47" i="1"/>
  <c r="AH47" i="1"/>
  <c r="AM47" i="1"/>
  <c r="AN47" i="1"/>
  <c r="K48" i="1"/>
  <c r="M48" i="1"/>
  <c r="N48" i="1" s="1"/>
  <c r="V48" i="1"/>
  <c r="Y48" i="1"/>
  <c r="Z48" i="1"/>
  <c r="AB48" i="1"/>
  <c r="AC48" i="1"/>
  <c r="AD48" i="1"/>
  <c r="AE48" i="1"/>
  <c r="R22" i="3" s="1"/>
  <c r="AF48" i="1"/>
  <c r="AH48" i="1"/>
  <c r="AM48" i="1"/>
  <c r="AN48" i="1"/>
  <c r="K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M54" i="1"/>
  <c r="N54" i="1" s="1"/>
  <c r="V54" i="1"/>
  <c r="S33" i="3" s="1"/>
  <c r="Y54" i="1"/>
  <c r="Z54" i="1"/>
  <c r="AB54" i="1"/>
  <c r="AC54" i="1"/>
  <c r="AD54" i="1"/>
  <c r="AE54" i="1"/>
  <c r="AF54" i="1"/>
  <c r="AH54" i="1"/>
  <c r="AM54" i="1"/>
  <c r="AN54" i="1"/>
  <c r="K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M60" i="1"/>
  <c r="N60" i="1" s="1"/>
  <c r="V60" i="1"/>
  <c r="Y60" i="1"/>
  <c r="Z60" i="1"/>
  <c r="AA60" i="1" s="1"/>
  <c r="W60" i="1" s="1"/>
  <c r="AB60" i="1"/>
  <c r="AC60" i="1"/>
  <c r="AD60" i="1"/>
  <c r="AG60" i="1" s="1"/>
  <c r="AE60" i="1"/>
  <c r="AF60" i="1"/>
  <c r="AH60" i="1"/>
  <c r="AM60" i="1"/>
  <c r="AN60" i="1"/>
  <c r="K61" i="1"/>
  <c r="M61" i="1"/>
  <c r="N61" i="1" s="1"/>
  <c r="V61" i="1"/>
  <c r="S14" i="3" s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M62" i="1"/>
  <c r="N62" i="1" s="1"/>
  <c r="V62" i="1"/>
  <c r="S24" i="3" s="1"/>
  <c r="Y62" i="1"/>
  <c r="Z62" i="1"/>
  <c r="AB62" i="1"/>
  <c r="AC62" i="1"/>
  <c r="AD62" i="1"/>
  <c r="AE62" i="1"/>
  <c r="AF62" i="1"/>
  <c r="AH62" i="1"/>
  <c r="AM62" i="1"/>
  <c r="AN62" i="1"/>
  <c r="K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M68" i="1"/>
  <c r="N68" i="1" s="1"/>
  <c r="V68" i="1"/>
  <c r="Y68" i="1"/>
  <c r="Z68" i="1"/>
  <c r="AI68" i="1" s="1"/>
  <c r="AB68" i="1"/>
  <c r="AC68" i="1"/>
  <c r="AD68" i="1"/>
  <c r="AG68" i="1" s="1"/>
  <c r="AE68" i="1"/>
  <c r="AF68" i="1"/>
  <c r="AH68" i="1"/>
  <c r="AM68" i="1"/>
  <c r="AN68" i="1"/>
  <c r="K69" i="1"/>
  <c r="M69" i="1"/>
  <c r="N69" i="1" s="1"/>
  <c r="V69" i="1"/>
  <c r="Y69" i="1"/>
  <c r="Z69" i="1"/>
  <c r="AB69" i="1"/>
  <c r="AC69" i="1"/>
  <c r="AD69" i="1"/>
  <c r="T69" i="1" s="1"/>
  <c r="AE69" i="1"/>
  <c r="AF69" i="1"/>
  <c r="AG69" i="1"/>
  <c r="AH69" i="1"/>
  <c r="AM69" i="1"/>
  <c r="AN69" i="1"/>
  <c r="K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M72" i="1"/>
  <c r="N72" i="1" s="1"/>
  <c r="V72" i="1"/>
  <c r="Y72" i="1"/>
  <c r="Z72" i="1"/>
  <c r="AB72" i="1"/>
  <c r="AC72" i="1"/>
  <c r="AD72" i="1"/>
  <c r="AG72" i="1" s="1"/>
  <c r="AE72" i="1"/>
  <c r="R25" i="3" s="1"/>
  <c r="AF72" i="1"/>
  <c r="AH72" i="1"/>
  <c r="AM72" i="1"/>
  <c r="AN72" i="1"/>
  <c r="K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M78" i="1"/>
  <c r="N78" i="1" s="1"/>
  <c r="V78" i="1"/>
  <c r="S19" i="3" s="1"/>
  <c r="Y78" i="1"/>
  <c r="Z78" i="1"/>
  <c r="AB78" i="1"/>
  <c r="AC78" i="1"/>
  <c r="AD78" i="1"/>
  <c r="T78" i="1" s="1"/>
  <c r="AE78" i="1"/>
  <c r="R19" i="3" s="1"/>
  <c r="AF78" i="1"/>
  <c r="AH78" i="1"/>
  <c r="AM78" i="1"/>
  <c r="AN78" i="1"/>
  <c r="K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M86" i="1"/>
  <c r="N86" i="1" s="1"/>
  <c r="V86" i="1"/>
  <c r="S50" i="3" s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M89" i="1"/>
  <c r="N89" i="1" s="1"/>
  <c r="V89" i="1"/>
  <c r="S51" i="3" s="1"/>
  <c r="Y89" i="1"/>
  <c r="Z89" i="1"/>
  <c r="AB89" i="1"/>
  <c r="AC89" i="1"/>
  <c r="AD89" i="1"/>
  <c r="AE89" i="1"/>
  <c r="R51" i="3" s="1"/>
  <c r="AF89" i="1"/>
  <c r="AH89" i="1"/>
  <c r="AM89" i="1"/>
  <c r="AN89" i="1"/>
  <c r="K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M95" i="1"/>
  <c r="N95" i="1" s="1"/>
  <c r="V95" i="1"/>
  <c r="Y95" i="1"/>
  <c r="AA95" i="1" s="1"/>
  <c r="Z95" i="1"/>
  <c r="AB95" i="1"/>
  <c r="AC95" i="1"/>
  <c r="AD95" i="1"/>
  <c r="AE95" i="1"/>
  <c r="AF95" i="1"/>
  <c r="AH95" i="1"/>
  <c r="AM95" i="1"/>
  <c r="AN95" i="1"/>
  <c r="K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M100" i="1"/>
  <c r="N100" i="1" s="1"/>
  <c r="V100" i="1"/>
  <c r="Y100" i="1"/>
  <c r="Z100" i="1"/>
  <c r="AB100" i="1"/>
  <c r="AC100" i="1"/>
  <c r="AD100" i="1"/>
  <c r="T100" i="1" s="1"/>
  <c r="AE100" i="1"/>
  <c r="R34" i="3" s="1"/>
  <c r="AF100" i="1"/>
  <c r="AH100" i="1"/>
  <c r="AM100" i="1"/>
  <c r="AN100" i="1"/>
  <c r="K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M109" i="1"/>
  <c r="N109" i="1" s="1"/>
  <c r="V109" i="1"/>
  <c r="S8" i="3" s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M110" i="1"/>
  <c r="N110" i="1" s="1"/>
  <c r="V110" i="1"/>
  <c r="Y110" i="1"/>
  <c r="Z110" i="1"/>
  <c r="AB110" i="1"/>
  <c r="AC110" i="1"/>
  <c r="AD110" i="1"/>
  <c r="AG110" i="1" s="1"/>
  <c r="AE110" i="1"/>
  <c r="R35" i="3" s="1"/>
  <c r="AF110" i="1"/>
  <c r="AH110" i="1"/>
  <c r="AM110" i="1"/>
  <c r="AN110" i="1"/>
  <c r="K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M122" i="1"/>
  <c r="N122" i="1" s="1"/>
  <c r="V122" i="1"/>
  <c r="S36" i="3" s="1"/>
  <c r="Y122" i="1"/>
  <c r="Z122" i="1"/>
  <c r="AB122" i="1"/>
  <c r="AC122" i="1"/>
  <c r="AD122" i="1"/>
  <c r="AE122" i="1"/>
  <c r="R36" i="3" s="1"/>
  <c r="AF122" i="1"/>
  <c r="AH122" i="1"/>
  <c r="AM122" i="1"/>
  <c r="AN122" i="1"/>
  <c r="K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G124" i="1"/>
  <c r="AH124" i="1"/>
  <c r="AM124" i="1"/>
  <c r="AN124" i="1"/>
  <c r="K125" i="1"/>
  <c r="M125" i="1"/>
  <c r="N125" i="1" s="1"/>
  <c r="V125" i="1"/>
  <c r="S9" i="3" s="1"/>
  <c r="Y125" i="1"/>
  <c r="AB125" i="1"/>
  <c r="AC125" i="1"/>
  <c r="AD125" i="1"/>
  <c r="AG125" i="1" s="1"/>
  <c r="AE125" i="1"/>
  <c r="AF125" i="1"/>
  <c r="AH125" i="1"/>
  <c r="AM125" i="1"/>
  <c r="AN125" i="1"/>
  <c r="K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M128" i="1"/>
  <c r="N128" i="1" s="1"/>
  <c r="V128" i="1"/>
  <c r="S15" i="3" s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M129" i="1"/>
  <c r="N129" i="1" s="1"/>
  <c r="V129" i="1"/>
  <c r="Y129" i="1"/>
  <c r="Z129" i="1"/>
  <c r="AB129" i="1"/>
  <c r="AC129" i="1"/>
  <c r="AD129" i="1"/>
  <c r="AE129" i="1"/>
  <c r="R52" i="3" s="1"/>
  <c r="AF129" i="1"/>
  <c r="AH129" i="1"/>
  <c r="AM129" i="1"/>
  <c r="AN129" i="1"/>
  <c r="K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M131" i="1"/>
  <c r="N131" i="1" s="1"/>
  <c r="V131" i="1"/>
  <c r="S10" i="3" s="1"/>
  <c r="Y131" i="1"/>
  <c r="Z131" i="1"/>
  <c r="AB131" i="1"/>
  <c r="AC131" i="1"/>
  <c r="AD131" i="1"/>
  <c r="AG131" i="1" s="1"/>
  <c r="AE131" i="1"/>
  <c r="R30" i="3" s="1"/>
  <c r="AF131" i="1"/>
  <c r="AH131" i="1"/>
  <c r="AM131" i="1"/>
  <c r="AN131" i="1"/>
  <c r="K132" i="1"/>
  <c r="M132" i="1"/>
  <c r="N132" i="1" s="1"/>
  <c r="V132" i="1"/>
  <c r="S27" i="3" s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M133" i="1"/>
  <c r="N133" i="1" s="1"/>
  <c r="V133" i="1"/>
  <c r="Y133" i="1"/>
  <c r="Z133" i="1"/>
  <c r="AA133" i="1" s="1"/>
  <c r="W133" i="1" s="1"/>
  <c r="AB133" i="1"/>
  <c r="AC133" i="1"/>
  <c r="AD133" i="1"/>
  <c r="AG133" i="1" s="1"/>
  <c r="AE133" i="1"/>
  <c r="AF133" i="1"/>
  <c r="AH133" i="1"/>
  <c r="AM133" i="1"/>
  <c r="AN133" i="1"/>
  <c r="K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M136" i="1"/>
  <c r="N136" i="1" s="1"/>
  <c r="V136" i="1"/>
  <c r="S37" i="3" s="1"/>
  <c r="Y136" i="1"/>
  <c r="Z136" i="1"/>
  <c r="AB136" i="1"/>
  <c r="AC136" i="1"/>
  <c r="AD136" i="1"/>
  <c r="T136" i="1" s="1"/>
  <c r="AE136" i="1"/>
  <c r="R28" i="3" s="1"/>
  <c r="AF136" i="1"/>
  <c r="AH136" i="1"/>
  <c r="AM136" i="1"/>
  <c r="AN136" i="1"/>
  <c r="K137" i="1"/>
  <c r="M137" i="1"/>
  <c r="N137" i="1"/>
  <c r="V137" i="1"/>
  <c r="Y137" i="1"/>
  <c r="Z137" i="1"/>
  <c r="AB137" i="1"/>
  <c r="AC137" i="1"/>
  <c r="AD137" i="1"/>
  <c r="AG137" i="1" s="1"/>
  <c r="AI137" i="1" s="1"/>
  <c r="AE137" i="1"/>
  <c r="AF137" i="1"/>
  <c r="AH137" i="1"/>
  <c r="AM137" i="1"/>
  <c r="AN137" i="1"/>
  <c r="K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M139" i="1"/>
  <c r="N139" i="1" s="1"/>
  <c r="V139" i="1"/>
  <c r="Y139" i="1"/>
  <c r="Z139" i="1"/>
  <c r="AB139" i="1"/>
  <c r="AC139" i="1"/>
  <c r="AD139" i="1"/>
  <c r="T139" i="1" s="1"/>
  <c r="AE139" i="1"/>
  <c r="R13" i="3" s="1"/>
  <c r="AF139" i="1"/>
  <c r="AH139" i="1"/>
  <c r="AM139" i="1"/>
  <c r="AN139" i="1"/>
  <c r="K140" i="1"/>
  <c r="M140" i="1"/>
  <c r="N140" i="1" s="1"/>
  <c r="V140" i="1"/>
  <c r="Y140" i="1"/>
  <c r="Z140" i="1"/>
  <c r="AB140" i="1"/>
  <c r="AC140" i="1"/>
  <c r="AD140" i="1"/>
  <c r="X141" i="1" s="1"/>
  <c r="AE140" i="1"/>
  <c r="AF140" i="1"/>
  <c r="AH140" i="1"/>
  <c r="AM140" i="1"/>
  <c r="AN140" i="1"/>
  <c r="K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M142" i="1"/>
  <c r="P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M145" i="1"/>
  <c r="N145" i="1" s="1"/>
  <c r="V145" i="1"/>
  <c r="Y145" i="1"/>
  <c r="Z145" i="1"/>
  <c r="AB145" i="1"/>
  <c r="AC145" i="1"/>
  <c r="AD145" i="1"/>
  <c r="T145" i="1" s="1"/>
  <c r="AE145" i="1"/>
  <c r="R42" i="3" s="1"/>
  <c r="AF145" i="1"/>
  <c r="AH145" i="1"/>
  <c r="AM145" i="1"/>
  <c r="AN145" i="1"/>
  <c r="K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M148" i="1"/>
  <c r="N148" i="1" s="1"/>
  <c r="V148" i="1"/>
  <c r="S29" i="3" s="1"/>
  <c r="Y148" i="1"/>
  <c r="AA148" i="1" s="1"/>
  <c r="Z148" i="1"/>
  <c r="AB148" i="1"/>
  <c r="AC148" i="1"/>
  <c r="AD148" i="1"/>
  <c r="AG148" i="1" s="1"/>
  <c r="AE148" i="1"/>
  <c r="R44" i="3" s="1"/>
  <c r="AF148" i="1"/>
  <c r="AH148" i="1"/>
  <c r="AM148" i="1"/>
  <c r="AN148" i="1"/>
  <c r="K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M151" i="1"/>
  <c r="N151" i="1" s="1"/>
  <c r="V151" i="1"/>
  <c r="Y151" i="1"/>
  <c r="Z151" i="1"/>
  <c r="AB151" i="1"/>
  <c r="AC151" i="1"/>
  <c r="AD151" i="1"/>
  <c r="AE151" i="1"/>
  <c r="R11" i="3" s="1"/>
  <c r="AF151" i="1"/>
  <c r="AH151" i="1"/>
  <c r="AM151" i="1"/>
  <c r="AN151" i="1"/>
  <c r="K152" i="1"/>
  <c r="M152" i="1"/>
  <c r="N152" i="1" s="1"/>
  <c r="V152" i="1"/>
  <c r="Y152" i="1"/>
  <c r="Z152" i="1"/>
  <c r="AB152" i="1"/>
  <c r="AC152" i="1"/>
  <c r="AD152" i="1"/>
  <c r="X152" i="1" s="1"/>
  <c r="AE152" i="1"/>
  <c r="AF152" i="1"/>
  <c r="AH152" i="1"/>
  <c r="AM152" i="1"/>
  <c r="AN152" i="1"/>
  <c r="K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M154" i="1"/>
  <c r="N154" i="1" s="1"/>
  <c r="V154" i="1"/>
  <c r="S31" i="3" s="1"/>
  <c r="Y154" i="1"/>
  <c r="Z154" i="1"/>
  <c r="AB154" i="1"/>
  <c r="AC154" i="1"/>
  <c r="AD154" i="1"/>
  <c r="AE154" i="1"/>
  <c r="R31" i="3" s="1"/>
  <c r="AF154" i="1"/>
  <c r="AH154" i="1"/>
  <c r="AM154" i="1"/>
  <c r="AN154" i="1"/>
  <c r="K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M156" i="1"/>
  <c r="P156" i="1" s="1"/>
  <c r="V156" i="1"/>
  <c r="S45" i="3" s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205" i="1"/>
  <c r="M205" i="1"/>
  <c r="N205" i="1" s="1"/>
  <c r="V205" i="1"/>
  <c r="S61" i="3" s="1"/>
  <c r="Y205" i="1"/>
  <c r="Z205" i="1"/>
  <c r="AB205" i="1"/>
  <c r="AC205" i="1"/>
  <c r="AD205" i="1"/>
  <c r="AG205" i="1" s="1"/>
  <c r="AE205" i="1"/>
  <c r="AF205" i="1"/>
  <c r="AH158" i="1"/>
  <c r="AM158" i="1"/>
  <c r="AN158" i="1"/>
  <c r="K206" i="1"/>
  <c r="M206" i="1"/>
  <c r="N206" i="1" s="1"/>
  <c r="V206" i="1"/>
  <c r="Y206" i="1"/>
  <c r="Z206" i="1"/>
  <c r="AA206" i="1"/>
  <c r="AB206" i="1"/>
  <c r="AC206" i="1"/>
  <c r="AD206" i="1"/>
  <c r="T206" i="1" s="1"/>
  <c r="AE206" i="1"/>
  <c r="AF206" i="1"/>
  <c r="AH159" i="1"/>
  <c r="AM159" i="1"/>
  <c r="AN159" i="1"/>
  <c r="K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M209" i="1"/>
  <c r="N209" i="1" s="1"/>
  <c r="V209" i="1"/>
  <c r="Y209" i="1"/>
  <c r="Z209" i="1"/>
  <c r="AA209" i="1" s="1"/>
  <c r="W209" i="1" s="1"/>
  <c r="AB209" i="1"/>
  <c r="AC209" i="1"/>
  <c r="AD209" i="1"/>
  <c r="AG209" i="1" s="1"/>
  <c r="AE209" i="1"/>
  <c r="R58" i="3" s="1"/>
  <c r="AF209" i="1"/>
  <c r="AH162" i="1"/>
  <c r="AM162" i="1"/>
  <c r="AN162" i="1"/>
  <c r="K210" i="1"/>
  <c r="M210" i="1"/>
  <c r="N210" i="1" s="1"/>
  <c r="V210" i="1"/>
  <c r="Y210" i="1"/>
  <c r="Z210" i="1"/>
  <c r="AB210" i="1"/>
  <c r="AC210" i="1"/>
  <c r="AD210" i="1"/>
  <c r="AG210" i="1" s="1"/>
  <c r="AI210" i="1" s="1"/>
  <c r="AE210" i="1"/>
  <c r="AF210" i="1"/>
  <c r="AH163" i="1"/>
  <c r="AM163" i="1"/>
  <c r="AN163" i="1"/>
  <c r="K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5" i="1"/>
  <c r="AM165" i="1"/>
  <c r="AN165" i="1"/>
  <c r="K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G217" i="1"/>
  <c r="AH170" i="1"/>
  <c r="AM170" i="1"/>
  <c r="AN170" i="1"/>
  <c r="K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1" i="1"/>
  <c r="AM171" i="1"/>
  <c r="AN171" i="1"/>
  <c r="K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K227" i="1"/>
  <c r="M227" i="1"/>
  <c r="N227" i="1" s="1"/>
  <c r="V227" i="1"/>
  <c r="S63" i="3" s="1"/>
  <c r="Y227" i="1"/>
  <c r="Z227" i="1"/>
  <c r="AB227" i="1"/>
  <c r="AC227" i="1"/>
  <c r="AD227" i="1"/>
  <c r="T227" i="1" s="1"/>
  <c r="AE227" i="1"/>
  <c r="AF227" i="1"/>
  <c r="AG227" i="1"/>
  <c r="AH174" i="1"/>
  <c r="AM174" i="1"/>
  <c r="AN174" i="1"/>
  <c r="K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M231" i="1"/>
  <c r="N231" i="1" s="1"/>
  <c r="V231" i="1"/>
  <c r="Y231" i="1"/>
  <c r="Z231" i="1"/>
  <c r="AA231" i="1" s="1"/>
  <c r="W231" i="1" s="1"/>
  <c r="AB231" i="1"/>
  <c r="AC231" i="1"/>
  <c r="AD231" i="1"/>
  <c r="AG231" i="1" s="1"/>
  <c r="AE231" i="1"/>
  <c r="AF231" i="1"/>
  <c r="AH178" i="1"/>
  <c r="AM178" i="1"/>
  <c r="AN178" i="1"/>
  <c r="K232" i="1"/>
  <c r="M232" i="1"/>
  <c r="N232" i="1" s="1"/>
  <c r="V232" i="1"/>
  <c r="Y232" i="1"/>
  <c r="Z232" i="1"/>
  <c r="AB232" i="1"/>
  <c r="AC232" i="1"/>
  <c r="AD232" i="1"/>
  <c r="AE232" i="1"/>
  <c r="R64" i="3" s="1"/>
  <c r="AF232" i="1"/>
  <c r="AH179" i="1"/>
  <c r="AM179" i="1"/>
  <c r="AN179" i="1"/>
  <c r="K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G233" i="1"/>
  <c r="AH180" i="1"/>
  <c r="AM180" i="1"/>
  <c r="AN180" i="1"/>
  <c r="K234" i="1"/>
  <c r="M234" i="1"/>
  <c r="N234" i="1" s="1"/>
  <c r="V234" i="1"/>
  <c r="Y234" i="1"/>
  <c r="Z234" i="1"/>
  <c r="AB234" i="1"/>
  <c r="AC234" i="1"/>
  <c r="AD234" i="1"/>
  <c r="AE234" i="1"/>
  <c r="AF234" i="1"/>
  <c r="AH181" i="1"/>
  <c r="AM181" i="1"/>
  <c r="AN181" i="1"/>
  <c r="K235" i="1"/>
  <c r="M235" i="1"/>
  <c r="N235" i="1" s="1"/>
  <c r="V235" i="1"/>
  <c r="Y235" i="1"/>
  <c r="AA235" i="1" s="1"/>
  <c r="Z235" i="1"/>
  <c r="AB235" i="1"/>
  <c r="AC235" i="1"/>
  <c r="AD235" i="1"/>
  <c r="T235" i="1" s="1"/>
  <c r="AE235" i="1"/>
  <c r="AF235" i="1"/>
  <c r="AH182" i="1"/>
  <c r="AM182" i="1"/>
  <c r="AN182" i="1"/>
  <c r="K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M238" i="1"/>
  <c r="N238" i="1" s="1"/>
  <c r="V238" i="1"/>
  <c r="Y238" i="1"/>
  <c r="Z238" i="1"/>
  <c r="AB238" i="1"/>
  <c r="AC238" i="1"/>
  <c r="AD238" i="1"/>
  <c r="AE238" i="1"/>
  <c r="AF238" i="1"/>
  <c r="AH185" i="1"/>
  <c r="AM185" i="1"/>
  <c r="AN185" i="1"/>
  <c r="K239" i="1"/>
  <c r="M239" i="1"/>
  <c r="N239" i="1" s="1"/>
  <c r="V239" i="1"/>
  <c r="Y239" i="1"/>
  <c r="Z239" i="1"/>
  <c r="AB239" i="1"/>
  <c r="AC239" i="1"/>
  <c r="AD239" i="1"/>
  <c r="AG239" i="1" s="1"/>
  <c r="AI239" i="1" s="1"/>
  <c r="AE239" i="1"/>
  <c r="AF239" i="1"/>
  <c r="AH186" i="1"/>
  <c r="AM186" i="1"/>
  <c r="AN186" i="1"/>
  <c r="K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G240" i="1"/>
  <c r="AH187" i="1"/>
  <c r="AM187" i="1"/>
  <c r="AN187" i="1"/>
  <c r="K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8" i="1"/>
  <c r="AM188" i="1"/>
  <c r="AN188" i="1"/>
  <c r="K242" i="1"/>
  <c r="M242" i="1"/>
  <c r="N242" i="1" s="1"/>
  <c r="V242" i="1"/>
  <c r="Y242" i="1"/>
  <c r="Z242" i="1"/>
  <c r="AB242" i="1"/>
  <c r="AC242" i="1"/>
  <c r="AD242" i="1"/>
  <c r="AE242" i="1"/>
  <c r="AF242" i="1"/>
  <c r="AH189" i="1"/>
  <c r="AM189" i="1"/>
  <c r="AN189" i="1"/>
  <c r="K243" i="1"/>
  <c r="M243" i="1"/>
  <c r="N243" i="1" s="1"/>
  <c r="V243" i="1"/>
  <c r="Y243" i="1"/>
  <c r="Z243" i="1"/>
  <c r="AI243" i="1" s="1"/>
  <c r="AB243" i="1"/>
  <c r="AC243" i="1"/>
  <c r="AD243" i="1"/>
  <c r="AG243" i="1" s="1"/>
  <c r="AE243" i="1"/>
  <c r="AF243" i="1"/>
  <c r="AH190" i="1"/>
  <c r="AM190" i="1"/>
  <c r="AN190" i="1"/>
  <c r="K244" i="1"/>
  <c r="M244" i="1"/>
  <c r="N244" i="1" s="1"/>
  <c r="V244" i="1"/>
  <c r="Y244" i="1"/>
  <c r="AA244" i="1" s="1"/>
  <c r="Z244" i="1"/>
  <c r="AB244" i="1"/>
  <c r="AC244" i="1"/>
  <c r="AD244" i="1"/>
  <c r="T244" i="1" s="1"/>
  <c r="AE244" i="1"/>
  <c r="AF244" i="1"/>
  <c r="AH191" i="1"/>
  <c r="AM191" i="1"/>
  <c r="AN191" i="1"/>
  <c r="K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2" i="1"/>
  <c r="AM192" i="1"/>
  <c r="AN192" i="1"/>
  <c r="K246" i="1"/>
  <c r="M246" i="1"/>
  <c r="N246" i="1" s="1"/>
  <c r="V246" i="1"/>
  <c r="Y246" i="1"/>
  <c r="Z246" i="1"/>
  <c r="AB246" i="1"/>
  <c r="AC246" i="1"/>
  <c r="AD246" i="1"/>
  <c r="AE246" i="1"/>
  <c r="AF246" i="1"/>
  <c r="AH193" i="1"/>
  <c r="AM193" i="1"/>
  <c r="AN193" i="1"/>
  <c r="K247" i="1"/>
  <c r="M247" i="1"/>
  <c r="N247" i="1" s="1"/>
  <c r="V247" i="1"/>
  <c r="Y247" i="1"/>
  <c r="Z247" i="1"/>
  <c r="AB247" i="1"/>
  <c r="AC247" i="1"/>
  <c r="AD247" i="1"/>
  <c r="AG247" i="1" s="1"/>
  <c r="AE247" i="1"/>
  <c r="AF247" i="1"/>
  <c r="AH194" i="1"/>
  <c r="AM194" i="1"/>
  <c r="AN194" i="1"/>
  <c r="K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5" i="1"/>
  <c r="AM195" i="1"/>
  <c r="AN195" i="1"/>
  <c r="K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6" i="1"/>
  <c r="AM196" i="1"/>
  <c r="AN196" i="1"/>
  <c r="K160" i="1"/>
  <c r="M160" i="1"/>
  <c r="N160" i="1" s="1"/>
  <c r="V160" i="1"/>
  <c r="Y160" i="1"/>
  <c r="Z160" i="1"/>
  <c r="AB160" i="1"/>
  <c r="AC160" i="1"/>
  <c r="AD160" i="1"/>
  <c r="AE160" i="1"/>
  <c r="AF160" i="1"/>
  <c r="AH197" i="1"/>
  <c r="AM197" i="1"/>
  <c r="AN197" i="1"/>
  <c r="K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98" i="1"/>
  <c r="AM198" i="1"/>
  <c r="AN198" i="1"/>
  <c r="K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9" i="1"/>
  <c r="AM199" i="1"/>
  <c r="AN199" i="1"/>
  <c r="K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G163" i="1"/>
  <c r="AH200" i="1"/>
  <c r="AM200" i="1"/>
  <c r="AN200" i="1"/>
  <c r="K164" i="1"/>
  <c r="M164" i="1"/>
  <c r="N164" i="1" s="1"/>
  <c r="V164" i="1"/>
  <c r="Y164" i="1"/>
  <c r="Z164" i="1"/>
  <c r="AB164" i="1"/>
  <c r="AC164" i="1"/>
  <c r="AD164" i="1"/>
  <c r="AE164" i="1"/>
  <c r="AF164" i="1"/>
  <c r="AH201" i="1"/>
  <c r="AM201" i="1"/>
  <c r="AN201" i="1"/>
  <c r="K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202" i="1"/>
  <c r="AM202" i="1"/>
  <c r="AN202" i="1"/>
  <c r="K166" i="1"/>
  <c r="M166" i="1"/>
  <c r="N166" i="1" s="1"/>
  <c r="V166" i="1"/>
  <c r="Y166" i="1"/>
  <c r="Z166" i="1"/>
  <c r="AB166" i="1"/>
  <c r="AC166" i="1"/>
  <c r="AD166" i="1"/>
  <c r="AE166" i="1"/>
  <c r="AF166" i="1"/>
  <c r="AH203" i="1"/>
  <c r="AM203" i="1"/>
  <c r="AN203" i="1"/>
  <c r="K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4" i="1"/>
  <c r="AM204" i="1"/>
  <c r="AN204" i="1"/>
  <c r="K248" i="1"/>
  <c r="M248" i="1"/>
  <c r="N248" i="1" s="1"/>
  <c r="V248" i="1"/>
  <c r="Y248" i="1"/>
  <c r="Z248" i="1"/>
  <c r="AB248" i="1"/>
  <c r="AC248" i="1"/>
  <c r="AD248" i="1"/>
  <c r="AE248" i="1"/>
  <c r="AF248" i="1"/>
  <c r="AH205" i="1"/>
  <c r="AM205" i="1"/>
  <c r="AN205" i="1"/>
  <c r="K249" i="1"/>
  <c r="M249" i="1"/>
  <c r="N249" i="1" s="1"/>
  <c r="V249" i="1"/>
  <c r="Y249" i="1"/>
  <c r="Z249" i="1"/>
  <c r="AA249" i="1" s="1"/>
  <c r="W249" i="1" s="1"/>
  <c r="AB249" i="1"/>
  <c r="AC249" i="1"/>
  <c r="AD249" i="1"/>
  <c r="AG249" i="1" s="1"/>
  <c r="AE249" i="1"/>
  <c r="AF249" i="1"/>
  <c r="AH206" i="1"/>
  <c r="AM206" i="1"/>
  <c r="AN206" i="1"/>
  <c r="K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207" i="1"/>
  <c r="AM207" i="1"/>
  <c r="AN207" i="1"/>
  <c r="K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208" i="1"/>
  <c r="AM208" i="1"/>
  <c r="AN208" i="1"/>
  <c r="K252" i="1"/>
  <c r="M252" i="1"/>
  <c r="N252" i="1" s="1"/>
  <c r="V252" i="1"/>
  <c r="Y252" i="1"/>
  <c r="Z252" i="1"/>
  <c r="AB252" i="1"/>
  <c r="AC252" i="1"/>
  <c r="AD252" i="1"/>
  <c r="AE252" i="1"/>
  <c r="AF252" i="1"/>
  <c r="AH209" i="1"/>
  <c r="AM209" i="1"/>
  <c r="AN209" i="1"/>
  <c r="K253" i="1"/>
  <c r="M253" i="1"/>
  <c r="N253" i="1" s="1"/>
  <c r="V253" i="1"/>
  <c r="Y253" i="1"/>
  <c r="Z253" i="1"/>
  <c r="AA253" i="1" s="1"/>
  <c r="W253" i="1" s="1"/>
  <c r="AB253" i="1"/>
  <c r="AC253" i="1"/>
  <c r="AD253" i="1"/>
  <c r="AG253" i="1" s="1"/>
  <c r="AE253" i="1"/>
  <c r="AF253" i="1"/>
  <c r="AH210" i="1"/>
  <c r="AM210" i="1"/>
  <c r="AN210" i="1"/>
  <c r="K254" i="1"/>
  <c r="M254" i="1"/>
  <c r="N254" i="1" s="1"/>
  <c r="V254" i="1"/>
  <c r="X254" i="1"/>
  <c r="Y254" i="1"/>
  <c r="Z254" i="1"/>
  <c r="AB254" i="1"/>
  <c r="AC254" i="1"/>
  <c r="AD254" i="1"/>
  <c r="T254" i="1" s="1"/>
  <c r="AE254" i="1"/>
  <c r="AF254" i="1"/>
  <c r="AG254" i="1"/>
  <c r="AH211" i="1"/>
  <c r="AM211" i="1"/>
  <c r="AN211" i="1"/>
  <c r="K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212" i="1"/>
  <c r="AM212" i="1"/>
  <c r="AN212" i="1"/>
  <c r="K256" i="1"/>
  <c r="M256" i="1"/>
  <c r="N256" i="1" s="1"/>
  <c r="V256" i="1"/>
  <c r="Y256" i="1"/>
  <c r="Z256" i="1"/>
  <c r="AB256" i="1"/>
  <c r="AC256" i="1"/>
  <c r="AD256" i="1"/>
  <c r="AE256" i="1"/>
  <c r="AF256" i="1"/>
  <c r="AH213" i="1"/>
  <c r="AM213" i="1"/>
  <c r="AN213" i="1"/>
  <c r="K257" i="1"/>
  <c r="M257" i="1"/>
  <c r="N257" i="1" s="1"/>
  <c r="V257" i="1"/>
  <c r="Y257" i="1"/>
  <c r="Z257" i="1"/>
  <c r="AB257" i="1"/>
  <c r="AC257" i="1"/>
  <c r="AD257" i="1"/>
  <c r="AG257" i="1" s="1"/>
  <c r="AE257" i="1"/>
  <c r="AF257" i="1"/>
  <c r="AH214" i="1"/>
  <c r="AM214" i="1"/>
  <c r="AN214" i="1"/>
  <c r="K258" i="1"/>
  <c r="M258" i="1"/>
  <c r="N258" i="1" s="1"/>
  <c r="V258" i="1"/>
  <c r="Y258" i="1"/>
  <c r="Z258" i="1"/>
  <c r="AB258" i="1"/>
  <c r="AC258" i="1"/>
  <c r="AD258" i="1"/>
  <c r="T258" i="1" s="1"/>
  <c r="AE258" i="1"/>
  <c r="AF258" i="1"/>
  <c r="AG258" i="1"/>
  <c r="AH215" i="1"/>
  <c r="AM215" i="1"/>
  <c r="AN215" i="1"/>
  <c r="K259" i="1"/>
  <c r="M259" i="1"/>
  <c r="N259" i="1" s="1"/>
  <c r="V259" i="1"/>
  <c r="Y259" i="1"/>
  <c r="Z259" i="1"/>
  <c r="AB259" i="1"/>
  <c r="AC259" i="1"/>
  <c r="AD259" i="1"/>
  <c r="T259" i="1" s="1"/>
  <c r="AE259" i="1"/>
  <c r="AF259" i="1"/>
  <c r="AH216" i="1"/>
  <c r="AM216" i="1"/>
  <c r="AN216" i="1"/>
  <c r="K260" i="1"/>
  <c r="M260" i="1"/>
  <c r="N260" i="1" s="1"/>
  <c r="V260" i="1"/>
  <c r="Y260" i="1"/>
  <c r="Z260" i="1"/>
  <c r="AB260" i="1"/>
  <c r="AC260" i="1"/>
  <c r="AD260" i="1"/>
  <c r="AE260" i="1"/>
  <c r="AF260" i="1"/>
  <c r="AH217" i="1"/>
  <c r="AM217" i="1"/>
  <c r="AN217" i="1"/>
  <c r="K261" i="1"/>
  <c r="M261" i="1"/>
  <c r="N261" i="1" s="1"/>
  <c r="V261" i="1"/>
  <c r="Y261" i="1"/>
  <c r="Z261" i="1"/>
  <c r="AB261" i="1"/>
  <c r="AC261" i="1"/>
  <c r="AD261" i="1"/>
  <c r="AG261" i="1" s="1"/>
  <c r="AE261" i="1"/>
  <c r="AF261" i="1"/>
  <c r="AH218" i="1"/>
  <c r="AM218" i="1"/>
  <c r="AN218" i="1"/>
  <c r="K262" i="1"/>
  <c r="M262" i="1"/>
  <c r="N262" i="1" s="1"/>
  <c r="V262" i="1"/>
  <c r="Y262" i="1"/>
  <c r="Z262" i="1"/>
  <c r="AB262" i="1"/>
  <c r="AC262" i="1"/>
  <c r="AD262" i="1"/>
  <c r="T262" i="1" s="1"/>
  <c r="AE262" i="1"/>
  <c r="AF262" i="1"/>
  <c r="AG262" i="1"/>
  <c r="AH219" i="1"/>
  <c r="AM219" i="1"/>
  <c r="AN219" i="1"/>
  <c r="K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20" i="1"/>
  <c r="AM220" i="1"/>
  <c r="AN220" i="1"/>
  <c r="K169" i="1"/>
  <c r="M169" i="1"/>
  <c r="N169" i="1" s="1"/>
  <c r="V169" i="1"/>
  <c r="Y169" i="1"/>
  <c r="Z169" i="1"/>
  <c r="AB169" i="1"/>
  <c r="AC169" i="1"/>
  <c r="AD169" i="1"/>
  <c r="AE169" i="1"/>
  <c r="AF169" i="1"/>
  <c r="AH221" i="1"/>
  <c r="AM221" i="1"/>
  <c r="AN221" i="1"/>
  <c r="K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22" i="1"/>
  <c r="AM222" i="1"/>
  <c r="AN222" i="1"/>
  <c r="K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23" i="1"/>
  <c r="AM223" i="1"/>
  <c r="AN223" i="1"/>
  <c r="K172" i="1"/>
  <c r="M172" i="1"/>
  <c r="N172" i="1" s="1"/>
  <c r="V172" i="1"/>
  <c r="Y172" i="1"/>
  <c r="Z172" i="1"/>
  <c r="AB172" i="1"/>
  <c r="AC172" i="1"/>
  <c r="AD172" i="1"/>
  <c r="AE172" i="1"/>
  <c r="AF172" i="1"/>
  <c r="AH224" i="1"/>
  <c r="AM224" i="1"/>
  <c r="AN224" i="1"/>
  <c r="K173" i="1"/>
  <c r="M173" i="1"/>
  <c r="N173" i="1" s="1"/>
  <c r="V173" i="1"/>
  <c r="Y173" i="1"/>
  <c r="Z173" i="1"/>
  <c r="AB173" i="1"/>
  <c r="AC173" i="1"/>
  <c r="AD173" i="1"/>
  <c r="AE173" i="1"/>
  <c r="AF173" i="1"/>
  <c r="AH225" i="1"/>
  <c r="AM225" i="1"/>
  <c r="AN225" i="1"/>
  <c r="K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26" i="1"/>
  <c r="AM226" i="1"/>
  <c r="AN226" i="1"/>
  <c r="K175" i="1"/>
  <c r="M175" i="1"/>
  <c r="N175" i="1" s="1"/>
  <c r="V175" i="1"/>
  <c r="Y175" i="1"/>
  <c r="Z175" i="1"/>
  <c r="AB175" i="1"/>
  <c r="AC175" i="1"/>
  <c r="AD175" i="1"/>
  <c r="AE175" i="1"/>
  <c r="AF175" i="1"/>
  <c r="AH227" i="1"/>
  <c r="AM227" i="1"/>
  <c r="AN227" i="1"/>
  <c r="K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28" i="1"/>
  <c r="AM228" i="1"/>
  <c r="AN228" i="1"/>
  <c r="K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29" i="1"/>
  <c r="AM229" i="1"/>
  <c r="AN229" i="1"/>
  <c r="K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30" i="1"/>
  <c r="AM230" i="1"/>
  <c r="AN230" i="1"/>
  <c r="K179" i="1"/>
  <c r="M179" i="1"/>
  <c r="N179" i="1" s="1"/>
  <c r="V179" i="1"/>
  <c r="Y179" i="1"/>
  <c r="Z179" i="1"/>
  <c r="AB179" i="1"/>
  <c r="AC179" i="1"/>
  <c r="AD179" i="1"/>
  <c r="X179" i="1" s="1"/>
  <c r="AE179" i="1"/>
  <c r="AF179" i="1"/>
  <c r="AH231" i="1"/>
  <c r="AI231" i="1"/>
  <c r="AM231" i="1"/>
  <c r="AN231" i="1"/>
  <c r="K180" i="1"/>
  <c r="M180" i="1"/>
  <c r="N180" i="1" s="1"/>
  <c r="V180" i="1"/>
  <c r="Y180" i="1"/>
  <c r="Z180" i="1"/>
  <c r="AB180" i="1"/>
  <c r="AC180" i="1"/>
  <c r="AD180" i="1"/>
  <c r="AE180" i="1"/>
  <c r="AF180" i="1"/>
  <c r="AH232" i="1"/>
  <c r="AM232" i="1"/>
  <c r="AN232" i="1"/>
  <c r="K181" i="1"/>
  <c r="M181" i="1"/>
  <c r="N181" i="1" s="1"/>
  <c r="V181" i="1"/>
  <c r="Y181" i="1"/>
  <c r="Z181" i="1"/>
  <c r="AB181" i="1"/>
  <c r="AC181" i="1"/>
  <c r="AD181" i="1"/>
  <c r="AE181" i="1"/>
  <c r="AF181" i="1"/>
  <c r="AH233" i="1"/>
  <c r="AM233" i="1"/>
  <c r="AN233" i="1"/>
  <c r="K182" i="1"/>
  <c r="M182" i="1"/>
  <c r="N182" i="1" s="1"/>
  <c r="V182" i="1"/>
  <c r="S56" i="3" s="1"/>
  <c r="Y182" i="1"/>
  <c r="Z182" i="1"/>
  <c r="AB182" i="1"/>
  <c r="AC182" i="1"/>
  <c r="AD182" i="1"/>
  <c r="AE182" i="1"/>
  <c r="R56" i="3" s="1"/>
  <c r="AF182" i="1"/>
  <c r="AH234" i="1"/>
  <c r="AM234" i="1"/>
  <c r="AN234" i="1"/>
  <c r="K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35" i="1"/>
  <c r="AM235" i="1"/>
  <c r="AN235" i="1"/>
  <c r="K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36" i="1"/>
  <c r="AM236" i="1"/>
  <c r="AN236" i="1"/>
  <c r="K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37" i="1"/>
  <c r="AM237" i="1"/>
  <c r="AN237" i="1"/>
  <c r="K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38" i="1"/>
  <c r="AM238" i="1"/>
  <c r="AN238" i="1"/>
  <c r="K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39" i="1"/>
  <c r="AM239" i="1"/>
  <c r="AN239" i="1"/>
  <c r="K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40" i="1"/>
  <c r="AM240" i="1"/>
  <c r="AN240" i="1"/>
  <c r="K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41" i="1"/>
  <c r="AM241" i="1"/>
  <c r="AN241" i="1"/>
  <c r="K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42" i="1"/>
  <c r="AM242" i="1"/>
  <c r="AN242" i="1"/>
  <c r="K191" i="1"/>
  <c r="M191" i="1"/>
  <c r="N191" i="1" s="1"/>
  <c r="V191" i="1"/>
  <c r="Y191" i="1"/>
  <c r="Z191" i="1"/>
  <c r="AB191" i="1"/>
  <c r="AC191" i="1"/>
  <c r="AD191" i="1"/>
  <c r="AE191" i="1"/>
  <c r="AF191" i="1"/>
  <c r="AH243" i="1"/>
  <c r="AM243" i="1"/>
  <c r="AN243" i="1"/>
  <c r="K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44" i="1"/>
  <c r="AM244" i="1"/>
  <c r="AN244" i="1"/>
  <c r="K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45" i="1"/>
  <c r="AM245" i="1"/>
  <c r="AN245" i="1"/>
  <c r="K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46" i="1"/>
  <c r="AM246" i="1"/>
  <c r="AN246" i="1"/>
  <c r="K195" i="1"/>
  <c r="M195" i="1"/>
  <c r="N195" i="1" s="1"/>
  <c r="V195" i="1"/>
  <c r="Y195" i="1"/>
  <c r="Z195" i="1"/>
  <c r="AB195" i="1"/>
  <c r="AC195" i="1"/>
  <c r="AD195" i="1"/>
  <c r="X195" i="1" s="1"/>
  <c r="AE195" i="1"/>
  <c r="AF195" i="1"/>
  <c r="AH247" i="1"/>
  <c r="AI247" i="1"/>
  <c r="AM247" i="1"/>
  <c r="AN247" i="1"/>
  <c r="K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48" i="1"/>
  <c r="AM248" i="1"/>
  <c r="AN248" i="1"/>
  <c r="K197" i="1"/>
  <c r="M197" i="1"/>
  <c r="N197" i="1" s="1"/>
  <c r="V197" i="1"/>
  <c r="S57" i="3" s="1"/>
  <c r="Y197" i="1"/>
  <c r="Z197" i="1"/>
  <c r="AB197" i="1"/>
  <c r="AC197" i="1"/>
  <c r="AD197" i="1"/>
  <c r="T197" i="1" s="1"/>
  <c r="AE197" i="1"/>
  <c r="R57" i="3" s="1"/>
  <c r="AF197" i="1"/>
  <c r="AH249" i="1"/>
  <c r="AM249" i="1"/>
  <c r="AN249" i="1"/>
  <c r="K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50" i="1"/>
  <c r="AM250" i="1"/>
  <c r="AN250" i="1"/>
  <c r="K199" i="1"/>
  <c r="M199" i="1"/>
  <c r="N199" i="1" s="1"/>
  <c r="V199" i="1"/>
  <c r="Y199" i="1"/>
  <c r="AA199" i="1" s="1"/>
  <c r="Z199" i="1"/>
  <c r="AB199" i="1"/>
  <c r="AC199" i="1"/>
  <c r="AD199" i="1"/>
  <c r="AG199" i="1" s="1"/>
  <c r="AE199" i="1"/>
  <c r="AF199" i="1"/>
  <c r="AH251" i="1"/>
  <c r="AM251" i="1"/>
  <c r="AN251" i="1"/>
  <c r="K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G200" i="1"/>
  <c r="AH252" i="1"/>
  <c r="AM252" i="1"/>
  <c r="AN252" i="1"/>
  <c r="K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53" i="1"/>
  <c r="AM253" i="1"/>
  <c r="AN253" i="1"/>
  <c r="K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54" i="1"/>
  <c r="AM254" i="1"/>
  <c r="AN254" i="1"/>
  <c r="K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55" i="1"/>
  <c r="AM255" i="1"/>
  <c r="AN255" i="1"/>
  <c r="K204" i="1"/>
  <c r="M204" i="1"/>
  <c r="N204" i="1" s="1"/>
  <c r="V204" i="1"/>
  <c r="Y204" i="1"/>
  <c r="Z204" i="1"/>
  <c r="AB204" i="1"/>
  <c r="AC204" i="1"/>
  <c r="AD204" i="1"/>
  <c r="X205" i="1" s="1"/>
  <c r="AE204" i="1"/>
  <c r="AF204" i="1"/>
  <c r="AH256" i="1"/>
  <c r="AM256" i="1"/>
  <c r="AN256" i="1"/>
  <c r="K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57" i="1"/>
  <c r="AM257" i="1"/>
  <c r="AN257" i="1"/>
  <c r="K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58" i="1"/>
  <c r="AM258" i="1"/>
  <c r="AN258" i="1"/>
  <c r="K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59" i="1"/>
  <c r="AM259" i="1"/>
  <c r="AN259" i="1"/>
  <c r="K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60" i="1"/>
  <c r="AM260" i="1"/>
  <c r="AN260" i="1"/>
  <c r="K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61" i="1"/>
  <c r="AM261" i="1"/>
  <c r="AN261" i="1"/>
  <c r="K224" i="1"/>
  <c r="M224" i="1"/>
  <c r="N224" i="1"/>
  <c r="V224" i="1"/>
  <c r="Y224" i="1"/>
  <c r="Z224" i="1"/>
  <c r="AA224" i="1"/>
  <c r="AB224" i="1"/>
  <c r="AC224" i="1"/>
  <c r="AD224" i="1"/>
  <c r="T224" i="1" s="1"/>
  <c r="AE224" i="1"/>
  <c r="AF224" i="1"/>
  <c r="AH262" i="1"/>
  <c r="AM262" i="1"/>
  <c r="AN262" i="1"/>
  <c r="M60" i="3"/>
  <c r="R60" i="3"/>
  <c r="U60" i="3"/>
  <c r="T60" i="3" s="1"/>
  <c r="V60" i="3"/>
  <c r="W60" i="3"/>
  <c r="X60" i="3"/>
  <c r="M62" i="3"/>
  <c r="R62" i="3"/>
  <c r="U62" i="3"/>
  <c r="V62" i="3"/>
  <c r="W62" i="3"/>
  <c r="X62" i="3"/>
  <c r="M61" i="3"/>
  <c r="R61" i="3"/>
  <c r="U61" i="3"/>
  <c r="AC61" i="3" s="1"/>
  <c r="V61" i="3"/>
  <c r="W61" i="3"/>
  <c r="X61" i="3"/>
  <c r="M43" i="3"/>
  <c r="U43" i="3"/>
  <c r="AC43" i="3" s="1"/>
  <c r="V43" i="3"/>
  <c r="W43" i="3"/>
  <c r="X43" i="3"/>
  <c r="M65" i="3"/>
  <c r="R65" i="3"/>
  <c r="S65" i="3"/>
  <c r="U65" i="3"/>
  <c r="T65" i="3" s="1"/>
  <c r="V65" i="3"/>
  <c r="W65" i="3"/>
  <c r="X65" i="3"/>
  <c r="AC65" i="3"/>
  <c r="M46" i="3"/>
  <c r="R46" i="3"/>
  <c r="U46" i="3"/>
  <c r="V46" i="3"/>
  <c r="W46" i="3"/>
  <c r="Y46" i="3" s="1"/>
  <c r="X46" i="3"/>
  <c r="AC46" i="3"/>
  <c r="M47" i="3"/>
  <c r="R47" i="3"/>
  <c r="U47" i="3"/>
  <c r="AC47" i="3" s="1"/>
  <c r="V47" i="3"/>
  <c r="W47" i="3"/>
  <c r="Y47" i="3" s="1"/>
  <c r="X47" i="3"/>
  <c r="M38" i="3"/>
  <c r="R38" i="3"/>
  <c r="S38" i="3"/>
  <c r="T38" i="3"/>
  <c r="U38" i="3"/>
  <c r="AC38" i="3" s="1"/>
  <c r="V38" i="3"/>
  <c r="W38" i="3"/>
  <c r="X38" i="3"/>
  <c r="M18" i="3"/>
  <c r="R18" i="3"/>
  <c r="U18" i="3"/>
  <c r="T18" i="3" s="1"/>
  <c r="V18" i="3"/>
  <c r="W18" i="3"/>
  <c r="X18" i="3"/>
  <c r="AC18" i="3"/>
  <c r="M17" i="3"/>
  <c r="U17" i="3"/>
  <c r="AD17" i="3" s="1"/>
  <c r="V17" i="3"/>
  <c r="W17" i="3"/>
  <c r="X17" i="3"/>
  <c r="AC17" i="3"/>
  <c r="M12" i="3"/>
  <c r="R12" i="3"/>
  <c r="U12" i="3"/>
  <c r="AC12" i="3" s="1"/>
  <c r="V12" i="3"/>
  <c r="W12" i="3"/>
  <c r="X12" i="3"/>
  <c r="M20" i="3"/>
  <c r="R20" i="3"/>
  <c r="S20" i="3"/>
  <c r="U20" i="3"/>
  <c r="AC20" i="3" s="1"/>
  <c r="V20" i="3"/>
  <c r="W20" i="3"/>
  <c r="X20" i="3"/>
  <c r="M39" i="3"/>
  <c r="R39" i="3"/>
  <c r="S39" i="3"/>
  <c r="U39" i="3"/>
  <c r="T39" i="3" s="1"/>
  <c r="V39" i="3"/>
  <c r="W39" i="3"/>
  <c r="X39" i="3"/>
  <c r="AC39" i="3"/>
  <c r="M32" i="3"/>
  <c r="R32" i="3"/>
  <c r="U32" i="3"/>
  <c r="V32" i="3"/>
  <c r="W32" i="3"/>
  <c r="Y32" i="3" s="1"/>
  <c r="X32" i="3"/>
  <c r="M7" i="3"/>
  <c r="S7" i="3"/>
  <c r="U7" i="3"/>
  <c r="AC7" i="3" s="1"/>
  <c r="V7" i="3"/>
  <c r="W7" i="3"/>
  <c r="X7" i="3"/>
  <c r="M48" i="3"/>
  <c r="R48" i="3"/>
  <c r="U48" i="3"/>
  <c r="AC48" i="3" s="1"/>
  <c r="V48" i="3"/>
  <c r="W48" i="3"/>
  <c r="X48" i="3"/>
  <c r="M21" i="3"/>
  <c r="S21" i="3"/>
  <c r="U21" i="3"/>
  <c r="T21" i="3" s="1"/>
  <c r="V21" i="3"/>
  <c r="W21" i="3"/>
  <c r="X21" i="3"/>
  <c r="AC21" i="3"/>
  <c r="M41" i="3"/>
  <c r="S41" i="3"/>
  <c r="U41" i="3"/>
  <c r="AD41" i="3" s="1"/>
  <c r="V41" i="3"/>
  <c r="W41" i="3"/>
  <c r="X41" i="3"/>
  <c r="M22" i="3"/>
  <c r="S22" i="3"/>
  <c r="U22" i="3"/>
  <c r="AC22" i="3" s="1"/>
  <c r="V22" i="3"/>
  <c r="W22" i="3"/>
  <c r="X22" i="3"/>
  <c r="M14" i="3"/>
  <c r="R14" i="3"/>
  <c r="U14" i="3"/>
  <c r="AC14" i="3" s="1"/>
  <c r="V14" i="3"/>
  <c r="W14" i="3"/>
  <c r="X14" i="3"/>
  <c r="M33" i="3"/>
  <c r="R33" i="3"/>
  <c r="U33" i="3"/>
  <c r="T33" i="3" s="1"/>
  <c r="V33" i="3"/>
  <c r="W33" i="3"/>
  <c r="X33" i="3"/>
  <c r="AC33" i="3"/>
  <c r="M23" i="3"/>
  <c r="R23" i="3"/>
  <c r="U23" i="3"/>
  <c r="V23" i="3"/>
  <c r="W23" i="3"/>
  <c r="X23" i="3"/>
  <c r="AC23" i="3"/>
  <c r="M40" i="3"/>
  <c r="R40" i="3"/>
  <c r="S40" i="3"/>
  <c r="U40" i="3"/>
  <c r="AC40" i="3" s="1"/>
  <c r="V40" i="3"/>
  <c r="W40" i="3"/>
  <c r="X40" i="3"/>
  <c r="M49" i="3"/>
  <c r="R49" i="3"/>
  <c r="U49" i="3"/>
  <c r="AC49" i="3" s="1"/>
  <c r="V49" i="3"/>
  <c r="W49" i="3"/>
  <c r="X49" i="3"/>
  <c r="M63" i="3"/>
  <c r="R63" i="3"/>
  <c r="U63" i="3"/>
  <c r="T63" i="3" s="1"/>
  <c r="V63" i="3"/>
  <c r="W63" i="3"/>
  <c r="X63" i="3"/>
  <c r="AC63" i="3"/>
  <c r="M24" i="3"/>
  <c r="R24" i="3"/>
  <c r="U24" i="3"/>
  <c r="AD24" i="3" s="1"/>
  <c r="V24" i="3"/>
  <c r="W24" i="3"/>
  <c r="Y24" i="3" s="1"/>
  <c r="X24" i="3"/>
  <c r="M25" i="3"/>
  <c r="S25" i="3"/>
  <c r="U25" i="3"/>
  <c r="AC25" i="3" s="1"/>
  <c r="V25" i="3"/>
  <c r="W25" i="3"/>
  <c r="X25" i="3"/>
  <c r="M19" i="3"/>
  <c r="U19" i="3"/>
  <c r="AC19" i="3" s="1"/>
  <c r="V19" i="3"/>
  <c r="W19" i="3"/>
  <c r="Y19" i="3" s="1"/>
  <c r="X19" i="3"/>
  <c r="M26" i="3"/>
  <c r="R26" i="3"/>
  <c r="S26" i="3"/>
  <c r="T26" i="3"/>
  <c r="U26" i="3"/>
  <c r="V26" i="3"/>
  <c r="W26" i="3"/>
  <c r="X26" i="3"/>
  <c r="AC26" i="3"/>
  <c r="M51" i="3"/>
  <c r="U51" i="3"/>
  <c r="V51" i="3"/>
  <c r="W51" i="3"/>
  <c r="X51" i="3"/>
  <c r="M50" i="3"/>
  <c r="R50" i="3"/>
  <c r="U50" i="3"/>
  <c r="AC50" i="3" s="1"/>
  <c r="V50" i="3"/>
  <c r="W50" i="3"/>
  <c r="X50" i="3"/>
  <c r="M56" i="3"/>
  <c r="U56" i="3"/>
  <c r="AC56" i="3" s="1"/>
  <c r="V56" i="3"/>
  <c r="W56" i="3"/>
  <c r="X56" i="3"/>
  <c r="M34" i="3"/>
  <c r="S34" i="3"/>
  <c r="U34" i="3"/>
  <c r="T34" i="3" s="1"/>
  <c r="V34" i="3"/>
  <c r="W34" i="3"/>
  <c r="X34" i="3"/>
  <c r="AC34" i="3"/>
  <c r="M8" i="3"/>
  <c r="R8" i="3"/>
  <c r="U8" i="3"/>
  <c r="V8" i="3"/>
  <c r="W8" i="3"/>
  <c r="X8" i="3"/>
  <c r="M35" i="3"/>
  <c r="S35" i="3"/>
  <c r="U35" i="3"/>
  <c r="AC35" i="3" s="1"/>
  <c r="V35" i="3"/>
  <c r="W35" i="3"/>
  <c r="X35" i="3"/>
  <c r="M9" i="3"/>
  <c r="R9" i="3"/>
  <c r="U9" i="3"/>
  <c r="AC9" i="3" s="1"/>
  <c r="V9" i="3"/>
  <c r="W9" i="3"/>
  <c r="X9" i="3"/>
  <c r="AD9" i="3"/>
  <c r="M64" i="3"/>
  <c r="S64" i="3"/>
  <c r="U64" i="3"/>
  <c r="T64" i="3" s="1"/>
  <c r="V64" i="3"/>
  <c r="W64" i="3"/>
  <c r="X64" i="3"/>
  <c r="AC64" i="3"/>
  <c r="M36" i="3"/>
  <c r="U36" i="3"/>
  <c r="V36" i="3"/>
  <c r="W36" i="3"/>
  <c r="X36" i="3"/>
  <c r="AC36" i="3"/>
  <c r="M10" i="3"/>
  <c r="U10" i="3"/>
  <c r="AC10" i="3" s="1"/>
  <c r="V10" i="3"/>
  <c r="AE10" i="3" s="1"/>
  <c r="W10" i="3"/>
  <c r="Y10" i="3" s="1"/>
  <c r="X10" i="3"/>
  <c r="M52" i="3"/>
  <c r="S52" i="3"/>
  <c r="U52" i="3"/>
  <c r="AC52" i="3" s="1"/>
  <c r="V52" i="3"/>
  <c r="W52" i="3"/>
  <c r="X52" i="3"/>
  <c r="M30" i="3"/>
  <c r="S30" i="3"/>
  <c r="U30" i="3"/>
  <c r="AD52" i="3" s="1"/>
  <c r="V30" i="3"/>
  <c r="W30" i="3"/>
  <c r="X30" i="3"/>
  <c r="AC30" i="3"/>
  <c r="M57" i="3"/>
  <c r="U57" i="3"/>
  <c r="V57" i="3"/>
  <c r="W57" i="3"/>
  <c r="X57" i="3"/>
  <c r="M53" i="3"/>
  <c r="R53" i="3"/>
  <c r="U53" i="3"/>
  <c r="AC53" i="3" s="1"/>
  <c r="V53" i="3"/>
  <c r="W53" i="3"/>
  <c r="X53" i="3"/>
  <c r="M58" i="3"/>
  <c r="S58" i="3"/>
  <c r="U58" i="3"/>
  <c r="AC58" i="3" s="1"/>
  <c r="V58" i="3"/>
  <c r="W58" i="3"/>
  <c r="X58" i="3"/>
  <c r="M15" i="3"/>
  <c r="R15" i="3"/>
  <c r="U15" i="3"/>
  <c r="AD58" i="3" s="1"/>
  <c r="V15" i="3"/>
  <c r="W15" i="3"/>
  <c r="X15" i="3"/>
  <c r="AC15" i="3"/>
  <c r="M27" i="3"/>
  <c r="R27" i="3"/>
  <c r="U27" i="3"/>
  <c r="V27" i="3"/>
  <c r="W27" i="3"/>
  <c r="Y27" i="3" s="1"/>
  <c r="X27" i="3"/>
  <c r="M54" i="3"/>
  <c r="R54" i="3"/>
  <c r="S54" i="3"/>
  <c r="U54" i="3"/>
  <c r="AC54" i="3" s="1"/>
  <c r="V54" i="3"/>
  <c r="W54" i="3"/>
  <c r="X54" i="3"/>
  <c r="M13" i="3"/>
  <c r="S13" i="3"/>
  <c r="U13" i="3"/>
  <c r="AC13" i="3" s="1"/>
  <c r="V13" i="3"/>
  <c r="W13" i="3"/>
  <c r="X13" i="3"/>
  <c r="M37" i="3"/>
  <c r="R37" i="3"/>
  <c r="U37" i="3"/>
  <c r="AD19" i="3" s="1"/>
  <c r="V37" i="3"/>
  <c r="W37" i="3"/>
  <c r="X37" i="3"/>
  <c r="AC37" i="3"/>
  <c r="M16" i="3"/>
  <c r="R16" i="3"/>
  <c r="S16" i="3"/>
  <c r="U16" i="3"/>
  <c r="AD37" i="3" s="1"/>
  <c r="V16" i="3"/>
  <c r="W16" i="3"/>
  <c r="Y16" i="3" s="1"/>
  <c r="X16" i="3"/>
  <c r="M28" i="3"/>
  <c r="S28" i="3"/>
  <c r="U28" i="3"/>
  <c r="AC28" i="3" s="1"/>
  <c r="V28" i="3"/>
  <c r="W28" i="3"/>
  <c r="X28" i="3"/>
  <c r="M55" i="3"/>
  <c r="S55" i="3"/>
  <c r="U55" i="3"/>
  <c r="AC55" i="3" s="1"/>
  <c r="V55" i="3"/>
  <c r="W55" i="3"/>
  <c r="X55" i="3"/>
  <c r="M42" i="3"/>
  <c r="S42" i="3"/>
  <c r="U42" i="3"/>
  <c r="T42" i="3" s="1"/>
  <c r="V42" i="3"/>
  <c r="W42" i="3"/>
  <c r="X42" i="3"/>
  <c r="AC42" i="3"/>
  <c r="M29" i="3"/>
  <c r="R29" i="3"/>
  <c r="U29" i="3"/>
  <c r="V29" i="3"/>
  <c r="W29" i="3"/>
  <c r="X29" i="3"/>
  <c r="M44" i="3"/>
  <c r="S44" i="3"/>
  <c r="U44" i="3"/>
  <c r="AC44" i="3" s="1"/>
  <c r="V44" i="3"/>
  <c r="W44" i="3"/>
  <c r="X44" i="3"/>
  <c r="M31" i="3"/>
  <c r="U31" i="3"/>
  <c r="AC31" i="3" s="1"/>
  <c r="V31" i="3"/>
  <c r="W31" i="3"/>
  <c r="X31" i="3"/>
  <c r="AD44" i="3"/>
  <c r="M11" i="3"/>
  <c r="S11" i="3"/>
  <c r="U11" i="3"/>
  <c r="T11" i="3" s="1"/>
  <c r="V11" i="3"/>
  <c r="W11" i="3"/>
  <c r="X11" i="3"/>
  <c r="AC11" i="3"/>
  <c r="M45" i="3"/>
  <c r="R45" i="3"/>
  <c r="U45" i="3"/>
  <c r="V45" i="3"/>
  <c r="W45" i="3"/>
  <c r="X45" i="3"/>
  <c r="AC45" i="3"/>
  <c r="Y29" i="3" l="1"/>
  <c r="Y36" i="3"/>
  <c r="Y22" i="3"/>
  <c r="T14" i="3"/>
  <c r="Y37" i="3"/>
  <c r="AE53" i="3"/>
  <c r="T30" i="3"/>
  <c r="AD10" i="3"/>
  <c r="Y8" i="3"/>
  <c r="Y14" i="3"/>
  <c r="Y12" i="3"/>
  <c r="AE54" i="3"/>
  <c r="AD53" i="3"/>
  <c r="AD30" i="3"/>
  <c r="AD34" i="3"/>
  <c r="AD21" i="3"/>
  <c r="Y41" i="3"/>
  <c r="Y61" i="3"/>
  <c r="U24" i="1"/>
  <c r="S24" i="1" s="1"/>
  <c r="AI24" i="1"/>
  <c r="S53" i="3"/>
  <c r="S49" i="3"/>
  <c r="R41" i="3"/>
  <c r="AG156" i="1"/>
  <c r="U156" i="1" s="1"/>
  <c r="S156" i="1" s="1"/>
  <c r="T151" i="1"/>
  <c r="X151" i="1"/>
  <c r="T134" i="1"/>
  <c r="AA20" i="1"/>
  <c r="W20" i="1" s="1"/>
  <c r="R55" i="3"/>
  <c r="S47" i="3"/>
  <c r="AI170" i="1"/>
  <c r="AG167" i="1"/>
  <c r="AI167" i="1" s="1"/>
  <c r="T150" i="1"/>
  <c r="X150" i="1"/>
  <c r="AA131" i="1"/>
  <c r="AG33" i="1"/>
  <c r="U33" i="1" s="1"/>
  <c r="S33" i="1" s="1"/>
  <c r="X20" i="1"/>
  <c r="AI130" i="1"/>
  <c r="X124" i="1"/>
  <c r="X92" i="1"/>
  <c r="X84" i="1"/>
  <c r="AD28" i="3"/>
  <c r="Y54" i="3"/>
  <c r="Y57" i="3"/>
  <c r="Y51" i="3"/>
  <c r="AC24" i="3"/>
  <c r="Y40" i="3"/>
  <c r="AD39" i="3"/>
  <c r="Y62" i="3"/>
  <c r="AC60" i="3"/>
  <c r="AD42" i="3"/>
  <c r="AD15" i="3"/>
  <c r="T52" i="3"/>
  <c r="T9" i="3"/>
  <c r="AE34" i="3"/>
  <c r="AD56" i="3"/>
  <c r="AD51" i="3"/>
  <c r="AD11" i="3"/>
  <c r="T31" i="3"/>
  <c r="T37" i="3"/>
  <c r="AD54" i="3"/>
  <c r="Y52" i="3"/>
  <c r="Y35" i="3"/>
  <c r="AD8" i="3"/>
  <c r="Y25" i="3"/>
  <c r="Y39" i="3"/>
  <c r="Y20" i="3"/>
  <c r="Y60" i="3"/>
  <c r="S23" i="3"/>
  <c r="AA223" i="1"/>
  <c r="AA198" i="1"/>
  <c r="X262" i="1"/>
  <c r="AA147" i="1"/>
  <c r="AA136" i="1"/>
  <c r="AI117" i="1"/>
  <c r="AG95" i="1"/>
  <c r="U95" i="1" s="1"/>
  <c r="S95" i="1" s="1"/>
  <c r="X95" i="1"/>
  <c r="T93" i="1"/>
  <c r="X93" i="1"/>
  <c r="X62" i="1"/>
  <c r="S62" i="3"/>
  <c r="S60" i="3"/>
  <c r="AA194" i="1"/>
  <c r="AA187" i="1"/>
  <c r="W187" i="1" s="1"/>
  <c r="AG176" i="1"/>
  <c r="X176" i="1"/>
  <c r="X174" i="1"/>
  <c r="AA246" i="1"/>
  <c r="AI218" i="1"/>
  <c r="AI214" i="1"/>
  <c r="T213" i="1"/>
  <c r="T210" i="1"/>
  <c r="X135" i="1"/>
  <c r="AA134" i="1"/>
  <c r="W134" i="1" s="1"/>
  <c r="AI126" i="1"/>
  <c r="T95" i="1"/>
  <c r="AA86" i="1"/>
  <c r="T65" i="1"/>
  <c r="AA43" i="1"/>
  <c r="AA15" i="1"/>
  <c r="AA220" i="1"/>
  <c r="AA193" i="1"/>
  <c r="X258" i="1"/>
  <c r="AA257" i="1"/>
  <c r="W257" i="1" s="1"/>
  <c r="AA248" i="1"/>
  <c r="AA242" i="1"/>
  <c r="AA217" i="1"/>
  <c r="AA144" i="1"/>
  <c r="W144" i="1" s="1"/>
  <c r="AA122" i="1"/>
  <c r="X111" i="1"/>
  <c r="AI110" i="1"/>
  <c r="AA106" i="1"/>
  <c r="AG94" i="1"/>
  <c r="AI94" i="1" s="1"/>
  <c r="X94" i="1"/>
  <c r="AA85" i="1"/>
  <c r="X60" i="1"/>
  <c r="AA42" i="1"/>
  <c r="R10" i="3"/>
  <c r="AG222" i="1"/>
  <c r="X199" i="1"/>
  <c r="AG196" i="1"/>
  <c r="X196" i="1"/>
  <c r="AG192" i="1"/>
  <c r="U192" i="1" s="1"/>
  <c r="S192" i="1" s="1"/>
  <c r="AA185" i="1"/>
  <c r="AG183" i="1"/>
  <c r="U183" i="1" s="1"/>
  <c r="S183" i="1" s="1"/>
  <c r="X183" i="1"/>
  <c r="X180" i="1"/>
  <c r="AA173" i="1"/>
  <c r="T249" i="1"/>
  <c r="X166" i="1"/>
  <c r="AG162" i="1"/>
  <c r="U162" i="1" s="1"/>
  <c r="S162" i="1" s="1"/>
  <c r="AA161" i="1"/>
  <c r="W161" i="1" s="1"/>
  <c r="AG245" i="1"/>
  <c r="AG236" i="1"/>
  <c r="X236" i="1"/>
  <c r="AG235" i="1"/>
  <c r="AI235" i="1" s="1"/>
  <c r="AG225" i="1"/>
  <c r="AA215" i="1"/>
  <c r="AG211" i="1"/>
  <c r="AA210" i="1"/>
  <c r="AA207" i="1"/>
  <c r="AA154" i="1"/>
  <c r="AA139" i="1"/>
  <c r="AA126" i="1"/>
  <c r="W126" i="1" s="1"/>
  <c r="AI118" i="1"/>
  <c r="AA110" i="1"/>
  <c r="W110" i="1" s="1"/>
  <c r="AA103" i="1"/>
  <c r="T102" i="1"/>
  <c r="AA101" i="1"/>
  <c r="X91" i="1"/>
  <c r="AG80" i="1"/>
  <c r="U80" i="1" s="1"/>
  <c r="S80" i="1" s="1"/>
  <c r="X75" i="1"/>
  <c r="AA73" i="1"/>
  <c r="AA63" i="1"/>
  <c r="AA61" i="1"/>
  <c r="W61" i="1" s="1"/>
  <c r="AI60" i="1"/>
  <c r="AI56" i="1"/>
  <c r="AA52" i="1"/>
  <c r="AA41" i="1"/>
  <c r="AI40" i="1"/>
  <c r="AA32" i="1"/>
  <c r="AA25" i="1"/>
  <c r="AA16" i="1"/>
  <c r="X200" i="1"/>
  <c r="X240" i="1"/>
  <c r="U213" i="1"/>
  <c r="S213" i="1" s="1"/>
  <c r="X156" i="1"/>
  <c r="T107" i="1"/>
  <c r="U107" i="1" s="1"/>
  <c r="S107" i="1" s="1"/>
  <c r="X16" i="1"/>
  <c r="S17" i="3"/>
  <c r="AA222" i="1"/>
  <c r="W222" i="1" s="1"/>
  <c r="AA221" i="1"/>
  <c r="AA202" i="1"/>
  <c r="AA195" i="1"/>
  <c r="AA192" i="1"/>
  <c r="AA186" i="1"/>
  <c r="AA183" i="1"/>
  <c r="AA179" i="1"/>
  <c r="X175" i="1"/>
  <c r="AA170" i="1"/>
  <c r="W170" i="1" s="1"/>
  <c r="AG259" i="1"/>
  <c r="AI259" i="1" s="1"/>
  <c r="AA252" i="1"/>
  <c r="T166" i="1"/>
  <c r="AA165" i="1"/>
  <c r="W165" i="1" s="1"/>
  <c r="AA243" i="1"/>
  <c r="W243" i="1" s="1"/>
  <c r="AG241" i="1"/>
  <c r="X232" i="1"/>
  <c r="AG229" i="1"/>
  <c r="AA205" i="1"/>
  <c r="W205" i="1" s="1"/>
  <c r="AA155" i="1"/>
  <c r="X148" i="1"/>
  <c r="AG115" i="1"/>
  <c r="AA98" i="1"/>
  <c r="W98" i="1" s="1"/>
  <c r="AA94" i="1"/>
  <c r="W94" i="1" s="1"/>
  <c r="AA93" i="1"/>
  <c r="AA90" i="1"/>
  <c r="AA82" i="1"/>
  <c r="AA72" i="1"/>
  <c r="W72" i="1" s="1"/>
  <c r="AA64" i="1"/>
  <c r="AA57" i="1"/>
  <c r="AA47" i="1"/>
  <c r="AI44" i="1"/>
  <c r="AG41" i="1"/>
  <c r="AI41" i="1" s="1"/>
  <c r="AA31" i="1"/>
  <c r="AA29" i="1"/>
  <c r="T191" i="1"/>
  <c r="U191" i="1" s="1"/>
  <c r="S191" i="1" s="1"/>
  <c r="AG191" i="1"/>
  <c r="AA203" i="1"/>
  <c r="AG203" i="1"/>
  <c r="X203" i="1"/>
  <c r="U235" i="1"/>
  <c r="S235" i="1" s="1"/>
  <c r="AG155" i="1"/>
  <c r="AI155" i="1" s="1"/>
  <c r="AA138" i="1"/>
  <c r="AA135" i="1"/>
  <c r="X127" i="1"/>
  <c r="AG120" i="1"/>
  <c r="X120" i="1"/>
  <c r="AG119" i="1"/>
  <c r="AI119" i="1" s="1"/>
  <c r="X119" i="1"/>
  <c r="AA115" i="1"/>
  <c r="W115" i="1" s="1"/>
  <c r="X110" i="1"/>
  <c r="AA104" i="1"/>
  <c r="W104" i="1" s="1"/>
  <c r="AA100" i="1"/>
  <c r="AA99" i="1"/>
  <c r="AG90" i="1"/>
  <c r="AI90" i="1" s="1"/>
  <c r="AA89" i="1"/>
  <c r="AA87" i="1"/>
  <c r="T87" i="1"/>
  <c r="AG82" i="1"/>
  <c r="W82" i="1" s="1"/>
  <c r="AG78" i="1"/>
  <c r="AI78" i="1" s="1"/>
  <c r="AA77" i="1"/>
  <c r="AA74" i="1"/>
  <c r="AA68" i="1"/>
  <c r="W68" i="1" s="1"/>
  <c r="AA66" i="1"/>
  <c r="AA59" i="1"/>
  <c r="AG57" i="1"/>
  <c r="AI57" i="1" s="1"/>
  <c r="AG53" i="1"/>
  <c r="U53" i="1" s="1"/>
  <c r="S53" i="1" s="1"/>
  <c r="X53" i="1"/>
  <c r="AA51" i="1"/>
  <c r="AA45" i="1"/>
  <c r="AA39" i="1"/>
  <c r="AA36" i="1"/>
  <c r="W36" i="1" s="1"/>
  <c r="AG34" i="1"/>
  <c r="X34" i="1"/>
  <c r="AA33" i="1"/>
  <c r="AA30" i="1"/>
  <c r="AA27" i="1"/>
  <c r="AA26" i="1"/>
  <c r="AA23" i="1"/>
  <c r="AG21" i="1"/>
  <c r="AI21" i="1" s="1"/>
  <c r="X21" i="1"/>
  <c r="AA190" i="1"/>
  <c r="AA184" i="1"/>
  <c r="AA181" i="1"/>
  <c r="AG179" i="1"/>
  <c r="AA175" i="1"/>
  <c r="AA171" i="1"/>
  <c r="AG168" i="1"/>
  <c r="U168" i="1" s="1"/>
  <c r="S168" i="1" s="1"/>
  <c r="AG251" i="1"/>
  <c r="AI251" i="1" s="1"/>
  <c r="AI161" i="1"/>
  <c r="AA158" i="1"/>
  <c r="T243" i="1"/>
  <c r="AA239" i="1"/>
  <c r="W239" i="1" s="1"/>
  <c r="AA234" i="1"/>
  <c r="AA225" i="1"/>
  <c r="W225" i="1" s="1"/>
  <c r="W217" i="1"/>
  <c r="AA213" i="1"/>
  <c r="W213" i="1" s="1"/>
  <c r="AA208" i="1"/>
  <c r="W208" i="1" s="1"/>
  <c r="AG207" i="1"/>
  <c r="X207" i="1"/>
  <c r="AA151" i="1"/>
  <c r="AG145" i="1"/>
  <c r="X145" i="1"/>
  <c r="X144" i="1"/>
  <c r="U115" i="1"/>
  <c r="X115" i="1"/>
  <c r="T114" i="1"/>
  <c r="T84" i="1"/>
  <c r="X80" i="1"/>
  <c r="AA19" i="1"/>
  <c r="T170" i="1"/>
  <c r="AA258" i="1"/>
  <c r="AA254" i="1"/>
  <c r="W254" i="1" s="1"/>
  <c r="AA250" i="1"/>
  <c r="AG166" i="1"/>
  <c r="U166" i="1" s="1"/>
  <c r="S166" i="1" s="1"/>
  <c r="AA162" i="1"/>
  <c r="AG158" i="1"/>
  <c r="AI158" i="1" s="1"/>
  <c r="X158" i="1"/>
  <c r="U233" i="1"/>
  <c r="AA230" i="1"/>
  <c r="AA227" i="1"/>
  <c r="W227" i="1" s="1"/>
  <c r="X210" i="1"/>
  <c r="AG206" i="1"/>
  <c r="AI206" i="1" s="1"/>
  <c r="AG151" i="1"/>
  <c r="AI151" i="1" s="1"/>
  <c r="AA150" i="1"/>
  <c r="AA143" i="1"/>
  <c r="AG141" i="1"/>
  <c r="AA140" i="1"/>
  <c r="AG132" i="1"/>
  <c r="X132" i="1"/>
  <c r="X131" i="1"/>
  <c r="AA127" i="1"/>
  <c r="W127" i="1" s="1"/>
  <c r="AA123" i="1"/>
  <c r="AA121" i="1"/>
  <c r="AA117" i="1"/>
  <c r="W117" i="1" s="1"/>
  <c r="AA114" i="1"/>
  <c r="W114" i="1" s="1"/>
  <c r="AA113" i="1"/>
  <c r="AA111" i="1"/>
  <c r="AA109" i="1"/>
  <c r="AA105" i="1"/>
  <c r="W105" i="1" s="1"/>
  <c r="AG100" i="1"/>
  <c r="X100" i="1"/>
  <c r="AG99" i="1"/>
  <c r="AI99" i="1" s="1"/>
  <c r="X99" i="1"/>
  <c r="T98" i="1"/>
  <c r="AA92" i="1"/>
  <c r="X87" i="1"/>
  <c r="AA78" i="1"/>
  <c r="W78" i="1" s="1"/>
  <c r="AG76" i="1"/>
  <c r="U76" i="1" s="1"/>
  <c r="S76" i="1" s="1"/>
  <c r="X76" i="1"/>
  <c r="AG74" i="1"/>
  <c r="AI74" i="1" s="1"/>
  <c r="AA69" i="1"/>
  <c r="W69" i="1" s="1"/>
  <c r="X46" i="1"/>
  <c r="AG45" i="1"/>
  <c r="AI45" i="1" s="1"/>
  <c r="X45" i="1"/>
  <c r="AA37" i="1"/>
  <c r="AA34" i="1"/>
  <c r="AG30" i="1"/>
  <c r="U30" i="1" s="1"/>
  <c r="S30" i="1" s="1"/>
  <c r="X30" i="1"/>
  <c r="AA28" i="1"/>
  <c r="AG26" i="1"/>
  <c r="X26" i="1"/>
  <c r="AA191" i="1"/>
  <c r="AG184" i="1"/>
  <c r="U184" i="1" s="1"/>
  <c r="S184" i="1" s="1"/>
  <c r="X184" i="1"/>
  <c r="AI178" i="1"/>
  <c r="AA178" i="1"/>
  <c r="W178" i="1" s="1"/>
  <c r="AI174" i="1"/>
  <c r="AA174" i="1"/>
  <c r="W174" i="1" s="1"/>
  <c r="AA169" i="1"/>
  <c r="AA261" i="1"/>
  <c r="W261" i="1" s="1"/>
  <c r="X162" i="1"/>
  <c r="AA247" i="1"/>
  <c r="W247" i="1" s="1"/>
  <c r="W235" i="1"/>
  <c r="W199" i="1"/>
  <c r="T195" i="1"/>
  <c r="T187" i="1"/>
  <c r="U187" i="1" s="1"/>
  <c r="S187" i="1" s="1"/>
  <c r="AI131" i="1"/>
  <c r="AG221" i="1"/>
  <c r="U221" i="1" s="1"/>
  <c r="S221" i="1" s="1"/>
  <c r="X221" i="1"/>
  <c r="AG204" i="1"/>
  <c r="X204" i="1"/>
  <c r="T199" i="1"/>
  <c r="U199" i="1" s="1"/>
  <c r="S199" i="1" s="1"/>
  <c r="AA197" i="1"/>
  <c r="AA196" i="1"/>
  <c r="W196" i="1" s="1"/>
  <c r="AG195" i="1"/>
  <c r="X191" i="1"/>
  <c r="AG188" i="1"/>
  <c r="U188" i="1" s="1"/>
  <c r="X188" i="1"/>
  <c r="W183" i="1"/>
  <c r="U222" i="1"/>
  <c r="S222" i="1" s="1"/>
  <c r="AI222" i="1"/>
  <c r="X222" i="1"/>
  <c r="AA201" i="1"/>
  <c r="AA200" i="1"/>
  <c r="W200" i="1" s="1"/>
  <c r="X192" i="1"/>
  <c r="X187" i="1"/>
  <c r="AI148" i="1"/>
  <c r="AA219" i="1"/>
  <c r="AA204" i="1"/>
  <c r="W204" i="1" s="1"/>
  <c r="T204" i="1"/>
  <c r="U203" i="1"/>
  <c r="S203" i="1" s="1"/>
  <c r="AA189" i="1"/>
  <c r="AG182" i="1"/>
  <c r="AI182" i="1" s="1"/>
  <c r="X182" i="1"/>
  <c r="T182" i="1"/>
  <c r="U182" i="1" s="1"/>
  <c r="S182" i="1" s="1"/>
  <c r="AI144" i="1"/>
  <c r="AI127" i="1"/>
  <c r="AA182" i="1"/>
  <c r="T179" i="1"/>
  <c r="U179" i="1" s="1"/>
  <c r="S179" i="1" s="1"/>
  <c r="X178" i="1"/>
  <c r="AA177" i="1"/>
  <c r="W177" i="1" s="1"/>
  <c r="T175" i="1"/>
  <c r="AG171" i="1"/>
  <c r="U171" i="1" s="1"/>
  <c r="X171" i="1"/>
  <c r="U254" i="1"/>
  <c r="T231" i="1"/>
  <c r="U231" i="1" s="1"/>
  <c r="S231" i="1" s="1"/>
  <c r="AA218" i="1"/>
  <c r="W218" i="1" s="1"/>
  <c r="T218" i="1"/>
  <c r="U217" i="1"/>
  <c r="S217" i="1" s="1"/>
  <c r="AG215" i="1"/>
  <c r="AA214" i="1"/>
  <c r="T214" i="1"/>
  <c r="AA211" i="1"/>
  <c r="X155" i="1"/>
  <c r="T152" i="1"/>
  <c r="U145" i="1"/>
  <c r="T140" i="1"/>
  <c r="W131" i="1"/>
  <c r="T126" i="1"/>
  <c r="AG123" i="1"/>
  <c r="AI114" i="1"/>
  <c r="X114" i="1"/>
  <c r="AG111" i="1"/>
  <c r="W111" i="1" s="1"/>
  <c r="T108" i="1"/>
  <c r="X108" i="1"/>
  <c r="AG108" i="1"/>
  <c r="AI108" i="1" s="1"/>
  <c r="AA102" i="1"/>
  <c r="W102" i="1" s="1"/>
  <c r="AI102" i="1"/>
  <c r="AI95" i="1"/>
  <c r="AI73" i="1"/>
  <c r="AA262" i="1"/>
  <c r="W262" i="1" s="1"/>
  <c r="T261" i="1"/>
  <c r="U261" i="1" s="1"/>
  <c r="S261" i="1" s="1"/>
  <c r="AG255" i="1"/>
  <c r="AI255" i="1" s="1"/>
  <c r="AG250" i="1"/>
  <c r="U250" i="1" s="1"/>
  <c r="X250" i="1"/>
  <c r="U249" i="1"/>
  <c r="S249" i="1" s="1"/>
  <c r="AA166" i="1"/>
  <c r="W166" i="1" s="1"/>
  <c r="T165" i="1"/>
  <c r="U165" i="1" s="1"/>
  <c r="S165" i="1" s="1"/>
  <c r="AG159" i="1"/>
  <c r="AI159" i="1" s="1"/>
  <c r="AG244" i="1"/>
  <c r="U244" i="1" s="1"/>
  <c r="X244" i="1"/>
  <c r="U243" i="1"/>
  <c r="AA240" i="1"/>
  <c r="W240" i="1" s="1"/>
  <c r="T239" i="1"/>
  <c r="U239" i="1" s="1"/>
  <c r="S239" i="1" s="1"/>
  <c r="AA238" i="1"/>
  <c r="AA236" i="1"/>
  <c r="W236" i="1" s="1"/>
  <c r="AA232" i="1"/>
  <c r="T232" i="1"/>
  <c r="U229" i="1"/>
  <c r="AG228" i="1"/>
  <c r="U228" i="1" s="1"/>
  <c r="X228" i="1"/>
  <c r="W207" i="1"/>
  <c r="U206" i="1"/>
  <c r="S206" i="1" s="1"/>
  <c r="AA157" i="1"/>
  <c r="U155" i="1"/>
  <c r="S155" i="1" s="1"/>
  <c r="AG152" i="1"/>
  <c r="AG149" i="1"/>
  <c r="U149" i="1" s="1"/>
  <c r="X149" i="1"/>
  <c r="W148" i="1"/>
  <c r="T144" i="1"/>
  <c r="U144" i="1" s="1"/>
  <c r="S144" i="1" s="1"/>
  <c r="AA142" i="1"/>
  <c r="W142" i="1" s="1"/>
  <c r="AA141" i="1"/>
  <c r="W141" i="1" s="1"/>
  <c r="AG140" i="1"/>
  <c r="T135" i="1"/>
  <c r="T131" i="1"/>
  <c r="U131" i="1" s="1"/>
  <c r="S131" i="1" s="1"/>
  <c r="T130" i="1"/>
  <c r="T127" i="1"/>
  <c r="U127" i="1" s="1"/>
  <c r="S127" i="1" s="1"/>
  <c r="W121" i="1"/>
  <c r="T118" i="1"/>
  <c r="U118" i="1" s="1"/>
  <c r="S118" i="1" s="1"/>
  <c r="AA116" i="1"/>
  <c r="AI115" i="1"/>
  <c r="T104" i="1"/>
  <c r="X104" i="1"/>
  <c r="AG104" i="1"/>
  <c r="AA188" i="1"/>
  <c r="T178" i="1"/>
  <c r="AG175" i="1"/>
  <c r="W175" i="1" s="1"/>
  <c r="T174" i="1"/>
  <c r="U174" i="1" s="1"/>
  <c r="S174" i="1" s="1"/>
  <c r="U262" i="1"/>
  <c r="AA260" i="1"/>
  <c r="W258" i="1"/>
  <c r="T257" i="1"/>
  <c r="U257" i="1" s="1"/>
  <c r="S257" i="1" s="1"/>
  <c r="AA164" i="1"/>
  <c r="W162" i="1"/>
  <c r="T161" i="1"/>
  <c r="U161" i="1" s="1"/>
  <c r="S161" i="1" s="1"/>
  <c r="U240" i="1"/>
  <c r="U236" i="1"/>
  <c r="AA226" i="1"/>
  <c r="X218" i="1"/>
  <c r="AA216" i="1"/>
  <c r="X214" i="1"/>
  <c r="T209" i="1"/>
  <c r="U207" i="1"/>
  <c r="T148" i="1"/>
  <c r="U148" i="1" s="1"/>
  <c r="S148" i="1" s="1"/>
  <c r="AA146" i="1"/>
  <c r="W146" i="1" s="1"/>
  <c r="AA145" i="1"/>
  <c r="W145" i="1" s="1"/>
  <c r="X140" i="1"/>
  <c r="AA137" i="1"/>
  <c r="W137" i="1" s="1"/>
  <c r="AA132" i="1"/>
  <c r="W132" i="1" s="1"/>
  <c r="AA130" i="1"/>
  <c r="W130" i="1" s="1"/>
  <c r="AA129" i="1"/>
  <c r="X126" i="1"/>
  <c r="AA125" i="1"/>
  <c r="T116" i="1"/>
  <c r="X116" i="1"/>
  <c r="AG116" i="1"/>
  <c r="S115" i="1"/>
  <c r="T111" i="1"/>
  <c r="AI61" i="1"/>
  <c r="U26" i="1"/>
  <c r="AI20" i="1"/>
  <c r="U258" i="1"/>
  <c r="AA256" i="1"/>
  <c r="T253" i="1"/>
  <c r="U253" i="1" s="1"/>
  <c r="S253" i="1" s="1"/>
  <c r="AA160" i="1"/>
  <c r="T247" i="1"/>
  <c r="U247" i="1" s="1"/>
  <c r="S247" i="1" s="1"/>
  <c r="AG237" i="1"/>
  <c r="U237" i="1" s="1"/>
  <c r="AG232" i="1"/>
  <c r="AA228" i="1"/>
  <c r="U227" i="1"/>
  <c r="S227" i="1" s="1"/>
  <c r="U225" i="1"/>
  <c r="AI166" i="1"/>
  <c r="AI162" i="1"/>
  <c r="AA153" i="1"/>
  <c r="AA152" i="1"/>
  <c r="AA149" i="1"/>
  <c r="U141" i="1"/>
  <c r="S141" i="1" s="1"/>
  <c r="AG136" i="1"/>
  <c r="X136" i="1"/>
  <c r="AG135" i="1"/>
  <c r="AI134" i="1"/>
  <c r="W123" i="1"/>
  <c r="T103" i="1"/>
  <c r="X103" i="1"/>
  <c r="AG103" i="1"/>
  <c r="W73" i="1"/>
  <c r="AA119" i="1"/>
  <c r="AA118" i="1"/>
  <c r="W118" i="1" s="1"/>
  <c r="T110" i="1"/>
  <c r="U110" i="1" s="1"/>
  <c r="S110" i="1" s="1"/>
  <c r="AA107" i="1"/>
  <c r="W107" i="1" s="1"/>
  <c r="U100" i="1"/>
  <c r="AI98" i="1"/>
  <c r="X98" i="1"/>
  <c r="AA91" i="1"/>
  <c r="W91" i="1" s="1"/>
  <c r="T91" i="1"/>
  <c r="AG88" i="1"/>
  <c r="U88" i="1" s="1"/>
  <c r="X88" i="1"/>
  <c r="AG86" i="1"/>
  <c r="AG84" i="1"/>
  <c r="X83" i="1"/>
  <c r="AA76" i="1"/>
  <c r="W76" i="1" s="1"/>
  <c r="AA75" i="1"/>
  <c r="W75" i="1" s="1"/>
  <c r="T75" i="1"/>
  <c r="X72" i="1"/>
  <c r="AG66" i="1"/>
  <c r="W66" i="1" s="1"/>
  <c r="X66" i="1"/>
  <c r="AA65" i="1"/>
  <c r="W65" i="1" s="1"/>
  <c r="X61" i="1"/>
  <c r="T60" i="1"/>
  <c r="U60" i="1" s="1"/>
  <c r="S60" i="1" s="1"/>
  <c r="AA53" i="1"/>
  <c r="AG49" i="1"/>
  <c r="AA46" i="1"/>
  <c r="X42" i="1"/>
  <c r="AG37" i="1"/>
  <c r="AA35" i="1"/>
  <c r="X33" i="1"/>
  <c r="AG29" i="1"/>
  <c r="AI29" i="1" s="1"/>
  <c r="AG25" i="1"/>
  <c r="AI25" i="1" s="1"/>
  <c r="AG17" i="1"/>
  <c r="X17" i="1"/>
  <c r="AA81" i="1"/>
  <c r="W81" i="1" s="1"/>
  <c r="AA79" i="1"/>
  <c r="W79" i="1" s="1"/>
  <c r="T79" i="1"/>
  <c r="X74" i="1"/>
  <c r="T73" i="1"/>
  <c r="U73" i="1" s="1"/>
  <c r="S73" i="1" s="1"/>
  <c r="AA62" i="1"/>
  <c r="AA58" i="1"/>
  <c r="U57" i="1"/>
  <c r="S57" i="1" s="1"/>
  <c r="AA56" i="1"/>
  <c r="W56" i="1" s="1"/>
  <c r="AA55" i="1"/>
  <c r="AA50" i="1"/>
  <c r="AA48" i="1"/>
  <c r="X44" i="1"/>
  <c r="X40" i="1"/>
  <c r="X29" i="1"/>
  <c r="T16" i="1"/>
  <c r="AA14" i="1"/>
  <c r="U99" i="1"/>
  <c r="S99" i="1" s="1"/>
  <c r="AA83" i="1"/>
  <c r="T83" i="1"/>
  <c r="AA71" i="1"/>
  <c r="T61" i="1"/>
  <c r="U61" i="1" s="1"/>
  <c r="S61" i="1" s="1"/>
  <c r="W51" i="1"/>
  <c r="U41" i="1"/>
  <c r="S41" i="1" s="1"/>
  <c r="W25" i="1"/>
  <c r="T20" i="1"/>
  <c r="U20" i="1" s="1"/>
  <c r="S20" i="1" s="1"/>
  <c r="AA18" i="1"/>
  <c r="AG16" i="1"/>
  <c r="AG93" i="1"/>
  <c r="W93" i="1" s="1"/>
  <c r="AA88" i="1"/>
  <c r="W88" i="1" s="1"/>
  <c r="AA84" i="1"/>
  <c r="X79" i="1"/>
  <c r="W74" i="1"/>
  <c r="AI72" i="1"/>
  <c r="AA67" i="1"/>
  <c r="AG58" i="1"/>
  <c r="U58" i="1" s="1"/>
  <c r="S58" i="1" s="1"/>
  <c r="X58" i="1"/>
  <c r="X56" i="1"/>
  <c r="AG50" i="1"/>
  <c r="X50" i="1"/>
  <c r="AA49" i="1"/>
  <c r="T44" i="1"/>
  <c r="U44" i="1" s="1"/>
  <c r="S44" i="1" s="1"/>
  <c r="W26" i="1"/>
  <c r="AA22" i="1"/>
  <c r="U200" i="1"/>
  <c r="S200" i="1" s="1"/>
  <c r="AG219" i="1"/>
  <c r="AI219" i="1" s="1"/>
  <c r="AG193" i="1"/>
  <c r="W193" i="1" s="1"/>
  <c r="AG189" i="1"/>
  <c r="W189" i="1" s="1"/>
  <c r="AG185" i="1"/>
  <c r="T181" i="1"/>
  <c r="X181" i="1"/>
  <c r="T180" i="1"/>
  <c r="AI228" i="1"/>
  <c r="T172" i="1"/>
  <c r="X172" i="1"/>
  <c r="T169" i="1"/>
  <c r="X169" i="1"/>
  <c r="AG169" i="1"/>
  <c r="AI208" i="1"/>
  <c r="AI204" i="1"/>
  <c r="AI200" i="1"/>
  <c r="AI196" i="1"/>
  <c r="AI188" i="1"/>
  <c r="U214" i="1"/>
  <c r="S214" i="1" s="1"/>
  <c r="U210" i="1"/>
  <c r="S210" i="1" s="1"/>
  <c r="AI163" i="1"/>
  <c r="AI142" i="1"/>
  <c r="U204" i="1"/>
  <c r="S204" i="1" s="1"/>
  <c r="U196" i="1"/>
  <c r="S196" i="1" s="1"/>
  <c r="AG223" i="1"/>
  <c r="W223" i="1" s="1"/>
  <c r="AG201" i="1"/>
  <c r="AG197" i="1"/>
  <c r="AG224" i="1"/>
  <c r="W224" i="1" s="1"/>
  <c r="X223" i="1"/>
  <c r="AG220" i="1"/>
  <c r="AI220" i="1" s="1"/>
  <c r="X219" i="1"/>
  <c r="AG202" i="1"/>
  <c r="AI202" i="1" s="1"/>
  <c r="X201" i="1"/>
  <c r="AG198" i="1"/>
  <c r="AI198" i="1" s="1"/>
  <c r="X197" i="1"/>
  <c r="AG194" i="1"/>
  <c r="AI194" i="1" s="1"/>
  <c r="X193" i="1"/>
  <c r="AG190" i="1"/>
  <c r="X189" i="1"/>
  <c r="AI240" i="1"/>
  <c r="S188" i="1"/>
  <c r="AG186" i="1"/>
  <c r="X185" i="1"/>
  <c r="AG181" i="1"/>
  <c r="AG180" i="1"/>
  <c r="U178" i="1"/>
  <c r="S178" i="1" s="1"/>
  <c r="T173" i="1"/>
  <c r="X173" i="1"/>
  <c r="AG173" i="1"/>
  <c r="W173" i="1" s="1"/>
  <c r="AG172" i="1"/>
  <c r="W171" i="1"/>
  <c r="X170" i="1"/>
  <c r="U259" i="1"/>
  <c r="S259" i="1" s="1"/>
  <c r="U255" i="1"/>
  <c r="S255" i="1" s="1"/>
  <c r="U251" i="1"/>
  <c r="S251" i="1" s="1"/>
  <c r="U163" i="1"/>
  <c r="S163" i="1" s="1"/>
  <c r="U159" i="1"/>
  <c r="S159" i="1" s="1"/>
  <c r="U245" i="1"/>
  <c r="S245" i="1" s="1"/>
  <c r="S243" i="1"/>
  <c r="U241" i="1"/>
  <c r="S241" i="1" s="1"/>
  <c r="AA237" i="1"/>
  <c r="W237" i="1" s="1"/>
  <c r="AA233" i="1"/>
  <c r="W233" i="1" s="1"/>
  <c r="AA229" i="1"/>
  <c r="W229" i="1" s="1"/>
  <c r="U218" i="1"/>
  <c r="S218" i="1" s="1"/>
  <c r="AI171" i="1"/>
  <c r="X217" i="1"/>
  <c r="T216" i="1"/>
  <c r="X216" i="1"/>
  <c r="AG216" i="1"/>
  <c r="AI216" i="1" s="1"/>
  <c r="W215" i="1"/>
  <c r="X213" i="1"/>
  <c r="T212" i="1"/>
  <c r="X212" i="1"/>
  <c r="AG212" i="1"/>
  <c r="W212" i="1" s="1"/>
  <c r="W211" i="1"/>
  <c r="X224" i="1"/>
  <c r="X220" i="1"/>
  <c r="X202" i="1"/>
  <c r="X198" i="1"/>
  <c r="X194" i="1"/>
  <c r="X190" i="1"/>
  <c r="X186" i="1"/>
  <c r="AI236" i="1"/>
  <c r="AI229" i="1"/>
  <c r="AA176" i="1"/>
  <c r="W176" i="1" s="1"/>
  <c r="U176" i="1"/>
  <c r="S176" i="1" s="1"/>
  <c r="AI227" i="1"/>
  <c r="S171" i="1"/>
  <c r="AA168" i="1"/>
  <c r="AA259" i="1"/>
  <c r="W259" i="1" s="1"/>
  <c r="AA255" i="1"/>
  <c r="W255" i="1" s="1"/>
  <c r="AA251" i="1"/>
  <c r="W251" i="1" s="1"/>
  <c r="AA167" i="1"/>
  <c r="AA163" i="1"/>
  <c r="W163" i="1" s="1"/>
  <c r="AA159" i="1"/>
  <c r="W159" i="1" s="1"/>
  <c r="AA245" i="1"/>
  <c r="W245" i="1" s="1"/>
  <c r="AA241" i="1"/>
  <c r="W241" i="1" s="1"/>
  <c r="X239" i="1"/>
  <c r="T238" i="1"/>
  <c r="X238" i="1"/>
  <c r="AG238" i="1"/>
  <c r="X235" i="1"/>
  <c r="T234" i="1"/>
  <c r="X234" i="1"/>
  <c r="AG234" i="1"/>
  <c r="AI234" i="1" s="1"/>
  <c r="X231" i="1"/>
  <c r="T230" i="1"/>
  <c r="X230" i="1"/>
  <c r="AG230" i="1"/>
  <c r="AI230" i="1" s="1"/>
  <c r="X227" i="1"/>
  <c r="T226" i="1"/>
  <c r="X226" i="1"/>
  <c r="AG226" i="1"/>
  <c r="AI226" i="1" s="1"/>
  <c r="AA180" i="1"/>
  <c r="W180" i="1" s="1"/>
  <c r="T177" i="1"/>
  <c r="U177" i="1" s="1"/>
  <c r="S177" i="1" s="1"/>
  <c r="X177" i="1"/>
  <c r="AA172" i="1"/>
  <c r="U170" i="1"/>
  <c r="S170" i="1" s="1"/>
  <c r="X261" i="1"/>
  <c r="T260" i="1"/>
  <c r="X260" i="1"/>
  <c r="AG260" i="1"/>
  <c r="AI260" i="1" s="1"/>
  <c r="X257" i="1"/>
  <c r="T256" i="1"/>
  <c r="X256" i="1"/>
  <c r="AG256" i="1"/>
  <c r="W256" i="1" s="1"/>
  <c r="X253" i="1"/>
  <c r="T252" i="1"/>
  <c r="X252" i="1"/>
  <c r="AG252" i="1"/>
  <c r="AI252" i="1" s="1"/>
  <c r="X249" i="1"/>
  <c r="T248" i="1"/>
  <c r="X248" i="1"/>
  <c r="AG248" i="1"/>
  <c r="W248" i="1" s="1"/>
  <c r="X165" i="1"/>
  <c r="T164" i="1"/>
  <c r="X164" i="1"/>
  <c r="AG164" i="1"/>
  <c r="AI164" i="1" s="1"/>
  <c r="X161" i="1"/>
  <c r="T160" i="1"/>
  <c r="X160" i="1"/>
  <c r="AG160" i="1"/>
  <c r="X247" i="1"/>
  <c r="T246" i="1"/>
  <c r="X246" i="1"/>
  <c r="AG246" i="1"/>
  <c r="X243" i="1"/>
  <c r="T242" i="1"/>
  <c r="X242" i="1"/>
  <c r="AG242" i="1"/>
  <c r="W242" i="1" s="1"/>
  <c r="S237" i="1"/>
  <c r="S233" i="1"/>
  <c r="AI180" i="1"/>
  <c r="S229" i="1"/>
  <c r="AI176" i="1"/>
  <c r="S225" i="1"/>
  <c r="AI172" i="1"/>
  <c r="U215" i="1"/>
  <c r="S215" i="1" s="1"/>
  <c r="W214" i="1"/>
  <c r="U211" i="1"/>
  <c r="S211" i="1" s="1"/>
  <c r="W210" i="1"/>
  <c r="T157" i="1"/>
  <c r="X157" i="1"/>
  <c r="AG157" i="1"/>
  <c r="X168" i="1"/>
  <c r="S262" i="1"/>
  <c r="X259" i="1"/>
  <c r="AI215" i="1"/>
  <c r="S258" i="1"/>
  <c r="X255" i="1"/>
  <c r="AI211" i="1"/>
  <c r="S254" i="1"/>
  <c r="X251" i="1"/>
  <c r="AI207" i="1"/>
  <c r="S250" i="1"/>
  <c r="X167" i="1"/>
  <c r="AI203" i="1"/>
  <c r="X163" i="1"/>
  <c r="AI199" i="1"/>
  <c r="X159" i="1"/>
  <c r="AI195" i="1"/>
  <c r="X245" i="1"/>
  <c r="AI191" i="1"/>
  <c r="S244" i="1"/>
  <c r="X241" i="1"/>
  <c r="AI187" i="1"/>
  <c r="S240" i="1"/>
  <c r="X237" i="1"/>
  <c r="AI183" i="1"/>
  <c r="S236" i="1"/>
  <c r="X233" i="1"/>
  <c r="AI179" i="1"/>
  <c r="X229" i="1"/>
  <c r="S228" i="1"/>
  <c r="X225" i="1"/>
  <c r="X215" i="1"/>
  <c r="X211" i="1"/>
  <c r="X209" i="1"/>
  <c r="T208" i="1"/>
  <c r="U208" i="1" s="1"/>
  <c r="S208" i="1" s="1"/>
  <c r="X208" i="1"/>
  <c r="AG153" i="1"/>
  <c r="T153" i="1"/>
  <c r="X153" i="1"/>
  <c r="AI146" i="1"/>
  <c r="AI133" i="1"/>
  <c r="S207" i="1"/>
  <c r="AI160" i="1"/>
  <c r="AI152" i="1"/>
  <c r="U209" i="1"/>
  <c r="S209" i="1" s="1"/>
  <c r="X206" i="1"/>
  <c r="T205" i="1"/>
  <c r="U205" i="1" s="1"/>
  <c r="S205" i="1" s="1"/>
  <c r="AA156" i="1"/>
  <c r="T154" i="1"/>
  <c r="X154" i="1"/>
  <c r="AG154" i="1"/>
  <c r="AG150" i="1"/>
  <c r="S149" i="1"/>
  <c r="AG147" i="1"/>
  <c r="W147" i="1" s="1"/>
  <c r="X146" i="1"/>
  <c r="T146" i="1"/>
  <c r="U146" i="1" s="1"/>
  <c r="S146" i="1" s="1"/>
  <c r="AI145" i="1"/>
  <c r="S145" i="1"/>
  <c r="AG143" i="1"/>
  <c r="X142" i="1"/>
  <c r="T142" i="1"/>
  <c r="U142" i="1" s="1"/>
  <c r="S142" i="1" s="1"/>
  <c r="AI141" i="1"/>
  <c r="AG139" i="1"/>
  <c r="X138" i="1"/>
  <c r="T137" i="1"/>
  <c r="U137" i="1" s="1"/>
  <c r="S137" i="1" s="1"/>
  <c r="X137" i="1"/>
  <c r="AI132" i="1"/>
  <c r="AA128" i="1"/>
  <c r="U120" i="1"/>
  <c r="U93" i="1"/>
  <c r="S93" i="1" s="1"/>
  <c r="AI93" i="1"/>
  <c r="T81" i="1"/>
  <c r="X81" i="1"/>
  <c r="AG81" i="1"/>
  <c r="AA80" i="1"/>
  <c r="W80" i="1" s="1"/>
  <c r="AI67" i="1"/>
  <c r="AI35" i="1"/>
  <c r="X147" i="1"/>
  <c r="X143" i="1"/>
  <c r="X139" i="1"/>
  <c r="AI136" i="1"/>
  <c r="U135" i="1"/>
  <c r="S135" i="1" s="1"/>
  <c r="U134" i="1"/>
  <c r="S134" i="1" s="1"/>
  <c r="T129" i="1"/>
  <c r="X129" i="1"/>
  <c r="AG129" i="1"/>
  <c r="X128" i="1"/>
  <c r="AG128" i="1"/>
  <c r="AI125" i="1"/>
  <c r="AI124" i="1"/>
  <c r="U124" i="1"/>
  <c r="S124" i="1" s="1"/>
  <c r="X112" i="1"/>
  <c r="AG112" i="1"/>
  <c r="AI109" i="1"/>
  <c r="X96" i="1"/>
  <c r="AG96" i="1"/>
  <c r="U83" i="1"/>
  <c r="S83" i="1" s="1"/>
  <c r="AI83" i="1"/>
  <c r="U132" i="1"/>
  <c r="S132" i="1" s="1"/>
  <c r="AI123" i="1"/>
  <c r="AG122" i="1"/>
  <c r="W122" i="1" s="1"/>
  <c r="X122" i="1"/>
  <c r="T122" i="1"/>
  <c r="X123" i="1"/>
  <c r="T113" i="1"/>
  <c r="X113" i="1"/>
  <c r="AG113" i="1"/>
  <c r="T97" i="1"/>
  <c r="X97" i="1"/>
  <c r="AG97" i="1"/>
  <c r="AI84" i="1"/>
  <c r="U84" i="1"/>
  <c r="S84" i="1" s="1"/>
  <c r="U74" i="1"/>
  <c r="S74" i="1" s="1"/>
  <c r="X70" i="1"/>
  <c r="AG70" i="1"/>
  <c r="T70" i="1"/>
  <c r="AG138" i="1"/>
  <c r="W136" i="1"/>
  <c r="U136" i="1"/>
  <c r="S136" i="1" s="1"/>
  <c r="AI135" i="1"/>
  <c r="X134" i="1"/>
  <c r="T133" i="1"/>
  <c r="U133" i="1" s="1"/>
  <c r="S133" i="1" s="1"/>
  <c r="X133" i="1"/>
  <c r="X130" i="1"/>
  <c r="W125" i="1"/>
  <c r="U123" i="1"/>
  <c r="S123" i="1" s="1"/>
  <c r="W109" i="1"/>
  <c r="AI107" i="1"/>
  <c r="AG106" i="1"/>
  <c r="X106" i="1"/>
  <c r="T106" i="1"/>
  <c r="X107" i="1"/>
  <c r="T96" i="1"/>
  <c r="T71" i="1"/>
  <c r="X71" i="1"/>
  <c r="AG71" i="1"/>
  <c r="W71" i="1" s="1"/>
  <c r="U126" i="1"/>
  <c r="S126" i="1" s="1"/>
  <c r="AI121" i="1"/>
  <c r="AA120" i="1"/>
  <c r="W120" i="1" s="1"/>
  <c r="X118" i="1"/>
  <c r="T117" i="1"/>
  <c r="U117" i="1" s="1"/>
  <c r="S117" i="1" s="1"/>
  <c r="X117" i="1"/>
  <c r="AI105" i="1"/>
  <c r="AI103" i="1"/>
  <c r="X102" i="1"/>
  <c r="T101" i="1"/>
  <c r="X101" i="1"/>
  <c r="T92" i="1"/>
  <c r="AG92" i="1"/>
  <c r="W92" i="1" s="1"/>
  <c r="U79" i="1"/>
  <c r="S79" i="1" s="1"/>
  <c r="AI79" i="1"/>
  <c r="T77" i="1"/>
  <c r="X77" i="1"/>
  <c r="AG77" i="1"/>
  <c r="AI50" i="1"/>
  <c r="U50" i="1"/>
  <c r="S50" i="1" s="1"/>
  <c r="U130" i="1"/>
  <c r="S130" i="1" s="1"/>
  <c r="AA124" i="1"/>
  <c r="W124" i="1" s="1"/>
  <c r="T121" i="1"/>
  <c r="U121" i="1" s="1"/>
  <c r="S121" i="1" s="1"/>
  <c r="X121" i="1"/>
  <c r="AI116" i="1"/>
  <c r="U114" i="1"/>
  <c r="S114" i="1" s="1"/>
  <c r="AA108" i="1"/>
  <c r="W108" i="1" s="1"/>
  <c r="T105" i="1"/>
  <c r="U105" i="1" s="1"/>
  <c r="S105" i="1" s="1"/>
  <c r="X105" i="1"/>
  <c r="AG101" i="1"/>
  <c r="S100" i="1"/>
  <c r="AI100" i="1"/>
  <c r="U98" i="1"/>
  <c r="S98" i="1" s="1"/>
  <c r="T94" i="1"/>
  <c r="U94" i="1" s="1"/>
  <c r="S94" i="1" s="1"/>
  <c r="U91" i="1"/>
  <c r="S91" i="1" s="1"/>
  <c r="AI91" i="1"/>
  <c r="U90" i="1"/>
  <c r="S90" i="1" s="1"/>
  <c r="T89" i="1"/>
  <c r="X89" i="1"/>
  <c r="AG89" i="1"/>
  <c r="W87" i="1"/>
  <c r="AI76" i="1"/>
  <c r="U75" i="1"/>
  <c r="S75" i="1" s="1"/>
  <c r="AI75" i="1"/>
  <c r="AI65" i="1"/>
  <c r="AG64" i="1"/>
  <c r="W64" i="1" s="1"/>
  <c r="X64" i="1"/>
  <c r="T64" i="1"/>
  <c r="X65" i="1"/>
  <c r="T55" i="1"/>
  <c r="X55" i="1"/>
  <c r="AG55" i="1"/>
  <c r="T54" i="1"/>
  <c r="X54" i="1"/>
  <c r="AG54" i="1"/>
  <c r="X38" i="1"/>
  <c r="AG38" i="1"/>
  <c r="T38" i="1"/>
  <c r="T125" i="1"/>
  <c r="U125" i="1" s="1"/>
  <c r="S125" i="1" s="1"/>
  <c r="X125" i="1"/>
  <c r="S120" i="1"/>
  <c r="AI120" i="1"/>
  <c r="AA112" i="1"/>
  <c r="T109" i="1"/>
  <c r="U109" i="1" s="1"/>
  <c r="S109" i="1" s="1"/>
  <c r="X109" i="1"/>
  <c r="AI104" i="1"/>
  <c r="U102" i="1"/>
  <c r="S102" i="1" s="1"/>
  <c r="AA96" i="1"/>
  <c r="W96" i="1" s="1"/>
  <c r="S88" i="1"/>
  <c r="AI88" i="1"/>
  <c r="U87" i="1"/>
  <c r="S87" i="1" s="1"/>
  <c r="AI87" i="1"/>
  <c r="T85" i="1"/>
  <c r="X85" i="1"/>
  <c r="AG85" i="1"/>
  <c r="W84" i="1"/>
  <c r="W83" i="1"/>
  <c r="W67" i="1"/>
  <c r="U65" i="1"/>
  <c r="S65" i="1" s="1"/>
  <c r="T39" i="1"/>
  <c r="X39" i="1"/>
  <c r="AG39" i="1"/>
  <c r="W39" i="1" s="1"/>
  <c r="U69" i="1"/>
  <c r="S69" i="1" s="1"/>
  <c r="T59" i="1"/>
  <c r="X59" i="1"/>
  <c r="W53" i="1"/>
  <c r="AI49" i="1"/>
  <c r="AG48" i="1"/>
  <c r="X48" i="1"/>
  <c r="T48" i="1"/>
  <c r="X49" i="1"/>
  <c r="AI34" i="1"/>
  <c r="U34" i="1"/>
  <c r="S34" i="1" s="1"/>
  <c r="X69" i="1"/>
  <c r="T68" i="1"/>
  <c r="U68" i="1" s="1"/>
  <c r="S68" i="1" s="1"/>
  <c r="T63" i="1"/>
  <c r="X63" i="1"/>
  <c r="T62" i="1"/>
  <c r="AG59" i="1"/>
  <c r="AI58" i="1"/>
  <c r="AI53" i="1"/>
  <c r="AI51" i="1"/>
  <c r="U49" i="1"/>
  <c r="S49" i="1" s="1"/>
  <c r="U45" i="1"/>
  <c r="S45" i="1" s="1"/>
  <c r="T22" i="1"/>
  <c r="X22" i="1"/>
  <c r="AG22" i="1"/>
  <c r="W22" i="1" s="1"/>
  <c r="AI17" i="1"/>
  <c r="U17" i="1"/>
  <c r="S17" i="1" s="1"/>
  <c r="X90" i="1"/>
  <c r="X86" i="1"/>
  <c r="X82" i="1"/>
  <c r="X78" i="1"/>
  <c r="X73" i="1"/>
  <c r="T72" i="1"/>
  <c r="U72" i="1" s="1"/>
  <c r="S72" i="1" s="1"/>
  <c r="AA70" i="1"/>
  <c r="AI69" i="1"/>
  <c r="X68" i="1"/>
  <c r="T67" i="1"/>
  <c r="U67" i="1" s="1"/>
  <c r="S67" i="1" s="1"/>
  <c r="X67" i="1"/>
  <c r="AG63" i="1"/>
  <c r="AG62" i="1"/>
  <c r="X57" i="1"/>
  <c r="T56" i="1"/>
  <c r="U56" i="1" s="1"/>
  <c r="S56" i="1" s="1"/>
  <c r="AA54" i="1"/>
  <c r="W54" i="1" s="1"/>
  <c r="AG52" i="1"/>
  <c r="X52" i="1"/>
  <c r="T52" i="1"/>
  <c r="W35" i="1"/>
  <c r="T43" i="1"/>
  <c r="X43" i="1"/>
  <c r="T42" i="1"/>
  <c r="U37" i="1"/>
  <c r="S37" i="1" s="1"/>
  <c r="T31" i="1"/>
  <c r="X31" i="1"/>
  <c r="T27" i="1"/>
  <c r="X27" i="1"/>
  <c r="AG27" i="1"/>
  <c r="W27" i="1" s="1"/>
  <c r="U25" i="1"/>
  <c r="S25" i="1" s="1"/>
  <c r="W50" i="1"/>
  <c r="T47" i="1"/>
  <c r="X47" i="1"/>
  <c r="T46" i="1"/>
  <c r="AG43" i="1"/>
  <c r="AG42" i="1"/>
  <c r="X37" i="1"/>
  <c r="T36" i="1"/>
  <c r="U36" i="1" s="1"/>
  <c r="S36" i="1" s="1"/>
  <c r="W34" i="1"/>
  <c r="T32" i="1"/>
  <c r="X32" i="1"/>
  <c r="AG32" i="1"/>
  <c r="AG31" i="1"/>
  <c r="S26" i="1"/>
  <c r="AI26" i="1"/>
  <c r="AA17" i="1"/>
  <c r="W17" i="1" s="1"/>
  <c r="T14" i="1"/>
  <c r="AG14" i="1"/>
  <c r="W14" i="1" s="1"/>
  <c r="T51" i="1"/>
  <c r="U51" i="1" s="1"/>
  <c r="S51" i="1" s="1"/>
  <c r="X51" i="1"/>
  <c r="AG47" i="1"/>
  <c r="AG46" i="1"/>
  <c r="X41" i="1"/>
  <c r="T40" i="1"/>
  <c r="U40" i="1" s="1"/>
  <c r="S40" i="1" s="1"/>
  <c r="AA38" i="1"/>
  <c r="AI37" i="1"/>
  <c r="X36" i="1"/>
  <c r="T35" i="1"/>
  <c r="U35" i="1" s="1"/>
  <c r="S35" i="1" s="1"/>
  <c r="X35" i="1"/>
  <c r="AI30" i="1"/>
  <c r="AA21" i="1"/>
  <c r="W21" i="1" s="1"/>
  <c r="U21" i="1"/>
  <c r="S21" i="1" s="1"/>
  <c r="T18" i="1"/>
  <c r="X18" i="1"/>
  <c r="AG18" i="1"/>
  <c r="W18" i="1" s="1"/>
  <c r="AG28" i="1"/>
  <c r="AG23" i="1"/>
  <c r="AG19" i="1"/>
  <c r="AG15" i="1"/>
  <c r="W15" i="1" s="1"/>
  <c r="X28" i="1"/>
  <c r="X23" i="1"/>
  <c r="X19" i="1"/>
  <c r="X15" i="1"/>
  <c r="Y44" i="3"/>
  <c r="Y28" i="3"/>
  <c r="AD13" i="3"/>
  <c r="AE13" i="3"/>
  <c r="T15" i="3"/>
  <c r="Y58" i="3"/>
  <c r="AC57" i="3"/>
  <c r="Y30" i="3"/>
  <c r="AD36" i="3"/>
  <c r="Y9" i="3"/>
  <c r="Y26" i="3"/>
  <c r="AE19" i="3"/>
  <c r="AD63" i="3"/>
  <c r="T49" i="3"/>
  <c r="Y23" i="3"/>
  <c r="AD14" i="3"/>
  <c r="AE21" i="3"/>
  <c r="Y7" i="3"/>
  <c r="AE39" i="3"/>
  <c r="AD20" i="3"/>
  <c r="Y17" i="3"/>
  <c r="Y38" i="3"/>
  <c r="T43" i="3"/>
  <c r="Y45" i="3"/>
  <c r="AC27" i="3"/>
  <c r="Y15" i="3"/>
  <c r="Y50" i="3"/>
  <c r="AD26" i="3"/>
  <c r="AE26" i="3"/>
  <c r="Y49" i="3"/>
  <c r="AE38" i="3"/>
  <c r="AD46" i="3"/>
  <c r="Y43" i="3"/>
  <c r="AD62" i="3"/>
  <c r="AE49" i="3"/>
  <c r="AD23" i="3"/>
  <c r="AD48" i="3"/>
  <c r="AD38" i="3"/>
  <c r="AD60" i="3"/>
  <c r="AE60" i="3"/>
  <c r="T58" i="3"/>
  <c r="AD49" i="3"/>
  <c r="AD32" i="3"/>
  <c r="AE20" i="3"/>
  <c r="AD18" i="3"/>
  <c r="AD43" i="3"/>
  <c r="Y31" i="3"/>
  <c r="T55" i="3"/>
  <c r="Y11" i="3"/>
  <c r="AE44" i="3"/>
  <c r="AC29" i="3"/>
  <c r="Y55" i="3"/>
  <c r="T13" i="3"/>
  <c r="AE58" i="3"/>
  <c r="AE52" i="3"/>
  <c r="Y64" i="3"/>
  <c r="AE9" i="3"/>
  <c r="AC8" i="3"/>
  <c r="Y56" i="3"/>
  <c r="T19" i="3"/>
  <c r="AE63" i="3"/>
  <c r="Y33" i="3"/>
  <c r="AE14" i="3"/>
  <c r="AC41" i="3"/>
  <c r="Y48" i="3"/>
  <c r="T20" i="3"/>
  <c r="AE18" i="3"/>
  <c r="Y65" i="3"/>
  <c r="AE43" i="3"/>
  <c r="AC62" i="3"/>
  <c r="AD31" i="3"/>
  <c r="AE31" i="3"/>
  <c r="Y42" i="3"/>
  <c r="AE28" i="3"/>
  <c r="AC16" i="3"/>
  <c r="Y13" i="3"/>
  <c r="AD64" i="3"/>
  <c r="AE64" i="3"/>
  <c r="Y34" i="3"/>
  <c r="AE56" i="3"/>
  <c r="AC51" i="3"/>
  <c r="AD33" i="3"/>
  <c r="AE33" i="3"/>
  <c r="Y21" i="3"/>
  <c r="AE48" i="3"/>
  <c r="AC32" i="3"/>
  <c r="AD65" i="3"/>
  <c r="AE65" i="3"/>
  <c r="T56" i="3"/>
  <c r="Y63" i="3"/>
  <c r="T48" i="3"/>
  <c r="Y18" i="3"/>
  <c r="AE27" i="3"/>
  <c r="T54" i="3"/>
  <c r="AE57" i="3"/>
  <c r="T53" i="3"/>
  <c r="T10" i="3"/>
  <c r="AE35" i="3"/>
  <c r="T35" i="3"/>
  <c r="AE50" i="3"/>
  <c r="T50" i="3"/>
  <c r="AE22" i="3"/>
  <c r="T22" i="3"/>
  <c r="AE7" i="3"/>
  <c r="T7" i="3"/>
  <c r="AE12" i="3"/>
  <c r="T12" i="3"/>
  <c r="AE47" i="3"/>
  <c r="T47" i="3"/>
  <c r="AE61" i="3"/>
  <c r="T61" i="3"/>
  <c r="Y53" i="3"/>
  <c r="AE45" i="3"/>
  <c r="AE25" i="3"/>
  <c r="T25" i="3"/>
  <c r="AE40" i="3"/>
  <c r="T40" i="3"/>
  <c r="AD45" i="3"/>
  <c r="AE11" i="3"/>
  <c r="T45" i="3"/>
  <c r="AD29" i="3"/>
  <c r="AE42" i="3"/>
  <c r="T29" i="3"/>
  <c r="AD16" i="3"/>
  <c r="AE37" i="3"/>
  <c r="T16" i="3"/>
  <c r="AD27" i="3"/>
  <c r="AE15" i="3"/>
  <c r="T27" i="3"/>
  <c r="AD57" i="3"/>
  <c r="AE30" i="3"/>
  <c r="T57" i="3"/>
  <c r="AE36" i="3"/>
  <c r="T36" i="3"/>
  <c r="AD35" i="3"/>
  <c r="AE8" i="3"/>
  <c r="T8" i="3"/>
  <c r="AD50" i="3"/>
  <c r="AE51" i="3"/>
  <c r="T51" i="3"/>
  <c r="AD25" i="3"/>
  <c r="AE24" i="3"/>
  <c r="T24" i="3"/>
  <c r="AD40" i="3"/>
  <c r="AE23" i="3"/>
  <c r="T23" i="3"/>
  <c r="AD22" i="3"/>
  <c r="AE41" i="3"/>
  <c r="T41" i="3"/>
  <c r="AD7" i="3"/>
  <c r="AE32" i="3"/>
  <c r="T32" i="3"/>
  <c r="AD12" i="3"/>
  <c r="AE17" i="3"/>
  <c r="T17" i="3"/>
  <c r="AD47" i="3"/>
  <c r="AE46" i="3"/>
  <c r="T46" i="3"/>
  <c r="AD61" i="3"/>
  <c r="AE62" i="3"/>
  <c r="T62" i="3"/>
  <c r="AE29" i="3"/>
  <c r="T44" i="3"/>
  <c r="AE16" i="3"/>
  <c r="T28" i="3"/>
  <c r="AI192" i="1" l="1"/>
  <c r="W95" i="1"/>
  <c r="W135" i="1"/>
  <c r="W149" i="1"/>
  <c r="U152" i="1"/>
  <c r="S152" i="1" s="1"/>
  <c r="U195" i="1"/>
  <c r="S195" i="1" s="1"/>
  <c r="W33" i="1"/>
  <c r="U66" i="1"/>
  <c r="S66" i="1" s="1"/>
  <c r="AI80" i="1"/>
  <c r="U108" i="1"/>
  <c r="S108" i="1" s="1"/>
  <c r="AI149" i="1"/>
  <c r="U151" i="1"/>
  <c r="S151" i="1" s="1"/>
  <c r="AI156" i="1"/>
  <c r="AI175" i="1"/>
  <c r="W160" i="1"/>
  <c r="AI66" i="1"/>
  <c r="U78" i="1"/>
  <c r="S78" i="1" s="1"/>
  <c r="U119" i="1"/>
  <c r="S119" i="1" s="1"/>
  <c r="AI168" i="1"/>
  <c r="U167" i="1"/>
  <c r="S167" i="1" s="1"/>
  <c r="W16" i="1"/>
  <c r="W119" i="1"/>
  <c r="W188" i="1"/>
  <c r="AI33" i="1"/>
  <c r="U29" i="1"/>
  <c r="S29" i="1" s="1"/>
  <c r="W89" i="1"/>
  <c r="W156" i="1"/>
  <c r="AI184" i="1"/>
  <c r="W167" i="1"/>
  <c r="W168" i="1"/>
  <c r="U175" i="1"/>
  <c r="S175" i="1" s="1"/>
  <c r="W179" i="1"/>
  <c r="W192" i="1"/>
  <c r="W228" i="1"/>
  <c r="U104" i="1"/>
  <c r="S104" i="1" s="1"/>
  <c r="W158" i="1"/>
  <c r="AI223" i="1"/>
  <c r="W112" i="1"/>
  <c r="U158" i="1"/>
  <c r="S158" i="1" s="1"/>
  <c r="W90" i="1"/>
  <c r="W191" i="1"/>
  <c r="W41" i="1"/>
  <c r="W70" i="1"/>
  <c r="W37" i="1"/>
  <c r="W152" i="1"/>
  <c r="U232" i="1"/>
  <c r="S232" i="1" s="1"/>
  <c r="AI244" i="1"/>
  <c r="W49" i="1"/>
  <c r="W155" i="1"/>
  <c r="W30" i="1"/>
  <c r="W99" i="1"/>
  <c r="W57" i="1"/>
  <c r="W184" i="1"/>
  <c r="U82" i="1"/>
  <c r="S82" i="1" s="1"/>
  <c r="AI82" i="1"/>
  <c r="W100" i="1"/>
  <c r="W206" i="1"/>
  <c r="W203" i="1"/>
  <c r="U103" i="1"/>
  <c r="S103" i="1" s="1"/>
  <c r="W116" i="1"/>
  <c r="W244" i="1"/>
  <c r="W45" i="1"/>
  <c r="W58" i="1"/>
  <c r="W182" i="1"/>
  <c r="W151" i="1"/>
  <c r="W128" i="1"/>
  <c r="W186" i="1"/>
  <c r="AI186" i="1"/>
  <c r="W190" i="1"/>
  <c r="AI190" i="1"/>
  <c r="W38" i="1"/>
  <c r="AI248" i="1"/>
  <c r="W103" i="1"/>
  <c r="U140" i="1"/>
  <c r="S140" i="1" s="1"/>
  <c r="AI140" i="1"/>
  <c r="W250" i="1"/>
  <c r="W140" i="1"/>
  <c r="AI212" i="1"/>
  <c r="U86" i="1"/>
  <c r="S86" i="1" s="1"/>
  <c r="AI86" i="1"/>
  <c r="W232" i="1"/>
  <c r="W195" i="1"/>
  <c r="AI256" i="1"/>
  <c r="U16" i="1"/>
  <c r="S16" i="1" s="1"/>
  <c r="AI16" i="1"/>
  <c r="W29" i="1"/>
  <c r="U116" i="1"/>
  <c r="S116" i="1" s="1"/>
  <c r="W86" i="1"/>
  <c r="U111" i="1"/>
  <c r="S111" i="1" s="1"/>
  <c r="AI111" i="1"/>
  <c r="W221" i="1"/>
  <c r="AI46" i="1"/>
  <c r="U46" i="1"/>
  <c r="S46" i="1" s="1"/>
  <c r="AI42" i="1"/>
  <c r="U42" i="1"/>
  <c r="S42" i="1" s="1"/>
  <c r="W46" i="1"/>
  <c r="AI22" i="1"/>
  <c r="U22" i="1"/>
  <c r="S22" i="1" s="1"/>
  <c r="AI85" i="1"/>
  <c r="U85" i="1"/>
  <c r="S85" i="1" s="1"/>
  <c r="AI55" i="1"/>
  <c r="U55" i="1"/>
  <c r="S55" i="1" s="1"/>
  <c r="W85" i="1"/>
  <c r="W55" i="1"/>
  <c r="AI71" i="1"/>
  <c r="U71" i="1"/>
  <c r="S71" i="1" s="1"/>
  <c r="U106" i="1"/>
  <c r="S106" i="1" s="1"/>
  <c r="AI106" i="1"/>
  <c r="U138" i="1"/>
  <c r="S138" i="1" s="1"/>
  <c r="AI138" i="1"/>
  <c r="W106" i="1"/>
  <c r="AI113" i="1"/>
  <c r="U113" i="1"/>
  <c r="S113" i="1" s="1"/>
  <c r="W113" i="1"/>
  <c r="U150" i="1"/>
  <c r="S150" i="1" s="1"/>
  <c r="AI150" i="1"/>
  <c r="W150" i="1"/>
  <c r="U153" i="1"/>
  <c r="S153" i="1" s="1"/>
  <c r="AI153" i="1"/>
  <c r="AI173" i="1"/>
  <c r="U226" i="1"/>
  <c r="S226" i="1" s="1"/>
  <c r="AI177" i="1"/>
  <c r="U230" i="1"/>
  <c r="S230" i="1" s="1"/>
  <c r="AI181" i="1"/>
  <c r="U234" i="1"/>
  <c r="S234" i="1" s="1"/>
  <c r="AI185" i="1"/>
  <c r="U238" i="1"/>
  <c r="S238" i="1" s="1"/>
  <c r="AI169" i="1"/>
  <c r="U216" i="1"/>
  <c r="S216" i="1" s="1"/>
  <c r="AI233" i="1"/>
  <c r="U181" i="1"/>
  <c r="S181" i="1" s="1"/>
  <c r="AI254" i="1"/>
  <c r="U202" i="1"/>
  <c r="S202" i="1" s="1"/>
  <c r="AI249" i="1"/>
  <c r="U197" i="1"/>
  <c r="S197" i="1" s="1"/>
  <c r="U169" i="1"/>
  <c r="S169" i="1" s="1"/>
  <c r="AI221" i="1"/>
  <c r="AI237" i="1"/>
  <c r="U185" i="1"/>
  <c r="S185" i="1" s="1"/>
  <c r="W185" i="1"/>
  <c r="W197" i="1"/>
  <c r="U28" i="1"/>
  <c r="S28" i="1" s="1"/>
  <c r="AI28" i="1"/>
  <c r="W28" i="1"/>
  <c r="AI27" i="1"/>
  <c r="U27" i="1"/>
  <c r="S27" i="1" s="1"/>
  <c r="AI62" i="1"/>
  <c r="U62" i="1"/>
  <c r="S62" i="1" s="1"/>
  <c r="AI39" i="1"/>
  <c r="U39" i="1"/>
  <c r="S39" i="1" s="1"/>
  <c r="U19" i="1"/>
  <c r="S19" i="1" s="1"/>
  <c r="AI19" i="1"/>
  <c r="AI14" i="1"/>
  <c r="U14" i="1"/>
  <c r="S14" i="1" s="1"/>
  <c r="AI31" i="1"/>
  <c r="U31" i="1"/>
  <c r="S31" i="1" s="1"/>
  <c r="U23" i="1"/>
  <c r="S23" i="1" s="1"/>
  <c r="AI23" i="1"/>
  <c r="W23" i="1"/>
  <c r="U47" i="1"/>
  <c r="S47" i="1" s="1"/>
  <c r="AI47" i="1"/>
  <c r="W47" i="1"/>
  <c r="U32" i="1"/>
  <c r="S32" i="1" s="1"/>
  <c r="AI32" i="1"/>
  <c r="W32" i="1"/>
  <c r="U43" i="1"/>
  <c r="S43" i="1" s="1"/>
  <c r="AI43" i="1"/>
  <c r="U52" i="1"/>
  <c r="S52" i="1" s="1"/>
  <c r="AI52" i="1"/>
  <c r="U59" i="1"/>
  <c r="S59" i="1" s="1"/>
  <c r="AI59" i="1"/>
  <c r="W43" i="1"/>
  <c r="U48" i="1"/>
  <c r="S48" i="1" s="1"/>
  <c r="AI48" i="1"/>
  <c r="W48" i="1"/>
  <c r="W31" i="1"/>
  <c r="AI54" i="1"/>
  <c r="U54" i="1"/>
  <c r="S54" i="1" s="1"/>
  <c r="U101" i="1"/>
  <c r="S101" i="1" s="1"/>
  <c r="AI101" i="1"/>
  <c r="AI77" i="1"/>
  <c r="U77" i="1"/>
  <c r="S77" i="1" s="1"/>
  <c r="W77" i="1"/>
  <c r="AI97" i="1"/>
  <c r="U97" i="1"/>
  <c r="S97" i="1" s="1"/>
  <c r="W97" i="1"/>
  <c r="AI129" i="1"/>
  <c r="U129" i="1"/>
  <c r="S129" i="1" s="1"/>
  <c r="AI81" i="1"/>
  <c r="U81" i="1"/>
  <c r="S81" i="1" s="1"/>
  <c r="AI139" i="1"/>
  <c r="U139" i="1"/>
  <c r="S139" i="1" s="1"/>
  <c r="W230" i="1"/>
  <c r="W238" i="1"/>
  <c r="U198" i="1"/>
  <c r="S198" i="1" s="1"/>
  <c r="AI250" i="1"/>
  <c r="AI253" i="1"/>
  <c r="U201" i="1"/>
  <c r="S201" i="1" s="1"/>
  <c r="W129" i="1"/>
  <c r="W216" i="1"/>
  <c r="AI241" i="1"/>
  <c r="U189" i="1"/>
  <c r="S189" i="1" s="1"/>
  <c r="W169" i="1"/>
  <c r="W198" i="1"/>
  <c r="W19" i="1"/>
  <c r="AI70" i="1"/>
  <c r="U70" i="1"/>
  <c r="S70" i="1" s="1"/>
  <c r="U122" i="1"/>
  <c r="S122" i="1" s="1"/>
  <c r="AI122" i="1"/>
  <c r="W101" i="1"/>
  <c r="AI112" i="1"/>
  <c r="U112" i="1"/>
  <c r="S112" i="1" s="1"/>
  <c r="AI143" i="1"/>
  <c r="U143" i="1"/>
  <c r="S143" i="1" s="1"/>
  <c r="W143" i="1"/>
  <c r="W138" i="1"/>
  <c r="AI189" i="1"/>
  <c r="U242" i="1"/>
  <c r="S242" i="1" s="1"/>
  <c r="AI193" i="1"/>
  <c r="U246" i="1"/>
  <c r="S246" i="1" s="1"/>
  <c r="AI197" i="1"/>
  <c r="U160" i="1"/>
  <c r="S160" i="1" s="1"/>
  <c r="AI201" i="1"/>
  <c r="U164" i="1"/>
  <c r="S164" i="1" s="1"/>
  <c r="AI205" i="1"/>
  <c r="U248" i="1"/>
  <c r="S248" i="1" s="1"/>
  <c r="AI209" i="1"/>
  <c r="U252" i="1"/>
  <c r="S252" i="1" s="1"/>
  <c r="AI213" i="1"/>
  <c r="U256" i="1"/>
  <c r="S256" i="1" s="1"/>
  <c r="AI217" i="1"/>
  <c r="U260" i="1"/>
  <c r="S260" i="1" s="1"/>
  <c r="W153" i="1"/>
  <c r="AI224" i="1"/>
  <c r="U172" i="1"/>
  <c r="S172" i="1" s="1"/>
  <c r="AI238" i="1"/>
  <c r="U186" i="1"/>
  <c r="S186" i="1" s="1"/>
  <c r="AI242" i="1"/>
  <c r="U190" i="1"/>
  <c r="S190" i="1" s="1"/>
  <c r="AI246" i="1"/>
  <c r="U194" i="1"/>
  <c r="S194" i="1" s="1"/>
  <c r="AI261" i="1"/>
  <c r="U223" i="1"/>
  <c r="S223" i="1" s="1"/>
  <c r="AI245" i="1"/>
  <c r="U193" i="1"/>
  <c r="S193" i="1" s="1"/>
  <c r="W201" i="1"/>
  <c r="W194" i="1"/>
  <c r="U15" i="1"/>
  <c r="S15" i="1" s="1"/>
  <c r="AI15" i="1"/>
  <c r="AI18" i="1"/>
  <c r="U18" i="1"/>
  <c r="S18" i="1" s="1"/>
  <c r="U63" i="1"/>
  <c r="S63" i="1" s="1"/>
  <c r="AI63" i="1"/>
  <c r="W63" i="1"/>
  <c r="W62" i="1"/>
  <c r="AI38" i="1"/>
  <c r="U38" i="1"/>
  <c r="S38" i="1" s="1"/>
  <c r="W59" i="1"/>
  <c r="U64" i="1"/>
  <c r="S64" i="1" s="1"/>
  <c r="AI64" i="1"/>
  <c r="AI89" i="1"/>
  <c r="U89" i="1"/>
  <c r="S89" i="1" s="1"/>
  <c r="W42" i="1"/>
  <c r="W52" i="1"/>
  <c r="AI92" i="1"/>
  <c r="U92" i="1"/>
  <c r="S92" i="1" s="1"/>
  <c r="AI96" i="1"/>
  <c r="U96" i="1"/>
  <c r="S96" i="1" s="1"/>
  <c r="AI128" i="1"/>
  <c r="U128" i="1"/>
  <c r="S128" i="1" s="1"/>
  <c r="AI147" i="1"/>
  <c r="U147" i="1"/>
  <c r="S147" i="1" s="1"/>
  <c r="U154" i="1"/>
  <c r="S154" i="1" s="1"/>
  <c r="AI154" i="1"/>
  <c r="W139" i="1"/>
  <c r="AI157" i="1"/>
  <c r="U157" i="1"/>
  <c r="S157" i="1" s="1"/>
  <c r="W172" i="1"/>
  <c r="W157" i="1"/>
  <c r="W246" i="1"/>
  <c r="W164" i="1"/>
  <c r="W252" i="1"/>
  <c r="W260" i="1"/>
  <c r="W154" i="1"/>
  <c r="AI165" i="1"/>
  <c r="U212" i="1"/>
  <c r="S212" i="1" s="1"/>
  <c r="W226" i="1"/>
  <c r="W234" i="1"/>
  <c r="U173" i="1"/>
  <c r="S173" i="1" s="1"/>
  <c r="AI225" i="1"/>
  <c r="AI232" i="1"/>
  <c r="U180" i="1"/>
  <c r="S180" i="1" s="1"/>
  <c r="AI258" i="1"/>
  <c r="U220" i="1"/>
  <c r="S220" i="1" s="1"/>
  <c r="AI262" i="1"/>
  <c r="U224" i="1"/>
  <c r="S224" i="1" s="1"/>
  <c r="AI257" i="1"/>
  <c r="U219" i="1"/>
  <c r="S219" i="1" s="1"/>
  <c r="W181" i="1"/>
  <c r="W202" i="1"/>
  <c r="W220" i="1"/>
  <c r="W219" i="1"/>
  <c r="B87" i="9"/>
  <c r="B88" i="9"/>
  <c r="C88" i="9" s="1"/>
  <c r="B89" i="9"/>
  <c r="B90" i="9"/>
  <c r="C90" i="9"/>
  <c r="B91" i="9"/>
  <c r="B92" i="9"/>
  <c r="C92" i="9"/>
  <c r="B93" i="9"/>
  <c r="C93" i="9" s="1"/>
  <c r="B94" i="9"/>
  <c r="B95" i="9"/>
  <c r="C95" i="9" s="1"/>
  <c r="B96" i="9"/>
  <c r="C96" i="9" s="1"/>
  <c r="B97" i="9"/>
  <c r="B98" i="9"/>
  <c r="C98" i="9"/>
  <c r="B99" i="9"/>
  <c r="B100" i="9"/>
  <c r="C100" i="9"/>
  <c r="B101" i="9"/>
  <c r="C101" i="9" s="1"/>
  <c r="B102" i="9"/>
  <c r="B103" i="9"/>
  <c r="C103" i="9" s="1"/>
  <c r="B104" i="9"/>
  <c r="C104" i="9" s="1"/>
  <c r="B105" i="9"/>
  <c r="B106" i="9"/>
  <c r="C106" i="9"/>
  <c r="B107" i="9"/>
  <c r="B108" i="9"/>
  <c r="C108" i="9"/>
  <c r="B109" i="9"/>
  <c r="C109" i="9" s="1"/>
  <c r="B110" i="9"/>
  <c r="B111" i="9"/>
  <c r="C111" i="9" s="1"/>
  <c r="B112" i="9"/>
  <c r="C112" i="9" s="1"/>
  <c r="B113" i="9"/>
  <c r="B114" i="9"/>
  <c r="C114" i="9"/>
  <c r="B115" i="9"/>
  <c r="B116" i="9"/>
  <c r="C116" i="9"/>
  <c r="B117" i="9"/>
  <c r="C117" i="9" s="1"/>
  <c r="B118" i="9"/>
  <c r="B119" i="9"/>
  <c r="C119" i="9" s="1"/>
  <c r="B120" i="9"/>
  <c r="C120" i="9" s="1"/>
  <c r="B121" i="9"/>
  <c r="B122" i="9"/>
  <c r="C122" i="9"/>
  <c r="B123" i="9"/>
  <c r="B124" i="9"/>
  <c r="C124" i="9"/>
  <c r="B125" i="9"/>
  <c r="C125" i="9" s="1"/>
  <c r="B126" i="9"/>
  <c r="B127" i="9"/>
  <c r="C127" i="9" s="1"/>
  <c r="B128" i="9"/>
  <c r="C128" i="9" s="1"/>
  <c r="B129" i="9"/>
  <c r="B130" i="9"/>
  <c r="C130" i="9"/>
  <c r="B131" i="9"/>
  <c r="B132" i="9"/>
  <c r="C132" i="9"/>
  <c r="B133" i="9"/>
  <c r="C133" i="9" s="1"/>
  <c r="B134" i="9"/>
  <c r="B135" i="9"/>
  <c r="C135" i="9" s="1"/>
  <c r="B136" i="9"/>
  <c r="C136" i="9" s="1"/>
  <c r="B137" i="9"/>
  <c r="B138" i="9"/>
  <c r="C138" i="9"/>
  <c r="B139" i="9"/>
  <c r="B140" i="9"/>
  <c r="C140" i="9"/>
  <c r="B141" i="9"/>
  <c r="C141" i="9" s="1"/>
  <c r="B142" i="9"/>
  <c r="B143" i="9"/>
  <c r="C143" i="9" s="1"/>
  <c r="B144" i="9"/>
  <c r="C144" i="9" s="1"/>
  <c r="B145" i="9"/>
  <c r="B146" i="9"/>
  <c r="C146" i="9"/>
  <c r="C145" i="9" l="1"/>
  <c r="C142" i="9"/>
  <c r="C137" i="9"/>
  <c r="C134" i="9"/>
  <c r="C129" i="9"/>
  <c r="C126" i="9"/>
  <c r="C121" i="9"/>
  <c r="C118" i="9"/>
  <c r="C113" i="9"/>
  <c r="C110" i="9"/>
  <c r="C105" i="9"/>
  <c r="C102" i="9"/>
  <c r="C97" i="9"/>
  <c r="C94" i="9"/>
  <c r="C89" i="9"/>
  <c r="C139" i="9"/>
  <c r="C131" i="9"/>
  <c r="C123" i="9"/>
  <c r="C115" i="9"/>
  <c r="C107" i="9"/>
  <c r="C99" i="9"/>
  <c r="C91" i="9"/>
  <c r="M59" i="3"/>
  <c r="R59" i="3"/>
  <c r="S59" i="3"/>
  <c r="U59" i="3"/>
  <c r="V59" i="3"/>
  <c r="W59" i="3"/>
  <c r="X59" i="3"/>
  <c r="T59" i="3" l="1"/>
  <c r="AD55" i="3"/>
  <c r="AE55" i="3"/>
  <c r="AC59" i="3"/>
  <c r="AD59" i="3"/>
  <c r="Y59" i="3"/>
  <c r="AE59" i="3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M13" i="1"/>
  <c r="P13" i="1" s="1"/>
  <c r="V13" i="1"/>
  <c r="S43" i="3" s="1"/>
  <c r="Y13" i="1"/>
  <c r="AB13" i="1"/>
  <c r="AC13" i="1"/>
  <c r="AD13" i="1"/>
  <c r="X14" i="1" s="1"/>
  <c r="AE13" i="1"/>
  <c r="R43" i="3" s="1"/>
  <c r="AF13" i="1"/>
  <c r="AM13" i="1"/>
  <c r="AN13" i="1"/>
  <c r="AG13" i="1" l="1"/>
  <c r="AI13" i="1" s="1"/>
  <c r="X13" i="1"/>
  <c r="AA13" i="1"/>
  <c r="T13" i="1"/>
  <c r="U13" i="1" l="1"/>
  <c r="S13" i="1" s="1"/>
  <c r="W13" i="1"/>
  <c r="B6" i="6"/>
  <c r="G6" i="6" s="1"/>
  <c r="F6" i="6" l="1"/>
  <c r="J6" i="6"/>
  <c r="I6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L212" i="1" s="1"/>
  <c r="G27" i="4"/>
  <c r="G28" i="4"/>
  <c r="G29" i="4"/>
  <c r="G30" i="4"/>
  <c r="L19" i="1" s="1"/>
  <c r="G31" i="4"/>
  <c r="G32" i="4"/>
  <c r="G33" i="4"/>
  <c r="G34" i="4"/>
  <c r="L18" i="1" s="1"/>
  <c r="G35" i="4"/>
  <c r="G36" i="4"/>
  <c r="G37" i="4"/>
  <c r="G38" i="4"/>
  <c r="L27" i="1" s="1"/>
  <c r="G39" i="4"/>
  <c r="G40" i="4"/>
  <c r="G41" i="4"/>
  <c r="G42" i="4"/>
  <c r="L220" i="1" s="1"/>
  <c r="G43" i="4"/>
  <c r="G44" i="4"/>
  <c r="G45" i="4"/>
  <c r="G46" i="4"/>
  <c r="L161" i="1" s="1"/>
  <c r="G47" i="4"/>
  <c r="G48" i="4"/>
  <c r="G49" i="4"/>
  <c r="G50" i="4"/>
  <c r="L163" i="1" s="1"/>
  <c r="G51" i="4"/>
  <c r="G52" i="4"/>
  <c r="G53" i="4"/>
  <c r="G54" i="4"/>
  <c r="L32" i="1" s="1"/>
  <c r="G55" i="4"/>
  <c r="G56" i="4"/>
  <c r="G57" i="4"/>
  <c r="G58" i="4"/>
  <c r="L34" i="1" s="1"/>
  <c r="G59" i="4"/>
  <c r="G60" i="4"/>
  <c r="G61" i="4"/>
  <c r="G62" i="4"/>
  <c r="L167" i="1" s="1"/>
  <c r="G63" i="4"/>
  <c r="G64" i="4"/>
  <c r="G65" i="4"/>
  <c r="G66" i="4"/>
  <c r="L40" i="1" s="1"/>
  <c r="G67" i="4"/>
  <c r="G68" i="4"/>
  <c r="G69" i="4"/>
  <c r="G70" i="4"/>
  <c r="L44" i="1" s="1"/>
  <c r="G71" i="4"/>
  <c r="G72" i="4"/>
  <c r="G73" i="4"/>
  <c r="G74" i="4"/>
  <c r="L221" i="1" s="1"/>
  <c r="G75" i="4"/>
  <c r="G76" i="4"/>
  <c r="G77" i="4"/>
  <c r="G78" i="4"/>
  <c r="L48" i="1" s="1"/>
  <c r="G79" i="4"/>
  <c r="G80" i="4"/>
  <c r="G81" i="4"/>
  <c r="G82" i="4"/>
  <c r="L57" i="1" s="1"/>
  <c r="G83" i="4"/>
  <c r="G84" i="4"/>
  <c r="G85" i="4"/>
  <c r="G86" i="4"/>
  <c r="L172" i="1" s="1"/>
  <c r="G87" i="4"/>
  <c r="G88" i="4"/>
  <c r="G89" i="4"/>
  <c r="G90" i="4"/>
  <c r="L63" i="1" s="1"/>
  <c r="G91" i="4"/>
  <c r="G92" i="4"/>
  <c r="G93" i="4"/>
  <c r="G94" i="4"/>
  <c r="L227" i="1" s="1"/>
  <c r="G95" i="4"/>
  <c r="G96" i="4"/>
  <c r="G97" i="4"/>
  <c r="G98" i="4"/>
  <c r="L174" i="1" s="1"/>
  <c r="G99" i="4"/>
  <c r="G100" i="4"/>
  <c r="G101" i="4"/>
  <c r="G102" i="4"/>
  <c r="L175" i="1" s="1"/>
  <c r="G103" i="4"/>
  <c r="G104" i="4"/>
  <c r="G105" i="4"/>
  <c r="G106" i="4"/>
  <c r="L75" i="1" s="1"/>
  <c r="G107" i="4"/>
  <c r="G108" i="4"/>
  <c r="G109" i="4"/>
  <c r="G110" i="4"/>
  <c r="L72" i="1" s="1"/>
  <c r="G111" i="4"/>
  <c r="G112" i="4"/>
  <c r="G113" i="4"/>
  <c r="G114" i="4"/>
  <c r="L81" i="1" s="1"/>
  <c r="G115" i="4"/>
  <c r="G116" i="4"/>
  <c r="G117" i="4"/>
  <c r="G118" i="4"/>
  <c r="L178" i="1" s="1"/>
  <c r="G119" i="4"/>
  <c r="G120" i="4"/>
  <c r="G121" i="4"/>
  <c r="G122" i="4"/>
  <c r="L179" i="1" s="1"/>
  <c r="G123" i="4"/>
  <c r="G124" i="4"/>
  <c r="G125" i="4"/>
  <c r="G126" i="4"/>
  <c r="L91" i="1" s="1"/>
  <c r="G127" i="4"/>
  <c r="G128" i="4"/>
  <c r="G129" i="4"/>
  <c r="G130" i="4"/>
  <c r="L88" i="1" s="1"/>
  <c r="G131" i="4"/>
  <c r="G132" i="4"/>
  <c r="G133" i="4"/>
  <c r="G134" i="4"/>
  <c r="L181" i="1" s="1"/>
  <c r="G135" i="4"/>
  <c r="G136" i="4"/>
  <c r="G137" i="4"/>
  <c r="G138" i="4"/>
  <c r="L101" i="1" s="1"/>
  <c r="G139" i="4"/>
  <c r="G140" i="4"/>
  <c r="G141" i="4"/>
  <c r="G142" i="4"/>
  <c r="L98" i="1" s="1"/>
  <c r="G143" i="4"/>
  <c r="G144" i="4"/>
  <c r="G145" i="4"/>
  <c r="G146" i="4"/>
  <c r="L222" i="1" s="1"/>
  <c r="G147" i="4"/>
  <c r="G148" i="4"/>
  <c r="G149" i="4"/>
  <c r="G150" i="4"/>
  <c r="L185" i="1" s="1"/>
  <c r="G151" i="4"/>
  <c r="G152" i="4"/>
  <c r="G153" i="4"/>
  <c r="G154" i="4"/>
  <c r="L106" i="1" s="1"/>
  <c r="G155" i="4"/>
  <c r="G156" i="4"/>
  <c r="G157" i="4"/>
  <c r="G158" i="4"/>
  <c r="L108" i="1" s="1"/>
  <c r="G159" i="4"/>
  <c r="G160" i="4"/>
  <c r="G161" i="4"/>
  <c r="G162" i="4"/>
  <c r="L188" i="1" s="1"/>
  <c r="G163" i="4"/>
  <c r="G164" i="4"/>
  <c r="G165" i="4"/>
  <c r="G166" i="4"/>
  <c r="L114" i="1" s="1"/>
  <c r="G167" i="4"/>
  <c r="G168" i="4"/>
  <c r="G169" i="4"/>
  <c r="G170" i="4"/>
  <c r="L116" i="1" s="1"/>
  <c r="G171" i="4"/>
  <c r="G172" i="4"/>
  <c r="G173" i="4"/>
  <c r="G174" i="4"/>
  <c r="L193" i="1" s="1"/>
  <c r="G175" i="4"/>
  <c r="G176" i="4"/>
  <c r="G177" i="4"/>
  <c r="G178" i="4"/>
  <c r="L120" i="1" s="1"/>
  <c r="G179" i="4"/>
  <c r="G180" i="4"/>
  <c r="G181" i="4"/>
  <c r="G182" i="4"/>
  <c r="L122" i="1" s="1"/>
  <c r="G183" i="4"/>
  <c r="G184" i="4"/>
  <c r="G185" i="4"/>
  <c r="G186" i="4"/>
  <c r="L195" i="1" s="1"/>
  <c r="G187" i="4"/>
  <c r="G188" i="4"/>
  <c r="G189" i="4"/>
  <c r="G190" i="4"/>
  <c r="L126" i="1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L147" i="1" s="1"/>
  <c r="G231" i="4"/>
  <c r="G232" i="4"/>
  <c r="G233" i="4"/>
  <c r="G234" i="4"/>
  <c r="L224" i="1" s="1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L153" i="1" l="1"/>
  <c r="L152" i="1"/>
  <c r="L155" i="1"/>
  <c r="L144" i="1"/>
  <c r="L204" i="1"/>
  <c r="L202" i="1"/>
  <c r="L213" i="1"/>
  <c r="L149" i="1"/>
  <c r="L146" i="1"/>
  <c r="L142" i="1"/>
  <c r="L136" i="1"/>
  <c r="L137" i="1"/>
  <c r="L211" i="1"/>
  <c r="L198" i="1"/>
  <c r="L133" i="1"/>
  <c r="L197" i="1"/>
  <c r="L124" i="1"/>
  <c r="L194" i="1"/>
  <c r="L127" i="1"/>
  <c r="L118" i="1"/>
  <c r="L228" i="1"/>
  <c r="L190" i="1"/>
  <c r="L117" i="1"/>
  <c r="L115" i="1"/>
  <c r="L187" i="1"/>
  <c r="L109" i="1"/>
  <c r="L107" i="1"/>
  <c r="L183" i="1"/>
  <c r="L182" i="1"/>
  <c r="L92" i="1"/>
  <c r="L95" i="1"/>
  <c r="L86" i="1"/>
  <c r="L82" i="1"/>
  <c r="L85" i="1"/>
  <c r="L76" i="1"/>
  <c r="L177" i="1"/>
  <c r="L176" i="1"/>
  <c r="L66" i="1"/>
  <c r="L64" i="1"/>
  <c r="L67" i="1"/>
  <c r="L173" i="1"/>
  <c r="L61" i="1"/>
  <c r="L52" i="1"/>
  <c r="L55" i="1"/>
  <c r="L46" i="1"/>
  <c r="L49" i="1"/>
  <c r="L47" i="1"/>
  <c r="L38" i="1"/>
  <c r="L41" i="1"/>
  <c r="L39" i="1"/>
  <c r="L35" i="1"/>
  <c r="L33" i="1"/>
  <c r="L31" i="1"/>
  <c r="L159" i="1"/>
  <c r="L25" i="1"/>
  <c r="L21" i="1"/>
  <c r="L14" i="1"/>
  <c r="L15" i="1"/>
  <c r="L209" i="1"/>
  <c r="L200" i="1"/>
  <c r="L134" i="1"/>
  <c r="L233" i="1"/>
  <c r="L125" i="1"/>
  <c r="L191" i="1"/>
  <c r="L119" i="1"/>
  <c r="L110" i="1"/>
  <c r="L113" i="1"/>
  <c r="L111" i="1"/>
  <c r="L184" i="1"/>
  <c r="L100" i="1"/>
  <c r="L103" i="1"/>
  <c r="L94" i="1"/>
  <c r="L97" i="1"/>
  <c r="L93" i="1"/>
  <c r="L89" i="1"/>
  <c r="L80" i="1"/>
  <c r="L78" i="1"/>
  <c r="L74" i="1"/>
  <c r="L77" i="1"/>
  <c r="L68" i="1"/>
  <c r="L71" i="1"/>
  <c r="L69" i="1"/>
  <c r="L60" i="1"/>
  <c r="L58" i="1"/>
  <c r="L54" i="1"/>
  <c r="L50" i="1"/>
  <c r="L53" i="1"/>
  <c r="L51" i="1"/>
  <c r="L168" i="1"/>
  <c r="L45" i="1"/>
  <c r="L43" i="1"/>
  <c r="L164" i="1"/>
  <c r="L37" i="1"/>
  <c r="L28" i="1"/>
  <c r="L160" i="1"/>
  <c r="L29" i="1"/>
  <c r="L20" i="1"/>
  <c r="L158" i="1"/>
  <c r="L16" i="1"/>
  <c r="L17" i="1"/>
  <c r="L208" i="1"/>
  <c r="L205" i="1"/>
  <c r="L216" i="1"/>
  <c r="L141" i="1"/>
  <c r="L135" i="1"/>
  <c r="L128" i="1"/>
  <c r="L143" i="1"/>
  <c r="L203" i="1"/>
  <c r="L201" i="1"/>
  <c r="L132" i="1"/>
  <c r="L223" i="1"/>
  <c r="L234" i="1"/>
  <c r="L232" i="1"/>
  <c r="L123" i="1"/>
  <c r="L140" i="1"/>
  <c r="L138" i="1"/>
  <c r="L139" i="1"/>
  <c r="L199" i="1"/>
  <c r="L130" i="1"/>
  <c r="L196" i="1"/>
  <c r="L131" i="1"/>
  <c r="L129" i="1"/>
  <c r="L192" i="1"/>
  <c r="L229" i="1"/>
  <c r="L121" i="1"/>
  <c r="L112" i="1"/>
  <c r="L189" i="1"/>
  <c r="L186" i="1"/>
  <c r="L104" i="1"/>
  <c r="L102" i="1"/>
  <c r="L105" i="1"/>
  <c r="L96" i="1"/>
  <c r="L99" i="1"/>
  <c r="L90" i="1"/>
  <c r="L180" i="1"/>
  <c r="L84" i="1"/>
  <c r="L87" i="1"/>
  <c r="L83" i="1"/>
  <c r="L79" i="1"/>
  <c r="L70" i="1"/>
  <c r="L73" i="1"/>
  <c r="L62" i="1"/>
  <c r="L65" i="1"/>
  <c r="L56" i="1"/>
  <c r="L59" i="1"/>
  <c r="L171" i="1"/>
  <c r="L170" i="1"/>
  <c r="L42" i="1"/>
  <c r="L169" i="1"/>
  <c r="L166" i="1"/>
  <c r="L36" i="1"/>
  <c r="L165" i="1"/>
  <c r="L162" i="1"/>
  <c r="L30" i="1"/>
  <c r="L26" i="1"/>
  <c r="L22" i="1"/>
  <c r="L23" i="1"/>
  <c r="L219" i="1"/>
  <c r="L214" i="1"/>
  <c r="L210" i="1"/>
  <c r="L151" i="1"/>
  <c r="N11" i="3"/>
  <c r="L150" i="1"/>
  <c r="N42" i="3"/>
  <c r="L145" i="1"/>
  <c r="L154" i="1"/>
  <c r="N31" i="3"/>
  <c r="L250" i="1"/>
  <c r="L252" i="1"/>
  <c r="L254" i="1"/>
  <c r="L255" i="1"/>
  <c r="L257" i="1"/>
  <c r="L260" i="1"/>
  <c r="L256" i="1"/>
  <c r="L262" i="1"/>
  <c r="L253" i="1"/>
  <c r="L251" i="1"/>
  <c r="L258" i="1"/>
  <c r="L259" i="1"/>
  <c r="L261" i="1"/>
  <c r="L226" i="1"/>
  <c r="L225" i="1"/>
  <c r="L230" i="1"/>
  <c r="L231" i="1"/>
  <c r="L239" i="1"/>
  <c r="L244" i="1"/>
  <c r="L246" i="1"/>
  <c r="L236" i="1"/>
  <c r="L238" i="1"/>
  <c r="L240" i="1"/>
  <c r="L242" i="1"/>
  <c r="L235" i="1"/>
  <c r="L237" i="1"/>
  <c r="L247" i="1"/>
  <c r="L241" i="1"/>
  <c r="L243" i="1"/>
  <c r="L245" i="1"/>
  <c r="L206" i="1"/>
  <c r="L207" i="1"/>
  <c r="L248" i="1"/>
  <c r="L249" i="1"/>
  <c r="N45" i="3"/>
  <c r="L156" i="1"/>
  <c r="L148" i="1"/>
  <c r="N29" i="3"/>
  <c r="N44" i="3"/>
  <c r="N13" i="3"/>
  <c r="N55" i="3"/>
  <c r="N16" i="3"/>
  <c r="N53" i="3"/>
  <c r="N10" i="3"/>
  <c r="N30" i="3"/>
  <c r="N52" i="3"/>
  <c r="N24" i="3"/>
  <c r="N27" i="3"/>
  <c r="N64" i="3"/>
  <c r="N9" i="3"/>
  <c r="N35" i="3"/>
  <c r="N34" i="3"/>
  <c r="N51" i="3"/>
  <c r="N26" i="3"/>
  <c r="N19" i="3"/>
  <c r="N23" i="3"/>
  <c r="N49" i="3"/>
  <c r="N33" i="3"/>
  <c r="N38" i="3"/>
  <c r="N60" i="3"/>
  <c r="N62" i="3"/>
  <c r="N61" i="3"/>
  <c r="N28" i="3"/>
  <c r="N37" i="3"/>
  <c r="N54" i="3"/>
  <c r="N57" i="3"/>
  <c r="N8" i="3"/>
  <c r="N56" i="3"/>
  <c r="N50" i="3"/>
  <c r="N40" i="3"/>
  <c r="N14" i="3"/>
  <c r="N7" i="3"/>
  <c r="N48" i="3"/>
  <c r="N39" i="3"/>
  <c r="N20" i="3"/>
  <c r="N12" i="3"/>
  <c r="N47" i="3"/>
  <c r="N46" i="3"/>
  <c r="N65" i="3"/>
  <c r="N58" i="3"/>
  <c r="N15" i="3"/>
  <c r="N36" i="3"/>
  <c r="N25" i="3"/>
  <c r="N63" i="3"/>
  <c r="N41" i="3"/>
  <c r="N22" i="3"/>
  <c r="N59" i="3"/>
  <c r="N21" i="3"/>
  <c r="N32" i="3"/>
  <c r="N18" i="3"/>
  <c r="N17" i="3"/>
  <c r="N43" i="3"/>
  <c r="L13" i="1"/>
  <c r="H6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5" i="6" l="1"/>
  <c r="I5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F5" i="6"/>
  <c r="J5" i="6"/>
  <c r="H5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L218" i="1" l="1"/>
  <c r="G259" i="4"/>
  <c r="G260" i="4"/>
  <c r="G261" i="4"/>
  <c r="L157" i="1" s="1"/>
  <c r="G262" i="4"/>
  <c r="G263" i="4"/>
  <c r="G264" i="4"/>
  <c r="G265" i="4"/>
  <c r="L215" i="1" l="1"/>
  <c r="L217" i="1"/>
  <c r="M14" i="5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B4" i="6"/>
  <c r="I4" i="6" s="1"/>
  <c r="S9" i="1"/>
  <c r="J9" i="1"/>
  <c r="B7" i="6" l="1"/>
  <c r="I7" i="6" s="1"/>
  <c r="F4" i="6"/>
  <c r="G4" i="6"/>
  <c r="J4" i="6"/>
  <c r="H4" i="6"/>
  <c r="S11" i="1"/>
  <c r="A11" i="1"/>
  <c r="B8" i="6" l="1"/>
  <c r="I8" i="6" s="1"/>
  <c r="G7" i="6"/>
  <c r="H7" i="6"/>
  <c r="J7" i="6"/>
  <c r="F7" i="6"/>
  <c r="B1" i="6"/>
  <c r="A5" i="3"/>
  <c r="G8" i="6" l="1"/>
  <c r="F8" i="6"/>
  <c r="J8" i="6"/>
  <c r="H8" i="6"/>
  <c r="B9" i="6"/>
  <c r="I9" i="6" s="1"/>
  <c r="F9" i="6" l="1"/>
  <c r="J9" i="6"/>
  <c r="G9" i="6"/>
  <c r="H9" i="6"/>
  <c r="B10" i="6"/>
  <c r="I10" i="6" s="1"/>
  <c r="B11" i="6" l="1"/>
  <c r="I11" i="6" s="1"/>
  <c r="J10" i="6"/>
  <c r="G10" i="6"/>
  <c r="F10" i="6"/>
  <c r="H10" i="6"/>
  <c r="F11" i="6" l="1"/>
  <c r="G11" i="6"/>
  <c r="H11" i="6"/>
  <c r="J11" i="6"/>
  <c r="B12" i="6"/>
  <c r="I12" i="6" s="1"/>
  <c r="J12" i="6" l="1"/>
  <c r="H12" i="6"/>
  <c r="F12" i="6"/>
  <c r="G12" i="6"/>
  <c r="B13" i="6"/>
  <c r="I13" i="6" s="1"/>
  <c r="B14" i="6" l="1"/>
  <c r="I14" i="6" s="1"/>
  <c r="J13" i="6"/>
  <c r="F13" i="6"/>
  <c r="H13" i="6"/>
  <c r="G13" i="6"/>
  <c r="F14" i="6" l="1"/>
  <c r="G14" i="6"/>
  <c r="H14" i="6"/>
  <c r="J14" i="6"/>
  <c r="B15" i="6"/>
  <c r="I15" i="6" s="1"/>
  <c r="G15" i="6" l="1"/>
  <c r="H15" i="6"/>
  <c r="J15" i="6"/>
  <c r="F15" i="6"/>
  <c r="B16" i="6"/>
  <c r="I16" i="6" s="1"/>
  <c r="F16" i="6" l="1"/>
  <c r="H16" i="6"/>
  <c r="J16" i="6"/>
  <c r="G16" i="6"/>
  <c r="B17" i="6"/>
  <c r="I17" i="6" s="1"/>
  <c r="F17" i="6" l="1"/>
  <c r="J17" i="6"/>
  <c r="G17" i="6"/>
  <c r="H17" i="6"/>
  <c r="B18" i="6"/>
  <c r="I18" i="6" s="1"/>
  <c r="B19" i="6" l="1"/>
  <c r="I19" i="6" s="1"/>
  <c r="F18" i="6"/>
  <c r="H18" i="6"/>
  <c r="J18" i="6"/>
  <c r="G18" i="6"/>
  <c r="F19" i="6" l="1"/>
  <c r="H19" i="6"/>
  <c r="J19" i="6"/>
  <c r="G19" i="6"/>
  <c r="B20" i="6"/>
  <c r="I20" i="6" s="1"/>
  <c r="J20" i="6" l="1"/>
  <c r="H20" i="6"/>
  <c r="F20" i="6"/>
  <c r="G20" i="6"/>
  <c r="B21" i="6"/>
  <c r="I21" i="6" s="1"/>
  <c r="B22" i="6" l="1"/>
  <c r="I22" i="6" s="1"/>
  <c r="F21" i="6"/>
  <c r="G21" i="6"/>
  <c r="H21" i="6"/>
  <c r="J21" i="6"/>
  <c r="B23" i="6" l="1"/>
  <c r="I23" i="6" s="1"/>
  <c r="H22" i="6"/>
  <c r="F22" i="6"/>
  <c r="J22" i="6"/>
  <c r="G22" i="6"/>
  <c r="B24" i="6" l="1"/>
  <c r="I24" i="6" s="1"/>
  <c r="F23" i="6"/>
  <c r="H23" i="6"/>
  <c r="J23" i="6"/>
  <c r="G23" i="6"/>
  <c r="F24" i="6" l="1"/>
  <c r="G24" i="6"/>
  <c r="J24" i="6"/>
  <c r="H24" i="6"/>
  <c r="B25" i="6"/>
  <c r="I25" i="6" s="1"/>
  <c r="F25" i="6" l="1"/>
  <c r="J25" i="6"/>
  <c r="H25" i="6"/>
  <c r="G25" i="6"/>
  <c r="B26" i="6"/>
  <c r="I26" i="6" s="1"/>
  <c r="F26" i="6" l="1"/>
  <c r="H26" i="6"/>
  <c r="G26" i="6"/>
  <c r="J26" i="6"/>
  <c r="B27" i="6"/>
  <c r="I27" i="6" s="1"/>
  <c r="B28" i="6" l="1"/>
  <c r="I28" i="6" s="1"/>
  <c r="G27" i="6"/>
  <c r="F27" i="6"/>
  <c r="H27" i="6"/>
  <c r="J27" i="6"/>
  <c r="J28" i="6" l="1"/>
  <c r="H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H31" i="6" l="1"/>
  <c r="J31" i="6"/>
  <c r="F31" i="6"/>
  <c r="G31" i="6"/>
  <c r="B32" i="6"/>
  <c r="I32" i="6" s="1"/>
  <c r="G32" i="6" l="1"/>
  <c r="F32" i="6"/>
  <c r="H32" i="6"/>
  <c r="J32" i="6"/>
  <c r="B33" i="6"/>
  <c r="I33" i="6" s="1"/>
  <c r="B34" i="6" l="1"/>
  <c r="I34" i="6" s="1"/>
  <c r="J33" i="6"/>
  <c r="G33" i="6"/>
  <c r="F33" i="6"/>
  <c r="H33" i="6"/>
  <c r="B35" i="6" l="1"/>
  <c r="I35" i="6" s="1"/>
  <c r="J34" i="6"/>
  <c r="G34" i="6"/>
  <c r="F34" i="6"/>
  <c r="H34" i="6"/>
  <c r="F35" i="6" l="1"/>
  <c r="H35" i="6"/>
  <c r="J35" i="6"/>
  <c r="G35" i="6"/>
  <c r="B36" i="6"/>
  <c r="I36" i="6" s="1"/>
  <c r="B37" i="6" l="1"/>
  <c r="I37" i="6" s="1"/>
  <c r="F36" i="6"/>
  <c r="G36" i="6"/>
  <c r="J36" i="6"/>
  <c r="H36" i="6"/>
  <c r="G37" i="6" l="1"/>
  <c r="F37" i="6"/>
  <c r="H37" i="6"/>
  <c r="J37" i="6"/>
  <c r="B38" i="6"/>
  <c r="I38" i="6" s="1"/>
  <c r="F38" i="6" l="1"/>
  <c r="J38" i="6"/>
  <c r="G38" i="6"/>
  <c r="H38" i="6"/>
  <c r="B39" i="6"/>
  <c r="I39" i="6" s="1"/>
  <c r="G39" i="6" l="1"/>
  <c r="H39" i="6"/>
  <c r="J39" i="6"/>
  <c r="F39" i="6"/>
  <c r="B40" i="6"/>
  <c r="I40" i="6" s="1"/>
  <c r="B41" i="6" l="1"/>
  <c r="I41" i="6" s="1"/>
  <c r="J40" i="6"/>
  <c r="H40" i="6"/>
  <c r="F40" i="6"/>
  <c r="G40" i="6"/>
  <c r="J41" i="6" l="1"/>
  <c r="G41" i="6"/>
  <c r="F41" i="6"/>
  <c r="H41" i="6"/>
  <c r="B42" i="6"/>
  <c r="I42" i="6" s="1"/>
  <c r="B43" i="6" l="1"/>
  <c r="I43" i="6" s="1"/>
  <c r="G42" i="6"/>
  <c r="J42" i="6"/>
  <c r="F42" i="6"/>
  <c r="H42" i="6"/>
  <c r="F43" i="6" l="1"/>
  <c r="G43" i="6"/>
  <c r="J43" i="6"/>
  <c r="H43" i="6"/>
  <c r="B44" i="6"/>
  <c r="I44" i="6" s="1"/>
  <c r="B45" i="6" l="1"/>
  <c r="I45" i="6" s="1"/>
  <c r="F44" i="6"/>
  <c r="G44" i="6"/>
  <c r="J44" i="6"/>
  <c r="H44" i="6"/>
  <c r="G45" i="6" l="1"/>
  <c r="H45" i="6"/>
  <c r="J45" i="6"/>
  <c r="F45" i="6"/>
  <c r="B46" i="6"/>
  <c r="I46" i="6" s="1"/>
  <c r="B47" i="6" l="1"/>
  <c r="I47" i="6" s="1"/>
  <c r="G46" i="6"/>
  <c r="H46" i="6"/>
  <c r="J46" i="6"/>
  <c r="F46" i="6"/>
  <c r="F47" i="6" l="1"/>
  <c r="G47" i="6"/>
  <c r="H47" i="6"/>
  <c r="J47" i="6"/>
  <c r="B48" i="6"/>
  <c r="I48" i="6" s="1"/>
  <c r="G48" i="6" l="1"/>
  <c r="F48" i="6"/>
  <c r="H48" i="6"/>
  <c r="J48" i="6"/>
  <c r="B49" i="6"/>
  <c r="I49" i="6" s="1"/>
  <c r="B50" i="6" l="1"/>
  <c r="I50" i="6" s="1"/>
  <c r="J49" i="6"/>
  <c r="G49" i="6"/>
  <c r="F49" i="6"/>
  <c r="H49" i="6"/>
  <c r="B51" i="6" l="1"/>
  <c r="I51" i="6" s="1"/>
  <c r="J50" i="6"/>
  <c r="G50" i="6"/>
  <c r="F50" i="6"/>
  <c r="H50" i="6"/>
  <c r="H51" i="6" l="1"/>
  <c r="F51" i="6"/>
  <c r="G51" i="6"/>
  <c r="J51" i="6"/>
  <c r="B52" i="6"/>
  <c r="I52" i="6" s="1"/>
  <c r="B53" i="6" l="1"/>
  <c r="I53" i="6" s="1"/>
  <c r="F52" i="6"/>
  <c r="G52" i="6"/>
  <c r="J52" i="6"/>
  <c r="H52" i="6"/>
  <c r="B54" i="6" l="1"/>
  <c r="I54" i="6" s="1"/>
  <c r="J53" i="6"/>
  <c r="F53" i="6"/>
  <c r="G53" i="6"/>
  <c r="H53" i="6"/>
  <c r="F54" i="6" l="1"/>
  <c r="J54" i="6"/>
  <c r="G54" i="6"/>
  <c r="H54" i="6"/>
  <c r="B55" i="6"/>
  <c r="I55" i="6" s="1"/>
  <c r="H55" i="6" l="1"/>
  <c r="J55" i="6"/>
  <c r="G55" i="6"/>
  <c r="F55" i="6"/>
  <c r="B56" i="6"/>
  <c r="I56" i="6" s="1"/>
  <c r="B57" i="6" l="1"/>
  <c r="I57" i="6" s="1"/>
  <c r="J56" i="6"/>
  <c r="H56" i="6"/>
  <c r="F56" i="6"/>
  <c r="G56" i="6"/>
  <c r="J57" i="6" l="1"/>
  <c r="G57" i="6"/>
  <c r="F57" i="6"/>
  <c r="H57" i="6"/>
  <c r="B58" i="6"/>
  <c r="I58" i="6" s="1"/>
  <c r="G58" i="6" l="1"/>
  <c r="H58" i="6"/>
  <c r="J58" i="6"/>
  <c r="F58" i="6"/>
  <c r="B59" i="6"/>
  <c r="I59" i="6" s="1"/>
  <c r="G59" i="6" l="1"/>
  <c r="F59" i="6"/>
  <c r="H59" i="6"/>
  <c r="J59" i="6"/>
  <c r="B60" i="6"/>
  <c r="I60" i="6" s="1"/>
  <c r="B61" i="6" l="1"/>
  <c r="I61" i="6" s="1"/>
  <c r="J60" i="6"/>
  <c r="F60" i="6"/>
  <c r="H60" i="6"/>
  <c r="G60" i="6"/>
  <c r="B62" i="6" l="1"/>
  <c r="I62" i="6" s="1"/>
  <c r="J61" i="6"/>
  <c r="F61" i="6"/>
  <c r="G61" i="6"/>
  <c r="H61" i="6"/>
  <c r="H62" i="6" l="1"/>
  <c r="G62" i="6"/>
  <c r="F62" i="6"/>
  <c r="J62" i="6"/>
  <c r="B63" i="6"/>
  <c r="I63" i="6" s="1"/>
  <c r="G63" i="6" l="1"/>
  <c r="H63" i="6"/>
  <c r="J63" i="6"/>
  <c r="F63" i="6"/>
  <c r="B64" i="6"/>
  <c r="I64" i="6" s="1"/>
  <c r="B65" i="6" l="1"/>
  <c r="I65" i="6" s="1"/>
  <c r="J64" i="6"/>
  <c r="F64" i="6"/>
  <c r="H64" i="6"/>
  <c r="G64" i="6"/>
  <c r="B66" i="6" l="1"/>
  <c r="I66" i="6" s="1"/>
  <c r="J65" i="6"/>
  <c r="F65" i="6"/>
  <c r="G65" i="6"/>
  <c r="H65" i="6"/>
  <c r="B67" i="6" l="1"/>
  <c r="I67" i="6" s="1"/>
  <c r="J66" i="6"/>
  <c r="F66" i="6"/>
  <c r="G66" i="6"/>
  <c r="H66" i="6"/>
  <c r="J67" i="6" l="1"/>
  <c r="F67" i="6"/>
  <c r="H67" i="6"/>
  <c r="G67" i="6"/>
  <c r="B68" i="6"/>
  <c r="I68" i="6" s="1"/>
  <c r="F68" i="6" l="1"/>
  <c r="J68" i="6"/>
  <c r="H68" i="6"/>
  <c r="G68" i="6"/>
  <c r="B69" i="6"/>
  <c r="I69" i="6" s="1"/>
  <c r="J69" i="6" l="1"/>
  <c r="G69" i="6"/>
  <c r="F69" i="6"/>
  <c r="H69" i="6"/>
  <c r="B70" i="6"/>
  <c r="I70" i="6" s="1"/>
  <c r="B71" i="6" l="1"/>
  <c r="I71" i="6" s="1"/>
  <c r="F70" i="6"/>
  <c r="G70" i="6"/>
  <c r="H70" i="6"/>
  <c r="J70" i="6"/>
  <c r="F71" i="6" l="1"/>
  <c r="G71" i="6"/>
  <c r="H71" i="6"/>
  <c r="J71" i="6"/>
  <c r="B72" i="6"/>
  <c r="I72" i="6" s="1"/>
  <c r="B73" i="6" l="1"/>
  <c r="I73" i="6" s="1"/>
  <c r="J72" i="6"/>
  <c r="F72" i="6"/>
  <c r="G72" i="6"/>
  <c r="H72" i="6"/>
  <c r="F73" i="6" l="1"/>
  <c r="H73" i="6"/>
  <c r="G73" i="6"/>
  <c r="J73" i="6"/>
  <c r="B74" i="6"/>
  <c r="I74" i="6" s="1"/>
  <c r="B75" i="6" l="1"/>
  <c r="I75" i="6" s="1"/>
  <c r="H74" i="6"/>
  <c r="G74" i="6"/>
  <c r="F74" i="6"/>
  <c r="J74" i="6"/>
  <c r="B76" i="6" l="1"/>
  <c r="I76" i="6" s="1"/>
  <c r="J75" i="6"/>
  <c r="H75" i="6"/>
  <c r="F75" i="6"/>
  <c r="G75" i="6"/>
  <c r="J76" i="6" l="1"/>
  <c r="H76" i="6"/>
  <c r="F76" i="6"/>
  <c r="G76" i="6"/>
  <c r="B77" i="6"/>
  <c r="I77" i="6" s="1"/>
  <c r="J77" i="6" l="1"/>
  <c r="F77" i="6"/>
  <c r="H77" i="6"/>
  <c r="G77" i="6"/>
  <c r="B78" i="6"/>
  <c r="I78" i="6" s="1"/>
  <c r="B79" i="6" l="1"/>
  <c r="I79" i="6" s="1"/>
  <c r="F78" i="6"/>
  <c r="J78" i="6"/>
  <c r="G78" i="6"/>
  <c r="H78" i="6"/>
  <c r="B80" i="6" l="1"/>
  <c r="I80" i="6" s="1"/>
  <c r="F79" i="6"/>
  <c r="G79" i="6"/>
  <c r="H79" i="6"/>
  <c r="J79" i="6"/>
  <c r="B81" i="6" l="1"/>
  <c r="I81" i="6" s="1"/>
  <c r="J80" i="6"/>
  <c r="H80" i="6"/>
  <c r="G80" i="6"/>
  <c r="F80" i="6"/>
  <c r="B82" i="6" l="1"/>
  <c r="I82" i="6" s="1"/>
  <c r="H81" i="6"/>
  <c r="J81" i="6"/>
  <c r="F81" i="6"/>
  <c r="G81" i="6"/>
  <c r="G82" i="6" l="1"/>
  <c r="H82" i="6"/>
  <c r="J82" i="6"/>
  <c r="F82" i="6"/>
  <c r="B83" i="6"/>
  <c r="I83" i="6" s="1"/>
  <c r="B84" i="6" l="1"/>
  <c r="I84" i="6" s="1"/>
  <c r="G83" i="6"/>
  <c r="J83" i="6"/>
  <c r="H83" i="6"/>
  <c r="F83" i="6"/>
  <c r="F84" i="6" l="1"/>
  <c r="H84" i="6"/>
  <c r="J84" i="6"/>
  <c r="G84" i="6"/>
  <c r="B85" i="6"/>
  <c r="I85" i="6" s="1"/>
  <c r="H85" i="6" l="1"/>
  <c r="F85" i="6"/>
  <c r="G85" i="6"/>
  <c r="J85" i="6"/>
  <c r="B86" i="6"/>
  <c r="I86" i="6" s="1"/>
  <c r="H86" i="6" l="1"/>
  <c r="G86" i="6"/>
  <c r="F86" i="6"/>
  <c r="J86" i="6"/>
  <c r="B87" i="6"/>
  <c r="I87" i="6" s="1"/>
  <c r="H87" i="6" l="1"/>
  <c r="J87" i="6"/>
  <c r="G87" i="6"/>
  <c r="F87" i="6"/>
  <c r="B88" i="6"/>
  <c r="I88" i="6" s="1"/>
  <c r="J88" i="6" l="1"/>
  <c r="G88" i="6"/>
  <c r="F88" i="6"/>
  <c r="H88" i="6"/>
  <c r="B89" i="6"/>
  <c r="I89" i="6" s="1"/>
  <c r="J89" i="6" l="1"/>
  <c r="F89" i="6"/>
  <c r="H89" i="6"/>
  <c r="G89" i="6"/>
  <c r="B90" i="6"/>
  <c r="I90" i="6" s="1"/>
  <c r="G90" i="6" l="1"/>
  <c r="H90" i="6"/>
  <c r="F90" i="6"/>
  <c r="J90" i="6"/>
  <c r="B91" i="6"/>
  <c r="I91" i="6" s="1"/>
  <c r="B92" i="6" l="1"/>
  <c r="I92" i="6" s="1"/>
  <c r="J91" i="6"/>
  <c r="G91" i="6"/>
  <c r="H91" i="6"/>
  <c r="F91" i="6"/>
  <c r="J92" i="6" l="1"/>
  <c r="F92" i="6"/>
  <c r="H92" i="6"/>
  <c r="G92" i="6"/>
  <c r="B93" i="6"/>
  <c r="I93" i="6" s="1"/>
  <c r="B94" i="6" l="1"/>
  <c r="I94" i="6" s="1"/>
  <c r="J93" i="6"/>
  <c r="G93" i="6"/>
  <c r="H93" i="6"/>
  <c r="F93" i="6"/>
  <c r="B95" i="6" l="1"/>
  <c r="I95" i="6" s="1"/>
  <c r="F94" i="6"/>
  <c r="H94" i="6"/>
  <c r="G94" i="6"/>
  <c r="J94" i="6"/>
  <c r="B96" i="6" l="1"/>
  <c r="I96" i="6" s="1"/>
  <c r="J95" i="6"/>
  <c r="F95" i="6"/>
  <c r="G95" i="6"/>
  <c r="H95" i="6"/>
  <c r="B97" i="6" l="1"/>
  <c r="I97" i="6" s="1"/>
  <c r="J96" i="6"/>
  <c r="H96" i="6"/>
  <c r="G96" i="6"/>
  <c r="F96" i="6"/>
  <c r="G97" i="6" l="1"/>
  <c r="H97" i="6"/>
  <c r="J97" i="6"/>
  <c r="F97" i="6"/>
  <c r="B98" i="6"/>
  <c r="I98" i="6" s="1"/>
  <c r="B99" i="6" l="1"/>
  <c r="I99" i="6" s="1"/>
  <c r="J98" i="6"/>
  <c r="F98" i="6"/>
  <c r="G98" i="6"/>
  <c r="H98" i="6"/>
  <c r="F99" i="6" l="1"/>
  <c r="G99" i="6"/>
  <c r="H99" i="6"/>
  <c r="J99" i="6"/>
  <c r="B100" i="6"/>
  <c r="I100" i="6" s="1"/>
  <c r="F100" i="6" l="1"/>
  <c r="H100" i="6"/>
  <c r="G100" i="6"/>
  <c r="J100" i="6"/>
  <c r="B101" i="6"/>
  <c r="I101" i="6" s="1"/>
  <c r="J101" i="6" l="1"/>
  <c r="H101" i="6"/>
  <c r="F101" i="6"/>
  <c r="G101" i="6"/>
  <c r="B102" i="6"/>
  <c r="I102" i="6" s="1"/>
  <c r="F102" i="6" l="1"/>
  <c r="H102" i="6"/>
  <c r="G102" i="6"/>
  <c r="J102" i="6"/>
  <c r="B103" i="6"/>
  <c r="I103" i="6" s="1"/>
  <c r="F103" i="6" l="1"/>
  <c r="H103" i="6"/>
  <c r="G103" i="6"/>
  <c r="J103" i="6"/>
  <c r="B104" i="6"/>
  <c r="I104" i="6" s="1"/>
  <c r="J104" i="6" l="1"/>
  <c r="F104" i="6"/>
  <c r="G104" i="6"/>
  <c r="H104" i="6"/>
  <c r="B105" i="6"/>
  <c r="I105" i="6" s="1"/>
  <c r="G105" i="6" l="1"/>
  <c r="H105" i="6"/>
  <c r="J105" i="6"/>
  <c r="F105" i="6"/>
  <c r="B106" i="6"/>
  <c r="I106" i="6" s="1"/>
  <c r="B107" i="6" l="1"/>
  <c r="I107" i="6" s="1"/>
  <c r="H106" i="6"/>
  <c r="G106" i="6"/>
  <c r="J106" i="6"/>
  <c r="F106" i="6"/>
  <c r="B108" i="6" l="1"/>
  <c r="I108" i="6" s="1"/>
  <c r="J107" i="6"/>
  <c r="G107" i="6"/>
  <c r="H107" i="6"/>
  <c r="F107" i="6"/>
  <c r="H108" i="6" l="1"/>
  <c r="F108" i="6"/>
  <c r="G108" i="6"/>
  <c r="J108" i="6"/>
  <c r="B109" i="6"/>
  <c r="I109" i="6" s="1"/>
  <c r="F109" i="6" l="1"/>
  <c r="H109" i="6"/>
  <c r="J109" i="6"/>
  <c r="G109" i="6"/>
  <c r="B110" i="6"/>
  <c r="I110" i="6" s="1"/>
  <c r="F110" i="6" l="1"/>
  <c r="G110" i="6"/>
  <c r="J110" i="6"/>
  <c r="H110" i="6"/>
  <c r="B111" i="6"/>
  <c r="I111" i="6" s="1"/>
  <c r="B112" i="6" l="1"/>
  <c r="I112" i="6" s="1"/>
  <c r="H111" i="6"/>
  <c r="J111" i="6"/>
  <c r="F111" i="6"/>
  <c r="G111" i="6"/>
  <c r="B113" i="6" l="1"/>
  <c r="I113" i="6" s="1"/>
  <c r="J112" i="6"/>
  <c r="H112" i="6"/>
  <c r="G112" i="6"/>
  <c r="F112" i="6"/>
  <c r="B115" i="6" l="1"/>
  <c r="I115" i="6" s="1"/>
  <c r="B114" i="6"/>
  <c r="I114" i="6" s="1"/>
  <c r="F113" i="6"/>
  <c r="G113" i="6"/>
  <c r="H113" i="6"/>
  <c r="J113" i="6"/>
  <c r="G114" i="6" l="1"/>
  <c r="H114" i="6"/>
  <c r="J114" i="6"/>
  <c r="F114" i="6"/>
  <c r="J115" i="6"/>
  <c r="F115" i="6"/>
  <c r="G115" i="6"/>
  <c r="H11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<sst xmlns="http://schemas.openxmlformats.org/spreadsheetml/2006/main" count="3021" uniqueCount="1067">
  <si>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</si>
  <si>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</si>
  <si>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</si>
  <si>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</si>
  <si>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</si>
  <si>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</si>
  <si>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</si>
  <si>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</si>
  <si>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</si>
  <si>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</si>
  <si>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</si>
  <si>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</si>
  <si>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</si>
  <si>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</si>
  <si>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</si>
  <si>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</si>
  <si>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</si>
  <si>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</si>
  <si>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</si>
  <si>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</si>
  <si>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</si>
  <si>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</si>
  <si>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</si>
  <si>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</si>
  <si>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</si>
  <si>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</si>
  <si>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</si>
  <si>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</si>
  <si>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</si>
  <si>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</si>
  <si>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</si>
  <si>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</si>
  <si>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</si>
  <si>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</si>
  <si>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</si>
  <si>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</si>
  <si>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</si>
  <si>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</si>
  <si>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</si>
  <si>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</si>
  <si>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</si>
  <si>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</si>
  <si>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</si>
  <si>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</si>
  <si>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</si>
  <si>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</si>
  <si>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</si>
  <si>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</si>
  <si>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</si>
  <si>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</si>
  <si>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</si>
  <si>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</si>
  <si>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</si>
  <si>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</si>
  <si>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</si>
  <si>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</si>
  <si>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</si>
  <si>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</si>
  <si>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</si>
  <si>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</si>
  <si>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</si>
  <si>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</si>
  <si>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</si>
  <si>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</si>
  <si>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</si>
  <si>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</si>
  <si>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</si>
  <si>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</si>
  <si>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</si>
  <si>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</si>
  <si>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</si>
  <si>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</si>
  <si>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</si>
  <si>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</si>
  <si>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</si>
  <si>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</si>
  <si>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</si>
  <si>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</si>
  <si>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</si>
  <si>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</si>
  <si>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</si>
  <si>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</si>
  <si>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</si>
  <si>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</si>
  <si>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</si>
  <si>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</si>
  <si>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</si>
  <si>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</si>
  <si>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</si>
  <si>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</si>
  <si>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</si>
  <si>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</si>
  <si>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</si>
  <si>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</si>
  <si>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</si>
  <si>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</si>
  <si>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</si>
  <si>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</si>
  <si>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</si>
  <si>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</si>
  <si>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</si>
  <si>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</si>
  <si>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</si>
  <si>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</si>
  <si>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</si>
  <si>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</si>
  <si>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</si>
  <si>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</si>
  <si>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</si>
  <si>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</si>
  <si>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</si>
  <si>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</si>
  <si>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</si>
  <si>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</si>
  <si>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</si>
  <si>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</si>
  <si>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</si>
  <si>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</si>
  <si>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</si>
  <si>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</si>
  <si>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</si>
  <si>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</si>
  <si>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</si>
  <si>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</si>
  <si>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</si>
  <si>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</si>
  <si>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</si>
  <si>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</si>
  <si>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</si>
  <si>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</si>
  <si>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</si>
  <si>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</si>
  <si>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</si>
  <si>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</si>
  <si>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</si>
  <si>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</si>
  <si>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</si>
  <si>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</si>
  <si>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</si>
  <si>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</si>
  <si>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</si>
  <si>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</si>
  <si>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</si>
  <si>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</si>
  <si>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</si>
  <si>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</si>
  <si>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</si>
  <si>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</si>
  <si>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</si>
  <si>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</si>
  <si>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</si>
  <si>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</si>
  <si>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</si>
  <si>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</si>
  <si>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</si>
  <si>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</si>
  <si>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</si>
  <si>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</si>
  <si>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</si>
  <si>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</si>
  <si>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</si>
  <si>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</si>
  <si>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</si>
  <si>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</si>
  <si>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</si>
  <si>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</si>
  <si>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</si>
  <si>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</si>
  <si>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</si>
  <si>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</si>
  <si>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</si>
  <si>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</si>
  <si>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</si>
  <si>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</si>
  <si>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</si>
  <si>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</si>
  <si>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</si>
  <si>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</si>
  <si>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</si>
  <si>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</si>
  <si>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</si>
  <si>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</si>
  <si>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</si>
  <si>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</si>
  <si>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</si>
  <si>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</si>
  <si>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</si>
  <si>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</si>
  <si>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</si>
  <si>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</si>
  <si>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</si>
  <si>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</si>
  <si>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</si>
  <si>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</si>
  <si>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</si>
  <si>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</si>
  <si>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</si>
  <si>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</si>
  <si>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</si>
  <si>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</si>
  <si>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</si>
  <si>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</si>
  <si>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</si>
  <si>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</si>
  <si>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</si>
  <si>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204:152</t>
  </si>
  <si>
    <t>204:158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</si>
  <si>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</si>
  <si>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</si>
  <si>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</si>
  <si>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</si>
  <si>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</si>
  <si>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</si>
  <si>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</si>
  <si>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</si>
  <si>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Uncaught Wi-MAX GREP</t>
  </si>
  <si>
    <t>rtdc.l.rtdc.4028:itc</t>
  </si>
  <si>
    <t>rtdc.l.rtdc.4027:itc</t>
  </si>
  <si>
    <t>MCREYNOLDS</t>
  </si>
  <si>
    <t>KYLE</t>
  </si>
  <si>
    <t>204:143</t>
  </si>
  <si>
    <t>204:451</t>
  </si>
  <si>
    <t>204:457</t>
  </si>
  <si>
    <t>STORY</t>
  </si>
  <si>
    <t>SAMANTHA</t>
  </si>
  <si>
    <t>204:460</t>
  </si>
  <si>
    <t>BROWN</t>
  </si>
  <si>
    <t>JACOB</t>
  </si>
  <si>
    <t>rtdc.l.rtdc.4025:itc</t>
  </si>
  <si>
    <t>rtdc.l.rtdc.4054:itc</t>
  </si>
  <si>
    <t>COMELLA</t>
  </si>
  <si>
    <t>JUSTIN</t>
  </si>
  <si>
    <t>rtdc.l.rtdc.4053:itc</t>
  </si>
  <si>
    <t>rtdc.l.rtdc.4043:itc</t>
  </si>
  <si>
    <t>partly-cloudy-night</t>
  </si>
  <si>
    <t>204:453</t>
  </si>
  <si>
    <t>rtdc.l.rtdc.4003:itc</t>
  </si>
  <si>
    <t>rtdc.l.rtdc.4004:itc</t>
  </si>
  <si>
    <t>CHANDLER</t>
  </si>
  <si>
    <t>KELVIN</t>
  </si>
  <si>
    <t>204:446</t>
  </si>
  <si>
    <t>204:455</t>
  </si>
  <si>
    <t>204:232978</t>
  </si>
  <si>
    <t>204:232991</t>
  </si>
  <si>
    <t>204:233293</t>
  </si>
  <si>
    <t>rtdc.l.rtdc.4019:itc</t>
  </si>
  <si>
    <t>204:464</t>
  </si>
  <si>
    <t>204:161</t>
  </si>
  <si>
    <t>rtdc.l.rtdc.4020:itc</t>
  </si>
  <si>
    <t>rtdc.l.rtdc.4044:itc</t>
  </si>
  <si>
    <t>204:141</t>
  </si>
  <si>
    <t>204:232996</t>
  </si>
  <si>
    <t>204:440</t>
  </si>
  <si>
    <t>rtdc.l.rtdc.4018:itc</t>
  </si>
  <si>
    <t>rtdc.l.rtdc.4017:itc</t>
  </si>
  <si>
    <t>rtdc.l.rtdc.4012:itc</t>
  </si>
  <si>
    <t>JOHN</t>
  </si>
  <si>
    <t>204:136</t>
  </si>
  <si>
    <t>204:156</t>
  </si>
  <si>
    <t>204:233310</t>
  </si>
  <si>
    <t>204:444</t>
  </si>
  <si>
    <t>204:147</t>
  </si>
  <si>
    <t>300:23346</t>
  </si>
  <si>
    <t>204:431</t>
  </si>
  <si>
    <t>204:232985</t>
  </si>
  <si>
    <t>204:471</t>
  </si>
  <si>
    <t>204:233306</t>
  </si>
  <si>
    <t>204:233317</t>
  </si>
  <si>
    <t>204:232973</t>
  </si>
  <si>
    <t>rtdc.l.rtdc.4006:itc</t>
  </si>
  <si>
    <t>204:232982</t>
  </si>
  <si>
    <t>204:163</t>
  </si>
  <si>
    <t>204:475</t>
  </si>
  <si>
    <t>204:447</t>
  </si>
  <si>
    <t>204:233303</t>
  </si>
  <si>
    <t>204:233301</t>
  </si>
  <si>
    <t>PERMANENT SPEED RESTRICTION</t>
  </si>
  <si>
    <t>Speed (6)</t>
  </si>
  <si>
    <t>YANG</t>
  </si>
  <si>
    <t>JAN</t>
  </si>
  <si>
    <t>DE.1.0.9.0</t>
  </si>
  <si>
    <t>204:232990</t>
  </si>
  <si>
    <t>204:458</t>
  </si>
  <si>
    <t>204:692</t>
  </si>
  <si>
    <t>204:232994</t>
  </si>
  <si>
    <t>204:232984</t>
  </si>
  <si>
    <t>BONDS</t>
  </si>
  <si>
    <t>REYNALDO</t>
  </si>
  <si>
    <t>STARKS</t>
  </si>
  <si>
    <t>ANGELINA</t>
  </si>
  <si>
    <t>ROCHA</t>
  </si>
  <si>
    <t>YAOTL</t>
  </si>
  <si>
    <t>CLARK</t>
  </si>
  <si>
    <t>KATHLEEN</t>
  </si>
  <si>
    <t>LEVERE</t>
  </si>
  <si>
    <t>CRAIG</t>
  </si>
  <si>
    <t>rtdc.l.rtdc.4050:itc</t>
  </si>
  <si>
    <t>rtdc.l.rtdc.4049:itc</t>
  </si>
  <si>
    <t>204:232971</t>
  </si>
  <si>
    <t>204:232987</t>
  </si>
  <si>
    <t>204:233314</t>
  </si>
  <si>
    <t>204:233297</t>
  </si>
  <si>
    <t>204:233289</t>
  </si>
  <si>
    <t>204:974</t>
  </si>
  <si>
    <t>204:969</t>
  </si>
  <si>
    <t>rtdc.l.rtdc.4005:itc</t>
  </si>
  <si>
    <t>rtdc.l.rtdc.4031:itc</t>
  </si>
  <si>
    <t>rtdc.l.rtdc.4032:itc</t>
  </si>
  <si>
    <t>DE LA ROSA</t>
  </si>
  <si>
    <t>ALEX</t>
  </si>
  <si>
    <t>204:233295</t>
  </si>
  <si>
    <t>204:449</t>
  </si>
  <si>
    <t>204:433</t>
  </si>
  <si>
    <t>204:232992</t>
  </si>
  <si>
    <t>204:167</t>
  </si>
  <si>
    <t>204:233006</t>
  </si>
  <si>
    <t>204:233002</t>
  </si>
  <si>
    <t>300:23302</t>
  </si>
  <si>
    <t>204:983</t>
  </si>
  <si>
    <t>BADERTSCHER</t>
  </si>
  <si>
    <t>DIANE</t>
  </si>
  <si>
    <t>SPECTOR</t>
  </si>
  <si>
    <t>GEBRETEKLE</t>
  </si>
  <si>
    <t>DAGNEW</t>
  </si>
  <si>
    <t>LOZA</t>
  </si>
  <si>
    <t>FIDEL</t>
  </si>
  <si>
    <t>HELVIE</t>
  </si>
  <si>
    <t>ADAM</t>
  </si>
  <si>
    <t>BRANNON</t>
  </si>
  <si>
    <t>JEFFREY</t>
  </si>
  <si>
    <t>BRUDER</t>
  </si>
  <si>
    <t>RICHARD</t>
  </si>
  <si>
    <t>precipType</t>
  </si>
  <si>
    <t>204:233300</t>
  </si>
  <si>
    <t>204:442</t>
  </si>
  <si>
    <t>204:233304</t>
  </si>
  <si>
    <t>204:233316</t>
  </si>
  <si>
    <t>204:233299</t>
  </si>
  <si>
    <t>204:233325</t>
  </si>
  <si>
    <t>204:233003</t>
  </si>
  <si>
    <t>204:233028</t>
  </si>
  <si>
    <t>300:23314</t>
  </si>
  <si>
    <t>300:23306</t>
  </si>
  <si>
    <t>204:682</t>
  </si>
  <si>
    <t>204:680</t>
  </si>
  <si>
    <t>204:978</t>
  </si>
  <si>
    <t>204:965</t>
  </si>
  <si>
    <t>300:58950</t>
  </si>
  <si>
    <t>204:678</t>
  </si>
  <si>
    <t>204:976</t>
  </si>
  <si>
    <t>204:684</t>
  </si>
  <si>
    <t>204:971</t>
  </si>
  <si>
    <t>:.+((SYSTEM_STATE.+slice.+state.+changed )|(ment ac)|(multiple cpu faults)|(system.+state.+changed )|(\[timeout)|(PRM\|1\|D)|(kpr)|(kdp)|(\|loc)|(penalty))</t>
  </si>
  <si>
    <t>rtdc.l.rtdc.4010:itc</t>
  </si>
  <si>
    <t>rtdc.l.rtdc.4009:itc</t>
  </si>
  <si>
    <t>rtdc.l.rtdc.4013:itc</t>
  </si>
  <si>
    <t>242-23</t>
  </si>
  <si>
    <t>Y</t>
  </si>
  <si>
    <t>ROBINSON</t>
  </si>
  <si>
    <t>KADDIBA</t>
  </si>
  <si>
    <t>SHOOK</t>
  </si>
  <si>
    <t>rtdc.l.rtdc.4014:itc</t>
  </si>
  <si>
    <t>KILLION</t>
  </si>
  <si>
    <t>DAVID</t>
  </si>
  <si>
    <t>SMITH</t>
  </si>
  <si>
    <t>LOPES</t>
  </si>
  <si>
    <t>KIMBERLY</t>
  </si>
  <si>
    <t>60-23</t>
  </si>
  <si>
    <t>DELGADO</t>
  </si>
  <si>
    <t>DIANAH</t>
  </si>
  <si>
    <t>81-23</t>
  </si>
  <si>
    <t>315-23</t>
  </si>
  <si>
    <t>309-23</t>
  </si>
  <si>
    <t>244-23</t>
  </si>
  <si>
    <t>311-23</t>
  </si>
  <si>
    <t>313-23</t>
  </si>
  <si>
    <t>precipAccumulation</t>
  </si>
  <si>
    <t>fog</t>
  </si>
  <si>
    <t>Foggy</t>
  </si>
  <si>
    <t>Mostly Cloudy</t>
  </si>
  <si>
    <t>snow</t>
  </si>
  <si>
    <t>Flurries</t>
  </si>
  <si>
    <t>Light Snow</t>
  </si>
  <si>
    <t>204:703</t>
  </si>
  <si>
    <t>204:232963</t>
  </si>
  <si>
    <t>204:232952</t>
  </si>
  <si>
    <t>204:233312</t>
  </si>
  <si>
    <t>204:233338</t>
  </si>
  <si>
    <t>204:232977</t>
  </si>
  <si>
    <t>204:132</t>
  </si>
  <si>
    <t>204:482</t>
  </si>
  <si>
    <t>204:233349</t>
  </si>
  <si>
    <t>204:181</t>
  </si>
  <si>
    <t>204:478</t>
  </si>
  <si>
    <t>204:233013</t>
  </si>
  <si>
    <t>204:469</t>
  </si>
  <si>
    <t>204:232959</t>
  </si>
  <si>
    <t>204:473</t>
  </si>
  <si>
    <t>204:497</t>
  </si>
  <si>
    <t>204:426</t>
  </si>
  <si>
    <t>204:233374</t>
  </si>
  <si>
    <t>204:233283</t>
  </si>
  <si>
    <t>204:169</t>
  </si>
  <si>
    <t>204:232976</t>
  </si>
  <si>
    <t>204:130</t>
  </si>
  <si>
    <t>204:407</t>
  </si>
  <si>
    <t>300:23304</t>
  </si>
  <si>
    <t>300:30754</t>
  </si>
  <si>
    <t>204:271</t>
  </si>
  <si>
    <t>300:30756</t>
  </si>
  <si>
    <t>300:23301</t>
  </si>
  <si>
    <t>300:58681</t>
  </si>
  <si>
    <t>204:738</t>
  </si>
  <si>
    <t>300:58992</t>
  </si>
  <si>
    <t>300:58679</t>
  </si>
  <si>
    <t>300:59001</t>
  </si>
  <si>
    <t>300:58685</t>
  </si>
  <si>
    <t>204:729</t>
  </si>
  <si>
    <t>204:1027</t>
  </si>
  <si>
    <t>300:58999</t>
  </si>
  <si>
    <t>204:600</t>
  </si>
  <si>
    <t>300:31072</t>
  </si>
  <si>
    <t>204:697</t>
  </si>
  <si>
    <t>300:58692</t>
  </si>
  <si>
    <t>300:58645</t>
  </si>
  <si>
    <t>300:58641</t>
  </si>
  <si>
    <t>204:962</t>
  </si>
  <si>
    <t>204:708</t>
  </si>
  <si>
    <t>204:698</t>
  </si>
  <si>
    <t>300:58683</t>
  </si>
  <si>
    <t>300:58956</t>
  </si>
  <si>
    <t>300:58640</t>
  </si>
  <si>
    <t>start /low /b %USERPROFILE%\Documents\GitHub\eaglep3\Utilities\DownloadLogsFromS3.py --loco 4026 --day 2017-02-24</t>
  </si>
  <si>
    <t>rtdc.l.rtdc.4052:itc</t>
  </si>
  <si>
    <t>302-24</t>
  </si>
  <si>
    <t>SWITCH UNKNOWN</t>
  </si>
  <si>
    <t>Track device (7)</t>
  </si>
  <si>
    <t>SWITCH ALIGNMENT</t>
  </si>
  <si>
    <t>101-24</t>
  </si>
  <si>
    <t>4017-24</t>
  </si>
  <si>
    <t>102-24</t>
  </si>
  <si>
    <t>rtdc.l.rtdc.4022:itc</t>
  </si>
  <si>
    <t>105-24</t>
  </si>
  <si>
    <t>107-24</t>
  </si>
  <si>
    <t>109-24</t>
  </si>
  <si>
    <t>121-24</t>
  </si>
  <si>
    <t>129-24</t>
  </si>
  <si>
    <t>122-24</t>
  </si>
  <si>
    <t>135-24</t>
  </si>
  <si>
    <t>126-24</t>
  </si>
  <si>
    <t>128-24</t>
  </si>
  <si>
    <t>136-24</t>
  </si>
  <si>
    <t>149-24</t>
  </si>
  <si>
    <t>142-24</t>
  </si>
  <si>
    <t>50-24</t>
  </si>
  <si>
    <t>150-24</t>
  </si>
  <si>
    <t>160-24</t>
  </si>
  <si>
    <t>166-24</t>
  </si>
  <si>
    <t>168-24</t>
  </si>
  <si>
    <t>177-24</t>
  </si>
  <si>
    <t>174-24</t>
  </si>
  <si>
    <t>824-24</t>
  </si>
  <si>
    <t>188-24</t>
  </si>
  <si>
    <t>rtdc.l.rtdc.4051:itc</t>
  </si>
  <si>
    <t>197-24</t>
  </si>
  <si>
    <t>198-24</t>
  </si>
  <si>
    <t>213-24</t>
  </si>
  <si>
    <t>70-24</t>
  </si>
  <si>
    <t>210-24</t>
  </si>
  <si>
    <t>219-24</t>
  </si>
  <si>
    <t>217-24</t>
  </si>
  <si>
    <t>839-24</t>
  </si>
  <si>
    <t>305-24</t>
  </si>
  <si>
    <t>216-24</t>
  </si>
  <si>
    <t>220-24</t>
  </si>
  <si>
    <t>225-24</t>
  </si>
  <si>
    <t>227-24</t>
  </si>
  <si>
    <t>224-24</t>
  </si>
  <si>
    <t>233-24</t>
  </si>
  <si>
    <t>236-24</t>
  </si>
  <si>
    <t>243-24</t>
  </si>
  <si>
    <t>240-24</t>
  </si>
  <si>
    <t>245-24</t>
  </si>
  <si>
    <t>304-24</t>
  </si>
  <si>
    <t>YANAI</t>
  </si>
  <si>
    <t>IAN</t>
  </si>
  <si>
    <t>103-24</t>
  </si>
  <si>
    <t>306-24</t>
  </si>
  <si>
    <t>308-24</t>
  </si>
  <si>
    <t>310-24</t>
  </si>
  <si>
    <t>104-24</t>
  </si>
  <si>
    <t>901-24</t>
  </si>
  <si>
    <t>800-24</t>
  </si>
  <si>
    <t>106-24</t>
  </si>
  <si>
    <t>113-24</t>
  </si>
  <si>
    <t>111-24</t>
  </si>
  <si>
    <t>108-24</t>
  </si>
  <si>
    <t>115-24</t>
  </si>
  <si>
    <t>801-24</t>
  </si>
  <si>
    <t>110-24</t>
  </si>
  <si>
    <t>117-24</t>
  </si>
  <si>
    <t>902-24</t>
  </si>
  <si>
    <t>119-24</t>
  </si>
  <si>
    <t>114-24</t>
  </si>
  <si>
    <t>802-24</t>
  </si>
  <si>
    <t>803-24</t>
  </si>
  <si>
    <t>118-24</t>
  </si>
  <si>
    <t>116-24</t>
  </si>
  <si>
    <t>805-24</t>
  </si>
  <si>
    <t>123-24</t>
  </si>
  <si>
    <t>804-24</t>
  </si>
  <si>
    <t>125-24</t>
  </si>
  <si>
    <t>rtdc.l.rtdc.4021:itc</t>
  </si>
  <si>
    <t>120-24</t>
  </si>
  <si>
    <t>127-24</t>
  </si>
  <si>
    <t>807-24</t>
  </si>
  <si>
    <t>806-24</t>
  </si>
  <si>
    <t>124-24</t>
  </si>
  <si>
    <t>131-24</t>
  </si>
  <si>
    <t>809-24</t>
  </si>
  <si>
    <t>808-24</t>
  </si>
  <si>
    <t>133-24</t>
  </si>
  <si>
    <t>COOLAHAN</t>
  </si>
  <si>
    <t>811-24</t>
  </si>
  <si>
    <t>810-24</t>
  </si>
  <si>
    <t>132-24</t>
  </si>
  <si>
    <t>137-24</t>
  </si>
  <si>
    <t>130-24</t>
  </si>
  <si>
    <t>139-24</t>
  </si>
  <si>
    <t>903-24</t>
  </si>
  <si>
    <t>134-24</t>
  </si>
  <si>
    <t>812-24</t>
  </si>
  <si>
    <t>141-24</t>
  </si>
  <si>
    <t>143-24</t>
  </si>
  <si>
    <t>813-24</t>
  </si>
  <si>
    <t>138-24</t>
  </si>
  <si>
    <t>145-24</t>
  </si>
  <si>
    <t>140-24</t>
  </si>
  <si>
    <t>147-24</t>
  </si>
  <si>
    <t>814-24</t>
  </si>
  <si>
    <t>144-24</t>
  </si>
  <si>
    <t>146-24</t>
  </si>
  <si>
    <t>151-24</t>
  </si>
  <si>
    <t>815-24</t>
  </si>
  <si>
    <t>153-24</t>
  </si>
  <si>
    <t>148-24</t>
  </si>
  <si>
    <t>155-24</t>
  </si>
  <si>
    <t>157-24</t>
  </si>
  <si>
    <t>816-24</t>
  </si>
  <si>
    <t>152-24</t>
  </si>
  <si>
    <t>51-24</t>
  </si>
  <si>
    <t>CUSHING</t>
  </si>
  <si>
    <t>HARRY</t>
  </si>
  <si>
    <t>159-24</t>
  </si>
  <si>
    <t>BRANDNER</t>
  </si>
  <si>
    <t>MELINDA</t>
  </si>
  <si>
    <t>817-24</t>
  </si>
  <si>
    <t>154-24</t>
  </si>
  <si>
    <t>161-24</t>
  </si>
  <si>
    <t>156-24</t>
  </si>
  <si>
    <t>163-24</t>
  </si>
  <si>
    <t>818-24</t>
  </si>
  <si>
    <t>158-24</t>
  </si>
  <si>
    <t>165-24</t>
  </si>
  <si>
    <t>819-24</t>
  </si>
  <si>
    <t>167-24</t>
  </si>
  <si>
    <t>162-24</t>
  </si>
  <si>
    <t>169-24</t>
  </si>
  <si>
    <t>164-24</t>
  </si>
  <si>
    <t>171-24</t>
  </si>
  <si>
    <t>820-24</t>
  </si>
  <si>
    <t>173-24</t>
  </si>
  <si>
    <t>175-24</t>
  </si>
  <si>
    <t>821-24</t>
  </si>
  <si>
    <t>170-24</t>
  </si>
  <si>
    <t>172-24</t>
  </si>
  <si>
    <t>179-24</t>
  </si>
  <si>
    <t>822-24</t>
  </si>
  <si>
    <t>181-24</t>
  </si>
  <si>
    <t>176-24</t>
  </si>
  <si>
    <t>183-24</t>
  </si>
  <si>
    <t>178-24</t>
  </si>
  <si>
    <t>185-24</t>
  </si>
  <si>
    <t>823-24</t>
  </si>
  <si>
    <t>180-24</t>
  </si>
  <si>
    <t>187-24</t>
  </si>
  <si>
    <t>182-24</t>
  </si>
  <si>
    <t>189-24</t>
  </si>
  <si>
    <t>184-24</t>
  </si>
  <si>
    <t>191-24</t>
  </si>
  <si>
    <t>186-24</t>
  </si>
  <si>
    <t>825-24</t>
  </si>
  <si>
    <t>193-24</t>
  </si>
  <si>
    <t>904-24</t>
  </si>
  <si>
    <t>195-24</t>
  </si>
  <si>
    <t>190-24</t>
  </si>
  <si>
    <t>826-24</t>
  </si>
  <si>
    <t>827-24</t>
  </si>
  <si>
    <t>192-24</t>
  </si>
  <si>
    <t>199-24</t>
  </si>
  <si>
    <t>194-24</t>
  </si>
  <si>
    <t>829-24</t>
  </si>
  <si>
    <t>HOLCOMB</t>
  </si>
  <si>
    <t>KAMDEN</t>
  </si>
  <si>
    <t>828-24</t>
  </si>
  <si>
    <t>201-24</t>
  </si>
  <si>
    <t>196-24</t>
  </si>
  <si>
    <t>203-24</t>
  </si>
  <si>
    <t>831-24</t>
  </si>
  <si>
    <t>830-24</t>
  </si>
  <si>
    <t>205-24</t>
  </si>
  <si>
    <t>200-24</t>
  </si>
  <si>
    <t>207-24</t>
  </si>
  <si>
    <t>202-24</t>
  </si>
  <si>
    <t>832-24</t>
  </si>
  <si>
    <t>209-24</t>
  </si>
  <si>
    <t>833-24</t>
  </si>
  <si>
    <t>204-24</t>
  </si>
  <si>
    <t>53-24</t>
  </si>
  <si>
    <t>ARVIDSON</t>
  </si>
  <si>
    <t>DANIEL</t>
  </si>
  <si>
    <t>55-24</t>
  </si>
  <si>
    <t>211-24</t>
  </si>
  <si>
    <t>835-24</t>
  </si>
  <si>
    <t>206-24</t>
  </si>
  <si>
    <t>834-24</t>
  </si>
  <si>
    <t>208-24</t>
  </si>
  <si>
    <t>215-24</t>
  </si>
  <si>
    <t>836-24</t>
  </si>
  <si>
    <t>STAMBAUGH</t>
  </si>
  <si>
    <t>72-24</t>
  </si>
  <si>
    <t>SAFIEF</t>
  </si>
  <si>
    <t>AEIMEN</t>
  </si>
  <si>
    <t>837-24</t>
  </si>
  <si>
    <t>212-24</t>
  </si>
  <si>
    <t>71-24</t>
  </si>
  <si>
    <t>214-24</t>
  </si>
  <si>
    <t>838-24</t>
  </si>
  <si>
    <t>303-24</t>
  </si>
  <si>
    <t>221-24</t>
  </si>
  <si>
    <t>218-24</t>
  </si>
  <si>
    <t>906-24</t>
  </si>
  <si>
    <t>840-24</t>
  </si>
  <si>
    <t>MAGEE</t>
  </si>
  <si>
    <t>KENYA</t>
  </si>
  <si>
    <t>841-24</t>
  </si>
  <si>
    <t>223-24</t>
  </si>
  <si>
    <t>MACDONALD</t>
  </si>
  <si>
    <t>THOMAS</t>
  </si>
  <si>
    <t>307-24</t>
  </si>
  <si>
    <t>222-24</t>
  </si>
  <si>
    <t>843-24</t>
  </si>
  <si>
    <t>80-24</t>
  </si>
  <si>
    <t>81-24</t>
  </si>
  <si>
    <t>842-24</t>
  </si>
  <si>
    <t>229-24</t>
  </si>
  <si>
    <t>226-24</t>
  </si>
  <si>
    <t>845-24</t>
  </si>
  <si>
    <t>228-24</t>
  </si>
  <si>
    <t>231-24</t>
  </si>
  <si>
    <t>Partly Cloudy</t>
  </si>
  <si>
    <t>204:763</t>
  </si>
  <si>
    <t>204:233315</t>
  </si>
  <si>
    <t>204:232631</t>
  </si>
  <si>
    <t>204:231063</t>
  </si>
  <si>
    <t>204:750</t>
  </si>
  <si>
    <t>204:233334</t>
  </si>
  <si>
    <t>204:232700</t>
  </si>
  <si>
    <t>204:772</t>
  </si>
  <si>
    <t>204:232689</t>
  </si>
  <si>
    <t>204:170</t>
  </si>
  <si>
    <t>204:19118</t>
  </si>
  <si>
    <t>204:233261</t>
  </si>
  <si>
    <t>204:176</t>
  </si>
  <si>
    <t>204:790</t>
  </si>
  <si>
    <t>204:232966</t>
  </si>
  <si>
    <t>204:755</t>
  </si>
  <si>
    <t>204:232969</t>
  </si>
  <si>
    <t>204:233414</t>
  </si>
  <si>
    <t>204:233087</t>
  </si>
  <si>
    <t>204:233343</t>
  </si>
  <si>
    <t>204:232986</t>
  </si>
  <si>
    <t>204:480</t>
  </si>
  <si>
    <t>204:232974</t>
  </si>
  <si>
    <t>204:233339</t>
  </si>
  <si>
    <t>204:233051</t>
  </si>
  <si>
    <t>204:233286</t>
  </si>
  <si>
    <t>204:233383</t>
  </si>
  <si>
    <t>204:233076</t>
  </si>
  <si>
    <t>204:233322</t>
  </si>
  <si>
    <t>204:233001</t>
  </si>
  <si>
    <t>204:233351</t>
  </si>
  <si>
    <t>204:233017</t>
  </si>
  <si>
    <t>204:233066</t>
  </si>
  <si>
    <t>204:422</t>
  </si>
  <si>
    <t>204:233337</t>
  </si>
  <si>
    <t>204:233010</t>
  </si>
  <si>
    <t>204:232998</t>
  </si>
  <si>
    <t>204:233281</t>
  </si>
  <si>
    <t>204:229</t>
  </si>
  <si>
    <t>204:232980</t>
  </si>
  <si>
    <t>204:233319</t>
  </si>
  <si>
    <t>204:233008</t>
  </si>
  <si>
    <t>204:233291</t>
  </si>
  <si>
    <t>204:180</t>
  </si>
  <si>
    <t>204:531</t>
  </si>
  <si>
    <t>204:233053</t>
  </si>
  <si>
    <t>204:232740</t>
  </si>
  <si>
    <t>204:232975</t>
  </si>
  <si>
    <t>204:138</t>
  </si>
  <si>
    <t>204:232989</t>
  </si>
  <si>
    <t>204:415</t>
  </si>
  <si>
    <t>204:233288</t>
  </si>
  <si>
    <t>204:233323</t>
  </si>
  <si>
    <t>204:232979</t>
  </si>
  <si>
    <t>204:232955</t>
  </si>
  <si>
    <t>204:233309</t>
  </si>
  <si>
    <t>204:127</t>
  </si>
  <si>
    <t>204:233393</t>
  </si>
  <si>
    <t>204:233079</t>
  </si>
  <si>
    <t>204:116</t>
  </si>
  <si>
    <t>204:233287</t>
  </si>
  <si>
    <t>204:233007</t>
  </si>
  <si>
    <t>204:233098</t>
  </si>
  <si>
    <t>204:105</t>
  </si>
  <si>
    <t>230-24</t>
  </si>
  <si>
    <t>204:9790</t>
  </si>
  <si>
    <t>204:233389</t>
  </si>
  <si>
    <t>232-24</t>
  </si>
  <si>
    <t>204:233125</t>
  </si>
  <si>
    <t>234-24</t>
  </si>
  <si>
    <t>235-24</t>
  </si>
  <si>
    <t>204:404</t>
  </si>
  <si>
    <t>204:233397</t>
  </si>
  <si>
    <t>238-24</t>
  </si>
  <si>
    <t>204:118</t>
  </si>
  <si>
    <t>239-24</t>
  </si>
  <si>
    <t>241-24</t>
  </si>
  <si>
    <t>242-24</t>
  </si>
  <si>
    <t>204:203</t>
  </si>
  <si>
    <t>204:233419</t>
  </si>
  <si>
    <t>244-24</t>
  </si>
  <si>
    <t>204:233083</t>
  </si>
  <si>
    <t>204:109</t>
  </si>
  <si>
    <t>204:435</t>
  </si>
  <si>
    <t>204:229217</t>
  </si>
  <si>
    <t>246-24</t>
  </si>
  <si>
    <t>300:22824</t>
  </si>
  <si>
    <t>204:3475</t>
  </si>
  <si>
    <t>300:23330</t>
  </si>
  <si>
    <t>300:23308</t>
  </si>
  <si>
    <t>300:23237</t>
  </si>
  <si>
    <t>204:1140</t>
  </si>
  <si>
    <t>300:25764</t>
  </si>
  <si>
    <t>309-24</t>
  </si>
  <si>
    <t>300:23296</t>
  </si>
  <si>
    <t>311-24</t>
  </si>
  <si>
    <t>204:519</t>
  </si>
  <si>
    <t>313-24</t>
  </si>
  <si>
    <t>315-24</t>
  </si>
  <si>
    <t>204:59308</t>
  </si>
  <si>
    <t>204:1135</t>
  </si>
  <si>
    <t>204:1182</t>
  </si>
  <si>
    <t>204:59620</t>
  </si>
  <si>
    <t>300:23332</t>
  </si>
  <si>
    <t>204:1471</t>
  </si>
  <si>
    <t>300:23108</t>
  </si>
  <si>
    <t>204:1147</t>
  </si>
  <si>
    <t>300:23122</t>
  </si>
  <si>
    <t>204:97</t>
  </si>
  <si>
    <t>204:399</t>
  </si>
  <si>
    <t>300:21824</t>
  </si>
  <si>
    <t>204:998</t>
  </si>
  <si>
    <t>300:23127</t>
  </si>
  <si>
    <t>204:1229</t>
  </si>
  <si>
    <t>300:30848</t>
  </si>
  <si>
    <t>204:1086</t>
  </si>
  <si>
    <t>300:30905</t>
  </si>
  <si>
    <t>204:1025</t>
  </si>
  <si>
    <t>300:30919</t>
  </si>
  <si>
    <t>204:995</t>
  </si>
  <si>
    <t>300:30960</t>
  </si>
  <si>
    <t>204:1010</t>
  </si>
  <si>
    <t>300:30990</t>
  </si>
  <si>
    <t>204:989</t>
  </si>
  <si>
    <t>300:31007</t>
  </si>
  <si>
    <t>300:31036</t>
  </si>
  <si>
    <t>204:1080</t>
  </si>
  <si>
    <t>300:31110</t>
  </si>
  <si>
    <t>204:1064</t>
  </si>
  <si>
    <t>300:31115</t>
  </si>
  <si>
    <t>204:973</t>
  </si>
  <si>
    <t>300:31123</t>
  </si>
  <si>
    <t>204:1002</t>
  </si>
  <si>
    <t>300:31166</t>
  </si>
  <si>
    <t>204:980</t>
  </si>
  <si>
    <t>300:31229</t>
  </si>
  <si>
    <t>204:1203</t>
  </si>
  <si>
    <t>300:58990</t>
  </si>
  <si>
    <t>204:1021</t>
  </si>
  <si>
    <t>204:997</t>
  </si>
  <si>
    <t>300:58993</t>
  </si>
  <si>
    <t>204:715</t>
  </si>
  <si>
    <t>204:1023</t>
  </si>
  <si>
    <t>300:59003</t>
  </si>
  <si>
    <t>300:58687</t>
  </si>
  <si>
    <t>204:734</t>
  </si>
  <si>
    <t>204:990</t>
  </si>
  <si>
    <t>204:1281</t>
  </si>
  <si>
    <t>300:31439</t>
  </si>
  <si>
    <t>300:31445</t>
  </si>
  <si>
    <t>204:1290</t>
  </si>
  <si>
    <t>300:31545</t>
  </si>
  <si>
    <t>204:1292</t>
  </si>
  <si>
    <t>300:31310</t>
  </si>
  <si>
    <t>204:1296</t>
  </si>
  <si>
    <t>300:31343</t>
  </si>
  <si>
    <t>204:1313</t>
  </si>
  <si>
    <t>300:31231</t>
  </si>
  <si>
    <t>204:1320</t>
  </si>
  <si>
    <t>300:31492</t>
  </si>
  <si>
    <t>204:1328</t>
  </si>
  <si>
    <t>300:31280</t>
  </si>
  <si>
    <t>204:1372</t>
  </si>
  <si>
    <t>300:31225</t>
  </si>
  <si>
    <t>204:1383</t>
  </si>
  <si>
    <t>300:31424</t>
  </si>
  <si>
    <t>204:1394</t>
  </si>
  <si>
    <t>300:31331</t>
  </si>
  <si>
    <t>204:1524</t>
  </si>
  <si>
    <t>300:23291</t>
  </si>
  <si>
    <t>204:1534</t>
  </si>
  <si>
    <t>300:31170</t>
  </si>
  <si>
    <t>204:102</t>
  </si>
  <si>
    <t>300:58673</t>
  </si>
  <si>
    <t>204:724</t>
  </si>
  <si>
    <t>204:1028</t>
  </si>
  <si>
    <t>204:733</t>
  </si>
  <si>
    <t>300:58677</t>
  </si>
  <si>
    <t>204:727</t>
  </si>
  <si>
    <t>300:58651</t>
  </si>
  <si>
    <t>204:986</t>
  </si>
  <si>
    <t>300:58961</t>
  </si>
  <si>
    <t>204:685</t>
  </si>
  <si>
    <t>300:58926</t>
  </si>
  <si>
    <t>300:58609</t>
  </si>
  <si>
    <t>204:979</t>
  </si>
  <si>
    <t>300:58924</t>
  </si>
  <si>
    <t>300:58608</t>
  </si>
  <si>
    <t>300:58958</t>
  </si>
  <si>
    <t>300:58963</t>
  </si>
  <si>
    <t>300:58995</t>
  </si>
  <si>
    <t>300:58626</t>
  </si>
  <si>
    <t>204:689</t>
  </si>
  <si>
    <t>300:58933</t>
  </si>
  <si>
    <t>300:58591</t>
  </si>
  <si>
    <t>300:58905</t>
  </si>
  <si>
    <t>844-24</t>
  </si>
  <si>
    <t>300:58397</t>
  </si>
  <si>
    <t>300:58941</t>
  </si>
  <si>
    <t>847-24</t>
  </si>
  <si>
    <t>300:59005</t>
  </si>
  <si>
    <t>300:30040</t>
  </si>
  <si>
    <t>300:58997</t>
  </si>
  <si>
    <t>204:421</t>
  </si>
  <si>
    <t>300:24199</t>
  </si>
  <si>
    <t>300:23629</t>
  </si>
  <si>
    <t>300:28797</t>
  </si>
  <si>
    <t>908-24</t>
  </si>
  <si>
    <t>300:21560</t>
  </si>
  <si>
    <t>start /low /b %USERPROFILE%\Documents\GitHub\eaglep3\Utilities\DownloadLogsFromS3.py --loco 4052 --day 2017-02-24</t>
  </si>
  <si>
    <t>start /low /b %USERPROFILE%\Documents\GitHub\eaglep3\Utilities\DownloadLogsFromS3.py --loco 4025 --day 2017-02-24</t>
  </si>
  <si>
    <t>start /low /b %USERPROFILE%\Documents\GitHub\eaglep3\Utilities\DownloadLogsFromS3.py --loco 4020 --day 2017-02-24</t>
  </si>
  <si>
    <t>start /low /b %USERPROFILE%\Documents\GitHub\eaglep3\Utilities\DownloadLogsFromS3.py --loco 4031 --day 2017-02-24</t>
  </si>
  <si>
    <t>start /low /b %USERPROFILE%\Documents\GitHub\eaglep3\Utilities\DownloadLogsFromS3.py --loco 4025 --day 2017-02-25</t>
  </si>
  <si>
    <t>start /low /b %USERPROFILE%\Documents\GitHub\eaglep3\Utilities\DownloadLogsFromS3.py --loco 4009 --day 2017-02-24</t>
  </si>
  <si>
    <t>start /low /b %USERPROFILE%\Documents\GitHub\eaglep3\Utilities\DownloadLogsFromS3.py --loco 4051 --day 2017-02-24</t>
  </si>
  <si>
    <t>start /low /b %USERPROFILE%\Documents\GitHub\eaglep3\Utilities\DownloadLogsFromS3.py --loco 4031 --day 2017-02-25</t>
  </si>
  <si>
    <t>start /low /b %USERPROFILE%\Documents\GitHub\eaglep3\Utilities\DownloadLogsFromS3.py --loco 4009 --day 2017-02-25</t>
  </si>
  <si>
    <t>start /low /b %USERPROFILE%\Documents\GitHub\eaglep3\Utilities\DownloadLogsFromS3.py --loco 4032 --day 2017-02-25</t>
  </si>
  <si>
    <t>start /low /b %USERPROFILE%\Documents\GitHub\eaglep3\Utilities\DownloadLogsFromS3.py --loco 4043 --day 2017-02-25</t>
  </si>
  <si>
    <t>start /low /b %USERPROFILE%\Documents\GitHub\eaglep3\Utilities\DownloadLogsFromS3.py --loco 4019 --day 2017-02-24</t>
  </si>
  <si>
    <t>start /low /b %USERPROFILE%\Documents\GitHub\eaglep3\Utilities\DownloadLogsFromS3.py --loco 4010 --day 2017-02-25</t>
  </si>
  <si>
    <t>start /low /b %USERPROFILE%\Documents\GitHub\eaglep3\Utilities\DownloadLogsFromS3.py --loco 4010 --day 2017-02-24</t>
  </si>
  <si>
    <t>start /low /b %USERPROFILE%\Documents\GitHub\eaglep3\Utilities\DownloadLogsFromS3.py --loco 4043 --day 2017-02-24</t>
  </si>
  <si>
    <t>start /low /b %USERPROFILE%\Documents\GitHub\eaglep3\Utilities\DownloadLogsFromS3.py --loco 4026 --day 2017-02-25</t>
  </si>
  <si>
    <t>start /low /b %USERPROFILE%\Documents\GitHub\eaglep3\Utilities\DownloadLogsFromS3.py --loco 4022 --day 2017-02-24</t>
  </si>
  <si>
    <t>start /low /b %USERPROFILE%\Documents\GitHub\eaglep3\Utilities\DownloadLogsFromS3.py --loco 4022 --day 2017-02-25</t>
  </si>
  <si>
    <t>start /low /b %USERPROFILE%\Documents\GitHub\eaglep3\Utilities\DownloadLogsFromS3.py --loco 4054 --day 2017-02-24</t>
  </si>
  <si>
    <t>start /low /b %USERPROFILE%\Documents\GitHub\eaglep3\Utilities\DownloadLogsFromS3.py --loco 4003 --day 2017-02-25</t>
  </si>
  <si>
    <t>:.+((SYSTEM_STATE.+slice.+state.+changed )|(ment ac)|(multiple cpu faults)|(system.+state.+changed )|(\[timeout)|(PRM\|1\|D)|(kpr)|(kdp)|(\|lc)|(penalty))</t>
  </si>
  <si>
    <t>Extended Onboard Wi-MAX outage (4051/4052)</t>
  </si>
  <si>
    <t>Wi-MAX data drop prevented init at DUS</t>
  </si>
  <si>
    <t>Bright 4S unexpected RESTRICTING aspect</t>
  </si>
  <si>
    <t>At 22:27:00, Bright 4S was showing RESTRICTING, seemed unexpected. Do logs tell anything interesting?</t>
  </si>
  <si>
    <t xml:space="preserve">Wheel tach slip at 2017-02-24 23:50:21 </t>
  </si>
  <si>
    <t>Wheel tach slip at 2017-02-25 00:50:48</t>
  </si>
  <si>
    <t>Premature downgrade at DIA 4N</t>
  </si>
  <si>
    <t>At 01:34:54, DIA 4N dropped from PROCEED CAB to STOP, while the train was still approaching. Do logs tell of anything interesting?</t>
  </si>
  <si>
    <t>Early arrival</t>
  </si>
  <si>
    <t>Bright 4N RESTRICTING aspect</t>
  </si>
  <si>
    <t>Overspeed due to wheel tach slip</t>
  </si>
  <si>
    <t>112-24</t>
  </si>
  <si>
    <t>Wi-MAX data drop prevented init at DIA</t>
  </si>
  <si>
    <t>Wi-MAX data drop, didn't cause enforcement</t>
  </si>
  <si>
    <t>SYS :2017/02/24 09:59:30.327:ENFORCEMENT:Predictive Enforcement Action:  Target Number: 000066F9  Target Speed:   0.0  Current Speed:  12.9</t>
  </si>
  <si>
    <t>SYS :2017/02/24 09:59:31.709:ENFORCEMENT:Predictive Enforcement Action:  Target Number: 00006391  Target Speed:   0.0  Current Speed:  12.9</t>
  </si>
  <si>
    <t>SYS :2017/02/24 09:59:32.274:ENFORCEMENT:Predictive Enforcement Action:  Target Number: 00006669  Target Speed:   0.0  Current Speed:  12.9</t>
  </si>
  <si>
    <t>SYS :2017/02/24 10:02:42.831:ENFORCEMENT:Reactive Enforcement Action:  Target Number: 0000415D  Target Speed:   0.0  Current Speed:   9.8</t>
  </si>
  <si>
    <t>SYS :2017/02/24 10:02:42.856:ENFORCEMENT:Reactive Enforcement Action:  Target Number: 0000415F  Target Speed:   0.0  Current Speed:   9.8</t>
  </si>
  <si>
    <t>SYS :2017/02/24 10:02:42.892:ENFORCEMENT:Reactive Enforcement Action:  Target Number: 00004162  Target Speed:   0.0  Current Speed:   9.8</t>
  </si>
  <si>
    <t>SYS :2017/02/24 10:02:42.905:ENFORCEMENT:Predictive Enforcement Action:  Target Number: 0000415E  Target Speed:   0.0  Current Speed:   9.8</t>
  </si>
  <si>
    <t>SYS :2017/02/24 10:02:43.291:ENFORCEMENT:Reactive Enforcement Action:  Target Number: 00004283  Target Speed:   0.0  Current Speed:  10.3</t>
  </si>
  <si>
    <t>SYS :2017/02/24 10:02:43.343:ENFORCEMENT:Reactive Enforcement Action:  Target Number: 00004286  Target Speed:   0.0  Current Speed:   9.8</t>
  </si>
  <si>
    <t>SYS :2017/02/24 10:02:43.352:ENFORCEMENT:Predictive Enforcement Action:  Target Number: 00004287  Target Speed:   0.0  Current Speed:   9.8</t>
  </si>
  <si>
    <t>SYS :2017/02/24 10:05:20.049:ENFORCEMENT:Reactive Enforcement Action:  Target Number: 00004295  Target Speed:   0.0  Current Speed:   2.9</t>
  </si>
  <si>
    <t>SYS :2017/02/24 10:05:20.239:ENFORCEMENT:Reactive Enforcement Action:  Target Number: 00004297  Target Speed:   0.0  Current Speed:   3.1</t>
  </si>
  <si>
    <t>SYS :2017/02/24 10:05:20.677:ENFORCEMENT:Reactive Enforcement Action:  Target Number: 0000416E  Target Speed:   0.0  Current Speed:   2.9</t>
  </si>
  <si>
    <t>SYS :2017/02/24 10:26:08.539:ENFORCEMENT:Predictive Enforcement Action:  Target Number: 0000657A  Target Speed:   0.0  Current Speed:  15.8</t>
  </si>
  <si>
    <t>SYS :2017/02/24 10:26:08.805:ENFORCEMENT:Predictive Enforcement Action:  Target Number: 00006566  Target Speed:   0.0  Current Speed:  16.0</t>
  </si>
  <si>
    <t>SYS :2017/02/24 10:26:08.853:ENFORCEMENT:Predictive Enforcement Action:  Target Number: 0000659A  Target Speed:   0.0  Current Speed:  16.0</t>
  </si>
  <si>
    <t>SYS :2017/02/24 10:31:00.776:ENFORCEMENT:Reactive Enforcement Action:  Target Number: 00006566  Target Speed:  20.0  Current Speed:  25.3</t>
  </si>
  <si>
    <t>SYS :2017/02/24 10:31:00.830:ENFORCEMENT:Reactive Enforcement Action:  Target Number: 0000659A  Target Speed:  20.0  Current Speed:  25.3</t>
  </si>
  <si>
    <t>SYS :2017/02/24 10:31:01.510:ENFORCEMENT:Reactive Enforcement Action:  Target Number: 0000657A  Target Speed:  20.0  Current Speed:  25.3</t>
  </si>
  <si>
    <t>SYS :2017/02/24 10:33:38.534:ENFORCEMENT:Predictive Enforcement Action:  Target Number: 00006591  Target Speed:   0.0  Current Speed:   5.4</t>
  </si>
  <si>
    <t>SYS :2017/02/24 10:33:38.800:ENFORCEMENT:Predictive Enforcement Action:  Target Number: 0000657E  Target Speed:   0.0  Current Speed:   5.8</t>
  </si>
  <si>
    <t>SYS :2017/02/24 10:33:38.847:ENFORCEMENT:Predictive Enforcement Action:  Target Number: 000065B2  Target Speed:   0.0  Current Speed:   5.8</t>
  </si>
  <si>
    <t>SYS :2017/02/24 11:15:54.773:ENFORCEMENT:Predictive Enforcement Action:  Target Number: 00004174  Target Speed:   0.0  Current Speed:  11.7</t>
  </si>
  <si>
    <t>SYS :2017/02/24 11:15:55.074:ENFORCEMENT:Predictive Enforcement Action:  Target Number: 0000429C  Target Speed:   0.0  Current Speed:  11.7</t>
  </si>
  <si>
    <t>SYS :2017/02/24 11:15:55.273:ENFORCEMENT:Predictive Enforcement Action:  Target Number: 0000429E  Target Speed:   0.0  Current Speed:  11.7</t>
  </si>
  <si>
    <t>SYS :2017/02/24 11:18:14.301:ENFORCEMENT:Predictive Enforcement Action:  Target Number: 00010007  Target Speed:  40.0  Current Speed:  59.4</t>
  </si>
  <si>
    <t>SYS :2017/02/24 11:18:14.649:ENFORCEMENT:Predictive Enforcement Action:  Target Number: 00010007  Target Speed:  40.0  Current Speed:  59.4</t>
  </si>
  <si>
    <t>SYS :2017/02/24 11:43:23.990:ENFORCEMENT:Predictive Enforcement Action:  Target Number: 000170C1  Target Speed:  37.0  Current Speed:  47.9</t>
  </si>
  <si>
    <t>SYS :2017/02/24 11:43:24.502:ENFORCEMENT:Predictive Enforcement Action:  Target Number: 000170C1  Target Speed:  37.0  Current Speed:  47.9</t>
  </si>
  <si>
    <t>SYS :2017/02/24 11:43:24.802:ENFORCEMENT:Predictive Enforcement Action:  Target Number: 00017009  Target Speed:  37.0  Current Speed:  47.9</t>
  </si>
  <si>
    <t>SYS :2017/02/24 11:44:14.001:ENFORCEMENT:Predictive Enforcement Action:  Target Number: 000170C1  Target Speed:   5.0  Current Speed:  10.3</t>
  </si>
  <si>
    <t>SYS :2017/02/24 11:44:14.508:ENFORCEMENT:Predictive Enforcement Action:  Target Number: 000170C1  Target Speed:   5.0  Current Speed:  10.3</t>
  </si>
  <si>
    <t>SYS :2017/02/24 11:44:14.803:ENFORCEMENT:Predictive Enforcement Action:  Target Number: 00017009  Target Speed:   5.0  Current Speed:  10.3</t>
  </si>
  <si>
    <t>SYS :2017/02/24 11:53:09.487:ENFORCEMENT:Reactive Enforcement Action:  Target Number: 000170A4  Target Speed:  16.0  Current Speed:  21.2</t>
  </si>
  <si>
    <t>SYS :2017/02/24 11:53:09.949:ENFORCEMENT:Reactive Enforcement Action:  Target Number: 00017133  Target Speed:  16.0  Current Speed:  21.2</t>
  </si>
  <si>
    <t>SYS :2017/02/24 11:53:10.786:ENFORCEMENT:Reactive Enforcement Action:  Target Number: 00017145  Target Speed:  16.0  Current Speed:  21.2</t>
  </si>
  <si>
    <t>SYS :2017/02/24 13:23:38.794:ENFORCEMENT:Reactive Enforcement Action:  Target Number: 00017016  Target Speed:  26.0  Current Speed:  31.1</t>
  </si>
  <si>
    <t>SYS :2017/02/24 13:28:28.989:ENFORCEMENT:Predictive Enforcement Action:  Target Number: 000170D5  Target Speed:   0.0  Current Speed:  44.2</t>
  </si>
  <si>
    <t>SYS :2017/02/24 13:28:29.495:ENFORCEMENT:Predictive Enforcement Action:  Target Number: 000170D5  Target Speed:   0.0  Current Speed:  44.2</t>
  </si>
  <si>
    <t>SYS :2017/02/24 13:28:29.789:ENFORCEMENT:Predictive Enforcement Action:  Target Number: 0001701D  Target Speed:   0.0  Current Speed:  44.2</t>
  </si>
  <si>
    <t>SYS :2017/02/24 13:52:19.975:ENFORCEMENT:Predictive Enforcement Action:  Target Number: 00001028  Target Speed:   0.0  Current Speed:   9.4</t>
  </si>
  <si>
    <t>SYS :2017/02/24 13:54:00.047:ENFORCEMENT:Predictive Enforcement Action:  Target Number: 00001043  Target Speed:   0.0  Current Speed:   5.2</t>
  </si>
  <si>
    <t>SYS :2017/02/24 13:54:02.675:ENFORCEMENT:Predictive Enforcement Action:  Target Number: 0000102A  Target Speed:   0.0  Current Speed:   5.2</t>
  </si>
  <si>
    <t>SYS :2017/02/24 14:18:05.722:ENFORCEMENT:Predictive Enforcement Action:  Target Number: 0001004E  Target Speed:  40.0  Current Speed:  64.2</t>
  </si>
  <si>
    <t>SYS :2017/02/24 14:18:06.100:ENFORCEMENT:Predictive Enforcement Action:  Target Number: 0001004F  Target Speed:  40.0  Current Speed:  63.9</t>
  </si>
  <si>
    <t>SYS :2017/02/24 14:18:06.164:ENFORCEMENT:Predictive Enforcement Action:  Target Number: 0001004E  Target Speed:  40.0  Current Speed:  63.9</t>
  </si>
  <si>
    <t>SYS :2017/02/24 14:22:08.694:ENFORCEMENT:Predictive Enforcement Action:  Target Number: 00001004  Target Speed:   0.0  Current Speed:   4.6</t>
  </si>
  <si>
    <t>SYS :2017/02/24 14:30:18.748:ENFORCEMENT:Reactive Enforcement Action:  Target Number: 000170E7  Target Speed:  46.0  Current Speed:  51.6</t>
  </si>
  <si>
    <t>SYS :2017/02/24 14:30:19.336:ENFORCEMENT:Reactive Enforcement Action:  Target Number: 000170E7  Target Speed:  46.0  Current Speed:  51.6</t>
  </si>
  <si>
    <t>SYS :2017/02/24 15:06:45.982:ENFORCEMENT:Predictive Enforcement Action:  Target Number: 000170EA  Target Speed:   0.0  Current Speed:  19.6</t>
  </si>
  <si>
    <t>SYS :2017/02/24 15:06:46.784:ENFORCEMENT:Predictive Enforcement Action:  Target Number: 00017032  Target Speed:   0.0  Current Speed:  19.6</t>
  </si>
  <si>
    <t>SYS :2017/02/24 15:06:47.490:ENFORCEMENT:Predictive Enforcement Action:  Target Number: 000170EA  Target Speed:   0.0  Current Speed:  18.4</t>
  </si>
  <si>
    <t>SYS :2017/02/24 15:21:35.690:ENFORCEMENT:Predictive Enforcement Action:  Target Number: 00017131  Target Speed:   9.0  Current Speed:  15.1</t>
  </si>
  <si>
    <t>SYS :2017/02/24 15:21:36.018:ENFORCEMENT:Predictive Enforcement Action:  Target Number: 00001002  Target Speed:   0.0  Current Speed:   4.2</t>
  </si>
  <si>
    <t>SYS :2017/02/24 15:21:36.062:ENFORCEMENT:Predictive Enforcement Action:  Target Number: 0001721C  Target Speed:   9.0  Current Speed:  14.9</t>
  </si>
  <si>
    <t>SYS :2017/02/24 15:21:36.253:ENFORCEMENT:Predictive Enforcement Action:  Target Number: 0001721C  Target Speed:   9.0  Current Speed:  14.9</t>
  </si>
  <si>
    <t>SYS :2017/02/24 15:21:36.262:ENFORCEMENT:Predictive Enforcement Action:  Target Number: 00001002  Target Speed:   0.0  Current Speed:   4.1</t>
  </si>
  <si>
    <t>SYS :2017/02/24 15:21:36.333:ENFORCEMENT:Predictive Enforcement Action:  Target Number: 00001002  Target Speed:   0.0  Current Speed:   4.1</t>
  </si>
  <si>
    <t>SYS :2017/02/24 15:22:18.935:ENFORCEMENT:Reactive Enforcement Action:  Target Number: 0000682B  Target Speed:   0.0  Current Speed:  20.7</t>
  </si>
  <si>
    <t>SYS :2017/02/24 15:58:00.752:ENFORCEMENT:Reactive Enforcement Action:  Target Number: 000101C7  Target Speed:  35.0  Current Speed:  40.1</t>
  </si>
  <si>
    <t>SYS :2017/02/24 15:58:01.730:ENFORCEMENT:Reactive Enforcement Action:  Target Number: 000101C6  Target Speed:  35.0  Current Speed:  40.1</t>
  </si>
  <si>
    <t>SYS :2017/02/24 15:58:02.316:ENFORCEMENT:Reactive Enforcement Action:  Target Number: 000101C3  Target Speed:  35.0  Current Speed:  40.1</t>
  </si>
  <si>
    <t>SYS :2017/02/24 16:23:02.352:ENFORCEMENT:Predictive Enforcement Action:  Target Number: 00017101  Target Speed:   9.0  Current Speed:  14.8</t>
  </si>
  <si>
    <t>SYS :2017/02/24 16:23:03.751:ENFORCEMENT:Predictive Enforcement Action:  Target Number: 00017101  Target Speed:   9.0  Current Speed:  14.6</t>
  </si>
  <si>
    <t>SYS :2017/02/24 16:23:03.753:ENFORCEMENT:Predictive Enforcement Action:  Target Number: 00017101  Target Speed:   9.0  Current Speed:  14.6</t>
  </si>
  <si>
    <t>SYS :2017/02/24 16:53:14.796:ENFORCEMENT:Predictive Enforcement Action:  Target Number: 00017046  Target Speed:  28.0  Current Speed:  33.8</t>
  </si>
  <si>
    <t>SYS :2017/02/24 16:53:14.988:ENFORCEMENT:Predictive Enforcement Action:  Target Number: 000170FE  Target Speed:  28.0  Current Speed:  33.8</t>
  </si>
  <si>
    <t>SYS :2017/02/24 16:53:15.487:ENFORCEMENT:Predictive Enforcement Action:  Target Number: 000170FE  Target Speed:  28.0  Current Speed:  33.8</t>
  </si>
  <si>
    <t>SYS :2017/02/24 16:59:14.255:ENFORCEMENT:Predictive Enforcement Action:  Target Number: 0001722F  Target Speed:   0.0  Current Speed:  37.4</t>
  </si>
  <si>
    <t>SYS :2017/02/24 16:59:15.063:ENFORCEMENT:Predictive Enforcement Action:  Target Number: 0001722F  Target Speed:   0.0  Current Speed:  37.5</t>
  </si>
  <si>
    <t>SYS :2017/02/24 16:59:15.693:ENFORCEMENT:Predictive Enforcement Action:  Target Number: 00017144  Target Speed:   0.0  Current Speed:  37.5</t>
  </si>
  <si>
    <t>SYS :2017/02/24 17:06:48.799:ENFORCEMENT:Predictive Enforcement Action:  Target Number: 0001007F  Target Speed:  40.0  Current Speed:  70.9</t>
  </si>
  <si>
    <t>SYS :2017/02/24 17:06:48.997:ENFORCEMENT:Predictive Enforcement Action:  Target Number: 000102E7  Target Speed:  40.0  Current Speed:  70.9</t>
  </si>
  <si>
    <t>SYS :2017/02/24 17:06:49.506:ENFORCEMENT:Predictive Enforcement Action:  Target Number: 000102D1  Target Speed:  40.0  Current Speed:  70.9</t>
  </si>
  <si>
    <t>SYS :2017/02/24 17:06:58.694:ENFORCEMENT:Predictive Enforcement Action:  Target Number: 00017149  Target Speed:   8.0  Current Speed:  13.0</t>
  </si>
  <si>
    <t>SYS :2017/02/24 17:06:59.061:ENFORCEMENT:Predictive Enforcement Action:  Target Number: 00017234  Target Speed:   8.0  Current Speed:  13.0</t>
  </si>
  <si>
    <t>SYS :2017/02/24 17:06:59.258:ENFORCEMENT:Predictive Enforcement Action:  Target Number: 00017234  Target Speed:   8.0  Current Speed:  13.0</t>
  </si>
  <si>
    <t>SYS :2017/02/24 17:22:49.676:ENFORCEMENT:Predictive Enforcement Action:  Target Number: 0000102F  Target Speed:   0.0  Current Speed:   4.8</t>
  </si>
  <si>
    <t>SYS :2017/02/24 17:22:50.043:ENFORCEMENT:Predictive Enforcement Action:  Target Number: 00001048  Target Speed:   0.0  Current Speed:   4.8</t>
  </si>
  <si>
    <t>SYS :2017/02/24 17:22:50.248:ENFORCEMENT:Predictive Enforcement Action:  Target Number: 00001048  Target Speed:   0.0  Current Speed:   4.8</t>
  </si>
  <si>
    <t>SYS :2017/02/24 18:06:41.738:ENFORCEMENT:Predictive Enforcement Action:  Target Number: 00017119  Target Speed:   7.0  Current Speed:  12.0</t>
  </si>
  <si>
    <t>SYS :2017/02/24 18:06:44.349:ENFORCEMENT:Predictive Enforcement Action:  Target Number: 00017119  Target Speed:   7.0  Current Speed:  13.4</t>
  </si>
  <si>
    <t>SYS :2017/02/24 18:06:44.786:ENFORCEMENT:Predictive Enforcement Action:  Target Number: 00017119  Target Speed:   7.0  Current Speed:  13.2</t>
  </si>
  <si>
    <t>SYS :2017/02/24 19:15:38.493:ENFORCEMENT:Reactive Enforcement Action:  Target Number: 00006126  Target Speed:   0.0  Current Speed:  55.4</t>
  </si>
  <si>
    <t>SYS :2017/02/24 19:20:28.090:ENFORCEMENT:Predictive Enforcement Action:  Target Number: 00017096  Target Speed:   7.0  Current Speed:  12.6</t>
  </si>
  <si>
    <t>SYS :2017/02/24 19:20:28.125:ENFORCEMENT:Predictive Enforcement Action:  Target Number: 00017096  Target Speed:   7.0  Current Speed:  12.6</t>
  </si>
  <si>
    <t>SYS :2017/02/24 19:20:28.934:ENFORCEMENT:Predictive Enforcement Action:  Target Number: 0001708E  Target Speed:   7.0  Current Speed:  12.6</t>
  </si>
  <si>
    <t>SYS :2017/02/24 19:28:54.934:ENFORCEMENT:Predictive Enforcement Action:  Target Number: 00010204  Target Speed:  30.0  Current Speed:  48.8</t>
  </si>
  <si>
    <t>SYS :2017/02/24 20:06:42.198:ENFORCEMENT:Reactive Enforcement Action:  Target Number: 0001708F  Target Speed:  39.0  Current Speed:  44.1</t>
  </si>
  <si>
    <t>SYS :2017/02/24 20:06:42.375:ENFORCEMENT:Reactive Enforcement Action:  Target Number: 00017095  Target Speed:  39.0  Current Speed:  44.1</t>
  </si>
  <si>
    <t>SYS :2017/02/24 20:06:42.389:ENFORCEMENT:Reactive Enforcement Action:  Target Number: 00017088  Target Speed:  39.0  Current Speed:  44.1</t>
  </si>
  <si>
    <t>SYS :2017/02/24 20:19:56.039:ENFORCEMENT:Predictive Enforcement Action:  Target Number: 00017059  Target Speed:  10.0  Current Speed:  15.9</t>
  </si>
  <si>
    <t>SYS :2017/02/24 20:19:56.276:ENFORCEMENT:Predictive Enforcement Action:  Target Number: 00017059  Target Speed:  10.0  Current Speed:  15.9</t>
  </si>
  <si>
    <t>SYS :2017/02/24 20:19:56.359:ENFORCEMENT:Predictive Enforcement Action:  Target Number: 00017059  Target Speed:  10.0  Current Speed:  15.9</t>
  </si>
  <si>
    <t>SYS :2017/02/24 20:52:56.779:ENFORCEMENT:Predictive Enforcement Action:  Target Number: 0000100C  Target Speed:   0.0  Current Speed:  13.4</t>
  </si>
  <si>
    <t>SYS :2017/02/24 20:52:56.979:ENFORCEMENT:Predictive Enforcement Action:  Target Number: 00001030  Target Speed:   0.0  Current Speed:  13.4</t>
  </si>
  <si>
    <t>SYS :2017/02/24 20:52:57.492:ENFORCEMENT:Predictive Enforcement Action:  Target Number: 00001030  Target Speed:   0.0  Current Speed:  13.4</t>
  </si>
  <si>
    <t>SYS :2017/02/24 21:21:19.071:ENFORCEMENT:Predictive Enforcement Action:  Target Number: 00001049  Target Speed:   0.0  Current Speed:   6.1</t>
  </si>
  <si>
    <t>SYS :2017/02/24 21:21:19.094:ENFORCEMENT:Predictive Enforcement Action:  Target Number: 00001049  Target Speed:   0.0  Current Speed:   6.1</t>
  </si>
  <si>
    <t>SYS :2017/02/24 21:21:19.667:ENFORCEMENT:Predictive Enforcement Action:  Target Number: 00001003  Target Speed:   0.0  Current Speed:   6.1</t>
  </si>
  <si>
    <t>SYS :2017/02/24 21:47:58.659:ENFORCEMENT:Predictive Enforcement Action:  Target Number: 00010293  Target Speed:  30.0  Current Speed:  53.2</t>
  </si>
  <si>
    <t>SYS :2017/02/24 21:47:59.292:ENFORCEMENT:Predictive Enforcement Action:  Target Number: 00010294  Target Speed:  30.0  Current Speed:  53.2</t>
  </si>
  <si>
    <t>SYS :2017/02/24 21:47:59.567:ENFORCEMENT:Predictive Enforcement Action:  Target Number: 00010158  Target Speed:  30.0  Current Speed:  53.2</t>
  </si>
  <si>
    <t>SYS :2017/02/24 22:47:03.098:ENFORCEMENT:Predictive Enforcement Action:  Target Number: 000170BE  Target Speed:  36.0  Current Speed:  43.3</t>
  </si>
  <si>
    <t>SYS :2017/02/24 22:47:03.116:ENFORCEMENT:Predictive Enforcement Action:  Target Number: 000170BE  Target Speed:  36.0  Current Speed:  43.3</t>
  </si>
  <si>
    <t>SYS :2017/02/24 22:47:03.686:ENFORCEMENT:Predictive Enforcement Action:  Target Number: 0001701E  Target Speed:  36.0  Current Speed:  43.3</t>
  </si>
  <si>
    <t>SYS :2017/02/24 22:51:32.158:ENFORCEMENT:Predictive Enforcement Action:  Target Number: 000171A3  Target Speed:   0.0  Current Speed:  18.2</t>
  </si>
  <si>
    <t>SYS :2017/02/24 22:51:32.638:ENFORCEMENT:Predictive Enforcement Action:  Target Number: 000171A3  Target Speed:   0.0  Current Speed:  18.6</t>
  </si>
  <si>
    <t>SYS :2017/02/24 22:51:33.164:ENFORCEMENT:Predictive Enforcement Action:  Target Number: 00017002  Target Speed:   0.0  Current Speed:  19.1</t>
  </si>
  <si>
    <t>SYS :2017/02/24 23:59:29.255:ENFORCEMENT:Predictive Enforcement Action:  Target Number: 0001728F  Target Speed:  41.0  Current Speed:  46.2</t>
  </si>
  <si>
    <t>SYS :2017/02/25 00:53:12.486:ENFORCEMENT:Predictive Enforcement Action:  Target Number: 00017032  Target Speed:   0.0  Current Speed:  17.3</t>
  </si>
  <si>
    <t>SYS :2017/02/25 00:53:12.938:ENFORCEMENT:Predictive Enforcement Action:  Target Number: 0001700E  Target Speed:   0.0  Current Speed:  17.3</t>
  </si>
  <si>
    <t>SYS :2017/02/25 00:53:13.697:ENFORCEMENT:Predictive Enforcement Action:  Target Number: 000170BA  Target Speed:   0.0  Current Speed:  16.6</t>
  </si>
  <si>
    <t>SYS :2017/02/25 01:29:47.278:ENFORCEMENT:Predictive Enforcement Action:  Target Number: 00017099  Target Speed:  35.0  Current Speed:  41.5</t>
  </si>
  <si>
    <t>SYS :2017/02/25 01:29:48.042:ENFORCEMENT:Predictive Enforcement Action:  Target Number: 00017099  Target Speed:  35.0  Current Speed:  41.5</t>
  </si>
  <si>
    <t>SYS :2017/02/25 01:29:48.349:ENFORCEMENT:Predictive Enforcement Action:  Target Number: 00017099  Target Speed:  35.0  Current Speed:  41.6</t>
  </si>
  <si>
    <t>SYS :2017/02/25 01:36:54.987:ENFORCEMENT:Predictive Enforcement Action:  Target Number: 0001716E  Target Speed:   0.0  Current Speed:  21.7</t>
  </si>
  <si>
    <t>SYS :2017/02/25 01:36:55.492:ENFORCEMENT:Predictive Enforcement Action:  Target Number: 0001716E  Target Speed:   0.0  Current Speed:  21.7</t>
  </si>
  <si>
    <t>SYS :2017/02/25 01:36:55.790:ENFORCEMENT:Predictive Enforcement Action:  Target Number: 000170B6  Target Speed:   0.0  Current Speed:  21.7</t>
  </si>
  <si>
    <t>SYS :2017/02/25 01:51:46.279:ENFORCEMENT:Predictive Enforcement Action:  Target Number: 00001013  Target Speed:   0.0  Current Speed:   5.4</t>
  </si>
  <si>
    <t>SYS :2017/02/25 01:51:46.355:ENFORCEMENT:Predictive Enforcement Action:  Target Number: 00001013  Target Speed:   0.0  Current Speed:   5.4</t>
  </si>
  <si>
    <t>SYS :2017/02/25 01:51:46.621:ENFORCEMENT:Predictive Enforcement Action:  Target Number: 00001013  Target Speed:   0.0  Current Speed:   5.4</t>
  </si>
  <si>
    <t>SYS :2017/02/25 01:51:46.795:ENFORCEMENT:Reactive Enforcement Action:  Target Number: 000170C4  Target Speed:  78.0  Current Speed:  83.0</t>
  </si>
  <si>
    <t>SYS :2017/02/25 01:51:46.992:ENFORCEMENT:Reactive Enforcement Action:  Target Number: 0001717C  Target Speed:  78.0  Current Speed:  83.0</t>
  </si>
  <si>
    <t>SYS :2017/02/25 01:51:47.499:ENFORCEMENT:Reactive Enforcement Action:  Target Number: 0001717C  Target Speed:  78.0  Current Speed:  83.0</t>
  </si>
  <si>
    <t>SYS :2017/02/25 02:04:53.951:ENFORCEMENT:Predictive Enforcement Action:  Target Number: 00001015  Target Speed:   0.0  Current Speed:   3.5</t>
  </si>
  <si>
    <t>SYS :2017/02/25 02:04:54.253:ENFORCEMENT:Predictive Enforcement Action:  Target Number: 00001015  Target Speed:   0.0  Current Speed:   3.5</t>
  </si>
  <si>
    <t>SYS :2017/02/25 02:04:54.744:ENFORCEMENT:Predictive Enforcement Action:  Target Number: 00001015  Target Speed:   0.0  Current Speed:   3.5</t>
  </si>
  <si>
    <t>SYS :2017/02/25 02:08:27.975:ENFORCEMENT:Predictive Enforcement Action:  Target Number: 00001036  Target Speed:   0.0  Current Speed:   2.8</t>
  </si>
  <si>
    <t>SYS :2017/02/25 02:08:28.474:ENFORCEMENT:Predictive Enforcement Action:  Target Number: 00001036  Target Speed:   0.0  Current Speed:   2.8</t>
  </si>
  <si>
    <t>SYS :2017/02/25 02:08:28.778:ENFORCEMENT:Predictive Enforcement Action:  Target Number: 00001012  Target Speed:   0.0  Current Speed:   2.8</t>
  </si>
  <si>
    <t>SYS :2017/02/25 02:26:31.081:ENFORCEMENT:Predictive Enforcement Action:  Target Number: 000170F7  Target Speed:   0.0  Current Speed:  18.5</t>
  </si>
  <si>
    <t>SYS :2017/02/25 02:26:31.103:ENFORCEMENT:Predictive Enforcement Action:  Target Number: 000170F7  Target Speed:   0.0  Current Speed:  18.5</t>
  </si>
  <si>
    <t>SYS :2017/02/25 02:26:31.678:ENFORCEMENT:Predictive Enforcement Action:  Target Number: 00017057  Target Speed:   0.0  Current Speed:  17.9</t>
  </si>
  <si>
    <t>SYS :2017/02/25 02:51:22.725:ENFORCEMENT:Reactive Enforcement Action:  Target Number: 0001718E  Target Speed:   9.0  Current Speed:  14.2</t>
  </si>
  <si>
    <t>SYS :2017/02/25 02:51:22.736:ENFORCEMENT:Reactive Enforcement Action:  Target Number: 0001718E  Target Speed:   9.0  Current Speed:  14.2</t>
  </si>
  <si>
    <t>SYS :2017/02/25 02:51:22.844:ENFORCEMENT:Reactive Enforcement Action:  Target Number: 0001700B  Target Speed:   9.0  Current Speed:  14.2</t>
  </si>
  <si>
    <t>SYS :2017/02/25 03:35:18.274:ENFORCEMENT:Predictive Enforcement Action:  Target Number: 00001015  Target Speed:   0.0  Current Speed:   5.1</t>
  </si>
  <si>
    <t>SYS :2017/02/25 03:35:18.354:ENFORCEMENT:Predictive Enforcement Action:  Target Number: 00001015  Target Speed:   0.0  Current Speed:   5.1</t>
  </si>
  <si>
    <t>SYS :2017/02/25 03:35:18.627:ENFORCEMENT:Predictive Enforcement Action:  Target Number: 00001015  Target Speed:   0.0  Current Speed:   5.1</t>
  </si>
  <si>
    <t>SYS :2017/02/25 03:40:35.793:ENFORCEMENT:Reactive Enforcement Action:  Target Number: 000170D5  Target Speed:  15.0  Current Speed:  20.6</t>
  </si>
  <si>
    <t>SYS :2017/02/25 03:40:35.989:ENFORCEMENT:Reactive Enforcement Action:  Target Number: 0001718D  Target Speed:  15.0  Current Speed:  20.6</t>
  </si>
  <si>
    <t>SYS :2017/02/25 03:40:36.492:ENFORCEMENT:Reactive Enforcement Action:  Target Number: 0001700F  Target Speed:  15.0  Current Speed:  20.6</t>
  </si>
  <si>
    <t>SYS :2017/02/25 03:43:18.722:ENFORCEMENT:Reactive Enforcement Action:  Target Number: 0001719A  Target Speed:  38.0  Current Speed:  43.8</t>
  </si>
  <si>
    <t>SYS :2017/02/25 03:43:18.811:ENFORCEMENT:Reactive Enforcement Action:  Target Number: 0001719D  Target Speed:  38.0  Current Speed:  43.8</t>
  </si>
  <si>
    <t>SYS :2017/02/25 03:43:19.194:ENFORCEMENT:Reactive Enforcement Action:  Target Number: 00017198  Target Speed:  38.0  Current Speed:  43.8</t>
  </si>
  <si>
    <t>SYS :2017/02/25 03:44:14.985:ENFORCEMENT:Predictive Enforcement Action:  Target Number: 00017191  Target Speed:   0.0  Current Speed:  40.0</t>
  </si>
  <si>
    <t>SYS :2017/02/25 03:44:15.795:ENFORCEMENT:Predictive Enforcement Action:  Target Number: 000170D9  Target Speed:   0.0  Current Speed:  38.5</t>
  </si>
  <si>
    <t>SYS :2017/02/25 03:44:16.418:ENFORCEMENT:Predictive Enforcement Action:  Target Number: 00017013  Target Speed:   0.0  Current Speed:  38.5</t>
  </si>
  <si>
    <t>SYS :2017/02/25 03:51:20.705:ENFORCEMENT:Reactive Enforcement Action:  Target Number: 0001719F  Target Speed:  12.0  Current Speed:  18.5</t>
  </si>
  <si>
    <t>SYS :2017/02/25 03:51:20.810:ENFORCEMENT:Reactive Enforcement Action:  Target Number: 000171A2  Target Speed:  12.0  Current Speed:  18.5</t>
  </si>
  <si>
    <t>SYS :2017/02/25 03:51:21.217:ENFORCEMENT:Reactive Enforcement Action:  Target Number: 0001719D  Target Speed:  12.0  Current Speed:  18.5</t>
  </si>
  <si>
    <t>SYS :2017/02/25 05:03:00.301:ENFORCEMENT:Predictive Enforcement Action:  Target Number: 000062DC  Target Speed:   0.0  Current Speed:  38.5</t>
  </si>
  <si>
    <t>SYS :2017/02/25 05:03:00.636:ENFORCEMENT:Predictive Enforcement Action:  Target Number: 000062F2  Target Speed:   0.0  Current Speed:  38.5</t>
  </si>
  <si>
    <t>SYS :2017/02/25 05:03:01.372:ENFORCEMENT:Predictive Enforcement Action:  Target Number: 000062F5  Target Speed:   0.0  Current Speed:  38.4</t>
  </si>
  <si>
    <t>SYS :2017/02/25 08:34:55.941:ENFORCEMENT:Reactive Enforcement Action:  Target Number: 000062E6  Target Speed:   0.0  Current Speed:  22.9</t>
  </si>
  <si>
    <t>SYS :2017/02/25 08:34:56.694:ENFORCEMENT:Reactive Enforcement Action:  Target Number: 000062C7  Target Speed:   0.0  Current Speed:  22.1</t>
  </si>
  <si>
    <t>SYS :2017/02/25 08:36:07.699:ENFORCEMENT:Reactive Enforcement Action:  Target Number: 000062C7  Target Speed:   0.0  Current Speed:   0.6</t>
  </si>
  <si>
    <t>SYS :2017/02/25 08:36:07.944:ENFORCEMENT:Reactive Enforcement Action:  Target Number: 000062E6  Target Speed:   0.0  Current Speed:   0.6</t>
  </si>
  <si>
    <t>SYS :2017/02/25 09:17:19.276:ENFORCEMENT:Predictive Enforcement Action:  Target Number: 000170F0  Target Speed:   0.0  Current Speed:  68.0</t>
  </si>
  <si>
    <t>SYS :2017/02/25 09:17:19.343:ENFORCEMENT:Predictive Enforcement Action:  Target Number: 000170F0  Target Speed:   0.0  Current Speed:  68.0</t>
  </si>
  <si>
    <t>SYS :2017/02/25 09:17:20.042:ENFORCEMENT:Predictive Enforcement Action:  Target Number: 000170F0  Target Speed:   0.0  Current Speed:  66.5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</si>
</sst>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abSelected="1" zoomScaleNormal="100" workbookViewId="0">
      <selection activeCell="L26" sqref="L26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42790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42790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145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COUNTIFS($N$13:$N$9329,"&gt;0",$AG$13:$AG$9329,I1)</f>
        <v>139</v>
      </c>
      <c r="K5" s="40"/>
      <c r="L5" s="40"/>
      <c r="M5" s="41">
        <f>AVERAGEIFS($N$13:$N$9329,$AG$13:$AG$9329,I1)</f>
        <v>38.708273381582735</v>
      </c>
      <c r="N5" s="39">
        <f t="array" ref="N5">MIN(IF($AG$13:$AG$9329=I1,IF(ISNUMBER($N$13:$N$9329),IF($N$13:$N$9329&gt;0,$N$13:$N$9329))))</f>
        <v>34.750000003259629</v>
      </c>
      <c r="O5" s="3">
        <f t="array" ref="O5">MAX(IF($AG$13:$AG$9329=I1,IF(ISNUMBER($N$13:$N$9329),IF($N$13:$N$9329&gt;0,$N$13:$N$9329))))</f>
        <v>46.166666666977108</v>
      </c>
      <c r="P5" s="2"/>
      <c r="R5" s="74" t="s">
        <v>17</v>
      </c>
      <c r="S5" s="50">
        <f>COUNTIFS($N$13:$N$9329,"&gt;0",$AG$13:$AG$9329,R1)</f>
        <v>47</v>
      </c>
      <c r="T5" s="40"/>
      <c r="U5" s="177"/>
      <c r="V5" s="174">
        <f>AVERAGEIFS($N$13:$N$9329,$AG$13:$AG$9329,R1)</f>
        <v>15.001773050134169</v>
      </c>
      <c r="W5" s="175">
        <f t="array" ref="W5">MIN(IF($AG$13:$AG$9329=R1,IF(ISNUMBER($N$13:$N$9329),IF($N$13:$N$9329&gt;0,$N$13:$N$9329))))</f>
        <v>12.799999995622784</v>
      </c>
      <c r="X5" s="176">
        <f t="array" ref="X5">MAX(IF($AG$13:$AG$9329=R1,IF(ISNUMBER($N$13:$N$9329),IF($N$13:$N$9329&gt;0,$N$13:$N$9329))))</f>
        <v>22.966666670981795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COUNT($O$13:$O$104)</f>
        <v>0</v>
      </c>
      <c r="K6" s="40"/>
      <c r="L6" s="40"/>
      <c r="M6" s="41">
        <f>IFERROR(AVERAGE($O$13:$O$104),0)</f>
        <v>0</v>
      </c>
      <c r="N6" s="39">
        <f>MIN($O$13:$O$104)</f>
        <v>0</v>
      </c>
      <c r="O6" s="3">
        <f>MAX($O$13:$O$104)</f>
        <v>0</v>
      </c>
      <c r="P6" s="2"/>
      <c r="R6" s="75" t="s">
        <v>43</v>
      </c>
      <c r="S6" s="50">
        <f>COUNT($O$13:$O$104)</f>
        <v>0</v>
      </c>
      <c r="T6" s="40"/>
      <c r="U6" s="177"/>
      <c r="V6" s="174">
        <f>IFERROR(AVERAGE($O$13:$O$104),0)</f>
        <v>0</v>
      </c>
      <c r="W6" s="175">
        <f>MIN($O$13:$O$104)</f>
        <v>0</v>
      </c>
      <c r="X6" s="176">
        <f>MAX($O$13:$O$104)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COUNTIFS($P$13:$P$9329,"&gt;0",$AG$13:$AG$9329,I1)</f>
        <v>6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COUNTIFS($P$13:$P$9329,"&gt;0",$AG$13:$AG$9329,R1)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38.708273381582735</v>
      </c>
      <c r="N8" s="39">
        <f>N5</f>
        <v>34.750000003259629</v>
      </c>
      <c r="O8" s="3">
        <f>O5</f>
        <v>46.166666666977108</v>
      </c>
      <c r="P8" s="2"/>
      <c r="R8" s="74" t="s">
        <v>16</v>
      </c>
      <c r="S8" s="50">
        <f>S5</f>
        <v>47</v>
      </c>
      <c r="T8" s="40"/>
      <c r="U8" s="177"/>
      <c r="V8" s="174">
        <f>V5</f>
        <v>15.001773050134169</v>
      </c>
      <c r="W8" s="175">
        <f>W5</f>
        <v>12.799999995622784</v>
      </c>
      <c r="X8" s="176">
        <f>X5</f>
        <v>22.966666670981795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0.95862068965517244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- 2017-02-24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AVERAGE(S13:S76)</f>
        <v>0.95703125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207</v>
      </c>
      <c r="AN12" s="47" t="s">
        <v>215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438</v>
      </c>
      <c r="B13" s="7">
        <v>4025</v>
      </c>
      <c r="C13" s="21" t="s">
        <v>280</v>
      </c>
      <c r="D13" s="21" t="s">
        <v>661</v>
      </c>
      <c r="E13" s="13">
        <v>42790.133275462962</v>
      </c>
      <c r="F13" s="13">
        <v>42790.137488425928</v>
      </c>
      <c r="G13" s="7">
        <v>5</v>
      </c>
      <c r="H13" s="21" t="s">
        <v>662</v>
      </c>
      <c r="I13" s="13">
        <v>42790.146516203706</v>
      </c>
      <c r="J13" s="7">
        <v>1</v>
      </c>
      <c r="K13" s="98" t="str">
        <f t="shared" ref="K13:K77" si="0">IF(ISEVEN(B13),(B13-1)&amp;"/"&amp;B13,B13&amp;"/"&amp;(B13+1))</f>
        <v>4025/4026</v>
      </c>
      <c r="L13" s="21" t="str">
        <f>VLOOKUP(A13,'Trips&amp;Operators'!$C$1:$G$99999,5,FALSE)</f>
        <v>BADERTSCHER DIANE</v>
      </c>
      <c r="M13" s="6">
        <f t="shared" ref="M13:M77" si="1">I13-F13</f>
        <v>9.0277777781011537E-3</v>
      </c>
      <c r="N13" s="7"/>
      <c r="O13" s="7"/>
      <c r="P13" s="7">
        <f t="shared" ref="N13:P77" si="2">24*60*SUM($M13:$M13)</f>
        <v>13.000000000465661</v>
      </c>
      <c r="Q13" s="22"/>
      <c r="R13" s="22" t="s">
        <v>891</v>
      </c>
      <c r="S13" s="31">
        <f t="shared" ref="S13:S77" si="3">SUM(U13:U13)/IF(AG13="EC",12,1)</f>
        <v>0.25</v>
      </c>
      <c r="T13" s="46" t="str">
        <f t="shared" ref="T13:T77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3</v>
      </c>
      <c r="V13" s="186" t="str">
        <f t="shared" ref="V13:V77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-24T02:11:55-0700',mode:absolute,to:'2017-02-24T04:30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" s="187" t="str">
        <f t="shared" ref="W13:W77" si="6">IF(AA13&lt;IF(AG13="EC",23,5.65),"Y","N")</f>
        <v>Y</v>
      </c>
      <c r="X13" s="187" t="e">
        <f t="shared" ref="X13:X77" si="7">VALUE(LEFT(AD13,4))-VALUE(LEFT(AD12,4))</f>
        <v>#VALUE!</v>
      </c>
      <c r="Y13" s="62">
        <f t="shared" ref="Y13:Y77" si="8">RIGHT(D13,LEN(D13)-4)/10000</f>
        <v>7.6300000000000007E-2</v>
      </c>
      <c r="Z13" s="62">
        <v>3.42</v>
      </c>
      <c r="AA13" s="62">
        <f t="shared" ref="AA13:AA77" si="9">ABS(Z13-Y13)</f>
        <v>3.3437000000000001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7" si="10">IF(LEN(A13)=6,"0"&amp;A13,A13)</f>
        <v>0101-24</v>
      </c>
      <c r="AE13" s="85" t="str">
        <f t="shared" ref="AE13:AE77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AF13" s="82" t="str">
        <f t="shared" ref="AF13:AF77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/stypes="app*4025*20170224*" /stext=" 10:.+((SYSTEM_STATE.+slice.+state.+changed )|(ment ac)|(multiple cpu faults)|(system.+state.+changed )|(\[timeout)|(PRM\|1\|D)|(kpr)|(kdp)|(\|lc)|(penalty))" /e /r /s</v>
      </c>
      <c r="AG13" s="1" t="str">
        <f t="shared" ref="AG13:AG77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4025 --swversion DE.1.0.9.0 --startMP 204:763 --initTime 2017-02-24T03:11:55 --startdatetime 2017-02-24T03:17:59 --delay 5 --endMP 204:233315 --enddatetime 2017-02-24T03:30:59 --enforcementcount 1 &gt;&gt;C:\Users\stu\Documents\GitHub\eaglep3-reporting\EC\2017-02-24-refined-times.txt</v>
      </c>
      <c r="AI13" s="108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{"issue":{"subject":"Extended Onboard Wi-MAX outage (4051/4052)","project_id":79,"tracker_id":40,"status_id":1,"priority_id":2,"assigned_to_id":23,"start_date":"2017-02-24","description":"","custom_fields":[{"id":1,"name":"Subdivision","value":"EC"},{"id":4,"name":"Milepost","value":"3.42"},{"id":17,"name":"Train ID","value":"101-24"},{"id":16,"name":"Locomotive ID","value":"4025"},{"id":130,"name":"Impact","value":""},{"id":150,"name":"Time of Event (Mountain Time)","value":"03:30:59"},{"id":151,"name":"Denver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6">"start /low /b "&amp;dls3logs&amp;" --loco "&amp;B13&amp;" --day "&amp;TEXT(F13,"YYYY-MM-DD")</f>
        <v>start /low /b %USERPROFILE%\Documents\GitHub\eaglep3\Utilities\DownloadLogsFromS3.py --loco 4025 --day 2017-02-24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2017-02-24-UncaughtWiMAX.txt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440</v>
      </c>
      <c r="B14" s="7">
        <v>4052</v>
      </c>
      <c r="C14" s="21" t="s">
        <v>280</v>
      </c>
      <c r="D14" s="21" t="s">
        <v>663</v>
      </c>
      <c r="E14" s="13">
        <v>42790.172488425924</v>
      </c>
      <c r="F14" s="13">
        <v>42790.177152777775</v>
      </c>
      <c r="G14" s="7">
        <v>5</v>
      </c>
      <c r="H14" s="21" t="s">
        <v>664</v>
      </c>
      <c r="I14" s="13">
        <v>42790.177824074075</v>
      </c>
      <c r="J14" s="7">
        <v>1</v>
      </c>
      <c r="K14" s="98" t="str">
        <f t="shared" si="0"/>
        <v>4051/4052</v>
      </c>
      <c r="L14" s="21" t="str">
        <f>VLOOKUP(A14,'Trips&amp;Operators'!$C$1:$G$99999,5,FALSE)</f>
        <v>BADERTSCHER DIANE</v>
      </c>
      <c r="M14" s="6">
        <f t="shared" si="1"/>
        <v>6.7129630042472854E-4</v>
      </c>
      <c r="N14" s="7"/>
      <c r="O14" s="7"/>
      <c r="P14" s="7">
        <f t="shared" si="2"/>
        <v>0.9666666726116091</v>
      </c>
      <c r="Q14" s="22"/>
      <c r="R14" s="22" t="s">
        <v>891</v>
      </c>
      <c r="S14" s="31">
        <f t="shared" si="3"/>
        <v>0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-02-24T03:08:23-0700',mode:absolute,to:'2017-02-24T05:16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" s="187" t="str">
        <f t="shared" si="6"/>
        <v>Y</v>
      </c>
      <c r="X14" s="187">
        <f t="shared" si="7"/>
        <v>1</v>
      </c>
      <c r="Y14" s="62">
        <f t="shared" si="8"/>
        <v>23.263100000000001</v>
      </c>
      <c r="Z14" s="62">
        <f t="shared" ref="Z14:Z77" si="17">RIGHT(H14,LEN(H14)-4)/10000</f>
        <v>23.106300000000001</v>
      </c>
      <c r="AA14" s="62">
        <f t="shared" si="9"/>
        <v>0.15680000000000049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0102-24</v>
      </c>
      <c r="AE14" s="85" t="str">
        <f t="shared" si="11"/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AF14" s="82" t="str">
        <f t="shared" si="12"/>
        <v>"C:\Program Files (x86)\AstroGrep\AstroGrep.exe" /spath="%USERPROFILE%\AppData\Local\Temp\OnboardLogs" /stypes="app*4052*20170224*" /stext=" 11:.+((SYSTEM_STATE.+slice.+state.+changed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86" t="str">
        <f t="shared" ref="AH14:AH78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4052 --swversion DE.1.0.9.0 --startMP 204:232631 --initTime 2017-02-24T04:08:23 --startdatetime 2017-02-24T04:15:06 --delay 5 --endMP 204:231063 --enddatetime 2017-02-24T04:16:04 --enforcementcount 1 &gt;&gt;C:\Users\stu\Documents\GitHub\eaglep3-reporting\EC\2017-02-24-refined-times.txt</v>
      </c>
      <c r="AI14" s="108" t="str">
        <f t="shared" ref="AI14:AI78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{"issue":{"subject":"Extended Onboard Wi-MAX outage (4051/4052)","project_id":79,"tracker_id":40,"status_id":1,"priority_id":2,"assigned_to_id":23,"start_date":"2017-02-24","description":"","custom_fields":[{"id":1,"name":"Subdivision","value":"EC"},{"id":4,"name":"Milepost","value":"23.1063"},{"id":17,"name":"Train ID","value":"102-24"},{"id":16,"name":"Locomotive ID","value":"4052"},{"id":130,"name":"Impact","value":""},{"id":150,"name":"Time of Event (Mountain Time)","value":"04:16:04"},{"id":151,"name":"Denver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8" si="20">"start /low /b "&amp;dls3logs&amp;" --loco "&amp;B14&amp;" --day "&amp;TEXT(F14,"YYYY-MM-DD")</f>
        <v>start /low /b %USERPROFILE%\Documents\GitHub\eaglep3\Utilities\DownloadLogsFromS3.py --loco 4052 --day 2017-02-24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"%USERPROFILE%\AppData\Local\Temp\OnboardLogs"\RTDC4052\*4052*20170224* | grep -SE "(Enforcement Action)|(\[TIMEOUT)|(CHR.+\|PRM\|1\|D.+(SWITCH|SIGNAL).+UNKNOWN)" - &gt;&gt; 2017-02-24-UncaughtWiMAX.txt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486</v>
      </c>
      <c r="B15" s="7">
        <v>4031</v>
      </c>
      <c r="C15" s="21" t="s">
        <v>280</v>
      </c>
      <c r="D15" s="21" t="s">
        <v>665</v>
      </c>
      <c r="E15" s="13">
        <v>42790.147430555553</v>
      </c>
      <c r="F15" s="13">
        <v>42790.156400462962</v>
      </c>
      <c r="G15" s="7">
        <v>1</v>
      </c>
      <c r="H15" s="21" t="s">
        <v>666</v>
      </c>
      <c r="I15" s="13">
        <v>42790.181863425925</v>
      </c>
      <c r="J15" s="7">
        <v>1</v>
      </c>
      <c r="K15" s="98" t="str">
        <f t="shared" si="0"/>
        <v>4031/4032</v>
      </c>
      <c r="L15" s="21" t="str">
        <f>VLOOKUP(A15,'Trips&amp;Operators'!$C$1:$G$99999,5,FALSE)</f>
        <v>YANAI IAN</v>
      </c>
      <c r="M15" s="6">
        <f t="shared" si="1"/>
        <v>2.5462962963501923E-2</v>
      </c>
      <c r="N15" s="7">
        <f t="shared" si="2"/>
        <v>36.666666667442769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-02-24T02:32:18-0700',mode:absolute,to:'2017-02-24T05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7.4999999999999997E-2</v>
      </c>
      <c r="Z15" s="62">
        <f t="shared" si="17"/>
        <v>23.333400000000001</v>
      </c>
      <c r="AA15" s="62">
        <f t="shared" si="9"/>
        <v>23.258400000000002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0103-24</v>
      </c>
      <c r="AE15" s="85" t="str">
        <f t="shared" si="11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15" s="82" t="str">
        <f t="shared" si="12"/>
        <v>"C:\Program Files (x86)\AstroGrep\AstroGrep.exe" /spath="%USERPROFILE%\AppData\Local\Temp\OnboardLogs" /stypes="app*4031*20170224*" /stext=" 11:.+((SYSTEM_STATE.+slice.+state.+changed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86" t="str">
        <f t="shared" si="18"/>
        <v>"%USERPROFILE%\Documents\GitHub\eaglep3\Utilities\RefineRTDCRunTimes.py" --tripid 103-24 --locoid 4031 --swversion DE.1.0.9.0 --startMP 204:750 --initTime 2017-02-24T03:32:18 --startdatetime 2017-02-24T03:45:13 --delay 1 --endMP 204:233334 --enddatetime 2017-02-24T04:21:53 --enforcementcount 1 &gt;&gt;C:\Users\stu\Documents\GitHub\eaglep3-reporting\EC\2017-02-24-refined-times.txt</v>
      </c>
      <c r="AI15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{"issue":{"subject":"","project_id":79,"tracker_id":40,"status_id":1,"priority_id":2,"assigned_to_id":23,"start_date":"2017-02-24","description":"","custom_fields":[{"id":1,"name":"Subdivision","value":"EC"},{"id":4,"name":"Milepost","value":"23.3334"},{"id":17,"name":"Train ID","value":"103-24"},{"id":16,"name":"Locomotive ID","value":"4031"},{"id":130,"name":"Impact","value":""},{"id":150,"name":"Time of Event (Mountain Time)","value":"04:21:53"},{"id":151,"name":"Denver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4031 --day 2017-02-24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"%USERPROFILE%\AppData\Local\Temp\OnboardLogs"\RTDC4031\*4031*20170224* | grep -SE "(Enforcement Action)|(\[TIMEOUT)|(CHR.+\|PRM\|1\|D.+(SWITCH|SIGNAL).+UNKNOWN)" - &gt;&gt; 2017-02-24-UncaughtWiMAX.txt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490</v>
      </c>
      <c r="B16" s="7">
        <v>4043</v>
      </c>
      <c r="C16" s="21" t="s">
        <v>280</v>
      </c>
      <c r="D16" s="21" t="s">
        <v>667</v>
      </c>
      <c r="E16" s="13">
        <v>42790.185104166667</v>
      </c>
      <c r="F16" s="13">
        <v>42790.195277777777</v>
      </c>
      <c r="G16" s="7">
        <v>1</v>
      </c>
      <c r="H16" s="21" t="s">
        <v>203</v>
      </c>
      <c r="I16" s="13">
        <v>42790.223819444444</v>
      </c>
      <c r="J16" s="7">
        <v>1</v>
      </c>
      <c r="K16" s="98" t="str">
        <f t="shared" si="0"/>
        <v>4043/4044</v>
      </c>
      <c r="L16" s="21" t="str">
        <f>VLOOKUP(A16,'Trips&amp;Operators'!$C$1:$G$99999,5,FALSE)</f>
        <v>YANAI IAN</v>
      </c>
      <c r="M16" s="6">
        <f t="shared" si="1"/>
        <v>2.8541666666569654E-2</v>
      </c>
      <c r="N16" s="7">
        <f t="shared" si="2"/>
        <v>41.099999999860302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-02-24T03:26:33-0700',mode:absolute,to:'2017-02-24T06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23.27</v>
      </c>
      <c r="Z16" s="62">
        <f t="shared" si="17"/>
        <v>1.6E-2</v>
      </c>
      <c r="AA16" s="62">
        <f t="shared" si="9"/>
        <v>23.254000000000001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0104-24</v>
      </c>
      <c r="AE16" s="85" t="str">
        <f t="shared" si="11"/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AF16" s="82" t="str">
        <f t="shared" si="12"/>
        <v>"C:\Program Files (x86)\AstroGrep\AstroGrep.exe" /spath="%USERPROFILE%\AppData\Local\Temp\OnboardLogs" /stypes="app*4043*20170224*"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86" t="str">
        <f t="shared" si="18"/>
        <v>"%USERPROFILE%\Documents\GitHub\eaglep3\Utilities\RefineRTDCRunTimes.py" --tripid 104-24 --locoid 4043 --swversion DE.1.0.9.0 --startMP 204:232700 --initTime 2017-02-24T04:26:33 --startdatetime 2017-02-24T04:41:12 --delay 1 --endMP 204:160 --enddatetime 2017-02-24T05:22:18 --enforcementcount 1 &gt;&gt;C:\Users\stu\Documents\GitHub\eaglep3-reporting\EC\2017-02-24-refined-times.txt</v>
      </c>
      <c r="AI16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{"issue":{"subject":"","project_id":79,"tracker_id":40,"status_id":1,"priority_id":2,"assigned_to_id":23,"start_date":"2017-02-24","description":"","custom_fields":[{"id":1,"name":"Subdivision","value":"EC"},{"id":4,"name":"Milepost","value":"0.016"},{"id":17,"name":"Train ID","value":"104-24"},{"id":16,"name":"Locomotive ID","value":"4043"},{"id":130,"name":"Impact","value":""},{"id":150,"name":"Time of Event (Mountain Time)","value":"05:22:18"},{"id":151,"name":"Denver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4043 --day 2017-02-24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"%USERPROFILE%\AppData\Local\Temp\OnboardLogs"\RTDC4043\*4043*20170224* | grep -SE "(Enforcement Action)|(\[TIMEOUT)|(CHR.+\|PRM\|1\|D.+(SWITCH|SIGNAL).+UNKNOWN)" - &gt;&gt; 2017-02-24-UncaughtWiMAX.txt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442</v>
      </c>
      <c r="B17" s="7">
        <v>4022</v>
      </c>
      <c r="C17" s="21" t="s">
        <v>280</v>
      </c>
      <c r="D17" s="21" t="s">
        <v>668</v>
      </c>
      <c r="E17" s="13">
        <v>42790.167361111111</v>
      </c>
      <c r="F17" s="13">
        <v>42790.177268518521</v>
      </c>
      <c r="G17" s="7">
        <v>1</v>
      </c>
      <c r="H17" s="21" t="s">
        <v>391</v>
      </c>
      <c r="I17" s="13">
        <v>42790.203668981485</v>
      </c>
      <c r="J17" s="7">
        <v>1</v>
      </c>
      <c r="K17" s="98" t="str">
        <f t="shared" si="0"/>
        <v>4021/4022</v>
      </c>
      <c r="L17" s="21" t="str">
        <f>VLOOKUP(A17,'Trips&amp;Operators'!$C$1:$G$99999,5,FALSE)</f>
        <v>ROBINSON KADDIBA</v>
      </c>
      <c r="M17" s="6">
        <f t="shared" si="1"/>
        <v>2.6400462964375038E-2</v>
      </c>
      <c r="N17" s="7">
        <f t="shared" si="2"/>
        <v>38.016666668700054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-02-24T03:01:00-0700',mode:absolute,to:'2017-02-24T05:53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7.7200000000000005E-2</v>
      </c>
      <c r="Z17" s="62">
        <f t="shared" si="17"/>
        <v>23.334900000000001</v>
      </c>
      <c r="AA17" s="62">
        <f t="shared" si="9"/>
        <v>23.2577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0105-24</v>
      </c>
      <c r="AE17" s="85" t="str">
        <f t="shared" si="11"/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AF17" s="82" t="str">
        <f t="shared" si="12"/>
        <v>"C:\Program Files (x86)\AstroGrep\AstroGrep.exe" /spath="%USERPROFILE%\AppData\Local\Temp\OnboardLogs" /stypes="app*4022*20170224*"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86" t="str">
        <f t="shared" si="18"/>
        <v>"%USERPROFILE%\Documents\GitHub\eaglep3\Utilities\RefineRTDCRunTimes.py" --tripid 105-24 --locoid 4022 --swversion DE.1.0.9.0 --startMP 204:772 --initTime 2017-02-24T04:01:00 --startdatetime 2017-02-24T04:15:16 --delay 1 --endMP 204:233349 --enddatetime 2017-02-24T04:53:17 --enforcementcount 1 &gt;&gt;C:\Users\stu\Documents\GitHub\eaglep3-reporting\EC\2017-02-24-refined-times.txt</v>
      </c>
      <c r="AI17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{"issue":{"subject":"","project_id":79,"tracker_id":40,"status_id":1,"priority_id":2,"assigned_to_id":23,"start_date":"2017-02-24","description":"","custom_fields":[{"id":1,"name":"Subdivision","value":"EC"},{"id":4,"name":"Milepost","value":"23.3349"},{"id":17,"name":"Train ID","value":"105-24"},{"id":16,"name":"Locomotive ID","value":"4022"},{"id":130,"name":"Impact","value":""},{"id":150,"name":"Time of Event (Mountain Time)","value":"04:53:17"},{"id":151,"name":"Denver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4022 --day 2017-02-24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"%USERPROFILE%\AppData\Local\Temp\OnboardLogs"\RTDC4022\*4022*20170224* | grep -SE "(Enforcement Action)|(\[TIMEOUT)|(CHR.+\|PRM\|1\|D.+(SWITCH|SIGNAL).+UNKNOWN)" - &gt;&gt; 2017-02-24-UncaughtWiMAX.txt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493</v>
      </c>
      <c r="B18" s="7">
        <v>4005</v>
      </c>
      <c r="C18" s="21" t="s">
        <v>280</v>
      </c>
      <c r="D18" s="21" t="s">
        <v>669</v>
      </c>
      <c r="E18" s="13">
        <v>42790.21329861111</v>
      </c>
      <c r="F18" s="13">
        <v>42790.216157407405</v>
      </c>
      <c r="G18" s="7">
        <v>1</v>
      </c>
      <c r="H18" s="21" t="s">
        <v>211</v>
      </c>
      <c r="I18" s="13">
        <v>42790.244930555556</v>
      </c>
      <c r="J18" s="7">
        <v>1</v>
      </c>
      <c r="K18" s="98" t="str">
        <f t="shared" si="0"/>
        <v>4005/4006</v>
      </c>
      <c r="L18" s="21" t="str">
        <f>VLOOKUP(A18,'Trips&amp;Operators'!$C$1:$G$99999,5,FALSE)</f>
        <v>ROBINSON KADDIBA</v>
      </c>
      <c r="M18" s="6">
        <f t="shared" si="1"/>
        <v>2.8773148151230998E-2</v>
      </c>
      <c r="N18" s="7">
        <f t="shared" si="2"/>
        <v>41.433333337772638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-02-24T04:07:09-0700',mode:absolute,to:'2017-02-24T06:52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23.268899999999999</v>
      </c>
      <c r="Z18" s="62">
        <f t="shared" si="17"/>
        <v>1.54E-2</v>
      </c>
      <c r="AA18" s="62">
        <f t="shared" si="9"/>
        <v>23.253499999999999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0106-24</v>
      </c>
      <c r="AE18" s="85" t="str">
        <f t="shared" si="11"/>
        <v>aws s3 cp s3://rtdc.mdm.uploadarchive.raw/RTDC4005/ "%USERPROFILE%\AppData\Local\Temp\OnboardLogs"\RTDC4005\2017-02-24 --exclude "*" --recursive --include "*20170224*" &amp; "%USERPROFILE%\Documents\GitHub\mrs-test-scripts\Headless Mode &amp; Sideloading\WalkAndUnGZ.bat" "%USERPROFILE%\AppData\Local\Temp\OnboardLogs"\RTDC4005\2017-02-24 &amp; aws s3 cp s3://rtdc.mdm.uploadarchive.raw/RTDC4005/ "%USERPROFILE%\AppData\Local\Temp\OnboardLogs"\RTDC4005\2017-02-25 --exclude "*" --recursive --include "*20170225*" &amp; "%USERPROFILE%\Documents\GitHub\mrs-test-scripts\Headless Mode &amp; Sideloading\WalkAndUnGZ.bat" "%USERPROFILE%\AppData\Local\Temp\OnboardLogs"\RTDC4005\2017-02-25</v>
      </c>
      <c r="AF18" s="82" t="str">
        <f t="shared" si="12"/>
        <v>"C:\Program Files (x86)\AstroGrep\AstroGrep.exe" /spath="%USERPROFILE%\AppData\Local\Temp\OnboardLogs" /stypes="app*4005*20170224*" /stext=" 12:.+((SYSTEM_STATE.+slice.+state.+changed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86" t="str">
        <f t="shared" si="18"/>
        <v>"%USERPROFILE%\Documents\GitHub\eaglep3\Utilities\RefineRTDCRunTimes.py" --tripid 106-24 --locoid 4005 --swversion DE.1.0.9.0 --startMP 204:232689 --initTime 2017-02-24T05:07:09 --startdatetime 2017-02-24T05:11:16 --delay 1 --endMP 204:154 --enddatetime 2017-02-24T05:52:42 --enforcementcount 1 &gt;&gt;C:\Users\stu\Documents\GitHub\eaglep3-reporting\EC\2017-02-24-refined-times.txt</v>
      </c>
      <c r="AI18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{"issue":{"subject":"","project_id":79,"tracker_id":40,"status_id":1,"priority_id":2,"assigned_to_id":23,"start_date":"2017-02-24","description":"","custom_fields":[{"id":1,"name":"Subdivision","value":"EC"},{"id":4,"name":"Milepost","value":"0.0154"},{"id":17,"name":"Train ID","value":"106-24"},{"id":16,"name":"Locomotive ID","value":"4005"},{"id":130,"name":"Impact","value":""},{"id":150,"name":"Time of Event (Mountain Time)","value":"05:52:42"},{"id":151,"name":"Denver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4005 --day 2017-02-24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"%USERPROFILE%\AppData\Local\Temp\OnboardLogs"\RTDC4005\*4005*20170224* | grep -SE "(Enforcement Action)|(\[TIMEOUT)|(CHR.+\|PRM\|1\|D.+(SWITCH|SIGNAL).+UNKNOWN)" - &gt;&gt; 2017-02-24-UncaughtWiMAX.txt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443</v>
      </c>
      <c r="B19" s="7">
        <v>4009</v>
      </c>
      <c r="C19" s="21" t="s">
        <v>280</v>
      </c>
      <c r="D19" s="21" t="s">
        <v>282</v>
      </c>
      <c r="E19" s="13">
        <v>42790.186342592591</v>
      </c>
      <c r="F19" s="13">
        <v>42790.188101851854</v>
      </c>
      <c r="G19" s="7">
        <v>1</v>
      </c>
      <c r="H19" s="21" t="s">
        <v>310</v>
      </c>
      <c r="I19" s="13">
        <v>42790.216446759259</v>
      </c>
      <c r="J19" s="7">
        <v>1</v>
      </c>
      <c r="K19" s="98" t="str">
        <f t="shared" si="0"/>
        <v>4009/4010</v>
      </c>
      <c r="L19" s="21" t="str">
        <f>VLOOKUP(A19,'Trips&amp;Operators'!$C$1:$G$99999,5,FALSE)</f>
        <v>STARKS ANGELINA</v>
      </c>
      <c r="M19" s="6">
        <f t="shared" si="1"/>
        <v>2.8344907404971309E-2</v>
      </c>
      <c r="N19" s="7">
        <f t="shared" si="2"/>
        <v>40.816666663158685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-02-24T03:28:20-0700',mode:absolute,to:'2017-02-24T06:11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4.58E-2</v>
      </c>
      <c r="Z19" s="62">
        <f t="shared" si="17"/>
        <v>23.329499999999999</v>
      </c>
      <c r="AA19" s="62">
        <f t="shared" si="9"/>
        <v>23.2837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0107-24</v>
      </c>
      <c r="AE19" s="85" t="str">
        <f t="shared" si="11"/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AF19" s="82" t="str">
        <f t="shared" si="12"/>
        <v>"C:\Program Files (x86)\AstroGrep\AstroGrep.exe" /spath="%USERPROFILE%\AppData\Local\Temp\OnboardLogs" /stypes="app*4009*20170224*"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86" t="str">
        <f t="shared" si="18"/>
        <v>"%USERPROFILE%\Documents\GitHub\eaglep3\Utilities\RefineRTDCRunTimes.py" --tripid 107-24 --locoid 4009 --swversion DE.1.0.9.0 --startMP 204:458 --initTime 2017-02-24T04:28:20 --startdatetime 2017-02-24T04:30:52 --delay 1 --endMP 204:233295 --enddatetime 2017-02-24T05:11:41 --enforcementcount 1 &gt;&gt;C:\Users\stu\Documents\GitHub\eaglep3-reporting\EC\2017-02-24-refined-times.txt</v>
      </c>
      <c r="AI19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{"issue":{"subject":"","project_id":79,"tracker_id":40,"status_id":1,"priority_id":2,"assigned_to_id":23,"start_date":"2017-02-24","description":"","custom_fields":[{"id":1,"name":"Subdivision","value":"EC"},{"id":4,"name":"Milepost","value":"23.3295"},{"id":17,"name":"Train ID","value":"107-24"},{"id":16,"name":"Locomotive ID","value":"4009"},{"id":130,"name":"Impact","value":""},{"id":150,"name":"Time of Event (Mountain Time)","value":"05:11:41"},{"id":151,"name":"Denver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4009 --day 2017-02-24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"%USERPROFILE%\AppData\Local\Temp\OnboardLogs"\RTDC4009\*4009*20170224* | grep -SE "(Enforcement Action)|(\[TIMEOUT)|(CHR.+\|PRM\|1\|D.+(SWITCH|SIGNAL).+UNKNOWN)" - &gt;&gt; 2017-02-24-UncaughtWiMAX.txt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496</v>
      </c>
      <c r="B20" s="7">
        <v>4010</v>
      </c>
      <c r="C20" s="21" t="s">
        <v>280</v>
      </c>
      <c r="D20" s="21" t="s">
        <v>403</v>
      </c>
      <c r="E20" s="13">
        <v>42790.224456018521</v>
      </c>
      <c r="F20" s="13">
        <v>42790.226597222223</v>
      </c>
      <c r="G20" s="7">
        <v>1</v>
      </c>
      <c r="H20" s="21" t="s">
        <v>670</v>
      </c>
      <c r="I20" s="13">
        <v>42790.255497685182</v>
      </c>
      <c r="J20" s="7">
        <v>1</v>
      </c>
      <c r="K20" s="98" t="str">
        <f t="shared" si="0"/>
        <v>4009/4010</v>
      </c>
      <c r="L20" s="21" t="str">
        <f>VLOOKUP(A20,'Trips&amp;Operators'!$C$1:$G$99999,5,FALSE)</f>
        <v>STARKS ANGELINA</v>
      </c>
      <c r="M20" s="6">
        <f t="shared" si="1"/>
        <v>2.8900462959427387E-2</v>
      </c>
      <c r="N20" s="7">
        <f t="shared" si="2"/>
        <v>41.616666661575437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-02-24T04:23:13-0700',mode:absolute,to:'2017-02-24T07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23.297599999999999</v>
      </c>
      <c r="Z20" s="62">
        <f t="shared" si="17"/>
        <v>1.7000000000000001E-2</v>
      </c>
      <c r="AA20" s="62">
        <f t="shared" si="9"/>
        <v>23.2806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0108-24</v>
      </c>
      <c r="AE20" s="85" t="str">
        <f t="shared" si="11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20" s="82" t="str">
        <f t="shared" si="12"/>
        <v>"C:\Program Files (x86)\AstroGrep\AstroGrep.exe" /spath="%USERPROFILE%\AppData\Local\Temp\OnboardLogs" /stypes="app*4010*20170224*" /stext=" 13:.+((SYSTEM_STATE.+slice.+state.+changed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86" t="str">
        <f t="shared" si="18"/>
        <v>"%USERPROFILE%\Documents\GitHub\eaglep3\Utilities\RefineRTDCRunTimes.py" --tripid 108-24 --locoid 4010 --swversion DE.1.0.9.0 --startMP 204:232976 --initTime 2017-02-24T05:23:13 --startdatetime 2017-02-24T05:26:18 --delay 1 --endMP 204:170 --enddatetime 2017-02-24T06:07:55 --enforcementcount 1 &gt;&gt;C:\Users\stu\Documents\GitHub\eaglep3-reporting\EC\2017-02-24-refined-times.txt</v>
      </c>
      <c r="AI20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{"issue":{"subject":"","project_id":79,"tracker_id":40,"status_id":1,"priority_id":2,"assigned_to_id":23,"start_date":"2017-02-24","description":"","custom_fields":[{"id":1,"name":"Subdivision","value":"EC"},{"id":4,"name":"Milepost","value":"0.017"},{"id":17,"name":"Train ID","value":"108-24"},{"id":16,"name":"Locomotive ID","value":"4010"},{"id":130,"name":"Impact","value":""},{"id":150,"name":"Time of Event (Mountain Time)","value":"06:07:55"},{"id":151,"name":"Denver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4010 --day 2017-02-24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"%USERPROFILE%\AppData\Local\Temp\OnboardLogs"\RTDC4010\*4010*20170224* | grep -SE "(Enforcement Action)|(\[TIMEOUT)|(CHR.+\|PRM\|1\|D.+(SWITCH|SIGNAL).+UNKNOWN)" - &gt;&gt; 2017-02-24-UncaughtWiMAX.txt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444</v>
      </c>
      <c r="B21" s="7">
        <v>4020</v>
      </c>
      <c r="C21" s="21" t="s">
        <v>280</v>
      </c>
      <c r="D21" s="21" t="s">
        <v>240</v>
      </c>
      <c r="E21" s="13">
        <v>42790.195057870369</v>
      </c>
      <c r="F21" s="13">
        <v>42790.198217592595</v>
      </c>
      <c r="G21" s="7">
        <v>1</v>
      </c>
      <c r="H21" s="21" t="s">
        <v>275</v>
      </c>
      <c r="I21" s="13">
        <v>42790.223935185182</v>
      </c>
      <c r="J21" s="7">
        <v>1</v>
      </c>
      <c r="K21" s="98" t="str">
        <f t="shared" si="0"/>
        <v>4019/4020</v>
      </c>
      <c r="L21" s="21" t="str">
        <f>VLOOKUP(A21,'Trips&amp;Operators'!$C$1:$G$99999,5,FALSE)</f>
        <v>LOZA FIDEL</v>
      </c>
      <c r="M21" s="6">
        <f t="shared" si="1"/>
        <v>2.5717592587170657E-2</v>
      </c>
      <c r="N21" s="7">
        <f t="shared" si="2"/>
        <v>37.033333325525746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-02-24T03:40:53-0700',mode:absolute,to:'2017-02-24T06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4.4600000000000001E-2</v>
      </c>
      <c r="Z21" s="62">
        <f t="shared" si="17"/>
        <v>23.330100000000002</v>
      </c>
      <c r="AA21" s="62">
        <f t="shared" si="9"/>
        <v>23.285500000000003</v>
      </c>
      <c r="AB21" s="59" t="str">
        <f>VLOOKUP(A21,Enforcements!$C$7:$K$13,8,0)</f>
        <v>Bulletin (2)</v>
      </c>
      <c r="AC21" s="55" t="str">
        <f>VLOOKUP(A21,Enforcements!$C$7:$E$13,3,0)</f>
        <v>GRADE CROSSING</v>
      </c>
      <c r="AD21" s="56" t="str">
        <f t="shared" si="10"/>
        <v>0109-24</v>
      </c>
      <c r="AE21" s="85" t="str">
        <f t="shared" si="11"/>
        <v>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 &amp; 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</v>
      </c>
      <c r="AF21" s="82" t="str">
        <f t="shared" si="12"/>
        <v>"C:\Program Files (x86)\AstroGrep\AstroGrep.exe" /spath="%USERPROFILE%\AppData\Local\Temp\OnboardLogs" /stypes="app*4020*20170224*"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86" t="str">
        <f t="shared" si="18"/>
        <v>"%USERPROFILE%\Documents\GitHub\eaglep3\Utilities\RefineRTDCRunTimes.py" --tripid 109-24 --locoid 4020 --swversion DE.1.0.9.0 --startMP 204:446 --initTime 2017-02-24T04:40:53 --startdatetime 2017-02-24T04:45:26 --delay 1 --endMP 204:233301 --enddatetime 2017-02-24T05:22:28 --enforcementcount 1 &gt;&gt;C:\Users\stu\Documents\GitHub\eaglep3-reporting\EC\2017-02-24-refined-times.txt</v>
      </c>
      <c r="AI21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{"issue":{"subject":"","project_id":79,"tracker_id":40,"status_id":1,"priority_id":2,"assigned_to_id":23,"start_date":"2017-02-24","description":"","custom_fields":[{"id":1,"name":"Subdivision","value":"EC"},{"id":4,"name":"Milepost","value":"23.3301"},{"id":17,"name":"Train ID","value":"109-24"},{"id":16,"name":"Locomotive ID","value":"4020"},{"id":130,"name":"Impact","value":""},{"id":150,"name":"Time of Event (Mountain Time)","value":"05:22:28"},{"id":151,"name":"Denver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4020 --day 2017-02-24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2017-02-24-UncaughtWiMAX.txt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499</v>
      </c>
      <c r="B22" s="7">
        <v>4019</v>
      </c>
      <c r="C22" s="21" t="s">
        <v>280</v>
      </c>
      <c r="D22" s="21" t="s">
        <v>268</v>
      </c>
      <c r="E22" s="13">
        <v>42790.229074074072</v>
      </c>
      <c r="F22" s="13">
        <v>42790.23709490741</v>
      </c>
      <c r="G22" s="7">
        <v>1</v>
      </c>
      <c r="H22" s="21" t="s">
        <v>250</v>
      </c>
      <c r="I22" s="13">
        <v>42790.266284722224</v>
      </c>
      <c r="J22" s="7">
        <v>1</v>
      </c>
      <c r="K22" s="98" t="str">
        <f t="shared" si="0"/>
        <v>4019/4020</v>
      </c>
      <c r="L22" s="21" t="str">
        <f>VLOOKUP(A22,'Trips&amp;Operators'!$C$1:$G$99999,5,FALSE)</f>
        <v>LOZA FIDEL</v>
      </c>
      <c r="M22" s="6">
        <f t="shared" si="1"/>
        <v>2.9189814813435078E-2</v>
      </c>
      <c r="N22" s="7">
        <f t="shared" si="2"/>
        <v>42.033333331346512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-02-24T04:29:52-0700',mode:absolute,to:'2017-02-24T07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23.2973</v>
      </c>
      <c r="Z22" s="62">
        <f t="shared" si="17"/>
        <v>1.41E-2</v>
      </c>
      <c r="AA22" s="62">
        <f t="shared" si="9"/>
        <v>23.283200000000001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0110-24</v>
      </c>
      <c r="AE22" s="85" t="str">
        <f t="shared" si="11"/>
        <v>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 &amp; 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</v>
      </c>
      <c r="AF22" s="82" t="str">
        <f t="shared" si="12"/>
        <v>"C:\Program Files (x86)\AstroGrep\AstroGrep.exe" /spath="%USERPROFILE%\AppData\Local\Temp\OnboardLogs" /stypes="app*4019*20170224*"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86" t="str">
        <f t="shared" si="18"/>
        <v>"%USERPROFILE%\Documents\GitHub\eaglep3\Utilities\RefineRTDCRunTimes.py" --tripid 110-24 --locoid 4019 --swversion DE.1.0.9.0 --startMP 204:232973 --initTime 2017-02-24T05:29:52 --startdatetime 2017-02-24T05:41:25 --delay 1 --endMP 204:141 --enddatetime 2017-02-24T06:23:27 --enforcementcount 1 &gt;&gt;C:\Users\stu\Documents\GitHub\eaglep3-reporting\EC\2017-02-24-refined-times.txt</v>
      </c>
      <c r="AI22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{"issue":{"subject":"","project_id":79,"tracker_id":40,"status_id":1,"priority_id":2,"assigned_to_id":23,"start_date":"2017-02-24","description":"","custom_fields":[{"id":1,"name":"Subdivision","value":"EC"},{"id":4,"name":"Milepost","value":"0.0141"},{"id":17,"name":"Train ID","value":"110-24"},{"id":16,"name":"Locomotive ID","value":"4019"},{"id":130,"name":"Impact","value":""},{"id":150,"name":"Time of Event (Mountain Time)","value":"06:23:27"},{"id":151,"name":"Denver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4019 --day 2017-02-24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2017-02-24-UncaughtWiMAX.txt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495</v>
      </c>
      <c r="B23" s="7">
        <v>4025</v>
      </c>
      <c r="C23" s="21" t="s">
        <v>280</v>
      </c>
      <c r="D23" s="21" t="s">
        <v>671</v>
      </c>
      <c r="E23" s="13">
        <v>42790.216898148145</v>
      </c>
      <c r="F23" s="13">
        <v>42790.218888888892</v>
      </c>
      <c r="G23" s="7">
        <v>2</v>
      </c>
      <c r="H23" s="21" t="s">
        <v>662</v>
      </c>
      <c r="I23" s="13">
        <v>42790.24359953704</v>
      </c>
      <c r="J23" s="7">
        <v>1</v>
      </c>
      <c r="K23" s="98" t="str">
        <f t="shared" si="0"/>
        <v>4025/4026</v>
      </c>
      <c r="L23" s="21" t="str">
        <f>VLOOKUP(A23,'Trips&amp;Operators'!$C$1:$G$99999,5,FALSE)</f>
        <v>BONDS REYNALDO</v>
      </c>
      <c r="M23" s="6">
        <f t="shared" si="1"/>
        <v>2.47106481474475E-2</v>
      </c>
      <c r="N23" s="7"/>
      <c r="O23" s="7"/>
      <c r="P23" s="7">
        <f t="shared" si="2"/>
        <v>35.583333332324401</v>
      </c>
      <c r="Q23" s="22"/>
      <c r="R23" s="22" t="s">
        <v>892</v>
      </c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-02-24T04:12:20-0700',mode:absolute,to:'2017-02-24T06:50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" s="187" t="str">
        <f t="shared" si="6"/>
        <v>Y</v>
      </c>
      <c r="X23" s="187">
        <f t="shared" si="7"/>
        <v>1</v>
      </c>
      <c r="Y23" s="62">
        <f t="shared" si="8"/>
        <v>1.9117999999999999</v>
      </c>
      <c r="Z23" s="62">
        <f t="shared" si="17"/>
        <v>23.331499999999998</v>
      </c>
      <c r="AA23" s="62">
        <f t="shared" si="9"/>
        <v>21.419699999999999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0111-24</v>
      </c>
      <c r="AE23" s="85" t="str">
        <f t="shared" si="11"/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AF23" s="82" t="str">
        <f t="shared" si="12"/>
        <v>"C:\Program Files (x86)\AstroGrep\AstroGrep.exe" /spath="%USERPROFILE%\AppData\Local\Temp\OnboardLogs" /stypes="app*4025*20170224*"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86" t="str">
        <f t="shared" si="18"/>
        <v>"%USERPROFILE%\Documents\GitHub\eaglep3\Utilities\RefineRTDCRunTimes.py" --tripid 111-24 --locoid 4025 --swversion DE.1.0.9.0 --startMP 204:19118 --initTime 2017-02-24T05:12:20 --startdatetime 2017-02-24T05:15:12 --delay 2 --endMP 204:233315 --enddatetime 2017-02-24T05:50:47 --enforcementcount 1 &gt;&gt;C:\Users\stu\Documents\GitHub\eaglep3-reporting\EC\2017-02-24-refined-times.txt</v>
      </c>
      <c r="AI23" s="108" t="str">
        <f t="shared" si="19"/>
        <v>echo {"issue":{"subject":"Wi-MAX data drop prevented init at DUS","project_id":79,"tracker_id":40,"status_id":1,"priority_id":2,"assigned_to_id":23,"start_date":"2017-02-24","description":"","custom_fields":[{"id":1,"name":"Subdivision","value":"EC"},{"id":4,"name":"Milepost","value":"23.3315"},{"id":17,"name":"Train ID","value":"111-24"},{"id":16,"name":"Locomotive ID","value":"4025"},{"id":130,"name":"Impact","value":""},{"id":150,"name":"Time of Event (Mountain Time)","value":"05:50:47"},{"id":151,"name":"Denver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4025 --day 2017-02-24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2017-02-24-UncaughtWiMAX.txt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902</v>
      </c>
      <c r="B24" s="7">
        <v>4026</v>
      </c>
      <c r="C24" s="21" t="s">
        <v>280</v>
      </c>
      <c r="D24" s="21" t="s">
        <v>671</v>
      </c>
      <c r="E24" s="13">
        <v>42790.216898148145</v>
      </c>
      <c r="F24" s="13"/>
      <c r="G24" s="7">
        <v>2</v>
      </c>
      <c r="H24" s="21" t="s">
        <v>662</v>
      </c>
      <c r="I24" s="13"/>
      <c r="J24" s="7">
        <v>1</v>
      </c>
      <c r="K24" s="98" t="str">
        <f t="shared" ref="K24" si="21">IF(ISEVEN(B24),(B24-1)&amp;"/"&amp;B24,B24&amp;"/"&amp;(B24+1))</f>
        <v>4025/4026</v>
      </c>
      <c r="L24" s="21" t="e">
        <f>VLOOKUP(A24,'Trips&amp;Operators'!$C$1:$G$99999,5,FALSE)</f>
        <v>#N/A</v>
      </c>
      <c r="M24" s="6">
        <f t="shared" ref="M24" si="22">I24-F24</f>
        <v>0</v>
      </c>
      <c r="N24" s="7"/>
      <c r="O24" s="7"/>
      <c r="P24" s="7">
        <v>1</v>
      </c>
      <c r="Q24" s="22"/>
      <c r="R24" s="22" t="s">
        <v>903</v>
      </c>
      <c r="S24" s="31">
        <f t="shared" ref="S24" si="23">SUM(U24:U24)/IF(AG24="EC",12,1)</f>
        <v>0</v>
      </c>
      <c r="T24" s="46" t="str">
        <f t="shared" ref="T24" si="24">IF(ISEVEN(LEFT(AD24,4)),"Southbound","NorthBound")</f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86" t="str">
        <f t="shared" ref="V24" si="25"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-02-24T04:12:20-0700',mode:absolute,to:'1900-01-00T01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" s="187" t="str">
        <f t="shared" ref="W24" si="26">IF(AA24&lt;IF(AG24="EC",23,5.65),"Y","N")</f>
        <v>Y</v>
      </c>
      <c r="X24" s="187">
        <f t="shared" ref="X24:X25" si="27">VALUE(LEFT(AD24,4))-VALUE(LEFT(AD23,4))</f>
        <v>1</v>
      </c>
      <c r="Y24" s="62">
        <v>0</v>
      </c>
      <c r="Z24" s="62">
        <v>0</v>
      </c>
      <c r="AA24" s="62">
        <f t="shared" ref="AA24" si="28">ABS(Z24-Y24)</f>
        <v>0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ref="AD24" si="29">IF(LEN(A24)=6,"0"&amp;A24,A24)</f>
        <v>0112-24</v>
      </c>
      <c r="AE24" s="85" t="str">
        <f t="shared" ref="AE24" si="30"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s3://rtdc.mdm.uploadarchive.raw/RTDC4026/ "%USERPROFILE%\AppData\Local\Temp\OnboardLogs"\RTDC4026\1900-01-00 --exclude "*" --recursive --include "*19000100*" &amp; "%USERPROFILE%\Documents\GitHub\mrs-test-scripts\Headless Mode &amp; Sideloading\WalkAndUnGZ.bat" "%USERPROFILE%\AppData\Local\Temp\OnboardLogs"\RTDC4026\1900-01-00 &amp; aws s3 cp s3://rtdc.mdm.uploadarchive.raw/RTDC4026/ "%USERPROFILE%\AppData\Local\Temp\OnboardLogs"\RTDC4026\1900-01-01 --exclude "*" --recursive --include "*19000101*" &amp; "%USERPROFILE%\Documents\GitHub\mrs-test-scripts\Headless Mode &amp; Sideloading\WalkAndUnGZ.bat" "%USERPROFILE%\AppData\Local\Temp\OnboardLogs"\RTDC4026\1900-01-01</v>
      </c>
      <c r="AF24" s="82" t="str">
        <f t="shared" ref="AF24" si="31"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/stypes="app*4026*19000100*" /stext=" 07:.+((SYSTEM_STATE.+slice.+state.+changed )|(ment ac)|(multiple cpu faults)|(system.+state.+changed )|(\[timeout)|(PRM\|1\|D)|(kpr)|(kdp)|(\|lc)|(penalty))" /e /r /s</v>
      </c>
      <c r="AG24" s="1" t="str">
        <f t="shared" ref="AG24" si="32">IFERROR(IF(VALUE(LEFT(AD24,2))&lt;=2,"EC",IF(OR(VALUE(LEFT(AD24,2))=8,VALUE(LEFT(AD24,2))=18),"NW","Other")),"Other")</f>
        <v>EC</v>
      </c>
      <c r="AH24" s="86" t="str">
        <f t="shared" ref="AH24" si="33"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"&amp;J24&amp;IF(outputrefinedruntimes," &gt;&gt;"&amp;RefinedRTDCRunTimesOutputFile,"")</f>
        <v>"%USERPROFILE%\Documents\GitHub\eaglep3\Utilities\RefineRTDCRunTimes.py" --tripid 112-24 --locoid 4026 --swversion DE.1.0.9.0 --startMP 204:19118 --initTime 2017-02-24T05:12:20 --startdatetime 1900-01-00T00:00:00 --delay 2 --endMP 204:233315 --enddatetime 1900-01-00T00:00:00 --enforcementcount 1 &gt;&gt;C:\Users\stu\Documents\GitHub\eaglep3-reporting\EC\2017-02-24-refined-times.txt</v>
      </c>
      <c r="AI24" s="108" t="str">
        <f t="shared" ref="AI24" si="34">"echo {""issue"":{""subject"":"""&amp;R24&amp;""",""project_id"":79,""tracker_id"":40,""status_id"":"&amp;redmine_status&amp;",""priority_id"":"&amp;redmine_priority&amp;",""assigned_to_id"":"&amp;redmine_assignee&amp;",""start_date"":"""&amp;TEXT(I24,"YYYY-mm-dd")&amp;""",""description"":"""&amp;AJ24&amp;""",""custom_fields"":[{""id"":1,""name"":""Subdivision"",""value"":"""&amp;AG24&amp;"""},{""id"":4,""name"":""Milepost"",""value"":"""&amp;Z24&amp;"""},{""id"":17,""name"":""Train ID"",""value"":"""&amp;A24&amp;"""},{""id"":16,""name"":""Locomotive ID"",""value"":"""&amp;B24&amp;"""},{""id"":130,""name"":""Impact"",""value"":"""&amp;AK24&amp;"""},{""id"":150,""name"":""Time of Event (Mountain Time)"",""value"":"""&amp;TEXT(I24,"hh:mm:ss")&amp;"""},{""id"":151,""name"":""Denver Issue ID"",""value"":"""&amp;"""},{""id"":178,""name"":""Operational Impact"",""value"":"""&amp;redmine_op_impact&amp;"""},{""id"":179,""name"":""Denver Segment Assigned"",""value"":"""&amp;AL24&amp;"""}]}}"&amp;" | curl -X POST -H ""Content-Type: application/json"" -H ""X-Redmine-API-Key: "&amp;redm_api_key&amp;""" "&amp;redm_url&amp;" --data @-"</f>
        <v>echo {"issue":{"subject":"Wi-MAX data drop prevented init at DIA","project_id":79,"tracker_id":40,"status_id":1,"priority_id":2,"assigned_to_id":23,"start_date":"1900-01-00","description":"","custom_fields":[{"id":1,"name":"Subdivision","value":"EC"},{"id":4,"name":"Milepost","value":"0"},{"id":17,"name":"Train ID","value":"112-24"},{"id":16,"name":"Locomotive ID","value":"4026"},{"id":130,"name":"Impact","value":""},{"id":150,"name":"Time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ref="AM24" si="35">"start /low /b "&amp;dls3logs&amp;" --loco "&amp;B24&amp;" --day "&amp;TEXT(F24,"YYYY-MM-DD")</f>
        <v>start /low /b %USERPROFILE%\Documents\GitHub\eaglep3\Utilities\DownloadLogsFromS3.py --loco 4026 --day 1900-01-00</v>
      </c>
      <c r="AN24" s="163" t="e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#DIV/0!</v>
      </c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</row>
    <row r="25" spans="1:91" s="1" customFormat="1" x14ac:dyDescent="0.25">
      <c r="A25" s="33" t="s">
        <v>494</v>
      </c>
      <c r="B25" s="7">
        <v>4051</v>
      </c>
      <c r="C25" s="21" t="s">
        <v>280</v>
      </c>
      <c r="D25" s="21" t="s">
        <v>221</v>
      </c>
      <c r="E25" s="13">
        <v>42790.216168981482</v>
      </c>
      <c r="F25" s="13">
        <v>42790.218958333331</v>
      </c>
      <c r="G25" s="7">
        <v>1</v>
      </c>
      <c r="H25" s="21" t="s">
        <v>672</v>
      </c>
      <c r="I25" s="13">
        <v>42790.24790509259</v>
      </c>
      <c r="J25" s="7">
        <v>1</v>
      </c>
      <c r="K25" s="98" t="str">
        <f t="shared" si="0"/>
        <v>4051/4052</v>
      </c>
      <c r="L25" s="21" t="str">
        <f>VLOOKUP(A25,'Trips&amp;Operators'!$C$1:$G$99999,5,FALSE)</f>
        <v>BADERTSCHER DIANE</v>
      </c>
      <c r="M25" s="6">
        <f t="shared" si="1"/>
        <v>2.8946759259270038E-2</v>
      </c>
      <c r="N25" s="7">
        <f t="shared" si="2"/>
        <v>41.683333333348855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-02-24T04:11:17-0700',mode:absolute,to:'2017-02-24T06:56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5" s="187" t="str">
        <f t="shared" si="6"/>
        <v>N</v>
      </c>
      <c r="X25" s="187">
        <f t="shared" si="27"/>
        <v>1</v>
      </c>
      <c r="Y25" s="62">
        <f t="shared" si="8"/>
        <v>4.5100000000000001E-2</v>
      </c>
      <c r="Z25" s="62">
        <f t="shared" si="17"/>
        <v>23.3261</v>
      </c>
      <c r="AA25" s="62">
        <f t="shared" si="9"/>
        <v>23.280999999999999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0113-24</v>
      </c>
      <c r="AE25" s="85" t="str">
        <f t="shared" si="11"/>
        <v>aws s3 cp s3://rtdc.mdm.uploadarchive.raw/RTDC4051/ "%USERPROFILE%\AppData\Local\Temp\OnboardLogs"\RTDC4051\2017-02-24 --exclude "*" --recursive --include "*20170224*" &amp; "%USERPROFILE%\Documents\GitHub\mrs-test-scripts\Headless Mode &amp; Sideloading\WalkAndUnGZ.bat" "%USERPROFILE%\AppData\Local\Temp\OnboardLogs"\RTDC4051\2017-02-24 &amp; 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</v>
      </c>
      <c r="AF25" s="82" t="str">
        <f t="shared" si="12"/>
        <v>"C:\Program Files (x86)\AstroGrep\AstroGrep.exe" /spath="%USERPROFILE%\AppData\Local\Temp\OnboardLogs" /stypes="app*4051*20170224*" /stext=" 12:.+((SYSTEM_STATE.+slice.+state.+changed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86" t="str">
        <f t="shared" si="18"/>
        <v>"%USERPROFILE%\Documents\GitHub\eaglep3\Utilities\RefineRTDCRunTimes.py" --tripid 113-24 --locoid 4051 --swversion DE.1.0.9.0 --startMP 204:451 --initTime 2017-02-24T05:11:17 --startdatetime 2017-02-24T05:15:18 --delay 1 --endMP 204:233261 --enddatetime 2017-02-24T05:56:59 --enforcementcount 1 &gt;&gt;C:\Users\stu\Documents\GitHub\eaglep3-reporting\EC\2017-02-24-refined-times.txt</v>
      </c>
      <c r="AI25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{"issue":{"subject":"","project_id":79,"tracker_id":40,"status_id":1,"priority_id":2,"assigned_to_id":23,"start_date":"2017-02-24","description":"","custom_fields":[{"id":1,"name":"Subdivision","value":"EC"},{"id":4,"name":"Milepost","value":"23.3261"},{"id":17,"name":"Train ID","value":"113-24"},{"id":16,"name":"Locomotive ID","value":"4051"},{"id":130,"name":"Impact","value":""},{"id":150,"name":"Time of Event (Mountain Time)","value":"05:56:59"},{"id":151,"name":"Denver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4051 --day 2017-02-24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"%USERPROFILE%\AppData\Local\Temp\OnboardLogs"\RTDC4051\*4051*20170224* | grep -SE "(Enforcement Action)|(\[TIMEOUT)|(CHR.+\|PRM\|1\|D.+(SWITCH|SIGNAL).+UNKNOWN)" - &gt;&gt; 2017-02-24-UncaughtWiMAX.txt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503</v>
      </c>
      <c r="B26" s="7">
        <v>4052</v>
      </c>
      <c r="C26" s="21" t="s">
        <v>280</v>
      </c>
      <c r="D26" s="21" t="s">
        <v>268</v>
      </c>
      <c r="E26" s="13">
        <v>42790.250243055554</v>
      </c>
      <c r="F26" s="13">
        <v>42790.257835648146</v>
      </c>
      <c r="G26" s="7">
        <v>1</v>
      </c>
      <c r="H26" s="21" t="s">
        <v>673</v>
      </c>
      <c r="I26" s="13">
        <v>42790.287569444445</v>
      </c>
      <c r="J26" s="7">
        <v>1</v>
      </c>
      <c r="K26" s="98" t="str">
        <f t="shared" si="0"/>
        <v>4051/4052</v>
      </c>
      <c r="L26" s="21" t="str">
        <f>VLOOKUP(A26,'Trips&amp;Operators'!$C$1:$G$99999,5,FALSE)</f>
        <v>BADERTSCHER DIANE</v>
      </c>
      <c r="M26" s="6">
        <f t="shared" si="1"/>
        <v>2.973379629838746E-2</v>
      </c>
      <c r="N26" s="7">
        <f t="shared" si="2"/>
        <v>42.816666669677943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-02-24T05:00:21-0700',mode:absolute,to:'2017-02-24T07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23.2973</v>
      </c>
      <c r="Z26" s="62">
        <f t="shared" si="17"/>
        <v>1.7600000000000001E-2</v>
      </c>
      <c r="AA26" s="62">
        <f t="shared" si="9"/>
        <v>23.279699999999998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0114-24</v>
      </c>
      <c r="AE26" s="85" t="str">
        <f t="shared" si="11"/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AF26" s="82" t="str">
        <f t="shared" si="12"/>
        <v>"C:\Program Files (x86)\AstroGrep\AstroGrep.exe" /spath="%USERPROFILE%\AppData\Local\Temp\OnboardLogs" /stypes="app*4052*20170224*" /stext=" 13:.+((SYSTEM_STATE.+slice.+state.+changed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86" t="str">
        <f t="shared" si="18"/>
        <v>"%USERPROFILE%\Documents\GitHub\eaglep3\Utilities\RefineRTDCRunTimes.py" --tripid 114-24 --locoid 4052 --swversion DE.1.0.9.0 --startMP 204:232973 --initTime 2017-02-24T06:00:21 --startdatetime 2017-02-24T06:11:17 --delay 1 --endMP 204:176 --enddatetime 2017-02-24T06:54:06 --enforcementcount 1 &gt;&gt;C:\Users\stu\Documents\GitHub\eaglep3-reporting\EC\2017-02-24-refined-times.txt</v>
      </c>
      <c r="AI26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{"issue":{"subject":"","project_id":79,"tracker_id":40,"status_id":1,"priority_id":2,"assigned_to_id":23,"start_date":"2017-02-24","description":"","custom_fields":[{"id":1,"name":"Subdivision","value":"EC"},{"id":4,"name":"Milepost","value":"0.0176"},{"id":17,"name":"Train ID","value":"114-24"},{"id":16,"name":"Locomotive ID","value":"4052"},{"id":130,"name":"Impact","value":""},{"id":150,"name":"Time of Event (Mountain Time)","value":"06:54:06"},{"id":151,"name":"Denver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4052 --day 2017-02-24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"%USERPROFILE%\AppData\Local\Temp\OnboardLogs"\RTDC4052\*4052*20170224* | grep -SE "(Enforcement Action)|(\[TIMEOUT)|(CHR.+\|PRM\|1\|D.+(SWITCH|SIGNAL).+UNKNOWN)" - &gt;&gt; 2017-02-24-UncaughtWiMAX.txt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497</v>
      </c>
      <c r="B27" s="7">
        <v>4031</v>
      </c>
      <c r="C27" s="21" t="s">
        <v>280</v>
      </c>
      <c r="D27" s="21" t="s">
        <v>674</v>
      </c>
      <c r="E27" s="13">
        <v>42790.226342592592</v>
      </c>
      <c r="F27" s="13">
        <v>42790.229444444441</v>
      </c>
      <c r="G27" s="7">
        <v>1</v>
      </c>
      <c r="H27" s="21" t="s">
        <v>302</v>
      </c>
      <c r="I27" s="13">
        <v>42790.255011574074</v>
      </c>
      <c r="J27" s="7">
        <v>1</v>
      </c>
      <c r="K27" s="98" t="str">
        <f t="shared" si="0"/>
        <v>4031/4032</v>
      </c>
      <c r="L27" s="21" t="str">
        <f>VLOOKUP(A27,'Trips&amp;Operators'!$C$1:$G$99999,5,FALSE)</f>
        <v>ROCHA YAOTL</v>
      </c>
      <c r="M27" s="6">
        <f t="shared" si="1"/>
        <v>2.5567129632690921E-2</v>
      </c>
      <c r="N27" s="7">
        <f t="shared" si="2"/>
        <v>36.816666671074927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-02-24T04:25:56-0700',mode:absolute,to:'2017-02-24T07:07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7.9000000000000001E-2</v>
      </c>
      <c r="Z27" s="62">
        <f t="shared" si="17"/>
        <v>23.328900000000001</v>
      </c>
      <c r="AA27" s="62">
        <f t="shared" si="9"/>
        <v>23.2499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0115-24</v>
      </c>
      <c r="AE27" s="85" t="str">
        <f t="shared" si="11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27" s="82" t="str">
        <f t="shared" si="12"/>
        <v>"C:\Program Files (x86)\AstroGrep\AstroGrep.exe" /spath="%USERPROFILE%\AppData\Local\Temp\OnboardLogs" /stypes="app*4031*20170224*" /stext=" 13:.+((SYSTEM_STATE.+slice.+state.+changed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86" t="str">
        <f t="shared" si="18"/>
        <v>"%USERPROFILE%\Documents\GitHub\eaglep3\Utilities\RefineRTDCRunTimes.py" --tripid 115-24 --locoid 4031 --swversion DE.1.0.9.0 --startMP 204:790 --initTime 2017-02-24T05:25:56 --startdatetime 2017-02-24T05:30:24 --delay 1 --endMP 204:233289 --enddatetime 2017-02-24T06:07:13 --enforcementcount 1 &gt;&gt;C:\Users\stu\Documents\GitHub\eaglep3-reporting\EC\2017-02-24-refined-times.txt</v>
      </c>
      <c r="AI27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{"issue":{"subject":"","project_id":79,"tracker_id":40,"status_id":1,"priority_id":2,"assigned_to_id":23,"start_date":"2017-02-24","description":"","custom_fields":[{"id":1,"name":"Subdivision","value":"EC"},{"id":4,"name":"Milepost","value":"23.3289"},{"id":17,"name":"Train ID","value":"115-24"},{"id":16,"name":"Locomotive ID","value":"4031"},{"id":130,"name":"Impact","value":""},{"id":150,"name":"Time of Event (Mountain Time)","value":"06:07:13"},{"id":151,"name":"Denver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4031 --day 2017-02-24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"%USERPROFILE%\AppData\Local\Temp\OnboardLogs"\RTDC4031\*4031*20170224* | grep -SE "(Enforcement Action)|(\[TIMEOUT)|(CHR.+\|PRM\|1\|D.+(SWITCH|SIGNAL).+UNKNOWN)" - &gt;&gt; 2017-02-24-UncaughtWiMAX.txt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507</v>
      </c>
      <c r="B28" s="7">
        <v>4032</v>
      </c>
      <c r="C28" s="21" t="s">
        <v>280</v>
      </c>
      <c r="D28" s="21" t="s">
        <v>675</v>
      </c>
      <c r="E28" s="13">
        <v>42790.267152777778</v>
      </c>
      <c r="F28" s="13">
        <v>42790.268784722219</v>
      </c>
      <c r="G28" s="7">
        <v>1</v>
      </c>
      <c r="H28" s="21" t="s">
        <v>184</v>
      </c>
      <c r="I28" s="13">
        <v>42790.295636574076</v>
      </c>
      <c r="J28" s="7">
        <v>1</v>
      </c>
      <c r="K28" s="98" t="str">
        <f t="shared" si="0"/>
        <v>4031/4032</v>
      </c>
      <c r="L28" s="21" t="str">
        <f>VLOOKUP(A28,'Trips&amp;Operators'!$C$1:$G$99999,5,FALSE)</f>
        <v>ROCHA YAOTL</v>
      </c>
      <c r="M28" s="6">
        <f t="shared" si="1"/>
        <v>2.6851851856918074E-2</v>
      </c>
      <c r="N28" s="7">
        <f t="shared" si="2"/>
        <v>38.666666673962027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-02-24T05:24:42-0700',mode:absolute,to:'2017-02-24T08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23.296600000000002</v>
      </c>
      <c r="Z28" s="62">
        <f t="shared" si="17"/>
        <v>1.49E-2</v>
      </c>
      <c r="AA28" s="62">
        <f t="shared" si="9"/>
        <v>23.281700000000001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0116-24</v>
      </c>
      <c r="AE28" s="85" t="str">
        <f t="shared" si="11"/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AF28" s="82" t="str">
        <f t="shared" si="12"/>
        <v>"C:\Program Files (x86)\AstroGrep\AstroGrep.exe" /spath="%USERPROFILE%\AppData\Local\Temp\OnboardLogs" /stypes="app*4032*20170224*" /stext=" 14:.+((SYSTEM_STATE.+slice.+state.+changed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86" t="str">
        <f t="shared" si="18"/>
        <v>"%USERPROFILE%\Documents\GitHub\eaglep3\Utilities\RefineRTDCRunTimes.py" --tripid 116-24 --locoid 4032 --swversion DE.1.0.9.0 --startMP 204:232966 --initTime 2017-02-24T06:24:42 --startdatetime 2017-02-24T06:27:03 --delay 1 --endMP 204:149 --enddatetime 2017-02-24T07:05:43 --enforcementcount 1 &gt;&gt;C:\Users\stu\Documents\GitHub\eaglep3-reporting\EC\2017-02-24-refined-times.txt</v>
      </c>
      <c r="AI28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{"issue":{"subject":"","project_id":79,"tracker_id":40,"status_id":1,"priority_id":2,"assigned_to_id":23,"start_date":"2017-02-24","description":"","custom_fields":[{"id":1,"name":"Subdivision","value":"EC"},{"id":4,"name":"Milepost","value":"0.0149"},{"id":17,"name":"Train ID","value":"116-24"},{"id":16,"name":"Locomotive ID","value":"4032"},{"id":130,"name":"Impact","value":""},{"id":150,"name":"Time of Event (Mountain Time)","value":"07:05:43"},{"id":151,"name":"Denver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4032 --day 2017-02-24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"%USERPROFILE%\AppData\Local\Temp\OnboardLogs"\RTDC4032\*4032*20170224* | grep -SE "(Enforcement Action)|(\[TIMEOUT)|(CHR.+\|PRM\|1\|D.+(SWITCH|SIGNAL).+UNKNOWN)" - &gt;&gt; 2017-02-24-UncaughtWiMAX.txt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500</v>
      </c>
      <c r="B29" s="7">
        <v>4044</v>
      </c>
      <c r="C29" s="21" t="s">
        <v>280</v>
      </c>
      <c r="D29" s="21" t="s">
        <v>263</v>
      </c>
      <c r="E29" s="13">
        <v>42790.230092592596</v>
      </c>
      <c r="F29" s="13">
        <v>42790.239837962959</v>
      </c>
      <c r="G29" s="7">
        <v>1</v>
      </c>
      <c r="H29" s="21" t="s">
        <v>310</v>
      </c>
      <c r="I29" s="13">
        <v>42790.264664351853</v>
      </c>
      <c r="J29" s="7">
        <v>1</v>
      </c>
      <c r="K29" s="98" t="str">
        <f t="shared" si="0"/>
        <v>4043/4044</v>
      </c>
      <c r="L29" s="21" t="str">
        <f>VLOOKUP(A29,'Trips&amp;Operators'!$C$1:$G$99999,5,FALSE)</f>
        <v>YANAI IAN</v>
      </c>
      <c r="M29" s="6">
        <f t="shared" si="1"/>
        <v>2.4826388893416151E-2</v>
      </c>
      <c r="N29" s="7">
        <f t="shared" si="2"/>
        <v>35.750000006519258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-02-24T04:31:20-0700',mode:absolute,to:'2017-02-24T07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4.3099999999999999E-2</v>
      </c>
      <c r="Z29" s="62">
        <f t="shared" si="17"/>
        <v>23.329499999999999</v>
      </c>
      <c r="AA29" s="62">
        <f t="shared" si="9"/>
        <v>23.2864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0117-24</v>
      </c>
      <c r="AE29" s="85" t="str">
        <f t="shared" si="11"/>
        <v>aws s3 cp s3://rtdc.mdm.uploadarchive.raw/RTDC4044/ "%USERPROFILE%\AppData\Local\Temp\OnboardLogs"\RTDC4044\2017-02-24 --exclude "*" --recursive --include "*20170224*" &amp; "%USERPROFILE%\Documents\GitHub\mrs-test-scripts\Headless Mode &amp; Sideloading\WalkAndUnGZ.bat" "%USERPROFILE%\AppData\Local\Temp\OnboardLogs"\RTDC4044\2017-02-24 &amp; 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</v>
      </c>
      <c r="AF29" s="82" t="str">
        <f t="shared" si="12"/>
        <v>"C:\Program Files (x86)\AstroGrep\AstroGrep.exe" /spath="%USERPROFILE%\AppData\Local\Temp\OnboardLogs" /stypes="app*4044*20170224*" /stext=" 13:.+((SYSTEM_STATE.+slice.+state.+changed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86" t="str">
        <f t="shared" si="18"/>
        <v>"%USERPROFILE%\Documents\GitHub\eaglep3\Utilities\RefineRTDCRunTimes.py" --tripid 117-24 --locoid 4044 --swversion DE.1.0.9.0 --startMP 204:431 --initTime 2017-02-24T05:31:20 --startdatetime 2017-02-24T05:45:22 --delay 1 --endMP 204:233295 --enddatetime 2017-02-24T06:21:07 --enforcementcount 1 &gt;&gt;C:\Users\stu\Documents\GitHub\eaglep3-reporting\EC\2017-02-24-refined-times.txt</v>
      </c>
      <c r="AI29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{"issue":{"subject":"","project_id":79,"tracker_id":40,"status_id":1,"priority_id":2,"assigned_to_id":23,"start_date":"2017-02-24","description":"","custom_fields":[{"id":1,"name":"Subdivision","value":"EC"},{"id":4,"name":"Milepost","value":"23.3295"},{"id":17,"name":"Train ID","value":"117-24"},{"id":16,"name":"Locomotive ID","value":"4044"},{"id":130,"name":"Impact","value":""},{"id":150,"name":"Time of Event (Mountain Time)","value":"06:21:07"},{"id":151,"name":"Denver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4044 --day 2017-02-24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"%USERPROFILE%\AppData\Local\Temp\OnboardLogs"\RTDC4044\*4044*20170224* | grep -SE "(Enforcement Action)|(\[TIMEOUT)|(CHR.+\|PRM\|1\|D.+(SWITCH|SIGNAL).+UNKNOWN)" - &gt;&gt; 2017-02-24-UncaughtWiMAX.txt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506</v>
      </c>
      <c r="B30" s="7">
        <v>4043</v>
      </c>
      <c r="C30" s="21" t="s">
        <v>280</v>
      </c>
      <c r="D30" s="21" t="s">
        <v>270</v>
      </c>
      <c r="E30" s="13">
        <v>42790.266087962962</v>
      </c>
      <c r="F30" s="13">
        <v>42790.278622685182</v>
      </c>
      <c r="G30" s="7">
        <v>1</v>
      </c>
      <c r="H30" s="21" t="s">
        <v>194</v>
      </c>
      <c r="I30" s="13">
        <v>42790.305902777778</v>
      </c>
      <c r="J30" s="7">
        <v>1</v>
      </c>
      <c r="K30" s="98" t="str">
        <f t="shared" si="0"/>
        <v>4043/4044</v>
      </c>
      <c r="L30" s="21" t="str">
        <f>VLOOKUP(A30,'Trips&amp;Operators'!$C$1:$G$99999,5,FALSE)</f>
        <v>YANAI IAN</v>
      </c>
      <c r="M30" s="6">
        <f t="shared" si="1"/>
        <v>2.7280092595901806E-2</v>
      </c>
      <c r="N30" s="7">
        <f t="shared" si="2"/>
        <v>39.283333338098601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-02-24T05:23:10-0700',mode:absolute,to:'2017-02-24T08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23.298200000000001</v>
      </c>
      <c r="Z30" s="62">
        <f t="shared" si="17"/>
        <v>1.4999999999999999E-2</v>
      </c>
      <c r="AA30" s="62">
        <f t="shared" si="9"/>
        <v>23.283200000000001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0118-24</v>
      </c>
      <c r="AE30" s="85" t="str">
        <f t="shared" si="11"/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AF30" s="82" t="str">
        <f t="shared" si="12"/>
        <v>"C:\Program Files (x86)\AstroGrep\AstroGrep.exe" /spath="%USERPROFILE%\AppData\Local\Temp\OnboardLogs" /stypes="app*4043*20170224*" /stext=" 14:.+((SYSTEM_STATE.+slice.+state.+changed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86" t="str">
        <f t="shared" si="18"/>
        <v>"%USERPROFILE%\Documents\GitHub\eaglep3\Utilities\RefineRTDCRunTimes.py" --tripid 118-24 --locoid 4043 --swversion DE.1.0.9.0 --startMP 204:232982 --initTime 2017-02-24T06:23:10 --startdatetime 2017-02-24T06:41:13 --delay 1 --endMP 204:150 --enddatetime 2017-02-24T07:20:30 --enforcementcount 1 &gt;&gt;C:\Users\stu\Documents\GitHub\eaglep3-reporting\EC\2017-02-24-refined-times.txt</v>
      </c>
      <c r="AI30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{"issue":{"subject":"","project_id":79,"tracker_id":40,"status_id":1,"priority_id":2,"assigned_to_id":23,"start_date":"2017-02-24","description":"","custom_fields":[{"id":1,"name":"Subdivision","value":"EC"},{"id":4,"name":"Milepost","value":"0.015"},{"id":17,"name":"Train ID","value":"118-24"},{"id":16,"name":"Locomotive ID","value":"4043"},{"id":130,"name":"Impact","value":""},{"id":150,"name":"Time of Event (Mountain Time)","value":"07:20:30"},{"id":151,"name":"Denver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4043 --day 2017-02-24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"%USERPROFILE%\AppData\Local\Temp\OnboardLogs"\RTDC4043\*4043*20170224* | grep -SE "(Enforcement Action)|(\[TIMEOUT)|(CHR.+\|PRM\|1\|D.+(SWITCH|SIGNAL).+UNKNOWN)" - &gt;&gt; 2017-02-24-UncaughtWiMAX.txt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502</v>
      </c>
      <c r="B31" s="7">
        <v>4022</v>
      </c>
      <c r="C31" s="21" t="s">
        <v>280</v>
      </c>
      <c r="D31" s="21" t="s">
        <v>676</v>
      </c>
      <c r="E31" s="13">
        <v>42790.247870370367</v>
      </c>
      <c r="F31" s="13">
        <v>42790.250219907408</v>
      </c>
      <c r="G31" s="7">
        <v>1</v>
      </c>
      <c r="H31" s="21" t="s">
        <v>266</v>
      </c>
      <c r="I31" s="13">
        <v>42790.277222222219</v>
      </c>
      <c r="J31" s="7">
        <v>1</v>
      </c>
      <c r="K31" s="98" t="str">
        <f t="shared" si="0"/>
        <v>4021/4022</v>
      </c>
      <c r="L31" s="21" t="str">
        <f>VLOOKUP(A31,'Trips&amp;Operators'!$C$1:$G$99999,5,FALSE)</f>
        <v>ROBINSON KADDIBA</v>
      </c>
      <c r="M31" s="6">
        <f t="shared" si="1"/>
        <v>2.700231481139781E-2</v>
      </c>
      <c r="N31" s="7">
        <f t="shared" si="2"/>
        <v>38.883333328412846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-02-24T04:56:56-0700',mode:absolute,to:'2017-02-24T07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7.5499999999999998E-2</v>
      </c>
      <c r="Z31" s="62">
        <f t="shared" si="17"/>
        <v>23.3306</v>
      </c>
      <c r="AA31" s="62">
        <f t="shared" si="9"/>
        <v>23.255099999999999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0"/>
        <v>0119-24</v>
      </c>
      <c r="AE31" s="85" t="str">
        <f t="shared" si="11"/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AF31" s="82" t="str">
        <f t="shared" si="12"/>
        <v>"C:\Program Files (x86)\AstroGrep\AstroGrep.exe" /spath="%USERPROFILE%\AppData\Local\Temp\OnboardLogs" /stypes="app*4022*20170224*" /stext=" 13:.+((SYSTEM_STATE.+slice.+state.+changed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86" t="str">
        <f t="shared" si="18"/>
        <v>"%USERPROFILE%\Documents\GitHub\eaglep3\Utilities\RefineRTDCRunTimes.py" --tripid 119-24 --locoid 4022 --swversion DE.1.0.9.0 --startMP 204:755 --initTime 2017-02-24T05:56:56 --startdatetime 2017-02-24T06:00:19 --delay 1 --endMP 204:233306 --enddatetime 2017-02-24T06:39:12 --enforcementcount 1 &gt;&gt;C:\Users\stu\Documents\GitHub\eaglep3-reporting\EC\2017-02-24-refined-times.txt</v>
      </c>
      <c r="AI31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{"issue":{"subject":"","project_id":79,"tracker_id":40,"status_id":1,"priority_id":2,"assigned_to_id":23,"start_date":"2017-02-24","description":"","custom_fields":[{"id":1,"name":"Subdivision","value":"EC"},{"id":4,"name":"Milepost","value":"23.3306"},{"id":17,"name":"Train ID","value":"119-24"},{"id":16,"name":"Locomotive ID","value":"4022"},{"id":130,"name":"Impact","value":""},{"id":150,"name":"Time of Event (Mountain Time)","value":"06:39:12"},{"id":151,"name":"Denver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4022 --day 2017-02-24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"%USERPROFILE%\AppData\Local\Temp\OnboardLogs"\RTDC4022\*4022*20170224* | grep -SE "(Enforcement Action)|(\[TIMEOUT)|(CHR.+\|PRM\|1\|D.+(SWITCH|SIGNAL).+UNKNOWN)" - &gt;&gt; 2017-02-24-UncaughtWiMAX.txt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513</v>
      </c>
      <c r="B32" s="7">
        <v>4021</v>
      </c>
      <c r="C32" s="21" t="s">
        <v>280</v>
      </c>
      <c r="D32" s="21" t="s">
        <v>243</v>
      </c>
      <c r="E32" s="13">
        <v>42790.285277777781</v>
      </c>
      <c r="F32" s="13">
        <v>42790.289039351854</v>
      </c>
      <c r="G32" s="7">
        <v>1</v>
      </c>
      <c r="H32" s="21" t="s">
        <v>196</v>
      </c>
      <c r="I32" s="13">
        <v>42790.315810185188</v>
      </c>
      <c r="J32" s="7">
        <v>1</v>
      </c>
      <c r="K32" s="98" t="str">
        <f t="shared" si="0"/>
        <v>4021/4022</v>
      </c>
      <c r="L32" s="21" t="str">
        <f>VLOOKUP(A32,'Trips&amp;Operators'!$C$1:$G$99999,5,FALSE)</f>
        <v>ROBINSON KADDIBA</v>
      </c>
      <c r="M32" s="6">
        <f t="shared" si="1"/>
        <v>2.6770833334012423E-2</v>
      </c>
      <c r="N32" s="7">
        <f t="shared" si="2"/>
        <v>38.550000000977889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-02-24T05:50:48-0700',mode:absolute,to:'2017-02-24T08:34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23.299099999999999</v>
      </c>
      <c r="Z32" s="62">
        <f t="shared" si="17"/>
        <v>1.4500000000000001E-2</v>
      </c>
      <c r="AA32" s="62">
        <f t="shared" si="9"/>
        <v>23.284599999999998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0"/>
        <v>0120-24</v>
      </c>
      <c r="AE32" s="85" t="str">
        <f t="shared" si="11"/>
        <v>aws s3 cp s3://rtdc.mdm.uploadarchive.raw/RTDC4021/ "%USERPROFILE%\AppData\Local\Temp\OnboardLogs"\RTDC4021\2017-02-24 --exclude "*" --recursive --include "*20170224*" &amp; "%USERPROFILE%\Documents\GitHub\mrs-test-scripts\Headless Mode &amp; Sideloading\WalkAndUnGZ.bat" "%USERPROFILE%\AppData\Local\Temp\OnboardLogs"\RTDC4021\2017-02-24 &amp; 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</v>
      </c>
      <c r="AF32" s="82" t="str">
        <f t="shared" si="12"/>
        <v>"C:\Program Files (x86)\AstroGrep\AstroGrep.exe" /spath="%USERPROFILE%\AppData\Local\Temp\OnboardLogs" /stypes="app*4021*20170224*" /stext=" 14:.+((SYSTEM_STATE.+slice.+state.+changed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86" t="str">
        <f t="shared" si="18"/>
        <v>"%USERPROFILE%\Documents\GitHub\eaglep3\Utilities\RefineRTDCRunTimes.py" --tripid 120-24 --locoid 4021 --swversion DE.1.0.9.0 --startMP 204:232991 --initTime 2017-02-24T06:50:48 --startdatetime 2017-02-24T06:56:13 --delay 1 --endMP 204:145 --enddatetime 2017-02-24T07:34:46 --enforcementcount 1 &gt;&gt;C:\Users\stu\Documents\GitHub\eaglep3-reporting\EC\2017-02-24-refined-times.txt</v>
      </c>
      <c r="AI32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{"issue":{"subject":"","project_id":79,"tracker_id":40,"status_id":1,"priority_id":2,"assigned_to_id":23,"start_date":"2017-02-24","description":"","custom_fields":[{"id":1,"name":"Subdivision","value":"EC"},{"id":4,"name":"Milepost","value":"0.0145"},{"id":17,"name":"Train ID","value":"120-24"},{"id":16,"name":"Locomotive ID","value":"4021"},{"id":130,"name":"Impact","value":""},{"id":150,"name":"Time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4021 --day 2017-02-24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"%USERPROFILE%\AppData\Local\Temp\OnboardLogs"\RTDC4021\*4021*20170224* | grep -SE "(Enforcement Action)|(\[TIMEOUT)|(CHR.+\|PRM\|1\|D.+(SWITCH|SIGNAL).+UNKNOWN)" - &gt;&gt; 2017-02-24-UncaughtWiMAX.txt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445</v>
      </c>
      <c r="B33" s="7">
        <v>4009</v>
      </c>
      <c r="C33" s="21" t="s">
        <v>280</v>
      </c>
      <c r="D33" s="21" t="s">
        <v>311</v>
      </c>
      <c r="E33" s="13">
        <v>42790.258460648147</v>
      </c>
      <c r="F33" s="13">
        <v>42790.260648148149</v>
      </c>
      <c r="G33" s="7">
        <v>1</v>
      </c>
      <c r="H33" s="21" t="s">
        <v>337</v>
      </c>
      <c r="I33" s="13">
        <v>42790.286550925928</v>
      </c>
      <c r="J33" s="7">
        <v>1</v>
      </c>
      <c r="K33" s="98" t="str">
        <f t="shared" si="0"/>
        <v>4009/4010</v>
      </c>
      <c r="L33" s="21" t="str">
        <f>VLOOKUP(A33,'Trips&amp;Operators'!$C$1:$G$99999,5,FALSE)</f>
        <v>STARKS ANGELINA</v>
      </c>
      <c r="M33" s="6">
        <f t="shared" si="1"/>
        <v>2.5902777779265307E-2</v>
      </c>
      <c r="N33" s="7">
        <f t="shared" si="2"/>
        <v>37.300000002142042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-02-24T05:12:11-0700',mode:absolute,to:'2017-02-24T07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4.4900000000000002E-2</v>
      </c>
      <c r="Z33" s="62">
        <f t="shared" si="17"/>
        <v>23.329899999999999</v>
      </c>
      <c r="AA33" s="62">
        <f t="shared" si="9"/>
        <v>23.285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0121-24</v>
      </c>
      <c r="AE33" s="85" t="str">
        <f t="shared" si="11"/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AF33" s="82" t="str">
        <f t="shared" si="12"/>
        <v>"C:\Program Files (x86)\AstroGrep\AstroGrep.exe" /spath="%USERPROFILE%\AppData\Local\Temp\OnboardLogs" /stypes="app*4009*20170224*" /stext=" 13:.+((SYSTEM_STATE.+slice.+state.+changed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86" t="str">
        <f t="shared" si="18"/>
        <v>"%USERPROFILE%\Documents\GitHub\eaglep3\Utilities\RefineRTDCRunTimes.py" --tripid 121-24 --locoid 4009 --swversion DE.1.0.9.0 --startMP 204:449 --initTime 2017-02-24T06:12:11 --startdatetime 2017-02-24T06:15:20 --delay 1 --endMP 204:233299 --enddatetime 2017-02-24T06:52:38 --enforcementcount 1 &gt;&gt;C:\Users\stu\Documents\GitHub\eaglep3-reporting\EC\2017-02-24-refined-times.txt</v>
      </c>
      <c r="AI33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{"issue":{"subject":"","project_id":79,"tracker_id":40,"status_id":1,"priority_id":2,"assigned_to_id":23,"start_date":"2017-02-24","description":"","custom_fields":[{"id":1,"name":"Subdivision","value":"EC"},{"id":4,"name":"Milepost","value":"23.3299"},{"id":17,"name":"Train ID","value":"121-24"},{"id":16,"name":"Locomotive ID","value":"4009"},{"id":130,"name":"Impact","value":""},{"id":150,"name":"Time of Event (Mountain Time)","value":"06:52:38"},{"id":151,"name":"Denver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4009 --day 2017-02-24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"%USERPROFILE%\AppData\Local\Temp\OnboardLogs"\RTDC4009\*4009*20170224* | grep -SE "(Enforcement Action)|(\[TIMEOUT)|(CHR.+\|PRM\|1\|D.+(SWITCH|SIGNAL).+UNKNOWN)" - &gt;&gt; 2017-02-24-UncaughtWiMAX.txt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447</v>
      </c>
      <c r="B34" s="7">
        <v>4010</v>
      </c>
      <c r="C34" s="21" t="s">
        <v>280</v>
      </c>
      <c r="D34" s="21" t="s">
        <v>677</v>
      </c>
      <c r="E34" s="13">
        <v>42790.297337962962</v>
      </c>
      <c r="F34" s="13">
        <v>42790.299513888887</v>
      </c>
      <c r="G34" s="7">
        <v>1</v>
      </c>
      <c r="H34" s="21" t="s">
        <v>211</v>
      </c>
      <c r="I34" s="13">
        <v>42790.329050925924</v>
      </c>
      <c r="J34" s="7">
        <v>1</v>
      </c>
      <c r="K34" s="98" t="str">
        <f t="shared" si="0"/>
        <v>4009/4010</v>
      </c>
      <c r="L34" s="21" t="str">
        <f>VLOOKUP(A34,'Trips&amp;Operators'!$C$1:$G$99999,5,FALSE)</f>
        <v>STARKS ANGELINA</v>
      </c>
      <c r="M34" s="6">
        <f t="shared" si="1"/>
        <v>2.9537037036789116E-2</v>
      </c>
      <c r="N34" s="7">
        <f t="shared" si="2"/>
        <v>42.533333332976326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-02-24T06:08:10-0700',mode:absolute,to:'2017-02-24T08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23.296900000000001</v>
      </c>
      <c r="Z34" s="62">
        <f t="shared" si="17"/>
        <v>1.54E-2</v>
      </c>
      <c r="AA34" s="62">
        <f t="shared" si="9"/>
        <v>23.281500000000001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0122-24</v>
      </c>
      <c r="AE34" s="85" t="str">
        <f t="shared" si="11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34" s="82" t="str">
        <f t="shared" si="12"/>
        <v>"C:\Program Files (x86)\AstroGrep\AstroGrep.exe" /spath="%USERPROFILE%\AppData\Local\Temp\OnboardLogs" /stypes="app*4010*20170224*" /stext=" 14:.+((SYSTEM_STATE.+slice.+state.+changed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86" t="str">
        <f t="shared" si="18"/>
        <v>"%USERPROFILE%\Documents\GitHub\eaglep3\Utilities\RefineRTDCRunTimes.py" --tripid 122-24 --locoid 4010 --swversion DE.1.0.9.0 --startMP 204:232969 --initTime 2017-02-24T07:08:10 --startdatetime 2017-02-24T07:11:18 --delay 1 --endMP 204:154 --enddatetime 2017-02-24T07:53:50 --enforcementcount 1 &gt;&gt;C:\Users\stu\Documents\GitHub\eaglep3-reporting\EC\2017-02-24-refined-times.txt</v>
      </c>
      <c r="AI34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{"issue":{"subject":"","project_id":79,"tracker_id":40,"status_id":1,"priority_id":2,"assigned_to_id":23,"start_date":"2017-02-24","description":"","custom_fields":[{"id":1,"name":"Subdivision","value":"EC"},{"id":4,"name":"Milepost","value":"0.0154"},{"id":17,"name":"Train ID","value":"122-24"},{"id":16,"name":"Locomotive ID","value":"4010"},{"id":130,"name":"Impact","value":""},{"id":150,"name":"Time of Event (Mountain Time)","value":"07:53:50"},{"id":151,"name":"Denver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4010 --day 2017-02-24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"%USERPROFILE%\AppData\Local\Temp\OnboardLogs"\RTDC4010\*4010*20170224* | grep -SE "(Enforcement Action)|(\[TIMEOUT)|(CHR.+\|PRM\|1\|D.+(SWITCH|SIGNAL).+UNKNOWN)" - &gt;&gt; 2017-02-24-UncaughtWiMAX.txt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509</v>
      </c>
      <c r="B35" s="7">
        <v>4020</v>
      </c>
      <c r="C35" s="21" t="s">
        <v>280</v>
      </c>
      <c r="D35" s="21" t="s">
        <v>225</v>
      </c>
      <c r="E35" s="13">
        <v>42790.268414351849</v>
      </c>
      <c r="F35" s="13">
        <v>42790.271099537036</v>
      </c>
      <c r="G35" s="7">
        <v>1</v>
      </c>
      <c r="H35" s="21" t="s">
        <v>678</v>
      </c>
      <c r="I35" s="13">
        <v>42790.29650462963</v>
      </c>
      <c r="J35" s="7">
        <v>1</v>
      </c>
      <c r="K35" s="98" t="str">
        <f t="shared" si="0"/>
        <v>4019/4020</v>
      </c>
      <c r="L35" s="21" t="str">
        <f>VLOOKUP(A35,'Trips&amp;Operators'!$C$1:$G$99999,5,FALSE)</f>
        <v>LOZA FIDEL</v>
      </c>
      <c r="M35" s="6">
        <f t="shared" si="1"/>
        <v>2.5405092594155576E-2</v>
      </c>
      <c r="N35" s="7">
        <f t="shared" si="2"/>
        <v>36.58333333558403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-02-24T05:26:31-0700',mode:absolute,to:'2017-02-24T08:06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4.5999999999999999E-2</v>
      </c>
      <c r="Z35" s="62">
        <f t="shared" si="17"/>
        <v>23.3414</v>
      </c>
      <c r="AA35" s="62">
        <f t="shared" si="9"/>
        <v>23.295400000000001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0123-24</v>
      </c>
      <c r="AE35" s="85" t="str">
        <f t="shared" si="11"/>
        <v>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 &amp; 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</v>
      </c>
      <c r="AF35" s="82" t="str">
        <f t="shared" si="12"/>
        <v>"C:\Program Files (x86)\AstroGrep\AstroGrep.exe" /spath="%USERPROFILE%\AppData\Local\Temp\OnboardLogs" /stypes="app*4020*20170224*"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86" t="str">
        <f t="shared" si="18"/>
        <v>"%USERPROFILE%\Documents\GitHub\eaglep3\Utilities\RefineRTDCRunTimes.py" --tripid 123-24 --locoid 4020 --swversion DE.1.0.9.0 --startMP 204:460 --initTime 2017-02-24T06:26:31 --startdatetime 2017-02-24T06:30:23 --delay 1 --endMP 204:233414 --enddatetime 2017-02-24T07:06:58 --enforcementcount 1 &gt;&gt;C:\Users\stu\Documents\GitHub\eaglep3-reporting\EC\2017-02-24-refined-times.txt</v>
      </c>
      <c r="AI35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{"issue":{"subject":"","project_id":79,"tracker_id":40,"status_id":1,"priority_id":2,"assigned_to_id":23,"start_date":"2017-02-24","description":"","custom_fields":[{"id":1,"name":"Subdivision","value":"EC"},{"id":4,"name":"Milepost","value":"23.3414"},{"id":17,"name":"Train ID","value":"123-24"},{"id":16,"name":"Locomotive ID","value":"4020"},{"id":130,"name":"Impact","value":""},{"id":150,"name":"Time of Event (Mountain Time)","value":"07:06:58"},{"id":151,"name":"Denver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4020 --day 2017-02-24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2017-02-24-UncaughtWiMAX.txt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517</v>
      </c>
      <c r="B36" s="7">
        <v>4019</v>
      </c>
      <c r="C36" s="21" t="s">
        <v>280</v>
      </c>
      <c r="D36" s="21" t="s">
        <v>679</v>
      </c>
      <c r="E36" s="13">
        <v>42790.30777777778</v>
      </c>
      <c r="F36" s="13">
        <v>42790.309988425928</v>
      </c>
      <c r="G36" s="7">
        <v>1</v>
      </c>
      <c r="H36" s="21" t="s">
        <v>250</v>
      </c>
      <c r="I36" s="13">
        <v>42790.33829861111</v>
      </c>
      <c r="J36" s="7">
        <v>1</v>
      </c>
      <c r="K36" s="98" t="str">
        <f t="shared" si="0"/>
        <v>4019/4020</v>
      </c>
      <c r="L36" s="21" t="str">
        <f>VLOOKUP(A36,'Trips&amp;Operators'!$C$1:$G$99999,5,FALSE)</f>
        <v>LOZA FIDEL</v>
      </c>
      <c r="M36" s="6">
        <f t="shared" si="1"/>
        <v>2.8310185181908309E-2</v>
      </c>
      <c r="N36" s="7">
        <f t="shared" si="2"/>
        <v>40.766666661947966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-02-24T06:23:12-0700',mode:absolute,to:'2017-02-24T09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23.308700000000002</v>
      </c>
      <c r="Z36" s="62">
        <f t="shared" si="17"/>
        <v>1.41E-2</v>
      </c>
      <c r="AA36" s="62">
        <f t="shared" si="9"/>
        <v>23.294600000000003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0124-24</v>
      </c>
      <c r="AE36" s="85" t="str">
        <f t="shared" si="11"/>
        <v>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 &amp; 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</v>
      </c>
      <c r="AF36" s="82" t="str">
        <f t="shared" si="12"/>
        <v>"C:\Program Files (x86)\AstroGrep\AstroGrep.exe" /spath="%USERPROFILE%\AppData\Local\Temp\OnboardLogs" /stypes="app*4019*20170224*" /stext=" 15:.+((SYSTEM_STATE.+slice.+state.+changed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86" t="str">
        <f t="shared" si="18"/>
        <v>"%USERPROFILE%\Documents\GitHub\eaglep3\Utilities\RefineRTDCRunTimes.py" --tripid 124-24 --locoid 4019 --swversion DE.1.0.9.0 --startMP 204:233087 --initTime 2017-02-24T07:23:12 --startdatetime 2017-02-24T07:26:23 --delay 1 --endMP 204:141 --enddatetime 2017-02-24T08:07:09 --enforcementcount 1 &gt;&gt;C:\Users\stu\Documents\GitHub\eaglep3-reporting\EC\2017-02-24-refined-times.txt</v>
      </c>
      <c r="AI36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{"issue":{"subject":"","project_id":79,"tracker_id":40,"status_id":1,"priority_id":2,"assigned_to_id":23,"start_date":"2017-02-24","description":"","custom_fields":[{"id":1,"name":"Subdivision","value":"EC"},{"id":4,"name":"Milepost","value":"0.0141"},{"id":17,"name":"Train ID","value":"124-24"},{"id":16,"name":"Locomotive ID","value":"4019"},{"id":130,"name":"Impact","value":""},{"id":150,"name":"Time of Event (Mountain Time)","value":"08:07:09"},{"id":151,"name":"Denver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4019 --day 2017-02-24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2017-02-24-UncaughtWiMAX.txt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511</v>
      </c>
      <c r="B37" s="7">
        <v>4025</v>
      </c>
      <c r="C37" s="21" t="s">
        <v>280</v>
      </c>
      <c r="D37" s="21" t="s">
        <v>225</v>
      </c>
      <c r="E37" s="13">
        <v>42790.277662037035</v>
      </c>
      <c r="F37" s="13">
        <v>42790.281539351854</v>
      </c>
      <c r="G37" s="7">
        <v>1</v>
      </c>
      <c r="H37" s="21" t="s">
        <v>680</v>
      </c>
      <c r="I37" s="13">
        <v>42790.307106481479</v>
      </c>
      <c r="J37" s="7">
        <v>1</v>
      </c>
      <c r="K37" s="98" t="str">
        <f t="shared" si="0"/>
        <v>4025/4026</v>
      </c>
      <c r="L37" s="21" t="str">
        <f>VLOOKUP(A37,'Trips&amp;Operators'!$C$1:$G$99999,5,FALSE)</f>
        <v>BONDS REYNALDO</v>
      </c>
      <c r="M37" s="6">
        <f t="shared" si="1"/>
        <v>2.5567129625414964E-2</v>
      </c>
      <c r="N37" s="7">
        <f t="shared" si="2"/>
        <v>36.816666660597548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-02-24T05:39:50-0700',mode:absolute,to:'2017-02-24T08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4.5999999999999999E-2</v>
      </c>
      <c r="Z37" s="62">
        <f t="shared" si="17"/>
        <v>23.334299999999999</v>
      </c>
      <c r="AA37" s="62">
        <f t="shared" si="9"/>
        <v>23.2883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0125-24</v>
      </c>
      <c r="AE37" s="85" t="str">
        <f t="shared" si="11"/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AF37" s="82" t="str">
        <f t="shared" si="12"/>
        <v>"C:\Program Files (x86)\AstroGrep\AstroGrep.exe" /spath="%USERPROFILE%\AppData\Local\Temp\OnboardLogs" /stypes="app*4025*20170224*" /stext=" 14:.+((SYSTEM_STATE.+slice.+state.+changed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86" t="str">
        <f t="shared" si="18"/>
        <v>"%USERPROFILE%\Documents\GitHub\eaglep3\Utilities\RefineRTDCRunTimes.py" --tripid 125-24 --locoid 4025 --swversion DE.1.0.9.0 --startMP 204:460 --initTime 2017-02-24T06:39:50 --startdatetime 2017-02-24T06:45:25 --delay 1 --endMP 204:233343 --enddatetime 2017-02-24T07:22:14 --enforcementcount 1 &gt;&gt;C:\Users\stu\Documents\GitHub\eaglep3-reporting\EC\2017-02-24-refined-times.txt</v>
      </c>
      <c r="AI37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{"issue":{"subject":"","project_id":79,"tracker_id":40,"status_id":1,"priority_id":2,"assigned_to_id":23,"start_date":"2017-02-24","description":"","custom_fields":[{"id":1,"name":"Subdivision","value":"EC"},{"id":4,"name":"Milepost","value":"23.3343"},{"id":17,"name":"Train ID","value":"125-24"},{"id":16,"name":"Locomotive ID","value":"4025"},{"id":130,"name":"Impact","value":""},{"id":150,"name":"Time of Event (Mountain Time)","value":"07:22:14"},{"id":151,"name":"Denver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4025 --day 2017-02-24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2017-02-24-UncaughtWiMAX.txt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449</v>
      </c>
      <c r="B38" s="7">
        <v>4026</v>
      </c>
      <c r="C38" s="21" t="s">
        <v>280</v>
      </c>
      <c r="D38" s="21" t="s">
        <v>681</v>
      </c>
      <c r="E38" s="13">
        <v>42790.316388888888</v>
      </c>
      <c r="F38" s="13">
        <v>42790.320324074077</v>
      </c>
      <c r="G38" s="7">
        <v>1</v>
      </c>
      <c r="H38" s="21" t="s">
        <v>261</v>
      </c>
      <c r="I38" s="13">
        <v>42790.348391203705</v>
      </c>
      <c r="J38" s="7">
        <v>1</v>
      </c>
      <c r="K38" s="98" t="str">
        <f t="shared" si="0"/>
        <v>4025/4026</v>
      </c>
      <c r="L38" s="21" t="str">
        <f>VLOOKUP(A38,'Trips&amp;Operators'!$C$1:$G$99999,5,FALSE)</f>
        <v>BONDS REYNALDO</v>
      </c>
      <c r="M38" s="6">
        <f t="shared" si="1"/>
        <v>2.806712962774327E-2</v>
      </c>
      <c r="N38" s="7">
        <f t="shared" si="2"/>
        <v>40.416666663950309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-02-24T06:35:36-0700',mode:absolute,to:'2017-02-24T09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23.2986</v>
      </c>
      <c r="Z38" s="62">
        <f t="shared" si="17"/>
        <v>1.47E-2</v>
      </c>
      <c r="AA38" s="62">
        <f t="shared" si="9"/>
        <v>23.283899999999999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0126-24</v>
      </c>
      <c r="AE38" s="85" t="str">
        <f t="shared" si="11"/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AF38" s="82" t="str">
        <f t="shared" si="12"/>
        <v>"C:\Program Files (x86)\AstroGrep\AstroGrep.exe" /spath="%USERPROFILE%\AppData\Local\Temp\OnboardLogs" /stypes="app*4026*20170224*" /stext=" 15:.+((SYSTEM_STATE.+slice.+state.+changed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86" t="str">
        <f t="shared" si="18"/>
        <v>"%USERPROFILE%\Documents\GitHub\eaglep3\Utilities\RefineRTDCRunTimes.py" --tripid 126-24 --locoid 4026 --swversion DE.1.0.9.0 --startMP 204:232986 --initTime 2017-02-24T07:35:36 --startdatetime 2017-02-24T07:41:16 --delay 1 --endMP 204:147 --enddatetime 2017-02-24T08:21:41 --enforcementcount 1 &gt;&gt;C:\Users\stu\Documents\GitHub\eaglep3-reporting\EC\2017-02-24-refined-times.txt</v>
      </c>
      <c r="AI38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{"issue":{"subject":"","project_id":79,"tracker_id":40,"status_id":1,"priority_id":2,"assigned_to_id":23,"start_date":"2017-02-24","description":"","custom_fields":[{"id":1,"name":"Subdivision","value":"EC"},{"id":4,"name":"Milepost","value":"0.0147"},{"id":17,"name":"Train ID","value":"126-24"},{"id":16,"name":"Locomotive ID","value":"4026"},{"id":130,"name":"Impact","value":""},{"id":150,"name":"Time of Event (Mountain Time)","value":"08:21:41"},{"id":151,"name":"Denver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4026 --day 2017-02-24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"%USERPROFILE%\AppData\Local\Temp\OnboardLogs"\RTDC4026\*4026*20170224* | grep -SE "(Enforcement Action)|(\[TIMEOUT)|(CHR.+\|PRM\|1\|D.+(SWITCH|SIGNAL).+UNKNOWN)" - &gt;&gt; 2017-02-24-UncaughtWiMAX.txt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514</v>
      </c>
      <c r="B39" s="7">
        <v>4051</v>
      </c>
      <c r="C39" s="21" t="s">
        <v>280</v>
      </c>
      <c r="D39" s="21" t="s">
        <v>682</v>
      </c>
      <c r="E39" s="13">
        <v>42790.289502314816</v>
      </c>
      <c r="F39" s="13">
        <v>42790.29184027778</v>
      </c>
      <c r="G39" s="7">
        <v>1</v>
      </c>
      <c r="H39" s="21" t="s">
        <v>401</v>
      </c>
      <c r="I39" s="13">
        <v>42790.319143518522</v>
      </c>
      <c r="J39" s="7">
        <v>1</v>
      </c>
      <c r="K39" s="98" t="str">
        <f t="shared" si="0"/>
        <v>4051/4052</v>
      </c>
      <c r="L39" s="21" t="str">
        <f>VLOOKUP(A39,'Trips&amp;Operators'!$C$1:$G$99999,5,FALSE)</f>
        <v>BADERTSCHER DIANE</v>
      </c>
      <c r="M39" s="6">
        <f t="shared" si="1"/>
        <v>2.7303240742185153E-2</v>
      </c>
      <c r="N39" s="7">
        <f t="shared" si="2"/>
        <v>39.31666666874662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-02-24T05:56:53-0700',mode:absolute,to:'2017-02-24T08:39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4.8000000000000001E-2</v>
      </c>
      <c r="Z39" s="62">
        <f t="shared" si="17"/>
        <v>23.328299999999999</v>
      </c>
      <c r="AA39" s="62">
        <f t="shared" si="9"/>
        <v>23.2803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0127-24</v>
      </c>
      <c r="AE39" s="85" t="str">
        <f t="shared" si="11"/>
        <v>aws s3 cp s3://rtdc.mdm.uploadarchive.raw/RTDC4051/ "%USERPROFILE%\AppData\Local\Temp\OnboardLogs"\RTDC4051\2017-02-24 --exclude "*" --recursive --include "*20170224*" &amp; "%USERPROFILE%\Documents\GitHub\mrs-test-scripts\Headless Mode &amp; Sideloading\WalkAndUnGZ.bat" "%USERPROFILE%\AppData\Local\Temp\OnboardLogs"\RTDC4051\2017-02-24 &amp; 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</v>
      </c>
      <c r="AF39" s="82" t="str">
        <f t="shared" si="12"/>
        <v>"C:\Program Files (x86)\AstroGrep\AstroGrep.exe" /spath="%USERPROFILE%\AppData\Local\Temp\OnboardLogs" /stypes="app*4051*20170224*" /stext=" 14:.+((SYSTEM_STATE.+slice.+state.+changed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86" t="str">
        <f t="shared" si="18"/>
        <v>"%USERPROFILE%\Documents\GitHub\eaglep3\Utilities\RefineRTDCRunTimes.py" --tripid 127-24 --locoid 4051 --swversion DE.1.0.9.0 --startMP 204:480 --initTime 2017-02-24T06:56:53 --startdatetime 2017-02-24T07:00:15 --delay 1 --endMP 204:233283 --enddatetime 2017-02-24T07:39:34 --enforcementcount 1 &gt;&gt;C:\Users\stu\Documents\GitHub\eaglep3-reporting\EC\2017-02-24-refined-times.txt</v>
      </c>
      <c r="AI39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{"issue":{"subject":"","project_id":79,"tracker_id":40,"status_id":1,"priority_id":2,"assigned_to_id":23,"start_date":"2017-02-24","description":"","custom_fields":[{"id":1,"name":"Subdivision","value":"EC"},{"id":4,"name":"Milepost","value":"23.3283"},{"id":17,"name":"Train ID","value":"127-24"},{"id":16,"name":"Locomotive ID","value":"4051"},{"id":130,"name":"Impact","value":""},{"id":150,"name":"Time of Event (Mountain Time)","value":"07:39:34"},{"id":151,"name":"Denver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4051 --day 2017-02-24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"%USERPROFILE%\AppData\Local\Temp\OnboardLogs"\RTDC4051\*4051*20170224* | grep -SE "(Enforcement Action)|(\[TIMEOUT)|(CHR.+\|PRM\|1\|D.+(SWITCH|SIGNAL).+UNKNOWN)" - &gt;&gt; 2017-02-24-UncaughtWiMAX.txt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450</v>
      </c>
      <c r="B40" s="7">
        <v>4052</v>
      </c>
      <c r="C40" s="21" t="s">
        <v>280</v>
      </c>
      <c r="D40" s="21" t="s">
        <v>683</v>
      </c>
      <c r="E40" s="13">
        <v>42790.323599537034</v>
      </c>
      <c r="F40" s="13">
        <v>42790.33079861111</v>
      </c>
      <c r="G40" s="7">
        <v>1</v>
      </c>
      <c r="H40" s="21" t="s">
        <v>205</v>
      </c>
      <c r="I40" s="13">
        <v>42790.360115740739</v>
      </c>
      <c r="J40" s="7">
        <v>1</v>
      </c>
      <c r="K40" s="98" t="str">
        <f t="shared" si="0"/>
        <v>4051/4052</v>
      </c>
      <c r="L40" s="21" t="str">
        <f>VLOOKUP(A40,'Trips&amp;Operators'!$C$1:$G$99999,5,FALSE)</f>
        <v>BADERTSCHER DIANE</v>
      </c>
      <c r="M40" s="6">
        <f t="shared" si="1"/>
        <v>2.9317129628907423E-2</v>
      </c>
      <c r="N40" s="7">
        <f t="shared" si="2"/>
        <v>42.21666666562669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-02-24T06:45:59-0700',mode:absolute,to:'2017-02-24T09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23.2974</v>
      </c>
      <c r="Z40" s="62">
        <f t="shared" si="17"/>
        <v>1.52E-2</v>
      </c>
      <c r="AA40" s="62">
        <f t="shared" si="9"/>
        <v>23.2822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0128-24</v>
      </c>
      <c r="AE40" s="85" t="str">
        <f t="shared" si="11"/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AF40" s="82" t="str">
        <f t="shared" si="12"/>
        <v>"C:\Program Files (x86)\AstroGrep\AstroGrep.exe" /spath="%USERPROFILE%\AppData\Local\Temp\OnboardLogs" /stypes="app*4052*20170224*" /stext=" 15:.+((SYSTEM_STATE.+slice.+state.+changed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86" t="str">
        <f t="shared" si="18"/>
        <v>"%USERPROFILE%\Documents\GitHub\eaglep3\Utilities\RefineRTDCRunTimes.py" --tripid 128-24 --locoid 4052 --swversion DE.1.0.9.0 --startMP 204:232974 --initTime 2017-02-24T07:45:59 --startdatetime 2017-02-24T07:56:21 --delay 1 --endMP 204:152 --enddatetime 2017-02-24T08:38:34 --enforcementcount 1 &gt;&gt;C:\Users\stu\Documents\GitHub\eaglep3-reporting\EC\2017-02-24-refined-times.txt</v>
      </c>
      <c r="AI40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{"issue":{"subject":"","project_id":79,"tracker_id":40,"status_id":1,"priority_id":2,"assigned_to_id":23,"start_date":"2017-02-24","description":"","custom_fields":[{"id":1,"name":"Subdivision","value":"EC"},{"id":4,"name":"Milepost","value":"0.0152"},{"id":17,"name":"Train ID","value":"128-24"},{"id":16,"name":"Locomotive ID","value":"4052"},{"id":130,"name":"Impact","value":""},{"id":150,"name":"Time of Event (Mountain Time)","value":"08:38:34"},{"id":151,"name":"Denver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4052 --day 2017-02-24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"%USERPROFILE%\AppData\Local\Temp\OnboardLogs"\RTDC4052\*4052*20170224* | grep -SE "(Enforcement Action)|(\[TIMEOUT)|(CHR.+\|PRM\|1\|D.+(SWITCH|SIGNAL).+UNKNOWN)" - &gt;&gt; 2017-02-24-UncaughtWiMAX.txt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446</v>
      </c>
      <c r="B41" s="7">
        <v>4031</v>
      </c>
      <c r="C41" s="21" t="s">
        <v>280</v>
      </c>
      <c r="D41" s="21" t="s">
        <v>222</v>
      </c>
      <c r="E41" s="13">
        <v>42790.299583333333</v>
      </c>
      <c r="F41" s="13">
        <v>42790.302233796298</v>
      </c>
      <c r="G41" s="7">
        <v>1</v>
      </c>
      <c r="H41" s="21" t="s">
        <v>684</v>
      </c>
      <c r="I41" s="13">
        <v>42790.327048611114</v>
      </c>
      <c r="J41" s="7">
        <v>1</v>
      </c>
      <c r="K41" s="98" t="str">
        <f t="shared" si="0"/>
        <v>4031/4032</v>
      </c>
      <c r="L41" s="21" t="str">
        <f>VLOOKUP(A41,'Trips&amp;Operators'!$C$1:$G$99999,5,FALSE)</f>
        <v>ROCHA YAOTL</v>
      </c>
      <c r="M41" s="6">
        <f t="shared" si="1"/>
        <v>2.4814814816636499E-2</v>
      </c>
      <c r="N41" s="7">
        <f t="shared" si="2"/>
        <v>35.733333335956559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-02-24T06:11:24-0700',mode:absolute,to:'2017-02-24T08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4.5699999999999998E-2</v>
      </c>
      <c r="Z41" s="62">
        <f t="shared" si="17"/>
        <v>23.3339</v>
      </c>
      <c r="AA41" s="62">
        <f t="shared" si="9"/>
        <v>23.2882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0129-24</v>
      </c>
      <c r="AE41" s="85" t="str">
        <f t="shared" si="11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41" s="82" t="str">
        <f t="shared" si="12"/>
        <v>"C:\Program Files (x86)\AstroGrep\AstroGrep.exe" /spath="%USERPROFILE%\AppData\Local\Temp\OnboardLogs" /stypes="app*4031*20170224*" /stext=" 14:.+((SYSTEM_STATE.+slice.+state.+changed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86" t="str">
        <f t="shared" si="18"/>
        <v>"%USERPROFILE%\Documents\GitHub\eaglep3\Utilities\RefineRTDCRunTimes.py" --tripid 129-24 --locoid 4031 --swversion DE.1.0.9.0 --startMP 204:457 --initTime 2017-02-24T07:11:24 --startdatetime 2017-02-24T07:15:13 --delay 1 --endMP 204:233339 --enddatetime 2017-02-24T07:50:57 --enforcementcount 1 &gt;&gt;C:\Users\stu\Documents\GitHub\eaglep3-reporting\EC\2017-02-24-refined-times.txt</v>
      </c>
      <c r="AI41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{"issue":{"subject":"","project_id":79,"tracker_id":40,"status_id":1,"priority_id":2,"assigned_to_id":23,"start_date":"2017-02-24","description":"","custom_fields":[{"id":1,"name":"Subdivision","value":"EC"},{"id":4,"name":"Milepost","value":"23.3339"},{"id":17,"name":"Train ID","value":"129-24"},{"id":16,"name":"Locomotive ID","value":"4031"},{"id":130,"name":"Impact","value":""},{"id":150,"name":"Time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4031 --day 2017-02-24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"%USERPROFILE%\AppData\Local\Temp\OnboardLogs"\RTDC4031\*4031*20170224* | grep -SE "(Enforcement Action)|(\[TIMEOUT)|(CHR.+\|PRM\|1\|D.+(SWITCH|SIGNAL).+UNKNOWN)" - &gt;&gt; 2017-02-24-UncaughtWiMAX.txt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527</v>
      </c>
      <c r="B42" s="7">
        <v>4032</v>
      </c>
      <c r="C42" s="21" t="s">
        <v>280</v>
      </c>
      <c r="D42" s="21" t="s">
        <v>685</v>
      </c>
      <c r="E42" s="13">
        <v>42790.340474537035</v>
      </c>
      <c r="F42" s="13">
        <v>42790.341608796298</v>
      </c>
      <c r="G42" s="7">
        <v>1</v>
      </c>
      <c r="H42" s="21" t="s">
        <v>194</v>
      </c>
      <c r="I42" s="13">
        <v>42790.36886574074</v>
      </c>
      <c r="J42" s="7">
        <v>1</v>
      </c>
      <c r="K42" s="98" t="str">
        <f t="shared" si="0"/>
        <v>4031/4032</v>
      </c>
      <c r="L42" s="21" t="str">
        <f>VLOOKUP(A42,'Trips&amp;Operators'!$C$1:$G$99999,5,FALSE)</f>
        <v>ROCHA YAOTL</v>
      </c>
      <c r="M42" s="6">
        <f t="shared" si="1"/>
        <v>2.7256944442342501E-2</v>
      </c>
      <c r="N42" s="7">
        <f t="shared" si="2"/>
        <v>39.249999996973202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-02-24T07:10:17-0700',mode:absolute,to:'2017-02-24T09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23.305099999999999</v>
      </c>
      <c r="Z42" s="62">
        <f t="shared" si="17"/>
        <v>1.4999999999999999E-2</v>
      </c>
      <c r="AA42" s="62">
        <f t="shared" si="9"/>
        <v>23.290099999999999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0130-24</v>
      </c>
      <c r="AE42" s="85" t="str">
        <f t="shared" si="11"/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AF42" s="82" t="str">
        <f t="shared" si="12"/>
        <v>"C:\Program Files (x86)\AstroGrep\AstroGrep.exe" /spath="%USERPROFILE%\AppData\Local\Temp\OnboardLogs" /stypes="app*4032*20170224*" /stext=" 15:.+((SYSTEM_STATE.+slice.+state.+changed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86" t="str">
        <f t="shared" si="18"/>
        <v>"%USERPROFILE%\Documents\GitHub\eaglep3\Utilities\RefineRTDCRunTimes.py" --tripid 130-24 --locoid 4032 --swversion DE.1.0.9.0 --startMP 204:233051 --initTime 2017-02-24T08:10:17 --startdatetime 2017-02-24T08:11:55 --delay 1 --endMP 204:150 --enddatetime 2017-02-24T08:51:10 --enforcementcount 1 &gt;&gt;C:\Users\stu\Documents\GitHub\eaglep3-reporting\EC\2017-02-24-refined-times.txt</v>
      </c>
      <c r="AI42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{"issue":{"subject":"","project_id":79,"tracker_id":40,"status_id":1,"priority_id":2,"assigned_to_id":23,"start_date":"2017-02-24","description":"","custom_fields":[{"id":1,"name":"Subdivision","value":"EC"},{"id":4,"name":"Milepost","value":"0.015"},{"id":17,"name":"Train ID","value":"130-24"},{"id":16,"name":"Locomotive ID","value":"4032"},{"id":130,"name":"Impact","value":""},{"id":150,"name":"Time of Event (Mountain Time)","value":"08:51:10"},{"id":151,"name":"Denver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4032 --day 2017-02-24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"%USERPROFILE%\AppData\Local\Temp\OnboardLogs"\RTDC4032\*4032*20170224* | grep -SE "(Enforcement Action)|(\[TIMEOUT)|(CHR.+\|PRM\|1\|D.+(SWITCH|SIGNAL).+UNKNOWN)" - &gt;&gt; 2017-02-24-UncaughtWiMAX.txt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518</v>
      </c>
      <c r="B43" s="7">
        <v>4044</v>
      </c>
      <c r="C43" s="21" t="s">
        <v>280</v>
      </c>
      <c r="D43" s="21" t="s">
        <v>235</v>
      </c>
      <c r="E43" s="13">
        <v>42790.310300925928</v>
      </c>
      <c r="F43" s="13">
        <v>42790.312662037039</v>
      </c>
      <c r="G43" s="7">
        <v>1</v>
      </c>
      <c r="H43" s="21" t="s">
        <v>333</v>
      </c>
      <c r="I43" s="13">
        <v>42790.33792824074</v>
      </c>
      <c r="J43" s="7">
        <v>1</v>
      </c>
      <c r="K43" s="98" t="str">
        <f t="shared" si="0"/>
        <v>4043/4044</v>
      </c>
      <c r="L43" s="21" t="str">
        <f>VLOOKUP(A43,'Trips&amp;Operators'!$C$1:$G$99999,5,FALSE)</f>
        <v>YANAI IAN</v>
      </c>
      <c r="M43" s="6">
        <f t="shared" si="1"/>
        <v>2.5266203701903578E-2</v>
      </c>
      <c r="N43" s="7">
        <f t="shared" si="2"/>
        <v>36.383333330741152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-02-24T06:26:50-0700',mode:absolute,to:'2017-02-24T09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4.53E-2</v>
      </c>
      <c r="Z43" s="62">
        <f t="shared" si="17"/>
        <v>23.33</v>
      </c>
      <c r="AA43" s="62">
        <f t="shared" si="9"/>
        <v>23.284699999999997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0131-24</v>
      </c>
      <c r="AE43" s="85" t="str">
        <f t="shared" si="11"/>
        <v>aws s3 cp s3://rtdc.mdm.uploadarchive.raw/RTDC4044/ "%USERPROFILE%\AppData\Local\Temp\OnboardLogs"\RTDC4044\2017-02-24 --exclude "*" --recursive --include "*20170224*" &amp; "%USERPROFILE%\Documents\GitHub\mrs-test-scripts\Headless Mode &amp; Sideloading\WalkAndUnGZ.bat" "%USERPROFILE%\AppData\Local\Temp\OnboardLogs"\RTDC4044\2017-02-24 &amp; 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</v>
      </c>
      <c r="AF43" s="82" t="str">
        <f t="shared" si="12"/>
        <v>"C:\Program Files (x86)\AstroGrep\AstroGrep.exe" /spath="%USERPROFILE%\AppData\Local\Temp\OnboardLogs" /stypes="app*4044*20170224*" /stext=" 15:.+((SYSTEM_STATE.+slice.+state.+changed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86" t="str">
        <f t="shared" si="18"/>
        <v>"%USERPROFILE%\Documents\GitHub\eaglep3\Utilities\RefineRTDCRunTimes.py" --tripid 131-24 --locoid 4044 --swversion DE.1.0.9.0 --startMP 204:453 --initTime 2017-02-24T07:26:50 --startdatetime 2017-02-24T07:30:14 --delay 1 --endMP 204:233300 --enddatetime 2017-02-24T08:06:37 --enforcementcount 1 &gt;&gt;C:\Users\stu\Documents\GitHub\eaglep3-reporting\EC\2017-02-24-refined-times.txt</v>
      </c>
      <c r="AI43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{"issue":{"subject":"","project_id":79,"tracker_id":40,"status_id":1,"priority_id":2,"assigned_to_id":23,"start_date":"2017-02-24","description":"","custom_fields":[{"id":1,"name":"Subdivision","value":"EC"},{"id":4,"name":"Milepost","value":"23.33"},{"id":17,"name":"Train ID","value":"131-24"},{"id":16,"name":"Locomotive ID","value":"4044"},{"id":130,"name":"Impact","value":""},{"id":150,"name":"Time of Event (Mountain Time)","value":"08:06:37"},{"id":151,"name":"Denver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4044 --day 2017-02-24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"%USERPROFILE%\AppData\Local\Temp\OnboardLogs"\RTDC4044\*4044*20170224* | grep -SE "(Enforcement Action)|(\[TIMEOUT)|(CHR.+\|PRM\|1\|D.+(SWITCH|SIGNAL).+UNKNOWN)" - &gt;&gt; 2017-02-24-UncaughtWiMAX.txt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525</v>
      </c>
      <c r="B44" s="7">
        <v>4043</v>
      </c>
      <c r="C44" s="21" t="s">
        <v>280</v>
      </c>
      <c r="D44" s="21" t="s">
        <v>284</v>
      </c>
      <c r="E44" s="13">
        <v>42790.339317129627</v>
      </c>
      <c r="F44" s="13">
        <v>42790.351527777777</v>
      </c>
      <c r="G44" s="7">
        <v>1</v>
      </c>
      <c r="H44" s="21" t="s">
        <v>211</v>
      </c>
      <c r="I44" s="13">
        <v>42790.378703703704</v>
      </c>
      <c r="J44" s="7">
        <v>1</v>
      </c>
      <c r="K44" s="98" t="str">
        <f t="shared" si="0"/>
        <v>4043/4044</v>
      </c>
      <c r="L44" s="21" t="str">
        <f>VLOOKUP(A44,'Trips&amp;Operators'!$C$1:$G$99999,5,FALSE)</f>
        <v>YANAI IAN</v>
      </c>
      <c r="M44" s="6">
        <f t="shared" si="1"/>
        <v>2.7175925926712807E-2</v>
      </c>
      <c r="N44" s="7">
        <f t="shared" si="2"/>
        <v>39.133333334466442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-02-24T07:08:37-0700',mode:absolute,to:'2017-02-24T10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23.299399999999999</v>
      </c>
      <c r="Z44" s="62">
        <f t="shared" si="17"/>
        <v>1.54E-2</v>
      </c>
      <c r="AA44" s="62">
        <f t="shared" si="9"/>
        <v>23.283999999999999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0132-24</v>
      </c>
      <c r="AE44" s="85" t="str">
        <f t="shared" si="11"/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AF44" s="82" t="str">
        <f t="shared" si="12"/>
        <v>"C:\Program Files (x86)\AstroGrep\AstroGrep.exe" /spath="%USERPROFILE%\AppData\Local\Temp\OnboardLogs" /stypes="app*4043*20170224*" /stext=" 16:.+((SYSTEM_STATE.+slice.+state.+changed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86" t="str">
        <f t="shared" si="18"/>
        <v>"%USERPROFILE%\Documents\GitHub\eaglep3\Utilities\RefineRTDCRunTimes.py" --tripid 132-24 --locoid 4043 --swversion DE.1.0.9.0 --startMP 204:232994 --initTime 2017-02-24T08:08:37 --startdatetime 2017-02-24T08:26:12 --delay 1 --endMP 204:154 --enddatetime 2017-02-24T09:05:20 --enforcementcount 1 &gt;&gt;C:\Users\stu\Documents\GitHub\eaglep3-reporting\EC\2017-02-24-refined-times.txt</v>
      </c>
      <c r="AI44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{"issue":{"subject":"","project_id":79,"tracker_id":40,"status_id":1,"priority_id":2,"assigned_to_id":23,"start_date":"2017-02-24","description":"","custom_fields":[{"id":1,"name":"Subdivision","value":"EC"},{"id":4,"name":"Milepost","value":"0.0154"},{"id":17,"name":"Train ID","value":"132-24"},{"id":16,"name":"Locomotive ID","value":"4043"},{"id":130,"name":"Impact","value":""},{"id":150,"name":"Time of Event (Mountain Time)","value":"09:05:20"},{"id":151,"name":"Denver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4043 --day 2017-02-24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"%USERPROFILE%\AppData\Local\Temp\OnboardLogs"\RTDC4043\*4043*20170224* | grep -SE "(Enforcement Action)|(\[TIMEOUT)|(CHR.+\|PRM\|1\|D.+(SWITCH|SIGNAL).+UNKNOWN)" - &gt;&gt; 2017-02-24-UncaughtWiMAX.txt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521</v>
      </c>
      <c r="B45" s="7">
        <v>4022</v>
      </c>
      <c r="C45" s="21" t="s">
        <v>280</v>
      </c>
      <c r="D45" s="21" t="s">
        <v>222</v>
      </c>
      <c r="E45" s="13">
        <v>42790.319120370368</v>
      </c>
      <c r="F45" s="13">
        <v>42790.323159722226</v>
      </c>
      <c r="G45" s="7">
        <v>3</v>
      </c>
      <c r="H45" s="21" t="s">
        <v>686</v>
      </c>
      <c r="I45" s="13">
        <v>42790.349675925929</v>
      </c>
      <c r="J45" s="7">
        <v>1</v>
      </c>
      <c r="K45" s="98" t="str">
        <f t="shared" si="0"/>
        <v>4021/4022</v>
      </c>
      <c r="L45" s="21" t="str">
        <f>VLOOKUP(A45,'Trips&amp;Operators'!$C$1:$G$99999,5,FALSE)</f>
        <v>COOLAHAN JOHN</v>
      </c>
      <c r="M45" s="6">
        <f t="shared" si="1"/>
        <v>2.6516203703067731E-2</v>
      </c>
      <c r="N45" s="7">
        <f t="shared" si="2"/>
        <v>38.183333332417533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-02-24T06:39:32-0700',mode:absolute,to:'2017-02-24T09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5" s="187" t="str">
        <f t="shared" si="6"/>
        <v>N</v>
      </c>
      <c r="X45" s="187">
        <f t="shared" si="7"/>
        <v>1</v>
      </c>
      <c r="Y45" s="62">
        <f t="shared" si="8"/>
        <v>4.5699999999999998E-2</v>
      </c>
      <c r="Z45" s="62">
        <f t="shared" si="17"/>
        <v>23.328600000000002</v>
      </c>
      <c r="AA45" s="62">
        <f t="shared" si="9"/>
        <v>23.282900000000001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0133-24</v>
      </c>
      <c r="AE45" s="85" t="str">
        <f t="shared" si="11"/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AF45" s="82" t="str">
        <f t="shared" si="12"/>
        <v>"C:\Program Files (x86)\AstroGrep\AstroGrep.exe" /spath="%USERPROFILE%\AppData\Local\Temp\OnboardLogs" /stypes="app*4022*20170224*" /stext=" 15:.+((SYSTEM_STATE.+slice.+state.+changed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86" t="str">
        <f t="shared" si="18"/>
        <v>"%USERPROFILE%\Documents\GitHub\eaglep3\Utilities\RefineRTDCRunTimes.py" --tripid 133-24 --locoid 4022 --swversion DE.1.0.9.0 --startMP 204:457 --initTime 2017-02-24T07:39:32 --startdatetime 2017-02-24T07:45:21 --delay 3 --endMP 204:233286 --enddatetime 2017-02-24T08:23:32 --enforcementcount 1 &gt;&gt;C:\Users\stu\Documents\GitHub\eaglep3-reporting\EC\2017-02-24-refined-times.txt</v>
      </c>
      <c r="AI45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{"issue":{"subject":"","project_id":79,"tracker_id":40,"status_id":1,"priority_id":2,"assigned_to_id":23,"start_date":"2017-02-24","description":"","custom_fields":[{"id":1,"name":"Subdivision","value":"EC"},{"id":4,"name":"Milepost","value":"23.3286"},{"id":17,"name":"Train ID","value":"133-24"},{"id":16,"name":"Locomotive ID","value":"4022"},{"id":130,"name":"Impact","value":""},{"id":150,"name":"Time of Event (Mountain Time)","value":"08:23:32"},{"id":151,"name":"Denver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4022 --day 2017-02-24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"%USERPROFILE%\AppData\Local\Temp\OnboardLogs"\RTDC4022\*4022*20170224* | grep -SE "(Enforcement Action)|(\[TIMEOUT)|(CHR.+\|PRM\|1\|D.+(SWITCH|SIGNAL).+UNKNOWN)" - &gt;&gt; 2017-02-24-UncaughtWiMAX.txt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530</v>
      </c>
      <c r="B46" s="7">
        <v>4021</v>
      </c>
      <c r="C46" s="21" t="s">
        <v>280</v>
      </c>
      <c r="D46" s="21" t="s">
        <v>313</v>
      </c>
      <c r="E46" s="13">
        <v>42790.358715277776</v>
      </c>
      <c r="F46" s="13">
        <v>42790.361990740741</v>
      </c>
      <c r="G46" s="7">
        <v>1</v>
      </c>
      <c r="H46" s="21" t="s">
        <v>211</v>
      </c>
      <c r="I46" s="13">
        <v>42790.390162037038</v>
      </c>
      <c r="J46" s="7">
        <v>1</v>
      </c>
      <c r="K46" s="98" t="str">
        <f t="shared" si="0"/>
        <v>4021/4022</v>
      </c>
      <c r="L46" s="21" t="str">
        <f>VLOOKUP(A46,'Trips&amp;Operators'!$C$1:$G$99999,5,FALSE)</f>
        <v>COOLAHAN JOHN</v>
      </c>
      <c r="M46" s="6">
        <f t="shared" si="1"/>
        <v>2.8171296296932269E-2</v>
      </c>
      <c r="N46" s="7">
        <f t="shared" si="2"/>
        <v>40.566666667582467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-02-24T07:36:33-0700',mode:absolute,to:'2017-02-24T10:21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6" s="187" t="str">
        <f t="shared" si="6"/>
        <v>N</v>
      </c>
      <c r="X46" s="187">
        <f t="shared" si="7"/>
        <v>1</v>
      </c>
      <c r="Y46" s="62">
        <f t="shared" si="8"/>
        <v>23.299199999999999</v>
      </c>
      <c r="Z46" s="62">
        <f t="shared" si="17"/>
        <v>1.54E-2</v>
      </c>
      <c r="AA46" s="62">
        <f t="shared" si="9"/>
        <v>23.283799999999999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0"/>
        <v>0134-24</v>
      </c>
      <c r="AE46" s="85" t="str">
        <f t="shared" si="11"/>
        <v>aws s3 cp s3://rtdc.mdm.uploadarchive.raw/RTDC4021/ "%USERPROFILE%\AppData\Local\Temp\OnboardLogs"\RTDC4021\2017-02-24 --exclude "*" --recursive --include "*20170224*" &amp; "%USERPROFILE%\Documents\GitHub\mrs-test-scripts\Headless Mode &amp; Sideloading\WalkAndUnGZ.bat" "%USERPROFILE%\AppData\Local\Temp\OnboardLogs"\RTDC4021\2017-02-24 &amp; 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</v>
      </c>
      <c r="AF46" s="82" t="str">
        <f t="shared" si="12"/>
        <v>"C:\Program Files (x86)\AstroGrep\AstroGrep.exe" /spath="%USERPROFILE%\AppData\Local\Temp\OnboardLogs" /stypes="app*4021*20170224*" /stext=" 16:.+((SYSTEM_STATE.+slice.+state.+changed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86" t="str">
        <f t="shared" si="18"/>
        <v>"%USERPROFILE%\Documents\GitHub\eaglep3\Utilities\RefineRTDCRunTimes.py" --tripid 134-24 --locoid 4021 --swversion DE.1.0.9.0 --startMP 204:232992 --initTime 2017-02-24T08:36:33 --startdatetime 2017-02-24T08:41:16 --delay 1 --endMP 204:154 --enddatetime 2017-02-24T09:21:50 --enforcementcount 1 &gt;&gt;C:\Users\stu\Documents\GitHub\eaglep3-reporting\EC\2017-02-24-refined-times.txt</v>
      </c>
      <c r="AI46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{"issue":{"subject":"","project_id":79,"tracker_id":40,"status_id":1,"priority_id":2,"assigned_to_id":23,"start_date":"2017-02-24","description":"","custom_fields":[{"id":1,"name":"Subdivision","value":"EC"},{"id":4,"name":"Milepost","value":"0.0154"},{"id":17,"name":"Train ID","value":"134-24"},{"id":16,"name":"Locomotive ID","value":"4021"},{"id":130,"name":"Impact","value":""},{"id":150,"name":"Time of Event (Mountain Time)","value":"09:21:50"},{"id":151,"name":"Denver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4021 --day 2017-02-24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"%USERPROFILE%\AppData\Local\Temp\OnboardLogs"\RTDC4021\*4021*20170224* | grep -SE "(Enforcement Action)|(\[TIMEOUT)|(CHR.+\|PRM\|1\|D.+(SWITCH|SIGNAL).+UNKNOWN)" - &gt;&gt; 2017-02-24-UncaughtWiMAX.txt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448</v>
      </c>
      <c r="B47" s="7">
        <v>4009</v>
      </c>
      <c r="C47" s="21" t="s">
        <v>280</v>
      </c>
      <c r="D47" s="21" t="s">
        <v>311</v>
      </c>
      <c r="E47" s="13">
        <v>42790.33148148148</v>
      </c>
      <c r="F47" s="13">
        <v>42790.333506944444</v>
      </c>
      <c r="G47" s="7">
        <v>1</v>
      </c>
      <c r="H47" s="21" t="s">
        <v>333</v>
      </c>
      <c r="I47" s="13">
        <v>42790.360254629632</v>
      </c>
      <c r="J47" s="7">
        <v>1</v>
      </c>
      <c r="K47" s="98" t="str">
        <f t="shared" si="0"/>
        <v>4009/4010</v>
      </c>
      <c r="L47" s="21" t="str">
        <f>VLOOKUP(A47,'Trips&amp;Operators'!$C$1:$G$99999,5,FALSE)</f>
        <v>STARKS ANGELINA</v>
      </c>
      <c r="M47" s="6">
        <f t="shared" si="1"/>
        <v>2.6747685187729076E-2</v>
      </c>
      <c r="N47" s="7">
        <f t="shared" si="2"/>
        <v>38.516666670329869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-02-24T06:57:20-0700',mode:absolute,to:'2017-02-24T09:38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7" s="187" t="str">
        <f t="shared" si="6"/>
        <v>N</v>
      </c>
      <c r="X47" s="187">
        <f t="shared" si="7"/>
        <v>1</v>
      </c>
      <c r="Y47" s="62">
        <f t="shared" si="8"/>
        <v>4.4900000000000002E-2</v>
      </c>
      <c r="Z47" s="62">
        <f t="shared" si="17"/>
        <v>23.33</v>
      </c>
      <c r="AA47" s="62">
        <f t="shared" si="9"/>
        <v>23.2851</v>
      </c>
      <c r="AB47" s="59" t="str">
        <f>VLOOKUP(A47,Enforcements!$C$7:$K$13,8,0)</f>
        <v>Bulletin (2)</v>
      </c>
      <c r="AC47" s="55" t="str">
        <f>VLOOKUP(A47,Enforcements!$C$7:$E$13,3,0)</f>
        <v>GRADE CROSSING</v>
      </c>
      <c r="AD47" s="56" t="str">
        <f t="shared" si="10"/>
        <v>0135-24</v>
      </c>
      <c r="AE47" s="85" t="str">
        <f t="shared" si="11"/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AF47" s="82" t="str">
        <f t="shared" si="12"/>
        <v>"C:\Program Files (x86)\AstroGrep\AstroGrep.exe" /spath="%USERPROFILE%\AppData\Local\Temp\OnboardLogs" /stypes="app*4009*20170224*" /stext=" 15:.+((SYSTEM_STATE.+slice.+state.+changed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86" t="str">
        <f t="shared" si="18"/>
        <v>"%USERPROFILE%\Documents\GitHub\eaglep3\Utilities\RefineRTDCRunTimes.py" --tripid 135-24 --locoid 4009 --swversion DE.1.0.9.0 --startMP 204:449 --initTime 2017-02-24T07:57:20 --startdatetime 2017-02-24T08:00:15 --delay 1 --endMP 204:233300 --enddatetime 2017-02-24T08:38:46 --enforcementcount 1 &gt;&gt;C:\Users\stu\Documents\GitHub\eaglep3-reporting\EC\2017-02-24-refined-times.txt</v>
      </c>
      <c r="AI47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{"issue":{"subject":"","project_id":79,"tracker_id":40,"status_id":1,"priority_id":2,"assigned_to_id":23,"start_date":"2017-02-24","description":"","custom_fields":[{"id":1,"name":"Subdivision","value":"EC"},{"id":4,"name":"Milepost","value":"23.33"},{"id":17,"name":"Train ID","value":"135-24"},{"id":16,"name":"Locomotive ID","value":"4009"},{"id":130,"name":"Impact","value":""},{"id":150,"name":"Time of Event (Mountain Time)","value":"08:38:46"},{"id":151,"name":"Denver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4009 --day 2017-02-24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"%USERPROFILE%\AppData\Local\Temp\OnboardLogs"\RTDC4009\*4009*20170224* | grep -SE "(Enforcement Action)|(\[TIMEOUT)|(CHR.+\|PRM\|1\|D.+(SWITCH|SIGNAL).+UNKNOWN)" - &gt;&gt; 2017-02-24-UncaughtWiMAX.txt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451</v>
      </c>
      <c r="B48" s="7">
        <v>4010</v>
      </c>
      <c r="C48" s="21" t="s">
        <v>280</v>
      </c>
      <c r="D48" s="21" t="s">
        <v>243</v>
      </c>
      <c r="E48" s="13">
        <v>42790.367824074077</v>
      </c>
      <c r="F48" s="13">
        <v>42790.372395833336</v>
      </c>
      <c r="G48" s="7">
        <v>1</v>
      </c>
      <c r="H48" s="21" t="s">
        <v>389</v>
      </c>
      <c r="I48" s="13">
        <v>42790.402222222219</v>
      </c>
      <c r="J48" s="7">
        <v>1</v>
      </c>
      <c r="K48" s="98" t="str">
        <f t="shared" si="0"/>
        <v>4009/4010</v>
      </c>
      <c r="L48" s="21" t="str">
        <f>VLOOKUP(A48,'Trips&amp;Operators'!$C$1:$G$99999,5,FALSE)</f>
        <v>STARKS ANGELINA</v>
      </c>
      <c r="M48" s="6">
        <f t="shared" si="1"/>
        <v>2.9826388883520849E-2</v>
      </c>
      <c r="N48" s="7">
        <f t="shared" si="2"/>
        <v>42.949999992270023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-02-24T07:49:40-0700',mode:absolute,to:'2017-02-24T10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8" s="187" t="str">
        <f t="shared" si="6"/>
        <v>N</v>
      </c>
      <c r="X48" s="187">
        <f t="shared" si="7"/>
        <v>1</v>
      </c>
      <c r="Y48" s="62">
        <f t="shared" si="8"/>
        <v>23.299099999999999</v>
      </c>
      <c r="Z48" s="62">
        <f t="shared" si="17"/>
        <v>1.32E-2</v>
      </c>
      <c r="AA48" s="62">
        <f t="shared" si="9"/>
        <v>23.285899999999998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0"/>
        <v>0136-24</v>
      </c>
      <c r="AE48" s="85" t="str">
        <f t="shared" si="11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48" s="82" t="str">
        <f t="shared" si="12"/>
        <v>"C:\Program Files (x86)\AstroGrep\AstroGrep.exe" /spath="%USERPROFILE%\AppData\Local\Temp\OnboardLogs" /stypes="app*4010*20170224*" /stext=" 16:.+((SYSTEM_STATE.+slice.+state.+changed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86" t="str">
        <f t="shared" si="18"/>
        <v>"%USERPROFILE%\Documents\GitHub\eaglep3\Utilities\RefineRTDCRunTimes.py" --tripid 136-24 --locoid 4010 --swversion DE.1.0.9.0 --startMP 204:232991 --initTime 2017-02-24T08:49:40 --startdatetime 2017-02-24T08:56:15 --delay 1 --endMP 204:132 --enddatetime 2017-02-24T09:39:12 --enforcementcount 1 &gt;&gt;C:\Users\stu\Documents\GitHub\eaglep3-reporting\EC\2017-02-24-refined-times.txt</v>
      </c>
      <c r="AI48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{"issue":{"subject":"","project_id":79,"tracker_id":40,"status_id":1,"priority_id":2,"assigned_to_id":23,"start_date":"2017-02-24","description":"","custom_fields":[{"id":1,"name":"Subdivision","value":"EC"},{"id":4,"name":"Milepost","value":"0.0132"},{"id":17,"name":"Train ID","value":"136-24"},{"id":16,"name":"Locomotive ID","value":"4010"},{"id":130,"name":"Impact","value":""},{"id":150,"name":"Time of Event (Mountain Time)","value":"09:39:12"},{"id":151,"name":"Denver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4010 --day 2017-02-24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"%USERPROFILE%\AppData\Local\Temp\OnboardLogs"\RTDC4010\*4010*20170224* | grep -SE "(Enforcement Action)|(\[TIMEOUT)|(CHR.+\|PRM\|1\|D.+(SWITCH|SIGNAL).+UNKNOWN)" - &gt;&gt; 2017-02-24-UncaughtWiMAX.txt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526</v>
      </c>
      <c r="B49" s="7">
        <v>4020</v>
      </c>
      <c r="C49" s="21" t="s">
        <v>280</v>
      </c>
      <c r="D49" s="21" t="s">
        <v>260</v>
      </c>
      <c r="E49" s="13">
        <v>42790.340428240743</v>
      </c>
      <c r="F49" s="13">
        <v>42790.3440625</v>
      </c>
      <c r="G49" s="7">
        <v>1</v>
      </c>
      <c r="H49" s="21" t="s">
        <v>687</v>
      </c>
      <c r="I49" s="13">
        <v>42790.368958333333</v>
      </c>
      <c r="J49" s="7">
        <v>1</v>
      </c>
      <c r="K49" s="98" t="str">
        <f t="shared" si="0"/>
        <v>4019/4020</v>
      </c>
      <c r="L49" s="21" t="str">
        <f>VLOOKUP(A49,'Trips&amp;Operators'!$C$1:$G$99999,5,FALSE)</f>
        <v>LOZA FIDEL</v>
      </c>
      <c r="M49" s="6">
        <f t="shared" si="1"/>
        <v>2.4895833332266193E-2</v>
      </c>
      <c r="N49" s="7">
        <f t="shared" si="2"/>
        <v>35.849999998463318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-02-24T07:10:13-0700',mode:absolute,to:'2017-02-24T09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187" t="str">
        <f t="shared" si="6"/>
        <v>N</v>
      </c>
      <c r="X49" s="187">
        <f t="shared" si="7"/>
        <v>1</v>
      </c>
      <c r="Y49" s="62">
        <f t="shared" si="8"/>
        <v>4.4400000000000002E-2</v>
      </c>
      <c r="Z49" s="62">
        <f t="shared" si="17"/>
        <v>23.3383</v>
      </c>
      <c r="AA49" s="62">
        <f t="shared" si="9"/>
        <v>23.293900000000001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0137-24</v>
      </c>
      <c r="AE49" s="85" t="str">
        <f t="shared" si="11"/>
        <v>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 &amp; 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</v>
      </c>
      <c r="AF49" s="82" t="str">
        <f t="shared" si="12"/>
        <v>"C:\Program Files (x86)\AstroGrep\AstroGrep.exe" /spath="%USERPROFILE%\AppData\Local\Temp\OnboardLogs" /stypes="app*4020*20170224*" /stext=" 15:.+((SYSTEM_STATE.+slice.+state.+changed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86" t="str">
        <f t="shared" si="18"/>
        <v>"%USERPROFILE%\Documents\GitHub\eaglep3\Utilities\RefineRTDCRunTimes.py" --tripid 137-24 --locoid 4020 --swversion DE.1.0.9.0 --startMP 204:444 --initTime 2017-02-24T08:10:13 --startdatetime 2017-02-24T08:15:27 --delay 1 --endMP 204:233383 --enddatetime 2017-02-24T08:51:18 --enforcementcount 1 &gt;&gt;C:\Users\stu\Documents\GitHub\eaglep3-reporting\EC\2017-02-24-refined-times.txt</v>
      </c>
      <c r="AI49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{"issue":{"subject":"","project_id":79,"tracker_id":40,"status_id":1,"priority_id":2,"assigned_to_id":23,"start_date":"2017-02-24","description":"","custom_fields":[{"id":1,"name":"Subdivision","value":"EC"},{"id":4,"name":"Milepost","value":"23.3383"},{"id":17,"name":"Train ID","value":"137-24"},{"id":16,"name":"Locomotive ID","value":"4020"},{"id":130,"name":"Impact","value":""},{"id":150,"name":"Time of Event (Mountain Time)","value":"08:51:18"},{"id":151,"name":"Denver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4020 --day 2017-02-24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2017-02-24-UncaughtWiMAX.txt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535</v>
      </c>
      <c r="B50" s="7">
        <v>4019</v>
      </c>
      <c r="C50" s="21" t="s">
        <v>280</v>
      </c>
      <c r="D50" s="21" t="s">
        <v>688</v>
      </c>
      <c r="E50" s="13">
        <v>42790.376388888886</v>
      </c>
      <c r="F50" s="13">
        <v>42790.383159722223</v>
      </c>
      <c r="G50" s="7">
        <v>1</v>
      </c>
      <c r="H50" s="21" t="s">
        <v>184</v>
      </c>
      <c r="I50" s="13">
        <v>42790.410590277781</v>
      </c>
      <c r="J50" s="7">
        <v>1</v>
      </c>
      <c r="K50" s="98" t="str">
        <f t="shared" si="0"/>
        <v>4019/4020</v>
      </c>
      <c r="L50" s="21" t="str">
        <f>VLOOKUP(A50,'Trips&amp;Operators'!$C$1:$G$99999,5,FALSE)</f>
        <v>LOZA FIDEL</v>
      </c>
      <c r="M50" s="6">
        <f t="shared" si="1"/>
        <v>2.7430555557657499E-2</v>
      </c>
      <c r="N50" s="7">
        <f t="shared" si="2"/>
        <v>39.500000003026798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-02-24T08:02:00-0700',mode:absolute,to:'2017-02-24T10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187" t="str">
        <f t="shared" si="6"/>
        <v>N</v>
      </c>
      <c r="X50" s="187">
        <f t="shared" si="7"/>
        <v>1</v>
      </c>
      <c r="Y50" s="62">
        <f t="shared" si="8"/>
        <v>23.307600000000001</v>
      </c>
      <c r="Z50" s="62">
        <f t="shared" si="17"/>
        <v>1.49E-2</v>
      </c>
      <c r="AA50" s="62">
        <f t="shared" si="9"/>
        <v>23.2927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0138-24</v>
      </c>
      <c r="AE50" s="85" t="str">
        <f t="shared" si="11"/>
        <v>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 &amp; 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</v>
      </c>
      <c r="AF50" s="82" t="str">
        <f t="shared" si="12"/>
        <v>"C:\Program Files (x86)\AstroGrep\AstroGrep.exe" /spath="%USERPROFILE%\AppData\Local\Temp\OnboardLogs" /stypes="app*4019*20170224*" /stext=" 16:.+((SYSTEM_STATE.+slice.+state.+changed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86" t="str">
        <f t="shared" si="18"/>
        <v>"%USERPROFILE%\Documents\GitHub\eaglep3\Utilities\RefineRTDCRunTimes.py" --tripid 138-24 --locoid 4019 --swversion DE.1.0.9.0 --startMP 204:233076 --initTime 2017-02-24T09:02:00 --startdatetime 2017-02-24T09:11:45 --delay 1 --endMP 204:149 --enddatetime 2017-02-24T09:51:15 --enforcementcount 1 &gt;&gt;C:\Users\stu\Documents\GitHub\eaglep3-reporting\EC\2017-02-24-refined-times.txt</v>
      </c>
      <c r="AI50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{"issue":{"subject":"","project_id":79,"tracker_id":40,"status_id":1,"priority_id":2,"assigned_to_id":23,"start_date":"2017-02-24","description":"","custom_fields":[{"id":1,"name":"Subdivision","value":"EC"},{"id":4,"name":"Milepost","value":"0.0149"},{"id":17,"name":"Train ID","value":"138-24"},{"id":16,"name":"Locomotive ID","value":"4019"},{"id":130,"name":"Impact","value":""},{"id":150,"name":"Time of Event (Mountain Time)","value":"09:51:15"},{"id":151,"name":"Denver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4019 --day 2017-02-24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2017-02-24-UncaughtWiMAX.txt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528</v>
      </c>
      <c r="B51" s="7">
        <v>4025</v>
      </c>
      <c r="C51" s="21" t="s">
        <v>280</v>
      </c>
      <c r="D51" s="21" t="s">
        <v>225</v>
      </c>
      <c r="E51" s="13">
        <v>42790.350254629629</v>
      </c>
      <c r="F51" s="13">
        <v>42790.354548611111</v>
      </c>
      <c r="G51" s="7">
        <v>1</v>
      </c>
      <c r="H51" s="21" t="s">
        <v>662</v>
      </c>
      <c r="I51" s="13">
        <v>42790.380833333336</v>
      </c>
      <c r="J51" s="7">
        <v>1</v>
      </c>
      <c r="K51" s="98" t="str">
        <f t="shared" si="0"/>
        <v>4025/4026</v>
      </c>
      <c r="L51" s="21" t="str">
        <f>VLOOKUP(A51,'Trips&amp;Operators'!$C$1:$G$99999,5,FALSE)</f>
        <v>BONDS REYNALDO</v>
      </c>
      <c r="M51" s="6">
        <f t="shared" si="1"/>
        <v>2.6284722225682344E-2</v>
      </c>
      <c r="N51" s="7">
        <f t="shared" si="2"/>
        <v>37.850000004982576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-02-24T07:24:22-0700',mode:absolute,to:'2017-02-24T10:08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1" s="187" t="str">
        <f t="shared" si="6"/>
        <v>N</v>
      </c>
      <c r="X51" s="187">
        <f t="shared" si="7"/>
        <v>1</v>
      </c>
      <c r="Y51" s="62">
        <f t="shared" si="8"/>
        <v>4.5999999999999999E-2</v>
      </c>
      <c r="Z51" s="62">
        <f t="shared" si="17"/>
        <v>23.331499999999998</v>
      </c>
      <c r="AA51" s="62">
        <f t="shared" si="9"/>
        <v>23.285499999999999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0139-24</v>
      </c>
      <c r="AE51" s="85" t="str">
        <f t="shared" si="11"/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AF51" s="82" t="str">
        <f t="shared" si="12"/>
        <v>"C:\Program Files (x86)\AstroGrep\AstroGrep.exe" /spath="%USERPROFILE%\AppData\Local\Temp\OnboardLogs" /stypes="app*4025*20170224*" /stext=" 16:.+((SYSTEM_STATE.+slice.+state.+changed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86" t="str">
        <f t="shared" si="18"/>
        <v>"%USERPROFILE%\Documents\GitHub\eaglep3\Utilities\RefineRTDCRunTimes.py" --tripid 139-24 --locoid 4025 --swversion DE.1.0.9.0 --startMP 204:460 --initTime 2017-02-24T08:24:22 --startdatetime 2017-02-24T08:30:33 --delay 1 --endMP 204:233315 --enddatetime 2017-02-24T09:08:24 --enforcementcount 1 &gt;&gt;C:\Users\stu\Documents\GitHub\eaglep3-reporting\EC\2017-02-24-refined-times.txt</v>
      </c>
      <c r="AI51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{"issue":{"subject":"","project_id":79,"tracker_id":40,"status_id":1,"priority_id":2,"assigned_to_id":23,"start_date":"2017-02-24","description":"","custom_fields":[{"id":1,"name":"Subdivision","value":"EC"},{"id":4,"name":"Milepost","value":"23.3315"},{"id":17,"name":"Train ID","value":"139-24"},{"id":16,"name":"Locomotive ID","value":"4025"},{"id":130,"name":"Impact","value":""},{"id":150,"name":"Time of Event (Mountain Time)","value":"09:08:24"},{"id":151,"name":"Denver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4025 --day 2017-02-24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2017-02-24-UncaughtWiMAX.txt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537</v>
      </c>
      <c r="B52" s="7">
        <v>4026</v>
      </c>
      <c r="C52" s="21" t="s">
        <v>280</v>
      </c>
      <c r="D52" s="21" t="s">
        <v>243</v>
      </c>
      <c r="E52" s="13">
        <v>42790.391412037039</v>
      </c>
      <c r="F52" s="13">
        <v>42790.39329861111</v>
      </c>
      <c r="G52" s="7">
        <v>1</v>
      </c>
      <c r="H52" s="21" t="s">
        <v>261</v>
      </c>
      <c r="I52" s="13">
        <v>42790.420752314814</v>
      </c>
      <c r="J52" s="7">
        <v>1</v>
      </c>
      <c r="K52" s="98" t="str">
        <f t="shared" si="0"/>
        <v>4025/4026</v>
      </c>
      <c r="L52" s="21" t="str">
        <f>VLOOKUP(A52,'Trips&amp;Operators'!$C$1:$G$99999,5,FALSE)</f>
        <v>BONDS REYNALDO</v>
      </c>
      <c r="M52" s="6">
        <f t="shared" si="1"/>
        <v>2.7453703703940846E-2</v>
      </c>
      <c r="N52" s="7">
        <f t="shared" si="2"/>
        <v>39.533333333674818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-02-24T08:23:38-0700',mode:absolute,to:'2017-02-24T11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2" s="187" t="str">
        <f t="shared" si="6"/>
        <v>N</v>
      </c>
      <c r="X52" s="187">
        <f t="shared" si="7"/>
        <v>1</v>
      </c>
      <c r="Y52" s="62">
        <f t="shared" si="8"/>
        <v>23.299099999999999</v>
      </c>
      <c r="Z52" s="62">
        <f t="shared" si="17"/>
        <v>1.47E-2</v>
      </c>
      <c r="AA52" s="62">
        <f t="shared" si="9"/>
        <v>23.284399999999998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0140-24</v>
      </c>
      <c r="AE52" s="85" t="str">
        <f t="shared" si="11"/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AF52" s="82" t="str">
        <f t="shared" si="12"/>
        <v>"C:\Program Files (x86)\AstroGrep\AstroGrep.exe" /spath="%USERPROFILE%\AppData\Local\Temp\OnboardLogs" /stypes="app*4026*20170224*" /stext=" 17:.+((SYSTEM_STATE.+slice.+state.+changed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86" t="str">
        <f t="shared" si="18"/>
        <v>"%USERPROFILE%\Documents\GitHub\eaglep3\Utilities\RefineRTDCRunTimes.py" --tripid 140-24 --locoid 4026 --swversion DE.1.0.9.0 --startMP 204:232991 --initTime 2017-02-24T09:23:38 --startdatetime 2017-02-24T09:26:21 --delay 1 --endMP 204:147 --enddatetime 2017-02-24T10:05:53 --enforcementcount 1 &gt;&gt;C:\Users\stu\Documents\GitHub\eaglep3-reporting\EC\2017-02-24-refined-times.txt</v>
      </c>
      <c r="AI52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{"issue":{"subject":"","project_id":79,"tracker_id":40,"status_id":1,"priority_id":2,"assigned_to_id":23,"start_date":"2017-02-24","description":"","custom_fields":[{"id":1,"name":"Subdivision","value":"EC"},{"id":4,"name":"Milepost","value":"0.0147"},{"id":17,"name":"Train ID","value":"140-24"},{"id":16,"name":"Locomotive ID","value":"4026"},{"id":130,"name":"Impact","value":""},{"id":150,"name":"Time of Event (Mountain Time)","value":"10:05:53"},{"id":151,"name":"Denver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4026 --day 2017-02-24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"%USERPROFILE%\AppData\Local\Temp\OnboardLogs"\RTDC4026\*4026*20170224* | grep -SE "(Enforcement Action)|(\[TIMEOUT)|(CHR.+\|PRM\|1\|D.+(SWITCH|SIGNAL).+UNKNOWN)" - &gt;&gt; 2017-02-24-UncaughtWiMAX.txt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532</v>
      </c>
      <c r="B53" s="7">
        <v>4051</v>
      </c>
      <c r="C53" s="21" t="s">
        <v>280</v>
      </c>
      <c r="D53" s="21" t="s">
        <v>395</v>
      </c>
      <c r="E53" s="13">
        <v>42790.36241898148</v>
      </c>
      <c r="F53" s="13">
        <v>42790.36478009259</v>
      </c>
      <c r="G53" s="7">
        <v>1</v>
      </c>
      <c r="H53" s="21" t="s">
        <v>689</v>
      </c>
      <c r="I53" s="13">
        <v>42790.390532407408</v>
      </c>
      <c r="J53" s="7">
        <v>1</v>
      </c>
      <c r="K53" s="98" t="str">
        <f t="shared" si="0"/>
        <v>4051/4052</v>
      </c>
      <c r="L53" s="21" t="str">
        <f>VLOOKUP(A53,'Trips&amp;Operators'!$C$1:$G$99999,5,FALSE)</f>
        <v>BADERTSCHER DIANE</v>
      </c>
      <c r="M53" s="6">
        <f t="shared" si="1"/>
        <v>2.5752314817509614E-2</v>
      </c>
      <c r="N53" s="7">
        <f t="shared" si="2"/>
        <v>37.083333337213844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-02-24T07:41:53-0700',mode:absolute,to:'2017-02-24T10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3" s="187" t="str">
        <f t="shared" si="6"/>
        <v>N</v>
      </c>
      <c r="X53" s="187">
        <f t="shared" si="7"/>
        <v>1</v>
      </c>
      <c r="Y53" s="62">
        <f t="shared" si="8"/>
        <v>4.6899999999999997E-2</v>
      </c>
      <c r="Z53" s="62">
        <f t="shared" si="17"/>
        <v>23.3322</v>
      </c>
      <c r="AA53" s="62">
        <f t="shared" si="9"/>
        <v>23.285299999999999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0141-24</v>
      </c>
      <c r="AE53" s="85" t="str">
        <f t="shared" si="11"/>
        <v>aws s3 cp s3://rtdc.mdm.uploadarchive.raw/RTDC4051/ "%USERPROFILE%\AppData\Local\Temp\OnboardLogs"\RTDC4051\2017-02-24 --exclude "*" --recursive --include "*20170224*" &amp; "%USERPROFILE%\Documents\GitHub\mrs-test-scripts\Headless Mode &amp; Sideloading\WalkAndUnGZ.bat" "%USERPROFILE%\AppData\Local\Temp\OnboardLogs"\RTDC4051\2017-02-24 &amp; 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</v>
      </c>
      <c r="AF53" s="82" t="str">
        <f t="shared" si="12"/>
        <v>"C:\Program Files (x86)\AstroGrep\AstroGrep.exe" /spath="%USERPROFILE%\AppData\Local\Temp\OnboardLogs" /stypes="app*4051*20170224*" /stext=" 16:.+((SYSTEM_STATE.+slice.+state.+changed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86" t="str">
        <f t="shared" si="18"/>
        <v>"%USERPROFILE%\Documents\GitHub\eaglep3\Utilities\RefineRTDCRunTimes.py" --tripid 141-24 --locoid 4051 --swversion DE.1.0.9.0 --startMP 204:469 --initTime 2017-02-24T08:41:53 --startdatetime 2017-02-24T08:45:17 --delay 1 --endMP 204:233322 --enddatetime 2017-02-24T09:22:22 --enforcementcount 1 &gt;&gt;C:\Users\stu\Documents\GitHub\eaglep3-reporting\EC\2017-02-24-refined-times.txt</v>
      </c>
      <c r="AI53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{"issue":{"subject":"","project_id":79,"tracker_id":40,"status_id":1,"priority_id":2,"assigned_to_id":23,"start_date":"2017-02-24","description":"","custom_fields":[{"id":1,"name":"Subdivision","value":"EC"},{"id":4,"name":"Milepost","value":"23.3322"},{"id":17,"name":"Train ID","value":"141-24"},{"id":16,"name":"Locomotive ID","value":"4051"},{"id":130,"name":"Impact","value":""},{"id":150,"name":"Time of Event (Mountain Time)","value":"09:22:22"},{"id":151,"name":"Denver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4051 --day 2017-02-24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"%USERPROFILE%\AppData\Local\Temp\OnboardLogs"\RTDC4051\*4051*20170224* | grep -SE "(Enforcement Action)|(\[TIMEOUT)|(CHR.+\|PRM\|1\|D.+(SWITCH|SIGNAL).+UNKNOWN)" - &gt;&gt; 2017-02-24-UncaughtWiMAX.txt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453</v>
      </c>
      <c r="B54" s="7">
        <v>4052</v>
      </c>
      <c r="C54" s="21" t="s">
        <v>280</v>
      </c>
      <c r="D54" s="21" t="s">
        <v>690</v>
      </c>
      <c r="E54" s="13">
        <v>42790.398715277777</v>
      </c>
      <c r="F54" s="13">
        <v>42790.403784722221</v>
      </c>
      <c r="G54" s="7">
        <v>1</v>
      </c>
      <c r="H54" s="21" t="s">
        <v>392</v>
      </c>
      <c r="I54" s="13">
        <v>42790.432581018518</v>
      </c>
      <c r="J54" s="7">
        <v>1</v>
      </c>
      <c r="K54" s="98" t="str">
        <f t="shared" si="0"/>
        <v>4051/4052</v>
      </c>
      <c r="L54" s="21" t="str">
        <f>VLOOKUP(A54,'Trips&amp;Operators'!$C$1:$G$99999,5,FALSE)</f>
        <v>BADERTSCHER DIANE</v>
      </c>
      <c r="M54" s="6">
        <f t="shared" si="1"/>
        <v>2.8796296297514345E-2</v>
      </c>
      <c r="N54" s="7">
        <f t="shared" si="2"/>
        <v>41.466666668420658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-02-24T08:34:09-0700',mode:absolute,to:'2017-02-24T11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4" s="187" t="str">
        <f t="shared" si="6"/>
        <v>N</v>
      </c>
      <c r="X54" s="187">
        <f t="shared" si="7"/>
        <v>1</v>
      </c>
      <c r="Y54" s="62">
        <f t="shared" si="8"/>
        <v>23.3001</v>
      </c>
      <c r="Z54" s="62">
        <f t="shared" si="17"/>
        <v>1.8100000000000002E-2</v>
      </c>
      <c r="AA54" s="62">
        <f t="shared" si="9"/>
        <v>23.282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0"/>
        <v>0142-24</v>
      </c>
      <c r="AE54" s="85" t="str">
        <f t="shared" si="11"/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AF54" s="82" t="str">
        <f t="shared" si="12"/>
        <v>"C:\Program Files (x86)\AstroGrep\AstroGrep.exe" /spath="%USERPROFILE%\AppData\Local\Temp\OnboardLogs" /stypes="app*4052*20170224*" /stext=" 17:.+((SYSTEM_STATE.+slice.+state.+changed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86" t="str">
        <f t="shared" si="18"/>
        <v>"%USERPROFILE%\Documents\GitHub\eaglep3\Utilities\RefineRTDCRunTimes.py" --tripid 142-24 --locoid 4052 --swversion DE.1.0.9.0 --startMP 204:233001 --initTime 2017-02-24T09:34:09 --startdatetime 2017-02-24T09:41:27 --delay 1 --endMP 204:181 --enddatetime 2017-02-24T10:22:55 --enforcementcount 1 &gt;&gt;C:\Users\stu\Documents\GitHub\eaglep3-reporting\EC\2017-02-24-refined-times.txt</v>
      </c>
      <c r="AI54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{"issue":{"subject":"","project_id":79,"tracker_id":40,"status_id":1,"priority_id":2,"assigned_to_id":23,"start_date":"2017-02-24","description":"","custom_fields":[{"id":1,"name":"Subdivision","value":"EC"},{"id":4,"name":"Milepost","value":"0.0181"},{"id":17,"name":"Train ID","value":"142-24"},{"id":16,"name":"Locomotive ID","value":"4052"},{"id":130,"name":"Impact","value":""},{"id":150,"name":"Time of Event (Mountain Time)","value":"10:22:55"},{"id":151,"name":"Denver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4052 --day 2017-02-24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"%USERPROFILE%\AppData\Local\Temp\OnboardLogs"\RTDC4052\*4052*20170224* | grep -SE "(Enforcement Action)|(\[TIMEOUT)|(CHR.+\|PRM\|1\|D.+(SWITCH|SIGNAL).+UNKNOWN)" - &gt;&gt; 2017-02-24-UncaughtWiMAX.txt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533</v>
      </c>
      <c r="B55" s="7">
        <v>4031</v>
      </c>
      <c r="C55" s="21" t="s">
        <v>280</v>
      </c>
      <c r="D55" s="21" t="s">
        <v>393</v>
      </c>
      <c r="E55" s="13">
        <v>42790.370763888888</v>
      </c>
      <c r="F55" s="13">
        <v>42790.375173611108</v>
      </c>
      <c r="G55" s="7">
        <v>1</v>
      </c>
      <c r="H55" s="21" t="s">
        <v>691</v>
      </c>
      <c r="I55" s="13">
        <v>42790.400069444448</v>
      </c>
      <c r="J55" s="7">
        <v>1</v>
      </c>
      <c r="K55" s="98" t="str">
        <f t="shared" si="0"/>
        <v>4031/4032</v>
      </c>
      <c r="L55" s="21" t="str">
        <f>VLOOKUP(A55,'Trips&amp;Operators'!$C$1:$G$99999,5,FALSE)</f>
        <v>ROCHA YAOTL</v>
      </c>
      <c r="M55" s="6">
        <f t="shared" si="1"/>
        <v>2.489583333954215E-2</v>
      </c>
      <c r="N55" s="7">
        <f t="shared" si="2"/>
        <v>35.850000008940697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-02-24T07:53:54-0700',mode:absolute,to:'2017-02-24T10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5" s="187" t="str">
        <f t="shared" si="6"/>
        <v>N</v>
      </c>
      <c r="X55" s="187">
        <f t="shared" si="7"/>
        <v>1</v>
      </c>
      <c r="Y55" s="62">
        <f t="shared" si="8"/>
        <v>4.7800000000000002E-2</v>
      </c>
      <c r="Z55" s="62">
        <f t="shared" si="17"/>
        <v>23.335100000000001</v>
      </c>
      <c r="AA55" s="62">
        <f t="shared" si="9"/>
        <v>23.287300000000002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0"/>
        <v>0143-24</v>
      </c>
      <c r="AE55" s="85" t="str">
        <f t="shared" si="11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55" s="82" t="str">
        <f t="shared" si="12"/>
        <v>"C:\Program Files (x86)\AstroGrep\AstroGrep.exe" /spath="%USERPROFILE%\AppData\Local\Temp\OnboardLogs" /stypes="app*4031*20170224*" /stext=" 16:.+((SYSTEM_STATE.+slice.+state.+changed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86" t="str">
        <f t="shared" si="18"/>
        <v>"%USERPROFILE%\Documents\GitHub\eaglep3\Utilities\RefineRTDCRunTimes.py" --tripid 143-24 --locoid 4031 --swversion DE.1.0.9.0 --startMP 204:478 --initTime 2017-02-24T08:53:54 --startdatetime 2017-02-24T09:00:15 --delay 1 --endMP 204:233351 --enddatetime 2017-02-24T09:36:06 --enforcementcount 1 &gt;&gt;C:\Users\stu\Documents\GitHub\eaglep3-reporting\EC\2017-02-24-refined-times.txt</v>
      </c>
      <c r="AI55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{"issue":{"subject":"","project_id":79,"tracker_id":40,"status_id":1,"priority_id":2,"assigned_to_id":23,"start_date":"2017-02-24","description":"","custom_fields":[{"id":1,"name":"Subdivision","value":"EC"},{"id":4,"name":"Milepost","value":"23.3351"},{"id":17,"name":"Train ID","value":"143-24"},{"id":16,"name":"Locomotive ID","value":"4031"},{"id":130,"name":"Impact","value":""},{"id":150,"name":"Time of Event (Mountain Time)","value":"09:36:06"},{"id":151,"name":"Denver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4031 --day 2017-02-24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"%USERPROFILE%\AppData\Local\Temp\OnboardLogs"\RTDC4031\*4031*20170224* | grep -SE "(Enforcement Action)|(\[TIMEOUT)|(CHR.+\|PRM\|1\|D.+(SWITCH|SIGNAL).+UNKNOWN)" - &gt;&gt; 2017-02-24-UncaughtWiMAX.txt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540</v>
      </c>
      <c r="B56" s="7">
        <v>4032</v>
      </c>
      <c r="C56" s="21" t="s">
        <v>280</v>
      </c>
      <c r="D56" s="21" t="s">
        <v>340</v>
      </c>
      <c r="E56" s="13">
        <v>42790.412673611114</v>
      </c>
      <c r="F56" s="13">
        <v>42790.414097222223</v>
      </c>
      <c r="G56" s="7">
        <v>1</v>
      </c>
      <c r="H56" s="21" t="s">
        <v>250</v>
      </c>
      <c r="I56" s="13">
        <v>42790.440381944441</v>
      </c>
      <c r="J56" s="7">
        <v>1</v>
      </c>
      <c r="K56" s="98" t="str">
        <f t="shared" si="0"/>
        <v>4031/4032</v>
      </c>
      <c r="L56" s="21" t="str">
        <f>VLOOKUP(A56,'Trips&amp;Operators'!$C$1:$G$99999,5,FALSE)</f>
        <v>ROCHA YAOTL</v>
      </c>
      <c r="M56" s="6">
        <f t="shared" si="1"/>
        <v>2.6284722218406387E-2</v>
      </c>
      <c r="N56" s="7">
        <f t="shared" si="2"/>
        <v>37.849999994505197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-02-24T08:54:15-0700',mode:absolute,to:'2017-02-24T11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6" s="187" t="str">
        <f t="shared" si="6"/>
        <v>N</v>
      </c>
      <c r="X56" s="187">
        <f t="shared" si="7"/>
        <v>1</v>
      </c>
      <c r="Y56" s="62">
        <f t="shared" si="8"/>
        <v>23.302800000000001</v>
      </c>
      <c r="Z56" s="62">
        <f t="shared" si="17"/>
        <v>1.41E-2</v>
      </c>
      <c r="AA56" s="62">
        <f t="shared" si="9"/>
        <v>23.288700000000002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0144-24</v>
      </c>
      <c r="AE56" s="85" t="str">
        <f t="shared" si="11"/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AF56" s="82" t="str">
        <f t="shared" si="12"/>
        <v>"C:\Program Files (x86)\AstroGrep\AstroGrep.exe" /spath="%USERPROFILE%\AppData\Local\Temp\OnboardLogs" /stypes="app*4032*20170224*" /stext=" 17:.+((SYSTEM_STATE.+slice.+state.+changed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86" t="str">
        <f t="shared" si="18"/>
        <v>"%USERPROFILE%\Documents\GitHub\eaglep3\Utilities\RefineRTDCRunTimes.py" --tripid 144-24 --locoid 4032 --swversion DE.1.0.9.0 --startMP 204:233028 --initTime 2017-02-24T09:54:15 --startdatetime 2017-02-24T09:56:18 --delay 1 --endMP 204:141 --enddatetime 2017-02-24T10:34:09 --enforcementcount 1 &gt;&gt;C:\Users\stu\Documents\GitHub\eaglep3-reporting\EC\2017-02-24-refined-times.txt</v>
      </c>
      <c r="AI56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{"issue":{"subject":"","project_id":79,"tracker_id":40,"status_id":1,"priority_id":2,"assigned_to_id":23,"start_date":"2017-02-24","description":"","custom_fields":[{"id":1,"name":"Subdivision","value":"EC"},{"id":4,"name":"Milepost","value":"0.0141"},{"id":17,"name":"Train ID","value":"144-24"},{"id":16,"name":"Locomotive ID","value":"4032"},{"id":130,"name":"Impact","value":""},{"id":150,"name":"Time of Event (Mountain Time)","value":"10:34:09"},{"id":151,"name":"Denver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4032 --day 2017-02-24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"%USERPROFILE%\AppData\Local\Temp\OnboardLogs"\RTDC4032\*4032*20170224* | grep -SE "(Enforcement Action)|(\[TIMEOUT)|(CHR.+\|PRM\|1\|D.+(SWITCH|SIGNAL).+UNKNOWN)" - &gt;&gt; 2017-02-24-UncaughtWiMAX.txt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536</v>
      </c>
      <c r="B57" s="7">
        <v>4044</v>
      </c>
      <c r="C57" s="21" t="s">
        <v>280</v>
      </c>
      <c r="D57" s="21" t="s">
        <v>235</v>
      </c>
      <c r="E57" s="13">
        <v>42790.380648148152</v>
      </c>
      <c r="F57" s="13">
        <v>42790.385578703703</v>
      </c>
      <c r="G57" s="7">
        <v>1</v>
      </c>
      <c r="H57" s="21" t="s">
        <v>336</v>
      </c>
      <c r="I57" s="13">
        <v>42790.410821759258</v>
      </c>
      <c r="J57" s="7">
        <v>1</v>
      </c>
      <c r="K57" s="98" t="str">
        <f t="shared" si="0"/>
        <v>4043/4044</v>
      </c>
      <c r="L57" s="21" t="str">
        <f>VLOOKUP(A57,'Trips&amp;Operators'!$C$1:$G$99999,5,FALSE)</f>
        <v>YANAI IAN</v>
      </c>
      <c r="M57" s="6">
        <f t="shared" si="1"/>
        <v>2.5243055555620231E-2</v>
      </c>
      <c r="N57" s="7">
        <f t="shared" si="2"/>
        <v>36.350000000093132</v>
      </c>
      <c r="O57" s="7"/>
      <c r="P57" s="7"/>
      <c r="Q57" s="22"/>
      <c r="R57" s="22" t="s">
        <v>904</v>
      </c>
      <c r="S57" s="31">
        <f t="shared" si="3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-02-24T08:08:08-0700',mode:absolute,to:'2017-02-24T10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7" s="187" t="str">
        <f t="shared" si="6"/>
        <v>N</v>
      </c>
      <c r="X57" s="187">
        <f t="shared" si="7"/>
        <v>1</v>
      </c>
      <c r="Y57" s="62">
        <f t="shared" si="8"/>
        <v>4.53E-2</v>
      </c>
      <c r="Z57" s="62">
        <f t="shared" si="17"/>
        <v>23.331600000000002</v>
      </c>
      <c r="AA57" s="62">
        <f t="shared" si="9"/>
        <v>23.286300000000001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0145-24</v>
      </c>
      <c r="AE57" s="85" t="str">
        <f t="shared" si="11"/>
        <v>aws s3 cp s3://rtdc.mdm.uploadarchive.raw/RTDC4044/ "%USERPROFILE%\AppData\Local\Temp\OnboardLogs"\RTDC4044\2017-02-24 --exclude "*" --recursive --include "*20170224*" &amp; "%USERPROFILE%\Documents\GitHub\mrs-test-scripts\Headless Mode &amp; Sideloading\WalkAndUnGZ.bat" "%USERPROFILE%\AppData\Local\Temp\OnboardLogs"\RTDC4044\2017-02-24 &amp; 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</v>
      </c>
      <c r="AF57" s="82" t="str">
        <f t="shared" si="12"/>
        <v>"C:\Program Files (x86)\AstroGrep\AstroGrep.exe" /spath="%USERPROFILE%\AppData\Local\Temp\OnboardLogs" /stypes="app*4044*20170224*" /stext=" 16:.+((SYSTEM_STATE.+slice.+state.+changed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86" t="str">
        <f t="shared" si="18"/>
        <v>"%USERPROFILE%\Documents\GitHub\eaglep3\Utilities\RefineRTDCRunTimes.py" --tripid 145-24 --locoid 4044 --swversion DE.1.0.9.0 --startMP 204:453 --initTime 2017-02-24T09:08:08 --startdatetime 2017-02-24T09:15:14 --delay 1 --endMP 204:233316 --enddatetime 2017-02-24T09:51:35 --enforcementcount 1 &gt;&gt;C:\Users\stu\Documents\GitHub\eaglep3-reporting\EC\2017-02-24-refined-times.txt</v>
      </c>
      <c r="AI57" s="108" t="str">
        <f t="shared" si="19"/>
        <v>echo {"issue":{"subject":"Wi-MAX data drop, didn't cause enforcement","project_id":79,"tracker_id":40,"status_id":1,"priority_id":2,"assigned_to_id":23,"start_date":"2017-02-24","description":"","custom_fields":[{"id":1,"name":"Subdivision","value":"EC"},{"id":4,"name":"Milepost","value":"23.3316"},{"id":17,"name":"Train ID","value":"145-24"},{"id":16,"name":"Locomotive ID","value":"4044"},{"id":130,"name":"Impact","value":""},{"id":150,"name":"Time of Event (Mountain Time)","value":"09:51:35"},{"id":151,"name":"Denver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4044 --day 2017-02-24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"%USERPROFILE%\AppData\Local\Temp\OnboardLogs"\RTDC4044\*4044*20170224* | grep -SE "(Enforcement Action)|(\[TIMEOUT)|(CHR.+\|PRM\|1\|D.+(SWITCH|SIGNAL).+UNKNOWN)" - &gt;&gt; 2017-02-24-UncaughtWiMAX.txt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541</v>
      </c>
      <c r="B58" s="7">
        <v>4043</v>
      </c>
      <c r="C58" s="21" t="s">
        <v>280</v>
      </c>
      <c r="D58" s="21" t="s">
        <v>339</v>
      </c>
      <c r="E58" s="13">
        <v>42790.412685185183</v>
      </c>
      <c r="F58" s="13">
        <v>42790.424444444441</v>
      </c>
      <c r="G58" s="7">
        <v>1</v>
      </c>
      <c r="H58" s="21" t="s">
        <v>206</v>
      </c>
      <c r="I58" s="13">
        <v>42790.451608796298</v>
      </c>
      <c r="J58" s="7">
        <v>1</v>
      </c>
      <c r="K58" s="98" t="str">
        <f t="shared" si="0"/>
        <v>4043/4044</v>
      </c>
      <c r="L58" s="21" t="str">
        <f>VLOOKUP(A58,'Trips&amp;Operators'!$C$1:$G$99999,5,FALSE)</f>
        <v>YANAI IAN</v>
      </c>
      <c r="M58" s="6">
        <f t="shared" si="1"/>
        <v>2.7164351857209112E-2</v>
      </c>
      <c r="N58" s="7">
        <f t="shared" si="2"/>
        <v>39.116666674381122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-02-24T08:54:16-0700',mode:absolute,to:'2017-02-24T11:50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8" s="187" t="str">
        <f t="shared" si="6"/>
        <v>N</v>
      </c>
      <c r="X58" s="187">
        <f t="shared" si="7"/>
        <v>1</v>
      </c>
      <c r="Y58" s="62">
        <f t="shared" si="8"/>
        <v>23.3003</v>
      </c>
      <c r="Z58" s="62">
        <f t="shared" si="17"/>
        <v>1.5800000000000002E-2</v>
      </c>
      <c r="AA58" s="62">
        <f t="shared" si="9"/>
        <v>23.284500000000001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0"/>
        <v>0146-24</v>
      </c>
      <c r="AE58" s="85" t="str">
        <f t="shared" si="11"/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AF58" s="82" t="str">
        <f t="shared" si="12"/>
        <v>"C:\Program Files (x86)\AstroGrep\AstroGrep.exe" /spath="%USERPROFILE%\AppData\Local\Temp\OnboardLogs" /stypes="app*4043*20170224*" /stext=" 17:.+((SYSTEM_STATE.+slice.+state.+changed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86" t="str">
        <f t="shared" si="18"/>
        <v>"%USERPROFILE%\Documents\GitHub\eaglep3\Utilities\RefineRTDCRunTimes.py" --tripid 146-24 --locoid 4043 --swversion DE.1.0.9.0 --startMP 204:233003 --initTime 2017-02-24T09:54:16 --startdatetime 2017-02-24T10:11:12 --delay 1 --endMP 204:158 --enddatetime 2017-02-24T10:50:19 --enforcementcount 1 &gt;&gt;C:\Users\stu\Documents\GitHub\eaglep3-reporting\EC\2017-02-24-refined-times.txt</v>
      </c>
      <c r="AI58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{"issue":{"subject":"","project_id":79,"tracker_id":40,"status_id":1,"priority_id":2,"assigned_to_id":23,"start_date":"2017-02-24","description":"","custom_fields":[{"id":1,"name":"Subdivision","value":"EC"},{"id":4,"name":"Milepost","value":"0.0158"},{"id":17,"name":"Train ID","value":"146-24"},{"id":16,"name":"Locomotive ID","value":"4043"},{"id":130,"name":"Impact","value":""},{"id":150,"name":"Time of Event (Mountain Time)","value":"10:50:19"},{"id":151,"name":"Denver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4043 --day 2017-02-24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"%USERPROFILE%\AppData\Local\Temp\OnboardLogs"\RTDC4043\*4043*20170224* | grep -SE "(Enforcement Action)|(\[TIMEOUT)|(CHR.+\|PRM\|1\|D.+(SWITCH|SIGNAL).+UNKNOWN)" - &gt;&gt; 2017-02-24-UncaughtWiMAX.txt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538</v>
      </c>
      <c r="B59" s="7">
        <v>4022</v>
      </c>
      <c r="C59" s="21" t="s">
        <v>280</v>
      </c>
      <c r="D59" s="21" t="s">
        <v>240</v>
      </c>
      <c r="E59" s="13">
        <v>42790.392175925925</v>
      </c>
      <c r="F59" s="13">
        <v>42790.395995370367</v>
      </c>
      <c r="G59" s="7">
        <v>1</v>
      </c>
      <c r="H59" s="21" t="s">
        <v>387</v>
      </c>
      <c r="I59" s="13">
        <v>42790.421527777777</v>
      </c>
      <c r="J59" s="7">
        <v>1</v>
      </c>
      <c r="K59" s="98" t="str">
        <f t="shared" si="0"/>
        <v>4021/4022</v>
      </c>
      <c r="L59" s="21" t="str">
        <f>VLOOKUP(A59,'Trips&amp;Operators'!$C$1:$G$99999,5,FALSE)</f>
        <v>ROBINSON KADDIBA</v>
      </c>
      <c r="M59" s="6">
        <f t="shared" si="1"/>
        <v>2.5532407409627922E-2</v>
      </c>
      <c r="N59" s="7">
        <f t="shared" si="2"/>
        <v>36.766666669864208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-02-24T08:24:44-0700',mode:absolute,to:'2017-02-24T11:07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9" s="187" t="str">
        <f t="shared" si="6"/>
        <v>N</v>
      </c>
      <c r="X59" s="187">
        <f t="shared" si="7"/>
        <v>1</v>
      </c>
      <c r="Y59" s="62">
        <f t="shared" si="8"/>
        <v>4.4600000000000001E-2</v>
      </c>
      <c r="Z59" s="62">
        <f t="shared" si="17"/>
        <v>23.3338</v>
      </c>
      <c r="AA59" s="62">
        <f t="shared" si="9"/>
        <v>23.289200000000001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0"/>
        <v>0147-24</v>
      </c>
      <c r="AE59" s="85" t="str">
        <f t="shared" si="11"/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AF59" s="82" t="str">
        <f t="shared" si="12"/>
        <v>"C:\Program Files (x86)\AstroGrep\AstroGrep.exe" /spath="%USERPROFILE%\AppData\Local\Temp\OnboardLogs" /stypes="app*4022*20170224*" /stext=" 17:.+((SYSTEM_STATE.+slice.+state.+changed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86" t="str">
        <f t="shared" si="18"/>
        <v>"%USERPROFILE%\Documents\GitHub\eaglep3\Utilities\RefineRTDCRunTimes.py" --tripid 147-24 --locoid 4022 --swversion DE.1.0.9.0 --startMP 204:446 --initTime 2017-02-24T09:24:44 --startdatetime 2017-02-24T09:30:14 --delay 1 --endMP 204:233338 --enddatetime 2017-02-24T10:07:00 --enforcementcount 1 &gt;&gt;C:\Users\stu\Documents\GitHub\eaglep3-reporting\EC\2017-02-24-refined-times.txt</v>
      </c>
      <c r="AI59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{"issue":{"subject":"","project_id":79,"tracker_id":40,"status_id":1,"priority_id":2,"assigned_to_id":23,"start_date":"2017-02-24","description":"","custom_fields":[{"id":1,"name":"Subdivision","value":"EC"},{"id":4,"name":"Milepost","value":"23.3338"},{"id":17,"name":"Train ID","value":"147-24"},{"id":16,"name":"Locomotive ID","value":"4022"},{"id":130,"name":"Impact","value":""},{"id":150,"name":"Time of Event (Mountain Time)","value":"10:07:00"},{"id":151,"name":"Denver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4022 --day 2017-02-24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"%USERPROFILE%\AppData\Local\Temp\OnboardLogs"\RTDC4022\*4022*20170224* | grep -SE "(Enforcement Action)|(\[TIMEOUT)|(CHR.+\|PRM\|1\|D.+(SWITCH|SIGNAL).+UNKNOWN)" - &gt;&gt; 2017-02-24-UncaughtWiMAX.txt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545</v>
      </c>
      <c r="B60" s="7">
        <v>4021</v>
      </c>
      <c r="C60" s="21" t="s">
        <v>280</v>
      </c>
      <c r="D60" s="21" t="s">
        <v>692</v>
      </c>
      <c r="E60" s="13">
        <v>42790.428495370368</v>
      </c>
      <c r="F60" s="13">
        <v>42790.434884259259</v>
      </c>
      <c r="G60" s="7">
        <v>1</v>
      </c>
      <c r="H60" s="21" t="s">
        <v>261</v>
      </c>
      <c r="I60" s="13">
        <v>42790.462129629632</v>
      </c>
      <c r="J60" s="7">
        <v>1</v>
      </c>
      <c r="K60" s="98" t="str">
        <f t="shared" si="0"/>
        <v>4021/4022</v>
      </c>
      <c r="L60" s="21" t="str">
        <f>VLOOKUP(A60,'Trips&amp;Operators'!$C$1:$G$99999,5,FALSE)</f>
        <v>COOLAHAN JOHN</v>
      </c>
      <c r="M60" s="6">
        <f t="shared" si="1"/>
        <v>2.7245370372838806E-2</v>
      </c>
      <c r="N60" s="7">
        <f t="shared" si="2"/>
        <v>39.233333336887881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-02-24T09:17:02-0700',mode:absolute,to:'2017-02-24T12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0" s="187" t="str">
        <f t="shared" si="6"/>
        <v>N</v>
      </c>
      <c r="X60" s="187">
        <f t="shared" si="7"/>
        <v>1</v>
      </c>
      <c r="Y60" s="62">
        <f t="shared" si="8"/>
        <v>23.3017</v>
      </c>
      <c r="Z60" s="62">
        <f t="shared" si="17"/>
        <v>1.47E-2</v>
      </c>
      <c r="AA60" s="62">
        <f t="shared" si="9"/>
        <v>23.286999999999999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0148-24</v>
      </c>
      <c r="AE60" s="85" t="str">
        <f t="shared" si="11"/>
        <v>aws s3 cp s3://rtdc.mdm.uploadarchive.raw/RTDC4021/ "%USERPROFILE%\AppData\Local\Temp\OnboardLogs"\RTDC4021\2017-02-24 --exclude "*" --recursive --include "*20170224*" &amp; "%USERPROFILE%\Documents\GitHub\mrs-test-scripts\Headless Mode &amp; Sideloading\WalkAndUnGZ.bat" "%USERPROFILE%\AppData\Local\Temp\OnboardLogs"\RTDC4021\2017-02-24 &amp; 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</v>
      </c>
      <c r="AF60" s="82" t="str">
        <f t="shared" si="12"/>
        <v>"C:\Program Files (x86)\AstroGrep\AstroGrep.exe" /spath="%USERPROFILE%\AppData\Local\Temp\OnboardLogs" /stypes="app*4021*20170224*" /stext=" 18:.+((SYSTEM_STATE.+slice.+state.+changed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86" t="str">
        <f t="shared" si="18"/>
        <v>"%USERPROFILE%\Documents\GitHub\eaglep3\Utilities\RefineRTDCRunTimes.py" --tripid 148-24 --locoid 4021 --swversion DE.1.0.9.0 --startMP 204:233017 --initTime 2017-02-24T10:17:02 --startdatetime 2017-02-24T10:26:14 --delay 1 --endMP 204:147 --enddatetime 2017-02-24T11:05:28 --enforcementcount 1 &gt;&gt;C:\Users\stu\Documents\GitHub\eaglep3-reporting\EC\2017-02-24-refined-times.txt</v>
      </c>
      <c r="AI60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{"issue":{"subject":"","project_id":79,"tracker_id":40,"status_id":1,"priority_id":2,"assigned_to_id":23,"start_date":"2017-02-24","description":"","custom_fields":[{"id":1,"name":"Subdivision","value":"EC"},{"id":4,"name":"Milepost","value":"0.0147"},{"id":17,"name":"Train ID","value":"148-24"},{"id":16,"name":"Locomotive ID","value":"4021"},{"id":130,"name":"Impact","value":""},{"id":150,"name":"Time of Event (Mountain Time)","value":"11:05:28"},{"id":151,"name":"Denver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4021 --day 2017-02-24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"%USERPROFILE%\AppData\Local\Temp\OnboardLogs"\RTDC4021\*4021*20170224* | grep -SE "(Enforcement Action)|(\[TIMEOUT)|(CHR.+\|PRM\|1\|D.+(SWITCH|SIGNAL).+UNKNOWN)" - &gt;&gt; 2017-02-24-UncaughtWiMAX.txt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452</v>
      </c>
      <c r="B61" s="7">
        <v>4009</v>
      </c>
      <c r="C61" s="21" t="s">
        <v>280</v>
      </c>
      <c r="D61" s="21" t="s">
        <v>260</v>
      </c>
      <c r="E61" s="13">
        <v>42790.403541666667</v>
      </c>
      <c r="F61" s="13">
        <v>42790.406412037039</v>
      </c>
      <c r="G61" s="7">
        <v>0</v>
      </c>
      <c r="H61" s="21" t="s">
        <v>301</v>
      </c>
      <c r="I61" s="13">
        <v>42790.433437500003</v>
      </c>
      <c r="J61" s="7">
        <v>1</v>
      </c>
      <c r="K61" s="98" t="str">
        <f t="shared" si="0"/>
        <v>4009/4010</v>
      </c>
      <c r="L61" s="21" t="str">
        <f>VLOOKUP(A61,'Trips&amp;Operators'!$C$1:$G$99999,5,FALSE)</f>
        <v>STARKS ANGELINA</v>
      </c>
      <c r="M61" s="6">
        <f t="shared" si="1"/>
        <v>2.7025462964957114E-2</v>
      </c>
      <c r="N61" s="7">
        <f t="shared" si="2"/>
        <v>38.916666669538245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-02-24T08:41:06-0700',mode:absolute,to:'2017-02-24T11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1" s="187" t="str">
        <f t="shared" si="6"/>
        <v>N</v>
      </c>
      <c r="X61" s="187">
        <f t="shared" si="7"/>
        <v>1</v>
      </c>
      <c r="Y61" s="62">
        <f t="shared" si="8"/>
        <v>4.4400000000000002E-2</v>
      </c>
      <c r="Z61" s="62">
        <f t="shared" si="17"/>
        <v>23.329699999999999</v>
      </c>
      <c r="AA61" s="62">
        <f t="shared" si="9"/>
        <v>23.285299999999999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0149-24</v>
      </c>
      <c r="AE61" s="85" t="str">
        <f t="shared" si="11"/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AF61" s="82" t="str">
        <f t="shared" si="12"/>
        <v>"C:\Program Files (x86)\AstroGrep\AstroGrep.exe" /spath="%USERPROFILE%\AppData\Local\Temp\OnboardLogs" /stypes="app*4009*20170224*" /stext=" 17:.+((SYSTEM_STATE.+slice.+state.+changed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86" t="str">
        <f t="shared" si="18"/>
        <v>"%USERPROFILE%\Documents\GitHub\eaglep3\Utilities\RefineRTDCRunTimes.py" --tripid 149-24 --locoid 4009 --swversion DE.1.0.9.0 --startMP 204:444 --initTime 2017-02-24T09:41:06 --startdatetime 2017-02-24T09:45:14 --delay 0 --endMP 204:233297 --enddatetime 2017-02-24T10:24:09 --enforcementcount 1 &gt;&gt;C:\Users\stu\Documents\GitHub\eaglep3-reporting\EC\2017-02-24-refined-times.txt</v>
      </c>
      <c r="AI61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{"issue":{"subject":"","project_id":79,"tracker_id":40,"status_id":1,"priority_id":2,"assigned_to_id":23,"start_date":"2017-02-24","description":"","custom_fields":[{"id":1,"name":"Subdivision","value":"EC"},{"id":4,"name":"Milepost","value":"23.3297"},{"id":17,"name":"Train ID","value":"149-24"},{"id":16,"name":"Locomotive ID","value":"4009"},{"id":130,"name":"Impact","value":""},{"id":150,"name":"Time of Event (Mountain Time)","value":"10:24:09"},{"id":151,"name":"Denver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4009 --day 2017-02-24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"%USERPROFILE%\AppData\Local\Temp\OnboardLogs"\RTDC4009\*4009*20170224* | grep -SE "(Enforcement Action)|(\[TIMEOUT)|(CHR.+\|PRM\|1\|D.+(SWITCH|SIGNAL).+UNKNOWN)" - &gt;&gt; 2017-02-24-UncaughtWiMAX.txt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455</v>
      </c>
      <c r="B62" s="7">
        <v>4010</v>
      </c>
      <c r="C62" s="21" t="s">
        <v>280</v>
      </c>
      <c r="D62" s="21" t="s">
        <v>281</v>
      </c>
      <c r="E62" s="13">
        <v>42790.437071759261</v>
      </c>
      <c r="F62" s="13">
        <v>42790.445381944446</v>
      </c>
      <c r="G62" s="7">
        <v>1</v>
      </c>
      <c r="H62" s="21" t="s">
        <v>194</v>
      </c>
      <c r="I62" s="13">
        <v>42790.474131944444</v>
      </c>
      <c r="J62" s="7">
        <v>1</v>
      </c>
      <c r="K62" s="98" t="str">
        <f t="shared" si="0"/>
        <v>4009/4010</v>
      </c>
      <c r="L62" s="21" t="str">
        <f>VLOOKUP(A62,'Trips&amp;Operators'!$C$1:$G$99999,5,FALSE)</f>
        <v>STARKS ANGELINA</v>
      </c>
      <c r="M62" s="6">
        <f t="shared" si="1"/>
        <v>2.8749999997671694E-2</v>
      </c>
      <c r="N62" s="7">
        <f t="shared" si="2"/>
        <v>41.399999996647239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-02-24T09:29:23-0700',mode:absolute,to:'2017-02-24T12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2" s="187" t="str">
        <f t="shared" si="6"/>
        <v>N</v>
      </c>
      <c r="X62" s="187">
        <f t="shared" si="7"/>
        <v>1</v>
      </c>
      <c r="Y62" s="62">
        <f t="shared" si="8"/>
        <v>23.298999999999999</v>
      </c>
      <c r="Z62" s="62">
        <f t="shared" si="17"/>
        <v>1.4999999999999999E-2</v>
      </c>
      <c r="AA62" s="62">
        <f t="shared" si="9"/>
        <v>23.283999999999999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0150-24</v>
      </c>
      <c r="AE62" s="85" t="str">
        <f t="shared" si="11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62" s="82" t="str">
        <f t="shared" si="12"/>
        <v>"C:\Program Files (x86)\AstroGrep\AstroGrep.exe" /spath="%USERPROFILE%\AppData\Local\Temp\OnboardLogs" /stypes="app*4010*20170224*" /stext=" 18:.+((SYSTEM_STATE.+slice.+state.+changed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86" t="str">
        <f t="shared" si="18"/>
        <v>"%USERPROFILE%\Documents\GitHub\eaglep3\Utilities\RefineRTDCRunTimes.py" --tripid 150-24 --locoid 4010 --swversion DE.1.0.9.0 --startMP 204:232990 --initTime 2017-02-24T10:29:23 --startdatetime 2017-02-24T10:41:21 --delay 1 --endMP 204:150 --enddatetime 2017-02-24T11:22:45 --enforcementcount 1 &gt;&gt;C:\Users\stu\Documents\GitHub\eaglep3-reporting\EC\2017-02-24-refined-times.txt</v>
      </c>
      <c r="AI62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{"issue":{"subject":"","project_id":79,"tracker_id":40,"status_id":1,"priority_id":2,"assigned_to_id":23,"start_date":"2017-02-24","description":"","custom_fields":[{"id":1,"name":"Subdivision","value":"EC"},{"id":4,"name":"Milepost","value":"0.015"},{"id":17,"name":"Train ID","value":"150-24"},{"id":16,"name":"Locomotive ID","value":"4010"},{"id":130,"name":"Impact","value":""},{"id":150,"name":"Time of Event (Mountain Time)","value":"11:22:45"},{"id":151,"name":"Denver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4010 --day 2017-02-24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"%USERPROFILE%\AppData\Local\Temp\OnboardLogs"\RTDC4010\*4010*20170224* | grep -SE "(Enforcement Action)|(\[TIMEOUT)|(CHR.+\|PRM\|1\|D.+(SWITCH|SIGNAL).+UNKNOWN)" - &gt;&gt; 2017-02-24-UncaughtWiMAX.txt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542</v>
      </c>
      <c r="B63" s="7">
        <v>4020</v>
      </c>
      <c r="C63" s="21" t="s">
        <v>280</v>
      </c>
      <c r="D63" s="21" t="s">
        <v>312</v>
      </c>
      <c r="E63" s="13">
        <v>42790.412974537037</v>
      </c>
      <c r="F63" s="13">
        <v>42790.416956018518</v>
      </c>
      <c r="G63" s="7">
        <v>1</v>
      </c>
      <c r="H63" s="21" t="s">
        <v>400</v>
      </c>
      <c r="I63" s="13">
        <v>42790.442465277774</v>
      </c>
      <c r="J63" s="7">
        <v>1</v>
      </c>
      <c r="K63" s="98" t="str">
        <f t="shared" si="0"/>
        <v>4019/4020</v>
      </c>
      <c r="L63" s="21" t="str">
        <f>VLOOKUP(A63,'Trips&amp;Operators'!$C$1:$G$99999,5,FALSE)</f>
        <v>LOZA FIDEL</v>
      </c>
      <c r="M63" s="6">
        <f t="shared" si="1"/>
        <v>2.5509259256068617E-2</v>
      </c>
      <c r="N63" s="7">
        <f t="shared" si="2"/>
        <v>36.733333328738809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-02-24T08:54:41-0700',mode:absolute,to:'2017-02-24T11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187" t="str">
        <f t="shared" si="6"/>
        <v>N</v>
      </c>
      <c r="X63" s="187">
        <f t="shared" si="7"/>
        <v>1</v>
      </c>
      <c r="Y63" s="62">
        <f t="shared" si="8"/>
        <v>4.3299999999999998E-2</v>
      </c>
      <c r="Z63" s="62">
        <f t="shared" si="17"/>
        <v>23.337399999999999</v>
      </c>
      <c r="AA63" s="62">
        <f t="shared" si="9"/>
        <v>23.2941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0151-24</v>
      </c>
      <c r="AE63" s="85" t="str">
        <f t="shared" si="11"/>
        <v>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 &amp; 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</v>
      </c>
      <c r="AF63" s="82" t="str">
        <f t="shared" si="12"/>
        <v>"C:\Program Files (x86)\AstroGrep\AstroGrep.exe" /spath="%USERPROFILE%\AppData\Local\Temp\OnboardLogs" /stypes="app*4020*20170224*" /stext=" 17:.+((SYSTEM_STATE.+slice.+state.+changed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86" t="str">
        <f t="shared" si="18"/>
        <v>"%USERPROFILE%\Documents\GitHub\eaglep3\Utilities\RefineRTDCRunTimes.py" --tripid 151-24 --locoid 4020 --swversion DE.1.0.9.0 --startMP 204:433 --initTime 2017-02-24T09:54:41 --startdatetime 2017-02-24T10:00:25 --delay 1 --endMP 204:233374 --enddatetime 2017-02-24T10:37:09 --enforcementcount 1 &gt;&gt;C:\Users\stu\Documents\GitHub\eaglep3-reporting\EC\2017-02-24-refined-times.txt</v>
      </c>
      <c r="AI63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{"issue":{"subject":"","project_id":79,"tracker_id":40,"status_id":1,"priority_id":2,"assigned_to_id":23,"start_date":"2017-02-24","description":"","custom_fields":[{"id":1,"name":"Subdivision","value":"EC"},{"id":4,"name":"Milepost","value":"23.3374"},{"id":17,"name":"Train ID","value":"151-24"},{"id":16,"name":"Locomotive ID","value":"4020"},{"id":130,"name":"Impact","value":""},{"id":150,"name":"Time of Event (Mountain Time)","value":"10:37:09"},{"id":151,"name":"Denver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4020 --day 2017-02-24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2017-02-24-UncaughtWiMAX.txt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549</v>
      </c>
      <c r="B64" s="7">
        <v>4019</v>
      </c>
      <c r="C64" s="21" t="s">
        <v>280</v>
      </c>
      <c r="D64" s="21" t="s">
        <v>693</v>
      </c>
      <c r="E64" s="13">
        <v>42790.446840277778</v>
      </c>
      <c r="F64" s="13">
        <v>42790.455868055556</v>
      </c>
      <c r="G64" s="7">
        <v>1</v>
      </c>
      <c r="H64" s="21" t="s">
        <v>250</v>
      </c>
      <c r="I64" s="13">
        <v>42790.482557870368</v>
      </c>
      <c r="J64" s="7">
        <v>1</v>
      </c>
      <c r="K64" s="98" t="str">
        <f t="shared" si="0"/>
        <v>4019/4020</v>
      </c>
      <c r="L64" s="21" t="str">
        <f>VLOOKUP(A64,'Trips&amp;Operators'!$C$1:$G$99999,5,FALSE)</f>
        <v>LOZA FIDEL</v>
      </c>
      <c r="M64" s="6">
        <f t="shared" si="1"/>
        <v>2.6689814811106771E-2</v>
      </c>
      <c r="N64" s="7">
        <f t="shared" si="2"/>
        <v>38.433333327993751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-02-24T09:43:27-0700',mode:absolute,to:'2017-02-24T12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187" t="str">
        <f t="shared" si="6"/>
        <v>N</v>
      </c>
      <c r="X64" s="187">
        <f t="shared" si="7"/>
        <v>1</v>
      </c>
      <c r="Y64" s="62">
        <f t="shared" si="8"/>
        <v>23.3066</v>
      </c>
      <c r="Z64" s="62">
        <f t="shared" si="17"/>
        <v>1.41E-2</v>
      </c>
      <c r="AA64" s="62">
        <f t="shared" si="9"/>
        <v>23.2925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0152-24</v>
      </c>
      <c r="AE64" s="85" t="str">
        <f t="shared" si="11"/>
        <v>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 &amp; 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</v>
      </c>
      <c r="AF64" s="82" t="str">
        <f t="shared" si="12"/>
        <v>"C:\Program Files (x86)\AstroGrep\AstroGrep.exe" /spath="%USERPROFILE%\AppData\Local\Temp\OnboardLogs" /stypes="app*4019*20170224*" /stext=" 18:.+((SYSTEM_STATE.+slice.+state.+changed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86" t="str">
        <f t="shared" si="18"/>
        <v>"%USERPROFILE%\Documents\GitHub\eaglep3\Utilities\RefineRTDCRunTimes.py" --tripid 152-24 --locoid 4019 --swversion DE.1.0.9.0 --startMP 204:233066 --initTime 2017-02-24T10:43:27 --startdatetime 2017-02-24T10:56:27 --delay 1 --endMP 204:141 --enddatetime 2017-02-24T11:34:53 --enforcementcount 1 &gt;&gt;C:\Users\stu\Documents\GitHub\eaglep3-reporting\EC\2017-02-24-refined-times.txt</v>
      </c>
      <c r="AI64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{"issue":{"subject":"","project_id":79,"tracker_id":40,"status_id":1,"priority_id":2,"assigned_to_id":23,"start_date":"2017-02-24","description":"","custom_fields":[{"id":1,"name":"Subdivision","value":"EC"},{"id":4,"name":"Milepost","value":"0.0141"},{"id":17,"name":"Train ID","value":"152-24"},{"id":16,"name":"Locomotive ID","value":"4019"},{"id":130,"name":"Impact","value":""},{"id":150,"name":"Time of Event (Mountain Time)","value":"11:34:53"},{"id":151,"name":"Denver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4019 --day 2017-02-24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2017-02-24-UncaughtWiMAX.txt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544</v>
      </c>
      <c r="B65" s="7">
        <v>4025</v>
      </c>
      <c r="C65" s="21" t="s">
        <v>280</v>
      </c>
      <c r="D65" s="21" t="s">
        <v>694</v>
      </c>
      <c r="E65" s="13">
        <v>42790.422858796293</v>
      </c>
      <c r="F65" s="13">
        <v>42790.427349537036</v>
      </c>
      <c r="G65" s="7">
        <v>0</v>
      </c>
      <c r="H65" s="21" t="s">
        <v>695</v>
      </c>
      <c r="I65" s="13">
        <v>42790.453194444446</v>
      </c>
      <c r="J65" s="7">
        <v>1</v>
      </c>
      <c r="K65" s="98" t="str">
        <f t="shared" si="0"/>
        <v>4025/4026</v>
      </c>
      <c r="L65" s="21" t="str">
        <f>VLOOKUP(A65,'Trips&amp;Operators'!$C$1:$G$99999,5,FALSE)</f>
        <v>BONDS REYNALDO</v>
      </c>
      <c r="M65" s="6">
        <f t="shared" si="1"/>
        <v>2.584490740991896E-2</v>
      </c>
      <c r="N65" s="7">
        <f t="shared" si="2"/>
        <v>37.216666670283303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-02-24T09:08:55-0700',mode:absolute,to:'2017-02-24T11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5" s="187" t="str">
        <f t="shared" si="6"/>
        <v>N</v>
      </c>
      <c r="X65" s="187">
        <f t="shared" si="7"/>
        <v>1</v>
      </c>
      <c r="Y65" s="62">
        <f t="shared" si="8"/>
        <v>4.2200000000000001E-2</v>
      </c>
      <c r="Z65" s="62">
        <f t="shared" si="17"/>
        <v>23.3337</v>
      </c>
      <c r="AA65" s="62">
        <f t="shared" si="9"/>
        <v>23.291499999999999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0153-24</v>
      </c>
      <c r="AE65" s="85" t="str">
        <f t="shared" si="11"/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AF65" s="82" t="str">
        <f t="shared" si="12"/>
        <v>"C:\Program Files (x86)\AstroGrep\AstroGrep.exe" /spath="%USERPROFILE%\AppData\Local\Temp\OnboardLogs" /stypes="app*4025*20170224*" /stext=" 17:.+((SYSTEM_STATE.+slice.+state.+changed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86" t="str">
        <f t="shared" si="18"/>
        <v>"%USERPROFILE%\Documents\GitHub\eaglep3\Utilities\RefineRTDCRunTimes.py" --tripid 153-24 --locoid 4025 --swversion DE.1.0.9.0 --startMP 204:422 --initTime 2017-02-24T10:08:55 --startdatetime 2017-02-24T10:15:23 --delay 0 --endMP 204:233337 --enddatetime 2017-02-24T10:52:36 --enforcementcount 1 &gt;&gt;C:\Users\stu\Documents\GitHub\eaglep3-reporting\EC\2017-02-24-refined-times.txt</v>
      </c>
      <c r="AI65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{"issue":{"subject":"","project_id":79,"tracker_id":40,"status_id":1,"priority_id":2,"assigned_to_id":23,"start_date":"2017-02-24","description":"","custom_fields":[{"id":1,"name":"Subdivision","value":"EC"},{"id":4,"name":"Milepost","value":"23.3337"},{"id":17,"name":"Train ID","value":"153-24"},{"id":16,"name":"Locomotive ID","value":"4025"},{"id":130,"name":"Impact","value":""},{"id":150,"name":"Time of Event (Mountain Time)","value":"10:52:36"},{"id":151,"name":"Denver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4025 --day 2017-02-24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2017-02-24-UncaughtWiMAX.txt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557</v>
      </c>
      <c r="B66" s="7">
        <v>4026</v>
      </c>
      <c r="C66" s="21" t="s">
        <v>280</v>
      </c>
      <c r="D66" s="21" t="s">
        <v>388</v>
      </c>
      <c r="E66" s="13">
        <v>42790.462673611109</v>
      </c>
      <c r="F66" s="13">
        <v>42790.466192129628</v>
      </c>
      <c r="G66" s="7">
        <v>1</v>
      </c>
      <c r="H66" s="21" t="s">
        <v>250</v>
      </c>
      <c r="I66" s="13">
        <v>42790.494375000002</v>
      </c>
      <c r="J66" s="7">
        <v>1</v>
      </c>
      <c r="K66" s="98" t="str">
        <f t="shared" si="0"/>
        <v>4025/4026</v>
      </c>
      <c r="L66" s="21" t="str">
        <f>VLOOKUP(A66,'Trips&amp;Operators'!$C$1:$G$99999,5,FALSE)</f>
        <v>BONDS REYNALDO</v>
      </c>
      <c r="M66" s="6">
        <f t="shared" si="1"/>
        <v>2.8182870373711921E-2</v>
      </c>
      <c r="N66" s="7">
        <f t="shared" si="2"/>
        <v>40.583333338145167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-02-24T10:06:15-0700',mode:absolute,to:'2017-02-24T12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6" s="187" t="str">
        <f t="shared" si="6"/>
        <v>N</v>
      </c>
      <c r="X66" s="187">
        <f t="shared" si="7"/>
        <v>1</v>
      </c>
      <c r="Y66" s="62">
        <f t="shared" si="8"/>
        <v>23.297699999999999</v>
      </c>
      <c r="Z66" s="62">
        <f t="shared" si="17"/>
        <v>1.41E-2</v>
      </c>
      <c r="AA66" s="62">
        <f t="shared" si="9"/>
        <v>23.2836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0154-24</v>
      </c>
      <c r="AE66" s="85" t="str">
        <f t="shared" si="11"/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AF66" s="82" t="str">
        <f t="shared" si="12"/>
        <v>"C:\Program Files (x86)\AstroGrep\AstroGrep.exe" /spath="%USERPROFILE%\AppData\Local\Temp\OnboardLogs" /stypes="app*4026*20170224*" /stext=" 18:.+((SYSTEM_STATE.+slice.+state.+changed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86" t="str">
        <f t="shared" si="18"/>
        <v>"%USERPROFILE%\Documents\GitHub\eaglep3\Utilities\RefineRTDCRunTimes.py" --tripid 154-24 --locoid 4026 --swversion DE.1.0.9.0 --startMP 204:232977 --initTime 2017-02-24T11:06:15 --startdatetime 2017-02-24T11:11:19 --delay 1 --endMP 204:141 --enddatetime 2017-02-24T11:51:54 --enforcementcount 1 &gt;&gt;C:\Users\stu\Documents\GitHub\eaglep3-reporting\EC\2017-02-24-refined-times.txt</v>
      </c>
      <c r="AI66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{"issue":{"subject":"","project_id":79,"tracker_id":40,"status_id":1,"priority_id":2,"assigned_to_id":23,"start_date":"2017-02-24","description":"","custom_fields":[{"id":1,"name":"Subdivision","value":"EC"},{"id":4,"name":"Milepost","value":"0.0141"},{"id":17,"name":"Train ID","value":"154-24"},{"id":16,"name":"Locomotive ID","value":"4026"},{"id":130,"name":"Impact","value":""},{"id":150,"name":"Time of Event (Mountain Time)","value":"11:51:54"},{"id":151,"name":"Denver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4026 --day 2017-02-24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"%USERPROFILE%\AppData\Local\Temp\OnboardLogs"\RTDC4026\*4026*20170224* | grep -SE "(Enforcement Action)|(\[TIMEOUT)|(CHR.+\|PRM\|1\|D.+(SWITCH|SIGNAL).+UNKNOWN)" - &gt;&gt; 2017-02-24-UncaughtWiMAX.txt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546</v>
      </c>
      <c r="B67" s="7">
        <v>4051</v>
      </c>
      <c r="C67" s="21" t="s">
        <v>280</v>
      </c>
      <c r="D67" s="21" t="s">
        <v>398</v>
      </c>
      <c r="E67" s="13">
        <v>42790.434791666667</v>
      </c>
      <c r="F67" s="13">
        <v>42790.437719907408</v>
      </c>
      <c r="G67" s="7">
        <v>2</v>
      </c>
      <c r="H67" s="21" t="s">
        <v>267</v>
      </c>
      <c r="I67" s="13">
        <v>42790.462731481479</v>
      </c>
      <c r="J67" s="7">
        <v>1</v>
      </c>
      <c r="K67" s="98" t="str">
        <f t="shared" si="0"/>
        <v>4051/4052</v>
      </c>
      <c r="L67" s="21" t="str">
        <f>VLOOKUP(A67,'Trips&amp;Operators'!$C$1:$G$99999,5,FALSE)</f>
        <v>GEBRETEKLE DAGNEW</v>
      </c>
      <c r="M67" s="6">
        <f t="shared" si="1"/>
        <v>2.5011574070958886E-2</v>
      </c>
      <c r="N67" s="7">
        <f t="shared" si="2"/>
        <v>36.016666662180796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-02-24T09:26:06-0700',mode:absolute,to:'2017-02-24T12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7" s="187" t="str">
        <f t="shared" si="6"/>
        <v>N</v>
      </c>
      <c r="X67" s="187">
        <f t="shared" si="7"/>
        <v>1</v>
      </c>
      <c r="Y67" s="62">
        <f t="shared" si="8"/>
        <v>4.9700000000000001E-2</v>
      </c>
      <c r="Z67" s="62">
        <f t="shared" si="17"/>
        <v>23.331700000000001</v>
      </c>
      <c r="AA67" s="62">
        <f t="shared" si="9"/>
        <v>23.282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0"/>
        <v>0155-24</v>
      </c>
      <c r="AE67" s="85" t="str">
        <f t="shared" si="11"/>
        <v>aws s3 cp s3://rtdc.mdm.uploadarchive.raw/RTDC4051/ "%USERPROFILE%\AppData\Local\Temp\OnboardLogs"\RTDC4051\2017-02-24 --exclude "*" --recursive --include "*20170224*" &amp; "%USERPROFILE%\Documents\GitHub\mrs-test-scripts\Headless Mode &amp; Sideloading\WalkAndUnGZ.bat" "%USERPROFILE%\AppData\Local\Temp\OnboardLogs"\RTDC4051\2017-02-24 &amp; 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</v>
      </c>
      <c r="AF67" s="82" t="str">
        <f t="shared" si="12"/>
        <v>"C:\Program Files (x86)\AstroGrep\AstroGrep.exe" /spath="%USERPROFILE%\AppData\Local\Temp\OnboardLogs" /stypes="app*4051*20170224*" /stext=" 18:.+((SYSTEM_STATE.+slice.+state.+changed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86" t="str">
        <f t="shared" si="18"/>
        <v>"%USERPROFILE%\Documents\GitHub\eaglep3\Utilities\RefineRTDCRunTimes.py" --tripid 155-24 --locoid 4051 --swversion DE.1.0.9.0 --startMP 204:497 --initTime 2017-02-24T10:26:06 --startdatetime 2017-02-24T10:30:19 --delay 2 --endMP 204:233317 --enddatetime 2017-02-24T11:06:20 --enforcementcount 1 &gt;&gt;C:\Users\stu\Documents\GitHub\eaglep3-reporting\EC\2017-02-24-refined-times.txt</v>
      </c>
      <c r="AI67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{"issue":{"subject":"","project_id":79,"tracker_id":40,"status_id":1,"priority_id":2,"assigned_to_id":23,"start_date":"2017-02-24","description":"","custom_fields":[{"id":1,"name":"Subdivision","value":"EC"},{"id":4,"name":"Milepost","value":"23.3317"},{"id":17,"name":"Train ID","value":"155-24"},{"id":16,"name":"Locomotive ID","value":"4051"},{"id":130,"name":"Impact","value":""},{"id":150,"name":"Time of Event (Mountain Time)","value":"11:06:20"},{"id":151,"name":"Denver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4051 --day 2017-02-24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"%USERPROFILE%\AppData\Local\Temp\OnboardLogs"\RTDC4051\*4051*20170224* | grep -SE "(Enforcement Action)|(\[TIMEOUT)|(CHR.+\|PRM\|1\|D.+(SWITCH|SIGNAL).+UNKNOWN)" - &gt;&gt; 2017-02-24-UncaughtWiMAX.txt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559</v>
      </c>
      <c r="B68" s="7">
        <v>4052</v>
      </c>
      <c r="C68" s="21" t="s">
        <v>280</v>
      </c>
      <c r="D68" s="21" t="s">
        <v>696</v>
      </c>
      <c r="E68" s="13">
        <v>42790.464247685188</v>
      </c>
      <c r="F68" s="13">
        <v>42790.4766087963</v>
      </c>
      <c r="G68" s="7">
        <v>1</v>
      </c>
      <c r="H68" s="21" t="s">
        <v>220</v>
      </c>
      <c r="I68" s="13">
        <v>42790.503483796296</v>
      </c>
      <c r="J68" s="7">
        <v>1</v>
      </c>
      <c r="K68" s="98" t="str">
        <f t="shared" si="0"/>
        <v>4051/4052</v>
      </c>
      <c r="L68" s="21" t="str">
        <f>VLOOKUP(A68,'Trips&amp;Operators'!$C$1:$G$99999,5,FALSE)</f>
        <v>GEBRETEKLE DAGNEW</v>
      </c>
      <c r="M68" s="6">
        <f t="shared" si="1"/>
        <v>2.6874999995925464E-2</v>
      </c>
      <c r="N68" s="7">
        <f t="shared" si="2"/>
        <v>38.699999994132668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-02-24T10:08:31-0700',mode:absolute,to:'2017-02-24T13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8" s="187" t="str">
        <f t="shared" si="6"/>
        <v>N</v>
      </c>
      <c r="X68" s="187">
        <f t="shared" si="7"/>
        <v>1</v>
      </c>
      <c r="Y68" s="62">
        <f t="shared" si="8"/>
        <v>23.300999999999998</v>
      </c>
      <c r="Z68" s="62">
        <f t="shared" si="17"/>
        <v>1.43E-2</v>
      </c>
      <c r="AA68" s="62">
        <f t="shared" si="9"/>
        <v>23.2867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0156-24</v>
      </c>
      <c r="AE68" s="85" t="str">
        <f t="shared" si="11"/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AF68" s="82" t="str">
        <f t="shared" si="12"/>
        <v>"C:\Program Files (x86)\AstroGrep\AstroGrep.exe" /spath="%USERPROFILE%\AppData\Local\Temp\OnboardLogs" /stypes="app*4052*20170224*" /stext=" 19:.+((SYSTEM_STATE.+slice.+state.+changed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86" t="str">
        <f t="shared" si="18"/>
        <v>"%USERPROFILE%\Documents\GitHub\eaglep3\Utilities\RefineRTDCRunTimes.py" --tripid 156-24 --locoid 4052 --swversion DE.1.0.9.0 --startMP 204:233010 --initTime 2017-02-24T11:08:31 --startdatetime 2017-02-24T11:26:19 --delay 1 --endMP 204:143 --enddatetime 2017-02-24T12:05:01 --enforcementcount 1 &gt;&gt;C:\Users\stu\Documents\GitHub\eaglep3-reporting\EC\2017-02-24-refined-times.txt</v>
      </c>
      <c r="AI68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{"issue":{"subject":"","project_id":79,"tracker_id":40,"status_id":1,"priority_id":2,"assigned_to_id":23,"start_date":"2017-02-24","description":"","custom_fields":[{"id":1,"name":"Subdivision","value":"EC"},{"id":4,"name":"Milepost","value":"0.0143"},{"id":17,"name":"Train ID","value":"156-24"},{"id":16,"name":"Locomotive ID","value":"4052"},{"id":130,"name":"Impact","value":""},{"id":150,"name":"Time of Event (Mountain Time)","value":"12:05:01"},{"id":151,"name":"Denver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4052 --day 2017-02-24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"%USERPROFILE%\AppData\Local\Temp\OnboardLogs"\RTDC4052\*4052*20170224* | grep -SE "(Enforcement Action)|(\[TIMEOUT)|(CHR.+\|PRM\|1\|D.+(SWITCH|SIGNAL).+UNKNOWN)" - &gt;&gt; 2017-02-24-UncaughtWiMAX.txt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547</v>
      </c>
      <c r="B69" s="7">
        <v>4031</v>
      </c>
      <c r="C69" s="21" t="s">
        <v>280</v>
      </c>
      <c r="D69" s="21" t="s">
        <v>282</v>
      </c>
      <c r="E69" s="13">
        <v>42790.441967592589</v>
      </c>
      <c r="F69" s="13">
        <v>42790.448136574072</v>
      </c>
      <c r="G69" s="7">
        <v>1</v>
      </c>
      <c r="H69" s="21" t="s">
        <v>689</v>
      </c>
      <c r="I69" s="13">
        <v>42790.472372685188</v>
      </c>
      <c r="J69" s="7">
        <v>1</v>
      </c>
      <c r="K69" s="98" t="str">
        <f t="shared" si="0"/>
        <v>4031/4032</v>
      </c>
      <c r="L69" s="21" t="str">
        <f>VLOOKUP(A69,'Trips&amp;Operators'!$C$1:$G$99999,5,FALSE)</f>
        <v>ROCHA YAOTL</v>
      </c>
      <c r="M69" s="6">
        <f t="shared" si="1"/>
        <v>2.4236111115897074E-2</v>
      </c>
      <c r="N69" s="7">
        <f t="shared" si="2"/>
        <v>34.900000006891787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-02-24T09:36:26-0700',mode:absolute,to:'2017-02-24T12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9" s="187" t="str">
        <f t="shared" si="6"/>
        <v>N</v>
      </c>
      <c r="X69" s="187">
        <f t="shared" si="7"/>
        <v>1</v>
      </c>
      <c r="Y69" s="62">
        <f t="shared" si="8"/>
        <v>4.58E-2</v>
      </c>
      <c r="Z69" s="62">
        <f t="shared" si="17"/>
        <v>23.3322</v>
      </c>
      <c r="AA69" s="62">
        <f t="shared" si="9"/>
        <v>23.2864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0157-24</v>
      </c>
      <c r="AE69" s="85" t="str">
        <f t="shared" si="11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69" s="82" t="str">
        <f t="shared" si="12"/>
        <v>"C:\Program Files (x86)\AstroGrep\AstroGrep.exe" /spath="%USERPROFILE%\AppData\Local\Temp\OnboardLogs" /stypes="app*4031*20170224*" /stext=" 18:.+((SYSTEM_STATE.+slice.+state.+changed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86" t="str">
        <f t="shared" si="18"/>
        <v>"%USERPROFILE%\Documents\GitHub\eaglep3\Utilities\RefineRTDCRunTimes.py" --tripid 157-24 --locoid 4031 --swversion DE.1.0.9.0 --startMP 204:458 --initTime 2017-02-24T10:36:26 --startdatetime 2017-02-24T10:45:19 --delay 1 --endMP 204:233322 --enddatetime 2017-02-24T11:20:13 --enforcementcount 1 &gt;&gt;C:\Users\stu\Documents\GitHub\eaglep3-reporting\EC\2017-02-24-refined-times.txt</v>
      </c>
      <c r="AI69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{"issue":{"subject":"","project_id":79,"tracker_id":40,"status_id":1,"priority_id":2,"assigned_to_id":23,"start_date":"2017-02-24","description":"","custom_fields":[{"id":1,"name":"Subdivision","value":"EC"},{"id":4,"name":"Milepost","value":"23.3322"},{"id":17,"name":"Train ID","value":"157-24"},{"id":16,"name":"Locomotive ID","value":"4031"},{"id":130,"name":"Impact","value":""},{"id":150,"name":"Time of Event (Mountain Time)","value":"11:20:13"},{"id":151,"name":"Denver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4031 --day 2017-02-24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"%USERPROFILE%\AppData\Local\Temp\OnboardLogs"\RTDC4031\*4031*20170224* | grep -SE "(Enforcement Action)|(\[TIMEOUT)|(CHR.+\|PRM\|1\|D.+(SWITCH|SIGNAL).+UNKNOWN)" - &gt;&gt; 2017-02-24-UncaughtWiMAX.txt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562</v>
      </c>
      <c r="B70" s="7">
        <v>4032</v>
      </c>
      <c r="C70" s="21" t="s">
        <v>280</v>
      </c>
      <c r="D70" s="21" t="s">
        <v>697</v>
      </c>
      <c r="E70" s="13">
        <v>42790.486643518518</v>
      </c>
      <c r="F70" s="13">
        <v>42790.487766203703</v>
      </c>
      <c r="G70" s="7">
        <v>1</v>
      </c>
      <c r="H70" s="21" t="s">
        <v>404</v>
      </c>
      <c r="I70" s="13">
        <v>42790.513599537036</v>
      </c>
      <c r="J70" s="7">
        <v>1</v>
      </c>
      <c r="K70" s="98" t="str">
        <f t="shared" si="0"/>
        <v>4031/4032</v>
      </c>
      <c r="L70" s="21" t="str">
        <f>VLOOKUP(A70,'Trips&amp;Operators'!$C$1:$G$99999,5,FALSE)</f>
        <v>ROCHA YAOTL</v>
      </c>
      <c r="M70" s="6">
        <f t="shared" si="1"/>
        <v>2.5833333333139308E-2</v>
      </c>
      <c r="N70" s="7">
        <f t="shared" si="2"/>
        <v>37.199999999720603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-02-24T10:40:46-0700',mode:absolute,to:'2017-02-24T13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0" s="187" t="str">
        <f t="shared" si="6"/>
        <v>N</v>
      </c>
      <c r="X70" s="187">
        <f t="shared" si="7"/>
        <v>1</v>
      </c>
      <c r="Y70" s="62">
        <f t="shared" si="8"/>
        <v>23.299800000000001</v>
      </c>
      <c r="Z70" s="62">
        <f t="shared" si="17"/>
        <v>1.2999999999999999E-2</v>
      </c>
      <c r="AA70" s="62">
        <f t="shared" si="9"/>
        <v>23.286799999999999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0158-24</v>
      </c>
      <c r="AE70" s="85" t="str">
        <f t="shared" si="11"/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AF70" s="82" t="str">
        <f t="shared" si="12"/>
        <v>"C:\Program Files (x86)\AstroGrep\AstroGrep.exe" /spath="%USERPROFILE%\AppData\Local\Temp\OnboardLogs" /stypes="app*4032*20170224*" /stext=" 19:.+((SYSTEM_STATE.+slice.+state.+changed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86" t="str">
        <f t="shared" si="18"/>
        <v>"%USERPROFILE%\Documents\GitHub\eaglep3\Utilities\RefineRTDCRunTimes.py" --tripid 158-24 --locoid 4032 --swversion DE.1.0.9.0 --startMP 204:232998 --initTime 2017-02-24T11:40:46 --startdatetime 2017-02-24T11:42:23 --delay 1 --endMP 204:130 --enddatetime 2017-02-24T12:19:35 --enforcementcount 1 &gt;&gt;C:\Users\stu\Documents\GitHub\eaglep3-reporting\EC\2017-02-24-refined-times.txt</v>
      </c>
      <c r="AI70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{"issue":{"subject":"","project_id":79,"tracker_id":40,"status_id":1,"priority_id":2,"assigned_to_id":23,"start_date":"2017-02-24","description":"","custom_fields":[{"id":1,"name":"Subdivision","value":"EC"},{"id":4,"name":"Milepost","value":"0.013"},{"id":17,"name":"Train ID","value":"158-24"},{"id":16,"name":"Locomotive ID","value":"4032"},{"id":130,"name":"Impact","value":""},{"id":150,"name":"Time of Event (Mountain Time)","value":"12:19:35"},{"id":151,"name":"Denver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4032 --day 2017-02-24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"%USERPROFILE%\AppData\Local\Temp\OnboardLogs"\RTDC4032\*4032*20170224* | grep -SE "(Enforcement Action)|(\[TIMEOUT)|(CHR.+\|PRM\|1\|D.+(SWITCH|SIGNAL).+UNKNOWN)" - &gt;&gt; 2017-02-24-UncaughtWiMAX.txt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553</v>
      </c>
      <c r="B71" s="7">
        <v>4044</v>
      </c>
      <c r="C71" s="21" t="s">
        <v>280</v>
      </c>
      <c r="D71" s="21" t="s">
        <v>221</v>
      </c>
      <c r="E71" s="13">
        <v>42790.453993055555</v>
      </c>
      <c r="F71" s="13">
        <v>42790.458518518521</v>
      </c>
      <c r="G71" s="7">
        <v>1</v>
      </c>
      <c r="H71" s="21" t="s">
        <v>338</v>
      </c>
      <c r="I71" s="13">
        <v>42790.484791666669</v>
      </c>
      <c r="J71" s="7">
        <v>1</v>
      </c>
      <c r="K71" s="98" t="str">
        <f t="shared" si="0"/>
        <v>4043/4044</v>
      </c>
      <c r="L71" s="21" t="str">
        <f>VLOOKUP(A71,'Trips&amp;Operators'!$C$1:$G$99999,5,FALSE)</f>
        <v>BRANDNER MELINDA</v>
      </c>
      <c r="M71" s="6">
        <f t="shared" si="1"/>
        <v>2.6273148148902692E-2</v>
      </c>
      <c r="N71" s="7">
        <f t="shared" si="2"/>
        <v>37.833333334419876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-02-24T09:53:45-0700',mode:absolute,to:'2017-02-24T12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1" s="187" t="str">
        <f t="shared" si="6"/>
        <v>N</v>
      </c>
      <c r="X71" s="187">
        <f t="shared" si="7"/>
        <v>1</v>
      </c>
      <c r="Y71" s="62">
        <f t="shared" si="8"/>
        <v>4.5100000000000001E-2</v>
      </c>
      <c r="Z71" s="62">
        <f t="shared" si="17"/>
        <v>23.3325</v>
      </c>
      <c r="AA71" s="62">
        <f t="shared" si="9"/>
        <v>23.287399999999998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0159-24</v>
      </c>
      <c r="AE71" s="85" t="str">
        <f t="shared" si="11"/>
        <v>aws s3 cp s3://rtdc.mdm.uploadarchive.raw/RTDC4044/ "%USERPROFILE%\AppData\Local\Temp\OnboardLogs"\RTDC4044\2017-02-24 --exclude "*" --recursive --include "*20170224*" &amp; "%USERPROFILE%\Documents\GitHub\mrs-test-scripts\Headless Mode &amp; Sideloading\WalkAndUnGZ.bat" "%USERPROFILE%\AppData\Local\Temp\OnboardLogs"\RTDC4044\2017-02-24 &amp; 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</v>
      </c>
      <c r="AF71" s="82" t="str">
        <f t="shared" si="12"/>
        <v>"C:\Program Files (x86)\AstroGrep\AstroGrep.exe" /spath="%USERPROFILE%\AppData\Local\Temp\OnboardLogs" /stypes="app*4044*20170224*" /stext=" 18:.+((SYSTEM_STATE.+slice.+state.+changed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86" t="str">
        <f t="shared" si="18"/>
        <v>"%USERPROFILE%\Documents\GitHub\eaglep3\Utilities\RefineRTDCRunTimes.py" --tripid 159-24 --locoid 4044 --swversion DE.1.0.9.0 --startMP 204:451 --initTime 2017-02-24T10:53:45 --startdatetime 2017-02-24T11:00:16 --delay 1 --endMP 204:233325 --enddatetime 2017-02-24T11:38:06 --enforcementcount 1 &gt;&gt;C:\Users\stu\Documents\GitHub\eaglep3-reporting\EC\2017-02-24-refined-times.txt</v>
      </c>
      <c r="AI71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{"issue":{"subject":"","project_id":79,"tracker_id":40,"status_id":1,"priority_id":2,"assigned_to_id":23,"start_date":"2017-02-24","description":"","custom_fields":[{"id":1,"name":"Subdivision","value":"EC"},{"id":4,"name":"Milepost","value":"23.3325"},{"id":17,"name":"Train ID","value":"159-24"},{"id":16,"name":"Locomotive ID","value":"4044"},{"id":130,"name":"Impact","value":""},{"id":150,"name":"Time of Event (Mountain Time)","value":"11:38:06"},{"id":151,"name":"Denver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4044 --day 2017-02-24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"%USERPROFILE%\AppData\Local\Temp\OnboardLogs"\RTDC4044\*4044*20170224* | grep -SE "(Enforcement Action)|(\[TIMEOUT)|(CHR.+\|PRM\|1\|D.+(SWITCH|SIGNAL).+UNKNOWN)" - &gt;&gt; 2017-02-24-UncaughtWiMAX.txt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456</v>
      </c>
      <c r="B72" s="7">
        <v>4043</v>
      </c>
      <c r="C72" s="21" t="s">
        <v>280</v>
      </c>
      <c r="D72" s="21" t="s">
        <v>696</v>
      </c>
      <c r="E72" s="13">
        <v>42790.491064814814</v>
      </c>
      <c r="F72" s="13">
        <v>42790.497395833336</v>
      </c>
      <c r="G72" s="7">
        <v>1</v>
      </c>
      <c r="H72" s="21" t="s">
        <v>250</v>
      </c>
      <c r="I72" s="13">
        <v>42790.525231481479</v>
      </c>
      <c r="J72" s="7">
        <v>1</v>
      </c>
      <c r="K72" s="98" t="str">
        <f t="shared" si="0"/>
        <v>4043/4044</v>
      </c>
      <c r="L72" s="21" t="str">
        <f>VLOOKUP(A72,'Trips&amp;Operators'!$C$1:$G$99999,5,FALSE)</f>
        <v>BRANDNER MELINDA</v>
      </c>
      <c r="M72" s="6">
        <f t="shared" si="1"/>
        <v>2.7835648143081926E-2</v>
      </c>
      <c r="N72" s="7">
        <f t="shared" si="2"/>
        <v>40.083333326037973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-02-24T10:47:08-0700',mode:absolute,to:'2017-02-24T13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2" s="187" t="str">
        <f t="shared" si="6"/>
        <v>N</v>
      </c>
      <c r="X72" s="187">
        <f t="shared" si="7"/>
        <v>1</v>
      </c>
      <c r="Y72" s="62">
        <f t="shared" si="8"/>
        <v>23.300999999999998</v>
      </c>
      <c r="Z72" s="62">
        <f t="shared" si="17"/>
        <v>1.41E-2</v>
      </c>
      <c r="AA72" s="62">
        <f t="shared" si="9"/>
        <v>23.286899999999999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0160-24</v>
      </c>
      <c r="AE72" s="85" t="str">
        <f t="shared" si="11"/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AF72" s="82" t="str">
        <f t="shared" si="12"/>
        <v>"C:\Program Files (x86)\AstroGrep\AstroGrep.exe" /spath="%USERPROFILE%\AppData\Local\Temp\OnboardLogs" /stypes="app*4043*20170224*" /stext=" 19:.+((SYSTEM_STATE.+slice.+state.+changed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86" t="str">
        <f t="shared" si="18"/>
        <v>"%USERPROFILE%\Documents\GitHub\eaglep3\Utilities\RefineRTDCRunTimes.py" --tripid 160-24 --locoid 4043 --swversion DE.1.0.9.0 --startMP 204:233010 --initTime 2017-02-24T11:47:08 --startdatetime 2017-02-24T11:56:15 --delay 1 --endMP 204:141 --enddatetime 2017-02-24T12:36:20 --enforcementcount 1 &gt;&gt;C:\Users\stu\Documents\GitHub\eaglep3-reporting\EC\2017-02-24-refined-times.txt</v>
      </c>
      <c r="AI72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{"issue":{"subject":"","project_id":79,"tracker_id":40,"status_id":1,"priority_id":2,"assigned_to_id":23,"start_date":"2017-02-24","description":"","custom_fields":[{"id":1,"name":"Subdivision","value":"EC"},{"id":4,"name":"Milepost","value":"0.0141"},{"id":17,"name":"Train ID","value":"160-24"},{"id":16,"name":"Locomotive ID","value":"4043"},{"id":130,"name":"Impact","value":""},{"id":150,"name":"Time of Event (Mountain Time)","value":"12:36:20"},{"id":151,"name":"Denver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4043 --day 2017-02-24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"%USERPROFILE%\AppData\Local\Temp\OnboardLogs"\RTDC4043\*4043*20170224* | grep -SE "(Enforcement Action)|(\[TIMEOUT)|(CHR.+\|PRM\|1\|D.+(SWITCH|SIGNAL).+UNKNOWN)" - &gt;&gt; 2017-02-24-UncaughtWiMAX.txt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558</v>
      </c>
      <c r="B73" s="7">
        <v>4022</v>
      </c>
      <c r="C73" s="21" t="s">
        <v>280</v>
      </c>
      <c r="D73" s="21" t="s">
        <v>265</v>
      </c>
      <c r="E73" s="13">
        <v>42790.464097222219</v>
      </c>
      <c r="F73" s="13">
        <v>42790.468935185185</v>
      </c>
      <c r="G73" s="7">
        <v>1</v>
      </c>
      <c r="H73" s="21" t="s">
        <v>275</v>
      </c>
      <c r="I73" s="13">
        <v>42790.494270833333</v>
      </c>
      <c r="J73" s="7">
        <v>1</v>
      </c>
      <c r="K73" s="98" t="str">
        <f t="shared" si="0"/>
        <v>4021/4022</v>
      </c>
      <c r="L73" s="21" t="str">
        <f>VLOOKUP(A73,'Trips&amp;Operators'!$C$1:$G$99999,5,FALSE)</f>
        <v>DELGADO DIANAH</v>
      </c>
      <c r="M73" s="6">
        <f t="shared" si="1"/>
        <v>2.5335648148029577E-2</v>
      </c>
      <c r="N73" s="7">
        <f t="shared" si="2"/>
        <v>36.483333333162591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-02-24T10:08:18-0700',mode:absolute,to:'2017-02-24T12:51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3" s="187" t="str">
        <f t="shared" si="6"/>
        <v>N</v>
      </c>
      <c r="X73" s="187">
        <f t="shared" si="7"/>
        <v>1</v>
      </c>
      <c r="Y73" s="62">
        <f t="shared" si="8"/>
        <v>4.7100000000000003E-2</v>
      </c>
      <c r="Z73" s="62">
        <f t="shared" si="17"/>
        <v>23.330100000000002</v>
      </c>
      <c r="AA73" s="62">
        <f t="shared" si="9"/>
        <v>23.283000000000001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0161-24</v>
      </c>
      <c r="AE73" s="85" t="str">
        <f t="shared" si="11"/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AF73" s="82" t="str">
        <f t="shared" si="12"/>
        <v>"C:\Program Files (x86)\AstroGrep\AstroGrep.exe" /spath="%USERPROFILE%\AppData\Local\Temp\OnboardLogs" /stypes="app*4022*20170224*" /stext=" 18:.+((SYSTEM_STATE.+slice.+state.+changed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86" t="str">
        <f t="shared" si="18"/>
        <v>"%USERPROFILE%\Documents\GitHub\eaglep3\Utilities\RefineRTDCRunTimes.py" --tripid 161-24 --locoid 4022 --swversion DE.1.0.9.0 --startMP 204:471 --initTime 2017-02-24T11:08:18 --startdatetime 2017-02-24T11:15:16 --delay 1 --endMP 204:233301 --enddatetime 2017-02-24T11:51:45 --enforcementcount 1 &gt;&gt;C:\Users\stu\Documents\GitHub\eaglep3-reporting\EC\2017-02-24-refined-times.txt</v>
      </c>
      <c r="AI73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{"issue":{"subject":"","project_id":79,"tracker_id":40,"status_id":1,"priority_id":2,"assigned_to_id":23,"start_date":"2017-02-24","description":"","custom_fields":[{"id":1,"name":"Subdivision","value":"EC"},{"id":4,"name":"Milepost","value":"23.3301"},{"id":17,"name":"Train ID","value":"161-24"},{"id":16,"name":"Locomotive ID","value":"4022"},{"id":130,"name":"Impact","value":""},{"id":150,"name":"Time of Event (Mountain Time)","value":"11:51:45"},{"id":151,"name":"Denver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4022 --day 2017-02-24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"%USERPROFILE%\AppData\Local\Temp\OnboardLogs"\RTDC4022\*4022*20170224* | grep -SE "(Enforcement Action)|(\[TIMEOUT)|(CHR.+\|PRM\|1\|D.+(SWITCH|SIGNAL).+UNKNOWN)" - &gt;&gt; 2017-02-24-UncaughtWiMAX.txt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x14ac:dyDescent="0.25">
      <c r="A74" s="33" t="s">
        <v>566</v>
      </c>
      <c r="B74" s="7">
        <v>4021</v>
      </c>
      <c r="C74" s="21" t="s">
        <v>280</v>
      </c>
      <c r="D74" s="21" t="s">
        <v>697</v>
      </c>
      <c r="E74" s="13">
        <v>42790.499780092592</v>
      </c>
      <c r="F74" s="13">
        <v>42790.507824074077</v>
      </c>
      <c r="G74" s="7">
        <v>3</v>
      </c>
      <c r="H74" s="21" t="s">
        <v>257</v>
      </c>
      <c r="I74" s="13">
        <v>42790.535034722219</v>
      </c>
      <c r="J74" s="7">
        <v>1</v>
      </c>
      <c r="K74" s="98" t="str">
        <f t="shared" si="0"/>
        <v>4021/4022</v>
      </c>
      <c r="L74" s="21" t="str">
        <f>VLOOKUP(A74,'Trips&amp;Operators'!$C$1:$G$99999,5,FALSE)</f>
        <v>DELGADO DIANAH</v>
      </c>
      <c r="M74" s="6">
        <f t="shared" si="1"/>
        <v>2.7210648142499849E-2</v>
      </c>
      <c r="N74" s="7">
        <f t="shared" si="2"/>
        <v>39.183333325199783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-02-24T10:59:41-0700',mode:absolute,to:'2017-02-24T13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4" s="187" t="str">
        <f t="shared" si="6"/>
        <v>N</v>
      </c>
      <c r="X74" s="187">
        <f t="shared" si="7"/>
        <v>1</v>
      </c>
      <c r="Y74" s="62">
        <f t="shared" si="8"/>
        <v>23.299800000000001</v>
      </c>
      <c r="Z74" s="62">
        <f t="shared" si="17"/>
        <v>1.3599999999999999E-2</v>
      </c>
      <c r="AA74" s="62">
        <f t="shared" si="9"/>
        <v>23.286200000000001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0162-24</v>
      </c>
      <c r="AE74" s="85" t="str">
        <f t="shared" si="11"/>
        <v>aws s3 cp s3://rtdc.mdm.uploadarchive.raw/RTDC4021/ "%USERPROFILE%\AppData\Local\Temp\OnboardLogs"\RTDC4021\2017-02-24 --exclude "*" --recursive --include "*20170224*" &amp; "%USERPROFILE%\Documents\GitHub\mrs-test-scripts\Headless Mode &amp; Sideloading\WalkAndUnGZ.bat" "%USERPROFILE%\AppData\Local\Temp\OnboardLogs"\RTDC4021\2017-02-24 &amp; 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</v>
      </c>
      <c r="AF74" s="82" t="str">
        <f t="shared" si="12"/>
        <v>"C:\Program Files (x86)\AstroGrep\AstroGrep.exe" /spath="%USERPROFILE%\AppData\Local\Temp\OnboardLogs" /stypes="app*4021*20170224*" /stext=" 19:.+((SYSTEM_STATE.+slice.+state.+changed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86" t="str">
        <f t="shared" si="18"/>
        <v>"%USERPROFILE%\Documents\GitHub\eaglep3\Utilities\RefineRTDCRunTimes.py" --tripid 162-24 --locoid 4021 --swversion DE.1.0.9.0 --startMP 204:232998 --initTime 2017-02-24T11:59:41 --startdatetime 2017-02-24T12:11:16 --delay 3 --endMP 204:136 --enddatetime 2017-02-24T12:50:27 --enforcementcount 1 &gt;&gt;C:\Users\stu\Documents\GitHub\eaglep3-reporting\EC\2017-02-24-refined-times.txt</v>
      </c>
      <c r="AI74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{"issue":{"subject":"","project_id":79,"tracker_id":40,"status_id":1,"priority_id":2,"assigned_to_id":23,"start_date":"2017-02-24","description":"","custom_fields":[{"id":1,"name":"Subdivision","value":"EC"},{"id":4,"name":"Milepost","value":"0.0136"},{"id":17,"name":"Train ID","value":"162-24"},{"id":16,"name":"Locomotive ID","value":"4021"},{"id":130,"name":"Impact","value":""},{"id":150,"name":"Time of Event (Mountain Time)","value":"12:50:27"},{"id":151,"name":"Denver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4021 --day 2017-02-24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"%USERPROFILE%\AppData\Local\Temp\OnboardLogs"\RTDC4021\*4021*20170224* | grep -SE "(Enforcement Action)|(\[TIMEOUT)|(CHR.+\|PRM\|1\|D.+(SWITCH|SIGNAL).+UNKNOWN)" - &gt;&gt; 2017-02-24-UncaughtWiMAX.txt</v>
      </c>
    </row>
    <row r="75" spans="1:91" s="20" customFormat="1" x14ac:dyDescent="0.25">
      <c r="A75" s="33" t="s">
        <v>560</v>
      </c>
      <c r="B75" s="7">
        <v>4009</v>
      </c>
      <c r="C75" s="21" t="s">
        <v>280</v>
      </c>
      <c r="D75" s="21" t="s">
        <v>397</v>
      </c>
      <c r="E75" s="13">
        <v>42790.4765625</v>
      </c>
      <c r="F75" s="13">
        <v>42790.479328703703</v>
      </c>
      <c r="G75" s="7">
        <v>1</v>
      </c>
      <c r="H75" s="21" t="s">
        <v>698</v>
      </c>
      <c r="I75" s="13">
        <v>42790.506018518521</v>
      </c>
      <c r="J75" s="7">
        <v>1</v>
      </c>
      <c r="K75" s="98" t="str">
        <f t="shared" si="0"/>
        <v>4009/4010</v>
      </c>
      <c r="L75" s="21" t="str">
        <f>VLOOKUP(A75,'Trips&amp;Operators'!$C$1:$G$99999,5,FALSE)</f>
        <v>CLARK KATHLEEN</v>
      </c>
      <c r="M75" s="6">
        <f t="shared" si="1"/>
        <v>2.6689814818382729E-2</v>
      </c>
      <c r="N75" s="7">
        <f t="shared" si="2"/>
        <v>38.43333333847113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-02-24T10:26:15-0700',mode:absolute,to:'2017-02-24T13:08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5" s="187" t="str">
        <f t="shared" si="6"/>
        <v>N</v>
      </c>
      <c r="X75" s="187">
        <f t="shared" si="7"/>
        <v>1</v>
      </c>
      <c r="Y75" s="62">
        <f t="shared" si="8"/>
        <v>4.7300000000000002E-2</v>
      </c>
      <c r="Z75" s="62">
        <f t="shared" si="17"/>
        <v>23.328099999999999</v>
      </c>
      <c r="AA75" s="62">
        <f t="shared" si="9"/>
        <v>23.280799999999999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0163-24</v>
      </c>
      <c r="AE75" s="85" t="str">
        <f t="shared" si="11"/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AF75" s="82" t="str">
        <f t="shared" si="12"/>
        <v>"C:\Program Files (x86)\AstroGrep\AstroGrep.exe" /spath="%USERPROFILE%\AppData\Local\Temp\OnboardLogs" /stypes="app*4009*20170224*" /stext=" 19:.+((SYSTEM_STATE.+slice.+state.+changed )|(ment ac)|(multiple cpu faults)|(system.+state.+changed )|(\[timeout)|(PRM\|1\|D)|(kpr)|(kdp)|(\|lc)|(penalty))" /e /r /s</v>
      </c>
      <c r="AG75" s="1" t="str">
        <f t="shared" si="13"/>
        <v>EC</v>
      </c>
      <c r="AH75" s="86" t="str">
        <f t="shared" si="18"/>
        <v>"%USERPROFILE%\Documents\GitHub\eaglep3\Utilities\RefineRTDCRunTimes.py" --tripid 163-24 --locoid 4009 --swversion DE.1.0.9.0 --startMP 204:473 --initTime 2017-02-24T11:26:15 --startdatetime 2017-02-24T11:30:14 --delay 1 --endMP 204:233281 --enddatetime 2017-02-24T12:08:40 --enforcementcount 1 &gt;&gt;C:\Users\stu\Documents\GitHub\eaglep3-reporting\EC\2017-02-24-refined-times.txt</v>
      </c>
      <c r="AI75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{"issue":{"subject":"","project_id":79,"tracker_id":40,"status_id":1,"priority_id":2,"assigned_to_id":23,"start_date":"2017-02-24","description":"","custom_fields":[{"id":1,"name":"Subdivision","value":"EC"},{"id":4,"name":"Milepost","value":"23.3281"},{"id":17,"name":"Train ID","value":"163-24"},{"id":16,"name":"Locomotive ID","value":"4009"},{"id":130,"name":"Impact","value":""},{"id":150,"name":"Time of Event (Mountain Time)","value":"12:08:40"},{"id":151,"name":"Denver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4009 --day 2017-02-24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"%USERPROFILE%\AppData\Local\Temp\OnboardLogs"\RTDC4009\*4009*20170224* | grep -SE "(Enforcement Action)|(\[TIMEOUT)|(CHR.+\|PRM\|1\|D.+(SWITCH|SIGNAL).+UNKNOWN)" - &gt;&gt; 2017-02-24-UncaughtWiMAX.txt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568</v>
      </c>
      <c r="B76" s="7">
        <v>4010</v>
      </c>
      <c r="C76" s="21" t="s">
        <v>280</v>
      </c>
      <c r="D76" s="21" t="s">
        <v>251</v>
      </c>
      <c r="E76" s="13">
        <v>42790.511990740742</v>
      </c>
      <c r="F76" s="13">
        <v>42790.518229166664</v>
      </c>
      <c r="G76" s="7">
        <v>1</v>
      </c>
      <c r="H76" s="21" t="s">
        <v>699</v>
      </c>
      <c r="I76" s="13">
        <v>42790.546643518515</v>
      </c>
      <c r="J76" s="7">
        <v>1</v>
      </c>
      <c r="K76" s="98" t="str">
        <f t="shared" si="0"/>
        <v>4009/4010</v>
      </c>
      <c r="L76" s="21" t="str">
        <f>VLOOKUP(A76,'Trips&amp;Operators'!$C$1:$G$99999,5,FALSE)</f>
        <v>CLARK KATHLEEN</v>
      </c>
      <c r="M76" s="6">
        <f t="shared" si="1"/>
        <v>2.8414351851097308E-2</v>
      </c>
      <c r="N76" s="7">
        <f t="shared" si="2"/>
        <v>40.916666665580124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-02-24T11:17:16-0700',mode:absolute,to:'2017-02-24T14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6" s="187" t="str">
        <f t="shared" si="6"/>
        <v>N</v>
      </c>
      <c r="X76" s="187">
        <f t="shared" si="7"/>
        <v>1</v>
      </c>
      <c r="Y76" s="62">
        <f t="shared" si="8"/>
        <v>23.299600000000002</v>
      </c>
      <c r="Z76" s="62">
        <f t="shared" si="17"/>
        <v>2.29E-2</v>
      </c>
      <c r="AA76" s="62">
        <f t="shared" si="9"/>
        <v>23.276700000000002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0"/>
        <v>0164-24</v>
      </c>
      <c r="AE76" s="85" t="str">
        <f t="shared" si="11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76" s="82" t="str">
        <f t="shared" si="12"/>
        <v>"C:\Program Files (x86)\AstroGrep\AstroGrep.exe" /spath="%USERPROFILE%\AppData\Local\Temp\OnboardLogs" /stypes="app*4010*20170224*" /stext=" 20:.+((SYSTEM_STATE.+slice.+state.+changed )|(ment ac)|(multiple cpu faults)|(system.+state.+changed )|(\[timeout)|(PRM\|1\|D)|(kpr)|(kdp)|(\|lc)|(penalty))" /e /r /s</v>
      </c>
      <c r="AG76" s="1" t="str">
        <f t="shared" si="13"/>
        <v>EC</v>
      </c>
      <c r="AH76" s="86" t="str">
        <f t="shared" si="18"/>
        <v>"%USERPROFILE%\Documents\GitHub\eaglep3\Utilities\RefineRTDCRunTimes.py" --tripid 164-24 --locoid 4010 --swversion DE.1.0.9.0 --startMP 204:232996 --initTime 2017-02-24T12:17:16 --startdatetime 2017-02-24T12:26:15 --delay 1 --endMP 204:229 --enddatetime 2017-02-24T13:07:10 --enforcementcount 1 &gt;&gt;C:\Users\stu\Documents\GitHub\eaglep3-reporting\EC\2017-02-24-refined-times.txt</v>
      </c>
      <c r="AI76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{"issue":{"subject":"","project_id":79,"tracker_id":40,"status_id":1,"priority_id":2,"assigned_to_id":23,"start_date":"2017-02-24","description":"","custom_fields":[{"id":1,"name":"Subdivision","value":"EC"},{"id":4,"name":"Milepost","value":"0.0229"},{"id":17,"name":"Train ID","value":"164-24"},{"id":16,"name":"Locomotive ID","value":"4010"},{"id":130,"name":"Impact","value":""},{"id":150,"name":"Time of Event (Mountain Time)","value":"13:07:10"},{"id":151,"name":"Denver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4010 --day 2017-02-24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"%USERPROFILE%\AppData\Local\Temp\OnboardLogs"\RTDC4010\*4010*20170224* | grep -SE "(Enforcement Action)|(\[TIMEOUT)|(CHR.+\|PRM\|1\|D.+(SWITCH|SIGNAL).+UNKNOWN)" - &gt;&gt; 2017-02-24-UncaughtWiMAX.txt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563</v>
      </c>
      <c r="B77" s="7">
        <v>4020</v>
      </c>
      <c r="C77" s="21" t="s">
        <v>280</v>
      </c>
      <c r="D77" s="21" t="s">
        <v>240</v>
      </c>
      <c r="E77" s="13">
        <v>42790.48636574074</v>
      </c>
      <c r="F77" s="13">
        <v>42790.490034722221</v>
      </c>
      <c r="G77" s="7">
        <v>2</v>
      </c>
      <c r="H77" s="21" t="s">
        <v>301</v>
      </c>
      <c r="I77" s="13">
        <v>42790.514733796299</v>
      </c>
      <c r="J77" s="7">
        <v>1</v>
      </c>
      <c r="K77" s="98" t="str">
        <f t="shared" si="0"/>
        <v>4019/4020</v>
      </c>
      <c r="L77" s="21" t="str">
        <f>VLOOKUP(A77,'Trips&amp;Operators'!$C$1:$G$99999,5,FALSE)</f>
        <v>BRUDER RICHARD</v>
      </c>
      <c r="M77" s="6">
        <f t="shared" si="1"/>
        <v>2.4699074077943806E-2</v>
      </c>
      <c r="N77" s="7">
        <f t="shared" si="2"/>
        <v>35.56666667223908</v>
      </c>
      <c r="O77" s="7"/>
      <c r="P77" s="7"/>
      <c r="Q77" s="22"/>
      <c r="R77" s="22"/>
      <c r="S77" s="31">
        <f t="shared" si="3"/>
        <v>1</v>
      </c>
      <c r="T77" s="46" t="str">
        <f t="shared" si="4"/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si="5"/>
        <v>https://d0f6bd738d7f1b3e5a7ca70fe4ff75f0.us-east-1.aws.found.io/app/kibana#/discover/Steve-Slow-Train-Analysis-(2080s-and-2083s)?_g=(refreshInterval:(display:Off,pause:!f,section:0,value:0),time:(from:'2017-02-24T10:40:22-0700',mode:absolute,to:'2017-02-24T13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187" t="str">
        <f t="shared" si="6"/>
        <v>N</v>
      </c>
      <c r="X77" s="187">
        <f t="shared" si="7"/>
        <v>1</v>
      </c>
      <c r="Y77" s="62">
        <f t="shared" si="8"/>
        <v>4.4600000000000001E-2</v>
      </c>
      <c r="Z77" s="62">
        <f t="shared" si="17"/>
        <v>23.329699999999999</v>
      </c>
      <c r="AA77" s="62">
        <f t="shared" si="9"/>
        <v>23.2851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10"/>
        <v>0165-24</v>
      </c>
      <c r="AE77" s="85" t="str">
        <f t="shared" si="11"/>
        <v>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 &amp; 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</v>
      </c>
      <c r="AF77" s="82" t="str">
        <f t="shared" si="12"/>
        <v>"C:\Program Files (x86)\AstroGrep\AstroGrep.exe" /spath="%USERPROFILE%\AppData\Local\Temp\OnboardLogs" /stypes="app*4020*20170224*" /stext=" 19:.+((SYSTEM_STATE.+slice.+state.+changed )|(ment ac)|(multiple cpu faults)|(system.+state.+changed )|(\[timeout)|(PRM\|1\|D)|(kpr)|(kdp)|(\|lc)|(penalty))" /e /r /s</v>
      </c>
      <c r="AG77" s="1" t="str">
        <f t="shared" si="13"/>
        <v>EC</v>
      </c>
      <c r="AH77" s="86" t="str">
        <f t="shared" si="18"/>
        <v>"%USERPROFILE%\Documents\GitHub\eaglep3\Utilities\RefineRTDCRunTimes.py" --tripid 165-24 --locoid 4020 --swversion DE.1.0.9.0 --startMP 204:446 --initTime 2017-02-24T11:40:22 --startdatetime 2017-02-24T11:45:39 --delay 2 --endMP 204:233297 --enddatetime 2017-02-24T12:21:13 --enforcementcount 1 &gt;&gt;C:\Users\stu\Documents\GitHub\eaglep3-reporting\EC\2017-02-24-refined-times.txt</v>
      </c>
      <c r="AI77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{"issue":{"subject":"","project_id":79,"tracker_id":40,"status_id":1,"priority_id":2,"assigned_to_id":23,"start_date":"2017-02-24","description":"","custom_fields":[{"id":1,"name":"Subdivision","value":"EC"},{"id":4,"name":"Milepost","value":"23.3297"},{"id":17,"name":"Train ID","value":"165-24"},{"id":16,"name":"Locomotive ID","value":"4020"},{"id":130,"name":"Impact","value":""},{"id":150,"name":"Time of Event (Mountain Time)","value":"12:21:13"},{"id":151,"name":"Denver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4020 --day 2017-02-24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2017-02-24-UncaughtWiMAX.txt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457</v>
      </c>
      <c r="B78" s="7">
        <v>4019</v>
      </c>
      <c r="C78" s="21" t="s">
        <v>280</v>
      </c>
      <c r="D78" s="21" t="s">
        <v>242</v>
      </c>
      <c r="E78" s="13">
        <v>42790.524340277778</v>
      </c>
      <c r="F78" s="13">
        <v>42790.528657407405</v>
      </c>
      <c r="G78" s="7">
        <v>2</v>
      </c>
      <c r="H78" s="21" t="s">
        <v>258</v>
      </c>
      <c r="I78" s="13">
        <v>42790.556550925925</v>
      </c>
      <c r="J78" s="7">
        <v>1</v>
      </c>
      <c r="K78" s="98" t="str">
        <f t="shared" ref="K78:K140" si="36">IF(ISEVEN(B78),(B78-1)&amp;"/"&amp;B78,B78&amp;"/"&amp;(B78+1))</f>
        <v>4019/4020</v>
      </c>
      <c r="L78" s="21" t="str">
        <f>VLOOKUP(A78,'Trips&amp;Operators'!$C$1:$G$99999,5,FALSE)</f>
        <v>BRUDER RICHARD</v>
      </c>
      <c r="M78" s="6">
        <f t="shared" ref="M78:M140" si="37">I78-F78</f>
        <v>2.789351851970423E-2</v>
      </c>
      <c r="N78" s="7">
        <f t="shared" ref="N78:N140" si="38">24*60*SUM($M78:$M78)</f>
        <v>40.166666668374091</v>
      </c>
      <c r="O78" s="7"/>
      <c r="P78" s="7"/>
      <c r="Q78" s="22"/>
      <c r="R78" s="22"/>
      <c r="S78" s="31">
        <f t="shared" ref="S78:S140" si="39">SUM(U78:U78)/IF(AG78="EC",12,1)</f>
        <v>1</v>
      </c>
      <c r="T78" s="46" t="str">
        <f t="shared" ref="T78:T140" si="40">IF(ISEVEN(LEFT(AD78,4)),"Southbound","NorthBound")</f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ref="V78:V140" si="41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-02-24T11:35:03-0700',mode:absolute,to:'2017-02-24T14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187" t="str">
        <f t="shared" ref="W78:W140" si="42">IF(AA78&lt;IF(AG78="EC",23,5.65),"Y","N")</f>
        <v>N</v>
      </c>
      <c r="X78" s="187">
        <f t="shared" ref="X78:X140" si="43">VALUE(LEFT(AD78,4))-VALUE(LEFT(AD77,4))</f>
        <v>1</v>
      </c>
      <c r="Y78" s="62">
        <f t="shared" ref="Y78:Y140" si="44">RIGHT(D78,LEN(D78)-4)/10000</f>
        <v>23.297799999999999</v>
      </c>
      <c r="Z78" s="62">
        <f t="shared" ref="Z78:Z140" si="45">RIGHT(H78,LEN(H78)-4)/10000</f>
        <v>1.5599999999999999E-2</v>
      </c>
      <c r="AA78" s="62">
        <f t="shared" ref="AA78:AA140" si="46">ABS(Z78-Y78)</f>
        <v>23.2822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ref="AD78:AD140" si="47">IF(LEN(A78)=6,"0"&amp;A78,A78)</f>
        <v>0166-24</v>
      </c>
      <c r="AE78" s="85" t="str">
        <f t="shared" ref="AE78:AE140" si="48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 &amp; 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</v>
      </c>
      <c r="AF78" s="82" t="str">
        <f t="shared" ref="AF78:AF140" si="49"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/stypes="app*4019*20170224*" /stext=" 20:.+((SYSTEM_STATE.+slice.+state.+changed )|(ment ac)|(multiple cpu faults)|(system.+state.+changed )|(\[timeout)|(PRM\|1\|D)|(kpr)|(kdp)|(\|lc)|(penalty))" /e /r /s</v>
      </c>
      <c r="AG78" s="1" t="str">
        <f t="shared" ref="AG78:AG140" si="50">IFERROR(IF(VALUE(LEFT(AD78,2))&lt;=2,"EC",IF(OR(VALUE(LEFT(AD78,2))=8,VALUE(LEFT(AD78,2))=18),"NW","Other")),"Other")</f>
        <v>EC</v>
      </c>
      <c r="AH78" s="86" t="str">
        <f t="shared" si="18"/>
        <v>"%USERPROFILE%\Documents\GitHub\eaglep3\Utilities\RefineRTDCRunTimes.py" --tripid 166-24 --locoid 4019 --swversion DE.1.0.9.0 --startMP 204:232978 --initTime 2017-02-24T12:35:03 --startdatetime 2017-02-24T12:41:16 --delay 2 --endMP 204:156 --enddatetime 2017-02-24T13:21:26 --enforcementcount 1 &gt;&gt;C:\Users\stu\Documents\GitHub\eaglep3-reporting\EC\2017-02-24-refined-times.txt</v>
      </c>
      <c r="AI78" s="108" t="str">
        <f t="shared" si="19"/>
        <v>echo {"issue":{"subject":"","project_id":79,"tracker_id":40,"status_id":1,"priority_id":2,"assigned_to_id":23,"start_date":"2017-02-24","description":"","custom_fields":[{"id":1,"name":"Subdivision","value":"EC"},{"id":4,"name":"Milepost","value":"0.0156"},{"id":17,"name":"Train ID","value":"166-24"},{"id":16,"name":"Locomotive ID","value":"4019"},{"id":130,"name":"Impact","value":""},{"id":150,"name":"Time of Event (Mountain Time)","value":"13:21:26"},{"id":151,"name":"Denver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si="20"/>
        <v>start /low /b %USERPROFILE%\Documents\GitHub\eaglep3\Utilities\DownloadLogsFromS3.py --loco 4019 --day 2017-02-24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2017-02-24-UncaughtWiMAX.txt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x14ac:dyDescent="0.25">
      <c r="A79" s="33" t="s">
        <v>565</v>
      </c>
      <c r="B79" s="7">
        <v>4025</v>
      </c>
      <c r="C79" s="21" t="s">
        <v>280</v>
      </c>
      <c r="D79" s="21" t="s">
        <v>221</v>
      </c>
      <c r="E79" s="13">
        <v>42790.49795138889</v>
      </c>
      <c r="F79" s="13">
        <v>42790.500196759262</v>
      </c>
      <c r="G79" s="7">
        <v>1</v>
      </c>
      <c r="H79" s="21" t="s">
        <v>333</v>
      </c>
      <c r="I79" s="13">
        <v>42790.525821759256</v>
      </c>
      <c r="J79" s="7">
        <v>1</v>
      </c>
      <c r="K79" s="98" t="str">
        <f t="shared" si="36"/>
        <v>4025/4026</v>
      </c>
      <c r="L79" s="21" t="str">
        <f>VLOOKUP(A79,'Trips&amp;Operators'!$C$1:$G$99999,5,FALSE)</f>
        <v>HELVIE ADAM</v>
      </c>
      <c r="M79" s="6">
        <f t="shared" si="37"/>
        <v>2.5624999994761311E-2</v>
      </c>
      <c r="N79" s="7">
        <f t="shared" si="38"/>
        <v>36.899999992456287</v>
      </c>
      <c r="O79" s="7"/>
      <c r="P79" s="7"/>
      <c r="Q79" s="22"/>
      <c r="R79" s="22"/>
      <c r="S79" s="31">
        <f t="shared" si="39"/>
        <v>1</v>
      </c>
      <c r="T79" s="46" t="str">
        <f t="shared" si="40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41"/>
        <v>https://d0f6bd738d7f1b3e5a7ca70fe4ff75f0.us-east-1.aws.found.io/app/kibana#/discover/Steve-Slow-Train-Analysis-(2080s-and-2083s)?_g=(refreshInterval:(display:Off,pause:!f,section:0,value:0),time:(from:'2017-02-24T10:57:03-0700',mode:absolute,to:'2017-02-24T13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9" s="187" t="str">
        <f t="shared" si="42"/>
        <v>N</v>
      </c>
      <c r="X79" s="187">
        <f t="shared" si="43"/>
        <v>1</v>
      </c>
      <c r="Y79" s="62">
        <f t="shared" si="44"/>
        <v>4.5100000000000001E-2</v>
      </c>
      <c r="Z79" s="62">
        <f t="shared" si="45"/>
        <v>23.33</v>
      </c>
      <c r="AA79" s="62">
        <f t="shared" si="46"/>
        <v>23.284899999999997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7"/>
        <v>0167-24</v>
      </c>
      <c r="AE79" s="85" t="str">
        <f t="shared" si="48"/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AF79" s="82" t="str">
        <f t="shared" si="49"/>
        <v>"C:\Program Files (x86)\AstroGrep\AstroGrep.exe" /spath="%USERPROFILE%\AppData\Local\Temp\OnboardLogs" /stypes="app*4025*20170224*" /stext=" 19:.+((SYSTEM_STATE.+slice.+state.+changed )|(ment ac)|(multiple cpu faults)|(system.+state.+changed )|(\[timeout)|(PRM\|1\|D)|(kpr)|(kdp)|(\|lc)|(penalty))" /e /r /s</v>
      </c>
      <c r="AG79" s="1" t="str">
        <f t="shared" si="50"/>
        <v>EC</v>
      </c>
      <c r="AH79" s="86" t="str">
        <f t="shared" ref="AH79:AH141" si="51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167-24 --locoid 4025 --swversion DE.1.0.9.0 --startMP 204:451 --initTime 2017-02-24T11:57:03 --startdatetime 2017-02-24T12:00:17 --delay 1 --endMP 204:233300 --enddatetime 2017-02-24T12:37:11 --enforcementcount 1 &gt;&gt;C:\Users\stu\Documents\GitHub\eaglep3-reporting\EC\2017-02-24-refined-times.txt</v>
      </c>
      <c r="AI79" s="108" t="str">
        <f t="shared" ref="AI79:AI141" si="52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{"issue":{"subject":"","project_id":79,"tracker_id":40,"status_id":1,"priority_id":2,"assigned_to_id":23,"start_date":"2017-02-24","description":"","custom_fields":[{"id":1,"name":"Subdivision","value":"EC"},{"id":4,"name":"Milepost","value":"23.33"},{"id":17,"name":"Train ID","value":"167-24"},{"id":16,"name":"Locomotive ID","value":"4025"},{"id":130,"name":"Impact","value":""},{"id":150,"name":"Time of Event (Mountain Time)","value":"12:37:11"},{"id":151,"name":"Denver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ref="AM79:AM141" si="53">"start /low /b "&amp;dls3logs&amp;" --loco "&amp;B79&amp;" --day "&amp;TEXT(F79,"YYYY-MM-DD")</f>
        <v>start /low /b %USERPROFILE%\Documents\GitHub\eaglep3\Utilities\DownloadLogsFromS3.py --loco 4025 --day 2017-02-24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2017-02-24-UncaughtWiMAX.txt</v>
      </c>
    </row>
    <row r="80" spans="1:91" s="20" customFormat="1" x14ac:dyDescent="0.25">
      <c r="A80" s="33" t="s">
        <v>458</v>
      </c>
      <c r="B80" s="7">
        <v>4026</v>
      </c>
      <c r="C80" s="21" t="s">
        <v>280</v>
      </c>
      <c r="D80" s="21" t="s">
        <v>388</v>
      </c>
      <c r="E80" s="13">
        <v>42790.536608796298</v>
      </c>
      <c r="F80" s="13">
        <v>42790.539143518516</v>
      </c>
      <c r="G80" s="7">
        <v>2</v>
      </c>
      <c r="H80" s="21" t="s">
        <v>205</v>
      </c>
      <c r="I80" s="13">
        <v>42790.565868055557</v>
      </c>
      <c r="J80" s="7">
        <v>1</v>
      </c>
      <c r="K80" s="98" t="str">
        <f t="shared" si="36"/>
        <v>4025/4026</v>
      </c>
      <c r="L80" s="21" t="str">
        <f>VLOOKUP(A80,'Trips&amp;Operators'!$C$1:$G$99999,5,FALSE)</f>
        <v>HELVIE ADAM</v>
      </c>
      <c r="M80" s="6">
        <f t="shared" si="37"/>
        <v>2.6724537041445728E-2</v>
      </c>
      <c r="N80" s="7">
        <f t="shared" si="38"/>
        <v>38.483333339681849</v>
      </c>
      <c r="O80" s="7"/>
      <c r="P80" s="7"/>
      <c r="Q80" s="22"/>
      <c r="R80" s="22"/>
      <c r="S80" s="31">
        <f t="shared" si="39"/>
        <v>1</v>
      </c>
      <c r="T80" s="46" t="str">
        <f t="shared" si="40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41"/>
        <v>https://d0f6bd738d7f1b3e5a7ca70fe4ff75f0.us-east-1.aws.found.io/app/kibana#/discover/Steve-Slow-Train-Analysis-(2080s-and-2083s)?_g=(refreshInterval:(display:Off,pause:!f,section:0,value:0),time:(from:'2017-02-24T11:52:43-0700',mode:absolute,to:'2017-02-24T14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0" s="187" t="str">
        <f t="shared" si="42"/>
        <v>N</v>
      </c>
      <c r="X80" s="187">
        <f t="shared" si="43"/>
        <v>1</v>
      </c>
      <c r="Y80" s="62">
        <f t="shared" si="44"/>
        <v>23.297699999999999</v>
      </c>
      <c r="Z80" s="62">
        <f t="shared" si="45"/>
        <v>1.52E-2</v>
      </c>
      <c r="AA80" s="62">
        <f t="shared" si="46"/>
        <v>23.282499999999999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7"/>
        <v>0168-24</v>
      </c>
      <c r="AE80" s="85" t="str">
        <f t="shared" si="48"/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AF80" s="82" t="str">
        <f t="shared" si="49"/>
        <v>"C:\Program Files (x86)\AstroGrep\AstroGrep.exe" /spath="%USERPROFILE%\AppData\Local\Temp\OnboardLogs" /stypes="app*4026*20170224*" /stext=" 20:.+((SYSTEM_STATE.+slice.+state.+changed )|(ment ac)|(multiple cpu faults)|(system.+state.+changed )|(\[timeout)|(PRM\|1\|D)|(kpr)|(kdp)|(\|lc)|(penalty))" /e /r /s</v>
      </c>
      <c r="AG80" s="1" t="str">
        <f t="shared" si="50"/>
        <v>EC</v>
      </c>
      <c r="AH80" s="86" t="str">
        <f t="shared" si="51"/>
        <v>"%USERPROFILE%\Documents\GitHub\eaglep3\Utilities\RefineRTDCRunTimes.py" --tripid 168-24 --locoid 4026 --swversion DE.1.0.9.0 --startMP 204:232977 --initTime 2017-02-24T12:52:43 --startdatetime 2017-02-24T12:56:22 --delay 2 --endMP 204:152 --enddatetime 2017-02-24T13:34:51 --enforcementcount 1 &gt;&gt;C:\Users\stu\Documents\GitHub\eaglep3-reporting\EC\2017-02-24-refined-times.txt</v>
      </c>
      <c r="AI80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{"issue":{"subject":"","project_id":79,"tracker_id":40,"status_id":1,"priority_id":2,"assigned_to_id":23,"start_date":"2017-02-24","description":"","custom_fields":[{"id":1,"name":"Subdivision","value":"EC"},{"id":4,"name":"Milepost","value":"0.0152"},{"id":17,"name":"Train ID","value":"168-24"},{"id":16,"name":"Locomotive ID","value":"4026"},{"id":130,"name":"Impact","value":""},{"id":150,"name":"Time of Event (Mountain Time)","value":"13:34:51"},{"id":151,"name":"Denver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53"/>
        <v>start /low /b %USERPROFILE%\Documents\GitHub\eaglep3\Utilities\DownloadLogsFromS3.py --loco 4026 --day 2017-02-24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"%USERPROFILE%\AppData\Local\Temp\OnboardLogs"\RTDC4026\*4026*20170224* | grep -SE "(Enforcement Action)|(\[TIMEOUT)|(CHR.+\|PRM\|1\|D.+(SWITCH|SIGNAL).+UNKNOWN)" - &gt;&gt; 2017-02-24-UncaughtWiMAX.txt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567</v>
      </c>
      <c r="B81" s="7">
        <v>4051</v>
      </c>
      <c r="C81" s="21" t="s">
        <v>280</v>
      </c>
      <c r="D81" s="21" t="s">
        <v>260</v>
      </c>
      <c r="E81" s="13">
        <v>42790.505046296297</v>
      </c>
      <c r="F81" s="13">
        <v>42790.510694444441</v>
      </c>
      <c r="G81" s="7">
        <v>2</v>
      </c>
      <c r="H81" s="21" t="s">
        <v>689</v>
      </c>
      <c r="I81" s="13">
        <v>42790.536192129628</v>
      </c>
      <c r="J81" s="7">
        <v>1</v>
      </c>
      <c r="K81" s="98" t="str">
        <f t="shared" si="36"/>
        <v>4051/4052</v>
      </c>
      <c r="L81" s="21" t="str">
        <f>VLOOKUP(A81,'Trips&amp;Operators'!$C$1:$G$99999,5,FALSE)</f>
        <v>KILLION DAVID</v>
      </c>
      <c r="M81" s="6">
        <f t="shared" si="37"/>
        <v>2.5497685186564922E-2</v>
      </c>
      <c r="N81" s="7">
        <f t="shared" si="38"/>
        <v>36.716666668653488</v>
      </c>
      <c r="O81" s="7"/>
      <c r="P81" s="7"/>
      <c r="Q81" s="22"/>
      <c r="R81" s="22"/>
      <c r="S81" s="31">
        <f t="shared" si="39"/>
        <v>1</v>
      </c>
      <c r="T81" s="46" t="str">
        <f t="shared" si="40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41"/>
        <v>https://d0f6bd738d7f1b3e5a7ca70fe4ff75f0.us-east-1.aws.found.io/app/kibana#/discover/Steve-Slow-Train-Analysis-(2080s-and-2083s)?_g=(refreshInterval:(display:Off,pause:!f,section:0,value:0),time:(from:'2017-02-24T11:07:16-0700',mode:absolute,to:'2017-02-24T13:52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1" s="187" t="str">
        <f t="shared" si="42"/>
        <v>N</v>
      </c>
      <c r="X81" s="187">
        <f t="shared" si="43"/>
        <v>1</v>
      </c>
      <c r="Y81" s="62">
        <f t="shared" si="44"/>
        <v>4.4400000000000002E-2</v>
      </c>
      <c r="Z81" s="62">
        <f t="shared" si="45"/>
        <v>23.3322</v>
      </c>
      <c r="AA81" s="62">
        <f t="shared" si="46"/>
        <v>23.287800000000001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7"/>
        <v>0169-24</v>
      </c>
      <c r="AE81" s="85" t="str">
        <f t="shared" si="48"/>
        <v>aws s3 cp s3://rtdc.mdm.uploadarchive.raw/RTDC4051/ "%USERPROFILE%\AppData\Local\Temp\OnboardLogs"\RTDC4051\2017-02-24 --exclude "*" --recursive --include "*20170224*" &amp; "%USERPROFILE%\Documents\GitHub\mrs-test-scripts\Headless Mode &amp; Sideloading\WalkAndUnGZ.bat" "%USERPROFILE%\AppData\Local\Temp\OnboardLogs"\RTDC4051\2017-02-24 &amp; 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</v>
      </c>
      <c r="AF81" s="82" t="str">
        <f t="shared" si="49"/>
        <v>"C:\Program Files (x86)\AstroGrep\AstroGrep.exe" /spath="%USERPROFILE%\AppData\Local\Temp\OnboardLogs" /stypes="app*4051*20170224*" /stext=" 19:.+((SYSTEM_STATE.+slice.+state.+changed )|(ment ac)|(multiple cpu faults)|(system.+state.+changed )|(\[timeout)|(PRM\|1\|D)|(kpr)|(kdp)|(\|lc)|(penalty))" /e /r /s</v>
      </c>
      <c r="AG81" s="1" t="str">
        <f t="shared" si="50"/>
        <v>EC</v>
      </c>
      <c r="AH81" s="86" t="str">
        <f t="shared" si="51"/>
        <v>"%USERPROFILE%\Documents\GitHub\eaglep3\Utilities\RefineRTDCRunTimes.py" --tripid 169-24 --locoid 4051 --swversion DE.1.0.9.0 --startMP 204:444 --initTime 2017-02-24T12:07:16 --startdatetime 2017-02-24T12:15:24 --delay 2 --endMP 204:233322 --enddatetime 2017-02-24T12:52:07 --enforcementcount 1 &gt;&gt;C:\Users\stu\Documents\GitHub\eaglep3-reporting\EC\2017-02-24-refined-times.txt</v>
      </c>
      <c r="AI81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{"issue":{"subject":"","project_id":79,"tracker_id":40,"status_id":1,"priority_id":2,"assigned_to_id":23,"start_date":"2017-02-24","description":"","custom_fields":[{"id":1,"name":"Subdivision","value":"EC"},{"id":4,"name":"Milepost","value":"23.3322"},{"id":17,"name":"Train ID","value":"169-24"},{"id":16,"name":"Locomotive ID","value":"4051"},{"id":130,"name":"Impact","value":""},{"id":150,"name":"Time of Event (Mountain Time)","value":"12:52:07"},{"id":151,"name":"Denver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53"/>
        <v>start /low /b %USERPROFILE%\Documents\GitHub\eaglep3\Utilities\DownloadLogsFromS3.py --loco 4051 --day 2017-02-24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"%USERPROFILE%\AppData\Local\Temp\OnboardLogs"\RTDC4051\*4051*20170224* | grep -SE "(Enforcement Action)|(\[TIMEOUT)|(CHR.+\|PRM\|1\|D.+(SWITCH|SIGNAL).+UNKNOWN)" - &gt;&gt; 2017-02-24-UncaughtWiMAX.txt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574</v>
      </c>
      <c r="B82" s="7">
        <v>4052</v>
      </c>
      <c r="C82" s="21" t="s">
        <v>280</v>
      </c>
      <c r="D82" s="21" t="s">
        <v>700</v>
      </c>
      <c r="E82" s="13">
        <v>42790.542291666665</v>
      </c>
      <c r="F82" s="13">
        <v>42790.549537037034</v>
      </c>
      <c r="G82" s="7">
        <v>1</v>
      </c>
      <c r="H82" s="21" t="s">
        <v>211</v>
      </c>
      <c r="I82" s="13">
        <v>42790.577326388891</v>
      </c>
      <c r="J82" s="7">
        <v>1</v>
      </c>
      <c r="K82" s="98" t="str">
        <f t="shared" si="36"/>
        <v>4051/4052</v>
      </c>
      <c r="L82" s="21" t="str">
        <f>VLOOKUP(A82,'Trips&amp;Operators'!$C$1:$G$99999,5,FALSE)</f>
        <v>KILLION DAVID</v>
      </c>
      <c r="M82" s="6">
        <f t="shared" si="37"/>
        <v>2.7789351857791189E-2</v>
      </c>
      <c r="N82" s="7">
        <f t="shared" si="38"/>
        <v>40.016666675219312</v>
      </c>
      <c r="O82" s="7"/>
      <c r="P82" s="7"/>
      <c r="Q82" s="22"/>
      <c r="R82" s="22"/>
      <c r="S82" s="31">
        <f t="shared" si="39"/>
        <v>1</v>
      </c>
      <c r="T82" s="46" t="str">
        <f t="shared" si="40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41"/>
        <v>https://d0f6bd738d7f1b3e5a7ca70fe4ff75f0.us-east-1.aws.found.io/app/kibana#/discover/Steve-Slow-Train-Analysis-(2080s-and-2083s)?_g=(refreshInterval:(display:Off,pause:!f,section:0,value:0),time:(from:'2017-02-24T12:00:54-0700',mode:absolute,to:'2017-02-24T14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2" s="187" t="str">
        <f t="shared" si="42"/>
        <v>N</v>
      </c>
      <c r="X82" s="187">
        <f t="shared" si="43"/>
        <v>1</v>
      </c>
      <c r="Y82" s="62">
        <f t="shared" si="44"/>
        <v>23.297999999999998</v>
      </c>
      <c r="Z82" s="62">
        <f t="shared" si="45"/>
        <v>1.54E-2</v>
      </c>
      <c r="AA82" s="62">
        <f t="shared" si="46"/>
        <v>23.282599999999999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7"/>
        <v>0170-24</v>
      </c>
      <c r="AE82" s="85" t="str">
        <f t="shared" si="48"/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AF82" s="82" t="str">
        <f t="shared" si="49"/>
        <v>"C:\Program Files (x86)\AstroGrep\AstroGrep.exe" /spath="%USERPROFILE%\AppData\Local\Temp\OnboardLogs" /stypes="app*4052*20170224*" /stext=" 20:.+((SYSTEM_STATE.+slice.+state.+changed )|(ment ac)|(multiple cpu faults)|(system.+state.+changed )|(\[timeout)|(PRM\|1\|D)|(kpr)|(kdp)|(\|lc)|(penalty))" /e /r /s</v>
      </c>
      <c r="AG82" s="1" t="str">
        <f t="shared" si="50"/>
        <v>EC</v>
      </c>
      <c r="AH82" s="86" t="str">
        <f t="shared" si="51"/>
        <v>"%USERPROFILE%\Documents\GitHub\eaglep3\Utilities\RefineRTDCRunTimes.py" --tripid 170-24 --locoid 4052 --swversion DE.1.0.9.0 --startMP 204:232980 --initTime 2017-02-24T13:00:54 --startdatetime 2017-02-24T13:11:20 --delay 1 --endMP 204:154 --enddatetime 2017-02-24T13:51:21 --enforcementcount 1 &gt;&gt;C:\Users\stu\Documents\GitHub\eaglep3-reporting\EC\2017-02-24-refined-times.txt</v>
      </c>
      <c r="AI82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{"issue":{"subject":"","project_id":79,"tracker_id":40,"status_id":1,"priority_id":2,"assigned_to_id":23,"start_date":"2017-02-24","description":"","custom_fields":[{"id":1,"name":"Subdivision","value":"EC"},{"id":4,"name":"Milepost","value":"0.0154"},{"id":17,"name":"Train ID","value":"170-24"},{"id":16,"name":"Locomotive ID","value":"4052"},{"id":130,"name":"Impact","value":""},{"id":150,"name":"Time of Event (Mountain Time)","value":"13:51:21"},{"id":151,"name":"Denver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53"/>
        <v>start /low /b %USERPROFILE%\Documents\GitHub\eaglep3\Utilities\DownloadLogsFromS3.py --loco 4052 --day 2017-02-24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"%USERPROFILE%\AppData\Local\Temp\OnboardLogs"\RTDC4052\*4052*20170224* | grep -SE "(Enforcement Action)|(\[TIMEOUT)|(CHR.+\|PRM\|1\|D.+(SWITCH|SIGNAL).+UNKNOWN)" - &gt;&gt; 2017-02-24-UncaughtWiMAX.txt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569</v>
      </c>
      <c r="B83" s="7">
        <v>4031</v>
      </c>
      <c r="C83" s="21" t="s">
        <v>280</v>
      </c>
      <c r="D83" s="21" t="s">
        <v>204</v>
      </c>
      <c r="E83" s="13">
        <v>42790.5158912037</v>
      </c>
      <c r="F83" s="13">
        <v>42790.520983796298</v>
      </c>
      <c r="G83" s="7">
        <v>2</v>
      </c>
      <c r="H83" s="21" t="s">
        <v>701</v>
      </c>
      <c r="I83" s="13">
        <v>42790.546226851853</v>
      </c>
      <c r="J83" s="7">
        <v>1</v>
      </c>
      <c r="K83" s="98" t="str">
        <f t="shared" si="36"/>
        <v>4031/4032</v>
      </c>
      <c r="L83" s="21" t="str">
        <f>VLOOKUP(A83,'Trips&amp;Operators'!$C$1:$G$99999,5,FALSE)</f>
        <v>BRANNON JEFFREY</v>
      </c>
      <c r="M83" s="6">
        <f t="shared" si="37"/>
        <v>2.5243055555620231E-2</v>
      </c>
      <c r="N83" s="7">
        <f t="shared" si="38"/>
        <v>36.350000000093132</v>
      </c>
      <c r="O83" s="7"/>
      <c r="P83" s="7"/>
      <c r="Q83" s="22"/>
      <c r="R83" s="22"/>
      <c r="S83" s="31">
        <f t="shared" si="39"/>
        <v>1</v>
      </c>
      <c r="T83" s="46" t="str">
        <f t="shared" si="40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41"/>
        <v>https://d0f6bd738d7f1b3e5a7ca70fe4ff75f0.us-east-1.aws.found.io/app/kibana#/discover/Steve-Slow-Train-Analysis-(2080s-and-2083s)?_g=(refreshInterval:(display:Off,pause:!f,section:0,value:0),time:(from:'2017-02-24T11:22:53-0700',mode:absolute,to:'2017-02-24T14:06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3" s="187" t="str">
        <f t="shared" si="42"/>
        <v>N</v>
      </c>
      <c r="X83" s="187">
        <f t="shared" si="43"/>
        <v>1</v>
      </c>
      <c r="Y83" s="62">
        <f t="shared" si="44"/>
        <v>4.6199999999999998E-2</v>
      </c>
      <c r="Z83" s="62">
        <f t="shared" si="45"/>
        <v>23.331900000000001</v>
      </c>
      <c r="AA83" s="62">
        <f t="shared" si="46"/>
        <v>23.285700000000002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47"/>
        <v>0171-24</v>
      </c>
      <c r="AE83" s="85" t="str">
        <f t="shared" si="48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83" s="82" t="str">
        <f t="shared" si="49"/>
        <v>"C:\Program Files (x86)\AstroGrep\AstroGrep.exe" /spath="%USERPROFILE%\AppData\Local\Temp\OnboardLogs" /stypes="app*4031*20170224*" /stext=" 20:.+((SYSTEM_STATE.+slice.+state.+changed )|(ment ac)|(multiple cpu faults)|(system.+state.+changed )|(\[timeout)|(PRM\|1\|D)|(kpr)|(kdp)|(\|lc)|(penalty))" /e /r /s</v>
      </c>
      <c r="AG83" s="1" t="str">
        <f t="shared" si="50"/>
        <v>EC</v>
      </c>
      <c r="AH83" s="86" t="str">
        <f t="shared" si="51"/>
        <v>"%USERPROFILE%\Documents\GitHub\eaglep3\Utilities\RefineRTDCRunTimes.py" --tripid 171-24 --locoid 4031 --swversion DE.1.0.9.0 --startMP 204:462 --initTime 2017-02-24T12:22:53 --startdatetime 2017-02-24T12:30:13 --delay 2 --endMP 204:233319 --enddatetime 2017-02-24T13:06:34 --enforcementcount 1 &gt;&gt;C:\Users\stu\Documents\GitHub\eaglep3-reporting\EC\2017-02-24-refined-times.txt</v>
      </c>
      <c r="AI83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{"issue":{"subject":"","project_id":79,"tracker_id":40,"status_id":1,"priority_id":2,"assigned_to_id":23,"start_date":"2017-02-24","description":"","custom_fields":[{"id":1,"name":"Subdivision","value":"EC"},{"id":4,"name":"Milepost","value":"23.3319"},{"id":17,"name":"Train ID","value":"171-24"},{"id":16,"name":"Locomotive ID","value":"4031"},{"id":130,"name":"Impact","value":""},{"id":150,"name":"Time of Event (Mountain Time)","value":"13:06:34"},{"id":151,"name":"Denver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53"/>
        <v>start /low /b %USERPROFILE%\Documents\GitHub\eaglep3\Utilities\DownloadLogsFromS3.py --loco 4031 --day 2017-02-24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"%USERPROFILE%\AppData\Local\Temp\OnboardLogs"\RTDC4031\*4031*20170224* | grep -SE "(Enforcement Action)|(\[TIMEOUT)|(CHR.+\|PRM\|1\|D.+(SWITCH|SIGNAL).+UNKNOWN)" - &gt;&gt; 2017-02-24-UncaughtWiMAX.txt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575</v>
      </c>
      <c r="B84" s="7">
        <v>4032</v>
      </c>
      <c r="C84" s="21" t="s">
        <v>280</v>
      </c>
      <c r="D84" s="21" t="s">
        <v>702</v>
      </c>
      <c r="E84" s="13">
        <v>42790.547500000001</v>
      </c>
      <c r="F84" s="13">
        <v>42790.559895833336</v>
      </c>
      <c r="G84" s="7">
        <v>1</v>
      </c>
      <c r="H84" s="21" t="s">
        <v>184</v>
      </c>
      <c r="I84" s="13">
        <v>42790.587534722225</v>
      </c>
      <c r="J84" s="7">
        <v>1</v>
      </c>
      <c r="K84" s="98" t="str">
        <f t="shared" si="36"/>
        <v>4031/4032</v>
      </c>
      <c r="L84" s="21" t="str">
        <f>VLOOKUP(A84,'Trips&amp;Operators'!$C$1:$G$99999,5,FALSE)</f>
        <v>BRANNON JEFFREY</v>
      </c>
      <c r="M84" s="6">
        <f t="shared" si="37"/>
        <v>2.7638888888759539E-2</v>
      </c>
      <c r="N84" s="7">
        <f t="shared" si="38"/>
        <v>39.799999999813735</v>
      </c>
      <c r="O84" s="7"/>
      <c r="P84" s="7"/>
      <c r="Q84" s="22"/>
      <c r="R84" s="22"/>
      <c r="S84" s="31">
        <f t="shared" si="39"/>
        <v>1</v>
      </c>
      <c r="T84" s="46" t="str">
        <f t="shared" si="40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41"/>
        <v>https://d0f6bd738d7f1b3e5a7ca70fe4ff75f0.us-east-1.aws.found.io/app/kibana#/discover/Steve-Slow-Train-Analysis-(2080s-and-2083s)?_g=(refreshInterval:(display:Off,pause:!f,section:0,value:0),time:(from:'2017-02-24T12:08:24-0700',mode:absolute,to:'2017-02-24T15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4" s="187" t="str">
        <f t="shared" si="42"/>
        <v>N</v>
      </c>
      <c r="X84" s="187">
        <f t="shared" si="43"/>
        <v>1</v>
      </c>
      <c r="Y84" s="62">
        <f t="shared" si="44"/>
        <v>23.300799999999999</v>
      </c>
      <c r="Z84" s="62">
        <f t="shared" si="45"/>
        <v>1.49E-2</v>
      </c>
      <c r="AA84" s="62">
        <f t="shared" si="46"/>
        <v>23.285899999999998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7"/>
        <v>0172-24</v>
      </c>
      <c r="AE84" s="85" t="str">
        <f t="shared" si="48"/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AF84" s="82" t="str">
        <f t="shared" si="49"/>
        <v>"C:\Program Files (x86)\AstroGrep\AstroGrep.exe" /spath="%USERPROFILE%\AppData\Local\Temp\OnboardLogs" /stypes="app*4032*20170224*" /stext=" 21:.+((SYSTEM_STATE.+slice.+state.+changed )|(ment ac)|(multiple cpu faults)|(system.+state.+changed )|(\[timeout)|(PRM\|1\|D)|(kpr)|(kdp)|(\|lc)|(penalty))" /e /r /s</v>
      </c>
      <c r="AG84" s="1" t="str">
        <f t="shared" si="50"/>
        <v>EC</v>
      </c>
      <c r="AH84" s="86" t="str">
        <f t="shared" si="51"/>
        <v>"%USERPROFILE%\Documents\GitHub\eaglep3\Utilities\RefineRTDCRunTimes.py" --tripid 172-24 --locoid 4032 --swversion DE.1.0.9.0 --startMP 204:233008 --initTime 2017-02-24T13:08:24 --startdatetime 2017-02-24T13:26:15 --delay 1 --endMP 204:149 --enddatetime 2017-02-24T14:06:03 --enforcementcount 1 &gt;&gt;C:\Users\stu\Documents\GitHub\eaglep3-reporting\EC\2017-02-24-refined-times.txt</v>
      </c>
      <c r="AI84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{"issue":{"subject":"","project_id":79,"tracker_id":40,"status_id":1,"priority_id":2,"assigned_to_id":23,"start_date":"2017-02-24","description":"","custom_fields":[{"id":1,"name":"Subdivision","value":"EC"},{"id":4,"name":"Milepost","value":"0.0149"},{"id":17,"name":"Train ID","value":"172-24"},{"id":16,"name":"Locomotive ID","value":"4032"},{"id":130,"name":"Impact","value":""},{"id":150,"name":"Time of Event (Mountain Time)","value":"14:06:03"},{"id":151,"name":"Denver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53"/>
        <v>start /low /b %USERPROFILE%\Documents\GitHub\eaglep3\Utilities\DownloadLogsFromS3.py --loco 4032 --day 2017-02-24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"%USERPROFILE%\AppData\Local\Temp\OnboardLogs"\RTDC4032\*4032*20170224* | grep -SE "(Enforcement Action)|(\[TIMEOUT)|(CHR.+\|PRM\|1\|D.+(SWITCH|SIGNAL).+UNKNOWN)" - &gt;&gt; 2017-02-24-UncaughtWiMAX.txt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571</v>
      </c>
      <c r="B85" s="7">
        <v>4044</v>
      </c>
      <c r="C85" s="21" t="s">
        <v>280</v>
      </c>
      <c r="D85" s="21" t="s">
        <v>241</v>
      </c>
      <c r="E85" s="13">
        <v>42790.527557870373</v>
      </c>
      <c r="F85" s="13">
        <v>42790.531574074077</v>
      </c>
      <c r="G85" s="7">
        <v>3</v>
      </c>
      <c r="H85" s="21" t="s">
        <v>703</v>
      </c>
      <c r="I85" s="13">
        <v>42790.557199074072</v>
      </c>
      <c r="J85" s="7">
        <v>1</v>
      </c>
      <c r="K85" s="98" t="str">
        <f t="shared" si="36"/>
        <v>4043/4044</v>
      </c>
      <c r="L85" s="21" t="str">
        <f>VLOOKUP(A85,'Trips&amp;Operators'!$C$1:$G$99999,5,FALSE)</f>
        <v>BRANDNER MELINDA</v>
      </c>
      <c r="M85" s="6">
        <f t="shared" si="37"/>
        <v>2.5624999994761311E-2</v>
      </c>
      <c r="N85" s="7">
        <f t="shared" si="38"/>
        <v>36.899999992456287</v>
      </c>
      <c r="O85" s="7"/>
      <c r="P85" s="7"/>
      <c r="Q85" s="22"/>
      <c r="R85" s="22"/>
      <c r="S85" s="31">
        <f t="shared" si="39"/>
        <v>1</v>
      </c>
      <c r="T85" s="46" t="str">
        <f t="shared" si="40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41"/>
        <v>https://d0f6bd738d7f1b3e5a7ca70fe4ff75f0.us-east-1.aws.found.io/app/kibana#/discover/Steve-Slow-Train-Analysis-(2080s-and-2083s)?_g=(refreshInterval:(display:Off,pause:!f,section:0,value:0),time:(from:'2017-02-24T11:39:41-0700',mode:absolute,to:'2017-02-24T14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5" s="187" t="str">
        <f t="shared" si="42"/>
        <v>N</v>
      </c>
      <c r="X85" s="187">
        <f t="shared" si="43"/>
        <v>1</v>
      </c>
      <c r="Y85" s="62">
        <f t="shared" si="44"/>
        <v>4.5499999999999999E-2</v>
      </c>
      <c r="Z85" s="62">
        <f t="shared" si="45"/>
        <v>23.3291</v>
      </c>
      <c r="AA85" s="62">
        <f t="shared" si="46"/>
        <v>23.2836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47"/>
        <v>0173-24</v>
      </c>
      <c r="AE85" s="85" t="str">
        <f t="shared" si="48"/>
        <v>aws s3 cp s3://rtdc.mdm.uploadarchive.raw/RTDC4044/ "%USERPROFILE%\AppData\Local\Temp\OnboardLogs"\RTDC4044\2017-02-24 --exclude "*" --recursive --include "*20170224*" &amp; "%USERPROFILE%\Documents\GitHub\mrs-test-scripts\Headless Mode &amp; Sideloading\WalkAndUnGZ.bat" "%USERPROFILE%\AppData\Local\Temp\OnboardLogs"\RTDC4044\2017-02-24 &amp; 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</v>
      </c>
      <c r="AF85" s="82" t="str">
        <f t="shared" si="49"/>
        <v>"C:\Program Files (x86)\AstroGrep\AstroGrep.exe" /spath="%USERPROFILE%\AppData\Local\Temp\OnboardLogs" /stypes="app*4044*20170224*" /stext=" 20:.+((SYSTEM_STATE.+slice.+state.+changed )|(ment ac)|(multiple cpu faults)|(system.+state.+changed )|(\[timeout)|(PRM\|1\|D)|(kpr)|(kdp)|(\|lc)|(penalty))" /e /r /s</v>
      </c>
      <c r="AG85" s="1" t="str">
        <f t="shared" si="50"/>
        <v>EC</v>
      </c>
      <c r="AH85" s="86" t="str">
        <f t="shared" si="51"/>
        <v>"%USERPROFILE%\Documents\GitHub\eaglep3\Utilities\RefineRTDCRunTimes.py" --tripid 173-24 --locoid 4044 --swversion DE.1.0.9.0 --startMP 204:455 --initTime 2017-02-24T12:39:41 --startdatetime 2017-02-24T12:45:28 --delay 3 --endMP 204:233291 --enddatetime 2017-02-24T13:22:22 --enforcementcount 1 &gt;&gt;C:\Users\stu\Documents\GitHub\eaglep3-reporting\EC\2017-02-24-refined-times.txt</v>
      </c>
      <c r="AI85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{"issue":{"subject":"","project_id":79,"tracker_id":40,"status_id":1,"priority_id":2,"assigned_to_id":23,"start_date":"2017-02-24","description":"","custom_fields":[{"id":1,"name":"Subdivision","value":"EC"},{"id":4,"name":"Milepost","value":"23.3291"},{"id":17,"name":"Train ID","value":"173-24"},{"id":16,"name":"Locomotive ID","value":"4044"},{"id":130,"name":"Impact","value":""},{"id":150,"name":"Time of Event (Mountain Time)","value":"13:22:22"},{"id":151,"name":"Denver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53"/>
        <v>start /low /b %USERPROFILE%\Documents\GitHub\eaglep3\Utilities\DownloadLogsFromS3.py --loco 4044 --day 2017-02-24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"%USERPROFILE%\AppData\Local\Temp\OnboardLogs"\RTDC4044\*4044*20170224* | grep -SE "(Enforcement Action)|(\[TIMEOUT)|(CHR.+\|PRM\|1\|D.+(SWITCH|SIGNAL).+UNKNOWN)" - &gt;&gt; 2017-02-24-UncaughtWiMAX.txt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460</v>
      </c>
      <c r="B86" s="7">
        <v>4043</v>
      </c>
      <c r="C86" s="21" t="s">
        <v>280</v>
      </c>
      <c r="D86" s="21" t="s">
        <v>388</v>
      </c>
      <c r="E86" s="13">
        <v>42790.565567129626</v>
      </c>
      <c r="F86" s="13">
        <v>42790.570474537039</v>
      </c>
      <c r="G86" s="7">
        <v>1</v>
      </c>
      <c r="H86" s="21" t="s">
        <v>704</v>
      </c>
      <c r="I86" s="13">
        <v>42790.598194444443</v>
      </c>
      <c r="J86" s="7">
        <v>1</v>
      </c>
      <c r="K86" s="98" t="str">
        <f t="shared" si="36"/>
        <v>4043/4044</v>
      </c>
      <c r="L86" s="21" t="str">
        <f>VLOOKUP(A86,'Trips&amp;Operators'!$C$1:$G$99999,5,FALSE)</f>
        <v>BRANDNER MELINDA</v>
      </c>
      <c r="M86" s="6">
        <f t="shared" si="37"/>
        <v>2.7719907404389232E-2</v>
      </c>
      <c r="N86" s="7">
        <f t="shared" si="38"/>
        <v>39.916666662320495</v>
      </c>
      <c r="O86" s="7"/>
      <c r="P86" s="7"/>
      <c r="Q86" s="22"/>
      <c r="R86" s="22"/>
      <c r="S86" s="31">
        <f t="shared" si="39"/>
        <v>1</v>
      </c>
      <c r="T86" s="46" t="str">
        <f t="shared" si="40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41"/>
        <v>https://d0f6bd738d7f1b3e5a7ca70fe4ff75f0.us-east-1.aws.found.io/app/kibana#/discover/Steve-Slow-Train-Analysis-(2080s-and-2083s)?_g=(refreshInterval:(display:Off,pause:!f,section:0,value:0),time:(from:'2017-02-24T12:34:25-0700',mode:absolute,to:'2017-02-24T15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6" s="187" t="str">
        <f t="shared" si="42"/>
        <v>N</v>
      </c>
      <c r="X86" s="187">
        <f t="shared" si="43"/>
        <v>1</v>
      </c>
      <c r="Y86" s="62">
        <f t="shared" si="44"/>
        <v>23.297699999999999</v>
      </c>
      <c r="Z86" s="62">
        <f t="shared" si="45"/>
        <v>1.7999999999999999E-2</v>
      </c>
      <c r="AA86" s="62">
        <f t="shared" si="46"/>
        <v>23.279699999999998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47"/>
        <v>0174-24</v>
      </c>
      <c r="AE86" s="85" t="str">
        <f t="shared" si="48"/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AF86" s="82" t="str">
        <f t="shared" si="49"/>
        <v>"C:\Program Files (x86)\AstroGrep\AstroGrep.exe" /spath="%USERPROFILE%\AppData\Local\Temp\OnboardLogs" /stypes="app*4043*20170224*" /stext=" 21:.+((SYSTEM_STATE.+slice.+state.+changed )|(ment ac)|(multiple cpu faults)|(system.+state.+changed )|(\[timeout)|(PRM\|1\|D)|(kpr)|(kdp)|(\|lc)|(penalty))" /e /r /s</v>
      </c>
      <c r="AG86" s="1" t="str">
        <f t="shared" si="50"/>
        <v>EC</v>
      </c>
      <c r="AH86" s="86" t="str">
        <f t="shared" si="51"/>
        <v>"%USERPROFILE%\Documents\GitHub\eaglep3\Utilities\RefineRTDCRunTimes.py" --tripid 174-24 --locoid 4043 --swversion DE.1.0.9.0 --startMP 204:232977 --initTime 2017-02-24T13:34:25 --startdatetime 2017-02-24T13:41:29 --delay 1 --endMP 204:180 --enddatetime 2017-02-24T14:21:24 --enforcementcount 1 &gt;&gt;C:\Users\stu\Documents\GitHub\eaglep3-reporting\EC\2017-02-24-refined-times.txt</v>
      </c>
      <c r="AI86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{"issue":{"subject":"","project_id":79,"tracker_id":40,"status_id":1,"priority_id":2,"assigned_to_id":23,"start_date":"2017-02-24","description":"","custom_fields":[{"id":1,"name":"Subdivision","value":"EC"},{"id":4,"name":"Milepost","value":"0.018"},{"id":17,"name":"Train ID","value":"174-24"},{"id":16,"name":"Locomotive ID","value":"4043"},{"id":130,"name":"Impact","value":""},{"id":150,"name":"Time of Event (Mountain Time)","value":"14:21:24"},{"id":151,"name":"Denver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53"/>
        <v>start /low /b %USERPROFILE%\Documents\GitHub\eaglep3\Utilities\DownloadLogsFromS3.py --loco 4043 --day 2017-02-24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"%USERPROFILE%\AppData\Local\Temp\OnboardLogs"\RTDC4043\*4043*20170224* | grep -SE "(Enforcement Action)|(\[TIMEOUT)|(CHR.+\|PRM\|1\|D.+(SWITCH|SIGNAL).+UNKNOWN)" - &gt;&gt; 2017-02-24-UncaughtWiMAX.txt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3" t="s">
        <v>572</v>
      </c>
      <c r="B87" s="7">
        <v>4022</v>
      </c>
      <c r="C87" s="21" t="s">
        <v>280</v>
      </c>
      <c r="D87" s="21" t="s">
        <v>246</v>
      </c>
      <c r="E87" s="13">
        <v>42790.536759259259</v>
      </c>
      <c r="F87" s="13">
        <v>42790.542546296296</v>
      </c>
      <c r="G87" s="7">
        <v>0</v>
      </c>
      <c r="H87" s="21" t="s">
        <v>386</v>
      </c>
      <c r="I87" s="13">
        <v>42790.568935185183</v>
      </c>
      <c r="J87" s="7">
        <v>1</v>
      </c>
      <c r="K87" s="98" t="str">
        <f t="shared" si="36"/>
        <v>4021/4022</v>
      </c>
      <c r="L87" s="21" t="str">
        <f>VLOOKUP(A87,'Trips&amp;Operators'!$C$1:$G$99999,5,FALSE)</f>
        <v>DELGADO DIANAH</v>
      </c>
      <c r="M87" s="6">
        <f t="shared" si="37"/>
        <v>2.6388888887595385E-2</v>
      </c>
      <c r="N87" s="7">
        <f t="shared" si="38"/>
        <v>37.999999998137355</v>
      </c>
      <c r="O87" s="7"/>
      <c r="P87" s="7"/>
      <c r="Q87" s="22"/>
      <c r="R87" s="22"/>
      <c r="S87" s="31">
        <f t="shared" si="39"/>
        <v>1</v>
      </c>
      <c r="T87" s="46" t="str">
        <f t="shared" si="40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41"/>
        <v>https://d0f6bd738d7f1b3e5a7ca70fe4ff75f0.us-east-1.aws.found.io/app/kibana#/discover/Steve-Slow-Train-Analysis-(2080s-and-2083s)?_g=(refreshInterval:(display:Off,pause:!f,section:0,value:0),time:(from:'2017-02-24T11:52:56-0700',mode:absolute,to:'2017-02-24T14:39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7" s="187" t="str">
        <f t="shared" si="42"/>
        <v>N</v>
      </c>
      <c r="X87" s="187">
        <f t="shared" si="43"/>
        <v>1</v>
      </c>
      <c r="Y87" s="62">
        <f t="shared" si="44"/>
        <v>4.6399999999999997E-2</v>
      </c>
      <c r="Z87" s="62">
        <f t="shared" si="45"/>
        <v>23.331199999999999</v>
      </c>
      <c r="AA87" s="62">
        <f t="shared" si="46"/>
        <v>23.284800000000001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47"/>
        <v>0175-24</v>
      </c>
      <c r="AE87" s="85" t="str">
        <f t="shared" si="48"/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AF87" s="82" t="str">
        <f t="shared" si="49"/>
        <v>"C:\Program Files (x86)\AstroGrep\AstroGrep.exe" /spath="%USERPROFILE%\AppData\Local\Temp\OnboardLogs" /stypes="app*4022*20170224*" /stext=" 20:.+((SYSTEM_STATE.+slice.+state.+changed )|(ment ac)|(multiple cpu faults)|(system.+state.+changed )|(\[timeout)|(PRM\|1\|D)|(kpr)|(kdp)|(\|lc)|(penalty))" /e /r /s</v>
      </c>
      <c r="AG87" s="1" t="str">
        <f t="shared" si="50"/>
        <v>EC</v>
      </c>
      <c r="AH87" s="86" t="str">
        <f t="shared" si="51"/>
        <v>"%USERPROFILE%\Documents\GitHub\eaglep3\Utilities\RefineRTDCRunTimes.py" --tripid 175-24 --locoid 4022 --swversion DE.1.0.9.0 --startMP 204:464 --initTime 2017-02-24T12:52:56 --startdatetime 2017-02-24T13:01:16 --delay 0 --endMP 204:233312 --enddatetime 2017-02-24T13:39:16 --enforcementcount 1 &gt;&gt;C:\Users\stu\Documents\GitHub\eaglep3-reporting\EC\2017-02-24-refined-times.txt</v>
      </c>
      <c r="AI87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{"issue":{"subject":"","project_id":79,"tracker_id":40,"status_id":1,"priority_id":2,"assigned_to_id":23,"start_date":"2017-02-24","description":"","custom_fields":[{"id":1,"name":"Subdivision","value":"EC"},{"id":4,"name":"Milepost","value":"23.3312"},{"id":17,"name":"Train ID","value":"175-24"},{"id":16,"name":"Locomotive ID","value":"4022"},{"id":130,"name":"Impact","value":""},{"id":150,"name":"Time of Event (Mountain Time)","value":"13:39:16"},{"id":151,"name":"Denver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53"/>
        <v>start /low /b %USERPROFILE%\Documents\GitHub\eaglep3\Utilities\DownloadLogsFromS3.py --loco 4022 --day 2017-02-24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"%USERPROFILE%\AppData\Local\Temp\OnboardLogs"\RTDC4022\*4022*20170224* | grep -SE "(Enforcement Action)|(\[TIMEOUT)|(CHR.+\|PRM\|1\|D.+(SWITCH|SIGNAL).+UNKNOWN)" - &gt;&gt; 2017-02-24-UncaughtWiMAX.txt</v>
      </c>
    </row>
    <row r="88" spans="1:91" s="20" customFormat="1" x14ac:dyDescent="0.25">
      <c r="A88" s="33" t="s">
        <v>579</v>
      </c>
      <c r="B88" s="7">
        <v>4021</v>
      </c>
      <c r="C88" s="21" t="s">
        <v>280</v>
      </c>
      <c r="D88" s="21" t="s">
        <v>315</v>
      </c>
      <c r="E88" s="13">
        <v>42790.572974537034</v>
      </c>
      <c r="F88" s="13">
        <v>42790.58090277778</v>
      </c>
      <c r="G88" s="7">
        <v>1</v>
      </c>
      <c r="H88" s="21" t="s">
        <v>196</v>
      </c>
      <c r="I88" s="13">
        <v>42790.607245370367</v>
      </c>
      <c r="J88" s="7">
        <v>1</v>
      </c>
      <c r="K88" s="98" t="str">
        <f t="shared" si="36"/>
        <v>4021/4022</v>
      </c>
      <c r="L88" s="21" t="str">
        <f>VLOOKUP(A88,'Trips&amp;Operators'!$C$1:$G$99999,5,FALSE)</f>
        <v>DELGADO DIANAH</v>
      </c>
      <c r="M88" s="6">
        <f t="shared" si="37"/>
        <v>2.6342592587752733E-2</v>
      </c>
      <c r="N88" s="7">
        <f t="shared" si="38"/>
        <v>37.933333326363936</v>
      </c>
      <c r="O88" s="7"/>
      <c r="P88" s="7"/>
      <c r="Q88" s="22"/>
      <c r="R88" s="22"/>
      <c r="S88" s="31">
        <f t="shared" si="39"/>
        <v>1</v>
      </c>
      <c r="T88" s="46" t="str">
        <f t="shared" si="40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41"/>
        <v>https://d0f6bd738d7f1b3e5a7ca70fe4ff75f0.us-east-1.aws.found.io/app/kibana#/discover/Steve-Slow-Train-Analysis-(2080s-and-2083s)?_g=(refreshInterval:(display:Off,pause:!f,section:0,value:0),time:(from:'2017-02-24T12:45:05-0700',mode:absolute,to:'2017-02-24T15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8" s="187" t="str">
        <f t="shared" si="42"/>
        <v>N</v>
      </c>
      <c r="X88" s="187">
        <f t="shared" si="43"/>
        <v>1</v>
      </c>
      <c r="Y88" s="62">
        <f t="shared" si="44"/>
        <v>23.300599999999999</v>
      </c>
      <c r="Z88" s="62">
        <f t="shared" si="45"/>
        <v>1.4500000000000001E-2</v>
      </c>
      <c r="AA88" s="62">
        <f t="shared" si="46"/>
        <v>23.286099999999998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47"/>
        <v>0176-24</v>
      </c>
      <c r="AE88" s="85" t="str">
        <f t="shared" si="48"/>
        <v>aws s3 cp s3://rtdc.mdm.uploadarchive.raw/RTDC4021/ "%USERPROFILE%\AppData\Local\Temp\OnboardLogs"\RTDC4021\2017-02-24 --exclude "*" --recursive --include "*20170224*" &amp; "%USERPROFILE%\Documents\GitHub\mrs-test-scripts\Headless Mode &amp; Sideloading\WalkAndUnGZ.bat" "%USERPROFILE%\AppData\Local\Temp\OnboardLogs"\RTDC4021\2017-02-24 &amp; 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</v>
      </c>
      <c r="AF88" s="82" t="str">
        <f t="shared" si="49"/>
        <v>"C:\Program Files (x86)\AstroGrep\AstroGrep.exe" /spath="%USERPROFILE%\AppData\Local\Temp\OnboardLogs" /stypes="app*4021*20170224*" /stext=" 21:.+((SYSTEM_STATE.+slice.+state.+changed )|(ment ac)|(multiple cpu faults)|(system.+state.+changed )|(\[timeout)|(PRM\|1\|D)|(kpr)|(kdp)|(\|lc)|(penalty))" /e /r /s</v>
      </c>
      <c r="AG88" s="1" t="str">
        <f t="shared" si="50"/>
        <v>EC</v>
      </c>
      <c r="AH88" s="86" t="str">
        <f t="shared" si="51"/>
        <v>"%USERPROFILE%\Documents\GitHub\eaglep3\Utilities\RefineRTDCRunTimes.py" --tripid 176-24 --locoid 4021 --swversion DE.1.0.9.0 --startMP 204:233006 --initTime 2017-02-24T13:45:05 --startdatetime 2017-02-24T13:56:30 --delay 1 --endMP 204:145 --enddatetime 2017-02-24T14:34:26 --enforcementcount 1 &gt;&gt;C:\Users\stu\Documents\GitHub\eaglep3-reporting\EC\2017-02-24-refined-times.txt</v>
      </c>
      <c r="AI88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{"issue":{"subject":"","project_id":79,"tracker_id":40,"status_id":1,"priority_id":2,"assigned_to_id":23,"start_date":"2017-02-24","description":"","custom_fields":[{"id":1,"name":"Subdivision","value":"EC"},{"id":4,"name":"Milepost","value":"0.0145"},{"id":17,"name":"Train ID","value":"176-24"},{"id":16,"name":"Locomotive ID","value":"4021"},{"id":130,"name":"Impact","value":""},{"id":150,"name":"Time of Event (Mountain Time)","value":"14:34:26"},{"id":151,"name":"Denver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53"/>
        <v>start /low /b %USERPROFILE%\Documents\GitHub\eaglep3\Utilities\DownloadLogsFromS3.py --loco 4021 --day 2017-02-24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"%USERPROFILE%\AppData\Local\Temp\OnboardLogs"\RTDC4021\*4021*20170224* | grep -SE "(Enforcement Action)|(\[TIMEOUT)|(CHR.+\|PRM\|1\|D.+(SWITCH|SIGNAL).+UNKNOWN)" - &gt;&gt; 2017-02-24-UncaughtWiMAX.txt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459</v>
      </c>
      <c r="B89" s="7">
        <v>4009</v>
      </c>
      <c r="C89" s="21" t="s">
        <v>280</v>
      </c>
      <c r="D89" s="21" t="s">
        <v>705</v>
      </c>
      <c r="E89" s="13">
        <v>42790.548171296294</v>
      </c>
      <c r="F89" s="13">
        <v>42790.552245370367</v>
      </c>
      <c r="G89" s="7">
        <v>1</v>
      </c>
      <c r="H89" s="21" t="s">
        <v>706</v>
      </c>
      <c r="I89" s="13">
        <v>42790.578541666669</v>
      </c>
      <c r="J89" s="7">
        <v>1</v>
      </c>
      <c r="K89" s="98" t="str">
        <f t="shared" si="36"/>
        <v>4009/4010</v>
      </c>
      <c r="L89" s="21" t="str">
        <f>VLOOKUP(A89,'Trips&amp;Operators'!$C$1:$G$99999,5,FALSE)</f>
        <v>CLARK KATHLEEN</v>
      </c>
      <c r="M89" s="6">
        <f t="shared" si="37"/>
        <v>2.6296296302461997E-2</v>
      </c>
      <c r="N89" s="7">
        <f t="shared" si="38"/>
        <v>37.866666675545275</v>
      </c>
      <c r="O89" s="7"/>
      <c r="P89" s="7"/>
      <c r="Q89" s="22"/>
      <c r="R89" s="22"/>
      <c r="S89" s="31">
        <f t="shared" si="39"/>
        <v>1</v>
      </c>
      <c r="T89" s="46" t="str">
        <f t="shared" si="40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41"/>
        <v>https://d0f6bd738d7f1b3e5a7ca70fe4ff75f0.us-east-1.aws.found.io/app/kibana#/discover/Steve-Slow-Train-Analysis-(2080s-and-2083s)?_g=(refreshInterval:(display:Off,pause:!f,section:0,value:0),time:(from:'2017-02-24T12:09:22-0700',mode:absolute,to:'2017-02-24T14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9" s="187" t="str">
        <f t="shared" si="42"/>
        <v>N</v>
      </c>
      <c r="X89" s="187">
        <f t="shared" si="43"/>
        <v>1</v>
      </c>
      <c r="Y89" s="62">
        <f t="shared" si="44"/>
        <v>5.3100000000000001E-2</v>
      </c>
      <c r="Z89" s="62">
        <f t="shared" si="45"/>
        <v>23.305299999999999</v>
      </c>
      <c r="AA89" s="62">
        <f t="shared" si="46"/>
        <v>23.252199999999998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47"/>
        <v>0177-24</v>
      </c>
      <c r="AE89" s="85" t="str">
        <f t="shared" si="48"/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AF89" s="82" t="str">
        <f t="shared" si="49"/>
        <v>"C:\Program Files (x86)\AstroGrep\AstroGrep.exe" /spath="%USERPROFILE%\AppData\Local\Temp\OnboardLogs" /stypes="app*4009*20170224*" /stext=" 20:.+((SYSTEM_STATE.+slice.+state.+changed )|(ment ac)|(multiple cpu faults)|(system.+state.+changed )|(\[timeout)|(PRM\|1\|D)|(kpr)|(kdp)|(\|lc)|(penalty))" /e /r /s</v>
      </c>
      <c r="AG89" s="1" t="str">
        <f t="shared" si="50"/>
        <v>EC</v>
      </c>
      <c r="AH89" s="86" t="str">
        <f t="shared" si="51"/>
        <v>"%USERPROFILE%\Documents\GitHub\eaglep3\Utilities\RefineRTDCRunTimes.py" --tripid 177-24 --locoid 4009 --swversion DE.1.0.9.0 --startMP 204:531 --initTime 2017-02-24T13:09:22 --startdatetime 2017-02-24T13:15:14 --delay 1 --endMP 204:233053 --enddatetime 2017-02-24T13:53:06 --enforcementcount 1 &gt;&gt;C:\Users\stu\Documents\GitHub\eaglep3-reporting\EC\2017-02-24-refined-times.txt</v>
      </c>
      <c r="AI89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{"issue":{"subject":"","project_id":79,"tracker_id":40,"status_id":1,"priority_id":2,"assigned_to_id":23,"start_date":"2017-02-24","description":"","custom_fields":[{"id":1,"name":"Subdivision","value":"EC"},{"id":4,"name":"Milepost","value":"23.3053"},{"id":17,"name":"Train ID","value":"177-24"},{"id":16,"name":"Locomotive ID","value":"4009"},{"id":130,"name":"Impact","value":""},{"id":150,"name":"Time of Event (Mountain Time)","value":"13:53:06"},{"id":151,"name":"Denver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53"/>
        <v>start /low /b %USERPROFILE%\Documents\GitHub\eaglep3\Utilities\DownloadLogsFromS3.py --loco 4009 --day 2017-02-24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"%USERPROFILE%\AppData\Local\Temp\OnboardLogs"\RTDC4009\*4009*20170224* | grep -SE "(Enforcement Action)|(\[TIMEOUT)|(CHR.+\|PRM\|1\|D.+(SWITCH|SIGNAL).+UNKNOWN)" - &gt;&gt; 2017-02-24-UncaughtWiMAX.txt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581</v>
      </c>
      <c r="B90" s="7">
        <v>4010</v>
      </c>
      <c r="C90" s="21" t="s">
        <v>280</v>
      </c>
      <c r="D90" s="21" t="s">
        <v>707</v>
      </c>
      <c r="E90" s="13">
        <v>42790.585856481484</v>
      </c>
      <c r="F90" s="13">
        <v>42790.591145833336</v>
      </c>
      <c r="G90" s="7">
        <v>1</v>
      </c>
      <c r="H90" s="21" t="s">
        <v>670</v>
      </c>
      <c r="I90" s="13">
        <v>42790.619675925926</v>
      </c>
      <c r="J90" s="7">
        <v>1</v>
      </c>
      <c r="K90" s="98" t="str">
        <f t="shared" si="36"/>
        <v>4009/4010</v>
      </c>
      <c r="L90" s="21" t="str">
        <f>VLOOKUP(A90,'Trips&amp;Operators'!$C$1:$G$99999,5,FALSE)</f>
        <v>CLARK KATHLEEN</v>
      </c>
      <c r="M90" s="6">
        <f t="shared" si="37"/>
        <v>2.8530092589790002E-2</v>
      </c>
      <c r="N90" s="7">
        <f t="shared" si="38"/>
        <v>41.083333329297602</v>
      </c>
      <c r="O90" s="7"/>
      <c r="P90" s="7"/>
      <c r="Q90" s="22"/>
      <c r="R90" s="22"/>
      <c r="S90" s="31">
        <f t="shared" si="39"/>
        <v>1</v>
      </c>
      <c r="T90" s="46" t="str">
        <f t="shared" si="40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41"/>
        <v>https://d0f6bd738d7f1b3e5a7ca70fe4ff75f0.us-east-1.aws.found.io/app/kibana#/discover/Steve-Slow-Train-Analysis-(2080s-and-2083s)?_g=(refreshInterval:(display:Off,pause:!f,section:0,value:0),time:(from:'2017-02-24T13:03:38-0700',mode:absolute,to:'2017-02-24T15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0" s="187" t="str">
        <f t="shared" si="42"/>
        <v>N</v>
      </c>
      <c r="X90" s="187">
        <f t="shared" si="43"/>
        <v>1</v>
      </c>
      <c r="Y90" s="62">
        <f t="shared" si="44"/>
        <v>23.274000000000001</v>
      </c>
      <c r="Z90" s="62">
        <f t="shared" si="45"/>
        <v>1.7000000000000001E-2</v>
      </c>
      <c r="AA90" s="62">
        <f t="shared" si="46"/>
        <v>23.257000000000001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47"/>
        <v>0178-24</v>
      </c>
      <c r="AE90" s="85" t="str">
        <f t="shared" si="48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90" s="82" t="str">
        <f t="shared" si="49"/>
        <v>"C:\Program Files (x86)\AstroGrep\AstroGrep.exe" /spath="%USERPROFILE%\AppData\Local\Temp\OnboardLogs" /stypes="app*4010*20170224*" /stext=" 21:.+((SYSTEM_STATE.+slice.+state.+changed )|(ment ac)|(multiple cpu faults)|(system.+state.+changed )|(\[timeout)|(PRM\|1\|D)|(kpr)|(kdp)|(\|lc)|(penalty))" /e /r /s</v>
      </c>
      <c r="AG90" s="1" t="str">
        <f t="shared" si="50"/>
        <v>EC</v>
      </c>
      <c r="AH90" s="86" t="str">
        <f t="shared" si="51"/>
        <v>"%USERPROFILE%\Documents\GitHub\eaglep3\Utilities\RefineRTDCRunTimes.py" --tripid 178-24 --locoid 4010 --swversion DE.1.0.9.0 --startMP 204:232740 --initTime 2017-02-24T14:03:38 --startdatetime 2017-02-24T14:11:15 --delay 1 --endMP 204:170 --enddatetime 2017-02-24T14:52:20 --enforcementcount 1 &gt;&gt;C:\Users\stu\Documents\GitHub\eaglep3-reporting\EC\2017-02-24-refined-times.txt</v>
      </c>
      <c r="AI90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{"issue":{"subject":"","project_id":79,"tracker_id":40,"status_id":1,"priority_id":2,"assigned_to_id":23,"start_date":"2017-02-24","description":"","custom_fields":[{"id":1,"name":"Subdivision","value":"EC"},{"id":4,"name":"Milepost","value":"0.017"},{"id":17,"name":"Train ID","value":"178-24"},{"id":16,"name":"Locomotive ID","value":"4010"},{"id":130,"name":"Impact","value":""},{"id":150,"name":"Time of Event (Mountain Time)","value":"14:52:20"},{"id":151,"name":"Denver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53"/>
        <v>start /low /b %USERPROFILE%\Documents\GitHub\eaglep3\Utilities\DownloadLogsFromS3.py --loco 4010 --day 2017-02-24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"%USERPROFILE%\AppData\Local\Temp\OnboardLogs"\RTDC4010\*4010*20170224* | grep -SE "(Enforcement Action)|(\[TIMEOUT)|(CHR.+\|PRM\|1\|D.+(SWITCH|SIGNAL).+UNKNOWN)" - &gt;&gt; 2017-02-24-UncaughtWiMAX.txt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576</v>
      </c>
      <c r="B91" s="7">
        <v>4020</v>
      </c>
      <c r="C91" s="21" t="s">
        <v>280</v>
      </c>
      <c r="D91" s="21" t="s">
        <v>252</v>
      </c>
      <c r="E91" s="13">
        <v>42790.558333333334</v>
      </c>
      <c r="F91" s="13">
        <v>42790.562650462962</v>
      </c>
      <c r="G91" s="7">
        <v>3</v>
      </c>
      <c r="H91" s="21" t="s">
        <v>266</v>
      </c>
      <c r="I91" s="13">
        <v>42790.587905092594</v>
      </c>
      <c r="J91" s="7">
        <v>1</v>
      </c>
      <c r="K91" s="98" t="str">
        <f t="shared" si="36"/>
        <v>4019/4020</v>
      </c>
      <c r="L91" s="21" t="str">
        <f>VLOOKUP(A91,'Trips&amp;Operators'!$C$1:$G$99999,5,FALSE)</f>
        <v>BRUDER RICHARD</v>
      </c>
      <c r="M91" s="6">
        <f t="shared" si="37"/>
        <v>2.5254629632399883E-2</v>
      </c>
      <c r="N91" s="7">
        <f t="shared" si="38"/>
        <v>36.366666670655832</v>
      </c>
      <c r="O91" s="7"/>
      <c r="P91" s="7"/>
      <c r="Q91" s="22"/>
      <c r="R91" s="22"/>
      <c r="S91" s="31">
        <f t="shared" si="39"/>
        <v>1</v>
      </c>
      <c r="T91" s="46" t="str">
        <f t="shared" si="40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41"/>
        <v>https://d0f6bd738d7f1b3e5a7ca70fe4ff75f0.us-east-1.aws.found.io/app/kibana#/discover/Steve-Slow-Train-Analysis-(2080s-and-2083s)?_g=(refreshInterval:(display:Off,pause:!f,section:0,value:0),time:(from:'2017-02-24T12:24:00-0700',mode:absolute,to:'2017-02-24T15:06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1" s="187" t="str">
        <f t="shared" si="42"/>
        <v>N</v>
      </c>
      <c r="X91" s="187">
        <f t="shared" si="43"/>
        <v>1</v>
      </c>
      <c r="Y91" s="62">
        <f t="shared" si="44"/>
        <v>4.3999999999999997E-2</v>
      </c>
      <c r="Z91" s="62">
        <f t="shared" si="45"/>
        <v>23.3306</v>
      </c>
      <c r="AA91" s="62">
        <f t="shared" si="46"/>
        <v>23.2866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47"/>
        <v>0179-24</v>
      </c>
      <c r="AE91" s="85" t="str">
        <f t="shared" si="48"/>
        <v>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 &amp; 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</v>
      </c>
      <c r="AF91" s="82" t="str">
        <f t="shared" si="49"/>
        <v>"C:\Program Files (x86)\AstroGrep\AstroGrep.exe" /spath="%USERPROFILE%\AppData\Local\Temp\OnboardLogs" /stypes="app*4020*20170224*" /stext=" 21:.+((SYSTEM_STATE.+slice.+state.+changed )|(ment ac)|(multiple cpu faults)|(system.+state.+changed )|(\[timeout)|(PRM\|1\|D)|(kpr)|(kdp)|(\|lc)|(penalty))" /e /r /s</v>
      </c>
      <c r="AG91" s="1" t="str">
        <f t="shared" si="50"/>
        <v>EC</v>
      </c>
      <c r="AH91" s="86" t="str">
        <f t="shared" si="51"/>
        <v>"%USERPROFILE%\Documents\GitHub\eaglep3\Utilities\RefineRTDCRunTimes.py" --tripid 179-24 --locoid 4020 --swversion DE.1.0.9.0 --startMP 204:440 --initTime 2017-02-24T13:24:00 --startdatetime 2017-02-24T13:30:13 --delay 3 --endMP 204:233306 --enddatetime 2017-02-24T14:06:35 --enforcementcount 1 &gt;&gt;C:\Users\stu\Documents\GitHub\eaglep3-reporting\EC\2017-02-24-refined-times.txt</v>
      </c>
      <c r="AI91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{"issue":{"subject":"","project_id":79,"tracker_id":40,"status_id":1,"priority_id":2,"assigned_to_id":23,"start_date":"2017-02-24","description":"","custom_fields":[{"id":1,"name":"Subdivision","value":"EC"},{"id":4,"name":"Milepost","value":"23.3306"},{"id":17,"name":"Train ID","value":"179-24"},{"id":16,"name":"Locomotive ID","value":"4020"},{"id":130,"name":"Impact","value":""},{"id":150,"name":"Time of Event (Mountain Time)","value":"14:06:35"},{"id":151,"name":"Denver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53"/>
        <v>start /low /b %USERPROFILE%\Documents\GitHub\eaglep3\Utilities\DownloadLogsFromS3.py --loco 4020 --day 2017-02-24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2017-02-24-UncaughtWiMAX.txt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584</v>
      </c>
      <c r="B92" s="7">
        <v>4019</v>
      </c>
      <c r="C92" s="21" t="s">
        <v>280</v>
      </c>
      <c r="D92" s="21" t="s">
        <v>316</v>
      </c>
      <c r="E92" s="13">
        <v>42790.595370370371</v>
      </c>
      <c r="F92" s="13">
        <v>42790.601678240739</v>
      </c>
      <c r="G92" s="7">
        <v>1</v>
      </c>
      <c r="H92" s="21" t="s">
        <v>261</v>
      </c>
      <c r="I92" s="13">
        <v>42790.628912037035</v>
      </c>
      <c r="J92" s="7">
        <v>1</v>
      </c>
      <c r="K92" s="98" t="str">
        <f t="shared" si="36"/>
        <v>4019/4020</v>
      </c>
      <c r="L92" s="21" t="str">
        <f>VLOOKUP(A92,'Trips&amp;Operators'!$C$1:$G$99999,5,FALSE)</f>
        <v>BRUDER RICHARD</v>
      </c>
      <c r="M92" s="6">
        <f t="shared" si="37"/>
        <v>2.7233796296059154E-2</v>
      </c>
      <c r="N92" s="7">
        <f t="shared" si="38"/>
        <v>39.216666666325182</v>
      </c>
      <c r="O92" s="7"/>
      <c r="P92" s="7"/>
      <c r="Q92" s="22"/>
      <c r="R92" s="22"/>
      <c r="S92" s="31">
        <f t="shared" si="39"/>
        <v>1</v>
      </c>
      <c r="T92" s="46" t="str">
        <f t="shared" si="40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41"/>
        <v>https://d0f6bd738d7f1b3e5a7ca70fe4ff75f0.us-east-1.aws.found.io/app/kibana#/discover/Steve-Slow-Train-Analysis-(2080s-and-2083s)?_g=(refreshInterval:(display:Off,pause:!f,section:0,value:0),time:(from:'2017-02-24T13:17:20-0700',mode:absolute,to:'2017-02-24T16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2" s="187" t="str">
        <f t="shared" si="42"/>
        <v>N</v>
      </c>
      <c r="X92" s="187">
        <f t="shared" si="43"/>
        <v>1</v>
      </c>
      <c r="Y92" s="62">
        <f t="shared" si="44"/>
        <v>23.3002</v>
      </c>
      <c r="Z92" s="62">
        <f t="shared" si="45"/>
        <v>1.47E-2</v>
      </c>
      <c r="AA92" s="62">
        <f t="shared" si="46"/>
        <v>23.285499999999999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47"/>
        <v>0180-24</v>
      </c>
      <c r="AE92" s="85" t="str">
        <f t="shared" si="48"/>
        <v>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 &amp; 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</v>
      </c>
      <c r="AF92" s="82" t="str">
        <f t="shared" si="49"/>
        <v>"C:\Program Files (x86)\AstroGrep\AstroGrep.exe" /spath="%USERPROFILE%\AppData\Local\Temp\OnboardLogs" /stypes="app*4019*20170224*" /stext=" 22:.+((SYSTEM_STATE.+slice.+state.+changed )|(ment ac)|(multiple cpu faults)|(system.+state.+changed )|(\[timeout)|(PRM\|1\|D)|(kpr)|(kdp)|(\|lc)|(penalty))" /e /r /s</v>
      </c>
      <c r="AG92" s="1" t="str">
        <f t="shared" si="50"/>
        <v>EC</v>
      </c>
      <c r="AH92" s="86" t="str">
        <f t="shared" si="51"/>
        <v>"%USERPROFILE%\Documents\GitHub\eaglep3\Utilities\RefineRTDCRunTimes.py" --tripid 180-24 --locoid 4019 --swversion DE.1.0.9.0 --startMP 204:233002 --initTime 2017-02-24T14:17:20 --startdatetime 2017-02-24T14:26:25 --delay 1 --endMP 204:147 --enddatetime 2017-02-24T15:05:38 --enforcementcount 1 &gt;&gt;C:\Users\stu\Documents\GitHub\eaglep3-reporting\EC\2017-02-24-refined-times.txt</v>
      </c>
      <c r="AI92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{"issue":{"subject":"","project_id":79,"tracker_id":40,"status_id":1,"priority_id":2,"assigned_to_id":23,"start_date":"2017-02-24","description":"","custom_fields":[{"id":1,"name":"Subdivision","value":"EC"},{"id":4,"name":"Milepost","value":"0.0147"},{"id":17,"name":"Train ID","value":"180-24"},{"id":16,"name":"Locomotive ID","value":"4019"},{"id":130,"name":"Impact","value":""},{"id":150,"name":"Time of Event (Mountain Time)","value":"15:05:38"},{"id":151,"name":"Denver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53"/>
        <v>start /low /b %USERPROFILE%\Documents\GitHub\eaglep3\Utilities\DownloadLogsFromS3.py --loco 4019 --day 2017-02-24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2017-02-24-UncaughtWiMAX.txt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578</v>
      </c>
      <c r="B93" s="7">
        <v>4025</v>
      </c>
      <c r="C93" s="21" t="s">
        <v>280</v>
      </c>
      <c r="D93" s="21" t="s">
        <v>235</v>
      </c>
      <c r="E93" s="13">
        <v>42790.570196759261</v>
      </c>
      <c r="F93" s="13">
        <v>42790.573101851849</v>
      </c>
      <c r="G93" s="7">
        <v>1</v>
      </c>
      <c r="H93" s="21" t="s">
        <v>302</v>
      </c>
      <c r="I93" s="13">
        <v>42790.597905092596</v>
      </c>
      <c r="J93" s="7">
        <v>1</v>
      </c>
      <c r="K93" s="98" t="str">
        <f t="shared" si="36"/>
        <v>4025/4026</v>
      </c>
      <c r="L93" s="21" t="str">
        <f>VLOOKUP(A93,'Trips&amp;Operators'!$C$1:$G$99999,5,FALSE)</f>
        <v>HELVIE ADAM</v>
      </c>
      <c r="M93" s="6">
        <f t="shared" si="37"/>
        <v>2.4803240747132804E-2</v>
      </c>
      <c r="N93" s="7">
        <f t="shared" si="38"/>
        <v>35.716666675871238</v>
      </c>
      <c r="O93" s="7"/>
      <c r="P93" s="7"/>
      <c r="Q93" s="22"/>
      <c r="R93" s="22"/>
      <c r="S93" s="31">
        <f t="shared" si="39"/>
        <v>1</v>
      </c>
      <c r="T93" s="46" t="str">
        <f t="shared" si="40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41"/>
        <v>https://d0f6bd738d7f1b3e5a7ca70fe4ff75f0.us-east-1.aws.found.io/app/kibana#/discover/Steve-Slow-Train-Analysis-(2080s-and-2083s)?_g=(refreshInterval:(display:Off,pause:!f,section:0,value:0),time:(from:'2017-02-24T12:41:05-0700',mode:absolute,to:'2017-02-24T15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3" s="187" t="str">
        <f t="shared" si="42"/>
        <v>N</v>
      </c>
      <c r="X93" s="187">
        <f t="shared" si="43"/>
        <v>1</v>
      </c>
      <c r="Y93" s="62">
        <f t="shared" si="44"/>
        <v>4.53E-2</v>
      </c>
      <c r="Z93" s="62">
        <f t="shared" si="45"/>
        <v>23.328900000000001</v>
      </c>
      <c r="AA93" s="62">
        <f t="shared" si="46"/>
        <v>23.2836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47"/>
        <v>0181-24</v>
      </c>
      <c r="AE93" s="85" t="str">
        <f t="shared" si="48"/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AF93" s="82" t="str">
        <f t="shared" si="49"/>
        <v>"C:\Program Files (x86)\AstroGrep\AstroGrep.exe" /spath="%USERPROFILE%\AppData\Local\Temp\OnboardLogs" /stypes="app*4025*20170224*" /stext=" 21:.+((SYSTEM_STATE.+slice.+state.+changed )|(ment ac)|(multiple cpu faults)|(system.+state.+changed )|(\[timeout)|(PRM\|1\|D)|(kpr)|(kdp)|(\|lc)|(penalty))" /e /r /s</v>
      </c>
      <c r="AG93" s="1" t="str">
        <f t="shared" si="50"/>
        <v>EC</v>
      </c>
      <c r="AH93" s="86" t="str">
        <f t="shared" si="51"/>
        <v>"%USERPROFILE%\Documents\GitHub\eaglep3\Utilities\RefineRTDCRunTimes.py" --tripid 181-24 --locoid 4025 --swversion DE.1.0.9.0 --startMP 204:453 --initTime 2017-02-24T13:41:05 --startdatetime 2017-02-24T13:45:16 --delay 1 --endMP 204:233289 --enddatetime 2017-02-24T14:20:59 --enforcementcount 1 &gt;&gt;C:\Users\stu\Documents\GitHub\eaglep3-reporting\EC\2017-02-24-refined-times.txt</v>
      </c>
      <c r="AI93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{"issue":{"subject":"","project_id":79,"tracker_id":40,"status_id":1,"priority_id":2,"assigned_to_id":23,"start_date":"2017-02-24","description":"","custom_fields":[{"id":1,"name":"Subdivision","value":"EC"},{"id":4,"name":"Milepost","value":"23.3289"},{"id":17,"name":"Train ID","value":"181-24"},{"id":16,"name":"Locomotive ID","value":"4025"},{"id":130,"name":"Impact","value":""},{"id":150,"name":"Time of Event (Mountain Time)","value":"14:20:59"},{"id":151,"name":"Denver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53"/>
        <v>start /low /b %USERPROFILE%\Documents\GitHub\eaglep3\Utilities\DownloadLogsFromS3.py --loco 4025 --day 2017-02-24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2017-02-24-UncaughtWiMAX.txt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586</v>
      </c>
      <c r="B94" s="7">
        <v>4026</v>
      </c>
      <c r="C94" s="21" t="s">
        <v>280</v>
      </c>
      <c r="D94" s="21" t="s">
        <v>708</v>
      </c>
      <c r="E94" s="13">
        <v>42790.608356481483</v>
      </c>
      <c r="F94" s="13">
        <v>42790.612129629626</v>
      </c>
      <c r="G94" s="7">
        <v>1</v>
      </c>
      <c r="H94" s="21" t="s">
        <v>250</v>
      </c>
      <c r="I94" s="13">
        <v>42790.638773148145</v>
      </c>
      <c r="J94" s="7">
        <v>1</v>
      </c>
      <c r="K94" s="98" t="str">
        <f t="shared" si="36"/>
        <v>4025/4026</v>
      </c>
      <c r="L94" s="21" t="str">
        <f>VLOOKUP(A94,'Trips&amp;Operators'!$C$1:$G$99999,5,FALSE)</f>
        <v>HELVIE ADAM</v>
      </c>
      <c r="M94" s="6">
        <f t="shared" si="37"/>
        <v>2.6643518518540077E-2</v>
      </c>
      <c r="N94" s="7">
        <f t="shared" si="38"/>
        <v>38.366666666697711</v>
      </c>
      <c r="O94" s="7"/>
      <c r="P94" s="7"/>
      <c r="Q94" s="22"/>
      <c r="R94" s="22"/>
      <c r="S94" s="31">
        <f t="shared" si="39"/>
        <v>1</v>
      </c>
      <c r="T94" s="46" t="str">
        <f t="shared" si="40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41"/>
        <v>https://d0f6bd738d7f1b3e5a7ca70fe4ff75f0.us-east-1.aws.found.io/app/kibana#/discover/Steve-Slow-Train-Analysis-(2080s-and-2083s)?_g=(refreshInterval:(display:Off,pause:!f,section:0,value:0),time:(from:'2017-02-24T13:36:02-0700',mode:absolute,to:'2017-02-24T16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4" s="187" t="str">
        <f t="shared" si="42"/>
        <v>N</v>
      </c>
      <c r="X94" s="187">
        <f t="shared" si="43"/>
        <v>1</v>
      </c>
      <c r="Y94" s="62">
        <f t="shared" si="44"/>
        <v>23.297499999999999</v>
      </c>
      <c r="Z94" s="62">
        <f t="shared" si="45"/>
        <v>1.41E-2</v>
      </c>
      <c r="AA94" s="62">
        <f t="shared" si="46"/>
        <v>23.2834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47"/>
        <v>0182-24</v>
      </c>
      <c r="AE94" s="85" t="str">
        <f t="shared" si="48"/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AF94" s="82" t="str">
        <f t="shared" si="49"/>
        <v>"C:\Program Files (x86)\AstroGrep\AstroGrep.exe" /spath="%USERPROFILE%\AppData\Local\Temp\OnboardLogs" /stypes="app*4026*20170224*" /stext=" 22:.+((SYSTEM_STATE.+slice.+state.+changed )|(ment ac)|(multiple cpu faults)|(system.+state.+changed )|(\[timeout)|(PRM\|1\|D)|(kpr)|(kdp)|(\|lc)|(penalty))" /e /r /s</v>
      </c>
      <c r="AG94" s="1" t="str">
        <f t="shared" si="50"/>
        <v>EC</v>
      </c>
      <c r="AH94" s="86" t="str">
        <f t="shared" si="51"/>
        <v>"%USERPROFILE%\Documents\GitHub\eaglep3\Utilities\RefineRTDCRunTimes.py" --tripid 182-24 --locoid 4026 --swversion DE.1.0.9.0 --startMP 204:232975 --initTime 2017-02-24T14:36:02 --startdatetime 2017-02-24T14:41:28 --delay 1 --endMP 204:141 --enddatetime 2017-02-24T15:19:50 --enforcementcount 1 &gt;&gt;C:\Users\stu\Documents\GitHub\eaglep3-reporting\EC\2017-02-24-refined-times.txt</v>
      </c>
      <c r="AI94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{"issue":{"subject":"","project_id":79,"tracker_id":40,"status_id":1,"priority_id":2,"assigned_to_id":23,"start_date":"2017-02-24","description":"","custom_fields":[{"id":1,"name":"Subdivision","value":"EC"},{"id":4,"name":"Milepost","value":"0.0141"},{"id":17,"name":"Train ID","value":"182-24"},{"id":16,"name":"Locomotive ID","value":"4026"},{"id":130,"name":"Impact","value":""},{"id":150,"name":"Time of Event (Mountain Time)","value":"15:19:50"},{"id":151,"name":"Denver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53"/>
        <v>start /low /b %USERPROFILE%\Documents\GitHub\eaglep3\Utilities\DownloadLogsFromS3.py --loco 4026 --day 2017-02-24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"%USERPROFILE%\AppData\Local\Temp\OnboardLogs"\RTDC4026\*4026*20170224* | grep -SE "(Enforcement Action)|(\[TIMEOUT)|(CHR.+\|PRM\|1\|D.+(SWITCH|SIGNAL).+UNKNOWN)" - &gt;&gt; 2017-02-24-UncaughtWiMAX.txt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580</v>
      </c>
      <c r="B95" s="7">
        <v>4051</v>
      </c>
      <c r="C95" s="21" t="s">
        <v>280</v>
      </c>
      <c r="D95" s="21" t="s">
        <v>393</v>
      </c>
      <c r="E95" s="13">
        <v>42790.578703703701</v>
      </c>
      <c r="F95" s="13">
        <v>42790.583495370367</v>
      </c>
      <c r="G95" s="7">
        <v>2</v>
      </c>
      <c r="H95" s="21" t="s">
        <v>310</v>
      </c>
      <c r="I95" s="13">
        <v>42790.609456018516</v>
      </c>
      <c r="J95" s="7">
        <v>1</v>
      </c>
      <c r="K95" s="98" t="str">
        <f t="shared" si="36"/>
        <v>4051/4052</v>
      </c>
      <c r="L95" s="21" t="str">
        <f>VLOOKUP(A95,'Trips&amp;Operators'!$C$1:$G$99999,5,FALSE)</f>
        <v>KILLION DAVID</v>
      </c>
      <c r="M95" s="6">
        <f t="shared" si="37"/>
        <v>2.5960648148611654E-2</v>
      </c>
      <c r="N95" s="7">
        <f t="shared" si="38"/>
        <v>37.383333334000781</v>
      </c>
      <c r="O95" s="7"/>
      <c r="P95" s="7"/>
      <c r="Q95" s="22"/>
      <c r="R95" s="22"/>
      <c r="S95" s="31">
        <f t="shared" si="39"/>
        <v>1</v>
      </c>
      <c r="T95" s="46" t="str">
        <f t="shared" si="40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41"/>
        <v>https://d0f6bd738d7f1b3e5a7ca70fe4ff75f0.us-east-1.aws.found.io/app/kibana#/discover/Steve-Slow-Train-Analysis-(2080s-and-2083s)?_g=(refreshInterval:(display:Off,pause:!f,section:0,value:0),time:(from:'2017-02-24T12:53:20-0700',mode:absolute,to:'2017-02-24T15:37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5" s="187" t="str">
        <f t="shared" si="42"/>
        <v>N</v>
      </c>
      <c r="X95" s="187">
        <f t="shared" si="43"/>
        <v>1</v>
      </c>
      <c r="Y95" s="62">
        <f t="shared" si="44"/>
        <v>4.7800000000000002E-2</v>
      </c>
      <c r="Z95" s="62">
        <f t="shared" si="45"/>
        <v>23.329499999999999</v>
      </c>
      <c r="AA95" s="62">
        <f t="shared" si="46"/>
        <v>23.281700000000001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47"/>
        <v>0183-24</v>
      </c>
      <c r="AE95" s="85" t="str">
        <f t="shared" si="48"/>
        <v>aws s3 cp s3://rtdc.mdm.uploadarchive.raw/RTDC4051/ "%USERPROFILE%\AppData\Local\Temp\OnboardLogs"\RTDC4051\2017-02-24 --exclude "*" --recursive --include "*20170224*" &amp; "%USERPROFILE%\Documents\GitHub\mrs-test-scripts\Headless Mode &amp; Sideloading\WalkAndUnGZ.bat" "%USERPROFILE%\AppData\Local\Temp\OnboardLogs"\RTDC4051\2017-02-24 &amp; 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</v>
      </c>
      <c r="AF95" s="82" t="str">
        <f t="shared" si="49"/>
        <v>"C:\Program Files (x86)\AstroGrep\AstroGrep.exe" /spath="%USERPROFILE%\AppData\Local\Temp\OnboardLogs" /stypes="app*4051*20170224*" /stext=" 21:.+((SYSTEM_STATE.+slice.+state.+changed )|(ment ac)|(multiple cpu faults)|(system.+state.+changed )|(\[timeout)|(PRM\|1\|D)|(kpr)|(kdp)|(\|lc)|(penalty))" /e /r /s</v>
      </c>
      <c r="AG95" s="1" t="str">
        <f t="shared" si="50"/>
        <v>EC</v>
      </c>
      <c r="AH95" s="86" t="str">
        <f t="shared" si="51"/>
        <v>"%USERPROFILE%\Documents\GitHub\eaglep3\Utilities\RefineRTDCRunTimes.py" --tripid 183-24 --locoid 4051 --swversion DE.1.0.9.0 --startMP 204:478 --initTime 2017-02-24T13:53:20 --startdatetime 2017-02-24T14:00:14 --delay 2 --endMP 204:233295 --enddatetime 2017-02-24T14:37:37 --enforcementcount 1 &gt;&gt;C:\Users\stu\Documents\GitHub\eaglep3-reporting\EC\2017-02-24-refined-times.txt</v>
      </c>
      <c r="AI95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{"issue":{"subject":"","project_id":79,"tracker_id":40,"status_id":1,"priority_id":2,"assigned_to_id":23,"start_date":"2017-02-24","description":"","custom_fields":[{"id":1,"name":"Subdivision","value":"EC"},{"id":4,"name":"Milepost","value":"23.3295"},{"id":17,"name":"Train ID","value":"183-24"},{"id":16,"name":"Locomotive ID","value":"4051"},{"id":130,"name":"Impact","value":""},{"id":150,"name":"Time of Event (Mountain Time)","value":"14:37:37"},{"id":151,"name":"Denver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53"/>
        <v>start /low /b %USERPROFILE%\Documents\GitHub\eaglep3\Utilities\DownloadLogsFromS3.py --loco 4051 --day 2017-02-24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"%USERPROFILE%\AppData\Local\Temp\OnboardLogs"\RTDC4051\*4051*20170224* | grep -SE "(Enforcement Action)|(\[TIMEOUT)|(CHR.+\|PRM\|1\|D.+(SWITCH|SIGNAL).+UNKNOWN)" - &gt;&gt; 2017-02-24-UncaughtWiMAX.txt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588</v>
      </c>
      <c r="B96" s="7">
        <v>4052</v>
      </c>
      <c r="C96" s="21" t="s">
        <v>280</v>
      </c>
      <c r="D96" s="21" t="s">
        <v>683</v>
      </c>
      <c r="E96" s="13">
        <v>42790.616678240738</v>
      </c>
      <c r="F96" s="13">
        <v>42790.622453703705</v>
      </c>
      <c r="G96" s="7">
        <v>1</v>
      </c>
      <c r="H96" s="21" t="s">
        <v>709</v>
      </c>
      <c r="I96" s="13">
        <v>42790.650219907409</v>
      </c>
      <c r="J96" s="7">
        <v>1</v>
      </c>
      <c r="K96" s="98" t="str">
        <f t="shared" si="36"/>
        <v>4051/4052</v>
      </c>
      <c r="L96" s="21" t="str">
        <f>VLOOKUP(A96,'Trips&amp;Operators'!$C$1:$G$99999,5,FALSE)</f>
        <v>KILLION DAVID</v>
      </c>
      <c r="M96" s="6">
        <f t="shared" si="37"/>
        <v>2.7766203704231884E-2</v>
      </c>
      <c r="N96" s="7">
        <f t="shared" si="38"/>
        <v>39.983333334093913</v>
      </c>
      <c r="O96" s="7"/>
      <c r="P96" s="7"/>
      <c r="Q96" s="22"/>
      <c r="R96" s="22"/>
      <c r="S96" s="31">
        <f t="shared" si="39"/>
        <v>1</v>
      </c>
      <c r="T96" s="46" t="str">
        <f t="shared" si="40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41"/>
        <v>https://d0f6bd738d7f1b3e5a7ca70fe4ff75f0.us-east-1.aws.found.io/app/kibana#/discover/Steve-Slow-Train-Analysis-(2080s-and-2083s)?_g=(refreshInterval:(display:Off,pause:!f,section:0,value:0),time:(from:'2017-02-24T13:48:01-0700',mode:absolute,to:'2017-02-24T16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6" s="187" t="str">
        <f t="shared" si="42"/>
        <v>N</v>
      </c>
      <c r="X96" s="187">
        <f t="shared" si="43"/>
        <v>1</v>
      </c>
      <c r="Y96" s="62">
        <f t="shared" si="44"/>
        <v>23.2974</v>
      </c>
      <c r="Z96" s="62">
        <f t="shared" si="45"/>
        <v>1.38E-2</v>
      </c>
      <c r="AA96" s="62">
        <f t="shared" si="46"/>
        <v>23.2836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47"/>
        <v>0184-24</v>
      </c>
      <c r="AE96" s="85" t="str">
        <f t="shared" si="48"/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AF96" s="82" t="str">
        <f t="shared" si="49"/>
        <v>"C:\Program Files (x86)\AstroGrep\AstroGrep.exe" /spath="%USERPROFILE%\AppData\Local\Temp\OnboardLogs" /stypes="app*4052*20170224*" /stext=" 22:.+((SYSTEM_STATE.+slice.+state.+changed )|(ment ac)|(multiple cpu faults)|(system.+state.+changed )|(\[timeout)|(PRM\|1\|D)|(kpr)|(kdp)|(\|lc)|(penalty))" /e /r /s</v>
      </c>
      <c r="AG96" s="1" t="str">
        <f t="shared" si="50"/>
        <v>EC</v>
      </c>
      <c r="AH96" s="86" t="str">
        <f t="shared" si="51"/>
        <v>"%USERPROFILE%\Documents\GitHub\eaglep3\Utilities\RefineRTDCRunTimes.py" --tripid 184-24 --locoid 4052 --swversion DE.1.0.9.0 --startMP 204:232974 --initTime 2017-02-24T14:48:01 --startdatetime 2017-02-24T14:56:20 --delay 1 --endMP 204:138 --enddatetime 2017-02-24T15:36:19 --enforcementcount 1 &gt;&gt;C:\Users\stu\Documents\GitHub\eaglep3-reporting\EC\2017-02-24-refined-times.txt</v>
      </c>
      <c r="AI96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{"issue":{"subject":"","project_id":79,"tracker_id":40,"status_id":1,"priority_id":2,"assigned_to_id":23,"start_date":"2017-02-24","description":"","custom_fields":[{"id":1,"name":"Subdivision","value":"EC"},{"id":4,"name":"Milepost","value":"0.0138"},{"id":17,"name":"Train ID","value":"184-24"},{"id":16,"name":"Locomotive ID","value":"4052"},{"id":130,"name":"Impact","value":""},{"id":150,"name":"Time of Event (Mountain Time)","value":"15:36:19"},{"id":151,"name":"Denver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53"/>
        <v>start /low /b %USERPROFILE%\Documents\GitHub\eaglep3\Utilities\DownloadLogsFromS3.py --loco 4052 --day 2017-02-24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"%USERPROFILE%\AppData\Local\Temp\OnboardLogs"\RTDC4052\*4052*20170224* | grep -SE "(Enforcement Action)|(\[TIMEOUT)|(CHR.+\|PRM\|1\|D.+(SWITCH|SIGNAL).+UNKNOWN)" - &gt;&gt; 2017-02-24-UncaughtWiMAX.txt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582</v>
      </c>
      <c r="B97" s="7">
        <v>4031</v>
      </c>
      <c r="C97" s="21" t="s">
        <v>280</v>
      </c>
      <c r="D97" s="21" t="s">
        <v>241</v>
      </c>
      <c r="E97" s="13">
        <v>42790.588923611111</v>
      </c>
      <c r="F97" s="13">
        <v>42790.593958333331</v>
      </c>
      <c r="G97" s="7">
        <v>1</v>
      </c>
      <c r="H97" s="21" t="s">
        <v>275</v>
      </c>
      <c r="I97" s="13">
        <v>42790.61822916667</v>
      </c>
      <c r="J97" s="7">
        <v>1</v>
      </c>
      <c r="K97" s="98" t="str">
        <f t="shared" si="36"/>
        <v>4031/4032</v>
      </c>
      <c r="L97" s="21" t="str">
        <f>VLOOKUP(A97,'Trips&amp;Operators'!$C$1:$G$99999,5,FALSE)</f>
        <v>BRANNON JEFFREY</v>
      </c>
      <c r="M97" s="6">
        <f t="shared" si="37"/>
        <v>2.4270833338960074E-2</v>
      </c>
      <c r="N97" s="7">
        <f t="shared" si="38"/>
        <v>34.950000008102506</v>
      </c>
      <c r="O97" s="7"/>
      <c r="P97" s="7"/>
      <c r="Q97" s="22"/>
      <c r="R97" s="22"/>
      <c r="S97" s="31">
        <f t="shared" si="39"/>
        <v>1</v>
      </c>
      <c r="T97" s="46" t="str">
        <f t="shared" si="40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41"/>
        <v>https://d0f6bd738d7f1b3e5a7ca70fe4ff75f0.us-east-1.aws.found.io/app/kibana#/discover/Steve-Slow-Train-Analysis-(2080s-and-2083s)?_g=(refreshInterval:(display:Off,pause:!f,section:0,value:0),time:(from:'2017-02-24T13:08:03-0700',mode:absolute,to:'2017-02-24T15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7" s="187" t="str">
        <f t="shared" si="42"/>
        <v>N</v>
      </c>
      <c r="X97" s="187">
        <f t="shared" si="43"/>
        <v>1</v>
      </c>
      <c r="Y97" s="62">
        <f t="shared" si="44"/>
        <v>4.5499999999999999E-2</v>
      </c>
      <c r="Z97" s="62">
        <f t="shared" si="45"/>
        <v>23.330100000000002</v>
      </c>
      <c r="AA97" s="62">
        <f t="shared" si="46"/>
        <v>23.284600000000001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47"/>
        <v>0185-24</v>
      </c>
      <c r="AE97" s="85" t="str">
        <f t="shared" si="48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97" s="82" t="str">
        <f t="shared" si="49"/>
        <v>"C:\Program Files (x86)\AstroGrep\AstroGrep.exe" /spath="%USERPROFILE%\AppData\Local\Temp\OnboardLogs" /stypes="app*4031*20170224*" /stext=" 21:.+((SYSTEM_STATE.+slice.+state.+changed )|(ment ac)|(multiple cpu faults)|(system.+state.+changed )|(\[timeout)|(PRM\|1\|D)|(kpr)|(kdp)|(\|lc)|(penalty))" /e /r /s</v>
      </c>
      <c r="AG97" s="1" t="str">
        <f t="shared" si="50"/>
        <v>EC</v>
      </c>
      <c r="AH97" s="86" t="str">
        <f t="shared" si="51"/>
        <v>"%USERPROFILE%\Documents\GitHub\eaglep3\Utilities\RefineRTDCRunTimes.py" --tripid 185-24 --locoid 4031 --swversion DE.1.0.9.0 --startMP 204:455 --initTime 2017-02-24T14:08:03 --startdatetime 2017-02-24T14:15:18 --delay 1 --endMP 204:233301 --enddatetime 2017-02-24T14:50:15 --enforcementcount 1 &gt;&gt;C:\Users\stu\Documents\GitHub\eaglep3-reporting\EC\2017-02-24-refined-times.txt</v>
      </c>
      <c r="AI97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{"issue":{"subject":"","project_id":79,"tracker_id":40,"status_id":1,"priority_id":2,"assigned_to_id":23,"start_date":"2017-02-24","description":"","custom_fields":[{"id":1,"name":"Subdivision","value":"EC"},{"id":4,"name":"Milepost","value":"23.3301"},{"id":17,"name":"Train ID","value":"185-24"},{"id":16,"name":"Locomotive ID","value":"4031"},{"id":130,"name":"Impact","value":""},{"id":150,"name":"Time of Event (Mountain Time)","value":"14:50:15"},{"id":151,"name":"Denver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53"/>
        <v>start /low /b %USERPROFILE%\Documents\GitHub\eaglep3\Utilities\DownloadLogsFromS3.py --loco 4031 --day 2017-02-24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"%USERPROFILE%\AppData\Local\Temp\OnboardLogs"\RTDC4031\*4031*20170224* | grep -SE "(Enforcement Action)|(\[TIMEOUT)|(CHR.+\|PRM\|1\|D.+(SWITCH|SIGNAL).+UNKNOWN)" - &gt;&gt; 2017-02-24-UncaughtWiMAX.txt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590</v>
      </c>
      <c r="B98" s="7">
        <v>4032</v>
      </c>
      <c r="C98" s="21" t="s">
        <v>280</v>
      </c>
      <c r="D98" s="21" t="s">
        <v>285</v>
      </c>
      <c r="E98" s="13">
        <v>42790.622986111113</v>
      </c>
      <c r="F98" s="13">
        <v>42790.632789351854</v>
      </c>
      <c r="G98" s="7">
        <v>9</v>
      </c>
      <c r="H98" s="21" t="s">
        <v>709</v>
      </c>
      <c r="I98" s="13">
        <v>42790.659722222219</v>
      </c>
      <c r="J98" s="7">
        <v>1</v>
      </c>
      <c r="K98" s="98" t="str">
        <f t="shared" si="36"/>
        <v>4031/4032</v>
      </c>
      <c r="L98" s="21" t="str">
        <f>VLOOKUP(A98,'Trips&amp;Operators'!$C$1:$G$99999,5,FALSE)</f>
        <v>BRANNON JEFFREY</v>
      </c>
      <c r="M98" s="6">
        <f t="shared" si="37"/>
        <v>2.693287036527181E-2</v>
      </c>
      <c r="N98" s="7">
        <f t="shared" si="38"/>
        <v>38.783333325991407</v>
      </c>
      <c r="O98" s="7"/>
      <c r="P98" s="7"/>
      <c r="Q98" s="22"/>
      <c r="R98" s="22"/>
      <c r="S98" s="31">
        <f t="shared" si="39"/>
        <v>1</v>
      </c>
      <c r="T98" s="46" t="str">
        <f t="shared" si="40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41"/>
        <v>https://d0f6bd738d7f1b3e5a7ca70fe4ff75f0.us-east-1.aws.found.io/app/kibana#/discover/Steve-Slow-Train-Analysis-(2080s-and-2083s)?_g=(refreshInterval:(display:Off,pause:!f,section:0,value:0),time:(from:'2017-02-24T13:57:06-0700',mode:absolute,to:'2017-02-24T16:50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8" s="187" t="str">
        <f t="shared" si="42"/>
        <v>N</v>
      </c>
      <c r="X98" s="187">
        <f t="shared" si="43"/>
        <v>1</v>
      </c>
      <c r="Y98" s="62">
        <f t="shared" si="44"/>
        <v>23.298400000000001</v>
      </c>
      <c r="Z98" s="62">
        <f t="shared" si="45"/>
        <v>1.38E-2</v>
      </c>
      <c r="AA98" s="62">
        <f t="shared" si="46"/>
        <v>23.284600000000001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47"/>
        <v>0186-24</v>
      </c>
      <c r="AE98" s="85" t="str">
        <f t="shared" si="48"/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AF98" s="82" t="str">
        <f t="shared" si="49"/>
        <v>"C:\Program Files (x86)\AstroGrep\AstroGrep.exe" /spath="%USERPROFILE%\AppData\Local\Temp\OnboardLogs" /stypes="app*4032*20170224*" /stext=" 22:.+((SYSTEM_STATE.+slice.+state.+changed )|(ment ac)|(multiple cpu faults)|(system.+state.+changed )|(\[timeout)|(PRM\|1\|D)|(kpr)|(kdp)|(\|lc)|(penalty))" /e /r /s</v>
      </c>
      <c r="AG98" s="1" t="str">
        <f t="shared" si="50"/>
        <v>EC</v>
      </c>
      <c r="AH98" s="86" t="str">
        <f t="shared" si="51"/>
        <v>"%USERPROFILE%\Documents\GitHub\eaglep3\Utilities\RefineRTDCRunTimes.py" --tripid 186-24 --locoid 4032 --swversion DE.1.0.9.0 --startMP 204:232984 --initTime 2017-02-24T14:57:06 --startdatetime 2017-02-24T15:11:13 --delay 9 --endMP 204:138 --enddatetime 2017-02-24T15:50:00 --enforcementcount 1 &gt;&gt;C:\Users\stu\Documents\GitHub\eaglep3-reporting\EC\2017-02-24-refined-times.txt</v>
      </c>
      <c r="AI98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{"issue":{"subject":"","project_id":79,"tracker_id":40,"status_id":1,"priority_id":2,"assigned_to_id":23,"start_date":"2017-02-24","description":"","custom_fields":[{"id":1,"name":"Subdivision","value":"EC"},{"id":4,"name":"Milepost","value":"0.0138"},{"id":17,"name":"Train ID","value":"186-24"},{"id":16,"name":"Locomotive ID","value":"4032"},{"id":130,"name":"Impact","value":""},{"id":150,"name":"Time of Event (Mountain Time)","value":"15:50:00"},{"id":151,"name":"Denver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53"/>
        <v>start /low /b %USERPROFILE%\Documents\GitHub\eaglep3\Utilities\DownloadLogsFromS3.py --loco 4032 --day 2017-02-24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"%USERPROFILE%\AppData\Local\Temp\OnboardLogs"\RTDC4032\*4032*20170224* | grep -SE "(Enforcement Action)|(\[TIMEOUT)|(CHR.+\|PRM\|1\|D.+(SWITCH|SIGNAL).+UNKNOWN)" - &gt;&gt; 2017-02-24-UncaughtWiMAX.txt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585</v>
      </c>
      <c r="B99" s="7">
        <v>4044</v>
      </c>
      <c r="C99" s="21" t="s">
        <v>280</v>
      </c>
      <c r="D99" s="21" t="s">
        <v>398</v>
      </c>
      <c r="E99" s="13">
        <v>42790.600659722222</v>
      </c>
      <c r="F99" s="13">
        <v>42790.604386574072</v>
      </c>
      <c r="G99" s="7">
        <v>1</v>
      </c>
      <c r="H99" s="21" t="s">
        <v>335</v>
      </c>
      <c r="I99" s="13">
        <v>42790.630428240744</v>
      </c>
      <c r="J99" s="7">
        <v>1</v>
      </c>
      <c r="K99" s="98" t="str">
        <f t="shared" si="36"/>
        <v>4043/4044</v>
      </c>
      <c r="L99" s="21" t="str">
        <f>VLOOKUP(A99,'Trips&amp;Operators'!$C$1:$G$99999,5,FALSE)</f>
        <v>BRANDNER MELINDA</v>
      </c>
      <c r="M99" s="6">
        <f t="shared" si="37"/>
        <v>2.6041666671517305E-2</v>
      </c>
      <c r="N99" s="7">
        <f t="shared" si="38"/>
        <v>37.500000006984919</v>
      </c>
      <c r="O99" s="7"/>
      <c r="P99" s="7"/>
      <c r="Q99" s="22"/>
      <c r="R99" s="22"/>
      <c r="S99" s="31">
        <f t="shared" si="39"/>
        <v>1</v>
      </c>
      <c r="T99" s="46" t="str">
        <f t="shared" si="40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41"/>
        <v>https://d0f6bd738d7f1b3e5a7ca70fe4ff75f0.us-east-1.aws.found.io/app/kibana#/discover/Steve-Slow-Train-Analysis-(2080s-and-2083s)?_g=(refreshInterval:(display:Off,pause:!f,section:0,value:0),time:(from:'2017-02-24T13:24:57-0700',mode:absolute,to:'2017-02-24T16:07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9" s="187" t="str">
        <f t="shared" si="42"/>
        <v>N</v>
      </c>
      <c r="X99" s="187">
        <f t="shared" si="43"/>
        <v>1</v>
      </c>
      <c r="Y99" s="62">
        <f t="shared" si="44"/>
        <v>4.9700000000000001E-2</v>
      </c>
      <c r="Z99" s="62">
        <f t="shared" si="45"/>
        <v>23.330400000000001</v>
      </c>
      <c r="AA99" s="62">
        <f t="shared" si="46"/>
        <v>23.2807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47"/>
        <v>0187-24</v>
      </c>
      <c r="AE99" s="85" t="str">
        <f t="shared" si="48"/>
        <v>aws s3 cp s3://rtdc.mdm.uploadarchive.raw/RTDC4044/ "%USERPROFILE%\AppData\Local\Temp\OnboardLogs"\RTDC4044\2017-02-24 --exclude "*" --recursive --include "*20170224*" &amp; "%USERPROFILE%\Documents\GitHub\mrs-test-scripts\Headless Mode &amp; Sideloading\WalkAndUnGZ.bat" "%USERPROFILE%\AppData\Local\Temp\OnboardLogs"\RTDC4044\2017-02-24 &amp; 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</v>
      </c>
      <c r="AF99" s="82" t="str">
        <f t="shared" si="49"/>
        <v>"C:\Program Files (x86)\AstroGrep\AstroGrep.exe" /spath="%USERPROFILE%\AppData\Local\Temp\OnboardLogs" /stypes="app*4044*20170224*" /stext=" 22:.+((SYSTEM_STATE.+slice.+state.+changed )|(ment ac)|(multiple cpu faults)|(system.+state.+changed )|(\[timeout)|(PRM\|1\|D)|(kpr)|(kdp)|(\|lc)|(penalty))" /e /r /s</v>
      </c>
      <c r="AG99" s="1" t="str">
        <f t="shared" si="50"/>
        <v>EC</v>
      </c>
      <c r="AH99" s="86" t="str">
        <f t="shared" si="51"/>
        <v>"%USERPROFILE%\Documents\GitHub\eaglep3\Utilities\RefineRTDCRunTimes.py" --tripid 187-24 --locoid 4044 --swversion DE.1.0.9.0 --startMP 204:497 --initTime 2017-02-24T14:24:57 --startdatetime 2017-02-24T14:30:19 --delay 1 --endMP 204:233304 --enddatetime 2017-02-24T15:07:49 --enforcementcount 1 &gt;&gt;C:\Users\stu\Documents\GitHub\eaglep3-reporting\EC\2017-02-24-refined-times.txt</v>
      </c>
      <c r="AI99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{"issue":{"subject":"","project_id":79,"tracker_id":40,"status_id":1,"priority_id":2,"assigned_to_id":23,"start_date":"2017-02-24","description":"","custom_fields":[{"id":1,"name":"Subdivision","value":"EC"},{"id":4,"name":"Milepost","value":"23.3304"},{"id":17,"name":"Train ID","value":"187-24"},{"id":16,"name":"Locomotive ID","value":"4044"},{"id":130,"name":"Impact","value":""},{"id":150,"name":"Time of Event (Mountain Time)","value":"15:07:49"},{"id":151,"name":"Denver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53"/>
        <v>start /low /b %USERPROFILE%\Documents\GitHub\eaglep3\Utilities\DownloadLogsFromS3.py --loco 4044 --day 2017-02-24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"%USERPROFILE%\AppData\Local\Temp\OnboardLogs"\RTDC4044\*4044*20170224* | grep -SE "(Enforcement Action)|(\[TIMEOUT)|(CHR.+\|PRM\|1\|D.+(SWITCH|SIGNAL).+UNKNOWN)" - &gt;&gt; 2017-02-24-UncaughtWiMAX.txt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462</v>
      </c>
      <c r="B100" s="7">
        <v>4043</v>
      </c>
      <c r="C100" s="21" t="s">
        <v>280</v>
      </c>
      <c r="D100" s="21" t="s">
        <v>299</v>
      </c>
      <c r="E100" s="13">
        <v>42790.638055555559</v>
      </c>
      <c r="F100" s="13">
        <v>42790.64603009259</v>
      </c>
      <c r="G100" s="7">
        <v>1</v>
      </c>
      <c r="H100" s="21" t="s">
        <v>196</v>
      </c>
      <c r="I100" s="13">
        <v>42790.674456018518</v>
      </c>
      <c r="J100" s="7">
        <v>1</v>
      </c>
      <c r="K100" s="98" t="str">
        <f t="shared" si="36"/>
        <v>4043/4044</v>
      </c>
      <c r="L100" s="21" t="str">
        <f>VLOOKUP(A100,'Trips&amp;Operators'!$C$1:$G$99999,5,FALSE)</f>
        <v>BRANDNER MELINDA</v>
      </c>
      <c r="M100" s="6">
        <f t="shared" si="37"/>
        <v>2.842592592787696E-2</v>
      </c>
      <c r="N100" s="7">
        <f t="shared" si="38"/>
        <v>40.933333336142823</v>
      </c>
      <c r="O100" s="7"/>
      <c r="P100" s="7"/>
      <c r="Q100" s="22"/>
      <c r="R100" s="22"/>
      <c r="S100" s="31">
        <f t="shared" si="39"/>
        <v>1</v>
      </c>
      <c r="T100" s="46" t="str">
        <f t="shared" si="40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41"/>
        <v>https://d0f6bd738d7f1b3e5a7ca70fe4ff75f0.us-east-1.aws.found.io/app/kibana#/discover/Steve-Slow-Train-Analysis-(2080s-and-2083s)?_g=(refreshInterval:(display:Off,pause:!f,section:0,value:0),time:(from:'2017-02-24T14:18:48-0700',mode:absolute,to:'2017-02-24T17:11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0" s="187" t="str">
        <f t="shared" si="42"/>
        <v>N</v>
      </c>
      <c r="X100" s="187">
        <f t="shared" si="43"/>
        <v>1</v>
      </c>
      <c r="Y100" s="62">
        <f t="shared" si="44"/>
        <v>23.2987</v>
      </c>
      <c r="Z100" s="62">
        <f t="shared" si="45"/>
        <v>1.4500000000000001E-2</v>
      </c>
      <c r="AA100" s="62">
        <f t="shared" si="46"/>
        <v>23.284199999999998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47"/>
        <v>0188-24</v>
      </c>
      <c r="AE100" s="85" t="str">
        <f t="shared" si="48"/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AF100" s="82" t="str">
        <f t="shared" si="49"/>
        <v>"C:\Program Files (x86)\AstroGrep\AstroGrep.exe" /spath="%USERPROFILE%\AppData\Local\Temp\OnboardLogs" /stypes="app*4043*20170224*" /stext=" 23:.+((SYSTEM_STATE.+slice.+state.+changed )|(ment ac)|(multiple cpu faults)|(system.+state.+changed )|(\[timeout)|(PRM\|1\|D)|(kpr)|(kdp)|(\|lc)|(penalty))" /e /r /s</v>
      </c>
      <c r="AG100" s="1" t="str">
        <f t="shared" si="50"/>
        <v>EC</v>
      </c>
      <c r="AH100" s="86" t="str">
        <f t="shared" si="51"/>
        <v>"%USERPROFILE%\Documents\GitHub\eaglep3\Utilities\RefineRTDCRunTimes.py" --tripid 188-24 --locoid 4043 --swversion DE.1.0.9.0 --startMP 204:232987 --initTime 2017-02-24T15:18:48 --startdatetime 2017-02-24T15:30:17 --delay 1 --endMP 204:145 --enddatetime 2017-02-24T16:11:13 --enforcementcount 1 &gt;&gt;C:\Users\stu\Documents\GitHub\eaglep3-reporting\EC\2017-02-24-refined-times.txt</v>
      </c>
      <c r="AI100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{"issue":{"subject":"","project_id":79,"tracker_id":40,"status_id":1,"priority_id":2,"assigned_to_id":23,"start_date":"2017-02-24","description":"","custom_fields":[{"id":1,"name":"Subdivision","value":"EC"},{"id":4,"name":"Milepost","value":"0.0145"},{"id":17,"name":"Train ID","value":"188-24"},{"id":16,"name":"Locomotive ID","value":"4043"},{"id":130,"name":"Impact","value":""},{"id":150,"name":"Time of Event (Mountain Time)","value":"16:11:13"},{"id":151,"name":"Denver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53"/>
        <v>start /low /b %USERPROFILE%\Documents\GitHub\eaglep3\Utilities\DownloadLogsFromS3.py --loco 4043 --day 2017-02-24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"%USERPROFILE%\AppData\Local\Temp\OnboardLogs"\RTDC4043\*4043*20170224* | grep -SE "(Enforcement Action)|(\[TIMEOUT)|(CHR.+\|PRM\|1\|D.+(SWITCH|SIGNAL).+UNKNOWN)" - &gt;&gt; 2017-02-24-UncaughtWiMAX.txt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3" t="s">
        <v>587</v>
      </c>
      <c r="B101" s="7">
        <v>4022</v>
      </c>
      <c r="C101" s="21" t="s">
        <v>280</v>
      </c>
      <c r="D101" s="21" t="s">
        <v>311</v>
      </c>
      <c r="E101" s="13">
        <v>42790.608368055553</v>
      </c>
      <c r="F101" s="13">
        <v>42790.614849537036</v>
      </c>
      <c r="G101" s="7">
        <v>1</v>
      </c>
      <c r="H101" s="21" t="s">
        <v>337</v>
      </c>
      <c r="I101" s="13">
        <v>42790.640439814815</v>
      </c>
      <c r="J101" s="7">
        <v>1</v>
      </c>
      <c r="K101" s="98" t="str">
        <f t="shared" si="36"/>
        <v>4021/4022</v>
      </c>
      <c r="L101" s="21" t="str">
        <f>VLOOKUP(A101,'Trips&amp;Operators'!$C$1:$G$99999,5,FALSE)</f>
        <v>LOPES KIMBERLY</v>
      </c>
      <c r="M101" s="6">
        <f t="shared" si="37"/>
        <v>2.5590277778974269E-2</v>
      </c>
      <c r="N101" s="7">
        <f t="shared" si="38"/>
        <v>36.850000001722947</v>
      </c>
      <c r="O101" s="7"/>
      <c r="P101" s="7"/>
      <c r="Q101" s="22"/>
      <c r="R101" s="22"/>
      <c r="S101" s="31">
        <f t="shared" si="39"/>
        <v>1</v>
      </c>
      <c r="T101" s="46" t="str">
        <f t="shared" si="40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41"/>
        <v>https://d0f6bd738d7f1b3e5a7ca70fe4ff75f0.us-east-1.aws.found.io/app/kibana#/discover/Steve-Slow-Train-Analysis-(2080s-and-2083s)?_g=(refreshInterval:(display:Off,pause:!f,section:0,value:0),time:(from:'2017-02-24T13:36:03-0700',mode:absolute,to:'2017-02-24T16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1" s="187" t="str">
        <f t="shared" si="42"/>
        <v>N</v>
      </c>
      <c r="X101" s="187">
        <f t="shared" si="43"/>
        <v>1</v>
      </c>
      <c r="Y101" s="62">
        <f t="shared" si="44"/>
        <v>4.4900000000000002E-2</v>
      </c>
      <c r="Z101" s="62">
        <f t="shared" si="45"/>
        <v>23.329899999999999</v>
      </c>
      <c r="AA101" s="62">
        <f t="shared" si="46"/>
        <v>23.285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47"/>
        <v>0189-24</v>
      </c>
      <c r="AE101" s="85" t="str">
        <f t="shared" si="48"/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AF101" s="82" t="str">
        <f t="shared" si="49"/>
        <v>"C:\Program Files (x86)\AstroGrep\AstroGrep.exe" /spath="%USERPROFILE%\AppData\Local\Temp\OnboardLogs" /stypes="app*4022*20170224*" /stext=" 22:.+((SYSTEM_STATE.+slice.+state.+changed )|(ment ac)|(multiple cpu faults)|(system.+state.+changed )|(\[timeout)|(PRM\|1\|D)|(kpr)|(kdp)|(\|lc)|(penalty))" /e /r /s</v>
      </c>
      <c r="AG101" s="1" t="str">
        <f t="shared" si="50"/>
        <v>EC</v>
      </c>
      <c r="AH101" s="86" t="str">
        <f t="shared" si="51"/>
        <v>"%USERPROFILE%\Documents\GitHub\eaglep3\Utilities\RefineRTDCRunTimes.py" --tripid 189-24 --locoid 4022 --swversion DE.1.0.9.0 --startMP 204:449 --initTime 2017-02-24T14:36:03 --startdatetime 2017-02-24T14:45:23 --delay 1 --endMP 204:233299 --enddatetime 2017-02-24T15:22:14 --enforcementcount 1 &gt;&gt;C:\Users\stu\Documents\GitHub\eaglep3-reporting\EC\2017-02-24-refined-times.txt</v>
      </c>
      <c r="AI101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{"issue":{"subject":"","project_id":79,"tracker_id":40,"status_id":1,"priority_id":2,"assigned_to_id":23,"start_date":"2017-02-24","description":"","custom_fields":[{"id":1,"name":"Subdivision","value":"EC"},{"id":4,"name":"Milepost","value":"23.3299"},{"id":17,"name":"Train ID","value":"189-24"},{"id":16,"name":"Locomotive ID","value":"4022"},{"id":130,"name":"Impact","value":""},{"id":150,"name":"Time of Event (Mountain Time)","value":"15:22:14"},{"id":151,"name":"Denver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53"/>
        <v>start /low /b %USERPROFILE%\Documents\GitHub\eaglep3\Utilities\DownloadLogsFromS3.py --loco 4022 --day 2017-02-24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"%USERPROFILE%\AppData\Local\Temp\OnboardLogs"\RTDC4022\*4022*20170224* | grep -SE "(Enforcement Action)|(\[TIMEOUT)|(CHR.+\|PRM\|1\|D.+(SWITCH|SIGNAL).+UNKNOWN)" - &gt;&gt; 2017-02-24-UncaughtWiMAX.txt</v>
      </c>
    </row>
    <row r="102" spans="1:91" s="20" customFormat="1" x14ac:dyDescent="0.25">
      <c r="A102" s="33" t="s">
        <v>595</v>
      </c>
      <c r="B102" s="7">
        <v>4021</v>
      </c>
      <c r="C102" s="21" t="s">
        <v>280</v>
      </c>
      <c r="D102" s="21" t="s">
        <v>384</v>
      </c>
      <c r="E102" s="13">
        <v>42790.64503472222</v>
      </c>
      <c r="F102" s="13">
        <v>42790.653912037036</v>
      </c>
      <c r="G102" s="7">
        <v>1</v>
      </c>
      <c r="H102" s="21" t="s">
        <v>709</v>
      </c>
      <c r="I102" s="13">
        <v>42790.681539351855</v>
      </c>
      <c r="J102" s="7">
        <v>1</v>
      </c>
      <c r="K102" s="98" t="str">
        <f t="shared" si="36"/>
        <v>4021/4022</v>
      </c>
      <c r="L102" s="21" t="str">
        <f>VLOOKUP(A102,'Trips&amp;Operators'!$C$1:$G$99999,5,FALSE)</f>
        <v>LOPES KIMBERLY</v>
      </c>
      <c r="M102" s="6">
        <f t="shared" si="37"/>
        <v>2.7627314819255844E-2</v>
      </c>
      <c r="N102" s="7">
        <f t="shared" si="38"/>
        <v>39.783333339728415</v>
      </c>
      <c r="O102" s="7"/>
      <c r="P102" s="7"/>
      <c r="Q102" s="22"/>
      <c r="R102" s="22"/>
      <c r="S102" s="31">
        <f t="shared" si="39"/>
        <v>1</v>
      </c>
      <c r="T102" s="46" t="str">
        <f t="shared" si="40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41"/>
        <v>https://d0f6bd738d7f1b3e5a7ca70fe4ff75f0.us-east-1.aws.found.io/app/kibana#/discover/Steve-Slow-Train-Analysis-(2080s-and-2083s)?_g=(refreshInterval:(display:Off,pause:!f,section:0,value:0),time:(from:'2017-02-24T14:28:51-0700',mode:absolute,to:'2017-02-24T17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2" s="187" t="str">
        <f t="shared" si="42"/>
        <v>N</v>
      </c>
      <c r="X102" s="187">
        <f t="shared" si="43"/>
        <v>1</v>
      </c>
      <c r="Y102" s="62">
        <f t="shared" si="44"/>
        <v>23.296299999999999</v>
      </c>
      <c r="Z102" s="62">
        <f t="shared" si="45"/>
        <v>1.38E-2</v>
      </c>
      <c r="AA102" s="62">
        <f t="shared" si="46"/>
        <v>23.282499999999999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47"/>
        <v>0190-24</v>
      </c>
      <c r="AE102" s="85" t="str">
        <f t="shared" si="48"/>
        <v>aws s3 cp s3://rtdc.mdm.uploadarchive.raw/RTDC4021/ "%USERPROFILE%\AppData\Local\Temp\OnboardLogs"\RTDC4021\2017-02-24 --exclude "*" --recursive --include "*20170224*" &amp; "%USERPROFILE%\Documents\GitHub\mrs-test-scripts\Headless Mode &amp; Sideloading\WalkAndUnGZ.bat" "%USERPROFILE%\AppData\Local\Temp\OnboardLogs"\RTDC4021\2017-02-24 &amp; 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</v>
      </c>
      <c r="AF102" s="82" t="str">
        <f t="shared" si="49"/>
        <v>"C:\Program Files (x86)\AstroGrep\AstroGrep.exe" /spath="%USERPROFILE%\AppData\Local\Temp\OnboardLogs" /stypes="app*4021*20170224*" /stext=" 23:.+((SYSTEM_STATE.+slice.+state.+changed )|(ment ac)|(multiple cpu faults)|(system.+state.+changed )|(\[timeout)|(PRM\|1\|D)|(kpr)|(kdp)|(\|lc)|(penalty))" /e /r /s</v>
      </c>
      <c r="AG102" s="1" t="str">
        <f t="shared" si="50"/>
        <v>EC</v>
      </c>
      <c r="AH102" s="86" t="str">
        <f t="shared" si="51"/>
        <v>"%USERPROFILE%\Documents\GitHub\eaglep3\Utilities\RefineRTDCRunTimes.py" --tripid 190-24 --locoid 4021 --swversion DE.1.0.9.0 --startMP 204:232963 --initTime 2017-02-24T15:28:51 --startdatetime 2017-02-24T15:41:38 --delay 1 --endMP 204:138 --enddatetime 2017-02-24T16:21:25 --enforcementcount 1 &gt;&gt;C:\Users\stu\Documents\GitHub\eaglep3-reporting\EC\2017-02-24-refined-times.txt</v>
      </c>
      <c r="AI102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{"issue":{"subject":"","project_id":79,"tracker_id":40,"status_id":1,"priority_id":2,"assigned_to_id":23,"start_date":"2017-02-24","description":"","custom_fields":[{"id":1,"name":"Subdivision","value":"EC"},{"id":4,"name":"Milepost","value":"0.0138"},{"id":17,"name":"Train ID","value":"190-24"},{"id":16,"name":"Locomotive ID","value":"4021"},{"id":130,"name":"Impact","value":""},{"id":150,"name":"Time of Event (Mountain Time)","value":"16:21:25"},{"id":151,"name":"Denver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53"/>
        <v>start /low /b %USERPROFILE%\Documents\GitHub\eaglep3\Utilities\DownloadLogsFromS3.py --loco 4021 --day 2017-02-24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"%USERPROFILE%\AppData\Local\Temp\OnboardLogs"\RTDC4021\*4021*20170224* | grep -SE "(Enforcement Action)|(\[TIMEOUT)|(CHR.+\|PRM\|1\|D.+(SWITCH|SIGNAL).+UNKNOWN)" - &gt;&gt; 2017-02-24-UncaughtWiMAX.txt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3" t="s">
        <v>589</v>
      </c>
      <c r="B103" s="7">
        <v>4009</v>
      </c>
      <c r="C103" s="21" t="s">
        <v>280</v>
      </c>
      <c r="D103" s="21" t="s">
        <v>395</v>
      </c>
      <c r="E103" s="13">
        <v>42790.62164351852</v>
      </c>
      <c r="F103" s="13">
        <v>42790.625196759262</v>
      </c>
      <c r="G103" s="7">
        <v>1</v>
      </c>
      <c r="H103" s="21" t="s">
        <v>335</v>
      </c>
      <c r="I103" s="13">
        <v>42790.651886574073</v>
      </c>
      <c r="J103" s="7">
        <v>1</v>
      </c>
      <c r="K103" s="98" t="str">
        <f t="shared" si="36"/>
        <v>4009/4010</v>
      </c>
      <c r="L103" s="21" t="str">
        <f>VLOOKUP(A103,'Trips&amp;Operators'!$C$1:$G$99999,5,FALSE)</f>
        <v>CLARK KATHLEEN</v>
      </c>
      <c r="M103" s="6">
        <f t="shared" si="37"/>
        <v>2.6689814811106771E-2</v>
      </c>
      <c r="N103" s="7">
        <f t="shared" si="38"/>
        <v>38.433333327993751</v>
      </c>
      <c r="O103" s="7"/>
      <c r="P103" s="7"/>
      <c r="Q103" s="22"/>
      <c r="R103" s="22"/>
      <c r="S103" s="31">
        <f t="shared" si="39"/>
        <v>1</v>
      </c>
      <c r="T103" s="46" t="str">
        <f t="shared" si="40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41"/>
        <v>https://d0f6bd738d7f1b3e5a7ca70fe4ff75f0.us-east-1.aws.found.io/app/kibana#/discover/Steve-Slow-Train-Analysis-(2080s-and-2083s)?_g=(refreshInterval:(display:Off,pause:!f,section:0,value:0),time:(from:'2017-02-24T13:55:10-0700',mode:absolute,to:'2017-02-24T16:38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3" s="187" t="str">
        <f t="shared" si="42"/>
        <v>N</v>
      </c>
      <c r="X103" s="187">
        <f t="shared" si="43"/>
        <v>1</v>
      </c>
      <c r="Y103" s="62">
        <f t="shared" si="44"/>
        <v>4.6899999999999997E-2</v>
      </c>
      <c r="Z103" s="62">
        <f t="shared" si="45"/>
        <v>23.330400000000001</v>
      </c>
      <c r="AA103" s="62">
        <f t="shared" si="46"/>
        <v>23.2835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47"/>
        <v>0191-24</v>
      </c>
      <c r="AE103" s="85" t="str">
        <f t="shared" si="48"/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AF103" s="82" t="str">
        <f t="shared" si="49"/>
        <v>"C:\Program Files (x86)\AstroGrep\AstroGrep.exe" /spath="%USERPROFILE%\AppData\Local\Temp\OnboardLogs" /stypes="app*4009*20170224*" /stext=" 22:.+((SYSTEM_STATE.+slice.+state.+changed )|(ment ac)|(multiple cpu faults)|(system.+state.+changed )|(\[timeout)|(PRM\|1\|D)|(kpr)|(kdp)|(\|lc)|(penalty))" /e /r /s</v>
      </c>
      <c r="AG103" s="1" t="str">
        <f t="shared" si="50"/>
        <v>EC</v>
      </c>
      <c r="AH103" s="86" t="str">
        <f t="shared" si="51"/>
        <v>"%USERPROFILE%\Documents\GitHub\eaglep3\Utilities\RefineRTDCRunTimes.py" --tripid 191-24 --locoid 4009 --swversion DE.1.0.9.0 --startMP 204:469 --initTime 2017-02-24T14:55:10 --startdatetime 2017-02-24T15:00:17 --delay 1 --endMP 204:233304 --enddatetime 2017-02-24T15:38:43 --enforcementcount 1 &gt;&gt;C:\Users\stu\Documents\GitHub\eaglep3-reporting\EC\2017-02-24-refined-times.txt</v>
      </c>
      <c r="AI103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{"issue":{"subject":"","project_id":79,"tracker_id":40,"status_id":1,"priority_id":2,"assigned_to_id":23,"start_date":"2017-02-24","description":"","custom_fields":[{"id":1,"name":"Subdivision","value":"EC"},{"id":4,"name":"Milepost","value":"23.3304"},{"id":17,"name":"Train ID","value":"191-24"},{"id":16,"name":"Locomotive ID","value":"4009"},{"id":130,"name":"Impact","value":""},{"id":150,"name":"Time of Event (Mountain Time)","value":"15:38:43"},{"id":151,"name":"Denver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53"/>
        <v>start /low /b %USERPROFILE%\Documents\GitHub\eaglep3\Utilities\DownloadLogsFromS3.py --loco 4009 --day 2017-02-24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"%USERPROFILE%\AppData\Local\Temp\OnboardLogs"\RTDC4009\*4009*20170224* | grep -SE "(Enforcement Action)|(\[TIMEOUT)|(CHR.+\|PRM\|1\|D.+(SWITCH|SIGNAL).+UNKNOWN)" - &gt;&gt; 2017-02-24-UncaughtWiMAX.txt</v>
      </c>
    </row>
    <row r="104" spans="1:91" s="20" customFormat="1" x14ac:dyDescent="0.25">
      <c r="A104" s="33" t="s">
        <v>598</v>
      </c>
      <c r="B104" s="7">
        <v>4010</v>
      </c>
      <c r="C104" s="21" t="s">
        <v>280</v>
      </c>
      <c r="D104" s="21" t="s">
        <v>710</v>
      </c>
      <c r="E104" s="13">
        <v>42790.659409722219</v>
      </c>
      <c r="F104" s="13">
        <v>42790.6641087963</v>
      </c>
      <c r="G104" s="7">
        <v>1</v>
      </c>
      <c r="H104" s="21" t="s">
        <v>402</v>
      </c>
      <c r="I104" s="13">
        <v>42790.692719907405</v>
      </c>
      <c r="J104" s="7">
        <v>1</v>
      </c>
      <c r="K104" s="98" t="str">
        <f t="shared" si="36"/>
        <v>4009/4010</v>
      </c>
      <c r="L104" s="21" t="str">
        <f>VLOOKUP(A104,'Trips&amp;Operators'!$C$1:$G$99999,5,FALSE)</f>
        <v>CLARK KATHLEEN</v>
      </c>
      <c r="M104" s="6">
        <f t="shared" si="37"/>
        <v>2.8611111105419695E-2</v>
      </c>
      <c r="N104" s="7">
        <f t="shared" si="38"/>
        <v>41.199999991804361</v>
      </c>
      <c r="O104" s="7"/>
      <c r="P104" s="7"/>
      <c r="Q104" s="22"/>
      <c r="R104" s="22"/>
      <c r="S104" s="31">
        <f t="shared" si="39"/>
        <v>1</v>
      </c>
      <c r="T104" s="46" t="str">
        <f t="shared" si="40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41"/>
        <v>https://d0f6bd738d7f1b3e5a7ca70fe4ff75f0.us-east-1.aws.found.io/app/kibana#/discover/Steve-Slow-Train-Analysis-(2080s-and-2083s)?_g=(refreshInterval:(display:Off,pause:!f,section:0,value:0),time:(from:'2017-02-24T14:49:33-0700',mode:absolute,to:'2017-02-24T17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4" s="187" t="str">
        <f t="shared" si="42"/>
        <v>N</v>
      </c>
      <c r="X104" s="187">
        <f t="shared" si="43"/>
        <v>1</v>
      </c>
      <c r="Y104" s="62">
        <f t="shared" si="44"/>
        <v>23.2989</v>
      </c>
      <c r="Z104" s="62">
        <f t="shared" si="45"/>
        <v>1.6899999999999998E-2</v>
      </c>
      <c r="AA104" s="62">
        <f t="shared" si="46"/>
        <v>23.282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47"/>
        <v>0192-24</v>
      </c>
      <c r="AE104" s="85" t="str">
        <f t="shared" si="48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104" s="82" t="str">
        <f t="shared" si="49"/>
        <v>"C:\Program Files (x86)\AstroGrep\AstroGrep.exe" /spath="%USERPROFILE%\AppData\Local\Temp\OnboardLogs" /stypes="app*4010*20170224*" /stext=" 23:.+((SYSTEM_STATE.+slice.+state.+changed )|(ment ac)|(multiple cpu faults)|(system.+state.+changed )|(\[timeout)|(PRM\|1\|D)|(kpr)|(kdp)|(\|lc)|(penalty))" /e /r /s</v>
      </c>
      <c r="AG104" s="1" t="str">
        <f t="shared" si="50"/>
        <v>EC</v>
      </c>
      <c r="AH104" s="86" t="str">
        <f t="shared" si="51"/>
        <v>"%USERPROFILE%\Documents\GitHub\eaglep3\Utilities\RefineRTDCRunTimes.py" --tripid 192-24 --locoid 4010 --swversion DE.1.0.9.0 --startMP 204:232989 --initTime 2017-02-24T15:49:33 --startdatetime 2017-02-24T15:56:19 --delay 1 --endMP 204:169 --enddatetime 2017-02-24T16:37:31 --enforcementcount 1 &gt;&gt;C:\Users\stu\Documents\GitHub\eaglep3-reporting\EC\2017-02-24-refined-times.txt</v>
      </c>
      <c r="AI104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{"issue":{"subject":"","project_id":79,"tracker_id":40,"status_id":1,"priority_id":2,"assigned_to_id":23,"start_date":"2017-02-24","description":"","custom_fields":[{"id":1,"name":"Subdivision","value":"EC"},{"id":4,"name":"Milepost","value":"0.0169"},{"id":17,"name":"Train ID","value":"192-24"},{"id":16,"name":"Locomotive ID","value":"4010"},{"id":130,"name":"Impact","value":""},{"id":150,"name":"Time of Event (Mountain Time)","value":"16:37:31"},{"id":151,"name":"Denver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53"/>
        <v>start /low /b %USERPROFILE%\Documents\GitHub\eaglep3\Utilities\DownloadLogsFromS3.py --loco 4010 --day 2017-02-24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"%USERPROFILE%\AppData\Local\Temp\OnboardLogs"\RTDC4010\*4010*20170224* | grep -SE "(Enforcement Action)|(\[TIMEOUT)|(CHR.+\|PRM\|1\|D.+(SWITCH|SIGNAL).+UNKNOWN)" - &gt;&gt; 2017-02-24-UncaughtWiMAX.txt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592</v>
      </c>
      <c r="B105" s="7">
        <v>4020</v>
      </c>
      <c r="C105" s="21" t="s">
        <v>280</v>
      </c>
      <c r="D105" s="21" t="s">
        <v>252</v>
      </c>
      <c r="E105" s="13">
        <v>42790.632685185185</v>
      </c>
      <c r="F105" s="13">
        <v>42790.635752314818</v>
      </c>
      <c r="G105" s="7">
        <v>2</v>
      </c>
      <c r="H105" s="21" t="s">
        <v>274</v>
      </c>
      <c r="I105" s="13">
        <v>42790.660682870373</v>
      </c>
      <c r="J105" s="7">
        <v>1</v>
      </c>
      <c r="K105" s="98" t="str">
        <f t="shared" si="36"/>
        <v>4019/4020</v>
      </c>
      <c r="L105" s="21" t="str">
        <f>VLOOKUP(A105,'Trips&amp;Operators'!$C$1:$G$99999,5,FALSE)</f>
        <v>DE LA ROSA ALEX</v>
      </c>
      <c r="M105" s="6">
        <f t="shared" si="37"/>
        <v>2.4930555555329192E-2</v>
      </c>
      <c r="N105" s="7">
        <f t="shared" si="38"/>
        <v>35.899999999674037</v>
      </c>
      <c r="O105" s="7"/>
      <c r="P105" s="7"/>
      <c r="Q105" s="22"/>
      <c r="R105" s="22"/>
      <c r="S105" s="31">
        <f t="shared" si="39"/>
        <v>1</v>
      </c>
      <c r="T105" s="46" t="str">
        <f t="shared" si="40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41"/>
        <v>https://d0f6bd738d7f1b3e5a7ca70fe4ff75f0.us-east-1.aws.found.io/app/kibana#/discover/Steve-Slow-Train-Analysis-(2080s-and-2083s)?_g=(refreshInterval:(display:Off,pause:!f,section:0,value:0),time:(from:'2017-02-24T14:11:04-0700',mode:absolute,to:'2017-02-24T16:51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5" s="187" t="str">
        <f t="shared" si="42"/>
        <v>N</v>
      </c>
      <c r="X105" s="187">
        <f t="shared" si="43"/>
        <v>1</v>
      </c>
      <c r="Y105" s="62">
        <f t="shared" si="44"/>
        <v>4.3999999999999997E-2</v>
      </c>
      <c r="Z105" s="62">
        <f t="shared" si="45"/>
        <v>23.330300000000001</v>
      </c>
      <c r="AA105" s="62">
        <f t="shared" si="46"/>
        <v>23.286300000000001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47"/>
        <v>0193-24</v>
      </c>
      <c r="AE105" s="85" t="str">
        <f t="shared" si="48"/>
        <v>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 &amp; 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</v>
      </c>
      <c r="AF105" s="82" t="str">
        <f t="shared" si="49"/>
        <v>"C:\Program Files (x86)\AstroGrep\AstroGrep.exe" /spath="%USERPROFILE%\AppData\Local\Temp\OnboardLogs" /stypes="app*4020*20170224*" /stext=" 22:.+((SYSTEM_STATE.+slice.+state.+changed )|(ment ac)|(multiple cpu faults)|(system.+state.+changed )|(\[timeout)|(PRM\|1\|D)|(kpr)|(kdp)|(\|lc)|(penalty))" /e /r /s</v>
      </c>
      <c r="AG105" s="1" t="str">
        <f t="shared" si="50"/>
        <v>EC</v>
      </c>
      <c r="AH105" s="86" t="str">
        <f t="shared" si="51"/>
        <v>"%USERPROFILE%\Documents\GitHub\eaglep3\Utilities\RefineRTDCRunTimes.py" --tripid 193-24 --locoid 4020 --swversion DE.1.0.9.0 --startMP 204:440 --initTime 2017-02-24T15:11:04 --startdatetime 2017-02-24T15:15:29 --delay 2 --endMP 204:233303 --enddatetime 2017-02-24T15:51:23 --enforcementcount 1 &gt;&gt;C:\Users\stu\Documents\GitHub\eaglep3-reporting\EC\2017-02-24-refined-times.txt</v>
      </c>
      <c r="AI105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{"issue":{"subject":"","project_id":79,"tracker_id":40,"status_id":1,"priority_id":2,"assigned_to_id":23,"start_date":"2017-02-24","description":"","custom_fields":[{"id":1,"name":"Subdivision","value":"EC"},{"id":4,"name":"Milepost","value":"23.3303"},{"id":17,"name":"Train ID","value":"193-24"},{"id":16,"name":"Locomotive ID","value":"4020"},{"id":130,"name":"Impact","value":""},{"id":150,"name":"Time of Event (Mountain Time)","value":"15:51:23"},{"id":151,"name":"Denver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53"/>
        <v>start /low /b %USERPROFILE%\Documents\GitHub\eaglep3\Utilities\DownloadLogsFromS3.py --loco 4020 --day 2017-02-24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2017-02-24-UncaughtWiMAX.txt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600</v>
      </c>
      <c r="B106" s="7">
        <v>4019</v>
      </c>
      <c r="C106" s="21" t="s">
        <v>280</v>
      </c>
      <c r="D106" s="21" t="s">
        <v>388</v>
      </c>
      <c r="E106" s="13">
        <v>42790.662465277775</v>
      </c>
      <c r="F106" s="13">
        <v>42790.674560185187</v>
      </c>
      <c r="G106" s="7">
        <v>1</v>
      </c>
      <c r="H106" s="21" t="s">
        <v>271</v>
      </c>
      <c r="I106" s="13">
        <v>42790.701990740738</v>
      </c>
      <c r="J106" s="7">
        <v>1</v>
      </c>
      <c r="K106" s="98" t="str">
        <f t="shared" si="36"/>
        <v>4019/4020</v>
      </c>
      <c r="L106" s="21" t="str">
        <f>VLOOKUP(A106,'Trips&amp;Operators'!$C$1:$G$99999,5,FALSE)</f>
        <v>DE LA ROSA ALEX</v>
      </c>
      <c r="M106" s="6">
        <f t="shared" si="37"/>
        <v>2.7430555550381541E-2</v>
      </c>
      <c r="N106" s="7">
        <f t="shared" si="38"/>
        <v>39.499999992549419</v>
      </c>
      <c r="O106" s="7"/>
      <c r="P106" s="7"/>
      <c r="Q106" s="22"/>
      <c r="R106" s="22"/>
      <c r="S106" s="31">
        <f t="shared" si="39"/>
        <v>1</v>
      </c>
      <c r="T106" s="46" t="str">
        <f t="shared" si="40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41"/>
        <v>https://d0f6bd738d7f1b3e5a7ca70fe4ff75f0.us-east-1.aws.found.io/app/kibana#/discover/Steve-Slow-Train-Analysis-(2080s-and-2083s)?_g=(refreshInterval:(display:Off,pause:!f,section:0,value:0),time:(from:'2017-02-24T14:53:57-0700',mode:absolute,to:'2017-02-24T17:50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6" s="187" t="str">
        <f t="shared" si="42"/>
        <v>N</v>
      </c>
      <c r="X106" s="187">
        <f t="shared" si="43"/>
        <v>1</v>
      </c>
      <c r="Y106" s="62">
        <f t="shared" si="44"/>
        <v>23.297699999999999</v>
      </c>
      <c r="Z106" s="62">
        <f t="shared" si="45"/>
        <v>1.6299999999999999E-2</v>
      </c>
      <c r="AA106" s="62">
        <f t="shared" si="46"/>
        <v>23.281399999999998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47"/>
        <v>0194-24</v>
      </c>
      <c r="AE106" s="85" t="str">
        <f t="shared" si="48"/>
        <v>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 &amp; 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</v>
      </c>
      <c r="AF106" s="82" t="str">
        <f t="shared" si="49"/>
        <v>"C:\Program Files (x86)\AstroGrep\AstroGrep.exe" /spath="%USERPROFILE%\AppData\Local\Temp\OnboardLogs" /stypes="app*4019*20170224*" /stext=" 23:.+((SYSTEM_STATE.+slice.+state.+changed )|(ment ac)|(multiple cpu faults)|(system.+state.+changed )|(\[timeout)|(PRM\|1\|D)|(kpr)|(kdp)|(\|lc)|(penalty))" /e /r /s</v>
      </c>
      <c r="AG106" s="1" t="str">
        <f t="shared" si="50"/>
        <v>EC</v>
      </c>
      <c r="AH106" s="86" t="str">
        <f t="shared" si="51"/>
        <v>"%USERPROFILE%\Documents\GitHub\eaglep3\Utilities\RefineRTDCRunTimes.py" --tripid 194-24 --locoid 4019 --swversion DE.1.0.9.0 --startMP 204:232977 --initTime 2017-02-24T15:53:57 --startdatetime 2017-02-24T16:11:22 --delay 1 --endMP 204:163 --enddatetime 2017-02-24T16:50:52 --enforcementcount 1 &gt;&gt;C:\Users\stu\Documents\GitHub\eaglep3-reporting\EC\2017-02-24-refined-times.txt</v>
      </c>
      <c r="AI106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{"issue":{"subject":"","project_id":79,"tracker_id":40,"status_id":1,"priority_id":2,"assigned_to_id":23,"start_date":"2017-02-24","description":"","custom_fields":[{"id":1,"name":"Subdivision","value":"EC"},{"id":4,"name":"Milepost","value":"0.0163"},{"id":17,"name":"Train ID","value":"194-24"},{"id":16,"name":"Locomotive ID","value":"4019"},{"id":130,"name":"Impact","value":""},{"id":150,"name":"Time of Event (Mountain Time)","value":"16:50:52"},{"id":151,"name":"Denver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53"/>
        <v>start /low /b %USERPROFILE%\Documents\GitHub\eaglep3\Utilities\DownloadLogsFromS3.py --loco 4019 --day 2017-02-24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2017-02-24-UncaughtWiMAX.txt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594</v>
      </c>
      <c r="B107" s="7">
        <v>4025</v>
      </c>
      <c r="C107" s="21" t="s">
        <v>280</v>
      </c>
      <c r="D107" s="21" t="s">
        <v>246</v>
      </c>
      <c r="E107" s="13">
        <v>42790.643680555557</v>
      </c>
      <c r="F107" s="13">
        <v>42790.646122685182</v>
      </c>
      <c r="G107" s="7">
        <v>1</v>
      </c>
      <c r="H107" s="21" t="s">
        <v>703</v>
      </c>
      <c r="I107" s="13">
        <v>42790.6715625</v>
      </c>
      <c r="J107" s="7">
        <v>1</v>
      </c>
      <c r="K107" s="98" t="str">
        <f t="shared" si="36"/>
        <v>4025/4026</v>
      </c>
      <c r="L107" s="21" t="str">
        <f>VLOOKUP(A107,'Trips&amp;Operators'!$C$1:$G$99999,5,FALSE)</f>
        <v>HELVIE ADAM</v>
      </c>
      <c r="M107" s="6">
        <f t="shared" si="37"/>
        <v>2.5439814817218576E-2</v>
      </c>
      <c r="N107" s="7">
        <f t="shared" si="38"/>
        <v>36.633333336794749</v>
      </c>
      <c r="O107" s="7"/>
      <c r="P107" s="7"/>
      <c r="Q107" s="22"/>
      <c r="R107" s="22"/>
      <c r="S107" s="31">
        <f t="shared" si="39"/>
        <v>1</v>
      </c>
      <c r="T107" s="46" t="str">
        <f t="shared" si="40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41"/>
        <v>https://d0f6bd738d7f1b3e5a7ca70fe4ff75f0.us-east-1.aws.found.io/app/kibana#/discover/Steve-Slow-Train-Analysis-(2080s-and-2083s)?_g=(refreshInterval:(display:Off,pause:!f,section:0,value:0),time:(from:'2017-02-24T14:26:54-0700',mode:absolute,to:'2017-02-24T17:07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7" s="187" t="str">
        <f t="shared" si="42"/>
        <v>N</v>
      </c>
      <c r="X107" s="187">
        <f t="shared" si="43"/>
        <v>1</v>
      </c>
      <c r="Y107" s="62">
        <f t="shared" si="44"/>
        <v>4.6399999999999997E-2</v>
      </c>
      <c r="Z107" s="62">
        <f t="shared" si="45"/>
        <v>23.3291</v>
      </c>
      <c r="AA107" s="62">
        <f t="shared" si="46"/>
        <v>23.282700000000002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47"/>
        <v>0195-24</v>
      </c>
      <c r="AE107" s="85" t="str">
        <f t="shared" si="48"/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AF107" s="82" t="str">
        <f t="shared" si="49"/>
        <v>"C:\Program Files (x86)\AstroGrep\AstroGrep.exe" /spath="%USERPROFILE%\AppData\Local\Temp\OnboardLogs" /stypes="app*4025*20170224*" /stext=" 23:.+((SYSTEM_STATE.+slice.+state.+changed )|(ment ac)|(multiple cpu faults)|(system.+state.+changed )|(\[timeout)|(PRM\|1\|D)|(kpr)|(kdp)|(\|lc)|(penalty))" /e /r /s</v>
      </c>
      <c r="AG107" s="1" t="str">
        <f t="shared" si="50"/>
        <v>EC</v>
      </c>
      <c r="AH107" s="86" t="str">
        <f t="shared" si="51"/>
        <v>"%USERPROFILE%\Documents\GitHub\eaglep3\Utilities\RefineRTDCRunTimes.py" --tripid 195-24 --locoid 4025 --swversion DE.1.0.9.0 --startMP 204:464 --initTime 2017-02-24T15:26:54 --startdatetime 2017-02-24T15:30:25 --delay 1 --endMP 204:233291 --enddatetime 2017-02-24T16:07:03 --enforcementcount 1 &gt;&gt;C:\Users\stu\Documents\GitHub\eaglep3-reporting\EC\2017-02-24-refined-times.txt</v>
      </c>
      <c r="AI107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{"issue":{"subject":"","project_id":79,"tracker_id":40,"status_id":1,"priority_id":2,"assigned_to_id":23,"start_date":"2017-02-24","description":"","custom_fields":[{"id":1,"name":"Subdivision","value":"EC"},{"id":4,"name":"Milepost","value":"23.3291"},{"id":17,"name":"Train ID","value":"195-24"},{"id":16,"name":"Locomotive ID","value":"4025"},{"id":130,"name":"Impact","value":""},{"id":150,"name":"Time of Event (Mountain Time)","value":"16:07:03"},{"id":151,"name":"Denver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53"/>
        <v>start /low /b %USERPROFILE%\Documents\GitHub\eaglep3\Utilities\DownloadLogsFromS3.py --loco 4025 --day 2017-02-24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2017-02-24-UncaughtWiMAX.txt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606</v>
      </c>
      <c r="B108" s="7">
        <v>4026</v>
      </c>
      <c r="C108" s="21" t="s">
        <v>280</v>
      </c>
      <c r="D108" s="21" t="s">
        <v>388</v>
      </c>
      <c r="E108" s="13">
        <v>42790.681574074071</v>
      </c>
      <c r="F108" s="13">
        <v>42790.685115740744</v>
      </c>
      <c r="G108" s="7">
        <v>1</v>
      </c>
      <c r="H108" s="21" t="s">
        <v>258</v>
      </c>
      <c r="I108" s="13">
        <v>42790.711736111109</v>
      </c>
      <c r="J108" s="7">
        <v>1</v>
      </c>
      <c r="K108" s="98" t="str">
        <f t="shared" si="36"/>
        <v>4025/4026</v>
      </c>
      <c r="L108" s="21" t="str">
        <f>VLOOKUP(A108,'Trips&amp;Operators'!$C$1:$G$99999,5,FALSE)</f>
        <v>HELVIE ADAM</v>
      </c>
      <c r="M108" s="6">
        <f t="shared" si="37"/>
        <v>2.6620370364980772E-2</v>
      </c>
      <c r="N108" s="7">
        <f t="shared" si="38"/>
        <v>38.333333325572312</v>
      </c>
      <c r="O108" s="7"/>
      <c r="P108" s="7"/>
      <c r="Q108" s="22"/>
      <c r="R108" s="22"/>
      <c r="S108" s="31">
        <f t="shared" si="39"/>
        <v>1</v>
      </c>
      <c r="T108" s="46" t="str">
        <f t="shared" si="40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41"/>
        <v>https://d0f6bd738d7f1b3e5a7ca70fe4ff75f0.us-east-1.aws.found.io/app/kibana#/discover/Steve-Slow-Train-Analysis-(2080s-and-2083s)?_g=(refreshInterval:(display:Off,pause:!f,section:0,value:0),time:(from:'2017-02-24T15:21:28-0700',mode:absolute,to:'2017-02-24T18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8" s="187" t="str">
        <f t="shared" si="42"/>
        <v>N</v>
      </c>
      <c r="X108" s="187">
        <f t="shared" si="43"/>
        <v>1</v>
      </c>
      <c r="Y108" s="62">
        <f t="shared" si="44"/>
        <v>23.297699999999999</v>
      </c>
      <c r="Z108" s="62">
        <f t="shared" si="45"/>
        <v>1.5599999999999999E-2</v>
      </c>
      <c r="AA108" s="62">
        <f t="shared" si="46"/>
        <v>23.2821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47"/>
        <v>0196-24</v>
      </c>
      <c r="AE108" s="85" t="str">
        <f t="shared" si="48"/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AF108" s="82" t="str">
        <f t="shared" si="49"/>
        <v>"C:\Program Files (x86)\AstroGrep\AstroGrep.exe" /spath="%USERPROFILE%\AppData\Local\Temp\OnboardLogs" /stypes="app*4026*20170225*" /stext=" 00:.+((SYSTEM_STATE.+slice.+state.+changed )|(ment ac)|(multiple cpu faults)|(system.+state.+changed )|(\[timeout)|(PRM\|1\|D)|(kpr)|(kdp)|(\|lc)|(penalty))" /e /r /s</v>
      </c>
      <c r="AG108" s="1" t="str">
        <f t="shared" si="50"/>
        <v>EC</v>
      </c>
      <c r="AH108" s="86" t="str">
        <f t="shared" si="51"/>
        <v>"%USERPROFILE%\Documents\GitHub\eaglep3\Utilities\RefineRTDCRunTimes.py" --tripid 196-24 --locoid 4026 --swversion DE.1.0.9.0 --startMP 204:232977 --initTime 2017-02-24T16:21:28 --startdatetime 2017-02-24T16:26:34 --delay 1 --endMP 204:156 --enddatetime 2017-02-24T17:04:54 --enforcementcount 1 &gt;&gt;C:\Users\stu\Documents\GitHub\eaglep3-reporting\EC\2017-02-24-refined-times.txt</v>
      </c>
      <c r="AI108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{"issue":{"subject":"","project_id":79,"tracker_id":40,"status_id":1,"priority_id":2,"assigned_to_id":23,"start_date":"2017-02-24","description":"","custom_fields":[{"id":1,"name":"Subdivision","value":"EC"},{"id":4,"name":"Milepost","value":"0.0156"},{"id":17,"name":"Train ID","value":"196-24"},{"id":16,"name":"Locomotive ID","value":"4026"},{"id":130,"name":"Impact","value":""},{"id":150,"name":"Time of Event (Mountain Time)","value":"17:04:54"},{"id":151,"name":"Denver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53"/>
        <v>start /low /b %USERPROFILE%\Documents\GitHub\eaglep3\Utilities\DownloadLogsFromS3.py --loco 4026 --day 2017-02-24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"%USERPROFILE%\AppData\Local\Temp\OnboardLogs"\RTDC4026\*4026*20170224* | grep -SE "(Enforcement Action)|(\[TIMEOUT)|(CHR.+\|PRM\|1\|D.+(SWITCH|SIGNAL).+UNKNOWN)" - &gt;&gt; 2017-02-24-UncaughtWiMAX.txt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464</v>
      </c>
      <c r="B109" s="7">
        <v>4051</v>
      </c>
      <c r="C109" s="21" t="s">
        <v>280</v>
      </c>
      <c r="D109" s="21" t="s">
        <v>711</v>
      </c>
      <c r="E109" s="13">
        <v>42790.653599537036</v>
      </c>
      <c r="F109" s="13">
        <v>42790.656458333331</v>
      </c>
      <c r="G109" s="7">
        <v>1</v>
      </c>
      <c r="H109" s="21" t="s">
        <v>712</v>
      </c>
      <c r="I109" s="13">
        <v>42790.68241898148</v>
      </c>
      <c r="J109" s="7">
        <v>1</v>
      </c>
      <c r="K109" s="98" t="str">
        <f t="shared" si="36"/>
        <v>4051/4052</v>
      </c>
      <c r="L109" s="21" t="str">
        <f>VLOOKUP(A109,'Trips&amp;Operators'!$C$1:$G$99999,5,FALSE)</f>
        <v>KILLION DAVID</v>
      </c>
      <c r="M109" s="6">
        <f t="shared" si="37"/>
        <v>2.5960648148611654E-2</v>
      </c>
      <c r="N109" s="7">
        <f t="shared" si="38"/>
        <v>37.383333334000781</v>
      </c>
      <c r="O109" s="7"/>
      <c r="P109" s="7"/>
      <c r="Q109" s="22"/>
      <c r="R109" s="22"/>
      <c r="S109" s="31">
        <f t="shared" si="39"/>
        <v>1</v>
      </c>
      <c r="T109" s="46" t="str">
        <f t="shared" si="40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41"/>
        <v>https://d0f6bd738d7f1b3e5a7ca70fe4ff75f0.us-east-1.aws.found.io/app/kibana#/discover/Steve-Slow-Train-Analysis-(2080s-and-2083s)?_g=(refreshInterval:(display:Off,pause:!f,section:0,value:0),time:(from:'2017-02-24T14:41:11-0700',mode:absolute,to:'2017-02-24T17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9" s="187" t="str">
        <f t="shared" si="42"/>
        <v>N</v>
      </c>
      <c r="X109" s="187">
        <f t="shared" si="43"/>
        <v>1</v>
      </c>
      <c r="Y109" s="62">
        <f t="shared" si="44"/>
        <v>4.1500000000000002E-2</v>
      </c>
      <c r="Z109" s="62">
        <f t="shared" si="45"/>
        <v>23.328800000000001</v>
      </c>
      <c r="AA109" s="62">
        <f t="shared" si="46"/>
        <v>23.287300000000002</v>
      </c>
      <c r="AB109" s="59" t="str">
        <f>VLOOKUP(A109,Enforcements!$C$7:$K$13,8,0)</f>
        <v>Bulletin (2)</v>
      </c>
      <c r="AC109" s="55" t="str">
        <f>VLOOKUP(A109,Enforcements!$C$7:$E$13,3,0)</f>
        <v>GRADE CROSSING</v>
      </c>
      <c r="AD109" s="56" t="str">
        <f t="shared" si="47"/>
        <v>0197-24</v>
      </c>
      <c r="AE109" s="85" t="str">
        <f t="shared" si="48"/>
        <v>aws s3 cp s3://rtdc.mdm.uploadarchive.raw/RTDC4051/ "%USERPROFILE%\AppData\Local\Temp\OnboardLogs"\RTDC4051\2017-02-24 --exclude "*" --recursive --include "*20170224*" &amp; "%USERPROFILE%\Documents\GitHub\mrs-test-scripts\Headless Mode &amp; Sideloading\WalkAndUnGZ.bat" "%USERPROFILE%\AppData\Local\Temp\OnboardLogs"\RTDC4051\2017-02-24 &amp; 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</v>
      </c>
      <c r="AF109" s="82" t="str">
        <f t="shared" si="49"/>
        <v>"C:\Program Files (x86)\AstroGrep\AstroGrep.exe" /spath="%USERPROFILE%\AppData\Local\Temp\OnboardLogs" /stypes="app*4051*20170224*" /stext=" 23:.+((SYSTEM_STATE.+slice.+state.+changed )|(ment ac)|(multiple cpu faults)|(system.+state.+changed )|(\[timeout)|(PRM\|1\|D)|(kpr)|(kdp)|(\|lc)|(penalty))" /e /r /s</v>
      </c>
      <c r="AG109" s="1" t="str">
        <f t="shared" si="50"/>
        <v>EC</v>
      </c>
      <c r="AH109" s="86" t="str">
        <f t="shared" si="51"/>
        <v>"%USERPROFILE%\Documents\GitHub\eaglep3\Utilities\RefineRTDCRunTimes.py" --tripid 197-24 --locoid 4051 --swversion DE.1.0.9.0 --startMP 204:415 --initTime 2017-02-24T15:41:11 --startdatetime 2017-02-24T15:45:18 --delay 1 --endMP 204:233288 --enddatetime 2017-02-24T16:22:41 --enforcementcount 1 &gt;&gt;C:\Users\stu\Documents\GitHub\eaglep3-reporting\EC\2017-02-24-refined-times.txt</v>
      </c>
      <c r="AI109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{"issue":{"subject":"","project_id":79,"tracker_id":40,"status_id":1,"priority_id":2,"assigned_to_id":23,"start_date":"2017-02-24","description":"","custom_fields":[{"id":1,"name":"Subdivision","value":"EC"},{"id":4,"name":"Milepost","value":"23.3288"},{"id":17,"name":"Train ID","value":"197-24"},{"id":16,"name":"Locomotive ID","value":"4051"},{"id":130,"name":"Impact","value":""},{"id":150,"name":"Time of Event (Mountain Time)","value":"16:22:41"},{"id":151,"name":"Denver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53"/>
        <v>start /low /b %USERPROFILE%\Documents\GitHub\eaglep3\Utilities\DownloadLogsFromS3.py --loco 4051 --day 2017-02-24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"%USERPROFILE%\AppData\Local\Temp\OnboardLogs"\RTDC4051\*4051*20170224* | grep -SE "(Enforcement Action)|(\[TIMEOUT)|(CHR.+\|PRM\|1\|D.+(SWITCH|SIGNAL).+UNKNOWN)" - &gt;&gt; 2017-02-24-UncaughtWiMAX.txt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465</v>
      </c>
      <c r="B110" s="7">
        <v>4052</v>
      </c>
      <c r="C110" s="21" t="s">
        <v>280</v>
      </c>
      <c r="D110" s="21" t="s">
        <v>385</v>
      </c>
      <c r="E110" s="13">
        <v>42790.690335648149</v>
      </c>
      <c r="F110" s="13">
        <v>42790.695324074077</v>
      </c>
      <c r="G110" s="7">
        <v>1</v>
      </c>
      <c r="H110" s="21" t="s">
        <v>314</v>
      </c>
      <c r="I110" s="13">
        <v>42790.724305555559</v>
      </c>
      <c r="J110" s="7">
        <v>1</v>
      </c>
      <c r="K110" s="98" t="str">
        <f t="shared" si="36"/>
        <v>4051/4052</v>
      </c>
      <c r="L110" s="21" t="str">
        <f>VLOOKUP(A110,'Trips&amp;Operators'!$C$1:$G$99999,5,FALSE)</f>
        <v>KILLION DAVID</v>
      </c>
      <c r="M110" s="6">
        <f t="shared" si="37"/>
        <v>2.8981481482333038E-2</v>
      </c>
      <c r="N110" s="7">
        <f t="shared" si="38"/>
        <v>41.733333334559575</v>
      </c>
      <c r="O110" s="7"/>
      <c r="P110" s="7"/>
      <c r="Q110" s="22"/>
      <c r="R110" s="22"/>
      <c r="S110" s="31">
        <f t="shared" si="39"/>
        <v>1</v>
      </c>
      <c r="T110" s="46" t="str">
        <f t="shared" si="40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41"/>
        <v>https://d0f6bd738d7f1b3e5a7ca70fe4ff75f0.us-east-1.aws.found.io/app/kibana#/discover/Steve-Slow-Train-Analysis-(2080s-and-2083s)?_g=(refreshInterval:(display:Off,pause:!f,section:0,value:0),time:(from:'2017-02-24T15:34:05-0700',mode:absolute,to:'2017-02-24T18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0" s="187" t="str">
        <f t="shared" si="42"/>
        <v>N</v>
      </c>
      <c r="X110" s="187">
        <f t="shared" si="43"/>
        <v>1</v>
      </c>
      <c r="Y110" s="62">
        <f t="shared" si="44"/>
        <v>23.295200000000001</v>
      </c>
      <c r="Z110" s="62">
        <f t="shared" si="45"/>
        <v>1.67E-2</v>
      </c>
      <c r="AA110" s="62">
        <f t="shared" si="46"/>
        <v>23.278500000000001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47"/>
        <v>0198-24</v>
      </c>
      <c r="AE110" s="85" t="str">
        <f t="shared" si="48"/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AF110" s="82" t="str">
        <f t="shared" si="49"/>
        <v>"C:\Program Files (x86)\AstroGrep\AstroGrep.exe" /spath="%USERPROFILE%\AppData\Local\Temp\OnboardLogs" /stypes="app*4052*20170225*" /stext=" 00:.+((SYSTEM_STATE.+slice.+state.+changed )|(ment ac)|(multiple cpu faults)|(system.+state.+changed )|(\[timeout)|(PRM\|1\|D)|(kpr)|(kdp)|(\|lc)|(penalty))" /e /r /s</v>
      </c>
      <c r="AG110" s="1" t="str">
        <f t="shared" si="50"/>
        <v>EC</v>
      </c>
      <c r="AH110" s="86" t="str">
        <f t="shared" si="51"/>
        <v>"%USERPROFILE%\Documents\GitHub\eaglep3\Utilities\RefineRTDCRunTimes.py" --tripid 198-24 --locoid 4052 --swversion DE.1.0.9.0 --startMP 204:232952 --initTime 2017-02-24T16:34:05 --startdatetime 2017-02-24T16:41:16 --delay 1 --endMP 204:167 --enddatetime 2017-02-24T17:23:00 --enforcementcount 1 &gt;&gt;C:\Users\stu\Documents\GitHub\eaglep3-reporting\EC\2017-02-24-refined-times.txt</v>
      </c>
      <c r="AI110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{"issue":{"subject":"","project_id":79,"tracker_id":40,"status_id":1,"priority_id":2,"assigned_to_id":23,"start_date":"2017-02-24","description":"","custom_fields":[{"id":1,"name":"Subdivision","value":"EC"},{"id":4,"name":"Milepost","value":"0.0167"},{"id":17,"name":"Train ID","value":"198-24"},{"id":16,"name":"Locomotive ID","value":"4052"},{"id":130,"name":"Impact","value":""},{"id":150,"name":"Time of Event (Mountain Time)","value":"17:23:00"},{"id":151,"name":"Denver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53"/>
        <v>start /low /b %USERPROFILE%\Documents\GitHub\eaglep3\Utilities\DownloadLogsFromS3.py --loco 4052 --day 2017-02-24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"%USERPROFILE%\AppData\Local\Temp\OnboardLogs"\RTDC4052\*4052*20170225* | grep -SE "(Enforcement Action)|(\[TIMEOUT)|(CHR.+\|PRM\|1\|D.+(SWITCH|SIGNAL).+UNKNOWN)" - &gt;&gt; 2017-02-24-UncaughtWiMAX.txt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599</v>
      </c>
      <c r="B111" s="7">
        <v>4031</v>
      </c>
      <c r="C111" s="21" t="s">
        <v>280</v>
      </c>
      <c r="D111" s="21" t="s">
        <v>282</v>
      </c>
      <c r="E111" s="13">
        <v>42790.66097222222</v>
      </c>
      <c r="F111" s="13">
        <v>42790.666805555556</v>
      </c>
      <c r="G111" s="7">
        <v>1</v>
      </c>
      <c r="H111" s="21" t="s">
        <v>300</v>
      </c>
      <c r="I111" s="13">
        <v>42790.691712962966</v>
      </c>
      <c r="J111" s="7">
        <v>1</v>
      </c>
      <c r="K111" s="98" t="str">
        <f t="shared" si="36"/>
        <v>4031/4032</v>
      </c>
      <c r="L111" s="21" t="str">
        <f>VLOOKUP(A111,'Trips&amp;Operators'!$C$1:$G$99999,5,FALSE)</f>
        <v>BRANNON JEFFREY</v>
      </c>
      <c r="M111" s="6">
        <f t="shared" si="37"/>
        <v>2.4907407409045845E-2</v>
      </c>
      <c r="N111" s="7">
        <f t="shared" si="38"/>
        <v>35.866666669026017</v>
      </c>
      <c r="O111" s="7"/>
      <c r="P111" s="7"/>
      <c r="Q111" s="22"/>
      <c r="R111" s="22"/>
      <c r="S111" s="31">
        <f t="shared" si="39"/>
        <v>1</v>
      </c>
      <c r="T111" s="46" t="str">
        <f t="shared" si="40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41"/>
        <v>https://d0f6bd738d7f1b3e5a7ca70fe4ff75f0.us-east-1.aws.found.io/app/kibana#/discover/Steve-Slow-Train-Analysis-(2080s-and-2083s)?_g=(refreshInterval:(display:Off,pause:!f,section:0,value:0),time:(from:'2017-02-24T14:51:48-0700',mode:absolute,to:'2017-02-24T17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1" s="187" t="str">
        <f t="shared" si="42"/>
        <v>N</v>
      </c>
      <c r="X111" s="187">
        <f t="shared" si="43"/>
        <v>1</v>
      </c>
      <c r="Y111" s="62">
        <f t="shared" si="44"/>
        <v>4.58E-2</v>
      </c>
      <c r="Z111" s="62">
        <f t="shared" si="45"/>
        <v>23.331399999999999</v>
      </c>
      <c r="AA111" s="62">
        <f t="shared" si="46"/>
        <v>23.285599999999999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47"/>
        <v>0199-24</v>
      </c>
      <c r="AE111" s="85" t="str">
        <f t="shared" si="48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111" s="82" t="str">
        <f t="shared" si="49"/>
        <v>"C:\Program Files (x86)\AstroGrep\AstroGrep.exe" /spath="%USERPROFILE%\AppData\Local\Temp\OnboardLogs" /stypes="app*4031*20170224*" /stext=" 23:.+((SYSTEM_STATE.+slice.+state.+changed )|(ment ac)|(multiple cpu faults)|(system.+state.+changed )|(\[timeout)|(PRM\|1\|D)|(kpr)|(kdp)|(\|lc)|(penalty))" /e /r /s</v>
      </c>
      <c r="AG111" s="1" t="str">
        <f t="shared" si="50"/>
        <v>EC</v>
      </c>
      <c r="AH111" s="86" t="str">
        <f t="shared" si="51"/>
        <v>"%USERPROFILE%\Documents\GitHub\eaglep3\Utilities\RefineRTDCRunTimes.py" --tripid 199-24 --locoid 4031 --swversion DE.1.0.9.0 --startMP 204:458 --initTime 2017-02-24T15:51:48 --startdatetime 2017-02-24T16:00:12 --delay 1 --endMP 204:233314 --enddatetime 2017-02-24T16:36:04 --enforcementcount 1 &gt;&gt;C:\Users\stu\Documents\GitHub\eaglep3-reporting\EC\2017-02-24-refined-times.txt</v>
      </c>
      <c r="AI111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{"issue":{"subject":"","project_id":79,"tracker_id":40,"status_id":1,"priority_id":2,"assigned_to_id":23,"start_date":"2017-02-24","description":"","custom_fields":[{"id":1,"name":"Subdivision","value":"EC"},{"id":4,"name":"Milepost","value":"23.3314"},{"id":17,"name":"Train ID","value":"199-24"},{"id":16,"name":"Locomotive ID","value":"4031"},{"id":130,"name":"Impact","value":""},{"id":150,"name":"Time of Event (Mountain Time)","value":"16:36:04"},{"id":151,"name":"Denver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53"/>
        <v>start /low /b %USERPROFILE%\Documents\GitHub\eaglep3\Utilities\DownloadLogsFromS3.py --loco 4031 --day 2017-02-24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"%USERPROFILE%\AppData\Local\Temp\OnboardLogs"\RTDC4031\*4031*20170224* | grep -SE "(Enforcement Action)|(\[TIMEOUT)|(CHR.+\|PRM\|1\|D.+(SWITCH|SIGNAL).+UNKNOWN)" - &gt;&gt; 2017-02-24-UncaughtWiMAX.txt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611</v>
      </c>
      <c r="B112" s="7">
        <v>4032</v>
      </c>
      <c r="C112" s="21" t="s">
        <v>280</v>
      </c>
      <c r="D112" s="21" t="s">
        <v>251</v>
      </c>
      <c r="E112" s="13">
        <v>42790.700381944444</v>
      </c>
      <c r="F112" s="13">
        <v>42790.705717592595</v>
      </c>
      <c r="G112" s="7">
        <v>1</v>
      </c>
      <c r="H112" s="21" t="s">
        <v>211</v>
      </c>
      <c r="I112" s="13">
        <v>42790.733124999999</v>
      </c>
      <c r="J112" s="7">
        <v>1</v>
      </c>
      <c r="K112" s="98" t="str">
        <f t="shared" si="36"/>
        <v>4031/4032</v>
      </c>
      <c r="L112" s="21" t="str">
        <f>VLOOKUP(A112,'Trips&amp;Operators'!$C$1:$G$99999,5,FALSE)</f>
        <v>BRANNON JEFFREY</v>
      </c>
      <c r="M112" s="6">
        <f t="shared" si="37"/>
        <v>2.7407407404098194E-2</v>
      </c>
      <c r="N112" s="7">
        <f t="shared" si="38"/>
        <v>39.466666661901399</v>
      </c>
      <c r="O112" s="7"/>
      <c r="P112" s="7"/>
      <c r="Q112" s="22"/>
      <c r="R112" s="22"/>
      <c r="S112" s="31">
        <f t="shared" si="39"/>
        <v>1</v>
      </c>
      <c r="T112" s="46" t="str">
        <f t="shared" si="40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41"/>
        <v>https://d0f6bd738d7f1b3e5a7ca70fe4ff75f0.us-east-1.aws.found.io/app/kibana#/discover/Steve-Slow-Train-Analysis-(2080s-and-2083s)?_g=(refreshInterval:(display:Off,pause:!f,section:0,value:0),time:(from:'2017-02-24T15:48:33-0700',mode:absolute,to:'2017-02-24T18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2" s="187" t="str">
        <f t="shared" si="42"/>
        <v>N</v>
      </c>
      <c r="X112" s="187">
        <f t="shared" si="43"/>
        <v>1</v>
      </c>
      <c r="Y112" s="62">
        <f t="shared" si="44"/>
        <v>23.299600000000002</v>
      </c>
      <c r="Z112" s="62">
        <f t="shared" si="45"/>
        <v>1.54E-2</v>
      </c>
      <c r="AA112" s="62">
        <f t="shared" si="46"/>
        <v>23.284200000000002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47"/>
        <v>0200-24</v>
      </c>
      <c r="AE112" s="85" t="str">
        <f t="shared" si="48"/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AF112" s="82" t="str">
        <f t="shared" si="49"/>
        <v>"C:\Program Files (x86)\AstroGrep\AstroGrep.exe" /spath="%USERPROFILE%\AppData\Local\Temp\OnboardLogs" /stypes="app*4032*20170225*" /stext=" 00:.+((SYSTEM_STATE.+slice.+state.+changed )|(ment ac)|(multiple cpu faults)|(system.+state.+changed )|(\[timeout)|(PRM\|1\|D)|(kpr)|(kdp)|(\|lc)|(penalty))" /e /r /s</v>
      </c>
      <c r="AG112" s="1" t="str">
        <f t="shared" si="50"/>
        <v>EC</v>
      </c>
      <c r="AH112" s="86" t="str">
        <f t="shared" si="51"/>
        <v>"%USERPROFILE%\Documents\GitHub\eaglep3\Utilities\RefineRTDCRunTimes.py" --tripid 200-24 --locoid 4032 --swversion DE.1.0.9.0 --startMP 204:232996 --initTime 2017-02-24T16:48:33 --startdatetime 2017-02-24T16:56:14 --delay 1 --endMP 204:154 --enddatetime 2017-02-24T17:35:42 --enforcementcount 1 &gt;&gt;C:\Users\stu\Documents\GitHub\eaglep3-reporting\EC\2017-02-24-refined-times.txt</v>
      </c>
      <c r="AI112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{"issue":{"subject":"","project_id":79,"tracker_id":40,"status_id":1,"priority_id":2,"assigned_to_id":23,"start_date":"2017-02-24","description":"","custom_fields":[{"id":1,"name":"Subdivision","value":"EC"},{"id":4,"name":"Milepost","value":"0.0154"},{"id":17,"name":"Train ID","value":"200-24"},{"id":16,"name":"Locomotive ID","value":"4032"},{"id":130,"name":"Impact","value":""},{"id":150,"name":"Time of Event (Mountain Time)","value":"17:35:42"},{"id":151,"name":"Denver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53"/>
        <v>start /low /b %USERPROFILE%\Documents\GitHub\eaglep3\Utilities\DownloadLogsFromS3.py --loco 4032 --day 2017-02-24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"%USERPROFILE%\AppData\Local\Temp\OnboardLogs"\RTDC4032\*4032*20170225* | grep -SE "(Enforcement Action)|(\[TIMEOUT)|(CHR.+\|PRM\|1\|D.+(SWITCH|SIGNAL).+UNKNOWN)" - &gt;&gt; 2017-02-24-UncaughtWiMAX.txt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605</v>
      </c>
      <c r="B113" s="7">
        <v>4044</v>
      </c>
      <c r="C113" s="21" t="s">
        <v>280</v>
      </c>
      <c r="D113" s="21" t="s">
        <v>222</v>
      </c>
      <c r="E113" s="13">
        <v>42790.67633101852</v>
      </c>
      <c r="F113" s="13">
        <v>42790.677800925929</v>
      </c>
      <c r="G113" s="7">
        <v>1</v>
      </c>
      <c r="H113" s="21" t="s">
        <v>244</v>
      </c>
      <c r="I113" s="13">
        <v>42790.703587962962</v>
      </c>
      <c r="J113" s="7">
        <v>1</v>
      </c>
      <c r="K113" s="98" t="str">
        <f t="shared" si="36"/>
        <v>4043/4044</v>
      </c>
      <c r="L113" s="21" t="str">
        <f>VLOOKUP(A113,'Trips&amp;Operators'!$C$1:$G$99999,5,FALSE)</f>
        <v>BRANDNER MELINDA</v>
      </c>
      <c r="M113" s="6">
        <f t="shared" si="37"/>
        <v>2.5787037033296656E-2</v>
      </c>
      <c r="N113" s="7">
        <f t="shared" si="38"/>
        <v>37.133333327947184</v>
      </c>
      <c r="O113" s="7"/>
      <c r="P113" s="7"/>
      <c r="Q113" s="22"/>
      <c r="R113" s="22"/>
      <c r="S113" s="31">
        <f t="shared" si="39"/>
        <v>1</v>
      </c>
      <c r="T113" s="46" t="str">
        <f t="shared" si="40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41"/>
        <v>https://d0f6bd738d7f1b3e5a7ca70fe4ff75f0.us-east-1.aws.found.io/app/kibana#/discover/Steve-Slow-Train-Analysis-(2080s-and-2083s)?_g=(refreshInterval:(display:Off,pause:!f,section:0,value:0),time:(from:'2017-02-24T15:13:55-0700',mode:absolute,to:'2017-02-24T17:53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3" s="187" t="str">
        <f t="shared" si="42"/>
        <v>N</v>
      </c>
      <c r="X113" s="187">
        <f t="shared" si="43"/>
        <v>1</v>
      </c>
      <c r="Y113" s="62">
        <f t="shared" si="44"/>
        <v>4.5699999999999998E-2</v>
      </c>
      <c r="Z113" s="62">
        <f t="shared" si="45"/>
        <v>23.3293</v>
      </c>
      <c r="AA113" s="62">
        <f t="shared" si="46"/>
        <v>23.2836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47"/>
        <v>0201-24</v>
      </c>
      <c r="AE113" s="85" t="str">
        <f t="shared" si="48"/>
        <v>aws s3 cp s3://rtdc.mdm.uploadarchive.raw/RTDC4044/ "%USERPROFILE%\AppData\Local\Temp\OnboardLogs"\RTDC4044\2017-02-24 --exclude "*" --recursive --include "*20170224*" &amp; "%USERPROFILE%\Documents\GitHub\mrs-test-scripts\Headless Mode &amp; Sideloading\WalkAndUnGZ.bat" "%USERPROFILE%\AppData\Local\Temp\OnboardLogs"\RTDC4044\2017-02-24 &amp; 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</v>
      </c>
      <c r="AF113" s="82" t="str">
        <f t="shared" si="49"/>
        <v>"C:\Program Files (x86)\AstroGrep\AstroGrep.exe" /spath="%USERPROFILE%\AppData\Local\Temp\OnboardLogs" /stypes="app*4044*20170224*" /stext=" 23:.+((SYSTEM_STATE.+slice.+state.+changed )|(ment ac)|(multiple cpu faults)|(system.+state.+changed )|(\[timeout)|(PRM\|1\|D)|(kpr)|(kdp)|(\|lc)|(penalty))" /e /r /s</v>
      </c>
      <c r="AG113" s="1" t="str">
        <f t="shared" si="50"/>
        <v>EC</v>
      </c>
      <c r="AH113" s="86" t="str">
        <f t="shared" si="51"/>
        <v>"%USERPROFILE%\Documents\GitHub\eaglep3\Utilities\RefineRTDCRunTimes.py" --tripid 201-24 --locoid 4044 --swversion DE.1.0.9.0 --startMP 204:457 --initTime 2017-02-24T16:13:55 --startdatetime 2017-02-24T16:16:02 --delay 1 --endMP 204:233293 --enddatetime 2017-02-24T16:53:10 --enforcementcount 1 &gt;&gt;C:\Users\stu\Documents\GitHub\eaglep3-reporting\EC\2017-02-24-refined-times.txt</v>
      </c>
      <c r="AI113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{"issue":{"subject":"","project_id":79,"tracker_id":40,"status_id":1,"priority_id":2,"assigned_to_id":23,"start_date":"2017-02-24","description":"","custom_fields":[{"id":1,"name":"Subdivision","value":"EC"},{"id":4,"name":"Milepost","value":"23.3293"},{"id":17,"name":"Train ID","value":"201-24"},{"id":16,"name":"Locomotive ID","value":"4044"},{"id":130,"name":"Impact","value":""},{"id":150,"name":"Time of Event (Mountain Time)","value":"16:53:10"},{"id":151,"name":"Denver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53"/>
        <v>start /low /b %USERPROFILE%\Documents\GitHub\eaglep3\Utilities\DownloadLogsFromS3.py --loco 4044 --day 2017-02-24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"%USERPROFILE%\AppData\Local\Temp\OnboardLogs"\RTDC4044\*4044*20170224* | grep -SE "(Enforcement Action)|(\[TIMEOUT)|(CHR.+\|PRM\|1\|D.+(SWITCH|SIGNAL).+UNKNOWN)" - &gt;&gt; 2017-02-24-UncaughtWiMAX.txt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613</v>
      </c>
      <c r="B114" s="7">
        <v>4043</v>
      </c>
      <c r="C114" s="21" t="s">
        <v>280</v>
      </c>
      <c r="D114" s="21" t="s">
        <v>268</v>
      </c>
      <c r="E114" s="13">
        <v>42790.706400462965</v>
      </c>
      <c r="F114" s="13">
        <v>42790.716319444444</v>
      </c>
      <c r="G114" s="7">
        <v>1</v>
      </c>
      <c r="H114" s="21" t="s">
        <v>194</v>
      </c>
      <c r="I114" s="13">
        <v>42790.744745370372</v>
      </c>
      <c r="J114" s="7">
        <v>1</v>
      </c>
      <c r="K114" s="98" t="str">
        <f t="shared" si="36"/>
        <v>4043/4044</v>
      </c>
      <c r="L114" s="21" t="str">
        <f>VLOOKUP(A114,'Trips&amp;Operators'!$C$1:$G$99999,5,FALSE)</f>
        <v>BRANDNER MELINDA</v>
      </c>
      <c r="M114" s="6">
        <f t="shared" si="37"/>
        <v>2.842592592787696E-2</v>
      </c>
      <c r="N114" s="7">
        <f t="shared" si="38"/>
        <v>40.933333336142823</v>
      </c>
      <c r="O114" s="7"/>
      <c r="P114" s="7"/>
      <c r="Q114" s="22"/>
      <c r="R114" s="22"/>
      <c r="S114" s="31">
        <f t="shared" si="39"/>
        <v>1</v>
      </c>
      <c r="T114" s="46" t="str">
        <f t="shared" si="40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41"/>
        <v>https://d0f6bd738d7f1b3e5a7ca70fe4ff75f0.us-east-1.aws.found.io/app/kibana#/discover/Steve-Slow-Train-Analysis-(2080s-and-2083s)?_g=(refreshInterval:(display:Off,pause:!f,section:0,value:0),time:(from:'2017-02-24T15:57:13-0700',mode:absolute,to:'2017-02-24T18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4" s="187" t="str">
        <f t="shared" si="42"/>
        <v>N</v>
      </c>
      <c r="X114" s="187">
        <f t="shared" si="43"/>
        <v>1</v>
      </c>
      <c r="Y114" s="62">
        <f t="shared" si="44"/>
        <v>23.2973</v>
      </c>
      <c r="Z114" s="62">
        <f t="shared" si="45"/>
        <v>1.4999999999999999E-2</v>
      </c>
      <c r="AA114" s="62">
        <f t="shared" si="46"/>
        <v>23.282299999999999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47"/>
        <v>0202-24</v>
      </c>
      <c r="AE114" s="85" t="str">
        <f t="shared" si="48"/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AF114" s="82" t="str">
        <f t="shared" si="49"/>
        <v>"C:\Program Files (x86)\AstroGrep\AstroGrep.exe" /spath="%USERPROFILE%\AppData\Local\Temp\OnboardLogs" /stypes="app*4043*20170225*" /stext=" 00:.+((SYSTEM_STATE.+slice.+state.+changed )|(ment ac)|(multiple cpu faults)|(system.+state.+changed )|(\[timeout)|(PRM\|1\|D)|(kpr)|(kdp)|(\|lc)|(penalty))" /e /r /s</v>
      </c>
      <c r="AG114" s="1" t="str">
        <f t="shared" si="50"/>
        <v>EC</v>
      </c>
      <c r="AH114" s="86" t="str">
        <f t="shared" si="51"/>
        <v>"%USERPROFILE%\Documents\GitHub\eaglep3\Utilities\RefineRTDCRunTimes.py" --tripid 202-24 --locoid 4043 --swversion DE.1.0.9.0 --startMP 204:232973 --initTime 2017-02-24T16:57:13 --startdatetime 2017-02-24T17:11:30 --delay 1 --endMP 204:150 --enddatetime 2017-02-24T17:52:26 --enforcementcount 1 &gt;&gt;C:\Users\stu\Documents\GitHub\eaglep3-reporting\EC\2017-02-24-refined-times.txt</v>
      </c>
      <c r="AI114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{"issue":{"subject":"","project_id":79,"tracker_id":40,"status_id":1,"priority_id":2,"assigned_to_id":23,"start_date":"2017-02-24","description":"","custom_fields":[{"id":1,"name":"Subdivision","value":"EC"},{"id":4,"name":"Milepost","value":"0.015"},{"id":17,"name":"Train ID","value":"202-24"},{"id":16,"name":"Locomotive ID","value":"4043"},{"id":130,"name":"Impact","value":""},{"id":150,"name":"Time of Event (Mountain Time)","value":"17:52:26"},{"id":151,"name":"Denver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53"/>
        <v>start /low /b %USERPROFILE%\Documents\GitHub\eaglep3\Utilities\DownloadLogsFromS3.py --loco 4043 --day 2017-02-24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"%USERPROFILE%\AppData\Local\Temp\OnboardLogs"\RTDC4043\*4043*20170225* | grep -SE "(Enforcement Action)|(\[TIMEOUT)|(CHR.+\|PRM\|1\|D.+(SWITCH|SIGNAL).+UNKNOWN)" - &gt;&gt; 2017-02-24-UncaughtWiMAX.txt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607</v>
      </c>
      <c r="B115" s="7">
        <v>4022</v>
      </c>
      <c r="C115" s="21" t="s">
        <v>280</v>
      </c>
      <c r="D115" s="21" t="s">
        <v>240</v>
      </c>
      <c r="E115" s="13">
        <v>42790.683344907404</v>
      </c>
      <c r="F115" s="13">
        <v>42790.687951388885</v>
      </c>
      <c r="G115" s="7">
        <v>1</v>
      </c>
      <c r="H115" s="21" t="s">
        <v>713</v>
      </c>
      <c r="I115" s="13">
        <v>42790.714212962965</v>
      </c>
      <c r="J115" s="7">
        <v>1</v>
      </c>
      <c r="K115" s="98" t="str">
        <f t="shared" si="36"/>
        <v>4021/4022</v>
      </c>
      <c r="L115" s="21" t="str">
        <f>VLOOKUP(A115,'Trips&amp;Operators'!$C$1:$G$99999,5,FALSE)</f>
        <v>DELGADO DIANAH</v>
      </c>
      <c r="M115" s="6">
        <f t="shared" si="37"/>
        <v>2.6261574079398997E-2</v>
      </c>
      <c r="N115" s="7">
        <f t="shared" si="38"/>
        <v>37.816666674334556</v>
      </c>
      <c r="O115" s="7"/>
      <c r="P115" s="7"/>
      <c r="Q115" s="22"/>
      <c r="R115" s="22"/>
      <c r="S115" s="31">
        <f t="shared" si="39"/>
        <v>1</v>
      </c>
      <c r="T115" s="46" t="str">
        <f t="shared" si="40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41"/>
        <v>https://d0f6bd738d7f1b3e5a7ca70fe4ff75f0.us-east-1.aws.found.io/app/kibana#/discover/Steve-Slow-Train-Analysis-(2080s-and-2083s)?_g=(refreshInterval:(display:Off,pause:!f,section:0,value:0),time:(from:'2017-02-24T15:24:01-0700',mode:absolute,to:'2017-02-24T18:08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5" s="187" t="str">
        <f t="shared" si="42"/>
        <v>N</v>
      </c>
      <c r="X115" s="187">
        <f t="shared" si="43"/>
        <v>1</v>
      </c>
      <c r="Y115" s="62">
        <f t="shared" si="44"/>
        <v>4.4600000000000001E-2</v>
      </c>
      <c r="Z115" s="62">
        <f t="shared" si="45"/>
        <v>23.3323</v>
      </c>
      <c r="AA115" s="62">
        <f t="shared" si="46"/>
        <v>23.287700000000001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47"/>
        <v>0203-24</v>
      </c>
      <c r="AE115" s="85" t="str">
        <f t="shared" si="48"/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AF115" s="82" t="str">
        <f t="shared" si="49"/>
        <v>"C:\Program Files (x86)\AstroGrep\AstroGrep.exe" /spath="%USERPROFILE%\AppData\Local\Temp\OnboardLogs" /stypes="app*4022*20170225*" /stext=" 00:.+((SYSTEM_STATE.+slice.+state.+changed )|(ment ac)|(multiple cpu faults)|(system.+state.+changed )|(\[timeout)|(PRM\|1\|D)|(kpr)|(kdp)|(\|lc)|(penalty))" /e /r /s</v>
      </c>
      <c r="AG115" s="1" t="str">
        <f t="shared" si="50"/>
        <v>EC</v>
      </c>
      <c r="AH115" s="86" t="str">
        <f t="shared" si="51"/>
        <v>"%USERPROFILE%\Documents\GitHub\eaglep3\Utilities\RefineRTDCRunTimes.py" --tripid 203-24 --locoid 4022 --swversion DE.1.0.9.0 --startMP 204:446 --initTime 2017-02-24T16:24:01 --startdatetime 2017-02-24T16:30:39 --delay 1 --endMP 204:233323 --enddatetime 2017-02-24T17:08:28 --enforcementcount 1 &gt;&gt;C:\Users\stu\Documents\GitHub\eaglep3-reporting\EC\2017-02-24-refined-times.txt</v>
      </c>
      <c r="AI115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{"issue":{"subject":"","project_id":79,"tracker_id":40,"status_id":1,"priority_id":2,"assigned_to_id":23,"start_date":"2017-02-24","description":"","custom_fields":[{"id":1,"name":"Subdivision","value":"EC"},{"id":4,"name":"Milepost","value":"23.3323"},{"id":17,"name":"Train ID","value":"203-24"},{"id":16,"name":"Locomotive ID","value":"4022"},{"id":130,"name":"Impact","value":""},{"id":150,"name":"Time of Event (Mountain Time)","value":"17:08:28"},{"id":151,"name":"Denver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53"/>
        <v>start /low /b %USERPROFILE%\Documents\GitHub\eaglep3\Utilities\DownloadLogsFromS3.py --loco 4022 --day 2017-02-24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"%USERPROFILE%\AppData\Local\Temp\OnboardLogs"\RTDC4022\*4022*20170224* | grep -SE "(Enforcement Action)|(\[TIMEOUT)|(CHR.+\|PRM\|1\|D.+(SWITCH|SIGNAL).+UNKNOWN)" - &gt;&gt; 2017-02-24-UncaughtWiMAX.txt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617</v>
      </c>
      <c r="B116" s="7">
        <v>4021</v>
      </c>
      <c r="C116" s="21" t="s">
        <v>280</v>
      </c>
      <c r="D116" s="21" t="s">
        <v>264</v>
      </c>
      <c r="E116" s="13">
        <v>42790.717303240737</v>
      </c>
      <c r="F116" s="13">
        <v>42790.7266087963</v>
      </c>
      <c r="G116" s="7">
        <v>1</v>
      </c>
      <c r="H116" s="21" t="s">
        <v>250</v>
      </c>
      <c r="I116" s="13">
        <v>42790.753310185188</v>
      </c>
      <c r="J116" s="7">
        <v>1</v>
      </c>
      <c r="K116" s="98" t="str">
        <f t="shared" si="36"/>
        <v>4021/4022</v>
      </c>
      <c r="L116" s="21" t="str">
        <f>VLOOKUP(A116,'Trips&amp;Operators'!$C$1:$G$99999,5,FALSE)</f>
        <v>DELGADO DIANAH</v>
      </c>
      <c r="M116" s="6">
        <f t="shared" si="37"/>
        <v>2.6701388887886424E-2</v>
      </c>
      <c r="N116" s="7">
        <f t="shared" si="38"/>
        <v>38.44999999855645</v>
      </c>
      <c r="O116" s="7"/>
      <c r="P116" s="7"/>
      <c r="Q116" s="22"/>
      <c r="R116" s="22"/>
      <c r="S116" s="31">
        <f t="shared" si="39"/>
        <v>1</v>
      </c>
      <c r="T116" s="46" t="str">
        <f t="shared" si="40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41"/>
        <v>https://d0f6bd738d7f1b3e5a7ca70fe4ff75f0.us-east-1.aws.found.io/app/kibana#/discover/Steve-Slow-Train-Analysis-(2080s-and-2083s)?_g=(refreshInterval:(display:Off,pause:!f,section:0,value:0),time:(from:'2017-02-24T16:12:55-0700',mode:absolute,to:'2017-02-24T19:04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6" s="187" t="str">
        <f t="shared" si="42"/>
        <v>N</v>
      </c>
      <c r="X116" s="187">
        <f t="shared" si="43"/>
        <v>1</v>
      </c>
      <c r="Y116" s="62">
        <f t="shared" si="44"/>
        <v>23.298500000000001</v>
      </c>
      <c r="Z116" s="62">
        <f t="shared" si="45"/>
        <v>1.41E-2</v>
      </c>
      <c r="AA116" s="62">
        <f t="shared" si="46"/>
        <v>23.284400000000002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47"/>
        <v>0204-24</v>
      </c>
      <c r="AE116" s="85" t="str">
        <f t="shared" si="48"/>
        <v>aws s3 cp s3://rtdc.mdm.uploadarchive.raw/RTDC4021/ "%USERPROFILE%\AppData\Local\Temp\OnboardLogs"\RTDC4021\2017-02-24 --exclude "*" --recursive --include "*20170224*" &amp; "%USERPROFILE%\Documents\GitHub\mrs-test-scripts\Headless Mode &amp; Sideloading\WalkAndUnGZ.bat" "%USERPROFILE%\AppData\Local\Temp\OnboardLogs"\RTDC4021\2017-02-24 &amp; 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</v>
      </c>
      <c r="AF116" s="82" t="str">
        <f t="shared" si="49"/>
        <v>"C:\Program Files (x86)\AstroGrep\AstroGrep.exe" /spath="%USERPROFILE%\AppData\Local\Temp\OnboardLogs" /stypes="app*4021*20170225*" /stext=" 01:.+((SYSTEM_STATE.+slice.+state.+changed )|(ment ac)|(multiple cpu faults)|(system.+state.+changed )|(\[timeout)|(PRM\|1\|D)|(kpr)|(kdp)|(\|lc)|(penalty))" /e /r /s</v>
      </c>
      <c r="AG116" s="1" t="str">
        <f t="shared" si="50"/>
        <v>EC</v>
      </c>
      <c r="AH116" s="86" t="str">
        <f t="shared" si="51"/>
        <v>"%USERPROFILE%\Documents\GitHub\eaglep3\Utilities\RefineRTDCRunTimes.py" --tripid 204-24 --locoid 4021 --swversion DE.1.0.9.0 --startMP 204:232985 --initTime 2017-02-24T17:12:55 --startdatetime 2017-02-24T17:26:19 --delay 1 --endMP 204:141 --enddatetime 2017-02-24T18:04:46 --enforcementcount 1 &gt;&gt;C:\Users\stu\Documents\GitHub\eaglep3-reporting\EC\2017-02-24-refined-times.txt</v>
      </c>
      <c r="AI116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{"issue":{"subject":"","project_id":79,"tracker_id":40,"status_id":1,"priority_id":2,"assigned_to_id":23,"start_date":"2017-02-24","description":"","custom_fields":[{"id":1,"name":"Subdivision","value":"EC"},{"id":4,"name":"Milepost","value":"0.0141"},{"id":17,"name":"Train ID","value":"204-24"},{"id":16,"name":"Locomotive ID","value":"4021"},{"id":130,"name":"Impact","value":""},{"id":150,"name":"Time of Event (Mountain Time)","value":"18:04:46"},{"id":151,"name":"Denver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53"/>
        <v>start /low /b %USERPROFILE%\Documents\GitHub\eaglep3\Utilities\DownloadLogsFromS3.py --loco 4021 --day 2017-02-24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"%USERPROFILE%\AppData\Local\Temp\OnboardLogs"\RTDC4021\*4021*20170225* | grep -SE "(Enforcement Action)|(\[TIMEOUT)|(CHR.+\|PRM\|1\|D.+(SWITCH|SIGNAL).+UNKNOWN)" - &gt;&gt; 2017-02-24-UncaughtWiMAX.txt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610</v>
      </c>
      <c r="B117" s="7">
        <v>4009</v>
      </c>
      <c r="C117" s="21" t="s">
        <v>280</v>
      </c>
      <c r="D117" s="21" t="s">
        <v>397</v>
      </c>
      <c r="E117" s="13">
        <v>42790.693981481483</v>
      </c>
      <c r="F117" s="13">
        <v>42790.698101851849</v>
      </c>
      <c r="G117" s="7">
        <v>1</v>
      </c>
      <c r="H117" s="21" t="s">
        <v>300</v>
      </c>
      <c r="I117" s="13">
        <v>42790.72488425926</v>
      </c>
      <c r="J117" s="7">
        <v>1</v>
      </c>
      <c r="K117" s="98" t="str">
        <f t="shared" si="36"/>
        <v>4009/4010</v>
      </c>
      <c r="L117" s="21" t="str">
        <f>VLOOKUP(A117,'Trips&amp;Operators'!$C$1:$G$99999,5,FALSE)</f>
        <v>CLARK KATHLEEN</v>
      </c>
      <c r="M117" s="6">
        <f t="shared" si="37"/>
        <v>2.6782407410792075E-2</v>
      </c>
      <c r="N117" s="7">
        <f t="shared" si="38"/>
        <v>38.566666671540588</v>
      </c>
      <c r="O117" s="7"/>
      <c r="P117" s="7"/>
      <c r="Q117" s="22"/>
      <c r="R117" s="22"/>
      <c r="S117" s="31">
        <f t="shared" si="39"/>
        <v>1</v>
      </c>
      <c r="T117" s="46" t="str">
        <f t="shared" si="40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41"/>
        <v>https://d0f6bd738d7f1b3e5a7ca70fe4ff75f0.us-east-1.aws.found.io/app/kibana#/discover/Steve-Slow-Train-Analysis-(2080s-and-2083s)?_g=(refreshInterval:(display:Off,pause:!f,section:0,value:0),time:(from:'2017-02-24T15:39:20-0700',mode:absolute,to:'2017-02-24T18:23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7" s="187" t="str">
        <f t="shared" si="42"/>
        <v>N</v>
      </c>
      <c r="X117" s="187">
        <f t="shared" si="43"/>
        <v>1</v>
      </c>
      <c r="Y117" s="62">
        <f t="shared" si="44"/>
        <v>4.7300000000000002E-2</v>
      </c>
      <c r="Z117" s="62">
        <f t="shared" si="45"/>
        <v>23.331399999999999</v>
      </c>
      <c r="AA117" s="62">
        <f t="shared" si="46"/>
        <v>23.284099999999999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47"/>
        <v>0205-24</v>
      </c>
      <c r="AE117" s="85" t="str">
        <f t="shared" si="48"/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AF117" s="82" t="str">
        <f t="shared" si="49"/>
        <v>"C:\Program Files (x86)\AstroGrep\AstroGrep.exe" /spath="%USERPROFILE%\AppData\Local\Temp\OnboardLogs" /stypes="app*4009*20170225*" /stext=" 00:.+((SYSTEM_STATE.+slice.+state.+changed )|(ment ac)|(multiple cpu faults)|(system.+state.+changed )|(\[timeout)|(PRM\|1\|D)|(kpr)|(kdp)|(\|lc)|(penalty))" /e /r /s</v>
      </c>
      <c r="AG117" s="1" t="str">
        <f t="shared" si="50"/>
        <v>EC</v>
      </c>
      <c r="AH117" s="86" t="str">
        <f t="shared" si="51"/>
        <v>"%USERPROFILE%\Documents\GitHub\eaglep3\Utilities\RefineRTDCRunTimes.py" --tripid 205-24 --locoid 4009 --swversion DE.1.0.9.0 --startMP 204:473 --initTime 2017-02-24T16:39:20 --startdatetime 2017-02-24T16:45:16 --delay 1 --endMP 204:233314 --enddatetime 2017-02-24T17:23:50 --enforcementcount 1 &gt;&gt;C:\Users\stu\Documents\GitHub\eaglep3-reporting\EC\2017-02-24-refined-times.txt</v>
      </c>
      <c r="AI117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{"issue":{"subject":"","project_id":79,"tracker_id":40,"status_id":1,"priority_id":2,"assigned_to_id":23,"start_date":"2017-02-24","description":"","custom_fields":[{"id":1,"name":"Subdivision","value":"EC"},{"id":4,"name":"Milepost","value":"23.3314"},{"id":17,"name":"Train ID","value":"205-24"},{"id":16,"name":"Locomotive ID","value":"4009"},{"id":130,"name":"Impact","value":""},{"id":150,"name":"Time of Event (Mountain Time)","value":"17:23:50"},{"id":151,"name":"Denver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53"/>
        <v>start /low /b %USERPROFILE%\Documents\GitHub\eaglep3\Utilities\DownloadLogsFromS3.py --loco 4009 --day 2017-02-24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"%USERPROFILE%\AppData\Local\Temp\OnboardLogs"\RTDC4009\*4009*20170225* | grep -SE "(Enforcement Action)|(\[TIMEOUT)|(CHR.+\|PRM\|1\|D.+(SWITCH|SIGNAL).+UNKNOWN)" - &gt;&gt; 2017-02-24-UncaughtWiMAX.txt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624</v>
      </c>
      <c r="B118" s="7">
        <v>4010</v>
      </c>
      <c r="C118" s="21" t="s">
        <v>280</v>
      </c>
      <c r="D118" s="21" t="s">
        <v>268</v>
      </c>
      <c r="E118" s="13">
        <v>42790.730324074073</v>
      </c>
      <c r="F118" s="13">
        <v>42790.736979166664</v>
      </c>
      <c r="G118" s="7">
        <v>1</v>
      </c>
      <c r="H118" s="21" t="s">
        <v>670</v>
      </c>
      <c r="I118" s="13">
        <v>42790.765150462961</v>
      </c>
      <c r="J118" s="7">
        <v>1</v>
      </c>
      <c r="K118" s="98" t="str">
        <f t="shared" si="36"/>
        <v>4009/4010</v>
      </c>
      <c r="L118" s="21" t="str">
        <f>VLOOKUP(A118,'Trips&amp;Operators'!$C$1:$G$99999,5,FALSE)</f>
        <v>CLARK KATHLEEN</v>
      </c>
      <c r="M118" s="6">
        <f t="shared" si="37"/>
        <v>2.8171296296932269E-2</v>
      </c>
      <c r="N118" s="7">
        <f t="shared" si="38"/>
        <v>40.566666667582467</v>
      </c>
      <c r="O118" s="7"/>
      <c r="P118" s="7"/>
      <c r="Q118" s="22"/>
      <c r="R118" s="22"/>
      <c r="S118" s="31">
        <f t="shared" si="39"/>
        <v>1</v>
      </c>
      <c r="T118" s="46" t="str">
        <f t="shared" si="40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41"/>
        <v>https://d0f6bd738d7f1b3e5a7ca70fe4ff75f0.us-east-1.aws.found.io/app/kibana#/discover/Steve-Slow-Train-Analysis-(2080s-and-2083s)?_g=(refreshInterval:(display:Off,pause:!f,section:0,value:0),time:(from:'2017-02-24T16:31:40-0700',mode:absolute,to:'2017-02-24T19:21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8" s="187" t="str">
        <f t="shared" si="42"/>
        <v>N</v>
      </c>
      <c r="X118" s="187">
        <f t="shared" si="43"/>
        <v>1</v>
      </c>
      <c r="Y118" s="62">
        <f t="shared" si="44"/>
        <v>23.2973</v>
      </c>
      <c r="Z118" s="62">
        <f t="shared" si="45"/>
        <v>1.7000000000000001E-2</v>
      </c>
      <c r="AA118" s="62">
        <f t="shared" si="46"/>
        <v>23.2803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47"/>
        <v>0206-24</v>
      </c>
      <c r="AE118" s="85" t="str">
        <f t="shared" si="48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118" s="82" t="str">
        <f t="shared" si="49"/>
        <v>"C:\Program Files (x86)\AstroGrep\AstroGrep.exe" /spath="%USERPROFILE%\AppData\Local\Temp\OnboardLogs" /stypes="app*4010*20170225*" /stext=" 01:.+((SYSTEM_STATE.+slice.+state.+changed )|(ment ac)|(multiple cpu faults)|(system.+state.+changed )|(\[timeout)|(PRM\|1\|D)|(kpr)|(kdp)|(\|lc)|(penalty))" /e /r /s</v>
      </c>
      <c r="AG118" s="1" t="str">
        <f t="shared" si="50"/>
        <v>EC</v>
      </c>
      <c r="AH118" s="86" t="str">
        <f t="shared" si="51"/>
        <v>"%USERPROFILE%\Documents\GitHub\eaglep3\Utilities\RefineRTDCRunTimes.py" --tripid 206-24 --locoid 4010 --swversion DE.1.0.9.0 --startMP 204:232973 --initTime 2017-02-24T17:31:40 --startdatetime 2017-02-24T17:41:15 --delay 1 --endMP 204:170 --enddatetime 2017-02-24T18:21:49 --enforcementcount 1 &gt;&gt;C:\Users\stu\Documents\GitHub\eaglep3-reporting\EC\2017-02-24-refined-times.txt</v>
      </c>
      <c r="AI118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{"issue":{"subject":"","project_id":79,"tracker_id":40,"status_id":1,"priority_id":2,"assigned_to_id":23,"start_date":"2017-02-24","description":"","custom_fields":[{"id":1,"name":"Subdivision","value":"EC"},{"id":4,"name":"Milepost","value":"0.017"},{"id":17,"name":"Train ID","value":"206-24"},{"id":16,"name":"Locomotive ID","value":"4010"},{"id":130,"name":"Impact","value":""},{"id":150,"name":"Time of Event (Mountain Time)","value":"18:21:49"},{"id":151,"name":"Denver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53"/>
        <v>start /low /b %USERPROFILE%\Documents\GitHub\eaglep3\Utilities\DownloadLogsFromS3.py --loco 4010 --day 2017-02-24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"%USERPROFILE%\AppData\Local\Temp\OnboardLogs"\RTDC4010\*4010*20170225* | grep -SE "(Enforcement Action)|(\[TIMEOUT)|(CHR.+\|PRM\|1\|D.+(SWITCH|SIGNAL).+UNKNOWN)" - &gt;&gt; 2017-02-24-UncaughtWiMAX.txt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612</v>
      </c>
      <c r="B119" s="7">
        <v>4020</v>
      </c>
      <c r="C119" s="21" t="s">
        <v>280</v>
      </c>
      <c r="D119" s="21" t="s">
        <v>273</v>
      </c>
      <c r="E119" s="13">
        <v>42790.704131944447</v>
      </c>
      <c r="F119" s="13">
        <v>42790.708564814813</v>
      </c>
      <c r="G119" s="7">
        <v>1</v>
      </c>
      <c r="H119" s="21" t="s">
        <v>266</v>
      </c>
      <c r="I119" s="13">
        <v>42790.733831018515</v>
      </c>
      <c r="J119" s="7">
        <v>1</v>
      </c>
      <c r="K119" s="98" t="str">
        <f t="shared" si="36"/>
        <v>4019/4020</v>
      </c>
      <c r="L119" s="21" t="str">
        <f>VLOOKUP(A119,'Trips&amp;Operators'!$C$1:$G$99999,5,FALSE)</f>
        <v>BRUDER RICHARD</v>
      </c>
      <c r="M119" s="6">
        <f t="shared" si="37"/>
        <v>2.5266203701903578E-2</v>
      </c>
      <c r="N119" s="7">
        <f t="shared" si="38"/>
        <v>36.383333330741152</v>
      </c>
      <c r="O119" s="7"/>
      <c r="P119" s="7"/>
      <c r="Q119" s="22"/>
      <c r="R119" s="22"/>
      <c r="S119" s="31">
        <f t="shared" si="39"/>
        <v>1</v>
      </c>
      <c r="T119" s="46" t="str">
        <f t="shared" si="40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41"/>
        <v>https://d0f6bd738d7f1b3e5a7ca70fe4ff75f0.us-east-1.aws.found.io/app/kibana#/discover/Steve-Slow-Train-Analysis-(2080s-and-2083s)?_g=(refreshInterval:(display:Off,pause:!f,section:0,value:0),time:(from:'2017-02-24T15:53:57-0700',mode:absolute,to:'2017-02-24T18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9" s="187" t="str">
        <f t="shared" si="42"/>
        <v>N</v>
      </c>
      <c r="X119" s="187">
        <f t="shared" si="43"/>
        <v>1</v>
      </c>
      <c r="Y119" s="62">
        <f t="shared" si="44"/>
        <v>4.4699999999999997E-2</v>
      </c>
      <c r="Z119" s="62">
        <f t="shared" si="45"/>
        <v>23.3306</v>
      </c>
      <c r="AA119" s="62">
        <f t="shared" si="46"/>
        <v>23.285900000000002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47"/>
        <v>0207-24</v>
      </c>
      <c r="AE119" s="85" t="str">
        <f t="shared" si="48"/>
        <v>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 &amp; 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</v>
      </c>
      <c r="AF119" s="82" t="str">
        <f t="shared" si="49"/>
        <v>"C:\Program Files (x86)\AstroGrep\AstroGrep.exe" /spath="%USERPROFILE%\AppData\Local\Temp\OnboardLogs" /stypes="app*4020*20170225*" /stext=" 00:.+((SYSTEM_STATE.+slice.+state.+changed )|(ment ac)|(multiple cpu faults)|(system.+state.+changed )|(\[timeout)|(PRM\|1\|D)|(kpr)|(kdp)|(\|lc)|(penalty))" /e /r /s</v>
      </c>
      <c r="AG119" s="1" t="str">
        <f t="shared" si="50"/>
        <v>EC</v>
      </c>
      <c r="AH119" s="86" t="str">
        <f t="shared" si="51"/>
        <v>"%USERPROFILE%\Documents\GitHub\eaglep3\Utilities\RefineRTDCRunTimes.py" --tripid 207-24 --locoid 4020 --swversion DE.1.0.9.0 --startMP 204:447 --initTime 2017-02-24T16:53:57 --startdatetime 2017-02-24T17:00:20 --delay 1 --endMP 204:233306 --enddatetime 2017-02-24T17:36:43 --enforcementcount 1 &gt;&gt;C:\Users\stu\Documents\GitHub\eaglep3-reporting\EC\2017-02-24-refined-times.txt</v>
      </c>
      <c r="AI119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{"issue":{"subject":"","project_id":79,"tracker_id":40,"status_id":1,"priority_id":2,"assigned_to_id":23,"start_date":"2017-02-24","description":"","custom_fields":[{"id":1,"name":"Subdivision","value":"EC"},{"id":4,"name":"Milepost","value":"23.3306"},{"id":17,"name":"Train ID","value":"207-24"},{"id":16,"name":"Locomotive ID","value":"4020"},{"id":130,"name":"Impact","value":""},{"id":150,"name":"Time of Event (Mountain Time)","value":"17:36:43"},{"id":151,"name":"Denver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53"/>
        <v>start /low /b %USERPROFILE%\Documents\GitHub\eaglep3\Utilities\DownloadLogsFromS3.py --loco 4020 --day 2017-02-24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"%USERPROFILE%\AppData\Local\Temp\OnboardLogs"\RTDC4020\*4020*20170225* | grep -SE "(Enforcement Action)|(\[TIMEOUT)|(CHR.+\|PRM\|1\|D.+(SWITCH|SIGNAL).+UNKNOWN)" - &gt;&gt; 2017-02-24-UncaughtWiMAX.txt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626</v>
      </c>
      <c r="B120" s="7">
        <v>4019</v>
      </c>
      <c r="C120" s="21" t="s">
        <v>280</v>
      </c>
      <c r="D120" s="21" t="s">
        <v>243</v>
      </c>
      <c r="E120" s="13">
        <v>42790.742766203701</v>
      </c>
      <c r="F120" s="13">
        <v>42790.747418981482</v>
      </c>
      <c r="G120" s="7">
        <v>1</v>
      </c>
      <c r="H120" s="21" t="s">
        <v>205</v>
      </c>
      <c r="I120" s="13">
        <v>42790.77547453704</v>
      </c>
      <c r="J120" s="7">
        <v>1</v>
      </c>
      <c r="K120" s="98" t="str">
        <f t="shared" si="36"/>
        <v>4019/4020</v>
      </c>
      <c r="L120" s="21" t="str">
        <f>VLOOKUP(A120,'Trips&amp;Operators'!$C$1:$G$99999,5,FALSE)</f>
        <v>BRUDER RICHARD</v>
      </c>
      <c r="M120" s="6">
        <f t="shared" si="37"/>
        <v>2.8055555558239575E-2</v>
      </c>
      <c r="N120" s="7">
        <f t="shared" si="38"/>
        <v>40.400000003864989</v>
      </c>
      <c r="O120" s="7"/>
      <c r="P120" s="7"/>
      <c r="Q120" s="22"/>
      <c r="R120" s="22"/>
      <c r="S120" s="31">
        <f t="shared" si="39"/>
        <v>1</v>
      </c>
      <c r="T120" s="46" t="str">
        <f t="shared" si="40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41"/>
        <v>https://d0f6bd738d7f1b3e5a7ca70fe4ff75f0.us-east-1.aws.found.io/app/kibana#/discover/Steve-Slow-Train-Analysis-(2080s-and-2083s)?_g=(refreshInterval:(display:Off,pause:!f,section:0,value:0),time:(from:'2017-02-24T16:49:35-0700',mode:absolute,to:'2017-02-24T19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0" s="187" t="str">
        <f t="shared" si="42"/>
        <v>N</v>
      </c>
      <c r="X120" s="187">
        <f t="shared" si="43"/>
        <v>1</v>
      </c>
      <c r="Y120" s="62">
        <f t="shared" si="44"/>
        <v>23.299099999999999</v>
      </c>
      <c r="Z120" s="62">
        <f t="shared" si="45"/>
        <v>1.52E-2</v>
      </c>
      <c r="AA120" s="62">
        <f t="shared" si="46"/>
        <v>23.283899999999999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47"/>
        <v>0208-24</v>
      </c>
      <c r="AE120" s="85" t="str">
        <f t="shared" si="48"/>
        <v>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 &amp; 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</v>
      </c>
      <c r="AF120" s="82" t="str">
        <f t="shared" si="49"/>
        <v>"C:\Program Files (x86)\AstroGrep\AstroGrep.exe" /spath="%USERPROFILE%\AppData\Local\Temp\OnboardLogs" /stypes="app*4019*20170225*" /stext=" 01:.+((SYSTEM_STATE.+slice.+state.+changed )|(ment ac)|(multiple cpu faults)|(system.+state.+changed )|(\[timeout)|(PRM\|1\|D)|(kpr)|(kdp)|(\|lc)|(penalty))" /e /r /s</v>
      </c>
      <c r="AG120" s="1" t="str">
        <f t="shared" si="50"/>
        <v>EC</v>
      </c>
      <c r="AH120" s="86" t="str">
        <f t="shared" si="51"/>
        <v>"%USERPROFILE%\Documents\GitHub\eaglep3\Utilities\RefineRTDCRunTimes.py" --tripid 208-24 --locoid 4019 --swversion DE.1.0.9.0 --startMP 204:232991 --initTime 2017-02-24T17:49:35 --startdatetime 2017-02-24T17:56:17 --delay 1 --endMP 204:152 --enddatetime 2017-02-24T18:36:41 --enforcementcount 1 &gt;&gt;C:\Users\stu\Documents\GitHub\eaglep3-reporting\EC\2017-02-24-refined-times.txt</v>
      </c>
      <c r="AI120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{"issue":{"subject":"","project_id":79,"tracker_id":40,"status_id":1,"priority_id":2,"assigned_to_id":23,"start_date":"2017-02-24","description":"","custom_fields":[{"id":1,"name":"Subdivision","value":"EC"},{"id":4,"name":"Milepost","value":"0.0152"},{"id":17,"name":"Train ID","value":"208-24"},{"id":16,"name":"Locomotive ID","value":"4019"},{"id":130,"name":"Impact","value":""},{"id":150,"name":"Time of Event (Mountain Time)","value":"18:36:41"},{"id":151,"name":"Denver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53"/>
        <v>start /low /b %USERPROFILE%\Documents\GitHub\eaglep3\Utilities\DownloadLogsFromS3.py --loco 4019 --day 2017-02-24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"%USERPROFILE%\AppData\Local\Temp\OnboardLogs"\RTDC4019\*4019*20170225* | grep -SE "(Enforcement Action)|(\[TIMEOUT)|(CHR.+\|PRM\|1\|D.+(SWITCH|SIGNAL).+UNKNOWN)" - &gt;&gt; 2017-02-24-UncaughtWiMAX.txt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615</v>
      </c>
      <c r="B121" s="7">
        <v>4025</v>
      </c>
      <c r="C121" s="21" t="s">
        <v>280</v>
      </c>
      <c r="D121" s="21" t="s">
        <v>694</v>
      </c>
      <c r="E121" s="13">
        <v>42790.716817129629</v>
      </c>
      <c r="F121" s="13">
        <v>42790.758020833331</v>
      </c>
      <c r="G121" s="7">
        <v>1</v>
      </c>
      <c r="H121" s="21" t="s">
        <v>244</v>
      </c>
      <c r="I121" s="13">
        <v>42790.786886574075</v>
      </c>
      <c r="J121" s="7">
        <v>1</v>
      </c>
      <c r="K121" s="98" t="str">
        <f t="shared" si="36"/>
        <v>4025/4026</v>
      </c>
      <c r="L121" s="21" t="str">
        <f>VLOOKUP(A121,'Trips&amp;Operators'!$C$1:$G$99999,5,FALSE)</f>
        <v>HELVIE ADAM</v>
      </c>
      <c r="M121" s="6">
        <f t="shared" si="37"/>
        <v>2.8865740743640345E-2</v>
      </c>
      <c r="N121" s="7">
        <f t="shared" si="38"/>
        <v>41.566666670842096</v>
      </c>
      <c r="O121" s="7"/>
      <c r="P121" s="7"/>
      <c r="Q121" s="22"/>
      <c r="R121" s="22"/>
      <c r="S121" s="31">
        <f t="shared" si="39"/>
        <v>1</v>
      </c>
      <c r="T121" s="46" t="str">
        <f t="shared" si="40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41"/>
        <v>https://d0f6bd738d7f1b3e5a7ca70fe4ff75f0.us-east-1.aws.found.io/app/kibana#/discover/Steve-Slow-Train-Analysis-(2080s-and-2083s)?_g=(refreshInterval:(display:Off,pause:!f,section:0,value:0),time:(from:'2017-02-24T16:12:13-0700',mode:absolute,to:'2017-02-24T19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1" s="187" t="str">
        <f t="shared" si="42"/>
        <v>N</v>
      </c>
      <c r="X121" s="187">
        <f t="shared" si="43"/>
        <v>1</v>
      </c>
      <c r="Y121" s="62">
        <f t="shared" si="44"/>
        <v>4.2200000000000001E-2</v>
      </c>
      <c r="Z121" s="62">
        <f t="shared" si="45"/>
        <v>23.3293</v>
      </c>
      <c r="AA121" s="62">
        <f t="shared" si="46"/>
        <v>23.287099999999999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47"/>
        <v>0209-24</v>
      </c>
      <c r="AE121" s="85" t="str">
        <f t="shared" si="48"/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AF121" s="82" t="str">
        <f t="shared" si="49"/>
        <v>"C:\Program Files (x86)\AstroGrep\AstroGrep.exe" /spath="%USERPROFILE%\AppData\Local\Temp\OnboardLogs" /stypes="app*4025*20170225*" /stext=" 01:.+((SYSTEM_STATE.+slice.+state.+changed )|(ment ac)|(multiple cpu faults)|(system.+state.+changed )|(\[timeout)|(PRM\|1\|D)|(kpr)|(kdp)|(\|lc)|(penalty))" /e /r /s</v>
      </c>
      <c r="AG121" s="1" t="str">
        <f t="shared" si="50"/>
        <v>EC</v>
      </c>
      <c r="AH121" s="86" t="str">
        <f t="shared" si="51"/>
        <v>"%USERPROFILE%\Documents\GitHub\eaglep3\Utilities\RefineRTDCRunTimes.py" --tripid 209-24 --locoid 4025 --swversion DE.1.0.9.0 --startMP 204:422 --initTime 2017-02-24T17:12:13 --startdatetime 2017-02-24T18:11:33 --delay 1 --endMP 204:233293 --enddatetime 2017-02-24T18:53:07 --enforcementcount 1 &gt;&gt;C:\Users\stu\Documents\GitHub\eaglep3-reporting\EC\2017-02-24-refined-times.txt</v>
      </c>
      <c r="AI121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{"issue":{"subject":"","project_id":79,"tracker_id":40,"status_id":1,"priority_id":2,"assigned_to_id":23,"start_date":"2017-02-24","description":"","custom_fields":[{"id":1,"name":"Subdivision","value":"EC"},{"id":4,"name":"Milepost","value":"23.3293"},{"id":17,"name":"Train ID","value":"209-24"},{"id":16,"name":"Locomotive ID","value":"4025"},{"id":130,"name":"Impact","value":""},{"id":150,"name":"Time of Event (Mountain Time)","value":"18:53:07"},{"id":151,"name":"Denver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53"/>
        <v>start /low /b %USERPROFILE%\Documents\GitHub\eaglep3\Utilities\DownloadLogsFromS3.py --loco 4025 --day 2017-02-24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"%USERPROFILE%\AppData\Local\Temp\OnboardLogs"\RTDC4025\*4025*20170225* | grep -SE "(Enforcement Action)|(\[TIMEOUT)|(CHR.+\|PRM\|1\|D.+(SWITCH|SIGNAL).+UNKNOWN)" - &gt;&gt; 2017-02-24-UncaughtWiMAX.txt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468</v>
      </c>
      <c r="B122" s="7">
        <v>4026</v>
      </c>
      <c r="C122" s="21" t="s">
        <v>280</v>
      </c>
      <c r="D122" s="21" t="s">
        <v>281</v>
      </c>
      <c r="E122" s="13">
        <v>42790.754803240743</v>
      </c>
      <c r="F122" s="13">
        <v>42790.758020833331</v>
      </c>
      <c r="G122" s="7">
        <v>1</v>
      </c>
      <c r="H122" s="21" t="s">
        <v>203</v>
      </c>
      <c r="I122" s="13">
        <v>42790.786886574075</v>
      </c>
      <c r="J122" s="7">
        <v>1</v>
      </c>
      <c r="K122" s="98" t="str">
        <f t="shared" si="36"/>
        <v>4025/4026</v>
      </c>
      <c r="L122" s="21" t="str">
        <f>VLOOKUP(A122,'Trips&amp;Operators'!$C$1:$G$99999,5,FALSE)</f>
        <v>HELVIE ADAM</v>
      </c>
      <c r="M122" s="6">
        <f t="shared" si="37"/>
        <v>2.8865740743640345E-2</v>
      </c>
      <c r="N122" s="7">
        <f t="shared" si="38"/>
        <v>41.566666670842096</v>
      </c>
      <c r="O122" s="7"/>
      <c r="P122" s="7"/>
      <c r="Q122" s="22"/>
      <c r="R122" s="22"/>
      <c r="S122" s="31">
        <f t="shared" si="39"/>
        <v>1</v>
      </c>
      <c r="T122" s="46" t="str">
        <f t="shared" si="40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41"/>
        <v>https://d0f6bd738d7f1b3e5a7ca70fe4ff75f0.us-east-1.aws.found.io/app/kibana#/discover/Steve-Slow-Train-Analysis-(2080s-and-2083s)?_g=(refreshInterval:(display:Off,pause:!f,section:0,value:0),time:(from:'2017-02-24T17:06:55-0700',mode:absolute,to:'2017-02-24T19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2" s="187" t="str">
        <f t="shared" si="42"/>
        <v>N</v>
      </c>
      <c r="X122" s="187">
        <f t="shared" si="43"/>
        <v>1</v>
      </c>
      <c r="Y122" s="62">
        <f t="shared" si="44"/>
        <v>23.298999999999999</v>
      </c>
      <c r="Z122" s="62">
        <f t="shared" si="45"/>
        <v>1.6E-2</v>
      </c>
      <c r="AA122" s="62">
        <f t="shared" si="46"/>
        <v>23.283000000000001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47"/>
        <v>0210-24</v>
      </c>
      <c r="AE122" s="85" t="str">
        <f t="shared" si="48"/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AF122" s="82" t="str">
        <f t="shared" si="49"/>
        <v>"C:\Program Files (x86)\AstroGrep\AstroGrep.exe" /spath="%USERPROFILE%\AppData\Local\Temp\OnboardLogs" /stypes="app*4026*20170225*" /stext=" 01:.+((SYSTEM_STATE.+slice.+state.+changed )|(ment ac)|(multiple cpu faults)|(system.+state.+changed )|(\[timeout)|(PRM\|1\|D)|(kpr)|(kdp)|(\|lc)|(penalty))" /e /r /s</v>
      </c>
      <c r="AG122" s="1" t="str">
        <f t="shared" si="50"/>
        <v>EC</v>
      </c>
      <c r="AH122" s="86" t="str">
        <f t="shared" si="51"/>
        <v>"%USERPROFILE%\Documents\GitHub\eaglep3\Utilities\RefineRTDCRunTimes.py" --tripid 210-24 --locoid 4026 --swversion DE.1.0.9.0 --startMP 204:232990 --initTime 2017-02-24T18:06:55 --startdatetime 2017-02-24T18:11:33 --delay 1 --endMP 204:160 --enddatetime 2017-02-24T18:53:07 --enforcementcount 1 &gt;&gt;C:\Users\stu\Documents\GitHub\eaglep3-reporting\EC\2017-02-24-refined-times.txt</v>
      </c>
      <c r="AI122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{"issue":{"subject":"","project_id":79,"tracker_id":40,"status_id":1,"priority_id":2,"assigned_to_id":23,"start_date":"2017-02-24","description":"","custom_fields":[{"id":1,"name":"Subdivision","value":"EC"},{"id":4,"name":"Milepost","value":"0.016"},{"id":17,"name":"Train ID","value":"210-24"},{"id":16,"name":"Locomotive ID","value":"4026"},{"id":130,"name":"Impact","value":""},{"id":150,"name":"Time of Event (Mountain Time)","value":"18:53:07"},{"id":151,"name":"Denver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53"/>
        <v>start /low /b %USERPROFILE%\Documents\GitHub\eaglep3\Utilities\DownloadLogsFromS3.py --loco 4026 --day 2017-02-24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"%USERPROFILE%\AppData\Local\Temp\OnboardLogs"\RTDC4026\*4026*20170225* | grep -SE "(Enforcement Action)|(\[TIMEOUT)|(CHR.+\|PRM\|1\|D.+(SWITCH|SIGNAL).+UNKNOWN)" - &gt;&gt; 2017-02-24-UncaughtWiMAX.txt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622</v>
      </c>
      <c r="B123" s="7">
        <v>4051</v>
      </c>
      <c r="C123" s="21" t="s">
        <v>280</v>
      </c>
      <c r="D123" s="21" t="s">
        <v>204</v>
      </c>
      <c r="E123" s="13">
        <v>42790.725856481484</v>
      </c>
      <c r="F123" s="13">
        <v>42790.729351851849</v>
      </c>
      <c r="G123" s="7">
        <v>1</v>
      </c>
      <c r="H123" s="21" t="s">
        <v>266</v>
      </c>
      <c r="I123" s="13">
        <v>42790.754976851851</v>
      </c>
      <c r="J123" s="7">
        <v>1</v>
      </c>
      <c r="K123" s="98" t="str">
        <f t="shared" si="36"/>
        <v>4051/4052</v>
      </c>
      <c r="L123" s="21" t="str">
        <f>VLOOKUP(A123,'Trips&amp;Operators'!$C$1:$G$99999,5,FALSE)</f>
        <v>KILLION DAVID</v>
      </c>
      <c r="M123" s="6">
        <f t="shared" si="37"/>
        <v>2.5625000002037268E-2</v>
      </c>
      <c r="N123" s="7">
        <f t="shared" si="38"/>
        <v>36.900000002933666</v>
      </c>
      <c r="O123" s="7"/>
      <c r="P123" s="7"/>
      <c r="Q123" s="22"/>
      <c r="R123" s="22"/>
      <c r="S123" s="31">
        <f t="shared" si="39"/>
        <v>1</v>
      </c>
      <c r="T123" s="46" t="str">
        <f t="shared" si="40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41"/>
        <v>https://d0f6bd738d7f1b3e5a7ca70fe4ff75f0.us-east-1.aws.found.io/app/kibana#/discover/Steve-Slow-Train-Analysis-(2080s-and-2083s)?_g=(refreshInterval:(display:Off,pause:!f,section:0,value:0),time:(from:'2017-02-24T16:25:14-0700',mode:absolute,to:'2017-02-24T19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3" s="187" t="str">
        <f t="shared" si="42"/>
        <v>N</v>
      </c>
      <c r="X123" s="187">
        <f t="shared" si="43"/>
        <v>1</v>
      </c>
      <c r="Y123" s="62">
        <f t="shared" si="44"/>
        <v>4.6199999999999998E-2</v>
      </c>
      <c r="Z123" s="62">
        <f t="shared" si="45"/>
        <v>23.3306</v>
      </c>
      <c r="AA123" s="62">
        <f t="shared" si="46"/>
        <v>23.284400000000002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47"/>
        <v>0211-24</v>
      </c>
      <c r="AE123" s="85" t="str">
        <f t="shared" si="48"/>
        <v>aws s3 cp s3://rtdc.mdm.uploadarchive.raw/RTDC4051/ "%USERPROFILE%\AppData\Local\Temp\OnboardLogs"\RTDC4051\2017-02-24 --exclude "*" --recursive --include "*20170224*" &amp; "%USERPROFILE%\Documents\GitHub\mrs-test-scripts\Headless Mode &amp; Sideloading\WalkAndUnGZ.bat" "%USERPROFILE%\AppData\Local\Temp\OnboardLogs"\RTDC4051\2017-02-24 &amp; 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</v>
      </c>
      <c r="AF123" s="82" t="str">
        <f t="shared" si="49"/>
        <v>"C:\Program Files (x86)\AstroGrep\AstroGrep.exe" /spath="%USERPROFILE%\AppData\Local\Temp\OnboardLogs" /stypes="app*4051*20170225*" /stext=" 01:.+((SYSTEM_STATE.+slice.+state.+changed )|(ment ac)|(multiple cpu faults)|(system.+state.+changed )|(\[timeout)|(PRM\|1\|D)|(kpr)|(kdp)|(\|lc)|(penalty))" /e /r /s</v>
      </c>
      <c r="AG123" s="1" t="str">
        <f t="shared" si="50"/>
        <v>EC</v>
      </c>
      <c r="AH123" s="86" t="str">
        <f t="shared" si="51"/>
        <v>"%USERPROFILE%\Documents\GitHub\eaglep3\Utilities\RefineRTDCRunTimes.py" --tripid 211-24 --locoid 4051 --swversion DE.1.0.9.0 --startMP 204:462 --initTime 2017-02-24T17:25:14 --startdatetime 2017-02-24T17:30:16 --delay 1 --endMP 204:233306 --enddatetime 2017-02-24T18:07:10 --enforcementcount 1 &gt;&gt;C:\Users\stu\Documents\GitHub\eaglep3-reporting\EC\2017-02-24-refined-times.txt</v>
      </c>
      <c r="AI123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{"issue":{"subject":"","project_id":79,"tracker_id":40,"status_id":1,"priority_id":2,"assigned_to_id":23,"start_date":"2017-02-24","description":"","custom_fields":[{"id":1,"name":"Subdivision","value":"EC"},{"id":4,"name":"Milepost","value":"23.3306"},{"id":17,"name":"Train ID","value":"211-24"},{"id":16,"name":"Locomotive ID","value":"4051"},{"id":130,"name":"Impact","value":""},{"id":150,"name":"Time of Event (Mountain Time)","value":"18:07:10"},{"id":151,"name":"Denver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53"/>
        <v>start /low /b %USERPROFILE%\Documents\GitHub\eaglep3\Utilities\DownloadLogsFromS3.py --loco 4051 --day 2017-02-24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"%USERPROFILE%\AppData\Local\Temp\OnboardLogs"\RTDC4051\*4051*20170225* | grep -SE "(Enforcement Action)|(\[TIMEOUT)|(CHR.+\|PRM\|1\|D.+(SWITCH|SIGNAL).+UNKNOWN)" - &gt;&gt; 2017-02-24-UncaughtWiMAX.txt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634</v>
      </c>
      <c r="B124" s="7">
        <v>4052</v>
      </c>
      <c r="C124" s="21" t="s">
        <v>280</v>
      </c>
      <c r="D124" s="21" t="s">
        <v>714</v>
      </c>
      <c r="E124" s="13">
        <v>42790.761250000003</v>
      </c>
      <c r="F124" s="13">
        <v>42790.768252314818</v>
      </c>
      <c r="G124" s="7">
        <v>1</v>
      </c>
      <c r="H124" s="21" t="s">
        <v>194</v>
      </c>
      <c r="I124" s="13">
        <v>42790.795787037037</v>
      </c>
      <c r="J124" s="7">
        <v>1</v>
      </c>
      <c r="K124" s="98" t="str">
        <f t="shared" si="36"/>
        <v>4051/4052</v>
      </c>
      <c r="L124" s="21" t="str">
        <f>VLOOKUP(A124,'Trips&amp;Operators'!$C$1:$G$99999,5,FALSE)</f>
        <v>KILLION DAVID</v>
      </c>
      <c r="M124" s="6">
        <f t="shared" si="37"/>
        <v>2.753472221957054E-2</v>
      </c>
      <c r="N124" s="7">
        <f t="shared" si="38"/>
        <v>39.649999996181577</v>
      </c>
      <c r="O124" s="7"/>
      <c r="P124" s="7"/>
      <c r="Q124" s="22"/>
      <c r="R124" s="22"/>
      <c r="S124" s="31">
        <f t="shared" si="39"/>
        <v>1</v>
      </c>
      <c r="T124" s="46" t="str">
        <f t="shared" si="40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41"/>
        <v>https://d0f6bd738d7f1b3e5a7ca70fe4ff75f0.us-east-1.aws.found.io/app/kibana#/discover/Steve-Slow-Train-Analysis-(2080s-and-2083s)?_g=(refreshInterval:(display:Off,pause:!f,section:0,value:0),time:(from:'2017-02-24T17:16:12-0700',mode:absolute,to:'2017-02-24T20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4" s="187" t="str">
        <f t="shared" si="42"/>
        <v>N</v>
      </c>
      <c r="X124" s="187">
        <f t="shared" si="43"/>
        <v>1</v>
      </c>
      <c r="Y124" s="62">
        <f t="shared" si="44"/>
        <v>23.297899999999998</v>
      </c>
      <c r="Z124" s="62">
        <f t="shared" si="45"/>
        <v>1.4999999999999999E-2</v>
      </c>
      <c r="AA124" s="62">
        <f t="shared" si="46"/>
        <v>23.282899999999998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47"/>
        <v>0212-24</v>
      </c>
      <c r="AE124" s="85" t="str">
        <f t="shared" si="48"/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AF124" s="82" t="str">
        <f t="shared" si="49"/>
        <v>"C:\Program Files (x86)\AstroGrep\AstroGrep.exe" /spath="%USERPROFILE%\AppData\Local\Temp\OnboardLogs" /stypes="app*4052*20170225*" /stext=" 02:.+((SYSTEM_STATE.+slice.+state.+changed )|(ment ac)|(multiple cpu faults)|(system.+state.+changed )|(\[timeout)|(PRM\|1\|D)|(kpr)|(kdp)|(\|lc)|(penalty))" /e /r /s</v>
      </c>
      <c r="AG124" s="1" t="str">
        <f t="shared" si="50"/>
        <v>EC</v>
      </c>
      <c r="AH124" s="86" t="str">
        <f t="shared" si="51"/>
        <v>"%USERPROFILE%\Documents\GitHub\eaglep3\Utilities\RefineRTDCRunTimes.py" --tripid 212-24 --locoid 4052 --swversion DE.1.0.9.0 --startMP 204:232979 --initTime 2017-02-24T18:16:12 --startdatetime 2017-02-24T18:26:17 --delay 1 --endMP 204:150 --enddatetime 2017-02-24T19:05:56 --enforcementcount 1 &gt;&gt;C:\Users\stu\Documents\GitHub\eaglep3-reporting\EC\2017-02-24-refined-times.txt</v>
      </c>
      <c r="AI124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{"issue":{"subject":"","project_id":79,"tracker_id":40,"status_id":1,"priority_id":2,"assigned_to_id":23,"start_date":"2017-02-24","description":"","custom_fields":[{"id":1,"name":"Subdivision","value":"EC"},{"id":4,"name":"Milepost","value":"0.015"},{"id":17,"name":"Train ID","value":"212-24"},{"id":16,"name":"Locomotive ID","value":"4052"},{"id":130,"name":"Impact","value":""},{"id":150,"name":"Time of Event (Mountain Time)","value":"19:05:56"},{"id":151,"name":"Denver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53"/>
        <v>start /low /b %USERPROFILE%\Documents\GitHub\eaglep3\Utilities\DownloadLogsFromS3.py --loco 4052 --day 2017-02-24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"%USERPROFILE%\AppData\Local\Temp\OnboardLogs"\RTDC4052\*4052*20170225* | grep -SE "(Enforcement Action)|(\[TIMEOUT)|(CHR.+\|PRM\|1\|D.+(SWITCH|SIGNAL).+UNKNOWN)" - &gt;&gt; 2017-02-24-UncaughtWiMAX.txt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466</v>
      </c>
      <c r="B125" s="7">
        <v>4031</v>
      </c>
      <c r="C125" s="21" t="s">
        <v>280</v>
      </c>
      <c r="D125" s="21" t="s">
        <v>246</v>
      </c>
      <c r="E125" s="13">
        <v>42790.736331018517</v>
      </c>
      <c r="F125" s="13">
        <v>42790.739918981482</v>
      </c>
      <c r="G125" s="7">
        <v>2</v>
      </c>
      <c r="H125" s="21" t="s">
        <v>222</v>
      </c>
      <c r="I125" s="13">
        <v>42790.766192129631</v>
      </c>
      <c r="J125" s="7">
        <v>1</v>
      </c>
      <c r="K125" s="98" t="str">
        <f t="shared" si="36"/>
        <v>4031/4032</v>
      </c>
      <c r="L125" s="21" t="str">
        <f>VLOOKUP(A125,'Trips&amp;Operators'!$C$1:$G$99999,5,FALSE)</f>
        <v>STORY SAMANTHA</v>
      </c>
      <c r="M125" s="6">
        <f t="shared" si="37"/>
        <v>2.6273148148902692E-2</v>
      </c>
      <c r="N125" s="7">
        <f t="shared" si="38"/>
        <v>37.833333334419876</v>
      </c>
      <c r="O125" s="7"/>
      <c r="P125" s="7"/>
      <c r="Q125" s="22"/>
      <c r="R125" s="22"/>
      <c r="S125" s="31">
        <f t="shared" si="39"/>
        <v>1</v>
      </c>
      <c r="T125" s="46" t="str">
        <f t="shared" si="40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41"/>
        <v>https://d0f6bd738d7f1b3e5a7ca70fe4ff75f0.us-east-1.aws.found.io/app/kibana#/discover/Steve-Slow-Train-Analysis-(2080s-and-2083s)?_g=(refreshInterval:(display:Off,pause:!f,section:0,value:0),time:(from:'2017-02-24T16:40:19-0700',mode:absolute,to:'2017-02-24T19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5" s="187" t="str">
        <f t="shared" si="42"/>
        <v>N</v>
      </c>
      <c r="X125" s="187">
        <f t="shared" si="43"/>
        <v>1</v>
      </c>
      <c r="Y125" s="62">
        <f t="shared" si="44"/>
        <v>4.6399999999999997E-2</v>
      </c>
      <c r="Z125" s="62">
        <v>23.32</v>
      </c>
      <c r="AA125" s="62">
        <f t="shared" si="46"/>
        <v>23.273600000000002</v>
      </c>
      <c r="AB125" s="59" t="str">
        <f>VLOOKUP(A125,Enforcements!$C$7:$K$13,8,0)</f>
        <v>Bulletin (2)</v>
      </c>
      <c r="AC125" s="55" t="str">
        <f>VLOOKUP(A125,Enforcements!$C$7:$E$13,3,0)</f>
        <v>GRADE CROSSING</v>
      </c>
      <c r="AD125" s="56" t="str">
        <f t="shared" si="47"/>
        <v>0213-24</v>
      </c>
      <c r="AE125" s="85" t="str">
        <f t="shared" si="48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125" s="82" t="str">
        <f t="shared" si="49"/>
        <v>"C:\Program Files (x86)\AstroGrep\AstroGrep.exe" /spath="%USERPROFILE%\AppData\Local\Temp\OnboardLogs" /stypes="app*4031*20170225*" /stext=" 01:.+((SYSTEM_STATE.+slice.+state.+changed )|(ment ac)|(multiple cpu faults)|(system.+state.+changed )|(\[timeout)|(PRM\|1\|D)|(kpr)|(kdp)|(\|lc)|(penalty))" /e /r /s</v>
      </c>
      <c r="AG125" s="1" t="str">
        <f t="shared" si="50"/>
        <v>EC</v>
      </c>
      <c r="AH125" s="86" t="str">
        <f t="shared" si="51"/>
        <v>"%USERPROFILE%\Documents\GitHub\eaglep3\Utilities\RefineRTDCRunTimes.py" --tripid 213-24 --locoid 4031 --swversion DE.1.0.9.0 --startMP 204:464 --initTime 2017-02-24T17:40:19 --startdatetime 2017-02-24T17:45:29 --delay 2 --endMP 204:457 --enddatetime 2017-02-24T18:23:19 --enforcementcount 1 &gt;&gt;C:\Users\stu\Documents\GitHub\eaglep3-reporting\EC\2017-02-24-refined-times.txt</v>
      </c>
      <c r="AI125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{"issue":{"subject":"","project_id":79,"tracker_id":40,"status_id":1,"priority_id":2,"assigned_to_id":23,"start_date":"2017-02-24","description":"","custom_fields":[{"id":1,"name":"Subdivision","value":"EC"},{"id":4,"name":"Milepost","value":"23.32"},{"id":17,"name":"Train ID","value":"213-24"},{"id":16,"name":"Locomotive ID","value":"4031"},{"id":130,"name":"Impact","value":""},{"id":150,"name":"Time of Event (Mountain Time)","value":"18:23:19"},{"id":151,"name":"Denver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53"/>
        <v>start /low /b %USERPROFILE%\Documents\GitHub\eaglep3\Utilities\DownloadLogsFromS3.py --loco 4031 --day 2017-02-24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"%USERPROFILE%\AppData\Local\Temp\OnboardLogs"\RTDC4031\*4031*20170225* | grep -SE "(Enforcement Action)|(\[TIMEOUT)|(CHR.+\|PRM\|1\|D.+(SWITCH|SIGNAL).+UNKNOWN)" - &gt;&gt; 2017-02-24-UncaughtWiMAX.txt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636</v>
      </c>
      <c r="B126" s="7">
        <v>4032</v>
      </c>
      <c r="C126" s="21" t="s">
        <v>280</v>
      </c>
      <c r="D126" s="21" t="s">
        <v>715</v>
      </c>
      <c r="E126" s="13">
        <v>42790.770439814813</v>
      </c>
      <c r="F126" s="13">
        <v>42790.778726851851</v>
      </c>
      <c r="G126" s="7">
        <v>2</v>
      </c>
      <c r="H126" s="21" t="s">
        <v>258</v>
      </c>
      <c r="I126" s="13">
        <v>42790.807962962965</v>
      </c>
      <c r="J126" s="7">
        <v>1</v>
      </c>
      <c r="K126" s="98" t="str">
        <f t="shared" si="36"/>
        <v>4031/4032</v>
      </c>
      <c r="L126" s="21" t="str">
        <f>VLOOKUP(A126,'Trips&amp;Operators'!$C$1:$G$99999,5,FALSE)</f>
        <v>STORY SAMANTHA</v>
      </c>
      <c r="M126" s="6">
        <f t="shared" si="37"/>
        <v>2.923611111327773E-2</v>
      </c>
      <c r="N126" s="7">
        <f t="shared" si="38"/>
        <v>42.100000003119931</v>
      </c>
      <c r="O126" s="7"/>
      <c r="P126" s="7"/>
      <c r="Q126" s="22"/>
      <c r="R126" s="22"/>
      <c r="S126" s="31">
        <f t="shared" si="39"/>
        <v>1</v>
      </c>
      <c r="T126" s="46" t="str">
        <f t="shared" si="40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41"/>
        <v>https://d0f6bd738d7f1b3e5a7ca70fe4ff75f0.us-east-1.aws.found.io/app/kibana#/discover/Steve-Slow-Train-Analysis-(2080s-and-2083s)?_g=(refreshInterval:(display:Off,pause:!f,section:0,value:0),time:(from:'2017-02-24T17:29:26-0700',mode:absolute,to:'2017-02-24T20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6" s="187" t="str">
        <f t="shared" si="42"/>
        <v>N</v>
      </c>
      <c r="X126" s="187">
        <f t="shared" si="43"/>
        <v>1</v>
      </c>
      <c r="Y126" s="62">
        <f t="shared" si="44"/>
        <v>23.295500000000001</v>
      </c>
      <c r="Z126" s="62">
        <f t="shared" si="45"/>
        <v>1.5599999999999999E-2</v>
      </c>
      <c r="AA126" s="62">
        <f t="shared" si="46"/>
        <v>23.279900000000001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47"/>
        <v>0214-24</v>
      </c>
      <c r="AE126" s="85" t="str">
        <f t="shared" si="48"/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AF126" s="82" t="str">
        <f t="shared" si="49"/>
        <v>"C:\Program Files (x86)\AstroGrep\AstroGrep.exe" /spath="%USERPROFILE%\AppData\Local\Temp\OnboardLogs" /stypes="app*4032*20170225*" /stext=" 02:.+((SYSTEM_STATE.+slice.+state.+changed )|(ment ac)|(multiple cpu faults)|(system.+state.+changed )|(\[timeout)|(PRM\|1\|D)|(kpr)|(kdp)|(\|lc)|(penalty))" /e /r /s</v>
      </c>
      <c r="AG126" s="1" t="str">
        <f t="shared" si="50"/>
        <v>EC</v>
      </c>
      <c r="AH126" s="86" t="str">
        <f t="shared" si="51"/>
        <v>"%USERPROFILE%\Documents\GitHub\eaglep3\Utilities\RefineRTDCRunTimes.py" --tripid 214-24 --locoid 4032 --swversion DE.1.0.9.0 --startMP 204:232955 --initTime 2017-02-24T18:29:26 --startdatetime 2017-02-24T18:41:22 --delay 2 --endMP 204:156 --enddatetime 2017-02-24T19:23:28 --enforcementcount 1 &gt;&gt;C:\Users\stu\Documents\GitHub\eaglep3-reporting\EC\2017-02-24-refined-times.txt</v>
      </c>
      <c r="AI126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{"issue":{"subject":"","project_id":79,"tracker_id":40,"status_id":1,"priority_id":2,"assigned_to_id":23,"start_date":"2017-02-24","description":"","custom_fields":[{"id":1,"name":"Subdivision","value":"EC"},{"id":4,"name":"Milepost","value":"0.0156"},{"id":17,"name":"Train ID","value":"214-24"},{"id":16,"name":"Locomotive ID","value":"4032"},{"id":130,"name":"Impact","value":""},{"id":150,"name":"Time of Event (Mountain Time)","value":"19:23:28"},{"id":151,"name":"Denver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53"/>
        <v>start /low /b %USERPROFILE%\Documents\GitHub\eaglep3\Utilities\DownloadLogsFromS3.py --loco 4032 --day 2017-02-24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"%USERPROFILE%\AppData\Local\Temp\OnboardLogs"\RTDC4032\*4032*20170225* | grep -SE "(Enforcement Action)|(\[TIMEOUT)|(CHR.+\|PRM\|1\|D.+(SWITCH|SIGNAL).+UNKNOWN)" - &gt;&gt; 2017-02-24-UncaughtWiMAX.txt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627</v>
      </c>
      <c r="B127" s="7">
        <v>4044</v>
      </c>
      <c r="C127" s="21" t="s">
        <v>280</v>
      </c>
      <c r="D127" s="21" t="s">
        <v>235</v>
      </c>
      <c r="E127" s="13">
        <v>42790.746238425927</v>
      </c>
      <c r="F127" s="13">
        <v>42790.750162037039</v>
      </c>
      <c r="G127" s="7">
        <v>1</v>
      </c>
      <c r="H127" s="21" t="s">
        <v>259</v>
      </c>
      <c r="I127" s="13">
        <v>42790.774884259263</v>
      </c>
      <c r="J127" s="7">
        <v>1</v>
      </c>
      <c r="K127" s="98" t="str">
        <f t="shared" si="36"/>
        <v>4043/4044</v>
      </c>
      <c r="L127" s="21" t="str">
        <f>VLOOKUP(A127,'Trips&amp;Operators'!$C$1:$G$99999,5,FALSE)</f>
        <v>BRANNON JEFFREY</v>
      </c>
      <c r="M127" s="6">
        <f t="shared" si="37"/>
        <v>2.4722222224227153E-2</v>
      </c>
      <c r="N127" s="7">
        <f t="shared" si="38"/>
        <v>35.6000000028871</v>
      </c>
      <c r="O127" s="7"/>
      <c r="P127" s="7"/>
      <c r="Q127" s="22"/>
      <c r="R127" s="22"/>
      <c r="S127" s="31">
        <f t="shared" si="39"/>
        <v>1</v>
      </c>
      <c r="T127" s="46" t="str">
        <f t="shared" si="40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41"/>
        <v>https://d0f6bd738d7f1b3e5a7ca70fe4ff75f0.us-east-1.aws.found.io/app/kibana#/discover/Steve-Slow-Train-Analysis-(2080s-and-2083s)?_g=(refreshInterval:(display:Off,pause:!f,section:0,value:0),time:(from:'2017-02-24T16:54:35-0700',mode:absolute,to:'2017-02-24T19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7" s="187" t="str">
        <f t="shared" si="42"/>
        <v>N</v>
      </c>
      <c r="X127" s="187">
        <f t="shared" si="43"/>
        <v>1</v>
      </c>
      <c r="Y127" s="62">
        <f t="shared" si="44"/>
        <v>4.53E-2</v>
      </c>
      <c r="Z127" s="62">
        <f t="shared" si="45"/>
        <v>23.331</v>
      </c>
      <c r="AA127" s="62">
        <f t="shared" si="46"/>
        <v>23.285699999999999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47"/>
        <v>0215-24</v>
      </c>
      <c r="AE127" s="85" t="str">
        <f t="shared" si="48"/>
        <v>aws s3 cp s3://rtdc.mdm.uploadarchive.raw/RTDC4044/ "%USERPROFILE%\AppData\Local\Temp\OnboardLogs"\RTDC4044\2017-02-24 --exclude "*" --recursive --include "*20170224*" &amp; "%USERPROFILE%\Documents\GitHub\mrs-test-scripts\Headless Mode &amp; Sideloading\WalkAndUnGZ.bat" "%USERPROFILE%\AppData\Local\Temp\OnboardLogs"\RTDC4044\2017-02-24 &amp; 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</v>
      </c>
      <c r="AF127" s="82" t="str">
        <f t="shared" si="49"/>
        <v>"C:\Program Files (x86)\AstroGrep\AstroGrep.exe" /spath="%USERPROFILE%\AppData\Local\Temp\OnboardLogs" /stypes="app*4044*20170225*" /stext=" 01:.+((SYSTEM_STATE.+slice.+state.+changed )|(ment ac)|(multiple cpu faults)|(system.+state.+changed )|(\[timeout)|(PRM\|1\|D)|(kpr)|(kdp)|(\|lc)|(penalty))" /e /r /s</v>
      </c>
      <c r="AG127" s="1" t="str">
        <f t="shared" si="50"/>
        <v>EC</v>
      </c>
      <c r="AH127" s="86" t="str">
        <f t="shared" si="51"/>
        <v>"%USERPROFILE%\Documents\GitHub\eaglep3\Utilities\RefineRTDCRunTimes.py" --tripid 215-24 --locoid 4044 --swversion DE.1.0.9.0 --startMP 204:453 --initTime 2017-02-24T17:54:35 --startdatetime 2017-02-24T18:00:14 --delay 1 --endMP 204:233310 --enddatetime 2017-02-24T18:35:50 --enforcementcount 1 &gt;&gt;C:\Users\stu\Documents\GitHub\eaglep3-reporting\EC\2017-02-24-refined-times.txt</v>
      </c>
      <c r="AI127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{"issue":{"subject":"","project_id":79,"tracker_id":40,"status_id":1,"priority_id":2,"assigned_to_id":23,"start_date":"2017-02-24","description":"","custom_fields":[{"id":1,"name":"Subdivision","value":"EC"},{"id":4,"name":"Milepost","value":"23.331"},{"id":17,"name":"Train ID","value":"215-24"},{"id":16,"name":"Locomotive ID","value":"4044"},{"id":130,"name":"Impact","value":""},{"id":150,"name":"Time of Event (Mountain Time)","value":"18:35:50"},{"id":151,"name":"Denver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53"/>
        <v>start /low /b %USERPROFILE%\Documents\GitHub\eaglep3\Utilities\DownloadLogsFromS3.py --loco 4044 --day 2017-02-24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"%USERPROFILE%\AppData\Local\Temp\OnboardLogs"\RTDC4044\*4044*20170225* | grep -SE "(Enforcement Action)|(\[TIMEOUT)|(CHR.+\|PRM\|1\|D.+(SWITCH|SIGNAL).+UNKNOWN)" - &gt;&gt; 2017-02-24-UncaughtWiMAX.txt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473</v>
      </c>
      <c r="B128" s="7">
        <v>4043</v>
      </c>
      <c r="C128" s="21" t="s">
        <v>280</v>
      </c>
      <c r="D128" s="21" t="s">
        <v>251</v>
      </c>
      <c r="E128" s="13">
        <v>42790.784942129627</v>
      </c>
      <c r="F128" s="13">
        <v>42790.7890625</v>
      </c>
      <c r="G128" s="7">
        <v>1</v>
      </c>
      <c r="H128" s="21" t="s">
        <v>261</v>
      </c>
      <c r="I128" s="13">
        <v>42790.816631944443</v>
      </c>
      <c r="J128" s="7">
        <v>1</v>
      </c>
      <c r="K128" s="98" t="str">
        <f t="shared" si="36"/>
        <v>4043/4044</v>
      </c>
      <c r="L128" s="21" t="str">
        <f>VLOOKUP(A128,'Trips&amp;Operators'!$C$1:$G$99999,5,FALSE)</f>
        <v>BRANNON JEFFREY</v>
      </c>
      <c r="M128" s="6">
        <f t="shared" si="37"/>
        <v>2.7569444442633539E-2</v>
      </c>
      <c r="N128" s="7">
        <f t="shared" si="38"/>
        <v>39.699999997392297</v>
      </c>
      <c r="O128" s="7"/>
      <c r="P128" s="7"/>
      <c r="Q128" s="22"/>
      <c r="R128" s="22"/>
      <c r="S128" s="31">
        <f t="shared" si="39"/>
        <v>1</v>
      </c>
      <c r="T128" s="46" t="str">
        <f t="shared" si="40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41"/>
        <v>https://d0f6bd738d7f1b3e5a7ca70fe4ff75f0.us-east-1.aws.found.io/app/kibana#/discover/Steve-Slow-Train-Analysis-(2080s-and-2083s)?_g=(refreshInterval:(display:Off,pause:!f,section:0,value:0),time:(from:'2017-02-24T17:50:19-0700',mode:absolute,to:'2017-02-24T20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8" s="187" t="str">
        <f t="shared" si="42"/>
        <v>N</v>
      </c>
      <c r="X128" s="187">
        <f t="shared" si="43"/>
        <v>1</v>
      </c>
      <c r="Y128" s="62">
        <f t="shared" si="44"/>
        <v>23.299600000000002</v>
      </c>
      <c r="Z128" s="62">
        <f t="shared" si="45"/>
        <v>1.47E-2</v>
      </c>
      <c r="AA128" s="62">
        <f t="shared" si="46"/>
        <v>23.2849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47"/>
        <v>0216-24</v>
      </c>
      <c r="AE128" s="85" t="str">
        <f t="shared" si="48"/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AF128" s="82" t="str">
        <f t="shared" si="49"/>
        <v>"C:\Program Files (x86)\AstroGrep\AstroGrep.exe" /spath="%USERPROFILE%\AppData\Local\Temp\OnboardLogs" /stypes="app*4043*20170225*" /stext=" 02:.+((SYSTEM_STATE.+slice.+state.+changed )|(ment ac)|(multiple cpu faults)|(system.+state.+changed )|(\[timeout)|(PRM\|1\|D)|(kpr)|(kdp)|(\|lc)|(penalty))" /e /r /s</v>
      </c>
      <c r="AG128" s="1" t="str">
        <f t="shared" si="50"/>
        <v>EC</v>
      </c>
      <c r="AH128" s="86" t="str">
        <f t="shared" si="51"/>
        <v>"%USERPROFILE%\Documents\GitHub\eaglep3\Utilities\RefineRTDCRunTimes.py" --tripid 216-24 --locoid 4043 --swversion DE.1.0.9.0 --startMP 204:232996 --initTime 2017-02-24T18:50:19 --startdatetime 2017-02-24T18:56:15 --delay 1 --endMP 204:147 --enddatetime 2017-02-24T19:35:57 --enforcementcount 1 &gt;&gt;C:\Users\stu\Documents\GitHub\eaglep3-reporting\EC\2017-02-24-refined-times.txt</v>
      </c>
      <c r="AI128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{"issue":{"subject":"","project_id":79,"tracker_id":40,"status_id":1,"priority_id":2,"assigned_to_id":23,"start_date":"2017-02-24","description":"","custom_fields":[{"id":1,"name":"Subdivision","value":"EC"},{"id":4,"name":"Milepost","value":"0.0147"},{"id":17,"name":"Train ID","value":"216-24"},{"id":16,"name":"Locomotive ID","value":"4043"},{"id":130,"name":"Impact","value":""},{"id":150,"name":"Time of Event (Mountain Time)","value":"19:35:57"},{"id":151,"name":"Denver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53"/>
        <v>start /low /b %USERPROFILE%\Documents\GitHub\eaglep3\Utilities\DownloadLogsFromS3.py --loco 4043 --day 2017-02-24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"%USERPROFILE%\AppData\Local\Temp\OnboardLogs"\RTDC4043\*4043*20170225* | grep -SE "(Enforcement Action)|(\[TIMEOUT)|(CHR.+\|PRM\|1\|D.+(SWITCH|SIGNAL).+UNKNOWN)" - &gt;&gt; 2017-02-24-UncaughtWiMAX.txt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470</v>
      </c>
      <c r="B129" s="7">
        <v>4022</v>
      </c>
      <c r="C129" s="21" t="s">
        <v>280</v>
      </c>
      <c r="D129" s="21" t="s">
        <v>334</v>
      </c>
      <c r="E129" s="13">
        <v>42790.755428240744</v>
      </c>
      <c r="F129" s="13">
        <v>42790.760937500003</v>
      </c>
      <c r="G129" s="7">
        <v>1</v>
      </c>
      <c r="H129" s="21" t="s">
        <v>716</v>
      </c>
      <c r="I129" s="13">
        <v>42790.78601851852</v>
      </c>
      <c r="J129" s="7">
        <v>1</v>
      </c>
      <c r="K129" s="98" t="str">
        <f t="shared" si="36"/>
        <v>4021/4022</v>
      </c>
      <c r="L129" s="21" t="str">
        <f>VLOOKUP(A129,'Trips&amp;Operators'!$C$1:$G$99999,5,FALSE)</f>
        <v>STAMBAUGH JAMES</v>
      </c>
      <c r="M129" s="6">
        <f t="shared" si="37"/>
        <v>2.5081018517084885E-2</v>
      </c>
      <c r="N129" s="7">
        <f t="shared" si="38"/>
        <v>36.116666664602235</v>
      </c>
      <c r="O129" s="7"/>
      <c r="P129" s="7"/>
      <c r="Q129" s="22"/>
      <c r="R129" s="22"/>
      <c r="S129" s="31">
        <f t="shared" si="39"/>
        <v>1</v>
      </c>
      <c r="T129" s="46" t="str">
        <f t="shared" si="40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41"/>
        <v>https://d0f6bd738d7f1b3e5a7ca70fe4ff75f0.us-east-1.aws.found.io/app/kibana#/discover/Steve-Slow-Train-Analysis-(2080s-and-2083s)?_g=(refreshInterval:(display:Off,pause:!f,section:0,value:0),time:(from:'2017-02-24T17:07:49-0700',mode:absolute,to:'2017-02-24T19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9" s="187" t="str">
        <f t="shared" si="42"/>
        <v>N</v>
      </c>
      <c r="X129" s="187">
        <f t="shared" si="43"/>
        <v>1</v>
      </c>
      <c r="Y129" s="62">
        <f t="shared" si="44"/>
        <v>4.4200000000000003E-2</v>
      </c>
      <c r="Z129" s="62">
        <f t="shared" si="45"/>
        <v>23.3309</v>
      </c>
      <c r="AA129" s="62">
        <f t="shared" si="46"/>
        <v>23.2867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47"/>
        <v>0217-24</v>
      </c>
      <c r="AE129" s="85" t="str">
        <f t="shared" si="48"/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AF129" s="82" t="str">
        <f t="shared" si="49"/>
        <v>"C:\Program Files (x86)\AstroGrep\AstroGrep.exe" /spath="%USERPROFILE%\AppData\Local\Temp\OnboardLogs" /stypes="app*4022*20170225*" /stext=" 01:.+((SYSTEM_STATE.+slice.+state.+changed )|(ment ac)|(multiple cpu faults)|(system.+state.+changed )|(\[timeout)|(PRM\|1\|D)|(kpr)|(kdp)|(\|lc)|(penalty))" /e /r /s</v>
      </c>
      <c r="AG129" s="1" t="str">
        <f t="shared" si="50"/>
        <v>EC</v>
      </c>
      <c r="AH129" s="86" t="str">
        <f t="shared" si="51"/>
        <v>"%USERPROFILE%\Documents\GitHub\eaglep3\Utilities\RefineRTDCRunTimes.py" --tripid 217-24 --locoid 4022 --swversion DE.1.0.9.0 --startMP 204:442 --initTime 2017-02-24T18:07:49 --startdatetime 2017-02-24T18:15:45 --delay 1 --endMP 204:233309 --enddatetime 2017-02-24T18:51:52 --enforcementcount 1 &gt;&gt;C:\Users\stu\Documents\GitHub\eaglep3-reporting\EC\2017-02-24-refined-times.txt</v>
      </c>
      <c r="AI129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{"issue":{"subject":"","project_id":79,"tracker_id":40,"status_id":1,"priority_id":2,"assigned_to_id":23,"start_date":"2017-02-24","description":"","custom_fields":[{"id":1,"name":"Subdivision","value":"EC"},{"id":4,"name":"Milepost","value":"23.3309"},{"id":17,"name":"Train ID","value":"217-24"},{"id":16,"name":"Locomotive ID","value":"4022"},{"id":130,"name":"Impact","value":""},{"id":150,"name":"Time of Event (Mountain Time)","value":"18:51:52"},{"id":151,"name":"Denver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53"/>
        <v>start /low /b %USERPROFILE%\Documents\GitHub\eaglep3\Utilities\DownloadLogsFromS3.py --loco 4022 --day 2017-02-24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"%USERPROFILE%\AppData\Local\Temp\OnboardLogs"\RTDC4022\*4022*20170225* | grep -SE "(Enforcement Action)|(\[TIMEOUT)|(CHR.+\|PRM\|1\|D.+(SWITCH|SIGNAL).+UNKNOWN)" - &gt;&gt; 2017-02-24-UncaughtWiMAX.txt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640</v>
      </c>
      <c r="B130" s="7">
        <v>4021</v>
      </c>
      <c r="C130" s="21" t="s">
        <v>280</v>
      </c>
      <c r="D130" s="21" t="s">
        <v>281</v>
      </c>
      <c r="E130" s="13">
        <v>42790.790856481479</v>
      </c>
      <c r="F130" s="13">
        <v>42790.79996527778</v>
      </c>
      <c r="G130" s="7">
        <v>1</v>
      </c>
      <c r="H130" s="21" t="s">
        <v>717</v>
      </c>
      <c r="I130" s="13">
        <v>42790.82640046296</v>
      </c>
      <c r="J130" s="7">
        <v>1</v>
      </c>
      <c r="K130" s="98" t="str">
        <f t="shared" si="36"/>
        <v>4021/4022</v>
      </c>
      <c r="L130" s="21" t="str">
        <f>VLOOKUP(A130,'Trips&amp;Operators'!$C$1:$G$99999,5,FALSE)</f>
        <v>STAMBAUGH JAMES</v>
      </c>
      <c r="M130" s="6">
        <f t="shared" si="37"/>
        <v>2.643518518016208E-2</v>
      </c>
      <c r="N130" s="7">
        <f t="shared" si="38"/>
        <v>38.066666659433395</v>
      </c>
      <c r="O130" s="7"/>
      <c r="P130" s="7"/>
      <c r="Q130" s="22"/>
      <c r="R130" s="22"/>
      <c r="S130" s="31">
        <f t="shared" si="39"/>
        <v>1</v>
      </c>
      <c r="T130" s="46" t="str">
        <f t="shared" si="40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41"/>
        <v>https://d0f6bd738d7f1b3e5a7ca70fe4ff75f0.us-east-1.aws.found.io/app/kibana#/discover/Steve-Slow-Train-Analysis-(2080s-and-2083s)?_g=(refreshInterval:(display:Off,pause:!f,section:0,value:0),time:(from:'2017-02-24T17:58:50-0700',mode:absolute,to:'2017-02-24T20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0" s="187" t="str">
        <f t="shared" si="42"/>
        <v>N</v>
      </c>
      <c r="X130" s="187">
        <f t="shared" si="43"/>
        <v>1</v>
      </c>
      <c r="Y130" s="62">
        <f t="shared" si="44"/>
        <v>23.298999999999999</v>
      </c>
      <c r="Z130" s="62">
        <f t="shared" si="45"/>
        <v>1.2699999999999999E-2</v>
      </c>
      <c r="AA130" s="62">
        <f t="shared" si="46"/>
        <v>23.286300000000001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47"/>
        <v>0218-24</v>
      </c>
      <c r="AE130" s="85" t="str">
        <f t="shared" si="48"/>
        <v>aws s3 cp s3://rtdc.mdm.uploadarchive.raw/RTDC4021/ "%USERPROFILE%\AppData\Local\Temp\OnboardLogs"\RTDC4021\2017-02-24 --exclude "*" --recursive --include "*20170224*" &amp; "%USERPROFILE%\Documents\GitHub\mrs-test-scripts\Headless Mode &amp; Sideloading\WalkAndUnGZ.bat" "%USERPROFILE%\AppData\Local\Temp\OnboardLogs"\RTDC4021\2017-02-24 &amp; 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</v>
      </c>
      <c r="AF130" s="82" t="str">
        <f t="shared" si="49"/>
        <v>"C:\Program Files (x86)\AstroGrep\AstroGrep.exe" /spath="%USERPROFILE%\AppData\Local\Temp\OnboardLogs" /stypes="app*4021*20170225*" /stext=" 02:.+((SYSTEM_STATE.+slice.+state.+changed )|(ment ac)|(multiple cpu faults)|(system.+state.+changed )|(\[timeout)|(PRM\|1\|D)|(kpr)|(kdp)|(\|lc)|(penalty))" /e /r /s</v>
      </c>
      <c r="AG130" s="1" t="str">
        <f t="shared" si="50"/>
        <v>EC</v>
      </c>
      <c r="AH130" s="86" t="str">
        <f t="shared" si="51"/>
        <v>"%USERPROFILE%\Documents\GitHub\eaglep3\Utilities\RefineRTDCRunTimes.py" --tripid 218-24 --locoid 4021 --swversion DE.1.0.9.0 --startMP 204:232990 --initTime 2017-02-24T18:58:50 --startdatetime 2017-02-24T19:11:57 --delay 1 --endMP 204:127 --enddatetime 2017-02-24T19:50:01 --enforcementcount 1 &gt;&gt;C:\Users\stu\Documents\GitHub\eaglep3-reporting\EC\2017-02-24-refined-times.txt</v>
      </c>
      <c r="AI130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{"issue":{"subject":"","project_id":79,"tracker_id":40,"status_id":1,"priority_id":2,"assigned_to_id":23,"start_date":"2017-02-24","description":"","custom_fields":[{"id":1,"name":"Subdivision","value":"EC"},{"id":4,"name":"Milepost","value":"0.0127"},{"id":17,"name":"Train ID","value":"218-24"},{"id":16,"name":"Locomotive ID","value":"4021"},{"id":130,"name":"Impact","value":""},{"id":150,"name":"Time of Event (Mountain Time)","value":"19:50:01"},{"id":151,"name":"Denver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53"/>
        <v>start /low /b %USERPROFILE%\Documents\GitHub\eaglep3\Utilities\DownloadLogsFromS3.py --loco 4021 --day 2017-02-24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"%USERPROFILE%\AppData\Local\Temp\OnboardLogs"\RTDC4021\*4021*20170225* | grep -SE "(Enforcement Action)|(\[TIMEOUT)|(CHR.+\|PRM\|1\|D.+(SWITCH|SIGNAL).+UNKNOWN)" - &gt;&gt; 2017-02-24-UncaughtWiMAX.txt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469</v>
      </c>
      <c r="B131" s="7">
        <v>4009</v>
      </c>
      <c r="C131" s="21" t="s">
        <v>280</v>
      </c>
      <c r="D131" s="21" t="s">
        <v>390</v>
      </c>
      <c r="E131" s="13">
        <v>42790.767511574071</v>
      </c>
      <c r="F131" s="13">
        <v>42790.771354166667</v>
      </c>
      <c r="G131" s="7">
        <v>2</v>
      </c>
      <c r="H131" s="21" t="s">
        <v>718</v>
      </c>
      <c r="I131" s="13">
        <v>42790.79760416667</v>
      </c>
      <c r="J131" s="7">
        <v>1</v>
      </c>
      <c r="K131" s="98" t="str">
        <f t="shared" si="36"/>
        <v>4009/4010</v>
      </c>
      <c r="L131" s="21" t="str">
        <f>VLOOKUP(A131,'Trips&amp;Operators'!$C$1:$G$99999,5,FALSE)</f>
        <v>HILLS DUSTIN</v>
      </c>
      <c r="M131" s="6">
        <f t="shared" si="37"/>
        <v>2.6250000002619345E-2</v>
      </c>
      <c r="N131" s="7">
        <f t="shared" si="38"/>
        <v>37.800000003771856</v>
      </c>
      <c r="O131" s="7"/>
      <c r="P131" s="7"/>
      <c r="Q131" s="22"/>
      <c r="R131" s="22"/>
      <c r="S131" s="31">
        <f t="shared" si="39"/>
        <v>1</v>
      </c>
      <c r="T131" s="46" t="str">
        <f t="shared" si="40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41"/>
        <v>https://d0f6bd738d7f1b3e5a7ca70fe4ff75f0.us-east-1.aws.found.io/app/kibana#/discover/Steve-Slow-Train-Analysis-(2080s-and-2083s)?_g=(refreshInterval:(display:Off,pause:!f,section:0,value:0),time:(from:'2017-02-24T17:25:13-0700',mode:absolute,to:'2017-02-24T20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1" s="187" t="str">
        <f t="shared" si="42"/>
        <v>N</v>
      </c>
      <c r="X131" s="187">
        <f t="shared" si="43"/>
        <v>1</v>
      </c>
      <c r="Y131" s="62">
        <f t="shared" si="44"/>
        <v>4.82E-2</v>
      </c>
      <c r="Z131" s="62">
        <f t="shared" si="45"/>
        <v>23.339300000000001</v>
      </c>
      <c r="AA131" s="62">
        <f t="shared" si="46"/>
        <v>23.2911</v>
      </c>
      <c r="AB131" s="59" t="str">
        <f>VLOOKUP(A131,Enforcements!$C$7:$K$13,8,0)</f>
        <v>Bulletin (2)</v>
      </c>
      <c r="AC131" s="55" t="str">
        <f>VLOOKUP(A131,Enforcements!$C$7:$E$13,3,0)</f>
        <v>GRADE CROSSING</v>
      </c>
      <c r="AD131" s="56" t="str">
        <f t="shared" si="47"/>
        <v>0219-24</v>
      </c>
      <c r="AE131" s="85" t="str">
        <f t="shared" si="48"/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AF131" s="82" t="str">
        <f t="shared" si="49"/>
        <v>"C:\Program Files (x86)\AstroGrep\AstroGrep.exe" /spath="%USERPROFILE%\AppData\Local\Temp\OnboardLogs" /stypes="app*4009*20170225*" /stext=" 02:.+((SYSTEM_STATE.+slice.+state.+changed )|(ment ac)|(multiple cpu faults)|(system.+state.+changed )|(\[timeout)|(PRM\|1\|D)|(kpr)|(kdp)|(\|lc)|(penalty))" /e /r /s</v>
      </c>
      <c r="AG131" s="1" t="str">
        <f t="shared" si="50"/>
        <v>EC</v>
      </c>
      <c r="AH131" s="86" t="str">
        <f t="shared" si="51"/>
        <v>"%USERPROFILE%\Documents\GitHub\eaglep3\Utilities\RefineRTDCRunTimes.py" --tripid 219-24 --locoid 4009 --swversion DE.1.0.9.0 --startMP 204:482 --initTime 2017-02-24T18:25:13 --startdatetime 2017-02-24T18:30:45 --delay 2 --endMP 204:233393 --enddatetime 2017-02-24T19:08:33 --enforcementcount 1 &gt;&gt;C:\Users\stu\Documents\GitHub\eaglep3-reporting\EC\2017-02-24-refined-times.txt</v>
      </c>
      <c r="AI131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{"issue":{"subject":"","project_id":79,"tracker_id":40,"status_id":1,"priority_id":2,"assigned_to_id":23,"start_date":"2017-02-24","description":"","custom_fields":[{"id":1,"name":"Subdivision","value":"EC"},{"id":4,"name":"Milepost","value":"23.3393"},{"id":17,"name":"Train ID","value":"219-24"},{"id":16,"name":"Locomotive ID","value":"4009"},{"id":130,"name":"Impact","value":""},{"id":150,"name":"Time of Event (Mountain Time)","value":"19:08:33"},{"id":151,"name":"Denver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53"/>
        <v>start /low /b %USERPROFILE%\Documents\GitHub\eaglep3\Utilities\DownloadLogsFromS3.py --loco 4009 --day 2017-02-24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"%USERPROFILE%\AppData\Local\Temp\OnboardLogs"\RTDC4009\*4009*20170225* | grep -SE "(Enforcement Action)|(\[TIMEOUT)|(CHR.+\|PRM\|1\|D.+(SWITCH|SIGNAL).+UNKNOWN)" - &gt;&gt; 2017-02-24-UncaughtWiMAX.txt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474</v>
      </c>
      <c r="B132" s="7">
        <v>4010</v>
      </c>
      <c r="C132" s="21" t="s">
        <v>280</v>
      </c>
      <c r="D132" s="21" t="s">
        <v>719</v>
      </c>
      <c r="E132" s="13">
        <v>42790.800717592596</v>
      </c>
      <c r="F132" s="13">
        <v>42790.809849537036</v>
      </c>
      <c r="G132" s="7">
        <v>1</v>
      </c>
      <c r="H132" s="21" t="s">
        <v>720</v>
      </c>
      <c r="I132" s="13">
        <v>42790.837476851855</v>
      </c>
      <c r="J132" s="7">
        <v>1</v>
      </c>
      <c r="K132" s="98" t="str">
        <f t="shared" si="36"/>
        <v>4009/4010</v>
      </c>
      <c r="L132" s="21" t="str">
        <f>VLOOKUP(A132,'Trips&amp;Operators'!$C$1:$G$99999,5,FALSE)</f>
        <v>HILLS DUSTIN</v>
      </c>
      <c r="M132" s="6">
        <f t="shared" si="37"/>
        <v>2.7627314819255844E-2</v>
      </c>
      <c r="N132" s="7">
        <f t="shared" si="38"/>
        <v>39.783333339728415</v>
      </c>
      <c r="O132" s="7"/>
      <c r="P132" s="7"/>
      <c r="Q132" s="22"/>
      <c r="R132" s="22"/>
      <c r="S132" s="31">
        <f t="shared" si="39"/>
        <v>1</v>
      </c>
      <c r="T132" s="46" t="str">
        <f t="shared" si="40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41"/>
        <v>https://d0f6bd738d7f1b3e5a7ca70fe4ff75f0.us-east-1.aws.found.io/app/kibana#/discover/Steve-Slow-Train-Analysis-(2080s-and-2083s)?_g=(refreshInterval:(display:Off,pause:!f,section:0,value:0),time:(from:'2017-02-24T18:13:02-0700',mode:absolute,to:'2017-02-24T21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2" s="187" t="str">
        <f t="shared" si="42"/>
        <v>N</v>
      </c>
      <c r="X132" s="187">
        <f t="shared" si="43"/>
        <v>1</v>
      </c>
      <c r="Y132" s="62">
        <f t="shared" si="44"/>
        <v>23.3079</v>
      </c>
      <c r="Z132" s="62">
        <f t="shared" si="45"/>
        <v>1.1599999999999999E-2</v>
      </c>
      <c r="AA132" s="62">
        <f t="shared" si="46"/>
        <v>23.296299999999999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47"/>
        <v>0220-24</v>
      </c>
      <c r="AE132" s="85" t="str">
        <f t="shared" si="48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132" s="82" t="str">
        <f t="shared" si="49"/>
        <v>"C:\Program Files (x86)\AstroGrep\AstroGrep.exe" /spath="%USERPROFILE%\AppData\Local\Temp\OnboardLogs" /stypes="app*4010*20170225*" /stext=" 03:.+((SYSTEM_STATE.+slice.+state.+changed )|(ment ac)|(multiple cpu faults)|(system.+state.+changed )|(\[timeout)|(PRM\|1\|D)|(kpr)|(kdp)|(\|lc)|(penalty))" /e /r /s</v>
      </c>
      <c r="AG132" s="1" t="str">
        <f t="shared" si="50"/>
        <v>EC</v>
      </c>
      <c r="AH132" s="86" t="str">
        <f t="shared" si="51"/>
        <v>"%USERPROFILE%\Documents\GitHub\eaglep3\Utilities\RefineRTDCRunTimes.py" --tripid 220-24 --locoid 4010 --swversion DE.1.0.9.0 --startMP 204:233079 --initTime 2017-02-24T19:13:02 --startdatetime 2017-02-24T19:26:11 --delay 1 --endMP 204:116 --enddatetime 2017-02-24T20:05:58 --enforcementcount 1 &gt;&gt;C:\Users\stu\Documents\GitHub\eaglep3-reporting\EC\2017-02-24-refined-times.txt</v>
      </c>
      <c r="AI132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{"issue":{"subject":"","project_id":79,"tracker_id":40,"status_id":1,"priority_id":2,"assigned_to_id":23,"start_date":"2017-02-24","description":"","custom_fields":[{"id":1,"name":"Subdivision","value":"EC"},{"id":4,"name":"Milepost","value":"0.0116"},{"id":17,"name":"Train ID","value":"220-24"},{"id":16,"name":"Locomotive ID","value":"4010"},{"id":130,"name":"Impact","value":""},{"id":150,"name":"Time of Event (Mountain Time)","value":"20:05:58"},{"id":151,"name":"Denver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53"/>
        <v>start /low /b %USERPROFILE%\Documents\GitHub\eaglep3\Utilities\DownloadLogsFromS3.py --loco 4010 --day 2017-02-24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"%USERPROFILE%\AppData\Local\Temp\OnboardLogs"\RTDC4010\*4010*20170225* | grep -SE "(Enforcement Action)|(\[TIMEOUT)|(CHR.+\|PRM\|1\|D.+(SWITCH|SIGNAL).+UNKNOWN)" - &gt;&gt; 2017-02-24-UncaughtWiMAX.txt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639</v>
      </c>
      <c r="B133" s="7">
        <v>4025</v>
      </c>
      <c r="C133" s="21" t="s">
        <v>280</v>
      </c>
      <c r="D133" s="21" t="s">
        <v>272</v>
      </c>
      <c r="E133" s="13">
        <v>42790.789340277777</v>
      </c>
      <c r="F133" s="13">
        <v>42790.792199074072</v>
      </c>
      <c r="G133" s="7">
        <v>1</v>
      </c>
      <c r="H133" s="21" t="s">
        <v>703</v>
      </c>
      <c r="I133" s="13">
        <v>42790.817812499998</v>
      </c>
      <c r="J133" s="7">
        <v>1</v>
      </c>
      <c r="K133" s="98" t="str">
        <f t="shared" si="36"/>
        <v>4025/4026</v>
      </c>
      <c r="L133" s="21" t="str">
        <f>VLOOKUP(A133,'Trips&amp;Operators'!$C$1:$G$99999,5,FALSE)</f>
        <v>MCREYNOLDS KYLE</v>
      </c>
      <c r="M133" s="6">
        <f t="shared" si="37"/>
        <v>2.5613425925257616E-2</v>
      </c>
      <c r="N133" s="7">
        <f t="shared" si="38"/>
        <v>36.883333332370967</v>
      </c>
      <c r="O133" s="7"/>
      <c r="P133" s="7"/>
      <c r="Q133" s="22"/>
      <c r="R133" s="22"/>
      <c r="S133" s="31">
        <f t="shared" si="39"/>
        <v>1</v>
      </c>
      <c r="T133" s="46" t="str">
        <f t="shared" si="40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41"/>
        <v>https://d0f6bd738d7f1b3e5a7ca70fe4ff75f0.us-east-1.aws.found.io/app/kibana#/discover/Steve-Slow-Train-Analysis-(2080s-and-2083s)?_g=(refreshInterval:(display:Off,pause:!f,section:0,value:0),time:(from:'2017-02-24T17:56:39-0700',mode:absolute,to:'2017-02-24T20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3" s="187" t="str">
        <f t="shared" si="42"/>
        <v>N</v>
      </c>
      <c r="X133" s="187">
        <f t="shared" si="43"/>
        <v>1</v>
      </c>
      <c r="Y133" s="62">
        <f t="shared" si="44"/>
        <v>4.7500000000000001E-2</v>
      </c>
      <c r="Z133" s="62">
        <f t="shared" si="45"/>
        <v>23.3291</v>
      </c>
      <c r="AA133" s="62">
        <f t="shared" si="46"/>
        <v>23.281600000000001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47"/>
        <v>0221-24</v>
      </c>
      <c r="AE133" s="85" t="str">
        <f t="shared" si="48"/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AF133" s="82" t="str">
        <f t="shared" si="49"/>
        <v>"C:\Program Files (x86)\AstroGrep\AstroGrep.exe" /spath="%USERPROFILE%\AppData\Local\Temp\OnboardLogs" /stypes="app*4025*20170225*" /stext=" 02:.+((SYSTEM_STATE.+slice.+state.+changed )|(ment ac)|(multiple cpu faults)|(system.+state.+changed )|(\[timeout)|(PRM\|1\|D)|(kpr)|(kdp)|(\|lc)|(penalty))" /e /r /s</v>
      </c>
      <c r="AG133" s="1" t="str">
        <f t="shared" si="50"/>
        <v>EC</v>
      </c>
      <c r="AH133" s="86" t="str">
        <f t="shared" si="51"/>
        <v>"%USERPROFILE%\Documents\GitHub\eaglep3\Utilities\RefineRTDCRunTimes.py" --tripid 221-24 --locoid 4025 --swversion DE.1.0.9.0 --startMP 204:475 --initTime 2017-02-24T18:56:39 --startdatetime 2017-02-24T19:00:46 --delay 1 --endMP 204:233291 --enddatetime 2017-02-24T19:37:39 --enforcementcount 1 &gt;&gt;C:\Users\stu\Documents\GitHub\eaglep3-reporting\EC\2017-02-24-refined-times.txt</v>
      </c>
      <c r="AI133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{"issue":{"subject":"","project_id":79,"tracker_id":40,"status_id":1,"priority_id":2,"assigned_to_id":23,"start_date":"2017-02-24","description":"","custom_fields":[{"id":1,"name":"Subdivision","value":"EC"},{"id":4,"name":"Milepost","value":"23.3291"},{"id":17,"name":"Train ID","value":"221-24"},{"id":16,"name":"Locomotive ID","value":"4025"},{"id":130,"name":"Impact","value":""},{"id":150,"name":"Time of Event (Mountain Time)","value":"19:37:39"},{"id":151,"name":"Denver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53"/>
        <v>start /low /b %USERPROFILE%\Documents\GitHub\eaglep3\Utilities\DownloadLogsFromS3.py --loco 4025 --day 2017-02-24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"%USERPROFILE%\AppData\Local\Temp\OnboardLogs"\RTDC4025\*4025*20170225* | grep -SE "(Enforcement Action)|(\[TIMEOUT)|(CHR.+\|PRM\|1\|D.+(SWITCH|SIGNAL).+UNKNOWN)" - &gt;&gt; 2017-02-24-UncaughtWiMAX.txt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650</v>
      </c>
      <c r="B134" s="7">
        <v>4026</v>
      </c>
      <c r="C134" s="21" t="s">
        <v>280</v>
      </c>
      <c r="D134" s="21" t="s">
        <v>298</v>
      </c>
      <c r="E134" s="13">
        <v>42790.824456018519</v>
      </c>
      <c r="F134" s="13">
        <v>42790.830775462964</v>
      </c>
      <c r="G134" s="7">
        <v>1</v>
      </c>
      <c r="H134" s="21" t="s">
        <v>211</v>
      </c>
      <c r="I134" s="13">
        <v>42790.859918981485</v>
      </c>
      <c r="J134" s="7">
        <v>1</v>
      </c>
      <c r="K134" s="98" t="str">
        <f t="shared" si="36"/>
        <v>4025/4026</v>
      </c>
      <c r="L134" s="21" t="str">
        <f>VLOOKUP(A134,'Trips&amp;Operators'!$C$1:$G$99999,5,FALSE)</f>
        <v>MCREYNOLDS KYLE</v>
      </c>
      <c r="M134" s="6">
        <f t="shared" si="37"/>
        <v>2.9143518520868383E-2</v>
      </c>
      <c r="N134" s="7">
        <f t="shared" si="38"/>
        <v>41.966666670050472</v>
      </c>
      <c r="O134" s="7"/>
      <c r="P134" s="7"/>
      <c r="Q134" s="22"/>
      <c r="R134" s="22"/>
      <c r="S134" s="31">
        <f t="shared" si="39"/>
        <v>1</v>
      </c>
      <c r="T134" s="46" t="str">
        <f t="shared" si="40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41"/>
        <v>https://d0f6bd738d7f1b3e5a7ca70fe4ff75f0.us-east-1.aws.found.io/app/kibana#/discover/Steve-Slow-Train-Analysis-(2080s-and-2083s)?_g=(refreshInterval:(display:Off,pause:!f,section:0,value:0),time:(from:'2017-02-24T18:47:13-0700',mode:absolute,to:'2017-02-24T21:38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4" s="187" t="str">
        <f t="shared" si="42"/>
        <v>N</v>
      </c>
      <c r="X134" s="187">
        <f t="shared" si="43"/>
        <v>1</v>
      </c>
      <c r="Y134" s="62">
        <f t="shared" si="44"/>
        <v>23.2971</v>
      </c>
      <c r="Z134" s="62">
        <f t="shared" si="45"/>
        <v>1.54E-2</v>
      </c>
      <c r="AA134" s="62">
        <f t="shared" si="46"/>
        <v>23.281700000000001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47"/>
        <v>0222-24</v>
      </c>
      <c r="AE134" s="85" t="str">
        <f t="shared" si="48"/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AF134" s="82" t="str">
        <f t="shared" si="49"/>
        <v>"C:\Program Files (x86)\AstroGrep\AstroGrep.exe" /spath="%USERPROFILE%\AppData\Local\Temp\OnboardLogs" /stypes="app*4026*20170225*" /stext=" 03:.+((SYSTEM_STATE.+slice.+state.+changed )|(ment ac)|(multiple cpu faults)|(system.+state.+changed )|(\[timeout)|(PRM\|1\|D)|(kpr)|(kdp)|(\|lc)|(penalty))" /e /r /s</v>
      </c>
      <c r="AG134" s="1" t="str">
        <f t="shared" si="50"/>
        <v>EC</v>
      </c>
      <c r="AH134" s="86" t="str">
        <f t="shared" si="51"/>
        <v>"%USERPROFILE%\Documents\GitHub\eaglep3\Utilities\RefineRTDCRunTimes.py" --tripid 222-24 --locoid 4026 --swversion DE.1.0.9.0 --startMP 204:232971 --initTime 2017-02-24T19:47:13 --startdatetime 2017-02-24T19:56:19 --delay 1 --endMP 204:154 --enddatetime 2017-02-24T20:38:17 --enforcementcount 1 &gt;&gt;C:\Users\stu\Documents\GitHub\eaglep3-reporting\EC\2017-02-24-refined-times.txt</v>
      </c>
      <c r="AI134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{"issue":{"subject":"","project_id":79,"tracker_id":40,"status_id":1,"priority_id":2,"assigned_to_id":23,"start_date":"2017-02-24","description":"","custom_fields":[{"id":1,"name":"Subdivision","value":"EC"},{"id":4,"name":"Milepost","value":"0.0154"},{"id":17,"name":"Train ID","value":"222-24"},{"id":16,"name":"Locomotive ID","value":"4026"},{"id":130,"name":"Impact","value":""},{"id":150,"name":"Time of Event (Mountain Time)","value":"20:38:17"},{"id":151,"name":"Denver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53"/>
        <v>start /low /b %USERPROFILE%\Documents\GitHub\eaglep3\Utilities\DownloadLogsFromS3.py --loco 4026 --day 2017-02-24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"%USERPROFILE%\AppData\Local\Temp\OnboardLogs"\RTDC4026\*4026*20170225* | grep -SE "(Enforcement Action)|(\[TIMEOUT)|(CHR.+\|PRM\|1\|D.+(SWITCH|SIGNAL).+UNKNOWN)" - &gt;&gt; 2017-02-24-UncaughtWiMAX.txt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646</v>
      </c>
      <c r="B135" s="7">
        <v>4031</v>
      </c>
      <c r="C135" s="21" t="s">
        <v>280</v>
      </c>
      <c r="D135" s="21" t="s">
        <v>398</v>
      </c>
      <c r="E135" s="13">
        <v>42790.810937499999</v>
      </c>
      <c r="F135" s="13">
        <v>42790.813275462962</v>
      </c>
      <c r="G135" s="7">
        <v>2</v>
      </c>
      <c r="H135" s="21" t="s">
        <v>721</v>
      </c>
      <c r="I135" s="13">
        <v>42790.839224537034</v>
      </c>
      <c r="J135" s="7">
        <v>1</v>
      </c>
      <c r="K135" s="98" t="str">
        <f t="shared" si="36"/>
        <v>4031/4032</v>
      </c>
      <c r="L135" s="21" t="str">
        <f>VLOOKUP(A135,'Trips&amp;Operators'!$C$1:$G$99999,5,FALSE)</f>
        <v>MACDONALD THOMAS</v>
      </c>
      <c r="M135" s="6">
        <f t="shared" si="37"/>
        <v>2.5949074071832001E-2</v>
      </c>
      <c r="N135" s="7">
        <f t="shared" si="38"/>
        <v>37.366666663438082</v>
      </c>
      <c r="O135" s="7"/>
      <c r="P135" s="7"/>
      <c r="Q135" s="22"/>
      <c r="R135" s="22"/>
      <c r="S135" s="31">
        <f t="shared" si="39"/>
        <v>1</v>
      </c>
      <c r="T135" s="46" t="str">
        <f t="shared" si="40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41"/>
        <v>https://d0f6bd738d7f1b3e5a7ca70fe4ff75f0.us-east-1.aws.found.io/app/kibana#/discover/Steve-Slow-Train-Analysis-(2080s-and-2083s)?_g=(refreshInterval:(display:Off,pause:!f,section:0,value:0),time:(from:'2017-02-24T18:27:45-0700',mode:absolute,to:'2017-02-24T21:08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187" t="str">
        <f t="shared" si="42"/>
        <v>N</v>
      </c>
      <c r="X135" s="187">
        <f t="shared" si="43"/>
        <v>1</v>
      </c>
      <c r="Y135" s="62">
        <f t="shared" si="44"/>
        <v>4.9700000000000001E-2</v>
      </c>
      <c r="Z135" s="62">
        <f t="shared" si="45"/>
        <v>23.328700000000001</v>
      </c>
      <c r="AA135" s="62">
        <f t="shared" si="46"/>
        <v>23.279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47"/>
        <v>0223-24</v>
      </c>
      <c r="AE135" s="85" t="str">
        <f t="shared" si="48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135" s="82" t="str">
        <f t="shared" si="49"/>
        <v>"C:\Program Files (x86)\AstroGrep\AstroGrep.exe" /spath="%USERPROFILE%\AppData\Local\Temp\OnboardLogs" /stypes="app*4031*20170225*" /stext=" 03:.+((SYSTEM_STATE.+slice.+state.+changed )|(ment ac)|(multiple cpu faults)|(system.+state.+changed )|(\[timeout)|(PRM\|1\|D)|(kpr)|(kdp)|(\|lc)|(penalty))" /e /r /s</v>
      </c>
      <c r="AG135" s="1" t="str">
        <f t="shared" si="50"/>
        <v>EC</v>
      </c>
      <c r="AH135" s="86" t="str">
        <f t="shared" si="51"/>
        <v>"%USERPROFILE%\Documents\GitHub\eaglep3\Utilities\RefineRTDCRunTimes.py" --tripid 223-24 --locoid 4031 --swversion DE.1.0.9.0 --startMP 204:497 --initTime 2017-02-24T19:27:45 --startdatetime 2017-02-24T19:31:07 --delay 2 --endMP 204:233287 --enddatetime 2017-02-24T20:08:29 --enforcementcount 1 &gt;&gt;C:\Users\stu\Documents\GitHub\eaglep3-reporting\EC\2017-02-24-refined-times.txt</v>
      </c>
      <c r="AI135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{"issue":{"subject":"","project_id":79,"tracker_id":40,"status_id":1,"priority_id":2,"assigned_to_id":23,"start_date":"2017-02-24","description":"","custom_fields":[{"id":1,"name":"Subdivision","value":"EC"},{"id":4,"name":"Milepost","value":"23.3287"},{"id":17,"name":"Train ID","value":"223-24"},{"id":16,"name":"Locomotive ID","value":"4031"},{"id":130,"name":"Impact","value":""},{"id":150,"name":"Time of Event (Mountain Time)","value":"20:08:29"},{"id":151,"name":"Denver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53"/>
        <v>start /low /b %USERPROFILE%\Documents\GitHub\eaglep3\Utilities\DownloadLogsFromS3.py --loco 4031 --day 2017-02-24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"%USERPROFILE%\AppData\Local\Temp\OnboardLogs"\RTDC4031\*4031*20170225* | grep -SE "(Enforcement Action)|(\[TIMEOUT)|(CHR.+\|PRM\|1\|D.+(SWITCH|SIGNAL).+UNKNOWN)" - &gt;&gt; 2017-02-24-UncaughtWiMAX.txt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3" t="s">
        <v>477</v>
      </c>
      <c r="B136" s="7">
        <v>4032</v>
      </c>
      <c r="C136" s="21" t="s">
        <v>280</v>
      </c>
      <c r="D136" s="21" t="s">
        <v>396</v>
      </c>
      <c r="E136" s="13">
        <v>42790.848807870374</v>
      </c>
      <c r="F136" s="13">
        <v>42790.851620370369</v>
      </c>
      <c r="G136" s="7">
        <v>1</v>
      </c>
      <c r="H136" s="21" t="s">
        <v>402</v>
      </c>
      <c r="I136" s="13">
        <v>42790.880231481482</v>
      </c>
      <c r="J136" s="7">
        <v>1</v>
      </c>
      <c r="K136" s="98" t="str">
        <f t="shared" si="36"/>
        <v>4031/4032</v>
      </c>
      <c r="L136" s="21" t="str">
        <f>VLOOKUP(A136,'Trips&amp;Operators'!$C$1:$G$99999,5,FALSE)</f>
        <v>MACDONALD THOMAS</v>
      </c>
      <c r="M136" s="6">
        <f t="shared" si="37"/>
        <v>2.8611111112695653E-2</v>
      </c>
      <c r="N136" s="7">
        <f t="shared" si="38"/>
        <v>41.20000000228174</v>
      </c>
      <c r="O136" s="7"/>
      <c r="P136" s="7"/>
      <c r="Q136" s="22"/>
      <c r="R136" s="22"/>
      <c r="S136" s="31">
        <f t="shared" si="39"/>
        <v>1</v>
      </c>
      <c r="T136" s="46" t="str">
        <f t="shared" si="40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41"/>
        <v>https://d0f6bd738d7f1b3e5a7ca70fe4ff75f0.us-east-1.aws.found.io/app/kibana#/discover/Steve-Slow-Train-Analysis-(2080s-and-2083s)?_g=(refreshInterval:(display:Off,pause:!f,section:0,value:0),time:(from:'2017-02-24T19:22:17-0700',mode:absolute,to:'2017-02-24T22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6" s="187" t="str">
        <f t="shared" si="42"/>
        <v>N</v>
      </c>
      <c r="X136" s="187">
        <f t="shared" si="43"/>
        <v>1</v>
      </c>
      <c r="Y136" s="62">
        <f t="shared" si="44"/>
        <v>23.2959</v>
      </c>
      <c r="Z136" s="62">
        <f t="shared" si="45"/>
        <v>1.6899999999999998E-2</v>
      </c>
      <c r="AA136" s="62">
        <f t="shared" si="46"/>
        <v>23.279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47"/>
        <v>0224-24</v>
      </c>
      <c r="AE136" s="85" t="str">
        <f t="shared" si="48"/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AF136" s="82" t="str">
        <f t="shared" si="49"/>
        <v>"C:\Program Files (x86)\AstroGrep\AstroGrep.exe" /spath="%USERPROFILE%\AppData\Local\Temp\OnboardLogs" /stypes="app*4032*20170225*" /stext=" 04:.+((SYSTEM_STATE.+slice.+state.+changed )|(ment ac)|(multiple cpu faults)|(system.+state.+changed )|(\[timeout)|(PRM\|1\|D)|(kpr)|(kdp)|(\|lc)|(penalty))" /e /r /s</v>
      </c>
      <c r="AG136" s="1" t="str">
        <f t="shared" si="50"/>
        <v>EC</v>
      </c>
      <c r="AH136" s="86" t="str">
        <f t="shared" si="51"/>
        <v>"%USERPROFILE%\Documents\GitHub\eaglep3\Utilities\RefineRTDCRunTimes.py" --tripid 224-24 --locoid 4032 --swversion DE.1.0.9.0 --startMP 204:232959 --initTime 2017-02-24T20:22:17 --startdatetime 2017-02-24T20:26:20 --delay 1 --endMP 204:169 --enddatetime 2017-02-24T21:07:32 --enforcementcount 1 &gt;&gt;C:\Users\stu\Documents\GitHub\eaglep3-reporting\EC\2017-02-24-refined-times.txt</v>
      </c>
      <c r="AI136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{"issue":{"subject":"","project_id":79,"tracker_id":40,"status_id":1,"priority_id":2,"assigned_to_id":23,"start_date":"2017-02-24","description":"","custom_fields":[{"id":1,"name":"Subdivision","value":"EC"},{"id":4,"name":"Milepost","value":"0.0169"},{"id":17,"name":"Train ID","value":"224-24"},{"id":16,"name":"Locomotive ID","value":"4032"},{"id":130,"name":"Impact","value":""},{"id":150,"name":"Time of Event (Mountain Time)","value":"21:07:32"},{"id":151,"name":"Denver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53"/>
        <v>start /low /b %USERPROFILE%\Documents\GitHub\eaglep3\Utilities\DownloadLogsFromS3.py --loco 4032 --day 2017-02-24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"%USERPROFILE%\AppData\Local\Temp\OnboardLogs"\RTDC4032\*4032*20170225* | grep -SE "(Enforcement Action)|(\[TIMEOUT)|(CHR.+\|PRM\|1\|D.+(SWITCH|SIGNAL).+UNKNOWN)" - &gt;&gt; 2017-02-24-UncaughtWiMAX.txt</v>
      </c>
    </row>
    <row r="137" spans="1:91" s="20" customFormat="1" x14ac:dyDescent="0.25">
      <c r="A137" s="33" t="s">
        <v>475</v>
      </c>
      <c r="B137" s="7">
        <v>4022</v>
      </c>
      <c r="C137" s="21" t="s">
        <v>280</v>
      </c>
      <c r="D137" s="21" t="s">
        <v>312</v>
      </c>
      <c r="E137" s="13">
        <v>42790.828553240739</v>
      </c>
      <c r="F137" s="13">
        <v>42790.833784722221</v>
      </c>
      <c r="G137" s="7">
        <v>1</v>
      </c>
      <c r="H137" s="21" t="s">
        <v>689</v>
      </c>
      <c r="I137" s="13">
        <v>42790.857916666668</v>
      </c>
      <c r="J137" s="7">
        <v>1</v>
      </c>
      <c r="K137" s="98" t="str">
        <f t="shared" si="36"/>
        <v>4021/4022</v>
      </c>
      <c r="L137" s="21" t="str">
        <f>VLOOKUP(A137,'Trips&amp;Operators'!$C$1:$G$99999,5,FALSE)</f>
        <v>STAMBAUGH JAMES</v>
      </c>
      <c r="M137" s="6">
        <f t="shared" si="37"/>
        <v>2.4131944446708076E-2</v>
      </c>
      <c r="N137" s="7">
        <f t="shared" si="38"/>
        <v>34.750000003259629</v>
      </c>
      <c r="O137" s="7"/>
      <c r="P137" s="7"/>
      <c r="Q137" s="22"/>
      <c r="R137" s="22"/>
      <c r="S137" s="31">
        <f t="shared" si="39"/>
        <v>1</v>
      </c>
      <c r="T137" s="46" t="str">
        <f t="shared" si="40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41"/>
        <v>https://d0f6bd738d7f1b3e5a7ca70fe4ff75f0.us-east-1.aws.found.io/app/kibana#/discover/Steve-Slow-Train-Analysis-(2080s-and-2083s)?_g=(refreshInterval:(display:Off,pause:!f,section:0,value:0),time:(from:'2017-02-24T18:53:07-0700',mode:absolute,to:'2017-02-24T21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7" s="187" t="str">
        <f t="shared" si="42"/>
        <v>N</v>
      </c>
      <c r="X137" s="187">
        <f t="shared" si="43"/>
        <v>1</v>
      </c>
      <c r="Y137" s="62">
        <f t="shared" si="44"/>
        <v>4.3299999999999998E-2</v>
      </c>
      <c r="Z137" s="62">
        <f t="shared" si="45"/>
        <v>23.3322</v>
      </c>
      <c r="AA137" s="62">
        <f t="shared" si="46"/>
        <v>23.288900000000002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47"/>
        <v>0225-24</v>
      </c>
      <c r="AE137" s="85" t="str">
        <f t="shared" si="48"/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AF137" s="82" t="str">
        <f t="shared" si="49"/>
        <v>"C:\Program Files (x86)\AstroGrep\AstroGrep.exe" /spath="%USERPROFILE%\AppData\Local\Temp\OnboardLogs" /stypes="app*4022*20170225*" /stext=" 03:.+((SYSTEM_STATE.+slice.+state.+changed )|(ment ac)|(multiple cpu faults)|(system.+state.+changed )|(\[timeout)|(PRM\|1\|D)|(kpr)|(kdp)|(\|lc)|(penalty))" /e /r /s</v>
      </c>
      <c r="AG137" s="1" t="str">
        <f t="shared" si="50"/>
        <v>EC</v>
      </c>
      <c r="AH137" s="86" t="str">
        <f t="shared" si="51"/>
        <v>"%USERPROFILE%\Documents\GitHub\eaglep3\Utilities\RefineRTDCRunTimes.py" --tripid 225-24 --locoid 4022 --swversion DE.1.0.9.0 --startMP 204:433 --initTime 2017-02-24T19:53:07 --startdatetime 2017-02-24T20:00:39 --delay 1 --endMP 204:233322 --enddatetime 2017-02-24T20:35:24 --enforcementcount 1 &gt;&gt;C:\Users\stu\Documents\GitHub\eaglep3-reporting\EC\2017-02-24-refined-times.txt</v>
      </c>
      <c r="AI137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{"issue":{"subject":"","project_id":79,"tracker_id":40,"status_id":1,"priority_id":2,"assigned_to_id":23,"start_date":"2017-02-24","description":"","custom_fields":[{"id":1,"name":"Subdivision","value":"EC"},{"id":4,"name":"Milepost","value":"23.3322"},{"id":17,"name":"Train ID","value":"225-24"},{"id":16,"name":"Locomotive ID","value":"4022"},{"id":130,"name":"Impact","value":""},{"id":150,"name":"Time of Event (Mountain Time)","value":"20:35:24"},{"id":151,"name":"Denver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53"/>
        <v>start /low /b %USERPROFILE%\Documents\GitHub\eaglep3\Utilities\DownloadLogsFromS3.py --loco 4022 --day 2017-02-24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"%USERPROFILE%\AppData\Local\Temp\OnboardLogs"\RTDC4022\*4022*20170225* | grep -SE "(Enforcement Action)|(\[TIMEOUT)|(CHR.+\|PRM\|1\|D.+(SWITCH|SIGNAL).+UNKNOWN)" - &gt;&gt; 2017-02-24-UncaughtWiMAX.txt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656</v>
      </c>
      <c r="B138" s="7">
        <v>4021</v>
      </c>
      <c r="C138" s="21" t="s">
        <v>280</v>
      </c>
      <c r="D138" s="21" t="s">
        <v>722</v>
      </c>
      <c r="E138" s="13">
        <v>42790.870451388888</v>
      </c>
      <c r="F138" s="13">
        <v>42790.872777777775</v>
      </c>
      <c r="G138" s="7">
        <v>0</v>
      </c>
      <c r="H138" s="21" t="s">
        <v>194</v>
      </c>
      <c r="I138" s="13">
        <v>42790.900914351849</v>
      </c>
      <c r="J138" s="7">
        <v>1</v>
      </c>
      <c r="K138" s="98" t="str">
        <f t="shared" si="36"/>
        <v>4021/4022</v>
      </c>
      <c r="L138" s="21" t="str">
        <f>VLOOKUP(A138,'Trips&amp;Operators'!$C$1:$G$99999,5,FALSE)</f>
        <v>STAMBAUGH JAMES</v>
      </c>
      <c r="M138" s="6">
        <f t="shared" si="37"/>
        <v>2.8136574073869269E-2</v>
      </c>
      <c r="N138" s="7">
        <f t="shared" si="38"/>
        <v>40.516666666371748</v>
      </c>
      <c r="O138" s="7"/>
      <c r="P138" s="7"/>
      <c r="Q138" s="22"/>
      <c r="R138" s="22"/>
      <c r="S138" s="31">
        <f t="shared" si="39"/>
        <v>1</v>
      </c>
      <c r="T138" s="46" t="str">
        <f t="shared" si="40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41"/>
        <v>https://d0f6bd738d7f1b3e5a7ca70fe4ff75f0.us-east-1.aws.found.io/app/kibana#/discover/Steve-Slow-Train-Analysis-(2080s-and-2083s)?_g=(refreshInterval:(display:Off,pause:!f,section:0,value:0),time:(from:'2017-02-24T19:53:27-0700',mode:absolute,to:'2017-02-24T22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8" s="187" t="str">
        <f t="shared" si="42"/>
        <v>N</v>
      </c>
      <c r="X138" s="187">
        <f t="shared" si="43"/>
        <v>1</v>
      </c>
      <c r="Y138" s="62">
        <f t="shared" si="44"/>
        <v>23.300699999999999</v>
      </c>
      <c r="Z138" s="62">
        <f t="shared" si="45"/>
        <v>1.4999999999999999E-2</v>
      </c>
      <c r="AA138" s="62">
        <f t="shared" si="46"/>
        <v>23.285699999999999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47"/>
        <v>0226-24</v>
      </c>
      <c r="AE138" s="85" t="str">
        <f t="shared" si="48"/>
        <v>aws s3 cp s3://rtdc.mdm.uploadarchive.raw/RTDC4021/ "%USERPROFILE%\AppData\Local\Temp\OnboardLogs"\RTDC4021\2017-02-24 --exclude "*" --recursive --include "*20170224*" &amp; "%USERPROFILE%\Documents\GitHub\mrs-test-scripts\Headless Mode &amp; Sideloading\WalkAndUnGZ.bat" "%USERPROFILE%\AppData\Local\Temp\OnboardLogs"\RTDC4021\2017-02-24 &amp; 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</v>
      </c>
      <c r="AF138" s="82" t="str">
        <f t="shared" si="49"/>
        <v>"C:\Program Files (x86)\AstroGrep\AstroGrep.exe" /spath="%USERPROFILE%\AppData\Local\Temp\OnboardLogs" /stypes="app*4021*20170225*" /stext=" 04:.+((SYSTEM_STATE.+slice.+state.+changed )|(ment ac)|(multiple cpu faults)|(system.+state.+changed )|(\[timeout)|(PRM\|1\|D)|(kpr)|(kdp)|(\|lc)|(penalty))" /e /r /s</v>
      </c>
      <c r="AG138" s="1" t="str">
        <f t="shared" si="50"/>
        <v>EC</v>
      </c>
      <c r="AH138" s="86" t="str">
        <f t="shared" si="51"/>
        <v>"%USERPROFILE%\Documents\GitHub\eaglep3\Utilities\RefineRTDCRunTimes.py" --tripid 226-24 --locoid 4021 --swversion DE.1.0.9.0 --startMP 204:233007 --initTime 2017-02-24T20:53:27 --startdatetime 2017-02-24T20:56:48 --delay 0 --endMP 204:150 --enddatetime 2017-02-24T21:37:19 --enforcementcount 1 &gt;&gt;C:\Users\stu\Documents\GitHub\eaglep3-reporting\EC\2017-02-24-refined-times.txt</v>
      </c>
      <c r="AI138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{"issue":{"subject":"","project_id":79,"tracker_id":40,"status_id":1,"priority_id":2,"assigned_to_id":23,"start_date":"2017-02-24","description":"","custom_fields":[{"id":1,"name":"Subdivision","value":"EC"},{"id":4,"name":"Milepost","value":"0.015"},{"id":17,"name":"Train ID","value":"226-24"},{"id":16,"name":"Locomotive ID","value":"4021"},{"id":130,"name":"Impact","value":""},{"id":150,"name":"Time of Event (Mountain Time)","value":"21:37:19"},{"id":151,"name":"Denver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53"/>
        <v>start /low /b %USERPROFILE%\Documents\GitHub\eaglep3\Utilities\DownloadLogsFromS3.py --loco 4021 --day 2017-02-24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"%USERPROFILE%\AppData\Local\Temp\OnboardLogs"\RTDC4021\*4021*20170225* | grep -SE "(Enforcement Action)|(\[TIMEOUT)|(CHR.+\|PRM\|1\|D.+(SWITCH|SIGNAL).+UNKNOWN)" - &gt;&gt; 2017-02-24-UncaughtWiMAX.txt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476</v>
      </c>
      <c r="B139" s="7">
        <v>4009</v>
      </c>
      <c r="C139" s="21" t="s">
        <v>280</v>
      </c>
      <c r="D139" s="21" t="s">
        <v>399</v>
      </c>
      <c r="E139" s="13">
        <v>42790.838831018518</v>
      </c>
      <c r="F139" s="13">
        <v>42790.854328703703</v>
      </c>
      <c r="G139" s="7">
        <v>1</v>
      </c>
      <c r="H139" s="21" t="s">
        <v>718</v>
      </c>
      <c r="I139" s="13">
        <v>42790.881574074076</v>
      </c>
      <c r="J139" s="7">
        <v>1</v>
      </c>
      <c r="K139" s="98" t="str">
        <f t="shared" si="36"/>
        <v>4009/4010</v>
      </c>
      <c r="L139" s="21" t="str">
        <f>VLOOKUP(A139,'Trips&amp;Operators'!$C$1:$G$99999,5,FALSE)</f>
        <v>HILLS DUSTIN</v>
      </c>
      <c r="M139" s="6">
        <f t="shared" si="37"/>
        <v>2.7245370372838806E-2</v>
      </c>
      <c r="N139" s="7">
        <f t="shared" si="38"/>
        <v>39.233333336887881</v>
      </c>
      <c r="O139" s="7"/>
      <c r="P139" s="7"/>
      <c r="Q139" s="22"/>
      <c r="R139" s="22"/>
      <c r="S139" s="31">
        <f t="shared" si="39"/>
        <v>1</v>
      </c>
      <c r="T139" s="46" t="str">
        <f t="shared" si="40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41"/>
        <v>https://d0f6bd738d7f1b3e5a7ca70fe4ff75f0.us-east-1.aws.found.io/app/kibana#/discover/Steve-Slow-Train-Analysis-(2080s-and-2083s)?_g=(refreshInterval:(display:Off,pause:!f,section:0,value:0),time:(from:'2017-02-24T19:07:55-0700',mode:absolute,to:'2017-02-24T22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9" s="187" t="str">
        <f t="shared" si="42"/>
        <v>N</v>
      </c>
      <c r="X139" s="187">
        <f t="shared" si="43"/>
        <v>1</v>
      </c>
      <c r="Y139" s="62">
        <f t="shared" si="44"/>
        <v>4.2599999999999999E-2</v>
      </c>
      <c r="Z139" s="62">
        <f t="shared" si="45"/>
        <v>23.339300000000001</v>
      </c>
      <c r="AA139" s="62">
        <f t="shared" si="46"/>
        <v>23.296700000000001</v>
      </c>
      <c r="AB139" s="59" t="str">
        <f>VLOOKUP(A139,Enforcements!$C$7:$K$13,8,0)</f>
        <v>Bulletin (2)</v>
      </c>
      <c r="AC139" s="55" t="str">
        <f>VLOOKUP(A139,Enforcements!$C$7:$E$13,3,0)</f>
        <v>GRADE CROSSING</v>
      </c>
      <c r="AD139" s="56" t="str">
        <f t="shared" si="47"/>
        <v>0227-24</v>
      </c>
      <c r="AE139" s="85" t="str">
        <f t="shared" si="48"/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AF139" s="82" t="str">
        <f t="shared" si="49"/>
        <v>"C:\Program Files (x86)\AstroGrep\AstroGrep.exe" /spath="%USERPROFILE%\AppData\Local\Temp\OnboardLogs" /stypes="app*4009*20170225*" /stext=" 04:.+((SYSTEM_STATE.+slice.+state.+changed )|(ment ac)|(multiple cpu faults)|(system.+state.+changed )|(\[timeout)|(PRM\|1\|D)|(kpr)|(kdp)|(\|lc)|(penalty))" /e /r /s</v>
      </c>
      <c r="AG139" s="1" t="str">
        <f t="shared" si="50"/>
        <v>EC</v>
      </c>
      <c r="AH139" s="86" t="str">
        <f t="shared" si="51"/>
        <v>"%USERPROFILE%\Documents\GitHub\eaglep3\Utilities\RefineRTDCRunTimes.py" --tripid 227-24 --locoid 4009 --swversion DE.1.0.9.0 --startMP 204:426 --initTime 2017-02-24T20:07:55 --startdatetime 2017-02-24T20:30:14 --delay 1 --endMP 204:233393 --enddatetime 2017-02-24T21:09:28 --enforcementcount 1 &gt;&gt;C:\Users\stu\Documents\GitHub\eaglep3-reporting\EC\2017-02-24-refined-times.txt</v>
      </c>
      <c r="AI139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{"issue":{"subject":"","project_id":79,"tracker_id":40,"status_id":1,"priority_id":2,"assigned_to_id":23,"start_date":"2017-02-24","description":"","custom_fields":[{"id":1,"name":"Subdivision","value":"EC"},{"id":4,"name":"Milepost","value":"23.3393"},{"id":17,"name":"Train ID","value":"227-24"},{"id":16,"name":"Locomotive ID","value":"4009"},{"id":130,"name":"Impact","value":""},{"id":150,"name":"Time of Event (Mountain Time)","value":"21:09:28"},{"id":151,"name":"Denver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53"/>
        <v>start /low /b %USERPROFILE%\Documents\GitHub\eaglep3\Utilities\DownloadLogsFromS3.py --loco 4009 --day 2017-02-24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"%USERPROFILE%\AppData\Local\Temp\OnboardLogs"\RTDC4009\*4009*20170225* | grep -SE "(Enforcement Action)|(\[TIMEOUT)|(CHR.+\|PRM\|1\|D.+(SWITCH|SIGNAL).+UNKNOWN)" - &gt;&gt; 2017-02-24-UncaughtWiMAX.txt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658</v>
      </c>
      <c r="B140" s="7">
        <v>4010</v>
      </c>
      <c r="C140" s="21" t="s">
        <v>280</v>
      </c>
      <c r="D140" s="21" t="s">
        <v>723</v>
      </c>
      <c r="E140" s="13">
        <v>42790.883599537039</v>
      </c>
      <c r="F140" s="13">
        <v>42790.893437500003</v>
      </c>
      <c r="G140" s="7">
        <v>1</v>
      </c>
      <c r="H140" s="21" t="s">
        <v>724</v>
      </c>
      <c r="I140" s="13">
        <v>42790.920358796298</v>
      </c>
      <c r="J140" s="7">
        <v>1</v>
      </c>
      <c r="K140" s="98" t="str">
        <f t="shared" si="36"/>
        <v>4009/4010</v>
      </c>
      <c r="L140" s="21" t="str">
        <f>VLOOKUP(A140,'Trips&amp;Operators'!$C$1:$G$99999,5,FALSE)</f>
        <v>HILLS DUSTIN</v>
      </c>
      <c r="M140" s="6">
        <f t="shared" si="37"/>
        <v>2.6921296295768116E-2</v>
      </c>
      <c r="N140" s="7">
        <f t="shared" si="38"/>
        <v>38.766666665906087</v>
      </c>
      <c r="O140" s="7"/>
      <c r="P140" s="7"/>
      <c r="Q140" s="22"/>
      <c r="R140" s="22"/>
      <c r="S140" s="31">
        <f t="shared" si="39"/>
        <v>1</v>
      </c>
      <c r="T140" s="46" t="str">
        <f t="shared" si="40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41"/>
        <v>https://d0f6bd738d7f1b3e5a7ca70fe4ff75f0.us-east-1.aws.found.io/app/kibana#/discover/Steve-Slow-Train-Analysis-(2080s-and-2083s)?_g=(refreshInterval:(display:Off,pause:!f,section:0,value:0),time:(from:'2017-02-24T20:12:23-0700',mode:absolute,to:'2017-02-24T23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0" s="187" t="str">
        <f t="shared" si="42"/>
        <v>N</v>
      </c>
      <c r="X140" s="187">
        <f t="shared" si="43"/>
        <v>1</v>
      </c>
      <c r="Y140" s="62">
        <f t="shared" si="44"/>
        <v>23.309799999999999</v>
      </c>
      <c r="Z140" s="62">
        <f t="shared" si="45"/>
        <v>1.0500000000000001E-2</v>
      </c>
      <c r="AA140" s="62">
        <f t="shared" si="46"/>
        <v>23.299299999999999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47"/>
        <v>0228-24</v>
      </c>
      <c r="AE140" s="85" t="str">
        <f t="shared" si="48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140" s="82" t="str">
        <f t="shared" si="49"/>
        <v>"C:\Program Files (x86)\AstroGrep\AstroGrep.exe" /spath="%USERPROFILE%\AppData\Local\Temp\OnboardLogs" /stypes="app*4010*20170225*" /stext=" 05:.+((SYSTEM_STATE.+slice.+state.+changed )|(ment ac)|(multiple cpu faults)|(system.+state.+changed )|(\[timeout)|(PRM\|1\|D)|(kpr)|(kdp)|(\|lc)|(penalty))" /e /r /s</v>
      </c>
      <c r="AG140" s="1" t="str">
        <f t="shared" si="50"/>
        <v>EC</v>
      </c>
      <c r="AH140" s="86" t="str">
        <f t="shared" si="51"/>
        <v>"%USERPROFILE%\Documents\GitHub\eaglep3\Utilities\RefineRTDCRunTimes.py" --tripid 228-24 --locoid 4010 --swversion DE.1.0.9.0 --startMP 204:233098 --initTime 2017-02-24T21:12:23 --startdatetime 2017-02-24T21:26:33 --delay 1 --endMP 204:105 --enddatetime 2017-02-24T22:05:19 --enforcementcount 1 &gt;&gt;C:\Users\stu\Documents\GitHub\eaglep3-reporting\EC\2017-02-24-refined-times.txt</v>
      </c>
      <c r="AI140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{"issue":{"subject":"","project_id":79,"tracker_id":40,"status_id":1,"priority_id":2,"assigned_to_id":23,"start_date":"2017-02-24","description":"","custom_fields":[{"id":1,"name":"Subdivision","value":"EC"},{"id":4,"name":"Milepost","value":"0.0105"},{"id":17,"name":"Train ID","value":"228-24"},{"id":16,"name":"Locomotive ID","value":"4010"},{"id":130,"name":"Impact","value":""},{"id":150,"name":"Time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53"/>
        <v>start /low /b %USERPROFILE%\Documents\GitHub\eaglep3\Utilities\DownloadLogsFromS3.py --loco 4010 --day 2017-02-24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"%USERPROFILE%\AppData\Local\Temp\OnboardLogs"\RTDC4010\*4010*20170225* | grep -SE "(Enforcement Action)|(\[TIMEOUT)|(CHR.+\|PRM\|1\|D.+(SWITCH|SIGNAL).+UNKNOWN)" - &gt;&gt; 2017-02-24-UncaughtWiMAX.txt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655</v>
      </c>
      <c r="B141" s="7">
        <v>4025</v>
      </c>
      <c r="C141" s="21" t="s">
        <v>280</v>
      </c>
      <c r="D141" s="21" t="s">
        <v>265</v>
      </c>
      <c r="E141" s="13">
        <v>42790.862615740742</v>
      </c>
      <c r="F141" s="13">
        <v>42790.875231481485</v>
      </c>
      <c r="G141" s="7">
        <v>1</v>
      </c>
      <c r="H141" s="21" t="s">
        <v>716</v>
      </c>
      <c r="I141" s="13">
        <v>42790.900590277779</v>
      </c>
      <c r="J141" s="7">
        <v>1</v>
      </c>
      <c r="K141" s="98" t="str">
        <f t="shared" ref="K141:K203" si="54">IF(ISEVEN(B141),(B141-1)&amp;"/"&amp;B141,B141&amp;"/"&amp;(B141+1))</f>
        <v>4025/4026</v>
      </c>
      <c r="L141" s="21" t="str">
        <f>VLOOKUP(A141,'Trips&amp;Operators'!$C$1:$G$99999,5,FALSE)</f>
        <v>MCREYNOLDS KYLE</v>
      </c>
      <c r="M141" s="6">
        <f t="shared" ref="M141:M203" si="55">I141-F141</f>
        <v>2.5358796294312924E-2</v>
      </c>
      <c r="N141" s="7">
        <f t="shared" ref="N141:P203" si="56">24*60*SUM($M141:$M141)</f>
        <v>36.516666663810611</v>
      </c>
      <c r="O141" s="7"/>
      <c r="P141" s="7"/>
      <c r="Q141" s="22"/>
      <c r="R141" s="22"/>
      <c r="S141" s="31">
        <f t="shared" ref="S141:S203" si="57">SUM(U141:U141)/IF(AG141="EC",12,1)</f>
        <v>1</v>
      </c>
      <c r="T141" s="46" t="str">
        <f t="shared" ref="T141:T203" si="58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3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-24T19:42:10-0700',mode:absolute,to:'2017-02-24T22:36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1" s="187" t="str">
        <f t="shared" ref="W141:W203" si="60">IF(AA141&lt;IF(AG141="EC",23,5.65),"Y","N")</f>
        <v>N</v>
      </c>
      <c r="X141" s="187">
        <f t="shared" ref="X141:X203" si="61">VALUE(LEFT(AD141,4))-VALUE(LEFT(AD140,4))</f>
        <v>1</v>
      </c>
      <c r="Y141" s="62">
        <f t="shared" ref="Y141:Y203" si="62">RIGHT(D141,LEN(D141)-4)/10000</f>
        <v>4.7100000000000003E-2</v>
      </c>
      <c r="Z141" s="62">
        <f t="shared" ref="Z141:Z203" si="63">RIGHT(H141,LEN(H141)-4)/10000</f>
        <v>23.3309</v>
      </c>
      <c r="AA141" s="62">
        <f t="shared" ref="AA141:AA203" si="64">ABS(Z141-Y141)</f>
        <v>23.283799999999999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3" si="65">IF(LEN(A141)=6,"0"&amp;A141,A141)</f>
        <v>0229-24</v>
      </c>
      <c r="AE141" s="85" t="str">
        <f t="shared" ref="AE141:AE203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AF141" s="82" t="str">
        <f t="shared" ref="AF141:AF203" si="6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/stypes="app*4025*20170225*" /stext=" 04:.+((SYSTEM_STATE.+slice.+state.+changed )|(ment ac)|(multiple cpu faults)|(system.+state.+changed )|(\[timeout)|(PRM\|1\|D)|(kpr)|(kdp)|(\|lc)|(penalty))" /e /r /s</v>
      </c>
      <c r="AG141" s="1" t="str">
        <f t="shared" ref="AG141:AG203" si="68">IFERROR(IF(VALUE(LEFT(AD141,2))&lt;=2,"EC",IF(OR(VALUE(LEFT(AD141,2))=8,VALUE(LEFT(AD141,2))=18),"NW","Other")),"Other")</f>
        <v>EC</v>
      </c>
      <c r="AH141" s="86" t="str">
        <f t="shared" si="51"/>
        <v>"%USERPROFILE%\Documents\GitHub\eaglep3\Utilities\RefineRTDCRunTimes.py" --tripid 229-24 --locoid 4025 --swversion DE.1.0.9.0 --startMP 204:471 --initTime 2017-02-24T20:42:10 --startdatetime 2017-02-24T21:00:20 --delay 1 --endMP 204:233309 --enddatetime 2017-02-24T21:36:51 --enforcementcount 1 &gt;&gt;C:\Users\stu\Documents\GitHub\eaglep3-reporting\EC\2017-02-24-refined-times.txt</v>
      </c>
      <c r="AI141" s="108" t="str">
        <f t="shared" si="52"/>
        <v>echo {"issue":{"subject":"","project_id":79,"tracker_id":40,"status_id":1,"priority_id":2,"assigned_to_id":23,"start_date":"2017-02-24","description":"","custom_fields":[{"id":1,"name":"Subdivision","value":"EC"},{"id":4,"name":"Milepost","value":"23.3309"},{"id":17,"name":"Train ID","value":"229-24"},{"id":16,"name":"Locomotive ID","value":"4025"},{"id":130,"name":"Impact","value":""},{"id":150,"name":"Time of Event (Mountain Time)","value":"21:36:51"},{"id":151,"name":"Denver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53"/>
        <v>start /low /b %USERPROFILE%\Documents\GitHub\eaglep3\Utilities\DownloadLogsFromS3.py --loco 4025 --day 2017-02-24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"%USERPROFILE%\AppData\Local\Temp\OnboardLogs"\RTDC4025\*4025*20170225* | grep -SE "(Enforcement Action)|(\[TIMEOUT)|(CHR.+\|PRM\|1\|D.+(SWITCH|SIGNAL).+UNKNOWN)" - &gt;&gt; 2017-02-24-UncaughtWiMAX.txt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725</v>
      </c>
      <c r="B142" s="7">
        <v>4026</v>
      </c>
      <c r="C142" s="21" t="s">
        <v>280</v>
      </c>
      <c r="D142" s="21" t="s">
        <v>700</v>
      </c>
      <c r="E142" s="13">
        <v>42790.907939814817</v>
      </c>
      <c r="F142" s="13">
        <v>42790.914236111108</v>
      </c>
      <c r="G142" s="7">
        <v>1</v>
      </c>
      <c r="H142" s="21" t="s">
        <v>726</v>
      </c>
      <c r="I142" s="13">
        <v>42790.94222222222</v>
      </c>
      <c r="J142" s="7">
        <v>1</v>
      </c>
      <c r="K142" s="98" t="str">
        <f t="shared" si="54"/>
        <v>4025/4026</v>
      </c>
      <c r="L142" s="21" t="str">
        <f>VLOOKUP(A142,'Trips&amp;Operators'!$C$1:$G$99999,5,FALSE)</f>
        <v>MCREYNOLDS KYLE</v>
      </c>
      <c r="M142" s="6">
        <f t="shared" si="55"/>
        <v>2.7986111112113576E-2</v>
      </c>
      <c r="N142" s="7"/>
      <c r="O142" s="7"/>
      <c r="P142" s="7">
        <f t="shared" si="56"/>
        <v>40.30000000144355</v>
      </c>
      <c r="Q142" s="22"/>
      <c r="R142" s="22" t="s">
        <v>893</v>
      </c>
      <c r="S142" s="31">
        <f t="shared" si="57"/>
        <v>1</v>
      </c>
      <c r="T142" s="46" t="str">
        <f t="shared" si="58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59"/>
        <v>https://d0f6bd738d7f1b3e5a7ca70fe4ff75f0.us-east-1.aws.found.io/app/kibana#/discover/Steve-Slow-Train-Analysis-(2080s-and-2083s)?_g=(refreshInterval:(display:Off,pause:!f,section:0,value:0),time:(from:'2017-02-24T20:47:26-0700',mode:absolute,to:'2017-02-24T23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2" s="187" t="str">
        <f t="shared" si="60"/>
        <v>Y</v>
      </c>
      <c r="X142" s="187">
        <f t="shared" si="61"/>
        <v>1</v>
      </c>
      <c r="Y142" s="62">
        <f t="shared" si="62"/>
        <v>23.297999999999998</v>
      </c>
      <c r="Z142" s="62">
        <f t="shared" si="63"/>
        <v>0.97899999999999998</v>
      </c>
      <c r="AA142" s="62">
        <f t="shared" si="64"/>
        <v>22.318999999999999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5"/>
        <v>0230-24</v>
      </c>
      <c r="AE142" s="85" t="str">
        <f t="shared" si="66"/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AF142" s="82" t="str">
        <f t="shared" si="67"/>
        <v>"C:\Program Files (x86)\AstroGrep\AstroGrep.exe" /spath="%USERPROFILE%\AppData\Local\Temp\OnboardLogs" /stypes="app*4026*20170225*" /stext=" 05:.+((SYSTEM_STATE.+slice.+state.+changed )|(ment ac)|(multiple cpu faults)|(system.+state.+changed )|(\[timeout)|(PRM\|1\|D)|(kpr)|(kdp)|(\|lc)|(penalty))" /e /r /s</v>
      </c>
      <c r="AG142" s="1" t="str">
        <f t="shared" si="68"/>
        <v>EC</v>
      </c>
      <c r="AH142" s="86" t="str">
        <f t="shared" ref="AH142:AH204" si="6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230-24 --locoid 4026 --swversion DE.1.0.9.0 --startMP 204:232980 --initTime 2017-02-24T21:47:26 --startdatetime 2017-02-24T21:56:30 --delay 1 --endMP 204:9790 --enddatetime 2017-02-24T22:36:48 --enforcementcount 1 &gt;&gt;C:\Users\stu\Documents\GitHub\eaglep3-reporting\EC\2017-02-24-refined-times.txt</v>
      </c>
      <c r="AI142" s="108" t="str">
        <f t="shared" ref="AI142:AI204" si="7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{"issue":{"subject":"Bright 4S unexpected RESTRICTING aspect","project_id":79,"tracker_id":40,"status_id":1,"priority_id":2,"assigned_to_id":23,"start_date":"2017-02-24","description":"At 22:27:00, Bright 4S was showing RESTRICTING, seemed unexpected. Do logs tell anything interesting?","custom_fields":[{"id":1,"name":"Subdivision","value":"EC"},{"id":4,"name":"Milepost","value":"0.979"},{"id":17,"name":"Train ID","value":"230-24"},{"id":16,"name":"Locomotive ID","value":"4026"},{"id":130,"name":"Impact","value":"Unexpected Cut-Out or Disengaged"},{"id":150,"name":"Time of Event (Mountain Time)","value":"22:36:48"},{"id":151,"name":"Denver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2" s="48" t="s">
        <v>894</v>
      </c>
      <c r="AK142" s="48" t="s">
        <v>130</v>
      </c>
      <c r="AL142" s="48" t="s">
        <v>129</v>
      </c>
      <c r="AM142" s="154" t="str">
        <f t="shared" ref="AM142:AM204" si="71">"start /low /b "&amp;dls3logs&amp;" --loco "&amp;B142&amp;" --day "&amp;TEXT(F142,"YYYY-MM-DD")</f>
        <v>start /low /b %USERPROFILE%\Documents\GitHub\eaglep3\Utilities\DownloadLogsFromS3.py --loco 4026 --day 2017-02-24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"%USERPROFILE%\AppData\Local\Temp\OnboardLogs"\RTDC4026\*4026*20170225* | grep -SE "(Enforcement Action)|(\[TIMEOUT)|(CHR.+\|PRM\|1\|D.+(SWITCH|SIGNAL).+UNKNOWN)" - &gt;&gt; 2017-02-24-UncaughtWiMAX.txt</v>
      </c>
    </row>
    <row r="143" spans="1:91" s="20" customFormat="1" x14ac:dyDescent="0.25">
      <c r="A143" s="33" t="s">
        <v>659</v>
      </c>
      <c r="B143" s="7">
        <v>4031</v>
      </c>
      <c r="C143" s="21" t="s">
        <v>280</v>
      </c>
      <c r="D143" s="21" t="s">
        <v>225</v>
      </c>
      <c r="E143" s="13">
        <v>42790.887453703705</v>
      </c>
      <c r="F143" s="13">
        <v>42790.896145833336</v>
      </c>
      <c r="G143" s="7">
        <v>2</v>
      </c>
      <c r="H143" s="21" t="s">
        <v>727</v>
      </c>
      <c r="I143" s="13">
        <v>42790.921481481484</v>
      </c>
      <c r="J143" s="7">
        <v>1</v>
      </c>
      <c r="K143" s="98" t="str">
        <f t="shared" si="54"/>
        <v>4031/4032</v>
      </c>
      <c r="L143" s="21" t="str">
        <f>VLOOKUP(A143,'Trips&amp;Operators'!$C$1:$G$99999,5,FALSE)</f>
        <v>STORY SAMANTHA</v>
      </c>
      <c r="M143" s="6">
        <f t="shared" si="55"/>
        <v>2.5335648148029577E-2</v>
      </c>
      <c r="N143" s="7">
        <f t="shared" si="56"/>
        <v>36.483333333162591</v>
      </c>
      <c r="O143" s="7"/>
      <c r="P143" s="7"/>
      <c r="Q143" s="22"/>
      <c r="R143" s="22"/>
      <c r="S143" s="31">
        <f t="shared" si="57"/>
        <v>1</v>
      </c>
      <c r="T143" s="46" t="str">
        <f t="shared" si="58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59"/>
        <v>https://d0f6bd738d7f1b3e5a7ca70fe4ff75f0.us-east-1.aws.found.io/app/kibana#/discover/Steve-Slow-Train-Analysis-(2080s-and-2083s)?_g=(refreshInterval:(display:Off,pause:!f,section:0,value:0),time:(from:'2017-02-24T20:17:56-0700',mode:absolute,to:'2017-02-24T23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3" s="187" t="str">
        <f t="shared" si="60"/>
        <v>N</v>
      </c>
      <c r="X143" s="187">
        <f t="shared" si="61"/>
        <v>1</v>
      </c>
      <c r="Y143" s="62">
        <f t="shared" si="62"/>
        <v>4.5999999999999999E-2</v>
      </c>
      <c r="Z143" s="62">
        <f t="shared" si="63"/>
        <v>23.338899999999999</v>
      </c>
      <c r="AA143" s="62">
        <f t="shared" si="64"/>
        <v>23.292899999999999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5"/>
        <v>0231-24</v>
      </c>
      <c r="AE143" s="85" t="str">
        <f t="shared" si="66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143" s="82" t="str">
        <f t="shared" si="67"/>
        <v>"C:\Program Files (x86)\AstroGrep\AstroGrep.exe" /spath="%USERPROFILE%\AppData\Local\Temp\OnboardLogs" /stypes="app*4031*20170225*" /stext=" 05:.+((SYSTEM_STATE.+slice.+state.+changed )|(ment ac)|(multiple cpu faults)|(system.+state.+changed )|(\[timeout)|(PRM\|1\|D)|(kpr)|(kdp)|(\|lc)|(penalty))" /e /r /s</v>
      </c>
      <c r="AG143" s="1" t="str">
        <f t="shared" si="68"/>
        <v>EC</v>
      </c>
      <c r="AH143" s="86" t="str">
        <f t="shared" si="69"/>
        <v>"%USERPROFILE%\Documents\GitHub\eaglep3\Utilities\RefineRTDCRunTimes.py" --tripid 231-24 --locoid 4031 --swversion DE.1.0.9.0 --startMP 204:460 --initTime 2017-02-24T21:17:56 --startdatetime 2017-02-24T21:30:27 --delay 2 --endMP 204:233389 --enddatetime 2017-02-24T22:06:56 --enforcementcount 1 &gt;&gt;C:\Users\stu\Documents\GitHub\eaglep3-reporting\EC\2017-02-24-refined-times.txt</v>
      </c>
      <c r="AI143" s="108" t="str">
        <f t="shared" si="70"/>
        <v>echo {"issue":{"subject":"","project_id":79,"tracker_id":40,"status_id":1,"priority_id":2,"assigned_to_id":23,"start_date":"2017-02-24","description":"","custom_fields":[{"id":1,"name":"Subdivision","value":"EC"},{"id":4,"name":"Milepost","value":"23.3389"},{"id":17,"name":"Train ID","value":"231-24"},{"id":16,"name":"Locomotive ID","value":"4031"},{"id":130,"name":"Impact","value":""},{"id":150,"name":"Time of Event (Mountain Time)","value":"22:06:56"},{"id":151,"name":"Denver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71"/>
        <v>start /low /b %USERPROFILE%\Documents\GitHub\eaglep3\Utilities\DownloadLogsFromS3.py --loco 4031 --day 2017-02-24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"%USERPROFILE%\AppData\Local\Temp\OnboardLogs"\RTDC4031\*4031*20170225* | grep -SE "(Enforcement Action)|(\[TIMEOUT)|(CHR.+\|PRM\|1\|D.+(SWITCH|SIGNAL).+UNKNOWN)" - &gt;&gt; 2017-02-24-UncaughtWiMAX.txt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728</v>
      </c>
      <c r="B144" s="7">
        <v>4032</v>
      </c>
      <c r="C144" s="21" t="s">
        <v>280</v>
      </c>
      <c r="D144" s="21" t="s">
        <v>729</v>
      </c>
      <c r="E144" s="13">
        <v>42790.929965277777</v>
      </c>
      <c r="F144" s="13">
        <v>42790.934942129628</v>
      </c>
      <c r="G144" s="7">
        <v>1</v>
      </c>
      <c r="H144" s="21" t="s">
        <v>203</v>
      </c>
      <c r="I144" s="13">
        <v>42790.967002314814</v>
      </c>
      <c r="J144" s="7">
        <v>1</v>
      </c>
      <c r="K144" s="98" t="str">
        <f t="shared" si="54"/>
        <v>4031/4032</v>
      </c>
      <c r="L144" s="21" t="str">
        <f>VLOOKUP(A144,'Trips&amp;Operators'!$C$1:$G$99999,5,FALSE)</f>
        <v>STORY SAMANTHA</v>
      </c>
      <c r="M144" s="6">
        <f t="shared" si="55"/>
        <v>3.2060185185400769E-2</v>
      </c>
      <c r="N144" s="7">
        <f t="shared" si="56"/>
        <v>46.166666666977108</v>
      </c>
      <c r="O144" s="7"/>
      <c r="P144" s="7"/>
      <c r="Q144" s="22"/>
      <c r="R144" s="22"/>
      <c r="S144" s="31">
        <f t="shared" si="57"/>
        <v>1</v>
      </c>
      <c r="T144" s="46" t="str">
        <f t="shared" si="58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59"/>
        <v>https://d0f6bd738d7f1b3e5a7ca70fe4ff75f0.us-east-1.aws.found.io/app/kibana#/discover/Steve-Slow-Train-Analysis-(2080s-and-2083s)?_g=(refreshInterval:(display:Off,pause:!f,section:0,value:0),time:(from:'2017-02-24T21:19:09-0700',mode:absolute,to:'2017-02-25T00:12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4" s="187" t="str">
        <f t="shared" si="60"/>
        <v>N</v>
      </c>
      <c r="X144" s="187">
        <f t="shared" si="61"/>
        <v>1</v>
      </c>
      <c r="Y144" s="62">
        <f t="shared" si="62"/>
        <v>23.3125</v>
      </c>
      <c r="Z144" s="62">
        <f t="shared" si="63"/>
        <v>1.6E-2</v>
      </c>
      <c r="AA144" s="62">
        <f t="shared" si="64"/>
        <v>23.296500000000002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5"/>
        <v>0232-24</v>
      </c>
      <c r="AE144" s="85" t="str">
        <f t="shared" si="66"/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AF144" s="82" t="str">
        <f t="shared" si="67"/>
        <v>"C:\Program Files (x86)\AstroGrep\AstroGrep.exe" /spath="%USERPROFILE%\AppData\Local\Temp\OnboardLogs" /stypes="app*4032*20170225*" /stext=" 06:.+((SYSTEM_STATE.+slice.+state.+changed )|(ment ac)|(multiple cpu faults)|(system.+state.+changed )|(\[timeout)|(PRM\|1\|D)|(kpr)|(kdp)|(\|lc)|(penalty))" /e /r /s</v>
      </c>
      <c r="AG144" s="1" t="str">
        <f t="shared" si="68"/>
        <v>EC</v>
      </c>
      <c r="AH144" s="86" t="str">
        <f t="shared" si="69"/>
        <v>"%USERPROFILE%\Documents\GitHub\eaglep3\Utilities\RefineRTDCRunTimes.py" --tripid 232-24 --locoid 4032 --swversion DE.1.0.9.0 --startMP 204:233125 --initTime 2017-02-24T22:19:09 --startdatetime 2017-02-24T22:26:19 --delay 1 --endMP 204:160 --enddatetime 2017-02-24T23:12:29 --enforcementcount 1 &gt;&gt;C:\Users\stu\Documents\GitHub\eaglep3-reporting\EC\2017-02-24-refined-times.txt</v>
      </c>
      <c r="AI144" s="108" t="str">
        <f t="shared" si="70"/>
        <v>echo {"issue":{"subject":"","project_id":79,"tracker_id":40,"status_id":1,"priority_id":2,"assigned_to_id":23,"start_date":"2017-02-24","description":"","custom_fields":[{"id":1,"name":"Subdivision","value":"EC"},{"id":4,"name":"Milepost","value":"0.016"},{"id":17,"name":"Train ID","value":"232-24"},{"id":16,"name":"Locomotive ID","value":"4032"},{"id":130,"name":"Impact","value":""},{"id":150,"name":"Time of Event (Mountain Time)","value":"23:12:29"},{"id":151,"name":"Denver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71"/>
        <v>start /low /b %USERPROFILE%\Documents\GitHub\eaglep3\Utilities\DownloadLogsFromS3.py --loco 4032 --day 2017-02-24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"%USERPROFILE%\AppData\Local\Temp\OnboardLogs"\RTDC4032\*4032*20170225* | grep -SE "(Enforcement Action)|(\[TIMEOUT)|(CHR.+\|PRM\|1\|D.+(SWITCH|SIGNAL).+UNKNOWN)" - &gt;&gt; 2017-02-24-UncaughtWiMAX.txt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478</v>
      </c>
      <c r="B145" s="7">
        <v>4022</v>
      </c>
      <c r="C145" s="21" t="s">
        <v>280</v>
      </c>
      <c r="D145" s="21" t="s">
        <v>334</v>
      </c>
      <c r="E145" s="13">
        <v>42790.906944444447</v>
      </c>
      <c r="F145" s="13">
        <v>42790.917013888888</v>
      </c>
      <c r="G145" s="7">
        <v>1</v>
      </c>
      <c r="H145" s="21" t="s">
        <v>701</v>
      </c>
      <c r="I145" s="13">
        <v>42790.94327546296</v>
      </c>
      <c r="J145" s="7">
        <v>1</v>
      </c>
      <c r="K145" s="98" t="str">
        <f t="shared" si="54"/>
        <v>4021/4022</v>
      </c>
      <c r="L145" s="21" t="str">
        <f>VLOOKUP(A145,'Trips&amp;Operators'!$C$1:$G$99999,5,FALSE)</f>
        <v>STAMBAUGH JAMES</v>
      </c>
      <c r="M145" s="6">
        <f t="shared" si="55"/>
        <v>2.626157407212304E-2</v>
      </c>
      <c r="N145" s="7">
        <f t="shared" si="56"/>
        <v>37.816666663857177</v>
      </c>
      <c r="O145" s="7"/>
      <c r="P145" s="7"/>
      <c r="Q145" s="22"/>
      <c r="R145" s="22"/>
      <c r="S145" s="31">
        <f t="shared" si="57"/>
        <v>1</v>
      </c>
      <c r="T145" s="46" t="str">
        <f t="shared" si="58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59"/>
        <v>https://d0f6bd738d7f1b3e5a7ca70fe4ff75f0.us-east-1.aws.found.io/app/kibana#/discover/Steve-Slow-Train-Analysis-(2080s-and-2083s)?_g=(refreshInterval:(display:Off,pause:!f,section:0,value:0),time:(from:'2017-02-24T20:46:00-0700',mode:absolute,to:'2017-02-24T23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5" s="187" t="str">
        <f t="shared" si="60"/>
        <v>N</v>
      </c>
      <c r="X145" s="187">
        <f t="shared" si="61"/>
        <v>1</v>
      </c>
      <c r="Y145" s="62">
        <f t="shared" si="62"/>
        <v>4.4200000000000003E-2</v>
      </c>
      <c r="Z145" s="62">
        <f t="shared" si="63"/>
        <v>23.331900000000001</v>
      </c>
      <c r="AA145" s="62">
        <f t="shared" si="64"/>
        <v>23.287700000000001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5"/>
        <v>0233-24</v>
      </c>
      <c r="AE145" s="85" t="str">
        <f t="shared" si="66"/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AF145" s="82" t="str">
        <f t="shared" si="67"/>
        <v>"C:\Program Files (x86)\AstroGrep\AstroGrep.exe" /spath="%USERPROFILE%\AppData\Local\Temp\OnboardLogs" /stypes="app*4022*20170225*" /stext=" 05:.+((SYSTEM_STATE.+slice.+state.+changed )|(ment ac)|(multiple cpu faults)|(system.+state.+changed )|(\[timeout)|(PRM\|1\|D)|(kpr)|(kdp)|(\|lc)|(penalty))" /e /r /s</v>
      </c>
      <c r="AG145" s="1" t="str">
        <f t="shared" si="68"/>
        <v>EC</v>
      </c>
      <c r="AH145" s="86" t="str">
        <f t="shared" si="69"/>
        <v>"%USERPROFILE%\Documents\GitHub\eaglep3\Utilities\RefineRTDCRunTimes.py" --tripid 233-24 --locoid 4022 --swversion DE.1.0.9.0 --startMP 204:442 --initTime 2017-02-24T21:46:00 --startdatetime 2017-02-24T22:00:30 --delay 1 --endMP 204:233319 --enddatetime 2017-02-24T22:38:19 --enforcementcount 1 &gt;&gt;C:\Users\stu\Documents\GitHub\eaglep3-reporting\EC\2017-02-24-refined-times.txt</v>
      </c>
      <c r="AI145" s="108" t="str">
        <f t="shared" si="70"/>
        <v>echo {"issue":{"subject":"","project_id":79,"tracker_id":40,"status_id":1,"priority_id":2,"assigned_to_id":23,"start_date":"2017-02-24","description":"","custom_fields":[{"id":1,"name":"Subdivision","value":"EC"},{"id":4,"name":"Milepost","value":"23.3319"},{"id":17,"name":"Train ID","value":"233-24"},{"id":16,"name":"Locomotive ID","value":"4022"},{"id":130,"name":"Impact","value":""},{"id":150,"name":"Time of Event (Mountain Time)","value":"22:38:19"},{"id":151,"name":"Denver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71"/>
        <v>start /low /b %USERPROFILE%\Documents\GitHub\eaglep3\Utilities\DownloadLogsFromS3.py --loco 4022 --day 2017-02-24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"%USERPROFILE%\AppData\Local\Temp\OnboardLogs"\RTDC4022\*4022*20170225* | grep -SE "(Enforcement Action)|(\[TIMEOUT)|(CHR.+\|PRM\|1\|D.+(SWITCH|SIGNAL).+UNKNOWN)" - &gt;&gt; 2017-02-24-UncaughtWiMAX.txt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730</v>
      </c>
      <c r="B146" s="7">
        <v>4021</v>
      </c>
      <c r="C146" s="21" t="s">
        <v>280</v>
      </c>
      <c r="D146" s="21" t="s">
        <v>394</v>
      </c>
      <c r="E146" s="13">
        <v>42790.945092592592</v>
      </c>
      <c r="F146" s="13">
        <v>42790.955868055556</v>
      </c>
      <c r="G146" s="7">
        <v>1</v>
      </c>
      <c r="H146" s="21" t="s">
        <v>220</v>
      </c>
      <c r="I146" s="13">
        <v>42790.983842592592</v>
      </c>
      <c r="J146" s="7">
        <v>1</v>
      </c>
      <c r="K146" s="98" t="str">
        <f t="shared" si="54"/>
        <v>4021/4022</v>
      </c>
      <c r="L146" s="21" t="str">
        <f>VLOOKUP(A146,'Trips&amp;Operators'!$C$1:$G$99999,5,FALSE)</f>
        <v>STAMBAUGH JAMES</v>
      </c>
      <c r="M146" s="6">
        <f t="shared" si="55"/>
        <v>2.7974537035333924E-2</v>
      </c>
      <c r="N146" s="7">
        <f t="shared" si="56"/>
        <v>40.283333330880851</v>
      </c>
      <c r="O146" s="7"/>
      <c r="P146" s="7"/>
      <c r="Q146" s="22"/>
      <c r="R146" s="22"/>
      <c r="S146" s="31">
        <f t="shared" si="57"/>
        <v>1</v>
      </c>
      <c r="T146" s="46" t="str">
        <f t="shared" si="58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59"/>
        <v>https://d0f6bd738d7f1b3e5a7ca70fe4ff75f0.us-east-1.aws.found.io/app/kibana#/discover/Steve-Slow-Train-Analysis-(2080s-and-2083s)?_g=(refreshInterval:(display:Off,pause:!f,section:0,value:0),time:(from:'2017-02-24T21:40:56-0700',mode:absolute,to:'2017-02-25T00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6" s="187" t="str">
        <f t="shared" si="60"/>
        <v>N</v>
      </c>
      <c r="X146" s="187">
        <f t="shared" si="61"/>
        <v>1</v>
      </c>
      <c r="Y146" s="62">
        <f t="shared" si="62"/>
        <v>23.301300000000001</v>
      </c>
      <c r="Z146" s="62">
        <f t="shared" si="63"/>
        <v>1.43E-2</v>
      </c>
      <c r="AA146" s="62">
        <f t="shared" si="64"/>
        <v>23.287000000000003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5"/>
        <v>0234-24</v>
      </c>
      <c r="AE146" s="85" t="str">
        <f t="shared" si="66"/>
        <v>aws s3 cp s3://rtdc.mdm.uploadarchive.raw/RTDC4021/ "%USERPROFILE%\AppData\Local\Temp\OnboardLogs"\RTDC4021\2017-02-24 --exclude "*" --recursive --include "*20170224*" &amp; "%USERPROFILE%\Documents\GitHub\mrs-test-scripts\Headless Mode &amp; Sideloading\WalkAndUnGZ.bat" "%USERPROFILE%\AppData\Local\Temp\OnboardLogs"\RTDC4021\2017-02-24 &amp; 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</v>
      </c>
      <c r="AF146" s="82" t="str">
        <f t="shared" si="67"/>
        <v>"C:\Program Files (x86)\AstroGrep\AstroGrep.exe" /spath="%USERPROFILE%\AppData\Local\Temp\OnboardLogs" /stypes="app*4021*20170225*" /stext=" 06:.+((SYSTEM_STATE.+slice.+state.+changed )|(ment ac)|(multiple cpu faults)|(system.+state.+changed )|(\[timeout)|(PRM\|1\|D)|(kpr)|(kdp)|(\|lc)|(penalty))" /e /r /s</v>
      </c>
      <c r="AG146" s="1" t="str">
        <f t="shared" si="68"/>
        <v>EC</v>
      </c>
      <c r="AH146" s="86" t="str">
        <f t="shared" si="69"/>
        <v>"%USERPROFILE%\Documents\GitHub\eaglep3\Utilities\RefineRTDCRunTimes.py" --tripid 234-24 --locoid 4021 --swversion DE.1.0.9.0 --startMP 204:233013 --initTime 2017-02-24T22:40:56 --startdatetime 2017-02-24T22:56:27 --delay 1 --endMP 204:143 --enddatetime 2017-02-24T23:36:44 --enforcementcount 1 &gt;&gt;C:\Users\stu\Documents\GitHub\eaglep3-reporting\EC\2017-02-24-refined-times.txt</v>
      </c>
      <c r="AI146" s="108" t="str">
        <f t="shared" si="70"/>
        <v>echo {"issue":{"subject":"","project_id":79,"tracker_id":40,"status_id":1,"priority_id":2,"assigned_to_id":23,"start_date":"2017-02-24","description":"","custom_fields":[{"id":1,"name":"Subdivision","value":"EC"},{"id":4,"name":"Milepost","value":"0.0143"},{"id":17,"name":"Train ID","value":"234-24"},{"id":16,"name":"Locomotive ID","value":"4021"},{"id":130,"name":"Impact","value":""},{"id":150,"name":"Time of Event (Mountain Time)","value":"23:36:44"},{"id":151,"name":"Denver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71"/>
        <v>start /low /b %USERPROFILE%\Documents\GitHub\eaglep3\Utilities\DownloadLogsFromS3.py --loco 4021 --day 2017-02-24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"%USERPROFILE%\AppData\Local\Temp\OnboardLogs"\RTDC4021\*4021*20170225* | grep -SE "(Enforcement Action)|(\[TIMEOUT)|(CHR.+\|PRM\|1\|D.+(SWITCH|SIGNAL).+UNKNOWN)" - &gt;&gt; 2017-02-24-UncaughtWiMAX.txt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731</v>
      </c>
      <c r="B147" s="7">
        <v>4009</v>
      </c>
      <c r="C147" s="21" t="s">
        <v>280</v>
      </c>
      <c r="D147" s="21" t="s">
        <v>732</v>
      </c>
      <c r="E147" s="13">
        <v>42790.921805555554</v>
      </c>
      <c r="F147" s="13">
        <v>42790.938483796293</v>
      </c>
      <c r="G147" s="7">
        <v>1</v>
      </c>
      <c r="H147" s="21" t="s">
        <v>733</v>
      </c>
      <c r="I147" s="13">
        <v>42790.964456018519</v>
      </c>
      <c r="J147" s="7">
        <v>1</v>
      </c>
      <c r="K147" s="98" t="str">
        <f t="shared" si="54"/>
        <v>4009/4010</v>
      </c>
      <c r="L147" s="21" t="str">
        <f>VLOOKUP(A147,'Trips&amp;Operators'!$C$1:$G$99999,5,FALSE)</f>
        <v>HILLS DUSTIN</v>
      </c>
      <c r="M147" s="6">
        <f t="shared" si="55"/>
        <v>2.5972222225391306E-2</v>
      </c>
      <c r="N147" s="7">
        <f t="shared" si="56"/>
        <v>37.400000004563481</v>
      </c>
      <c r="O147" s="7"/>
      <c r="P147" s="7"/>
      <c r="Q147" s="22"/>
      <c r="R147" s="22"/>
      <c r="S147" s="31">
        <f t="shared" si="57"/>
        <v>1</v>
      </c>
      <c r="T147" s="46" t="str">
        <f t="shared" si="58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59"/>
        <v>https://d0f6bd738d7f1b3e5a7ca70fe4ff75f0.us-east-1.aws.found.io/app/kibana#/discover/Steve-Slow-Train-Analysis-(2080s-and-2083s)?_g=(refreshInterval:(display:Off,pause:!f,section:0,value:0),time:(from:'2017-02-24T21:07:24-0700',mode:absolute,to:'2017-02-25T00:08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187" t="str">
        <f t="shared" si="60"/>
        <v>N</v>
      </c>
      <c r="X147" s="187">
        <f t="shared" si="61"/>
        <v>1</v>
      </c>
      <c r="Y147" s="62">
        <f t="shared" si="62"/>
        <v>4.0399999999999998E-2</v>
      </c>
      <c r="Z147" s="62">
        <f t="shared" si="63"/>
        <v>23.339700000000001</v>
      </c>
      <c r="AA147" s="62">
        <f t="shared" si="64"/>
        <v>23.299299999999999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5"/>
        <v>0235-24</v>
      </c>
      <c r="AE147" s="85" t="str">
        <f t="shared" si="66"/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AF147" s="82" t="str">
        <f t="shared" si="67"/>
        <v>"C:\Program Files (x86)\AstroGrep\AstroGrep.exe" /spath="%USERPROFILE%\AppData\Local\Temp\OnboardLogs" /stypes="app*4009*20170225*" /stext=" 06:.+((SYSTEM_STATE.+slice.+state.+changed )|(ment ac)|(multiple cpu faults)|(system.+state.+changed )|(\[timeout)|(PRM\|1\|D)|(kpr)|(kdp)|(\|lc)|(penalty))" /e /r /s</v>
      </c>
      <c r="AG147" s="1" t="str">
        <f t="shared" si="68"/>
        <v>EC</v>
      </c>
      <c r="AH147" s="86" t="str">
        <f t="shared" si="69"/>
        <v>"%USERPROFILE%\Documents\GitHub\eaglep3\Utilities\RefineRTDCRunTimes.py" --tripid 235-24 --locoid 4009 --swversion DE.1.0.9.0 --startMP 204:404 --initTime 2017-02-24T22:07:24 --startdatetime 2017-02-24T22:31:25 --delay 1 --endMP 204:233397 --enddatetime 2017-02-24T23:08:49 --enforcementcount 1 &gt;&gt;C:\Users\stu\Documents\GitHub\eaglep3-reporting\EC\2017-02-24-refined-times.txt</v>
      </c>
      <c r="AI147" s="108" t="str">
        <f t="shared" si="70"/>
        <v>echo {"issue":{"subject":"","project_id":79,"tracker_id":40,"status_id":1,"priority_id":2,"assigned_to_id":23,"start_date":"2017-02-24","description":"","custom_fields":[{"id":1,"name":"Subdivision","value":"EC"},{"id":4,"name":"Milepost","value":"23.3397"},{"id":17,"name":"Train ID","value":"235-24"},{"id":16,"name":"Locomotive ID","value":"4009"},{"id":130,"name":"Impact","value":""},{"id":150,"name":"Time of Event (Mountain Time)","value":"23:08:49"},{"id":151,"name":"Denver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71"/>
        <v>start /low /b %USERPROFILE%\Documents\GitHub\eaglep3\Utilities\DownloadLogsFromS3.py --loco 4009 --day 2017-02-24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"%USERPROFILE%\AppData\Local\Temp\OnboardLogs"\RTDC4009\*4009*20170225* | grep -SE "(Enforcement Action)|(\[TIMEOUT)|(CHR.+\|PRM\|1\|D.+(SWITCH|SIGNAL).+UNKNOWN)" - &gt;&gt; 2017-02-24-UncaughtWiMAX.txt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479</v>
      </c>
      <c r="B148" s="7">
        <v>4010</v>
      </c>
      <c r="C148" s="21" t="s">
        <v>280</v>
      </c>
      <c r="D148" s="21" t="s">
        <v>679</v>
      </c>
      <c r="E148" s="13">
        <v>42790.9684375</v>
      </c>
      <c r="F148" s="13">
        <v>42790.976724537039</v>
      </c>
      <c r="G148" s="7">
        <v>1</v>
      </c>
      <c r="H148" s="21" t="s">
        <v>389</v>
      </c>
      <c r="I148" s="13">
        <v>42791.006631944445</v>
      </c>
      <c r="J148" s="7">
        <v>1</v>
      </c>
      <c r="K148" s="98" t="str">
        <f t="shared" si="54"/>
        <v>4009/4010</v>
      </c>
      <c r="L148" s="21" t="str">
        <f>VLOOKUP(A148,'Trips&amp;Operators'!$C$1:$G$99999,5,FALSE)</f>
        <v>HILLS DUSTIN</v>
      </c>
      <c r="M148" s="6">
        <f t="shared" si="55"/>
        <v>2.9907407406426501E-2</v>
      </c>
      <c r="N148" s="7">
        <f t="shared" si="56"/>
        <v>43.066666665254161</v>
      </c>
      <c r="O148" s="7"/>
      <c r="P148" s="7"/>
      <c r="Q148" s="22"/>
      <c r="R148" s="22" t="s">
        <v>895</v>
      </c>
      <c r="S148" s="31">
        <f t="shared" si="57"/>
        <v>1</v>
      </c>
      <c r="T148" s="46" t="str">
        <f t="shared" si="58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59"/>
        <v>https://d0f6bd738d7f1b3e5a7ca70fe4ff75f0.us-east-1.aws.found.io/app/kibana#/discover/Steve-Slow-Train-Analysis-(2080s-and-2083s)?_g=(refreshInterval:(display:Off,pause:!f,section:0,value:0),time:(from:'2017-02-24T22:14:33-0700',mode:absolute,to:'2017-02-25T01:09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8" s="187" t="str">
        <f t="shared" si="60"/>
        <v>N</v>
      </c>
      <c r="X148" s="187">
        <f t="shared" si="61"/>
        <v>1</v>
      </c>
      <c r="Y148" s="62">
        <f t="shared" si="62"/>
        <v>23.308700000000002</v>
      </c>
      <c r="Z148" s="62">
        <f t="shared" si="63"/>
        <v>1.32E-2</v>
      </c>
      <c r="AA148" s="62">
        <f t="shared" si="64"/>
        <v>23.295500000000001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5"/>
        <v>0236-24</v>
      </c>
      <c r="AE148" s="85" t="str">
        <f t="shared" si="66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148" s="82" t="str">
        <f t="shared" si="67"/>
        <v>"C:\Program Files (x86)\AstroGrep\AstroGrep.exe" /spath="%USERPROFILE%\AppData\Local\Temp\OnboardLogs" /stypes="app*4010*20170225*" /stext=" 07:.+((SYSTEM_STATE.+slice.+state.+changed )|(ment ac)|(multiple cpu faults)|(system.+state.+changed )|(\[timeout)|(PRM\|1\|D)|(kpr)|(kdp)|(\|lc)|(penalty))" /e /r /s</v>
      </c>
      <c r="AG148" s="1" t="str">
        <f t="shared" si="68"/>
        <v>EC</v>
      </c>
      <c r="AH148" s="86" t="str">
        <f t="shared" si="69"/>
        <v>"%USERPROFILE%\Documents\GitHub\eaglep3\Utilities\RefineRTDCRunTimes.py" --tripid 236-24 --locoid 4010 --swversion DE.1.0.9.0 --startMP 204:233087 --initTime 2017-02-24T23:14:33 --startdatetime 2017-02-24T23:26:29 --delay 1 --endMP 204:132 --enddatetime 2017-02-25T00:09:33 --enforcementcount 1 &gt;&gt;C:\Users\stu\Documents\GitHub\eaglep3-reporting\EC\2017-02-24-refined-times.txt</v>
      </c>
      <c r="AI148" s="108" t="str">
        <f t="shared" si="70"/>
        <v>echo {"issue":{"subject":"Wheel tach slip at 2017-02-24 23:50:21 ","project_id":79,"tracker_id":40,"status_id":1,"priority_id":2,"assigned_to_id":23,"start_date":"2017-02-25","description":"","custom_fields":[{"id":1,"name":"Subdivision","value":"EC"},{"id":4,"name":"Milepost","value":"0.0132"},{"id":17,"name":"Train ID","value":"236-24"},{"id":16,"name":"Locomotive ID","value":"4010"},{"id":130,"name":"Impact","value":""},{"id":150,"name":"Time of Event (Mountain Time)","value":"00:09:33"},{"id":151,"name":"Denver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71"/>
        <v>start /low /b %USERPROFILE%\Documents\GitHub\eaglep3\Utilities\DownloadLogsFromS3.py --loco 4010 --day 2017-02-24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"%USERPROFILE%\AppData\Local\Temp\OnboardLogs"\RTDC4010\*4010*20170225* | grep -SE "(Enforcement Action)|(\[TIMEOUT)|(CHR.+\|PRM\|1\|D.+(SWITCH|SIGNAL).+UNKNOWN)" - &gt;&gt; 2017-02-24-UncaughtWiMAX.txt</v>
      </c>
    </row>
    <row r="149" spans="1:91" x14ac:dyDescent="0.25">
      <c r="A149" s="33" t="s">
        <v>734</v>
      </c>
      <c r="B149" s="7">
        <v>4026</v>
      </c>
      <c r="C149" s="21" t="s">
        <v>280</v>
      </c>
      <c r="D149" s="21" t="s">
        <v>299</v>
      </c>
      <c r="E149" s="13">
        <v>42790.998449074075</v>
      </c>
      <c r="F149" s="13">
        <v>42791.000694444447</v>
      </c>
      <c r="G149" s="7">
        <v>2</v>
      </c>
      <c r="H149" s="21" t="s">
        <v>735</v>
      </c>
      <c r="I149" s="13">
        <v>42791.028101851851</v>
      </c>
      <c r="J149" s="7">
        <v>1</v>
      </c>
      <c r="K149" s="98" t="str">
        <f t="shared" si="54"/>
        <v>4025/4026</v>
      </c>
      <c r="L149" s="21" t="str">
        <f>VLOOKUP(A149,'Trips&amp;Operators'!$C$1:$G$99999,5,FALSE)</f>
        <v>SAFIEF AEIMEN</v>
      </c>
      <c r="M149" s="6">
        <f t="shared" si="55"/>
        <v>2.7407407404098194E-2</v>
      </c>
      <c r="N149" s="7">
        <f t="shared" si="56"/>
        <v>39.466666661901399</v>
      </c>
      <c r="O149" s="7"/>
      <c r="P149" s="7"/>
      <c r="Q149" s="22"/>
      <c r="R149" s="22"/>
      <c r="S149" s="31">
        <f t="shared" si="57"/>
        <v>1</v>
      </c>
      <c r="T149" s="46" t="str">
        <f t="shared" si="58"/>
        <v>Southbound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59"/>
        <v>https://d0f6bd738d7f1b3e5a7ca70fe4ff75f0.us-east-1.aws.found.io/app/kibana#/discover/Steve-Slow-Train-Analysis-(2080s-and-2083s)?_g=(refreshInterval:(display:Off,pause:!f,section:0,value:0),time:(from:'2017-02-24T22:57:46-0700',mode:absolute,to:'2017-02-25T01:40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187" t="str">
        <f t="shared" si="60"/>
        <v>N</v>
      </c>
      <c r="X149" s="187">
        <f t="shared" si="61"/>
        <v>2</v>
      </c>
      <c r="Y149" s="62">
        <f t="shared" si="62"/>
        <v>23.2987</v>
      </c>
      <c r="Z149" s="62">
        <f t="shared" si="63"/>
        <v>1.18E-2</v>
      </c>
      <c r="AA149" s="62">
        <f t="shared" si="64"/>
        <v>23.286899999999999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5"/>
        <v>0238-24</v>
      </c>
      <c r="AE149" s="85" t="str">
        <f t="shared" si="66"/>
        <v>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 &amp; aws s3 cp s3://rtdc.mdm.uploadarchive.raw/RTDC4026/ "%USERPROFILE%\AppData\Local\Temp\OnboardLogs"\RTDC4026\2017-02-26 --exclude "*" --recursive --include "*20170226*" &amp; "%USERPROFILE%\Documents\GitHub\mrs-test-scripts\Headless Mode &amp; Sideloading\WalkAndUnGZ.bat" "%USERPROFILE%\AppData\Local\Temp\OnboardLogs"\RTDC4026\2017-02-26</v>
      </c>
      <c r="AF149" s="82" t="str">
        <f t="shared" si="67"/>
        <v>"C:\Program Files (x86)\AstroGrep\AstroGrep.exe" /spath="%USERPROFILE%\AppData\Local\Temp\OnboardLogs" /stypes="app*4026*20170225*" /stext=" 07:.+((SYSTEM_STATE.+slice.+state.+changed )|(ment ac)|(multiple cpu faults)|(system.+state.+changed )|(\[timeout)|(PRM\|1\|D)|(kpr)|(kdp)|(\|lc)|(penalty))" /e /r /s</v>
      </c>
      <c r="AG149" s="1" t="str">
        <f t="shared" si="68"/>
        <v>EC</v>
      </c>
      <c r="AH149" s="86" t="str">
        <f t="shared" si="69"/>
        <v>"%USERPROFILE%\Documents\GitHub\eaglep3\Utilities\RefineRTDCRunTimes.py" --tripid 238-24 --locoid 4026 --swversion DE.1.0.9.0 --startMP 204:232987 --initTime 2017-02-24T23:57:46 --startdatetime 2017-02-25T00:01:00 --delay 2 --endMP 204:118 --enddatetime 2017-02-25T00:40:28 --enforcementcount 1 &gt;&gt;C:\Users\stu\Documents\GitHub\eaglep3-reporting\EC\2017-02-24-refined-times.txt</v>
      </c>
      <c r="AI149" s="108" t="str">
        <f t="shared" si="70"/>
        <v>echo {"issue":{"subject":"","project_id":79,"tracker_id":40,"status_id":1,"priority_id":2,"assigned_to_id":23,"start_date":"2017-02-25","description":"","custom_fields":[{"id":1,"name":"Subdivision","value":"EC"},{"id":4,"name":"Milepost","value":"0.0118"},{"id":17,"name":"Train ID","value":"238-24"},{"id":16,"name":"Locomotive ID","value":"4026"},{"id":130,"name":"Impact","value":""},{"id":150,"name":"Time of Event (Mountain Time)","value":"00:40:28"},{"id":151,"name":"Denver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71"/>
        <v>start /low /b %USERPROFILE%\Documents\GitHub\eaglep3\Utilities\DownloadLogsFromS3.py --loco 4026 --day 2017-02-25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"%USERPROFILE%\AppData\Local\Temp\OnboardLogs"\RTDC4026\*4026*20170225* | grep -SE "(Enforcement Action)|(\[TIMEOUT)|(CHR.+\|PRM\|1\|D.+(SWITCH|SIGNAL).+UNKNOWN)" - &gt;&gt; 2017-02-24-UncaughtWiMAX.txt</v>
      </c>
    </row>
    <row r="150" spans="1:91" x14ac:dyDescent="0.25">
      <c r="A150" s="33" t="s">
        <v>736</v>
      </c>
      <c r="B150" s="7">
        <v>4031</v>
      </c>
      <c r="C150" s="21" t="s">
        <v>280</v>
      </c>
      <c r="D150" s="21" t="s">
        <v>265</v>
      </c>
      <c r="E150" s="13">
        <v>42790.976122685184</v>
      </c>
      <c r="F150" s="13">
        <v>42790.979351851849</v>
      </c>
      <c r="G150" s="7">
        <v>1</v>
      </c>
      <c r="H150" s="21" t="s">
        <v>301</v>
      </c>
      <c r="I150" s="13">
        <v>42791.004201388889</v>
      </c>
      <c r="J150" s="7">
        <v>1</v>
      </c>
      <c r="K150" s="98" t="str">
        <f t="shared" si="54"/>
        <v>4031/4032</v>
      </c>
      <c r="L150" s="21" t="str">
        <f>VLOOKUP(A150,'Trips&amp;Operators'!$C$1:$G$99999,5,FALSE)</f>
        <v>STORY SAMANTHA</v>
      </c>
      <c r="M150" s="6">
        <f t="shared" si="55"/>
        <v>2.4849537039699499E-2</v>
      </c>
      <c r="N150" s="7">
        <f t="shared" si="56"/>
        <v>35.783333337167278</v>
      </c>
      <c r="O150" s="7"/>
      <c r="P150" s="7"/>
      <c r="Q150" s="22"/>
      <c r="R150" s="22"/>
      <c r="S150" s="31">
        <f t="shared" si="57"/>
        <v>1</v>
      </c>
      <c r="T150" s="46" t="str">
        <f t="shared" si="58"/>
        <v>NorthBound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59"/>
        <v>https://d0f6bd738d7f1b3e5a7ca70fe4ff75f0.us-east-1.aws.found.io/app/kibana#/discover/Steve-Slow-Train-Analysis-(2080s-and-2083s)?_g=(refreshInterval:(display:Off,pause:!f,section:0,value:0),time:(from:'2017-02-24T22:25:37-0700',mode:absolute,to:'2017-02-25T01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0" s="187" t="str">
        <f t="shared" si="60"/>
        <v>N</v>
      </c>
      <c r="X150" s="187">
        <f t="shared" si="61"/>
        <v>1</v>
      </c>
      <c r="Y150" s="62">
        <f t="shared" si="62"/>
        <v>4.7100000000000003E-2</v>
      </c>
      <c r="Z150" s="62">
        <f t="shared" si="63"/>
        <v>23.329699999999999</v>
      </c>
      <c r="AA150" s="62">
        <f t="shared" si="64"/>
        <v>23.282599999999999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5"/>
        <v>0239-24</v>
      </c>
      <c r="AE150" s="85" t="str">
        <f t="shared" si="66"/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AF150" s="82" t="str">
        <f t="shared" si="67"/>
        <v>"C:\Program Files (x86)\AstroGrep\AstroGrep.exe" /spath="%USERPROFILE%\AppData\Local\Temp\OnboardLogs" /stypes="app*4031*20170225*" /stext=" 07:.+((SYSTEM_STATE.+slice.+state.+changed )|(ment ac)|(multiple cpu faults)|(system.+state.+changed )|(\[timeout)|(PRM\|1\|D)|(kpr)|(kdp)|(\|lc)|(penalty))" /e /r /s</v>
      </c>
      <c r="AG150" s="1" t="str">
        <f t="shared" si="68"/>
        <v>EC</v>
      </c>
      <c r="AH150" s="86" t="str">
        <f t="shared" si="69"/>
        <v>"%USERPROFILE%\Documents\GitHub\eaglep3\Utilities\RefineRTDCRunTimes.py" --tripid 239-24 --locoid 4031 --swversion DE.1.0.9.0 --startMP 204:471 --initTime 2017-02-24T23:25:37 --startdatetime 2017-02-24T23:30:16 --delay 1 --endMP 204:233297 --enddatetime 2017-02-25T00:06:03 --enforcementcount 1 &gt;&gt;C:\Users\stu\Documents\GitHub\eaglep3-reporting\EC\2017-02-24-refined-times.txt</v>
      </c>
      <c r="AI150" s="108" t="str">
        <f t="shared" si="70"/>
        <v>echo {"issue":{"subject":"","project_id":79,"tracker_id":40,"status_id":1,"priority_id":2,"assigned_to_id":23,"start_date":"2017-02-25","description":"","custom_fields":[{"id":1,"name":"Subdivision","value":"EC"},{"id":4,"name":"Milepost","value":"23.3297"},{"id":17,"name":"Train ID","value":"239-24"},{"id":16,"name":"Locomotive ID","value":"4031"},{"id":130,"name":"Impact","value":""},{"id":150,"name":"Time of Event (Mountain Time)","value":"00:06:03"},{"id":151,"name":"Denver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71"/>
        <v>start /low /b %USERPROFILE%\Documents\GitHub\eaglep3\Utilities\DownloadLogsFromS3.py --loco 4031 --day 2017-02-24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"%USERPROFILE%\AppData\Local\Temp\OnboardLogs"\RTDC4031\*4031*20170225* | grep -SE "(Enforcement Action)|(\[TIMEOUT)|(CHR.+\|PRM\|1\|D.+(SWITCH|SIGNAL).+UNKNOWN)" - &gt;&gt; 2017-02-24-UncaughtWiMAX.txt</v>
      </c>
    </row>
    <row r="151" spans="1:91" x14ac:dyDescent="0.25">
      <c r="A151" s="33" t="s">
        <v>481</v>
      </c>
      <c r="B151" s="7">
        <v>4032</v>
      </c>
      <c r="C151" s="21" t="s">
        <v>280</v>
      </c>
      <c r="D151" s="21" t="s">
        <v>700</v>
      </c>
      <c r="E151" s="13">
        <v>42791.009733796294</v>
      </c>
      <c r="F151" s="13">
        <v>42791.018252314818</v>
      </c>
      <c r="G151" s="7">
        <v>1</v>
      </c>
      <c r="H151" s="21" t="s">
        <v>205</v>
      </c>
      <c r="I151" s="13">
        <v>42791.046516203707</v>
      </c>
      <c r="J151" s="7">
        <v>1</v>
      </c>
      <c r="K151" s="98" t="str">
        <f t="shared" si="54"/>
        <v>4031/4032</v>
      </c>
      <c r="L151" s="21" t="str">
        <f>VLOOKUP(A151,'Trips&amp;Operators'!$C$1:$G$99999,5,FALSE)</f>
        <v>STORY SAMANTHA</v>
      </c>
      <c r="M151" s="6">
        <f t="shared" si="55"/>
        <v>2.8263888889341615E-2</v>
      </c>
      <c r="N151" s="7">
        <f t="shared" si="56"/>
        <v>40.700000000651926</v>
      </c>
      <c r="O151" s="7"/>
      <c r="P151" s="7"/>
      <c r="Q151" s="22"/>
      <c r="R151" s="22"/>
      <c r="S151" s="31">
        <f t="shared" si="57"/>
        <v>1</v>
      </c>
      <c r="T151" s="46" t="str">
        <f t="shared" si="58"/>
        <v>Southbound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59"/>
        <v>https://d0f6bd738d7f1b3e5a7ca70fe4ff75f0.us-east-1.aws.found.io/app/kibana#/discover/Steve-Slow-Train-Analysis-(2080s-and-2083s)?_g=(refreshInterval:(display:Off,pause:!f,section:0,value:0),time:(from:'2017-02-24T23:14:01-0700',mode:absolute,to:'2017-02-25T02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1" s="187" t="str">
        <f t="shared" si="60"/>
        <v>N</v>
      </c>
      <c r="X151" s="187">
        <f t="shared" si="61"/>
        <v>1</v>
      </c>
      <c r="Y151" s="62">
        <f t="shared" si="62"/>
        <v>23.297999999999998</v>
      </c>
      <c r="Z151" s="62">
        <f t="shared" si="63"/>
        <v>1.52E-2</v>
      </c>
      <c r="AA151" s="62">
        <f t="shared" si="64"/>
        <v>23.282799999999998</v>
      </c>
      <c r="AB151" s="59" t="str">
        <f>VLOOKUP(A151,Enforcements!$C$7:$K$13,8,0)</f>
        <v>Bulletin (2)</v>
      </c>
      <c r="AC151" s="55" t="str">
        <f>VLOOKUP(A151,Enforcements!$C$7:$E$13,3,0)</f>
        <v>GRADE CROSSING</v>
      </c>
      <c r="AD151" s="56" t="str">
        <f t="shared" si="65"/>
        <v>0240-24</v>
      </c>
      <c r="AE151" s="85" t="str">
        <f t="shared" si="66"/>
        <v>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 &amp; aws s3 cp s3://rtdc.mdm.uploadarchive.raw/RTDC4032/ "%USERPROFILE%\AppData\Local\Temp\OnboardLogs"\RTDC4032\2017-02-26 --exclude "*" --recursive --include "*20170226*" &amp; "%USERPROFILE%\Documents\GitHub\mrs-test-scripts\Headless Mode &amp; Sideloading\WalkAndUnGZ.bat" "%USERPROFILE%\AppData\Local\Temp\OnboardLogs"\RTDC4032\2017-02-26</v>
      </c>
      <c r="AF151" s="82" t="str">
        <f t="shared" si="67"/>
        <v>"C:\Program Files (x86)\AstroGrep\AstroGrep.exe" /spath="%USERPROFILE%\AppData\Local\Temp\OnboardLogs" /stypes="app*4032*20170225*" /stext=" 08:.+((SYSTEM_STATE.+slice.+state.+changed )|(ment ac)|(multiple cpu faults)|(system.+state.+changed )|(\[timeout)|(PRM\|1\|D)|(kpr)|(kdp)|(\|lc)|(penalty))" /e /r /s</v>
      </c>
      <c r="AG151" s="1" t="str">
        <f t="shared" si="68"/>
        <v>EC</v>
      </c>
      <c r="AH151" s="86" t="str">
        <f t="shared" si="69"/>
        <v>"%USERPROFILE%\Documents\GitHub\eaglep3\Utilities\RefineRTDCRunTimes.py" --tripid 240-24 --locoid 4032 --swversion DE.1.0.9.0 --startMP 204:232980 --initTime 2017-02-25T00:14:01 --startdatetime 2017-02-25T00:26:17 --delay 1 --endMP 204:152 --enddatetime 2017-02-25T01:06:59 --enforcementcount 1 &gt;&gt;C:\Users\stu\Documents\GitHub\eaglep3-reporting\EC\2017-02-24-refined-times.txt</v>
      </c>
      <c r="AI151" s="108" t="str">
        <f t="shared" si="70"/>
        <v>echo {"issue":{"subject":"","project_id":79,"tracker_id":40,"status_id":1,"priority_id":2,"assigned_to_id":23,"start_date":"2017-02-25","description":"","custom_fields":[{"id":1,"name":"Subdivision","value":"EC"},{"id":4,"name":"Milepost","value":"0.0152"},{"id":17,"name":"Train ID","value":"240-24"},{"id":16,"name":"Locomotive ID","value":"4032"},{"id":130,"name":"Impact","value":""},{"id":150,"name":"Time of Event (Mountain Time)","value":"01:06:59"},{"id":151,"name":"Denver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71"/>
        <v>start /low /b %USERPROFILE%\Documents\GitHub\eaglep3\Utilities\DownloadLogsFromS3.py --loco 4032 --day 2017-02-25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"%USERPROFILE%\AppData\Local\Temp\OnboardLogs"\RTDC4032\*4032*20170225* | grep -SE "(Enforcement Action)|(\[TIMEOUT)|(CHR.+\|PRM\|1\|D.+(SWITCH|SIGNAL).+UNKNOWN)" - &gt;&gt; 2017-02-24-UncaughtWiMAX.txt</v>
      </c>
    </row>
    <row r="152" spans="1:91" x14ac:dyDescent="0.25">
      <c r="A152" s="33" t="s">
        <v>737</v>
      </c>
      <c r="B152" s="7">
        <v>4022</v>
      </c>
      <c r="C152" s="21" t="s">
        <v>280</v>
      </c>
      <c r="D152" s="21" t="s">
        <v>222</v>
      </c>
      <c r="E152" s="13">
        <v>42790.986168981479</v>
      </c>
      <c r="F152" s="13">
        <v>42791.0002662037</v>
      </c>
      <c r="G152" s="7">
        <v>1</v>
      </c>
      <c r="H152" s="21" t="s">
        <v>701</v>
      </c>
      <c r="I152" s="13">
        <v>42791.025127314817</v>
      </c>
      <c r="J152" s="7">
        <v>1</v>
      </c>
      <c r="K152" s="98" t="str">
        <f t="shared" si="54"/>
        <v>4021/4022</v>
      </c>
      <c r="L152" s="21" t="str">
        <f>VLOOKUP(A152,'Trips&amp;Operators'!$C$1:$G$99999,5,FALSE)</f>
        <v>STAMBAUGH JAMES</v>
      </c>
      <c r="M152" s="6">
        <f t="shared" si="55"/>
        <v>2.4861111116479151E-2</v>
      </c>
      <c r="N152" s="7">
        <f t="shared" si="56"/>
        <v>35.800000007729977</v>
      </c>
      <c r="O152" s="7"/>
      <c r="P152" s="7"/>
      <c r="Q152" s="22"/>
      <c r="R152" s="22"/>
      <c r="S152" s="31">
        <f t="shared" si="57"/>
        <v>1</v>
      </c>
      <c r="T152" s="46" t="str">
        <f t="shared" si="58"/>
        <v>NorthBound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59"/>
        <v>https://d0f6bd738d7f1b3e5a7ca70fe4ff75f0.us-east-1.aws.found.io/app/kibana#/discover/Steve-Slow-Train-Analysis-(2080s-and-2083s)?_g=(refreshInterval:(display:Off,pause:!f,section:0,value:0),time:(from:'2017-02-24T22:40:05-0700',mode:absolute,to:'2017-02-25T01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2" s="187" t="str">
        <f t="shared" si="60"/>
        <v>N</v>
      </c>
      <c r="X152" s="187">
        <f t="shared" si="61"/>
        <v>1</v>
      </c>
      <c r="Y152" s="62">
        <f t="shared" si="62"/>
        <v>4.5699999999999998E-2</v>
      </c>
      <c r="Z152" s="62">
        <f t="shared" si="63"/>
        <v>23.331900000000001</v>
      </c>
      <c r="AA152" s="62">
        <f t="shared" si="64"/>
        <v>23.286200000000001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5"/>
        <v>0241-24</v>
      </c>
      <c r="AE152" s="85" t="str">
        <f t="shared" si="66"/>
        <v>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 &amp; aws s3 cp s3://rtdc.mdm.uploadarchive.raw/RTDC4022/ "%USERPROFILE%\AppData\Local\Temp\OnboardLogs"\RTDC4022\2017-02-26 --exclude "*" --recursive --include "*20170226*" &amp; "%USERPROFILE%\Documents\GitHub\mrs-test-scripts\Headless Mode &amp; Sideloading\WalkAndUnGZ.bat" "%USERPROFILE%\AppData\Local\Temp\OnboardLogs"\RTDC4022\2017-02-26</v>
      </c>
      <c r="AF152" s="82" t="str">
        <f t="shared" si="67"/>
        <v>"C:\Program Files (x86)\AstroGrep\AstroGrep.exe" /spath="%USERPROFILE%\AppData\Local\Temp\OnboardLogs" /stypes="app*4022*20170225*" /stext=" 07:.+((SYSTEM_STATE.+slice.+state.+changed )|(ment ac)|(multiple cpu faults)|(system.+state.+changed )|(\[timeout)|(PRM\|1\|D)|(kpr)|(kdp)|(\|lc)|(penalty))" /e /r /s</v>
      </c>
      <c r="AG152" s="1" t="str">
        <f t="shared" si="68"/>
        <v>EC</v>
      </c>
      <c r="AH152" s="86" t="str">
        <f t="shared" si="69"/>
        <v>"%USERPROFILE%\Documents\GitHub\eaglep3\Utilities\RefineRTDCRunTimes.py" --tripid 241-24 --locoid 4022 --swversion DE.1.0.9.0 --startMP 204:457 --initTime 2017-02-24T23:40:05 --startdatetime 2017-02-25T00:00:23 --delay 1 --endMP 204:233319 --enddatetime 2017-02-25T00:36:11 --enforcementcount 1 &gt;&gt;C:\Users\stu\Documents\GitHub\eaglep3-reporting\EC\2017-02-24-refined-times.txt</v>
      </c>
      <c r="AI152" s="108" t="str">
        <f t="shared" si="70"/>
        <v>echo {"issue":{"subject":"","project_id":79,"tracker_id":40,"status_id":1,"priority_id":2,"assigned_to_id":23,"start_date":"2017-02-25","description":"","custom_fields":[{"id":1,"name":"Subdivision","value":"EC"},{"id":4,"name":"Milepost","value":"23.3319"},{"id":17,"name":"Train ID","value":"241-24"},{"id":16,"name":"Locomotive ID","value":"4022"},{"id":130,"name":"Impact","value":""},{"id":150,"name":"Time of Event (Mountain Time)","value":"00:36:11"},{"id":151,"name":"Denver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71"/>
        <v>start /low /b %USERPROFILE%\Documents\GitHub\eaglep3\Utilities\DownloadLogsFromS3.py --loco 4022 --day 2017-02-25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"%USERPROFILE%\AppData\Local\Temp\OnboardLogs"\RTDC4022\*4022*20170225* | grep -SE "(Enforcement Action)|(\[TIMEOUT)|(CHR.+\|PRM\|1\|D.+(SWITCH|SIGNAL).+UNKNOWN)" - &gt;&gt; 2017-02-24-UncaughtWiMAX.txt</v>
      </c>
    </row>
    <row r="153" spans="1:91" x14ac:dyDescent="0.25">
      <c r="A153" s="33" t="s">
        <v>738</v>
      </c>
      <c r="B153" s="7">
        <v>4021</v>
      </c>
      <c r="C153" s="21" t="s">
        <v>280</v>
      </c>
      <c r="D153" s="21" t="s">
        <v>284</v>
      </c>
      <c r="E153" s="13">
        <v>42791.027141203704</v>
      </c>
      <c r="F153" s="13">
        <v>42791.039189814815</v>
      </c>
      <c r="G153" s="7">
        <v>1</v>
      </c>
      <c r="H153" s="21" t="s">
        <v>739</v>
      </c>
      <c r="I153" s="13">
        <v>42791.067824074074</v>
      </c>
      <c r="J153" s="7">
        <v>1</v>
      </c>
      <c r="K153" s="98" t="str">
        <f t="shared" si="54"/>
        <v>4021/4022</v>
      </c>
      <c r="L153" s="21" t="str">
        <f>VLOOKUP(A153,'Trips&amp;Operators'!$C$1:$G$99999,5,FALSE)</f>
        <v>STAMBAUGH JAMES</v>
      </c>
      <c r="M153" s="6">
        <f t="shared" si="55"/>
        <v>2.8634259258979E-2</v>
      </c>
      <c r="N153" s="7">
        <f t="shared" si="56"/>
        <v>41.23333333292976</v>
      </c>
      <c r="O153" s="7"/>
      <c r="P153" s="7"/>
      <c r="Q153" s="22"/>
      <c r="R153" s="22"/>
      <c r="S153" s="31">
        <f t="shared" si="57"/>
        <v>1</v>
      </c>
      <c r="T153" s="46" t="str">
        <f t="shared" si="58"/>
        <v>Southbound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59"/>
        <v>https://d0f6bd738d7f1b3e5a7ca70fe4ff75f0.us-east-1.aws.found.io/app/kibana#/discover/Steve-Slow-Train-Analysis-(2080s-and-2083s)?_g=(refreshInterval:(display:Off,pause:!f,section:0,value:0),time:(from:'2017-02-24T23:39:05-0700',mode:absolute,to:'2017-02-25T02:37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3" s="187" t="str">
        <f t="shared" si="60"/>
        <v>N</v>
      </c>
      <c r="X153" s="187">
        <f t="shared" si="61"/>
        <v>1</v>
      </c>
      <c r="Y153" s="62">
        <f t="shared" si="62"/>
        <v>23.299399999999999</v>
      </c>
      <c r="Z153" s="62">
        <f t="shared" si="63"/>
        <v>2.0299999999999999E-2</v>
      </c>
      <c r="AA153" s="62">
        <f t="shared" si="64"/>
        <v>23.2791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5"/>
        <v>0242-24</v>
      </c>
      <c r="AE153" s="85" t="str">
        <f t="shared" si="66"/>
        <v>aws s3 cp s3://rtdc.mdm.uploadarchive.raw/RTDC4021/ "%USERPROFILE%\AppData\Local\Temp\OnboardLogs"\RTDC4021\2017-02-25 --exclude "*" --recursive --include "*20170225*" &amp; "%USERPROFILE%\Documents\GitHub\mrs-test-scripts\Headless Mode &amp; Sideloading\WalkAndUnGZ.bat" "%USERPROFILE%\AppData\Local\Temp\OnboardLogs"\RTDC4021\2017-02-25 &amp; aws s3 cp s3://rtdc.mdm.uploadarchive.raw/RTDC4021/ "%USERPROFILE%\AppData\Local\Temp\OnboardLogs"\RTDC4021\2017-02-26 --exclude "*" --recursive --include "*20170226*" &amp; "%USERPROFILE%\Documents\GitHub\mrs-test-scripts\Headless Mode &amp; Sideloading\WalkAndUnGZ.bat" "%USERPROFILE%\AppData\Local\Temp\OnboardLogs"\RTDC4021\2017-02-26</v>
      </c>
      <c r="AF153" s="82" t="str">
        <f t="shared" si="67"/>
        <v>"C:\Program Files (x86)\AstroGrep\AstroGrep.exe" /spath="%USERPROFILE%\AppData\Local\Temp\OnboardLogs" /stypes="app*4021*20170225*" /stext=" 08:.+((SYSTEM_STATE.+slice.+state.+changed )|(ment ac)|(multiple cpu faults)|(system.+state.+changed )|(\[timeout)|(PRM\|1\|D)|(kpr)|(kdp)|(\|lc)|(penalty))" /e /r /s</v>
      </c>
      <c r="AG153" s="1" t="str">
        <f t="shared" si="68"/>
        <v>EC</v>
      </c>
      <c r="AH153" s="86" t="str">
        <f t="shared" si="69"/>
        <v>"%USERPROFILE%\Documents\GitHub\eaglep3\Utilities\RefineRTDCRunTimes.py" --tripid 242-24 --locoid 4021 --swversion DE.1.0.9.0 --startMP 204:232994 --initTime 2017-02-25T00:39:05 --startdatetime 2017-02-25T00:56:26 --delay 1 --endMP 204:203 --enddatetime 2017-02-25T01:37:40 --enforcementcount 1 &gt;&gt;C:\Users\stu\Documents\GitHub\eaglep3-reporting\EC\2017-02-24-refined-times.txt</v>
      </c>
      <c r="AI153" s="108" t="str">
        <f t="shared" si="70"/>
        <v>echo {"issue":{"subject":"","project_id":79,"tracker_id":40,"status_id":1,"priority_id":2,"assigned_to_id":23,"start_date":"2017-02-25","description":"","custom_fields":[{"id":1,"name":"Subdivision","value":"EC"},{"id":4,"name":"Milepost","value":"0.0203"},{"id":17,"name":"Train ID","value":"242-24"},{"id":16,"name":"Locomotive ID","value":"4021"},{"id":130,"name":"Impact","value":""},{"id":150,"name":"Time of Event (Mountain Time)","value":"01:37:40"},{"id":151,"name":"Denver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71"/>
        <v>start /low /b %USERPROFILE%\Documents\GitHub\eaglep3\Utilities\DownloadLogsFromS3.py --loco 4021 --day 2017-02-25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"%USERPROFILE%\AppData\Local\Temp\OnboardLogs"\RTDC4021\*4021*20170225* | grep -SE "(Enforcement Action)|(\[TIMEOUT)|(CHR.+\|PRM\|1\|D.+(SWITCH|SIGNAL).+UNKNOWN)" - &gt;&gt; 2017-02-24-UncaughtWiMAX.txt</v>
      </c>
    </row>
    <row r="154" spans="1:91" x14ac:dyDescent="0.25">
      <c r="A154" s="33" t="s">
        <v>480</v>
      </c>
      <c r="B154" s="7">
        <v>4009</v>
      </c>
      <c r="C154" s="21" t="s">
        <v>280</v>
      </c>
      <c r="D154" s="21" t="s">
        <v>312</v>
      </c>
      <c r="E154" s="13">
        <v>42791.008020833331</v>
      </c>
      <c r="F154" s="13">
        <v>42791.02107638889</v>
      </c>
      <c r="G154" s="7">
        <v>1</v>
      </c>
      <c r="H154" s="21" t="s">
        <v>740</v>
      </c>
      <c r="I154" s="13">
        <v>42791.048483796294</v>
      </c>
      <c r="J154" s="7">
        <v>1</v>
      </c>
      <c r="K154" s="98" t="str">
        <f t="shared" si="54"/>
        <v>4009/4010</v>
      </c>
      <c r="L154" s="21" t="str">
        <f>VLOOKUP(A154,'Trips&amp;Operators'!$C$1:$G$99999,5,FALSE)</f>
        <v>HILLS DUSTIN</v>
      </c>
      <c r="M154" s="6">
        <f t="shared" si="55"/>
        <v>2.7407407404098194E-2</v>
      </c>
      <c r="N154" s="7">
        <f t="shared" si="56"/>
        <v>39.466666661901399</v>
      </c>
      <c r="O154" s="7"/>
      <c r="P154" s="7"/>
      <c r="Q154" s="22"/>
      <c r="R154" s="22" t="s">
        <v>896</v>
      </c>
      <c r="S154" s="31">
        <f t="shared" si="57"/>
        <v>1</v>
      </c>
      <c r="T154" s="46" t="str">
        <f t="shared" si="58"/>
        <v>NorthBound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59"/>
        <v>https://d0f6bd738d7f1b3e5a7ca70fe4ff75f0.us-east-1.aws.found.io/app/kibana#/discover/Steve-Slow-Train-Analysis-(2080s-and-2083s)?_g=(refreshInterval:(display:Off,pause:!f,section:0,value:0),time:(from:'2017-02-24T23:11:33-0700',mode:absolute,to:'2017-02-25T02:09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187" t="str">
        <f t="shared" si="60"/>
        <v>N</v>
      </c>
      <c r="X154" s="187">
        <f t="shared" si="61"/>
        <v>1</v>
      </c>
      <c r="Y154" s="62">
        <f t="shared" si="62"/>
        <v>4.3299999999999998E-2</v>
      </c>
      <c r="Z154" s="62">
        <f t="shared" si="63"/>
        <v>23.341899999999999</v>
      </c>
      <c r="AA154" s="62">
        <f t="shared" si="64"/>
        <v>23.2986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5"/>
        <v>0243-24</v>
      </c>
      <c r="AE154" s="85" t="str">
        <f t="shared" si="66"/>
        <v>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 &amp; 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</v>
      </c>
      <c r="AF154" s="82" t="str">
        <f t="shared" si="67"/>
        <v>"C:\Program Files (x86)\AstroGrep\AstroGrep.exe" /spath="%USERPROFILE%\AppData\Local\Temp\OnboardLogs" /stypes="app*4009*20170225*" /stext=" 08:.+((SYSTEM_STATE.+slice.+state.+changed )|(ment ac)|(multiple cpu faults)|(system.+state.+changed )|(\[timeout)|(PRM\|1\|D)|(kpr)|(kdp)|(\|lc)|(penalty))" /e /r /s</v>
      </c>
      <c r="AG154" s="1" t="str">
        <f t="shared" si="68"/>
        <v>EC</v>
      </c>
      <c r="AH154" s="86" t="str">
        <f t="shared" si="69"/>
        <v>"%USERPROFILE%\Documents\GitHub\eaglep3\Utilities\RefineRTDCRunTimes.py" --tripid 243-24 --locoid 4009 --swversion DE.1.0.9.0 --startMP 204:433 --initTime 2017-02-25T00:11:33 --startdatetime 2017-02-25T00:30:21 --delay 1 --endMP 204:233419 --enddatetime 2017-02-25T01:09:49 --enforcementcount 1 &gt;&gt;C:\Users\stu\Documents\GitHub\eaglep3-reporting\EC\2017-02-24-refined-times.txt</v>
      </c>
      <c r="AI154" s="108" t="str">
        <f t="shared" si="70"/>
        <v>echo {"issue":{"subject":"Wheel tach slip at 2017-02-25 00:50:48","project_id":79,"tracker_id":40,"status_id":1,"priority_id":2,"assigned_to_id":23,"start_date":"2017-02-25","description":"","custom_fields":[{"id":1,"name":"Subdivision","value":"EC"},{"id":4,"name":"Milepost","value":"23.3419"},{"id":17,"name":"Train ID","value":"243-24"},{"id":16,"name":"Locomotive ID","value":"4009"},{"id":130,"name":"Impact","value":""},{"id":150,"name":"Time of Event (Mountain Time)","value":"01:09:49"},{"id":151,"name":"Denver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71"/>
        <v>start /low /b %USERPROFILE%\Documents\GitHub\eaglep3\Utilities\DownloadLogsFromS3.py --loco 4009 --day 2017-02-25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"%USERPROFILE%\AppData\Local\Temp\OnboardLogs"\RTDC4009\*4009*20170225* | grep -SE "(Enforcement Action)|(\[TIMEOUT)|(CHR.+\|PRM\|1\|D.+(SWITCH|SIGNAL).+UNKNOWN)" - &gt;&gt; 2017-02-24-UncaughtWiMAX.txt</v>
      </c>
    </row>
    <row r="155" spans="1:91" s="20" customFormat="1" x14ac:dyDescent="0.25">
      <c r="A155" s="33" t="s">
        <v>741</v>
      </c>
      <c r="B155" s="7">
        <v>4010</v>
      </c>
      <c r="C155" s="21" t="s">
        <v>280</v>
      </c>
      <c r="D155" s="21" t="s">
        <v>742</v>
      </c>
      <c r="E155" s="13">
        <v>42791.049861111111</v>
      </c>
      <c r="F155" s="13">
        <v>42791.059884259259</v>
      </c>
      <c r="G155" s="7">
        <v>1</v>
      </c>
      <c r="H155" s="21" t="s">
        <v>743</v>
      </c>
      <c r="I155" s="13">
        <v>42791.087013888886</v>
      </c>
      <c r="J155" s="7">
        <v>1</v>
      </c>
      <c r="K155" s="98" t="str">
        <f t="shared" si="54"/>
        <v>4009/4010</v>
      </c>
      <c r="L155" s="21" t="str">
        <f>VLOOKUP(A155,'Trips&amp;Operators'!$C$1:$G$99999,5,FALSE)</f>
        <v>HILLS DUSTIN</v>
      </c>
      <c r="M155" s="6">
        <f t="shared" si="55"/>
        <v>2.7129629626870155E-2</v>
      </c>
      <c r="N155" s="7">
        <f t="shared" si="56"/>
        <v>39.066666662693024</v>
      </c>
      <c r="O155" s="7"/>
      <c r="P155" s="7"/>
      <c r="Q155" s="22"/>
      <c r="R155" s="22"/>
      <c r="S155" s="31">
        <f t="shared" si="57"/>
        <v>1</v>
      </c>
      <c r="T155" s="46" t="str">
        <f t="shared" si="58"/>
        <v>Southbound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59"/>
        <v>https://d0f6bd738d7f1b3e5a7ca70fe4ff75f0.us-east-1.aws.found.io/app/kibana#/discover/Steve-Slow-Train-Analysis-(2080s-and-2083s)?_g=(refreshInterval:(display:Off,pause:!f,section:0,value:0),time:(from:'2017-02-25T00:11:48-0700',mode:absolute,to:'2017-02-25T03:05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5" s="187" t="str">
        <f t="shared" si="60"/>
        <v>N</v>
      </c>
      <c r="X155" s="187">
        <f t="shared" si="61"/>
        <v>1</v>
      </c>
      <c r="Y155" s="62">
        <f t="shared" si="62"/>
        <v>23.308299999999999</v>
      </c>
      <c r="Z155" s="62">
        <f t="shared" si="63"/>
        <v>1.09E-2</v>
      </c>
      <c r="AA155" s="62">
        <f t="shared" si="64"/>
        <v>23.2974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5"/>
        <v>0244-24</v>
      </c>
      <c r="AE155" s="85" t="str">
        <f t="shared" si="66"/>
        <v>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 &amp; aws s3 cp s3://rtdc.mdm.uploadarchive.raw/RTDC4010/ "%USERPROFILE%\AppData\Local\Temp\OnboardLogs"\RTDC4010\2017-02-26 --exclude "*" --recursive --include "*20170226*" &amp; "%USERPROFILE%\Documents\GitHub\mrs-test-scripts\Headless Mode &amp; Sideloading\WalkAndUnGZ.bat" "%USERPROFILE%\AppData\Local\Temp\OnboardLogs"\RTDC4010\2017-02-26</v>
      </c>
      <c r="AF155" s="82" t="str">
        <f t="shared" si="67"/>
        <v>"C:\Program Files (x86)\AstroGrep\AstroGrep.exe" /spath="%USERPROFILE%\AppData\Local\Temp\OnboardLogs" /stypes="app*4010*20170225*" /stext=" 09:.+((SYSTEM_STATE.+slice.+state.+changed )|(ment ac)|(multiple cpu faults)|(system.+state.+changed )|(\[timeout)|(PRM\|1\|D)|(kpr)|(kdp)|(\|lc)|(penalty))" /e /r /s</v>
      </c>
      <c r="AG155" s="1" t="str">
        <f t="shared" si="68"/>
        <v>EC</v>
      </c>
      <c r="AH155" s="86" t="str">
        <f t="shared" si="69"/>
        <v>"%USERPROFILE%\Documents\GitHub\eaglep3\Utilities\RefineRTDCRunTimes.py" --tripid 244-24 --locoid 4010 --swversion DE.1.0.9.0 --startMP 204:233083 --initTime 2017-02-25T01:11:48 --startdatetime 2017-02-25T01:26:14 --delay 1 --endMP 204:109 --enddatetime 2017-02-25T02:05:18 --enforcementcount 1 &gt;&gt;C:\Users\stu\Documents\GitHub\eaglep3-reporting\EC\2017-02-24-refined-times.txt</v>
      </c>
      <c r="AI155" s="108" t="str">
        <f t="shared" si="70"/>
        <v>echo {"issue":{"subject":"","project_id":79,"tracker_id":40,"status_id":1,"priority_id":2,"assigned_to_id":23,"start_date":"2017-02-25","description":"","custom_fields":[{"id":1,"name":"Subdivision","value":"EC"},{"id":4,"name":"Milepost","value":"0.0109"},{"id":17,"name":"Train ID","value":"244-24"},{"id":16,"name":"Locomotive ID","value":"4010"},{"id":130,"name":"Impact","value":""},{"id":150,"name":"Time of Event (Mountain Time)","value":"02:05:18"},{"id":151,"name":"Denver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71"/>
        <v>start /low /b %USERPROFILE%\Documents\GitHub\eaglep3\Utilities\DownloadLogsFromS3.py --loco 4010 --day 2017-02-25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"%USERPROFILE%\AppData\Local\Temp\OnboardLogs"\RTDC4010\*4010*20170225* | grep -SE "(Enforcement Action)|(\[TIMEOUT)|(CHR.+\|PRM\|1\|D.+(SWITCH|SIGNAL).+UNKNOWN)" - &gt;&gt; 2017-02-24-UncaughtWiMAX.txt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482</v>
      </c>
      <c r="B156" s="7">
        <v>4025</v>
      </c>
      <c r="C156" s="21" t="s">
        <v>280</v>
      </c>
      <c r="D156" s="21" t="s">
        <v>744</v>
      </c>
      <c r="E156" s="13">
        <v>42791.036932870367</v>
      </c>
      <c r="F156" s="13">
        <v>42791.041875000003</v>
      </c>
      <c r="G156" s="7">
        <v>1</v>
      </c>
      <c r="H156" s="21" t="s">
        <v>745</v>
      </c>
      <c r="I156" s="13">
        <v>42791.066076388888</v>
      </c>
      <c r="J156" s="7">
        <v>1</v>
      </c>
      <c r="K156" s="98" t="str">
        <f t="shared" si="54"/>
        <v>4025/4026</v>
      </c>
      <c r="L156" s="21" t="str">
        <f>VLOOKUP(A156,'Trips&amp;Operators'!$C$1:$G$99999,5,FALSE)</f>
        <v>BROWN JACOB</v>
      </c>
      <c r="M156" s="6">
        <f t="shared" si="55"/>
        <v>2.4201388885558117E-2</v>
      </c>
      <c r="N156" s="7"/>
      <c r="O156" s="7"/>
      <c r="P156" s="7">
        <f t="shared" si="56"/>
        <v>34.849999995203689</v>
      </c>
      <c r="Q156" s="22"/>
      <c r="R156" s="22" t="s">
        <v>897</v>
      </c>
      <c r="S156" s="31">
        <f t="shared" si="57"/>
        <v>1</v>
      </c>
      <c r="T156" s="46" t="str">
        <f t="shared" si="58"/>
        <v>NorthBound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59"/>
        <v>https://d0f6bd738d7f1b3e5a7ca70fe4ff75f0.us-east-1.aws.found.io/app/kibana#/discover/Steve-Slow-Train-Analysis-(2080s-and-2083s)?_g=(refreshInterval:(display:Off,pause:!f,section:0,value:0),time:(from:'2017-02-24T23:53:11-0700',mode:absolute,to:'2017-02-25T02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6" s="187" t="str">
        <f t="shared" si="60"/>
        <v>Y</v>
      </c>
      <c r="X156" s="187">
        <f t="shared" si="61"/>
        <v>1</v>
      </c>
      <c r="Y156" s="62">
        <f t="shared" si="62"/>
        <v>4.3499999999999997E-2</v>
      </c>
      <c r="Z156" s="62">
        <f t="shared" si="63"/>
        <v>22.921700000000001</v>
      </c>
      <c r="AA156" s="62">
        <f t="shared" si="64"/>
        <v>22.8782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5"/>
        <v>0245-24</v>
      </c>
      <c r="AE156" s="85" t="str">
        <f t="shared" si="66"/>
        <v>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 &amp; aws s3 cp s3://rtdc.mdm.uploadarchive.raw/RTDC4025/ "%USERPROFILE%\AppData\Local\Temp\OnboardLogs"\RTDC4025\2017-02-26 --exclude "*" --recursive --include "*20170226*" &amp; "%USERPROFILE%\Documents\GitHub\mrs-test-scripts\Headless Mode &amp; Sideloading\WalkAndUnGZ.bat" "%USERPROFILE%\AppData\Local\Temp\OnboardLogs"\RTDC4025\2017-02-26</v>
      </c>
      <c r="AF156" s="82" t="str">
        <f t="shared" si="67"/>
        <v>"C:\Program Files (x86)\AstroGrep\AstroGrep.exe" /spath="%USERPROFILE%\AppData\Local\Temp\OnboardLogs" /stypes="app*4025*20170225*" /stext=" 08:.+((SYSTEM_STATE.+slice.+state.+changed )|(ment ac)|(multiple cpu faults)|(system.+state.+changed )|(\[timeout)|(PRM\|1\|D)|(kpr)|(kdp)|(\|lc)|(penalty))" /e /r /s</v>
      </c>
      <c r="AG156" s="1" t="str">
        <f t="shared" si="68"/>
        <v>EC</v>
      </c>
      <c r="AH156" s="86" t="str">
        <f t="shared" si="69"/>
        <v>"%USERPROFILE%\Documents\GitHub\eaglep3\Utilities\RefineRTDCRunTimes.py" --tripid 245-24 --locoid 4025 --swversion DE.1.0.9.0 --startMP 204:435 --initTime 2017-02-25T00:53:11 --startdatetime 2017-02-25T01:00:18 --delay 1 --endMP 204:229217 --enddatetime 2017-02-25T01:35:09 --enforcementcount 1 &gt;&gt;C:\Users\stu\Documents\GitHub\eaglep3-reporting\EC\2017-02-24-refined-times.txt</v>
      </c>
      <c r="AI156" s="108" t="str">
        <f t="shared" si="70"/>
        <v>echo {"issue":{"subject":"Premature downgrade at DIA 4N","project_id":79,"tracker_id":40,"status_id":1,"priority_id":2,"assigned_to_id":23,"start_date":"2017-02-25","description":"At 01:34:54, DIA 4N dropped from PROCEED CAB to STOP, while the train was still approaching. Do logs tell of anything interesting?","custom_fields":[{"id":1,"name":"Subdivision","value":"EC"},{"id":4,"name":"Milepost","value":"22.9217"},{"id":17,"name":"Train ID","value":"245-24"},{"id":16,"name":"Locomotive ID","value":"4025"},{"id":130,"name":"Impact","value":"Enforcement"},{"id":150,"name":"Time of Event (Mountain Time)","value":"01:35:09"},{"id":151,"name":"Denver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56" s="48" t="s">
        <v>898</v>
      </c>
      <c r="AK156" s="48" t="s">
        <v>124</v>
      </c>
      <c r="AL156" s="48" t="s">
        <v>129</v>
      </c>
      <c r="AM156" s="154" t="str">
        <f t="shared" si="71"/>
        <v>start /low /b %USERPROFILE%\Documents\GitHub\eaglep3\Utilities\DownloadLogsFromS3.py --loco 4025 --day 2017-02-25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"%USERPROFILE%\AppData\Local\Temp\OnboardLogs"\RTDC4025\*4025*20170225* | grep -SE "(Enforcement Action)|(\[TIMEOUT)|(CHR.+\|PRM\|1\|D.+(SWITCH|SIGNAL).+UNKNOWN)" - &gt;&gt; 2017-02-24-UncaughtWiMAX.txt</v>
      </c>
    </row>
    <row r="157" spans="1:91" x14ac:dyDescent="0.25">
      <c r="A157" s="33" t="s">
        <v>746</v>
      </c>
      <c r="B157" s="7">
        <v>4026</v>
      </c>
      <c r="C157" s="21" t="s">
        <v>280</v>
      </c>
      <c r="D157" s="21" t="s">
        <v>696</v>
      </c>
      <c r="E157" s="13">
        <v>42791.077303240738</v>
      </c>
      <c r="F157" s="13">
        <v>42791.080868055556</v>
      </c>
      <c r="G157" s="7">
        <v>1</v>
      </c>
      <c r="H157" s="21" t="s">
        <v>709</v>
      </c>
      <c r="I157" s="13">
        <v>42791.108842592592</v>
      </c>
      <c r="J157" s="7">
        <v>1</v>
      </c>
      <c r="K157" s="98" t="str">
        <f t="shared" si="54"/>
        <v>4025/4026</v>
      </c>
      <c r="L157" s="21" t="str">
        <f>VLOOKUP(A157,'Trips&amp;Operators'!$C$1:$G$99999,5,FALSE)</f>
        <v>BROWN JACOB</v>
      </c>
      <c r="M157" s="6">
        <f t="shared" si="55"/>
        <v>2.7974537035333924E-2</v>
      </c>
      <c r="N157" s="7">
        <f t="shared" si="56"/>
        <v>40.283333330880851</v>
      </c>
      <c r="O157" s="7"/>
      <c r="P157" s="7"/>
      <c r="Q157" s="22"/>
      <c r="R157" s="22"/>
      <c r="S157" s="31">
        <f t="shared" si="57"/>
        <v>1</v>
      </c>
      <c r="T157" s="46" t="str">
        <f t="shared" si="58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6" t="str">
        <f t="shared" si="59"/>
        <v>https://d0f6bd738d7f1b3e5a7ca70fe4ff75f0.us-east-1.aws.found.io/app/kibana#/discover/Steve-Slow-Train-Analysis-(2080s-and-2083s)?_g=(refreshInterval:(display:Off,pause:!f,section:0,value:0),time:(from:'2017-02-25T00:51:19-0700',mode:absolute,to:'2017-02-25T03:36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187" t="str">
        <f t="shared" si="60"/>
        <v>N</v>
      </c>
      <c r="X157" s="187">
        <f t="shared" si="61"/>
        <v>1</v>
      </c>
      <c r="Y157" s="62">
        <f t="shared" si="62"/>
        <v>23.300999999999998</v>
      </c>
      <c r="Z157" s="62">
        <f t="shared" si="63"/>
        <v>1.38E-2</v>
      </c>
      <c r="AA157" s="62">
        <f t="shared" si="64"/>
        <v>23.287199999999999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5"/>
        <v>0246-24</v>
      </c>
      <c r="AE157" s="85" t="str">
        <f t="shared" si="66"/>
        <v>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 &amp; aws s3 cp s3://rtdc.mdm.uploadarchive.raw/RTDC4026/ "%USERPROFILE%\AppData\Local\Temp\OnboardLogs"\RTDC4026\2017-02-26 --exclude "*" --recursive --include "*20170226*" &amp; "%USERPROFILE%\Documents\GitHub\mrs-test-scripts\Headless Mode &amp; Sideloading\WalkAndUnGZ.bat" "%USERPROFILE%\AppData\Local\Temp\OnboardLogs"\RTDC4026\2017-02-26</v>
      </c>
      <c r="AF157" s="82" t="str">
        <f t="shared" si="67"/>
        <v>"C:\Program Files (x86)\AstroGrep\AstroGrep.exe" /spath="%USERPROFILE%\AppData\Local\Temp\OnboardLogs" /stypes="app*4026*20170225*" /stext=" 09:.+((SYSTEM_STATE.+slice.+state.+changed )|(ment ac)|(multiple cpu faults)|(system.+state.+changed )|(\[timeout)|(PRM\|1\|D)|(kpr)|(kdp)|(\|lc)|(penalty))" /e /r /s</v>
      </c>
      <c r="AG157" s="1" t="str">
        <f t="shared" si="68"/>
        <v>EC</v>
      </c>
      <c r="AH157" s="86" t="str">
        <f t="shared" si="69"/>
        <v>"%USERPROFILE%\Documents\GitHub\eaglep3\Utilities\RefineRTDCRunTimes.py" --tripid 246-24 --locoid 4026 --swversion DE.1.0.9.0 --startMP 204:233010 --initTime 2017-02-25T01:51:19 --startdatetime 2017-02-25T01:56:27 --delay 1 --endMP 204:138 --enddatetime 2017-02-25T02:36:44 --enforcementcount 1 &gt;&gt;C:\Users\stu\Documents\GitHub\eaglep3-reporting\EC\2017-02-24-refined-times.txt</v>
      </c>
      <c r="AI157" s="108" t="str">
        <f t="shared" si="70"/>
        <v>echo {"issue":{"subject":"","project_id":79,"tracker_id":40,"status_id":1,"priority_id":2,"assigned_to_id":23,"start_date":"2017-02-25","description":"","custom_fields":[{"id":1,"name":"Subdivision","value":"EC"},{"id":4,"name":"Milepost","value":"0.0138"},{"id":17,"name":"Train ID","value":"246-24"},{"id":16,"name":"Locomotive ID","value":"4026"},{"id":130,"name":"Impact","value":""},{"id":150,"name":"Time of Event (Mountain Time)","value":"02:36:44"},{"id":151,"name":"Denver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71"/>
        <v>start /low /b %USERPROFILE%\Documents\GitHub\eaglep3\Utilities\DownloadLogsFromS3.py --loco 4026 --day 2017-02-25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"%USERPROFILE%\AppData\Local\Temp\OnboardLogs"\RTDC4026\*4026*20170225* | grep -SE "(Enforcement Action)|(\[TIMEOUT)|(CHR.+\|PRM\|1\|D.+(SWITCH|SIGNAL).+UNKNOWN)" - &gt;&gt; 2017-02-24-UncaughtWiMAX.txt</v>
      </c>
    </row>
    <row r="158" spans="1:91" x14ac:dyDescent="0.25">
      <c r="A158" s="33" t="s">
        <v>492</v>
      </c>
      <c r="B158" s="7">
        <v>4004</v>
      </c>
      <c r="C158" s="21" t="s">
        <v>280</v>
      </c>
      <c r="D158" s="21" t="s">
        <v>416</v>
      </c>
      <c r="E158" s="13">
        <v>42790.207685185182</v>
      </c>
      <c r="F158" s="13">
        <v>42790.209432870368</v>
      </c>
      <c r="G158" s="7">
        <v>1</v>
      </c>
      <c r="H158" s="21" t="s">
        <v>428</v>
      </c>
      <c r="I158" s="13">
        <v>42790.225381944445</v>
      </c>
      <c r="J158" s="7">
        <v>1</v>
      </c>
      <c r="K158" s="98" t="str">
        <f t="shared" si="54"/>
        <v>4003/4004</v>
      </c>
      <c r="L158" s="21" t="str">
        <f>VLOOKUP(A158,'Trips&amp;Operators'!$C$1:$G$99999,5,FALSE)</f>
        <v>GEBRETEKLE DAGNEW</v>
      </c>
      <c r="M158" s="6">
        <f t="shared" si="55"/>
        <v>1.5949074077070691E-2</v>
      </c>
      <c r="N158" s="7">
        <f t="shared" si="56"/>
        <v>22.966666670981795</v>
      </c>
      <c r="O158" s="7"/>
      <c r="P158" s="7"/>
      <c r="Q158" s="22"/>
      <c r="R158" s="22"/>
      <c r="S158" s="31">
        <f t="shared" si="57"/>
        <v>1</v>
      </c>
      <c r="T158" s="46" t="str">
        <f t="shared" si="58"/>
        <v>Southbound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59"/>
        <v>https://d0f6bd738d7f1b3e5a7ca70fe4ff75f0.us-east-1.aws.found.io/app/kibana#/discover/Steve-Slow-Train-Analysis-(2080s-and-2083s)?_g=(refreshInterval:(display:Off,pause:!f,section:0,value:0),time:(from:'2017-02-24T03:59:04-0700',mode:absolute,to:'2017-02-24T06:24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8" s="187" t="str">
        <f t="shared" si="60"/>
        <v>N</v>
      </c>
      <c r="X158" s="187">
        <f t="shared" si="61"/>
        <v>554</v>
      </c>
      <c r="Y158" s="62">
        <f t="shared" si="62"/>
        <v>5.8685</v>
      </c>
      <c r="Z158" s="62">
        <f t="shared" si="63"/>
        <v>6.9800000000000001E-2</v>
      </c>
      <c r="AA158" s="62">
        <f t="shared" si="64"/>
        <v>5.7987000000000002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5"/>
        <v>0800-24</v>
      </c>
      <c r="AE158" s="85" t="str">
        <f t="shared" si="66"/>
        <v>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 &amp; 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</v>
      </c>
      <c r="AF158" s="82" t="str">
        <f t="shared" si="67"/>
        <v>"C:\Program Files (x86)\AstroGrep\AstroGrep.exe" /spath="%USERPROFILE%\AppData\Local\Temp\OnboardLogs" /stypes="app*4004*20170224*" /stext=" 12:.+((SYSTEM_STATE.+slice.+state.+changed )|(ment ac)|(multiple cpu faults)|(system.+state.+changed )|(\[timeout)|(PRM\|1\|D)|(kpr)|(kdp)|(\|lc)|(penalty))" /e /r /s</v>
      </c>
      <c r="AG158" s="1" t="str">
        <f t="shared" si="68"/>
        <v>NW</v>
      </c>
      <c r="AH158" s="86" t="str">
        <f t="shared" si="69"/>
        <v>"%USERPROFILE%\Documents\GitHub\eaglep3\Utilities\RefineRTDCRunTimes.py" --tripid 800-24 --locoid 4004 --swversion DE.1.0.9.0 --startMP 300:58685 --initTime 2017-02-24T04:59:04 --startdatetime 2017-02-24T05:01:35 --delay 1 --endMP 204:698 --enddatetime 2017-02-24T05:24:33 --enforcementcount 1 &gt;&gt;C:\Users\stu\Documents\GitHub\eaglep3-reporting\EC\2017-02-24-refined-times.txt</v>
      </c>
      <c r="AI158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{"issue":{"subject":"","project_id":79,"tracker_id":40,"status_id":1,"priority_id":2,"assigned_to_id":23,"start_date":"2017-02-24","description":"","custom_fields":[{"id":1,"name":"Subdivision","value":"NW"},{"id":4,"name":"Milepost","value":"0.0698"},{"id":17,"name":"Train ID","value":"800-24"},{"id":16,"name":"Locomotive ID","value":"4004"},{"id":130,"name":"Impact","value":""},{"id":150,"name":"Time of Event (Mountain Time)","value":"05:24:33"},{"id":151,"name":"Denver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71"/>
        <v>start /low /b %USERPROFILE%\Documents\GitHub\eaglep3\Utilities\DownloadLogsFromS3.py --loco 4004 --day 2017-02-24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"%USERPROFILE%\AppData\Local\Temp\OnboardLogs"\RTDC4004\*4004*20170224* | grep -SE "(Enforcement Action)|(\[TIMEOUT)|(CHR.+\|PRM\|1\|D.+(SWITCH|SIGNAL).+UNKNOWN)" - &gt;&gt; 2017-02-24-UncaughtWiMAX.txt</v>
      </c>
    </row>
    <row r="159" spans="1:91" s="20" customFormat="1" x14ac:dyDescent="0.25">
      <c r="A159" s="33" t="s">
        <v>498</v>
      </c>
      <c r="B159" s="7">
        <v>4003</v>
      </c>
      <c r="C159" s="21" t="s">
        <v>280</v>
      </c>
      <c r="D159" s="21" t="s">
        <v>318</v>
      </c>
      <c r="E159" s="13">
        <v>42790.227534722224</v>
      </c>
      <c r="F159" s="13">
        <v>42790.243969907409</v>
      </c>
      <c r="G159" s="7">
        <v>0</v>
      </c>
      <c r="H159" s="21" t="s">
        <v>798</v>
      </c>
      <c r="I159" s="13">
        <v>42790.253194444442</v>
      </c>
      <c r="J159" s="7">
        <v>1</v>
      </c>
      <c r="K159" s="98" t="str">
        <f t="shared" si="54"/>
        <v>4003/4004</v>
      </c>
      <c r="L159" s="21" t="str">
        <f>VLOOKUP(A159,'Trips&amp;Operators'!$C$1:$G$99999,5,FALSE)</f>
        <v>GEBRETEKLE DAGNEW</v>
      </c>
      <c r="M159" s="6">
        <f t="shared" si="55"/>
        <v>9.2245370324235409E-3</v>
      </c>
      <c r="N159" s="7">
        <f t="shared" si="56"/>
        <v>13.283333326689899</v>
      </c>
      <c r="O159" s="7"/>
      <c r="P159" s="7"/>
      <c r="Q159" s="22"/>
      <c r="R159" s="22"/>
      <c r="S159" s="31">
        <f t="shared" si="57"/>
        <v>1</v>
      </c>
      <c r="T159" s="46" t="str">
        <f t="shared" si="58"/>
        <v>NorthBound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59"/>
        <v>https://d0f6bd738d7f1b3e5a7ca70fe4ff75f0.us-east-1.aws.found.io/app/kibana#/discover/Steve-Slow-Train-Analysis-(2080s-and-2083s)?_g=(refreshInterval:(display:Off,pause:!f,section:0,value:0),time:(from:'2017-02-24T04:27:39-0700',mode:absolute,to:'2017-02-24T07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9" s="187" t="str">
        <f t="shared" si="60"/>
        <v>N</v>
      </c>
      <c r="X159" s="187">
        <f t="shared" si="61"/>
        <v>1</v>
      </c>
      <c r="Y159" s="62">
        <f t="shared" si="62"/>
        <v>9.8299999999999998E-2</v>
      </c>
      <c r="Z159" s="62">
        <f t="shared" si="63"/>
        <v>5.899</v>
      </c>
      <c r="AA159" s="62">
        <f t="shared" si="64"/>
        <v>5.8007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5"/>
        <v>0801-24</v>
      </c>
      <c r="AE159" s="85" t="str">
        <f t="shared" si="66"/>
        <v>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 &amp; 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</v>
      </c>
      <c r="AF159" s="82" t="str">
        <f t="shared" si="67"/>
        <v>"C:\Program Files (x86)\AstroGrep\AstroGrep.exe" /spath="%USERPROFILE%\AppData\Local\Temp\OnboardLogs" /stypes="app*4003*20170224*" /stext=" 13:.+((SYSTEM_STATE.+slice.+state.+changed )|(ment ac)|(multiple cpu faults)|(system.+state.+changed )|(\[timeout)|(PRM\|1\|D)|(kpr)|(kdp)|(\|lc)|(penalty))" /e /r /s</v>
      </c>
      <c r="AG159" s="1" t="str">
        <f t="shared" si="68"/>
        <v>NW</v>
      </c>
      <c r="AH159" s="86" t="str">
        <f t="shared" si="69"/>
        <v>"%USERPROFILE%\Documents\GitHub\eaglep3\Utilities\RefineRTDCRunTimes.py" --tripid 801-24 --locoid 4003 --swversion DE.1.0.9.0 --startMP 204:983 --initTime 2017-02-24T05:27:39 --startdatetime 2017-02-24T05:51:19 --delay 0 --endMP 300:58990 --enddatetime 2017-02-24T06:04:36 --enforcementcount 1 &gt;&gt;C:\Users\stu\Documents\GitHub\eaglep3-reporting\EC\2017-02-24-refined-times.txt</v>
      </c>
      <c r="AI159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{"issue":{"subject":"","project_id":79,"tracker_id":40,"status_id":1,"priority_id":2,"assigned_to_id":23,"start_date":"2017-02-24","description":"","custom_fields":[{"id":1,"name":"Subdivision","value":"NW"},{"id":4,"name":"Milepost","value":"5.899"},{"id":17,"name":"Train ID","value":"801-24"},{"id":16,"name":"Locomotive ID","value":"4003"},{"id":130,"name":"Impact","value":""},{"id":150,"name":"Time of Event (Mountain Time)","value":"06:04:36"},{"id":151,"name":"Denver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71"/>
        <v>start /low /b %USERPROFILE%\Documents\GitHub\eaglep3\Utilities\DownloadLogsFromS3.py --loco 4003 --day 2017-02-24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"%USERPROFILE%\AppData\Local\Temp\OnboardLogs"\RTDC4003\*4003*20170224* | grep -SE "(Enforcement Action)|(\[TIMEOUT)|(CHR.+\|PRM\|1\|D.+(SWITCH|SIGNAL).+UNKNOWN)" - &gt;&gt; 2017-02-24-UncaughtWiMAX.txt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504</v>
      </c>
      <c r="B160" s="7">
        <v>4004</v>
      </c>
      <c r="C160" s="21" t="s">
        <v>280</v>
      </c>
      <c r="D160" s="21" t="s">
        <v>429</v>
      </c>
      <c r="E160" s="13">
        <v>42790.25439814815</v>
      </c>
      <c r="F160" s="13">
        <v>42790.256203703706</v>
      </c>
      <c r="G160" s="7">
        <v>1</v>
      </c>
      <c r="H160" s="21" t="s">
        <v>383</v>
      </c>
      <c r="I160" s="13">
        <v>42790.26734953704</v>
      </c>
      <c r="J160" s="7">
        <v>1</v>
      </c>
      <c r="K160" s="98" t="str">
        <f t="shared" si="54"/>
        <v>4003/4004</v>
      </c>
      <c r="L160" s="21" t="str">
        <f>VLOOKUP(A160,'Trips&amp;Operators'!$C$1:$G$99999,5,FALSE)</f>
        <v>GEBRETEKLE DAGNEW</v>
      </c>
      <c r="M160" s="6">
        <f t="shared" si="55"/>
        <v>1.1145833334012423E-2</v>
      </c>
      <c r="N160" s="7">
        <f t="shared" si="56"/>
        <v>16.050000000977889</v>
      </c>
      <c r="O160" s="7"/>
      <c r="P160" s="7"/>
      <c r="Q160" s="22"/>
      <c r="R160" s="22"/>
      <c r="S160" s="31">
        <f t="shared" si="57"/>
        <v>1</v>
      </c>
      <c r="T160" s="46" t="str">
        <f t="shared" si="58"/>
        <v>Southbound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59"/>
        <v>https://d0f6bd738d7f1b3e5a7ca70fe4ff75f0.us-east-1.aws.found.io/app/kibana#/discover/Steve-Slow-Train-Analysis-(2080s-and-2083s)?_g=(refreshInterval:(display:Off,pause:!f,section:0,value:0),time:(from:'2017-02-24T05:06:20-0700',mode:absolute,to:'2017-02-24T07:24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0" s="187" t="str">
        <f t="shared" si="60"/>
        <v>N</v>
      </c>
      <c r="X160" s="187">
        <f t="shared" si="61"/>
        <v>1</v>
      </c>
      <c r="Y160" s="62">
        <f t="shared" si="62"/>
        <v>5.8682999999999996</v>
      </c>
      <c r="Z160" s="62">
        <f t="shared" si="63"/>
        <v>7.0300000000000001E-2</v>
      </c>
      <c r="AA160" s="62">
        <f t="shared" si="64"/>
        <v>5.798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5"/>
        <v>0802-24</v>
      </c>
      <c r="AE160" s="85" t="str">
        <f t="shared" si="66"/>
        <v>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 &amp; 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</v>
      </c>
      <c r="AF160" s="82" t="str">
        <f t="shared" si="67"/>
        <v>"C:\Program Files (x86)\AstroGrep\AstroGrep.exe" /spath="%USERPROFILE%\AppData\Local\Temp\OnboardLogs" /stypes="app*4004*20170224*" /stext=" 13:.+((SYSTEM_STATE.+slice.+state.+changed )|(ment ac)|(multiple cpu faults)|(system.+state.+changed )|(\[timeout)|(PRM\|1\|D)|(kpr)|(kdp)|(\|lc)|(penalty))" /e /r /s</v>
      </c>
      <c r="AG160" s="1" t="str">
        <f t="shared" si="68"/>
        <v>NW</v>
      </c>
      <c r="AH160" s="86" t="str">
        <f t="shared" si="69"/>
        <v>"%USERPROFILE%\Documents\GitHub\eaglep3\Utilities\RefineRTDCRunTimes.py" --tripid 802-24 --locoid 4004 --swversion DE.1.0.9.0 --startMP 300:58683 --initTime 2017-02-24T06:06:20 --startdatetime 2017-02-24T06:08:56 --delay 1 --endMP 204:703 --enddatetime 2017-02-24T06:24:59 --enforcementcount 1 &gt;&gt;C:\Users\stu\Documents\GitHub\eaglep3-reporting\EC\2017-02-24-refined-times.txt</v>
      </c>
      <c r="AI160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{"issue":{"subject":"","project_id":79,"tracker_id":40,"status_id":1,"priority_id":2,"assigned_to_id":23,"start_date":"2017-02-24","description":"","custom_fields":[{"id":1,"name":"Subdivision","value":"NW"},{"id":4,"name":"Milepost","value":"0.0703"},{"id":17,"name":"Train ID","value":"802-24"},{"id":16,"name":"Locomotive ID","value":"4004"},{"id":130,"name":"Impact","value":""},{"id":150,"name":"Time of Event (Mountain Time)","value":"06:24:59"},{"id":151,"name":"Denver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71"/>
        <v>start /low /b %USERPROFILE%\Documents\GitHub\eaglep3\Utilities\DownloadLogsFromS3.py --loco 4004 --day 2017-02-24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"%USERPROFILE%\AppData\Local\Temp\OnboardLogs"\RTDC4004\*4004*20170224* | grep -SE "(Enforcement Action)|(\[TIMEOUT)|(CHR.+\|PRM\|1\|D.+(SWITCH|SIGNAL).+UNKNOWN)" - &gt;&gt; 2017-02-24-UncaughtWiMAX.txt</v>
      </c>
    </row>
    <row r="161" spans="1:91" x14ac:dyDescent="0.25">
      <c r="A161" s="33" t="s">
        <v>505</v>
      </c>
      <c r="B161" s="7">
        <v>4053</v>
      </c>
      <c r="C161" s="21" t="s">
        <v>280</v>
      </c>
      <c r="D161" s="21" t="s">
        <v>799</v>
      </c>
      <c r="E161" s="13">
        <v>42790.256469907406</v>
      </c>
      <c r="F161" s="13">
        <v>42790.264780092592</v>
      </c>
      <c r="G161" s="7">
        <v>1</v>
      </c>
      <c r="H161" s="21" t="s">
        <v>798</v>
      </c>
      <c r="I161" s="13">
        <v>42790.274594907409</v>
      </c>
      <c r="J161" s="7">
        <v>1</v>
      </c>
      <c r="K161" s="98" t="str">
        <f t="shared" si="54"/>
        <v>4053/4054</v>
      </c>
      <c r="L161" s="21" t="str">
        <f>VLOOKUP(A161,'Trips&amp;Operators'!$C$1:$G$99999,5,FALSE)</f>
        <v>SHOOK JOHN</v>
      </c>
      <c r="M161" s="6">
        <f t="shared" si="55"/>
        <v>9.8148148172185756E-3</v>
      </c>
      <c r="N161" s="7">
        <f t="shared" si="56"/>
        <v>14.133333336794749</v>
      </c>
      <c r="O161" s="7"/>
      <c r="P161" s="7"/>
      <c r="Q161" s="22"/>
      <c r="R161" s="22"/>
      <c r="S161" s="31">
        <f t="shared" si="57"/>
        <v>1</v>
      </c>
      <c r="T161" s="46" t="str">
        <f t="shared" si="58"/>
        <v>NorthBound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59"/>
        <v>https://d0f6bd738d7f1b3e5a7ca70fe4ff75f0.us-east-1.aws.found.io/app/kibana#/discover/Steve-Slow-Train-Analysis-(2080s-and-2083s)?_g=(refreshInterval:(display:Off,pause:!f,section:0,value:0),time:(from:'2017-02-24T05:09:19-0700',mode:absolute,to:'2017-02-24T07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1" s="187" t="str">
        <f t="shared" si="60"/>
        <v>N</v>
      </c>
      <c r="X161" s="187">
        <f t="shared" si="61"/>
        <v>1</v>
      </c>
      <c r="Y161" s="62">
        <f t="shared" si="62"/>
        <v>0.1021</v>
      </c>
      <c r="Z161" s="62">
        <f t="shared" si="63"/>
        <v>5.899</v>
      </c>
      <c r="AA161" s="62">
        <f t="shared" si="64"/>
        <v>5.7968999999999999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5"/>
        <v>0803-24</v>
      </c>
      <c r="AE161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61" s="82" t="str">
        <f t="shared" si="67"/>
        <v>"C:\Program Files (x86)\AstroGrep\AstroGrep.exe" /spath="%USERPROFILE%\AppData\Local\Temp\OnboardLogs" /stypes="app*4053*20170224*" /stext=" 13:.+((SYSTEM_STATE.+slice.+state.+changed )|(ment ac)|(multiple cpu faults)|(system.+state.+changed )|(\[timeout)|(PRM\|1\|D)|(kpr)|(kdp)|(\|lc)|(penalty))" /e /r /s</v>
      </c>
      <c r="AG161" s="1" t="str">
        <f t="shared" si="68"/>
        <v>NW</v>
      </c>
      <c r="AH161" s="86" t="str">
        <f t="shared" si="69"/>
        <v>"%USERPROFILE%\Documents\GitHub\eaglep3\Utilities\RefineRTDCRunTimes.py" --tripid 803-24 --locoid 4053 --swversion DE.1.0.9.0 --startMP 204:1021 --initTime 2017-02-24T06:09:19 --startdatetime 2017-02-24T06:21:17 --delay 1 --endMP 300:58990 --enddatetime 2017-02-24T06:35:25 --enforcementcount 1 &gt;&gt;C:\Users\stu\Documents\GitHub\eaglep3-reporting\EC\2017-02-24-refined-times.txt</v>
      </c>
      <c r="AI161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{"issue":{"subject":"","project_id":79,"tracker_id":40,"status_id":1,"priority_id":2,"assigned_to_id":23,"start_date":"2017-02-24","description":"","custom_fields":[{"id":1,"name":"Subdivision","value":"NW"},{"id":4,"name":"Milepost","value":"5.899"},{"id":17,"name":"Train ID","value":"803-24"},{"id":16,"name":"Locomotive ID","value":"4053"},{"id":130,"name":"Impact","value":""},{"id":150,"name":"Time of Event (Mountain Time)","value":"06:35:25"},{"id":151,"name":"Denver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71"/>
        <v>start /low /b %USERPROFILE%\Documents\GitHub\eaglep3\Utilities\DownloadLogsFromS3.py --loco 4053 --day 2017-02-24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"%USERPROFILE%\AppData\Local\Temp\OnboardLogs"\RTDC4053\*4053*20170224* | grep -SE "(Enforcement Action)|(\[TIMEOUT)|(CHR.+\|PRM\|1\|D.+(SWITCH|SIGNAL).+UNKNOWN)" - &gt;&gt; 2017-02-24-UncaughtWiMAX.txt</v>
      </c>
    </row>
    <row r="162" spans="1:91" x14ac:dyDescent="0.25">
      <c r="A162" s="33" t="s">
        <v>510</v>
      </c>
      <c r="B162" s="7">
        <v>4054</v>
      </c>
      <c r="C162" s="21" t="s">
        <v>280</v>
      </c>
      <c r="D162" s="21" t="s">
        <v>411</v>
      </c>
      <c r="E162" s="13">
        <v>42790.276145833333</v>
      </c>
      <c r="F162" s="13">
        <v>42790.278391203705</v>
      </c>
      <c r="G162" s="7">
        <v>1</v>
      </c>
      <c r="H162" s="21" t="s">
        <v>417</v>
      </c>
      <c r="I162" s="13">
        <v>42790.289155092592</v>
      </c>
      <c r="J162" s="7">
        <v>1</v>
      </c>
      <c r="K162" s="98" t="str">
        <f t="shared" si="54"/>
        <v>4053/4054</v>
      </c>
      <c r="L162" s="21" t="str">
        <f>VLOOKUP(A162,'Trips&amp;Operators'!$C$1:$G$99999,5,FALSE)</f>
        <v>SHOOK JOHN</v>
      </c>
      <c r="M162" s="6">
        <f t="shared" si="55"/>
        <v>1.0763888887595385E-2</v>
      </c>
      <c r="N162" s="7">
        <f t="shared" si="56"/>
        <v>15.499999998137355</v>
      </c>
      <c r="O162" s="7"/>
      <c r="P162" s="7"/>
      <c r="Q162" s="22"/>
      <c r="R162" s="22"/>
      <c r="S162" s="31">
        <f t="shared" si="57"/>
        <v>1</v>
      </c>
      <c r="T162" s="46" t="str">
        <f t="shared" si="58"/>
        <v>Southbound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59"/>
        <v>https://d0f6bd738d7f1b3e5a7ca70fe4ff75f0.us-east-1.aws.found.io/app/kibana#/discover/Steve-Slow-Train-Analysis-(2080s-and-2083s)?_g=(refreshInterval:(display:Off,pause:!f,section:0,value:0),time:(from:'2017-02-24T05:37:39-0700',mode:absolute,to:'2017-02-24T07:56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2" s="187" t="str">
        <f t="shared" si="60"/>
        <v>N</v>
      </c>
      <c r="X162" s="187">
        <f t="shared" si="61"/>
        <v>1</v>
      </c>
      <c r="Y162" s="62">
        <f t="shared" si="62"/>
        <v>5.8681000000000001</v>
      </c>
      <c r="Z162" s="62">
        <f t="shared" si="63"/>
        <v>7.2900000000000006E-2</v>
      </c>
      <c r="AA162" s="62">
        <f t="shared" si="64"/>
        <v>5.7952000000000004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5"/>
        <v>0804-24</v>
      </c>
      <c r="AE162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62" s="82" t="str">
        <f t="shared" si="67"/>
        <v>"C:\Program Files (x86)\AstroGrep\AstroGrep.exe" /spath="%USERPROFILE%\AppData\Local\Temp\OnboardLogs" /stypes="app*4054*20170224*" /stext=" 13:.+((SYSTEM_STATE.+slice.+state.+changed )|(ment ac)|(multiple cpu faults)|(system.+state.+changed )|(\[timeout)|(PRM\|1\|D)|(kpr)|(kdp)|(\|lc)|(penalty))" /e /r /s</v>
      </c>
      <c r="AG162" s="1" t="str">
        <f t="shared" si="68"/>
        <v>NW</v>
      </c>
      <c r="AH162" s="86" t="str">
        <f t="shared" si="69"/>
        <v>"%USERPROFILE%\Documents\GitHub\eaglep3\Utilities\RefineRTDCRunTimes.py" --tripid 804-24 --locoid 4054 --swversion DE.1.0.9.0 --startMP 300:58681 --initTime 2017-02-24T06:37:39 --startdatetime 2017-02-24T06:40:53 --delay 1 --endMP 204:729 --enddatetime 2017-02-24T06:56:23 --enforcementcount 1 &gt;&gt;C:\Users\stu\Documents\GitHub\eaglep3-reporting\EC\2017-02-24-refined-times.txt</v>
      </c>
      <c r="AI162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{"issue":{"subject":"","project_id":79,"tracker_id":40,"status_id":1,"priority_id":2,"assigned_to_id":23,"start_date":"2017-02-24","description":"","custom_fields":[{"id":1,"name":"Subdivision","value":"NW"},{"id":4,"name":"Milepost","value":"0.0729"},{"id":17,"name":"Train ID","value":"804-24"},{"id":16,"name":"Locomotive ID","value":"4054"},{"id":130,"name":"Impact","value":""},{"id":150,"name":"Time of Event (Mountain Time)","value":"06:56:23"},{"id":151,"name":"Denver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71"/>
        <v>start /low /b %USERPROFILE%\Documents\GitHub\eaglep3\Utilities\DownloadLogsFromS3.py --loco 4054 --day 2017-02-24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163" spans="1:91" s="20" customFormat="1" x14ac:dyDescent="0.25">
      <c r="A163" s="33" t="s">
        <v>508</v>
      </c>
      <c r="B163" s="7">
        <v>4003</v>
      </c>
      <c r="C163" s="21" t="s">
        <v>280</v>
      </c>
      <c r="D163" s="21" t="s">
        <v>800</v>
      </c>
      <c r="E163" s="13">
        <v>42790.26871527778</v>
      </c>
      <c r="F163" s="13">
        <v>42790.285613425927</v>
      </c>
      <c r="G163" s="7">
        <v>1</v>
      </c>
      <c r="H163" s="21" t="s">
        <v>801</v>
      </c>
      <c r="I163" s="13">
        <v>42790.294502314813</v>
      </c>
      <c r="J163" s="7">
        <v>1</v>
      </c>
      <c r="K163" s="98" t="str">
        <f t="shared" si="54"/>
        <v>4003/4004</v>
      </c>
      <c r="L163" s="21" t="str">
        <f>VLOOKUP(A163,'Trips&amp;Operators'!$C$1:$G$99999,5,FALSE)</f>
        <v>GEBRETEKLE DAGNEW</v>
      </c>
      <c r="M163" s="6">
        <f t="shared" si="55"/>
        <v>8.8888888858491555E-3</v>
      </c>
      <c r="N163" s="7">
        <f t="shared" si="56"/>
        <v>12.799999995622784</v>
      </c>
      <c r="O163" s="7"/>
      <c r="P163" s="7"/>
      <c r="Q163" s="22"/>
      <c r="R163" s="22"/>
      <c r="S163" s="31">
        <f t="shared" si="57"/>
        <v>1</v>
      </c>
      <c r="T163" s="46" t="str">
        <f t="shared" si="58"/>
        <v>NorthBound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59"/>
        <v>https://d0f6bd738d7f1b3e5a7ca70fe4ff75f0.us-east-1.aws.found.io/app/kibana#/discover/Steve-Slow-Train-Analysis-(2080s-and-2083s)?_g=(refreshInterval:(display:Off,pause:!f,section:0,value:0),time:(from:'2017-02-24T05:26:57-0700',mode:absolute,to:'2017-02-24T08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3" s="187" t="str">
        <f t="shared" si="60"/>
        <v>N</v>
      </c>
      <c r="X163" s="187">
        <f t="shared" si="61"/>
        <v>1</v>
      </c>
      <c r="Y163" s="62">
        <f t="shared" si="62"/>
        <v>9.9699999999999997E-2</v>
      </c>
      <c r="Z163" s="62">
        <f t="shared" si="63"/>
        <v>5.8993000000000002</v>
      </c>
      <c r="AA163" s="62">
        <f t="shared" si="64"/>
        <v>5.7995999999999999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5"/>
        <v>0805-24</v>
      </c>
      <c r="AE163" s="85" t="str">
        <f t="shared" si="66"/>
        <v>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 &amp; 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</v>
      </c>
      <c r="AF163" s="82" t="str">
        <f t="shared" si="67"/>
        <v>"C:\Program Files (x86)\AstroGrep\AstroGrep.exe" /spath="%USERPROFILE%\AppData\Local\Temp\OnboardLogs" /stypes="app*4003*20170224*" /stext=" 14:.+((SYSTEM_STATE.+slice.+state.+changed )|(ment ac)|(multiple cpu faults)|(system.+state.+changed )|(\[timeout)|(PRM\|1\|D)|(kpr)|(kdp)|(\|lc)|(penalty))" /e /r /s</v>
      </c>
      <c r="AG163" s="1" t="str">
        <f t="shared" si="68"/>
        <v>NW</v>
      </c>
      <c r="AH163" s="86" t="str">
        <f t="shared" si="69"/>
        <v>"%USERPROFILE%\Documents\GitHub\eaglep3\Utilities\RefineRTDCRunTimes.py" --tripid 805-24 --locoid 4003 --swversion DE.1.0.9.0 --startMP 204:997 --initTime 2017-02-24T06:26:57 --startdatetime 2017-02-24T06:51:17 --delay 1 --endMP 300:58993 --enddatetime 2017-02-24T07:04:05 --enforcementcount 1 &gt;&gt;C:\Users\stu\Documents\GitHub\eaglep3-reporting\EC\2017-02-24-refined-times.txt</v>
      </c>
      <c r="AI163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{"issue":{"subject":"","project_id":79,"tracker_id":40,"status_id":1,"priority_id":2,"assigned_to_id":23,"start_date":"2017-02-24","description":"","custom_fields":[{"id":1,"name":"Subdivision","value":"NW"},{"id":4,"name":"Milepost","value":"5.8993"},{"id":17,"name":"Train ID","value":"805-24"},{"id":16,"name":"Locomotive ID","value":"4003"},{"id":130,"name":"Impact","value":""},{"id":150,"name":"Time of Event (Mountain Time)","value":"07:04:05"},{"id":151,"name":"Denver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71"/>
        <v>start /low /b %USERPROFILE%\Documents\GitHub\eaglep3\Utilities\DownloadLogsFromS3.py --loco 4003 --day 2017-02-24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"%USERPROFILE%\AppData\Local\Temp\OnboardLogs"\RTDC4003\*4003*20170224* | grep -SE "(Enforcement Action)|(\[TIMEOUT)|(CHR.+\|PRM\|1\|D.+(SWITCH|SIGNAL).+UNKNOWN)" - &gt;&gt; 2017-02-24-UncaughtWiMAX.txt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516</v>
      </c>
      <c r="B164" s="7">
        <v>4004</v>
      </c>
      <c r="C164" s="21" t="s">
        <v>280</v>
      </c>
      <c r="D164" s="21" t="s">
        <v>429</v>
      </c>
      <c r="E164" s="13">
        <v>42790.295960648145</v>
      </c>
      <c r="F164" s="13">
        <v>42790.297476851854</v>
      </c>
      <c r="G164" s="7">
        <v>1</v>
      </c>
      <c r="H164" s="21" t="s">
        <v>802</v>
      </c>
      <c r="I164" s="13">
        <v>42790.308981481481</v>
      </c>
      <c r="J164" s="7">
        <v>1</v>
      </c>
      <c r="K164" s="98" t="str">
        <f t="shared" si="54"/>
        <v>4003/4004</v>
      </c>
      <c r="L164" s="21" t="str">
        <f>VLOOKUP(A164,'Trips&amp;Operators'!$C$1:$G$99999,5,FALSE)</f>
        <v>GEBRETEKLE DAGNEW</v>
      </c>
      <c r="M164" s="6">
        <f t="shared" si="55"/>
        <v>1.1504629626870155E-2</v>
      </c>
      <c r="N164" s="7">
        <f t="shared" si="56"/>
        <v>16.566666662693024</v>
      </c>
      <c r="O164" s="7"/>
      <c r="P164" s="7"/>
      <c r="Q164" s="22"/>
      <c r="R164" s="22"/>
      <c r="S164" s="31">
        <f t="shared" si="57"/>
        <v>1</v>
      </c>
      <c r="T164" s="46" t="str">
        <f t="shared" si="58"/>
        <v>Southbound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59"/>
        <v>https://d0f6bd738d7f1b3e5a7ca70fe4ff75f0.us-east-1.aws.found.io/app/kibana#/discover/Steve-Slow-Train-Analysis-(2080s-and-2083s)?_g=(refreshInterval:(display:Off,pause:!f,section:0,value:0),time:(from:'2017-02-24T06:06:11-0700',mode:absolute,to:'2017-02-24T08:24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4" s="187" t="str">
        <f t="shared" si="60"/>
        <v>N</v>
      </c>
      <c r="X164" s="187">
        <f t="shared" si="61"/>
        <v>1</v>
      </c>
      <c r="Y164" s="62">
        <f t="shared" si="62"/>
        <v>5.8682999999999996</v>
      </c>
      <c r="Z164" s="62">
        <f t="shared" si="63"/>
        <v>7.1499999999999994E-2</v>
      </c>
      <c r="AA164" s="62">
        <f t="shared" si="64"/>
        <v>5.7967999999999993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5"/>
        <v>0806-24</v>
      </c>
      <c r="AE164" s="85" t="str">
        <f t="shared" si="66"/>
        <v>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 &amp; 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</v>
      </c>
      <c r="AF164" s="82" t="str">
        <f t="shared" si="67"/>
        <v>"C:\Program Files (x86)\AstroGrep\AstroGrep.exe" /spath="%USERPROFILE%\AppData\Local\Temp\OnboardLogs" /stypes="app*4004*20170224*" /stext=" 14:.+((SYSTEM_STATE.+slice.+state.+changed )|(ment ac)|(multiple cpu faults)|(system.+state.+changed )|(\[timeout)|(PRM\|1\|D)|(kpr)|(kdp)|(\|lc)|(penalty))" /e /r /s</v>
      </c>
      <c r="AG164" s="1" t="str">
        <f t="shared" si="68"/>
        <v>NW</v>
      </c>
      <c r="AH164" s="86" t="str">
        <f t="shared" si="69"/>
        <v>"%USERPROFILE%\Documents\GitHub\eaglep3\Utilities\RefineRTDCRunTimes.py" --tripid 806-24 --locoid 4004 --swversion DE.1.0.9.0 --startMP 300:58683 --initTime 2017-02-24T07:06:11 --startdatetime 2017-02-24T07:08:22 --delay 1 --endMP 204:715 --enddatetime 2017-02-24T07:24:56 --enforcementcount 1 &gt;&gt;C:\Users\stu\Documents\GitHub\eaglep3-reporting\EC\2017-02-24-refined-times.txt</v>
      </c>
      <c r="AI164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{"issue":{"subject":"","project_id":79,"tracker_id":40,"status_id":1,"priority_id":2,"assigned_to_id":23,"start_date":"2017-02-24","description":"","custom_fields":[{"id":1,"name":"Subdivision","value":"NW"},{"id":4,"name":"Milepost","value":"0.0715"},{"id":17,"name":"Train ID","value":"806-24"},{"id":16,"name":"Locomotive ID","value":"4004"},{"id":130,"name":"Impact","value":""},{"id":150,"name":"Time of Event (Mountain Time)","value":"07:24:56"},{"id":151,"name":"Denver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71"/>
        <v>start /low /b %USERPROFILE%\Documents\GitHub\eaglep3\Utilities\DownloadLogsFromS3.py --loco 4004 --day 2017-02-24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"%USERPROFILE%\AppData\Local\Temp\OnboardLogs"\RTDC4004\*4004*20170224* | grep -SE "(Enforcement Action)|(\[TIMEOUT)|(CHR.+\|PRM\|1\|D.+(SWITCH|SIGNAL).+UNKNOWN)" - &gt;&gt; 2017-02-24-UncaughtWiMAX.txt</v>
      </c>
    </row>
    <row r="165" spans="1:91" s="20" customFormat="1" x14ac:dyDescent="0.25">
      <c r="A165" s="33" t="s">
        <v>515</v>
      </c>
      <c r="B165" s="7">
        <v>4053</v>
      </c>
      <c r="C165" s="21" t="s">
        <v>280</v>
      </c>
      <c r="D165" s="21" t="s">
        <v>803</v>
      </c>
      <c r="E165" s="13">
        <v>42790.290416666663</v>
      </c>
      <c r="F165" s="13">
        <v>42790.306435185186</v>
      </c>
      <c r="G165" s="7">
        <v>0</v>
      </c>
      <c r="H165" s="21" t="s">
        <v>804</v>
      </c>
      <c r="I165" s="13">
        <v>42790.31585648148</v>
      </c>
      <c r="J165" s="7">
        <v>1</v>
      </c>
      <c r="K165" s="98" t="str">
        <f t="shared" si="54"/>
        <v>4053/4054</v>
      </c>
      <c r="L165" s="21" t="str">
        <f>VLOOKUP(A165,'Trips&amp;Operators'!$C$1:$G$99999,5,FALSE)</f>
        <v>SHOOK JOHN</v>
      </c>
      <c r="M165" s="6">
        <f t="shared" si="55"/>
        <v>9.4212962940218858E-3</v>
      </c>
      <c r="N165" s="7">
        <f t="shared" si="56"/>
        <v>13.566666663391516</v>
      </c>
      <c r="O165" s="7"/>
      <c r="P165" s="7"/>
      <c r="Q165" s="22"/>
      <c r="R165" s="22"/>
      <c r="S165" s="31">
        <f t="shared" si="57"/>
        <v>1</v>
      </c>
      <c r="T165" s="46" t="str">
        <f t="shared" si="58"/>
        <v>NorthBound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59"/>
        <v>https://d0f6bd738d7f1b3e5a7ca70fe4ff75f0.us-east-1.aws.found.io/app/kibana#/discover/Steve-Slow-Train-Analysis-(2080s-and-2083s)?_g=(refreshInterval:(display:Off,pause:!f,section:0,value:0),time:(from:'2017-02-24T05:58:12-0700',mode:absolute,to:'2017-02-24T08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5" s="187" t="str">
        <f t="shared" si="60"/>
        <v>N</v>
      </c>
      <c r="X165" s="187">
        <f t="shared" si="61"/>
        <v>1</v>
      </c>
      <c r="Y165" s="62">
        <f t="shared" si="62"/>
        <v>0.1023</v>
      </c>
      <c r="Z165" s="62">
        <f t="shared" si="63"/>
        <v>5.9002999999999997</v>
      </c>
      <c r="AA165" s="62">
        <f t="shared" si="64"/>
        <v>5.798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5"/>
        <v>0807-24</v>
      </c>
      <c r="AE165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65" s="82" t="str">
        <f t="shared" si="67"/>
        <v>"C:\Program Files (x86)\AstroGrep\AstroGrep.exe" /spath="%USERPROFILE%\AppData\Local\Temp\OnboardLogs" /stypes="app*4053*20170224*" /stext=" 14:.+((SYSTEM_STATE.+slice.+state.+changed )|(ment ac)|(multiple cpu faults)|(system.+state.+changed )|(\[timeout)|(PRM\|1\|D)|(kpr)|(kdp)|(\|lc)|(penalty))" /e /r /s</v>
      </c>
      <c r="AG165" s="1" t="str">
        <f t="shared" si="68"/>
        <v>NW</v>
      </c>
      <c r="AH165" s="86" t="str">
        <f t="shared" si="69"/>
        <v>"%USERPROFILE%\Documents\GitHub\eaglep3\Utilities\RefineRTDCRunTimes.py" --tripid 807-24 --locoid 4053 --swversion DE.1.0.9.0 --startMP 204:1023 --initTime 2017-02-24T06:58:12 --startdatetime 2017-02-24T07:21:16 --delay 0 --endMP 300:59003 --enddatetime 2017-02-24T07:34:50 --enforcementcount 1 &gt;&gt;C:\Users\stu\Documents\GitHub\eaglep3-reporting\EC\2017-02-24-refined-times.txt</v>
      </c>
      <c r="AI165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{"issue":{"subject":"","project_id":79,"tracker_id":40,"status_id":1,"priority_id":2,"assigned_to_id":23,"start_date":"2017-02-24","description":"","custom_fields":[{"id":1,"name":"Subdivision","value":"NW"},{"id":4,"name":"Milepost","value":"5.9003"},{"id":17,"name":"Train ID","value":"807-24"},{"id":16,"name":"Locomotive ID","value":"4053"},{"id":130,"name":"Impact","value":""},{"id":150,"name":"Time of Event (Mountain Time)","value":"07:34:50"},{"id":151,"name":"Denver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71"/>
        <v>start /low /b %USERPROFILE%\Documents\GitHub\eaglep3\Utilities\DownloadLogsFromS3.py --loco 4053 --day 2017-02-24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"%USERPROFILE%\AppData\Local\Temp\OnboardLogs"\RTDC4053\*4053*20170224* | grep -SE "(Enforcement Action)|(\[TIMEOUT)|(CHR.+\|PRM\|1\|D.+(SWITCH|SIGNAL).+UNKNOWN)" - &gt;&gt; 2017-02-24-UncaughtWiMAX.txt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520</v>
      </c>
      <c r="B166" s="7">
        <v>4054</v>
      </c>
      <c r="C166" s="21" t="s">
        <v>280</v>
      </c>
      <c r="D166" s="21" t="s">
        <v>805</v>
      </c>
      <c r="E166" s="13">
        <v>42790.317395833335</v>
      </c>
      <c r="F166" s="13">
        <v>42790.320023148146</v>
      </c>
      <c r="G166" s="7">
        <v>1</v>
      </c>
      <c r="H166" s="21" t="s">
        <v>806</v>
      </c>
      <c r="I166" s="13">
        <v>42790.330659722225</v>
      </c>
      <c r="J166" s="7">
        <v>1</v>
      </c>
      <c r="K166" s="98" t="str">
        <f t="shared" si="54"/>
        <v>4053/4054</v>
      </c>
      <c r="L166" s="21" t="str">
        <f>VLOOKUP(A166,'Trips&amp;Operators'!$C$1:$G$99999,5,FALSE)</f>
        <v>SHOOK JOHN</v>
      </c>
      <c r="M166" s="6">
        <f t="shared" si="55"/>
        <v>1.0636574079398997E-2</v>
      </c>
      <c r="N166" s="7">
        <f t="shared" si="56"/>
        <v>15.316666674334556</v>
      </c>
      <c r="O166" s="7"/>
      <c r="P166" s="7"/>
      <c r="Q166" s="22"/>
      <c r="R166" s="22"/>
      <c r="S166" s="31">
        <f t="shared" si="57"/>
        <v>1</v>
      </c>
      <c r="T166" s="46" t="str">
        <f t="shared" si="58"/>
        <v>Southbound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59"/>
        <v>https://d0f6bd738d7f1b3e5a7ca70fe4ff75f0.us-east-1.aws.found.io/app/kibana#/discover/Steve-Slow-Train-Analysis-(2080s-and-2083s)?_g=(refreshInterval:(display:Off,pause:!f,section:0,value:0),time:(from:'2017-02-24T06:37:03-0700',mode:absolute,to:'2017-02-24T08:56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66" s="187" t="str">
        <f t="shared" si="60"/>
        <v>N</v>
      </c>
      <c r="X166" s="187">
        <f t="shared" si="61"/>
        <v>1</v>
      </c>
      <c r="Y166" s="62">
        <f t="shared" si="62"/>
        <v>5.8686999999999996</v>
      </c>
      <c r="Z166" s="62">
        <f t="shared" si="63"/>
        <v>7.3400000000000007E-2</v>
      </c>
      <c r="AA166" s="62">
        <f t="shared" si="64"/>
        <v>5.7952999999999992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5"/>
        <v>0808-24</v>
      </c>
      <c r="AE166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66" s="82" t="str">
        <f t="shared" si="67"/>
        <v>"C:\Program Files (x86)\AstroGrep\AstroGrep.exe" /spath="%USERPROFILE%\AppData\Local\Temp\OnboardLogs" /stypes="app*4054*20170224*" /stext=" 14:.+((SYSTEM_STATE.+slice.+state.+changed )|(ment ac)|(multiple cpu faults)|(system.+state.+changed )|(\[timeout)|(PRM\|1\|D)|(kpr)|(kdp)|(\|lc)|(penalty))" /e /r /s</v>
      </c>
      <c r="AG166" s="1" t="str">
        <f t="shared" si="68"/>
        <v>NW</v>
      </c>
      <c r="AH166" s="86" t="str">
        <f t="shared" si="69"/>
        <v>"%USERPROFILE%\Documents\GitHub\eaglep3\Utilities\RefineRTDCRunTimes.py" --tripid 808-24 --locoid 4054 --swversion DE.1.0.9.0 --startMP 300:58687 --initTime 2017-02-24T07:37:03 --startdatetime 2017-02-24T07:40:50 --delay 1 --endMP 204:734 --enddatetime 2017-02-24T07:56:09 --enforcementcount 1 &gt;&gt;C:\Users\stu\Documents\GitHub\eaglep3-reporting\EC\2017-02-24-refined-times.txt</v>
      </c>
      <c r="AI166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{"issue":{"subject":"","project_id":79,"tracker_id":40,"status_id":1,"priority_id":2,"assigned_to_id":23,"start_date":"2017-02-24","description":"","custom_fields":[{"id":1,"name":"Subdivision","value":"NW"},{"id":4,"name":"Milepost","value":"0.0734"},{"id":17,"name":"Train ID","value":"808-24"},{"id":16,"name":"Locomotive ID","value":"4054"},{"id":130,"name":"Impact","value":""},{"id":150,"name":"Time of Event (Mountain Time)","value":"07:56:09"},{"id":151,"name":"Denver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71"/>
        <v>start /low /b %USERPROFILE%\Documents\GitHub\eaglep3\Utilities\DownloadLogsFromS3.py --loco 4054 --day 2017-02-24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167" spans="1:91" s="20" customFormat="1" x14ac:dyDescent="0.25">
      <c r="A167" s="33" t="s">
        <v>519</v>
      </c>
      <c r="B167" s="7">
        <v>4003</v>
      </c>
      <c r="C167" s="21" t="s">
        <v>280</v>
      </c>
      <c r="D167" s="21" t="s">
        <v>807</v>
      </c>
      <c r="E167" s="13">
        <v>42790.310740740744</v>
      </c>
      <c r="F167" s="13">
        <v>42790.327256944445</v>
      </c>
      <c r="G167" s="7">
        <v>1</v>
      </c>
      <c r="H167" s="21" t="s">
        <v>413</v>
      </c>
      <c r="I167" s="13">
        <v>42790.33630787037</v>
      </c>
      <c r="J167" s="7">
        <v>1</v>
      </c>
      <c r="K167" s="98" t="str">
        <f t="shared" si="54"/>
        <v>4003/4004</v>
      </c>
      <c r="L167" s="21" t="str">
        <f>VLOOKUP(A167,'Trips&amp;Operators'!$C$1:$G$99999,5,FALSE)</f>
        <v>GEBRETEKLE DAGNEW</v>
      </c>
      <c r="M167" s="6">
        <f t="shared" si="55"/>
        <v>9.0509259243845008E-3</v>
      </c>
      <c r="N167" s="7">
        <f t="shared" si="56"/>
        <v>13.033333331113681</v>
      </c>
      <c r="O167" s="7"/>
      <c r="P167" s="7"/>
      <c r="Q167" s="22"/>
      <c r="R167" s="22"/>
      <c r="S167" s="31">
        <f t="shared" si="57"/>
        <v>1</v>
      </c>
      <c r="T167" s="46" t="str">
        <f t="shared" si="58"/>
        <v>NorthBound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59"/>
        <v>https://d0f6bd738d7f1b3e5a7ca70fe4ff75f0.us-east-1.aws.found.io/app/kibana#/discover/Steve-Slow-Train-Analysis-(2080s-and-2083s)?_g=(refreshInterval:(display:Off,pause:!f,section:0,value:0),time:(from:'2017-02-24T06:27:28-0700',mode:absolute,to:'2017-02-24T09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7" s="187" t="str">
        <f t="shared" si="60"/>
        <v>N</v>
      </c>
      <c r="X167" s="187">
        <f t="shared" si="61"/>
        <v>1</v>
      </c>
      <c r="Y167" s="62">
        <f t="shared" si="62"/>
        <v>9.9000000000000005E-2</v>
      </c>
      <c r="Z167" s="62">
        <f t="shared" si="63"/>
        <v>5.8992000000000004</v>
      </c>
      <c r="AA167" s="62">
        <f t="shared" si="64"/>
        <v>5.8002000000000002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5"/>
        <v>0809-24</v>
      </c>
      <c r="AE167" s="85" t="str">
        <f t="shared" si="66"/>
        <v>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 &amp; 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</v>
      </c>
      <c r="AF167" s="82" t="str">
        <f t="shared" si="67"/>
        <v>"C:\Program Files (x86)\AstroGrep\AstroGrep.exe" /spath="%USERPROFILE%\AppData\Local\Temp\OnboardLogs" /stypes="app*4003*20170224*" /stext=" 15:.+((SYSTEM_STATE.+slice.+state.+changed )|(ment ac)|(multiple cpu faults)|(system.+state.+changed )|(\[timeout)|(PRM\|1\|D)|(kpr)|(kdp)|(\|lc)|(penalty))" /e /r /s</v>
      </c>
      <c r="AG167" s="1" t="str">
        <f t="shared" si="68"/>
        <v>NW</v>
      </c>
      <c r="AH167" s="86" t="str">
        <f t="shared" si="69"/>
        <v>"%USERPROFILE%\Documents\GitHub\eaglep3\Utilities\RefineRTDCRunTimes.py" --tripid 809-24 --locoid 4003 --swversion DE.1.0.9.0 --startMP 204:990 --initTime 2017-02-24T07:27:28 --startdatetime 2017-02-24T07:51:15 --delay 1 --endMP 300:58992 --enddatetime 2017-02-24T08:04:17 --enforcementcount 1 &gt;&gt;C:\Users\stu\Documents\GitHub\eaglep3-reporting\EC\2017-02-24-refined-times.txt</v>
      </c>
      <c r="AI167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{"issue":{"subject":"","project_id":79,"tracker_id":40,"status_id":1,"priority_id":2,"assigned_to_id":23,"start_date":"2017-02-24","description":"","custom_fields":[{"id":1,"name":"Subdivision","value":"NW"},{"id":4,"name":"Milepost","value":"5.8992"},{"id":17,"name":"Train ID","value":"809-24"},{"id":16,"name":"Locomotive ID","value":"4003"},{"id":130,"name":"Impact","value":""},{"id":150,"name":"Time of Event (Mountain Time)","value":"08:04:17"},{"id":151,"name":"Denver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71"/>
        <v>start /low /b %USERPROFILE%\Documents\GitHub\eaglep3\Utilities\DownloadLogsFromS3.py --loco 4003 --day 2017-02-24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"%USERPROFILE%\AppData\Local\Temp\OnboardLogs"\RTDC4003\*4003*20170224* | grep -SE "(Enforcement Action)|(\[TIMEOUT)|(CHR.+\|PRM\|1\|D.+(SWITCH|SIGNAL).+UNKNOWN)" - &gt;&gt; 2017-02-24-UncaughtWiMAX.txt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524</v>
      </c>
      <c r="B168" s="7">
        <v>4004</v>
      </c>
      <c r="C168" s="21" t="s">
        <v>280</v>
      </c>
      <c r="D168" s="21" t="s">
        <v>414</v>
      </c>
      <c r="E168" s="13">
        <v>42790.337407407409</v>
      </c>
      <c r="F168" s="13">
        <v>42790.338796296295</v>
      </c>
      <c r="G168" s="7">
        <v>1</v>
      </c>
      <c r="H168" s="21" t="s">
        <v>833</v>
      </c>
      <c r="I168" s="13">
        <v>42790.35056712963</v>
      </c>
      <c r="J168" s="7">
        <v>1</v>
      </c>
      <c r="K168" s="98" t="str">
        <f t="shared" si="54"/>
        <v>4003/4004</v>
      </c>
      <c r="L168" s="21" t="str">
        <f>VLOOKUP(A168,'Trips&amp;Operators'!$C$1:$G$99999,5,FALSE)</f>
        <v>GEBRETEKLE DAGNEW</v>
      </c>
      <c r="M168" s="6">
        <f t="shared" si="55"/>
        <v>1.1770833334594499E-2</v>
      </c>
      <c r="N168" s="7">
        <f t="shared" si="56"/>
        <v>16.950000001816079</v>
      </c>
      <c r="O168" s="7"/>
      <c r="P168" s="7"/>
      <c r="Q168" s="22"/>
      <c r="R168" s="22"/>
      <c r="S168" s="31">
        <f t="shared" si="57"/>
        <v>1</v>
      </c>
      <c r="T168" s="46" t="str">
        <f t="shared" si="58"/>
        <v>Southbound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59"/>
        <v>https://d0f6bd738d7f1b3e5a7ca70fe4ff75f0.us-east-1.aws.found.io/app/kibana#/discover/Steve-Slow-Train-Analysis-(2080s-and-2083s)?_g=(refreshInterval:(display:Off,pause:!f,section:0,value:0),time:(from:'2017-02-24T07:05:52-0700',mode:absolute,to:'2017-02-24T09:24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68" s="187" t="str">
        <f t="shared" si="60"/>
        <v>N</v>
      </c>
      <c r="X168" s="187">
        <f t="shared" si="61"/>
        <v>1</v>
      </c>
      <c r="Y168" s="62">
        <f t="shared" si="62"/>
        <v>5.8678999999999997</v>
      </c>
      <c r="Z168" s="62">
        <f t="shared" si="63"/>
        <v>1.0200000000000001E-2</v>
      </c>
      <c r="AA168" s="62">
        <f t="shared" si="64"/>
        <v>5.8576999999999995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5"/>
        <v>0810-24</v>
      </c>
      <c r="AE168" s="85" t="str">
        <f t="shared" si="66"/>
        <v>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 &amp; 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</v>
      </c>
      <c r="AF168" s="82" t="str">
        <f t="shared" si="67"/>
        <v>"C:\Program Files (x86)\AstroGrep\AstroGrep.exe" /spath="%USERPROFILE%\AppData\Local\Temp\OnboardLogs" /stypes="app*4004*20170224*" /stext=" 15:.+((SYSTEM_STATE.+slice.+state.+changed )|(ment ac)|(multiple cpu faults)|(system.+state.+changed )|(\[timeout)|(PRM\|1\|D)|(kpr)|(kdp)|(\|lc)|(penalty))" /e /r /s</v>
      </c>
      <c r="AG168" s="1" t="str">
        <f t="shared" si="68"/>
        <v>NW</v>
      </c>
      <c r="AH168" s="86" t="str">
        <f t="shared" si="69"/>
        <v>"%USERPROFILE%\Documents\GitHub\eaglep3\Utilities\RefineRTDCRunTimes.py" --tripid 810-24 --locoid 4004 --swversion DE.1.0.9.0 --startMP 300:58679 --initTime 2017-02-24T08:05:52 --startdatetime 2017-02-24T08:07:52 --delay 1 --endMP 204:102 --enddatetime 2017-02-24T08:24:49 --enforcementcount 1 &gt;&gt;C:\Users\stu\Documents\GitHub\eaglep3-reporting\EC\2017-02-24-refined-times.txt</v>
      </c>
      <c r="AI168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{"issue":{"subject":"","project_id":79,"tracker_id":40,"status_id":1,"priority_id":2,"assigned_to_id":23,"start_date":"2017-02-24","description":"","custom_fields":[{"id":1,"name":"Subdivision","value":"NW"},{"id":4,"name":"Milepost","value":"0.0102"},{"id":17,"name":"Train ID","value":"810-24"},{"id":16,"name":"Locomotive ID","value":"4004"},{"id":130,"name":"Impact","value":""},{"id":150,"name":"Time of Event (Mountain Time)","value":"08:24:49"},{"id":151,"name":"Denver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71"/>
        <v>start /low /b %USERPROFILE%\Documents\GitHub\eaglep3\Utilities\DownloadLogsFromS3.py --loco 4004 --day 2017-02-24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"%USERPROFILE%\AppData\Local\Temp\OnboardLogs"\RTDC4004\*4004*20170224* | grep -SE "(Enforcement Action)|(\[TIMEOUT)|(CHR.+\|PRM\|1\|D.+(SWITCH|SIGNAL).+UNKNOWN)" - &gt;&gt; 2017-02-24-UncaughtWiMAX.txt</v>
      </c>
    </row>
    <row r="169" spans="1:91" s="20" customFormat="1" x14ac:dyDescent="0.25">
      <c r="A169" s="33" t="s">
        <v>523</v>
      </c>
      <c r="B169" s="7">
        <v>4053</v>
      </c>
      <c r="C169" s="21" t="s">
        <v>280</v>
      </c>
      <c r="D169" s="21" t="s">
        <v>418</v>
      </c>
      <c r="E169" s="13">
        <v>42790.33216435185</v>
      </c>
      <c r="F169" s="13">
        <v>42790.348113425927</v>
      </c>
      <c r="G169" s="7">
        <v>1</v>
      </c>
      <c r="H169" s="21" t="s">
        <v>801</v>
      </c>
      <c r="I169" s="13">
        <v>42790.357766203706</v>
      </c>
      <c r="J169" s="7">
        <v>1</v>
      </c>
      <c r="K169" s="98" t="str">
        <f t="shared" si="54"/>
        <v>4053/4054</v>
      </c>
      <c r="L169" s="21" t="str">
        <f>VLOOKUP(A169,'Trips&amp;Operators'!$C$1:$G$99999,5,FALSE)</f>
        <v>SHOOK JOHN</v>
      </c>
      <c r="M169" s="6">
        <f t="shared" si="55"/>
        <v>9.6527777786832303E-3</v>
      </c>
      <c r="N169" s="7">
        <f t="shared" si="56"/>
        <v>13.900000001303852</v>
      </c>
      <c r="O169" s="7"/>
      <c r="P169" s="7"/>
      <c r="Q169" s="22"/>
      <c r="R169" s="22"/>
      <c r="S169" s="31">
        <f t="shared" si="57"/>
        <v>1</v>
      </c>
      <c r="T169" s="46" t="str">
        <f t="shared" si="58"/>
        <v>NorthBound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59"/>
        <v>https://d0f6bd738d7f1b3e5a7ca70fe4ff75f0.us-east-1.aws.found.io/app/kibana#/discover/Steve-Slow-Train-Analysis-(2080s-and-2083s)?_g=(refreshInterval:(display:Off,pause:!f,section:0,value:0),time:(from:'2017-02-24T06:58:19-0700',mode:absolute,to:'2017-02-24T09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9" s="187" t="str">
        <f t="shared" si="60"/>
        <v>N</v>
      </c>
      <c r="X169" s="187">
        <f t="shared" si="61"/>
        <v>1</v>
      </c>
      <c r="Y169" s="62">
        <f t="shared" si="62"/>
        <v>0.1027</v>
      </c>
      <c r="Z169" s="62">
        <f t="shared" si="63"/>
        <v>5.8993000000000002</v>
      </c>
      <c r="AA169" s="62">
        <f t="shared" si="64"/>
        <v>5.7966000000000006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5"/>
        <v>0811-24</v>
      </c>
      <c r="AE169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69" s="82" t="str">
        <f t="shared" si="67"/>
        <v>"C:\Program Files (x86)\AstroGrep\AstroGrep.exe" /spath="%USERPROFILE%\AppData\Local\Temp\OnboardLogs" /stypes="app*4053*20170224*" /stext=" 15:.+((SYSTEM_STATE.+slice.+state.+changed )|(ment ac)|(multiple cpu faults)|(system.+state.+changed )|(\[timeout)|(PRM\|1\|D)|(kpr)|(kdp)|(\|lc)|(penalty))" /e /r /s</v>
      </c>
      <c r="AG169" s="1" t="str">
        <f t="shared" si="68"/>
        <v>NW</v>
      </c>
      <c r="AH169" s="86" t="str">
        <f t="shared" si="69"/>
        <v>"%USERPROFILE%\Documents\GitHub\eaglep3\Utilities\RefineRTDCRunTimes.py" --tripid 811-24 --locoid 4053 --swversion DE.1.0.9.0 --startMP 204:1027 --initTime 2017-02-24T07:58:19 --startdatetime 2017-02-24T08:21:17 --delay 1 --endMP 300:58993 --enddatetime 2017-02-24T08:35:11 --enforcementcount 1 &gt;&gt;C:\Users\stu\Documents\GitHub\eaglep3-reporting\EC\2017-02-24-refined-times.txt</v>
      </c>
      <c r="AI169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{"issue":{"subject":"","project_id":79,"tracker_id":40,"status_id":1,"priority_id":2,"assigned_to_id":23,"start_date":"2017-02-24","description":"","custom_fields":[{"id":1,"name":"Subdivision","value":"NW"},{"id":4,"name":"Milepost","value":"5.8993"},{"id":17,"name":"Train ID","value":"811-24"},{"id":16,"name":"Locomotive ID","value":"4053"},{"id":130,"name":"Impact","value":""},{"id":150,"name":"Time of Event (Mountain Time)","value":"08:35:11"},{"id":151,"name":"Denver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71"/>
        <v>start /low /b %USERPROFILE%\Documents\GitHub\eaglep3\Utilities\DownloadLogsFromS3.py --loco 4053 --day 2017-02-24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"%USERPROFILE%\AppData\Local\Temp\OnboardLogs"\RTDC4053\*4053*20170224* | grep -SE "(Enforcement Action)|(\[TIMEOUT)|(CHR.+\|PRM\|1\|D.+(SWITCH|SIGNAL).+UNKNOWN)" - &gt;&gt; 2017-02-24-UncaughtWiMAX.txt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531</v>
      </c>
      <c r="B170" s="7">
        <v>4054</v>
      </c>
      <c r="C170" s="21" t="s">
        <v>280</v>
      </c>
      <c r="D170" s="21" t="s">
        <v>834</v>
      </c>
      <c r="E170" s="13">
        <v>42790.359375</v>
      </c>
      <c r="F170" s="13">
        <v>42790.361678240741</v>
      </c>
      <c r="G170" s="7">
        <v>1</v>
      </c>
      <c r="H170" s="21" t="s">
        <v>835</v>
      </c>
      <c r="I170" s="13">
        <v>42790.37159722222</v>
      </c>
      <c r="J170" s="7">
        <v>1</v>
      </c>
      <c r="K170" s="98" t="str">
        <f t="shared" si="54"/>
        <v>4053/4054</v>
      </c>
      <c r="L170" s="21" t="str">
        <f>VLOOKUP(A170,'Trips&amp;Operators'!$C$1:$G$99999,5,FALSE)</f>
        <v>SHOOK JOHN</v>
      </c>
      <c r="M170" s="6">
        <f t="shared" si="55"/>
        <v>9.9189814791316167E-3</v>
      </c>
      <c r="N170" s="7">
        <f t="shared" si="56"/>
        <v>14.283333329949528</v>
      </c>
      <c r="O170" s="7"/>
      <c r="P170" s="7"/>
      <c r="Q170" s="22"/>
      <c r="R170" s="22"/>
      <c r="S170" s="31">
        <f t="shared" si="57"/>
        <v>1</v>
      </c>
      <c r="T170" s="46" t="str">
        <f t="shared" si="58"/>
        <v>Southbound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59"/>
        <v>https://d0f6bd738d7f1b3e5a7ca70fe4ff75f0.us-east-1.aws.found.io/app/kibana#/discover/Steve-Slow-Train-Analysis-(2080s-and-2083s)?_g=(refreshInterval:(display:Off,pause:!f,section:0,value:0),time:(from:'2017-02-24T07:37:30-0700',mode:absolute,to:'2017-02-24T09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0" s="187" t="str">
        <f t="shared" si="60"/>
        <v>N</v>
      </c>
      <c r="X170" s="187">
        <f t="shared" si="61"/>
        <v>1</v>
      </c>
      <c r="Y170" s="62">
        <f t="shared" si="62"/>
        <v>5.8673000000000002</v>
      </c>
      <c r="Z170" s="62">
        <f t="shared" si="63"/>
        <v>7.2400000000000006E-2</v>
      </c>
      <c r="AA170" s="62">
        <f t="shared" si="64"/>
        <v>5.7949000000000002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5"/>
        <v>0812-24</v>
      </c>
      <c r="AE170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70" s="82" t="str">
        <f t="shared" si="67"/>
        <v>"C:\Program Files (x86)\AstroGrep\AstroGrep.exe" /spath="%USERPROFILE%\AppData\Local\Temp\OnboardLogs" /stypes="app*4054*20170224*" /stext=" 15:.+((SYSTEM_STATE.+slice.+state.+changed )|(ment ac)|(multiple cpu faults)|(system.+state.+changed )|(\[timeout)|(PRM\|1\|D)|(kpr)|(kdp)|(\|lc)|(penalty))" /e /r /s</v>
      </c>
      <c r="AG170" s="1" t="str">
        <f t="shared" si="68"/>
        <v>NW</v>
      </c>
      <c r="AH170" s="86" t="str">
        <f t="shared" si="69"/>
        <v>"%USERPROFILE%\Documents\GitHub\eaglep3\Utilities\RefineRTDCRunTimes.py" --tripid 812-24 --locoid 4054 --swversion DE.1.0.9.0 --startMP 300:58673 --initTime 2017-02-24T08:37:30 --startdatetime 2017-02-24T08:40:49 --delay 1 --endMP 204:724 --enddatetime 2017-02-24T08:55:06 --enforcementcount 1 &gt;&gt;C:\Users\stu\Documents\GitHub\eaglep3-reporting\EC\2017-02-24-refined-times.txt</v>
      </c>
      <c r="AI170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{"issue":{"subject":"","project_id":79,"tracker_id":40,"status_id":1,"priority_id":2,"assigned_to_id":23,"start_date":"2017-02-24","description":"","custom_fields":[{"id":1,"name":"Subdivision","value":"NW"},{"id":4,"name":"Milepost","value":"0.0724"},{"id":17,"name":"Train ID","value":"812-24"},{"id":16,"name":"Locomotive ID","value":"4054"},{"id":130,"name":"Impact","value":""},{"id":150,"name":"Time of Event (Mountain Time)","value":"08:55:06"},{"id":151,"name":"Denver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71"/>
        <v>start /low /b %USERPROFILE%\Documents\GitHub\eaglep3\Utilities\DownloadLogsFromS3.py --loco 4054 --day 2017-02-24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171" spans="1:91" x14ac:dyDescent="0.25">
      <c r="A171" s="33" t="s">
        <v>534</v>
      </c>
      <c r="B171" s="7">
        <v>4053</v>
      </c>
      <c r="C171" s="21" t="s">
        <v>280</v>
      </c>
      <c r="D171" s="21" t="s">
        <v>836</v>
      </c>
      <c r="E171" s="13">
        <v>42790.373240740744</v>
      </c>
      <c r="F171" s="13">
        <v>42790.389768518522</v>
      </c>
      <c r="G171" s="7">
        <v>1</v>
      </c>
      <c r="H171" s="21" t="s">
        <v>413</v>
      </c>
      <c r="I171" s="13">
        <v>42790.39916666667</v>
      </c>
      <c r="J171" s="7">
        <v>1</v>
      </c>
      <c r="K171" s="98" t="str">
        <f t="shared" si="54"/>
        <v>4053/4054</v>
      </c>
      <c r="L171" s="21" t="str">
        <f>VLOOKUP(A171,'Trips&amp;Operators'!$C$1:$G$99999,5,FALSE)</f>
        <v>SHOOK JOHN</v>
      </c>
      <c r="M171" s="6">
        <f t="shared" si="55"/>
        <v>9.3981481477385387E-3</v>
      </c>
      <c r="N171" s="7">
        <f t="shared" si="56"/>
        <v>13.533333332743496</v>
      </c>
      <c r="O171" s="7"/>
      <c r="P171" s="7"/>
      <c r="Q171" s="22"/>
      <c r="R171" s="22"/>
      <c r="S171" s="31">
        <f t="shared" si="57"/>
        <v>1</v>
      </c>
      <c r="T171" s="46" t="str">
        <f t="shared" si="58"/>
        <v>NorthBound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59"/>
        <v>https://d0f6bd738d7f1b3e5a7ca70fe4ff75f0.us-east-1.aws.found.io/app/kibana#/discover/Steve-Slow-Train-Analysis-(2080s-and-2083s)?_g=(refreshInterval:(display:Off,pause:!f,section:0,value:0),time:(from:'2017-02-24T07:57:28-0700',mode:absolute,to:'2017-02-24T10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1" s="187" t="str">
        <f t="shared" si="60"/>
        <v>N</v>
      </c>
      <c r="X171" s="187">
        <f t="shared" si="61"/>
        <v>1</v>
      </c>
      <c r="Y171" s="62">
        <f t="shared" si="62"/>
        <v>0.1028</v>
      </c>
      <c r="Z171" s="62">
        <f t="shared" si="63"/>
        <v>5.8992000000000004</v>
      </c>
      <c r="AA171" s="62">
        <f t="shared" si="64"/>
        <v>5.7964000000000002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5"/>
        <v>0813-24</v>
      </c>
      <c r="AE171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71" s="82" t="str">
        <f t="shared" si="67"/>
        <v>"C:\Program Files (x86)\AstroGrep\AstroGrep.exe" /spath="%USERPROFILE%\AppData\Local\Temp\OnboardLogs" /stypes="app*4053*20170224*" /stext=" 16:.+((SYSTEM_STATE.+slice.+state.+changed )|(ment ac)|(multiple cpu faults)|(system.+state.+changed )|(\[timeout)|(PRM\|1\|D)|(kpr)|(kdp)|(\|lc)|(penalty))" /e /r /s</v>
      </c>
      <c r="AG171" s="1" t="str">
        <f t="shared" si="68"/>
        <v>NW</v>
      </c>
      <c r="AH171" s="86" t="str">
        <f t="shared" si="69"/>
        <v>"%USERPROFILE%\Documents\GitHub\eaglep3\Utilities\RefineRTDCRunTimes.py" --tripid 813-24 --locoid 4053 --swversion DE.1.0.9.0 --startMP 204:1028 --initTime 2017-02-24T08:57:28 --startdatetime 2017-02-24T09:21:16 --delay 1 --endMP 300:58992 --enddatetime 2017-02-24T09:34:48 --enforcementcount 1 &gt;&gt;C:\Users\stu\Documents\GitHub\eaglep3-reporting\EC\2017-02-24-refined-times.txt</v>
      </c>
      <c r="AI171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{"issue":{"subject":"","project_id":79,"tracker_id":40,"status_id":1,"priority_id":2,"assigned_to_id":23,"start_date":"2017-02-24","description":"","custom_fields":[{"id":1,"name":"Subdivision","value":"NW"},{"id":4,"name":"Milepost","value":"5.8992"},{"id":17,"name":"Train ID","value":"813-24"},{"id":16,"name":"Locomotive ID","value":"4053"},{"id":130,"name":"Impact","value":""},{"id":150,"name":"Time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71"/>
        <v>start /low /b %USERPROFILE%\Documents\GitHub\eaglep3\Utilities\DownloadLogsFromS3.py --loco 4053 --day 2017-02-24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"%USERPROFILE%\AppData\Local\Temp\OnboardLogs"\RTDC4053\*4053*20170224* | grep -SE "(Enforcement Action)|(\[TIMEOUT)|(CHR.+\|PRM\|1\|D.+(SWITCH|SIGNAL).+UNKNOWN)" - &gt;&gt; 2017-02-24-UncaughtWiMAX.txt</v>
      </c>
    </row>
    <row r="172" spans="1:91" x14ac:dyDescent="0.25">
      <c r="A172" s="33" t="s">
        <v>539</v>
      </c>
      <c r="B172" s="7">
        <v>4054</v>
      </c>
      <c r="C172" s="21" t="s">
        <v>280</v>
      </c>
      <c r="D172" s="21" t="s">
        <v>414</v>
      </c>
      <c r="E172" s="13">
        <v>42790.400925925926</v>
      </c>
      <c r="F172" s="13">
        <v>42790.403310185182</v>
      </c>
      <c r="G172" s="7">
        <v>1</v>
      </c>
      <c r="H172" s="21" t="s">
        <v>417</v>
      </c>
      <c r="I172" s="13">
        <v>42790.413275462961</v>
      </c>
      <c r="J172" s="7">
        <v>1</v>
      </c>
      <c r="K172" s="98" t="str">
        <f t="shared" si="54"/>
        <v>4053/4054</v>
      </c>
      <c r="L172" s="21" t="str">
        <f>VLOOKUP(A172,'Trips&amp;Operators'!$C$1:$G$99999,5,FALSE)</f>
        <v>SHOOK JOHN</v>
      </c>
      <c r="M172" s="6">
        <f t="shared" si="55"/>
        <v>9.9652777789742686E-3</v>
      </c>
      <c r="N172" s="7">
        <f t="shared" si="56"/>
        <v>14.350000001722947</v>
      </c>
      <c r="O172" s="7"/>
      <c r="P172" s="7"/>
      <c r="Q172" s="22"/>
      <c r="R172" s="22"/>
      <c r="S172" s="31">
        <f t="shared" si="57"/>
        <v>1</v>
      </c>
      <c r="T172" s="46" t="str">
        <f t="shared" si="58"/>
        <v>Southbound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59"/>
        <v>https://d0f6bd738d7f1b3e5a7ca70fe4ff75f0.us-east-1.aws.found.io/app/kibana#/discover/Steve-Slow-Train-Analysis-(2080s-and-2083s)?_g=(refreshInterval:(display:Off,pause:!f,section:0,value:0),time:(from:'2017-02-24T08:37:20-0700',mode:absolute,to:'2017-02-24T10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2" s="187" t="str">
        <f t="shared" si="60"/>
        <v>N</v>
      </c>
      <c r="X172" s="187">
        <f t="shared" si="61"/>
        <v>1</v>
      </c>
      <c r="Y172" s="62">
        <f t="shared" si="62"/>
        <v>5.8678999999999997</v>
      </c>
      <c r="Z172" s="62">
        <f t="shared" si="63"/>
        <v>7.2900000000000006E-2</v>
      </c>
      <c r="AA172" s="62">
        <f t="shared" si="64"/>
        <v>5.7949999999999999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5"/>
        <v>0814-24</v>
      </c>
      <c r="AE172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72" s="82" t="str">
        <f t="shared" si="67"/>
        <v>"C:\Program Files (x86)\AstroGrep\AstroGrep.exe" /spath="%USERPROFILE%\AppData\Local\Temp\OnboardLogs" /stypes="app*4054*20170224*" /stext=" 16:.+((SYSTEM_STATE.+slice.+state.+changed )|(ment ac)|(multiple cpu faults)|(system.+state.+changed )|(\[timeout)|(PRM\|1\|D)|(kpr)|(kdp)|(\|lc)|(penalty))" /e /r /s</v>
      </c>
      <c r="AG172" s="1" t="str">
        <f t="shared" si="68"/>
        <v>NW</v>
      </c>
      <c r="AH172" s="86" t="str">
        <f t="shared" si="69"/>
        <v>"%USERPROFILE%\Documents\GitHub\eaglep3\Utilities\RefineRTDCRunTimes.py" --tripid 814-24 --locoid 4054 --swversion DE.1.0.9.0 --startMP 300:58679 --initTime 2017-02-24T09:37:20 --startdatetime 2017-02-24T09:40:46 --delay 1 --endMP 204:729 --enddatetime 2017-02-24T09:55:07 --enforcementcount 1 &gt;&gt;C:\Users\stu\Documents\GitHub\eaglep3-reporting\EC\2017-02-24-refined-times.txt</v>
      </c>
      <c r="AI172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{"issue":{"subject":"","project_id":79,"tracker_id":40,"status_id":1,"priority_id":2,"assigned_to_id":23,"start_date":"2017-02-24","description":"","custom_fields":[{"id":1,"name":"Subdivision","value":"NW"},{"id":4,"name":"Milepost","value":"0.0729"},{"id":17,"name":"Train ID","value":"814-24"},{"id":16,"name":"Locomotive ID","value":"4054"},{"id":130,"name":"Impact","value":""},{"id":150,"name":"Time of Event (Mountain Time)","value":"09:55:07"},{"id":151,"name":"Denver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71"/>
        <v>start /low /b %USERPROFILE%\Documents\GitHub\eaglep3\Utilities\DownloadLogsFromS3.py --loco 4054 --day 2017-02-24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173" spans="1:91" s="20" customFormat="1" x14ac:dyDescent="0.25">
      <c r="A173" s="33" t="s">
        <v>543</v>
      </c>
      <c r="B173" s="7">
        <v>4053</v>
      </c>
      <c r="C173" s="21" t="s">
        <v>280</v>
      </c>
      <c r="D173" s="21" t="s">
        <v>799</v>
      </c>
      <c r="E173" s="13">
        <v>42790.414664351854</v>
      </c>
      <c r="F173" s="13">
        <v>42790.431435185186</v>
      </c>
      <c r="G173" s="7">
        <v>1</v>
      </c>
      <c r="H173" s="21" t="s">
        <v>415</v>
      </c>
      <c r="I173" s="13">
        <v>42790.440775462965</v>
      </c>
      <c r="J173" s="7">
        <v>1</v>
      </c>
      <c r="K173" s="98" t="str">
        <f t="shared" si="54"/>
        <v>4053/4054</v>
      </c>
      <c r="L173" s="21" t="str">
        <f>VLOOKUP(A173,'Trips&amp;Operators'!$C$1:$G$99999,5,FALSE)</f>
        <v>SHOOK JOHN</v>
      </c>
      <c r="M173" s="6">
        <f t="shared" si="55"/>
        <v>9.340277778392192E-3</v>
      </c>
      <c r="N173" s="7">
        <f t="shared" si="56"/>
        <v>13.450000000884756</v>
      </c>
      <c r="O173" s="7"/>
      <c r="P173" s="7"/>
      <c r="Q173" s="22"/>
      <c r="R173" s="22"/>
      <c r="S173" s="31">
        <f t="shared" si="57"/>
        <v>1</v>
      </c>
      <c r="T173" s="46" t="str">
        <f t="shared" si="58"/>
        <v>NorthBound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59"/>
        <v>https://d0f6bd738d7f1b3e5a7ca70fe4ff75f0.us-east-1.aws.found.io/app/kibana#/discover/Steve-Slow-Train-Analysis-(2080s-and-2083s)?_g=(refreshInterval:(display:Off,pause:!f,section:0,value:0),time:(from:'2017-02-24T08:57:07-0700',mode:absolute,to:'2017-02-24T11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3" s="187" t="str">
        <f t="shared" si="60"/>
        <v>N</v>
      </c>
      <c r="X173" s="187">
        <f t="shared" si="61"/>
        <v>1</v>
      </c>
      <c r="Y173" s="62">
        <f t="shared" si="62"/>
        <v>0.1021</v>
      </c>
      <c r="Z173" s="62">
        <f t="shared" si="63"/>
        <v>5.9001000000000001</v>
      </c>
      <c r="AA173" s="62">
        <f t="shared" si="64"/>
        <v>5.798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5"/>
        <v>0815-24</v>
      </c>
      <c r="AE173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73" s="82" t="str">
        <f t="shared" si="67"/>
        <v>"C:\Program Files (x86)\AstroGrep\AstroGrep.exe" /spath="%USERPROFILE%\AppData\Local\Temp\OnboardLogs" /stypes="app*4053*20170224*" /stext=" 17:.+((SYSTEM_STATE.+slice.+state.+changed )|(ment ac)|(multiple cpu faults)|(system.+state.+changed )|(\[timeout)|(PRM\|1\|D)|(kpr)|(kdp)|(\|lc)|(penalty))" /e /r /s</v>
      </c>
      <c r="AG173" s="1" t="str">
        <f t="shared" si="68"/>
        <v>NW</v>
      </c>
      <c r="AH173" s="86" t="str">
        <f t="shared" si="69"/>
        <v>"%USERPROFILE%\Documents\GitHub\eaglep3\Utilities\RefineRTDCRunTimes.py" --tripid 815-24 --locoid 4053 --swversion DE.1.0.9.0 --startMP 204:1021 --initTime 2017-02-24T09:57:07 --startdatetime 2017-02-24T10:21:16 --delay 1 --endMP 300:59001 --enddatetime 2017-02-24T10:34:43 --enforcementcount 1 &gt;&gt;C:\Users\stu\Documents\GitHub\eaglep3-reporting\EC\2017-02-24-refined-times.txt</v>
      </c>
      <c r="AI173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{"issue":{"subject":"","project_id":79,"tracker_id":40,"status_id":1,"priority_id":2,"assigned_to_id":23,"start_date":"2017-02-24","description":"","custom_fields":[{"id":1,"name":"Subdivision","value":"NW"},{"id":4,"name":"Milepost","value":"5.9001"},{"id":17,"name":"Train ID","value":"815-24"},{"id":16,"name":"Locomotive ID","value":"4053"},{"id":130,"name":"Impact","value":""},{"id":150,"name":"Time of Event (Mountain Time)","value":"10:34:43"},{"id":151,"name":"Denver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71"/>
        <v>start /low /b %USERPROFILE%\Documents\GitHub\eaglep3\Utilities\DownloadLogsFromS3.py --loco 4053 --day 2017-02-24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"%USERPROFILE%\AppData\Local\Temp\OnboardLogs"\RTDC4053\*4053*20170224* | grep -SE "(Enforcement Action)|(\[TIMEOUT)|(CHR.+\|PRM\|1\|D.+(SWITCH|SIGNAL).+UNKNOWN)" - &gt;&gt; 2017-02-24-UncaughtWiMAX.txt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548</v>
      </c>
      <c r="B174" s="7">
        <v>4054</v>
      </c>
      <c r="C174" s="21" t="s">
        <v>280</v>
      </c>
      <c r="D174" s="21" t="s">
        <v>414</v>
      </c>
      <c r="E174" s="13">
        <v>42790.442280092589</v>
      </c>
      <c r="F174" s="13">
        <v>42790.445</v>
      </c>
      <c r="G174" s="7">
        <v>1</v>
      </c>
      <c r="H174" s="21" t="s">
        <v>837</v>
      </c>
      <c r="I174" s="13">
        <v>42790.454861111109</v>
      </c>
      <c r="J174" s="7">
        <v>1</v>
      </c>
      <c r="K174" s="98" t="str">
        <f t="shared" si="54"/>
        <v>4053/4054</v>
      </c>
      <c r="L174" s="21" t="str">
        <f>VLOOKUP(A174,'Trips&amp;Operators'!$C$1:$G$99999,5,FALSE)</f>
        <v>SHOOK JOHN</v>
      </c>
      <c r="M174" s="6">
        <f t="shared" si="55"/>
        <v>9.8611111097852699E-3</v>
      </c>
      <c r="N174" s="7">
        <f t="shared" si="56"/>
        <v>14.199999998090789</v>
      </c>
      <c r="O174" s="7"/>
      <c r="P174" s="7"/>
      <c r="Q174" s="22"/>
      <c r="R174" s="22"/>
      <c r="S174" s="31">
        <f t="shared" si="57"/>
        <v>1</v>
      </c>
      <c r="T174" s="46" t="str">
        <f t="shared" si="58"/>
        <v>Southbound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59"/>
        <v>https://d0f6bd738d7f1b3e5a7ca70fe4ff75f0.us-east-1.aws.found.io/app/kibana#/discover/Steve-Slow-Train-Analysis-(2080s-and-2083s)?_g=(refreshInterval:(display:Off,pause:!f,section:0,value:0),time:(from:'2017-02-24T09:36:53-0700',mode:absolute,to:'2017-02-24T11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4" s="187" t="str">
        <f t="shared" si="60"/>
        <v>N</v>
      </c>
      <c r="X174" s="187">
        <f t="shared" si="61"/>
        <v>1</v>
      </c>
      <c r="Y174" s="62">
        <f t="shared" si="62"/>
        <v>5.8678999999999997</v>
      </c>
      <c r="Z174" s="62">
        <f t="shared" si="63"/>
        <v>7.3300000000000004E-2</v>
      </c>
      <c r="AA174" s="62">
        <f t="shared" si="64"/>
        <v>5.7946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5"/>
        <v>0816-24</v>
      </c>
      <c r="AE174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74" s="82" t="str">
        <f t="shared" si="67"/>
        <v>"C:\Program Files (x86)\AstroGrep\AstroGrep.exe" /spath="%USERPROFILE%\AppData\Local\Temp\OnboardLogs" /stypes="app*4054*20170224*" /stext=" 17:.+((SYSTEM_STATE.+slice.+state.+changed )|(ment ac)|(multiple cpu faults)|(system.+state.+changed )|(\[timeout)|(PRM\|1\|D)|(kpr)|(kdp)|(\|lc)|(penalty))" /e /r /s</v>
      </c>
      <c r="AG174" s="1" t="str">
        <f t="shared" si="68"/>
        <v>NW</v>
      </c>
      <c r="AH174" s="86" t="str">
        <f t="shared" si="69"/>
        <v>"%USERPROFILE%\Documents\GitHub\eaglep3\Utilities\RefineRTDCRunTimes.py" --tripid 816-24 --locoid 4054 --swversion DE.1.0.9.0 --startMP 300:58679 --initTime 2017-02-24T10:36:53 --startdatetime 2017-02-24T10:40:48 --delay 1 --endMP 204:733 --enddatetime 2017-02-24T10:55:00 --enforcementcount 1 &gt;&gt;C:\Users\stu\Documents\GitHub\eaglep3-reporting\EC\2017-02-24-refined-times.txt</v>
      </c>
      <c r="AI174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{"issue":{"subject":"","project_id":79,"tracker_id":40,"status_id":1,"priority_id":2,"assigned_to_id":23,"start_date":"2017-02-24","description":"","custom_fields":[{"id":1,"name":"Subdivision","value":"NW"},{"id":4,"name":"Milepost","value":"0.0733"},{"id":17,"name":"Train ID","value":"816-24"},{"id":16,"name":"Locomotive ID","value":"4054"},{"id":130,"name":"Impact","value":""},{"id":150,"name":"Time of Event (Mountain Time)","value":"10:55:00"},{"id":151,"name":"Denver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71"/>
        <v>start /low /b %USERPROFILE%\Documents\GitHub\eaglep3\Utilities\DownloadLogsFromS3.py --loco 4054 --day 2017-02-24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175" spans="1:91" s="20" customFormat="1" x14ac:dyDescent="0.25">
      <c r="A175" s="33" t="s">
        <v>556</v>
      </c>
      <c r="B175" s="7">
        <v>4053</v>
      </c>
      <c r="C175" s="21" t="s">
        <v>280</v>
      </c>
      <c r="D175" s="21" t="s">
        <v>778</v>
      </c>
      <c r="E175" s="13">
        <v>42790.45616898148</v>
      </c>
      <c r="F175" s="13">
        <v>42790.473101851851</v>
      </c>
      <c r="G175" s="7">
        <v>1</v>
      </c>
      <c r="H175" s="21" t="s">
        <v>801</v>
      </c>
      <c r="I175" s="13">
        <v>42790.482488425929</v>
      </c>
      <c r="J175" s="7">
        <v>1</v>
      </c>
      <c r="K175" s="98" t="str">
        <f t="shared" si="54"/>
        <v>4053/4054</v>
      </c>
      <c r="L175" s="21" t="str">
        <f>VLOOKUP(A175,'Trips&amp;Operators'!$C$1:$G$99999,5,FALSE)</f>
        <v>SHOOK JOHN</v>
      </c>
      <c r="M175" s="6">
        <f t="shared" si="55"/>
        <v>9.3865740782348439E-3</v>
      </c>
      <c r="N175" s="7">
        <f t="shared" si="56"/>
        <v>13.516666672658175</v>
      </c>
      <c r="O175" s="7"/>
      <c r="P175" s="7"/>
      <c r="Q175" s="22"/>
      <c r="R175" s="22"/>
      <c r="S175" s="31">
        <f t="shared" si="57"/>
        <v>1</v>
      </c>
      <c r="T175" s="46" t="str">
        <f t="shared" si="58"/>
        <v>NorthBound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59"/>
        <v>https://d0f6bd738d7f1b3e5a7ca70fe4ff75f0.us-east-1.aws.found.io/app/kibana#/discover/Steve-Slow-Train-Analysis-(2080s-and-2083s)?_g=(refreshInterval:(display:Off,pause:!f,section:0,value:0),time:(from:'2017-02-24T09:56:53-0700',mode:absolute,to:'2017-02-24T12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5" s="187" t="str">
        <f t="shared" si="60"/>
        <v>N</v>
      </c>
      <c r="X175" s="187">
        <f t="shared" si="61"/>
        <v>1</v>
      </c>
      <c r="Y175" s="62">
        <f t="shared" si="62"/>
        <v>0.10249999999999999</v>
      </c>
      <c r="Z175" s="62">
        <f t="shared" si="63"/>
        <v>5.8993000000000002</v>
      </c>
      <c r="AA175" s="62">
        <f t="shared" si="64"/>
        <v>5.7968000000000002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5"/>
        <v>0817-24</v>
      </c>
      <c r="AE175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75" s="82" t="str">
        <f t="shared" si="67"/>
        <v>"C:\Program Files (x86)\AstroGrep\AstroGrep.exe" /spath="%USERPROFILE%\AppData\Local\Temp\OnboardLogs" /stypes="app*4053*20170224*" /stext=" 18:.+((SYSTEM_STATE.+slice.+state.+changed )|(ment ac)|(multiple cpu faults)|(system.+state.+changed )|(\[timeout)|(PRM\|1\|D)|(kpr)|(kdp)|(\|lc)|(penalty))" /e /r /s</v>
      </c>
      <c r="AG175" s="1" t="str">
        <f t="shared" si="68"/>
        <v>NW</v>
      </c>
      <c r="AH175" s="86" t="str">
        <f t="shared" si="69"/>
        <v>"%USERPROFILE%\Documents\GitHub\eaglep3\Utilities\RefineRTDCRunTimes.py" --tripid 817-24 --locoid 4053 --swversion DE.1.0.9.0 --startMP 204:1025 --initTime 2017-02-24T10:56:53 --startdatetime 2017-02-24T11:21:16 --delay 1 --endMP 300:58993 --enddatetime 2017-02-24T11:34:47 --enforcementcount 1 &gt;&gt;C:\Users\stu\Documents\GitHub\eaglep3-reporting\EC\2017-02-24-refined-times.txt</v>
      </c>
      <c r="AI175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{"issue":{"subject":"","project_id":79,"tracker_id":40,"status_id":1,"priority_id":2,"assigned_to_id":23,"start_date":"2017-02-24","description":"","custom_fields":[{"id":1,"name":"Subdivision","value":"NW"},{"id":4,"name":"Milepost","value":"5.8993"},{"id":17,"name":"Train ID","value":"817-24"},{"id":16,"name":"Locomotive ID","value":"4053"},{"id":130,"name":"Impact","value":""},{"id":150,"name":"Time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71"/>
        <v>start /low /b %USERPROFILE%\Documents\GitHub\eaglep3\Utilities\DownloadLogsFromS3.py --loco 4053 --day 2017-02-24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"%USERPROFILE%\AppData\Local\Temp\OnboardLogs"\RTDC4053\*4053*20170224* | grep -SE "(Enforcement Action)|(\[TIMEOUT)|(CHR.+\|PRM\|1\|D.+(SWITCH|SIGNAL).+UNKNOWN)" - &gt;&gt; 2017-02-24-UncaughtWiMAX.txt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561</v>
      </c>
      <c r="B176" s="7">
        <v>4054</v>
      </c>
      <c r="C176" s="21" t="s">
        <v>280</v>
      </c>
      <c r="D176" s="21" t="s">
        <v>834</v>
      </c>
      <c r="E176" s="13">
        <v>42790.484085648146</v>
      </c>
      <c r="F176" s="13">
        <v>42790.486678240741</v>
      </c>
      <c r="G176" s="7">
        <v>1</v>
      </c>
      <c r="H176" s="21" t="s">
        <v>412</v>
      </c>
      <c r="I176" s="13">
        <v>42790.496608796297</v>
      </c>
      <c r="J176" s="7">
        <v>1</v>
      </c>
      <c r="K176" s="98" t="str">
        <f t="shared" si="54"/>
        <v>4053/4054</v>
      </c>
      <c r="L176" s="21" t="str">
        <f>VLOOKUP(A176,'Trips&amp;Operators'!$C$1:$G$99999,5,FALSE)</f>
        <v>SHOOK JOHN</v>
      </c>
      <c r="M176" s="6">
        <f t="shared" si="55"/>
        <v>9.930555555911269E-3</v>
      </c>
      <c r="N176" s="7">
        <f t="shared" si="56"/>
        <v>14.300000000512227</v>
      </c>
      <c r="O176" s="7"/>
      <c r="P176" s="7"/>
      <c r="Q176" s="22"/>
      <c r="R176" s="22"/>
      <c r="S176" s="31">
        <f t="shared" si="57"/>
        <v>1</v>
      </c>
      <c r="T176" s="46" t="str">
        <f t="shared" si="58"/>
        <v>Southbound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59"/>
        <v>https://d0f6bd738d7f1b3e5a7ca70fe4ff75f0.us-east-1.aws.found.io/app/kibana#/discover/Steve-Slow-Train-Analysis-(2080s-and-2083s)?_g=(refreshInterval:(display:Off,pause:!f,section:0,value:0),time:(from:'2017-02-24T10:37:05-0700',mode:absolute,to:'2017-02-24T12:55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6" s="187" t="str">
        <f t="shared" si="60"/>
        <v>N</v>
      </c>
      <c r="X176" s="187">
        <f t="shared" si="61"/>
        <v>1</v>
      </c>
      <c r="Y176" s="62">
        <f t="shared" si="62"/>
        <v>5.8673000000000002</v>
      </c>
      <c r="Z176" s="62">
        <f t="shared" si="63"/>
        <v>7.3800000000000004E-2</v>
      </c>
      <c r="AA176" s="62">
        <f t="shared" si="64"/>
        <v>5.7934999999999999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5"/>
        <v>0818-24</v>
      </c>
      <c r="AE176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76" s="82" t="str">
        <f t="shared" si="67"/>
        <v>"C:\Program Files (x86)\AstroGrep\AstroGrep.exe" /spath="%USERPROFILE%\AppData\Local\Temp\OnboardLogs" /stypes="app*4054*20170224*" /stext=" 18:.+((SYSTEM_STATE.+slice.+state.+changed )|(ment ac)|(multiple cpu faults)|(system.+state.+changed )|(\[timeout)|(PRM\|1\|D)|(kpr)|(kdp)|(\|lc)|(penalty))" /e /r /s</v>
      </c>
      <c r="AG176" s="1" t="str">
        <f t="shared" si="68"/>
        <v>NW</v>
      </c>
      <c r="AH176" s="86" t="str">
        <f t="shared" si="69"/>
        <v>"%USERPROFILE%\Documents\GitHub\eaglep3\Utilities\RefineRTDCRunTimes.py" --tripid 818-24 --locoid 4054 --swversion DE.1.0.9.0 --startMP 300:58673 --initTime 2017-02-24T11:37:05 --startdatetime 2017-02-24T11:40:49 --delay 1 --endMP 204:738 --enddatetime 2017-02-24T11:55:07 --enforcementcount 1 &gt;&gt;C:\Users\stu\Documents\GitHub\eaglep3-reporting\EC\2017-02-24-refined-times.txt</v>
      </c>
      <c r="AI176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{"issue":{"subject":"","project_id":79,"tracker_id":40,"status_id":1,"priority_id":2,"assigned_to_id":23,"start_date":"2017-02-24","description":"","custom_fields":[{"id":1,"name":"Subdivision","value":"NW"},{"id":4,"name":"Milepost","value":"0.0738"},{"id":17,"name":"Train ID","value":"818-24"},{"id":16,"name":"Locomotive ID","value":"4054"},{"id":130,"name":"Impact","value":""},{"id":150,"name":"Time of Event (Mountain Time)","value":"11:55:07"},{"id":151,"name":"Denver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71"/>
        <v>start /low /b %USERPROFILE%\Documents\GitHub\eaglep3\Utilities\DownloadLogsFromS3.py --loco 4054 --day 2017-02-24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177" spans="1:40" x14ac:dyDescent="0.25">
      <c r="A177" s="33" t="s">
        <v>564</v>
      </c>
      <c r="B177" s="7">
        <v>4053</v>
      </c>
      <c r="C177" s="21" t="s">
        <v>280</v>
      </c>
      <c r="D177" s="21" t="s">
        <v>418</v>
      </c>
      <c r="E177" s="13">
        <v>42790.498194444444</v>
      </c>
      <c r="F177" s="13">
        <v>42790.514780092592</v>
      </c>
      <c r="G177" s="7">
        <v>1</v>
      </c>
      <c r="H177" s="21" t="s">
        <v>419</v>
      </c>
      <c r="I177" s="13">
        <v>42790.524178240739</v>
      </c>
      <c r="J177" s="7">
        <v>1</v>
      </c>
      <c r="K177" s="98" t="str">
        <f t="shared" si="54"/>
        <v>4053/4054</v>
      </c>
      <c r="L177" s="21" t="str">
        <f>VLOOKUP(A177,'Trips&amp;Operators'!$C$1:$G$99999,5,FALSE)</f>
        <v>SHOOK JOHN</v>
      </c>
      <c r="M177" s="6">
        <f t="shared" si="55"/>
        <v>9.3981481477385387E-3</v>
      </c>
      <c r="N177" s="7">
        <f t="shared" si="56"/>
        <v>13.533333332743496</v>
      </c>
      <c r="O177" s="7"/>
      <c r="P177" s="7"/>
      <c r="Q177" s="22"/>
      <c r="R177" s="22"/>
      <c r="S177" s="31">
        <f t="shared" si="57"/>
        <v>1</v>
      </c>
      <c r="T177" s="46" t="str">
        <f t="shared" si="58"/>
        <v>NorthBound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59"/>
        <v>https://d0f6bd738d7f1b3e5a7ca70fe4ff75f0.us-east-1.aws.found.io/app/kibana#/discover/Steve-Slow-Train-Analysis-(2080s-and-2083s)?_g=(refreshInterval:(display:Off,pause:!f,section:0,value:0),time:(from:'2017-02-24T10:57:24-0700',mode:absolute,to:'2017-02-24T13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7" s="187" t="str">
        <f t="shared" si="60"/>
        <v>N</v>
      </c>
      <c r="X177" s="187">
        <f t="shared" si="61"/>
        <v>1</v>
      </c>
      <c r="Y177" s="62">
        <f t="shared" si="62"/>
        <v>0.1027</v>
      </c>
      <c r="Z177" s="62">
        <f t="shared" si="63"/>
        <v>5.8998999999999997</v>
      </c>
      <c r="AA177" s="62">
        <f t="shared" si="64"/>
        <v>5.7972000000000001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5"/>
        <v>0819-24</v>
      </c>
      <c r="AE177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77" s="82" t="str">
        <f t="shared" si="67"/>
        <v>"C:\Program Files (x86)\AstroGrep\AstroGrep.exe" /spath="%USERPROFILE%\AppData\Local\Temp\OnboardLogs" /stypes="app*4053*20170224*" /stext=" 19:.+((SYSTEM_STATE.+slice.+state.+changed )|(ment ac)|(multiple cpu faults)|(system.+state.+changed )|(\[timeout)|(PRM\|1\|D)|(kpr)|(kdp)|(\|lc)|(penalty))" /e /r /s</v>
      </c>
      <c r="AG177" s="1" t="str">
        <f t="shared" si="68"/>
        <v>NW</v>
      </c>
      <c r="AH177" s="86" t="str">
        <f t="shared" si="69"/>
        <v>"%USERPROFILE%\Documents\GitHub\eaglep3\Utilities\RefineRTDCRunTimes.py" --tripid 819-24 --locoid 4053 --swversion DE.1.0.9.0 --startMP 204:1027 --initTime 2017-02-24T11:57:24 --startdatetime 2017-02-24T12:21:17 --delay 1 --endMP 300:58999 --enddatetime 2017-02-24T12:34:49 --enforcementcount 1 &gt;&gt;C:\Users\stu\Documents\GitHub\eaglep3-reporting\EC\2017-02-24-refined-times.txt</v>
      </c>
      <c r="AI177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{"issue":{"subject":"","project_id":79,"tracker_id":40,"status_id":1,"priority_id":2,"assigned_to_id":23,"start_date":"2017-02-24","description":"","custom_fields":[{"id":1,"name":"Subdivision","value":"NW"},{"id":4,"name":"Milepost","value":"5.8999"},{"id":17,"name":"Train ID","value":"819-24"},{"id":16,"name":"Locomotive ID","value":"4053"},{"id":130,"name":"Impact","value":""},{"id":150,"name":"Time of Event (Mountain Time)","value":"12:34:49"},{"id":151,"name":"Denver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71"/>
        <v>start /low /b %USERPROFILE%\Documents\GitHub\eaglep3\Utilities\DownloadLogsFromS3.py --loco 4053 --day 2017-02-24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"%USERPROFILE%\AppData\Local\Temp\OnboardLogs"\RTDC4053\*4053*20170224* | grep -SE "(Enforcement Action)|(\[TIMEOUT)|(CHR.+\|PRM\|1\|D.+(SWITCH|SIGNAL).+UNKNOWN)" - &gt;&gt; 2017-02-24-UncaughtWiMAX.txt</v>
      </c>
    </row>
    <row r="178" spans="1:40" x14ac:dyDescent="0.25">
      <c r="A178" s="33" t="s">
        <v>570</v>
      </c>
      <c r="B178" s="7">
        <v>4054</v>
      </c>
      <c r="C178" s="21" t="s">
        <v>280</v>
      </c>
      <c r="D178" s="21" t="s">
        <v>838</v>
      </c>
      <c r="E178" s="13">
        <v>42790.525810185187</v>
      </c>
      <c r="F178" s="13">
        <v>42790.528391203705</v>
      </c>
      <c r="G178" s="7">
        <v>1</v>
      </c>
      <c r="H178" s="21" t="s">
        <v>839</v>
      </c>
      <c r="I178" s="13">
        <v>42790.538229166668</v>
      </c>
      <c r="J178" s="7">
        <v>1</v>
      </c>
      <c r="K178" s="98" t="str">
        <f t="shared" si="54"/>
        <v>4053/4054</v>
      </c>
      <c r="L178" s="21" t="str">
        <f>VLOOKUP(A178,'Trips&amp;Operators'!$C$1:$G$99999,5,FALSE)</f>
        <v>SHOOK JOHN</v>
      </c>
      <c r="M178" s="6">
        <f t="shared" si="55"/>
        <v>9.8379629635019228E-3</v>
      </c>
      <c r="N178" s="7">
        <f t="shared" si="56"/>
        <v>14.166666667442769</v>
      </c>
      <c r="O178" s="7"/>
      <c r="P178" s="7"/>
      <c r="Q178" s="22"/>
      <c r="R178" s="22"/>
      <c r="S178" s="31">
        <f t="shared" si="57"/>
        <v>1</v>
      </c>
      <c r="T178" s="46" t="str">
        <f t="shared" si="58"/>
        <v>Southbound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59"/>
        <v>https://d0f6bd738d7f1b3e5a7ca70fe4ff75f0.us-east-1.aws.found.io/app/kibana#/discover/Steve-Slow-Train-Analysis-(2080s-and-2083s)?_g=(refreshInterval:(display:Off,pause:!f,section:0,value:0),time:(from:'2017-02-24T11:37:10-0700',mode:absolute,to:'2017-02-24T13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8" s="187" t="str">
        <f t="shared" si="60"/>
        <v>N</v>
      </c>
      <c r="X178" s="187">
        <f t="shared" si="61"/>
        <v>1</v>
      </c>
      <c r="Y178" s="62">
        <f t="shared" si="62"/>
        <v>5.8677000000000001</v>
      </c>
      <c r="Z178" s="62">
        <f t="shared" si="63"/>
        <v>7.2700000000000001E-2</v>
      </c>
      <c r="AA178" s="62">
        <f t="shared" si="64"/>
        <v>5.7949999999999999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5"/>
        <v>0820-24</v>
      </c>
      <c r="AE178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78" s="82" t="str">
        <f t="shared" si="67"/>
        <v>"C:\Program Files (x86)\AstroGrep\AstroGrep.exe" /spath="%USERPROFILE%\AppData\Local\Temp\OnboardLogs" /stypes="app*4054*20170224*" /stext=" 19:.+((SYSTEM_STATE.+slice.+state.+changed )|(ment ac)|(multiple cpu faults)|(system.+state.+changed )|(\[timeout)|(PRM\|1\|D)|(kpr)|(kdp)|(\|lc)|(penalty))" /e /r /s</v>
      </c>
      <c r="AG178" s="1" t="str">
        <f t="shared" si="68"/>
        <v>NW</v>
      </c>
      <c r="AH178" s="86" t="str">
        <f t="shared" si="69"/>
        <v>"%USERPROFILE%\Documents\GitHub\eaglep3\Utilities\RefineRTDCRunTimes.py" --tripid 820-24 --locoid 4054 --swversion DE.1.0.9.0 --startMP 300:58677 --initTime 2017-02-24T12:37:10 --startdatetime 2017-02-24T12:40:53 --delay 1 --endMP 204:727 --enddatetime 2017-02-24T12:55:03 --enforcementcount 1 &gt;&gt;C:\Users\stu\Documents\GitHub\eaglep3-reporting\EC\2017-02-24-refined-times.txt</v>
      </c>
      <c r="AI178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{"issue":{"subject":"","project_id":79,"tracker_id":40,"status_id":1,"priority_id":2,"assigned_to_id":23,"start_date":"2017-02-24","description":"","custom_fields":[{"id":1,"name":"Subdivision","value":"NW"},{"id":4,"name":"Milepost","value":"0.0727"},{"id":17,"name":"Train ID","value":"820-24"},{"id":16,"name":"Locomotive ID","value":"4054"},{"id":130,"name":"Impact","value":""},{"id":150,"name":"Time of Event (Mountain Time)","value":"12:55:03"},{"id":151,"name":"Denver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71"/>
        <v>start /low /b %USERPROFILE%\Documents\GitHub\eaglep3\Utilities\DownloadLogsFromS3.py --loco 4054 --day 2017-02-24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179" spans="1:40" x14ac:dyDescent="0.25">
      <c r="A179" s="33" t="s">
        <v>573</v>
      </c>
      <c r="B179" s="7">
        <v>4053</v>
      </c>
      <c r="C179" s="21" t="s">
        <v>280</v>
      </c>
      <c r="D179" s="21" t="s">
        <v>778</v>
      </c>
      <c r="E179" s="13">
        <v>42790.542245370372</v>
      </c>
      <c r="F179" s="13">
        <v>42790.556493055556</v>
      </c>
      <c r="G179" s="7">
        <v>1</v>
      </c>
      <c r="H179" s="21" t="s">
        <v>430</v>
      </c>
      <c r="I179" s="13">
        <v>42790.565879629627</v>
      </c>
      <c r="J179" s="7">
        <v>1</v>
      </c>
      <c r="K179" s="98" t="str">
        <f t="shared" si="54"/>
        <v>4053/4054</v>
      </c>
      <c r="L179" s="21" t="str">
        <f>VLOOKUP(A179,'Trips&amp;Operators'!$C$1:$G$99999,5,FALSE)</f>
        <v>LEVERE CRAIG</v>
      </c>
      <c r="M179" s="6">
        <f t="shared" si="55"/>
        <v>9.3865740709588863E-3</v>
      </c>
      <c r="N179" s="7">
        <f t="shared" si="56"/>
        <v>13.516666662180796</v>
      </c>
      <c r="O179" s="7"/>
      <c r="P179" s="7"/>
      <c r="Q179" s="22"/>
      <c r="R179" s="22"/>
      <c r="S179" s="31">
        <f t="shared" si="57"/>
        <v>1</v>
      </c>
      <c r="T179" s="46" t="str">
        <f t="shared" si="58"/>
        <v>NorthBound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59"/>
        <v>https://d0f6bd738d7f1b3e5a7ca70fe4ff75f0.us-east-1.aws.found.io/app/kibana#/discover/Steve-Slow-Train-Analysis-(2080s-and-2083s)?_g=(refreshInterval:(display:Off,pause:!f,section:0,value:0),time:(from:'2017-02-24T12:00:50-0700',mode:absolute,to:'2017-02-24T14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79" s="187" t="str">
        <f t="shared" si="60"/>
        <v>N</v>
      </c>
      <c r="X179" s="187">
        <f t="shared" si="61"/>
        <v>1</v>
      </c>
      <c r="Y179" s="62">
        <f t="shared" si="62"/>
        <v>0.10249999999999999</v>
      </c>
      <c r="Z179" s="62">
        <f t="shared" si="63"/>
        <v>5.8956</v>
      </c>
      <c r="AA179" s="62">
        <f t="shared" si="64"/>
        <v>5.7930999999999999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5"/>
        <v>0821-24</v>
      </c>
      <c r="AE179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79" s="82" t="str">
        <f t="shared" si="67"/>
        <v>"C:\Program Files (x86)\AstroGrep\AstroGrep.exe" /spath="%USERPROFILE%\AppData\Local\Temp\OnboardLogs" /stypes="app*4053*20170224*" /stext=" 20:.+((SYSTEM_STATE.+slice.+state.+changed )|(ment ac)|(multiple cpu faults)|(system.+state.+changed )|(\[timeout)|(PRM\|1\|D)|(kpr)|(kdp)|(\|lc)|(penalty))" /e /r /s</v>
      </c>
      <c r="AG179" s="1" t="str">
        <f t="shared" si="68"/>
        <v>NW</v>
      </c>
      <c r="AH179" s="86" t="str">
        <f t="shared" si="69"/>
        <v>"%USERPROFILE%\Documents\GitHub\eaglep3\Utilities\RefineRTDCRunTimes.py" --tripid 821-24 --locoid 4053 --swversion DE.1.0.9.0 --startMP 204:1025 --initTime 2017-02-24T13:00:50 --startdatetime 2017-02-24T13:21:21 --delay 1 --endMP 300:58956 --enddatetime 2017-02-24T13:34:52 --enforcementcount 1 &gt;&gt;C:\Users\stu\Documents\GitHub\eaglep3-reporting\EC\2017-02-24-refined-times.txt</v>
      </c>
      <c r="AI179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{"issue":{"subject":"","project_id":79,"tracker_id":40,"status_id":1,"priority_id":2,"assigned_to_id":23,"start_date":"2017-02-24","description":"","custom_fields":[{"id":1,"name":"Subdivision","value":"NW"},{"id":4,"name":"Milepost","value":"5.8956"},{"id":17,"name":"Train ID","value":"821-24"},{"id":16,"name":"Locomotive ID","value":"4053"},{"id":130,"name":"Impact","value":""},{"id":150,"name":"Time of Event (Mountain Time)","value":"13:34:52"},{"id":151,"name":"Denver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71"/>
        <v>start /low /b %USERPROFILE%\Documents\GitHub\eaglep3\Utilities\DownloadLogsFromS3.py --loco 4053 --day 2017-02-24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"%USERPROFILE%\AppData\Local\Temp\OnboardLogs"\RTDC4053\*4053*20170224* | grep -SE "(Enforcement Action)|(\[TIMEOUT)|(CHR.+\|PRM\|1\|D.+(SWITCH|SIGNAL).+UNKNOWN)" - &gt;&gt; 2017-02-24-UncaughtWiMAX.txt</v>
      </c>
    </row>
    <row r="180" spans="1:40" x14ac:dyDescent="0.25">
      <c r="A180" s="33" t="s">
        <v>577</v>
      </c>
      <c r="B180" s="7">
        <v>4054</v>
      </c>
      <c r="C180" s="21" t="s">
        <v>280</v>
      </c>
      <c r="D180" s="21" t="s">
        <v>840</v>
      </c>
      <c r="E180" s="13">
        <v>42790.567152777781</v>
      </c>
      <c r="F180" s="13">
        <v>42790.568993055553</v>
      </c>
      <c r="G180" s="7">
        <v>1</v>
      </c>
      <c r="H180" s="21" t="s">
        <v>383</v>
      </c>
      <c r="I180" s="13">
        <v>42790.580023148148</v>
      </c>
      <c r="J180" s="7">
        <v>1</v>
      </c>
      <c r="K180" s="98" t="str">
        <f t="shared" si="54"/>
        <v>4053/4054</v>
      </c>
      <c r="L180" s="21" t="str">
        <f>VLOOKUP(A180,'Trips&amp;Operators'!$C$1:$G$99999,5,FALSE)</f>
        <v>LEVERE CRAIG</v>
      </c>
      <c r="M180" s="6">
        <f t="shared" si="55"/>
        <v>1.1030092595319729E-2</v>
      </c>
      <c r="N180" s="7">
        <f t="shared" si="56"/>
        <v>15.88333333726041</v>
      </c>
      <c r="O180" s="7"/>
      <c r="P180" s="7"/>
      <c r="Q180" s="22"/>
      <c r="R180" s="22"/>
      <c r="S180" s="31">
        <f t="shared" si="57"/>
        <v>1</v>
      </c>
      <c r="T180" s="46" t="str">
        <f t="shared" si="58"/>
        <v>Southbound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59"/>
        <v>https://d0f6bd738d7f1b3e5a7ca70fe4ff75f0.us-east-1.aws.found.io/app/kibana#/discover/Steve-Slow-Train-Analysis-(2080s-and-2083s)?_g=(refreshInterval:(display:Off,pause:!f,section:0,value:0),time:(from:'2017-02-24T12:36:42-0700',mode:absolute,to:'2017-02-24T14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0" s="187" t="str">
        <f t="shared" si="60"/>
        <v>N</v>
      </c>
      <c r="X180" s="187">
        <f t="shared" si="61"/>
        <v>1</v>
      </c>
      <c r="Y180" s="62">
        <f t="shared" si="62"/>
        <v>5.8651</v>
      </c>
      <c r="Z180" s="62">
        <f t="shared" si="63"/>
        <v>7.0300000000000001E-2</v>
      </c>
      <c r="AA180" s="62">
        <f t="shared" si="64"/>
        <v>5.7948000000000004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5"/>
        <v>0822-24</v>
      </c>
      <c r="AE180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80" s="82" t="str">
        <f t="shared" si="67"/>
        <v>"C:\Program Files (x86)\AstroGrep\AstroGrep.exe" /spath="%USERPROFILE%\AppData\Local\Temp\OnboardLogs" /stypes="app*4054*20170224*" /stext=" 20:.+((SYSTEM_STATE.+slice.+state.+changed )|(ment ac)|(multiple cpu faults)|(system.+state.+changed )|(\[timeout)|(PRM\|1\|D)|(kpr)|(kdp)|(\|lc)|(penalty))" /e /r /s</v>
      </c>
      <c r="AG180" s="1" t="str">
        <f t="shared" si="68"/>
        <v>NW</v>
      </c>
      <c r="AH180" s="86" t="str">
        <f t="shared" si="69"/>
        <v>"%USERPROFILE%\Documents\GitHub\eaglep3\Utilities\RefineRTDCRunTimes.py" --tripid 822-24 --locoid 4054 --swversion DE.1.0.9.0 --startMP 300:58651 --initTime 2017-02-24T13:36:42 --startdatetime 2017-02-24T13:39:21 --delay 1 --endMP 204:703 --enddatetime 2017-02-24T13:55:14 --enforcementcount 1 &gt;&gt;C:\Users\stu\Documents\GitHub\eaglep3-reporting\EC\2017-02-24-refined-times.txt</v>
      </c>
      <c r="AI180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{"issue":{"subject":"","project_id":79,"tracker_id":40,"status_id":1,"priority_id":2,"assigned_to_id":23,"start_date":"2017-02-24","description":"","custom_fields":[{"id":1,"name":"Subdivision","value":"NW"},{"id":4,"name":"Milepost","value":"0.0703"},{"id":17,"name":"Train ID","value":"822-24"},{"id":16,"name":"Locomotive ID","value":"4054"},{"id":130,"name":"Impact","value":""},{"id":150,"name":"Time of Event (Mountain Time)","value":"13:55:14"},{"id":151,"name":"Denver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71"/>
        <v>start /low /b %USERPROFILE%\Documents\GitHub\eaglep3\Utilities\DownloadLogsFromS3.py --loco 4054 --day 2017-02-24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181" spans="1:40" x14ac:dyDescent="0.25">
      <c r="A181" s="33" t="s">
        <v>583</v>
      </c>
      <c r="B181" s="7">
        <v>4053</v>
      </c>
      <c r="C181" s="21" t="s">
        <v>280</v>
      </c>
      <c r="D181" s="21" t="s">
        <v>841</v>
      </c>
      <c r="E181" s="13">
        <v>42790.590358796297</v>
      </c>
      <c r="F181" s="13">
        <v>42790.598136574074</v>
      </c>
      <c r="G181" s="7">
        <v>1</v>
      </c>
      <c r="H181" s="21" t="s">
        <v>347</v>
      </c>
      <c r="I181" s="13">
        <v>42790.607662037037</v>
      </c>
      <c r="J181" s="7">
        <v>1</v>
      </c>
      <c r="K181" s="98" t="str">
        <f t="shared" si="54"/>
        <v>4053/4054</v>
      </c>
      <c r="L181" s="21" t="str">
        <f>VLOOKUP(A181,'Trips&amp;Operators'!$C$1:$G$99999,5,FALSE)</f>
        <v>LEVERE CRAIG</v>
      </c>
      <c r="M181" s="6">
        <f t="shared" si="55"/>
        <v>9.5254629632108845E-3</v>
      </c>
      <c r="N181" s="7">
        <f t="shared" si="56"/>
        <v>13.716666667023674</v>
      </c>
      <c r="O181" s="7"/>
      <c r="P181" s="7"/>
      <c r="Q181" s="22"/>
      <c r="R181" s="22"/>
      <c r="S181" s="31">
        <f t="shared" si="57"/>
        <v>1</v>
      </c>
      <c r="T181" s="46" t="str">
        <f t="shared" si="58"/>
        <v>NorthBound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59"/>
        <v>https://d0f6bd738d7f1b3e5a7ca70fe4ff75f0.us-east-1.aws.found.io/app/kibana#/discover/Steve-Slow-Train-Analysis-(2080s-and-2083s)?_g=(refreshInterval:(display:Off,pause:!f,section:0,value:0),time:(from:'2017-02-24T13:10:07-0700',mode:absolute,to:'2017-02-24T15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1" s="187" t="str">
        <f t="shared" si="60"/>
        <v>N</v>
      </c>
      <c r="X181" s="187">
        <f t="shared" si="61"/>
        <v>1</v>
      </c>
      <c r="Y181" s="62">
        <f t="shared" si="62"/>
        <v>9.8599999999999993E-2</v>
      </c>
      <c r="Z181" s="62">
        <f t="shared" si="63"/>
        <v>5.8949999999999996</v>
      </c>
      <c r="AA181" s="62">
        <f t="shared" si="64"/>
        <v>5.7963999999999993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5"/>
        <v>0823-24</v>
      </c>
      <c r="AE181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81" s="82" t="str">
        <f t="shared" si="67"/>
        <v>"C:\Program Files (x86)\AstroGrep\AstroGrep.exe" /spath="%USERPROFILE%\AppData\Local\Temp\OnboardLogs" /stypes="app*4053*20170224*" /stext=" 21:.+((SYSTEM_STATE.+slice.+state.+changed )|(ment ac)|(multiple cpu faults)|(system.+state.+changed )|(\[timeout)|(PRM\|1\|D)|(kpr)|(kdp)|(\|lc)|(penalty))" /e /r /s</v>
      </c>
      <c r="AG181" s="1" t="str">
        <f t="shared" si="68"/>
        <v>NW</v>
      </c>
      <c r="AH181" s="86" t="str">
        <f t="shared" si="69"/>
        <v>"%USERPROFILE%\Documents\GitHub\eaglep3\Utilities\RefineRTDCRunTimes.py" --tripid 823-24 --locoid 4053 --swversion DE.1.0.9.0 --startMP 204:986 --initTime 2017-02-24T14:10:07 --startdatetime 2017-02-24T14:21:19 --delay 1 --endMP 300:58950 --enddatetime 2017-02-24T14:35:02 --enforcementcount 1 &gt;&gt;C:\Users\stu\Documents\GitHub\eaglep3-reporting\EC\2017-02-24-refined-times.txt</v>
      </c>
      <c r="AI181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{"issue":{"subject":"","project_id":79,"tracker_id":40,"status_id":1,"priority_id":2,"assigned_to_id":23,"start_date":"2017-02-24","description":"","custom_fields":[{"id":1,"name":"Subdivision","value":"NW"},{"id":4,"name":"Milepost","value":"5.895"},{"id":17,"name":"Train ID","value":"823-24"},{"id":16,"name":"Locomotive ID","value":"4053"},{"id":130,"name":"Impact","value":""},{"id":150,"name":"Time of Event (Mountain Time)","value":"14:35:02"},{"id":151,"name":"Denver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71"/>
        <v>start /low /b %USERPROFILE%\Documents\GitHub\eaglep3\Utilities\DownloadLogsFromS3.py --loco 4053 --day 2017-02-24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"%USERPROFILE%\AppData\Local\Temp\OnboardLogs"\RTDC4053\*4053*20170224* | grep -SE "(Enforcement Action)|(\[TIMEOUT)|(CHR.+\|PRM\|1\|D.+(SWITCH|SIGNAL).+UNKNOWN)" - &gt;&gt; 2017-02-24-UncaughtWiMAX.txt</v>
      </c>
    </row>
    <row r="182" spans="1:40" x14ac:dyDescent="0.25">
      <c r="A182" s="33" t="s">
        <v>461</v>
      </c>
      <c r="B182" s="7">
        <v>4054</v>
      </c>
      <c r="C182" s="21" t="s">
        <v>280</v>
      </c>
      <c r="D182" s="21" t="s">
        <v>431</v>
      </c>
      <c r="E182" s="13">
        <v>42790.608715277776</v>
      </c>
      <c r="F182" s="13">
        <v>42790.610243055555</v>
      </c>
      <c r="G182" s="7">
        <v>1</v>
      </c>
      <c r="H182" s="21" t="s">
        <v>428</v>
      </c>
      <c r="I182" s="13">
        <v>42790.622141203705</v>
      </c>
      <c r="J182" s="7">
        <v>1</v>
      </c>
      <c r="K182" s="98" t="str">
        <f t="shared" si="54"/>
        <v>4053/4054</v>
      </c>
      <c r="L182" s="21" t="str">
        <f>VLOOKUP(A182,'Trips&amp;Operators'!$C$1:$G$99999,5,FALSE)</f>
        <v>LEVERE CRAIG</v>
      </c>
      <c r="M182" s="6">
        <f t="shared" si="55"/>
        <v>1.1898148150066845E-2</v>
      </c>
      <c r="N182" s="7">
        <f t="shared" si="56"/>
        <v>17.133333336096257</v>
      </c>
      <c r="O182" s="7"/>
      <c r="P182" s="7"/>
      <c r="Q182" s="22"/>
      <c r="R182" s="22"/>
      <c r="S182" s="31">
        <f t="shared" si="57"/>
        <v>1</v>
      </c>
      <c r="T182" s="46" t="str">
        <f t="shared" si="58"/>
        <v>Southbound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59"/>
        <v>https://d0f6bd738d7f1b3e5a7ca70fe4ff75f0.us-east-1.aws.found.io/app/kibana#/discover/Steve-Slow-Train-Analysis-(2080s-and-2083s)?_g=(refreshInterval:(display:Off,pause:!f,section:0,value:0),time:(from:'2017-02-24T13:36:33-0700',mode:absolute,to:'2017-02-24T15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2" s="187" t="str">
        <f t="shared" si="60"/>
        <v>N</v>
      </c>
      <c r="X182" s="187">
        <f t="shared" si="61"/>
        <v>1</v>
      </c>
      <c r="Y182" s="62">
        <f t="shared" si="62"/>
        <v>5.8639999999999999</v>
      </c>
      <c r="Z182" s="62">
        <f t="shared" si="63"/>
        <v>6.9800000000000001E-2</v>
      </c>
      <c r="AA182" s="62">
        <f t="shared" si="64"/>
        <v>5.7942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5"/>
        <v>0824-24</v>
      </c>
      <c r="AE182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82" s="82" t="str">
        <f t="shared" si="67"/>
        <v>"C:\Program Files (x86)\AstroGrep\AstroGrep.exe" /spath="%USERPROFILE%\AppData\Local\Temp\OnboardLogs" /stypes="app*4054*20170224*" /stext=" 21:.+((SYSTEM_STATE.+slice.+state.+changed )|(ment ac)|(multiple cpu faults)|(system.+state.+changed )|(\[timeout)|(PRM\|1\|D)|(kpr)|(kdp)|(\|lc)|(penalty))" /e /r /s</v>
      </c>
      <c r="AG182" s="1" t="str">
        <f t="shared" si="68"/>
        <v>NW</v>
      </c>
      <c r="AH182" s="86" t="str">
        <f t="shared" si="69"/>
        <v>"%USERPROFILE%\Documents\GitHub\eaglep3\Utilities\RefineRTDCRunTimes.py" --tripid 824-24 --locoid 4054 --swversion DE.1.0.9.0 --startMP 300:58640 --initTime 2017-02-24T14:36:33 --startdatetime 2017-02-24T14:38:45 --delay 1 --endMP 204:698 --enddatetime 2017-02-24T14:55:53 --enforcementcount 1 &gt;&gt;C:\Users\stu\Documents\GitHub\eaglep3-reporting\EC\2017-02-24-refined-times.txt</v>
      </c>
      <c r="AI182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{"issue":{"subject":"","project_id":79,"tracker_id":40,"status_id":1,"priority_id":2,"assigned_to_id":23,"start_date":"2017-02-24","description":"","custom_fields":[{"id":1,"name":"Subdivision","value":"NW"},{"id":4,"name":"Milepost","value":"0.0698"},{"id":17,"name":"Train ID","value":"824-24"},{"id":16,"name":"Locomotive ID","value":"4054"},{"id":130,"name":"Impact","value":""},{"id":150,"name":"Time of Event (Mountain Time)","value":"14:55:53"},{"id":151,"name":"Denver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71"/>
        <v>start /low /b %USERPROFILE%\Documents\GitHub\eaglep3\Utilities\DownloadLogsFromS3.py --loco 4054 --day 2017-02-24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183" spans="1:40" x14ac:dyDescent="0.25">
      <c r="A183" s="33" t="s">
        <v>591</v>
      </c>
      <c r="B183" s="7">
        <v>4053</v>
      </c>
      <c r="C183" s="21" t="s">
        <v>280</v>
      </c>
      <c r="D183" s="21" t="s">
        <v>345</v>
      </c>
      <c r="E183" s="13">
        <v>42790.630069444444</v>
      </c>
      <c r="F183" s="13">
        <v>42790.639826388891</v>
      </c>
      <c r="G183" s="7">
        <v>1</v>
      </c>
      <c r="H183" s="21" t="s">
        <v>842</v>
      </c>
      <c r="I183" s="13">
        <v>42790.649583333332</v>
      </c>
      <c r="J183" s="7">
        <v>1</v>
      </c>
      <c r="K183" s="98" t="str">
        <f t="shared" si="54"/>
        <v>4053/4054</v>
      </c>
      <c r="L183" s="21" t="str">
        <f>VLOOKUP(A183,'Trips&amp;Operators'!$C$1:$G$99999,5,FALSE)</f>
        <v>LEVERE CRAIG</v>
      </c>
      <c r="M183" s="6">
        <f t="shared" si="55"/>
        <v>9.7569444405962713E-3</v>
      </c>
      <c r="N183" s="7">
        <f t="shared" si="56"/>
        <v>14.049999994458631</v>
      </c>
      <c r="O183" s="7"/>
      <c r="P183" s="7"/>
      <c r="Q183" s="22"/>
      <c r="R183" s="22"/>
      <c r="S183" s="31">
        <f t="shared" si="57"/>
        <v>1</v>
      </c>
      <c r="T183" s="46" t="str">
        <f t="shared" si="58"/>
        <v>NorthBound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59"/>
        <v>https://d0f6bd738d7f1b3e5a7ca70fe4ff75f0.us-east-1.aws.found.io/app/kibana#/discover/Steve-Slow-Train-Analysis-(2080s-and-2083s)?_g=(refreshInterval:(display:Off,pause:!f,section:0,value:0),time:(from:'2017-02-24T14:07:18-0700',mode:absolute,to:'2017-02-24T16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3" s="187" t="str">
        <f t="shared" si="60"/>
        <v>N</v>
      </c>
      <c r="X183" s="187">
        <f t="shared" si="61"/>
        <v>1</v>
      </c>
      <c r="Y183" s="62">
        <f t="shared" si="62"/>
        <v>9.7799999999999998E-2</v>
      </c>
      <c r="Z183" s="62">
        <f t="shared" si="63"/>
        <v>5.8960999999999997</v>
      </c>
      <c r="AA183" s="62">
        <f t="shared" si="64"/>
        <v>5.7982999999999993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5"/>
        <v>0825-24</v>
      </c>
      <c r="AE183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83" s="82" t="str">
        <f t="shared" si="67"/>
        <v>"C:\Program Files (x86)\AstroGrep\AstroGrep.exe" /spath="%USERPROFILE%\AppData\Local\Temp\OnboardLogs" /stypes="app*4053*20170224*" /stext=" 22:.+((SYSTEM_STATE.+slice.+state.+changed )|(ment ac)|(multiple cpu faults)|(system.+state.+changed )|(\[timeout)|(PRM\|1\|D)|(kpr)|(kdp)|(\|lc)|(penalty))" /e /r /s</v>
      </c>
      <c r="AG183" s="1" t="str">
        <f t="shared" si="68"/>
        <v>NW</v>
      </c>
      <c r="AH183" s="86" t="str">
        <f t="shared" si="69"/>
        <v>"%USERPROFILE%\Documents\GitHub\eaglep3\Utilities\RefineRTDCRunTimes.py" --tripid 825-24 --locoid 4053 --swversion DE.1.0.9.0 --startMP 204:978 --initTime 2017-02-24T15:07:18 --startdatetime 2017-02-24T15:21:21 --delay 1 --endMP 300:58961 --enddatetime 2017-02-24T15:35:24 --enforcementcount 1 &gt;&gt;C:\Users\stu\Documents\GitHub\eaglep3-reporting\EC\2017-02-24-refined-times.txt</v>
      </c>
      <c r="AI183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{"issue":{"subject":"","project_id":79,"tracker_id":40,"status_id":1,"priority_id":2,"assigned_to_id":23,"start_date":"2017-02-24","description":"","custom_fields":[{"id":1,"name":"Subdivision","value":"NW"},{"id":4,"name":"Milepost","value":"5.8961"},{"id":17,"name":"Train ID","value":"825-24"},{"id":16,"name":"Locomotive ID","value":"4053"},{"id":130,"name":"Impact","value":""},{"id":150,"name":"Time of Event (Mountain Time)","value":"15:35:24"},{"id":151,"name":"Denver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71"/>
        <v>start /low /b %USERPROFILE%\Documents\GitHub\eaglep3\Utilities\DownloadLogsFromS3.py --loco 4053 --day 2017-02-24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"%USERPROFILE%\AppData\Local\Temp\OnboardLogs"\RTDC4053\*4053*20170224* | grep -SE "(Enforcement Action)|(\[TIMEOUT)|(CHR.+\|PRM\|1\|D.+(SWITCH|SIGNAL).+UNKNOWN)" - &gt;&gt; 2017-02-24-UncaughtWiMAX.txt</v>
      </c>
    </row>
    <row r="184" spans="1:40" x14ac:dyDescent="0.25">
      <c r="A184" s="33" t="s">
        <v>596</v>
      </c>
      <c r="B184" s="7">
        <v>4054</v>
      </c>
      <c r="C184" s="21" t="s">
        <v>280</v>
      </c>
      <c r="D184" s="21" t="s">
        <v>424</v>
      </c>
      <c r="E184" s="13">
        <v>42790.651203703703</v>
      </c>
      <c r="F184" s="13">
        <v>42790.653182870374</v>
      </c>
      <c r="G184" s="7">
        <v>1</v>
      </c>
      <c r="H184" s="21" t="s">
        <v>843</v>
      </c>
      <c r="I184" s="13">
        <v>42790.663993055554</v>
      </c>
      <c r="J184" s="7">
        <v>1</v>
      </c>
      <c r="K184" s="98" t="str">
        <f t="shared" si="54"/>
        <v>4053/4054</v>
      </c>
      <c r="L184" s="21" t="str">
        <f>VLOOKUP(A184,'Trips&amp;Operators'!$C$1:$G$99999,5,FALSE)</f>
        <v>LEVERE CRAIG</v>
      </c>
      <c r="M184" s="6">
        <f t="shared" si="55"/>
        <v>1.081018518016208E-2</v>
      </c>
      <c r="N184" s="7">
        <f t="shared" si="56"/>
        <v>15.566666659433395</v>
      </c>
      <c r="O184" s="7"/>
      <c r="P184" s="7"/>
      <c r="Q184" s="22"/>
      <c r="R184" s="22"/>
      <c r="S184" s="31">
        <f t="shared" si="57"/>
        <v>1</v>
      </c>
      <c r="T184" s="46" t="str">
        <f t="shared" si="58"/>
        <v>Southbound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59"/>
        <v>https://d0f6bd738d7f1b3e5a7ca70fe4ff75f0.us-east-1.aws.found.io/app/kibana#/discover/Steve-Slow-Train-Analysis-(2080s-and-2083s)?_g=(refreshInterval:(display:Off,pause:!f,section:0,value:0),time:(from:'2017-02-24T14:37:44-0700',mode:absolute,to:'2017-02-24T16:56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4" s="187" t="str">
        <f t="shared" si="60"/>
        <v>N</v>
      </c>
      <c r="X184" s="187">
        <f t="shared" si="61"/>
        <v>1</v>
      </c>
      <c r="Y184" s="62">
        <f t="shared" si="62"/>
        <v>5.8644999999999996</v>
      </c>
      <c r="Z184" s="62">
        <f t="shared" si="63"/>
        <v>6.8500000000000005E-2</v>
      </c>
      <c r="AA184" s="62">
        <f t="shared" si="64"/>
        <v>5.7959999999999994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5"/>
        <v>0826-24</v>
      </c>
      <c r="AE184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84" s="82" t="str">
        <f t="shared" si="67"/>
        <v>"C:\Program Files (x86)\AstroGrep\AstroGrep.exe" /spath="%USERPROFILE%\AppData\Local\Temp\OnboardLogs" /stypes="app*4054*20170224*" /stext=" 22:.+((SYSTEM_STATE.+slice.+state.+changed )|(ment ac)|(multiple cpu faults)|(system.+state.+changed )|(\[timeout)|(PRM\|1\|D)|(kpr)|(kdp)|(\|lc)|(penalty))" /e /r /s</v>
      </c>
      <c r="AG184" s="1" t="str">
        <f t="shared" si="68"/>
        <v>NW</v>
      </c>
      <c r="AH184" s="86" t="str">
        <f t="shared" si="69"/>
        <v>"%USERPROFILE%\Documents\GitHub\eaglep3\Utilities\RefineRTDCRunTimes.py" --tripid 826-24 --locoid 4054 --swversion DE.1.0.9.0 --startMP 300:58645 --initTime 2017-02-24T15:37:44 --startdatetime 2017-02-24T15:40:35 --delay 1 --endMP 204:685 --enddatetime 2017-02-24T15:56:09 --enforcementcount 1 &gt;&gt;C:\Users\stu\Documents\GitHub\eaglep3-reporting\EC\2017-02-24-refined-times.txt</v>
      </c>
      <c r="AI184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{"issue":{"subject":"","project_id":79,"tracker_id":40,"status_id":1,"priority_id":2,"assigned_to_id":23,"start_date":"2017-02-24","description":"","custom_fields":[{"id":1,"name":"Subdivision","value":"NW"},{"id":4,"name":"Milepost","value":"0.0685"},{"id":17,"name":"Train ID","value":"826-24"},{"id":16,"name":"Locomotive ID","value":"4054"},{"id":130,"name":"Impact","value":""},{"id":150,"name":"Time of Event (Mountain Time)","value":"15:56:09"},{"id":151,"name":"Denver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71"/>
        <v>start /low /b %USERPROFILE%\Documents\GitHub\eaglep3\Utilities\DownloadLogsFromS3.py --loco 4054 --day 2017-02-24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185" spans="1:40" x14ac:dyDescent="0.25">
      <c r="A185" s="33" t="s">
        <v>597</v>
      </c>
      <c r="B185" s="7">
        <v>4003</v>
      </c>
      <c r="C185" s="21" t="s">
        <v>280</v>
      </c>
      <c r="D185" s="21" t="s">
        <v>303</v>
      </c>
      <c r="E185" s="13">
        <v>42790.652372685188</v>
      </c>
      <c r="F185" s="13">
        <v>42790.660590277781</v>
      </c>
      <c r="G185" s="7">
        <v>1</v>
      </c>
      <c r="H185" s="21" t="s">
        <v>844</v>
      </c>
      <c r="I185" s="13">
        <v>42790.670092592591</v>
      </c>
      <c r="J185" s="7">
        <v>1</v>
      </c>
      <c r="K185" s="98" t="str">
        <f t="shared" si="54"/>
        <v>4003/4004</v>
      </c>
      <c r="L185" s="21" t="str">
        <f>VLOOKUP(A185,'Trips&amp;Operators'!$C$1:$G$99999,5,FALSE)</f>
        <v>SMITH MICHAEL</v>
      </c>
      <c r="M185" s="6">
        <f t="shared" si="55"/>
        <v>9.5023148096515797E-3</v>
      </c>
      <c r="N185" s="7">
        <f t="shared" si="56"/>
        <v>13.683333325898275</v>
      </c>
      <c r="O185" s="7"/>
      <c r="P185" s="7"/>
      <c r="Q185" s="22"/>
      <c r="R185" s="22"/>
      <c r="S185" s="31">
        <f t="shared" si="57"/>
        <v>1</v>
      </c>
      <c r="T185" s="46" t="str">
        <f t="shared" si="58"/>
        <v>NorthBound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59"/>
        <v>https://d0f6bd738d7f1b3e5a7ca70fe4ff75f0.us-east-1.aws.found.io/app/kibana#/discover/Steve-Slow-Train-Analysis-(2080s-and-2083s)?_g=(refreshInterval:(display:Off,pause:!f,section:0,value:0),time:(from:'2017-02-24T14:39:25-0700',mode:absolute,to:'2017-02-24T17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5" s="187" t="str">
        <f t="shared" si="60"/>
        <v>N</v>
      </c>
      <c r="X185" s="187">
        <f t="shared" si="61"/>
        <v>1</v>
      </c>
      <c r="Y185" s="62">
        <f t="shared" si="62"/>
        <v>9.74E-2</v>
      </c>
      <c r="Z185" s="62">
        <f t="shared" si="63"/>
        <v>5.8925999999999998</v>
      </c>
      <c r="AA185" s="62">
        <f t="shared" si="64"/>
        <v>5.7951999999999995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5"/>
        <v>0827-24</v>
      </c>
      <c r="AE185" s="85" t="str">
        <f t="shared" si="66"/>
        <v>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 &amp; 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</v>
      </c>
      <c r="AF185" s="82" t="str">
        <f t="shared" si="67"/>
        <v>"C:\Program Files (x86)\AstroGrep\AstroGrep.exe" /spath="%USERPROFILE%\AppData\Local\Temp\OnboardLogs" /stypes="app*4003*20170224*" /stext=" 23:.+((SYSTEM_STATE.+slice.+state.+changed )|(ment ac)|(multiple cpu faults)|(system.+state.+changed )|(\[timeout)|(PRM\|1\|D)|(kpr)|(kdp)|(\|lc)|(penalty))" /e /r /s</v>
      </c>
      <c r="AG185" s="1" t="str">
        <f t="shared" si="68"/>
        <v>NW</v>
      </c>
      <c r="AH185" s="86" t="str">
        <f t="shared" si="69"/>
        <v>"%USERPROFILE%\Documents\GitHub\eaglep3\Utilities\RefineRTDCRunTimes.py" --tripid 827-24 --locoid 4003 --swversion DE.1.0.9.0 --startMP 204:974 --initTime 2017-02-24T15:39:25 --startdatetime 2017-02-24T15:51:15 --delay 1 --endMP 300:58926 --enddatetime 2017-02-24T16:04:56 --enforcementcount 1 &gt;&gt;C:\Users\stu\Documents\GitHub\eaglep3-reporting\EC\2017-02-24-refined-times.txt</v>
      </c>
      <c r="AI185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{"issue":{"subject":"","project_id":79,"tracker_id":40,"status_id":1,"priority_id":2,"assigned_to_id":23,"start_date":"2017-02-24","description":"","custom_fields":[{"id":1,"name":"Subdivision","value":"NW"},{"id":4,"name":"Milepost","value":"5.8926"},{"id":17,"name":"Train ID","value":"827-24"},{"id":16,"name":"Locomotive ID","value":"4003"},{"id":130,"name":"Impact","value":""},{"id":150,"name":"Time of Event (Mountain Time)","value":"16:04:56"},{"id":151,"name":"Denver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71"/>
        <v>start /low /b %USERPROFILE%\Documents\GitHub\eaglep3\Utilities\DownloadLogsFromS3.py --loco 4003 --day 2017-02-24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"%USERPROFILE%\AppData\Local\Temp\OnboardLogs"\RTDC4003\*4003*20170224* | grep -SE "(Enforcement Action)|(\[TIMEOUT)|(CHR.+\|PRM\|1\|D.+(SWITCH|SIGNAL).+UNKNOWN)" - &gt;&gt; 2017-02-24-UncaughtWiMAX.txt</v>
      </c>
    </row>
    <row r="186" spans="1:40" x14ac:dyDescent="0.25">
      <c r="A186" s="33" t="s">
        <v>604</v>
      </c>
      <c r="B186" s="7">
        <v>4004</v>
      </c>
      <c r="C186" s="21" t="s">
        <v>280</v>
      </c>
      <c r="D186" s="21" t="s">
        <v>845</v>
      </c>
      <c r="E186" s="13">
        <v>42790.67114583333</v>
      </c>
      <c r="F186" s="13">
        <v>42790.672858796293</v>
      </c>
      <c r="G186" s="7">
        <v>1</v>
      </c>
      <c r="H186" s="21" t="s">
        <v>343</v>
      </c>
      <c r="I186" s="13">
        <v>42790.684606481482</v>
      </c>
      <c r="J186" s="7">
        <v>1</v>
      </c>
      <c r="K186" s="98" t="str">
        <f t="shared" si="54"/>
        <v>4003/4004</v>
      </c>
      <c r="L186" s="21" t="str">
        <f>VLOOKUP(A186,'Trips&amp;Operators'!$C$1:$G$99999,5,FALSE)</f>
        <v>SMITH MICHAEL</v>
      </c>
      <c r="M186" s="6">
        <f t="shared" si="55"/>
        <v>1.1747685188311152E-2</v>
      </c>
      <c r="N186" s="7">
        <f t="shared" si="56"/>
        <v>16.916666671168059</v>
      </c>
      <c r="O186" s="7"/>
      <c r="P186" s="7"/>
      <c r="Q186" s="22"/>
      <c r="R186" s="22"/>
      <c r="S186" s="31">
        <f t="shared" si="57"/>
        <v>1</v>
      </c>
      <c r="T186" s="46" t="str">
        <f t="shared" si="58"/>
        <v>Southbound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59"/>
        <v>https://d0f6bd738d7f1b3e5a7ca70fe4ff75f0.us-east-1.aws.found.io/app/kibana#/discover/Steve-Slow-Train-Analysis-(2080s-and-2083s)?_g=(refreshInterval:(display:Off,pause:!f,section:0,value:0),time:(from:'2017-02-24T15:06:27-0700',mode:absolute,to:'2017-02-24T17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6" s="187" t="str">
        <f t="shared" si="60"/>
        <v>N</v>
      </c>
      <c r="X186" s="187">
        <f t="shared" si="61"/>
        <v>1</v>
      </c>
      <c r="Y186" s="62">
        <f t="shared" si="62"/>
        <v>5.8609</v>
      </c>
      <c r="Z186" s="62">
        <f t="shared" si="63"/>
        <v>6.8199999999999997E-2</v>
      </c>
      <c r="AA186" s="62">
        <f t="shared" si="64"/>
        <v>5.7927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5"/>
        <v>0828-24</v>
      </c>
      <c r="AE186" s="85" t="str">
        <f t="shared" si="66"/>
        <v>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 &amp; 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</v>
      </c>
      <c r="AF186" s="82" t="str">
        <f t="shared" si="67"/>
        <v>"C:\Program Files (x86)\AstroGrep\AstroGrep.exe" /spath="%USERPROFILE%\AppData\Local\Temp\OnboardLogs" /stypes="app*4004*20170224*" /stext=" 23:.+((SYSTEM_STATE.+slice.+state.+changed )|(ment ac)|(multiple cpu faults)|(system.+state.+changed )|(\[timeout)|(PRM\|1\|D)|(kpr)|(kdp)|(\|lc)|(penalty))" /e /r /s</v>
      </c>
      <c r="AG186" s="1" t="str">
        <f t="shared" si="68"/>
        <v>NW</v>
      </c>
      <c r="AH186" s="86" t="str">
        <f t="shared" si="69"/>
        <v>"%USERPROFILE%\Documents\GitHub\eaglep3\Utilities\RefineRTDCRunTimes.py" --tripid 828-24 --locoid 4004 --swversion DE.1.0.9.0 --startMP 300:58609 --initTime 2017-02-24T16:06:27 --startdatetime 2017-02-24T16:08:55 --delay 1 --endMP 204:682 --enddatetime 2017-02-24T16:25:50 --enforcementcount 1 &gt;&gt;C:\Users\stu\Documents\GitHub\eaglep3-reporting\EC\2017-02-24-refined-times.txt</v>
      </c>
      <c r="AI186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{"issue":{"subject":"","project_id":79,"tracker_id":40,"status_id":1,"priority_id":2,"assigned_to_id":23,"start_date":"2017-02-24","description":"","custom_fields":[{"id":1,"name":"Subdivision","value":"NW"},{"id":4,"name":"Milepost","value":"0.0682"},{"id":17,"name":"Train ID","value":"828-24"},{"id":16,"name":"Locomotive ID","value":"4004"},{"id":130,"name":"Impact","value":""},{"id":150,"name":"Time of Event (Mountain Time)","value":"16:25:50"},{"id":151,"name":"Denver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71"/>
        <v>start /low /b %USERPROFILE%\Documents\GitHub\eaglep3\Utilities\DownloadLogsFromS3.py --loco 4004 --day 2017-02-24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"%USERPROFILE%\AppData\Local\Temp\OnboardLogs"\RTDC4004\*4004*20170224* | grep -SE "(Enforcement Action)|(\[TIMEOUT)|(CHR.+\|PRM\|1\|D.+(SWITCH|SIGNAL).+UNKNOWN)" - &gt;&gt; 2017-02-24-UncaughtWiMAX.txt</v>
      </c>
    </row>
    <row r="187" spans="1:40" x14ac:dyDescent="0.25">
      <c r="A187" s="33" t="s">
        <v>601</v>
      </c>
      <c r="B187" s="7">
        <v>4053</v>
      </c>
      <c r="C187" s="21" t="s">
        <v>280</v>
      </c>
      <c r="D187" s="21" t="s">
        <v>846</v>
      </c>
      <c r="E187" s="13">
        <v>42790.664571759262</v>
      </c>
      <c r="F187" s="13">
        <v>42790.681620370371</v>
      </c>
      <c r="G187" s="7">
        <v>1</v>
      </c>
      <c r="H187" s="21" t="s">
        <v>847</v>
      </c>
      <c r="I187" s="13">
        <v>42790.691354166665</v>
      </c>
      <c r="J187" s="7">
        <v>1</v>
      </c>
      <c r="K187" s="98" t="str">
        <f t="shared" si="54"/>
        <v>4053/4054</v>
      </c>
      <c r="L187" s="21" t="str">
        <f>VLOOKUP(A187,'Trips&amp;Operators'!$C$1:$G$99999,5,FALSE)</f>
        <v>HOLCOMB KAMDEN</v>
      </c>
      <c r="M187" s="6">
        <f t="shared" si="55"/>
        <v>9.7337962943129241E-3</v>
      </c>
      <c r="N187" s="7">
        <f t="shared" si="56"/>
        <v>14.016666663810611</v>
      </c>
      <c r="O187" s="7"/>
      <c r="P187" s="7"/>
      <c r="Q187" s="22"/>
      <c r="R187" s="22"/>
      <c r="S187" s="31">
        <f t="shared" si="57"/>
        <v>1</v>
      </c>
      <c r="T187" s="46" t="str">
        <f t="shared" si="58"/>
        <v>NorthBound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59"/>
        <v>https://d0f6bd738d7f1b3e5a7ca70fe4ff75f0.us-east-1.aws.found.io/app/kibana#/discover/Steve-Slow-Train-Analysis-(2080s-and-2083s)?_g=(refreshInterval:(display:Off,pause:!f,section:0,value:0),time:(from:'2017-02-24T14:56:59-0700',mode:absolute,to:'2017-02-24T17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7" s="187" t="str">
        <f t="shared" si="60"/>
        <v>N</v>
      </c>
      <c r="X187" s="187">
        <f t="shared" si="61"/>
        <v>1</v>
      </c>
      <c r="Y187" s="62">
        <f t="shared" si="62"/>
        <v>9.7900000000000001E-2</v>
      </c>
      <c r="Z187" s="62">
        <f t="shared" si="63"/>
        <v>5.8924000000000003</v>
      </c>
      <c r="AA187" s="62">
        <f t="shared" si="64"/>
        <v>5.7945000000000002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5"/>
        <v>0829-24</v>
      </c>
      <c r="AE187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87" s="82" t="str">
        <f t="shared" si="67"/>
        <v>"C:\Program Files (x86)\AstroGrep\AstroGrep.exe" /spath="%USERPROFILE%\AppData\Local\Temp\OnboardLogs" /stypes="app*4053*20170224*" /stext=" 23:.+((SYSTEM_STATE.+slice.+state.+changed )|(ment ac)|(multiple cpu faults)|(system.+state.+changed )|(\[timeout)|(PRM\|1\|D)|(kpr)|(kdp)|(\|lc)|(penalty))" /e /r /s</v>
      </c>
      <c r="AG187" s="1" t="str">
        <f t="shared" si="68"/>
        <v>NW</v>
      </c>
      <c r="AH187" s="86" t="str">
        <f t="shared" si="69"/>
        <v>"%USERPROFILE%\Documents\GitHub\eaglep3\Utilities\RefineRTDCRunTimes.py" --tripid 829-24 --locoid 4053 --swversion DE.1.0.9.0 --startMP 204:979 --initTime 2017-02-24T15:56:59 --startdatetime 2017-02-24T16:21:32 --delay 1 --endMP 300:58924 --enddatetime 2017-02-24T16:35:33 --enforcementcount 1 &gt;&gt;C:\Users\stu\Documents\GitHub\eaglep3-reporting\EC\2017-02-24-refined-times.txt</v>
      </c>
      <c r="AI187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{"issue":{"subject":"","project_id":79,"tracker_id":40,"status_id":1,"priority_id":2,"assigned_to_id":23,"start_date":"2017-02-24","description":"","custom_fields":[{"id":1,"name":"Subdivision","value":"NW"},{"id":4,"name":"Milepost","value":"5.8924"},{"id":17,"name":"Train ID","value":"829-24"},{"id":16,"name":"Locomotive ID","value":"4053"},{"id":130,"name":"Impact","value":""},{"id":150,"name":"Time of Event (Mountain Time)","value":"16:35:33"},{"id":151,"name":"Denver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71"/>
        <v>start /low /b %USERPROFILE%\Documents\GitHub\eaglep3\Utilities\DownloadLogsFromS3.py --loco 4053 --day 2017-02-24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"%USERPROFILE%\AppData\Local\Temp\OnboardLogs"\RTDC4053\*4053*20170224* | grep -SE "(Enforcement Action)|(\[TIMEOUT)|(CHR.+\|PRM\|1\|D.+(SWITCH|SIGNAL).+UNKNOWN)" - &gt;&gt; 2017-02-24-UncaughtWiMAX.txt</v>
      </c>
    </row>
    <row r="188" spans="1:40" x14ac:dyDescent="0.25">
      <c r="A188" s="33" t="s">
        <v>609</v>
      </c>
      <c r="B188" s="7">
        <v>4054</v>
      </c>
      <c r="C188" s="21" t="s">
        <v>280</v>
      </c>
      <c r="D188" s="21" t="s">
        <v>848</v>
      </c>
      <c r="E188" s="13">
        <v>42790.692604166667</v>
      </c>
      <c r="F188" s="13">
        <v>42790.694282407407</v>
      </c>
      <c r="G188" s="7">
        <v>1</v>
      </c>
      <c r="H188" s="21" t="s">
        <v>344</v>
      </c>
      <c r="I188" s="13">
        <v>42790.705821759257</v>
      </c>
      <c r="J188" s="7">
        <v>1</v>
      </c>
      <c r="K188" s="98" t="str">
        <f t="shared" si="54"/>
        <v>4053/4054</v>
      </c>
      <c r="L188" s="21" t="str">
        <f>VLOOKUP(A188,'Trips&amp;Operators'!$C$1:$G$99999,5,FALSE)</f>
        <v>HOLCOMB KAMDEN</v>
      </c>
      <c r="M188" s="6">
        <f t="shared" si="55"/>
        <v>1.1539351849933155E-2</v>
      </c>
      <c r="N188" s="7">
        <f t="shared" si="56"/>
        <v>16.616666663903743</v>
      </c>
      <c r="O188" s="7"/>
      <c r="P188" s="7"/>
      <c r="Q188" s="22"/>
      <c r="R188" s="22"/>
      <c r="S188" s="31">
        <f t="shared" si="57"/>
        <v>1</v>
      </c>
      <c r="T188" s="46" t="str">
        <f t="shared" si="58"/>
        <v>Southbound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59"/>
        <v>https://d0f6bd738d7f1b3e5a7ca70fe4ff75f0.us-east-1.aws.found.io/app/kibana#/discover/Steve-Slow-Train-Analysis-(2080s-and-2083s)?_g=(refreshInterval:(display:Off,pause:!f,section:0,value:0),time:(from:'2017-02-24T15:37:21-0700',mode:absolute,to:'2017-02-24T17:56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88" s="187" t="str">
        <f t="shared" si="60"/>
        <v>N</v>
      </c>
      <c r="X188" s="187">
        <f t="shared" si="61"/>
        <v>1</v>
      </c>
      <c r="Y188" s="62">
        <f t="shared" si="62"/>
        <v>5.8608000000000002</v>
      </c>
      <c r="Z188" s="62">
        <f t="shared" si="63"/>
        <v>6.8000000000000005E-2</v>
      </c>
      <c r="AA188" s="62">
        <f t="shared" si="64"/>
        <v>5.7928000000000006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5"/>
        <v>0830-24</v>
      </c>
      <c r="AE188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88" s="82" t="str">
        <f t="shared" si="67"/>
        <v>"C:\Program Files (x86)\AstroGrep\AstroGrep.exe" /spath="%USERPROFILE%\AppData\Local\Temp\OnboardLogs" /stypes="app*4054*20170224*" /stext=" 23:.+((SYSTEM_STATE.+slice.+state.+changed )|(ment ac)|(multiple cpu faults)|(system.+state.+changed )|(\[timeout)|(PRM\|1\|D)|(kpr)|(kdp)|(\|lc)|(penalty))" /e /r /s</v>
      </c>
      <c r="AG188" s="1" t="str">
        <f t="shared" si="68"/>
        <v>NW</v>
      </c>
      <c r="AH188" s="86" t="str">
        <f t="shared" si="69"/>
        <v>"%USERPROFILE%\Documents\GitHub\eaglep3\Utilities\RefineRTDCRunTimes.py" --tripid 830-24 --locoid 4054 --swversion DE.1.0.9.0 --startMP 300:58608 --initTime 2017-02-24T16:37:21 --startdatetime 2017-02-24T16:39:46 --delay 1 --endMP 204:680 --enddatetime 2017-02-24T16:56:23 --enforcementcount 1 &gt;&gt;C:\Users\stu\Documents\GitHub\eaglep3-reporting\EC\2017-02-24-refined-times.txt</v>
      </c>
      <c r="AI188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{"issue":{"subject":"","project_id":79,"tracker_id":40,"status_id":1,"priority_id":2,"assigned_to_id":23,"start_date":"2017-02-24","description":"","custom_fields":[{"id":1,"name":"Subdivision","value":"NW"},{"id":4,"name":"Milepost","value":"0.068"},{"id":17,"name":"Train ID","value":"830-24"},{"id":16,"name":"Locomotive ID","value":"4054"},{"id":130,"name":"Impact","value":""},{"id":150,"name":"Time of Event (Mountain Time)","value":"16:56:23"},{"id":151,"name":"Denver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71"/>
        <v>start /low /b %USERPROFILE%\Documents\GitHub\eaglep3\Utilities\DownloadLogsFromS3.py --loco 4054 --day 2017-02-24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189" spans="1:40" x14ac:dyDescent="0.25">
      <c r="A189" s="33" t="s">
        <v>608</v>
      </c>
      <c r="B189" s="7">
        <v>4003</v>
      </c>
      <c r="C189" s="21" t="s">
        <v>280</v>
      </c>
      <c r="D189" s="21" t="s">
        <v>346</v>
      </c>
      <c r="E189" s="13">
        <v>42790.688368055555</v>
      </c>
      <c r="F189" s="13">
        <v>42790.70244212963</v>
      </c>
      <c r="G189" s="7">
        <v>1</v>
      </c>
      <c r="H189" s="21" t="s">
        <v>849</v>
      </c>
      <c r="I189" s="13">
        <v>42790.712129629632</v>
      </c>
      <c r="J189" s="7">
        <v>1</v>
      </c>
      <c r="K189" s="98" t="str">
        <f t="shared" si="54"/>
        <v>4003/4004</v>
      </c>
      <c r="L189" s="21" t="str">
        <f>VLOOKUP(A189,'Trips&amp;Operators'!$C$1:$G$99999,5,FALSE)</f>
        <v>SMITH MICHAEL</v>
      </c>
      <c r="M189" s="6">
        <f t="shared" si="55"/>
        <v>9.6875000017462298E-3</v>
      </c>
      <c r="N189" s="7">
        <f t="shared" si="56"/>
        <v>13.950000002514571</v>
      </c>
      <c r="O189" s="7"/>
      <c r="P189" s="7"/>
      <c r="Q189" s="22"/>
      <c r="R189" s="22"/>
      <c r="S189" s="31">
        <f t="shared" si="57"/>
        <v>1</v>
      </c>
      <c r="T189" s="46" t="str">
        <f t="shared" si="58"/>
        <v>NorthBound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59"/>
        <v>https://d0f6bd738d7f1b3e5a7ca70fe4ff75f0.us-east-1.aws.found.io/app/kibana#/discover/Steve-Slow-Train-Analysis-(2080s-and-2083s)?_g=(refreshInterval:(display:Off,pause:!f,section:0,value:0),time:(from:'2017-02-24T15:31:15-0700',mode:absolute,to:'2017-02-24T18:05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9" s="187" t="str">
        <f t="shared" si="60"/>
        <v>N</v>
      </c>
      <c r="X189" s="187">
        <f t="shared" si="61"/>
        <v>1</v>
      </c>
      <c r="Y189" s="62">
        <f t="shared" si="62"/>
        <v>9.6500000000000002E-2</v>
      </c>
      <c r="Z189" s="62">
        <f t="shared" si="63"/>
        <v>5.8958000000000004</v>
      </c>
      <c r="AA189" s="62">
        <f t="shared" si="64"/>
        <v>5.7993000000000006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5"/>
        <v>0831-24</v>
      </c>
      <c r="AE189" s="85" t="str">
        <f t="shared" si="66"/>
        <v>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 &amp; 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</v>
      </c>
      <c r="AF189" s="82" t="str">
        <f t="shared" si="67"/>
        <v>"C:\Program Files (x86)\AstroGrep\AstroGrep.exe" /spath="%USERPROFILE%\AppData\Local\Temp\OnboardLogs" /stypes="app*4003*20170225*" /stext=" 00:.+((SYSTEM_STATE.+slice.+state.+changed )|(ment ac)|(multiple cpu faults)|(system.+state.+changed )|(\[timeout)|(PRM\|1\|D)|(kpr)|(kdp)|(\|lc)|(penalty))" /e /r /s</v>
      </c>
      <c r="AG189" s="1" t="str">
        <f t="shared" si="68"/>
        <v>NW</v>
      </c>
      <c r="AH189" s="86" t="str">
        <f t="shared" si="69"/>
        <v>"%USERPROFILE%\Documents\GitHub\eaglep3\Utilities\RefineRTDCRunTimes.py" --tripid 831-24 --locoid 4003 --swversion DE.1.0.9.0 --startMP 204:965 --initTime 2017-02-24T16:31:15 --startdatetime 2017-02-24T16:51:31 --delay 1 --endMP 300:58958 --enddatetime 2017-02-24T17:05:28 --enforcementcount 1 &gt;&gt;C:\Users\stu\Documents\GitHub\eaglep3-reporting\EC\2017-02-24-refined-times.txt</v>
      </c>
      <c r="AI189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{"issue":{"subject":"","project_id":79,"tracker_id":40,"status_id":1,"priority_id":2,"assigned_to_id":23,"start_date":"2017-02-24","description":"","custom_fields":[{"id":1,"name":"Subdivision","value":"NW"},{"id":4,"name":"Milepost","value":"5.8958"},{"id":17,"name":"Train ID","value":"831-24"},{"id":16,"name":"Locomotive ID","value":"4003"},{"id":130,"name":"Impact","value":""},{"id":150,"name":"Time of Event (Mountain Time)","value":"17:05:28"},{"id":151,"name":"Denver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71"/>
        <v>start /low /b %USERPROFILE%\Documents\GitHub\eaglep3\Utilities\DownloadLogsFromS3.py --loco 4003 --day 2017-02-24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"%USERPROFILE%\AppData\Local\Temp\OnboardLogs"\RTDC4003\*4003*20170224* | grep -SE "(Enforcement Action)|(\[TIMEOUT)|(CHR.+\|PRM\|1\|D.+(SWITCH|SIGNAL).+UNKNOWN)" - &gt;&gt; 2017-02-24-UncaughtWiMAX.txt</v>
      </c>
    </row>
    <row r="190" spans="1:40" x14ac:dyDescent="0.25">
      <c r="A190" s="33" t="s">
        <v>614</v>
      </c>
      <c r="B190" s="7">
        <v>4004</v>
      </c>
      <c r="C190" s="21" t="s">
        <v>280</v>
      </c>
      <c r="D190" s="21" t="s">
        <v>424</v>
      </c>
      <c r="E190" s="13">
        <v>42790.713402777779</v>
      </c>
      <c r="F190" s="13">
        <v>42790.71471064815</v>
      </c>
      <c r="G190" s="7">
        <v>1</v>
      </c>
      <c r="H190" s="21" t="s">
        <v>843</v>
      </c>
      <c r="I190" s="13">
        <v>42790.72587962963</v>
      </c>
      <c r="J190" s="7">
        <v>1</v>
      </c>
      <c r="K190" s="98" t="str">
        <f t="shared" si="54"/>
        <v>4003/4004</v>
      </c>
      <c r="L190" s="21" t="str">
        <f>VLOOKUP(A190,'Trips&amp;Operators'!$C$1:$G$99999,5,FALSE)</f>
        <v>SMITH MICHAEL</v>
      </c>
      <c r="M190" s="6">
        <f t="shared" si="55"/>
        <v>1.116898148029577E-2</v>
      </c>
      <c r="N190" s="7">
        <f t="shared" si="56"/>
        <v>16.083333331625909</v>
      </c>
      <c r="O190" s="7"/>
      <c r="P190" s="7"/>
      <c r="Q190" s="22"/>
      <c r="R190" s="22"/>
      <c r="S190" s="31">
        <f t="shared" si="57"/>
        <v>1</v>
      </c>
      <c r="T190" s="46" t="str">
        <f t="shared" si="58"/>
        <v>Southbound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59"/>
        <v>https://d0f6bd738d7f1b3e5a7ca70fe4ff75f0.us-east-1.aws.found.io/app/kibana#/discover/Steve-Slow-Train-Analysis-(2080s-and-2083s)?_g=(refreshInterval:(display:Off,pause:!f,section:0,value:0),time:(from:'2017-02-24T16:07:18-0700',mode:absolute,to:'2017-02-24T18:25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0" s="187" t="str">
        <f t="shared" si="60"/>
        <v>N</v>
      </c>
      <c r="X190" s="187">
        <f t="shared" si="61"/>
        <v>1</v>
      </c>
      <c r="Y190" s="62">
        <f t="shared" si="62"/>
        <v>5.8644999999999996</v>
      </c>
      <c r="Z190" s="62">
        <f t="shared" si="63"/>
        <v>6.8500000000000005E-2</v>
      </c>
      <c r="AA190" s="62">
        <f t="shared" si="64"/>
        <v>5.7959999999999994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5"/>
        <v>0832-24</v>
      </c>
      <c r="AE190" s="85" t="str">
        <f t="shared" si="66"/>
        <v>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 &amp; 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</v>
      </c>
      <c r="AF190" s="82" t="str">
        <f t="shared" si="67"/>
        <v>"C:\Program Files (x86)\AstroGrep\AstroGrep.exe" /spath="%USERPROFILE%\AppData\Local\Temp\OnboardLogs" /stypes="app*4004*20170225*" /stext=" 00:.+((SYSTEM_STATE.+slice.+state.+changed )|(ment ac)|(multiple cpu faults)|(system.+state.+changed )|(\[timeout)|(PRM\|1\|D)|(kpr)|(kdp)|(\|lc)|(penalty))" /e /r /s</v>
      </c>
      <c r="AG190" s="1" t="str">
        <f t="shared" si="68"/>
        <v>NW</v>
      </c>
      <c r="AH190" s="86" t="str">
        <f t="shared" si="69"/>
        <v>"%USERPROFILE%\Documents\GitHub\eaglep3\Utilities\RefineRTDCRunTimes.py" --tripid 832-24 --locoid 4004 --swversion DE.1.0.9.0 --startMP 300:58645 --initTime 2017-02-24T17:07:18 --startdatetime 2017-02-24T17:09:11 --delay 1 --endMP 204:685 --enddatetime 2017-02-24T17:25:16 --enforcementcount 1 &gt;&gt;C:\Users\stu\Documents\GitHub\eaglep3-reporting\EC\2017-02-24-refined-times.txt</v>
      </c>
      <c r="AI190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{"issue":{"subject":"","project_id":79,"tracker_id":40,"status_id":1,"priority_id":2,"assigned_to_id":23,"start_date":"2017-02-24","description":"","custom_fields":[{"id":1,"name":"Subdivision","value":"NW"},{"id":4,"name":"Milepost","value":"0.0685"},{"id":17,"name":"Train ID","value":"832-24"},{"id":16,"name":"Locomotive ID","value":"4004"},{"id":130,"name":"Impact","value":""},{"id":150,"name":"Time of Event (Mountain Time)","value":"17:25:16"},{"id":151,"name":"Denver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71"/>
        <v>start /low /b %USERPROFILE%\Documents\GitHub\eaglep3\Utilities\DownloadLogsFromS3.py --loco 4004 --day 2017-02-24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2017-02-24-UncaughtWiMAX.txt</v>
      </c>
    </row>
    <row r="191" spans="1:40" x14ac:dyDescent="0.25">
      <c r="A191" s="33" t="s">
        <v>616</v>
      </c>
      <c r="B191" s="7">
        <v>4053</v>
      </c>
      <c r="C191" s="21" t="s">
        <v>280</v>
      </c>
      <c r="D191" s="21" t="s">
        <v>351</v>
      </c>
      <c r="E191" s="13">
        <v>42790.716967592591</v>
      </c>
      <c r="F191" s="13">
        <v>42790.723124999997</v>
      </c>
      <c r="G191" s="7">
        <v>1</v>
      </c>
      <c r="H191" s="21" t="s">
        <v>850</v>
      </c>
      <c r="I191" s="13">
        <v>42790.732951388891</v>
      </c>
      <c r="J191" s="7">
        <v>1</v>
      </c>
      <c r="K191" s="98" t="str">
        <f t="shared" si="54"/>
        <v>4053/4054</v>
      </c>
      <c r="L191" s="21" t="str">
        <f>VLOOKUP(A191,'Trips&amp;Operators'!$C$1:$G$99999,5,FALSE)</f>
        <v>LEVERE CRAIG</v>
      </c>
      <c r="M191" s="6">
        <f t="shared" si="55"/>
        <v>9.826388893998228E-3</v>
      </c>
      <c r="N191" s="7">
        <f t="shared" si="56"/>
        <v>14.150000007357448</v>
      </c>
      <c r="O191" s="7"/>
      <c r="P191" s="7"/>
      <c r="Q191" s="22"/>
      <c r="R191" s="22"/>
      <c r="S191" s="31">
        <f t="shared" si="57"/>
        <v>1</v>
      </c>
      <c r="T191" s="46" t="str">
        <f t="shared" si="58"/>
        <v>NorthBound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59"/>
        <v>https://d0f6bd738d7f1b3e5a7ca70fe4ff75f0.us-east-1.aws.found.io/app/kibana#/discover/Steve-Slow-Train-Analysis-(2080s-and-2083s)?_g=(refreshInterval:(display:Off,pause:!f,section:0,value:0),time:(from:'2017-02-24T16:12:26-0700',mode:absolute,to:'2017-02-24T18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1" s="187" t="str">
        <f t="shared" si="60"/>
        <v>N</v>
      </c>
      <c r="X191" s="187">
        <f t="shared" si="61"/>
        <v>1</v>
      </c>
      <c r="Y191" s="62">
        <f t="shared" si="62"/>
        <v>9.7100000000000006E-2</v>
      </c>
      <c r="Z191" s="62">
        <f t="shared" si="63"/>
        <v>5.8963000000000001</v>
      </c>
      <c r="AA191" s="62">
        <f t="shared" si="64"/>
        <v>5.7991999999999999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5"/>
        <v>0833-24</v>
      </c>
      <c r="AE191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91" s="82" t="str">
        <f t="shared" si="67"/>
        <v>"C:\Program Files (x86)\AstroGrep\AstroGrep.exe" /spath="%USERPROFILE%\AppData\Local\Temp\OnboardLogs" /stypes="app*4053*20170225*" /stext=" 00:.+((SYSTEM_STATE.+slice.+state.+changed )|(ment ac)|(multiple cpu faults)|(system.+state.+changed )|(\[timeout)|(PRM\|1\|D)|(kpr)|(kdp)|(\|lc)|(penalty))" /e /r /s</v>
      </c>
      <c r="AG191" s="1" t="str">
        <f t="shared" si="68"/>
        <v>NW</v>
      </c>
      <c r="AH191" s="86" t="str">
        <f t="shared" si="69"/>
        <v>"%USERPROFILE%\Documents\GitHub\eaglep3\Utilities\RefineRTDCRunTimes.py" --tripid 833-24 --locoid 4053 --swversion DE.1.0.9.0 --startMP 204:971 --initTime 2017-02-24T17:12:26 --startdatetime 2017-02-24T17:21:18 --delay 1 --endMP 300:58963 --enddatetime 2017-02-24T17:35:27 --enforcementcount 1 &gt;&gt;C:\Users\stu\Documents\GitHub\eaglep3-reporting\EC\2017-02-24-refined-times.txt</v>
      </c>
      <c r="AI191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{"issue":{"subject":"","project_id":79,"tracker_id":40,"status_id":1,"priority_id":2,"assigned_to_id":23,"start_date":"2017-02-24","description":"","custom_fields":[{"id":1,"name":"Subdivision","value":"NW"},{"id":4,"name":"Milepost","value":"5.8963"},{"id":17,"name":"Train ID","value":"833-24"},{"id":16,"name":"Locomotive ID","value":"4053"},{"id":130,"name":"Impact","value":""},{"id":150,"name":"Time of Event (Mountain Time)","value":"17:35:27"},{"id":151,"name":"Denver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71"/>
        <v>start /low /b %USERPROFILE%\Documents\GitHub\eaglep3\Utilities\DownloadLogsFromS3.py --loco 4053 --day 2017-02-24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2017-02-24-UncaughtWiMAX.txt</v>
      </c>
    </row>
    <row r="192" spans="1:40" x14ac:dyDescent="0.25">
      <c r="A192" s="33" t="s">
        <v>625</v>
      </c>
      <c r="B192" s="7">
        <v>4054</v>
      </c>
      <c r="C192" s="21" t="s">
        <v>280</v>
      </c>
      <c r="D192" s="21" t="s">
        <v>425</v>
      </c>
      <c r="E192" s="13">
        <v>42790.734050925923</v>
      </c>
      <c r="F192" s="13">
        <v>42790.735717592594</v>
      </c>
      <c r="G192" s="7">
        <v>1</v>
      </c>
      <c r="H192" s="21" t="s">
        <v>283</v>
      </c>
      <c r="I192" s="13">
        <v>42790.747210648151</v>
      </c>
      <c r="J192" s="7">
        <v>1</v>
      </c>
      <c r="K192" s="98" t="str">
        <f t="shared" si="54"/>
        <v>4053/4054</v>
      </c>
      <c r="L192" s="21" t="str">
        <f>VLOOKUP(A192,'Trips&amp;Operators'!$C$1:$G$99999,5,FALSE)</f>
        <v>LEVERE CRAIG</v>
      </c>
      <c r="M192" s="6">
        <f t="shared" si="55"/>
        <v>1.1493055557366461E-2</v>
      </c>
      <c r="N192" s="7">
        <f t="shared" si="56"/>
        <v>16.550000002607703</v>
      </c>
      <c r="O192" s="7"/>
      <c r="P192" s="7"/>
      <c r="Q192" s="22"/>
      <c r="R192" s="22"/>
      <c r="S192" s="31">
        <f t="shared" si="57"/>
        <v>1</v>
      </c>
      <c r="T192" s="46" t="str">
        <f t="shared" si="58"/>
        <v>Southbound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59"/>
        <v>https://d0f6bd738d7f1b3e5a7ca70fe4ff75f0.us-east-1.aws.found.io/app/kibana#/discover/Steve-Slow-Train-Analysis-(2080s-and-2083s)?_g=(refreshInterval:(display:Off,pause:!f,section:0,value:0),time:(from:'2017-02-24T16:37:02-0700',mode:absolute,to:'2017-02-24T18:55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2" s="187" t="str">
        <f t="shared" si="60"/>
        <v>N</v>
      </c>
      <c r="X192" s="187">
        <f t="shared" si="61"/>
        <v>1</v>
      </c>
      <c r="Y192" s="62">
        <f t="shared" si="62"/>
        <v>5.8640999999999996</v>
      </c>
      <c r="Z192" s="62">
        <f t="shared" si="63"/>
        <v>6.9199999999999998E-2</v>
      </c>
      <c r="AA192" s="62">
        <f t="shared" si="64"/>
        <v>5.7948999999999993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5"/>
        <v>0834-24</v>
      </c>
      <c r="AE192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92" s="82" t="str">
        <f t="shared" si="67"/>
        <v>"C:\Program Files (x86)\AstroGrep\AstroGrep.exe" /spath="%USERPROFILE%\AppData\Local\Temp\OnboardLogs" /stypes="app*4054*20170225*" /stext=" 00:.+((SYSTEM_STATE.+slice.+state.+changed )|(ment ac)|(multiple cpu faults)|(system.+state.+changed )|(\[timeout)|(PRM\|1\|D)|(kpr)|(kdp)|(\|lc)|(penalty))" /e /r /s</v>
      </c>
      <c r="AG192" s="1" t="str">
        <f t="shared" si="68"/>
        <v>NW</v>
      </c>
      <c r="AH192" s="86" t="str">
        <f t="shared" si="69"/>
        <v>"%USERPROFILE%\Documents\GitHub\eaglep3\Utilities\RefineRTDCRunTimes.py" --tripid 834-24 --locoid 4054 --swversion DE.1.0.9.0 --startMP 300:58641 --initTime 2017-02-24T17:37:02 --startdatetime 2017-02-24T17:39:26 --delay 1 --endMP 204:692 --enddatetime 2017-02-24T17:55:59 --enforcementcount 1 &gt;&gt;C:\Users\stu\Documents\GitHub\eaglep3-reporting\EC\2017-02-24-refined-times.txt</v>
      </c>
      <c r="AI192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{"issue":{"subject":"","project_id":79,"tracker_id":40,"status_id":1,"priority_id":2,"assigned_to_id":23,"start_date":"2017-02-24","description":"","custom_fields":[{"id":1,"name":"Subdivision","value":"NW"},{"id":4,"name":"Milepost","value":"0.0692"},{"id":17,"name":"Train ID","value":"834-24"},{"id":16,"name":"Locomotive ID","value":"4054"},{"id":130,"name":"Impact","value":""},{"id":150,"name":"Time of Event (Mountain Time)","value":"17:55:59"},{"id":151,"name":"Denver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71"/>
        <v>start /low /b %USERPROFILE%\Documents\GitHub\eaglep3\Utilities\DownloadLogsFromS3.py --loco 4054 --day 2017-02-24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2017-02-24-UncaughtWiMAX.txt</v>
      </c>
    </row>
    <row r="193" spans="1:40" x14ac:dyDescent="0.25">
      <c r="A193" s="33" t="s">
        <v>623</v>
      </c>
      <c r="B193" s="7">
        <v>4003</v>
      </c>
      <c r="C193" s="21" t="s">
        <v>280</v>
      </c>
      <c r="D193" s="21" t="s">
        <v>426</v>
      </c>
      <c r="E193" s="13">
        <v>42790.728078703702</v>
      </c>
      <c r="F193" s="13">
        <v>42790.743935185186</v>
      </c>
      <c r="G193" s="7">
        <v>1</v>
      </c>
      <c r="H193" s="21" t="s">
        <v>851</v>
      </c>
      <c r="I193" s="13">
        <v>42790.753761574073</v>
      </c>
      <c r="J193" s="7">
        <v>1</v>
      </c>
      <c r="K193" s="98" t="str">
        <f t="shared" si="54"/>
        <v>4003/4004</v>
      </c>
      <c r="L193" s="21" t="str">
        <f>VLOOKUP(A193,'Trips&amp;Operators'!$C$1:$G$99999,5,FALSE)</f>
        <v>SMITH MICHAEL</v>
      </c>
      <c r="M193" s="6">
        <f t="shared" si="55"/>
        <v>9.8263888867222704E-3</v>
      </c>
      <c r="N193" s="7">
        <f t="shared" si="56"/>
        <v>14.149999996880069</v>
      </c>
      <c r="O193" s="7"/>
      <c r="P193" s="7"/>
      <c r="Q193" s="22"/>
      <c r="R193" s="22"/>
      <c r="S193" s="31">
        <f t="shared" si="57"/>
        <v>1</v>
      </c>
      <c r="T193" s="46" t="str">
        <f t="shared" si="58"/>
        <v>NorthBound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59"/>
        <v>https://d0f6bd738d7f1b3e5a7ca70fe4ff75f0.us-east-1.aws.found.io/app/kibana#/discover/Steve-Slow-Train-Analysis-(2080s-and-2083s)?_g=(refreshInterval:(display:Off,pause:!f,section:0,value:0),time:(from:'2017-02-24T16:28:26-0700',mode:absolute,to:'2017-02-24T19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3" s="187" t="str">
        <f t="shared" si="60"/>
        <v>N</v>
      </c>
      <c r="X193" s="187">
        <f t="shared" si="61"/>
        <v>1</v>
      </c>
      <c r="Y193" s="62">
        <f t="shared" si="62"/>
        <v>9.6199999999999994E-2</v>
      </c>
      <c r="Z193" s="62">
        <f t="shared" si="63"/>
        <v>5.8994999999999997</v>
      </c>
      <c r="AA193" s="62">
        <f t="shared" si="64"/>
        <v>5.8033000000000001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5"/>
        <v>0835-24</v>
      </c>
      <c r="AE193" s="85" t="str">
        <f t="shared" si="66"/>
        <v>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 &amp; 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</v>
      </c>
      <c r="AF193" s="82" t="str">
        <f t="shared" si="67"/>
        <v>"C:\Program Files (x86)\AstroGrep\AstroGrep.exe" /spath="%USERPROFILE%\AppData\Local\Temp\OnboardLogs" /stypes="app*4003*20170225*" /stext=" 01:.+((SYSTEM_STATE.+slice.+state.+changed )|(ment ac)|(multiple cpu faults)|(system.+state.+changed )|(\[timeout)|(PRM\|1\|D)|(kpr)|(kdp)|(\|lc)|(penalty))" /e /r /s</v>
      </c>
      <c r="AG193" s="1" t="str">
        <f t="shared" si="68"/>
        <v>NW</v>
      </c>
      <c r="AH193" s="86" t="str">
        <f t="shared" si="69"/>
        <v>"%USERPROFILE%\Documents\GitHub\eaglep3\Utilities\RefineRTDCRunTimes.py" --tripid 835-24 --locoid 4003 --swversion DE.1.0.9.0 --startMP 204:962 --initTime 2017-02-24T17:28:26 --startdatetime 2017-02-24T17:51:16 --delay 1 --endMP 300:58995 --enddatetime 2017-02-24T18:05:25 --enforcementcount 1 &gt;&gt;C:\Users\stu\Documents\GitHub\eaglep3-reporting\EC\2017-02-24-refined-times.txt</v>
      </c>
      <c r="AI193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{"issue":{"subject":"","project_id":79,"tracker_id":40,"status_id":1,"priority_id":2,"assigned_to_id":23,"start_date":"2017-02-24","description":"","custom_fields":[{"id":1,"name":"Subdivision","value":"NW"},{"id":4,"name":"Milepost","value":"5.8995"},{"id":17,"name":"Train ID","value":"835-24"},{"id":16,"name":"Locomotive ID","value":"4003"},{"id":130,"name":"Impact","value":""},{"id":150,"name":"Time of Event (Mountain Time)","value":"18:05:25"},{"id":151,"name":"Denver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71"/>
        <v>start /low /b %USERPROFILE%\Documents\GitHub\eaglep3\Utilities\DownloadLogsFromS3.py --loco 4003 --day 2017-02-24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2017-02-24-UncaughtWiMAX.txt</v>
      </c>
    </row>
    <row r="194" spans="1:40" x14ac:dyDescent="0.25">
      <c r="A194" s="33" t="s">
        <v>628</v>
      </c>
      <c r="B194" s="7">
        <v>4004</v>
      </c>
      <c r="C194" s="21" t="s">
        <v>280</v>
      </c>
      <c r="D194" s="21" t="s">
        <v>834</v>
      </c>
      <c r="E194" s="13">
        <v>42790.755011574074</v>
      </c>
      <c r="F194" s="13">
        <v>42790.756562499999</v>
      </c>
      <c r="G194" s="7">
        <v>1</v>
      </c>
      <c r="H194" s="21" t="s">
        <v>427</v>
      </c>
      <c r="I194" s="13">
        <v>42790.769062500003</v>
      </c>
      <c r="J194" s="7">
        <v>1</v>
      </c>
      <c r="K194" s="98" t="str">
        <f t="shared" si="54"/>
        <v>4003/4004</v>
      </c>
      <c r="L194" s="21" t="str">
        <f>VLOOKUP(A194,'Trips&amp;Operators'!$C$1:$G$99999,5,FALSE)</f>
        <v>SMITH MICHAEL</v>
      </c>
      <c r="M194" s="6">
        <f t="shared" si="55"/>
        <v>1.2500000004365575E-2</v>
      </c>
      <c r="N194" s="7">
        <f t="shared" si="56"/>
        <v>18.000000006286427</v>
      </c>
      <c r="O194" s="7"/>
      <c r="P194" s="7"/>
      <c r="Q194" s="22"/>
      <c r="R194" s="22"/>
      <c r="S194" s="31">
        <f t="shared" si="57"/>
        <v>1</v>
      </c>
      <c r="T194" s="46" t="str">
        <f t="shared" si="58"/>
        <v>Southbound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59"/>
        <v>https://d0f6bd738d7f1b3e5a7ca70fe4ff75f0.us-east-1.aws.found.io/app/kibana#/discover/Steve-Slow-Train-Analysis-(2080s-and-2083s)?_g=(refreshInterval:(display:Off,pause:!f,section:0,value:0),time:(from:'2017-02-24T17:07:13-0700',mode:absolute,to:'2017-02-24T19:27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94" s="187" t="str">
        <f t="shared" si="60"/>
        <v>N</v>
      </c>
      <c r="X194" s="187">
        <f t="shared" si="61"/>
        <v>1</v>
      </c>
      <c r="Y194" s="62">
        <f t="shared" si="62"/>
        <v>5.8673000000000002</v>
      </c>
      <c r="Z194" s="62">
        <f t="shared" si="63"/>
        <v>7.0800000000000002E-2</v>
      </c>
      <c r="AA194" s="62">
        <f t="shared" si="64"/>
        <v>5.7965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5"/>
        <v>0836-24</v>
      </c>
      <c r="AE194" s="85" t="str">
        <f t="shared" si="66"/>
        <v>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 &amp; 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</v>
      </c>
      <c r="AF194" s="82" t="str">
        <f t="shared" si="67"/>
        <v>"C:\Program Files (x86)\AstroGrep\AstroGrep.exe" /spath="%USERPROFILE%\AppData\Local\Temp\OnboardLogs" /stypes="app*4004*20170225*" /stext=" 01:.+((SYSTEM_STATE.+slice.+state.+changed )|(ment ac)|(multiple cpu faults)|(system.+state.+changed )|(\[timeout)|(PRM\|1\|D)|(kpr)|(kdp)|(\|lc)|(penalty))" /e /r /s</v>
      </c>
      <c r="AG194" s="1" t="str">
        <f t="shared" si="68"/>
        <v>NW</v>
      </c>
      <c r="AH194" s="86" t="str">
        <f t="shared" si="69"/>
        <v>"%USERPROFILE%\Documents\GitHub\eaglep3\Utilities\RefineRTDCRunTimes.py" --tripid 836-24 --locoid 4004 --swversion DE.1.0.9.0 --startMP 300:58673 --initTime 2017-02-24T18:07:13 --startdatetime 2017-02-24T18:09:27 --delay 1 --endMP 204:708 --enddatetime 2017-02-24T18:27:27 --enforcementcount 1 &gt;&gt;C:\Users\stu\Documents\GitHub\eaglep3-reporting\EC\2017-02-24-refined-times.txt</v>
      </c>
      <c r="AI194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{"issue":{"subject":"","project_id":79,"tracker_id":40,"status_id":1,"priority_id":2,"assigned_to_id":23,"start_date":"2017-02-24","description":"","custom_fields":[{"id":1,"name":"Subdivision","value":"NW"},{"id":4,"name":"Milepost","value":"0.0708"},{"id":17,"name":"Train ID","value":"836-24"},{"id":16,"name":"Locomotive ID","value":"4004"},{"id":130,"name":"Impact","value":""},{"id":150,"name":"Time of Event (Mountain Time)","value":"18:27:27"},{"id":151,"name":"Denver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71"/>
        <v>start /low /b %USERPROFILE%\Documents\GitHub\eaglep3\Utilities\DownloadLogsFromS3.py --loco 4004 --day 2017-02-24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"%USERPROFILE%\AppData\Local\Temp\OnboardLogs"\RTDC4004\*4004*20170225* | grep -SE "(Enforcement Action)|(\[TIMEOUT)|(CHR.+\|PRM\|1\|D.+(SWITCH|SIGNAL).+UNKNOWN)" - &gt;&gt; 2017-02-24-UncaughtWiMAX.txt</v>
      </c>
    </row>
    <row r="195" spans="1:40" x14ac:dyDescent="0.25">
      <c r="A195" s="33" t="s">
        <v>633</v>
      </c>
      <c r="B195" s="7">
        <v>4053</v>
      </c>
      <c r="C195" s="21" t="s">
        <v>280</v>
      </c>
      <c r="D195" s="21" t="s">
        <v>318</v>
      </c>
      <c r="E195" s="13">
        <v>42790.760983796295</v>
      </c>
      <c r="F195" s="13">
        <v>42790.764999999999</v>
      </c>
      <c r="G195" s="7">
        <v>1</v>
      </c>
      <c r="H195" s="21" t="s">
        <v>430</v>
      </c>
      <c r="I195" s="13">
        <v>42790.774699074071</v>
      </c>
      <c r="J195" s="7">
        <v>1</v>
      </c>
      <c r="K195" s="98" t="str">
        <f t="shared" si="54"/>
        <v>4053/4054</v>
      </c>
      <c r="L195" s="21" t="str">
        <f>VLOOKUP(A195,'Trips&amp;Operators'!$C$1:$G$99999,5,FALSE)</f>
        <v>LEVERE CRAIG</v>
      </c>
      <c r="M195" s="6">
        <f t="shared" si="55"/>
        <v>9.6990740712499246E-3</v>
      </c>
      <c r="N195" s="7">
        <f t="shared" si="56"/>
        <v>13.966666662599891</v>
      </c>
      <c r="O195" s="7"/>
      <c r="P195" s="7"/>
      <c r="Q195" s="22"/>
      <c r="R195" s="22"/>
      <c r="S195" s="31">
        <f t="shared" si="57"/>
        <v>1</v>
      </c>
      <c r="T195" s="46" t="str">
        <f t="shared" si="58"/>
        <v>NorthBound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59"/>
        <v>https://d0f6bd738d7f1b3e5a7ca70fe4ff75f0.us-east-1.aws.found.io/app/kibana#/discover/Steve-Slow-Train-Analysis-(2080s-and-2083s)?_g=(refreshInterval:(display:Off,pause:!f,section:0,value:0),time:(from:'2017-02-24T17:15:49-0700',mode:absolute,to:'2017-02-24T19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5" s="187" t="str">
        <f t="shared" si="60"/>
        <v>N</v>
      </c>
      <c r="X195" s="187">
        <f t="shared" si="61"/>
        <v>1</v>
      </c>
      <c r="Y195" s="62">
        <f t="shared" si="62"/>
        <v>9.8299999999999998E-2</v>
      </c>
      <c r="Z195" s="62">
        <f t="shared" si="63"/>
        <v>5.8956</v>
      </c>
      <c r="AA195" s="62">
        <f t="shared" si="64"/>
        <v>5.7972999999999999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5"/>
        <v>0837-24</v>
      </c>
      <c r="AE195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95" s="82" t="str">
        <f t="shared" si="67"/>
        <v>"C:\Program Files (x86)\AstroGrep\AstroGrep.exe" /spath="%USERPROFILE%\AppData\Local\Temp\OnboardLogs" /stypes="app*4053*20170225*" /stext=" 01:.+((SYSTEM_STATE.+slice.+state.+changed )|(ment ac)|(multiple cpu faults)|(system.+state.+changed )|(\[timeout)|(PRM\|1\|D)|(kpr)|(kdp)|(\|lc)|(penalty))" /e /r /s</v>
      </c>
      <c r="AG195" s="1" t="str">
        <f t="shared" si="68"/>
        <v>NW</v>
      </c>
      <c r="AH195" s="86" t="str">
        <f t="shared" si="69"/>
        <v>"%USERPROFILE%\Documents\GitHub\eaglep3\Utilities\RefineRTDCRunTimes.py" --tripid 837-24 --locoid 4053 --swversion DE.1.0.9.0 --startMP 204:983 --initTime 2017-02-24T18:15:49 --startdatetime 2017-02-24T18:21:36 --delay 1 --endMP 300:58956 --enddatetime 2017-02-24T18:35:34 --enforcementcount 1 &gt;&gt;C:\Users\stu\Documents\GitHub\eaglep3-reporting\EC\2017-02-24-refined-times.txt</v>
      </c>
      <c r="AI195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{"issue":{"subject":"","project_id":79,"tracker_id":40,"status_id":1,"priority_id":2,"assigned_to_id":23,"start_date":"2017-02-24","description":"","custom_fields":[{"id":1,"name":"Subdivision","value":"NW"},{"id":4,"name":"Milepost","value":"5.8956"},{"id":17,"name":"Train ID","value":"837-24"},{"id":16,"name":"Locomotive ID","value":"4053"},{"id":130,"name":"Impact","value":""},{"id":150,"name":"Time of Event (Mountain Time)","value":"18:35:34"},{"id":151,"name":"Denver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71"/>
        <v>start /low /b %USERPROFILE%\Documents\GitHub\eaglep3\Utilities\DownloadLogsFromS3.py --loco 4053 --day 2017-02-24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2017-02-24-UncaughtWiMAX.txt</v>
      </c>
    </row>
    <row r="196" spans="1:40" x14ac:dyDescent="0.25">
      <c r="A196" s="33" t="s">
        <v>637</v>
      </c>
      <c r="B196" s="7">
        <v>4054</v>
      </c>
      <c r="C196" s="21" t="s">
        <v>280</v>
      </c>
      <c r="D196" s="21" t="s">
        <v>425</v>
      </c>
      <c r="E196" s="13">
        <v>42790.775972222225</v>
      </c>
      <c r="F196" s="13">
        <v>42790.77753472222</v>
      </c>
      <c r="G196" s="7">
        <v>1</v>
      </c>
      <c r="H196" s="21" t="s">
        <v>348</v>
      </c>
      <c r="I196" s="13">
        <v>42790.791006944448</v>
      </c>
      <c r="J196" s="7">
        <v>1</v>
      </c>
      <c r="K196" s="98" t="str">
        <f t="shared" si="54"/>
        <v>4053/4054</v>
      </c>
      <c r="L196" s="21" t="str">
        <f>VLOOKUP(A196,'Trips&amp;Operators'!$C$1:$G$99999,5,FALSE)</f>
        <v>LEVERE CRAIG</v>
      </c>
      <c r="M196" s="6">
        <f t="shared" si="55"/>
        <v>1.3472222228301689E-2</v>
      </c>
      <c r="N196" s="7">
        <f t="shared" si="56"/>
        <v>19.400000008754432</v>
      </c>
      <c r="O196" s="7"/>
      <c r="P196" s="7"/>
      <c r="Q196" s="22"/>
      <c r="R196" s="22"/>
      <c r="S196" s="31">
        <f t="shared" si="57"/>
        <v>1</v>
      </c>
      <c r="T196" s="46" t="str">
        <f t="shared" si="58"/>
        <v>Southbound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59"/>
        <v>https://d0f6bd738d7f1b3e5a7ca70fe4ff75f0.us-east-1.aws.found.io/app/kibana#/discover/Steve-Slow-Train-Analysis-(2080s-and-2083s)?_g=(refreshInterval:(display:Off,pause:!f,section:0,value:0),time:(from:'2017-02-24T17:37:24-0700',mode:absolute,to:'2017-02-24T19:59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6" s="187" t="str">
        <f t="shared" si="60"/>
        <v>N</v>
      </c>
      <c r="X196" s="187">
        <f t="shared" si="61"/>
        <v>1</v>
      </c>
      <c r="Y196" s="62">
        <f t="shared" si="62"/>
        <v>5.8640999999999996</v>
      </c>
      <c r="Z196" s="62">
        <f t="shared" si="63"/>
        <v>6.7799999999999999E-2</v>
      </c>
      <c r="AA196" s="62">
        <f t="shared" si="64"/>
        <v>5.7962999999999996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5"/>
        <v>0838-24</v>
      </c>
      <c r="AE196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96" s="82" t="str">
        <f t="shared" si="67"/>
        <v>"C:\Program Files (x86)\AstroGrep\AstroGrep.exe" /spath="%USERPROFILE%\AppData\Local\Temp\OnboardLogs" /stypes="app*4054*20170225*" /stext=" 01:.+((SYSTEM_STATE.+slice.+state.+changed )|(ment ac)|(multiple cpu faults)|(system.+state.+changed )|(\[timeout)|(PRM\|1\|D)|(kpr)|(kdp)|(\|lc)|(penalty))" /e /r /s</v>
      </c>
      <c r="AG196" s="1" t="str">
        <f t="shared" si="68"/>
        <v>NW</v>
      </c>
      <c r="AH196" s="86" t="str">
        <f t="shared" si="69"/>
        <v>"%USERPROFILE%\Documents\GitHub\eaglep3\Utilities\RefineRTDCRunTimes.py" --tripid 838-24 --locoid 4054 --swversion DE.1.0.9.0 --startMP 300:58641 --initTime 2017-02-24T18:37:24 --startdatetime 2017-02-24T18:39:39 --delay 1 --endMP 204:678 --enddatetime 2017-02-24T18:59:03 --enforcementcount 1 &gt;&gt;C:\Users\stu\Documents\GitHub\eaglep3-reporting\EC\2017-02-24-refined-times.txt</v>
      </c>
      <c r="AI196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{"issue":{"subject":"","project_id":79,"tracker_id":40,"status_id":1,"priority_id":2,"assigned_to_id":23,"start_date":"2017-02-24","description":"","custom_fields":[{"id":1,"name":"Subdivision","value":"NW"},{"id":4,"name":"Milepost","value":"0.0678"},{"id":17,"name":"Train ID","value":"838-24"},{"id":16,"name":"Locomotive ID","value":"4054"},{"id":130,"name":"Impact","value":""},{"id":150,"name":"Time of Event (Mountain Time)","value":"18:59:03"},{"id":151,"name":"Denver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71"/>
        <v>start /low /b %USERPROFILE%\Documents\GitHub\eaglep3\Utilities\DownloadLogsFromS3.py --loco 4054 --day 2017-02-24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2017-02-24-UncaughtWiMAX.txt</v>
      </c>
    </row>
    <row r="197" spans="1:40" x14ac:dyDescent="0.25">
      <c r="A197" s="33" t="s">
        <v>471</v>
      </c>
      <c r="B197" s="7">
        <v>4003</v>
      </c>
      <c r="C197" s="21" t="s">
        <v>280</v>
      </c>
      <c r="D197" s="21" t="s">
        <v>304</v>
      </c>
      <c r="E197" s="13">
        <v>42790.770879629628</v>
      </c>
      <c r="F197" s="13">
        <v>42790.785624999997</v>
      </c>
      <c r="G197" s="7">
        <v>1</v>
      </c>
      <c r="H197" s="21" t="s">
        <v>842</v>
      </c>
      <c r="I197" s="13">
        <v>42790.795138888891</v>
      </c>
      <c r="J197" s="7">
        <v>1</v>
      </c>
      <c r="K197" s="98" t="str">
        <f t="shared" si="54"/>
        <v>4003/4004</v>
      </c>
      <c r="L197" s="21" t="str">
        <f>VLOOKUP(A197,'Trips&amp;Operators'!$C$1:$G$99999,5,FALSE)</f>
        <v>SMITH MICHAEL</v>
      </c>
      <c r="M197" s="6">
        <f t="shared" si="55"/>
        <v>9.5138888937071897E-3</v>
      </c>
      <c r="N197" s="7">
        <f t="shared" si="56"/>
        <v>13.700000006938353</v>
      </c>
      <c r="O197" s="7"/>
      <c r="P197" s="7"/>
      <c r="Q197" s="22"/>
      <c r="R197" s="22"/>
      <c r="S197" s="31">
        <f t="shared" si="57"/>
        <v>1</v>
      </c>
      <c r="T197" s="46" t="str">
        <f t="shared" si="58"/>
        <v>NorthBound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59"/>
        <v>https://d0f6bd738d7f1b3e5a7ca70fe4ff75f0.us-east-1.aws.found.io/app/kibana#/discover/Steve-Slow-Train-Analysis-(2080s-and-2083s)?_g=(refreshInterval:(display:Off,pause:!f,section:0,value:0),time:(from:'2017-02-24T17:30:04-0700',mode:absolute,to:'2017-02-24T20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7" s="187" t="str">
        <f t="shared" si="60"/>
        <v>N</v>
      </c>
      <c r="X197" s="187">
        <f t="shared" si="61"/>
        <v>1</v>
      </c>
      <c r="Y197" s="62">
        <f t="shared" si="62"/>
        <v>9.69E-2</v>
      </c>
      <c r="Z197" s="62">
        <f t="shared" si="63"/>
        <v>5.8960999999999997</v>
      </c>
      <c r="AA197" s="62">
        <f t="shared" si="64"/>
        <v>5.7991999999999999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5"/>
        <v>0839-24</v>
      </c>
      <c r="AE197" s="85" t="str">
        <f t="shared" si="66"/>
        <v>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 &amp; 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</v>
      </c>
      <c r="AF197" s="82" t="str">
        <f t="shared" si="67"/>
        <v>"C:\Program Files (x86)\AstroGrep\AstroGrep.exe" /spath="%USERPROFILE%\AppData\Local\Temp\OnboardLogs" /stypes="app*4003*20170225*" /stext=" 02:.+((SYSTEM_STATE.+slice.+state.+changed )|(ment ac)|(multiple cpu faults)|(system.+state.+changed )|(\[timeout)|(PRM\|1\|D)|(kpr)|(kdp)|(\|lc)|(penalty))" /e /r /s</v>
      </c>
      <c r="AG197" s="1" t="str">
        <f t="shared" si="68"/>
        <v>NW</v>
      </c>
      <c r="AH197" s="86" t="str">
        <f t="shared" si="69"/>
        <v>"%USERPROFILE%\Documents\GitHub\eaglep3\Utilities\RefineRTDCRunTimes.py" --tripid 839-24 --locoid 4003 --swversion DE.1.0.9.0 --startMP 204:969 --initTime 2017-02-24T18:30:04 --startdatetime 2017-02-24T18:51:18 --delay 1 --endMP 300:58961 --enddatetime 2017-02-24T19:05:00 --enforcementcount 1 &gt;&gt;C:\Users\stu\Documents\GitHub\eaglep3-reporting\EC\2017-02-24-refined-times.txt</v>
      </c>
      <c r="AI197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{"issue":{"subject":"","project_id":79,"tracker_id":40,"status_id":1,"priority_id":2,"assigned_to_id":23,"start_date":"2017-02-24","description":"","custom_fields":[{"id":1,"name":"Subdivision","value":"NW"},{"id":4,"name":"Milepost","value":"5.8961"},{"id":17,"name":"Train ID","value":"839-24"},{"id":16,"name":"Locomotive ID","value":"4003"},{"id":130,"name":"Impact","value":""},{"id":150,"name":"Time of Event (Mountain Time)","value":"19:05:00"},{"id":151,"name":"Denver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71"/>
        <v>start /low /b %USERPROFILE%\Documents\GitHub\eaglep3\Utilities\DownloadLogsFromS3.py --loco 4003 --day 2017-02-24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"%USERPROFILE%\AppData\Local\Temp\OnboardLogs"\RTDC4003\*4003*20170225* | grep -SE "(Enforcement Action)|(\[TIMEOUT)|(CHR.+\|PRM\|1\|D.+(SWITCH|SIGNAL).+UNKNOWN)" - &gt;&gt; 2017-02-24-UncaughtWiMAX.txt</v>
      </c>
    </row>
    <row r="198" spans="1:40" x14ac:dyDescent="0.25">
      <c r="A198" s="33" t="s">
        <v>642</v>
      </c>
      <c r="B198" s="7">
        <v>4054</v>
      </c>
      <c r="C198" s="21" t="s">
        <v>280</v>
      </c>
      <c r="D198" s="21" t="s">
        <v>852</v>
      </c>
      <c r="E198" s="13">
        <v>42790.819027777776</v>
      </c>
      <c r="F198" s="13">
        <v>42790.820659722223</v>
      </c>
      <c r="G198" s="7">
        <v>1</v>
      </c>
      <c r="H198" s="21" t="s">
        <v>853</v>
      </c>
      <c r="I198" s="13">
        <v>42790.830937500003</v>
      </c>
      <c r="J198" s="7">
        <v>1</v>
      </c>
      <c r="K198" s="98" t="str">
        <f t="shared" si="54"/>
        <v>4053/4054</v>
      </c>
      <c r="L198" s="21" t="str">
        <f>VLOOKUP(A198,'Trips&amp;Operators'!$C$1:$G$99999,5,FALSE)</f>
        <v>MAGEE KENYA</v>
      </c>
      <c r="M198" s="6">
        <f t="shared" si="55"/>
        <v>1.0277777779265307E-2</v>
      </c>
      <c r="N198" s="7">
        <f t="shared" si="56"/>
        <v>14.800000002142042</v>
      </c>
      <c r="O198" s="7"/>
      <c r="P198" s="7"/>
      <c r="Q198" s="22"/>
      <c r="R198" s="22"/>
      <c r="S198" s="31">
        <f t="shared" si="57"/>
        <v>1</v>
      </c>
      <c r="T198" s="46" t="str">
        <f t="shared" si="58"/>
        <v>Southbound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59"/>
        <v>https://d0f6bd738d7f1b3e5a7ca70fe4ff75f0.us-east-1.aws.found.io/app/kibana#/discover/Steve-Slow-Train-Analysis-(2080s-and-2083s)?_g=(refreshInterval:(display:Off,pause:!f,section:0,value:0),time:(from:'2017-02-24T18:39:24-0700',mode:absolute,to:'2017-02-24T20:56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8" s="187" t="str">
        <f t="shared" si="60"/>
        <v>N</v>
      </c>
      <c r="X198" s="187">
        <f t="shared" si="61"/>
        <v>1</v>
      </c>
      <c r="Y198" s="62">
        <f t="shared" si="62"/>
        <v>5.8625999999999996</v>
      </c>
      <c r="Z198" s="62">
        <f t="shared" si="63"/>
        <v>6.8900000000000003E-2</v>
      </c>
      <c r="AA198" s="62">
        <f t="shared" si="64"/>
        <v>5.7936999999999994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5"/>
        <v>0840-24</v>
      </c>
      <c r="AE198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198" s="82" t="str">
        <f t="shared" si="67"/>
        <v>"C:\Program Files (x86)\AstroGrep\AstroGrep.exe" /spath="%USERPROFILE%\AppData\Local\Temp\OnboardLogs" /stypes="app*4054*20170225*" /stext=" 02:.+((SYSTEM_STATE.+slice.+state.+changed )|(ment ac)|(multiple cpu faults)|(system.+state.+changed )|(\[timeout)|(PRM\|1\|D)|(kpr)|(kdp)|(\|lc)|(penalty))" /e /r /s</v>
      </c>
      <c r="AG198" s="1" t="str">
        <f t="shared" si="68"/>
        <v>NW</v>
      </c>
      <c r="AH198" s="86" t="str">
        <f t="shared" si="69"/>
        <v>"%USERPROFILE%\Documents\GitHub\eaglep3\Utilities\RefineRTDCRunTimes.py" --tripid 840-24 --locoid 4054 --swversion DE.1.0.9.0 --startMP 300:58626 --initTime 2017-02-24T19:39:24 --startdatetime 2017-02-24T19:41:45 --delay 1 --endMP 204:689 --enddatetime 2017-02-24T19:56:33 --enforcementcount 1 &gt;&gt;C:\Users\stu\Documents\GitHub\eaglep3-reporting\EC\2017-02-24-refined-times.txt</v>
      </c>
      <c r="AI198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{"issue":{"subject":"","project_id":79,"tracker_id":40,"status_id":1,"priority_id":2,"assigned_to_id":23,"start_date":"2017-02-24","description":"","custom_fields":[{"id":1,"name":"Subdivision","value":"NW"},{"id":4,"name":"Milepost","value":"0.0689"},{"id":17,"name":"Train ID","value":"840-24"},{"id":16,"name":"Locomotive ID","value":"4054"},{"id":130,"name":"Impact","value":""},{"id":150,"name":"Time of Event (Mountain Time)","value":"19:56:33"},{"id":151,"name":"Denver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71"/>
        <v>start /low /b %USERPROFILE%\Documents\GitHub\eaglep3\Utilities\DownloadLogsFromS3.py --loco 4054 --day 2017-02-24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2017-02-24-UncaughtWiMAX.txt</v>
      </c>
    </row>
    <row r="199" spans="1:40" x14ac:dyDescent="0.25">
      <c r="A199" s="33" t="s">
        <v>645</v>
      </c>
      <c r="B199" s="7">
        <v>4053</v>
      </c>
      <c r="C199" s="21" t="s">
        <v>280</v>
      </c>
      <c r="D199" s="21" t="s">
        <v>303</v>
      </c>
      <c r="E199" s="13">
        <v>42790.800706018519</v>
      </c>
      <c r="F199" s="13">
        <v>42790.806458333333</v>
      </c>
      <c r="G199" s="7">
        <v>1</v>
      </c>
      <c r="H199" s="21" t="s">
        <v>854</v>
      </c>
      <c r="I199" s="13">
        <v>42790.816666666666</v>
      </c>
      <c r="J199" s="7">
        <v>1</v>
      </c>
      <c r="K199" s="98" t="str">
        <f t="shared" si="54"/>
        <v>4053/4054</v>
      </c>
      <c r="L199" s="21" t="str">
        <f>VLOOKUP(A199,'Trips&amp;Operators'!$C$1:$G$99999,5,FALSE)</f>
        <v>MAGEE KENYA</v>
      </c>
      <c r="M199" s="6">
        <f t="shared" si="55"/>
        <v>1.0208333333139308E-2</v>
      </c>
      <c r="N199" s="7">
        <f t="shared" si="56"/>
        <v>14.699999999720603</v>
      </c>
      <c r="O199" s="7"/>
      <c r="P199" s="7"/>
      <c r="Q199" s="22"/>
      <c r="R199" s="22"/>
      <c r="S199" s="31">
        <f t="shared" si="57"/>
        <v>1</v>
      </c>
      <c r="T199" s="46" t="str">
        <f t="shared" si="58"/>
        <v>NorthBound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59"/>
        <v>https://d0f6bd738d7f1b3e5a7ca70fe4ff75f0.us-east-1.aws.found.io/app/kibana#/discover/Steve-Slow-Train-Analysis-(2080s-and-2083s)?_g=(refreshInterval:(display:Off,pause:!f,section:0,value:0),time:(from:'2017-02-24T18:13:01-0700',mode:absolute,to:'2017-02-24T20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9" s="187" t="str">
        <f t="shared" si="60"/>
        <v>N</v>
      </c>
      <c r="X199" s="187">
        <f t="shared" si="61"/>
        <v>1</v>
      </c>
      <c r="Y199" s="62">
        <f t="shared" si="62"/>
        <v>9.74E-2</v>
      </c>
      <c r="Z199" s="62">
        <f t="shared" si="63"/>
        <v>5.8933</v>
      </c>
      <c r="AA199" s="62">
        <f t="shared" si="64"/>
        <v>5.7958999999999996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5"/>
        <v>0841-24</v>
      </c>
      <c r="AE199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199" s="82" t="str">
        <f t="shared" si="67"/>
        <v>"C:\Program Files (x86)\AstroGrep\AstroGrep.exe" /spath="%USERPROFILE%\AppData\Local\Temp\OnboardLogs" /stypes="app*4053*20170225*" /stext=" 02:.+((SYSTEM_STATE.+slice.+state.+changed )|(ment ac)|(multiple cpu faults)|(system.+state.+changed )|(\[timeout)|(PRM\|1\|D)|(kpr)|(kdp)|(\|lc)|(penalty))" /e /r /s</v>
      </c>
      <c r="AG199" s="1" t="str">
        <f t="shared" si="68"/>
        <v>NW</v>
      </c>
      <c r="AH199" s="86" t="str">
        <f t="shared" si="69"/>
        <v>"%USERPROFILE%\Documents\GitHub\eaglep3\Utilities\RefineRTDCRunTimes.py" --tripid 841-24 --locoid 4053 --swversion DE.1.0.9.0 --startMP 204:974 --initTime 2017-02-24T19:13:01 --startdatetime 2017-02-24T19:21:18 --delay 1 --endMP 300:58933 --enddatetime 2017-02-24T19:36:00 --enforcementcount 1 &gt;&gt;C:\Users\stu\Documents\GitHub\eaglep3-reporting\EC\2017-02-24-refined-times.txt</v>
      </c>
      <c r="AI199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{"issue":{"subject":"","project_id":79,"tracker_id":40,"status_id":1,"priority_id":2,"assigned_to_id":23,"start_date":"2017-02-24","description":"","custom_fields":[{"id":1,"name":"Subdivision","value":"NW"},{"id":4,"name":"Milepost","value":"5.8933"},{"id":17,"name":"Train ID","value":"841-24"},{"id":16,"name":"Locomotive ID","value":"4053"},{"id":130,"name":"Impact","value":""},{"id":150,"name":"Time of Event (Mountain Time)","value":"19:36:00"},{"id":151,"name":"Denver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71"/>
        <v>start /low /b %USERPROFILE%\Documents\GitHub\eaglep3\Utilities\DownloadLogsFromS3.py --loco 4053 --day 2017-02-24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2017-02-24-UncaughtWiMAX.txt</v>
      </c>
    </row>
    <row r="200" spans="1:40" x14ac:dyDescent="0.25">
      <c r="A200" s="33" t="s">
        <v>654</v>
      </c>
      <c r="B200" s="7">
        <v>4054</v>
      </c>
      <c r="C200" s="21" t="s">
        <v>280</v>
      </c>
      <c r="D200" s="21" t="s">
        <v>855</v>
      </c>
      <c r="E200" s="13">
        <v>42790.860150462962</v>
      </c>
      <c r="F200" s="13">
        <v>42790.862199074072</v>
      </c>
      <c r="G200" s="7">
        <v>1</v>
      </c>
      <c r="H200" s="21" t="s">
        <v>350</v>
      </c>
      <c r="I200" s="13">
        <v>42790.872175925928</v>
      </c>
      <c r="J200" s="7">
        <v>1</v>
      </c>
      <c r="K200" s="98" t="str">
        <f t="shared" si="54"/>
        <v>4053/4054</v>
      </c>
      <c r="L200" s="21" t="str">
        <f>VLOOKUP(A200,'Trips&amp;Operators'!$C$1:$G$99999,5,FALSE)</f>
        <v>SAFIEF AEIMEN</v>
      </c>
      <c r="M200" s="6">
        <f t="shared" si="55"/>
        <v>9.976851855753921E-3</v>
      </c>
      <c r="N200" s="7">
        <f t="shared" si="56"/>
        <v>14.366666672285646</v>
      </c>
      <c r="O200" s="7"/>
      <c r="P200" s="7"/>
      <c r="Q200" s="22"/>
      <c r="R200" s="22"/>
      <c r="S200" s="31">
        <f t="shared" si="57"/>
        <v>1</v>
      </c>
      <c r="T200" s="46" t="str">
        <f t="shared" si="58"/>
        <v>Southbound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59"/>
        <v>https://d0f6bd738d7f1b3e5a7ca70fe4ff75f0.us-east-1.aws.found.io/app/kibana#/discover/Steve-Slow-Train-Analysis-(2080s-and-2083s)?_g=(refreshInterval:(display:Off,pause:!f,section:0,value:0),time:(from:'2017-02-24T19:38:37-0700',mode:absolute,to:'2017-02-24T21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0" s="187" t="str">
        <f t="shared" si="60"/>
        <v>N</v>
      </c>
      <c r="X200" s="187">
        <f t="shared" si="61"/>
        <v>1</v>
      </c>
      <c r="Y200" s="62">
        <f t="shared" si="62"/>
        <v>5.8590999999999998</v>
      </c>
      <c r="Z200" s="62">
        <f t="shared" si="63"/>
        <v>6.8400000000000002E-2</v>
      </c>
      <c r="AA200" s="62">
        <f t="shared" si="64"/>
        <v>5.7907000000000002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5"/>
        <v>0842-24</v>
      </c>
      <c r="AE200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200" s="82" t="str">
        <f t="shared" si="67"/>
        <v>"C:\Program Files (x86)\AstroGrep\AstroGrep.exe" /spath="%USERPROFILE%\AppData\Local\Temp\OnboardLogs" /stypes="app*4054*20170225*" /stext=" 03:.+((SYSTEM_STATE.+slice.+state.+changed )|(ment ac)|(multiple cpu faults)|(system.+state.+changed )|(\[timeout)|(PRM\|1\|D)|(kpr)|(kdp)|(\|lc)|(penalty))" /e /r /s</v>
      </c>
      <c r="AG200" s="1" t="str">
        <f t="shared" si="68"/>
        <v>NW</v>
      </c>
      <c r="AH200" s="86" t="str">
        <f t="shared" si="69"/>
        <v>"%USERPROFILE%\Documents\GitHub\eaglep3\Utilities\RefineRTDCRunTimes.py" --tripid 842-24 --locoid 4054 --swversion DE.1.0.9.0 --startMP 300:58591 --initTime 2017-02-24T20:38:37 --startdatetime 2017-02-24T20:41:34 --delay 1 --endMP 204:684 --enddatetime 2017-02-24T20:55:56 --enforcementcount 1 &gt;&gt;C:\Users\stu\Documents\GitHub\eaglep3-reporting\EC\2017-02-24-refined-times.txt</v>
      </c>
      <c r="AI200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{"issue":{"subject":"","project_id":79,"tracker_id":40,"status_id":1,"priority_id":2,"assigned_to_id":23,"start_date":"2017-02-24","description":"","custom_fields":[{"id":1,"name":"Subdivision","value":"NW"},{"id":4,"name":"Milepost","value":"0.0684"},{"id":17,"name":"Train ID","value":"842-24"},{"id":16,"name":"Locomotive ID","value":"4054"},{"id":130,"name":"Impact","value":""},{"id":150,"name":"Time of Event (Mountain Time)","value":"20:55:56"},{"id":151,"name":"Denver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71"/>
        <v>start /low /b %USERPROFILE%\Documents\GitHub\eaglep3\Utilities\DownloadLogsFromS3.py --loco 4054 --day 2017-02-24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2017-02-24-UncaughtWiMAX.txt</v>
      </c>
    </row>
    <row r="201" spans="1:40" x14ac:dyDescent="0.25">
      <c r="A201" s="33" t="s">
        <v>651</v>
      </c>
      <c r="B201" s="7">
        <v>4053</v>
      </c>
      <c r="C201" s="21" t="s">
        <v>280</v>
      </c>
      <c r="D201" s="21" t="s">
        <v>780</v>
      </c>
      <c r="E201" s="13">
        <v>42790.842789351853</v>
      </c>
      <c r="F201" s="13">
        <v>42790.848136574074</v>
      </c>
      <c r="G201" s="7">
        <v>1</v>
      </c>
      <c r="H201" s="21" t="s">
        <v>856</v>
      </c>
      <c r="I201" s="13">
        <v>42790.858761574076</v>
      </c>
      <c r="J201" s="7">
        <v>1</v>
      </c>
      <c r="K201" s="98" t="str">
        <f t="shared" si="54"/>
        <v>4053/4054</v>
      </c>
      <c r="L201" s="21" t="str">
        <f>VLOOKUP(A201,'Trips&amp;Operators'!$C$1:$G$99999,5,FALSE)</f>
        <v>SAFIEF AEIMEN</v>
      </c>
      <c r="M201" s="6">
        <f t="shared" si="55"/>
        <v>1.0625000002619345E-2</v>
      </c>
      <c r="N201" s="7">
        <f t="shared" si="56"/>
        <v>15.300000003771856</v>
      </c>
      <c r="O201" s="7"/>
      <c r="P201" s="7"/>
      <c r="Q201" s="22"/>
      <c r="R201" s="22"/>
      <c r="S201" s="31">
        <f t="shared" si="57"/>
        <v>1</v>
      </c>
      <c r="T201" s="46" t="str">
        <f t="shared" si="58"/>
        <v>NorthBound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59"/>
        <v>https://d0f6bd738d7f1b3e5a7ca70fe4ff75f0.us-east-1.aws.found.io/app/kibana#/discover/Steve-Slow-Train-Analysis-(2080s-and-2083s)?_g=(refreshInterval:(display:Off,pause:!f,section:0,value:0),time:(from:'2017-02-24T19:13:37-0700',mode:absolute,to:'2017-02-24T21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1" s="187" t="str">
        <f t="shared" si="60"/>
        <v>N</v>
      </c>
      <c r="X201" s="187">
        <f t="shared" si="61"/>
        <v>1</v>
      </c>
      <c r="Y201" s="62">
        <f t="shared" si="62"/>
        <v>9.9500000000000005E-2</v>
      </c>
      <c r="Z201" s="62">
        <f t="shared" si="63"/>
        <v>5.8905000000000003</v>
      </c>
      <c r="AA201" s="62">
        <f t="shared" si="64"/>
        <v>5.7910000000000004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5"/>
        <v>0843-24</v>
      </c>
      <c r="AE201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201" s="82" t="str">
        <f t="shared" si="67"/>
        <v>"C:\Program Files (x86)\AstroGrep\AstroGrep.exe" /spath="%USERPROFILE%\AppData\Local\Temp\OnboardLogs" /stypes="app*4053*20170225*" /stext=" 03:.+((SYSTEM_STATE.+slice.+state.+changed )|(ment ac)|(multiple cpu faults)|(system.+state.+changed )|(\[timeout)|(PRM\|1\|D)|(kpr)|(kdp)|(\|lc)|(penalty))" /e /r /s</v>
      </c>
      <c r="AG201" s="1" t="str">
        <f t="shared" si="68"/>
        <v>NW</v>
      </c>
      <c r="AH201" s="86" t="str">
        <f t="shared" si="69"/>
        <v>"%USERPROFILE%\Documents\GitHub\eaglep3\Utilities\RefineRTDCRunTimes.py" --tripid 843-24 --locoid 4053 --swversion DE.1.0.9.0 --startMP 204:995 --initTime 2017-02-24T20:13:37 --startdatetime 2017-02-24T20:21:19 --delay 1 --endMP 300:58905 --enddatetime 2017-02-24T20:36:37 --enforcementcount 1 &gt;&gt;C:\Users\stu\Documents\GitHub\eaglep3-reporting\EC\2017-02-24-refined-times.txt</v>
      </c>
      <c r="AI201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{"issue":{"subject":"","project_id":79,"tracker_id":40,"status_id":1,"priority_id":2,"assigned_to_id":23,"start_date":"2017-02-24","description":"","custom_fields":[{"id":1,"name":"Subdivision","value":"NW"},{"id":4,"name":"Milepost","value":"5.8905"},{"id":17,"name":"Train ID","value":"843-24"},{"id":16,"name":"Locomotive ID","value":"4053"},{"id":130,"name":"Impact","value":""},{"id":150,"name":"Time of Event (Mountain Time)","value":"20:36:37"},{"id":151,"name":"Denver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71"/>
        <v>start /low /b %USERPROFILE%\Documents\GitHub\eaglep3\Utilities\DownloadLogsFromS3.py --loco 4053 --day 2017-02-24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2017-02-24-UncaughtWiMAX.txt</v>
      </c>
    </row>
    <row r="202" spans="1:40" x14ac:dyDescent="0.25">
      <c r="A202" s="33" t="s">
        <v>857</v>
      </c>
      <c r="B202" s="7">
        <v>4054</v>
      </c>
      <c r="C202" s="21" t="s">
        <v>280</v>
      </c>
      <c r="D202" s="21" t="s">
        <v>858</v>
      </c>
      <c r="E202" s="13">
        <v>42790.900648148148</v>
      </c>
      <c r="F202" s="13">
        <v>42790.902569444443</v>
      </c>
      <c r="G202" s="7">
        <v>2</v>
      </c>
      <c r="H202" s="21" t="s">
        <v>843</v>
      </c>
      <c r="I202" s="13">
        <v>42790.913414351853</v>
      </c>
      <c r="J202" s="7">
        <v>1</v>
      </c>
      <c r="K202" s="98" t="str">
        <f t="shared" si="54"/>
        <v>4053/4054</v>
      </c>
      <c r="L202" s="21" t="str">
        <f>VLOOKUP(A202,'Trips&amp;Operators'!$C$1:$G$99999,5,FALSE)</f>
        <v>SMITH MICHAEL</v>
      </c>
      <c r="M202" s="6">
        <f t="shared" si="55"/>
        <v>1.0844907410501037E-2</v>
      </c>
      <c r="N202" s="7">
        <f t="shared" si="56"/>
        <v>15.616666671121493</v>
      </c>
      <c r="O202" s="7"/>
      <c r="P202" s="7"/>
      <c r="Q202" s="22"/>
      <c r="R202" s="22"/>
      <c r="S202" s="31">
        <f t="shared" si="57"/>
        <v>1</v>
      </c>
      <c r="T202" s="46" t="str">
        <f t="shared" si="58"/>
        <v>Southbound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59"/>
        <v>https://d0f6bd738d7f1b3e5a7ca70fe4ff75f0.us-east-1.aws.found.io/app/kibana#/discover/Steve-Slow-Train-Analysis-(2080s-and-2083s)?_g=(refreshInterval:(display:Off,pause:!f,section:0,value:0),time:(from:'2017-02-24T20:36:56-0700',mode:absolute,to:'2017-02-24T22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2" s="187" t="str">
        <f t="shared" si="60"/>
        <v>N</v>
      </c>
      <c r="X202" s="187">
        <f t="shared" si="61"/>
        <v>1</v>
      </c>
      <c r="Y202" s="62">
        <f t="shared" si="62"/>
        <v>5.8396999999999997</v>
      </c>
      <c r="Z202" s="62">
        <f t="shared" si="63"/>
        <v>6.8500000000000005E-2</v>
      </c>
      <c r="AA202" s="62">
        <f t="shared" si="64"/>
        <v>5.7711999999999994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5"/>
        <v>0844-24</v>
      </c>
      <c r="AE202" s="85" t="str">
        <f t="shared" si="66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202" s="82" t="str">
        <f t="shared" si="67"/>
        <v>"C:\Program Files (x86)\AstroGrep\AstroGrep.exe" /spath="%USERPROFILE%\AppData\Local\Temp\OnboardLogs" /stypes="app*4054*20170225*" /stext=" 04:.+((SYSTEM_STATE.+slice.+state.+changed )|(ment ac)|(multiple cpu faults)|(system.+state.+changed )|(\[timeout)|(PRM\|1\|D)|(kpr)|(kdp)|(\|lc)|(penalty))" /e /r /s</v>
      </c>
      <c r="AG202" s="1" t="str">
        <f t="shared" si="68"/>
        <v>NW</v>
      </c>
      <c r="AH202" s="86" t="str">
        <f t="shared" si="69"/>
        <v>"%USERPROFILE%\Documents\GitHub\eaglep3\Utilities\RefineRTDCRunTimes.py" --tripid 844-24 --locoid 4054 --swversion DE.1.0.9.0 --startMP 300:58397 --initTime 2017-02-24T21:36:56 --startdatetime 2017-02-24T21:39:42 --delay 2 --endMP 204:685 --enddatetime 2017-02-24T21:55:19 --enforcementcount 1 &gt;&gt;C:\Users\stu\Documents\GitHub\eaglep3-reporting\EC\2017-02-24-refined-times.txt</v>
      </c>
      <c r="AI202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{"issue":{"subject":"","project_id":79,"tracker_id":40,"status_id":1,"priority_id":2,"assigned_to_id":23,"start_date":"2017-02-24","description":"","custom_fields":[{"id":1,"name":"Subdivision","value":"NW"},{"id":4,"name":"Milepost","value":"0.0685"},{"id":17,"name":"Train ID","value":"844-24"},{"id":16,"name":"Locomotive ID","value":"4054"},{"id":130,"name":"Impact","value":""},{"id":150,"name":"Time of Event (Mountain Time)","value":"21:55:19"},{"id":151,"name":"Denver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71"/>
        <v>start /low /b %USERPROFILE%\Documents\GitHub\eaglep3\Utilities\DownloadLogsFromS3.py --loco 4054 --day 2017-02-24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2017-02-24-UncaughtWiMAX.txt</v>
      </c>
    </row>
    <row r="203" spans="1:40" x14ac:dyDescent="0.25">
      <c r="A203" s="33" t="s">
        <v>657</v>
      </c>
      <c r="B203" s="7">
        <v>4053</v>
      </c>
      <c r="C203" s="21" t="s">
        <v>280</v>
      </c>
      <c r="D203" s="21" t="s">
        <v>345</v>
      </c>
      <c r="E203" s="13">
        <v>42790.875810185185</v>
      </c>
      <c r="F203" s="13">
        <v>42790.88989583333</v>
      </c>
      <c r="G203" s="7">
        <v>1</v>
      </c>
      <c r="H203" s="21" t="s">
        <v>859</v>
      </c>
      <c r="I203" s="13">
        <v>42790.89949074074</v>
      </c>
      <c r="J203" s="7">
        <v>1</v>
      </c>
      <c r="K203" s="98" t="str">
        <f t="shared" si="54"/>
        <v>4053/4054</v>
      </c>
      <c r="L203" s="21" t="str">
        <f>VLOOKUP(A203,'Trips&amp;Operators'!$C$1:$G$99999,5,FALSE)</f>
        <v>SMITH MICHAEL</v>
      </c>
      <c r="M203" s="6">
        <f t="shared" si="55"/>
        <v>9.5949074093368836E-3</v>
      </c>
      <c r="N203" s="7">
        <f t="shared" si="56"/>
        <v>13.816666669445112</v>
      </c>
      <c r="O203" s="7"/>
      <c r="P203" s="7"/>
      <c r="Q203" s="22"/>
      <c r="R203" s="22"/>
      <c r="S203" s="31">
        <f t="shared" si="57"/>
        <v>1</v>
      </c>
      <c r="T203" s="46" t="str">
        <f t="shared" si="58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59"/>
        <v>https://d0f6bd738d7f1b3e5a7ca70fe4ff75f0.us-east-1.aws.found.io/app/kibana#/discover/Steve-Slow-Train-Analysis-(2080s-and-2083s)?_g=(refreshInterval:(display:Off,pause:!f,section:0,value:0),time:(from:'2017-02-24T20:01:10-0700',mode:absolute,to:'2017-02-24T22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3" s="187" t="str">
        <f t="shared" si="60"/>
        <v>N</v>
      </c>
      <c r="X203" s="187">
        <f t="shared" si="61"/>
        <v>1</v>
      </c>
      <c r="Y203" s="62">
        <f t="shared" si="62"/>
        <v>9.7799999999999998E-2</v>
      </c>
      <c r="Z203" s="62">
        <f t="shared" si="63"/>
        <v>5.8940999999999999</v>
      </c>
      <c r="AA203" s="62">
        <f t="shared" si="64"/>
        <v>5.7962999999999996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5"/>
        <v>0845-24</v>
      </c>
      <c r="AE203" s="85" t="str">
        <f t="shared" si="66"/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203" s="82" t="str">
        <f t="shared" si="67"/>
        <v>"C:\Program Files (x86)\AstroGrep\AstroGrep.exe" /spath="%USERPROFILE%\AppData\Local\Temp\OnboardLogs" /stypes="app*4053*20170225*" /stext=" 04:.+((SYSTEM_STATE.+slice.+state.+changed )|(ment ac)|(multiple cpu faults)|(system.+state.+changed )|(\[timeout)|(PRM\|1\|D)|(kpr)|(kdp)|(\|lc)|(penalty))" /e /r /s</v>
      </c>
      <c r="AG203" s="1" t="str">
        <f t="shared" si="68"/>
        <v>NW</v>
      </c>
      <c r="AH203" s="86" t="str">
        <f t="shared" si="69"/>
        <v>"%USERPROFILE%\Documents\GitHub\eaglep3\Utilities\RefineRTDCRunTimes.py" --tripid 845-24 --locoid 4053 --swversion DE.1.0.9.0 --startMP 204:978 --initTime 2017-02-24T21:01:10 --startdatetime 2017-02-24T21:21:27 --delay 1 --endMP 300:58941 --enddatetime 2017-02-24T21:35:16 --enforcementcount 1 &gt;&gt;C:\Users\stu\Documents\GitHub\eaglep3-reporting\EC\2017-02-24-refined-times.txt</v>
      </c>
      <c r="AI203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{"issue":{"subject":"","project_id":79,"tracker_id":40,"status_id":1,"priority_id":2,"assigned_to_id":23,"start_date":"2017-02-24","description":"","custom_fields":[{"id":1,"name":"Subdivision","value":"NW"},{"id":4,"name":"Milepost","value":"5.8941"},{"id":17,"name":"Train ID","value":"845-24"},{"id":16,"name":"Locomotive ID","value":"4053"},{"id":130,"name":"Impact","value":""},{"id":150,"name":"Time of Event (Mountain Time)","value":"21:35:16"},{"id":151,"name":"Denver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71"/>
        <v>start /low /b %USERPROFILE%\Documents\GitHub\eaglep3\Utilities\DownloadLogsFromS3.py --loco 4053 --day 2017-02-24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2017-02-24-UncaughtWiMAX.txt</v>
      </c>
    </row>
    <row r="204" spans="1:40" x14ac:dyDescent="0.25">
      <c r="A204" s="33" t="s">
        <v>860</v>
      </c>
      <c r="B204" s="7">
        <v>4053</v>
      </c>
      <c r="C204" s="21" t="s">
        <v>280</v>
      </c>
      <c r="D204" s="21" t="s">
        <v>304</v>
      </c>
      <c r="E204" s="13">
        <v>42790.915185185186</v>
      </c>
      <c r="F204" s="13">
        <v>42790.931504629632</v>
      </c>
      <c r="G204" s="7">
        <v>1</v>
      </c>
      <c r="H204" s="21" t="s">
        <v>861</v>
      </c>
      <c r="I204" s="13">
        <v>42790.94263888889</v>
      </c>
      <c r="J204" s="7">
        <v>1</v>
      </c>
      <c r="K204" s="98" t="str">
        <f t="shared" ref="K204:K262" si="72">IF(ISEVEN(B204),(B204-1)&amp;"/"&amp;B204,B204&amp;"/"&amp;(B204+1))</f>
        <v>4053/4054</v>
      </c>
      <c r="L204" s="21" t="str">
        <f>VLOOKUP(A204,'Trips&amp;Operators'!$C$1:$G$99999,5,FALSE)</f>
        <v>SMITH MICHAEL</v>
      </c>
      <c r="M204" s="6">
        <f t="shared" ref="M204:M262" si="73">I204-F204</f>
        <v>1.113425925723277E-2</v>
      </c>
      <c r="N204" s="7">
        <f t="shared" ref="N204:N262" si="74">24*60*SUM($M204:$M204)</f>
        <v>16.033333330415189</v>
      </c>
      <c r="O204" s="7"/>
      <c r="P204" s="7"/>
      <c r="Q204" s="22"/>
      <c r="R204" s="22"/>
      <c r="S204" s="31">
        <f t="shared" ref="S204:S262" si="75">SUM(U204:U204)/IF(AG204="EC",12,1)</f>
        <v>1</v>
      </c>
      <c r="T204" s="46" t="str">
        <f t="shared" ref="T204:T262" si="76">IF(ISEVEN(LEFT(AD204,4)),"Southbound","NorthBound")</f>
        <v>NorthBound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ref="V204:V262" si="77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-02-24T20:57:52-0700',mode:absolute,to:'2017-02-24T23:37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4" s="187" t="str">
        <f t="shared" ref="W204:W262" si="78">IF(AA204&lt;IF(AG204="EC",23,5.65),"Y","N")</f>
        <v>N</v>
      </c>
      <c r="X204" s="187">
        <f t="shared" ref="X204:X262" si="79">VALUE(LEFT(AD204,4))-VALUE(LEFT(AD203,4))</f>
        <v>2</v>
      </c>
      <c r="Y204" s="62">
        <f t="shared" ref="Y204:Y262" si="80">RIGHT(D204,LEN(D204)-4)/10000</f>
        <v>9.69E-2</v>
      </c>
      <c r="Z204" s="62">
        <f t="shared" ref="Z204:Z262" si="81">RIGHT(H204,LEN(H204)-4)/10000</f>
        <v>5.9005000000000001</v>
      </c>
      <c r="AA204" s="62">
        <f t="shared" ref="AA204:AA262" si="82">ABS(Z204-Y204)</f>
        <v>5.8036000000000003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ref="AD204:AD262" si="83">IF(LEN(A204)=6,"0"&amp;A204,A204)</f>
        <v>0847-24</v>
      </c>
      <c r="AE204" s="85" t="str">
        <f t="shared" ref="AE204:AE262" si="84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s3://rtdc.mdm.uploadarchive.raw/RTDC4053/ "%USERPROFILE%\AppData\Local\Temp\OnboardLogs"\RTDC4053\2017-02-24 --exclude "*" --recursive --include "*20170224*" &amp; "%USERPROFILE%\Documents\GitHub\mrs-test-scripts\Headless Mode &amp; Sideloading\WalkAndUnGZ.bat" "%USERPROFILE%\AppData\Local\Temp\OnboardLogs"\RTDC4053\2017-02-24 &amp; aws s3 cp s3://rtdc.mdm.uploadarchive.raw/RTDC4053/ "%USERPROFILE%\AppData\Local\Temp\OnboardLogs"\RTDC4053\2017-02-25 --exclude "*" --recursive --include "*20170225*" &amp; "%USERPROFILE%\Documents\GitHub\mrs-test-scripts\Headless Mode &amp; Sideloading\WalkAndUnGZ.bat" "%USERPROFILE%\AppData\Local\Temp\OnboardLogs"\RTDC4053\2017-02-25</v>
      </c>
      <c r="AF204" s="82" t="str">
        <f t="shared" ref="AF204:AF262" si="85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/stypes="app*4053*20170225*" /stext=" 05:.+((SYSTEM_STATE.+slice.+state.+changed )|(ment ac)|(multiple cpu faults)|(system.+state.+changed )|(\[timeout)|(PRM\|1\|D)|(kpr)|(kdp)|(\|lc)|(penalty))" /e /r /s</v>
      </c>
      <c r="AG204" s="1" t="str">
        <f t="shared" ref="AG204:AG262" si="86">IFERROR(IF(VALUE(LEFT(AD204,2))&lt;=2,"EC",IF(OR(VALUE(LEFT(AD204,2))=8,VALUE(LEFT(AD204,2))=18),"NW","Other")),"Other")</f>
        <v>NW</v>
      </c>
      <c r="AH204" s="86" t="str">
        <f t="shared" si="69"/>
        <v>"%USERPROFILE%\Documents\GitHub\eaglep3\Utilities\RefineRTDCRunTimes.py" --tripid 847-24 --locoid 4053 --swversion DE.1.0.9.0 --startMP 204:969 --initTime 2017-02-24T21:57:52 --startdatetime 2017-02-24T22:21:22 --delay 1 --endMP 300:59005 --enddatetime 2017-02-24T22:37:24 --enforcementcount 1 &gt;&gt;C:\Users\stu\Documents\GitHub\eaglep3-reporting\EC\2017-02-24-refined-times.txt</v>
      </c>
      <c r="AI204" s="108" t="str">
        <f t="shared" si="70"/>
        <v>echo {"issue":{"subject":"","project_id":79,"tracker_id":40,"status_id":1,"priority_id":2,"assigned_to_id":23,"start_date":"2017-02-24","description":"","custom_fields":[{"id":1,"name":"Subdivision","value":"NW"},{"id":4,"name":"Milepost","value":"5.9005"},{"id":17,"name":"Train ID","value":"847-24"},{"id":16,"name":"Locomotive ID","value":"4053"},{"id":130,"name":"Impact","value":""},{"id":150,"name":"Time of Event (Mountain Time)","value":"22:37:24"},{"id":151,"name":"Denver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71"/>
        <v>start /low /b %USERPROFILE%\Documents\GitHub\eaglep3\Utilities\DownloadLogsFromS3.py --loco 4053 --day 2017-02-24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"%USERPROFILE%\AppData\Local\Temp\OnboardLogs"\RTDC4053\*4053*20170225* | grep -SE "(Enforcement Action)|(\[TIMEOUT)|(CHR.+\|PRM\|1\|D.+(SWITCH|SIGNAL).+UNKNOWN)" - &gt;&gt; 2017-02-24-UncaughtWiMAX.txt</v>
      </c>
    </row>
    <row r="205" spans="1:40" x14ac:dyDescent="0.25">
      <c r="A205" s="33" t="s">
        <v>434</v>
      </c>
      <c r="B205" s="7">
        <v>4052</v>
      </c>
      <c r="C205" s="21" t="s">
        <v>280</v>
      </c>
      <c r="D205" s="21" t="s">
        <v>747</v>
      </c>
      <c r="E205" s="13">
        <v>42790.119710648149</v>
      </c>
      <c r="F205" s="13">
        <v>42790.121261574073</v>
      </c>
      <c r="G205" s="7">
        <v>1</v>
      </c>
      <c r="H205" s="21" t="s">
        <v>748</v>
      </c>
      <c r="I205" s="13">
        <v>42790.127002314817</v>
      </c>
      <c r="J205" s="7">
        <v>1</v>
      </c>
      <c r="K205" s="98" t="str">
        <f t="shared" si="72"/>
        <v>4051/4052</v>
      </c>
      <c r="L205" s="21" t="str">
        <f>VLOOKUP(A205,'Trips&amp;Operators'!$C$1:$G$99999,5,FALSE)</f>
        <v>BADERTSCHER DIANE</v>
      </c>
      <c r="M205" s="6">
        <f t="shared" si="73"/>
        <v>5.7407407439313829E-3</v>
      </c>
      <c r="N205" s="7">
        <f t="shared" si="74"/>
        <v>8.2666666712611914</v>
      </c>
      <c r="O205" s="7"/>
      <c r="P205" s="7"/>
      <c r="Q205" s="22"/>
      <c r="R205" s="22"/>
      <c r="S205" s="31">
        <f t="shared" si="75"/>
        <v>1</v>
      </c>
      <c r="T205" s="46" t="str">
        <f t="shared" si="76"/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si="77"/>
        <v>https://d0f6bd738d7f1b3e5a7ca70fe4ff75f0.us-east-1.aws.found.io/app/kibana#/discover/Steve-Slow-Train-Analysis-(2080s-and-2083s)?_g=(refreshInterval:(display:Off,pause:!f,section:0,value:0),time:(from:'2017-02-24T01:52:23-0700',mode:absolute,to:'2017-02-24T04:02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5" s="187" t="str">
        <f t="shared" si="78"/>
        <v>Y</v>
      </c>
      <c r="X205" s="187">
        <f t="shared" si="79"/>
        <v>-545</v>
      </c>
      <c r="Y205" s="62">
        <f t="shared" si="80"/>
        <v>2.2824</v>
      </c>
      <c r="Z205" s="62">
        <f t="shared" si="81"/>
        <v>0.34749999999999998</v>
      </c>
      <c r="AA205" s="62">
        <f t="shared" si="82"/>
        <v>1.9349000000000001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83"/>
        <v>0302-24</v>
      </c>
      <c r="AE205" s="85" t="str">
        <f t="shared" si="84"/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AF205" s="82" t="str">
        <f t="shared" si="85"/>
        <v>"C:\Program Files (x86)\AstroGrep\AstroGrep.exe" /spath="%USERPROFILE%\AppData\Local\Temp\OnboardLogs" /stypes="app*4052*20170224*" /stext=" 10:.+((SYSTEM_STATE.+slice.+state.+changed )|(ment ac)|(multiple cpu faults)|(system.+state.+changed )|(\[timeout)|(PRM\|1\|D)|(kpr)|(kdp)|(\|lc)|(penalty))" /e /r /s</v>
      </c>
      <c r="AG205" s="1" t="str">
        <f t="shared" si="86"/>
        <v>Other</v>
      </c>
      <c r="AH205" s="86" t="str">
        <f t="shared" ref="AH205:AH262" si="8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302-24 --locoid 4052 --swversion DE.1.0.9.0 --startMP 300:22824 --initTime 2017-02-24T02:52:23 --startdatetime 2017-02-24T02:54:37 --delay 1 --endMP 204:3475 --enddatetime 2017-02-24T03:02:53 --enforcementcount 1 &gt;&gt;C:\Users\stu\Documents\GitHub\eaglep3-reporting\EC\2017-02-24-refined-times.txt</v>
      </c>
      <c r="AI205" s="108" t="str">
        <f t="shared" ref="AI205:AI262" si="8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{"issue":{"subject":"","project_id":79,"tracker_id":40,"status_id":1,"priority_id":2,"assigned_to_id":23,"start_date":"2017-02-24","description":"","custom_fields":[{"id":1,"name":"Subdivision","value":"Other"},{"id":4,"name":"Milepost","value":"0.3475"},{"id":17,"name":"Train ID","value":"302-24"},{"id":16,"name":"Locomotive ID","value":"4052"},{"id":130,"name":"Impact","value":""},{"id":150,"name":"Time of Event (Mountain Time)","value":"03:02:53"},{"id":151,"name":"Denver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ref="AM205:AM262" si="89">"start /low /b "&amp;dls3logs&amp;" --loco "&amp;B205&amp;" --day "&amp;TEXT(F205,"YYYY-MM-DD")</f>
        <v>start /low /b %USERPROFILE%\Documents\GitHub\eaglep3\Utilities\DownloadLogsFromS3.py --loco 4052 --day 2017-02-24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"%USERPROFILE%\AppData\Local\Temp\OnboardLogs"\RTDC4052\*4052*20170224* | grep -SE "(Enforcement Action)|(\[TIMEOUT)|(CHR.+\|PRM\|1\|D.+(SWITCH|SIGNAL).+UNKNOWN)" - &gt;&gt; 2017-02-24-UncaughtWiMAX.txt</v>
      </c>
    </row>
    <row r="206" spans="1:40" x14ac:dyDescent="0.25">
      <c r="A206" s="33" t="s">
        <v>638</v>
      </c>
      <c r="B206" s="7">
        <v>4020</v>
      </c>
      <c r="C206" s="21" t="s">
        <v>280</v>
      </c>
      <c r="D206" s="21" t="s">
        <v>225</v>
      </c>
      <c r="E206" s="13">
        <v>42790.777569444443</v>
      </c>
      <c r="F206" s="13">
        <v>42790.779328703706</v>
      </c>
      <c r="G206" s="7">
        <v>1</v>
      </c>
      <c r="H206" s="21" t="s">
        <v>342</v>
      </c>
      <c r="I206" s="13">
        <v>42790.784108796295</v>
      </c>
      <c r="J206" s="7">
        <v>1</v>
      </c>
      <c r="K206" s="98" t="str">
        <f t="shared" si="72"/>
        <v>4019/4020</v>
      </c>
      <c r="L206" s="21" t="str">
        <f>VLOOKUP(A206,'Trips&amp;Operators'!$C$1:$G$99999,5,FALSE)</f>
        <v>BRUDER RICHARD</v>
      </c>
      <c r="M206" s="6">
        <f t="shared" si="73"/>
        <v>4.7800925894989632E-3</v>
      </c>
      <c r="N206" s="7">
        <f t="shared" si="74"/>
        <v>6.883333328878507</v>
      </c>
      <c r="O206" s="7"/>
      <c r="P206" s="7"/>
      <c r="Q206" s="22"/>
      <c r="R206" s="22"/>
      <c r="S206" s="31">
        <f t="shared" si="75"/>
        <v>1</v>
      </c>
      <c r="T206" s="46" t="str">
        <f t="shared" si="76"/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77"/>
        <v>https://d0f6bd738d7f1b3e5a7ca70fe4ff75f0.us-east-1.aws.found.io/app/kibana#/discover/Steve-Slow-Train-Analysis-(2080s-and-2083s)?_g=(refreshInterval:(display:Off,pause:!f,section:0,value:0),time:(from:'2017-02-24T17:39:42-0700',mode:absolute,to:'2017-02-24T19:49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6" s="187" t="str">
        <f t="shared" si="78"/>
        <v>Y</v>
      </c>
      <c r="X206" s="187">
        <f t="shared" si="79"/>
        <v>1</v>
      </c>
      <c r="Y206" s="62">
        <f t="shared" si="80"/>
        <v>4.5999999999999999E-2</v>
      </c>
      <c r="Z206" s="62">
        <f t="shared" si="81"/>
        <v>2.3306</v>
      </c>
      <c r="AA206" s="62">
        <f t="shared" si="82"/>
        <v>2.2846000000000002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3"/>
        <v>0303-24</v>
      </c>
      <c r="AE206" s="85" t="str">
        <f t="shared" si="84"/>
        <v>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 &amp; 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</v>
      </c>
      <c r="AF206" s="82" t="str">
        <f t="shared" si="85"/>
        <v>"C:\Program Files (x86)\AstroGrep\AstroGrep.exe" /spath="%USERPROFILE%\AppData\Local\Temp\OnboardLogs" /stypes="app*4020*20170225*" /stext=" 01:.+((SYSTEM_STATE.+slice.+state.+changed )|(ment ac)|(multiple cpu faults)|(system.+state.+changed )|(\[timeout)|(PRM\|1\|D)|(kpr)|(kdp)|(\|lc)|(penalty))" /e /r /s</v>
      </c>
      <c r="AG206" s="1" t="str">
        <f t="shared" si="86"/>
        <v>Other</v>
      </c>
      <c r="AH206" s="86" t="str">
        <f t="shared" si="87"/>
        <v>"%USERPROFILE%\Documents\GitHub\eaglep3\Utilities\RefineRTDCRunTimes.py" --tripid 303-24 --locoid 4020 --swversion DE.1.0.9.0 --startMP 204:460 --initTime 2017-02-24T18:39:42 --startdatetime 2017-02-24T18:42:14 --delay 1 --endMP 300:23306 --enddatetime 2017-02-24T18:49:07 --enforcementcount 1 &gt;&gt;C:\Users\stu\Documents\GitHub\eaglep3-reporting\EC\2017-02-24-refined-times.txt</v>
      </c>
      <c r="AI206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{"issue":{"subject":"","project_id":79,"tracker_id":40,"status_id":1,"priority_id":2,"assigned_to_id":23,"start_date":"2017-02-24","description":"","custom_fields":[{"id":1,"name":"Subdivision","value":"Other"},{"id":4,"name":"Milepost","value":"2.3306"},{"id":17,"name":"Train ID","value":"303-24"},{"id":16,"name":"Locomotive ID","value":"4020"},{"id":130,"name":"Impact","value":""},{"id":150,"name":"Time of Event (Mountain Time)","value":"18:49:07"},{"id":151,"name":"Denver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89"/>
        <v>start /low /b %USERPROFILE%\Documents\GitHub\eaglep3\Utilities\DownloadLogsFromS3.py --loco 4020 --day 2017-02-24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"%USERPROFILE%\AppData\Local\Temp\OnboardLogs"\RTDC4020\*4020*20170225* | grep -SE "(Enforcement Action)|(\[TIMEOUT)|(CHR.+\|PRM\|1\|D.+(SWITCH|SIGNAL).+UNKNOWN)" - &gt;&gt; 2017-02-24-UncaughtWiMAX.txt</v>
      </c>
    </row>
    <row r="207" spans="1:40" x14ac:dyDescent="0.25">
      <c r="A207" s="33" t="s">
        <v>638</v>
      </c>
      <c r="B207" s="7">
        <v>4020</v>
      </c>
      <c r="C207" s="21" t="s">
        <v>280</v>
      </c>
      <c r="D207" s="21" t="s">
        <v>317</v>
      </c>
      <c r="E207" s="13">
        <v>42790.777569444443</v>
      </c>
      <c r="F207" s="13">
        <v>42790.779328703706</v>
      </c>
      <c r="G207" s="7">
        <v>10</v>
      </c>
      <c r="H207" s="21" t="s">
        <v>342</v>
      </c>
      <c r="I207" s="13">
        <v>42790.784108796295</v>
      </c>
      <c r="J207" s="7">
        <v>1</v>
      </c>
      <c r="K207" s="98" t="str">
        <f t="shared" si="72"/>
        <v>4019/4020</v>
      </c>
      <c r="L207" s="21" t="str">
        <f>VLOOKUP(A207,'Trips&amp;Operators'!$C$1:$G$99999,5,FALSE)</f>
        <v>BRUDER RICHARD</v>
      </c>
      <c r="M207" s="6">
        <f t="shared" si="73"/>
        <v>4.7800925894989632E-3</v>
      </c>
      <c r="N207" s="7">
        <f t="shared" si="74"/>
        <v>6.883333328878507</v>
      </c>
      <c r="O207" s="7"/>
      <c r="P207" s="7"/>
      <c r="Q207" s="22"/>
      <c r="R207" s="22"/>
      <c r="S207" s="31">
        <f t="shared" si="75"/>
        <v>0</v>
      </c>
      <c r="T207" s="46" t="str">
        <f t="shared" si="76"/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6" t="str">
        <f t="shared" si="77"/>
        <v>https://d0f6bd738d7f1b3e5a7ca70fe4ff75f0.us-east-1.aws.found.io/app/kibana#/discover/Steve-Slow-Train-Analysis-(2080s-and-2083s)?_g=(refreshInterval:(display:Off,pause:!f,section:0,value:0),time:(from:'2017-02-24T17:39:42-0700',mode:absolute,to:'2017-02-24T19:49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7" s="187" t="str">
        <f t="shared" si="78"/>
        <v>Y</v>
      </c>
      <c r="X207" s="187">
        <f t="shared" si="79"/>
        <v>0</v>
      </c>
      <c r="Y207" s="62">
        <f t="shared" si="80"/>
        <v>2.3302</v>
      </c>
      <c r="Z207" s="62">
        <f t="shared" si="81"/>
        <v>2.3306</v>
      </c>
      <c r="AA207" s="62">
        <f t="shared" si="82"/>
        <v>3.9999999999995595E-4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3"/>
        <v>0303-24</v>
      </c>
      <c r="AE207" s="85" t="str">
        <f t="shared" si="84"/>
        <v>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 &amp; 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</v>
      </c>
      <c r="AF207" s="82" t="str">
        <f t="shared" si="85"/>
        <v>"C:\Program Files (x86)\AstroGrep\AstroGrep.exe" /spath="%USERPROFILE%\AppData\Local\Temp\OnboardLogs" /stypes="app*4020*20170225*" /stext=" 01:.+((SYSTEM_STATE.+slice.+state.+changed )|(ment ac)|(multiple cpu faults)|(system.+state.+changed )|(\[timeout)|(PRM\|1\|D)|(kpr)|(kdp)|(\|lc)|(penalty))" /e /r /s</v>
      </c>
      <c r="AG207" s="1" t="str">
        <f t="shared" si="86"/>
        <v>Other</v>
      </c>
      <c r="AH207" s="86" t="str">
        <f t="shared" si="87"/>
        <v>"%USERPROFILE%\Documents\GitHub\eaglep3\Utilities\RefineRTDCRunTimes.py" --tripid 303-24 --locoid 4020 --swversion DE.1.0.9.0 --startMP 300:23302 --initTime 2017-02-24T18:39:42 --startdatetime 2017-02-24T18:42:14 --delay 10 --endMP 300:23306 --enddatetime 2017-02-24T18:49:07 --enforcementcount 1 &gt;&gt;C:\Users\stu\Documents\GitHub\eaglep3-reporting\EC\2017-02-24-refined-times.txt</v>
      </c>
      <c r="AI207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{"issue":{"subject":"","project_id":79,"tracker_id":40,"status_id":1,"priority_id":2,"assigned_to_id":23,"start_date":"2017-02-24","description":"","custom_fields":[{"id":1,"name":"Subdivision","value":"Other"},{"id":4,"name":"Milepost","value":"2.3306"},{"id":17,"name":"Train ID","value":"303-24"},{"id":16,"name":"Locomotive ID","value":"4020"},{"id":130,"name":"Impact","value":""},{"id":150,"name":"Time of Event (Mountain Time)","value":"18:49:07"},{"id":151,"name":"Denver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89"/>
        <v>start /low /b %USERPROFILE%\Documents\GitHub\eaglep3\Utilities\DownloadLogsFromS3.py --loco 4020 --day 2017-02-24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"%USERPROFILE%\AppData\Local\Temp\OnboardLogs"\RTDC4020\*4020*20170225* | grep -SE "(Enforcement Action)|(\[TIMEOUT)|(CHR.+\|PRM\|1\|D.+(SWITCH|SIGNAL).+UNKNOWN)" - &gt;&gt; 2017-02-24-UncaughtWiMAX.txt</v>
      </c>
    </row>
    <row r="208" spans="1:40" x14ac:dyDescent="0.25">
      <c r="A208" s="33" t="s">
        <v>483</v>
      </c>
      <c r="B208" s="7">
        <v>4043</v>
      </c>
      <c r="C208" s="21" t="s">
        <v>280</v>
      </c>
      <c r="D208" s="21" t="s">
        <v>749</v>
      </c>
      <c r="E208" s="13">
        <v>42790.136828703704</v>
      </c>
      <c r="F208" s="13">
        <v>42790.139398148145</v>
      </c>
      <c r="G208" s="7">
        <v>3</v>
      </c>
      <c r="H208" s="21" t="s">
        <v>184</v>
      </c>
      <c r="I208" s="13">
        <v>42790.144641203704</v>
      </c>
      <c r="J208" s="7">
        <v>1</v>
      </c>
      <c r="K208" s="98" t="str">
        <f t="shared" si="72"/>
        <v>4043/4044</v>
      </c>
      <c r="L208" s="21" t="str">
        <f>VLOOKUP(A208,'Trips&amp;Operators'!$C$1:$G$99999,5,FALSE)</f>
        <v>YANAI IAN</v>
      </c>
      <c r="M208" s="6">
        <f t="shared" si="73"/>
        <v>5.2430555588216521E-3</v>
      </c>
      <c r="N208" s="7">
        <f t="shared" si="74"/>
        <v>7.550000004703179</v>
      </c>
      <c r="O208" s="7"/>
      <c r="P208" s="7"/>
      <c r="Q208" s="22"/>
      <c r="R208" s="22"/>
      <c r="S208" s="31">
        <f t="shared" si="75"/>
        <v>1</v>
      </c>
      <c r="T208" s="46" t="str">
        <f t="shared" si="76"/>
        <v>Southbound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7"/>
        <v>https://d0f6bd738d7f1b3e5a7ca70fe4ff75f0.us-east-1.aws.found.io/app/kibana#/discover/Steve-Slow-Train-Analysis-(2080s-and-2083s)?_g=(refreshInterval:(display:Off,pause:!f,section:0,value:0),time:(from:'2017-02-24T02:17:02-0700',mode:absolute,to:'2017-02-24T04:28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8" s="187" t="str">
        <f t="shared" si="78"/>
        <v>Y</v>
      </c>
      <c r="X208" s="187">
        <f t="shared" si="79"/>
        <v>1</v>
      </c>
      <c r="Y208" s="62">
        <f t="shared" si="80"/>
        <v>2.3330000000000002</v>
      </c>
      <c r="Z208" s="62">
        <f t="shared" si="81"/>
        <v>1.49E-2</v>
      </c>
      <c r="AA208" s="62">
        <f t="shared" si="82"/>
        <v>2.3181000000000003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3"/>
        <v>0304-24</v>
      </c>
      <c r="AE208" s="85" t="str">
        <f t="shared" si="84"/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AF208" s="82" t="str">
        <f t="shared" si="85"/>
        <v>"C:\Program Files (x86)\AstroGrep\AstroGrep.exe" /spath="%USERPROFILE%\AppData\Local\Temp\OnboardLogs" /stypes="app*4043*20170224*" /stext=" 10:.+((SYSTEM_STATE.+slice.+state.+changed )|(ment ac)|(multiple cpu faults)|(system.+state.+changed )|(\[timeout)|(PRM\|1\|D)|(kpr)|(kdp)|(\|lc)|(penalty))" /e /r /s</v>
      </c>
      <c r="AG208" s="1" t="str">
        <f t="shared" si="86"/>
        <v>Other</v>
      </c>
      <c r="AH208" s="86" t="str">
        <f t="shared" si="87"/>
        <v>"%USERPROFILE%\Documents\GitHub\eaglep3\Utilities\RefineRTDCRunTimes.py" --tripid 304-24 --locoid 4043 --swversion DE.1.0.9.0 --startMP 300:23330 --initTime 2017-02-24T03:17:02 --startdatetime 2017-02-24T03:20:44 --delay 3 --endMP 204:149 --enddatetime 2017-02-24T03:28:17 --enforcementcount 1 &gt;&gt;C:\Users\stu\Documents\GitHub\eaglep3-reporting\EC\2017-02-24-refined-times.txt</v>
      </c>
      <c r="AI208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{"issue":{"subject":"","project_id":79,"tracker_id":40,"status_id":1,"priority_id":2,"assigned_to_id":23,"start_date":"2017-02-24","description":"","custom_fields":[{"id":1,"name":"Subdivision","value":"Other"},{"id":4,"name":"Milepost","value":"0.0149"},{"id":17,"name":"Train ID","value":"304-24"},{"id":16,"name":"Locomotive ID","value":"4043"},{"id":130,"name":"Impact","value":""},{"id":150,"name":"Time of Event (Mountain Time)","value":"03:28:17"},{"id":151,"name":"Denver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89"/>
        <v>start /low /b %USERPROFILE%\Documents\GitHub\eaglep3\Utilities\DownloadLogsFromS3.py --loco 4043 --day 2017-02-24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"%USERPROFILE%\AppData\Local\Temp\OnboardLogs"\RTDC4043\*4043*20170224* | grep -SE "(Enforcement Action)|(\[TIMEOUT)|(CHR.+\|PRM\|1\|D.+(SWITCH|SIGNAL).+UNKNOWN)" - &gt;&gt; 2017-02-24-UncaughtWiMAX.txt</v>
      </c>
    </row>
    <row r="209" spans="1:40" x14ac:dyDescent="0.25">
      <c r="A209" s="33" t="s">
        <v>472</v>
      </c>
      <c r="B209" s="7">
        <v>4051</v>
      </c>
      <c r="C209" s="21" t="s">
        <v>280</v>
      </c>
      <c r="D209" s="21" t="s">
        <v>265</v>
      </c>
      <c r="E209" s="13">
        <v>42790.798101851855</v>
      </c>
      <c r="F209" s="13">
        <v>25568.708333333332</v>
      </c>
      <c r="G209" s="7">
        <v>1</v>
      </c>
      <c r="H209" s="21" t="s">
        <v>750</v>
      </c>
      <c r="I209" s="13">
        <v>25568.708333333332</v>
      </c>
      <c r="J209" s="7">
        <v>1</v>
      </c>
      <c r="K209" s="98" t="str">
        <f t="shared" si="72"/>
        <v>4051/4052</v>
      </c>
      <c r="L209" s="21" t="str">
        <f>VLOOKUP(A209,'Trips&amp;Operators'!$C$1:$G$99999,5,FALSE)</f>
        <v>KILLION DAVID</v>
      </c>
      <c r="M209" s="6">
        <f t="shared" si="73"/>
        <v>0</v>
      </c>
      <c r="N209" s="7">
        <f t="shared" si="74"/>
        <v>0</v>
      </c>
      <c r="O209" s="7"/>
      <c r="P209" s="7"/>
      <c r="Q209" s="22"/>
      <c r="R209" s="22"/>
      <c r="S209" s="31">
        <f t="shared" si="75"/>
        <v>1</v>
      </c>
      <c r="T209" s="46" t="str">
        <f t="shared" si="76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77"/>
        <v>https://d0f6bd738d7f1b3e5a7ca70fe4ff75f0.us-east-1.aws.found.io/app/kibana#/discover/Steve-Slow-Train-Analysis-(2080s-and-2083s)?_g=(refreshInterval:(display:Off,pause:!f,section:0,value:0),time:(from:'2017-02-24T18:09:16-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9" s="187" t="str">
        <f t="shared" si="78"/>
        <v>Y</v>
      </c>
      <c r="X209" s="187">
        <f t="shared" si="79"/>
        <v>1</v>
      </c>
      <c r="Y209" s="62">
        <f t="shared" si="80"/>
        <v>4.7100000000000003E-2</v>
      </c>
      <c r="Z209" s="62">
        <f t="shared" si="81"/>
        <v>2.3308</v>
      </c>
      <c r="AA209" s="62">
        <f t="shared" si="82"/>
        <v>2.2837000000000001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3"/>
        <v>0305-24</v>
      </c>
      <c r="AE209" s="85" t="str">
        <f t="shared" si="84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9" s="82" t="str">
        <f t="shared" si="85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9" s="1" t="str">
        <f t="shared" si="86"/>
        <v>Other</v>
      </c>
      <c r="AH209" s="86" t="str">
        <f t="shared" si="87"/>
        <v>"%USERPROFILE%\Documents\GitHub\eaglep3\Utilities\RefineRTDCRunTimes.py" --tripid 305-24 --locoid 4051 --swversion DE.1.0.9.0 --startMP 204:471 --initTime 2017-02-24T19:09:16 --startdatetime 1969-12-31T17:00:00 --delay 1 --endMP 300:23308 --enddatetime 1969-12-31T17:00:00 --enforcementcount 1 &gt;&gt;C:\Users\stu\Documents\GitHub\eaglep3-reporting\EC\2017-02-24-refined-times.txt</v>
      </c>
      <c r="AI209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ID","value":"305-24"},{"id":16,"name":"Locomotive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89"/>
        <v>start /low /b %USERPROFILE%\Documents\GitHub\eaglep3\Utilities\DownloadLogsFromS3.py --loco 4051 --day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"%USERPROFILE%\AppData\Local\Temp\OnboardLogs"\RTDC4051\*4051*19700101* | grep -SE "(Enforcement Action)|(\[TIMEOUT)|(CHR.+\|PRM\|1\|D.+(SWITCH|SIGNAL).+UNKNOWN)" - &gt;&gt; 2017-02-24-UncaughtWiMAX.txt</v>
      </c>
    </row>
    <row r="210" spans="1:40" x14ac:dyDescent="0.25">
      <c r="A210" s="33" t="s">
        <v>487</v>
      </c>
      <c r="B210" s="7">
        <v>4005</v>
      </c>
      <c r="C210" s="21" t="s">
        <v>280</v>
      </c>
      <c r="D210" s="21" t="s">
        <v>751</v>
      </c>
      <c r="E210" s="13">
        <v>42790.156087962961</v>
      </c>
      <c r="F210" s="13">
        <v>42790.158356481479</v>
      </c>
      <c r="G210" s="7">
        <v>2</v>
      </c>
      <c r="H210" s="21" t="s">
        <v>247</v>
      </c>
      <c r="I210" s="13">
        <v>42790.164166666669</v>
      </c>
      <c r="J210" s="7">
        <v>1</v>
      </c>
      <c r="K210" s="98" t="str">
        <f t="shared" si="72"/>
        <v>4005/4006</v>
      </c>
      <c r="L210" s="21" t="str">
        <f>VLOOKUP(A210,'Trips&amp;Operators'!$C$1:$G$99999,5,FALSE)</f>
        <v>ROBINSON KADDIBA</v>
      </c>
      <c r="M210" s="6">
        <f t="shared" si="73"/>
        <v>5.810185190057382E-3</v>
      </c>
      <c r="N210" s="7">
        <f t="shared" si="74"/>
        <v>8.3666666736826301</v>
      </c>
      <c r="O210" s="7"/>
      <c r="P210" s="7"/>
      <c r="Q210" s="22"/>
      <c r="R210" s="22"/>
      <c r="S210" s="31">
        <f t="shared" si="75"/>
        <v>1</v>
      </c>
      <c r="T210" s="46" t="str">
        <f t="shared" si="76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7"/>
        <v>https://d0f6bd738d7f1b3e5a7ca70fe4ff75f0.us-east-1.aws.found.io/app/kibana#/discover/Steve-Slow-Train-Analysis-(2080s-and-2083s)?_g=(refreshInterval:(display:Off,pause:!f,section:0,value:0),time:(from:'2017-02-24T02:44:46-0700',mode:absolute,to:'2017-02-24T04:56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0" s="187" t="str">
        <f t="shared" si="78"/>
        <v>Y</v>
      </c>
      <c r="X210" s="187">
        <f t="shared" si="79"/>
        <v>1</v>
      </c>
      <c r="Y210" s="62">
        <f t="shared" si="80"/>
        <v>2.3237000000000001</v>
      </c>
      <c r="Z210" s="62">
        <f t="shared" si="81"/>
        <v>1.61E-2</v>
      </c>
      <c r="AA210" s="62">
        <f t="shared" si="82"/>
        <v>2.3076000000000003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3"/>
        <v>0306-24</v>
      </c>
      <c r="AE210" s="85" t="str">
        <f t="shared" si="84"/>
        <v>aws s3 cp s3://rtdc.mdm.uploadarchive.raw/RTDC4005/ "%USERPROFILE%\AppData\Local\Temp\OnboardLogs"\RTDC4005\2017-02-24 --exclude "*" --recursive --include "*20170224*" &amp; "%USERPROFILE%\Documents\GitHub\mrs-test-scripts\Headless Mode &amp; Sideloading\WalkAndUnGZ.bat" "%USERPROFILE%\AppData\Local\Temp\OnboardLogs"\RTDC4005\2017-02-24 &amp; aws s3 cp s3://rtdc.mdm.uploadarchive.raw/RTDC4005/ "%USERPROFILE%\AppData\Local\Temp\OnboardLogs"\RTDC4005\2017-02-25 --exclude "*" --recursive --include "*20170225*" &amp; "%USERPROFILE%\Documents\GitHub\mrs-test-scripts\Headless Mode &amp; Sideloading\WalkAndUnGZ.bat" "%USERPROFILE%\AppData\Local\Temp\OnboardLogs"\RTDC4005\2017-02-25</v>
      </c>
      <c r="AF210" s="82" t="str">
        <f t="shared" si="85"/>
        <v>"C:\Program Files (x86)\AstroGrep\AstroGrep.exe" /spath="%USERPROFILE%\AppData\Local\Temp\OnboardLogs" /stypes="app*4005*20170224*" /stext=" 10:.+((SYSTEM_STATE.+slice.+state.+changed )|(ment ac)|(multiple cpu faults)|(system.+state.+changed )|(\[timeout)|(PRM\|1\|D)|(kpr)|(kdp)|(\|lc)|(penalty))" /e /r /s</v>
      </c>
      <c r="AG210" s="1" t="str">
        <f t="shared" si="86"/>
        <v>Other</v>
      </c>
      <c r="AH210" s="86" t="str">
        <f t="shared" si="87"/>
        <v>"%USERPROFILE%\Documents\GitHub\eaglep3\Utilities\RefineRTDCRunTimes.py" --tripid 306-24 --locoid 4005 --swversion DE.1.0.9.0 --startMP 300:23237 --initTime 2017-02-24T03:44:46 --startdatetime 2017-02-24T03:48:02 --delay 2 --endMP 204:161 --enddatetime 2017-02-24T03:56:24 --enforcementcount 1 &gt;&gt;C:\Users\stu\Documents\GitHub\eaglep3-reporting\EC\2017-02-24-refined-times.txt</v>
      </c>
      <c r="AI210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{"issue":{"subject":"","project_id":79,"tracker_id":40,"status_id":1,"priority_id":2,"assigned_to_id":23,"start_date":"2017-02-24","description":"","custom_fields":[{"id":1,"name":"Subdivision","value":"Other"},{"id":4,"name":"Milepost","value":"0.0161"},{"id":17,"name":"Train ID","value":"306-24"},{"id":16,"name":"Locomotive ID","value":"4005"},{"id":130,"name":"Impact","value":""},{"id":150,"name":"Time of Event (Mountain Time)","value":"03:56:24"},{"id":151,"name":"Denver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89"/>
        <v>start /low /b %USERPROFILE%\Documents\GitHub\eaglep3\Utilities\DownloadLogsFromS3.py --loco 4005 --day 2017-02-24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"%USERPROFILE%\AppData\Local\Temp\OnboardLogs"\RTDC4005\*4005*20170224* | grep -SE "(Enforcement Action)|(\[TIMEOUT)|(CHR.+\|PRM\|1\|D.+(SWITCH|SIGNAL).+UNKNOWN)" - &gt;&gt; 2017-02-24-UncaughtWiMAX.txt</v>
      </c>
    </row>
    <row r="211" spans="1:40" x14ac:dyDescent="0.25">
      <c r="A211" s="33" t="s">
        <v>649</v>
      </c>
      <c r="B211" s="7">
        <v>4044</v>
      </c>
      <c r="C211" s="21" t="s">
        <v>280</v>
      </c>
      <c r="D211" s="21" t="s">
        <v>225</v>
      </c>
      <c r="E211" s="13">
        <v>42790.817754629628</v>
      </c>
      <c r="F211" s="13">
        <v>42790.820300925923</v>
      </c>
      <c r="G211" s="7">
        <v>2</v>
      </c>
      <c r="H211" s="21" t="s">
        <v>752</v>
      </c>
      <c r="I211" s="13">
        <v>42790.820532407408</v>
      </c>
      <c r="J211" s="7">
        <v>1</v>
      </c>
      <c r="K211" s="98" t="str">
        <f t="shared" si="72"/>
        <v>4043/4044</v>
      </c>
      <c r="L211" s="21" t="str">
        <f>VLOOKUP(A211,'Trips&amp;Operators'!$C$1:$G$99999,5,FALSE)</f>
        <v>BRANNON JEFFREY</v>
      </c>
      <c r="M211" s="6">
        <f t="shared" si="73"/>
        <v>2.3148148466134444E-4</v>
      </c>
      <c r="N211" s="7">
        <f t="shared" si="74"/>
        <v>0.33333333791233599</v>
      </c>
      <c r="O211" s="7"/>
      <c r="P211" s="7"/>
      <c r="Q211" s="22"/>
      <c r="R211" s="22"/>
      <c r="S211" s="31">
        <f t="shared" si="75"/>
        <v>0</v>
      </c>
      <c r="T211" s="46" t="str">
        <f t="shared" si="76"/>
        <v>NorthBound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6" t="str">
        <f t="shared" si="77"/>
        <v>https://d0f6bd738d7f1b3e5a7ca70fe4ff75f0.us-east-1.aws.found.io/app/kibana#/discover/Steve-Slow-Train-Analysis-(2080s-and-2083s)?_g=(refreshInterval:(display:Off,pause:!f,section:0,value:0),time:(from:'2017-02-24T18:37:34-0700',mode:absolute,to:'2017-02-24T20:41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1" s="187" t="str">
        <f t="shared" si="78"/>
        <v>Y</v>
      </c>
      <c r="X211" s="187">
        <f t="shared" si="79"/>
        <v>1</v>
      </c>
      <c r="Y211" s="62">
        <f t="shared" si="80"/>
        <v>4.5999999999999999E-2</v>
      </c>
      <c r="Z211" s="62">
        <f t="shared" si="81"/>
        <v>0.114</v>
      </c>
      <c r="AA211" s="62">
        <f t="shared" si="82"/>
        <v>6.8000000000000005E-2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3"/>
        <v>0307-24</v>
      </c>
      <c r="AE211" s="85" t="str">
        <f t="shared" si="84"/>
        <v>aws s3 cp s3://rtdc.mdm.uploadarchive.raw/RTDC4044/ "%USERPROFILE%\AppData\Local\Temp\OnboardLogs"\RTDC4044\2017-02-24 --exclude "*" --recursive --include "*20170224*" &amp; "%USERPROFILE%\Documents\GitHub\mrs-test-scripts\Headless Mode &amp; Sideloading\WalkAndUnGZ.bat" "%USERPROFILE%\AppData\Local\Temp\OnboardLogs"\RTDC4044\2017-02-24 &amp; aws s3 cp s3://rtdc.mdm.uploadarchive.raw/RTDC4044/ "%USERPROFILE%\AppData\Local\Temp\OnboardLogs"\RTDC4044\2017-02-25 --exclude "*" --recursive --include "*20170225*" &amp; "%USERPROFILE%\Documents\GitHub\mrs-test-scripts\Headless Mode &amp; Sideloading\WalkAndUnGZ.bat" "%USERPROFILE%\AppData\Local\Temp\OnboardLogs"\RTDC4044\2017-02-25</v>
      </c>
      <c r="AF211" s="82" t="str">
        <f t="shared" si="85"/>
        <v>"C:\Program Files (x86)\AstroGrep\AstroGrep.exe" /spath="%USERPROFILE%\AppData\Local\Temp\OnboardLogs" /stypes="app*4044*20170225*" /stext=" 02:.+((SYSTEM_STATE.+slice.+state.+changed )|(ment ac)|(multiple cpu faults)|(system.+state.+changed )|(\[timeout)|(PRM\|1\|D)|(kpr)|(kdp)|(\|lc)|(penalty))" /e /r /s</v>
      </c>
      <c r="AG211" s="1" t="str">
        <f t="shared" si="86"/>
        <v>Other</v>
      </c>
      <c r="AH211" s="86" t="str">
        <f t="shared" si="87"/>
        <v>"%USERPROFILE%\Documents\GitHub\eaglep3\Utilities\RefineRTDCRunTimes.py" --tripid 307-24 --locoid 4044 --swversion DE.1.0.9.0 --startMP 204:460 --initTime 2017-02-24T19:37:34 --startdatetime 2017-02-24T19:41:14 --delay 2 --endMP 204:1140 --enddatetime 2017-02-24T19:41:34 --enforcementcount 1 &gt;&gt;C:\Users\stu\Documents\GitHub\eaglep3-reporting\EC\2017-02-24-refined-times.txt</v>
      </c>
      <c r="AI211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{"issue":{"subject":"","project_id":79,"tracker_id":40,"status_id":1,"priority_id":2,"assigned_to_id":23,"start_date":"2017-02-24","description":"","custom_fields":[{"id":1,"name":"Subdivision","value":"Other"},{"id":4,"name":"Milepost","value":"0.114"},{"id":17,"name":"Train ID","value":"307-24"},{"id":16,"name":"Locomotive ID","value":"4044"},{"id":130,"name":"Impact","value":""},{"id":150,"name":"Time of Event (Mountain Time)","value":"19:41:34"},{"id":151,"name":"Denver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89"/>
        <v>start /low /b %USERPROFILE%\Documents\GitHub\eaglep3\Utilities\DownloadLogsFromS3.py --loco 4044 --day 2017-02-24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"%USERPROFILE%\AppData\Local\Temp\OnboardLogs"\RTDC4044\*4044*20170225* | grep -SE "(Enforcement Action)|(\[TIMEOUT)|(CHR.+\|PRM\|1\|D.+(SWITCH|SIGNAL).+UNKNOWN)" - &gt;&gt; 2017-02-24-UncaughtWiMAX.txt</v>
      </c>
    </row>
    <row r="212" spans="1:40" x14ac:dyDescent="0.25">
      <c r="A212" s="33" t="s">
        <v>488</v>
      </c>
      <c r="B212" s="7">
        <v>4010</v>
      </c>
      <c r="C212" s="21" t="s">
        <v>280</v>
      </c>
      <c r="D212" s="21" t="s">
        <v>753</v>
      </c>
      <c r="E212" s="13">
        <v>42790.167060185187</v>
      </c>
      <c r="F212" s="13">
        <v>42790.174687500003</v>
      </c>
      <c r="G212" s="7">
        <v>7</v>
      </c>
      <c r="H212" s="21" t="s">
        <v>196</v>
      </c>
      <c r="I212" s="13">
        <v>42790.174745370372</v>
      </c>
      <c r="J212" s="7">
        <v>1</v>
      </c>
      <c r="K212" s="98" t="str">
        <f t="shared" si="72"/>
        <v>4009/4010</v>
      </c>
      <c r="L212" s="21" t="str">
        <f>VLOOKUP(A212,'Trips&amp;Operators'!$C$1:$G$99999,5,FALSE)</f>
        <v>STARKS ANGELINA</v>
      </c>
      <c r="M212" s="6">
        <f t="shared" si="73"/>
        <v>5.7870369346346706E-5</v>
      </c>
      <c r="N212" s="7">
        <f t="shared" si="74"/>
        <v>8.3333331858739257E-2</v>
      </c>
      <c r="O212" s="7"/>
      <c r="P212" s="7"/>
      <c r="Q212" s="22"/>
      <c r="R212" s="22"/>
      <c r="S212" s="31">
        <f t="shared" si="75"/>
        <v>1</v>
      </c>
      <c r="T212" s="46" t="str">
        <f t="shared" si="76"/>
        <v>Southbound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7"/>
        <v>https://d0f6bd738d7f1b3e5a7ca70fe4ff75f0.us-east-1.aws.found.io/app/kibana#/discover/Steve-Slow-Train-Analysis-(2080s-and-2083s)?_g=(refreshInterval:(display:Off,pause:!f,section:0,value:0),time:(from:'2017-02-24T03:00:34-0700',mode:absolute,to:'2017-02-24T05:11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2" s="187" t="str">
        <f t="shared" si="78"/>
        <v>Y</v>
      </c>
      <c r="X212" s="187">
        <f t="shared" si="79"/>
        <v>1</v>
      </c>
      <c r="Y212" s="62">
        <f t="shared" si="80"/>
        <v>2.5764</v>
      </c>
      <c r="Z212" s="62">
        <f t="shared" si="81"/>
        <v>1.4500000000000001E-2</v>
      </c>
      <c r="AA212" s="62">
        <f t="shared" si="82"/>
        <v>2.5619000000000001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3"/>
        <v>0308-24</v>
      </c>
      <c r="AE212" s="85" t="str">
        <f t="shared" si="84"/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AF212" s="82" t="str">
        <f t="shared" si="85"/>
        <v>"C:\Program Files (x86)\AstroGrep\AstroGrep.exe" /spath="%USERPROFILE%\AppData\Local\Temp\OnboardLogs" /stypes="app*4010*20170224*" /stext=" 11:.+((SYSTEM_STATE.+slice.+state.+changed )|(ment ac)|(multiple cpu faults)|(system.+state.+changed )|(\[timeout)|(PRM\|1\|D)|(kpr)|(kdp)|(\|lc)|(penalty))" /e /r /s</v>
      </c>
      <c r="AG212" s="1" t="str">
        <f t="shared" si="86"/>
        <v>Other</v>
      </c>
      <c r="AH212" s="86" t="str">
        <f t="shared" si="87"/>
        <v>"%USERPROFILE%\Documents\GitHub\eaglep3\Utilities\RefineRTDCRunTimes.py" --tripid 308-24 --locoid 4010 --swversion DE.1.0.9.0 --startMP 300:25764 --initTime 2017-02-24T04:00:34 --startdatetime 2017-02-24T04:11:33 --delay 7 --endMP 204:145 --enddatetime 2017-02-24T04:11:38 --enforcementcount 1 &gt;&gt;C:\Users\stu\Documents\GitHub\eaglep3-reporting\EC\2017-02-24-refined-times.txt</v>
      </c>
      <c r="AI212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{"issue":{"subject":"","project_id":79,"tracker_id":40,"status_id":1,"priority_id":2,"assigned_to_id":23,"start_date":"2017-02-24","description":"","custom_fields":[{"id":1,"name":"Subdivision","value":"Other"},{"id":4,"name":"Milepost","value":"0.0145"},{"id":17,"name":"Train ID","value":"308-24"},{"id":16,"name":"Locomotive ID","value":"4010"},{"id":130,"name":"Impact","value":""},{"id":150,"name":"Time of Event (Mountain Time)","value":"04:11:38"},{"id":151,"name":"Denver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89"/>
        <v>start /low /b %USERPROFILE%\Documents\GitHub\eaglep3\Utilities\DownloadLogsFromS3.py --loco 4010 --day 2017-02-24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"%USERPROFILE%\AppData\Local\Temp\OnboardLogs"\RTDC4010\*4010*20170224* | grep -SE "(Enforcement Action)|(\[TIMEOUT)|(CHR.+\|PRM\|1\|D.+(SWITCH|SIGNAL).+UNKNOWN)" - &gt;&gt; 2017-02-24-UncaughtWiMAX.txt</v>
      </c>
    </row>
    <row r="213" spans="1:40" x14ac:dyDescent="0.25">
      <c r="A213" s="33" t="s">
        <v>754</v>
      </c>
      <c r="B213" s="7">
        <v>4031</v>
      </c>
      <c r="C213" s="21" t="s">
        <v>280</v>
      </c>
      <c r="D213" s="21" t="s">
        <v>204</v>
      </c>
      <c r="E213" s="13">
        <v>42791.048275462963</v>
      </c>
      <c r="F213" s="13">
        <v>25568.708333333332</v>
      </c>
      <c r="G213" s="7">
        <v>1</v>
      </c>
      <c r="H213" s="21" t="s">
        <v>342</v>
      </c>
      <c r="I213" s="13">
        <v>25568.708333333332</v>
      </c>
      <c r="J213" s="7">
        <v>1</v>
      </c>
      <c r="K213" s="98" t="str">
        <f t="shared" si="72"/>
        <v>4031/4032</v>
      </c>
      <c r="L213" s="21" t="str">
        <f>VLOOKUP(A213,'Trips&amp;Operators'!$C$1:$G$99999,5,FALSE)</f>
        <v>STORY SAMANTHA</v>
      </c>
      <c r="M213" s="6">
        <f t="shared" si="73"/>
        <v>0</v>
      </c>
      <c r="N213" s="7">
        <f t="shared" si="74"/>
        <v>0</v>
      </c>
      <c r="O213" s="7"/>
      <c r="P213" s="7"/>
      <c r="Q213" s="22"/>
      <c r="R213" s="22"/>
      <c r="S213" s="31">
        <f t="shared" si="75"/>
        <v>1</v>
      </c>
      <c r="T213" s="46" t="str">
        <f t="shared" si="76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77"/>
        <v>https://d0f6bd738d7f1b3e5a7ca70fe4ff75f0.us-east-1.aws.found.io/app/kibana#/discover/Steve-Slow-Train-Analysis-(2080s-and-2083s)?_g=(refreshInterval:(display:Off,pause:!f,section:0,value:0),time:(from:'2017-02-25T00:09:31-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3" s="187" t="str">
        <f t="shared" si="78"/>
        <v>Y</v>
      </c>
      <c r="X213" s="187">
        <f t="shared" si="79"/>
        <v>1</v>
      </c>
      <c r="Y213" s="62">
        <f t="shared" si="80"/>
        <v>4.6199999999999998E-2</v>
      </c>
      <c r="Z213" s="62">
        <f t="shared" si="81"/>
        <v>2.3306</v>
      </c>
      <c r="AA213" s="62">
        <f t="shared" si="82"/>
        <v>2.2844000000000002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3"/>
        <v>0309-24</v>
      </c>
      <c r="AE213" s="85" t="str">
        <f t="shared" si="84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3" s="82" t="str">
        <f t="shared" si="85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3" s="1" t="str">
        <f t="shared" si="86"/>
        <v>Other</v>
      </c>
      <c r="AH213" s="86" t="str">
        <f t="shared" si="87"/>
        <v>"%USERPROFILE%\Documents\GitHub\eaglep3\Utilities\RefineRTDCRunTimes.py" --tripid 309-24 --locoid 4031 --swversion DE.1.0.9.0 --startMP 204:462 --initTime 2017-02-25T01:09:31 --startdatetime 1969-12-31T17:00:00 --delay 1 --endMP 300:23306 --enddatetime 1969-12-31T17:00:00 --enforcementcount 1 &gt;&gt;C:\Users\stu\Documents\GitHub\eaglep3-reporting\EC\2017-02-24-refined-times.txt</v>
      </c>
      <c r="AI213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ID","value":"309-24"},{"id":16,"name":"Locomotive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89"/>
        <v>start /low /b %USERPROFILE%\Documents\GitHub\eaglep3\Utilities\DownloadLogsFromS3.py --loco 4031 --day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"%USERPROFILE%\AppData\Local\Temp\OnboardLogs"\RTDC4031\*4031*19700101* | grep -SE "(Enforcement Action)|(\[TIMEOUT)|(CHR.+\|PRM\|1\|D.+(SWITCH|SIGNAL).+UNKNOWN)" - &gt;&gt; 2017-02-24-UncaughtWiMAX.txt</v>
      </c>
    </row>
    <row r="214" spans="1:40" x14ac:dyDescent="0.25">
      <c r="A214" s="33" t="s">
        <v>489</v>
      </c>
      <c r="B214" s="7">
        <v>4019</v>
      </c>
      <c r="C214" s="21" t="s">
        <v>280</v>
      </c>
      <c r="D214" s="21" t="s">
        <v>755</v>
      </c>
      <c r="E214" s="13">
        <v>42790.18372685185</v>
      </c>
      <c r="F214" s="13">
        <v>42790.187673611108</v>
      </c>
      <c r="G214" s="7">
        <v>5</v>
      </c>
      <c r="H214" s="21" t="s">
        <v>257</v>
      </c>
      <c r="I214" s="13">
        <v>42790.192858796298</v>
      </c>
      <c r="J214" s="7">
        <v>1</v>
      </c>
      <c r="K214" s="98" t="str">
        <f t="shared" si="72"/>
        <v>4019/4020</v>
      </c>
      <c r="L214" s="21" t="str">
        <f>VLOOKUP(A214,'Trips&amp;Operators'!$C$1:$G$99999,5,FALSE)</f>
        <v>LOZA FIDEL</v>
      </c>
      <c r="M214" s="6">
        <f t="shared" si="73"/>
        <v>5.1851851894753054E-3</v>
      </c>
      <c r="N214" s="7">
        <f t="shared" si="74"/>
        <v>7.4666666728444397</v>
      </c>
      <c r="O214" s="7"/>
      <c r="P214" s="7"/>
      <c r="Q214" s="22"/>
      <c r="R214" s="22"/>
      <c r="S214" s="31">
        <f t="shared" si="75"/>
        <v>1</v>
      </c>
      <c r="T214" s="46" t="str">
        <f t="shared" si="76"/>
        <v>Southbound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77"/>
        <v>https://d0f6bd738d7f1b3e5a7ca70fe4ff75f0.us-east-1.aws.found.io/app/kibana#/discover/Steve-Slow-Train-Analysis-(2080s-and-2083s)?_g=(refreshInterval:(display:Off,pause:!f,section:0,value:0),time:(from:'2017-02-24T03:24:34-0700',mode:absolute,to:'2017-02-24T05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4" s="187" t="str">
        <f t="shared" si="78"/>
        <v>Y</v>
      </c>
      <c r="X214" s="187">
        <f t="shared" si="79"/>
        <v>1</v>
      </c>
      <c r="Y214" s="62">
        <f t="shared" si="80"/>
        <v>2.3296000000000001</v>
      </c>
      <c r="Z214" s="62">
        <f t="shared" si="81"/>
        <v>1.3599999999999999E-2</v>
      </c>
      <c r="AA214" s="62">
        <f t="shared" si="82"/>
        <v>2.3160000000000003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3"/>
        <v>0310-24</v>
      </c>
      <c r="AE214" s="85" t="str">
        <f t="shared" si="84"/>
        <v>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 &amp; 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</v>
      </c>
      <c r="AF214" s="82" t="str">
        <f t="shared" si="85"/>
        <v>"C:\Program Files (x86)\AstroGrep\AstroGrep.exe" /spath="%USERPROFILE%\AppData\Local\Temp\OnboardLogs" /stypes="app*4019*20170224*" /stext=" 11:.+((SYSTEM_STATE.+slice.+state.+changed )|(ment ac)|(multiple cpu faults)|(system.+state.+changed )|(\[timeout)|(PRM\|1\|D)|(kpr)|(kdp)|(\|lc)|(penalty))" /e /r /s</v>
      </c>
      <c r="AG214" s="1" t="str">
        <f t="shared" si="86"/>
        <v>Other</v>
      </c>
      <c r="AH214" s="86" t="str">
        <f t="shared" si="87"/>
        <v>"%USERPROFILE%\Documents\GitHub\eaglep3\Utilities\RefineRTDCRunTimes.py" --tripid 310-24 --locoid 4019 --swversion DE.1.0.9.0 --startMP 300:23296 --initTime 2017-02-24T04:24:34 --startdatetime 2017-02-24T04:30:15 --delay 5 --endMP 204:136 --enddatetime 2017-02-24T04:37:43 --enforcementcount 1 &gt;&gt;C:\Users\stu\Documents\GitHub\eaglep3-reporting\EC\2017-02-24-refined-times.txt</v>
      </c>
      <c r="AI214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{"issue":{"subject":"","project_id":79,"tracker_id":40,"status_id":1,"priority_id":2,"assigned_to_id":23,"start_date":"2017-02-24","description":"","custom_fields":[{"id":1,"name":"Subdivision","value":"Other"},{"id":4,"name":"Milepost","value":"0.0136"},{"id":17,"name":"Train ID","value":"310-24"},{"id":16,"name":"Locomotive ID","value":"4019"},{"id":130,"name":"Impact","value":""},{"id":150,"name":"Time of Event (Mountain Time)","value":"04:37:43"},{"id":151,"name":"Denver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89"/>
        <v>start /low /b %USERPROFILE%\Documents\GitHub\eaglep3\Utilities\DownloadLogsFromS3.py --loco 4019 --day 2017-02-24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2017-02-24-UncaughtWiMAX.txt</v>
      </c>
    </row>
    <row r="215" spans="1:40" x14ac:dyDescent="0.25">
      <c r="A215" s="33" t="s">
        <v>756</v>
      </c>
      <c r="B215" s="7">
        <v>4022</v>
      </c>
      <c r="C215" s="21" t="s">
        <v>280</v>
      </c>
      <c r="D215" s="21" t="s">
        <v>757</v>
      </c>
      <c r="E215" s="13">
        <v>42791.069340277776</v>
      </c>
      <c r="F215" s="13">
        <v>25568.708333333332</v>
      </c>
      <c r="G215" s="7">
        <v>1</v>
      </c>
      <c r="H215" s="21" t="s">
        <v>342</v>
      </c>
      <c r="I215" s="13">
        <v>25568.708333333332</v>
      </c>
      <c r="J215" s="7">
        <v>1</v>
      </c>
      <c r="K215" s="98" t="str">
        <f t="shared" si="72"/>
        <v>4021/4022</v>
      </c>
      <c r="L215" s="21" t="str">
        <f>VLOOKUP(A215,'Trips&amp;Operators'!$C$1:$G$99999,5,FALSE)</f>
        <v>STAMBAUGH JAMES</v>
      </c>
      <c r="M215" s="6">
        <f t="shared" si="73"/>
        <v>0</v>
      </c>
      <c r="N215" s="7">
        <f t="shared" si="74"/>
        <v>0</v>
      </c>
      <c r="O215" s="7"/>
      <c r="P215" s="7"/>
      <c r="Q215" s="22"/>
      <c r="R215" s="22"/>
      <c r="S215" s="31">
        <f t="shared" si="75"/>
        <v>1</v>
      </c>
      <c r="T215" s="46" t="str">
        <f t="shared" si="76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7"/>
        <v>https://d0f6bd738d7f1b3e5a7ca70fe4ff75f0.us-east-1.aws.found.io/app/kibana#/discover/Steve-Slow-Train-Analysis-(2080s-and-2083s)?_g=(refreshInterval:(display:Off,pause:!f,section:0,value:0),time:(from:'2017-02-25T00:39:51-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87" t="str">
        <f t="shared" si="78"/>
        <v>Y</v>
      </c>
      <c r="X215" s="187">
        <f t="shared" si="79"/>
        <v>1</v>
      </c>
      <c r="Y215" s="62">
        <f t="shared" si="80"/>
        <v>5.1900000000000002E-2</v>
      </c>
      <c r="Z215" s="62">
        <f t="shared" si="81"/>
        <v>2.3306</v>
      </c>
      <c r="AA215" s="62">
        <f t="shared" si="82"/>
        <v>2.2787000000000002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3"/>
        <v>0311-24</v>
      </c>
      <c r="AE215" s="85" t="str">
        <f t="shared" si="84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5" s="82" t="str">
        <f t="shared" si="85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5" s="1" t="str">
        <f t="shared" si="86"/>
        <v>Other</v>
      </c>
      <c r="AH215" s="86" t="str">
        <f t="shared" si="87"/>
        <v>"%USERPROFILE%\Documents\GitHub\eaglep3\Utilities\RefineRTDCRunTimes.py" --tripid 311-24 --locoid 4022 --swversion DE.1.0.9.0 --startMP 204:519 --initTime 2017-02-25T01:39:51 --startdatetime 1969-12-31T17:00:00 --delay 1 --endMP 300:23306 --enddatetime 1969-12-31T17:00:00 --enforcementcount 1 &gt;&gt;C:\Users\stu\Documents\GitHub\eaglep3-reporting\EC\2017-02-24-refined-times.txt</v>
      </c>
      <c r="AI215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ID","value":"311-24"},{"id":16,"name":"Locomotive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89"/>
        <v>start /low /b %USERPROFILE%\Documents\GitHub\eaglep3\Utilities\DownloadLogsFromS3.py --loco 4022 --day 1969-12-31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"%USERPROFILE%\AppData\Local\Temp\OnboardLogs"\RTDC4022\*4022*19700101* | grep -SE "(Enforcement Action)|(\[TIMEOUT)|(CHR.+\|PRM\|1\|D.+(SWITCH|SIGNAL).+UNKNOWN)" - &gt;&gt; 2017-02-24-UncaughtWiMAX.txt</v>
      </c>
    </row>
    <row r="216" spans="1:40" x14ac:dyDescent="0.25">
      <c r="A216" s="33" t="s">
        <v>375</v>
      </c>
      <c r="B216" s="7">
        <v>4011</v>
      </c>
      <c r="C216" s="21" t="s">
        <v>280</v>
      </c>
      <c r="D216" s="21" t="s">
        <v>405</v>
      </c>
      <c r="E216" s="13">
        <v>42790.08935185185</v>
      </c>
      <c r="F216" s="13">
        <v>25568.708333333332</v>
      </c>
      <c r="G216" s="7">
        <v>2</v>
      </c>
      <c r="H216" s="21" t="s">
        <v>406</v>
      </c>
      <c r="I216" s="13">
        <v>25568.708333333332</v>
      </c>
      <c r="J216" s="7">
        <v>1</v>
      </c>
      <c r="K216" s="98" t="str">
        <f t="shared" si="72"/>
        <v>4011/4012</v>
      </c>
      <c r="L216" s="21" t="str">
        <f>VLOOKUP(A216,'Trips&amp;Operators'!$C$1:$G$99999,5,FALSE)</f>
        <v>HILLS DUSTIN</v>
      </c>
      <c r="M216" s="6">
        <f t="shared" si="73"/>
        <v>0</v>
      </c>
      <c r="N216" s="7">
        <f t="shared" si="74"/>
        <v>0</v>
      </c>
      <c r="O216" s="7"/>
      <c r="P216" s="7"/>
      <c r="Q216" s="22"/>
      <c r="R216" s="22"/>
      <c r="S216" s="31">
        <f t="shared" si="75"/>
        <v>1</v>
      </c>
      <c r="T216" s="46" t="str">
        <f t="shared" si="76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77"/>
        <v>https://d0f6bd738d7f1b3e5a7ca70fe4ff75f0.us-east-1.aws.found.io/app/kibana#/discover/Steve-Slow-Train-Analysis-(2080s-and-2083s)?_g=(refreshInterval:(display:Off,pause:!f,section:0,value:0),time:(from:'2017-02-24T01:08:40-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6" s="187" t="str">
        <f t="shared" si="78"/>
        <v>Y</v>
      </c>
      <c r="X216" s="187">
        <f t="shared" si="79"/>
        <v>2</v>
      </c>
      <c r="Y216" s="62">
        <f t="shared" si="80"/>
        <v>4.07E-2</v>
      </c>
      <c r="Z216" s="62">
        <f t="shared" si="81"/>
        <v>2.3304</v>
      </c>
      <c r="AA216" s="62">
        <f t="shared" si="82"/>
        <v>2.2896999999999998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3"/>
        <v>0313-23</v>
      </c>
      <c r="AE216" s="85" t="str">
        <f t="shared" si="84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6" s="82" t="str">
        <f t="shared" si="85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16" s="1" t="str">
        <f t="shared" si="86"/>
        <v>Other</v>
      </c>
      <c r="AH216" s="86" t="str">
        <f t="shared" si="87"/>
        <v>"%USERPROFILE%\Documents\GitHub\eaglep3\Utilities\RefineRTDCRunTimes.py" --tripid 313-23 --locoid 4011 --swversion DE.1.0.9.0 --startMP 204:407 --initTime 2017-02-24T02:08:40 --startdatetime 1969-12-31T17:00:00 --delay 2 --endMP 300:23304 --enddatetime 1969-12-31T17:00:00 --enforcementcount 1 &gt;&gt;C:\Users\stu\Documents\GitHub\eaglep3-reporting\EC\2017-02-24-refined-times.txt</v>
      </c>
      <c r="AI216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89"/>
        <v>start /low /b %USERPROFILE%\Documents\GitHub\eaglep3\Utilities\DownloadLogsFromS3.py --loco 4011 --day 1969-12-31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2017-02-24-UncaughtWiMAX.txt</v>
      </c>
    </row>
    <row r="217" spans="1:40" x14ac:dyDescent="0.25">
      <c r="A217" s="33" t="s">
        <v>758</v>
      </c>
      <c r="B217" s="7">
        <v>4009</v>
      </c>
      <c r="C217" s="21" t="s">
        <v>280</v>
      </c>
      <c r="D217" s="21" t="s">
        <v>711</v>
      </c>
      <c r="E217" s="13">
        <v>42791.088796296295</v>
      </c>
      <c r="F217" s="13">
        <v>25568.708333333332</v>
      </c>
      <c r="G217" s="7">
        <v>1</v>
      </c>
      <c r="H217" s="21" t="s">
        <v>410</v>
      </c>
      <c r="I217" s="13">
        <v>25568.708333333332</v>
      </c>
      <c r="J217" s="7">
        <v>1</v>
      </c>
      <c r="K217" s="98" t="str">
        <f t="shared" si="72"/>
        <v>4009/4010</v>
      </c>
      <c r="L217" s="21" t="str">
        <f>VLOOKUP(A217,'Trips&amp;Operators'!$C$1:$G$99999,5,FALSE)</f>
        <v>HILLS DUSTIN</v>
      </c>
      <c r="M217" s="6">
        <f t="shared" si="73"/>
        <v>0</v>
      </c>
      <c r="N217" s="7">
        <f t="shared" si="74"/>
        <v>0</v>
      </c>
      <c r="O217" s="7"/>
      <c r="P217" s="7"/>
      <c r="Q217" s="22"/>
      <c r="R217" s="22"/>
      <c r="S217" s="31">
        <f t="shared" si="75"/>
        <v>1</v>
      </c>
      <c r="T217" s="46" t="str">
        <f t="shared" si="76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77"/>
        <v>https://d0f6bd738d7f1b3e5a7ca70fe4ff75f0.us-east-1.aws.found.io/app/kibana#/discover/Steve-Slow-Train-Analysis-(2080s-and-2083s)?_g=(refreshInterval:(display:Off,pause:!f,section:0,value:0),time:(from:'2017-02-25T01:07:52-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7" s="187" t="str">
        <f t="shared" si="78"/>
        <v>Y</v>
      </c>
      <c r="X217" s="187">
        <f t="shared" si="79"/>
        <v>0</v>
      </c>
      <c r="Y217" s="62">
        <f t="shared" si="80"/>
        <v>4.1500000000000002E-2</v>
      </c>
      <c r="Z217" s="62">
        <f t="shared" si="81"/>
        <v>2.3300999999999998</v>
      </c>
      <c r="AA217" s="62">
        <f t="shared" si="82"/>
        <v>2.2885999999999997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3"/>
        <v>0313-24</v>
      </c>
      <c r="AE217" s="85" t="str">
        <f t="shared" si="84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7" s="82" t="str">
        <f t="shared" si="85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7" s="1" t="str">
        <f t="shared" si="86"/>
        <v>Other</v>
      </c>
      <c r="AH217" s="86" t="str">
        <f t="shared" si="87"/>
        <v>"%USERPROFILE%\Documents\GitHub\eaglep3\Utilities\RefineRTDCRunTimes.py" --tripid 313-24 --locoid 4009 --swversion DE.1.0.9.0 --startMP 204:415 --initTime 2017-02-25T02:07:52 --startdatetime 1969-12-31T17:00:00 --delay 1 --endMP 300:23301 --enddatetime 1969-12-31T17:00:00 --enforcementcount 1 &gt;&gt;C:\Users\stu\Documents\GitHub\eaglep3-reporting\EC\2017-02-24-refined-times.txt</v>
      </c>
      <c r="AI217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ID","value":"313-24"},{"id":16,"name":"Locomotive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89"/>
        <v>start /low /b %USERPROFILE%\Documents\GitHub\eaglep3\Utilities\DownloadLogsFromS3.py --loco 4009 --day 1969-12-31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2017-02-24-UncaughtWiMAX.txt</v>
      </c>
    </row>
    <row r="218" spans="1:40" x14ac:dyDescent="0.25">
      <c r="A218" s="33" t="s">
        <v>759</v>
      </c>
      <c r="B218" s="7">
        <v>4025</v>
      </c>
      <c r="C218" s="21" t="s">
        <v>280</v>
      </c>
      <c r="D218" s="21" t="s">
        <v>744</v>
      </c>
      <c r="E218" s="13">
        <v>42791.111932870372</v>
      </c>
      <c r="F218" s="13">
        <v>25568.708333333332</v>
      </c>
      <c r="G218" s="7">
        <v>1</v>
      </c>
      <c r="H218" s="21" t="s">
        <v>341</v>
      </c>
      <c r="I218" s="13">
        <v>25568.708333333332</v>
      </c>
      <c r="J218" s="7">
        <v>1</v>
      </c>
      <c r="K218" s="98" t="str">
        <f t="shared" si="72"/>
        <v>4025/4026</v>
      </c>
      <c r="L218" s="21" t="str">
        <f>VLOOKUP(A218,'Trips&amp;Operators'!$C$1:$G$99999,5,FALSE)</f>
        <v>BROWN JACOB</v>
      </c>
      <c r="M218" s="6">
        <f t="shared" si="73"/>
        <v>0</v>
      </c>
      <c r="N218" s="7">
        <f t="shared" si="74"/>
        <v>0</v>
      </c>
      <c r="O218" s="7"/>
      <c r="P218" s="7"/>
      <c r="Q218" s="22"/>
      <c r="R218" s="22"/>
      <c r="S218" s="31">
        <f t="shared" si="75"/>
        <v>1</v>
      </c>
      <c r="T218" s="46" t="str">
        <f t="shared" si="76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77"/>
        <v>https://d0f6bd738d7f1b3e5a7ca70fe4ff75f0.us-east-1.aws.found.io/app/kibana#/discover/Steve-Slow-Train-Analysis-(2080s-and-2083s)?_g=(refreshInterval:(display:Off,pause:!f,section:0,value:0),time:(from:'2017-02-25T01:41:11-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8" s="187" t="str">
        <f t="shared" si="78"/>
        <v>Y</v>
      </c>
      <c r="X218" s="187">
        <f t="shared" si="79"/>
        <v>2</v>
      </c>
      <c r="Y218" s="62">
        <f t="shared" si="80"/>
        <v>4.3499999999999997E-2</v>
      </c>
      <c r="Z218" s="62">
        <f t="shared" si="81"/>
        <v>2.3313999999999999</v>
      </c>
      <c r="AA218" s="62">
        <f t="shared" si="82"/>
        <v>2.2879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3"/>
        <v>0315-24</v>
      </c>
      <c r="AE218" s="85" t="str">
        <f t="shared" si="84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8" s="82" t="str">
        <f t="shared" si="85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18" s="1" t="str">
        <f t="shared" si="86"/>
        <v>Other</v>
      </c>
      <c r="AH218" s="86" t="str">
        <f t="shared" si="87"/>
        <v>"%USERPROFILE%\Documents\GitHub\eaglep3\Utilities\RefineRTDCRunTimes.py" --tripid 315-24 --locoid 4025 --swversion DE.1.0.9.0 --startMP 204:435 --initTime 2017-02-25T02:41:11 --startdatetime 1969-12-31T17:00:00 --delay 1 --endMP 300:23314 --enddatetime 1969-12-31T17:00:00 --enforcementcount 1 &gt;&gt;C:\Users\stu\Documents\GitHub\eaglep3-reporting\EC\2017-02-24-refined-times.txt</v>
      </c>
      <c r="AI218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ID","value":"315-24"},{"id":16,"name":"Locomotive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89"/>
        <v>start /low /b %USERPROFILE%\Documents\GitHub\eaglep3\Utilities\DownloadLogsFromS3.py --loco 4025 --day 1969-12-31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"%USERPROFILE%\AppData\Local\Temp\OnboardLogs"\RTDC4025\*4025*19700101* | grep -SE "(Enforcement Action)|(\[TIMEOUT)|(CHR.+\|PRM\|1\|D.+(SWITCH|SIGNAL).+UNKNOWN)" - &gt;&gt; 2017-02-24-UncaughtWiMAX.txt</v>
      </c>
    </row>
    <row r="219" spans="1:40" x14ac:dyDescent="0.25">
      <c r="A219" s="33" t="s">
        <v>491</v>
      </c>
      <c r="B219" s="7">
        <v>4003</v>
      </c>
      <c r="C219" s="21" t="s">
        <v>280</v>
      </c>
      <c r="D219" s="21" t="s">
        <v>862</v>
      </c>
      <c r="E219" s="13">
        <v>42790.198067129626</v>
      </c>
      <c r="F219" s="13">
        <v>42790.201203703706</v>
      </c>
      <c r="G219" s="7">
        <v>4</v>
      </c>
      <c r="H219" s="21" t="s">
        <v>863</v>
      </c>
      <c r="I219" s="13">
        <v>42790.206446759257</v>
      </c>
      <c r="J219" s="7">
        <v>1</v>
      </c>
      <c r="K219" s="98" t="str">
        <f t="shared" si="72"/>
        <v>4003/4004</v>
      </c>
      <c r="L219" s="21" t="str">
        <f>VLOOKUP(A219,'Trips&amp;Operators'!$C$1:$G$99999,5,FALSE)</f>
        <v>GEBRETEKLE DAGNEW</v>
      </c>
      <c r="M219" s="6">
        <f t="shared" si="73"/>
        <v>5.2430555515456945E-3</v>
      </c>
      <c r="N219" s="7">
        <f t="shared" si="74"/>
        <v>7.5499999942258</v>
      </c>
      <c r="O219" s="7"/>
      <c r="P219" s="7"/>
      <c r="Q219" s="22"/>
      <c r="R219" s="22"/>
      <c r="S219" s="31">
        <f t="shared" si="75"/>
        <v>0</v>
      </c>
      <c r="T219" s="46" t="str">
        <f t="shared" si="76"/>
        <v>NorthBound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77"/>
        <v>https://d0f6bd738d7f1b3e5a7ca70fe4ff75f0.us-east-1.aws.found.io/app/kibana#/discover/Steve-Slow-Train-Analysis-(2080s-and-2083s)?_g=(refreshInterval:(display:Off,pause:!f,section:0,value:0),time:(from:'2017-02-24T03:45:13-0700',mode:absolute,to:'2017-02-24T05:57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9" s="187" t="str">
        <f t="shared" si="78"/>
        <v>Y</v>
      </c>
      <c r="X219" s="187">
        <f t="shared" si="79"/>
        <v>586</v>
      </c>
      <c r="Y219" s="62">
        <f t="shared" si="80"/>
        <v>3.004</v>
      </c>
      <c r="Z219" s="62">
        <f t="shared" si="81"/>
        <v>5.8997000000000002</v>
      </c>
      <c r="AA219" s="62">
        <f t="shared" si="82"/>
        <v>2.8957000000000002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3"/>
        <v>0901-24</v>
      </c>
      <c r="AE219" s="85" t="str">
        <f t="shared" si="84"/>
        <v>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 &amp; 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</v>
      </c>
      <c r="AF219" s="82" t="str">
        <f t="shared" si="85"/>
        <v>"C:\Program Files (x86)\AstroGrep\AstroGrep.exe" /spath="%USERPROFILE%\AppData\Local\Temp\OnboardLogs" /stypes="app*4003*20170224*" /stext=" 11:.+((SYSTEM_STATE.+slice.+state.+changed )|(ment ac)|(multiple cpu faults)|(system.+state.+changed )|(\[timeout)|(PRM\|1\|D)|(kpr)|(kdp)|(\|lc)|(penalty))" /e /r /s</v>
      </c>
      <c r="AG219" s="1" t="str">
        <f t="shared" si="86"/>
        <v>Other</v>
      </c>
      <c r="AH219" s="86" t="str">
        <f t="shared" si="87"/>
        <v>"%USERPROFILE%\Documents\GitHub\eaglep3\Utilities\RefineRTDCRunTimes.py" --tripid 901-24 --locoid 4003 --swversion DE.1.0.9.0 --startMP 300:30040 --initTime 2017-02-24T04:45:13 --startdatetime 2017-02-24T04:49:44 --delay 4 --endMP 300:58997 --enddatetime 2017-02-24T04:57:17 --enforcementcount 1 &gt;&gt;C:\Users\stu\Documents\GitHub\eaglep3-reporting\EC\2017-02-24-refined-times.txt</v>
      </c>
      <c r="AI219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{"issue":{"subject":"","project_id":79,"tracker_id":40,"status_id":1,"priority_id":2,"assigned_to_id":23,"start_date":"2017-02-24","description":"","custom_fields":[{"id":1,"name":"Subdivision","value":"Other"},{"id":4,"name":"Milepost","value":"5.8997"},{"id":17,"name":"Train ID","value":"901-24"},{"id":16,"name":"Locomotive ID","value":"4003"},{"id":130,"name":"Impact","value":""},{"id":150,"name":"Time of Event (Mountain Time)","value":"04:57:17"},{"id":151,"name":"Denver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89"/>
        <v>start /low /b %USERPROFILE%\Documents\GitHub\eaglep3\Utilities\DownloadLogsFromS3.py --loco 4003 --day 2017-02-24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"%USERPROFILE%\AppData\Local\Temp\OnboardLogs"\RTDC4003\*4003*20170224* | grep -SE "(Enforcement Action)|(\[TIMEOUT)|(CHR.+\|PRM\|1\|D.+(SWITCH|SIGNAL).+UNKNOWN)" - &gt;&gt; 2017-02-24-UncaughtWiMAX.txt</v>
      </c>
    </row>
    <row r="220" spans="1:40" x14ac:dyDescent="0.25">
      <c r="A220" s="33" t="s">
        <v>501</v>
      </c>
      <c r="B220" s="7">
        <v>4054</v>
      </c>
      <c r="C220" s="21" t="s">
        <v>280</v>
      </c>
      <c r="D220" s="21" t="s">
        <v>747</v>
      </c>
      <c r="E220" s="13">
        <v>42790.244201388887</v>
      </c>
      <c r="F220" s="13">
        <v>42790.248402777775</v>
      </c>
      <c r="G220" s="7">
        <v>5</v>
      </c>
      <c r="H220" s="21" t="s">
        <v>806</v>
      </c>
      <c r="I220" s="13">
        <v>42790.253668981481</v>
      </c>
      <c r="J220" s="7">
        <v>1</v>
      </c>
      <c r="K220" s="98" t="str">
        <f t="shared" si="72"/>
        <v>4053/4054</v>
      </c>
      <c r="L220" s="21" t="str">
        <f>VLOOKUP(A220,'Trips&amp;Operators'!$C$1:$G$99999,5,FALSE)</f>
        <v>SHOOK JOHN</v>
      </c>
      <c r="M220" s="6">
        <f t="shared" si="73"/>
        <v>5.2662037051049992E-3</v>
      </c>
      <c r="N220" s="7">
        <f t="shared" si="74"/>
        <v>7.5833333353511989</v>
      </c>
      <c r="O220" s="7"/>
      <c r="P220" s="7"/>
      <c r="Q220" s="22"/>
      <c r="R220" s="22"/>
      <c r="S220" s="31">
        <f t="shared" si="75"/>
        <v>1</v>
      </c>
      <c r="T220" s="46" t="str">
        <f t="shared" si="76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6" t="str">
        <f t="shared" si="77"/>
        <v>https://d0f6bd738d7f1b3e5a7ca70fe4ff75f0.us-east-1.aws.found.io/app/kibana#/discover/Steve-Slow-Train-Analysis-(2080s-and-2083s)?_g=(refreshInterval:(display:Off,pause:!f,section:0,value:0),time:(from:'2017-02-24T04:51:39-0700',mode:absolute,to:'2017-02-24T07:05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0" s="187" t="str">
        <f t="shared" si="78"/>
        <v>Y</v>
      </c>
      <c r="X220" s="187">
        <f t="shared" si="79"/>
        <v>1</v>
      </c>
      <c r="Y220" s="62">
        <f t="shared" si="80"/>
        <v>2.2824</v>
      </c>
      <c r="Z220" s="62">
        <f t="shared" si="81"/>
        <v>7.3400000000000007E-2</v>
      </c>
      <c r="AA220" s="62">
        <f t="shared" si="82"/>
        <v>2.2090000000000001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3"/>
        <v>0902-24</v>
      </c>
      <c r="AE220" s="85" t="str">
        <f t="shared" si="84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220" s="82" t="str">
        <f t="shared" si="85"/>
        <v>"C:\Program Files (x86)\AstroGrep\AstroGrep.exe" /spath="%USERPROFILE%\AppData\Local\Temp\OnboardLogs" /stypes="app*4054*20170224*" /stext=" 13:.+((SYSTEM_STATE.+slice.+state.+changed )|(ment ac)|(multiple cpu faults)|(system.+state.+changed )|(\[timeout)|(PRM\|1\|D)|(kpr)|(kdp)|(\|lc)|(penalty))" /e /r /s</v>
      </c>
      <c r="AG220" s="1" t="str">
        <f t="shared" si="86"/>
        <v>Other</v>
      </c>
      <c r="AH220" s="86" t="str">
        <f t="shared" si="87"/>
        <v>"%USERPROFILE%\Documents\GitHub\eaglep3\Utilities\RefineRTDCRunTimes.py" --tripid 902-24 --locoid 4054 --swversion DE.1.0.9.0 --startMP 300:22824 --initTime 2017-02-24T05:51:39 --startdatetime 2017-02-24T05:57:42 --delay 5 --endMP 204:734 --enddatetime 2017-02-24T06:05:17 --enforcementcount 1 &gt;&gt;C:\Users\stu\Documents\GitHub\eaglep3-reporting\EC\2017-02-24-refined-times.txt</v>
      </c>
      <c r="AI220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{"issue":{"subject":"","project_id":79,"tracker_id":40,"status_id":1,"priority_id":2,"assigned_to_id":23,"start_date":"2017-02-24","description":"","custom_fields":[{"id":1,"name":"Subdivision","value":"Other"},{"id":4,"name":"Milepost","value":"0.0734"},{"id":17,"name":"Train ID","value":"902-24"},{"id":16,"name":"Locomotive ID","value":"4054"},{"id":130,"name":"Impact","value":""},{"id":150,"name":"Time of Event (Mountain Time)","value":"06:05:17"},{"id":151,"name":"Denver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89"/>
        <v>start /low /b %USERPROFILE%\Documents\GitHub\eaglep3\Utilities\DownloadLogsFromS3.py --loco 4054 --day 2017-02-24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"%USERPROFILE%\AppData\Local\Temp\OnboardLogs"\RTDC4054\*4054*20170224* | grep -SE "(Enforcement Action)|(\[TIMEOUT)|(CHR.+\|PRM\|1\|D.+(SWITCH|SIGNAL).+UNKNOWN)" - &gt;&gt; 2017-02-24-UncaughtWiMAX.txt</v>
      </c>
    </row>
    <row r="221" spans="1:40" x14ac:dyDescent="0.25">
      <c r="A221" s="33" t="s">
        <v>529</v>
      </c>
      <c r="B221" s="7">
        <v>4003</v>
      </c>
      <c r="C221" s="21" t="s">
        <v>280</v>
      </c>
      <c r="D221" s="21" t="s">
        <v>864</v>
      </c>
      <c r="E221" s="13">
        <v>42790.353263888886</v>
      </c>
      <c r="F221" s="13">
        <v>25568.708333333332</v>
      </c>
      <c r="G221" s="7">
        <v>0</v>
      </c>
      <c r="H221" s="21" t="s">
        <v>865</v>
      </c>
      <c r="I221" s="13">
        <v>25568.708333333332</v>
      </c>
      <c r="J221" s="7">
        <v>1</v>
      </c>
      <c r="K221" s="98" t="str">
        <f t="shared" si="72"/>
        <v>4003/4004</v>
      </c>
      <c r="L221" s="21" t="str">
        <f>VLOOKUP(A221,'Trips&amp;Operators'!$C$1:$G$99999,5,FALSE)</f>
        <v>GEBRETEKLE DAGNEW</v>
      </c>
      <c r="M221" s="6">
        <f t="shared" si="73"/>
        <v>0</v>
      </c>
      <c r="N221" s="7">
        <f t="shared" si="74"/>
        <v>0</v>
      </c>
      <c r="O221" s="7"/>
      <c r="P221" s="7"/>
      <c r="Q221" s="22"/>
      <c r="R221" s="22"/>
      <c r="S221" s="31">
        <f t="shared" si="75"/>
        <v>1</v>
      </c>
      <c r="T221" s="46" t="str">
        <f t="shared" si="76"/>
        <v>NorthBound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6" t="str">
        <f t="shared" si="77"/>
        <v>https://d0f6bd738d7f1b3e5a7ca70fe4ff75f0.us-east-1.aws.found.io/app/kibana#/discover/Steve-Slow-Train-Analysis-(2080s-and-2083s)?_g=(refreshInterval:(display:Off,pause:!f,section:0,value:0),time:(from:'2017-02-24T07:28:42-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1" s="187" t="str">
        <f t="shared" si="78"/>
        <v>Y</v>
      </c>
      <c r="X221" s="187">
        <f t="shared" si="79"/>
        <v>1</v>
      </c>
      <c r="Y221" s="62">
        <f t="shared" si="80"/>
        <v>4.2099999999999999E-2</v>
      </c>
      <c r="Z221" s="62">
        <f t="shared" si="81"/>
        <v>2.4199000000000002</v>
      </c>
      <c r="AA221" s="62">
        <f t="shared" si="82"/>
        <v>2.3778000000000001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3"/>
        <v>0903-24</v>
      </c>
      <c r="AE221" s="85" t="str">
        <f t="shared" si="84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21" s="82" t="str">
        <f t="shared" si="85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21" s="1" t="str">
        <f t="shared" si="86"/>
        <v>Other</v>
      </c>
      <c r="AH221" s="86" t="str">
        <f t="shared" si="87"/>
        <v>"%USERPROFILE%\Documents\GitHub\eaglep3\Utilities\RefineRTDCRunTimes.py" --tripid 903-24 --locoid 4003 --swversion DE.1.0.9.0 --startMP 204:421 --initTime 2017-02-24T08:28:42 --startdatetime 1969-12-31T17:00:00 --delay 0 --endMP 300:24199 --enddatetime 1969-12-31T17:00:00 --enforcementcount 1 &gt;&gt;C:\Users\stu\Documents\GitHub\eaglep3-reporting\EC\2017-02-24-refined-times.txt</v>
      </c>
      <c r="AI221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{"issue":{"subject":"","project_id":79,"tracker_id":40,"status_id":1,"priority_id":2,"assigned_to_id":23,"start_date":"1969-12-31","description":"","custom_fields":[{"id":1,"name":"Subdivision","value":"Other"},{"id":4,"name":"Milepost","value":"2.4199"},{"id":17,"name":"Train ID","value":"903-24"},{"id":16,"name":"Locomotive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89"/>
        <v>start /low /b %USERPROFILE%\Documents\GitHub\eaglep3\Utilities\DownloadLogsFromS3.py --loco 4003 --day 1969-12-31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2017-02-24-UncaughtWiMAX.txt</v>
      </c>
    </row>
    <row r="222" spans="1:40" x14ac:dyDescent="0.25">
      <c r="A222" s="33" t="s">
        <v>593</v>
      </c>
      <c r="B222" s="7">
        <v>4004</v>
      </c>
      <c r="C222" s="21" t="s">
        <v>280</v>
      </c>
      <c r="D222" s="21" t="s">
        <v>866</v>
      </c>
      <c r="E222" s="13">
        <v>42790.642164351855</v>
      </c>
      <c r="F222" s="13">
        <v>42790.644861111112</v>
      </c>
      <c r="G222" s="7">
        <v>3</v>
      </c>
      <c r="H222" s="21" t="s">
        <v>853</v>
      </c>
      <c r="I222" s="13">
        <v>42790.650347222225</v>
      </c>
      <c r="J222" s="7">
        <v>1</v>
      </c>
      <c r="K222" s="98" t="str">
        <f t="shared" si="72"/>
        <v>4003/4004</v>
      </c>
      <c r="L222" s="21" t="str">
        <f>VLOOKUP(A222,'Trips&amp;Operators'!$C$1:$G$99999,5,FALSE)</f>
        <v>SMITH MICHAEL</v>
      </c>
      <c r="M222" s="6">
        <f t="shared" si="73"/>
        <v>5.4861111129866913E-3</v>
      </c>
      <c r="N222" s="7">
        <f t="shared" si="74"/>
        <v>7.9000000027008355</v>
      </c>
      <c r="O222" s="7"/>
      <c r="P222" s="7"/>
      <c r="Q222" s="22"/>
      <c r="R222" s="22"/>
      <c r="S222" s="31">
        <f t="shared" si="75"/>
        <v>1</v>
      </c>
      <c r="T222" s="46" t="str">
        <f t="shared" si="76"/>
        <v>Southbound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6" t="str">
        <f t="shared" si="77"/>
        <v>https://d0f6bd738d7f1b3e5a7ca70fe4ff75f0.us-east-1.aws.found.io/app/kibana#/discover/Steve-Slow-Train-Analysis-(2080s-and-2083s)?_g=(refreshInterval:(display:Off,pause:!f,section:0,value:0),time:(from:'2017-02-24T14:24:43-0700',mode:absolute,to:'2017-02-24T16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2" s="187" t="str">
        <f t="shared" si="78"/>
        <v>Y</v>
      </c>
      <c r="X222" s="187">
        <f t="shared" si="79"/>
        <v>1</v>
      </c>
      <c r="Y222" s="62">
        <f t="shared" si="80"/>
        <v>2.3628999999999998</v>
      </c>
      <c r="Z222" s="62">
        <f t="shared" si="81"/>
        <v>6.8900000000000003E-2</v>
      </c>
      <c r="AA222" s="62">
        <f t="shared" si="82"/>
        <v>2.2939999999999996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3"/>
        <v>0904-24</v>
      </c>
      <c r="AE222" s="85" t="str">
        <f t="shared" si="84"/>
        <v>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 &amp; aws s3 cp s3://rtdc.mdm.uploadarchive.raw/RTDC4004/ "%USERPROFILE%\AppData\Local\Temp\OnboardLogs"\RTDC4004\2017-02-25 --exclude "*" --recursive --include "*20170225*" &amp; "%USERPROFILE%\Documents\GitHub\mrs-test-scripts\Headless Mode &amp; Sideloading\WalkAndUnGZ.bat" "%USERPROFILE%\AppData\Local\Temp\OnboardLogs"\RTDC4004\2017-02-25</v>
      </c>
      <c r="AF222" s="82" t="str">
        <f t="shared" si="85"/>
        <v>"C:\Program Files (x86)\AstroGrep\AstroGrep.exe" /spath="%USERPROFILE%\AppData\Local\Temp\OnboardLogs" /stypes="app*4004*20170224*" /stext=" 22:.+((SYSTEM_STATE.+slice.+state.+changed )|(ment ac)|(multiple cpu faults)|(system.+state.+changed )|(\[timeout)|(PRM\|1\|D)|(kpr)|(kdp)|(\|lc)|(penalty))" /e /r /s</v>
      </c>
      <c r="AG222" s="1" t="str">
        <f t="shared" si="86"/>
        <v>Other</v>
      </c>
      <c r="AH222" s="86" t="str">
        <f t="shared" si="87"/>
        <v>"%USERPROFILE%\Documents\GitHub\eaglep3\Utilities\RefineRTDCRunTimes.py" --tripid 904-24 --locoid 4004 --swversion DE.1.0.9.0 --startMP 300:23629 --initTime 2017-02-24T15:24:43 --startdatetime 2017-02-24T15:28:36 --delay 3 --endMP 204:689 --enddatetime 2017-02-24T15:36:30 --enforcementcount 1 &gt;&gt;C:\Users\stu\Documents\GitHub\eaglep3-reporting\EC\2017-02-24-refined-times.txt</v>
      </c>
      <c r="AI222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{"issue":{"subject":"","project_id":79,"tracker_id":40,"status_id":1,"priority_id":2,"assigned_to_id":23,"start_date":"2017-02-24","description":"","custom_fields":[{"id":1,"name":"Subdivision","value":"Other"},{"id":4,"name":"Milepost","value":"0.0689"},{"id":17,"name":"Train ID","value":"904-24"},{"id":16,"name":"Locomotive ID","value":"4004"},{"id":130,"name":"Impact","value":""},{"id":150,"name":"Time of Event (Mountain Time)","value":"15:36:30"},{"id":151,"name":"Denver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89"/>
        <v>start /low /b %USERPROFILE%\Documents\GitHub\eaglep3\Utilities\DownloadLogsFromS3.py --loco 4004 --day 2017-02-24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"%USERPROFILE%\AppData\Local\Temp\OnboardLogs"\RTDC4004\*4004*20170224* | grep -SE "(Enforcement Action)|(\[TIMEOUT)|(CHR.+\|PRM\|1\|D.+(SWITCH|SIGNAL).+UNKNOWN)" - &gt;&gt; 2017-02-24-UncaughtWiMAX.txt</v>
      </c>
    </row>
    <row r="223" spans="1:40" x14ac:dyDescent="0.25">
      <c r="A223" s="33" t="s">
        <v>641</v>
      </c>
      <c r="B223" s="7">
        <v>4004</v>
      </c>
      <c r="C223" s="21" t="s">
        <v>280</v>
      </c>
      <c r="D223" s="21" t="s">
        <v>840</v>
      </c>
      <c r="E223" s="13">
        <v>42790.7965625</v>
      </c>
      <c r="F223" s="13">
        <v>25568.708333333332</v>
      </c>
      <c r="G223" s="7">
        <v>1</v>
      </c>
      <c r="H223" s="21" t="s">
        <v>867</v>
      </c>
      <c r="I223" s="13">
        <v>25568.708333333332</v>
      </c>
      <c r="J223" s="7">
        <v>1</v>
      </c>
      <c r="K223" s="98" t="str">
        <f t="shared" si="72"/>
        <v>4003/4004</v>
      </c>
      <c r="L223" s="21" t="str">
        <f>VLOOKUP(A223,'Trips&amp;Operators'!$C$1:$G$99999,5,FALSE)</f>
        <v>SMITH MICHAEL</v>
      </c>
      <c r="M223" s="6">
        <f t="shared" si="73"/>
        <v>0</v>
      </c>
      <c r="N223" s="7">
        <f t="shared" si="74"/>
        <v>0</v>
      </c>
      <c r="O223" s="7"/>
      <c r="P223" s="7"/>
      <c r="Q223" s="22"/>
      <c r="R223" s="22"/>
      <c r="S223" s="31">
        <f t="shared" si="75"/>
        <v>0</v>
      </c>
      <c r="T223" s="46" t="str">
        <f t="shared" si="76"/>
        <v>Southbound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7"/>
        <v>https://d0f6bd738d7f1b3e5a7ca70fe4ff75f0.us-east-1.aws.found.io/app/kibana#/discover/Steve-Slow-Train-Analysis-(2080s-and-2083s)?_g=(refreshInterval:(display:Off,pause:!f,section:0,value:0),time:(from:'2017-02-24T18:07:03-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3" s="187" t="str">
        <f t="shared" si="78"/>
        <v>Y</v>
      </c>
      <c r="X223" s="187">
        <f t="shared" si="79"/>
        <v>2</v>
      </c>
      <c r="Y223" s="62">
        <f t="shared" si="80"/>
        <v>5.8651</v>
      </c>
      <c r="Z223" s="62">
        <f t="shared" si="81"/>
        <v>2.8797000000000001</v>
      </c>
      <c r="AA223" s="62">
        <f t="shared" si="82"/>
        <v>2.9853999999999998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3"/>
        <v>0906-24</v>
      </c>
      <c r="AE223" s="85" t="str">
        <f t="shared" si="84"/>
        <v>aws s3 cp s3://rtdc.mdm.uploadarchive.raw/RTDC4004/ "%USERPROFILE%\AppData\Local\Temp\OnboardLogs"\RTDC4004\1969-12-31 --exclude "*" --recursive --include "*19691231*" &amp; "%USERPROFILE%\Documents\GitHub\mrs-test-scripts\Headless Mode &amp; Sideloading\WalkAndUnGZ.bat" "%USERPROFILE%\AppData\Local\Temp\OnboardLogs"\RTDC4004\1969-12-31 &amp; aws s3 cp s3://rtdc.mdm.uploadarchive.raw/RTDC4004/ "%USERPROFILE%\AppData\Local\Temp\OnboardLogs"\RTDC4004\1970-01-01 --exclude "*" --recursive --include "*19700101*" &amp; "%USERPROFILE%\Documents\GitHub\mrs-test-scripts\Headless Mode &amp; Sideloading\WalkAndUnGZ.bat" "%USERPROFILE%\AppData\Local\Temp\OnboardLogs"\RTDC4004\1970-01-01</v>
      </c>
      <c r="AF223" s="82" t="str">
        <f t="shared" si="85"/>
        <v>"C:\Program Files (x86)\AstroGrep\AstroGrep.exe" /spath="%USERPROFILE%\AppData\Local\Temp\OnboardLogs" /stypes="app*4004*19700101*" /stext=" 00:.+((SYSTEM_STATE.+slice.+state.+changed )|(ment ac)|(multiple cpu faults)|(system.+state.+changed )|(\[timeout)|(PRM\|1\|D)|(kpr)|(kdp)|(\|lc)|(penalty))" /e /r /s</v>
      </c>
      <c r="AG223" s="1" t="str">
        <f t="shared" si="86"/>
        <v>Other</v>
      </c>
      <c r="AH223" s="86" t="str">
        <f t="shared" si="87"/>
        <v>"%USERPROFILE%\Documents\GitHub\eaglep3\Utilities\RefineRTDCRunTimes.py" --tripid 906-24 --locoid 4004 --swversion DE.1.0.9.0 --startMP 300:58651 --initTime 2017-02-24T19:07:03 --startdatetime 1969-12-31T17:00:00 --delay 1 --endMP 300:28797 --enddatetime 1969-12-31T17:00:00 --enforcementcount 1 &gt;&gt;C:\Users\stu\Documents\GitHub\eaglep3-reporting\EC\2017-02-24-refined-times.txt</v>
      </c>
      <c r="AI223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{"issue":{"subject":"","project_id":79,"tracker_id":40,"status_id":1,"priority_id":2,"assigned_to_id":23,"start_date":"1969-12-31","description":"","custom_fields":[{"id":1,"name":"Subdivision","value":"Other"},{"id":4,"name":"Milepost","value":"2.8797"},{"id":17,"name":"Train ID","value":"906-24"},{"id":16,"name":"Locomotive ID","value":"4004"},{"id":130,"name":"Impact","value":""},{"id":150,"name":"Time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89"/>
        <v>start /low /b %USERPROFILE%\Documents\GitHub\eaglep3\Utilities\DownloadLogsFromS3.py --loco 4004 --day 1969-12-31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"%USERPROFILE%\AppData\Local\Temp\OnboardLogs"\RTDC4004\*4004*19700101* | grep -SE "(Enforcement Action)|(\[TIMEOUT)|(CHR.+\|PRM\|1\|D.+(SWITCH|SIGNAL).+UNKNOWN)" - &gt;&gt; 2017-02-24-UncaughtWiMAX.txt</v>
      </c>
    </row>
    <row r="224" spans="1:40" x14ac:dyDescent="0.25">
      <c r="A224" s="33" t="s">
        <v>868</v>
      </c>
      <c r="B224" s="7">
        <v>4054</v>
      </c>
      <c r="C224" s="21" t="s">
        <v>280</v>
      </c>
      <c r="D224" s="21" t="s">
        <v>423</v>
      </c>
      <c r="E224" s="13">
        <v>42790.944143518522</v>
      </c>
      <c r="F224" s="13">
        <v>42790.945879629631</v>
      </c>
      <c r="G224" s="7">
        <v>1</v>
      </c>
      <c r="H224" s="21" t="s">
        <v>869</v>
      </c>
      <c r="I224" s="13">
        <v>42790.950613425928</v>
      </c>
      <c r="J224" s="7">
        <v>1</v>
      </c>
      <c r="K224" s="98" t="str">
        <f t="shared" si="72"/>
        <v>4053/4054</v>
      </c>
      <c r="L224" s="21" t="str">
        <f>VLOOKUP(A224,'Trips&amp;Operators'!$C$1:$G$99999,5,FALSE)</f>
        <v>SMITH MICHAEL</v>
      </c>
      <c r="M224" s="6">
        <f t="shared" si="73"/>
        <v>4.7337962969322689E-3</v>
      </c>
      <c r="N224" s="7">
        <f t="shared" si="74"/>
        <v>6.8166666675824672</v>
      </c>
      <c r="O224" s="7"/>
      <c r="P224" s="7"/>
      <c r="Q224" s="22"/>
      <c r="R224" s="22"/>
      <c r="S224" s="31">
        <f t="shared" si="75"/>
        <v>0</v>
      </c>
      <c r="T224" s="46" t="str">
        <f t="shared" si="76"/>
        <v>Southbound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7"/>
        <v>https://d0f6bd738d7f1b3e5a7ca70fe4ff75f0.us-east-1.aws.found.io/app/kibana#/discover/Steve-Slow-Train-Analysis-(2080s-and-2083s)?_g=(refreshInterval:(display:Off,pause:!f,section:0,value:0),time:(from:'2017-02-24T21:39:34-0700',mode:absolute,to:'2017-02-24T23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4" s="187" t="str">
        <f t="shared" si="78"/>
        <v>Y</v>
      </c>
      <c r="X224" s="187">
        <f t="shared" si="79"/>
        <v>2</v>
      </c>
      <c r="Y224" s="62">
        <f t="shared" si="80"/>
        <v>5.8692000000000002</v>
      </c>
      <c r="Z224" s="62">
        <f t="shared" si="81"/>
        <v>2.1560000000000001</v>
      </c>
      <c r="AA224" s="62">
        <f t="shared" si="82"/>
        <v>3.7132000000000001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3"/>
        <v>0908-24</v>
      </c>
      <c r="AE224" s="85" t="str">
        <f t="shared" si="84"/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AF224" s="82" t="str">
        <f t="shared" si="85"/>
        <v>"C:\Program Files (x86)\AstroGrep\AstroGrep.exe" /spath="%USERPROFILE%\AppData\Local\Temp\OnboardLogs" /stypes="app*4054*20170225*" /stext=" 05:.+((SYSTEM_STATE.+slice.+state.+changed )|(ment ac)|(multiple cpu faults)|(system.+state.+changed )|(\[timeout)|(PRM\|1\|D)|(kpr)|(kdp)|(\|lc)|(penalty))" /e /r /s</v>
      </c>
      <c r="AG224" s="1" t="str">
        <f t="shared" si="86"/>
        <v>Other</v>
      </c>
      <c r="AH224" s="86" t="str">
        <f t="shared" si="87"/>
        <v>"%USERPROFILE%\Documents\GitHub\eaglep3\Utilities\RefineRTDCRunTimes.py" --tripid 908-24 --locoid 4054 --swversion DE.1.0.9.0 --startMP 300:58692 --initTime 2017-02-24T22:39:34 --startdatetime 2017-02-24T22:42:04 --delay 1 --endMP 300:21560 --enddatetime 2017-02-24T22:48:53 --enforcementcount 1 &gt;&gt;C:\Users\stu\Documents\GitHub\eaglep3-reporting\EC\2017-02-24-refined-times.txt</v>
      </c>
      <c r="AI224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{"issue":{"subject":"","project_id":79,"tracker_id":40,"status_id":1,"priority_id":2,"assigned_to_id":23,"start_date":"2017-02-24","description":"","custom_fields":[{"id":1,"name":"Subdivision","value":"Other"},{"id":4,"name":"Milepost","value":"2.156"},{"id":17,"name":"Train ID","value":"908-24"},{"id":16,"name":"Locomotive ID","value":"4054"},{"id":130,"name":"Impact","value":""},{"id":150,"name":"Time of Event (Mountain Time)","value":"22:48:53"},{"id":151,"name":"Denver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89"/>
        <v>start /low /b %USERPROFILE%\Documents\GitHub\eaglep3\Utilities\DownloadLogsFromS3.py --loco 4054 --day 2017-02-24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"%USERPROFILE%\AppData\Local\Temp\OnboardLogs"\RTDC4054\*4054*20170225* | grep -SE "(Enforcement Action)|(\[TIMEOUT)|(CHR.+\|PRM\|1\|D.+(SWITCH|SIGNAL).+UNKNOWN)" - &gt;&gt; 2017-02-24-UncaughtWiMAX.txt</v>
      </c>
    </row>
    <row r="225" spans="1:40" x14ac:dyDescent="0.25">
      <c r="A225" s="33" t="s">
        <v>439</v>
      </c>
      <c r="B225" s="7">
        <v>4017</v>
      </c>
      <c r="C225" s="21" t="s">
        <v>280</v>
      </c>
      <c r="D225" s="21" t="s">
        <v>760</v>
      </c>
      <c r="E225" s="13">
        <v>42790.137499999997</v>
      </c>
      <c r="F225" s="13">
        <v>25568.708333333332</v>
      </c>
      <c r="G225" s="7">
        <v>1</v>
      </c>
      <c r="H225" s="21" t="s">
        <v>761</v>
      </c>
      <c r="I225" s="13">
        <v>25568.708333333332</v>
      </c>
      <c r="J225" s="7">
        <v>1</v>
      </c>
      <c r="K225" s="98" t="str">
        <f t="shared" si="72"/>
        <v>4017/4018</v>
      </c>
      <c r="L225" s="21" t="str">
        <f>VLOOKUP(A225,'Trips&amp;Operators'!$C$1:$G$99999,5,FALSE)</f>
        <v>SPECTOR MICHAEL</v>
      </c>
      <c r="M225" s="6">
        <f t="shared" si="73"/>
        <v>0</v>
      </c>
      <c r="N225" s="7">
        <f t="shared" si="74"/>
        <v>0</v>
      </c>
      <c r="O225" s="7"/>
      <c r="P225" s="7"/>
      <c r="Q225" s="22"/>
      <c r="R225" s="22"/>
      <c r="S225" s="31">
        <f t="shared" si="75"/>
        <v>0</v>
      </c>
      <c r="T225" s="46" t="str">
        <f t="shared" si="76"/>
        <v>NorthBound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7"/>
        <v>https://d0f6bd738d7f1b3e5a7ca70fe4ff75f0.us-east-1.aws.found.io/app/kibana#/discover/Steve-Slow-Train-Analysis-(2080s-and-2083s)?_g=(refreshInterval:(display:Off,pause:!f,section:0,value:0),time:(from:'2017-02-24T02:18:00-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5" s="187" t="str">
        <f t="shared" si="78"/>
        <v>N</v>
      </c>
      <c r="X225" s="187">
        <f t="shared" si="79"/>
        <v>3109</v>
      </c>
      <c r="Y225" s="62">
        <f t="shared" si="80"/>
        <v>5.9307999999999996</v>
      </c>
      <c r="Z225" s="62">
        <f t="shared" si="81"/>
        <v>0.1135</v>
      </c>
      <c r="AA225" s="62">
        <f t="shared" si="82"/>
        <v>5.8172999999999995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3"/>
        <v>4017-24</v>
      </c>
      <c r="AE225" s="85" t="str">
        <f t="shared" si="84"/>
        <v>aws s3 cp s3://rtdc.mdm.uploadarchive.raw/RTDC4017/ "%USERPROFILE%\AppData\Local\Temp\OnboardLogs"\RTDC4017\1969-12-31 --exclude "*" --recursive --include "*19691231*" &amp; "%USERPROFILE%\Documents\GitHub\mrs-test-scripts\Headless Mode &amp; Sideloading\WalkAndUnGZ.bat" "%USERPROFILE%\AppData\Local\Temp\OnboardLogs"\RTDC4017\1969-12-31 &amp; aws s3 cp s3://rtdc.mdm.uploadarchive.raw/RTDC4017/ "%USERPROFILE%\AppData\Local\Temp\OnboardLogs"\RTDC4017\1970-01-01 --exclude "*" --recursive --include "*19700101*" &amp; "%USERPROFILE%\Documents\GitHub\mrs-test-scripts\Headless Mode &amp; Sideloading\WalkAndUnGZ.bat" "%USERPROFILE%\AppData\Local\Temp\OnboardLogs"\RTDC4017\1970-01-01</v>
      </c>
      <c r="AF225" s="82" t="str">
        <f t="shared" si="85"/>
        <v>"C:\Program Files (x86)\AstroGrep\AstroGrep.exe" /spath="%USERPROFILE%\AppData\Local\Temp\OnboardLogs" /stypes="app*4017*19700101*" /stext=" 00:.+((SYSTEM_STATE.+slice.+state.+changed )|(ment ac)|(multiple cpu faults)|(system.+state.+changed )|(\[timeout)|(PRM\|1\|D)|(kpr)|(kdp)|(\|lc)|(penalty))" /e /r /s</v>
      </c>
      <c r="AG225" s="1" t="str">
        <f t="shared" si="86"/>
        <v>Other</v>
      </c>
      <c r="AH225" s="86" t="str">
        <f t="shared" si="87"/>
        <v>"%USERPROFILE%\Documents\GitHub\eaglep3\Utilities\RefineRTDCRunTimes.py" --tripid 4017-24 --locoid 4017 --swversion DE.1.0.9.0 --startMP 204:59308 --initTime 2017-02-24T03:18:00 --startdatetime 1969-12-31T17:00:00 --delay 1 --endMP 204:1135 --enddatetime 1969-12-31T17:00:00 --enforcementcount 1 &gt;&gt;C:\Users\stu\Documents\GitHub\eaglep3-reporting\EC\2017-02-24-refined-times.txt</v>
      </c>
      <c r="AI225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{"issue":{"subject":"","project_id":79,"tracker_id":40,"status_id":1,"priority_id":2,"assigned_to_id":23,"start_date":"1969-12-31","description":"","custom_fields":[{"id":1,"name":"Subdivision","value":"Other"},{"id":4,"name":"Milepost","value":"0.1135"},{"id":17,"name":"Train ID","value":"4017-24"},{"id":16,"name":"Locomotive ID","value":"4017"},{"id":130,"name":"Impact","value":""},{"id":150,"name":"Time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89"/>
        <v>start /low /b %USERPROFILE%\Documents\GitHub\eaglep3\Utilities\DownloadLogsFromS3.py --loco 4017 --day 1969-12-31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"%USERPROFILE%\AppData\Local\Temp\OnboardLogs"\RTDC4017\*4017*19700101* | grep -SE "(Enforcement Action)|(\[TIMEOUT)|(CHR.+\|PRM\|1\|D.+(SWITCH|SIGNAL).+UNKNOWN)" - &gt;&gt; 2017-02-24-UncaughtWiMAX.txt</v>
      </c>
    </row>
    <row r="226" spans="1:40" x14ac:dyDescent="0.25">
      <c r="A226" s="33" t="s">
        <v>439</v>
      </c>
      <c r="B226" s="7">
        <v>4018</v>
      </c>
      <c r="C226" s="21" t="s">
        <v>280</v>
      </c>
      <c r="D226" s="21" t="s">
        <v>762</v>
      </c>
      <c r="E226" s="13">
        <v>42790.118981481479</v>
      </c>
      <c r="F226" s="13">
        <v>25568.708333333332</v>
      </c>
      <c r="G226" s="7">
        <v>1</v>
      </c>
      <c r="H226" s="21" t="s">
        <v>763</v>
      </c>
      <c r="I226" s="13">
        <v>25568.708333333332</v>
      </c>
      <c r="J226" s="7">
        <v>1</v>
      </c>
      <c r="K226" s="98" t="str">
        <f t="shared" si="72"/>
        <v>4017/4018</v>
      </c>
      <c r="L226" s="21" t="str">
        <f>VLOOKUP(A226,'Trips&amp;Operators'!$C$1:$G$99999,5,FALSE)</f>
        <v>SPECTOR MICHAEL</v>
      </c>
      <c r="M226" s="6">
        <f t="shared" si="73"/>
        <v>0</v>
      </c>
      <c r="N226" s="7">
        <f t="shared" si="74"/>
        <v>0</v>
      </c>
      <c r="O226" s="7"/>
      <c r="P226" s="7"/>
      <c r="Q226" s="22"/>
      <c r="R226" s="22"/>
      <c r="S226" s="31">
        <f t="shared" si="75"/>
        <v>1</v>
      </c>
      <c r="T226" s="46" t="str">
        <f t="shared" si="76"/>
        <v>NorthBound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86" t="str">
        <f t="shared" si="77"/>
        <v>https://d0f6bd738d7f1b3e5a7ca70fe4ff75f0.us-east-1.aws.found.io/app/kibana#/discover/Steve-Slow-Train-Analysis-(2080s-and-2083s)?_g=(refreshInterval:(display:Off,pause:!f,section:0,value:0),time:(from:'2017-02-24T01:51:20-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6" s="187" t="str">
        <f t="shared" si="78"/>
        <v>N</v>
      </c>
      <c r="X226" s="187">
        <f t="shared" si="79"/>
        <v>0</v>
      </c>
      <c r="Y226" s="62">
        <f t="shared" si="80"/>
        <v>0.1182</v>
      </c>
      <c r="Z226" s="62">
        <f t="shared" si="81"/>
        <v>5.9619999999999997</v>
      </c>
      <c r="AA226" s="62">
        <f t="shared" si="82"/>
        <v>5.8437999999999999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3"/>
        <v>4017-24</v>
      </c>
      <c r="AE226" s="85" t="str">
        <f t="shared" si="84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6" s="82" t="str">
        <f t="shared" si="85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6" s="1" t="str">
        <f t="shared" si="86"/>
        <v>Other</v>
      </c>
      <c r="AH226" s="86" t="str">
        <f t="shared" si="87"/>
        <v>"%USERPROFILE%\Documents\GitHub\eaglep3\Utilities\RefineRTDCRunTimes.py" --tripid 4017-24 --locoid 4018 --swversion DE.1.0.9.0 --startMP 204:1182 --initTime 2017-02-24T02:51:20 --startdatetime 1969-12-31T17:00:00 --delay 1 --endMP 204:59620 --enddatetime 1969-12-31T17:00:00 --enforcementcount 1 &gt;&gt;C:\Users\stu\Documents\GitHub\eaglep3-reporting\EC\2017-02-24-refined-times.txt</v>
      </c>
      <c r="AI226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{"issue":{"subject":"","project_id":79,"tracker_id":40,"status_id":1,"priority_id":2,"assigned_to_id":23,"start_date":"1969-12-31","description":"","custom_fields":[{"id":1,"name":"Subdivision","value":"Other"},{"id":4,"name":"Milepost","value":"5.962"},{"id":17,"name":"Train ID","value":"4017-24"},{"id":16,"name":"Locomotive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89"/>
        <v>start /low /b %USERPROFILE%\Documents\GitHub\eaglep3\Utilities\DownloadLogsFromS3.py --loco 4018 --day 1969-12-31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2017-02-24-UncaughtWiMAX.txt</v>
      </c>
    </row>
    <row r="227" spans="1:40" x14ac:dyDescent="0.25">
      <c r="A227" s="33" t="s">
        <v>454</v>
      </c>
      <c r="B227" s="7">
        <v>4028</v>
      </c>
      <c r="C227" s="21" t="s">
        <v>280</v>
      </c>
      <c r="D227" s="21" t="s">
        <v>764</v>
      </c>
      <c r="E227" s="13">
        <v>42790.433159722219</v>
      </c>
      <c r="F227" s="13">
        <v>42790.434641203705</v>
      </c>
      <c r="G227" s="7">
        <v>1</v>
      </c>
      <c r="H227" s="21" t="s">
        <v>709</v>
      </c>
      <c r="I227" s="13">
        <v>42790.439745370371</v>
      </c>
      <c r="J227" s="7">
        <v>1</v>
      </c>
      <c r="K227" s="98" t="str">
        <f t="shared" si="72"/>
        <v>4027/4028</v>
      </c>
      <c r="L227" s="21" t="str">
        <f>VLOOKUP(A227,'Trips&amp;Operators'!$C$1:$G$99999,5,FALSE)</f>
        <v>DELGADO DIANAH</v>
      </c>
      <c r="M227" s="6">
        <f t="shared" si="73"/>
        <v>5.1041666665696539E-3</v>
      </c>
      <c r="N227" s="7">
        <f t="shared" si="74"/>
        <v>7.3499999998603016</v>
      </c>
      <c r="O227" s="7"/>
      <c r="P227" s="7"/>
      <c r="Q227" s="22"/>
      <c r="R227" s="22"/>
      <c r="S227" s="31">
        <f t="shared" si="75"/>
        <v>0</v>
      </c>
      <c r="T227" s="46" t="e">
        <f t="shared" si="76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7"/>
        <v>https://d0f6bd738d7f1b3e5a7ca70fe4ff75f0.us-east-1.aws.found.io/app/kibana#/discover/Steve-Slow-Train-Analysis-(2080s-and-2083s)?_g=(refreshInterval:(display:Off,pause:!f,section:0,value:0),time:(from:'2017-02-24T09:23:45-0700',mode:absolute,to:'2017-02-24T11:33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7" s="187" t="str">
        <f t="shared" si="78"/>
        <v>Y</v>
      </c>
      <c r="X227" s="187" t="e">
        <f t="shared" si="79"/>
        <v>#VALUE!</v>
      </c>
      <c r="Y227" s="62">
        <f t="shared" si="80"/>
        <v>2.3332000000000002</v>
      </c>
      <c r="Z227" s="62">
        <f t="shared" si="81"/>
        <v>1.38E-2</v>
      </c>
      <c r="AA227" s="62">
        <f t="shared" si="82"/>
        <v>2.3194000000000004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3"/>
        <v>50-24</v>
      </c>
      <c r="AE227" s="85" t="str">
        <f t="shared" si="84"/>
        <v>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 &amp; 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</v>
      </c>
      <c r="AF227" s="82" t="str">
        <f t="shared" si="85"/>
        <v>"C:\Program Files (x86)\AstroGrep\AstroGrep.exe" /spath="%USERPROFILE%\AppData\Local\Temp\OnboardLogs" /stypes="app*4028*20170224*" /stext=" 17:.+((SYSTEM_STATE.+slice.+state.+changed )|(ment ac)|(multiple cpu faults)|(system.+state.+changed )|(\[timeout)|(PRM\|1\|D)|(kpr)|(kdp)|(\|lc)|(penalty))" /e /r /s</v>
      </c>
      <c r="AG227" s="1" t="str">
        <f t="shared" si="86"/>
        <v>Other</v>
      </c>
      <c r="AH227" s="86" t="str">
        <f t="shared" si="87"/>
        <v>"%USERPROFILE%\Documents\GitHub\eaglep3\Utilities\RefineRTDCRunTimes.py" --tripid 50-24 --locoid 4028 --swversion DE.1.0.9.0 --startMP 300:23332 --initTime 2017-02-24T10:23:45 --startdatetime 2017-02-24T10:25:53 --delay 1 --endMP 204:138 --enddatetime 2017-02-24T10:33:14 --enforcementcount 1 &gt;&gt;C:\Users\stu\Documents\GitHub\eaglep3-reporting\EC\2017-02-24-refined-times.txt</v>
      </c>
      <c r="AI227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{"issue":{"subject":"","project_id":79,"tracker_id":40,"status_id":1,"priority_id":2,"assigned_to_id":23,"start_date":"2017-02-24","description":"","custom_fields":[{"id":1,"name":"Subdivision","value":"Other"},{"id":4,"name":"Milepost","value":"0.0138"},{"id":17,"name":"Train ID","value":"50-24"},{"id":16,"name":"Locomotive ID","value":"4028"},{"id":130,"name":"Impact","value":""},{"id":150,"name":"Time of Event (Mountain Time)","value":"10:33:14"},{"id":151,"name":"Denver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89"/>
        <v>start /low /b %USERPROFILE%\Documents\GitHub\eaglep3\Utilities\DownloadLogsFromS3.py --loco 4028 --day 2017-02-24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"%USERPROFILE%\AppData\Local\Temp\OnboardLogs"\RTDC4028\*4028*20170224* | grep -SE "(Enforcement Action)|(\[TIMEOUT)|(CHR.+\|PRM\|1\|D.+(SWITCH|SIGNAL).+UNKNOWN)" - &gt;&gt; 2017-02-24-UncaughtWiMAX.txt</v>
      </c>
    </row>
    <row r="228" spans="1:40" x14ac:dyDescent="0.25">
      <c r="A228" s="33" t="s">
        <v>618</v>
      </c>
      <c r="B228" s="7">
        <v>4006</v>
      </c>
      <c r="C228" s="21" t="s">
        <v>280</v>
      </c>
      <c r="D228" s="21" t="s">
        <v>765</v>
      </c>
      <c r="E228" s="13">
        <v>42790.71634259259</v>
      </c>
      <c r="F228" s="13">
        <v>25568.708333333332</v>
      </c>
      <c r="G228" s="7">
        <v>10</v>
      </c>
      <c r="H228" s="21" t="s">
        <v>766</v>
      </c>
      <c r="I228" s="13">
        <v>25568.708333333332</v>
      </c>
      <c r="J228" s="7">
        <v>1</v>
      </c>
      <c r="K228" s="98" t="str">
        <f t="shared" si="72"/>
        <v>4005/4006</v>
      </c>
      <c r="L228" s="21" t="str">
        <f>VLOOKUP(A228,'Trips&amp;Operators'!$C$1:$G$99999,5,FALSE)</f>
        <v>ARVIDSON DANIEL</v>
      </c>
      <c r="M228" s="6">
        <f t="shared" si="73"/>
        <v>0</v>
      </c>
      <c r="N228" s="7">
        <f t="shared" si="74"/>
        <v>0</v>
      </c>
      <c r="O228" s="7"/>
      <c r="P228" s="7"/>
      <c r="Q228" s="22"/>
      <c r="R228" s="22"/>
      <c r="S228" s="31">
        <f t="shared" si="75"/>
        <v>0</v>
      </c>
      <c r="T228" s="46" t="e">
        <f t="shared" si="76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7"/>
        <v>https://d0f6bd738d7f1b3e5a7ca70fe4ff75f0.us-east-1.aws.found.io/app/kibana#/discover/Steve-Slow-Train-Analysis-(2080s-and-2083s)?_g=(refreshInterval:(display:Off,pause:!f,section:0,value:0),time:(from:'2017-02-24T16:11:32-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8" s="187" t="str">
        <f t="shared" si="78"/>
        <v>Y</v>
      </c>
      <c r="X228" s="187" t="e">
        <f t="shared" si="79"/>
        <v>#VALUE!</v>
      </c>
      <c r="Y228" s="62">
        <f t="shared" si="80"/>
        <v>0.14710000000000001</v>
      </c>
      <c r="Z228" s="62">
        <f t="shared" si="81"/>
        <v>2.3108</v>
      </c>
      <c r="AA228" s="62">
        <f t="shared" si="82"/>
        <v>2.1637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3"/>
        <v>53-24</v>
      </c>
      <c r="AE228" s="85" t="str">
        <f t="shared" si="84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28" s="82" t="str">
        <f t="shared" si="85"/>
        <v>"C:\Program Files (x86)\AstroGrep\AstroGrep.exe" /spath="%USERPROFILE%\AppData\Local\Temp\OnboardLogs" /stypes="app*4006*19700101*" /stext=" 00:.+((SYSTEM_STATE.+slice.+state.+changed )|(ment ac)|(multiple cpu faults)|(system.+state.+changed )|(\[timeout)|(PRM\|1\|D)|(kpr)|(kdp)|(\|lc)|(penalty))" /e /r /s</v>
      </c>
      <c r="AG228" s="1" t="str">
        <f t="shared" si="86"/>
        <v>Other</v>
      </c>
      <c r="AH228" s="86" t="str">
        <f t="shared" si="87"/>
        <v>"%USERPROFILE%\Documents\GitHub\eaglep3\Utilities\RefineRTDCRunTimes.py" --tripid 53-24 --locoid 4006 --swversion DE.1.0.9.0 --startMP 204:1471 --initTime 2017-02-24T17:11:32 --startdatetime 1969-12-31T17:00:00 --delay 10 --endMP 300:23108 --enddatetime 1969-12-31T17:00:00 --enforcementcount 1 &gt;&gt;C:\Users\stu\Documents\GitHub\eaglep3-reporting\EC\2017-02-24-refined-times.txt</v>
      </c>
      <c r="AI228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{"issue":{"subject":"","project_id":79,"tracker_id":40,"status_id":1,"priority_id":2,"assigned_to_id":23,"start_date":"1969-12-31","description":"","custom_fields":[{"id":1,"name":"Subdivision","value":"Other"},{"id":4,"name":"Milepost","value":"2.3108"},{"id":17,"name":"Train ID","value":"53-24"},{"id":16,"name":"Locomotive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89"/>
        <v>start /low /b %USERPROFILE%\Documents\GitHub\eaglep3\Utilities\DownloadLogsFromS3.py --loco 4006 --day 1969-12-31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"%USERPROFILE%\AppData\Local\Temp\OnboardLogs"\RTDC4006\*4006*19700101* | grep -SE "(Enforcement Action)|(\[TIMEOUT)|(CHR.+\|PRM\|1\|D.+(SWITCH|SIGNAL).+UNKNOWN)" - &gt;&gt; 2017-02-24-UncaughtWiMAX.txt</v>
      </c>
    </row>
    <row r="229" spans="1:40" x14ac:dyDescent="0.25">
      <c r="A229" s="33" t="s">
        <v>621</v>
      </c>
      <c r="B229" s="7">
        <v>4018</v>
      </c>
      <c r="C229" s="21" t="s">
        <v>280</v>
      </c>
      <c r="D229" s="21" t="s">
        <v>767</v>
      </c>
      <c r="E229" s="13">
        <v>42790.723101851851</v>
      </c>
      <c r="F229" s="13">
        <v>25568.708333333332</v>
      </c>
      <c r="G229" s="7">
        <v>2</v>
      </c>
      <c r="H229" s="21" t="s">
        <v>750</v>
      </c>
      <c r="I229" s="13">
        <v>25568.708333333332</v>
      </c>
      <c r="J229" s="7">
        <v>1</v>
      </c>
      <c r="K229" s="98" t="str">
        <f t="shared" si="72"/>
        <v>4017/4018</v>
      </c>
      <c r="L229" s="21" t="str">
        <f>VLOOKUP(A229,'Trips&amp;Operators'!$C$1:$G$99999,5,FALSE)</f>
        <v>HOLCOMB KAMDEN</v>
      </c>
      <c r="M229" s="6">
        <f t="shared" si="73"/>
        <v>0</v>
      </c>
      <c r="N229" s="7">
        <f t="shared" si="74"/>
        <v>0</v>
      </c>
      <c r="O229" s="7"/>
      <c r="P229" s="7"/>
      <c r="Q229" s="22"/>
      <c r="R229" s="22"/>
      <c r="S229" s="31">
        <f t="shared" si="75"/>
        <v>0</v>
      </c>
      <c r="T229" s="46" t="e">
        <f t="shared" si="76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7"/>
        <v>https://d0f6bd738d7f1b3e5a7ca70fe4ff75f0.us-east-1.aws.found.io/app/kibana#/discover/Steve-Slow-Train-Analysis-(2080s-and-2083s)?_g=(refreshInterval:(display:Off,pause:!f,section:0,value:0),time:(from:'2017-02-24T16:21:16-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9" s="187" t="str">
        <f t="shared" si="78"/>
        <v>Y</v>
      </c>
      <c r="X229" s="187" t="e">
        <f t="shared" si="79"/>
        <v>#VALUE!</v>
      </c>
      <c r="Y229" s="62">
        <f t="shared" si="80"/>
        <v>0.1147</v>
      </c>
      <c r="Z229" s="62">
        <f t="shared" si="81"/>
        <v>2.3308</v>
      </c>
      <c r="AA229" s="62">
        <f t="shared" si="82"/>
        <v>2.2161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3"/>
        <v>55-24</v>
      </c>
      <c r="AE229" s="85" t="str">
        <f t="shared" si="84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9" s="82" t="str">
        <f t="shared" si="85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29" s="1" t="str">
        <f t="shared" si="86"/>
        <v>Other</v>
      </c>
      <c r="AH229" s="86" t="str">
        <f t="shared" si="87"/>
        <v>"%USERPROFILE%\Documents\GitHub\eaglep3\Utilities\RefineRTDCRunTimes.py" --tripid 55-24 --locoid 4018 --swversion DE.1.0.9.0 --startMP 204:1147 --initTime 2017-02-24T17:21:16 --startdatetime 1969-12-31T17:00:00 --delay 2 --endMP 300:23308 --enddatetime 1969-12-31T17:00:00 --enforcementcount 1 &gt;&gt;C:\Users\stu\Documents\GitHub\eaglep3-reporting\EC\2017-02-24-refined-times.txt</v>
      </c>
      <c r="AI229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ID","value":"55-24"},{"id":16,"name":"Locomotive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89"/>
        <v>start /low /b %USERPROFILE%\Documents\GitHub\eaglep3\Utilities\DownloadLogsFromS3.py --loco 4018 --day 1969-12-31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"%USERPROFILE%\AppData\Local\Temp\OnboardLogs"\RTDC4018\*4018*19700101* | grep -SE "(Enforcement Action)|(\[TIMEOUT)|(CHR.+\|PRM\|1\|D.+(SWITCH|SIGNAL).+UNKNOWN)" - &gt;&gt; 2017-02-24-UncaughtWiMAX.txt</v>
      </c>
    </row>
    <row r="230" spans="1:40" x14ac:dyDescent="0.25">
      <c r="A230" s="33" t="s">
        <v>367</v>
      </c>
      <c r="B230" s="7">
        <v>4050</v>
      </c>
      <c r="C230" s="21" t="s">
        <v>280</v>
      </c>
      <c r="D230" s="21" t="s">
        <v>407</v>
      </c>
      <c r="E230" s="13">
        <v>42790.076828703706</v>
      </c>
      <c r="F230" s="13">
        <v>42790.093946759262</v>
      </c>
      <c r="G230" s="7">
        <v>0</v>
      </c>
      <c r="H230" s="21" t="s">
        <v>408</v>
      </c>
      <c r="I230" s="13">
        <v>42790.101412037038</v>
      </c>
      <c r="J230" s="7">
        <v>1</v>
      </c>
      <c r="K230" s="98" t="str">
        <f t="shared" si="72"/>
        <v>4049/4050</v>
      </c>
      <c r="L230" s="21" t="str">
        <f>VLOOKUP(A230,'Trips&amp;Operators'!$C$1:$G$99999,5,FALSE)</f>
        <v>COMELLA JUSTIN</v>
      </c>
      <c r="M230" s="6">
        <f t="shared" si="73"/>
        <v>7.4652777766459621E-3</v>
      </c>
      <c r="N230" s="7">
        <f t="shared" si="74"/>
        <v>10.749999998370185</v>
      </c>
      <c r="O230" s="7"/>
      <c r="P230" s="7"/>
      <c r="Q230" s="22"/>
      <c r="R230" s="22"/>
      <c r="S230" s="31">
        <f t="shared" si="75"/>
        <v>0</v>
      </c>
      <c r="T230" s="46" t="e">
        <f t="shared" si="76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7"/>
        <v>https://d0f6bd738d7f1b3e5a7ca70fe4ff75f0.us-east-1.aws.found.io/app/kibana#/discover/Steve-Slow-Train-Analysis-(2080s-and-2083s)?_g=(refreshInterval:(display:Off,pause:!f,section:0,value:0),time:(from:'2017-02-24T00:50:38-0700',mode:absolute,to:'2017-02-24T03:26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0" s="187" t="str">
        <f t="shared" si="78"/>
        <v>Y</v>
      </c>
      <c r="X230" s="187" t="e">
        <f t="shared" si="79"/>
        <v>#VALUE!</v>
      </c>
      <c r="Y230" s="62">
        <f t="shared" si="80"/>
        <v>3.0754000000000001</v>
      </c>
      <c r="Z230" s="62">
        <f t="shared" si="81"/>
        <v>2.7099999999999999E-2</v>
      </c>
      <c r="AA230" s="62">
        <f t="shared" si="82"/>
        <v>3.0483000000000002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3"/>
        <v>60-23</v>
      </c>
      <c r="AE230" s="85" t="str">
        <f t="shared" si="84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30" s="82" t="str">
        <f t="shared" si="85"/>
        <v>"C:\Program Files (x86)\AstroGrep\AstroGrep.exe" /spath="%USERPROFILE%\AppData\Local\Temp\OnboardLogs" /stypes="app*4050*20170224*" /stext=" 09:.+((SYSTEM_STATE.+slice.+state.+changed )|(ment ac)|(multiple cpu faults)|(system.+state.+changed )|(\[timeout)|(PRM\|1\|D)|(kpr)|(kdp)|(\|lc)|(penalty))" /e /r /s</v>
      </c>
      <c r="AG230" s="1" t="str">
        <f t="shared" si="86"/>
        <v>Other</v>
      </c>
      <c r="AH230" s="86" t="str">
        <f t="shared" si="87"/>
        <v>"%USERPROFILE%\Documents\GitHub\eaglep3\Utilities\RefineRTDCRunTimes.py" --tripid 60-23 --locoid 4050 --swversion DE.1.0.9.0 --startMP 300:30754 --initTime 2017-02-24T01:50:38 --startdatetime 2017-02-24T02:15:17 --delay 0 --endMP 204:271 --enddatetime 2017-02-24T02:26:02 --enforcementcount 1 &gt;&gt;C:\Users\stu\Documents\GitHub\eaglep3-reporting\EC\2017-02-24-refined-times.txt</v>
      </c>
      <c r="AI230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{"issue":{"subject":"","project_id":79,"tracker_id":40,"status_id":1,"priority_id":2,"assigned_to_id":23,"start_date":"2017-02-24","description":"","custom_fields":[{"id":1,"name":"Subdivision","value":"Other"},{"id":4,"name":"Milepost","value":"0.0271"},{"id":17,"name":"Train ID","value":"60-23"},{"id":16,"name":"Locomotive ID","value":"4050"},{"id":130,"name":"Impact","value":""},{"id":150,"name":"Time of Event (Mountain Time)","value":"02:26:02"},{"id":151,"name":"Denver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89"/>
        <v>start /low /b %USERPROFILE%\Documents\GitHub\eaglep3\Utilities\DownloadLogsFromS3.py --loco 4050 --day 2017-02-24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2017-02-24-UncaughtWiMAX.txt</v>
      </c>
    </row>
    <row r="231" spans="1:40" x14ac:dyDescent="0.25">
      <c r="A231" s="33" t="s">
        <v>367</v>
      </c>
      <c r="B231" s="7">
        <v>4050</v>
      </c>
      <c r="C231" s="21" t="s">
        <v>280</v>
      </c>
      <c r="D231" s="21" t="s">
        <v>409</v>
      </c>
      <c r="E231" s="13">
        <v>42790.092905092592</v>
      </c>
      <c r="F231" s="13">
        <v>42790.093946759262</v>
      </c>
      <c r="G231" s="7">
        <v>1</v>
      </c>
      <c r="H231" s="21" t="s">
        <v>272</v>
      </c>
      <c r="I231" s="13">
        <v>42790.101412037038</v>
      </c>
      <c r="J231" s="7">
        <v>1</v>
      </c>
      <c r="K231" s="98" t="str">
        <f t="shared" si="72"/>
        <v>4049/4050</v>
      </c>
      <c r="L231" s="21" t="str">
        <f>VLOOKUP(A231,'Trips&amp;Operators'!$C$1:$G$99999,5,FALSE)</f>
        <v>COMELLA JUSTIN</v>
      </c>
      <c r="M231" s="6">
        <f t="shared" si="73"/>
        <v>7.4652777766459621E-3</v>
      </c>
      <c r="N231" s="7">
        <f t="shared" si="74"/>
        <v>10.749999998370185</v>
      </c>
      <c r="O231" s="7"/>
      <c r="P231" s="7"/>
      <c r="Q231" s="22"/>
      <c r="R231" s="22"/>
      <c r="S231" s="31">
        <f t="shared" si="75"/>
        <v>0</v>
      </c>
      <c r="T231" s="46" t="e">
        <f t="shared" si="76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7"/>
        <v>https://d0f6bd738d7f1b3e5a7ca70fe4ff75f0.us-east-1.aws.found.io/app/kibana#/discover/Steve-Slow-Train-Analysis-(2080s-and-2083s)?_g=(refreshInterval:(display:Off,pause:!f,section:0,value:0),time:(from:'2017-02-24T01:13:47-0700',mode:absolute,to:'2017-02-24T03:26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1" s="187" t="str">
        <f t="shared" si="78"/>
        <v>Y</v>
      </c>
      <c r="X231" s="187" t="e">
        <f t="shared" si="79"/>
        <v>#VALUE!</v>
      </c>
      <c r="Y231" s="62">
        <f t="shared" si="80"/>
        <v>3.0756000000000001</v>
      </c>
      <c r="Z231" s="62">
        <f t="shared" si="81"/>
        <v>4.7500000000000001E-2</v>
      </c>
      <c r="AA231" s="62">
        <f t="shared" si="82"/>
        <v>3.0281000000000002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3"/>
        <v>60-23</v>
      </c>
      <c r="AE231" s="85" t="str">
        <f t="shared" si="84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31" s="82" t="str">
        <f t="shared" si="85"/>
        <v>"C:\Program Files (x86)\AstroGrep\AstroGrep.exe" /spath="%USERPROFILE%\AppData\Local\Temp\OnboardLogs" /stypes="app*4050*20170224*" /stext=" 09:.+((SYSTEM_STATE.+slice.+state.+changed )|(ment ac)|(multiple cpu faults)|(system.+state.+changed )|(\[timeout)|(PRM\|1\|D)|(kpr)|(kdp)|(\|lc)|(penalty))" /e /r /s</v>
      </c>
      <c r="AG231" s="1" t="str">
        <f t="shared" si="86"/>
        <v>Other</v>
      </c>
      <c r="AH231" s="86" t="str">
        <f t="shared" si="87"/>
        <v>"%USERPROFILE%\Documents\GitHub\eaglep3\Utilities\RefineRTDCRunTimes.py" --tripid 60-23 --locoid 4050 --swversion DE.1.0.9.0 --startMP 300:30756 --initTime 2017-02-24T02:13:47 --startdatetime 2017-02-24T02:15:17 --delay 1 --endMP 204:475 --enddatetime 2017-02-24T02:26:02 --enforcementcount 1 &gt;&gt;C:\Users\stu\Documents\GitHub\eaglep3-reporting\EC\2017-02-24-refined-times.txt</v>
      </c>
      <c r="AI231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{"issue":{"subject":"","project_id":79,"tracker_id":40,"status_id":1,"priority_id":2,"assigned_to_id":23,"start_date":"2017-02-24","description":"","custom_fields":[{"id":1,"name":"Subdivision","value":"Other"},{"id":4,"name":"Milepost","value":"0.0475"},{"id":17,"name":"Train ID","value":"60-23"},{"id":16,"name":"Locomotive ID","value":"4050"},{"id":130,"name":"Impact","value":""},{"id":150,"name":"Time of Event (Mountain Time)","value":"02:26:02"},{"id":151,"name":"Denver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89"/>
        <v>start /low /b %USERPROFILE%\Documents\GitHub\eaglep3\Utilities\DownloadLogsFromS3.py --loco 4050 --day 2017-02-24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2017-02-24-UncaughtWiMAX.txt</v>
      </c>
    </row>
    <row r="232" spans="1:40" x14ac:dyDescent="0.25">
      <c r="A232" s="33" t="s">
        <v>467</v>
      </c>
      <c r="B232" s="7">
        <v>4028</v>
      </c>
      <c r="C232" s="21" t="s">
        <v>280</v>
      </c>
      <c r="D232" s="21" t="s">
        <v>768</v>
      </c>
      <c r="E232" s="13">
        <v>42790.754004629627</v>
      </c>
      <c r="F232" s="13">
        <v>42790.755173611113</v>
      </c>
      <c r="G232" s="7">
        <v>1</v>
      </c>
      <c r="H232" s="21" t="s">
        <v>769</v>
      </c>
      <c r="I232" s="13">
        <v>42790.76017361111</v>
      </c>
      <c r="J232" s="7">
        <v>1</v>
      </c>
      <c r="K232" s="98" t="str">
        <f t="shared" si="72"/>
        <v>4027/4028</v>
      </c>
      <c r="L232" s="21" t="str">
        <f>VLOOKUP(A232,'Trips&amp;Operators'!$C$1:$G$99999,5,FALSE)</f>
        <v>HILLS DUSTIN</v>
      </c>
      <c r="M232" s="6">
        <f t="shared" si="73"/>
        <v>4.9999999973806553E-3</v>
      </c>
      <c r="N232" s="7">
        <f t="shared" si="74"/>
        <v>7.1999999962281436</v>
      </c>
      <c r="O232" s="7"/>
      <c r="P232" s="7"/>
      <c r="Q232" s="22"/>
      <c r="R232" s="22"/>
      <c r="S232" s="31">
        <f t="shared" si="75"/>
        <v>0</v>
      </c>
      <c r="T232" s="46" t="e">
        <f t="shared" si="76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7"/>
        <v>https://d0f6bd738d7f1b3e5a7ca70fe4ff75f0.us-east-1.aws.found.io/app/kibana#/discover/Steve-Slow-Train-Analysis-(2080s-and-2083s)?_g=(refreshInterval:(display:Off,pause:!f,section:0,value:0),time:(from:'2017-02-24T17:05:46-0700',mode:absolute,to:'2017-02-24T19:14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2" s="187" t="str">
        <f t="shared" si="78"/>
        <v>Y</v>
      </c>
      <c r="X232" s="187" t="e">
        <f t="shared" si="79"/>
        <v>#VALUE!</v>
      </c>
      <c r="Y232" s="62">
        <f t="shared" si="80"/>
        <v>2.3121999999999998</v>
      </c>
      <c r="Z232" s="62">
        <f t="shared" si="81"/>
        <v>9.7000000000000003E-3</v>
      </c>
      <c r="AA232" s="62">
        <f t="shared" si="82"/>
        <v>2.3024999999999998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3"/>
        <v>70-24</v>
      </c>
      <c r="AE232" s="85" t="str">
        <f t="shared" si="84"/>
        <v>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 &amp; 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</v>
      </c>
      <c r="AF232" s="82" t="str">
        <f t="shared" si="85"/>
        <v>"C:\Program Files (x86)\AstroGrep\AstroGrep.exe" /spath="%USERPROFILE%\AppData\Local\Temp\OnboardLogs" /stypes="app*4028*20170225*" /stext=" 01:.+((SYSTEM_STATE.+slice.+state.+changed )|(ment ac)|(multiple cpu faults)|(system.+state.+changed )|(\[timeout)|(PRM\|1\|D)|(kpr)|(kdp)|(\|lc)|(penalty))" /e /r /s</v>
      </c>
      <c r="AG232" s="1" t="str">
        <f t="shared" si="86"/>
        <v>Other</v>
      </c>
      <c r="AH232" s="86" t="str">
        <f t="shared" si="87"/>
        <v>"%USERPROFILE%\Documents\GitHub\eaglep3\Utilities\RefineRTDCRunTimes.py" --tripid 70-24 --locoid 4028 --swversion DE.1.0.9.0 --startMP 300:23122 --initTime 2017-02-24T18:05:46 --startdatetime 2017-02-24T18:07:27 --delay 1 --endMP 204:97 --enddatetime 2017-02-24T18:14:39 --enforcementcount 1 &gt;&gt;C:\Users\stu\Documents\GitHub\eaglep3-reporting\EC\2017-02-24-refined-times.txt</v>
      </c>
      <c r="AI232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{"issue":{"subject":"","project_id":79,"tracker_id":40,"status_id":1,"priority_id":2,"assigned_to_id":23,"start_date":"2017-02-24","description":"","custom_fields":[{"id":1,"name":"Subdivision","value":"Other"},{"id":4,"name":"Milepost","value":"0.0097"},{"id":17,"name":"Train ID","value":"70-24"},{"id":16,"name":"Locomotive ID","value":"4028"},{"id":130,"name":"Impact","value":""},{"id":150,"name":"Time of Event (Mountain Time)","value":"18:14:39"},{"id":151,"name":"Denver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89"/>
        <v>start /low /b %USERPROFILE%\Documents\GitHub\eaglep3\Utilities\DownloadLogsFromS3.py --loco 4028 --day 2017-02-24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"%USERPROFILE%\AppData\Local\Temp\OnboardLogs"\RTDC4028\*4028*20170225* | grep -SE "(Enforcement Action)|(\[TIMEOUT)|(CHR.+\|PRM\|1\|D.+(SWITCH|SIGNAL).+UNKNOWN)" - &gt;&gt; 2017-02-24-UncaughtWiMAX.txt</v>
      </c>
    </row>
    <row r="233" spans="1:40" x14ac:dyDescent="0.25">
      <c r="A233" s="33" t="s">
        <v>635</v>
      </c>
      <c r="B233" s="7">
        <v>4027</v>
      </c>
      <c r="C233" s="21" t="s">
        <v>280</v>
      </c>
      <c r="D233" s="21" t="s">
        <v>770</v>
      </c>
      <c r="E233" s="13">
        <v>42790.770243055558</v>
      </c>
      <c r="F233" s="13">
        <v>25568.708333333332</v>
      </c>
      <c r="G233" s="7">
        <v>1</v>
      </c>
      <c r="H233" s="21" t="s">
        <v>262</v>
      </c>
      <c r="I233" s="13">
        <v>25568.708333333332</v>
      </c>
      <c r="J233" s="7">
        <v>1</v>
      </c>
      <c r="K233" s="98" t="str">
        <f t="shared" si="72"/>
        <v>4027/4028</v>
      </c>
      <c r="L233" s="21" t="str">
        <f>VLOOKUP(A233,'Trips&amp;Operators'!$C$1:$G$99999,5,FALSE)</f>
        <v>CLARK KATHLEEN</v>
      </c>
      <c r="M233" s="6">
        <f t="shared" si="73"/>
        <v>0</v>
      </c>
      <c r="N233" s="7">
        <f t="shared" si="74"/>
        <v>0</v>
      </c>
      <c r="O233" s="7"/>
      <c r="P233" s="7"/>
      <c r="Q233" s="22"/>
      <c r="R233" s="22"/>
      <c r="S233" s="31">
        <f t="shared" si="75"/>
        <v>0</v>
      </c>
      <c r="T233" s="46" t="e">
        <f t="shared" si="76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7"/>
        <v>https://d0f6bd738d7f1b3e5a7ca70fe4ff75f0.us-east-1.aws.found.io/app/kibana#/discover/Steve-Slow-Train-Analysis-(2080s-and-2083s)?_g=(refreshInterval:(display:Off,pause:!f,section:0,value:0),time:(from:'2017-02-24T17:29:09-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3" s="187" t="str">
        <f t="shared" si="78"/>
        <v>Y</v>
      </c>
      <c r="X233" s="187" t="e">
        <f t="shared" si="79"/>
        <v>#VALUE!</v>
      </c>
      <c r="Y233" s="62">
        <f t="shared" si="80"/>
        <v>3.9899999999999998E-2</v>
      </c>
      <c r="Z233" s="62">
        <f t="shared" si="81"/>
        <v>2.3346</v>
      </c>
      <c r="AA233" s="62">
        <f t="shared" si="82"/>
        <v>2.2947000000000002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3"/>
        <v>71-24</v>
      </c>
      <c r="AE233" s="85" t="str">
        <f t="shared" si="84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33" s="82" t="str">
        <f t="shared" si="85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33" s="1" t="str">
        <f t="shared" si="86"/>
        <v>Other</v>
      </c>
      <c r="AH233" s="86" t="str">
        <f t="shared" si="87"/>
        <v>"%USERPROFILE%\Documents\GitHub\eaglep3\Utilities\RefineRTDCRunTimes.py" --tripid 71-24 --locoid 4027 --swversion DE.1.0.9.0 --startMP 204:399 --initTime 2017-02-24T18:29:09 --startdatetime 1969-12-31T17:00:00 --delay 1 --endMP 300:23346 --enddatetime 1969-12-31T17:00:00 --enforcementcount 1 &gt;&gt;C:\Users\stu\Documents\GitHub\eaglep3-reporting\EC\2017-02-24-refined-times.txt</v>
      </c>
      <c r="AI233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ID","value":"71-24"},{"id":16,"name":"Locomotive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89"/>
        <v>start /low /b %USERPROFILE%\Documents\GitHub\eaglep3\Utilities\DownloadLogsFromS3.py --loco 4027 --day 1969-12-31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2017-02-24-UncaughtWiMAX.txt</v>
      </c>
    </row>
    <row r="234" spans="1:40" x14ac:dyDescent="0.25">
      <c r="A234" s="33" t="s">
        <v>630</v>
      </c>
      <c r="B234" s="7">
        <v>4013</v>
      </c>
      <c r="C234" s="21" t="s">
        <v>280</v>
      </c>
      <c r="D234" s="21" t="s">
        <v>771</v>
      </c>
      <c r="E234" s="13">
        <v>42790.760428240741</v>
      </c>
      <c r="F234" s="13">
        <v>42790.761678240742</v>
      </c>
      <c r="G234" s="7">
        <v>1</v>
      </c>
      <c r="H234" s="21" t="s">
        <v>772</v>
      </c>
      <c r="I234" s="13">
        <v>42790.76703703704</v>
      </c>
      <c r="J234" s="7">
        <v>1</v>
      </c>
      <c r="K234" s="98" t="str">
        <f t="shared" si="72"/>
        <v>4013/4014</v>
      </c>
      <c r="L234" s="21" t="str">
        <f>VLOOKUP(A234,'Trips&amp;Operators'!$C$1:$G$99999,5,FALSE)</f>
        <v>SAFIEF AEIMEN</v>
      </c>
      <c r="M234" s="6">
        <f t="shared" si="73"/>
        <v>5.3587962975143455E-3</v>
      </c>
      <c r="N234" s="7">
        <f t="shared" si="74"/>
        <v>7.7166666684206575</v>
      </c>
      <c r="O234" s="7"/>
      <c r="P234" s="7"/>
      <c r="Q234" s="22"/>
      <c r="R234" s="22"/>
      <c r="S234" s="31">
        <f t="shared" si="75"/>
        <v>0</v>
      </c>
      <c r="T234" s="46" t="e">
        <f t="shared" si="76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7"/>
        <v>https://d0f6bd738d7f1b3e5a7ca70fe4ff75f0.us-east-1.aws.found.io/app/kibana#/discover/Steve-Slow-Train-Analysis-(2080s-and-2083s)?_g=(refreshInterval:(display:Off,pause:!f,section:0,value:0),time:(from:'2017-02-24T17:15:01-0700',mode:absolute,to:'2017-02-24T19:24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4" s="187" t="str">
        <f t="shared" si="78"/>
        <v>Y</v>
      </c>
      <c r="X234" s="187" t="e">
        <f t="shared" si="79"/>
        <v>#VALUE!</v>
      </c>
      <c r="Y234" s="62">
        <f t="shared" si="80"/>
        <v>2.1823999999999999</v>
      </c>
      <c r="Z234" s="62">
        <f t="shared" si="81"/>
        <v>9.98E-2</v>
      </c>
      <c r="AA234" s="62">
        <f t="shared" si="82"/>
        <v>2.0825999999999998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3"/>
        <v>72-24</v>
      </c>
      <c r="AE234" s="85" t="str">
        <f t="shared" si="84"/>
        <v>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 &amp; aws s3 cp s3://rtdc.mdm.uploadarchive.raw/RTDC4013/ "%USERPROFILE%\AppData\Local\Temp\OnboardLogs"\RTDC4013\2017-02-25 --exclude "*" --recursive --include "*20170225*" &amp; "%USERPROFILE%\Documents\GitHub\mrs-test-scripts\Headless Mode &amp; Sideloading\WalkAndUnGZ.bat" "%USERPROFILE%\AppData\Local\Temp\OnboardLogs"\RTDC4013\2017-02-25</v>
      </c>
      <c r="AF234" s="82" t="str">
        <f t="shared" si="85"/>
        <v>"C:\Program Files (x86)\AstroGrep\AstroGrep.exe" /spath="%USERPROFILE%\AppData\Local\Temp\OnboardLogs" /stypes="app*4013*20170225*" /stext=" 01:.+((SYSTEM_STATE.+slice.+state.+changed )|(ment ac)|(multiple cpu faults)|(system.+state.+changed )|(\[timeout)|(PRM\|1\|D)|(kpr)|(kdp)|(\|lc)|(penalty))" /e /r /s</v>
      </c>
      <c r="AG234" s="1" t="str">
        <f t="shared" si="86"/>
        <v>Other</v>
      </c>
      <c r="AH234" s="86" t="str">
        <f t="shared" si="87"/>
        <v>"%USERPROFILE%\Documents\GitHub\eaglep3\Utilities\RefineRTDCRunTimes.py" --tripid 72-24 --locoid 4013 --swversion DE.1.0.9.0 --startMP 300:21824 --initTime 2017-02-24T18:15:01 --startdatetime 2017-02-24T18:16:49 --delay 1 --endMP 204:998 --enddatetime 2017-02-24T18:24:32 --enforcementcount 1 &gt;&gt;C:\Users\stu\Documents\GitHub\eaglep3-reporting\EC\2017-02-24-refined-times.txt</v>
      </c>
      <c r="AI234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{"issue":{"subject":"","project_id":79,"tracker_id":40,"status_id":1,"priority_id":2,"assigned_to_id":23,"start_date":"2017-02-24","description":"","custom_fields":[{"id":1,"name":"Subdivision","value":"Other"},{"id":4,"name":"Milepost","value":"0.0998"},{"id":17,"name":"Train ID","value":"72-24"},{"id":16,"name":"Locomotive ID","value":"4013"},{"id":130,"name":"Impact","value":""},{"id":150,"name":"Time of Event (Mountain Time)","value":"18:24:32"},{"id":151,"name":"Denver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89"/>
        <v>start /low /b %USERPROFILE%\Documents\GitHub\eaglep3\Utilities\DownloadLogsFromS3.py --loco 4013 --day 2017-02-24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"%USERPROFILE%\AppData\Local\Temp\OnboardLogs"\RTDC4013\*4013*20170225* | grep -SE "(Enforcement Action)|(\[TIMEOUT)|(CHR.+\|PRM\|1\|D.+(SWITCH|SIGNAL).+UNKNOWN)" - &gt;&gt; 2017-02-24-UncaughtWiMAX.txt</v>
      </c>
    </row>
    <row r="235" spans="1:40" x14ac:dyDescent="0.25">
      <c r="A235" s="33" t="s">
        <v>652</v>
      </c>
      <c r="B235" s="7">
        <v>4050</v>
      </c>
      <c r="C235" s="21" t="s">
        <v>280</v>
      </c>
      <c r="D235" s="21" t="s">
        <v>773</v>
      </c>
      <c r="E235" s="13">
        <v>42790.846898148149</v>
      </c>
      <c r="F235" s="13">
        <v>42790.867754629631</v>
      </c>
      <c r="G235" s="7">
        <v>1</v>
      </c>
      <c r="H235" s="21" t="s">
        <v>774</v>
      </c>
      <c r="I235" s="13">
        <v>42790.874791666669</v>
      </c>
      <c r="J235" s="7">
        <v>1</v>
      </c>
      <c r="K235" s="98" t="str">
        <f t="shared" si="72"/>
        <v>4049/4050</v>
      </c>
      <c r="L235" s="21" t="str">
        <f>VLOOKUP(A235,'Trips&amp;Operators'!$C$1:$G$99999,5,FALSE)</f>
        <v>COMELLA JUSTIN</v>
      </c>
      <c r="M235" s="6">
        <f t="shared" si="73"/>
        <v>7.0370370376622304E-3</v>
      </c>
      <c r="N235" s="7">
        <f t="shared" si="74"/>
        <v>10.133333334233612</v>
      </c>
      <c r="O235" s="7"/>
      <c r="P235" s="7"/>
      <c r="Q235" s="22"/>
      <c r="R235" s="22"/>
      <c r="S235" s="31">
        <f t="shared" si="75"/>
        <v>0</v>
      </c>
      <c r="T235" s="46" t="e">
        <f t="shared" si="76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77"/>
        <v>https://d0f6bd738d7f1b3e5a7ca70fe4ff75f0.us-east-1.aws.found.io/app/kibana#/discover/Steve-Slow-Train-Analysis-(2080s-and-2083s)?_g=(refreshInterval:(display:Off,pause:!f,section:0,value:0),time:(from:'2017-02-24T19:19:32-0700',mode:absolute,to:'2017-02-24T21:59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187" t="str">
        <f t="shared" si="78"/>
        <v>Y</v>
      </c>
      <c r="X235" s="187" t="e">
        <f t="shared" si="79"/>
        <v>#VALUE!</v>
      </c>
      <c r="Y235" s="62">
        <f t="shared" si="80"/>
        <v>2.3127</v>
      </c>
      <c r="Z235" s="62">
        <f t="shared" si="81"/>
        <v>0.1229</v>
      </c>
      <c r="AA235" s="62">
        <f t="shared" si="82"/>
        <v>2.1898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3"/>
        <v>80-24</v>
      </c>
      <c r="AE235" s="85" t="str">
        <f t="shared" si="84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35" s="82" t="str">
        <f t="shared" si="85"/>
        <v>"C:\Program Files (x86)\AstroGrep\AstroGrep.exe" /spath="%USERPROFILE%\AppData\Local\Temp\OnboardLogs" /stypes="app*4050*20170225*" /stext=" 03:.+((SYSTEM_STATE.+slice.+state.+changed )|(ment ac)|(multiple cpu faults)|(system.+state.+changed )|(\[timeout)|(PRM\|1\|D)|(kpr)|(kdp)|(\|lc)|(penalty))" /e /r /s</v>
      </c>
      <c r="AG235" s="1" t="str">
        <f t="shared" si="86"/>
        <v>Other</v>
      </c>
      <c r="AH235" s="86" t="str">
        <f t="shared" si="87"/>
        <v>"%USERPROFILE%\Documents\GitHub\eaglep3\Utilities\RefineRTDCRunTimes.py" --tripid 80-24 --locoid 4050 --swversion DE.1.0.9.0 --startMP 300:23127 --initTime 2017-02-24T20:19:32 --startdatetime 2017-02-24T20:49:34 --delay 1 --endMP 204:1229 --enddatetime 2017-02-24T20:59:42 --enforcementcount 1 &gt;&gt;C:\Users\stu\Documents\GitHub\eaglep3-reporting\EC\2017-02-24-refined-times.txt</v>
      </c>
      <c r="AI235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{"issue":{"subject":"","project_id":79,"tracker_id":40,"status_id":1,"priority_id":2,"assigned_to_id":23,"start_date":"2017-02-24","description":"","custom_fields":[{"id":1,"name":"Subdivision","value":"Other"},{"id":4,"name":"Milepost","value":"0.1229"},{"id":17,"name":"Train ID","value":"80-24"},{"id":16,"name":"Locomotive ID","value":"4050"},{"id":130,"name":"Impact","value":""},{"id":150,"name":"Time of Event (Mountain Time)","value":"20:59:42"},{"id":151,"name":"Denver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89"/>
        <v>start /low /b %USERPROFILE%\Documents\GitHub\eaglep3\Utilities\DownloadLogsFromS3.py --loco 4050 --day 2017-02-24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36" spans="1:40" x14ac:dyDescent="0.25">
      <c r="A236" s="33" t="s">
        <v>652</v>
      </c>
      <c r="B236" s="7">
        <v>4050</v>
      </c>
      <c r="C236" s="21" t="s">
        <v>280</v>
      </c>
      <c r="D236" s="21" t="s">
        <v>775</v>
      </c>
      <c r="E236" s="13">
        <v>42790.863877314812</v>
      </c>
      <c r="F236" s="13">
        <v>42790.884502314817</v>
      </c>
      <c r="G236" s="7">
        <v>1</v>
      </c>
      <c r="H236" s="21" t="s">
        <v>776</v>
      </c>
      <c r="I236" s="13">
        <v>42790.889872685184</v>
      </c>
      <c r="J236" s="7">
        <v>1</v>
      </c>
      <c r="K236" s="98" t="str">
        <f t="shared" si="72"/>
        <v>4049/4050</v>
      </c>
      <c r="L236" s="21" t="str">
        <f>VLOOKUP(A236,'Trips&amp;Operators'!$C$1:$G$99999,5,FALSE)</f>
        <v>COMELLA JUSTIN</v>
      </c>
      <c r="M236" s="6">
        <f t="shared" si="73"/>
        <v>5.3703703670180403E-3</v>
      </c>
      <c r="N236" s="7">
        <f t="shared" si="74"/>
        <v>7.733333328505978</v>
      </c>
      <c r="O236" s="7"/>
      <c r="P236" s="7"/>
      <c r="Q236" s="22"/>
      <c r="R236" s="22"/>
      <c r="S236" s="31">
        <f t="shared" si="75"/>
        <v>0</v>
      </c>
      <c r="T236" s="46" t="e">
        <f t="shared" si="76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77"/>
        <v>https://d0f6bd738d7f1b3e5a7ca70fe4ff75f0.us-east-1.aws.found.io/app/kibana#/discover/Steve-Slow-Train-Analysis-(2080s-and-2083s)?_g=(refreshInterval:(display:Off,pause:!f,section:0,value:0),time:(from:'2017-02-24T19:43:59-0700',mode:absolute,to:'2017-02-24T22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6" s="187" t="str">
        <f t="shared" si="78"/>
        <v>Y</v>
      </c>
      <c r="X236" s="187" t="e">
        <f t="shared" si="79"/>
        <v>#VALUE!</v>
      </c>
      <c r="Y236" s="62">
        <f t="shared" si="80"/>
        <v>3.0848</v>
      </c>
      <c r="Z236" s="62">
        <f t="shared" si="81"/>
        <v>0.1086</v>
      </c>
      <c r="AA236" s="62">
        <f t="shared" si="82"/>
        <v>2.9762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83"/>
        <v>80-24</v>
      </c>
      <c r="AE236" s="85" t="str">
        <f t="shared" si="84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36" s="82" t="str">
        <f t="shared" si="85"/>
        <v>"C:\Program Files (x86)\AstroGrep\AstroGrep.exe" /spath="%USERPROFILE%\AppData\Local\Temp\OnboardLogs" /stypes="app*4050*20170225*" /stext=" 04:.+((SYSTEM_STATE.+slice.+state.+changed )|(ment ac)|(multiple cpu faults)|(system.+state.+changed )|(\[timeout)|(PRM\|1\|D)|(kpr)|(kdp)|(\|lc)|(penalty))" /e /r /s</v>
      </c>
      <c r="AG236" s="1" t="str">
        <f t="shared" si="86"/>
        <v>Other</v>
      </c>
      <c r="AH236" s="86" t="str">
        <f t="shared" si="87"/>
        <v>"%USERPROFILE%\Documents\GitHub\eaglep3\Utilities\RefineRTDCRunTimes.py" --tripid 80-24 --locoid 4050 --swversion DE.1.0.9.0 --startMP 300:30848 --initTime 2017-02-24T20:43:59 --startdatetime 2017-02-24T21:13:41 --delay 1 --endMP 204:1086 --enddatetime 2017-02-24T21:21:25 --enforcementcount 1 &gt;&gt;C:\Users\stu\Documents\GitHub\eaglep3-reporting\EC\2017-02-24-refined-times.txt</v>
      </c>
      <c r="AI236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{"issue":{"subject":"","project_id":79,"tracker_id":40,"status_id":1,"priority_id":2,"assigned_to_id":23,"start_date":"2017-02-24","description":"","custom_fields":[{"id":1,"name":"Subdivision","value":"Other"},{"id":4,"name":"Milepost","value":"0.1086"},{"id":17,"name":"Train ID","value":"80-24"},{"id":16,"name":"Locomotive ID","value":"4050"},{"id":130,"name":"Impact","value":""},{"id":150,"name":"Time of Event (Mountain Time)","value":"21:21:25"},{"id":151,"name":"Denver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89"/>
        <v>start /low /b %USERPROFILE%\Documents\GitHub\eaglep3\Utilities\DownloadLogsFromS3.py --loco 4050 --day 2017-02-24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37" spans="1:40" x14ac:dyDescent="0.25">
      <c r="A237" s="33" t="s">
        <v>652</v>
      </c>
      <c r="B237" s="7">
        <v>4050</v>
      </c>
      <c r="C237" s="21" t="s">
        <v>280</v>
      </c>
      <c r="D237" s="21" t="s">
        <v>777</v>
      </c>
      <c r="E237" s="13">
        <v>42790.898310185185</v>
      </c>
      <c r="F237" s="13">
        <v>42790.919699074075</v>
      </c>
      <c r="G237" s="7">
        <v>1</v>
      </c>
      <c r="H237" s="21" t="s">
        <v>778</v>
      </c>
      <c r="I237" s="13">
        <v>42790.926307870373</v>
      </c>
      <c r="J237" s="7">
        <v>1</v>
      </c>
      <c r="K237" s="98" t="str">
        <f t="shared" si="72"/>
        <v>4049/4050</v>
      </c>
      <c r="L237" s="21" t="str">
        <f>VLOOKUP(A237,'Trips&amp;Operators'!$C$1:$G$99999,5,FALSE)</f>
        <v>COMELLA JUSTIN</v>
      </c>
      <c r="M237" s="6">
        <f t="shared" si="73"/>
        <v>6.6087962986784987E-3</v>
      </c>
      <c r="N237" s="7">
        <f t="shared" si="74"/>
        <v>9.5166666700970381</v>
      </c>
      <c r="O237" s="7"/>
      <c r="P237" s="7"/>
      <c r="Q237" s="22"/>
      <c r="R237" s="22"/>
      <c r="S237" s="31">
        <f t="shared" si="75"/>
        <v>0</v>
      </c>
      <c r="T237" s="46" t="e">
        <f t="shared" si="76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77"/>
        <v>https://d0f6bd738d7f1b3e5a7ca70fe4ff75f0.us-east-1.aws.found.io/app/kibana#/discover/Steve-Slow-Train-Analysis-(2080s-and-2083s)?_g=(refreshInterval:(display:Off,pause:!f,section:0,value:0),time:(from:'2017-02-24T20:33:34-0700',mode:absolute,to:'2017-02-24T23:13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7" s="187" t="str">
        <f t="shared" si="78"/>
        <v>Y</v>
      </c>
      <c r="X237" s="187" t="e">
        <f t="shared" si="79"/>
        <v>#VALUE!</v>
      </c>
      <c r="Y237" s="62">
        <f t="shared" si="80"/>
        <v>3.0905</v>
      </c>
      <c r="Z237" s="62">
        <f t="shared" si="81"/>
        <v>0.10249999999999999</v>
      </c>
      <c r="AA237" s="62">
        <f t="shared" si="82"/>
        <v>2.988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83"/>
        <v>80-24</v>
      </c>
      <c r="AE237" s="85" t="str">
        <f t="shared" si="84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37" s="82" t="str">
        <f t="shared" si="85"/>
        <v>"C:\Program Files (x86)\AstroGrep\AstroGrep.exe" /spath="%USERPROFILE%\AppData\Local\Temp\OnboardLogs" /stypes="app*4050*20170225*" /stext=" 05:.+((SYSTEM_STATE.+slice.+state.+changed )|(ment ac)|(multiple cpu faults)|(system.+state.+changed )|(\[timeout)|(PRM\|1\|D)|(kpr)|(kdp)|(\|lc)|(penalty))" /e /r /s</v>
      </c>
      <c r="AG237" s="1" t="str">
        <f t="shared" si="86"/>
        <v>Other</v>
      </c>
      <c r="AH237" s="86" t="str">
        <f t="shared" si="87"/>
        <v>"%USERPROFILE%\Documents\GitHub\eaglep3\Utilities\RefineRTDCRunTimes.py" --tripid 80-24 --locoid 4050 --swversion DE.1.0.9.0 --startMP 300:30905 --initTime 2017-02-24T21:33:34 --startdatetime 2017-02-24T22:04:22 --delay 1 --endMP 204:1025 --enddatetime 2017-02-24T22:13:53 --enforcementcount 1 &gt;&gt;C:\Users\stu\Documents\GitHub\eaglep3-reporting\EC\2017-02-24-refined-times.txt</v>
      </c>
      <c r="AI237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{"issue":{"subject":"","project_id":79,"tracker_id":40,"status_id":1,"priority_id":2,"assigned_to_id":23,"start_date":"2017-02-24","description":"","custom_fields":[{"id":1,"name":"Subdivision","value":"Other"},{"id":4,"name":"Milepost","value":"0.1025"},{"id":17,"name":"Train ID","value":"80-24"},{"id":16,"name":"Locomotive ID","value":"4050"},{"id":130,"name":"Impact","value":""},{"id":150,"name":"Time of Event (Mountain Time)","value":"22:13:53"},{"id":151,"name":"Denver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89"/>
        <v>start /low /b %USERPROFILE%\Documents\GitHub\eaglep3\Utilities\DownloadLogsFromS3.py --loco 4050 --day 2017-02-24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38" spans="1:40" x14ac:dyDescent="0.25">
      <c r="A238" s="33" t="s">
        <v>652</v>
      </c>
      <c r="B238" s="7">
        <v>4050</v>
      </c>
      <c r="C238" s="21" t="s">
        <v>280</v>
      </c>
      <c r="D238" s="21" t="s">
        <v>779</v>
      </c>
      <c r="E238" s="13">
        <v>42790.938217592593</v>
      </c>
      <c r="F238" s="13">
        <v>42790.955810185187</v>
      </c>
      <c r="G238" s="7">
        <v>1</v>
      </c>
      <c r="H238" s="21" t="s">
        <v>780</v>
      </c>
      <c r="I238" s="13">
        <v>42790.961747685185</v>
      </c>
      <c r="J238" s="7">
        <v>1</v>
      </c>
      <c r="K238" s="98" t="str">
        <f t="shared" si="72"/>
        <v>4049/4050</v>
      </c>
      <c r="L238" s="21" t="str">
        <f>VLOOKUP(A238,'Trips&amp;Operators'!$C$1:$G$99999,5,FALSE)</f>
        <v>COMELLA JUSTIN</v>
      </c>
      <c r="M238" s="6">
        <f t="shared" si="73"/>
        <v>5.9374999982537702E-3</v>
      </c>
      <c r="N238" s="7">
        <f t="shared" si="74"/>
        <v>8.549999997485429</v>
      </c>
      <c r="O238" s="7"/>
      <c r="P238" s="7"/>
      <c r="Q238" s="22"/>
      <c r="R238" s="22"/>
      <c r="S238" s="31">
        <f t="shared" si="75"/>
        <v>0</v>
      </c>
      <c r="T238" s="46" t="e">
        <f t="shared" si="76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77"/>
        <v>https://d0f6bd738d7f1b3e5a7ca70fe4ff75f0.us-east-1.aws.found.io/app/kibana#/discover/Steve-Slow-Train-Analysis-(2080s-and-2083s)?_g=(refreshInterval:(display:Off,pause:!f,section:0,value:0),time:(from:'2017-02-24T21:31:02-0700',mode:absolute,to:'2017-02-25T00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8" s="187" t="str">
        <f t="shared" si="78"/>
        <v>Y</v>
      </c>
      <c r="X238" s="187" t="e">
        <f t="shared" si="79"/>
        <v>#VALUE!</v>
      </c>
      <c r="Y238" s="62">
        <f t="shared" si="80"/>
        <v>3.0918999999999999</v>
      </c>
      <c r="Z238" s="62">
        <f t="shared" si="81"/>
        <v>9.9500000000000005E-2</v>
      </c>
      <c r="AA238" s="62">
        <f t="shared" si="82"/>
        <v>2.9923999999999999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83"/>
        <v>80-24</v>
      </c>
      <c r="AE238" s="85" t="str">
        <f t="shared" si="84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38" s="82" t="str">
        <f t="shared" si="85"/>
        <v>"C:\Program Files (x86)\AstroGrep\AstroGrep.exe" /spath="%USERPROFILE%\AppData\Local\Temp\OnboardLogs" /stypes="app*4050*20170225*" /stext=" 06:.+((SYSTEM_STATE.+slice.+state.+changed )|(ment ac)|(multiple cpu faults)|(system.+state.+changed )|(\[timeout)|(PRM\|1\|D)|(kpr)|(kdp)|(\|lc)|(penalty))" /e /r /s</v>
      </c>
      <c r="AG238" s="1" t="str">
        <f t="shared" si="86"/>
        <v>Other</v>
      </c>
      <c r="AH238" s="86" t="str">
        <f t="shared" si="87"/>
        <v>"%USERPROFILE%\Documents\GitHub\eaglep3\Utilities\RefineRTDCRunTimes.py" --tripid 80-24 --locoid 4050 --swversion DE.1.0.9.0 --startMP 300:30919 --initTime 2017-02-24T22:31:02 --startdatetime 2017-02-24T22:56:22 --delay 1 --endMP 204:995 --enddatetime 2017-02-24T23:04:55 --enforcementcount 1 &gt;&gt;C:\Users\stu\Documents\GitHub\eaglep3-reporting\EC\2017-02-24-refined-times.txt</v>
      </c>
      <c r="AI238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{"issue":{"subject":"","project_id":79,"tracker_id":40,"status_id":1,"priority_id":2,"assigned_to_id":23,"start_date":"2017-02-24","description":"","custom_fields":[{"id":1,"name":"Subdivision","value":"Other"},{"id":4,"name":"Milepost","value":"0.0995"},{"id":17,"name":"Train ID","value":"80-24"},{"id":16,"name":"Locomotive ID","value":"4050"},{"id":130,"name":"Impact","value":""},{"id":150,"name":"Time of Event (Mountain Time)","value":"23:04:55"},{"id":151,"name":"Denver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89"/>
        <v>start /low /b %USERPROFILE%\Documents\GitHub\eaglep3\Utilities\DownloadLogsFromS3.py --loco 4050 --day 2017-02-24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39" spans="1:40" x14ac:dyDescent="0.25">
      <c r="A239" s="33" t="s">
        <v>652</v>
      </c>
      <c r="B239" s="7">
        <v>4050</v>
      </c>
      <c r="C239" s="21" t="s">
        <v>280</v>
      </c>
      <c r="D239" s="21" t="s">
        <v>781</v>
      </c>
      <c r="E239" s="13">
        <v>42790.918645833335</v>
      </c>
      <c r="F239" s="13">
        <v>42790.939212962963</v>
      </c>
      <c r="G239" s="7">
        <v>0</v>
      </c>
      <c r="H239" s="21" t="s">
        <v>782</v>
      </c>
      <c r="I239" s="13">
        <v>42790.94431712963</v>
      </c>
      <c r="J239" s="7">
        <v>1</v>
      </c>
      <c r="K239" s="98" t="str">
        <f t="shared" si="72"/>
        <v>4049/4050</v>
      </c>
      <c r="L239" s="21" t="str">
        <f>VLOOKUP(A239,'Trips&amp;Operators'!$C$1:$G$99999,5,FALSE)</f>
        <v>COMELLA JUSTIN</v>
      </c>
      <c r="M239" s="6">
        <f t="shared" si="73"/>
        <v>5.1041666665696539E-3</v>
      </c>
      <c r="N239" s="7">
        <f t="shared" si="74"/>
        <v>7.3499999998603016</v>
      </c>
      <c r="O239" s="7"/>
      <c r="P239" s="7"/>
      <c r="Q239" s="22"/>
      <c r="R239" s="22"/>
      <c r="S239" s="31">
        <f t="shared" si="75"/>
        <v>0</v>
      </c>
      <c r="T239" s="46" t="e">
        <f t="shared" si="76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77"/>
        <v>https://d0f6bd738d7f1b3e5a7ca70fe4ff75f0.us-east-1.aws.found.io/app/kibana#/discover/Steve-Slow-Train-Analysis-(2080s-and-2083s)?_g=(refreshInterval:(display:Off,pause:!f,section:0,value:0),time:(from:'2017-02-24T21:02:51-0700',mode:absolute,to:'2017-02-24T23:39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9" s="187" t="str">
        <f t="shared" si="78"/>
        <v>Y</v>
      </c>
      <c r="X239" s="187" t="e">
        <f t="shared" si="79"/>
        <v>#VALUE!</v>
      </c>
      <c r="Y239" s="62">
        <f t="shared" si="80"/>
        <v>3.0960000000000001</v>
      </c>
      <c r="Z239" s="62">
        <f t="shared" si="81"/>
        <v>0.10100000000000001</v>
      </c>
      <c r="AA239" s="62">
        <f t="shared" si="82"/>
        <v>2.9950000000000001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83"/>
        <v>80-24</v>
      </c>
      <c r="AE239" s="85" t="str">
        <f t="shared" si="84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39" s="82" t="str">
        <f t="shared" si="85"/>
        <v>"C:\Program Files (x86)\AstroGrep\AstroGrep.exe" /spath="%USERPROFILE%\AppData\Local\Temp\OnboardLogs" /stypes="app*4050*20170225*" /stext=" 05:.+((SYSTEM_STATE.+slice.+state.+changed )|(ment ac)|(multiple cpu faults)|(system.+state.+changed )|(\[timeout)|(PRM\|1\|D)|(kpr)|(kdp)|(\|lc)|(penalty))" /e /r /s</v>
      </c>
      <c r="AG239" s="1" t="str">
        <f t="shared" si="86"/>
        <v>Other</v>
      </c>
      <c r="AH239" s="86" t="str">
        <f t="shared" si="87"/>
        <v>"%USERPROFILE%\Documents\GitHub\eaglep3\Utilities\RefineRTDCRunTimes.py" --tripid 80-24 --locoid 4050 --swversion DE.1.0.9.0 --startMP 300:30960 --initTime 2017-02-24T22:02:51 --startdatetime 2017-02-24T22:32:28 --delay 0 --endMP 204:1010 --enddatetime 2017-02-24T22:39:49 --enforcementcount 1 &gt;&gt;C:\Users\stu\Documents\GitHub\eaglep3-reporting\EC\2017-02-24-refined-times.txt</v>
      </c>
      <c r="AI239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{"issue":{"subject":"","project_id":79,"tracker_id":40,"status_id":1,"priority_id":2,"assigned_to_id":23,"start_date":"2017-02-24","description":"","custom_fields":[{"id":1,"name":"Subdivision","value":"Other"},{"id":4,"name":"Milepost","value":"0.101"},{"id":17,"name":"Train ID","value":"80-24"},{"id":16,"name":"Locomotive ID","value":"4050"},{"id":130,"name":"Impact","value":""},{"id":150,"name":"Time of Event (Mountain Time)","value":"22:39:49"},{"id":151,"name":"Denver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89"/>
        <v>start /low /b %USERPROFILE%\Documents\GitHub\eaglep3\Utilities\DownloadLogsFromS3.py --loco 4050 --day 2017-02-24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40" spans="1:40" x14ac:dyDescent="0.25">
      <c r="A240" s="33" t="s">
        <v>652</v>
      </c>
      <c r="B240" s="7">
        <v>4050</v>
      </c>
      <c r="C240" s="21" t="s">
        <v>280</v>
      </c>
      <c r="D240" s="21" t="s">
        <v>783</v>
      </c>
      <c r="E240" s="13">
        <v>42790.954791666663</v>
      </c>
      <c r="F240" s="13">
        <v>42790.955810185187</v>
      </c>
      <c r="G240" s="7">
        <v>1</v>
      </c>
      <c r="H240" s="21" t="s">
        <v>784</v>
      </c>
      <c r="I240" s="13">
        <v>42790.961747685185</v>
      </c>
      <c r="J240" s="7">
        <v>1</v>
      </c>
      <c r="K240" s="98" t="str">
        <f t="shared" si="72"/>
        <v>4049/4050</v>
      </c>
      <c r="L240" s="21" t="str">
        <f>VLOOKUP(A240,'Trips&amp;Operators'!$C$1:$G$99999,5,FALSE)</f>
        <v>COMELLA JUSTIN</v>
      </c>
      <c r="M240" s="6">
        <f t="shared" si="73"/>
        <v>5.9374999982537702E-3</v>
      </c>
      <c r="N240" s="7">
        <f t="shared" si="74"/>
        <v>8.549999997485429</v>
      </c>
      <c r="O240" s="7"/>
      <c r="P240" s="7"/>
      <c r="Q240" s="22"/>
      <c r="R240" s="22"/>
      <c r="S240" s="31">
        <f t="shared" si="75"/>
        <v>0</v>
      </c>
      <c r="T240" s="46" t="e">
        <f t="shared" si="76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77"/>
        <v>https://d0f6bd738d7f1b3e5a7ca70fe4ff75f0.us-east-1.aws.found.io/app/kibana#/discover/Steve-Slow-Train-Analysis-(2080s-and-2083s)?_g=(refreshInterval:(display:Off,pause:!f,section:0,value:0),time:(from:'2017-02-24T21:54:54-0700',mode:absolute,to:'2017-02-25T00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0" s="187" t="str">
        <f t="shared" si="78"/>
        <v>Y</v>
      </c>
      <c r="X240" s="187" t="e">
        <f t="shared" si="79"/>
        <v>#VALUE!</v>
      </c>
      <c r="Y240" s="62">
        <f t="shared" si="80"/>
        <v>3.0990000000000002</v>
      </c>
      <c r="Z240" s="62">
        <f t="shared" si="81"/>
        <v>9.8900000000000002E-2</v>
      </c>
      <c r="AA240" s="62">
        <f t="shared" si="82"/>
        <v>3.0001000000000002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83"/>
        <v>80-24</v>
      </c>
      <c r="AE240" s="85" t="str">
        <f t="shared" si="84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40" s="82" t="str">
        <f t="shared" si="85"/>
        <v>"C:\Program Files (x86)\AstroGrep\AstroGrep.exe" /spath="%USERPROFILE%\AppData\Local\Temp\OnboardLogs" /stypes="app*4050*20170225*" /stext=" 06:.+((SYSTEM_STATE.+slice.+state.+changed )|(ment ac)|(multiple cpu faults)|(system.+state.+changed )|(\[timeout)|(PRM\|1\|D)|(kpr)|(kdp)|(\|lc)|(penalty))" /e /r /s</v>
      </c>
      <c r="AG240" s="1" t="str">
        <f t="shared" si="86"/>
        <v>Other</v>
      </c>
      <c r="AH240" s="86" t="str">
        <f t="shared" si="87"/>
        <v>"%USERPROFILE%\Documents\GitHub\eaglep3\Utilities\RefineRTDCRunTimes.py" --tripid 80-24 --locoid 4050 --swversion DE.1.0.9.0 --startMP 300:30990 --initTime 2017-02-24T22:54:54 --startdatetime 2017-02-24T22:56:22 --delay 1 --endMP 204:989 --enddatetime 2017-02-24T23:04:55 --enforcementcount 1 &gt;&gt;C:\Users\stu\Documents\GitHub\eaglep3-reporting\EC\2017-02-24-refined-times.txt</v>
      </c>
      <c r="AI240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{"issue":{"subject":"","project_id":79,"tracker_id":40,"status_id":1,"priority_id":2,"assigned_to_id":23,"start_date":"2017-02-24","description":"","custom_fields":[{"id":1,"name":"Subdivision","value":"Other"},{"id":4,"name":"Milepost","value":"0.0989"},{"id":17,"name":"Train ID","value":"80-24"},{"id":16,"name":"Locomotive ID","value":"4050"},{"id":130,"name":"Impact","value":""},{"id":150,"name":"Time of Event (Mountain Time)","value":"23:04:55"},{"id":151,"name":"Denver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89"/>
        <v>start /low /b %USERPROFILE%\Documents\GitHub\eaglep3\Utilities\DownloadLogsFromS3.py --loco 4050 --day 2017-02-24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41" spans="1:40" x14ac:dyDescent="0.25">
      <c r="A241" s="33" t="s">
        <v>652</v>
      </c>
      <c r="B241" s="7">
        <v>4050</v>
      </c>
      <c r="C241" s="21" t="s">
        <v>280</v>
      </c>
      <c r="D241" s="21" t="s">
        <v>785</v>
      </c>
      <c r="E241" s="13">
        <v>42791.023113425923</v>
      </c>
      <c r="F241" s="13">
        <v>42791.039525462962</v>
      </c>
      <c r="G241" s="7">
        <v>0</v>
      </c>
      <c r="H241" s="21" t="s">
        <v>349</v>
      </c>
      <c r="I241" s="13">
        <v>42791.044768518521</v>
      </c>
      <c r="J241" s="7">
        <v>1</v>
      </c>
      <c r="K241" s="98" t="str">
        <f t="shared" si="72"/>
        <v>4049/4050</v>
      </c>
      <c r="L241" s="21" t="str">
        <f>VLOOKUP(A241,'Trips&amp;Operators'!$C$1:$G$99999,5,FALSE)</f>
        <v>COMELLA JUSTIN</v>
      </c>
      <c r="M241" s="6">
        <f t="shared" si="73"/>
        <v>5.2430555588216521E-3</v>
      </c>
      <c r="N241" s="7">
        <f t="shared" si="74"/>
        <v>7.550000004703179</v>
      </c>
      <c r="O241" s="7"/>
      <c r="P241" s="7"/>
      <c r="Q241" s="22"/>
      <c r="R241" s="22"/>
      <c r="S241" s="31">
        <f t="shared" si="75"/>
        <v>0</v>
      </c>
      <c r="T241" s="46" t="e">
        <f t="shared" si="76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77"/>
        <v>https://d0f6bd738d7f1b3e5a7ca70fe4ff75f0.us-east-1.aws.found.io/app/kibana#/discover/Steve-Slow-Train-Analysis-(2080s-and-2083s)?_g=(refreshInterval:(display:Off,pause:!f,section:0,value:0),time:(from:'2017-02-24T23:33:17-0700',mode:absolute,to:'2017-02-25T02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1" s="187" t="str">
        <f t="shared" si="78"/>
        <v>Y</v>
      </c>
      <c r="X241" s="187" t="e">
        <f t="shared" si="79"/>
        <v>#VALUE!</v>
      </c>
      <c r="Y241" s="62">
        <f t="shared" si="80"/>
        <v>3.1006999999999998</v>
      </c>
      <c r="Z241" s="62">
        <f t="shared" si="81"/>
        <v>9.7600000000000006E-2</v>
      </c>
      <c r="AA241" s="62">
        <f t="shared" si="82"/>
        <v>3.0030999999999999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83"/>
        <v>80-24</v>
      </c>
      <c r="AE241" s="85" t="str">
        <f t="shared" si="84"/>
        <v>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 &amp; 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</v>
      </c>
      <c r="AF241" s="82" t="str">
        <f t="shared" si="85"/>
        <v>"C:\Program Files (x86)\AstroGrep\AstroGrep.exe" /spath="%USERPROFILE%\AppData\Local\Temp\OnboardLogs" /stypes="app*4050*20170225*" /stext=" 08:.+((SYSTEM_STATE.+slice.+state.+changed )|(ment ac)|(multiple cpu faults)|(system.+state.+changed )|(\[timeout)|(PRM\|1\|D)|(kpr)|(kdp)|(\|lc)|(penalty))" /e /r /s</v>
      </c>
      <c r="AG241" s="1" t="str">
        <f t="shared" si="86"/>
        <v>Other</v>
      </c>
      <c r="AH241" s="86" t="str">
        <f t="shared" si="87"/>
        <v>"%USERPROFILE%\Documents\GitHub\eaglep3\Utilities\RefineRTDCRunTimes.py" --tripid 80-24 --locoid 4050 --swversion DE.1.0.9.0 --startMP 300:31007 --initTime 2017-02-25T00:33:17 --startdatetime 2017-02-25T00:56:55 --delay 0 --endMP 204:976 --enddatetime 2017-02-25T01:04:28 --enforcementcount 1 &gt;&gt;C:\Users\stu\Documents\GitHub\eaglep3-reporting\EC\2017-02-24-refined-times.txt</v>
      </c>
      <c r="AI241" s="108" t="str">
        <f t="shared" si="88"/>
        <v>echo {"issue":{"subject":"","project_id":79,"tracker_id":40,"status_id":1,"priority_id":2,"assigned_to_id":23,"start_date":"2017-02-25","description":"","custom_fields":[{"id":1,"name":"Subdivision","value":"Other"},{"id":4,"name":"Milepost","value":"0.0976"},{"id":17,"name":"Train ID","value":"80-24"},{"id":16,"name":"Locomotive ID","value":"4050"},{"id":130,"name":"Impact","value":""},{"id":150,"name":"Time of Event (Mountain Time)","value":"01:04:28"},{"id":151,"name":"Denver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89"/>
        <v>start /low /b %USERPROFILE%\Documents\GitHub\eaglep3\Utilities\DownloadLogsFromS3.py --loco 4050 --day 2017-02-25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42" spans="1:40" x14ac:dyDescent="0.25">
      <c r="A242" s="33" t="s">
        <v>652</v>
      </c>
      <c r="B242" s="7">
        <v>4050</v>
      </c>
      <c r="C242" s="21" t="s">
        <v>280</v>
      </c>
      <c r="D242" s="21" t="s">
        <v>786</v>
      </c>
      <c r="E242" s="13">
        <v>42791.004351851851</v>
      </c>
      <c r="F242" s="13">
        <v>42791.02416666667</v>
      </c>
      <c r="G242" s="7">
        <v>1</v>
      </c>
      <c r="H242" s="21" t="s">
        <v>787</v>
      </c>
      <c r="I242" s="13">
        <v>42791.030185185184</v>
      </c>
      <c r="J242" s="7">
        <v>1</v>
      </c>
      <c r="K242" s="98" t="str">
        <f t="shared" si="72"/>
        <v>4049/4050</v>
      </c>
      <c r="L242" s="21" t="str">
        <f>VLOOKUP(A242,'Trips&amp;Operators'!$C$1:$G$99999,5,FALSE)</f>
        <v>COMELLA JUSTIN</v>
      </c>
      <c r="M242" s="6">
        <f t="shared" si="73"/>
        <v>6.018518513883464E-3</v>
      </c>
      <c r="N242" s="7">
        <f t="shared" si="74"/>
        <v>8.6666666599921882</v>
      </c>
      <c r="O242" s="7"/>
      <c r="P242" s="7"/>
      <c r="Q242" s="22"/>
      <c r="R242" s="22"/>
      <c r="S242" s="31">
        <f t="shared" si="75"/>
        <v>0</v>
      </c>
      <c r="T242" s="46" t="e">
        <f t="shared" si="76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77"/>
        <v>https://d0f6bd738d7f1b3e5a7ca70fe4ff75f0.us-east-1.aws.found.io/app/kibana#/discover/Steve-Slow-Train-Analysis-(2080s-and-2083s)?_g=(refreshInterval:(display:Off,pause:!f,section:0,value:0),time:(from:'2017-02-24T23:06:16-0700',mode:absolute,to:'2017-02-25T01:43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2" s="187" t="str">
        <f t="shared" si="78"/>
        <v>Y</v>
      </c>
      <c r="X242" s="187" t="e">
        <f t="shared" si="79"/>
        <v>#VALUE!</v>
      </c>
      <c r="Y242" s="62">
        <f t="shared" si="80"/>
        <v>3.1036000000000001</v>
      </c>
      <c r="Z242" s="62">
        <f t="shared" si="81"/>
        <v>0.108</v>
      </c>
      <c r="AA242" s="62">
        <f t="shared" si="82"/>
        <v>2.9956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83"/>
        <v>80-24</v>
      </c>
      <c r="AE242" s="85" t="str">
        <f t="shared" si="84"/>
        <v>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 &amp; 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</v>
      </c>
      <c r="AF242" s="82" t="str">
        <f t="shared" si="85"/>
        <v>"C:\Program Files (x86)\AstroGrep\AstroGrep.exe" /spath="%USERPROFILE%\AppData\Local\Temp\OnboardLogs" /stypes="app*4050*20170225*" /stext=" 07:.+((SYSTEM_STATE.+slice.+state.+changed )|(ment ac)|(multiple cpu faults)|(system.+state.+changed )|(\[timeout)|(PRM\|1\|D)|(kpr)|(kdp)|(\|lc)|(penalty))" /e /r /s</v>
      </c>
      <c r="AG242" s="1" t="str">
        <f t="shared" si="86"/>
        <v>Other</v>
      </c>
      <c r="AH242" s="86" t="str">
        <f t="shared" si="87"/>
        <v>"%USERPROFILE%\Documents\GitHub\eaglep3\Utilities\RefineRTDCRunTimes.py" --tripid 80-24 --locoid 4050 --swversion DE.1.0.9.0 --startMP 300:31036 --initTime 2017-02-25T00:06:16 --startdatetime 2017-02-25T00:34:48 --delay 1 --endMP 204:1080 --enddatetime 2017-02-25T00:43:28 --enforcementcount 1 &gt;&gt;C:\Users\stu\Documents\GitHub\eaglep3-reporting\EC\2017-02-24-refined-times.txt</v>
      </c>
      <c r="AI242" s="108" t="str">
        <f t="shared" si="88"/>
        <v>echo {"issue":{"subject":"","project_id":79,"tracker_id":40,"status_id":1,"priority_id":2,"assigned_to_id":23,"start_date":"2017-02-25","description":"","custom_fields":[{"id":1,"name":"Subdivision","value":"Other"},{"id":4,"name":"Milepost","value":"0.108"},{"id":17,"name":"Train ID","value":"80-24"},{"id":16,"name":"Locomotive ID","value":"4050"},{"id":130,"name":"Impact","value":""},{"id":150,"name":"Time of Event (Mountain Time)","value":"00:43:28"},{"id":151,"name":"Denver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89"/>
        <v>start /low /b %USERPROFILE%\Documents\GitHub\eaglep3\Utilities\DownloadLogsFromS3.py --loco 4050 --day 2017-02-25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43" spans="1:40" x14ac:dyDescent="0.25">
      <c r="A243" s="33" t="s">
        <v>652</v>
      </c>
      <c r="B243" s="7">
        <v>4050</v>
      </c>
      <c r="C243" s="21" t="s">
        <v>280</v>
      </c>
      <c r="D243" s="21" t="s">
        <v>788</v>
      </c>
      <c r="E243" s="13">
        <v>42790.883402777778</v>
      </c>
      <c r="F243" s="13">
        <v>42790.899340277778</v>
      </c>
      <c r="G243" s="7">
        <v>1</v>
      </c>
      <c r="H243" s="21" t="s">
        <v>789</v>
      </c>
      <c r="I243" s="13">
        <v>42790.904513888891</v>
      </c>
      <c r="J243" s="7">
        <v>1</v>
      </c>
      <c r="K243" s="98" t="str">
        <f t="shared" si="72"/>
        <v>4049/4050</v>
      </c>
      <c r="L243" s="21" t="str">
        <f>VLOOKUP(A243,'Trips&amp;Operators'!$C$1:$G$99999,5,FALSE)</f>
        <v>COMELLA JUSTIN</v>
      </c>
      <c r="M243" s="6">
        <f t="shared" si="73"/>
        <v>5.173611112695653E-3</v>
      </c>
      <c r="N243" s="7">
        <f t="shared" si="74"/>
        <v>7.4500000022817403</v>
      </c>
      <c r="O243" s="7"/>
      <c r="P243" s="7"/>
      <c r="Q243" s="22"/>
      <c r="R243" s="22"/>
      <c r="S243" s="31">
        <f t="shared" si="75"/>
        <v>0</v>
      </c>
      <c r="T243" s="46" t="e">
        <f t="shared" si="76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77"/>
        <v>https://d0f6bd738d7f1b3e5a7ca70fe4ff75f0.us-east-1.aws.found.io/app/kibana#/discover/Steve-Slow-Train-Analysis-(2080s-and-2083s)?_g=(refreshInterval:(display:Off,pause:!f,section:0,value:0),time:(from:'2017-02-24T20:12:06-0700',mode:absolute,to:'2017-02-24T22:42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3" s="187" t="str">
        <f t="shared" si="78"/>
        <v>Y</v>
      </c>
      <c r="X243" s="187" t="e">
        <f t="shared" si="79"/>
        <v>#VALUE!</v>
      </c>
      <c r="Y243" s="62">
        <f t="shared" si="80"/>
        <v>3.1110000000000002</v>
      </c>
      <c r="Z243" s="62">
        <f t="shared" si="81"/>
        <v>0.10639999999999999</v>
      </c>
      <c r="AA243" s="62">
        <f t="shared" si="82"/>
        <v>3.0046000000000004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83"/>
        <v>80-24</v>
      </c>
      <c r="AE243" s="85" t="str">
        <f t="shared" si="84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43" s="82" t="str">
        <f t="shared" si="85"/>
        <v>"C:\Program Files (x86)\AstroGrep\AstroGrep.exe" /spath="%USERPROFILE%\AppData\Local\Temp\OnboardLogs" /stypes="app*4050*20170225*" /stext=" 04:.+((SYSTEM_STATE.+slice.+state.+changed )|(ment ac)|(multiple cpu faults)|(system.+state.+changed )|(\[timeout)|(PRM\|1\|D)|(kpr)|(kdp)|(\|lc)|(penalty))" /e /r /s</v>
      </c>
      <c r="AG243" s="1" t="str">
        <f t="shared" si="86"/>
        <v>Other</v>
      </c>
      <c r="AH243" s="86" t="str">
        <f t="shared" si="87"/>
        <v>"%USERPROFILE%\Documents\GitHub\eaglep3\Utilities\RefineRTDCRunTimes.py" --tripid 80-24 --locoid 4050 --swversion DE.1.0.9.0 --startMP 300:31110 --initTime 2017-02-24T21:12:06 --startdatetime 2017-02-24T21:35:03 --delay 1 --endMP 204:1064 --enddatetime 2017-02-24T21:42:30 --enforcementcount 1 &gt;&gt;C:\Users\stu\Documents\GitHub\eaglep3-reporting\EC\2017-02-24-refined-times.txt</v>
      </c>
      <c r="AI243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{"issue":{"subject":"","project_id":79,"tracker_id":40,"status_id":1,"priority_id":2,"assigned_to_id":23,"start_date":"2017-02-24","description":"","custom_fields":[{"id":1,"name":"Subdivision","value":"Other"},{"id":4,"name":"Milepost","value":"0.1064"},{"id":17,"name":"Train ID","value":"80-24"},{"id":16,"name":"Locomotive ID","value":"4050"},{"id":130,"name":"Impact","value":""},{"id":150,"name":"Time of Event (Mountain Time)","value":"21:42:30"},{"id":151,"name":"Denver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89"/>
        <v>start /low /b %USERPROFILE%\Documents\GitHub\eaglep3\Utilities\DownloadLogsFromS3.py --loco 4050 --day 2017-02-24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44" spans="1:40" x14ac:dyDescent="0.25">
      <c r="A244" s="33" t="s">
        <v>652</v>
      </c>
      <c r="B244" s="7">
        <v>4050</v>
      </c>
      <c r="C244" s="21" t="s">
        <v>280</v>
      </c>
      <c r="D244" s="21" t="s">
        <v>790</v>
      </c>
      <c r="E244" s="13">
        <v>42791.038495370369</v>
      </c>
      <c r="F244" s="13">
        <v>42791.054849537039</v>
      </c>
      <c r="G244" s="7">
        <v>1</v>
      </c>
      <c r="H244" s="21" t="s">
        <v>791</v>
      </c>
      <c r="I244" s="13">
        <v>42791.06077546296</v>
      </c>
      <c r="J244" s="7">
        <v>1</v>
      </c>
      <c r="K244" s="98" t="str">
        <f t="shared" si="72"/>
        <v>4049/4050</v>
      </c>
      <c r="L244" s="21" t="str">
        <f>VLOOKUP(A244,'Trips&amp;Operators'!$C$1:$G$99999,5,FALSE)</f>
        <v>COMELLA JUSTIN</v>
      </c>
      <c r="M244" s="6">
        <f t="shared" si="73"/>
        <v>5.9259259214741178E-3</v>
      </c>
      <c r="N244" s="7">
        <f t="shared" si="74"/>
        <v>8.5333333269227296</v>
      </c>
      <c r="O244" s="7"/>
      <c r="P244" s="7"/>
      <c r="Q244" s="22"/>
      <c r="R244" s="22"/>
      <c r="S244" s="31">
        <f t="shared" si="75"/>
        <v>0</v>
      </c>
      <c r="T244" s="46" t="e">
        <f t="shared" si="76"/>
        <v>#VALUE!</v>
      </c>
      <c r="U244" s="18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6" t="str">
        <f t="shared" si="77"/>
        <v>https://d0f6bd738d7f1b3e5a7ca70fe4ff75f0.us-east-1.aws.found.io/app/kibana#/discover/Steve-Slow-Train-Analysis-(2080s-and-2083s)?_g=(refreshInterval:(display:Off,pause:!f,section:0,value:0),time:(from:'2017-02-24T23:55:26-0700',mode:absolute,to:'2017-02-25T02:27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4" s="187" t="str">
        <f t="shared" si="78"/>
        <v>Y</v>
      </c>
      <c r="X244" s="187" t="e">
        <f t="shared" si="79"/>
        <v>#VALUE!</v>
      </c>
      <c r="Y244" s="62">
        <f t="shared" si="80"/>
        <v>3.1114999999999999</v>
      </c>
      <c r="Z244" s="62">
        <f t="shared" si="81"/>
        <v>9.7299999999999998E-2</v>
      </c>
      <c r="AA244" s="62">
        <f t="shared" si="82"/>
        <v>3.0141999999999998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83"/>
        <v>80-24</v>
      </c>
      <c r="AE244" s="85" t="str">
        <f t="shared" si="84"/>
        <v>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 &amp; 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</v>
      </c>
      <c r="AF244" s="82" t="str">
        <f t="shared" si="85"/>
        <v>"C:\Program Files (x86)\AstroGrep\AstroGrep.exe" /spath="%USERPROFILE%\AppData\Local\Temp\OnboardLogs" /stypes="app*4050*20170225*" /stext=" 08:.+((SYSTEM_STATE.+slice.+state.+changed )|(ment ac)|(multiple cpu faults)|(system.+state.+changed )|(\[timeout)|(PRM\|1\|D)|(kpr)|(kdp)|(\|lc)|(penalty))" /e /r /s</v>
      </c>
      <c r="AG244" s="1" t="str">
        <f t="shared" si="86"/>
        <v>Other</v>
      </c>
      <c r="AH244" s="86" t="str">
        <f t="shared" si="87"/>
        <v>"%USERPROFILE%\Documents\GitHub\eaglep3\Utilities\RefineRTDCRunTimes.py" --tripid 80-24 --locoid 4050 --swversion DE.1.0.9.0 --startMP 300:31115 --initTime 2017-02-25T00:55:26 --startdatetime 2017-02-25T01:18:59 --delay 1 --endMP 204:973 --enddatetime 2017-02-25T01:27:31 --enforcementcount 1 &gt;&gt;C:\Users\stu\Documents\GitHub\eaglep3-reporting\EC\2017-02-24-refined-times.txt</v>
      </c>
      <c r="AI244" s="108" t="str">
        <f t="shared" si="88"/>
        <v>echo {"issue":{"subject":"","project_id":79,"tracker_id":40,"status_id":1,"priority_id":2,"assigned_to_id":23,"start_date":"2017-02-25","description":"","custom_fields":[{"id":1,"name":"Subdivision","value":"Other"},{"id":4,"name":"Milepost","value":"0.0973"},{"id":17,"name":"Train ID","value":"80-24"},{"id":16,"name":"Locomotive ID","value":"4050"},{"id":130,"name":"Impact","value":""},{"id":150,"name":"Time of Event (Mountain Time)","value":"01:27:31"},{"id":151,"name":"Denver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89"/>
        <v>start /low /b %USERPROFILE%\Documents\GitHub\eaglep3\Utilities\DownloadLogsFromS3.py --loco 4050 --day 2017-02-25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45" spans="1:40" x14ac:dyDescent="0.25">
      <c r="A245" s="33" t="s">
        <v>652</v>
      </c>
      <c r="B245" s="7">
        <v>4050</v>
      </c>
      <c r="C245" s="21" t="s">
        <v>280</v>
      </c>
      <c r="D245" s="21" t="s">
        <v>792</v>
      </c>
      <c r="E245" s="13">
        <v>42791.053854166668</v>
      </c>
      <c r="F245" s="13">
        <v>42791.069988425923</v>
      </c>
      <c r="G245" s="7">
        <v>1</v>
      </c>
      <c r="H245" s="21" t="s">
        <v>793</v>
      </c>
      <c r="I245" s="13">
        <v>42791.077407407407</v>
      </c>
      <c r="J245" s="7">
        <v>1</v>
      </c>
      <c r="K245" s="98" t="str">
        <f t="shared" si="72"/>
        <v>4049/4050</v>
      </c>
      <c r="L245" s="21" t="str">
        <f>VLOOKUP(A245,'Trips&amp;Operators'!$C$1:$G$99999,5,FALSE)</f>
        <v>COMELLA JUSTIN</v>
      </c>
      <c r="M245" s="6">
        <f t="shared" si="73"/>
        <v>7.4189814840792678E-3</v>
      </c>
      <c r="N245" s="7">
        <f t="shared" si="74"/>
        <v>10.683333337074146</v>
      </c>
      <c r="O245" s="7"/>
      <c r="P245" s="7"/>
      <c r="Q245" s="22"/>
      <c r="R245" s="22"/>
      <c r="S245" s="31">
        <f t="shared" si="75"/>
        <v>0</v>
      </c>
      <c r="T245" s="46" t="e">
        <f t="shared" si="76"/>
        <v>#VALUE!</v>
      </c>
      <c r="U245" s="18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6" t="str">
        <f t="shared" si="77"/>
        <v>https://d0f6bd738d7f1b3e5a7ca70fe4ff75f0.us-east-1.aws.found.io/app/kibana#/discover/Steve-Slow-Train-Analysis-(2080s-and-2083s)?_g=(refreshInterval:(display:Off,pause:!f,section:0,value:0),time:(from:'2017-02-25T00:17:33-0700',mode:absolute,to:'2017-02-25T02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5" s="187" t="str">
        <f t="shared" si="78"/>
        <v>Y</v>
      </c>
      <c r="X245" s="187" t="e">
        <f t="shared" si="79"/>
        <v>#VALUE!</v>
      </c>
      <c r="Y245" s="62">
        <f t="shared" si="80"/>
        <v>3.1122999999999998</v>
      </c>
      <c r="Z245" s="62">
        <f t="shared" si="81"/>
        <v>0.1002</v>
      </c>
      <c r="AA245" s="62">
        <f t="shared" si="82"/>
        <v>3.0120999999999998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83"/>
        <v>80-24</v>
      </c>
      <c r="AE245" s="85" t="str">
        <f t="shared" si="84"/>
        <v>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 &amp; 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</v>
      </c>
      <c r="AF245" s="82" t="str">
        <f t="shared" si="85"/>
        <v>"C:\Program Files (x86)\AstroGrep\AstroGrep.exe" /spath="%USERPROFILE%\AppData\Local\Temp\OnboardLogs" /stypes="app*4050*20170225*" /stext=" 08:.+((SYSTEM_STATE.+slice.+state.+changed )|(ment ac)|(multiple cpu faults)|(system.+state.+changed )|(\[timeout)|(PRM\|1\|D)|(kpr)|(kdp)|(\|lc)|(penalty))" /e /r /s</v>
      </c>
      <c r="AG245" s="1" t="str">
        <f t="shared" si="86"/>
        <v>Other</v>
      </c>
      <c r="AH245" s="86" t="str">
        <f t="shared" si="87"/>
        <v>"%USERPROFILE%\Documents\GitHub\eaglep3\Utilities\RefineRTDCRunTimes.py" --tripid 80-24 --locoid 4050 --swversion DE.1.0.9.0 --startMP 300:31123 --initTime 2017-02-25T01:17:33 --startdatetime 2017-02-25T01:40:47 --delay 1 --endMP 204:1002 --enddatetime 2017-02-25T01:51:28 --enforcementcount 1 &gt;&gt;C:\Users\stu\Documents\GitHub\eaglep3-reporting\EC\2017-02-24-refined-times.txt</v>
      </c>
      <c r="AI245" s="108" t="str">
        <f t="shared" si="88"/>
        <v>echo {"issue":{"subject":"","project_id":79,"tracker_id":40,"status_id":1,"priority_id":2,"assigned_to_id":23,"start_date":"2017-02-25","description":"","custom_fields":[{"id":1,"name":"Subdivision","value":"Other"},{"id":4,"name":"Milepost","value":"0.1002"},{"id":17,"name":"Train ID","value":"80-24"},{"id":16,"name":"Locomotive ID","value":"4050"},{"id":130,"name":"Impact","value":""},{"id":150,"name":"Time of Event (Mountain Time)","value":"01:51:28"},{"id":151,"name":"Denver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48"/>
      <c r="AK245" s="48"/>
      <c r="AL245" s="48"/>
      <c r="AM245" s="154" t="str">
        <f t="shared" si="89"/>
        <v>start /low /b %USERPROFILE%\Documents\GitHub\eaglep3\Utilities\DownloadLogsFromS3.py --loco 4050 --day 2017-02-25</v>
      </c>
      <c r="AN245" s="163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46" spans="1:40" x14ac:dyDescent="0.25">
      <c r="A246" s="33" t="s">
        <v>652</v>
      </c>
      <c r="B246" s="7">
        <v>4050</v>
      </c>
      <c r="C246" s="21" t="s">
        <v>280</v>
      </c>
      <c r="D246" s="21" t="s">
        <v>794</v>
      </c>
      <c r="E246" s="13">
        <v>42791.068310185183</v>
      </c>
      <c r="F246" s="13">
        <v>42791.091608796298</v>
      </c>
      <c r="G246" s="7">
        <v>1</v>
      </c>
      <c r="H246" s="21" t="s">
        <v>795</v>
      </c>
      <c r="I246" s="13">
        <v>42791.100694444445</v>
      </c>
      <c r="J246" s="7">
        <v>1</v>
      </c>
      <c r="K246" s="98" t="str">
        <f t="shared" si="72"/>
        <v>4049/4050</v>
      </c>
      <c r="L246" s="21" t="str">
        <f>VLOOKUP(A246,'Trips&amp;Operators'!$C$1:$G$99999,5,FALSE)</f>
        <v>COMELLA JUSTIN</v>
      </c>
      <c r="M246" s="6">
        <f t="shared" si="73"/>
        <v>9.0856481474475004E-3</v>
      </c>
      <c r="N246" s="7">
        <f t="shared" si="74"/>
        <v>13.083333332324401</v>
      </c>
      <c r="O246" s="7"/>
      <c r="P246" s="7"/>
      <c r="Q246" s="22"/>
      <c r="R246" s="22"/>
      <c r="S246" s="31">
        <f t="shared" si="75"/>
        <v>0</v>
      </c>
      <c r="T246" s="46" t="e">
        <f t="shared" si="76"/>
        <v>#VALUE!</v>
      </c>
      <c r="U246" s="18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6" t="str">
        <f t="shared" si="77"/>
        <v>https://d0f6bd738d7f1b3e5a7ca70fe4ff75f0.us-east-1.aws.found.io/app/kibana#/discover/Steve-Slow-Train-Analysis-(2080s-and-2083s)?_g=(refreshInterval:(display:Off,pause:!f,section:0,value:0),time:(from:'2017-02-25T00:38:22-0700',mode:absolute,to:'2017-02-25T03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6" s="187" t="str">
        <f t="shared" si="78"/>
        <v>Y</v>
      </c>
      <c r="X246" s="187" t="e">
        <f t="shared" si="79"/>
        <v>#VALUE!</v>
      </c>
      <c r="Y246" s="62">
        <f t="shared" si="80"/>
        <v>3.1166</v>
      </c>
      <c r="Z246" s="62">
        <f t="shared" si="81"/>
        <v>9.8000000000000004E-2</v>
      </c>
      <c r="AA246" s="62">
        <f t="shared" si="82"/>
        <v>3.0186000000000002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83"/>
        <v>80-24</v>
      </c>
      <c r="AE246" s="85" t="str">
        <f t="shared" si="84"/>
        <v>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 &amp; 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</v>
      </c>
      <c r="AF246" s="82" t="str">
        <f t="shared" si="85"/>
        <v>"C:\Program Files (x86)\AstroGrep\AstroGrep.exe" /spath="%USERPROFILE%\AppData\Local\Temp\OnboardLogs" /stypes="app*4050*20170225*" /stext=" 09:.+((SYSTEM_STATE.+slice.+state.+changed )|(ment ac)|(multiple cpu faults)|(system.+state.+changed )|(\[timeout)|(PRM\|1\|D)|(kpr)|(kdp)|(\|lc)|(penalty))" /e /r /s</v>
      </c>
      <c r="AG246" s="1" t="str">
        <f t="shared" si="86"/>
        <v>Other</v>
      </c>
      <c r="AH246" s="86" t="str">
        <f t="shared" si="87"/>
        <v>"%USERPROFILE%\Documents\GitHub\eaglep3\Utilities\RefineRTDCRunTimes.py" --tripid 80-24 --locoid 4050 --swversion DE.1.0.9.0 --startMP 300:31166 --initTime 2017-02-25T01:38:22 --startdatetime 2017-02-25T02:11:55 --delay 1 --endMP 204:980 --enddatetime 2017-02-25T02:25:00 --enforcementcount 1 &gt;&gt;C:\Users\stu\Documents\GitHub\eaglep3-reporting\EC\2017-02-24-refined-times.txt</v>
      </c>
      <c r="AI246" s="108" t="str">
        <f t="shared" si="88"/>
        <v>echo {"issue":{"subject":"","project_id":79,"tracker_id":40,"status_id":1,"priority_id":2,"assigned_to_id":23,"start_date":"2017-02-25","description":"","custom_fields":[{"id":1,"name":"Subdivision","value":"Other"},{"id":4,"name":"Milepost","value":"0.098"},{"id":17,"name":"Train ID","value":"80-24"},{"id":16,"name":"Locomotive ID","value":"4050"},{"id":130,"name":"Impact","value":""},{"id":150,"name":"Time of Event (Mountain Time)","value":"02:25:00"},{"id":151,"name":"Denver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48"/>
      <c r="AK246" s="48"/>
      <c r="AL246" s="48"/>
      <c r="AM246" s="154" t="str">
        <f t="shared" si="89"/>
        <v>start /low /b %USERPROFILE%\Documents\GitHub\eaglep3\Utilities\DownloadLogsFromS3.py --loco 4050 --day 2017-02-25</v>
      </c>
      <c r="AN246" s="163" t="str">
        <f>"grep -SE -B400 ""CHR.+\|PRM\|1\|D.+(SWITCH|SIGNAL).+UNKNOWN"" "&amp;search_path&amp;"\RTDC"&amp;B246&amp;"\*"&amp;B246&amp;"*"&amp;TEXT(AVERAGE(F246,I246)-utc_offset/24,"YYYYMMDD")&amp;"*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47" spans="1:40" x14ac:dyDescent="0.25">
      <c r="A247" s="33" t="s">
        <v>652</v>
      </c>
      <c r="B247" s="7">
        <v>4050</v>
      </c>
      <c r="C247" s="21" t="s">
        <v>280</v>
      </c>
      <c r="D247" s="21" t="s">
        <v>796</v>
      </c>
      <c r="E247" s="13">
        <v>42791.090520833335</v>
      </c>
      <c r="F247" s="13">
        <v>42791.091608796298</v>
      </c>
      <c r="G247" s="7">
        <v>1</v>
      </c>
      <c r="H247" s="21" t="s">
        <v>797</v>
      </c>
      <c r="I247" s="13">
        <v>42791.100694444445</v>
      </c>
      <c r="J247" s="7">
        <v>1</v>
      </c>
      <c r="K247" s="98" t="str">
        <f t="shared" si="72"/>
        <v>4049/4050</v>
      </c>
      <c r="L247" s="21" t="str">
        <f>VLOOKUP(A247,'Trips&amp;Operators'!$C$1:$G$99999,5,FALSE)</f>
        <v>COMELLA JUSTIN</v>
      </c>
      <c r="M247" s="6">
        <f t="shared" si="73"/>
        <v>9.0856481474475004E-3</v>
      </c>
      <c r="N247" s="7">
        <f t="shared" si="74"/>
        <v>13.083333332324401</v>
      </c>
      <c r="O247" s="7"/>
      <c r="P247" s="7"/>
      <c r="Q247" s="22"/>
      <c r="R247" s="22"/>
      <c r="S247" s="31">
        <f t="shared" si="75"/>
        <v>0</v>
      </c>
      <c r="T247" s="46" t="e">
        <f t="shared" si="76"/>
        <v>#VALUE!</v>
      </c>
      <c r="U247" s="18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6" t="str">
        <f t="shared" si="77"/>
        <v>https://d0f6bd738d7f1b3e5a7ca70fe4ff75f0.us-east-1.aws.found.io/app/kibana#/discover/Steve-Slow-Train-Analysis-(2080s-and-2083s)?_g=(refreshInterval:(display:Off,pause:!f,section:0,value:0),time:(from:'2017-02-25T01:10:21-0700',mode:absolute,to:'2017-02-25T03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7" s="187" t="str">
        <f t="shared" si="78"/>
        <v>Y</v>
      </c>
      <c r="X247" s="187" t="e">
        <f t="shared" si="79"/>
        <v>#VALUE!</v>
      </c>
      <c r="Y247" s="62">
        <f t="shared" si="80"/>
        <v>3.1229</v>
      </c>
      <c r="Z247" s="62">
        <f t="shared" si="81"/>
        <v>0.1203</v>
      </c>
      <c r="AA247" s="62">
        <f t="shared" si="82"/>
        <v>3.0026000000000002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 t="shared" si="83"/>
        <v>80-24</v>
      </c>
      <c r="AE247" s="85" t="str">
        <f t="shared" si="84"/>
        <v>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 &amp; aws s3 cp s3://rtdc.mdm.uploadarchive.raw/RTDC4050/ "%USERPROFILE%\AppData\Local\Temp\OnboardLogs"\RTDC4050\2017-02-26 --exclude "*" --recursive --include "*20170226*" &amp; "%USERPROFILE%\Documents\GitHub\mrs-test-scripts\Headless Mode &amp; Sideloading\WalkAndUnGZ.bat" "%USERPROFILE%\AppData\Local\Temp\OnboardLogs"\RTDC4050\2017-02-26</v>
      </c>
      <c r="AF247" s="82" t="str">
        <f t="shared" si="85"/>
        <v>"C:\Program Files (x86)\AstroGrep\AstroGrep.exe" /spath="%USERPROFILE%\AppData\Local\Temp\OnboardLogs" /stypes="app*4050*20170225*" /stext=" 09:.+((SYSTEM_STATE.+slice.+state.+changed )|(ment ac)|(multiple cpu faults)|(system.+state.+changed )|(\[timeout)|(PRM\|1\|D)|(kpr)|(kdp)|(\|lc)|(penalty))" /e /r /s</v>
      </c>
      <c r="AG247" s="1" t="str">
        <f t="shared" si="86"/>
        <v>Other</v>
      </c>
      <c r="AH247" s="86" t="str">
        <f t="shared" si="87"/>
        <v>"%USERPROFILE%\Documents\GitHub\eaglep3\Utilities\RefineRTDCRunTimes.py" --tripid 80-24 --locoid 4050 --swversion DE.1.0.9.0 --startMP 300:31229 --initTime 2017-02-25T02:10:21 --startdatetime 2017-02-25T02:11:55 --delay 1 --endMP 204:1203 --enddatetime 2017-02-25T02:25:00 --enforcementcount 1 &gt;&gt;C:\Users\stu\Documents\GitHub\eaglep3-reporting\EC\2017-02-24-refined-times.txt</v>
      </c>
      <c r="AI247" s="108" t="str">
        <f t="shared" si="88"/>
        <v>echo {"issue":{"subject":"","project_id":79,"tracker_id":40,"status_id":1,"priority_id":2,"assigned_to_id":23,"start_date":"2017-02-25","description":"","custom_fields":[{"id":1,"name":"Subdivision","value":"Other"},{"id":4,"name":"Milepost","value":"0.1203"},{"id":17,"name":"Train ID","value":"80-24"},{"id":16,"name":"Locomotive ID","value":"4050"},{"id":130,"name":"Impact","value":""},{"id":150,"name":"Time of Event (Mountain Time)","value":"02:25:00"},{"id":151,"name":"Denver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48"/>
      <c r="AK247" s="48"/>
      <c r="AL247" s="48"/>
      <c r="AM247" s="154" t="str">
        <f t="shared" si="89"/>
        <v>start /low /b %USERPROFILE%\Documents\GitHub\eaglep3\Utilities\DownloadLogsFromS3.py --loco 4050 --day 2017-02-25</v>
      </c>
      <c r="AN247" s="163" t="str">
        <f>"grep -SE -B400 ""CHR.+\|PRM\|1\|D.+(SWITCH|SIGNAL).+UNKNOWN"" "&amp;search_path&amp;"\RTDC"&amp;B247&amp;"\*"&amp;B247&amp;"*"&amp;TEXT(AVERAGE(F247,I247)-utc_offset/24,"YYYYMMDD")&amp;"*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"%USERPROFILE%\AppData\Local\Temp\OnboardLogs"\RTDC4050\*4050*20170225* | grep -SE "(Enforcement Action)|(\[TIMEOUT)|(CHR.+\|PRM\|1\|D.+(SWITCH|SIGNAL).+UNKNOWN)" - &gt;&gt; 2017-02-24-UncaughtWiMAX.txt</v>
      </c>
    </row>
    <row r="248" spans="1:40" x14ac:dyDescent="0.25">
      <c r="A248" s="33" t="s">
        <v>370</v>
      </c>
      <c r="B248" s="7">
        <v>4049</v>
      </c>
      <c r="C248" s="21" t="s">
        <v>280</v>
      </c>
      <c r="D248" s="21" t="s">
        <v>420</v>
      </c>
      <c r="E248" s="13">
        <v>42790.086944444447</v>
      </c>
      <c r="F248" s="13">
        <v>25568.708333333332</v>
      </c>
      <c r="G248" s="7">
        <v>0</v>
      </c>
      <c r="H248" s="21" t="s">
        <v>421</v>
      </c>
      <c r="I248" s="13">
        <v>25568.708333333332</v>
      </c>
      <c r="J248" s="7">
        <v>1</v>
      </c>
      <c r="K248" s="98" t="str">
        <f t="shared" si="72"/>
        <v>4049/4050</v>
      </c>
      <c r="L248" s="21" t="str">
        <f>VLOOKUP(A248,'Trips&amp;Operators'!$C$1:$G$99999,5,FALSE)</f>
        <v>YANG JAN</v>
      </c>
      <c r="M248" s="6">
        <f t="shared" si="73"/>
        <v>0</v>
      </c>
      <c r="N248" s="7">
        <f t="shared" si="74"/>
        <v>0</v>
      </c>
      <c r="O248" s="7"/>
      <c r="P248" s="7"/>
      <c r="Q248" s="22"/>
      <c r="R248" s="22"/>
      <c r="S248" s="31">
        <f t="shared" si="75"/>
        <v>0</v>
      </c>
      <c r="T248" s="46" t="e">
        <f t="shared" si="76"/>
        <v>#VALUE!</v>
      </c>
      <c r="U248" s="18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6" t="str">
        <f t="shared" si="77"/>
        <v>https://d0f6bd738d7f1b3e5a7ca70fe4ff75f0.us-east-1.aws.found.io/app/kibana#/discover/Steve-Slow-Train-Analysis-(2080s-and-2083s)?_g=(refreshInterval:(display:Off,pause:!f,section:0,value:0),time:(from:'2017-02-24T01:05:12-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8" s="187" t="str">
        <f t="shared" si="78"/>
        <v>Y</v>
      </c>
      <c r="X248" s="187" t="e">
        <f t="shared" si="79"/>
        <v>#VALUE!</v>
      </c>
      <c r="Y248" s="62">
        <f t="shared" si="80"/>
        <v>0.06</v>
      </c>
      <c r="Z248" s="62">
        <f t="shared" si="81"/>
        <v>3.1072000000000002</v>
      </c>
      <c r="AA248" s="62">
        <f t="shared" si="82"/>
        <v>3.0472000000000001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 t="shared" si="83"/>
        <v>81-23</v>
      </c>
      <c r="AE248" s="85" t="str">
        <f t="shared" si="84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48" s="82" t="str">
        <f t="shared" si="85"/>
        <v>"C:\Program Files (x86)\AstroGrep\AstroGrep.exe" /spath="%USERPROFILE%\AppData\Local\Temp\OnboardLogs" /stypes="app*4049*19700101*" /stext=" 00:.+((SYSTEM_STATE.+slice.+state.+changed )|(ment ac)|(multiple cpu faults)|(system.+state.+changed )|(\[timeout)|(PRM\|1\|D)|(kpr)|(kdp)|(\|lc)|(penalty))" /e /r /s</v>
      </c>
      <c r="AG248" s="1" t="str">
        <f t="shared" si="86"/>
        <v>Other</v>
      </c>
      <c r="AH248" s="86" t="str">
        <f t="shared" si="87"/>
        <v>"%USERPROFILE%\Documents\GitHub\eaglep3\Utilities\RefineRTDCRunTimes.py" --tripid 81-23 --locoid 4049 --swversion DE.1.0.9.0 --startMP 204:600 --initTime 2017-02-24T02:05:12 --startdatetime 1969-12-31T17:00:00 --delay 0 --endMP 300:31072 --enddatetime 1969-12-31T17:00:00 --enforcementcount 1 &gt;&gt;C:\Users\stu\Documents\GitHub\eaglep3-reporting\EC\2017-02-24-refined-times.txt</v>
      </c>
      <c r="AI248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{"issue":{"subject":"","project_id":79,"tracker_id":40,"status_id":1,"priority_id":2,"assigned_to_id":23,"start_date":"1969-12-31","description":"","custom_fields":[{"id":1,"name":"Subdivision","value":"Other"},{"id":4,"name":"Milepost","value":"3.1072"},{"id":17,"name":"Train ID","value":"81-23"},{"id":16,"name":"Locomotive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48"/>
      <c r="AK248" s="48"/>
      <c r="AL248" s="48"/>
      <c r="AM248" s="154" t="str">
        <f t="shared" si="89"/>
        <v>start /low /b %USERPROFILE%\Documents\GitHub\eaglep3\Utilities\DownloadLogsFromS3.py --loco 4049 --day 1969-12-31</v>
      </c>
      <c r="AN248" s="163" t="str">
        <f>"grep -SE -B400 ""CHR.+\|PRM\|1\|D.+(SWITCH|SIGNAL).+UNKNOWN"" "&amp;search_path&amp;"\RTDC"&amp;B248&amp;"\*"&amp;B248&amp;"*"&amp;TEXT(AVERAGE(F248,I248)-utc_offset/24,"YYYYMMDD")&amp;"*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2017-02-24-UncaughtWiMAX.txt</v>
      </c>
    </row>
    <row r="249" spans="1:40" x14ac:dyDescent="0.25">
      <c r="A249" s="33" t="s">
        <v>370</v>
      </c>
      <c r="B249" s="7">
        <v>4049</v>
      </c>
      <c r="C249" s="21" t="s">
        <v>280</v>
      </c>
      <c r="D249" s="21" t="s">
        <v>422</v>
      </c>
      <c r="E249" s="13">
        <v>42790.101620370369</v>
      </c>
      <c r="F249" s="13">
        <v>25568.708333333332</v>
      </c>
      <c r="G249" s="7">
        <v>0</v>
      </c>
      <c r="H249" s="21" t="s">
        <v>342</v>
      </c>
      <c r="I249" s="13">
        <v>25568.708333333332</v>
      </c>
      <c r="J249" s="7">
        <v>1</v>
      </c>
      <c r="K249" s="98" t="str">
        <f t="shared" si="72"/>
        <v>4049/4050</v>
      </c>
      <c r="L249" s="21" t="str">
        <f>VLOOKUP(A249,'Trips&amp;Operators'!$C$1:$G$99999,5,FALSE)</f>
        <v>YANG JAN</v>
      </c>
      <c r="M249" s="6">
        <f t="shared" si="73"/>
        <v>0</v>
      </c>
      <c r="N249" s="7">
        <f t="shared" si="74"/>
        <v>0</v>
      </c>
      <c r="O249" s="7"/>
      <c r="P249" s="7"/>
      <c r="Q249" s="22"/>
      <c r="R249" s="22"/>
      <c r="S249" s="31">
        <f t="shared" si="75"/>
        <v>0</v>
      </c>
      <c r="T249" s="46" t="e">
        <f t="shared" si="76"/>
        <v>#VALUE!</v>
      </c>
      <c r="U249" s="18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6" t="str">
        <f t="shared" si="77"/>
        <v>https://d0f6bd738d7f1b3e5a7ca70fe4ff75f0.us-east-1.aws.found.io/app/kibana#/discover/Steve-Slow-Train-Analysis-(2080s-and-2083s)?_g=(refreshInterval:(display:Off,pause:!f,section:0,value:0),time:(from:'2017-02-24T01:26:20-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9" s="187" t="str">
        <f t="shared" si="78"/>
        <v>Y</v>
      </c>
      <c r="X249" s="187" t="e">
        <f t="shared" si="79"/>
        <v>#VALUE!</v>
      </c>
      <c r="Y249" s="62">
        <f t="shared" si="80"/>
        <v>6.9699999999999998E-2</v>
      </c>
      <c r="Z249" s="62">
        <f t="shared" si="81"/>
        <v>2.3306</v>
      </c>
      <c r="AA249" s="62">
        <f t="shared" si="82"/>
        <v>2.2608999999999999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 t="shared" si="83"/>
        <v>81-23</v>
      </c>
      <c r="AE249" s="85" t="str">
        <f t="shared" si="84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49" s="82" t="str">
        <f t="shared" si="85"/>
        <v>"C:\Program Files (x86)\AstroGrep\AstroGrep.exe" /spath="%USERPROFILE%\AppData\Local\Temp\OnboardLogs" /stypes="app*4049*19700101*" /stext=" 00:.+((SYSTEM_STATE.+slice.+state.+changed )|(ment ac)|(multiple cpu faults)|(system.+state.+changed )|(\[timeout)|(PRM\|1\|D)|(kpr)|(kdp)|(\|lc)|(penalty))" /e /r /s</v>
      </c>
      <c r="AG249" s="1" t="str">
        <f t="shared" si="86"/>
        <v>Other</v>
      </c>
      <c r="AH249" s="86" t="str">
        <f t="shared" si="87"/>
        <v>"%USERPROFILE%\Documents\GitHub\eaglep3\Utilities\RefineRTDCRunTimes.py" --tripid 81-23 --locoid 4049 --swversion DE.1.0.9.0 --startMP 204:697 --initTime 2017-02-24T02:26:20 --startdatetime 1969-12-31T17:00:00 --delay 0 --endMP 300:23306 --enddatetime 1969-12-31T17:00:00 --enforcementcount 1 &gt;&gt;C:\Users\stu\Documents\GitHub\eaglep3-reporting\EC\2017-02-24-refined-times.txt</v>
      </c>
      <c r="AI249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ID","value":"81-23"},{"id":16,"name":"Locomotive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48"/>
      <c r="AK249" s="48"/>
      <c r="AL249" s="48"/>
      <c r="AM249" s="154" t="str">
        <f t="shared" si="89"/>
        <v>start /low /b %USERPROFILE%\Documents\GitHub\eaglep3\Utilities\DownloadLogsFromS3.py --loco 4049 --day 1969-12-31</v>
      </c>
      <c r="AN249" s="163" t="str">
        <f>"grep -SE -B400 ""CHR.+\|PRM\|1\|D.+(SWITCH|SIGNAL).+UNKNOWN"" "&amp;search_path&amp;"\RTDC"&amp;B249&amp;"\*"&amp;B249&amp;"*"&amp;TEXT(AVERAGE(F249,I249)-utc_offset/24,"YYYYMMDD")&amp;"*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2017-02-24-UncaughtWiMAX.txt</v>
      </c>
    </row>
    <row r="250" spans="1:40" x14ac:dyDescent="0.25">
      <c r="A250" s="33" t="s">
        <v>653</v>
      </c>
      <c r="B250" s="7">
        <v>4049</v>
      </c>
      <c r="C250" s="21" t="s">
        <v>280</v>
      </c>
      <c r="D250" s="21" t="s">
        <v>808</v>
      </c>
      <c r="E250" s="13">
        <v>42791.032002314816</v>
      </c>
      <c r="F250" s="13">
        <v>42791.048645833333</v>
      </c>
      <c r="G250" s="7">
        <v>1</v>
      </c>
      <c r="H250" s="21" t="s">
        <v>809</v>
      </c>
      <c r="I250" s="13">
        <v>42791.067326388889</v>
      </c>
      <c r="J250" s="7">
        <v>1</v>
      </c>
      <c r="K250" s="98" t="str">
        <f t="shared" si="72"/>
        <v>4049/4050</v>
      </c>
      <c r="L250" s="21" t="str">
        <f>VLOOKUP(A250,'Trips&amp;Operators'!$C$1:$G$99999,5,FALSE)</f>
        <v>COMELLA JUSTIN</v>
      </c>
      <c r="M250" s="6">
        <f t="shared" si="73"/>
        <v>1.8680555556784384E-2</v>
      </c>
      <c r="N250" s="7">
        <f t="shared" si="74"/>
        <v>26.900000001769513</v>
      </c>
      <c r="O250" s="7"/>
      <c r="P250" s="7"/>
      <c r="Q250" s="22"/>
      <c r="R250" s="22"/>
      <c r="S250" s="31">
        <f t="shared" si="75"/>
        <v>0</v>
      </c>
      <c r="T250" s="46" t="e">
        <f t="shared" si="76"/>
        <v>#VALUE!</v>
      </c>
      <c r="U250" s="18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6" t="str">
        <f t="shared" si="77"/>
        <v>https://d0f6bd738d7f1b3e5a7ca70fe4ff75f0.us-east-1.aws.found.io/app/kibana#/discover/Steve-Slow-Train-Analysis-(2080s-and-2083s)?_g=(refreshInterval:(display:Off,pause:!f,section:0,value:0),time:(from:'2017-02-24T23:46:05-0700',mode:absolute,to:'2017-02-25T02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0" s="187" t="str">
        <f t="shared" si="78"/>
        <v>Y</v>
      </c>
      <c r="X250" s="187" t="e">
        <f t="shared" si="79"/>
        <v>#VALUE!</v>
      </c>
      <c r="Y250" s="62">
        <f t="shared" si="80"/>
        <v>0.12809999999999999</v>
      </c>
      <c r="Z250" s="62">
        <f t="shared" si="81"/>
        <v>3.1438999999999999</v>
      </c>
      <c r="AA250" s="62">
        <f t="shared" si="82"/>
        <v>3.0158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 t="shared" si="83"/>
        <v>81-24</v>
      </c>
      <c r="AE250" s="85" t="str">
        <f t="shared" si="84"/>
        <v>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 &amp; 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</v>
      </c>
      <c r="AF250" s="82" t="str">
        <f t="shared" si="85"/>
        <v>"C:\Program Files (x86)\AstroGrep\AstroGrep.exe" /spath="%USERPROFILE%\AppData\Local\Temp\OnboardLogs" /stypes="app*4049*20170225*" /stext=" 08:.+((SYSTEM_STATE.+slice.+state.+changed )|(ment ac)|(multiple cpu faults)|(system.+state.+changed )|(\[timeout)|(PRM\|1\|D)|(kpr)|(kdp)|(\|lc)|(penalty))" /e /r /s</v>
      </c>
      <c r="AG250" s="1" t="str">
        <f t="shared" si="86"/>
        <v>Other</v>
      </c>
      <c r="AH250" s="86" t="str">
        <f t="shared" si="87"/>
        <v>"%USERPROFILE%\Documents\GitHub\eaglep3\Utilities\RefineRTDCRunTimes.py" --tripid 81-24 --locoid 4049 --swversion DE.1.0.9.0 --startMP 204:1281 --initTime 2017-02-25T00:46:05 --startdatetime 2017-02-25T01:10:03 --delay 1 --endMP 300:31439 --enddatetime 2017-02-25T01:36:57 --enforcementcount 1 &gt;&gt;C:\Users\stu\Documents\GitHub\eaglep3-reporting\EC\2017-02-24-refined-times.txt</v>
      </c>
      <c r="AI250" s="108" t="str">
        <f t="shared" si="88"/>
        <v>echo {"issue":{"subject":"","project_id":79,"tracker_id":40,"status_id":1,"priority_id":2,"assigned_to_id":23,"start_date":"2017-02-25","description":"","custom_fields":[{"id":1,"name":"Subdivision","value":"Other"},{"id":4,"name":"Milepost","value":"3.1439"},{"id":17,"name":"Train ID","value":"81-24"},{"id":16,"name":"Locomotive ID","value":"4049"},{"id":130,"name":"Impact","value":""},{"id":150,"name":"Time of Event (Mountain Time)","value":"01:36:57"},{"id":151,"name":"Denver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48"/>
      <c r="AK250" s="48"/>
      <c r="AL250" s="48"/>
      <c r="AM250" s="154" t="str">
        <f t="shared" si="89"/>
        <v>start /low /b %USERPROFILE%\Documents\GitHub\eaglep3\Utilities\DownloadLogsFromS3.py --loco 4049 --day 2017-02-25</v>
      </c>
      <c r="AN250" s="163" t="str">
        <f>"grep -SE -B400 ""CHR.+\|PRM\|1\|D.+(SWITCH|SIGNAL).+UNKNOWN"" "&amp;search_path&amp;"\RTDC"&amp;B250&amp;"\*"&amp;B250&amp;"*"&amp;TEXT(AVERAGE(F250,I250)-utc_offset/24,"YYYYMMDD")&amp;"*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"%USERPROFILE%\AppData\Local\Temp\OnboardLogs"\RTDC4049\*4049*20170225* | grep -SE "(Enforcement Action)|(\[TIMEOUT)|(CHR.+\|PRM\|1\|D.+(SWITCH|SIGNAL).+UNKNOWN)" - &gt;&gt; 2017-02-24-UncaughtWiMAX.txt</v>
      </c>
    </row>
    <row r="251" spans="1:40" x14ac:dyDescent="0.25">
      <c r="A251" s="33" t="s">
        <v>653</v>
      </c>
      <c r="B251" s="7">
        <v>4049</v>
      </c>
      <c r="C251" s="21" t="s">
        <v>280</v>
      </c>
      <c r="D251" s="21" t="s">
        <v>808</v>
      </c>
      <c r="E251" s="13">
        <v>42791.04760416667</v>
      </c>
      <c r="F251" s="13">
        <v>42791.063113425924</v>
      </c>
      <c r="G251" s="7">
        <v>1</v>
      </c>
      <c r="H251" s="21" t="s">
        <v>810</v>
      </c>
      <c r="I251" s="13">
        <v>42791.067326388889</v>
      </c>
      <c r="J251" s="7">
        <v>1</v>
      </c>
      <c r="K251" s="98" t="str">
        <f t="shared" si="72"/>
        <v>4049/4050</v>
      </c>
      <c r="L251" s="21" t="str">
        <f>VLOOKUP(A251,'Trips&amp;Operators'!$C$1:$G$99999,5,FALSE)</f>
        <v>COMELLA JUSTIN</v>
      </c>
      <c r="M251" s="6">
        <f t="shared" si="73"/>
        <v>4.2129629655391909E-3</v>
      </c>
      <c r="N251" s="7">
        <f t="shared" si="74"/>
        <v>6.0666666703764349</v>
      </c>
      <c r="O251" s="7"/>
      <c r="P251" s="7"/>
      <c r="Q251" s="22"/>
      <c r="R251" s="22"/>
      <c r="S251" s="31">
        <f t="shared" si="75"/>
        <v>0</v>
      </c>
      <c r="T251" s="46" t="e">
        <f t="shared" si="76"/>
        <v>#VALUE!</v>
      </c>
      <c r="U251" s="18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6" t="str">
        <f t="shared" si="77"/>
        <v>https://d0f6bd738d7f1b3e5a7ca70fe4ff75f0.us-east-1.aws.found.io/app/kibana#/discover/Steve-Slow-Train-Analysis-(2080s-and-2083s)?_g=(refreshInterval:(display:Off,pause:!f,section:0,value:0),time:(from:'2017-02-25T00:08:33-0700',mode:absolute,to:'2017-02-25T02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1" s="187" t="str">
        <f t="shared" si="78"/>
        <v>Y</v>
      </c>
      <c r="X251" s="187" t="e">
        <f t="shared" si="79"/>
        <v>#VALUE!</v>
      </c>
      <c r="Y251" s="62">
        <f t="shared" si="80"/>
        <v>0.12809999999999999</v>
      </c>
      <c r="Z251" s="62">
        <f t="shared" si="81"/>
        <v>3.1444999999999999</v>
      </c>
      <c r="AA251" s="62">
        <f t="shared" si="82"/>
        <v>3.0164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 t="shared" si="83"/>
        <v>81-24</v>
      </c>
      <c r="AE251" s="85" t="str">
        <f t="shared" si="84"/>
        <v>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 &amp; 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</v>
      </c>
      <c r="AF251" s="82" t="str">
        <f t="shared" si="85"/>
        <v>"C:\Program Files (x86)\AstroGrep\AstroGrep.exe" /spath="%USERPROFILE%\AppData\Local\Temp\OnboardLogs" /stypes="app*4049*20170225*" /stext=" 08:.+((SYSTEM_STATE.+slice.+state.+changed )|(ment ac)|(multiple cpu faults)|(system.+state.+changed )|(\[timeout)|(PRM\|1\|D)|(kpr)|(kdp)|(\|lc)|(penalty))" /e /r /s</v>
      </c>
      <c r="AG251" s="1" t="str">
        <f t="shared" si="86"/>
        <v>Other</v>
      </c>
      <c r="AH251" s="86" t="str">
        <f t="shared" si="87"/>
        <v>"%USERPROFILE%\Documents\GitHub\eaglep3\Utilities\RefineRTDCRunTimes.py" --tripid 81-24 --locoid 4049 --swversion DE.1.0.9.0 --startMP 204:1281 --initTime 2017-02-25T01:08:33 --startdatetime 2017-02-25T01:30:53 --delay 1 --endMP 300:31445 --enddatetime 2017-02-25T01:36:57 --enforcementcount 1 &gt;&gt;C:\Users\stu\Documents\GitHub\eaglep3-reporting\EC\2017-02-24-refined-times.txt</v>
      </c>
      <c r="AI251" s="108" t="str">
        <f t="shared" si="88"/>
        <v>echo {"issue":{"subject":"","project_id":79,"tracker_id":40,"status_id":1,"priority_id":2,"assigned_to_id":23,"start_date":"2017-02-25","description":"","custom_fields":[{"id":1,"name":"Subdivision","value":"Other"},{"id":4,"name":"Milepost","value":"3.1445"},{"id":17,"name":"Train ID","value":"81-24"},{"id":16,"name":"Locomotive ID","value":"4049"},{"id":130,"name":"Impact","value":""},{"id":150,"name":"Time of Event (Mountain Time)","value":"01:36:57"},{"id":151,"name":"Denver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48"/>
      <c r="AK251" s="48"/>
      <c r="AL251" s="48"/>
      <c r="AM251" s="154" t="str">
        <f t="shared" si="89"/>
        <v>start /low /b %USERPROFILE%\Documents\GitHub\eaglep3\Utilities\DownloadLogsFromS3.py --loco 4049 --day 2017-02-25</v>
      </c>
      <c r="AN251" s="163" t="str">
        <f>"grep -SE -B400 ""CHR.+\|PRM\|1\|D.+(SWITCH|SIGNAL).+UNKNOWN"" "&amp;search_path&amp;"\RTDC"&amp;B251&amp;"\*"&amp;B251&amp;"*"&amp;TEXT(AVERAGE(F251,I251)-utc_offset/24,"YYYYMMDD")&amp;"*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"%USERPROFILE%\AppData\Local\Temp\OnboardLogs"\RTDC4049\*4049*20170225* | grep -SE "(Enforcement Action)|(\[TIMEOUT)|(CHR.+\|PRM\|1\|D.+(SWITCH|SIGNAL).+UNKNOWN)" - &gt;&gt; 2017-02-24-UncaughtWiMAX.txt</v>
      </c>
    </row>
    <row r="252" spans="1:40" x14ac:dyDescent="0.25">
      <c r="A252" s="33" t="s">
        <v>653</v>
      </c>
      <c r="B252" s="7">
        <v>4049</v>
      </c>
      <c r="C252" s="21" t="s">
        <v>280</v>
      </c>
      <c r="D252" s="21" t="s">
        <v>811</v>
      </c>
      <c r="E252" s="13">
        <v>42791.081203703703</v>
      </c>
      <c r="F252" s="13">
        <v>25568.708333333332</v>
      </c>
      <c r="G252" s="7">
        <v>1</v>
      </c>
      <c r="H252" s="21" t="s">
        <v>812</v>
      </c>
      <c r="I252" s="13">
        <v>25568.708333333332</v>
      </c>
      <c r="J252" s="7">
        <v>1</v>
      </c>
      <c r="K252" s="98" t="str">
        <f t="shared" si="72"/>
        <v>4049/4050</v>
      </c>
      <c r="L252" s="21" t="str">
        <f>VLOOKUP(A252,'Trips&amp;Operators'!$C$1:$G$99999,5,FALSE)</f>
        <v>COMELLA JUSTIN</v>
      </c>
      <c r="M252" s="6">
        <f t="shared" si="73"/>
        <v>0</v>
      </c>
      <c r="N252" s="7">
        <f t="shared" si="74"/>
        <v>0</v>
      </c>
      <c r="O252" s="7"/>
      <c r="P252" s="7"/>
      <c r="Q252" s="22"/>
      <c r="R252" s="22"/>
      <c r="S252" s="31">
        <f t="shared" si="75"/>
        <v>0</v>
      </c>
      <c r="T252" s="46" t="e">
        <f t="shared" si="76"/>
        <v>#VALUE!</v>
      </c>
      <c r="U252" s="18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86" t="str">
        <f t="shared" si="77"/>
        <v>https://d0f6bd738d7f1b3e5a7ca70fe4ff75f0.us-east-1.aws.found.io/app/kibana#/discover/Steve-Slow-Train-Analysis-(2080s-and-2083s)?_g=(refreshInterval:(display:Off,pause:!f,section:0,value:0),time:(from:'2017-02-25T00:56:56-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2" s="187" t="str">
        <f t="shared" si="78"/>
        <v>Y</v>
      </c>
      <c r="X252" s="187" t="e">
        <f t="shared" si="79"/>
        <v>#VALUE!</v>
      </c>
      <c r="Y252" s="62">
        <f t="shared" si="80"/>
        <v>0.129</v>
      </c>
      <c r="Z252" s="62">
        <f t="shared" si="81"/>
        <v>3.1545000000000001</v>
      </c>
      <c r="AA252" s="62">
        <f t="shared" si="82"/>
        <v>3.0255000000000001</v>
      </c>
      <c r="AB252" s="59" t="e">
        <f>VLOOKUP(A252,Enforcements!$C$7:$K$13,8,0)</f>
        <v>#N/A</v>
      </c>
      <c r="AC252" s="55" t="e">
        <f>VLOOKUP(A252,Enforcements!$C$7:$E$13,3,0)</f>
        <v>#N/A</v>
      </c>
      <c r="AD252" s="56" t="str">
        <f t="shared" si="83"/>
        <v>81-24</v>
      </c>
      <c r="AE252" s="85" t="str">
        <f t="shared" si="84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52" s="82" t="str">
        <f t="shared" si="85"/>
        <v>"C:\Program Files (x86)\AstroGrep\AstroGrep.exe" /spath="%USERPROFILE%\AppData\Local\Temp\OnboardLogs" /stypes="app*4049*19700101*" /stext=" 00:.+((SYSTEM_STATE.+slice.+state.+changed )|(ment ac)|(multiple cpu faults)|(system.+state.+changed )|(\[timeout)|(PRM\|1\|D)|(kpr)|(kdp)|(\|lc)|(penalty))" /e /r /s</v>
      </c>
      <c r="AG252" s="1" t="str">
        <f t="shared" si="86"/>
        <v>Other</v>
      </c>
      <c r="AH252" s="86" t="str">
        <f t="shared" si="87"/>
        <v>"%USERPROFILE%\Documents\GitHub\eaglep3\Utilities\RefineRTDCRunTimes.py" --tripid 81-24 --locoid 4049 --swversion DE.1.0.9.0 --startMP 204:1290 --initTime 2017-02-25T01:56:56 --startdatetime 1969-12-31T17:00:00 --delay 1 --endMP 300:31545 --enddatetime 1969-12-31T17:00:00 --enforcementcount 1 &gt;&gt;C:\Users\stu\Documents\GitHub\eaglep3-reporting\EC\2017-02-24-refined-times.txt</v>
      </c>
      <c r="AI252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{"issue":{"subject":"","project_id":79,"tracker_id":40,"status_id":1,"priority_id":2,"assigned_to_id":23,"start_date":"1969-12-31","description":"","custom_fields":[{"id":1,"name":"Subdivision","value":"Other"},{"id":4,"name":"Milepost","value":"3.1545"},{"id":17,"name":"Train ID","value":"81-24"},{"id":16,"name":"Locomotive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48"/>
      <c r="AK252" s="48"/>
      <c r="AL252" s="48"/>
      <c r="AM252" s="154" t="str">
        <f t="shared" si="89"/>
        <v>start /low /b %USERPROFILE%\Documents\GitHub\eaglep3\Utilities\DownloadLogsFromS3.py --loco 4049 --day 1969-12-31</v>
      </c>
      <c r="AN252" s="163" t="str">
        <f>"grep -SE -B400 ""CHR.+\|PRM\|1\|D.+(SWITCH|SIGNAL).+UNKNOWN"" "&amp;search_path&amp;"\RTDC"&amp;B252&amp;"\*"&amp;B252&amp;"*"&amp;TEXT(AVERAGE(F252,I252)-utc_offset/24,"YYYYMMDD")&amp;"*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2017-02-24-UncaughtWiMAX.txt</v>
      </c>
    </row>
    <row r="253" spans="1:40" x14ac:dyDescent="0.25">
      <c r="A253" s="33" t="s">
        <v>653</v>
      </c>
      <c r="B253" s="7">
        <v>4049</v>
      </c>
      <c r="C253" s="21" t="s">
        <v>280</v>
      </c>
      <c r="D253" s="21" t="s">
        <v>813</v>
      </c>
      <c r="E253" s="13">
        <v>42790.946469907409</v>
      </c>
      <c r="F253" s="13">
        <v>42790.947685185187</v>
      </c>
      <c r="G253" s="7">
        <v>1</v>
      </c>
      <c r="H253" s="21" t="s">
        <v>814</v>
      </c>
      <c r="I253" s="13">
        <v>42790.953842592593</v>
      </c>
      <c r="J253" s="7">
        <v>1</v>
      </c>
      <c r="K253" s="98" t="str">
        <f t="shared" si="72"/>
        <v>4049/4050</v>
      </c>
      <c r="L253" s="21" t="str">
        <f>VLOOKUP(A253,'Trips&amp;Operators'!$C$1:$G$99999,5,FALSE)</f>
        <v>COMELLA JUSTIN</v>
      </c>
      <c r="M253" s="6">
        <f t="shared" si="73"/>
        <v>6.1574074061354622E-3</v>
      </c>
      <c r="N253" s="7">
        <f t="shared" si="74"/>
        <v>8.8666666648350656</v>
      </c>
      <c r="O253" s="7"/>
      <c r="P253" s="7"/>
      <c r="Q253" s="22"/>
      <c r="R253" s="22"/>
      <c r="S253" s="31">
        <f t="shared" si="75"/>
        <v>0</v>
      </c>
      <c r="T253" s="46" t="e">
        <f t="shared" si="76"/>
        <v>#VALUE!</v>
      </c>
      <c r="U253" s="18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86" t="str">
        <f t="shared" si="77"/>
        <v>https://d0f6bd738d7f1b3e5a7ca70fe4ff75f0.us-east-1.aws.found.io/app/kibana#/discover/Steve-Slow-Train-Analysis-(2080s-and-2083s)?_g=(refreshInterval:(display:Off,pause:!f,section:0,value:0),time:(from:'2017-02-24T21:42:55-0700',mode:absolute,to:'2017-02-24T23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3" s="187" t="str">
        <f t="shared" si="78"/>
        <v>Y</v>
      </c>
      <c r="X253" s="187" t="e">
        <f t="shared" si="79"/>
        <v>#VALUE!</v>
      </c>
      <c r="Y253" s="62">
        <f t="shared" si="80"/>
        <v>0.12920000000000001</v>
      </c>
      <c r="Z253" s="62">
        <f t="shared" si="81"/>
        <v>3.1309999999999998</v>
      </c>
      <c r="AA253" s="62">
        <f t="shared" si="82"/>
        <v>3.0017999999999998</v>
      </c>
      <c r="AB253" s="59" t="e">
        <f>VLOOKUP(A253,Enforcements!$C$7:$K$13,8,0)</f>
        <v>#N/A</v>
      </c>
      <c r="AC253" s="55" t="e">
        <f>VLOOKUP(A253,Enforcements!$C$7:$E$13,3,0)</f>
        <v>#N/A</v>
      </c>
      <c r="AD253" s="56" t="str">
        <f t="shared" si="83"/>
        <v>81-24</v>
      </c>
      <c r="AE253" s="85" t="str">
        <f t="shared" si="84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53" s="82" t="str">
        <f t="shared" si="85"/>
        <v>"C:\Program Files (x86)\AstroGrep\AstroGrep.exe" /spath="%USERPROFILE%\AppData\Local\Temp\OnboardLogs" /stypes="app*4049*20170225*" /stext=" 05:.+((SYSTEM_STATE.+slice.+state.+changed )|(ment ac)|(multiple cpu faults)|(system.+state.+changed )|(\[timeout)|(PRM\|1\|D)|(kpr)|(kdp)|(\|lc)|(penalty))" /e /r /s</v>
      </c>
      <c r="AG253" s="1" t="str">
        <f t="shared" si="86"/>
        <v>Other</v>
      </c>
      <c r="AH253" s="86" t="str">
        <f t="shared" si="87"/>
        <v>"%USERPROFILE%\Documents\GitHub\eaglep3\Utilities\RefineRTDCRunTimes.py" --tripid 81-24 --locoid 4049 --swversion DE.1.0.9.0 --startMP 204:1292 --initTime 2017-02-24T22:42:55 --startdatetime 2017-02-24T22:44:40 --delay 1 --endMP 300:31310 --enddatetime 2017-02-24T22:53:32 --enforcementcount 1 &gt;&gt;C:\Users\stu\Documents\GitHub\eaglep3-reporting\EC\2017-02-24-refined-times.txt</v>
      </c>
      <c r="AI253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{"issue":{"subject":"","project_id":79,"tracker_id":40,"status_id":1,"priority_id":2,"assigned_to_id":23,"start_date":"2017-02-24","description":"","custom_fields":[{"id":1,"name":"Subdivision","value":"Other"},{"id":4,"name":"Milepost","value":"3.131"},{"id":17,"name":"Train ID","value":"81-24"},{"id":16,"name":"Locomotive ID","value":"4049"},{"id":130,"name":"Impact","value":""},{"id":150,"name":"Time of Event (Mountain Time)","value":"22:53:32"},{"id":151,"name":"Denver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48"/>
      <c r="AK253" s="48"/>
      <c r="AL253" s="48"/>
      <c r="AM253" s="154" t="str">
        <f t="shared" si="89"/>
        <v>start /low /b %USERPROFILE%\Documents\GitHub\eaglep3\Utilities\DownloadLogsFromS3.py --loco 4049 --day 2017-02-24</v>
      </c>
      <c r="AN253" s="163" t="str">
        <f>"grep -SE -B400 ""CHR.+\|PRM\|1\|D.+(SWITCH|SIGNAL).+UNKNOWN"" "&amp;search_path&amp;"\RTDC"&amp;B253&amp;"\*"&amp;B253&amp;"*"&amp;TEXT(AVERAGE(F253,I253)-utc_offset/24,"YYYYMMDD")&amp;"*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"%USERPROFILE%\AppData\Local\Temp\OnboardLogs"\RTDC4049\*4049*20170225* | grep -SE "(Enforcement Action)|(\[TIMEOUT)|(CHR.+\|PRM\|1\|D.+(SWITCH|SIGNAL).+UNKNOWN)" - &gt;&gt; 2017-02-24-UncaughtWiMAX.txt</v>
      </c>
    </row>
    <row r="254" spans="1:40" x14ac:dyDescent="0.25">
      <c r="A254" s="33" t="s">
        <v>653</v>
      </c>
      <c r="B254" s="7">
        <v>4049</v>
      </c>
      <c r="C254" s="21" t="s">
        <v>280</v>
      </c>
      <c r="D254" s="21" t="s">
        <v>815</v>
      </c>
      <c r="E254" s="13">
        <v>42790.997777777775</v>
      </c>
      <c r="F254" s="13">
        <v>42791.013506944444</v>
      </c>
      <c r="G254" s="7">
        <v>1</v>
      </c>
      <c r="H254" s="21" t="s">
        <v>816</v>
      </c>
      <c r="I254" s="13">
        <v>42791.02207175926</v>
      </c>
      <c r="J254" s="7">
        <v>1</v>
      </c>
      <c r="K254" s="98" t="str">
        <f t="shared" si="72"/>
        <v>4049/4050</v>
      </c>
      <c r="L254" s="21" t="str">
        <f>VLOOKUP(A254,'Trips&amp;Operators'!$C$1:$G$99999,5,FALSE)</f>
        <v>COMELLA JUSTIN</v>
      </c>
      <c r="M254" s="6">
        <f t="shared" si="73"/>
        <v>8.5648148160544224E-3</v>
      </c>
      <c r="N254" s="7">
        <f t="shared" si="74"/>
        <v>12.333333335118368</v>
      </c>
      <c r="O254" s="7"/>
      <c r="P254" s="7"/>
      <c r="Q254" s="22"/>
      <c r="R254" s="22"/>
      <c r="S254" s="31">
        <f t="shared" si="75"/>
        <v>0</v>
      </c>
      <c r="T254" s="46" t="e">
        <f t="shared" si="76"/>
        <v>#VALUE!</v>
      </c>
      <c r="U254" s="18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86" t="str">
        <f t="shared" si="77"/>
        <v>https://d0f6bd738d7f1b3e5a7ca70fe4ff75f0.us-east-1.aws.found.io/app/kibana#/discover/Steve-Slow-Train-Analysis-(2080s-and-2083s)?_g=(refreshInterval:(display:Off,pause:!f,section:0,value:0),time:(from:'2017-02-24T22:56:48-0700',mode:absolute,to:'2017-02-25T01:31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4" s="187" t="str">
        <f t="shared" si="78"/>
        <v>Y</v>
      </c>
      <c r="X254" s="187" t="e">
        <f t="shared" si="79"/>
        <v>#VALUE!</v>
      </c>
      <c r="Y254" s="62">
        <f t="shared" si="80"/>
        <v>0.12959999999999999</v>
      </c>
      <c r="Z254" s="62">
        <f t="shared" si="81"/>
        <v>3.1343000000000001</v>
      </c>
      <c r="AA254" s="62">
        <f t="shared" si="82"/>
        <v>3.0047000000000001</v>
      </c>
      <c r="AB254" s="59" t="e">
        <f>VLOOKUP(A254,Enforcements!$C$7:$K$13,8,0)</f>
        <v>#N/A</v>
      </c>
      <c r="AC254" s="55" t="e">
        <f>VLOOKUP(A254,Enforcements!$C$7:$E$13,3,0)</f>
        <v>#N/A</v>
      </c>
      <c r="AD254" s="56" t="str">
        <f t="shared" si="83"/>
        <v>81-24</v>
      </c>
      <c r="AE254" s="85" t="str">
        <f t="shared" si="84"/>
        <v>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 &amp; 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</v>
      </c>
      <c r="AF254" s="82" t="str">
        <f t="shared" si="85"/>
        <v>"C:\Program Files (x86)\AstroGrep\AstroGrep.exe" /spath="%USERPROFILE%\AppData\Local\Temp\OnboardLogs" /stypes="app*4049*20170225*" /stext=" 07:.+((SYSTEM_STATE.+slice.+state.+changed )|(ment ac)|(multiple cpu faults)|(system.+state.+changed )|(\[timeout)|(PRM\|1\|D)|(kpr)|(kdp)|(\|lc)|(penalty))" /e /r /s</v>
      </c>
      <c r="AG254" s="1" t="str">
        <f t="shared" si="86"/>
        <v>Other</v>
      </c>
      <c r="AH254" s="86" t="str">
        <f t="shared" si="87"/>
        <v>"%USERPROFILE%\Documents\GitHub\eaglep3\Utilities\RefineRTDCRunTimes.py" --tripid 81-24 --locoid 4049 --swversion DE.1.0.9.0 --startMP 204:1296 --initTime 2017-02-24T23:56:48 --startdatetime 2017-02-25T00:19:27 --delay 1 --endMP 300:31343 --enddatetime 2017-02-25T00:31:47 --enforcementcount 1 &gt;&gt;C:\Users\stu\Documents\GitHub\eaglep3-reporting\EC\2017-02-24-refined-times.txt</v>
      </c>
      <c r="AI254" s="108" t="str">
        <f t="shared" si="88"/>
        <v>echo {"issue":{"subject":"","project_id":79,"tracker_id":40,"status_id":1,"priority_id":2,"assigned_to_id":23,"start_date":"2017-02-25","description":"","custom_fields":[{"id":1,"name":"Subdivision","value":"Other"},{"id":4,"name":"Milepost","value":"3.1343"},{"id":17,"name":"Train ID","value":"81-24"},{"id":16,"name":"Locomotive ID","value":"4049"},{"id":130,"name":"Impact","value":""},{"id":150,"name":"Time of Event (Mountain Time)","value":"00:31:47"},{"id":151,"name":"Denver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48"/>
      <c r="AK254" s="48"/>
      <c r="AL254" s="48"/>
      <c r="AM254" s="154" t="str">
        <f t="shared" si="89"/>
        <v>start /low /b %USERPROFILE%\Documents\GitHub\eaglep3\Utilities\DownloadLogsFromS3.py --loco 4049 --day 2017-02-25</v>
      </c>
      <c r="AN254" s="163" t="str">
        <f>"grep -SE -B400 ""CHR.+\|PRM\|1\|D.+(SWITCH|SIGNAL).+UNKNOWN"" "&amp;search_path&amp;"\RTDC"&amp;B254&amp;"\*"&amp;B254&amp;"*"&amp;TEXT(AVERAGE(F254,I254)-utc_offset/24,"YYYYMMDD")&amp;"*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"%USERPROFILE%\AppData\Local\Temp\OnboardLogs"\RTDC4049\*4049*20170225* | grep -SE "(Enforcement Action)|(\[TIMEOUT)|(CHR.+\|PRM\|1\|D.+(SWITCH|SIGNAL).+UNKNOWN)" - &gt;&gt; 2017-02-24-UncaughtWiMAX.txt</v>
      </c>
    </row>
    <row r="255" spans="1:40" x14ac:dyDescent="0.25">
      <c r="A255" s="33" t="s">
        <v>653</v>
      </c>
      <c r="B255" s="7">
        <v>4049</v>
      </c>
      <c r="C255" s="21" t="s">
        <v>280</v>
      </c>
      <c r="D255" s="21" t="s">
        <v>817</v>
      </c>
      <c r="E255" s="13">
        <v>42790.928680555553</v>
      </c>
      <c r="F255" s="13">
        <v>42790.947685185187</v>
      </c>
      <c r="G255" s="7">
        <v>1</v>
      </c>
      <c r="H255" s="21" t="s">
        <v>818</v>
      </c>
      <c r="I255" s="13">
        <v>42790.953842592593</v>
      </c>
      <c r="J255" s="7">
        <v>1</v>
      </c>
      <c r="K255" s="98" t="str">
        <f t="shared" si="72"/>
        <v>4049/4050</v>
      </c>
      <c r="L255" s="21" t="str">
        <f>VLOOKUP(A255,'Trips&amp;Operators'!$C$1:$G$99999,5,FALSE)</f>
        <v>COMELLA JUSTIN</v>
      </c>
      <c r="M255" s="6">
        <f t="shared" si="73"/>
        <v>6.1574074061354622E-3</v>
      </c>
      <c r="N255" s="7">
        <f t="shared" si="74"/>
        <v>8.8666666648350656</v>
      </c>
      <c r="O255" s="7"/>
      <c r="P255" s="7"/>
      <c r="Q255" s="22"/>
      <c r="R255" s="22"/>
      <c r="S255" s="31">
        <f t="shared" si="75"/>
        <v>0</v>
      </c>
      <c r="T255" s="46" t="e">
        <f t="shared" si="76"/>
        <v>#VALUE!</v>
      </c>
      <c r="U255" s="18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86" t="str">
        <f t="shared" si="77"/>
        <v>https://d0f6bd738d7f1b3e5a7ca70fe4ff75f0.us-east-1.aws.found.io/app/kibana#/discover/Steve-Slow-Train-Analysis-(2080s-and-2083s)?_g=(refreshInterval:(display:Off,pause:!f,section:0,value:0),time:(from:'2017-02-24T21:17:18-0700',mode:absolute,to:'2017-02-24T23:53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5" s="187" t="str">
        <f t="shared" si="78"/>
        <v>Y</v>
      </c>
      <c r="X255" s="187" t="e">
        <f t="shared" si="79"/>
        <v>#VALUE!</v>
      </c>
      <c r="Y255" s="62">
        <f t="shared" si="80"/>
        <v>0.1313</v>
      </c>
      <c r="Z255" s="62">
        <f t="shared" si="81"/>
        <v>3.1231</v>
      </c>
      <c r="AA255" s="62">
        <f t="shared" si="82"/>
        <v>2.9918</v>
      </c>
      <c r="AB255" s="59" t="e">
        <f>VLOOKUP(A255,Enforcements!$C$7:$K$13,8,0)</f>
        <v>#N/A</v>
      </c>
      <c r="AC255" s="55" t="e">
        <f>VLOOKUP(A255,Enforcements!$C$7:$E$13,3,0)</f>
        <v>#N/A</v>
      </c>
      <c r="AD255" s="56" t="str">
        <f t="shared" si="83"/>
        <v>81-24</v>
      </c>
      <c r="AE255" s="85" t="str">
        <f t="shared" si="84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55" s="82" t="str">
        <f t="shared" si="85"/>
        <v>"C:\Program Files (x86)\AstroGrep\AstroGrep.exe" /spath="%USERPROFILE%\AppData\Local\Temp\OnboardLogs" /stypes="app*4049*20170225*" /stext=" 05:.+((SYSTEM_STATE.+slice.+state.+changed )|(ment ac)|(multiple cpu faults)|(system.+state.+changed )|(\[timeout)|(PRM\|1\|D)|(kpr)|(kdp)|(\|lc)|(penalty))" /e /r /s</v>
      </c>
      <c r="AG255" s="1" t="str">
        <f t="shared" si="86"/>
        <v>Other</v>
      </c>
      <c r="AH255" s="86" t="str">
        <f t="shared" si="87"/>
        <v>"%USERPROFILE%\Documents\GitHub\eaglep3\Utilities\RefineRTDCRunTimes.py" --tripid 81-24 --locoid 4049 --swversion DE.1.0.9.0 --startMP 204:1313 --initTime 2017-02-24T22:17:18 --startdatetime 2017-02-24T22:44:40 --delay 1 --endMP 300:31231 --enddatetime 2017-02-24T22:53:32 --enforcementcount 1 &gt;&gt;C:\Users\stu\Documents\GitHub\eaglep3-reporting\EC\2017-02-24-refined-times.txt</v>
      </c>
      <c r="AI255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{"issue":{"subject":"","project_id":79,"tracker_id":40,"status_id":1,"priority_id":2,"assigned_to_id":23,"start_date":"2017-02-24","description":"","custom_fields":[{"id":1,"name":"Subdivision","value":"Other"},{"id":4,"name":"Milepost","value":"3.1231"},{"id":17,"name":"Train ID","value":"81-24"},{"id":16,"name":"Locomotive ID","value":"4049"},{"id":130,"name":"Impact","value":""},{"id":150,"name":"Time of Event (Mountain Time)","value":"22:53:32"},{"id":151,"name":"Denver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48"/>
      <c r="AK255" s="48"/>
      <c r="AL255" s="48"/>
      <c r="AM255" s="154" t="str">
        <f t="shared" si="89"/>
        <v>start /low /b %USERPROFILE%\Documents\GitHub\eaglep3\Utilities\DownloadLogsFromS3.py --loco 4049 --day 2017-02-24</v>
      </c>
      <c r="AN255" s="163" t="str">
        <f>"grep -SE -B400 ""CHR.+\|PRM\|1\|D.+(SWITCH|SIGNAL).+UNKNOWN"" "&amp;search_path&amp;"\RTDC"&amp;B255&amp;"\*"&amp;B255&amp;"*"&amp;TEXT(AVERAGE(F255,I255)-utc_offset/24,"YYYYMMDD")&amp;"*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"%USERPROFILE%\AppData\Local\Temp\OnboardLogs"\RTDC4049\*4049*20170225* | grep -SE "(Enforcement Action)|(\[TIMEOUT)|(CHR.+\|PRM\|1\|D.+(SWITCH|SIGNAL).+UNKNOWN)" - &gt;&gt; 2017-02-24-UncaughtWiMAX.txt</v>
      </c>
    </row>
    <row r="256" spans="1:40" x14ac:dyDescent="0.25">
      <c r="A256" s="33" t="s">
        <v>653</v>
      </c>
      <c r="B256" s="7">
        <v>4049</v>
      </c>
      <c r="C256" s="21" t="s">
        <v>280</v>
      </c>
      <c r="D256" s="21" t="s">
        <v>819</v>
      </c>
      <c r="E256" s="13">
        <v>42791.061678240738</v>
      </c>
      <c r="F256" s="13">
        <v>42791.085416666669</v>
      </c>
      <c r="G256" s="7">
        <v>1</v>
      </c>
      <c r="H256" s="21" t="s">
        <v>820</v>
      </c>
      <c r="I256" s="13">
        <v>42791.089675925927</v>
      </c>
      <c r="J256" s="7">
        <v>1</v>
      </c>
      <c r="K256" s="98" t="str">
        <f t="shared" si="72"/>
        <v>4049/4050</v>
      </c>
      <c r="L256" s="21" t="str">
        <f>VLOOKUP(A256,'Trips&amp;Operators'!$C$1:$G$99999,5,FALSE)</f>
        <v>COMELLA JUSTIN</v>
      </c>
      <c r="M256" s="6">
        <f t="shared" si="73"/>
        <v>4.2592592581058852E-3</v>
      </c>
      <c r="N256" s="7">
        <f t="shared" si="74"/>
        <v>6.1333333316724747</v>
      </c>
      <c r="O256" s="7"/>
      <c r="P256" s="7"/>
      <c r="Q256" s="22"/>
      <c r="R256" s="22"/>
      <c r="S256" s="31">
        <f t="shared" si="75"/>
        <v>0</v>
      </c>
      <c r="T256" s="46" t="e">
        <f t="shared" si="76"/>
        <v>#VALUE!</v>
      </c>
      <c r="U256" s="185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86" t="str">
        <f t="shared" si="77"/>
        <v>https://d0f6bd738d7f1b3e5a7ca70fe4ff75f0.us-east-1.aws.found.io/app/kibana#/discover/Steve-Slow-Train-Analysis-(2080s-and-2083s)?_g=(refreshInterval:(display:Off,pause:!f,section:0,value:0),time:(from:'2017-02-25T00:28:49-0700',mode:absolute,to:'2017-02-25T03:09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6" s="187" t="str">
        <f t="shared" si="78"/>
        <v>Y</v>
      </c>
      <c r="X256" s="187" t="e">
        <f t="shared" si="79"/>
        <v>#VALUE!</v>
      </c>
      <c r="Y256" s="62">
        <f t="shared" si="80"/>
        <v>0.13200000000000001</v>
      </c>
      <c r="Z256" s="62">
        <f t="shared" si="81"/>
        <v>3.1492</v>
      </c>
      <c r="AA256" s="62">
        <f t="shared" si="82"/>
        <v>3.0171999999999999</v>
      </c>
      <c r="AB256" s="59" t="e">
        <f>VLOOKUP(A256,Enforcements!$C$7:$K$13,8,0)</f>
        <v>#N/A</v>
      </c>
      <c r="AC256" s="55" t="e">
        <f>VLOOKUP(A256,Enforcements!$C$7:$E$13,3,0)</f>
        <v>#N/A</v>
      </c>
      <c r="AD256" s="56" t="str">
        <f t="shared" si="83"/>
        <v>81-24</v>
      </c>
      <c r="AE256" s="85" t="str">
        <f t="shared" si="84"/>
        <v>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 &amp; 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</v>
      </c>
      <c r="AF256" s="82" t="str">
        <f t="shared" si="85"/>
        <v>"C:\Program Files (x86)\AstroGrep\AstroGrep.exe" /spath="%USERPROFILE%\AppData\Local\Temp\OnboardLogs" /stypes="app*4049*20170225*" /stext=" 09:.+((SYSTEM_STATE.+slice.+state.+changed )|(ment ac)|(multiple cpu faults)|(system.+state.+changed )|(\[timeout)|(PRM\|1\|D)|(kpr)|(kdp)|(\|lc)|(penalty))" /e /r /s</v>
      </c>
      <c r="AG256" s="1" t="str">
        <f t="shared" si="86"/>
        <v>Other</v>
      </c>
      <c r="AH256" s="86" t="str">
        <f t="shared" si="87"/>
        <v>"%USERPROFILE%\Documents\GitHub\eaglep3\Utilities\RefineRTDCRunTimes.py" --tripid 81-24 --locoid 4049 --swversion DE.1.0.9.0 --startMP 204:1320 --initTime 2017-02-25T01:28:49 --startdatetime 2017-02-25T02:03:00 --delay 1 --endMP 300:31492 --enddatetime 2017-02-25T02:09:08 --enforcementcount 1 &gt;&gt;C:\Users\stu\Documents\GitHub\eaglep3-reporting\EC\2017-02-24-refined-times.txt</v>
      </c>
      <c r="AI256" s="108" t="str">
        <f t="shared" si="88"/>
        <v>echo {"issue":{"subject":"","project_id":79,"tracker_id":40,"status_id":1,"priority_id":2,"assigned_to_id":23,"start_date":"2017-02-25","description":"","custom_fields":[{"id":1,"name":"Subdivision","value":"Other"},{"id":4,"name":"Milepost","value":"3.1492"},{"id":17,"name":"Train ID","value":"81-24"},{"id":16,"name":"Locomotive ID","value":"4049"},{"id":130,"name":"Impact","value":""},{"id":150,"name":"Time of Event (Mountain Time)","value":"02:09:08"},{"id":151,"name":"Denver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48"/>
      <c r="AK256" s="48"/>
      <c r="AL256" s="48"/>
      <c r="AM256" s="154" t="str">
        <f t="shared" si="89"/>
        <v>start /low /b %USERPROFILE%\Documents\GitHub\eaglep3\Utilities\DownloadLogsFromS3.py --loco 4049 --day 2017-02-25</v>
      </c>
      <c r="AN256" s="163" t="str">
        <f>"grep -SE -B400 ""CHR.+\|PRM\|1\|D.+(SWITCH|SIGNAL).+UNKNOWN"" "&amp;search_path&amp;"\RTDC"&amp;B256&amp;"\*"&amp;B256&amp;"*"&amp;TEXT(AVERAGE(F256,I256)-utc_offset/24,"YYYYMMDD")&amp;"*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"%USERPROFILE%\AppData\Local\Temp\OnboardLogs"\RTDC4049\*4049*20170225* | grep -SE "(Enforcement Action)|(\[TIMEOUT)|(CHR.+\|PRM\|1\|D.+(SWITCH|SIGNAL).+UNKNOWN)" - &gt;&gt; 2017-02-24-UncaughtWiMAX.txt</v>
      </c>
    </row>
    <row r="257" spans="1:40" x14ac:dyDescent="0.25">
      <c r="A257" s="33" t="s">
        <v>653</v>
      </c>
      <c r="B257" s="7">
        <v>4049</v>
      </c>
      <c r="C257" s="21" t="s">
        <v>280</v>
      </c>
      <c r="D257" s="21" t="s">
        <v>821</v>
      </c>
      <c r="E257" s="13">
        <v>42790.906608796293</v>
      </c>
      <c r="F257" s="13">
        <v>42790.932303240741</v>
      </c>
      <c r="G257" s="7">
        <v>1</v>
      </c>
      <c r="H257" s="21" t="s">
        <v>822</v>
      </c>
      <c r="I257" s="13">
        <v>42790.9371875</v>
      </c>
      <c r="J257" s="7">
        <v>1</v>
      </c>
      <c r="K257" s="98" t="str">
        <f t="shared" si="72"/>
        <v>4049/4050</v>
      </c>
      <c r="L257" s="21" t="str">
        <f>VLOOKUP(A257,'Trips&amp;Operators'!$C$1:$G$99999,5,FALSE)</f>
        <v>COMELLA JUSTIN</v>
      </c>
      <c r="M257" s="6">
        <f t="shared" si="73"/>
        <v>4.8842592586879618E-3</v>
      </c>
      <c r="N257" s="7">
        <f t="shared" si="74"/>
        <v>7.0333333325106651</v>
      </c>
      <c r="O257" s="7"/>
      <c r="P257" s="7"/>
      <c r="Q257" s="22"/>
      <c r="R257" s="22"/>
      <c r="S257" s="31">
        <f t="shared" si="75"/>
        <v>0</v>
      </c>
      <c r="T257" s="46" t="e">
        <f t="shared" si="76"/>
        <v>#VALUE!</v>
      </c>
      <c r="U257" s="185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86" t="str">
        <f t="shared" si="77"/>
        <v>https://d0f6bd738d7f1b3e5a7ca70fe4ff75f0.us-east-1.aws.found.io/app/kibana#/discover/Steve-Slow-Train-Analysis-(2080s-and-2083s)?_g=(refreshInterval:(display:Off,pause:!f,section:0,value:0),time:(from:'2017-02-24T20:45:31-0700',mode:absolute,to:'2017-02-24T23:29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7" s="187" t="str">
        <f t="shared" si="78"/>
        <v>Y</v>
      </c>
      <c r="X257" s="187" t="e">
        <f t="shared" si="79"/>
        <v>#VALUE!</v>
      </c>
      <c r="Y257" s="62">
        <f t="shared" si="80"/>
        <v>0.1328</v>
      </c>
      <c r="Z257" s="62">
        <f t="shared" si="81"/>
        <v>3.1280000000000001</v>
      </c>
      <c r="AA257" s="62">
        <f t="shared" si="82"/>
        <v>2.9952000000000001</v>
      </c>
      <c r="AB257" s="59" t="e">
        <f>VLOOKUP(A257,Enforcements!$C$7:$K$13,8,0)</f>
        <v>#N/A</v>
      </c>
      <c r="AC257" s="55" t="e">
        <f>VLOOKUP(A257,Enforcements!$C$7:$E$13,3,0)</f>
        <v>#N/A</v>
      </c>
      <c r="AD257" s="56" t="str">
        <f t="shared" si="83"/>
        <v>81-24</v>
      </c>
      <c r="AE257" s="85" t="str">
        <f t="shared" si="84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57" s="82" t="str">
        <f t="shared" si="85"/>
        <v>"C:\Program Files (x86)\AstroGrep\AstroGrep.exe" /spath="%USERPROFILE%\AppData\Local\Temp\OnboardLogs" /stypes="app*4049*20170225*" /stext=" 05:.+((SYSTEM_STATE.+slice.+state.+changed )|(ment ac)|(multiple cpu faults)|(system.+state.+changed )|(\[timeout)|(PRM\|1\|D)|(kpr)|(kdp)|(\|lc)|(penalty))" /e /r /s</v>
      </c>
      <c r="AG257" s="1" t="str">
        <f t="shared" si="86"/>
        <v>Other</v>
      </c>
      <c r="AH257" s="86" t="str">
        <f t="shared" si="87"/>
        <v>"%USERPROFILE%\Documents\GitHub\eaglep3\Utilities\RefineRTDCRunTimes.py" --tripid 81-24 --locoid 4049 --swversion DE.1.0.9.0 --startMP 204:1328 --initTime 2017-02-24T21:45:31 --startdatetime 2017-02-24T22:22:31 --delay 1 --endMP 300:31280 --enddatetime 2017-02-24T22:29:33 --enforcementcount 1 &gt;&gt;C:\Users\stu\Documents\GitHub\eaglep3-reporting\EC\2017-02-24-refined-times.txt</v>
      </c>
      <c r="AI257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{"issue":{"subject":"","project_id":79,"tracker_id":40,"status_id":1,"priority_id":2,"assigned_to_id":23,"start_date":"2017-02-24","description":"","custom_fields":[{"id":1,"name":"Subdivision","value":"Other"},{"id":4,"name":"Milepost","value":"3.128"},{"id":17,"name":"Train ID","value":"81-24"},{"id":16,"name":"Locomotive ID","value":"4049"},{"id":130,"name":"Impact","value":""},{"id":150,"name":"Time of Event (Mountain Time)","value":"22:29:33"},{"id":151,"name":"Denver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48"/>
      <c r="AK257" s="48"/>
      <c r="AL257" s="48"/>
      <c r="AM257" s="154" t="str">
        <f t="shared" si="89"/>
        <v>start /low /b %USERPROFILE%\Documents\GitHub\eaglep3\Utilities\DownloadLogsFromS3.py --loco 4049 --day 2017-02-24</v>
      </c>
      <c r="AN257" s="163" t="str">
        <f>"grep -SE -B400 ""CHR.+\|PRM\|1\|D.+(SWITCH|SIGNAL).+UNKNOWN"" "&amp;search_path&amp;"\RTDC"&amp;B257&amp;"\*"&amp;B257&amp;"*"&amp;TEXT(AVERAGE(F257,I257)-utc_offset/24,"YYYYMMDD")&amp;"*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"%USERPROFILE%\AppData\Local\Temp\OnboardLogs"\RTDC4049\*4049*20170225* | grep -SE "(Enforcement Action)|(\[TIMEOUT)|(CHR.+\|PRM\|1\|D.+(SWITCH|SIGNAL).+UNKNOWN)" - &gt;&gt; 2017-02-24-UncaughtWiMAX.txt</v>
      </c>
    </row>
    <row r="258" spans="1:40" x14ac:dyDescent="0.25">
      <c r="A258" s="33" t="s">
        <v>653</v>
      </c>
      <c r="B258" s="7">
        <v>4049</v>
      </c>
      <c r="C258" s="21" t="s">
        <v>280</v>
      </c>
      <c r="D258" s="21" t="s">
        <v>823</v>
      </c>
      <c r="E258" s="13">
        <v>42790.891898148147</v>
      </c>
      <c r="F258" s="13">
        <v>42790.913599537038</v>
      </c>
      <c r="G258" s="7">
        <v>0</v>
      </c>
      <c r="H258" s="21" t="s">
        <v>824</v>
      </c>
      <c r="I258" s="13">
        <v>42790.917881944442</v>
      </c>
      <c r="J258" s="7">
        <v>1</v>
      </c>
      <c r="K258" s="98" t="str">
        <f t="shared" si="72"/>
        <v>4049/4050</v>
      </c>
      <c r="L258" s="21" t="str">
        <f>VLOOKUP(A258,'Trips&amp;Operators'!$C$1:$G$99999,5,FALSE)</f>
        <v>COMELLA JUSTIN</v>
      </c>
      <c r="M258" s="6">
        <f t="shared" si="73"/>
        <v>4.2824074043892324E-3</v>
      </c>
      <c r="N258" s="7">
        <f t="shared" si="74"/>
        <v>6.1666666623204947</v>
      </c>
      <c r="O258" s="7"/>
      <c r="P258" s="7"/>
      <c r="Q258" s="22"/>
      <c r="R258" s="22"/>
      <c r="S258" s="31">
        <f t="shared" si="75"/>
        <v>0</v>
      </c>
      <c r="T258" s="46" t="e">
        <f t="shared" si="76"/>
        <v>#VALUE!</v>
      </c>
      <c r="U258" s="185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86" t="str">
        <f t="shared" si="77"/>
        <v>https://d0f6bd738d7f1b3e5a7ca70fe4ff75f0.us-east-1.aws.found.io/app/kibana#/discover/Steve-Slow-Train-Analysis-(2080s-and-2083s)?_g=(refreshInterval:(display:Off,pause:!f,section:0,value:0),time:(from:'2017-02-24T20:24:20-0700',mode:absolute,to:'2017-02-24T23:01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8" s="187" t="str">
        <f t="shared" si="78"/>
        <v>Y</v>
      </c>
      <c r="X258" s="187" t="e">
        <f t="shared" si="79"/>
        <v>#VALUE!</v>
      </c>
      <c r="Y258" s="62">
        <f t="shared" si="80"/>
        <v>0.13719999999999999</v>
      </c>
      <c r="Z258" s="62">
        <f t="shared" si="81"/>
        <v>3.1225000000000001</v>
      </c>
      <c r="AA258" s="62">
        <f t="shared" si="82"/>
        <v>2.9853000000000001</v>
      </c>
      <c r="AB258" s="59" t="e">
        <f>VLOOKUP(A258,Enforcements!$C$7:$K$13,8,0)</f>
        <v>#N/A</v>
      </c>
      <c r="AC258" s="55" t="e">
        <f>VLOOKUP(A258,Enforcements!$C$7:$E$13,3,0)</f>
        <v>#N/A</v>
      </c>
      <c r="AD258" s="56" t="str">
        <f t="shared" si="83"/>
        <v>81-24</v>
      </c>
      <c r="AE258" s="85" t="str">
        <f t="shared" si="84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58" s="82" t="str">
        <f t="shared" si="85"/>
        <v>"C:\Program Files (x86)\AstroGrep\AstroGrep.exe" /spath="%USERPROFILE%\AppData\Local\Temp\OnboardLogs" /stypes="app*4049*20170225*" /stext=" 05:.+((SYSTEM_STATE.+slice.+state.+changed )|(ment ac)|(multiple cpu faults)|(system.+state.+changed )|(\[timeout)|(PRM\|1\|D)|(kpr)|(kdp)|(\|lc)|(penalty))" /e /r /s</v>
      </c>
      <c r="AG258" s="1" t="str">
        <f t="shared" si="86"/>
        <v>Other</v>
      </c>
      <c r="AH258" s="86" t="str">
        <f t="shared" si="87"/>
        <v>"%USERPROFILE%\Documents\GitHub\eaglep3\Utilities\RefineRTDCRunTimes.py" --tripid 81-24 --locoid 4049 --swversion DE.1.0.9.0 --startMP 204:1372 --initTime 2017-02-24T21:24:20 --startdatetime 2017-02-24T21:55:35 --delay 0 --endMP 300:31225 --enddatetime 2017-02-24T22:01:45 --enforcementcount 1 &gt;&gt;C:\Users\stu\Documents\GitHub\eaglep3-reporting\EC\2017-02-24-refined-times.txt</v>
      </c>
      <c r="AI258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{"issue":{"subject":"","project_id":79,"tracker_id":40,"status_id":1,"priority_id":2,"assigned_to_id":23,"start_date":"2017-02-24","description":"","custom_fields":[{"id":1,"name":"Subdivision","value":"Other"},{"id":4,"name":"Milepost","value":"3.1225"},{"id":17,"name":"Train ID","value":"81-24"},{"id":16,"name":"Locomotive ID","value":"4049"},{"id":130,"name":"Impact","value":""},{"id":150,"name":"Time of Event (Mountain Time)","value":"22:01:45"},{"id":151,"name":"Denver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48"/>
      <c r="AK258" s="48"/>
      <c r="AL258" s="48"/>
      <c r="AM258" s="154" t="str">
        <f t="shared" si="89"/>
        <v>start /low /b %USERPROFILE%\Documents\GitHub\eaglep3\Utilities\DownloadLogsFromS3.py --loco 4049 --day 2017-02-24</v>
      </c>
      <c r="AN258" s="163" t="str">
        <f>"grep -SE -B400 ""CHR.+\|PRM\|1\|D.+(SWITCH|SIGNAL).+UNKNOWN"" "&amp;search_path&amp;"\RTDC"&amp;B258&amp;"\*"&amp;B258&amp;"*"&amp;TEXT(AVERAGE(F258,I258)-utc_offset/24,"YYYYMMDD")&amp;"*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"%USERPROFILE%\AppData\Local\Temp\OnboardLogs"\RTDC4049\*4049*20170225* | grep -SE "(Enforcement Action)|(\[TIMEOUT)|(CHR.+\|PRM\|1\|D.+(SWITCH|SIGNAL).+UNKNOWN)" - &gt;&gt; 2017-02-24-UncaughtWiMAX.txt</v>
      </c>
    </row>
    <row r="259" spans="1:40" x14ac:dyDescent="0.25">
      <c r="A259" s="33" t="s">
        <v>653</v>
      </c>
      <c r="B259" s="7">
        <v>4049</v>
      </c>
      <c r="C259" s="21" t="s">
        <v>280</v>
      </c>
      <c r="D259" s="21" t="s">
        <v>825</v>
      </c>
      <c r="E259" s="13">
        <v>42790.876458333332</v>
      </c>
      <c r="F259" s="13">
        <v>42790.893067129633</v>
      </c>
      <c r="G259" s="7">
        <v>1</v>
      </c>
      <c r="H259" s="21" t="s">
        <v>826</v>
      </c>
      <c r="I259" s="13">
        <v>42790.897523148145</v>
      </c>
      <c r="J259" s="7">
        <v>1</v>
      </c>
      <c r="K259" s="98" t="str">
        <f t="shared" si="72"/>
        <v>4049/4050</v>
      </c>
      <c r="L259" s="21" t="str">
        <f>VLOOKUP(A259,'Trips&amp;Operators'!$C$1:$G$99999,5,FALSE)</f>
        <v>COMELLA JUSTIN</v>
      </c>
      <c r="M259" s="6">
        <f t="shared" si="73"/>
        <v>4.4560185124282725E-3</v>
      </c>
      <c r="N259" s="7">
        <f t="shared" si="74"/>
        <v>6.4166666578967124</v>
      </c>
      <c r="O259" s="7"/>
      <c r="P259" s="7"/>
      <c r="Q259" s="22"/>
      <c r="R259" s="22"/>
      <c r="S259" s="31">
        <f t="shared" si="75"/>
        <v>0</v>
      </c>
      <c r="T259" s="46" t="e">
        <f t="shared" si="76"/>
        <v>#VALUE!</v>
      </c>
      <c r="U259" s="185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86" t="str">
        <f t="shared" si="77"/>
        <v>https://d0f6bd738d7f1b3e5a7ca70fe4ff75f0.us-east-1.aws.found.io/app/kibana#/discover/Steve-Slow-Train-Analysis-(2080s-and-2083s)?_g=(refreshInterval:(display:Off,pause:!f,section:0,value:0),time:(from:'2017-02-24T20:02:06-0700',mode:absolute,to:'2017-02-24T22:32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9" s="187" t="str">
        <f t="shared" si="78"/>
        <v>Y</v>
      </c>
      <c r="X259" s="187" t="e">
        <f t="shared" si="79"/>
        <v>#VALUE!</v>
      </c>
      <c r="Y259" s="62">
        <f t="shared" si="80"/>
        <v>0.13830000000000001</v>
      </c>
      <c r="Z259" s="62">
        <f t="shared" si="81"/>
        <v>3.1423999999999999</v>
      </c>
      <c r="AA259" s="62">
        <f t="shared" si="82"/>
        <v>3.0040999999999998</v>
      </c>
      <c r="AB259" s="59" t="e">
        <f>VLOOKUP(A259,Enforcements!$C$7:$K$13,8,0)</f>
        <v>#N/A</v>
      </c>
      <c r="AC259" s="55" t="e">
        <f>VLOOKUP(A259,Enforcements!$C$7:$E$13,3,0)</f>
        <v>#N/A</v>
      </c>
      <c r="AD259" s="56" t="str">
        <f t="shared" si="83"/>
        <v>81-24</v>
      </c>
      <c r="AE259" s="85" t="str">
        <f t="shared" si="84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59" s="82" t="str">
        <f t="shared" si="85"/>
        <v>"C:\Program Files (x86)\AstroGrep\AstroGrep.exe" /spath="%USERPROFILE%\AppData\Local\Temp\OnboardLogs" /stypes="app*4049*20170225*" /stext=" 04:.+((SYSTEM_STATE.+slice.+state.+changed )|(ment ac)|(multiple cpu faults)|(system.+state.+changed )|(\[timeout)|(PRM\|1\|D)|(kpr)|(kdp)|(\|lc)|(penalty))" /e /r /s</v>
      </c>
      <c r="AG259" s="1" t="str">
        <f t="shared" si="86"/>
        <v>Other</v>
      </c>
      <c r="AH259" s="86" t="str">
        <f t="shared" si="87"/>
        <v>"%USERPROFILE%\Documents\GitHub\eaglep3\Utilities\RefineRTDCRunTimes.py" --tripid 81-24 --locoid 4049 --swversion DE.1.0.9.0 --startMP 204:1383 --initTime 2017-02-24T21:02:06 --startdatetime 2017-02-24T21:26:01 --delay 1 --endMP 300:31424 --enddatetime 2017-02-24T21:32:26 --enforcementcount 1 &gt;&gt;C:\Users\stu\Documents\GitHub\eaglep3-reporting\EC\2017-02-24-refined-times.txt</v>
      </c>
      <c r="AI259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{"issue":{"subject":"","project_id":79,"tracker_id":40,"status_id":1,"priority_id":2,"assigned_to_id":23,"start_date":"2017-02-24","description":"","custom_fields":[{"id":1,"name":"Subdivision","value":"Other"},{"id":4,"name":"Milepost","value":"3.1424"},{"id":17,"name":"Train ID","value":"81-24"},{"id":16,"name":"Locomotive ID","value":"4049"},{"id":130,"name":"Impact","value":""},{"id":150,"name":"Time of Event (Mountain Time)","value":"21:32:26"},{"id":151,"name":"Denver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48"/>
      <c r="AK259" s="48"/>
      <c r="AL259" s="48"/>
      <c r="AM259" s="154" t="str">
        <f t="shared" si="89"/>
        <v>start /low /b %USERPROFILE%\Documents\GitHub\eaglep3\Utilities\DownloadLogsFromS3.py --loco 4049 --day 2017-02-24</v>
      </c>
      <c r="AN259" s="163" t="str">
        <f>"grep -SE -B400 ""CHR.+\|PRM\|1\|D.+(SWITCH|SIGNAL).+UNKNOWN"" "&amp;search_path&amp;"\RTDC"&amp;B259&amp;"\*"&amp;B259&amp;"*"&amp;TEXT(AVERAGE(F259,I259)-utc_offset/24,"YYYYMMDD")&amp;"*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"%USERPROFILE%\AppData\Local\Temp\OnboardLogs"\RTDC4049\*4049*20170225* | grep -SE "(Enforcement Action)|(\[TIMEOUT)|(CHR.+\|PRM\|1\|D.+(SWITCH|SIGNAL).+UNKNOWN)" - &gt;&gt; 2017-02-24-UncaughtWiMAX.txt</v>
      </c>
    </row>
    <row r="260" spans="1:40" x14ac:dyDescent="0.25">
      <c r="A260" s="33" t="s">
        <v>653</v>
      </c>
      <c r="B260" s="7">
        <v>4049</v>
      </c>
      <c r="C260" s="21" t="s">
        <v>280</v>
      </c>
      <c r="D260" s="21" t="s">
        <v>827</v>
      </c>
      <c r="E260" s="13">
        <v>42791.012071759258</v>
      </c>
      <c r="F260" s="13">
        <v>42791.033113425925</v>
      </c>
      <c r="G260" s="7">
        <v>0</v>
      </c>
      <c r="H260" s="21" t="s">
        <v>828</v>
      </c>
      <c r="I260" s="13">
        <v>42791.037453703706</v>
      </c>
      <c r="J260" s="7">
        <v>1</v>
      </c>
      <c r="K260" s="98" t="str">
        <f t="shared" si="72"/>
        <v>4049/4050</v>
      </c>
      <c r="L260" s="21" t="str">
        <f>VLOOKUP(A260,'Trips&amp;Operators'!$C$1:$G$99999,5,FALSE)</f>
        <v>COMELLA JUSTIN</v>
      </c>
      <c r="M260" s="6">
        <f t="shared" si="73"/>
        <v>4.3402777810115367E-3</v>
      </c>
      <c r="N260" s="7">
        <f t="shared" si="74"/>
        <v>6.2500000046566129</v>
      </c>
      <c r="O260" s="7"/>
      <c r="P260" s="7"/>
      <c r="Q260" s="22"/>
      <c r="R260" s="22"/>
      <c r="S260" s="31">
        <f t="shared" si="75"/>
        <v>0</v>
      </c>
      <c r="T260" s="46" t="e">
        <f t="shared" si="76"/>
        <v>#VALUE!</v>
      </c>
      <c r="U260" s="185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86" t="str">
        <f t="shared" si="77"/>
        <v>https://d0f6bd738d7f1b3e5a7ca70fe4ff75f0.us-east-1.aws.found.io/app/kibana#/discover/Steve-Slow-Train-Analysis-(2080s-and-2083s)?_g=(refreshInterval:(display:Off,pause:!f,section:0,value:0),time:(from:'2017-02-24T23:17:23-0700',mode:absolute,to:'2017-02-25T01:53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0" s="187" t="str">
        <f t="shared" si="78"/>
        <v>Y</v>
      </c>
      <c r="X260" s="187" t="e">
        <f t="shared" si="79"/>
        <v>#VALUE!</v>
      </c>
      <c r="Y260" s="62">
        <f t="shared" si="80"/>
        <v>0.1394</v>
      </c>
      <c r="Z260" s="62">
        <f t="shared" si="81"/>
        <v>3.1331000000000002</v>
      </c>
      <c r="AA260" s="62">
        <f t="shared" si="82"/>
        <v>2.9937</v>
      </c>
      <c r="AB260" s="59" t="e">
        <f>VLOOKUP(A260,Enforcements!$C$7:$K$13,8,0)</f>
        <v>#N/A</v>
      </c>
      <c r="AC260" s="55" t="e">
        <f>VLOOKUP(A260,Enforcements!$C$7:$E$13,3,0)</f>
        <v>#N/A</v>
      </c>
      <c r="AD260" s="56" t="str">
        <f t="shared" si="83"/>
        <v>81-24</v>
      </c>
      <c r="AE260" s="85" t="str">
        <f t="shared" si="84"/>
        <v>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 &amp; aws s3 cp s3://rtdc.mdm.uploadarchive.raw/RTDC4049/ "%USERPROFILE%\AppData\Local\Temp\OnboardLogs"\RTDC4049\2017-02-26 --exclude "*" --recursive --include "*20170226*" &amp; "%USERPROFILE%\Documents\GitHub\mrs-test-scripts\Headless Mode &amp; Sideloading\WalkAndUnGZ.bat" "%USERPROFILE%\AppData\Local\Temp\OnboardLogs"\RTDC4049\2017-02-26</v>
      </c>
      <c r="AF260" s="82" t="str">
        <f t="shared" si="85"/>
        <v>"C:\Program Files (x86)\AstroGrep\AstroGrep.exe" /spath="%USERPROFILE%\AppData\Local\Temp\OnboardLogs" /stypes="app*4049*20170225*" /stext=" 07:.+((SYSTEM_STATE.+slice.+state.+changed )|(ment ac)|(multiple cpu faults)|(system.+state.+changed )|(\[timeout)|(PRM\|1\|D)|(kpr)|(kdp)|(\|lc)|(penalty))" /e /r /s</v>
      </c>
      <c r="AG260" s="1" t="str">
        <f t="shared" si="86"/>
        <v>Other</v>
      </c>
      <c r="AH260" s="86" t="str">
        <f t="shared" si="87"/>
        <v>"%USERPROFILE%\Documents\GitHub\eaglep3\Utilities\RefineRTDCRunTimes.py" --tripid 81-24 --locoid 4049 --swversion DE.1.0.9.0 --startMP 204:1394 --initTime 2017-02-25T00:17:23 --startdatetime 2017-02-25T00:47:41 --delay 0 --endMP 300:31331 --enddatetime 2017-02-25T00:53:56 --enforcementcount 1 &gt;&gt;C:\Users\stu\Documents\GitHub\eaglep3-reporting\EC\2017-02-24-refined-times.txt</v>
      </c>
      <c r="AI260" s="108" t="str">
        <f t="shared" si="88"/>
        <v>echo {"issue":{"subject":"","project_id":79,"tracker_id":40,"status_id":1,"priority_id":2,"assigned_to_id":23,"start_date":"2017-02-25","description":"","custom_fields":[{"id":1,"name":"Subdivision","value":"Other"},{"id":4,"name":"Milepost","value":"3.1331"},{"id":17,"name":"Train ID","value":"81-24"},{"id":16,"name":"Locomotive ID","value":"4049"},{"id":130,"name":"Impact","value":""},{"id":150,"name":"Time of Event (Mountain Time)","value":"00:53:56"},{"id":151,"name":"Denver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48"/>
      <c r="AK260" s="48"/>
      <c r="AL260" s="48"/>
      <c r="AM260" s="154" t="str">
        <f t="shared" si="89"/>
        <v>start /low /b %USERPROFILE%\Documents\GitHub\eaglep3\Utilities\DownloadLogsFromS3.py --loco 4049 --day 2017-02-25</v>
      </c>
      <c r="AN260" s="163" t="str">
        <f>"grep -SE -B400 ""CHR.+\|PRM\|1\|D.+(SWITCH|SIGNAL).+UNKNOWN"" "&amp;search_path&amp;"\RTDC"&amp;B260&amp;"\*"&amp;B260&amp;"*"&amp;TEXT(AVERAGE(F260,I260)-utc_offset/24,"YYYYMMDD")&amp;"*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"%USERPROFILE%\AppData\Local\Temp\OnboardLogs"\RTDC4049\*4049*20170225* | grep -SE "(Enforcement Action)|(\[TIMEOUT)|(CHR.+\|PRM\|1\|D.+(SWITCH|SIGNAL).+UNKNOWN)" - &gt;&gt; 2017-02-24-UncaughtWiMAX.txt</v>
      </c>
    </row>
    <row r="261" spans="1:40" x14ac:dyDescent="0.25">
      <c r="A261" s="33" t="s">
        <v>653</v>
      </c>
      <c r="B261" s="7">
        <v>4049</v>
      </c>
      <c r="C261" s="21" t="s">
        <v>280</v>
      </c>
      <c r="D261" s="21" t="s">
        <v>829</v>
      </c>
      <c r="E261" s="13">
        <v>42791.102210648147</v>
      </c>
      <c r="F261" s="13">
        <v>25568.708333333332</v>
      </c>
      <c r="G261" s="7">
        <v>0</v>
      </c>
      <c r="H261" s="21" t="s">
        <v>830</v>
      </c>
      <c r="I261" s="13">
        <v>25568.708333333332</v>
      </c>
      <c r="J261" s="7">
        <v>1</v>
      </c>
      <c r="K261" s="98" t="str">
        <f t="shared" si="72"/>
        <v>4049/4050</v>
      </c>
      <c r="L261" s="21" t="str">
        <f>VLOOKUP(A261,'Trips&amp;Operators'!$C$1:$G$99999,5,FALSE)</f>
        <v>COMELLA JUSTIN</v>
      </c>
      <c r="M261" s="6">
        <f t="shared" si="73"/>
        <v>0</v>
      </c>
      <c r="N261" s="7">
        <f t="shared" si="74"/>
        <v>0</v>
      </c>
      <c r="O261" s="7"/>
      <c r="P261" s="7"/>
      <c r="Q261" s="22"/>
      <c r="R261" s="22"/>
      <c r="S261" s="31">
        <f t="shared" si="75"/>
        <v>0</v>
      </c>
      <c r="T261" s="46" t="e">
        <f t="shared" si="76"/>
        <v>#VALUE!</v>
      </c>
      <c r="U261" s="185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86" t="str">
        <f t="shared" si="77"/>
        <v>https://d0f6bd738d7f1b3e5a7ca70fe4ff75f0.us-east-1.aws.found.io/app/kibana#/discover/Steve-Slow-Train-Analysis-(2080s-and-2083s)?_g=(refreshInterval:(display:Off,pause:!f,section:0,value:0),time:(from:'2017-02-25T01:27:11-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1" s="187" t="str">
        <f t="shared" si="78"/>
        <v>Y</v>
      </c>
      <c r="X261" s="187" t="e">
        <f t="shared" si="79"/>
        <v>#VALUE!</v>
      </c>
      <c r="Y261" s="62">
        <f t="shared" si="80"/>
        <v>0.15240000000000001</v>
      </c>
      <c r="Z261" s="62">
        <f t="shared" si="81"/>
        <v>2.3290999999999999</v>
      </c>
      <c r="AA261" s="62">
        <f t="shared" si="82"/>
        <v>2.1766999999999999</v>
      </c>
      <c r="AB261" s="59" t="e">
        <f>VLOOKUP(A261,Enforcements!$C$7:$K$13,8,0)</f>
        <v>#N/A</v>
      </c>
      <c r="AC261" s="55" t="e">
        <f>VLOOKUP(A261,Enforcements!$C$7:$E$13,3,0)</f>
        <v>#N/A</v>
      </c>
      <c r="AD261" s="56" t="str">
        <f t="shared" si="83"/>
        <v>81-24</v>
      </c>
      <c r="AE261" s="85" t="str">
        <f t="shared" si="84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61" s="82" t="str">
        <f t="shared" si="85"/>
        <v>"C:\Program Files (x86)\AstroGrep\AstroGrep.exe" /spath="%USERPROFILE%\AppData\Local\Temp\OnboardLogs" /stypes="app*4049*19700101*" /stext=" 00:.+((SYSTEM_STATE.+slice.+state.+changed )|(ment ac)|(multiple cpu faults)|(system.+state.+changed )|(\[timeout)|(PRM\|1\|D)|(kpr)|(kdp)|(\|lc)|(penalty))" /e /r /s</v>
      </c>
      <c r="AG261" s="1" t="str">
        <f t="shared" si="86"/>
        <v>Other</v>
      </c>
      <c r="AH261" s="86" t="str">
        <f t="shared" si="87"/>
        <v>"%USERPROFILE%\Documents\GitHub\eaglep3\Utilities\RefineRTDCRunTimes.py" --tripid 81-24 --locoid 4049 --swversion DE.1.0.9.0 --startMP 204:1524 --initTime 2017-02-25T02:27:11 --startdatetime 1969-12-31T17:00:00 --delay 0 --endMP 300:23291 --enddatetime 1969-12-31T17:00:00 --enforcementcount 1 &gt;&gt;C:\Users\stu\Documents\GitHub\eaglep3-reporting\EC\2017-02-24-refined-times.txt</v>
      </c>
      <c r="AI261" s="108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{"issue":{"subject":"","project_id":79,"tracker_id":40,"status_id":1,"priority_id":2,"assigned_to_id":23,"start_date":"1969-12-31","description":"","custom_fields":[{"id":1,"name":"Subdivision","value":"Other"},{"id":4,"name":"Milepost","value":"2.3291"},{"id":17,"name":"Train ID","value":"81-24"},{"id":16,"name":"Locomotive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48"/>
      <c r="AK261" s="48"/>
      <c r="AL261" s="48"/>
      <c r="AM261" s="154" t="str">
        <f t="shared" si="89"/>
        <v>start /low /b %USERPROFILE%\Documents\GitHub\eaglep3\Utilities\DownloadLogsFromS3.py --loco 4049 --day 1969-12-31</v>
      </c>
      <c r="AN261" s="163" t="str">
        <f>"grep -SE -B400 ""CHR.+\|PRM\|1\|D.+(SWITCH|SIGNAL).+UNKNOWN"" "&amp;search_path&amp;"\RTDC"&amp;B261&amp;"\*"&amp;B261&amp;"*"&amp;TEXT(AVERAGE(F261,I261)-utc_offset/24,"YYYYMMDD")&amp;"*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2017-02-24-UncaughtWiMAX.txt</v>
      </c>
    </row>
    <row r="262" spans="1:40" x14ac:dyDescent="0.25">
      <c r="A262" s="33" t="s">
        <v>653</v>
      </c>
      <c r="B262" s="7">
        <v>4049</v>
      </c>
      <c r="C262" s="21" t="s">
        <v>280</v>
      </c>
      <c r="D262" s="21" t="s">
        <v>831</v>
      </c>
      <c r="E262" s="13">
        <v>42790.856261574074</v>
      </c>
      <c r="F262" s="13">
        <v>42790.878182870372</v>
      </c>
      <c r="G262" s="7">
        <v>1</v>
      </c>
      <c r="H262" s="21" t="s">
        <v>832</v>
      </c>
      <c r="I262" s="13">
        <v>42790.882569444446</v>
      </c>
      <c r="J262" s="7">
        <v>1</v>
      </c>
      <c r="K262" s="98" t="str">
        <f t="shared" si="72"/>
        <v>4049/4050</v>
      </c>
      <c r="L262" s="21" t="str">
        <f>VLOOKUP(A262,'Trips&amp;Operators'!$C$1:$G$99999,5,FALSE)</f>
        <v>COMELLA JUSTIN</v>
      </c>
      <c r="M262" s="6">
        <f t="shared" si="73"/>
        <v>4.386574073578231E-3</v>
      </c>
      <c r="N262" s="7">
        <f t="shared" si="74"/>
        <v>6.3166666659526527</v>
      </c>
      <c r="O262" s="7"/>
      <c r="P262" s="7"/>
      <c r="Q262" s="22"/>
      <c r="R262" s="22"/>
      <c r="S262" s="31">
        <f t="shared" si="75"/>
        <v>0</v>
      </c>
      <c r="T262" s="46" t="e">
        <f t="shared" si="76"/>
        <v>#VALUE!</v>
      </c>
      <c r="U262" s="185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86" t="str">
        <f t="shared" si="77"/>
        <v>https://d0f6bd738d7f1b3e5a7ca70fe4ff75f0.us-east-1.aws.found.io/app/kibana#/discover/Steve-Slow-Train-Analysis-(2080s-and-2083s)?_g=(refreshInterval:(display:Off,pause:!f,section:0,value:0),time:(from:'2017-02-24T19:33:01-0700',mode:absolute,to:'2017-02-24T22:10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2" s="187" t="str">
        <f t="shared" si="78"/>
        <v>Y</v>
      </c>
      <c r="X262" s="187" t="e">
        <f t="shared" si="79"/>
        <v>#VALUE!</v>
      </c>
      <c r="Y262" s="62">
        <f t="shared" si="80"/>
        <v>0.15340000000000001</v>
      </c>
      <c r="Z262" s="62">
        <f t="shared" si="81"/>
        <v>3.117</v>
      </c>
      <c r="AA262" s="62">
        <f t="shared" si="82"/>
        <v>2.9636</v>
      </c>
      <c r="AB262" s="59" t="e">
        <f>VLOOKUP(A262,Enforcements!$C$7:$K$13,8,0)</f>
        <v>#N/A</v>
      </c>
      <c r="AC262" s="55" t="e">
        <f>VLOOKUP(A262,Enforcements!$C$7:$E$13,3,0)</f>
        <v>#N/A</v>
      </c>
      <c r="AD262" s="56" t="str">
        <f t="shared" si="83"/>
        <v>81-24</v>
      </c>
      <c r="AE262" s="85" t="str">
        <f t="shared" si="84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62" s="82" t="str">
        <f t="shared" si="85"/>
        <v>"C:\Program Files (x86)\AstroGrep\AstroGrep.exe" /spath="%USERPROFILE%\AppData\Local\Temp\OnboardLogs" /stypes="app*4049*20170225*" /stext=" 04:.+((SYSTEM_STATE.+slice.+state.+changed )|(ment ac)|(multiple cpu faults)|(system.+state.+changed )|(\[timeout)|(PRM\|1\|D)|(kpr)|(kdp)|(\|lc)|(penalty))" /e /r /s</v>
      </c>
      <c r="AG262" s="1" t="str">
        <f t="shared" si="86"/>
        <v>Other</v>
      </c>
      <c r="AH262" s="86" t="str">
        <f t="shared" si="87"/>
        <v>"%USERPROFILE%\Documents\GitHub\eaglep3\Utilities\RefineRTDCRunTimes.py" --tripid 81-24 --locoid 4049 --swversion DE.1.0.9.0 --startMP 204:1534 --initTime 2017-02-24T20:33:01 --startdatetime 2017-02-24T21:04:35 --delay 1 --endMP 300:31170 --enddatetime 2017-02-24T21:10:54 --enforcementcount 1 &gt;&gt;C:\Users\stu\Documents\GitHub\eaglep3-reporting\EC\2017-02-24-refined-times.txt</v>
      </c>
      <c r="AI262" s="108" t="str">
        <f t="shared" si="88"/>
        <v>echo {"issue":{"subject":"","project_id":79,"tracker_id":40,"status_id":1,"priority_id":2,"assigned_to_id":23,"start_date":"2017-02-24","description":"","custom_fields":[{"id":1,"name":"Subdivision","value":"Other"},{"id":4,"name":"Milepost","value":"3.117"},{"id":17,"name":"Train ID","value":"81-24"},{"id":16,"name":"Locomotive ID","value":"4049"},{"id":130,"name":"Impact","value":""},{"id":150,"name":"Time of Event (Mountain Time)","value":"21:10:54"},{"id":151,"name":"Denver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48"/>
      <c r="AK262" s="48"/>
      <c r="AL262" s="48"/>
      <c r="AM262" s="154" t="str">
        <f t="shared" si="89"/>
        <v>start /low /b %USERPROFILE%\Documents\GitHub\eaglep3\Utilities\DownloadLogsFromS3.py --loco 4049 --day 2017-02-24</v>
      </c>
      <c r="AN262" s="163" t="str">
        <f>"grep -SE -B400 ""CHR.+\|PRM\|1\|D.+(SWITCH|SIGNAL).+UNKNOWN"" "&amp;search_path&amp;"\RTDC"&amp;B262&amp;"\*"&amp;B262&amp;"*"&amp;TEXT(AVERAGE(F262,I262)-utc_offset/24,"YYYYMMDD")&amp;"*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"%USERPROFILE%\AppData\Local\Temp\OnboardLogs"\RTDC4049\*4049*20170225* | grep -SE "(Enforcement Action)|(\[TIMEOUT)|(CHR.+\|PRM\|1\|D.+(SWITCH|SIGNAL).+UNKNOWN)" - &gt;&gt; 2017-02-24-UncaughtWiMAX.txt</v>
      </c>
    </row>
    <row r="263" spans="1:40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4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4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4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4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4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4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4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</sheetData>
  <autoFilter ref="A12:AG252">
    <sortState ref="A13:AG263">
      <sortCondition ref="AG13:AG263"/>
      <sortCondition ref="AD13:AD263"/>
    </sortState>
  </autoFilter>
  <sortState ref="A13:AH200">
    <sortCondition ref="AG13:AG200"/>
    <sortCondition ref="AD13:AD200"/>
  </sortState>
  <mergeCells count="1">
    <mergeCell ref="A11:P11"/>
  </mergeCells>
  <conditionalFormatting sqref="W11:W12 W271:X1048576 W13:X262">
    <cfRule type="cellIs" dxfId="10" priority="356" operator="equal">
      <formula>"Y"</formula>
    </cfRule>
  </conditionalFormatting>
  <conditionalFormatting sqref="X271:X1048576 X13:X262">
    <cfRule type="cellIs" dxfId="9" priority="339" operator="greaterThan">
      <formula>1</formula>
    </cfRule>
  </conditionalFormatting>
  <conditionalFormatting sqref="X271:X1048576 X12:X262">
    <cfRule type="cellIs" dxfId="8" priority="336" operator="equal">
      <formula>0</formula>
    </cfRule>
  </conditionalFormatting>
  <conditionalFormatting sqref="A13:S262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A13:S262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AK13:AK262</xm:sqref>
        </x14:dataValidation>
        <x14:dataValidation type="list" allowBlank="1" showInputMessage="1" showErrorMessage="1">
          <x14:formula1>
            <xm:f>'Redmine List Values'!$C$2:$C$15</xm:f>
          </x14:formula1>
          <xm:sqref>AL13:AL262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8"/>
  <sheetViews>
    <sheetView topLeftCell="A2" zoomScaleNormal="100" workbookViewId="0">
      <selection activeCell="P21" sqref="P2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COUNTIF($O$7:$O$314,"=Y")</f>
        <v>5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COUNTA($O$7:$O$314)-O2</f>
        <v>54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- 2017-02-24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207</v>
      </c>
    </row>
    <row r="7" spans="1:32" s="1" customFormat="1" x14ac:dyDescent="0.25">
      <c r="A7" s="32">
        <v>42790.338148148148</v>
      </c>
      <c r="B7" s="30" t="s">
        <v>354</v>
      </c>
      <c r="C7" s="30" t="s">
        <v>448</v>
      </c>
      <c r="D7" s="30" t="s">
        <v>49</v>
      </c>
      <c r="E7" s="30" t="s">
        <v>197</v>
      </c>
      <c r="F7" s="43">
        <v>0</v>
      </c>
      <c r="G7" s="43">
        <v>196</v>
      </c>
      <c r="H7" s="43">
        <v>26889</v>
      </c>
      <c r="I7" s="43">
        <v>27156</v>
      </c>
      <c r="J7" s="30" t="s">
        <v>198</v>
      </c>
      <c r="K7" s="43">
        <v>27053</v>
      </c>
      <c r="L7" s="143" t="s">
        <v>50</v>
      </c>
      <c r="M7" s="144">
        <f t="shared" ref="M7:M38" si="0">CONVERT((I7-K7)/10000,"mi","ft")*IF(L7="Increasing Mileposts (1)",-1,1)</f>
        <v>-54.384</v>
      </c>
      <c r="N7" s="145" t="str">
        <f>VLOOKUP(C7,'Trips&amp;Operators'!$C$1:$G$99999,5,FALSE)</f>
        <v>STARKS ANGELINA</v>
      </c>
      <c r="O7" s="194" t="s">
        <v>185</v>
      </c>
      <c r="P7" s="146" t="s">
        <v>899</v>
      </c>
      <c r="Q7" s="30"/>
      <c r="R7" s="89" t="str">
        <f>VLOOKUP(C7,'Train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7" s="92" t="str">
        <f>VLOOKUP(C7,'Train Runs'!$A$13:$AE$9940,22,0)</f>
        <v>https://d0f6bd738d7f1b3e5a7ca70fe4ff75f0.us-east-1.aws.found.io/app/kibana#/discover/Steve-Slow-Train-Analysis-(2080s-and-2083s)?_g=(refreshInterval:(display:Off,pause:!f,section:0,value:0),time:(from:'2017-02-24T06:57:20-0700',mode:absolute,to:'2017-02-24T09:38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/stypes="*4009*201702241*" /stext=" 15:.+((SYSTEM_STATE.+slice.+state.+changed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4009</v>
      </c>
      <c r="V7" s="32">
        <f t="shared" ref="V7:V38" si="3">A7-utc_offset/24</f>
        <v>42790.629814814813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arrival","project_id":79,"tracker_id":40,"status_id":1,"priority_id":2,"assigned_to_id":23,"start_date":"2017-02-24","description":"","custom_fields":[{"id":1,"name":"Subdivision","value":"EC"},{"id":4,"name":"Milepost","value":"2.7053"},{"id":17,"name":"Train ID","value":"135-24"},{"id":16,"name":"Locomotive ID","value":"4009"},{"id":130,"name":"Impact","value":""},{"id":150,"name":"Time of Event (Mountain Time)","value":"08:06:56"},{"id":151,"name":"Denver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"%USERPROFILE%\AppData\Local\Temp\OnboardLogs"\RTDC4009\*4009*201702241*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"%USERPROFILE%\AppData\Local\Temp\OnboardLogs"\RTDC4009\*4009*201702241* &gt;&gt; 2017-02-24-SliceDisagreementCheck.txt</v>
      </c>
      <c r="AE7" s="157" t="str">
        <f t="shared" ref="AE7:AE38" si="8">"start /low /b "&amp;dls3logs&amp;" --loco "&amp;U7&amp;" --day "&amp;TEXT(V7,"YYYY-MM-DD")</f>
        <v>start /low /b %USERPROFILE%\Documents\GitHub\eaglep3\Utilities\DownloadLogsFromS3.py --loco 4009 --day 2017-02-24</v>
      </c>
    </row>
    <row r="8" spans="1:32" s="1" customFormat="1" x14ac:dyDescent="0.25">
      <c r="A8" s="32">
        <v>42790.660949074074</v>
      </c>
      <c r="B8" s="30" t="s">
        <v>463</v>
      </c>
      <c r="C8" s="30" t="s">
        <v>464</v>
      </c>
      <c r="D8" s="30" t="s">
        <v>49</v>
      </c>
      <c r="E8" s="30" t="s">
        <v>197</v>
      </c>
      <c r="F8" s="43">
        <v>0</v>
      </c>
      <c r="G8" s="43">
        <v>182</v>
      </c>
      <c r="H8" s="43">
        <v>26968</v>
      </c>
      <c r="I8" s="43">
        <v>27289</v>
      </c>
      <c r="J8" s="30" t="s">
        <v>198</v>
      </c>
      <c r="K8" s="43">
        <v>27053</v>
      </c>
      <c r="L8" s="143" t="s">
        <v>50</v>
      </c>
      <c r="M8" s="144">
        <f t="shared" si="0"/>
        <v>-124.608</v>
      </c>
      <c r="N8" s="145" t="str">
        <f>VLOOKUP(C8,'Trips&amp;Operators'!$C$1:$G$99999,5,FALSE)</f>
        <v>KILLION DAVID</v>
      </c>
      <c r="O8" s="194" t="s">
        <v>185</v>
      </c>
      <c r="P8" s="146" t="s">
        <v>899</v>
      </c>
      <c r="Q8" s="30"/>
      <c r="R8" s="89" t="str">
        <f>VLOOKUP(C8,'Train Runs'!$A$13:$AE$9940,31,0)</f>
        <v>aws s3 cp s3://rtdc.mdm.uploadarchive.raw/RTDC4051/ "%USERPROFILE%\AppData\Local\Temp\OnboardLogs"\RTDC4051\2017-02-24 --exclude "*" --recursive --include "*20170224*" &amp; "%USERPROFILE%\Documents\GitHub\mrs-test-scripts\Headless Mode &amp; Sideloading\WalkAndUnGZ.bat" "%USERPROFILE%\AppData\Local\Temp\OnboardLogs"\RTDC4051\2017-02-24 &amp; aws s3 cp s3://rtdc.mdm.uploadarchive.raw/RTDC4051/ "%USERPROFILE%\AppData\Local\Temp\OnboardLogs"\RTDC4051\2017-02-25 --exclude "*" --recursive --include "*20170225*" &amp; "%USERPROFILE%\Documents\GitHub\mrs-test-scripts\Headless Mode &amp; Sideloading\WalkAndUnGZ.bat" "%USERPROFILE%\AppData\Local\Temp\OnboardLogs"\RTDC4051\2017-02-25</v>
      </c>
      <c r="S8" s="92" t="str">
        <f>VLOOKUP(C8,'Train Runs'!$A$13:$AE$9940,22,0)</f>
        <v>https://d0f6bd738d7f1b3e5a7ca70fe4ff75f0.us-east-1.aws.found.io/app/kibana#/discover/Steve-Slow-Train-Analysis-(2080s-and-2083s)?_g=(refreshInterval:(display:Off,pause:!f,section:0,value:0),time:(from:'2017-02-24T14:41:11-0700',mode:absolute,to:'2017-02-24T17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8" s="94" t="str">
        <f t="shared" si="1"/>
        <v>"C:\Program Files (x86)\AstroGrep\AstroGrep.exe" /spath="%USERPROFILE%\AppData\Local\Temp\OnboardLogs" /stypes="*4051*201702242*" /stext=" 22:.+((SYSTEM_STATE.+slice.+state.+changed )|(ment ac)|(multiple cpu faults)|(system.+state.+changed )|(\[timeout)|(PRM\|1\|D)|(kpr)|(kdp)|(\|lc)|(penalty))" /e /r /s</v>
      </c>
      <c r="U8" s="9" t="str">
        <f t="shared" si="2"/>
        <v>4051</v>
      </c>
      <c r="V8" s="32">
        <f t="shared" si="3"/>
        <v>42790.952615740738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arrival","project_id":79,"tracker_id":40,"status_id":1,"priority_id":2,"assigned_to_id":23,"start_date":"2017-02-24","description":"","custom_fields":[{"id":1,"name":"Subdivision","value":"EC"},{"id":4,"name":"Milepost","value":"2.7053"},{"id":17,"name":"Train ID","value":"197-24"},{"id":16,"name":"Locomotive ID","value":"4051"},{"id":130,"name":"Impact","value":""},{"id":150,"name":"Time of Event (Mountain Time)","value":"15:51:46"},{"id":151,"name":"Denver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"%USERPROFILE%\AppData\Local\Temp\OnboardLogs"\RTDC4051\*4051*201702242*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"%USERPROFILE%\AppData\Local\Temp\OnboardLogs"\RTDC4051\*4051*201702242* &gt;&gt; 2017-02-24-SliceDisagreementCheck.txt</v>
      </c>
      <c r="AE8" s="157" t="str">
        <f t="shared" si="8"/>
        <v>start /low /b %USERPROFILE%\Documents\GitHub\eaglep3\Utilities\DownloadLogsFromS3.py --loco 4051 --day 2017-02-24</v>
      </c>
    </row>
    <row r="9" spans="1:32" s="1" customFormat="1" x14ac:dyDescent="0.25">
      <c r="A9" s="32">
        <v>42790.745405092595</v>
      </c>
      <c r="B9" s="30" t="s">
        <v>306</v>
      </c>
      <c r="C9" s="30" t="s">
        <v>466</v>
      </c>
      <c r="D9" s="30" t="s">
        <v>49</v>
      </c>
      <c r="E9" s="30" t="s">
        <v>197</v>
      </c>
      <c r="F9" s="43">
        <v>0</v>
      </c>
      <c r="G9" s="43">
        <v>173</v>
      </c>
      <c r="H9" s="43">
        <v>26964</v>
      </c>
      <c r="I9" s="43">
        <v>27160</v>
      </c>
      <c r="J9" s="30" t="s">
        <v>198</v>
      </c>
      <c r="K9" s="43">
        <v>27053</v>
      </c>
      <c r="L9" s="143" t="s">
        <v>50</v>
      </c>
      <c r="M9" s="144">
        <f t="shared" si="0"/>
        <v>-56.496000000000002</v>
      </c>
      <c r="N9" s="145" t="str">
        <f>VLOOKUP(C9,'Trips&amp;Operators'!$C$1:$G$99999,5,FALSE)</f>
        <v>STORY SAMANTHA</v>
      </c>
      <c r="O9" s="194" t="s">
        <v>185</v>
      </c>
      <c r="P9" s="146" t="s">
        <v>899</v>
      </c>
      <c r="Q9" s="30"/>
      <c r="R9" s="89" t="str">
        <f>VLOOKUP(C9,'Train Runs'!$A$13:$AE$9940,31,0)</f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S9" s="92" t="str">
        <f>VLOOKUP(C9,'Train Runs'!$A$13:$AE$9940,22,0)</f>
        <v>https://d0f6bd738d7f1b3e5a7ca70fe4ff75f0.us-east-1.aws.found.io/app/kibana#/discover/Steve-Slow-Train-Analysis-(2080s-and-2083s)?_g=(refreshInterval:(display:Off,pause:!f,section:0,value:0),time:(from:'2017-02-24T16:40:19-0700',mode:absolute,to:'2017-02-24T19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94" t="str">
        <f t="shared" si="1"/>
        <v>"C:\Program Files (x86)\AstroGrep\AstroGrep.exe" /spath="%USERPROFILE%\AppData\Local\Temp\OnboardLogs" /stypes="*4031*201702250*" /stext=" 00:.+((SYSTEM_STATE.+slice.+state.+changed )|(ment ac)|(multiple cpu faults)|(system.+state.+changed )|(\[timeout)|(PRM\|1\|D)|(kpr)|(kdp)|(\|lc)|(penalty))" /e /r /s</v>
      </c>
      <c r="U9" s="9" t="str">
        <f t="shared" si="2"/>
        <v>4031</v>
      </c>
      <c r="V9" s="32">
        <f t="shared" si="3"/>
        <v>42791.03707175926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arrival","project_id":79,"tracker_id":40,"status_id":1,"priority_id":2,"assigned_to_id":23,"start_date":"2017-02-24","description":"","custom_fields":[{"id":1,"name":"Subdivision","value":"EC"},{"id":4,"name":"Milepost","value":"2.7053"},{"id":17,"name":"Train ID","value":"213-24"},{"id":16,"name":"Locomotive ID","value":"4031"},{"id":130,"name":"Impact","value":""},{"id":150,"name":"Time of Event (Mountain Time)","value":"17:53:23"},{"id":151,"name":"Denver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"%USERPROFILE%\AppData\Local\Temp\OnboardLogs"\RTDC4031\*4031*201702250*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"%USERPROFILE%\AppData\Local\Temp\OnboardLogs"\RTDC4031\*4031*201702250* &gt;&gt; 2017-02-24-SliceDisagreementCheck.txt</v>
      </c>
      <c r="AE9" s="157" t="str">
        <f t="shared" si="8"/>
        <v>start /low /b %USERPROFILE%\Documents\GitHub\eaglep3\Utilities\DownloadLogsFromS3.py --loco 4031 --day 2017-02-25</v>
      </c>
    </row>
    <row r="10" spans="1:32" s="1" customFormat="1" x14ac:dyDescent="0.25">
      <c r="A10" s="32">
        <v>42790.775775462964</v>
      </c>
      <c r="B10" s="30" t="s">
        <v>354</v>
      </c>
      <c r="C10" s="30" t="s">
        <v>469</v>
      </c>
      <c r="D10" s="30" t="s">
        <v>49</v>
      </c>
      <c r="E10" s="30" t="s">
        <v>197</v>
      </c>
      <c r="F10" s="43">
        <v>0</v>
      </c>
      <c r="G10" s="43">
        <v>217</v>
      </c>
      <c r="H10" s="43">
        <v>26932</v>
      </c>
      <c r="I10" s="43">
        <v>27287</v>
      </c>
      <c r="J10" s="30" t="s">
        <v>198</v>
      </c>
      <c r="K10" s="43">
        <v>27053</v>
      </c>
      <c r="L10" s="143" t="s">
        <v>50</v>
      </c>
      <c r="M10" s="144">
        <f t="shared" si="0"/>
        <v>-123.55200000000001</v>
      </c>
      <c r="N10" s="145" t="str">
        <f>VLOOKUP(C10,'Trips&amp;Operators'!$C$1:$G$99999,5,FALSE)</f>
        <v>HILLS DUSTIN</v>
      </c>
      <c r="O10" s="194" t="s">
        <v>185</v>
      </c>
      <c r="P10" s="146" t="s">
        <v>899</v>
      </c>
      <c r="Q10" s="30"/>
      <c r="R10" s="89" t="str">
        <f>VLOOKUP(C10,'Train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10" s="92" t="str">
        <f>VLOOKUP(C10,'Train Runs'!$A$13:$AE$9940,22,0)</f>
        <v>https://d0f6bd738d7f1b3e5a7ca70fe4ff75f0.us-east-1.aws.found.io/app/kibana#/discover/Steve-Slow-Train-Analysis-(2080s-and-2083s)?_g=(refreshInterval:(display:Off,pause:!f,section:0,value:0),time:(from:'2017-02-24T17:25:13-0700',mode:absolute,to:'2017-02-24T20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94" t="str">
        <f t="shared" si="1"/>
        <v>"C:\Program Files (x86)\AstroGrep\AstroGrep.exe" /spath="%USERPROFILE%\AppData\Local\Temp\OnboardLogs" /stypes="*4009*201702250*" /stext=" 01:.+((SYSTEM_STATE.+slice.+state.+changed )|(ment ac)|(multiple cpu faults)|(system.+state.+changed )|(\[timeout)|(PRM\|1\|D)|(kpr)|(kdp)|(\|lc)|(penalty))" /e /r /s</v>
      </c>
      <c r="U10" s="9" t="str">
        <f t="shared" si="2"/>
        <v>4009</v>
      </c>
      <c r="V10" s="32">
        <f t="shared" si="3"/>
        <v>42791.067442129628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arrival","project_id":79,"tracker_id":40,"status_id":1,"priority_id":2,"assigned_to_id":23,"start_date":"2017-02-24","description":"","custom_fields":[{"id":1,"name":"Subdivision","value":"EC"},{"id":4,"name":"Milepost","value":"2.7053"},{"id":17,"name":"Train ID","value":"219-24"},{"id":16,"name":"Locomotive ID","value":"4009"},{"id":130,"name":"Impact","value":""},{"id":150,"name":"Time of Event (Mountain Time)","value":"18:37:07"},{"id":151,"name":"Denver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"%USERPROFILE%\AppData\Local\Temp\OnboardLogs"\RTDC4009\*4009*201702250*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"%USERPROFILE%\AppData\Local\Temp\OnboardLogs"\RTDC4009\*4009*201702250* &gt;&gt; 2017-02-24-SliceDisagreementCheck.txt</v>
      </c>
      <c r="AE10" s="157" t="str">
        <f t="shared" si="8"/>
        <v>start /low /b %USERPROFILE%\Documents\GitHub\eaglep3\Utilities\DownloadLogsFromS3.py --loco 4009 --day 2017-02-25</v>
      </c>
    </row>
    <row r="11" spans="1:32" s="1" customFormat="1" x14ac:dyDescent="0.25">
      <c r="A11" s="32">
        <v>42791.040381944447</v>
      </c>
      <c r="B11" s="30" t="s">
        <v>307</v>
      </c>
      <c r="C11" s="30" t="s">
        <v>481</v>
      </c>
      <c r="D11" s="30" t="s">
        <v>49</v>
      </c>
      <c r="E11" s="30" t="s">
        <v>197</v>
      </c>
      <c r="F11" s="43">
        <v>0</v>
      </c>
      <c r="G11" s="43">
        <v>135</v>
      </c>
      <c r="H11" s="43">
        <v>27351</v>
      </c>
      <c r="I11" s="43">
        <v>27217</v>
      </c>
      <c r="J11" s="30" t="s">
        <v>198</v>
      </c>
      <c r="K11" s="43">
        <v>27350</v>
      </c>
      <c r="L11" s="143" t="s">
        <v>51</v>
      </c>
      <c r="M11" s="144">
        <f t="shared" si="0"/>
        <v>-70.224000000000004</v>
      </c>
      <c r="N11" s="145" t="str">
        <f>VLOOKUP(C11,'Trips&amp;Operators'!$C$1:$G$99999,5,FALSE)</f>
        <v>STORY SAMANTHA</v>
      </c>
      <c r="O11" s="194" t="s">
        <v>185</v>
      </c>
      <c r="P11" s="146" t="s">
        <v>899</v>
      </c>
      <c r="Q11" s="30"/>
      <c r="R11" s="89" t="str">
        <f>VLOOKUP(C11,'Train Runs'!$A$13:$AE$9940,31,0)</f>
        <v>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 &amp; aws s3 cp s3://rtdc.mdm.uploadarchive.raw/RTDC4032/ "%USERPROFILE%\AppData\Local\Temp\OnboardLogs"\RTDC4032\2017-02-26 --exclude "*" --recursive --include "*20170226*" &amp; "%USERPROFILE%\Documents\GitHub\mrs-test-scripts\Headless Mode &amp; Sideloading\WalkAndUnGZ.bat" "%USERPROFILE%\AppData\Local\Temp\OnboardLogs"\RTDC4032\2017-02-26</v>
      </c>
      <c r="S11" s="92" t="str">
        <f>VLOOKUP(C11,'Train Runs'!$A$13:$AE$9940,22,0)</f>
        <v>https://d0f6bd738d7f1b3e5a7ca70fe4ff75f0.us-east-1.aws.found.io/app/kibana#/discover/Steve-Slow-Train-Analysis-(2080s-and-2083s)?_g=(refreshInterval:(display:Off,pause:!f,section:0,value:0),time:(from:'2017-02-24T23:14:01-0700',mode:absolute,to:'2017-02-25T02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1" s="94" t="str">
        <f t="shared" si="1"/>
        <v>"C:\Program Files (x86)\AstroGrep\AstroGrep.exe" /spath="%USERPROFILE%\AppData\Local\Temp\OnboardLogs" /stypes="*4032*201702250*" /stext=" 07:.+((SYSTEM_STATE.+slice.+state.+changed )|(ment ac)|(multiple cpu faults)|(system.+state.+changed )|(\[timeout)|(PRM\|1\|D)|(kpr)|(kdp)|(\|lc)|(penalty))" /e /r /s</v>
      </c>
      <c r="U11" s="9" t="str">
        <f t="shared" si="2"/>
        <v>4032</v>
      </c>
      <c r="V11" s="32">
        <f t="shared" si="3"/>
        <v>42791.332048611112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arrival","project_id":79,"tracker_id":40,"status_id":1,"priority_id":2,"assigned_to_id":23,"start_date":"2017-02-25","description":"","custom_fields":[{"id":1,"name":"Subdivision","value":"EC"},{"id":4,"name":"Milepost","value":"2.735"},{"id":17,"name":"Train ID","value":"240-24"},{"id":16,"name":"Locomotive ID","value":"4032"},{"id":130,"name":"Impact","value":""},{"id":150,"name":"Time of Event (Mountain Time)","value":"00:58:09"},{"id":151,"name":"Denver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"%USERPROFILE%\AppData\Local\Temp\OnboardLogs"\RTDC4032\*4032*201702250*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"%USERPROFILE%\AppData\Local\Temp\OnboardLogs"\RTDC4032\*4032*201702250* &gt;&gt; 2017-02-24-SliceDisagreementCheck.txt</v>
      </c>
      <c r="AE11" s="157" t="str">
        <f t="shared" si="8"/>
        <v>start /low /b %USERPROFILE%\Documents\GitHub\eaglep3\Utilities\DownloadLogsFromS3.py --loco 4032 --day 2017-02-25</v>
      </c>
    </row>
    <row r="12" spans="1:32" s="1" customFormat="1" x14ac:dyDescent="0.25">
      <c r="A12" s="32">
        <v>42790.203726851854</v>
      </c>
      <c r="B12" s="30" t="s">
        <v>248</v>
      </c>
      <c r="C12" s="30" t="s">
        <v>444</v>
      </c>
      <c r="D12" s="30" t="s">
        <v>98</v>
      </c>
      <c r="E12" s="30" t="s">
        <v>197</v>
      </c>
      <c r="F12" s="43">
        <v>160</v>
      </c>
      <c r="G12" s="43">
        <v>212</v>
      </c>
      <c r="H12" s="43">
        <v>30952</v>
      </c>
      <c r="I12" s="43">
        <v>31359</v>
      </c>
      <c r="J12" s="30" t="s">
        <v>198</v>
      </c>
      <c r="K12" s="43">
        <v>30830</v>
      </c>
      <c r="L12" s="143" t="s">
        <v>50</v>
      </c>
      <c r="M12" s="144">
        <f t="shared" si="0"/>
        <v>-279.31200000000001</v>
      </c>
      <c r="N12" s="145" t="str">
        <f>VLOOKUP(C12,'Trips&amp;Operators'!$C$1:$G$99999,5,FALSE)</f>
        <v>LOZA FIDEL</v>
      </c>
      <c r="O12" s="194" t="s">
        <v>185</v>
      </c>
      <c r="P12" s="146" t="s">
        <v>899</v>
      </c>
      <c r="Q12" s="30"/>
      <c r="R12" s="89" t="str">
        <f>VLOOKUP(C12,'Train Runs'!$A$13:$AE$9940,31,0)</f>
        <v>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 &amp; aws s3 cp s3://rtdc.mdm.uploadarchive.raw/RTDC4020/ "%USERPROFILE%\AppData\Local\Temp\OnboardLogs"\RTDC4020\2017-02-25 --exclude "*" --recursive --include "*20170225*" &amp; "%USERPROFILE%\Documents\GitHub\mrs-test-scripts\Headless Mode &amp; Sideloading\WalkAndUnGZ.bat" "%USERPROFILE%\AppData\Local\Temp\OnboardLogs"\RTDC4020\2017-02-25</v>
      </c>
      <c r="S12" s="92" t="str">
        <f>VLOOKUP(C12,'Train Runs'!$A$13:$AE$9940,22,0)</f>
        <v>https://d0f6bd738d7f1b3e5a7ca70fe4ff75f0.us-east-1.aws.found.io/app/kibana#/discover/Steve-Slow-Train-Analysis-(2080s-and-2083s)?_g=(refreshInterval:(display:Off,pause:!f,section:0,value:0),time:(from:'2017-02-24T03:40:53-0700',mode:absolute,to:'2017-02-24T06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94" t="str">
        <f t="shared" si="1"/>
        <v>"C:\Program Files (x86)\AstroGrep\AstroGrep.exe" /spath="%USERPROFILE%\AppData\Local\Temp\OnboardLogs" /stypes="*4020*201702241*" /stext=" 11:.+((SYSTEM_STATE.+slice.+state.+changed )|(ment ac)|(multiple cpu faults)|(system.+state.+changed )|(\[timeout)|(PRM\|1\|D)|(kpr)|(kdp)|(\|lc)|(penalty))" /e /r /s</v>
      </c>
      <c r="U12" s="9" t="str">
        <f t="shared" si="2"/>
        <v>4020</v>
      </c>
      <c r="V12" s="32">
        <f t="shared" si="3"/>
        <v>42790.495393518519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arrival","project_id":79,"tracker_id":40,"status_id":1,"priority_id":2,"assigned_to_id":23,"start_date":"2017-02-24","description":"","custom_fields":[{"id":1,"name":"Subdivision","value":"EC"},{"id":4,"name":"Milepost","value":"3.083"},{"id":17,"name":"Train ID","value":"109-24"},{"id":16,"name":"Locomotive ID","value":"4020"},{"id":130,"name":"Impact","value":""},{"id":150,"name":"Time of Event (Mountain Time)","value":"04:53:22"},{"id":151,"name":"Denver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"%USERPROFILE%\AppData\Local\Temp\OnboardLogs"\RTDC4020\*4020*201702241*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"%USERPROFILE%\AppData\Local\Temp\OnboardLogs"\RTDC4020\*4020*201702241* &gt;&gt; 2017-02-24-SliceDisagreementCheck.txt</v>
      </c>
      <c r="AE12" s="157" t="str">
        <f t="shared" si="8"/>
        <v>start /low /b %USERPROFILE%\Documents\GitHub\eaglep3\Utilities\DownloadLogsFromS3.py --loco 4020 --day 2017-02-24</v>
      </c>
    </row>
    <row r="13" spans="1:32" s="1" customFormat="1" x14ac:dyDescent="0.25">
      <c r="A13" s="32">
        <v>42790.861666666664</v>
      </c>
      <c r="B13" s="30" t="s">
        <v>354</v>
      </c>
      <c r="C13" s="30" t="s">
        <v>476</v>
      </c>
      <c r="D13" s="30" t="s">
        <v>98</v>
      </c>
      <c r="E13" s="30" t="s">
        <v>197</v>
      </c>
      <c r="F13" s="43">
        <v>150</v>
      </c>
      <c r="G13" s="43">
        <v>206</v>
      </c>
      <c r="H13" s="43">
        <v>30920</v>
      </c>
      <c r="I13" s="43">
        <v>31273</v>
      </c>
      <c r="J13" s="30" t="s">
        <v>198</v>
      </c>
      <c r="K13" s="43">
        <v>30830</v>
      </c>
      <c r="L13" s="143" t="s">
        <v>50</v>
      </c>
      <c r="M13" s="144">
        <f t="shared" si="0"/>
        <v>-233.904</v>
      </c>
      <c r="N13" s="145" t="str">
        <f>VLOOKUP(C13,'Trips&amp;Operators'!$C$1:$G$99999,5,FALSE)</f>
        <v>HILLS DUSTIN</v>
      </c>
      <c r="O13" s="194" t="s">
        <v>185</v>
      </c>
      <c r="P13" s="146" t="s">
        <v>899</v>
      </c>
      <c r="Q13" s="30"/>
      <c r="R13" s="89" t="str">
        <f>VLOOKUP(C13,'Train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13" s="92" t="str">
        <f>VLOOKUP(C13,'Train Runs'!$A$13:$AE$9940,22,0)</f>
        <v>https://d0f6bd738d7f1b3e5a7ca70fe4ff75f0.us-east-1.aws.found.io/app/kibana#/discover/Steve-Slow-Train-Analysis-(2080s-and-2083s)?_g=(refreshInterval:(display:Off,pause:!f,section:0,value:0),time:(from:'2017-02-24T19:07:55-0700',mode:absolute,to:'2017-02-24T22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3" s="94" t="str">
        <f t="shared" si="1"/>
        <v>"C:\Program Files (x86)\AstroGrep\AstroGrep.exe" /spath="%USERPROFILE%\AppData\Local\Temp\OnboardLogs" /stypes="*4009*201702250*" /stext=" 03:.+((SYSTEM_STATE.+slice.+state.+changed )|(ment ac)|(multiple cpu faults)|(system.+state.+changed )|(\[timeout)|(PRM\|1\|D)|(kpr)|(kdp)|(\|lc)|(penalty))" /e /r /s</v>
      </c>
      <c r="U13" s="9" t="str">
        <f t="shared" si="2"/>
        <v>4009</v>
      </c>
      <c r="V13" s="32">
        <f t="shared" si="3"/>
        <v>42791.153333333328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arrival","project_id":79,"tracker_id":40,"status_id":1,"priority_id":2,"assigned_to_id":23,"start_date":"2017-02-24","description":"","custom_fields":[{"id":1,"name":"Subdivision","value":"EC"},{"id":4,"name":"Milepost","value":"3.083"},{"id":17,"name":"Train ID","value":"227-24"},{"id":16,"name":"Locomotive ID","value":"4009"},{"id":130,"name":"Impact","value":""},{"id":150,"name":"Time of Event (Mountain Time)","value":"20:40:48"},{"id":151,"name":"Denver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"%USERPROFILE%\AppData\Local\Temp\OnboardLogs"\RTDC4009\*4009*201702250*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"%USERPROFILE%\AppData\Local\Temp\OnboardLogs"\RTDC4009\*4009*201702250* &gt;&gt; 2017-02-24-SliceDisagreementCheck.txt</v>
      </c>
      <c r="AE13" s="157" t="str">
        <f t="shared" si="8"/>
        <v>start /low /b %USERPROFILE%\Documents\GitHub\eaglep3\Utilities\DownloadLogsFromS3.py --loco 4009 --day 2017-02-25</v>
      </c>
    </row>
    <row r="14" spans="1:32" x14ac:dyDescent="0.25">
      <c r="A14" s="32">
        <v>42790.412164351852</v>
      </c>
      <c r="B14" s="30" t="s">
        <v>354</v>
      </c>
      <c r="C14" s="30" t="s">
        <v>452</v>
      </c>
      <c r="D14" s="30" t="s">
        <v>49</v>
      </c>
      <c r="E14" s="30" t="s">
        <v>197</v>
      </c>
      <c r="F14" s="43">
        <v>280</v>
      </c>
      <c r="G14" s="43">
        <v>338</v>
      </c>
      <c r="H14" s="43">
        <v>32025</v>
      </c>
      <c r="I14" s="43">
        <v>32862</v>
      </c>
      <c r="J14" s="30" t="s">
        <v>198</v>
      </c>
      <c r="K14" s="43">
        <v>33137</v>
      </c>
      <c r="L14" s="143" t="s">
        <v>50</v>
      </c>
      <c r="M14" s="144">
        <f t="shared" si="0"/>
        <v>145.19999999999999</v>
      </c>
      <c r="N14" s="145" t="str">
        <f>VLOOKUP(C14,'Trips&amp;Operators'!$C$1:$G$99999,5,FALSE)</f>
        <v>STARKS ANGELINA</v>
      </c>
      <c r="O14" s="194" t="s">
        <v>185</v>
      </c>
      <c r="P14" s="146" t="s">
        <v>899</v>
      </c>
      <c r="Q14" s="30"/>
      <c r="R14" s="89" t="str">
        <f>VLOOKUP(C14,'Train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14" s="92" t="str">
        <f>VLOOKUP(C14,'Train Runs'!$A$13:$AE$9940,22,0)</f>
        <v>https://d0f6bd738d7f1b3e5a7ca70fe4ff75f0.us-east-1.aws.found.io/app/kibana#/discover/Steve-Slow-Train-Analysis-(2080s-and-2083s)?_g=(refreshInterval:(display:Off,pause:!f,section:0,value:0),time:(from:'2017-02-24T08:41:06-0700',mode:absolute,to:'2017-02-24T11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4" s="94" t="str">
        <f t="shared" si="1"/>
        <v>"C:\Program Files (x86)\AstroGrep\AstroGrep.exe" /spath="%USERPROFILE%\AppData\Local\Temp\OnboardLogs" /stypes="*4009*201702241*" /stext=" 16:.+((SYSTEM_STATE.+slice.+state.+changed )|(ment ac)|(multiple cpu faults)|(system.+state.+changed )|(\[timeout)|(PRM\|1\|D)|(kpr)|(kdp)|(\|lc)|(penalty))" /e /r /s</v>
      </c>
      <c r="U14" s="9" t="str">
        <f t="shared" si="2"/>
        <v>4009</v>
      </c>
      <c r="V14" s="32">
        <f t="shared" si="3"/>
        <v>42790.703831018516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arrival","project_id":79,"tracker_id":40,"status_id":1,"priority_id":2,"assigned_to_id":23,"start_date":"2017-02-24","description":"","custom_fields":[{"id":1,"name":"Subdivision","value":"EC"},{"id":4,"name":"Milepost","value":"3.3137"},{"id":17,"name":"Train ID","value":"149-24"},{"id":16,"name":"Locomotive ID","value":"4009"},{"id":130,"name":"Impact","value":""},{"id":150,"name":"Time of Event (Mountain Time)","value":"09:53:31"},{"id":151,"name":"Denver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"%USERPROFILE%\AppData\Local\Temp\OnboardLogs"\RTDC4009\*4009*201702241*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"%USERPROFILE%\AppData\Local\Temp\OnboardLogs"\RTDC4009\*4009*201702241* &gt;&gt; 2017-02-24-SliceDisagreementCheck.txt</v>
      </c>
      <c r="AE14" s="157" t="str">
        <f t="shared" si="8"/>
        <v>start /low /b %USERPROFILE%\Documents\GitHub\eaglep3\Utilities\DownloadLogsFromS3.py --loco 4009 --day 2017-02-24</v>
      </c>
      <c r="AF14" s="1"/>
    </row>
    <row r="15" spans="1:32" x14ac:dyDescent="0.25">
      <c r="A15" s="32">
        <v>42790.810219907406</v>
      </c>
      <c r="B15" s="30" t="s">
        <v>233</v>
      </c>
      <c r="C15" s="30" t="s">
        <v>473</v>
      </c>
      <c r="D15" s="30" t="s">
        <v>49</v>
      </c>
      <c r="E15" s="30" t="s">
        <v>197</v>
      </c>
      <c r="F15" s="43">
        <v>0</v>
      </c>
      <c r="G15" s="43">
        <v>185</v>
      </c>
      <c r="H15" s="43">
        <v>33311</v>
      </c>
      <c r="I15" s="43">
        <v>33145</v>
      </c>
      <c r="J15" s="30" t="s">
        <v>198</v>
      </c>
      <c r="K15" s="43">
        <v>33257</v>
      </c>
      <c r="L15" s="143" t="s">
        <v>51</v>
      </c>
      <c r="M15" s="144">
        <f t="shared" si="0"/>
        <v>-59.136000000000003</v>
      </c>
      <c r="N15" s="145" t="str">
        <f>VLOOKUP(C15,'Trips&amp;Operators'!$C$1:$G$99999,5,FALSE)</f>
        <v>BRANNON JEFFREY</v>
      </c>
      <c r="O15" s="194" t="s">
        <v>185</v>
      </c>
      <c r="P15" s="146" t="s">
        <v>899</v>
      </c>
      <c r="Q15" s="30"/>
      <c r="R15" s="89" t="str">
        <f>VLOOKUP(C15,'Train Runs'!$A$13:$AE$9940,31,0)</f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S15" s="92" t="str">
        <f>VLOOKUP(C15,'Train Runs'!$A$13:$AE$9940,22,0)</f>
        <v>https://d0f6bd738d7f1b3e5a7ca70fe4ff75f0.us-east-1.aws.found.io/app/kibana#/discover/Steve-Slow-Train-Analysis-(2080s-and-2083s)?_g=(refreshInterval:(display:Off,pause:!f,section:0,value:0),time:(from:'2017-02-24T17:50:19-0700',mode:absolute,to:'2017-02-24T20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5" s="94" t="str">
        <f t="shared" si="1"/>
        <v>"C:\Program Files (x86)\AstroGrep\AstroGrep.exe" /spath="%USERPROFILE%\AppData\Local\Temp\OnboardLogs" /stypes="*4043*201702250*" /stext=" 02:.+((SYSTEM_STATE.+slice.+state.+changed )|(ment ac)|(multiple cpu faults)|(system.+state.+changed )|(\[timeout)|(PRM\|1\|D)|(kpr)|(kdp)|(\|lc)|(penalty))" /e /r /s</v>
      </c>
      <c r="U15" s="9" t="str">
        <f t="shared" si="2"/>
        <v>4043</v>
      </c>
      <c r="V15" s="32">
        <f t="shared" si="3"/>
        <v>42791.10188657407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arrival","project_id":79,"tracker_id":40,"status_id":1,"priority_id":2,"assigned_to_id":23,"start_date":"2017-02-24","description":"","custom_fields":[{"id":1,"name":"Subdivision","value":"EC"},{"id":4,"name":"Milepost","value":"3.3257"},{"id":17,"name":"Train ID","value":"216-24"},{"id":16,"name":"Locomotive ID","value":"4043"},{"id":130,"name":"Impact","value":""},{"id":150,"name":"Time of Event (Mountain Time)","value":"19:26:43"},{"id":151,"name":"Denver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"%USERPROFILE%\AppData\Local\Temp\OnboardLogs"\RTDC4043\*4043*201702250*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"%USERPROFILE%\AppData\Local\Temp\OnboardLogs"\RTDC4043\*4043*201702250* &gt;&gt; 2017-02-24-SliceDisagreementCheck.txt</v>
      </c>
      <c r="AE15" s="157" t="str">
        <f t="shared" si="8"/>
        <v>start /low /b %USERPROFILE%\Documents\GitHub\eaglep3\Utilities\DownloadLogsFromS3.py --loco 4043 --day 2017-02-25</v>
      </c>
      <c r="AF15" s="1"/>
    </row>
    <row r="16" spans="1:32" x14ac:dyDescent="0.25">
      <c r="A16" s="32">
        <v>42790.864259259259</v>
      </c>
      <c r="B16" s="30" t="s">
        <v>354</v>
      </c>
      <c r="C16" s="30" t="s">
        <v>476</v>
      </c>
      <c r="D16" s="30" t="s">
        <v>49</v>
      </c>
      <c r="E16" s="30" t="s">
        <v>197</v>
      </c>
      <c r="F16" s="43">
        <v>0</v>
      </c>
      <c r="G16" s="43">
        <v>400</v>
      </c>
      <c r="H16" s="43">
        <v>47152</v>
      </c>
      <c r="I16" s="43">
        <v>48037</v>
      </c>
      <c r="J16" s="30" t="s">
        <v>198</v>
      </c>
      <c r="K16" s="43">
        <v>47866</v>
      </c>
      <c r="L16" s="143" t="s">
        <v>50</v>
      </c>
      <c r="M16" s="144">
        <f t="shared" si="0"/>
        <v>-90.287999999999997</v>
      </c>
      <c r="N16" s="145" t="str">
        <f>VLOOKUP(C16,'Trips&amp;Operators'!$C$1:$G$99999,5,FALSE)</f>
        <v>HILLS DUSTIN</v>
      </c>
      <c r="O16" s="194" t="s">
        <v>185</v>
      </c>
      <c r="P16" s="146" t="s">
        <v>899</v>
      </c>
      <c r="Q16" s="30"/>
      <c r="R16" s="89" t="str">
        <f>VLOOKUP(C16,'Train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16" s="92" t="str">
        <f>VLOOKUP(C16,'Train Runs'!$A$13:$AE$9940,22,0)</f>
        <v>https://d0f6bd738d7f1b3e5a7ca70fe4ff75f0.us-east-1.aws.found.io/app/kibana#/discover/Steve-Slow-Train-Analysis-(2080s-and-2083s)?_g=(refreshInterval:(display:Off,pause:!f,section:0,value:0),time:(from:'2017-02-24T19:07:55-0700',mode:absolute,to:'2017-02-24T22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94" t="str">
        <f t="shared" si="1"/>
        <v>"C:\Program Files (x86)\AstroGrep\AstroGrep.exe" /spath="%USERPROFILE%\AppData\Local\Temp\OnboardLogs" /stypes="*4009*201702250*" /stext=" 03:.+((SYSTEM_STATE.+slice.+state.+changed )|(ment ac)|(multiple cpu faults)|(system.+state.+changed )|(\[timeout)|(PRM\|1\|D)|(kpr)|(kdp)|(\|lc)|(penalty))" /e /r /s</v>
      </c>
      <c r="U16" s="9" t="str">
        <f t="shared" si="2"/>
        <v>4009</v>
      </c>
      <c r="V16" s="32">
        <f t="shared" si="3"/>
        <v>42791.155925925923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arrival","project_id":79,"tracker_id":40,"status_id":1,"priority_id":2,"assigned_to_id":23,"start_date":"2017-02-24","description":"","custom_fields":[{"id":1,"name":"Subdivision","value":"EC"},{"id":4,"name":"Milepost","value":"4.7866"},{"id":17,"name":"Train ID","value":"227-24"},{"id":16,"name":"Locomotive ID","value":"4009"},{"id":130,"name":"Impact","value":""},{"id":150,"name":"Time of Event (Mountain Time)","value":"20:44:32"},{"id":151,"name":"Denver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"%USERPROFILE%\AppData\Local\Temp\OnboardLogs"\RTDC4009\*4009*201702250*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"%USERPROFILE%\AppData\Local\Temp\OnboardLogs"\RTDC4009\*4009*201702250* &gt;&gt; 2017-02-24-SliceDisagreementCheck.txt</v>
      </c>
      <c r="AE16" s="157" t="str">
        <f t="shared" si="8"/>
        <v>start /low /b %USERPROFILE%\Documents\GitHub\eaglep3\Utilities\DownloadLogsFromS3.py --loco 4009 --day 2017-02-25</v>
      </c>
      <c r="AF16" s="1"/>
    </row>
    <row r="17" spans="1:32" x14ac:dyDescent="0.25">
      <c r="A17" s="32">
        <v>42790.197511574072</v>
      </c>
      <c r="B17" s="30" t="s">
        <v>354</v>
      </c>
      <c r="C17" s="30" t="s">
        <v>443</v>
      </c>
      <c r="D17" s="30" t="s">
        <v>49</v>
      </c>
      <c r="E17" s="30" t="s">
        <v>197</v>
      </c>
      <c r="F17" s="43">
        <v>50</v>
      </c>
      <c r="G17" s="43">
        <v>103</v>
      </c>
      <c r="H17" s="43">
        <v>57700</v>
      </c>
      <c r="I17" s="43">
        <v>57949</v>
      </c>
      <c r="J17" s="30" t="s">
        <v>198</v>
      </c>
      <c r="K17" s="43">
        <v>58118</v>
      </c>
      <c r="L17" s="143" t="s">
        <v>50</v>
      </c>
      <c r="M17" s="144">
        <f t="shared" si="0"/>
        <v>89.231999999999985</v>
      </c>
      <c r="N17" s="145" t="str">
        <f>VLOOKUP(C17,'Trips&amp;Operators'!$C$1:$G$99999,5,FALSE)</f>
        <v>STARKS ANGELINA</v>
      </c>
      <c r="O17" s="194" t="s">
        <v>185</v>
      </c>
      <c r="P17" s="146" t="s">
        <v>899</v>
      </c>
      <c r="Q17" s="30"/>
      <c r="R17" s="89" t="str">
        <f>VLOOKUP(C17,'Train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17" s="92" t="str">
        <f>VLOOKUP(C17,'Train Runs'!$A$13:$AE$9940,22,0)</f>
        <v>https://d0f6bd738d7f1b3e5a7ca70fe4ff75f0.us-east-1.aws.found.io/app/kibana#/discover/Steve-Slow-Train-Analysis-(2080s-and-2083s)?_g=(refreshInterval:(display:Off,pause:!f,section:0,value:0),time:(from:'2017-02-24T03:28:20-0700',mode:absolute,to:'2017-02-24T06:11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94" t="str">
        <f t="shared" si="1"/>
        <v>"C:\Program Files (x86)\AstroGrep\AstroGrep.exe" /spath="%USERPROFILE%\AppData\Local\Temp\OnboardLogs" /stypes="*4009*201702241*" /stext=" 11:.+((SYSTEM_STATE.+slice.+state.+changed )|(ment ac)|(multiple cpu faults)|(system.+state.+changed )|(\[timeout)|(PRM\|1\|D)|(kpr)|(kdp)|(\|lc)|(penalty))" /e /r /s</v>
      </c>
      <c r="U17" s="9" t="str">
        <f t="shared" si="2"/>
        <v>4009</v>
      </c>
      <c r="V17" s="32">
        <f t="shared" si="3"/>
        <v>42790.489178240736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arrival","project_id":79,"tracker_id":40,"status_id":1,"priority_id":2,"assigned_to_id":23,"start_date":"2017-02-24","description":"","custom_fields":[{"id":1,"name":"Subdivision","value":"EC"},{"id":4,"name":"Milepost","value":"5.8118"},{"id":17,"name":"Train ID","value":"107-24"},{"id":16,"name":"Locomotive ID","value":"4009"},{"id":130,"name":"Impact","value":""},{"id":150,"name":"Time of Event (Mountain Time)","value":"04:44:25"},{"id":151,"name":"Denver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"%USERPROFILE%\AppData\Local\Temp\OnboardLogs"\RTDC4009\*4009*201702241*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"%USERPROFILE%\AppData\Local\Temp\OnboardLogs"\RTDC4009\*4009*201702241* &gt;&gt; 2017-02-24-SliceDisagreementCheck.txt</v>
      </c>
      <c r="AE17" s="157" t="str">
        <f t="shared" si="8"/>
        <v>start /low /b %USERPROFILE%\Documents\GitHub\eaglep3\Utilities\DownloadLogsFromS3.py --loco 4009 --day 2017-02-24</v>
      </c>
      <c r="AF17" s="1"/>
    </row>
    <row r="18" spans="1:32" ht="15" customHeight="1" x14ac:dyDescent="0.25">
      <c r="A18" s="32">
        <v>42790.197083333333</v>
      </c>
      <c r="B18" s="30" t="s">
        <v>354</v>
      </c>
      <c r="C18" s="30" t="s">
        <v>443</v>
      </c>
      <c r="D18" s="30" t="s">
        <v>49</v>
      </c>
      <c r="E18" s="30" t="s">
        <v>197</v>
      </c>
      <c r="F18" s="43">
        <v>370</v>
      </c>
      <c r="G18" s="43">
        <v>479</v>
      </c>
      <c r="H18" s="43">
        <v>55894</v>
      </c>
      <c r="I18" s="43">
        <v>57604</v>
      </c>
      <c r="J18" s="30" t="s">
        <v>198</v>
      </c>
      <c r="K18" s="43">
        <v>58118</v>
      </c>
      <c r="L18" s="143" t="s">
        <v>50</v>
      </c>
      <c r="M18" s="144">
        <f t="shared" si="0"/>
        <v>271.392</v>
      </c>
      <c r="N18" s="145" t="str">
        <f>VLOOKUP(C18,'Trips&amp;Operators'!$C$1:$G$99999,5,FALSE)</f>
        <v>STARKS ANGELINA</v>
      </c>
      <c r="O18" s="194" t="s">
        <v>185</v>
      </c>
      <c r="P18" s="146" t="s">
        <v>899</v>
      </c>
      <c r="Q18" s="30"/>
      <c r="R18" s="89" t="str">
        <f>VLOOKUP(C18,'Train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18" s="92" t="str">
        <f>VLOOKUP(C18,'Train Runs'!$A$13:$AE$9940,22,0)</f>
        <v>https://d0f6bd738d7f1b3e5a7ca70fe4ff75f0.us-east-1.aws.found.io/app/kibana#/discover/Steve-Slow-Train-Analysis-(2080s-and-2083s)?_g=(refreshInterval:(display:Off,pause:!f,section:0,value:0),time:(from:'2017-02-24T03:28:20-0700',mode:absolute,to:'2017-02-24T06:11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94" t="str">
        <f t="shared" si="1"/>
        <v>"C:\Program Files (x86)\AstroGrep\AstroGrep.exe" /spath="%USERPROFILE%\AppData\Local\Temp\OnboardLogs" /stypes="*4009*201702241*" /stext=" 11:.+((SYSTEM_STATE.+slice.+state.+changed )|(ment ac)|(multiple cpu faults)|(system.+state.+changed )|(\[timeout)|(PRM\|1\|D)|(kpr)|(kdp)|(\|lc)|(penalty))" /e /r /s</v>
      </c>
      <c r="U18" s="9" t="str">
        <f t="shared" si="2"/>
        <v>4009</v>
      </c>
      <c r="V18" s="32">
        <f t="shared" si="3"/>
        <v>42790.488749999997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arrival","project_id":79,"tracker_id":40,"status_id":1,"priority_id":2,"assigned_to_id":23,"start_date":"2017-02-24","description":"","custom_fields":[{"id":1,"name":"Subdivision","value":"EC"},{"id":4,"name":"Milepost","value":"5.8118"},{"id":17,"name":"Train ID","value":"107-24"},{"id":16,"name":"Locomotive ID","value":"4009"},{"id":130,"name":"Impact","value":""},{"id":150,"name":"Time of Event (Mountain Time)","value":"04:43:48"},{"id":151,"name":"Denver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"%USERPROFILE%\AppData\Local\Temp\OnboardLogs"\RTDC4009\*4009*201702241*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"%USERPROFILE%\AppData\Local\Temp\OnboardLogs"\RTDC4009\*4009*201702241* &gt;&gt; 2017-02-24-SliceDisagreementCheck.txt</v>
      </c>
      <c r="AE18" s="157" t="str">
        <f t="shared" si="8"/>
        <v>start /low /b %USERPROFILE%\Documents\GitHub\eaglep3\Utilities\DownloadLogsFromS3.py --loco 4009 --day 2017-02-24</v>
      </c>
      <c r="AF18" s="1"/>
    </row>
    <row r="19" spans="1:32" x14ac:dyDescent="0.25">
      <c r="A19" s="32">
        <v>42790.546550925923</v>
      </c>
      <c r="B19" s="30" t="s">
        <v>245</v>
      </c>
      <c r="C19" s="30" t="s">
        <v>457</v>
      </c>
      <c r="D19" s="30" t="s">
        <v>98</v>
      </c>
      <c r="E19" s="30" t="s">
        <v>197</v>
      </c>
      <c r="F19" s="43">
        <v>390</v>
      </c>
      <c r="G19" s="43">
        <v>441</v>
      </c>
      <c r="H19" s="43">
        <v>58207</v>
      </c>
      <c r="I19" s="43">
        <v>56879</v>
      </c>
      <c r="J19" s="30" t="s">
        <v>198</v>
      </c>
      <c r="K19" s="43">
        <v>58301</v>
      </c>
      <c r="L19" s="143" t="s">
        <v>51</v>
      </c>
      <c r="M19" s="144">
        <f t="shared" si="0"/>
        <v>-750.81600000000003</v>
      </c>
      <c r="N19" s="145" t="str">
        <f>VLOOKUP(C19,'Trips&amp;Operators'!$C$1:$G$99999,5,FALSE)</f>
        <v>BRUDER RICHARD</v>
      </c>
      <c r="O19" s="194" t="s">
        <v>185</v>
      </c>
      <c r="P19" s="146" t="s">
        <v>899</v>
      </c>
      <c r="Q19" s="30"/>
      <c r="R19" s="89" t="str">
        <f>VLOOKUP(C19,'Train Runs'!$A$13:$AE$9940,31,0)</f>
        <v>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 &amp; aws s3 cp s3://rtdc.mdm.uploadarchive.raw/RTDC4019/ "%USERPROFILE%\AppData\Local\Temp\OnboardLogs"\RTDC4019\2017-02-25 --exclude "*" --recursive --include "*20170225*" &amp; "%USERPROFILE%\Documents\GitHub\mrs-test-scripts\Headless Mode &amp; Sideloading\WalkAndUnGZ.bat" "%USERPROFILE%\AppData\Local\Temp\OnboardLogs"\RTDC4019\2017-02-25</v>
      </c>
      <c r="S19" s="92" t="str">
        <f>VLOOKUP(C19,'Train Runs'!$A$13:$AE$9940,22,0)</f>
        <v>https://d0f6bd738d7f1b3e5a7ca70fe4ff75f0.us-east-1.aws.found.io/app/kibana#/discover/Steve-Slow-Train-Analysis-(2080s-and-2083s)?_g=(refreshInterval:(display:Off,pause:!f,section:0,value:0),time:(from:'2017-02-24T11:35:03-0700',mode:absolute,to:'2017-02-24T14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94" t="str">
        <f t="shared" si="1"/>
        <v>"C:\Program Files (x86)\AstroGrep\AstroGrep.exe" /spath="%USERPROFILE%\AppData\Local\Temp\OnboardLogs" /stypes="*4019*201702242*" /stext=" 20:.+((SYSTEM_STATE.+slice.+state.+changed )|(ment ac)|(multiple cpu faults)|(system.+state.+changed )|(\[timeout)|(PRM\|1\|D)|(kpr)|(kdp)|(\|lc)|(penalty))" /e /r /s</v>
      </c>
      <c r="U19" s="9" t="str">
        <f t="shared" si="2"/>
        <v>4019</v>
      </c>
      <c r="V19" s="32">
        <f t="shared" si="3"/>
        <v>42790.838217592587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arrival","project_id":79,"tracker_id":40,"status_id":1,"priority_id":2,"assigned_to_id":23,"start_date":"2017-02-24","description":"","custom_fields":[{"id":1,"name":"Subdivision","value":"EC"},{"id":4,"name":"Milepost","value":"5.8301"},{"id":17,"name":"Train ID","value":"166-24"},{"id":16,"name":"Locomotive ID","value":"4019"},{"id":130,"name":"Impact","value":""},{"id":150,"name":"Time of Event (Mountain Time)","value":"13:07:02"},{"id":151,"name":"Denver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"%USERPROFILE%\AppData\Local\Temp\OnboardLogs"\RTDC4019\*4019*201702242*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"%USERPROFILE%\AppData\Local\Temp\OnboardLogs"\RTDC4019\*4019*201702242* &gt;&gt; 2017-02-24-SliceDisagreementCheck.txt</v>
      </c>
      <c r="AE19" s="157" t="str">
        <f t="shared" si="8"/>
        <v>start /low /b %USERPROFILE%\Documents\GitHub\eaglep3\Utilities\DownloadLogsFromS3.py --loco 4019 --day 2017-02-24</v>
      </c>
      <c r="AF19" s="1"/>
    </row>
    <row r="20" spans="1:32" x14ac:dyDescent="0.25">
      <c r="A20" s="32">
        <v>42790.269976851851</v>
      </c>
      <c r="B20" s="30" t="s">
        <v>354</v>
      </c>
      <c r="C20" s="30" t="s">
        <v>445</v>
      </c>
      <c r="D20" s="30" t="s">
        <v>49</v>
      </c>
      <c r="E20" s="30" t="s">
        <v>197</v>
      </c>
      <c r="F20" s="43">
        <v>0</v>
      </c>
      <c r="G20" s="43">
        <v>442</v>
      </c>
      <c r="H20" s="43">
        <v>62123</v>
      </c>
      <c r="I20" s="43">
        <v>63169</v>
      </c>
      <c r="J20" s="30" t="s">
        <v>198</v>
      </c>
      <c r="K20" s="43">
        <v>63069</v>
      </c>
      <c r="L20" s="143" t="s">
        <v>50</v>
      </c>
      <c r="M20" s="144">
        <f t="shared" si="0"/>
        <v>-52.8</v>
      </c>
      <c r="N20" s="145" t="str">
        <f>VLOOKUP(C20,'Trips&amp;Operators'!$C$1:$G$99999,5,FALSE)</f>
        <v>STARKS ANGELINA</v>
      </c>
      <c r="O20" s="194" t="s">
        <v>185</v>
      </c>
      <c r="P20" s="146" t="s">
        <v>899</v>
      </c>
      <c r="Q20" s="30"/>
      <c r="R20" s="89" t="str">
        <f>VLOOKUP(C20,'Train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20" s="92" t="str">
        <f>VLOOKUP(C20,'Train Runs'!$A$13:$AE$9940,22,0)</f>
        <v>https://d0f6bd738d7f1b3e5a7ca70fe4ff75f0.us-east-1.aws.found.io/app/kibana#/discover/Steve-Slow-Train-Analysis-(2080s-and-2083s)?_g=(refreshInterval:(display:Off,pause:!f,section:0,value:0),time:(from:'2017-02-24T05:12:11-0700',mode:absolute,to:'2017-02-24T07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0" s="94" t="str">
        <f t="shared" si="1"/>
        <v>"C:\Program Files (x86)\AstroGrep\AstroGrep.exe" /spath="%USERPROFILE%\AppData\Local\Temp\OnboardLogs" /stypes="*4009*201702241*" /stext=" 13:.+((SYSTEM_STATE.+slice.+state.+changed )|(ment ac)|(multiple cpu faults)|(system.+state.+changed )|(\[timeout)|(PRM\|1\|D)|(kpr)|(kdp)|(\|lc)|(penalty))" /e /r /s</v>
      </c>
      <c r="U20" s="9" t="str">
        <f t="shared" si="2"/>
        <v>4009</v>
      </c>
      <c r="V20" s="32">
        <f t="shared" si="3"/>
        <v>42790.561643518515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arrival","project_id":79,"tracker_id":40,"status_id":1,"priority_id":2,"assigned_to_id":23,"start_date":"2017-02-24","description":"","custom_fields":[{"id":1,"name":"Subdivision","value":"EC"},{"id":4,"name":"Milepost","value":"6.3069"},{"id":17,"name":"Train ID","value":"121-24"},{"id":16,"name":"Locomotive ID","value":"4009"},{"id":130,"name":"Impact","value":""},{"id":150,"name":"Time of Event (Mountain Time)","value":"06:28:46"},{"id":151,"name":"Denver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"%USERPROFILE%\AppData\Local\Temp\OnboardLogs"\RTDC4009\*4009*201702241*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"%USERPROFILE%\AppData\Local\Temp\OnboardLogs"\RTDC4009\*4009*201702241* &gt;&gt; 2017-02-24-SliceDisagreementCheck.txt</v>
      </c>
      <c r="AE20" s="157" t="str">
        <f t="shared" si="8"/>
        <v>start /low /b %USERPROFILE%\Documents\GitHub\eaglep3\Utilities\DownloadLogsFromS3.py --loco 4009 --day 2017-02-24</v>
      </c>
      <c r="AF20" s="1"/>
    </row>
    <row r="21" spans="1:32" x14ac:dyDescent="0.25">
      <c r="A21" s="32">
        <v>42790.348437499997</v>
      </c>
      <c r="B21" s="30" t="s">
        <v>433</v>
      </c>
      <c r="C21" s="30" t="s">
        <v>450</v>
      </c>
      <c r="D21" s="30" t="s">
        <v>49</v>
      </c>
      <c r="E21" s="30" t="s">
        <v>197</v>
      </c>
      <c r="F21" s="43">
        <v>90</v>
      </c>
      <c r="G21" s="43">
        <v>149</v>
      </c>
      <c r="H21" s="43">
        <v>63597</v>
      </c>
      <c r="I21" s="43">
        <v>63396</v>
      </c>
      <c r="J21" s="30" t="s">
        <v>198</v>
      </c>
      <c r="K21" s="43">
        <v>63309</v>
      </c>
      <c r="L21" s="143" t="s">
        <v>51</v>
      </c>
      <c r="M21" s="144">
        <f t="shared" si="0"/>
        <v>45.936</v>
      </c>
      <c r="N21" s="145" t="str">
        <f>VLOOKUP(C21,'Trips&amp;Operators'!$C$1:$G$99999,5,FALSE)</f>
        <v>BADERTSCHER DIANE</v>
      </c>
      <c r="O21" s="194" t="s">
        <v>185</v>
      </c>
      <c r="P21" s="146" t="s">
        <v>899</v>
      </c>
      <c r="Q21" s="30"/>
      <c r="R21" s="89" t="str">
        <f>VLOOKUP(C21,'Train Runs'!$A$13:$AE$9940,31,0)</f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S21" s="92" t="str">
        <f>VLOOKUP(C21,'Train Runs'!$A$13:$AE$9940,22,0)</f>
        <v>https://d0f6bd738d7f1b3e5a7ca70fe4ff75f0.us-east-1.aws.found.io/app/kibana#/discover/Steve-Slow-Train-Analysis-(2080s-and-2083s)?_g=(refreshInterval:(display:Off,pause:!f,section:0,value:0),time:(from:'2017-02-24T06:45:59-0700',mode:absolute,to:'2017-02-24T09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1" s="94" t="str">
        <f t="shared" si="1"/>
        <v>"C:\Program Files (x86)\AstroGrep\AstroGrep.exe" /spath="%USERPROFILE%\AppData\Local\Temp\OnboardLogs" /stypes="*4052*201702241*" /stext=" 15:.+((SYSTEM_STATE.+slice.+state.+changed )|(ment ac)|(multiple cpu faults)|(system.+state.+changed )|(\[timeout)|(PRM\|1\|D)|(kpr)|(kdp)|(\|lc)|(penalty))" /e /r /s</v>
      </c>
      <c r="U21" s="9" t="str">
        <f t="shared" si="2"/>
        <v>4052</v>
      </c>
      <c r="V21" s="32">
        <f t="shared" si="3"/>
        <v>42790.640104166661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arrival","project_id":79,"tracker_id":40,"status_id":1,"priority_id":2,"assigned_to_id":23,"start_date":"2017-02-24","description":"","custom_fields":[{"id":1,"name":"Subdivision","value":"EC"},{"id":4,"name":"Milepost","value":"6.3309"},{"id":17,"name":"Train ID","value":"128-24"},{"id":16,"name":"Locomotive ID","value":"4052"},{"id":130,"name":"Impact","value":""},{"id":150,"name":"Time of Event (Mountain Time)","value":"08:21:45"},{"id":151,"name":"Denver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"%USERPROFILE%\AppData\Local\Temp\OnboardLogs"\RTDC4052\*4052*201702241*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"%USERPROFILE%\AppData\Local\Temp\OnboardLogs"\RTDC4052\*4052*201702241* &gt;&gt; 2017-02-24-SliceDisagreementCheck.txt</v>
      </c>
      <c r="AE21" s="157" t="str">
        <f t="shared" si="8"/>
        <v>start /low /b %USERPROFILE%\Documents\GitHub\eaglep3\Utilities\DownloadLogsFromS3.py --loco 4052 --day 2017-02-24</v>
      </c>
      <c r="AF21" s="1"/>
    </row>
    <row r="22" spans="1:32" x14ac:dyDescent="0.25">
      <c r="A22" s="32">
        <v>42790.391099537039</v>
      </c>
      <c r="B22" s="30" t="s">
        <v>353</v>
      </c>
      <c r="C22" s="30" t="s">
        <v>451</v>
      </c>
      <c r="D22" s="30" t="s">
        <v>49</v>
      </c>
      <c r="E22" s="30" t="s">
        <v>197</v>
      </c>
      <c r="F22" s="43">
        <v>90</v>
      </c>
      <c r="G22" s="43">
        <v>146</v>
      </c>
      <c r="H22" s="43">
        <v>63981</v>
      </c>
      <c r="I22" s="43">
        <v>63814</v>
      </c>
      <c r="J22" s="30" t="s">
        <v>198</v>
      </c>
      <c r="K22" s="43">
        <v>63309</v>
      </c>
      <c r="L22" s="143" t="s">
        <v>51</v>
      </c>
      <c r="M22" s="144">
        <f t="shared" si="0"/>
        <v>266.64</v>
      </c>
      <c r="N22" s="145" t="str">
        <f>VLOOKUP(C22,'Trips&amp;Operators'!$C$1:$G$99999,5,FALSE)</f>
        <v>STARKS ANGELINA</v>
      </c>
      <c r="O22" s="194" t="s">
        <v>185</v>
      </c>
      <c r="P22" s="146" t="s">
        <v>899</v>
      </c>
      <c r="Q22" s="30"/>
      <c r="R22" s="89" t="str">
        <f>VLOOKUP(C22,'Train Runs'!$A$13:$AE$9940,31,0)</f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S22" s="92" t="str">
        <f>VLOOKUP(C22,'Train Runs'!$A$13:$AE$9940,22,0)</f>
        <v>https://d0f6bd738d7f1b3e5a7ca70fe4ff75f0.us-east-1.aws.found.io/app/kibana#/discover/Steve-Slow-Train-Analysis-(2080s-and-2083s)?_g=(refreshInterval:(display:Off,pause:!f,section:0,value:0),time:(from:'2017-02-24T07:49:40-0700',mode:absolute,to:'2017-02-24T10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2" s="94" t="str">
        <f t="shared" si="1"/>
        <v>"C:\Program Files (x86)\AstroGrep\AstroGrep.exe" /spath="%USERPROFILE%\AppData\Local\Temp\OnboardLogs" /stypes="*4010*201702241*" /stext=" 16:.+((SYSTEM_STATE.+slice.+state.+changed )|(ment ac)|(multiple cpu faults)|(system.+state.+changed )|(\[timeout)|(PRM\|1\|D)|(kpr)|(kdp)|(\|lc)|(penalty))" /e /r /s</v>
      </c>
      <c r="U22" s="9" t="str">
        <f t="shared" si="2"/>
        <v>4010</v>
      </c>
      <c r="V22" s="32">
        <f t="shared" si="3"/>
        <v>42790.682766203703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arrival","project_id":79,"tracker_id":40,"status_id":1,"priority_id":2,"assigned_to_id":23,"start_date":"2017-02-24","description":"","custom_fields":[{"id":1,"name":"Subdivision","value":"EC"},{"id":4,"name":"Milepost","value":"6.3309"},{"id":17,"name":"Train ID","value":"136-24"},{"id":16,"name":"Locomotive ID","value":"4010"},{"id":130,"name":"Impact","value":""},{"id":150,"name":"Time of Event (Mountain Time)","value":"09:23:11"},{"id":151,"name":"Denver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"%USERPROFILE%\AppData\Local\Temp\OnboardLogs"\RTDC4010\*4010*201702241*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"%USERPROFILE%\AppData\Local\Temp\OnboardLogs"\RTDC4010\*4010*201702241* &gt;&gt; 2017-02-24-SliceDisagreementCheck.txt</v>
      </c>
      <c r="AE22" s="157" t="str">
        <f t="shared" si="8"/>
        <v>start /low /b %USERPROFILE%\Documents\GitHub\eaglep3\Utilities\DownloadLogsFromS3.py --loco 4010 --day 2017-02-24</v>
      </c>
      <c r="AF22" s="1"/>
    </row>
    <row r="23" spans="1:32" x14ac:dyDescent="0.25">
      <c r="A23" s="32">
        <v>42790.421631944446</v>
      </c>
      <c r="B23" s="30" t="s">
        <v>433</v>
      </c>
      <c r="C23" s="30" t="s">
        <v>453</v>
      </c>
      <c r="D23" s="30" t="s">
        <v>49</v>
      </c>
      <c r="E23" s="30" t="s">
        <v>197</v>
      </c>
      <c r="F23" s="43">
        <v>80</v>
      </c>
      <c r="G23" s="43">
        <v>130</v>
      </c>
      <c r="H23" s="43">
        <v>64032</v>
      </c>
      <c r="I23" s="43">
        <v>63818</v>
      </c>
      <c r="J23" s="30" t="s">
        <v>198</v>
      </c>
      <c r="K23" s="43">
        <v>63309</v>
      </c>
      <c r="L23" s="143" t="s">
        <v>51</v>
      </c>
      <c r="M23" s="144">
        <f t="shared" si="0"/>
        <v>268.75200000000001</v>
      </c>
      <c r="N23" s="145" t="str">
        <f>VLOOKUP(C23,'Trips&amp;Operators'!$C$1:$G$99999,5,FALSE)</f>
        <v>BADERTSCHER DIANE</v>
      </c>
      <c r="O23" s="194" t="s">
        <v>185</v>
      </c>
      <c r="P23" s="146" t="s">
        <v>899</v>
      </c>
      <c r="Q23" s="30"/>
      <c r="R23" s="89" t="str">
        <f>VLOOKUP(C23,'Train Runs'!$A$13:$AE$9940,31,0)</f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S23" s="92" t="str">
        <f>VLOOKUP(C23,'Train Runs'!$A$13:$AE$9940,22,0)</f>
        <v>https://d0f6bd738d7f1b3e5a7ca70fe4ff75f0.us-east-1.aws.found.io/app/kibana#/discover/Steve-Slow-Train-Analysis-(2080s-and-2083s)?_g=(refreshInterval:(display:Off,pause:!f,section:0,value:0),time:(from:'2017-02-24T08:34:09-0700',mode:absolute,to:'2017-02-24T11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94" t="str">
        <f t="shared" si="1"/>
        <v>"C:\Program Files (x86)\AstroGrep\AstroGrep.exe" /spath="%USERPROFILE%\AppData\Local\Temp\OnboardLogs" /stypes="*4052*201702241*" /stext=" 17:.+((SYSTEM_STATE.+slice.+state.+changed )|(ment ac)|(multiple cpu faults)|(system.+state.+changed )|(\[timeout)|(PRM\|1\|D)|(kpr)|(kdp)|(\|lc)|(penalty))" /e /r /s</v>
      </c>
      <c r="U23" s="9" t="str">
        <f t="shared" si="2"/>
        <v>4052</v>
      </c>
      <c r="V23" s="32">
        <f t="shared" si="3"/>
        <v>42790.71329861111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arrival","project_id":79,"tracker_id":40,"status_id":1,"priority_id":2,"assigned_to_id":23,"start_date":"2017-02-24","description":"","custom_fields":[{"id":1,"name":"Subdivision","value":"EC"},{"id":4,"name":"Milepost","value":"6.3309"},{"id":17,"name":"Train ID","value":"142-24"},{"id":16,"name":"Locomotive ID","value":"4052"},{"id":130,"name":"Impact","value":""},{"id":150,"name":"Time of Event (Mountain Time)","value":"10:07:09"},{"id":151,"name":"Denver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"%USERPROFILE%\AppData\Local\Temp\OnboardLogs"\RTDC4052\*4052*201702241*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"%USERPROFILE%\AppData\Local\Temp\OnboardLogs"\RTDC4052\*4052*201702241* &gt;&gt; 2017-02-24-SliceDisagreementCheck.txt</v>
      </c>
      <c r="AE23" s="157" t="str">
        <f t="shared" si="8"/>
        <v>start /low /b %USERPROFILE%\Documents\GitHub\eaglep3\Utilities\DownloadLogsFromS3.py --loco 4052 --day 2017-02-24</v>
      </c>
      <c r="AF23" s="1"/>
    </row>
    <row r="24" spans="1:32" x14ac:dyDescent="0.25">
      <c r="A24" s="32">
        <v>42790.463101851848</v>
      </c>
      <c r="B24" s="30" t="s">
        <v>353</v>
      </c>
      <c r="C24" s="30" t="s">
        <v>455</v>
      </c>
      <c r="D24" s="30" t="s">
        <v>49</v>
      </c>
      <c r="E24" s="30" t="s">
        <v>197</v>
      </c>
      <c r="F24" s="43">
        <v>70</v>
      </c>
      <c r="G24" s="43">
        <v>132</v>
      </c>
      <c r="H24" s="43">
        <v>63993</v>
      </c>
      <c r="I24" s="43">
        <v>63870</v>
      </c>
      <c r="J24" s="30" t="s">
        <v>198</v>
      </c>
      <c r="K24" s="43">
        <v>63309</v>
      </c>
      <c r="L24" s="143" t="s">
        <v>51</v>
      </c>
      <c r="M24" s="144">
        <f t="shared" si="0"/>
        <v>296.20800000000003</v>
      </c>
      <c r="N24" s="145" t="str">
        <f>VLOOKUP(C24,'Trips&amp;Operators'!$C$1:$G$99999,5,FALSE)</f>
        <v>STARKS ANGELINA</v>
      </c>
      <c r="O24" s="194" t="s">
        <v>185</v>
      </c>
      <c r="P24" s="146" t="s">
        <v>899</v>
      </c>
      <c r="Q24" s="30"/>
      <c r="R24" s="89" t="str">
        <f>VLOOKUP(C24,'Train Runs'!$A$13:$AE$9940,31,0)</f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S24" s="92" t="str">
        <f>VLOOKUP(C24,'Train Runs'!$A$13:$AE$9940,22,0)</f>
        <v>https://d0f6bd738d7f1b3e5a7ca70fe4ff75f0.us-east-1.aws.found.io/app/kibana#/discover/Steve-Slow-Train-Analysis-(2080s-and-2083s)?_g=(refreshInterval:(display:Off,pause:!f,section:0,value:0),time:(from:'2017-02-24T09:29:23-0700',mode:absolute,to:'2017-02-24T12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4" s="94" t="str">
        <f t="shared" si="1"/>
        <v>"C:\Program Files (x86)\AstroGrep\AstroGrep.exe" /spath="%USERPROFILE%\AppData\Local\Temp\OnboardLogs" /stypes="*4010*201702241*" /stext=" 18:.+((SYSTEM_STATE.+slice.+state.+changed )|(ment ac)|(multiple cpu faults)|(system.+state.+changed )|(\[timeout)|(PRM\|1\|D)|(kpr)|(kdp)|(\|lc)|(penalty))" /e /r /s</v>
      </c>
      <c r="U24" s="9" t="str">
        <f t="shared" si="2"/>
        <v>4010</v>
      </c>
      <c r="V24" s="32">
        <f t="shared" si="3"/>
        <v>42790.754768518513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arrival","project_id":79,"tracker_id":40,"status_id":1,"priority_id":2,"assigned_to_id":23,"start_date":"2017-02-24","description":"","custom_fields":[{"id":1,"name":"Subdivision","value":"EC"},{"id":4,"name":"Milepost","value":"6.3309"},{"id":17,"name":"Train ID","value":"150-24"},{"id":16,"name":"Locomotive ID","value":"4010"},{"id":130,"name":"Impact","value":""},{"id":150,"name":"Time of Event (Mountain Time)","value":"11:06:52"},{"id":151,"name":"Denver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"%USERPROFILE%\AppData\Local\Temp\OnboardLogs"\RTDC4010\*4010*201702241*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"%USERPROFILE%\AppData\Local\Temp\OnboardLogs"\RTDC4010\*4010*201702241* &gt;&gt; 2017-02-24-SliceDisagreementCheck.txt</v>
      </c>
      <c r="AE24" s="157" t="str">
        <f t="shared" si="8"/>
        <v>start /low /b %USERPROFILE%\Documents\GitHub\eaglep3\Utilities\DownloadLogsFromS3.py --loco 4010 --day 2017-02-24</v>
      </c>
      <c r="AF24" s="1"/>
    </row>
    <row r="25" spans="1:32" x14ac:dyDescent="0.25">
      <c r="A25" s="32">
        <v>42790.514340277776</v>
      </c>
      <c r="B25" s="30" t="s">
        <v>233</v>
      </c>
      <c r="C25" s="30" t="s">
        <v>456</v>
      </c>
      <c r="D25" s="30" t="s">
        <v>49</v>
      </c>
      <c r="E25" s="30" t="s">
        <v>197</v>
      </c>
      <c r="F25" s="43">
        <v>70</v>
      </c>
      <c r="G25" s="43">
        <v>126</v>
      </c>
      <c r="H25" s="43">
        <v>64037</v>
      </c>
      <c r="I25" s="43">
        <v>63766</v>
      </c>
      <c r="J25" s="30" t="s">
        <v>198</v>
      </c>
      <c r="K25" s="43">
        <v>63309</v>
      </c>
      <c r="L25" s="143" t="s">
        <v>51</v>
      </c>
      <c r="M25" s="144">
        <f t="shared" si="0"/>
        <v>241.29599999999999</v>
      </c>
      <c r="N25" s="145" t="str">
        <f>VLOOKUP(C25,'Trips&amp;Operators'!$C$1:$G$99999,5,FALSE)</f>
        <v>BRANDNER MELINDA</v>
      </c>
      <c r="O25" s="194" t="s">
        <v>185</v>
      </c>
      <c r="P25" s="146" t="s">
        <v>899</v>
      </c>
      <c r="Q25" s="30"/>
      <c r="R25" s="89" t="str">
        <f>VLOOKUP(C25,'Train Runs'!$A$13:$AE$9940,31,0)</f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S25" s="92" t="str">
        <f>VLOOKUP(C25,'Train Runs'!$A$13:$AE$9940,22,0)</f>
        <v>https://d0f6bd738d7f1b3e5a7ca70fe4ff75f0.us-east-1.aws.found.io/app/kibana#/discover/Steve-Slow-Train-Analysis-(2080s-and-2083s)?_g=(refreshInterval:(display:Off,pause:!f,section:0,value:0),time:(from:'2017-02-24T10:47:08-0700',mode:absolute,to:'2017-02-24T13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5" s="94" t="str">
        <f t="shared" si="1"/>
        <v>"C:\Program Files (x86)\AstroGrep\AstroGrep.exe" /spath="%USERPROFILE%\AppData\Local\Temp\OnboardLogs" /stypes="*4043*201702241*" /stext=" 19:.+((SYSTEM_STATE.+slice.+state.+changed )|(ment ac)|(multiple cpu faults)|(system.+state.+changed )|(\[timeout)|(PRM\|1\|D)|(kpr)|(kdp)|(\|lc)|(penalty))" /e /r /s</v>
      </c>
      <c r="U25" s="9" t="str">
        <f t="shared" si="2"/>
        <v>4043</v>
      </c>
      <c r="V25" s="32">
        <f t="shared" si="3"/>
        <v>42790.80600694444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arrival","project_id":79,"tracker_id":40,"status_id":1,"priority_id":2,"assigned_to_id":23,"start_date":"2017-02-24","description":"","custom_fields":[{"id":1,"name":"Subdivision","value":"EC"},{"id":4,"name":"Milepost","value":"6.3309"},{"id":17,"name":"Train ID","value":"160-24"},{"id":16,"name":"Locomotive ID","value":"4043"},{"id":130,"name":"Impact","value":""},{"id":150,"name":"Time of Event (Mountain Time)","value":"12:20:39"},{"id":151,"name":"Denver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"%USERPROFILE%\AppData\Local\Temp\OnboardLogs"\RTDC4043\*4043*201702241*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"%USERPROFILE%\AppData\Local\Temp\OnboardLogs"\RTDC4043\*4043*201702241* &gt;&gt; 2017-02-24-SliceDisagreementCheck.txt</v>
      </c>
      <c r="AE25" s="157" t="str">
        <f t="shared" si="8"/>
        <v>start /low /b %USERPROFILE%\Documents\GitHub\eaglep3\Utilities\DownloadLogsFromS3.py --loco 4043 --day 2017-02-24</v>
      </c>
      <c r="AF25" s="1"/>
    </row>
    <row r="26" spans="1:32" x14ac:dyDescent="0.25">
      <c r="A26" s="32">
        <v>42790.555625000001</v>
      </c>
      <c r="B26" s="30" t="s">
        <v>210</v>
      </c>
      <c r="C26" s="30" t="s">
        <v>458</v>
      </c>
      <c r="D26" s="30" t="s">
        <v>49</v>
      </c>
      <c r="E26" s="30" t="s">
        <v>197</v>
      </c>
      <c r="F26" s="43">
        <v>100</v>
      </c>
      <c r="G26" s="43">
        <v>159</v>
      </c>
      <c r="H26" s="43">
        <v>63989</v>
      </c>
      <c r="I26" s="43">
        <v>63752</v>
      </c>
      <c r="J26" s="30" t="s">
        <v>198</v>
      </c>
      <c r="K26" s="43">
        <v>63309</v>
      </c>
      <c r="L26" s="143" t="s">
        <v>51</v>
      </c>
      <c r="M26" s="144">
        <f t="shared" si="0"/>
        <v>233.904</v>
      </c>
      <c r="N26" s="145" t="str">
        <f>VLOOKUP(C26,'Trips&amp;Operators'!$C$1:$G$99999,5,FALSE)</f>
        <v>HELVIE ADAM</v>
      </c>
      <c r="O26" s="194" t="s">
        <v>185</v>
      </c>
      <c r="P26" s="146" t="s">
        <v>899</v>
      </c>
      <c r="Q26" s="30"/>
      <c r="R26" s="89" t="str">
        <f>VLOOKUP(C26,'Train Runs'!$A$13:$AE$9940,31,0)</f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S26" s="92" t="str">
        <f>VLOOKUP(C26,'Train Runs'!$A$13:$AE$9940,22,0)</f>
        <v>https://d0f6bd738d7f1b3e5a7ca70fe4ff75f0.us-east-1.aws.found.io/app/kibana#/discover/Steve-Slow-Train-Analysis-(2080s-and-2083s)?_g=(refreshInterval:(display:Off,pause:!f,section:0,value:0),time:(from:'2017-02-24T11:52:43-0700',mode:absolute,to:'2017-02-24T14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94" t="str">
        <f t="shared" si="1"/>
        <v>"C:\Program Files (x86)\AstroGrep\AstroGrep.exe" /spath="%USERPROFILE%\AppData\Local\Temp\OnboardLogs" /stypes="*4026*201702242*" /stext=" 20:.+((SYSTEM_STATE.+slice.+state.+changed )|(ment ac)|(multiple cpu faults)|(system.+state.+changed )|(\[timeout)|(PRM\|1\|D)|(kpr)|(kdp)|(\|lc)|(penalty))" /e /r /s</v>
      </c>
      <c r="U26" s="9" t="str">
        <f t="shared" si="2"/>
        <v>4026</v>
      </c>
      <c r="V26" s="32">
        <f t="shared" si="3"/>
        <v>42790.847291666665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arrival","project_id":79,"tracker_id":40,"status_id":1,"priority_id":2,"assigned_to_id":23,"start_date":"2017-02-24","description":"","custom_fields":[{"id":1,"name":"Subdivision","value":"EC"},{"id":4,"name":"Milepost","value":"6.3309"},{"id":17,"name":"Train ID","value":"168-24"},{"id":16,"name":"Locomotive ID","value":"4026"},{"id":130,"name":"Impact","value":""},{"id":150,"name":"Time of Event (Mountain Time)","value":"13:20:06"},{"id":151,"name":"Denver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"%USERPROFILE%\AppData\Local\Temp\OnboardLogs"\RTDC4026\*4026*201702242*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"%USERPROFILE%\AppData\Local\Temp\OnboardLogs"\RTDC4026\*4026*201702242* &gt;&gt; 2017-02-24-SliceDisagreementCheck.txt</v>
      </c>
      <c r="AE26" s="157" t="str">
        <f t="shared" si="8"/>
        <v>start /low /b %USERPROFILE%\Documents\GitHub\eaglep3\Utilities\DownloadLogsFromS3.py --loco 4026 --day 2017-02-24</v>
      </c>
      <c r="AF26" s="1"/>
    </row>
    <row r="27" spans="1:32" x14ac:dyDescent="0.25">
      <c r="A27" s="32">
        <v>42790.827465277776</v>
      </c>
      <c r="B27" s="30" t="s">
        <v>353</v>
      </c>
      <c r="C27" s="30" t="s">
        <v>474</v>
      </c>
      <c r="D27" s="30" t="s">
        <v>98</v>
      </c>
      <c r="E27" s="30" t="s">
        <v>197</v>
      </c>
      <c r="F27" s="43">
        <v>90</v>
      </c>
      <c r="G27" s="43">
        <v>142</v>
      </c>
      <c r="H27" s="43">
        <v>63156</v>
      </c>
      <c r="I27" s="43">
        <v>62903</v>
      </c>
      <c r="J27" s="30" t="s">
        <v>198</v>
      </c>
      <c r="K27" s="43">
        <v>63309</v>
      </c>
      <c r="L27" s="143" t="s">
        <v>51</v>
      </c>
      <c r="M27" s="144">
        <f t="shared" si="0"/>
        <v>-214.36799999999999</v>
      </c>
      <c r="N27" s="145" t="str">
        <f>VLOOKUP(C27,'Trips&amp;Operators'!$C$1:$G$99999,5,FALSE)</f>
        <v>HILLS DUSTIN</v>
      </c>
      <c r="O27" s="194" t="s">
        <v>185</v>
      </c>
      <c r="P27" s="146" t="s">
        <v>899</v>
      </c>
      <c r="Q27" s="30"/>
      <c r="R27" s="89" t="str">
        <f>VLOOKUP(C27,'Train Runs'!$A$13:$AE$9940,31,0)</f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S27" s="92" t="str">
        <f>VLOOKUP(C27,'Train Runs'!$A$13:$AE$9940,22,0)</f>
        <v>https://d0f6bd738d7f1b3e5a7ca70fe4ff75f0.us-east-1.aws.found.io/app/kibana#/discover/Steve-Slow-Train-Analysis-(2080s-and-2083s)?_g=(refreshInterval:(display:Off,pause:!f,section:0,value:0),time:(from:'2017-02-24T18:13:02-0700',mode:absolute,to:'2017-02-24T21:05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7" s="94" t="str">
        <f t="shared" si="1"/>
        <v>"C:\Program Files (x86)\AstroGrep\AstroGrep.exe" /spath="%USERPROFILE%\AppData\Local\Temp\OnboardLogs" /stypes="*4010*201702250*" /stext=" 02:.+((SYSTEM_STATE.+slice.+state.+changed )|(ment ac)|(multiple cpu faults)|(system.+state.+changed )|(\[timeout)|(PRM\|1\|D)|(kpr)|(kdp)|(\|lc)|(penalty))" /e /r /s</v>
      </c>
      <c r="U27" s="9" t="str">
        <f t="shared" si="2"/>
        <v>4010</v>
      </c>
      <c r="V27" s="32">
        <f t="shared" si="3"/>
        <v>42791.119131944441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arrival","project_id":79,"tracker_id":40,"status_id":1,"priority_id":2,"assigned_to_id":23,"start_date":"2017-02-24","description":"","custom_fields":[{"id":1,"name":"Subdivision","value":"EC"},{"id":4,"name":"Milepost","value":"6.3309"},{"id":17,"name":"Train ID","value":"220-24"},{"id":16,"name":"Locomotive ID","value":"4010"},{"id":130,"name":"Impact","value":""},{"id":150,"name":"Time of Event (Mountain Time)","value":"19:51:33"},{"id":151,"name":"Denver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"%USERPROFILE%\AppData\Local\Temp\OnboardLogs"\RTDC4010\*4010*201702250*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"%USERPROFILE%\AppData\Local\Temp\OnboardLogs"\RTDC4010\*4010*201702250* &gt;&gt; 2017-02-24-SliceDisagreementCheck.txt</v>
      </c>
      <c r="AE27" s="157" t="str">
        <f t="shared" si="8"/>
        <v>start /low /b %USERPROFILE%\Documents\GitHub\eaglep3\Utilities\DownloadLogsFromS3.py --loco 4010 --day 2017-02-25</v>
      </c>
      <c r="AF27" s="1"/>
    </row>
    <row r="28" spans="1:32" x14ac:dyDescent="0.25">
      <c r="A28" s="32">
        <v>42790.869143518517</v>
      </c>
      <c r="B28" s="30" t="s">
        <v>307</v>
      </c>
      <c r="C28" s="30" t="s">
        <v>477</v>
      </c>
      <c r="D28" s="30" t="s">
        <v>98</v>
      </c>
      <c r="E28" s="30" t="s">
        <v>197</v>
      </c>
      <c r="F28" s="43">
        <v>120</v>
      </c>
      <c r="G28" s="43">
        <v>185</v>
      </c>
      <c r="H28" s="43">
        <v>63038</v>
      </c>
      <c r="I28" s="43">
        <v>62601</v>
      </c>
      <c r="J28" s="30" t="s">
        <v>198</v>
      </c>
      <c r="K28" s="43">
        <v>63309</v>
      </c>
      <c r="L28" s="143" t="s">
        <v>51</v>
      </c>
      <c r="M28" s="144">
        <f t="shared" si="0"/>
        <v>-373.82400000000001</v>
      </c>
      <c r="N28" s="145" t="str">
        <f>VLOOKUP(C28,'Trips&amp;Operators'!$C$1:$G$99999,5,FALSE)</f>
        <v>MACDONALD THOMAS</v>
      </c>
      <c r="O28" s="194" t="s">
        <v>185</v>
      </c>
      <c r="P28" s="146" t="s">
        <v>899</v>
      </c>
      <c r="Q28" s="30"/>
      <c r="R28" s="89" t="str">
        <f>VLOOKUP(C28,'Train Runs'!$A$13:$AE$9940,31,0)</f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S28" s="92" t="str">
        <f>VLOOKUP(C28,'Train Runs'!$A$13:$AE$9940,22,0)</f>
        <v>https://d0f6bd738d7f1b3e5a7ca70fe4ff75f0.us-east-1.aws.found.io/app/kibana#/discover/Steve-Slow-Train-Analysis-(2080s-and-2083s)?_g=(refreshInterval:(display:Off,pause:!f,section:0,value:0),time:(from:'2017-02-24T19:22:17-0700',mode:absolute,to:'2017-02-24T22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94" t="str">
        <f t="shared" si="1"/>
        <v>"C:\Program Files (x86)\AstroGrep\AstroGrep.exe" /spath="%USERPROFILE%\AppData\Local\Temp\OnboardLogs" /stypes="*4032*201702250*" /stext=" 03:.+((SYSTEM_STATE.+slice.+state.+changed )|(ment ac)|(multiple cpu faults)|(system.+state.+changed )|(\[timeout)|(PRM\|1\|D)|(kpr)|(kdp)|(\|lc)|(penalty))" /e /r /s</v>
      </c>
      <c r="U28" s="9" t="str">
        <f t="shared" si="2"/>
        <v>4032</v>
      </c>
      <c r="V28" s="32">
        <f t="shared" si="3"/>
        <v>42791.160810185182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arrival","project_id":79,"tracker_id":40,"status_id":1,"priority_id":2,"assigned_to_id":23,"start_date":"2017-02-24","description":"","custom_fields":[{"id":1,"name":"Subdivision","value":"EC"},{"id":4,"name":"Milepost","value":"6.3309"},{"id":17,"name":"Train ID","value":"224-24"},{"id":16,"name":"Locomotive ID","value":"4032"},{"id":130,"name":"Impact","value":""},{"id":150,"name":"Time of Event (Mountain Time)","value":"20:51:34"},{"id":151,"name":"Denver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"%USERPROFILE%\AppData\Local\Temp\OnboardLogs"\RTDC4032\*4032*201702250*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"%USERPROFILE%\AppData\Local\Temp\OnboardLogs"\RTDC4032\*4032*201702250* &gt;&gt; 2017-02-24-SliceDisagreementCheck.txt</v>
      </c>
      <c r="AE28" s="157" t="str">
        <f t="shared" si="8"/>
        <v>start /low /b %USERPROFILE%\Documents\GitHub\eaglep3\Utilities\DownloadLogsFromS3.py --loco 4032 --day 2017-02-25</v>
      </c>
      <c r="AF28" s="1"/>
    </row>
    <row r="29" spans="1:32" x14ac:dyDescent="0.25">
      <c r="A29" s="32">
        <v>42790.99322916667</v>
      </c>
      <c r="B29" s="30" t="s">
        <v>353</v>
      </c>
      <c r="C29" s="30" t="s">
        <v>479</v>
      </c>
      <c r="D29" s="30" t="s">
        <v>49</v>
      </c>
      <c r="E29" s="30" t="s">
        <v>197</v>
      </c>
      <c r="F29" s="43">
        <v>0</v>
      </c>
      <c r="G29" s="43">
        <v>109</v>
      </c>
      <c r="H29" s="43">
        <v>63321</v>
      </c>
      <c r="I29" s="43">
        <v>0</v>
      </c>
      <c r="J29" s="30" t="s">
        <v>198</v>
      </c>
      <c r="K29" s="43">
        <v>63309</v>
      </c>
      <c r="L29" s="143" t="s">
        <v>51</v>
      </c>
      <c r="M29" s="144">
        <f t="shared" si="0"/>
        <v>-33427.152000000002</v>
      </c>
      <c r="N29" s="145" t="str">
        <f>VLOOKUP(C29,'Trips&amp;Operators'!$C$1:$G$99999,5,FALSE)</f>
        <v>HILLS DUSTIN</v>
      </c>
      <c r="O29" s="194" t="s">
        <v>185</v>
      </c>
      <c r="P29" s="146" t="s">
        <v>899</v>
      </c>
      <c r="Q29" s="30"/>
      <c r="R29" s="89" t="str">
        <f>VLOOKUP(C29,'Train Runs'!$A$13:$AE$9940,31,0)</f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S29" s="92" t="str">
        <f>VLOOKUP(C29,'Train Runs'!$A$13:$AE$9940,22,0)</f>
        <v>https://d0f6bd738d7f1b3e5a7ca70fe4ff75f0.us-east-1.aws.found.io/app/kibana#/discover/Steve-Slow-Train-Analysis-(2080s-and-2083s)?_g=(refreshInterval:(display:Off,pause:!f,section:0,value:0),time:(from:'2017-02-24T22:14:33-0700',mode:absolute,to:'2017-02-25T01:09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9" s="94" t="str">
        <f t="shared" si="1"/>
        <v>"C:\Program Files (x86)\AstroGrep\AstroGrep.exe" /spath="%USERPROFILE%\AppData\Local\Temp\OnboardLogs" /stypes="*4010*201702250*" /stext=" 06:.+((SYSTEM_STATE.+slice.+state.+changed )|(ment ac)|(multiple cpu faults)|(system.+state.+changed )|(\[timeout)|(PRM\|1\|D)|(kpr)|(kdp)|(\|lc)|(penalty))" /e /r /s</v>
      </c>
      <c r="U29" s="9" t="str">
        <f t="shared" si="2"/>
        <v>4010</v>
      </c>
      <c r="V29" s="32">
        <f t="shared" si="3"/>
        <v>42791.284895833334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arrival","project_id":79,"tracker_id":40,"status_id":1,"priority_id":2,"assigned_to_id":23,"start_date":"2017-02-24","description":"","custom_fields":[{"id":1,"name":"Subdivision","value":"EC"},{"id":4,"name":"Milepost","value":"6.3309"},{"id":17,"name":"Train ID","value":"236-24"},{"id":16,"name":"Locomotive ID","value":"4010"},{"id":130,"name":"Impact","value":""},{"id":150,"name":"Time of Event (Mountain Time)","value":"23:50:15"},{"id":151,"name":"Denver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"%USERPROFILE%\AppData\Local\Temp\OnboardLogs"\RTDC4010\*4010*201702250*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"%USERPROFILE%\AppData\Local\Temp\OnboardLogs"\RTDC4010\*4010*201702250* &gt;&gt; 2017-02-24-SliceDisagreementCheck.txt</v>
      </c>
      <c r="AE29" s="157" t="str">
        <f t="shared" si="8"/>
        <v>start /low /b %USERPROFILE%\Documents\GitHub\eaglep3\Utilities\DownloadLogsFromS3.py --loco 4010 --day 2017-02-25</v>
      </c>
      <c r="AF29" s="1"/>
    </row>
    <row r="30" spans="1:32" x14ac:dyDescent="0.25">
      <c r="A30" s="32">
        <v>42790.786319444444</v>
      </c>
      <c r="B30" s="30" t="s">
        <v>354</v>
      </c>
      <c r="C30" s="30" t="s">
        <v>469</v>
      </c>
      <c r="D30" s="30" t="s">
        <v>98</v>
      </c>
      <c r="E30" s="30" t="s">
        <v>197</v>
      </c>
      <c r="F30" s="43">
        <v>780</v>
      </c>
      <c r="G30" s="43">
        <v>830</v>
      </c>
      <c r="H30" s="43">
        <v>109051</v>
      </c>
      <c r="I30" s="43">
        <v>112603</v>
      </c>
      <c r="J30" s="30" t="s">
        <v>198</v>
      </c>
      <c r="K30" s="43">
        <v>108954</v>
      </c>
      <c r="L30" s="143" t="s">
        <v>50</v>
      </c>
      <c r="M30" s="144">
        <f t="shared" si="0"/>
        <v>-1926.672</v>
      </c>
      <c r="N30" s="145" t="str">
        <f>VLOOKUP(C30,'Trips&amp;Operators'!$C$1:$G$99999,5,FALSE)</f>
        <v>HILLS DUSTIN</v>
      </c>
      <c r="O30" s="194" t="s">
        <v>185</v>
      </c>
      <c r="P30" s="146" t="s">
        <v>899</v>
      </c>
      <c r="Q30" s="30"/>
      <c r="R30" s="89" t="str">
        <f>VLOOKUP(C30,'Train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30" s="92" t="str">
        <f>VLOOKUP(C30,'Train Runs'!$A$13:$AE$9940,22,0)</f>
        <v>https://d0f6bd738d7f1b3e5a7ca70fe4ff75f0.us-east-1.aws.found.io/app/kibana#/discover/Steve-Slow-Train-Analysis-(2080s-and-2083s)?_g=(refreshInterval:(display:Off,pause:!f,section:0,value:0),time:(from:'2017-02-24T17:25:13-0700',mode:absolute,to:'2017-02-24T20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0" s="94" t="str">
        <f t="shared" si="1"/>
        <v>"C:\Program Files (x86)\AstroGrep\AstroGrep.exe" /spath="%USERPROFILE%\AppData\Local\Temp\OnboardLogs" /stypes="*4009*201702250*" /stext=" 01:.+((SYSTEM_STATE.+slice.+state.+changed )|(ment ac)|(multiple cpu faults)|(system.+state.+changed )|(\[timeout)|(PRM\|1\|D)|(kpr)|(kdp)|(\|lc)|(penalty))" /e /r /s</v>
      </c>
      <c r="U30" s="9" t="str">
        <f t="shared" si="2"/>
        <v>4009</v>
      </c>
      <c r="V30" s="32">
        <f t="shared" si="3"/>
        <v>42791.077986111108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arrival","project_id":79,"tracker_id":40,"status_id":1,"priority_id":2,"assigned_to_id":23,"start_date":"2017-02-24","description":"","custom_fields":[{"id":1,"name":"Subdivision","value":"EC"},{"id":4,"name":"Milepost","value":"10.8954"},{"id":17,"name":"Train ID","value":"219-24"},{"id":16,"name":"Locomotive ID","value":"4009"},{"id":130,"name":"Impact","value":""},{"id":150,"name":"Time of Event (Mountain Time)","value":"18:52:18"},{"id":151,"name":"Denver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"%USERPROFILE%\AppData\Local\Temp\OnboardLogs"\RTDC4009\*4009*201702250*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"%USERPROFILE%\AppData\Local\Temp\OnboardLogs"\RTDC4009\*4009*201702250* &gt;&gt; 2017-02-24-SliceDisagreementCheck.txt</v>
      </c>
      <c r="AE30" s="157" t="str">
        <f t="shared" si="8"/>
        <v>start /low /b %USERPROFILE%\Documents\GitHub\eaglep3\Utilities\DownloadLogsFromS3.py --loco 4009 --day 2017-02-25</v>
      </c>
      <c r="AF30" s="1"/>
    </row>
    <row r="31" spans="1:32" x14ac:dyDescent="0.25">
      <c r="A31" s="32">
        <v>42791.035069444442</v>
      </c>
      <c r="B31" s="30" t="s">
        <v>354</v>
      </c>
      <c r="C31" s="30" t="s">
        <v>480</v>
      </c>
      <c r="D31" s="30" t="s">
        <v>49</v>
      </c>
      <c r="E31" s="30" t="s">
        <v>197</v>
      </c>
      <c r="F31" s="43">
        <v>750</v>
      </c>
      <c r="G31" s="43">
        <v>801</v>
      </c>
      <c r="H31" s="43">
        <v>106964</v>
      </c>
      <c r="I31" s="43">
        <v>0</v>
      </c>
      <c r="J31" s="30" t="s">
        <v>198</v>
      </c>
      <c r="K31" s="43">
        <v>108954</v>
      </c>
      <c r="L31" s="143" t="s">
        <v>50</v>
      </c>
      <c r="M31" s="144">
        <f t="shared" si="0"/>
        <v>57527.712</v>
      </c>
      <c r="N31" s="145" t="str">
        <f>VLOOKUP(C31,'Trips&amp;Operators'!$C$1:$G$99999,5,FALSE)</f>
        <v>HILLS DUSTIN</v>
      </c>
      <c r="O31" s="194" t="s">
        <v>185</v>
      </c>
      <c r="P31" s="146" t="s">
        <v>899</v>
      </c>
      <c r="Q31" s="30"/>
      <c r="R31" s="89" t="str">
        <f>VLOOKUP(C31,'Train Runs'!$A$13:$AE$9940,31,0)</f>
        <v>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 &amp; aws s3 cp s3://rtdc.mdm.uploadarchive.raw/RTDC4009/ "%USERPROFILE%\AppData\Local\Temp\OnboardLogs"\RTDC4009\2017-02-26 --exclude "*" --recursive --include "*20170226*" &amp; "%USERPROFILE%\Documents\GitHub\mrs-test-scripts\Headless Mode &amp; Sideloading\WalkAndUnGZ.bat" "%USERPROFILE%\AppData\Local\Temp\OnboardLogs"\RTDC4009\2017-02-26</v>
      </c>
      <c r="S31" s="92" t="str">
        <f>VLOOKUP(C31,'Train Runs'!$A$13:$AE$9940,22,0)</f>
        <v>https://d0f6bd738d7f1b3e5a7ca70fe4ff75f0.us-east-1.aws.found.io/app/kibana#/discover/Steve-Slow-Train-Analysis-(2080s-and-2083s)?_g=(refreshInterval:(display:Off,pause:!f,section:0,value:0),time:(from:'2017-02-24T23:11:33-0700',mode:absolute,to:'2017-02-25T02:09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1" s="94" t="str">
        <f t="shared" si="1"/>
        <v>"C:\Program Files (x86)\AstroGrep\AstroGrep.exe" /spath="%USERPROFILE%\AppData\Local\Temp\OnboardLogs" /stypes="*4009*201702250*" /stext=" 07:.+((SYSTEM_STATE.+slice.+state.+changed )|(ment ac)|(multiple cpu faults)|(system.+state.+changed )|(\[timeout)|(PRM\|1\|D)|(kpr)|(kdp)|(\|lc)|(penalty))" /e /r /s</v>
      </c>
      <c r="U31" s="9" t="str">
        <f t="shared" si="2"/>
        <v>4009</v>
      </c>
      <c r="V31" s="32">
        <f t="shared" si="3"/>
        <v>42791.326736111107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{"issue":{"subject":"Early arrival","project_id":79,"tracker_id":40,"status_id":1,"priority_id":2,"assigned_to_id":23,"start_date":"2017-02-25","description":"","custom_fields":[{"id":1,"name":"Subdivision","value":"EC"},{"id":4,"name":"Milepost","value":"10.8954"},{"id":17,"name":"Train ID","value":"243-24"},{"id":16,"name":"Locomotive ID","value":"4009"},{"id":130,"name":"Impact","value":""},{"id":150,"name":"Time of Event (Mountain Time)","value":"00:50:30"},{"id":151,"name":"Denver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"%USERPROFILE%\AppData\Local\Temp\OnboardLogs"\RTDC4009\*4009*201702250*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"%USERPROFILE%\AppData\Local\Temp\OnboardLogs"\RTDC4009\*4009*201702250* &gt;&gt; 2017-02-24-SliceDisagreementCheck.txt</v>
      </c>
      <c r="AE31" s="157" t="str">
        <f t="shared" si="8"/>
        <v>start /low /b %USERPROFILE%\Documents\GitHub\eaglep3\Utilities\DownloadLogsFromS3.py --loco 4009 --day 2017-02-25</v>
      </c>
      <c r="AF31" s="1"/>
    </row>
    <row r="32" spans="1:32" x14ac:dyDescent="0.25">
      <c r="A32" s="32">
        <v>42790.313020833331</v>
      </c>
      <c r="B32" s="30" t="s">
        <v>353</v>
      </c>
      <c r="C32" s="30" t="s">
        <v>447</v>
      </c>
      <c r="D32" s="30" t="s">
        <v>98</v>
      </c>
      <c r="E32" s="30" t="s">
        <v>197</v>
      </c>
      <c r="F32" s="43">
        <v>460</v>
      </c>
      <c r="G32" s="43">
        <v>516</v>
      </c>
      <c r="H32" s="43">
        <v>108925</v>
      </c>
      <c r="I32" s="43">
        <v>106707</v>
      </c>
      <c r="J32" s="30" t="s">
        <v>198</v>
      </c>
      <c r="K32" s="43">
        <v>109135</v>
      </c>
      <c r="L32" s="143" t="s">
        <v>51</v>
      </c>
      <c r="M32" s="144">
        <f t="shared" si="0"/>
        <v>-1281.9839999999999</v>
      </c>
      <c r="N32" s="145" t="str">
        <f>VLOOKUP(C32,'Trips&amp;Operators'!$C$1:$G$99999,5,FALSE)</f>
        <v>STARKS ANGELINA</v>
      </c>
      <c r="O32" s="194" t="s">
        <v>185</v>
      </c>
      <c r="P32" s="146" t="s">
        <v>899</v>
      </c>
      <c r="Q32" s="30"/>
      <c r="R32" s="89" t="str">
        <f>VLOOKUP(C32,'Train Runs'!$A$13:$AE$9940,31,0)</f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S32" s="92" t="str">
        <f>VLOOKUP(C32,'Train Runs'!$A$13:$AE$9940,22,0)</f>
        <v>https://d0f6bd738d7f1b3e5a7ca70fe4ff75f0.us-east-1.aws.found.io/app/kibana#/discover/Steve-Slow-Train-Analysis-(2080s-and-2083s)?_g=(refreshInterval:(display:Off,pause:!f,section:0,value:0),time:(from:'2017-02-24T06:08:10-0700',mode:absolute,to:'2017-02-24T08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2" s="94" t="str">
        <f t="shared" si="1"/>
        <v>"C:\Program Files (x86)\AstroGrep\AstroGrep.exe" /spath="%USERPROFILE%\AppData\Local\Temp\OnboardLogs" /stypes="*4010*201702241*" /stext=" 14:.+((SYSTEM_STATE.+slice.+state.+changed )|(ment ac)|(multiple cpu faults)|(system.+state.+changed )|(\[timeout)|(PRM\|1\|D)|(kpr)|(kdp)|(\|lc)|(penalty))" /e /r /s</v>
      </c>
      <c r="U32" s="9" t="str">
        <f t="shared" si="2"/>
        <v>4010</v>
      </c>
      <c r="V32" s="32">
        <f t="shared" si="3"/>
        <v>42790.604687499996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arrival","project_id":79,"tracker_id":40,"status_id":1,"priority_id":2,"assigned_to_id":23,"start_date":"2017-02-24","description":"","custom_fields":[{"id":1,"name":"Subdivision","value":"EC"},{"id":4,"name":"Milepost","value":"10.9135"},{"id":17,"name":"Train ID","value":"122-24"},{"id":16,"name":"Locomotive ID","value":"4010"},{"id":130,"name":"Impact","value":""},{"id":150,"name":"Time of Event (Mountain Time)","value":"07:30:45"},{"id":151,"name":"Denver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"%USERPROFILE%\AppData\Local\Temp\OnboardLogs"\RTDC4010\*4010*201702241*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"%USERPROFILE%\AppData\Local\Temp\OnboardLogs"\RTDC4010\*4010*201702241* &gt;&gt; 2017-02-24-SliceDisagreementCheck.txt</v>
      </c>
      <c r="AE32" s="157" t="str">
        <f t="shared" si="8"/>
        <v>start /low /b %USERPROFILE%\Documents\GitHub\eaglep3\Utilities\DownloadLogsFromS3.py --loco 4010 --day 2017-02-24</v>
      </c>
      <c r="AF32" s="1"/>
    </row>
    <row r="33" spans="1:32" x14ac:dyDescent="0.25">
      <c r="A33" s="32">
        <v>42790.416388888887</v>
      </c>
      <c r="B33" s="30" t="s">
        <v>433</v>
      </c>
      <c r="C33" s="30" t="s">
        <v>453</v>
      </c>
      <c r="D33" s="30" t="s">
        <v>49</v>
      </c>
      <c r="E33" s="30" t="s">
        <v>197</v>
      </c>
      <c r="F33" s="43">
        <v>0</v>
      </c>
      <c r="G33" s="43">
        <v>374</v>
      </c>
      <c r="H33" s="43">
        <v>109427</v>
      </c>
      <c r="I33" s="43">
        <v>108443</v>
      </c>
      <c r="J33" s="30" t="s">
        <v>198</v>
      </c>
      <c r="K33" s="43">
        <v>109135</v>
      </c>
      <c r="L33" s="143" t="s">
        <v>51</v>
      </c>
      <c r="M33" s="144">
        <f t="shared" si="0"/>
        <v>-365.37599999999998</v>
      </c>
      <c r="N33" s="145" t="str">
        <f>VLOOKUP(C33,'Trips&amp;Operators'!$C$1:$G$99999,5,FALSE)</f>
        <v>BADERTSCHER DIANE</v>
      </c>
      <c r="O33" s="194" t="s">
        <v>185</v>
      </c>
      <c r="P33" s="146" t="s">
        <v>899</v>
      </c>
      <c r="Q33" s="30"/>
      <c r="R33" s="89" t="str">
        <f>VLOOKUP(C33,'Train Runs'!$A$13:$AE$9940,31,0)</f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S33" s="92" t="str">
        <f>VLOOKUP(C33,'Train Runs'!$A$13:$AE$9940,22,0)</f>
        <v>https://d0f6bd738d7f1b3e5a7ca70fe4ff75f0.us-east-1.aws.found.io/app/kibana#/discover/Steve-Slow-Train-Analysis-(2080s-and-2083s)?_g=(refreshInterval:(display:Off,pause:!f,section:0,value:0),time:(from:'2017-02-24T08:34:09-0700',mode:absolute,to:'2017-02-24T11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3" s="94" t="str">
        <f t="shared" si="1"/>
        <v>"C:\Program Files (x86)\AstroGrep\AstroGrep.exe" /spath="%USERPROFILE%\AppData\Local\Temp\OnboardLogs" /stypes="*4052*201702241*" /stext=" 16:.+((SYSTEM_STATE.+slice.+state.+changed )|(ment ac)|(multiple cpu faults)|(system.+state.+changed )|(\[timeout)|(PRM\|1\|D)|(kpr)|(kdp)|(\|lc)|(penalty))" /e /r /s</v>
      </c>
      <c r="U33" s="9" t="str">
        <f t="shared" si="2"/>
        <v>4052</v>
      </c>
      <c r="V33" s="32">
        <f t="shared" si="3"/>
        <v>42790.708055555551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arrival","project_id":79,"tracker_id":40,"status_id":1,"priority_id":2,"assigned_to_id":23,"start_date":"2017-02-24","description":"","custom_fields":[{"id":1,"name":"Subdivision","value":"EC"},{"id":4,"name":"Milepost","value":"10.9135"},{"id":17,"name":"Train ID","value":"142-24"},{"id":16,"name":"Locomotive ID","value":"4052"},{"id":130,"name":"Impact","value":""},{"id":150,"name":"Time of Event (Mountain Time)","value":"09:59:36"},{"id":151,"name":"Denver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"%USERPROFILE%\AppData\Local\Temp\OnboardLogs"\RTDC4052\*4052*201702241*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"%USERPROFILE%\AppData\Local\Temp\OnboardLogs"\RTDC4052\*4052*201702241* &gt;&gt; 2017-02-24-SliceDisagreementCheck.txt</v>
      </c>
      <c r="AE33" s="157" t="str">
        <f t="shared" si="8"/>
        <v>start /low /b %USERPROFILE%\Documents\GitHub\eaglep3\Utilities\DownloadLogsFromS3.py --loco 4052 --day 2017-02-24</v>
      </c>
      <c r="AF33" s="1"/>
    </row>
    <row r="34" spans="1:32" x14ac:dyDescent="0.25">
      <c r="A34" s="32">
        <v>42790.657905092594</v>
      </c>
      <c r="B34" s="30" t="s">
        <v>233</v>
      </c>
      <c r="C34" s="30" t="s">
        <v>462</v>
      </c>
      <c r="D34" s="30" t="s">
        <v>49</v>
      </c>
      <c r="E34" s="30" t="s">
        <v>197</v>
      </c>
      <c r="F34" s="43">
        <v>360</v>
      </c>
      <c r="G34" s="43">
        <v>433</v>
      </c>
      <c r="H34" s="43">
        <v>109693</v>
      </c>
      <c r="I34" s="43">
        <v>108782</v>
      </c>
      <c r="J34" s="30" t="s">
        <v>198</v>
      </c>
      <c r="K34" s="43">
        <v>109135</v>
      </c>
      <c r="L34" s="143" t="s">
        <v>51</v>
      </c>
      <c r="M34" s="144">
        <f t="shared" si="0"/>
        <v>-186.38399999999999</v>
      </c>
      <c r="N34" s="145" t="str">
        <f>VLOOKUP(C34,'Trips&amp;Operators'!$C$1:$G$99999,5,FALSE)</f>
        <v>BRANDNER MELINDA</v>
      </c>
      <c r="O34" s="194" t="s">
        <v>185</v>
      </c>
      <c r="P34" s="146" t="s">
        <v>899</v>
      </c>
      <c r="Q34" s="30"/>
      <c r="R34" s="89" t="str">
        <f>VLOOKUP(C34,'Train Runs'!$A$13:$AE$9940,31,0)</f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S34" s="92" t="str">
        <f>VLOOKUP(C34,'Train Runs'!$A$13:$AE$9940,22,0)</f>
        <v>https://d0f6bd738d7f1b3e5a7ca70fe4ff75f0.us-east-1.aws.found.io/app/kibana#/discover/Steve-Slow-Train-Analysis-(2080s-and-2083s)?_g=(refreshInterval:(display:Off,pause:!f,section:0,value:0),time:(from:'2017-02-24T14:18:48-0700',mode:absolute,to:'2017-02-24T17:11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4" s="94" t="str">
        <f t="shared" si="1"/>
        <v>"C:\Program Files (x86)\AstroGrep\AstroGrep.exe" /spath="%USERPROFILE%\AppData\Local\Temp\OnboardLogs" /stypes="*4043*201702242*" /stext=" 22:.+((SYSTEM_STATE.+slice.+state.+changed )|(ment ac)|(multiple cpu faults)|(system.+state.+changed )|(\[timeout)|(PRM\|1\|D)|(kpr)|(kdp)|(\|lc)|(penalty))" /e /r /s</v>
      </c>
      <c r="U34" s="9" t="str">
        <f t="shared" si="2"/>
        <v>4043</v>
      </c>
      <c r="V34" s="32">
        <f t="shared" si="3"/>
        <v>42790.949571759258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arrival","project_id":79,"tracker_id":40,"status_id":1,"priority_id":2,"assigned_to_id":23,"start_date":"2017-02-24","description":"","custom_fields":[{"id":1,"name":"Subdivision","value":"EC"},{"id":4,"name":"Milepost","value":"10.9135"},{"id":17,"name":"Train ID","value":"188-24"},{"id":16,"name":"Locomotive ID","value":"4043"},{"id":130,"name":"Impact","value":""},{"id":150,"name":"Time of Event (Mountain Time)","value":"15:47:23"},{"id":151,"name":"Denver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"%USERPROFILE%\AppData\Local\Temp\OnboardLogs"\RTDC4043\*4043*201702242*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"%USERPROFILE%\AppData\Local\Temp\OnboardLogs"\RTDC4043\*4043*201702242* &gt;&gt; 2017-02-24-SliceDisagreementCheck.txt</v>
      </c>
      <c r="AE34" s="157" t="str">
        <f t="shared" si="8"/>
        <v>start /low /b %USERPROFILE%\Documents\GitHub\eaglep3\Utilities\DownloadLogsFromS3.py --loco 4043 --day 2017-02-24</v>
      </c>
      <c r="AF34" s="1"/>
    </row>
    <row r="35" spans="1:32" x14ac:dyDescent="0.25">
      <c r="A35" s="32">
        <v>42790.708229166667</v>
      </c>
      <c r="B35" s="30" t="s">
        <v>433</v>
      </c>
      <c r="C35" s="30" t="s">
        <v>465</v>
      </c>
      <c r="D35" s="30" t="s">
        <v>49</v>
      </c>
      <c r="E35" s="30" t="s">
        <v>197</v>
      </c>
      <c r="F35" s="43">
        <v>410</v>
      </c>
      <c r="G35" s="43">
        <v>462</v>
      </c>
      <c r="H35" s="43">
        <v>110183</v>
      </c>
      <c r="I35" s="43">
        <v>108846</v>
      </c>
      <c r="J35" s="30" t="s">
        <v>198</v>
      </c>
      <c r="K35" s="43">
        <v>109135</v>
      </c>
      <c r="L35" s="143" t="s">
        <v>51</v>
      </c>
      <c r="M35" s="144">
        <f t="shared" si="0"/>
        <v>-152.59200000000001</v>
      </c>
      <c r="N35" s="145" t="str">
        <f>VLOOKUP(C35,'Trips&amp;Operators'!$C$1:$G$99999,5,FALSE)</f>
        <v>KILLION DAVID</v>
      </c>
      <c r="O35" s="194" t="s">
        <v>185</v>
      </c>
      <c r="P35" s="146" t="s">
        <v>899</v>
      </c>
      <c r="Q35" s="30"/>
      <c r="R35" s="89" t="str">
        <f>VLOOKUP(C35,'Train Runs'!$A$13:$AE$9940,31,0)</f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S35" s="92" t="str">
        <f>VLOOKUP(C35,'Train Runs'!$A$13:$AE$9940,22,0)</f>
        <v>https://d0f6bd738d7f1b3e5a7ca70fe4ff75f0.us-east-1.aws.found.io/app/kibana#/discover/Steve-Slow-Train-Analysis-(2080s-and-2083s)?_g=(refreshInterval:(display:Off,pause:!f,section:0,value:0),time:(from:'2017-02-24T15:34:05-0700',mode:absolute,to:'2017-02-24T18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5" s="94" t="str">
        <f t="shared" si="1"/>
        <v>"C:\Program Files (x86)\AstroGrep\AstroGrep.exe" /spath="%USERPROFILE%\AppData\Local\Temp\OnboardLogs" /stypes="*4052*201702242*" /stext=" 23:.+((SYSTEM_STATE.+slice.+state.+changed )|(ment ac)|(multiple cpu faults)|(system.+state.+changed )|(\[timeout)|(PRM\|1\|D)|(kpr)|(kdp)|(\|lc)|(penalty))" /e /r /s</v>
      </c>
      <c r="U35" s="9" t="str">
        <f t="shared" si="2"/>
        <v>4052</v>
      </c>
      <c r="V35" s="32">
        <f t="shared" si="3"/>
        <v>42790.999895833331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arrival","project_id":79,"tracker_id":40,"status_id":1,"priority_id":2,"assigned_to_id":23,"start_date":"2017-02-24","description":"","custom_fields":[{"id":1,"name":"Subdivision","value":"EC"},{"id":4,"name":"Milepost","value":"10.9135"},{"id":17,"name":"Train ID","value":"198-24"},{"id":16,"name":"Locomotive ID","value":"4052"},{"id":130,"name":"Impact","value":""},{"id":150,"name":"Time of Event (Mountain Time)","value":"16:59:51"},{"id":151,"name":"Denver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"%USERPROFILE%\AppData\Local\Temp\OnboardLogs"\RTDC4052\*4052*201702242*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"%USERPROFILE%\AppData\Local\Temp\OnboardLogs"\RTDC4052\*4052*201702242* &gt;&gt; 2017-02-24-SliceDisagreementCheck.txt</v>
      </c>
      <c r="AE35" s="157" t="str">
        <f t="shared" si="8"/>
        <v>start /low /b %USERPROFILE%\Documents\GitHub\eaglep3\Utilities\DownloadLogsFromS3.py --loco 4052 --day 2017-02-24</v>
      </c>
      <c r="AF35" s="1"/>
    </row>
    <row r="36" spans="1:32" x14ac:dyDescent="0.25">
      <c r="A36" s="32">
        <v>42790.770937499998</v>
      </c>
      <c r="B36" s="30" t="s">
        <v>210</v>
      </c>
      <c r="C36" s="30" t="s">
        <v>468</v>
      </c>
      <c r="D36" s="30" t="s">
        <v>49</v>
      </c>
      <c r="E36" s="30" t="s">
        <v>197</v>
      </c>
      <c r="F36" s="43">
        <v>350</v>
      </c>
      <c r="G36" s="43">
        <v>415</v>
      </c>
      <c r="H36" s="43">
        <v>110049</v>
      </c>
      <c r="I36" s="43">
        <v>108690</v>
      </c>
      <c r="J36" s="30" t="s">
        <v>198</v>
      </c>
      <c r="K36" s="43">
        <v>109135</v>
      </c>
      <c r="L36" s="143" t="s">
        <v>51</v>
      </c>
      <c r="M36" s="144">
        <f t="shared" si="0"/>
        <v>-234.96</v>
      </c>
      <c r="N36" s="145" t="str">
        <f>VLOOKUP(C36,'Trips&amp;Operators'!$C$1:$G$99999,5,FALSE)</f>
        <v>HELVIE ADAM</v>
      </c>
      <c r="O36" s="194" t="s">
        <v>185</v>
      </c>
      <c r="P36" s="146" t="s">
        <v>899</v>
      </c>
      <c r="Q36" s="30"/>
      <c r="R36" s="89" t="str">
        <f>VLOOKUP(C36,'Train Runs'!$A$13:$AE$9940,31,0)</f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S36" s="92" t="str">
        <f>VLOOKUP(C36,'Train Runs'!$A$13:$AE$9940,22,0)</f>
        <v>https://d0f6bd738d7f1b3e5a7ca70fe4ff75f0.us-east-1.aws.found.io/app/kibana#/discover/Steve-Slow-Train-Analysis-(2080s-and-2083s)?_g=(refreshInterval:(display:Off,pause:!f,section:0,value:0),time:(from:'2017-02-24T17:06:55-0700',mode:absolute,to:'2017-02-24T19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6" s="94" t="str">
        <f t="shared" si="1"/>
        <v>"C:\Program Files (x86)\AstroGrep\AstroGrep.exe" /spath="%USERPROFILE%\AppData\Local\Temp\OnboardLogs" /stypes="*4026*201702250*" /stext=" 01:.+((SYSTEM_STATE.+slice.+state.+changed )|(ment ac)|(multiple cpu faults)|(system.+state.+changed )|(\[timeout)|(PRM\|1\|D)|(kpr)|(kdp)|(\|lc)|(penalty))" /e /r /s</v>
      </c>
      <c r="U36" s="9" t="str">
        <f t="shared" si="2"/>
        <v>4026</v>
      </c>
      <c r="V36" s="32">
        <f t="shared" si="3"/>
        <v>42791.062604166662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arrival","project_id":79,"tracker_id":40,"status_id":1,"priority_id":2,"assigned_to_id":23,"start_date":"2017-02-24","description":"","custom_fields":[{"id":1,"name":"Subdivision","value":"EC"},{"id":4,"name":"Milepost","value":"10.9135"},{"id":17,"name":"Train ID","value":"210-24"},{"id":16,"name":"Locomotive ID","value":"4026"},{"id":130,"name":"Impact","value":""},{"id":150,"name":"Time of Event (Mountain Time)","value":"18:30:09"},{"id":151,"name":"Denver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"%USERPROFILE%\AppData\Local\Temp\OnboardLogs"\RTDC4026\*4026*201702250*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"%USERPROFILE%\AppData\Local\Temp\OnboardLogs"\RTDC4026\*4026*201702250* &gt;&gt; 2017-02-24-SliceDisagreementCheck.txt</v>
      </c>
      <c r="AE36" s="157" t="str">
        <f t="shared" si="8"/>
        <v>start /low /b %USERPROFILE%\Documents\GitHub\eaglep3\Utilities\DownloadLogsFromS3.py --loco 4026 --day 2017-02-25</v>
      </c>
      <c r="AF36" s="1"/>
    </row>
    <row r="37" spans="1:32" x14ac:dyDescent="0.25">
      <c r="A37" s="32">
        <v>42790.863738425927</v>
      </c>
      <c r="B37" s="30" t="s">
        <v>307</v>
      </c>
      <c r="C37" s="30" t="s">
        <v>477</v>
      </c>
      <c r="D37" s="30" t="s">
        <v>98</v>
      </c>
      <c r="E37" s="30" t="s">
        <v>197</v>
      </c>
      <c r="F37" s="43">
        <v>380</v>
      </c>
      <c r="G37" s="43">
        <v>438</v>
      </c>
      <c r="H37" s="43">
        <v>108971</v>
      </c>
      <c r="I37" s="43">
        <v>106797</v>
      </c>
      <c r="J37" s="30" t="s">
        <v>198</v>
      </c>
      <c r="K37" s="43">
        <v>109135</v>
      </c>
      <c r="L37" s="143" t="s">
        <v>51</v>
      </c>
      <c r="M37" s="144">
        <f t="shared" si="0"/>
        <v>-1234.4639999999999</v>
      </c>
      <c r="N37" s="145" t="str">
        <f>VLOOKUP(C37,'Trips&amp;Operators'!$C$1:$G$99999,5,FALSE)</f>
        <v>MACDONALD THOMAS</v>
      </c>
      <c r="O37" s="194" t="s">
        <v>185</v>
      </c>
      <c r="P37" s="146" t="s">
        <v>899</v>
      </c>
      <c r="Q37" s="30"/>
      <c r="R37" s="89" t="str">
        <f>VLOOKUP(C37,'Train Runs'!$A$13:$AE$9940,31,0)</f>
        <v>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 &amp; aws s3 cp s3://rtdc.mdm.uploadarchive.raw/RTDC4032/ "%USERPROFILE%\AppData\Local\Temp\OnboardLogs"\RTDC4032\2017-02-25 --exclude "*" --recursive --include "*20170225*" &amp; "%USERPROFILE%\Documents\GitHub\mrs-test-scripts\Headless Mode &amp; Sideloading\WalkAndUnGZ.bat" "%USERPROFILE%\AppData\Local\Temp\OnboardLogs"\RTDC4032\2017-02-25</v>
      </c>
      <c r="S37" s="92" t="str">
        <f>VLOOKUP(C37,'Train Runs'!$A$13:$AE$9940,22,0)</f>
        <v>https://d0f6bd738d7f1b3e5a7ca70fe4ff75f0.us-east-1.aws.found.io/app/kibana#/discover/Steve-Slow-Train-Analysis-(2080s-and-2083s)?_g=(refreshInterval:(display:Off,pause:!f,section:0,value:0),time:(from:'2017-02-24T19:22:17-0700',mode:absolute,to:'2017-02-24T22:07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7" s="94" t="str">
        <f t="shared" si="1"/>
        <v>"C:\Program Files (x86)\AstroGrep\AstroGrep.exe" /spath="%USERPROFILE%\AppData\Local\Temp\OnboardLogs" /stypes="*4032*201702250*" /stext=" 03:.+((SYSTEM_STATE.+slice.+state.+changed )|(ment ac)|(multiple cpu faults)|(system.+state.+changed )|(\[timeout)|(PRM\|1\|D)|(kpr)|(kdp)|(\|lc)|(penalty))" /e /r /s</v>
      </c>
      <c r="U37" s="9" t="str">
        <f t="shared" si="2"/>
        <v>4032</v>
      </c>
      <c r="V37" s="32">
        <f t="shared" si="3"/>
        <v>42791.155405092592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{"issue":{"subject":"Early arrival","project_id":79,"tracker_id":40,"status_id":1,"priority_id":2,"assigned_to_id":23,"start_date":"2017-02-24","description":"","custom_fields":[{"id":1,"name":"Subdivision","value":"EC"},{"id":4,"name":"Milepost","value":"10.9135"},{"id":17,"name":"Train ID","value":"224-24"},{"id":16,"name":"Locomotive ID","value":"4032"},{"id":130,"name":"Impact","value":""},{"id":150,"name":"Time of Event (Mountain Time)","value":"20:43:47"},{"id":151,"name":"Denver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"%USERPROFILE%\AppData\Local\Temp\OnboardLogs"\RTDC4032\*4032*201702250*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"%USERPROFILE%\AppData\Local\Temp\OnboardLogs"\RTDC4032\*4032*201702250* &gt;&gt; 2017-02-24-SliceDisagreementCheck.txt</v>
      </c>
      <c r="AE37" s="157" t="str">
        <f t="shared" si="8"/>
        <v>start /low /b %USERPROFILE%\Documents\GitHub\eaglep3\Utilities\DownloadLogsFromS3.py --loco 4032 --day 2017-02-25</v>
      </c>
      <c r="AF37" s="1"/>
    </row>
    <row r="38" spans="1:32" x14ac:dyDescent="0.25">
      <c r="A38" s="32">
        <v>42790.179606481484</v>
      </c>
      <c r="B38" s="30" t="s">
        <v>441</v>
      </c>
      <c r="C38" s="30" t="s">
        <v>442</v>
      </c>
      <c r="D38" s="30" t="s">
        <v>49</v>
      </c>
      <c r="E38" s="30" t="s">
        <v>276</v>
      </c>
      <c r="F38" s="43">
        <v>400</v>
      </c>
      <c r="G38" s="43">
        <v>594</v>
      </c>
      <c r="H38" s="43">
        <v>14075</v>
      </c>
      <c r="I38" s="43">
        <v>17498</v>
      </c>
      <c r="J38" s="30" t="s">
        <v>277</v>
      </c>
      <c r="K38" s="43">
        <v>17867</v>
      </c>
      <c r="L38" s="143" t="s">
        <v>50</v>
      </c>
      <c r="M38" s="144">
        <f t="shared" si="0"/>
        <v>194.83199999999999</v>
      </c>
      <c r="N38" s="145" t="str">
        <f>VLOOKUP(C38,'Trips&amp;Operators'!$C$1:$G$99999,5,FALSE)</f>
        <v>ROBINSON KADDIBA</v>
      </c>
      <c r="O38" s="194" t="s">
        <v>185</v>
      </c>
      <c r="P38" s="146"/>
      <c r="Q38" s="30"/>
      <c r="R38" s="89" t="str">
        <f>VLOOKUP(C38,'Train Runs'!$A$13:$AE$9940,31,0)</f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S38" s="92" t="str">
        <f>VLOOKUP(C38,'Train Runs'!$A$13:$AE$9940,22,0)</f>
        <v>https://d0f6bd738d7f1b3e5a7ca70fe4ff75f0.us-east-1.aws.found.io/app/kibana#/discover/Steve-Slow-Train-Analysis-(2080s-and-2083s)?_g=(refreshInterval:(display:Off,pause:!f,section:0,value:0),time:(from:'2017-02-24T03:01:00-0700',mode:absolute,to:'2017-02-24T05:53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8" s="94" t="str">
        <f t="shared" si="1"/>
        <v>"C:\Program Files (x86)\AstroGrep\AstroGrep.exe" /spath="%USERPROFILE%\AppData\Local\Temp\OnboardLogs" /stypes="*4022*201702241*" /stext=" 11:.+((SYSTEM_STATE.+slice.+state.+changed )|(ment ac)|(multiple cpu faults)|(system.+state.+changed )|(\[timeout)|(PRM\|1\|D)|(kpr)|(kdp)|(\|lc)|(penalty))" /e /r /s</v>
      </c>
      <c r="U38" s="9" t="str">
        <f t="shared" si="2"/>
        <v>4022</v>
      </c>
      <c r="V38" s="32">
        <f t="shared" si="3"/>
        <v>42790.471273148149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{"issue":{"subject":"","project_id":79,"tracker_id":40,"status_id":1,"priority_id":2,"assigned_to_id":23,"start_date":"2017-02-24","description":"","custom_fields":[{"id":1,"name":"Subdivision","value":"EC"},{"id":4,"name":"Milepost","value":"1.7867"},{"id":17,"name":"Train ID","value":"105-24"},{"id":16,"name":"Locomotive ID","value":"4022"},{"id":130,"name":"Impact","value":""},{"id":150,"name":"Time of Event (Mountain Time)","value":"04:18:38"},{"id":151,"name":"Denver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"%USERPROFILE%\AppData\Local\Temp\OnboardLogs"\RTDC4022\*4022*201702241*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"%USERPROFILE%\AppData\Local\Temp\OnboardLogs"\RTDC4022\*4022*201702241* &gt;&gt; 2017-02-24-SliceDisagreementCheck.txt</v>
      </c>
      <c r="AE38" s="157" t="str">
        <f t="shared" si="8"/>
        <v>start /low /b %USERPROFILE%\Documents\GitHub\eaglep3\Utilities\DownloadLogsFromS3.py --loco 4022 --day 2017-02-24</v>
      </c>
      <c r="AF38" s="1"/>
    </row>
    <row r="39" spans="1:32" x14ac:dyDescent="0.25">
      <c r="A39" s="32">
        <v>42790.304537037038</v>
      </c>
      <c r="B39" s="30" t="s">
        <v>306</v>
      </c>
      <c r="C39" s="30" t="s">
        <v>446</v>
      </c>
      <c r="D39" s="30" t="s">
        <v>49</v>
      </c>
      <c r="E39" s="30" t="s">
        <v>276</v>
      </c>
      <c r="F39" s="43">
        <v>400</v>
      </c>
      <c r="G39" s="43">
        <v>639</v>
      </c>
      <c r="H39" s="43">
        <v>13807</v>
      </c>
      <c r="I39" s="43">
        <v>17570</v>
      </c>
      <c r="J39" s="30" t="s">
        <v>277</v>
      </c>
      <c r="K39" s="43">
        <v>17867</v>
      </c>
      <c r="L39" s="143" t="s">
        <v>50</v>
      </c>
      <c r="M39" s="144">
        <f t="shared" ref="M39:M65" si="9">CONVERT((I39-K39)/10000,"mi","ft")*IF(L39="Increasing Mileposts (1)",-1,1)</f>
        <v>156.816</v>
      </c>
      <c r="N39" s="145" t="str">
        <f>VLOOKUP(C39,'Trips&amp;Operators'!$C$1:$G$99999,5,FALSE)</f>
        <v>ROCHA YAOTL</v>
      </c>
      <c r="O39" s="194" t="s">
        <v>185</v>
      </c>
      <c r="P39" s="146"/>
      <c r="Q39" s="30"/>
      <c r="R39" s="89" t="str">
        <f>VLOOKUP(C39,'Train Runs'!$A$13:$AE$9940,31,0)</f>
        <v>aws s3 cp s3://rtdc.mdm.uploadarchive.raw/RTDC4031/ "%USERPROFILE%\AppData\Local\Temp\OnboardLogs"\RTDC4031\2017-02-24 --exclude "*" --recursive --include "*20170224*" &amp; "%USERPROFILE%\Documents\GitHub\mrs-test-scripts\Headless Mode &amp; Sideloading\WalkAndUnGZ.bat" "%USERPROFILE%\AppData\Local\Temp\OnboardLogs"\RTDC4031\2017-02-24 &amp; aws s3 cp s3://rtdc.mdm.uploadarchive.raw/RTDC4031/ "%USERPROFILE%\AppData\Local\Temp\OnboardLogs"\RTDC4031\2017-02-25 --exclude "*" --recursive --include "*20170225*" &amp; "%USERPROFILE%\Documents\GitHub\mrs-test-scripts\Headless Mode &amp; Sideloading\WalkAndUnGZ.bat" "%USERPROFILE%\AppData\Local\Temp\OnboardLogs"\RTDC4031\2017-02-25</v>
      </c>
      <c r="S39" s="92" t="str">
        <f>VLOOKUP(C39,'Train Runs'!$A$13:$AE$9940,22,0)</f>
        <v>https://d0f6bd738d7f1b3e5a7ca70fe4ff75f0.us-east-1.aws.found.io/app/kibana#/discover/Steve-Slow-Train-Analysis-(2080s-and-2083s)?_g=(refreshInterval:(display:Off,pause:!f,section:0,value:0),time:(from:'2017-02-24T06:11:24-0700',mode:absolute,to:'2017-02-24T08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9" s="94" t="str">
        <f t="shared" ref="T39:T65" si="10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/stypes="*4031*201702241*" /stext=" 14:.+((SYSTEM_STATE.+slice.+state.+changed )|(ment ac)|(multiple cpu faults)|(system.+state.+changed )|(\[timeout)|(PRM\|1\|D)|(kpr)|(kdp)|(\|lc)|(penalty))" /e /r /s</v>
      </c>
      <c r="U39" s="9" t="str">
        <f t="shared" ref="U39:U65" si="11">MID(B39,13,4)</f>
        <v>4031</v>
      </c>
      <c r="V39" s="32">
        <f t="shared" ref="V39:V65" si="12">A39-utc_offset/24</f>
        <v>42790.596203703702</v>
      </c>
      <c r="W39" s="46" t="str">
        <f t="shared" ref="W39:W65" si="13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65" si="14">IF(AND(E39="TRACK WARRANT AUTHORITY",G39&lt;10),"OMIT","KEEP")</f>
        <v>KEEP</v>
      </c>
      <c r="Y39" s="108" t="str">
        <f t="shared" ref="Y39:Y65" si="15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{"issue":{"subject":"","project_id":79,"tracker_id":40,"status_id":1,"priority_id":2,"assigned_to_id":23,"start_date":"2017-02-24","description":"","custom_fields":[{"id":1,"name":"Subdivision","value":"EC"},{"id":4,"name":"Milepost","value":"1.7867"},{"id":17,"name":"Train ID","value":"129-24"},{"id":16,"name":"Locomotive ID","value":"4031"},{"id":130,"name":"Impact","value":""},{"id":150,"name":"Time of Event (Mountain Time)","value":"07:18:32"},{"id":151,"name":"Denver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65" si="16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"%USERPROFILE%\AppData\Local\Temp\OnboardLogs"\RTDC4031\*4031*201702241*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"%USERPROFILE%\AppData\Local\Temp\OnboardLogs"\RTDC4031\*4031*201702241* &gt;&gt; 2017-02-24-SliceDisagreementCheck.txt</v>
      </c>
      <c r="AE39" s="157" t="str">
        <f t="shared" ref="AE39:AE65" si="17">"start /low /b "&amp;dls3logs&amp;" --loco "&amp;U39&amp;" --day "&amp;TEXT(V39,"YYYY-MM-DD")</f>
        <v>start /low /b %USERPROFILE%\Documents\GitHub\eaglep3\Utilities\DownloadLogsFromS3.py --loco 4031 --day 2017-02-24</v>
      </c>
      <c r="AF39" s="1"/>
    </row>
    <row r="40" spans="1:32" x14ac:dyDescent="0.25">
      <c r="A40" s="32">
        <v>42790.421712962961</v>
      </c>
      <c r="B40" s="30" t="s">
        <v>354</v>
      </c>
      <c r="C40" s="30" t="s">
        <v>452</v>
      </c>
      <c r="D40" s="30" t="s">
        <v>49</v>
      </c>
      <c r="E40" s="30" t="s">
        <v>276</v>
      </c>
      <c r="F40" s="43">
        <v>400</v>
      </c>
      <c r="G40" s="43">
        <v>709</v>
      </c>
      <c r="H40" s="43">
        <v>112945</v>
      </c>
      <c r="I40" s="43">
        <v>115623</v>
      </c>
      <c r="J40" s="30" t="s">
        <v>277</v>
      </c>
      <c r="K40" s="43">
        <v>116838</v>
      </c>
      <c r="L40" s="143" t="s">
        <v>50</v>
      </c>
      <c r="M40" s="144">
        <f t="shared" si="9"/>
        <v>641.52</v>
      </c>
      <c r="N40" s="145" t="str">
        <f>VLOOKUP(C40,'Trips&amp;Operators'!$C$1:$G$99999,5,FALSE)</f>
        <v>STARKS ANGELINA</v>
      </c>
      <c r="O40" s="194" t="s">
        <v>185</v>
      </c>
      <c r="P40" s="146"/>
      <c r="Q40" s="30"/>
      <c r="R40" s="89" t="str">
        <f>VLOOKUP(C40,'Train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40" s="92" t="str">
        <f>VLOOKUP(C40,'Train Runs'!$A$13:$AE$9940,22,0)</f>
        <v>https://d0f6bd738d7f1b3e5a7ca70fe4ff75f0.us-east-1.aws.found.io/app/kibana#/discover/Steve-Slow-Train-Analysis-(2080s-and-2083s)?_g=(refreshInterval:(display:Off,pause:!f,section:0,value:0),time:(from:'2017-02-24T08:41:06-0700',mode:absolute,to:'2017-02-24T11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0" s="94" t="str">
        <f t="shared" si="10"/>
        <v>"C:\Program Files (x86)\AstroGrep\AstroGrep.exe" /spath="%USERPROFILE%\AppData\Local\Temp\OnboardLogs" /stypes="*4009*201702241*" /stext=" 17:.+((SYSTEM_STATE.+slice.+state.+changed )|(ment ac)|(multiple cpu faults)|(system.+state.+changed )|(\[timeout)|(PRM\|1\|D)|(kpr)|(kdp)|(\|lc)|(penalty))" /e /r /s</v>
      </c>
      <c r="U40" s="9" t="str">
        <f t="shared" si="11"/>
        <v>4009</v>
      </c>
      <c r="V40" s="32">
        <f t="shared" si="12"/>
        <v>42790.713379629626</v>
      </c>
      <c r="W40" s="46" t="str">
        <f t="shared" si="13"/>
        <v>EC</v>
      </c>
      <c r="X40" s="46" t="str">
        <f t="shared" si="14"/>
        <v>KEEP</v>
      </c>
      <c r="Y40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{"issue":{"subject":"","project_id":79,"tracker_id":40,"status_id":1,"priority_id":2,"assigned_to_id":23,"start_date":"2017-02-24","description":"","custom_fields":[{"id":1,"name":"Subdivision","value":"EC"},{"id":4,"name":"Milepost","value":"11.6838"},{"id":17,"name":"Train ID","value":"149-24"},{"id":16,"name":"Locomotive ID","value":"4009"},{"id":130,"name":"Impact","value":""},{"id":150,"name":"Time of Event (Mountain Time)","value":"10:07:16"},{"id":151,"name":"Denver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6"/>
        <v>grep -hSE -A400 "Enforcement Action" "%USERPROFILE%\AppData\Local\Temp\OnboardLogs"\RTDC4009\*4009*201702241*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"%USERPROFILE%\AppData\Local\Temp\OnboardLogs"\RTDC4009\*4009*201702241* &gt;&gt; 2017-02-24-SliceDisagreementCheck.txt</v>
      </c>
      <c r="AE40" s="157" t="str">
        <f t="shared" si="17"/>
        <v>start /low /b %USERPROFILE%\Documents\GitHub\eaglep3\Utilities\DownloadLogsFromS3.py --loco 4009 --day 2017-02-24</v>
      </c>
      <c r="AF40" s="1"/>
    </row>
    <row r="41" spans="1:32" x14ac:dyDescent="0.25">
      <c r="A41" s="32">
        <v>42790.373912037037</v>
      </c>
      <c r="B41" s="30" t="s">
        <v>353</v>
      </c>
      <c r="C41" s="30" t="s">
        <v>451</v>
      </c>
      <c r="D41" s="30" t="s">
        <v>98</v>
      </c>
      <c r="E41" s="30" t="s">
        <v>276</v>
      </c>
      <c r="F41" s="43">
        <v>350</v>
      </c>
      <c r="G41" s="43">
        <v>401</v>
      </c>
      <c r="H41" s="43">
        <v>225246</v>
      </c>
      <c r="I41" s="43">
        <v>223875</v>
      </c>
      <c r="J41" s="30" t="s">
        <v>277</v>
      </c>
      <c r="K41" s="43">
        <v>232107</v>
      </c>
      <c r="L41" s="143" t="s">
        <v>51</v>
      </c>
      <c r="M41" s="144">
        <f t="shared" si="9"/>
        <v>-4346.4960000000001</v>
      </c>
      <c r="N41" s="145" t="str">
        <f>VLOOKUP(C41,'Trips&amp;Operators'!$C$1:$G$99999,5,FALSE)</f>
        <v>STARKS ANGELINA</v>
      </c>
      <c r="O41" s="194" t="s">
        <v>185</v>
      </c>
      <c r="P41" s="146"/>
      <c r="Q41" s="30"/>
      <c r="R41" s="89" t="str">
        <f>VLOOKUP(C41,'Train Runs'!$A$13:$AE$9940,31,0)</f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S41" s="92" t="str">
        <f>VLOOKUP(C41,'Train Runs'!$A$13:$AE$9940,22,0)</f>
        <v>https://d0f6bd738d7f1b3e5a7ca70fe4ff75f0.us-east-1.aws.found.io/app/kibana#/discover/Steve-Slow-Train-Analysis-(2080s-and-2083s)?_g=(refreshInterval:(display:Off,pause:!f,section:0,value:0),time:(from:'2017-02-24T07:49:40-0700',mode:absolute,to:'2017-02-24T10:39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1" s="94" t="str">
        <f t="shared" si="10"/>
        <v>"C:\Program Files (x86)\AstroGrep\AstroGrep.exe" /spath="%USERPROFILE%\AppData\Local\Temp\OnboardLogs" /stypes="*4010*201702241*" /stext=" 15:.+((SYSTEM_STATE.+slice.+state.+changed )|(ment ac)|(multiple cpu faults)|(system.+state.+changed )|(\[timeout)|(PRM\|1\|D)|(kpr)|(kdp)|(\|lc)|(penalty))" /e /r /s</v>
      </c>
      <c r="U41" s="9" t="str">
        <f t="shared" si="11"/>
        <v>4010</v>
      </c>
      <c r="V41" s="32">
        <f t="shared" si="12"/>
        <v>42790.665578703702</v>
      </c>
      <c r="W41" s="46" t="str">
        <f t="shared" si="13"/>
        <v>EC</v>
      </c>
      <c r="X41" s="46" t="str">
        <f t="shared" si="14"/>
        <v>KEEP</v>
      </c>
      <c r="Y41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{"issue":{"subject":"","project_id":79,"tracker_id":40,"status_id":1,"priority_id":2,"assigned_to_id":23,"start_date":"2017-02-24","description":"","custom_fields":[{"id":1,"name":"Subdivision","value":"EC"},{"id":4,"name":"Milepost","value":"23.2107"},{"id":17,"name":"Train ID","value":"136-24"},{"id":16,"name":"Locomotive ID","value":"4010"},{"id":130,"name":"Impact","value":""},{"id":150,"name":"Time of Event (Mountain Time)","value":"08:58:26"},{"id":151,"name":"Denver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6"/>
        <v>grep -hSE -A400 "Enforcement Action" "%USERPROFILE%\AppData\Local\Temp\OnboardLogs"\RTDC4010\*4010*201702241*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"%USERPROFILE%\AppData\Local\Temp\OnboardLogs"\RTDC4010\*4010*201702241* &gt;&gt; 2017-02-24-SliceDisagreementCheck.txt</v>
      </c>
      <c r="AE41" s="157" t="str">
        <f t="shared" si="17"/>
        <v>start /low /b %USERPROFILE%\Documents\GitHub\eaglep3\Utilities\DownloadLogsFromS3.py --loco 4010 --day 2017-02-24</v>
      </c>
      <c r="AF41" s="1"/>
    </row>
    <row r="42" spans="1:32" x14ac:dyDescent="0.25">
      <c r="A42" s="32">
        <v>42790.918981481482</v>
      </c>
      <c r="B42" s="30" t="s">
        <v>441</v>
      </c>
      <c r="C42" s="30" t="s">
        <v>478</v>
      </c>
      <c r="D42" s="30" t="s">
        <v>49</v>
      </c>
      <c r="E42" s="30" t="s">
        <v>186</v>
      </c>
      <c r="F42" s="43">
        <v>0</v>
      </c>
      <c r="G42" s="43">
        <v>385</v>
      </c>
      <c r="H42" s="43">
        <v>8853</v>
      </c>
      <c r="I42" s="43">
        <v>9981</v>
      </c>
      <c r="J42" s="30" t="s">
        <v>187</v>
      </c>
      <c r="K42" s="43">
        <v>10800</v>
      </c>
      <c r="L42" s="143" t="s">
        <v>50</v>
      </c>
      <c r="M42" s="144">
        <f t="shared" si="9"/>
        <v>432.43200000000002</v>
      </c>
      <c r="N42" s="145" t="str">
        <f>VLOOKUP(C42,'Trips&amp;Operators'!$C$1:$G$99999,5,FALSE)</f>
        <v>STAMBAUGH JAMES</v>
      </c>
      <c r="O42" s="194" t="s">
        <v>357</v>
      </c>
      <c r="P42" s="146" t="s">
        <v>900</v>
      </c>
      <c r="Q42" s="30"/>
      <c r="R42" s="89" t="str">
        <f>VLOOKUP(C42,'Train Runs'!$A$13:$AE$9940,31,0)</f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S42" s="92" t="str">
        <f>VLOOKUP(C42,'Train Runs'!$A$13:$AE$9940,22,0)</f>
        <v>https://d0f6bd738d7f1b3e5a7ca70fe4ff75f0.us-east-1.aws.found.io/app/kibana#/discover/Steve-Slow-Train-Analysis-(2080s-and-2083s)?_g=(refreshInterval:(display:Off,pause:!f,section:0,value:0),time:(from:'2017-02-24T20:46:00-0700',mode:absolute,to:'2017-02-24T23:38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2" s="94" t="str">
        <f t="shared" si="10"/>
        <v>"C:\Program Files (x86)\AstroGrep\AstroGrep.exe" /spath="%USERPROFILE%\AppData\Local\Temp\OnboardLogs" /stypes="*4022*201702250*" /stext=" 05:.+((SYSTEM_STATE.+slice.+state.+changed )|(ment ac)|(multiple cpu faults)|(system.+state.+changed )|(\[timeout)|(PRM\|1\|D)|(kpr)|(kdp)|(\|lc)|(penalty))" /e /r /s</v>
      </c>
      <c r="U42" s="9" t="str">
        <f t="shared" si="11"/>
        <v>4022</v>
      </c>
      <c r="V42" s="32">
        <f t="shared" si="12"/>
        <v>42791.210648148146</v>
      </c>
      <c r="W42" s="46" t="str">
        <f t="shared" si="13"/>
        <v>EC</v>
      </c>
      <c r="X42" s="46" t="str">
        <f t="shared" si="14"/>
        <v>KEEP</v>
      </c>
      <c r="Y42" s="108" t="str">
        <f t="shared" si="15"/>
        <v>echo {"issue":{"subject":"Bright 4N RESTRICTING aspect","project_id":79,"tracker_id":40,"status_id":1,"priority_id":2,"assigned_to_id":23,"start_date":"2017-02-24","description":"","custom_fields":[{"id":1,"name":"Subdivision","value":"EC"},{"id":4,"name":"Milepost","value":"1.08"},{"id":17,"name":"Train ID","value":"233-24"},{"id":16,"name":"Locomotive ID","value":"4022"},{"id":130,"name":"Impact","value":""},{"id":150,"name":"Time of Event (Mountain Time)","value":"22:03:20"},{"id":151,"name":"Denver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6"/>
        <v>grep -hSE -A400 "Enforcement Action" "%USERPROFILE%\AppData\Local\Temp\OnboardLogs"\RTDC4022\*4022*201702250*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"%USERPROFILE%\AppData\Local\Temp\OnboardLogs"\RTDC4022\*4022*201702250* &gt;&gt; 2017-02-24-SliceDisagreementCheck.txt</v>
      </c>
      <c r="AE42" s="157" t="str">
        <f t="shared" si="17"/>
        <v>start /low /b %USERPROFILE%\Documents\GitHub\eaglep3\Utilities\DownloadLogsFromS3.py --loco 4022 --day 2017-02-25</v>
      </c>
      <c r="AF42" s="1"/>
    </row>
    <row r="43" spans="1:32" x14ac:dyDescent="0.25">
      <c r="A43" s="32">
        <v>42790.143263888887</v>
      </c>
      <c r="B43" s="30" t="s">
        <v>228</v>
      </c>
      <c r="C43" s="30" t="s">
        <v>438</v>
      </c>
      <c r="D43" s="30" t="s">
        <v>49</v>
      </c>
      <c r="E43" s="30" t="s">
        <v>186</v>
      </c>
      <c r="F43" s="43">
        <v>0</v>
      </c>
      <c r="G43" s="43">
        <v>160</v>
      </c>
      <c r="H43" s="43">
        <v>27951</v>
      </c>
      <c r="I43" s="43">
        <v>28229</v>
      </c>
      <c r="J43" s="30" t="s">
        <v>187</v>
      </c>
      <c r="K43" s="43">
        <v>28054</v>
      </c>
      <c r="L43" s="143" t="s">
        <v>50</v>
      </c>
      <c r="M43" s="144">
        <f t="shared" si="9"/>
        <v>-92.4</v>
      </c>
      <c r="N43" s="145" t="str">
        <f>VLOOKUP(C43,'Trips&amp;Operators'!$C$1:$G$99999,5,FALSE)</f>
        <v>BADERTSCHER DIANE</v>
      </c>
      <c r="O43" s="194" t="s">
        <v>357</v>
      </c>
      <c r="P43" s="146" t="s">
        <v>891</v>
      </c>
      <c r="Q43" s="30"/>
      <c r="R43" s="89" t="str">
        <f>VLOOKUP(C43,'Train Runs'!$A$13:$AE$9940,31,0)</f>
        <v>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 &amp; 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</v>
      </c>
      <c r="S43" s="92" t="str">
        <f>VLOOKUP(C43,'Train Runs'!$A$13:$AE$9940,22,0)</f>
        <v>https://d0f6bd738d7f1b3e5a7ca70fe4ff75f0.us-east-1.aws.found.io/app/kibana#/discover/Steve-Slow-Train-Analysis-(2080s-and-2083s)?_g=(refreshInterval:(display:Off,pause:!f,section:0,value:0),time:(from:'2017-02-24T02:11:55-0700',mode:absolute,to:'2017-02-24T04:30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3" s="94" t="str">
        <f t="shared" si="10"/>
        <v>"C:\Program Files (x86)\AstroGrep\AstroGrep.exe" /spath="%USERPROFILE%\AppData\Local\Temp\OnboardLogs" /stypes="*4025*201702241*" /stext=" 10:.+((SYSTEM_STATE.+slice.+state.+changed )|(ment ac)|(multiple cpu faults)|(system.+state.+changed )|(\[timeout)|(PRM\|1\|D)|(kpr)|(kdp)|(\|lc)|(penalty))" /e /r /s</v>
      </c>
      <c r="U43" s="9" t="str">
        <f t="shared" si="11"/>
        <v>4025</v>
      </c>
      <c r="V43" s="32">
        <f t="shared" si="12"/>
        <v>42790.434930555552</v>
      </c>
      <c r="W43" s="46" t="str">
        <f t="shared" si="13"/>
        <v>EC</v>
      </c>
      <c r="X43" s="46" t="str">
        <f t="shared" si="14"/>
        <v>KEEP</v>
      </c>
      <c r="Y43" s="108" t="str">
        <f t="shared" si="15"/>
        <v>echo {"issue":{"subject":"Extended Onboard Wi-MAX outage (4051/4052)","project_id":79,"tracker_id":40,"status_id":1,"priority_id":2,"assigned_to_id":23,"start_date":"2017-02-24","description":"","custom_fields":[{"id":1,"name":"Subdivision","value":"EC"},{"id":4,"name":"Milepost","value":"2.8054"},{"id":17,"name":"Train ID","value":"101-24"},{"id":16,"name":"Locomotive ID","value":"4025"},{"id":130,"name":"Impact","value":""},{"id":150,"name":"Time of Event (Mountain Time)","value":"03:26:18"},{"id":151,"name":"Denver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6"/>
        <v>grep -hSE -A400 "Enforcement Action" "%USERPROFILE%\AppData\Local\Temp\OnboardLogs"\RTDC4025\*4025*201702241*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"%USERPROFILE%\AppData\Local\Temp\OnboardLogs"\RTDC4025\*4025*201702241* &gt;&gt; 2017-02-24-SliceDisagreementCheck.txt</v>
      </c>
      <c r="AE43" s="157" t="str">
        <f t="shared" si="17"/>
        <v>start /low /b %USERPROFILE%\Documents\GitHub\eaglep3\Utilities\DownloadLogsFromS3.py --loco 4025 --day 2017-02-24</v>
      </c>
      <c r="AF43" s="1"/>
    </row>
    <row r="44" spans="1:32" x14ac:dyDescent="0.25">
      <c r="A44" s="32">
        <v>42790.99559027778</v>
      </c>
      <c r="B44" s="30" t="s">
        <v>353</v>
      </c>
      <c r="C44" s="30" t="s">
        <v>479</v>
      </c>
      <c r="D44" s="30" t="s">
        <v>98</v>
      </c>
      <c r="E44" s="30" t="s">
        <v>186</v>
      </c>
      <c r="F44" s="43">
        <v>200</v>
      </c>
      <c r="G44" s="43">
        <v>252</v>
      </c>
      <c r="H44" s="43">
        <v>58640</v>
      </c>
      <c r="I44" s="43">
        <v>57883</v>
      </c>
      <c r="J44" s="30" t="s">
        <v>187</v>
      </c>
      <c r="K44" s="43">
        <v>64008</v>
      </c>
      <c r="L44" s="143" t="s">
        <v>51</v>
      </c>
      <c r="M44" s="144">
        <f t="shared" si="9"/>
        <v>-3234</v>
      </c>
      <c r="N44" s="145" t="str">
        <f>VLOOKUP(C44,'Trips&amp;Operators'!$C$1:$G$99999,5,FALSE)</f>
        <v>HILLS DUSTIN</v>
      </c>
      <c r="O44" s="194" t="s">
        <v>185</v>
      </c>
      <c r="P44" s="146" t="s">
        <v>901</v>
      </c>
      <c r="Q44" s="30"/>
      <c r="R44" s="89" t="str">
        <f>VLOOKUP(C44,'Train Runs'!$A$13:$AE$9940,31,0)</f>
        <v>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 &amp; aws s3 cp s3://rtdc.mdm.uploadarchive.raw/RTDC4010/ "%USERPROFILE%\AppData\Local\Temp\OnboardLogs"\RTDC4010\2017-02-25 --exclude "*" --recursive --include "*20170225*" &amp; "%USERPROFILE%\Documents\GitHub\mrs-test-scripts\Headless Mode &amp; Sideloading\WalkAndUnGZ.bat" "%USERPROFILE%\AppData\Local\Temp\OnboardLogs"\RTDC4010\2017-02-25</v>
      </c>
      <c r="S44" s="92" t="str">
        <f>VLOOKUP(C44,'Train Runs'!$A$13:$AE$9940,22,0)</f>
        <v>https://d0f6bd738d7f1b3e5a7ca70fe4ff75f0.us-east-1.aws.found.io/app/kibana#/discover/Steve-Slow-Train-Analysis-(2080s-and-2083s)?_g=(refreshInterval:(display:Off,pause:!f,section:0,value:0),time:(from:'2017-02-24T22:14:33-0700',mode:absolute,to:'2017-02-25T01:09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4" s="94" t="str">
        <f t="shared" si="10"/>
        <v>"C:\Program Files (x86)\AstroGrep\AstroGrep.exe" /spath="%USERPROFILE%\AppData\Local\Temp\OnboardLogs" /stypes="*4010*201702250*" /stext=" 06:.+((SYSTEM_STATE.+slice.+state.+changed )|(ment ac)|(multiple cpu faults)|(system.+state.+changed )|(\[timeout)|(PRM\|1\|D)|(kpr)|(kdp)|(\|lc)|(penalty))" /e /r /s</v>
      </c>
      <c r="U44" s="9" t="str">
        <f t="shared" si="11"/>
        <v>4010</v>
      </c>
      <c r="V44" s="32">
        <f t="shared" si="12"/>
        <v>42791.287256944444</v>
      </c>
      <c r="W44" s="46" t="str">
        <f t="shared" si="13"/>
        <v>EC</v>
      </c>
      <c r="X44" s="46" t="str">
        <f t="shared" si="14"/>
        <v>KEEP</v>
      </c>
      <c r="Y44" s="108" t="str">
        <f t="shared" si="15"/>
        <v>echo {"issue":{"subject":"Overspeed due to wheel tach slip","project_id":79,"tracker_id":40,"status_id":1,"priority_id":2,"assigned_to_id":23,"start_date":"2017-02-24","description":"","custom_fields":[{"id":1,"name":"Subdivision","value":"EC"},{"id":4,"name":"Milepost","value":"6.4008"},{"id":17,"name":"Train ID","value":"236-24"},{"id":16,"name":"Locomotive ID","value":"4010"},{"id":130,"name":"Impact","value":""},{"id":150,"name":"Time of Event (Mountain Time)","value":"23:53:39"},{"id":151,"name":"Denver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6"/>
        <v>grep -hSE -A400 "Enforcement Action" "%USERPROFILE%\AppData\Local\Temp\OnboardLogs"\RTDC4010\*4010*201702250*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"%USERPROFILE%\AppData\Local\Temp\OnboardLogs"\RTDC4010\*4010*201702250* &gt;&gt; 2017-02-24-SliceDisagreementCheck.txt</v>
      </c>
      <c r="AE44" s="157" t="str">
        <f t="shared" si="17"/>
        <v>start /low /b %USERPROFILE%\Documents\GitHub\eaglep3\Utilities\DownloadLogsFromS3.py --loco 4010 --day 2017-02-25</v>
      </c>
      <c r="AF44" s="1"/>
    </row>
    <row r="45" spans="1:32" x14ac:dyDescent="0.25">
      <c r="A45" s="32">
        <v>42791.066064814811</v>
      </c>
      <c r="B45" s="30" t="s">
        <v>228</v>
      </c>
      <c r="C45" s="30" t="s">
        <v>482</v>
      </c>
      <c r="D45" s="30" t="s">
        <v>98</v>
      </c>
      <c r="E45" s="30" t="s">
        <v>186</v>
      </c>
      <c r="F45" s="43">
        <v>0</v>
      </c>
      <c r="G45" s="43">
        <v>229</v>
      </c>
      <c r="H45" s="43">
        <v>228594</v>
      </c>
      <c r="I45" s="43">
        <v>229206</v>
      </c>
      <c r="J45" s="30" t="s">
        <v>187</v>
      </c>
      <c r="K45" s="43">
        <v>228572</v>
      </c>
      <c r="L45" s="143" t="s">
        <v>50</v>
      </c>
      <c r="M45" s="144">
        <f t="shared" si="9"/>
        <v>-334.75200000000001</v>
      </c>
      <c r="N45" s="145" t="str">
        <f>VLOOKUP(C45,'Trips&amp;Operators'!$C$1:$G$99999,5,FALSE)</f>
        <v>BROWN JACOB</v>
      </c>
      <c r="O45" s="194" t="s">
        <v>357</v>
      </c>
      <c r="P45" s="146" t="s">
        <v>897</v>
      </c>
      <c r="Q45" s="30"/>
      <c r="R45" s="89" t="str">
        <f>VLOOKUP(C45,'Train Runs'!$A$13:$AE$9940,31,0)</f>
        <v>aws s3 cp s3://rtdc.mdm.uploadarchive.raw/RTDC4025/ "%USERPROFILE%\AppData\Local\Temp\OnboardLogs"\RTDC4025\2017-02-25 --exclude "*" --recursive --include "*20170225*" &amp; "%USERPROFILE%\Documents\GitHub\mrs-test-scripts\Headless Mode &amp; Sideloading\WalkAndUnGZ.bat" "%USERPROFILE%\AppData\Local\Temp\OnboardLogs"\RTDC4025\2017-02-25 &amp; aws s3 cp s3://rtdc.mdm.uploadarchive.raw/RTDC4025/ "%USERPROFILE%\AppData\Local\Temp\OnboardLogs"\RTDC4025\2017-02-26 --exclude "*" --recursive --include "*20170226*" &amp; "%USERPROFILE%\Documents\GitHub\mrs-test-scripts\Headless Mode &amp; Sideloading\WalkAndUnGZ.bat" "%USERPROFILE%\AppData\Local\Temp\OnboardLogs"\RTDC4025\2017-02-26</v>
      </c>
      <c r="S45" s="92" t="str">
        <f>VLOOKUP(C45,'Train Runs'!$A$13:$AE$9940,22,0)</f>
        <v>https://d0f6bd738d7f1b3e5a7ca70fe4ff75f0.us-east-1.aws.found.io/app/kibana#/discover/Steve-Slow-Train-Analysis-(2080s-and-2083s)?_g=(refreshInterval:(display:Off,pause:!f,section:0,value:0),time:(from:'2017-02-24T23:53:11-0700',mode:absolute,to:'2017-02-25T02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5" s="94" t="str">
        <f t="shared" si="10"/>
        <v>"C:\Program Files (x86)\AstroGrep\AstroGrep.exe" /spath="%USERPROFILE%\AppData\Local\Temp\OnboardLogs" /stypes="*4025*201702250*" /stext=" 08:.+((SYSTEM_STATE.+slice.+state.+changed )|(ment ac)|(multiple cpu faults)|(system.+state.+changed )|(\[timeout)|(PRM\|1\|D)|(kpr)|(kdp)|(\|lc)|(penalty))" /e /r /s</v>
      </c>
      <c r="U45" s="9" t="str">
        <f t="shared" si="11"/>
        <v>4025</v>
      </c>
      <c r="V45" s="32">
        <f t="shared" si="12"/>
        <v>42791.357731481476</v>
      </c>
      <c r="W45" s="46" t="str">
        <f t="shared" si="13"/>
        <v>EC</v>
      </c>
      <c r="X45" s="46" t="str">
        <f t="shared" si="14"/>
        <v>KEEP</v>
      </c>
      <c r="Y45" s="108" t="str">
        <f t="shared" si="15"/>
        <v>echo {"issue":{"subject":"Premature downgrade at DIA 4N","project_id":79,"tracker_id":40,"status_id":1,"priority_id":2,"assigned_to_id":23,"start_date":"2017-02-25","description":"","custom_fields":[{"id":1,"name":"Subdivision","value":"EC"},{"id":4,"name":"Milepost","value":"22.8572"},{"id":17,"name":"Train ID","value":"245-24"},{"id":16,"name":"Locomotive ID","value":"4025"},{"id":130,"name":"Impact","value":""},{"id":150,"name":"Time of Event (Mountain Time)","value":"01:35:08"},{"id":151,"name":"Denver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6"/>
        <v>grep -hSE -A400 "Enforcement Action" "%USERPROFILE%\AppData\Local\Temp\OnboardLogs"\RTDC4025\*4025*201702250*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"%USERPROFILE%\AppData\Local\Temp\OnboardLogs"\RTDC4025\*4025*201702250* &gt;&gt; 2017-02-24-SliceDisagreementCheck.txt</v>
      </c>
      <c r="AE45" s="157" t="str">
        <f t="shared" si="17"/>
        <v>start /low /b %USERPROFILE%\Documents\GitHub\eaglep3\Utilities\DownloadLogsFromS3.py --loco 4025 --day 2017-02-25</v>
      </c>
      <c r="AF45" s="1"/>
    </row>
    <row r="46" spans="1:32" x14ac:dyDescent="0.25">
      <c r="A46" s="32">
        <v>42790.177835648145</v>
      </c>
      <c r="B46" s="30" t="s">
        <v>433</v>
      </c>
      <c r="C46" s="30" t="s">
        <v>440</v>
      </c>
      <c r="D46" s="30" t="s">
        <v>49</v>
      </c>
      <c r="E46" s="30" t="s">
        <v>435</v>
      </c>
      <c r="F46" s="43">
        <v>0</v>
      </c>
      <c r="G46" s="43">
        <v>117</v>
      </c>
      <c r="H46" s="43">
        <v>231214</v>
      </c>
      <c r="I46" s="43">
        <v>231035</v>
      </c>
      <c r="J46" s="30" t="s">
        <v>436</v>
      </c>
      <c r="K46" s="43">
        <v>231147</v>
      </c>
      <c r="L46" s="143" t="s">
        <v>51</v>
      </c>
      <c r="M46" s="144">
        <f t="shared" si="9"/>
        <v>-59.136000000000003</v>
      </c>
      <c r="N46" s="145" t="str">
        <f>VLOOKUP(C46,'Trips&amp;Operators'!$C$1:$G$99999,5,FALSE)</f>
        <v>BADERTSCHER DIANE</v>
      </c>
      <c r="O46" s="194" t="s">
        <v>357</v>
      </c>
      <c r="P46" s="146" t="s">
        <v>891</v>
      </c>
      <c r="Q46" s="30"/>
      <c r="R46" s="89" t="str">
        <f>VLOOKUP(C46,'Train Runs'!$A$13:$AE$9940,31,0)</f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S46" s="92" t="str">
        <f>VLOOKUP(C46,'Train Runs'!$A$13:$AE$9940,22,0)</f>
        <v>https://d0f6bd738d7f1b3e5a7ca70fe4ff75f0.us-east-1.aws.found.io/app/kibana#/discover/Steve-Slow-Train-Analysis-(2080s-and-2083s)?_g=(refreshInterval:(display:Off,pause:!f,section:0,value:0),time:(from:'2017-02-24T03:08:23-0700',mode:absolute,to:'2017-02-24T05:16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6" s="94" t="str">
        <f t="shared" si="10"/>
        <v>"C:\Program Files (x86)\AstroGrep\AstroGrep.exe" /spath="%USERPROFILE%\AppData\Local\Temp\OnboardLogs" /stypes="*4052*201702241*" /stext=" 11:.+((SYSTEM_STATE.+slice.+state.+changed )|(ment ac)|(multiple cpu faults)|(system.+state.+changed )|(\[timeout)|(PRM\|1\|D)|(kpr)|(kdp)|(\|lc)|(penalty))" /e /r /s</v>
      </c>
      <c r="U46" s="9" t="str">
        <f t="shared" si="11"/>
        <v>4052</v>
      </c>
      <c r="V46" s="32">
        <f t="shared" si="12"/>
        <v>42790.469502314809</v>
      </c>
      <c r="W46" s="46" t="str">
        <f t="shared" si="13"/>
        <v>EC</v>
      </c>
      <c r="X46" s="46" t="str">
        <f t="shared" si="14"/>
        <v>KEEP</v>
      </c>
      <c r="Y46" s="108" t="str">
        <f t="shared" si="15"/>
        <v>echo {"issue":{"subject":"Extended Onboard Wi-MAX outage (4051/4052)","project_id":79,"tracker_id":40,"status_id":1,"priority_id":2,"assigned_to_id":23,"start_date":"2017-02-24","description":"","custom_fields":[{"id":1,"name":"Subdivision","value":"EC"},{"id":4,"name":"Milepost","value":"23.1147"},{"id":17,"name":"Train ID","value":"102-24"},{"id":16,"name":"Locomotive ID","value":"4052"},{"id":130,"name":"Impact","value":""},{"id":150,"name":"Time of Event (Mountain Time)","value":"04:16:05"},{"id":151,"name":"Denver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6"/>
        <v>grep -hSE -A400 "Enforcement Action" "%USERPROFILE%\AppData\Local\Temp\OnboardLogs"\RTDC4052\*4052*201702241*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"%USERPROFILE%\AppData\Local\Temp\OnboardLogs"\RTDC4052\*4052*201702241* &gt;&gt; 2017-02-24-SliceDisagreementCheck.txt</v>
      </c>
      <c r="AE46" s="157" t="str">
        <f t="shared" si="17"/>
        <v>start /low /b %USERPROFILE%\Documents\GitHub\eaglep3\Utilities\DownloadLogsFromS3.py --loco 4052 --day 2017-02-24</v>
      </c>
      <c r="AF46" s="1"/>
    </row>
    <row r="47" spans="1:32" x14ac:dyDescent="0.25">
      <c r="A47" s="32">
        <v>42790.178530092591</v>
      </c>
      <c r="B47" s="30" t="s">
        <v>433</v>
      </c>
      <c r="C47" s="30" t="s">
        <v>440</v>
      </c>
      <c r="D47" s="30" t="s">
        <v>49</v>
      </c>
      <c r="E47" s="30" t="s">
        <v>435</v>
      </c>
      <c r="F47" s="43">
        <v>0</v>
      </c>
      <c r="G47" s="43">
        <v>117</v>
      </c>
      <c r="H47" s="43">
        <v>231214</v>
      </c>
      <c r="I47" s="43">
        <v>231035</v>
      </c>
      <c r="J47" s="30" t="s">
        <v>436</v>
      </c>
      <c r="K47" s="43">
        <v>231147</v>
      </c>
      <c r="L47" s="143" t="s">
        <v>51</v>
      </c>
      <c r="M47" s="144">
        <f t="shared" si="9"/>
        <v>-59.136000000000003</v>
      </c>
      <c r="N47" s="145" t="str">
        <f>VLOOKUP(C47,'Trips&amp;Operators'!$C$1:$G$99999,5,FALSE)</f>
        <v>BADERTSCHER DIANE</v>
      </c>
      <c r="O47" s="194" t="s">
        <v>357</v>
      </c>
      <c r="P47" s="146" t="s">
        <v>891</v>
      </c>
      <c r="Q47" s="30"/>
      <c r="R47" s="89" t="str">
        <f>VLOOKUP(C47,'Train Runs'!$A$13:$AE$9940,31,0)</f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S47" s="92" t="str">
        <f>VLOOKUP(C47,'Train Runs'!$A$13:$AE$9940,22,0)</f>
        <v>https://d0f6bd738d7f1b3e5a7ca70fe4ff75f0.us-east-1.aws.found.io/app/kibana#/discover/Steve-Slow-Train-Analysis-(2080s-and-2083s)?_g=(refreshInterval:(display:Off,pause:!f,section:0,value:0),time:(from:'2017-02-24T03:08:23-0700',mode:absolute,to:'2017-02-24T05:16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7" s="94" t="str">
        <f t="shared" si="10"/>
        <v>"C:\Program Files (x86)\AstroGrep\AstroGrep.exe" /spath="%USERPROFILE%\AppData\Local\Temp\OnboardLogs" /stypes="*4052*201702241*" /stext=" 11:.+((SYSTEM_STATE.+slice.+state.+changed )|(ment ac)|(multiple cpu faults)|(system.+state.+changed )|(\[timeout)|(PRM\|1\|D)|(kpr)|(kdp)|(\|lc)|(penalty))" /e /r /s</v>
      </c>
      <c r="U47" s="9" t="str">
        <f t="shared" si="11"/>
        <v>4052</v>
      </c>
      <c r="V47" s="32">
        <f t="shared" si="12"/>
        <v>42790.470196759255</v>
      </c>
      <c r="W47" s="46" t="str">
        <f t="shared" si="13"/>
        <v>EC</v>
      </c>
      <c r="X47" s="46" t="str">
        <f t="shared" si="14"/>
        <v>KEEP</v>
      </c>
      <c r="Y47" s="108" t="str">
        <f t="shared" si="15"/>
        <v>echo {"issue":{"subject":"Extended Onboard Wi-MAX outage (4051/4052)","project_id":79,"tracker_id":40,"status_id":1,"priority_id":2,"assigned_to_id":23,"start_date":"2017-02-24","description":"","custom_fields":[{"id":1,"name":"Subdivision","value":"EC"},{"id":4,"name":"Milepost","value":"23.1147"},{"id":17,"name":"Train ID","value":"102-24"},{"id":16,"name":"Locomotive ID","value":"4052"},{"id":130,"name":"Impact","value":""},{"id":150,"name":"Time of Event (Mountain Time)","value":"04:17:05"},{"id":151,"name":"Denver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6"/>
        <v>grep -hSE -A400 "Enforcement Action" "%USERPROFILE%\AppData\Local\Temp\OnboardLogs"\RTDC4052\*4052*201702241*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"%USERPROFILE%\AppData\Local\Temp\OnboardLogs"\RTDC4052\*4052*201702241* &gt;&gt; 2017-02-24-SliceDisagreementCheck.txt</v>
      </c>
      <c r="AE47" s="157" t="str">
        <f t="shared" si="17"/>
        <v>start /low /b %USERPROFILE%\Documents\GitHub\eaglep3\Utilities\DownloadLogsFromS3.py --loco 4052 --day 2017-02-24</v>
      </c>
      <c r="AF47" s="1"/>
    </row>
    <row r="48" spans="1:32" x14ac:dyDescent="0.25">
      <c r="A48" s="32">
        <v>42790.348391203705</v>
      </c>
      <c r="B48" s="30" t="s">
        <v>210</v>
      </c>
      <c r="C48" s="30" t="s">
        <v>449</v>
      </c>
      <c r="D48" s="30" t="s">
        <v>49</v>
      </c>
      <c r="E48" s="30" t="s">
        <v>188</v>
      </c>
      <c r="F48" s="43">
        <v>0</v>
      </c>
      <c r="G48" s="43">
        <v>41</v>
      </c>
      <c r="H48" s="43">
        <v>143</v>
      </c>
      <c r="I48" s="43">
        <v>114</v>
      </c>
      <c r="J48" s="30" t="s">
        <v>189</v>
      </c>
      <c r="K48" s="43">
        <v>1</v>
      </c>
      <c r="L48" s="143" t="s">
        <v>51</v>
      </c>
      <c r="M48" s="144">
        <f t="shared" si="9"/>
        <v>59.664000000000001</v>
      </c>
      <c r="N48" s="145" t="str">
        <f>VLOOKUP(C48,'Trips&amp;Operators'!$C$1:$G$99999,5,FALSE)</f>
        <v>BONDS REYNALDO</v>
      </c>
      <c r="O48" s="194" t="s">
        <v>185</v>
      </c>
      <c r="P48" s="146"/>
      <c r="Q48" s="30"/>
      <c r="R48" s="89" t="str">
        <f>VLOOKUP(C48,'Train Runs'!$A$13:$AE$9940,31,0)</f>
        <v>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 &amp; aws s3 cp s3://rtdc.mdm.uploadarchive.raw/RTDC4026/ "%USERPROFILE%\AppData\Local\Temp\OnboardLogs"\RTDC4026\2017-02-25 --exclude "*" --recursive --include "*20170225*" &amp; "%USERPROFILE%\Documents\GitHub\mrs-test-scripts\Headless Mode &amp; Sideloading\WalkAndUnGZ.bat" "%USERPROFILE%\AppData\Local\Temp\OnboardLogs"\RTDC4026\2017-02-25</v>
      </c>
      <c r="S48" s="92" t="str">
        <f>VLOOKUP(C48,'Train Runs'!$A$13:$AE$9940,22,0)</f>
        <v>https://d0f6bd738d7f1b3e5a7ca70fe4ff75f0.us-east-1.aws.found.io/app/kibana#/discover/Steve-Slow-Train-Analysis-(2080s-and-2083s)?_g=(refreshInterval:(display:Off,pause:!f,section:0,value:0),time:(from:'2017-02-24T06:35:36-0700',mode:absolute,to:'2017-02-24T09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8" s="94" t="str">
        <f t="shared" si="10"/>
        <v>"C:\Program Files (x86)\AstroGrep\AstroGrep.exe" /spath="%USERPROFILE%\AppData\Local\Temp\OnboardLogs" /stypes="*4026*201702241*" /stext=" 15:.+((SYSTEM_STATE.+slice.+state.+changed )|(ment ac)|(multiple cpu faults)|(system.+state.+changed )|(\[timeout)|(PRM\|1\|D)|(kpr)|(kdp)|(\|lc)|(penalty))" /e /r /s</v>
      </c>
      <c r="U48" s="9" t="str">
        <f t="shared" si="11"/>
        <v>4026</v>
      </c>
      <c r="V48" s="32">
        <f t="shared" si="12"/>
        <v>42790.640057870369</v>
      </c>
      <c r="W48" s="46" t="str">
        <f t="shared" si="13"/>
        <v>EC</v>
      </c>
      <c r="X48" s="46" t="str">
        <f t="shared" si="14"/>
        <v>KEEP</v>
      </c>
      <c r="Y48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{"issue":{"subject":"","project_id":79,"tracker_id":40,"status_id":1,"priority_id":2,"assigned_to_id":23,"start_date":"2017-02-24","description":"","custom_fields":[{"id":1,"name":"Subdivision","value":"EC"},{"id":4,"name":"Milepost","value":"0.0001"},{"id":17,"name":"Train ID","value":"126-24"},{"id":16,"name":"Locomotive ID","value":"4026"},{"id":130,"name":"Impact","value":""},{"id":150,"name":"Time of Event (Mountain Time)","value":"08:21:41"},{"id":151,"name":"Denver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6"/>
        <v>grep -hSE -A400 "Enforcement Action" "%USERPROFILE%\AppData\Local\Temp\OnboardLogs"\RTDC4026\*4026*201702241*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"%USERPROFILE%\AppData\Local\Temp\OnboardLogs"\RTDC4026\*4026*201702241* &gt;&gt; 2017-02-24-SliceDisagreementCheck.txt</v>
      </c>
      <c r="AE48" s="157" t="str">
        <f t="shared" si="17"/>
        <v>start /low /b %USERPROFILE%\Documents\GitHub\eaglep3\Utilities\DownloadLogsFromS3.py --loco 4026 --day 2017-02-24</v>
      </c>
      <c r="AF48" s="1"/>
    </row>
    <row r="49" spans="1:32" x14ac:dyDescent="0.25">
      <c r="A49" s="32">
        <v>42790.432592592595</v>
      </c>
      <c r="B49" s="30" t="s">
        <v>433</v>
      </c>
      <c r="C49" s="30" t="s">
        <v>453</v>
      </c>
      <c r="D49" s="30" t="s">
        <v>49</v>
      </c>
      <c r="E49" s="30" t="s">
        <v>188</v>
      </c>
      <c r="F49" s="43">
        <v>0</v>
      </c>
      <c r="G49" s="43">
        <v>48</v>
      </c>
      <c r="H49" s="43">
        <v>187</v>
      </c>
      <c r="I49" s="43">
        <v>143</v>
      </c>
      <c r="J49" s="30" t="s">
        <v>189</v>
      </c>
      <c r="K49" s="43">
        <v>1</v>
      </c>
      <c r="L49" s="143" t="s">
        <v>51</v>
      </c>
      <c r="M49" s="144">
        <f t="shared" si="9"/>
        <v>74.975999999999999</v>
      </c>
      <c r="N49" s="145" t="str">
        <f>VLOOKUP(C49,'Trips&amp;Operators'!$C$1:$G$99999,5,FALSE)</f>
        <v>BADERTSCHER DIANE</v>
      </c>
      <c r="O49" s="194" t="s">
        <v>185</v>
      </c>
      <c r="P49" s="146"/>
      <c r="Q49" s="30"/>
      <c r="R49" s="89" t="str">
        <f>VLOOKUP(C49,'Train Runs'!$A$13:$AE$9940,31,0)</f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S49" s="92" t="str">
        <f>VLOOKUP(C49,'Train Runs'!$A$13:$AE$9940,22,0)</f>
        <v>https://d0f6bd738d7f1b3e5a7ca70fe4ff75f0.us-east-1.aws.found.io/app/kibana#/discover/Steve-Slow-Train-Analysis-(2080s-and-2083s)?_g=(refreshInterval:(display:Off,pause:!f,section:0,value:0),time:(from:'2017-02-24T08:34:09-0700',mode:absolute,to:'2017-02-24T11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9" s="94" t="str">
        <f t="shared" si="10"/>
        <v>"C:\Program Files (x86)\AstroGrep\AstroGrep.exe" /spath="%USERPROFILE%\AppData\Local\Temp\OnboardLogs" /stypes="*4052*201702241*" /stext=" 17:.+((SYSTEM_STATE.+slice.+state.+changed )|(ment ac)|(multiple cpu faults)|(system.+state.+changed )|(\[timeout)|(PRM\|1\|D)|(kpr)|(kdp)|(\|lc)|(penalty))" /e /r /s</v>
      </c>
      <c r="U49" s="9" t="str">
        <f t="shared" si="11"/>
        <v>4052</v>
      </c>
      <c r="V49" s="32">
        <f t="shared" si="12"/>
        <v>42790.724259259259</v>
      </c>
      <c r="W49" s="46" t="str">
        <f t="shared" si="13"/>
        <v>EC</v>
      </c>
      <c r="X49" s="46" t="str">
        <f t="shared" si="14"/>
        <v>KEEP</v>
      </c>
      <c r="Y49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{"issue":{"subject":"","project_id":79,"tracker_id":40,"status_id":1,"priority_id":2,"assigned_to_id":23,"start_date":"2017-02-24","description":"","custom_fields":[{"id":1,"name":"Subdivision","value":"EC"},{"id":4,"name":"Milepost","value":"0.0001"},{"id":17,"name":"Train ID","value":"142-24"},{"id":16,"name":"Locomotive ID","value":"4052"},{"id":130,"name":"Impact","value":""},{"id":150,"name":"Time of Event (Mountain Time)","value":"10:22:56"},{"id":151,"name":"Denver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6"/>
        <v>grep -hSE -A400 "Enforcement Action" "%USERPROFILE%\AppData\Local\Temp\OnboardLogs"\RTDC4052\*4052*201702241*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"%USERPROFILE%\AppData\Local\Temp\OnboardLogs"\RTDC4052\*4052*201702241* &gt;&gt; 2017-02-24-SliceDisagreementCheck.txt</v>
      </c>
      <c r="AE49" s="157" t="str">
        <f t="shared" si="17"/>
        <v>start /low /b %USERPROFILE%\Documents\GitHub\eaglep3\Utilities\DownloadLogsFromS3.py --loco 4052 --day 2017-02-24</v>
      </c>
      <c r="AF49" s="1"/>
    </row>
    <row r="50" spans="1:32" x14ac:dyDescent="0.25">
      <c r="A50" s="32">
        <v>42790.59820601852</v>
      </c>
      <c r="B50" s="30" t="s">
        <v>233</v>
      </c>
      <c r="C50" s="30" t="s">
        <v>460</v>
      </c>
      <c r="D50" s="30" t="s">
        <v>49</v>
      </c>
      <c r="E50" s="30" t="s">
        <v>188</v>
      </c>
      <c r="F50" s="43">
        <v>0</v>
      </c>
      <c r="G50" s="43">
        <v>61</v>
      </c>
      <c r="H50" s="43">
        <v>205</v>
      </c>
      <c r="I50" s="43">
        <v>149</v>
      </c>
      <c r="J50" s="30" t="s">
        <v>189</v>
      </c>
      <c r="K50" s="43">
        <v>1</v>
      </c>
      <c r="L50" s="143" t="s">
        <v>51</v>
      </c>
      <c r="M50" s="144">
        <f t="shared" si="9"/>
        <v>78.144000000000005</v>
      </c>
      <c r="N50" s="145" t="str">
        <f>VLOOKUP(C50,'Trips&amp;Operators'!$C$1:$G$99999,5,FALSE)</f>
        <v>BRANDNER MELINDA</v>
      </c>
      <c r="O50" s="194" t="s">
        <v>185</v>
      </c>
      <c r="P50" s="146"/>
      <c r="Q50" s="30"/>
      <c r="R50" s="89" t="str">
        <f>VLOOKUP(C50,'Train Runs'!$A$13:$AE$9940,31,0)</f>
        <v>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 &amp; aws s3 cp s3://rtdc.mdm.uploadarchive.raw/RTDC4043/ "%USERPROFILE%\AppData\Local\Temp\OnboardLogs"\RTDC4043\2017-02-25 --exclude "*" --recursive --include "*20170225*" &amp; "%USERPROFILE%\Documents\GitHub\mrs-test-scripts\Headless Mode &amp; Sideloading\WalkAndUnGZ.bat" "%USERPROFILE%\AppData\Local\Temp\OnboardLogs"\RTDC4043\2017-02-25</v>
      </c>
      <c r="S50" s="92" t="str">
        <f>VLOOKUP(C50,'Train Runs'!$A$13:$AE$9940,22,0)</f>
        <v>https://d0f6bd738d7f1b3e5a7ca70fe4ff75f0.us-east-1.aws.found.io/app/kibana#/discover/Steve-Slow-Train-Analysis-(2080s-and-2083s)?_g=(refreshInterval:(display:Off,pause:!f,section:0,value:0),time:(from:'2017-02-24T12:34:25-0700',mode:absolute,to:'2017-02-24T15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50" s="94" t="str">
        <f t="shared" si="10"/>
        <v>"C:\Program Files (x86)\AstroGrep\AstroGrep.exe" /spath="%USERPROFILE%\AppData\Local\Temp\OnboardLogs" /stypes="*4043*201702242*" /stext=" 21:.+((SYSTEM_STATE.+slice.+state.+changed )|(ment ac)|(multiple cpu faults)|(system.+state.+changed )|(\[timeout)|(PRM\|1\|D)|(kpr)|(kdp)|(\|lc)|(penalty))" /e /r /s</v>
      </c>
      <c r="U50" s="9" t="str">
        <f t="shared" si="11"/>
        <v>4043</v>
      </c>
      <c r="V50" s="32">
        <f t="shared" si="12"/>
        <v>42790.889872685184</v>
      </c>
      <c r="W50" s="46" t="str">
        <f t="shared" si="13"/>
        <v>EC</v>
      </c>
      <c r="X50" s="46" t="str">
        <f t="shared" si="14"/>
        <v>KEEP</v>
      </c>
      <c r="Y50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{"issue":{"subject":"","project_id":79,"tracker_id":40,"status_id":1,"priority_id":2,"assigned_to_id":23,"start_date":"2017-02-24","description":"","custom_fields":[{"id":1,"name":"Subdivision","value":"EC"},{"id":4,"name":"Milepost","value":"0.0001"},{"id":17,"name":"Train ID","value":"174-24"},{"id":16,"name":"Locomotive ID","value":"4043"},{"id":130,"name":"Impact","value":""},{"id":150,"name":"Time of Event (Mountain Time)","value":"14:21:25"},{"id":151,"name":"Denver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6"/>
        <v>grep -hSE -A400 "Enforcement Action" "%USERPROFILE%\AppData\Local\Temp\OnboardLogs"\RTDC4043\*4043*201702242*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"%USERPROFILE%\AppData\Local\Temp\OnboardLogs"\RTDC4043\*4043*201702242* &gt;&gt; 2017-02-24-SliceDisagreementCheck.txt</v>
      </c>
      <c r="AE50" s="157" t="str">
        <f t="shared" si="17"/>
        <v>start /low /b %USERPROFILE%\Documents\GitHub\eaglep3\Utilities\DownloadLogsFromS3.py --loco 4043 --day 2017-02-24</v>
      </c>
      <c r="AF50" s="1"/>
    </row>
    <row r="51" spans="1:32" x14ac:dyDescent="0.25">
      <c r="A51" s="32">
        <v>42790.578541666669</v>
      </c>
      <c r="B51" s="30" t="s">
        <v>354</v>
      </c>
      <c r="C51" s="30" t="s">
        <v>459</v>
      </c>
      <c r="D51" s="30" t="s">
        <v>49</v>
      </c>
      <c r="E51" s="30" t="s">
        <v>188</v>
      </c>
      <c r="F51" s="43">
        <v>0</v>
      </c>
      <c r="G51" s="43">
        <v>134</v>
      </c>
      <c r="H51" s="43">
        <v>232929</v>
      </c>
      <c r="I51" s="43">
        <v>233097</v>
      </c>
      <c r="J51" s="30" t="s">
        <v>189</v>
      </c>
      <c r="K51" s="43">
        <v>233491</v>
      </c>
      <c r="L51" s="143" t="s">
        <v>50</v>
      </c>
      <c r="M51" s="144">
        <f t="shared" si="9"/>
        <v>208.03200000000001</v>
      </c>
      <c r="N51" s="145" t="str">
        <f>VLOOKUP(C51,'Trips&amp;Operators'!$C$1:$G$99999,5,FALSE)</f>
        <v>CLARK KATHLEEN</v>
      </c>
      <c r="O51" s="194" t="s">
        <v>185</v>
      </c>
      <c r="P51" s="146"/>
      <c r="Q51" s="30"/>
      <c r="R51" s="89" t="str">
        <f>VLOOKUP(C51,'Train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51" s="92" t="str">
        <f>VLOOKUP(C51,'Train Runs'!$A$13:$AE$9940,22,0)</f>
        <v>https://d0f6bd738d7f1b3e5a7ca70fe4ff75f0.us-east-1.aws.found.io/app/kibana#/discover/Steve-Slow-Train-Analysis-(2080s-and-2083s)?_g=(refreshInterval:(display:Off,pause:!f,section:0,value:0),time:(from:'2017-02-24T12:09:22-0700',mode:absolute,to:'2017-02-24T14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1" s="94" t="str">
        <f t="shared" si="10"/>
        <v>"C:\Program Files (x86)\AstroGrep\AstroGrep.exe" /spath="%USERPROFILE%\AppData\Local\Temp\OnboardLogs" /stypes="*4009*201702242*" /stext=" 20:.+((SYSTEM_STATE.+slice.+state.+changed )|(ment ac)|(multiple cpu faults)|(system.+state.+changed )|(\[timeout)|(PRM\|1\|D)|(kpr)|(kdp)|(\|lc)|(penalty))" /e /r /s</v>
      </c>
      <c r="U51" s="9" t="str">
        <f t="shared" si="11"/>
        <v>4009</v>
      </c>
      <c r="V51" s="32">
        <f t="shared" si="12"/>
        <v>42790.870208333334</v>
      </c>
      <c r="W51" s="46" t="str">
        <f t="shared" si="13"/>
        <v>EC</v>
      </c>
      <c r="X51" s="46" t="str">
        <f t="shared" si="14"/>
        <v>KEEP</v>
      </c>
      <c r="Y51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{"issue":{"subject":"","project_id":79,"tracker_id":40,"status_id":1,"priority_id":2,"assigned_to_id":23,"start_date":"2017-02-24","description":"","custom_fields":[{"id":1,"name":"Subdivision","value":"EC"},{"id":4,"name":"Milepost","value":"23.3491"},{"id":17,"name":"Train ID","value":"177-24"},{"id":16,"name":"Locomotive ID","value":"4009"},{"id":130,"name":"Impact","value":""},{"id":150,"name":"Time of Event (Mountain Time)","value":"13:53:06"},{"id":151,"name":"Denver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6"/>
        <v>grep -hSE -A400 "Enforcement Action" "%USERPROFILE%\AppData\Local\Temp\OnboardLogs"\RTDC4009\*4009*201702242*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"%USERPROFILE%\AppData\Local\Temp\OnboardLogs"\RTDC4009\*4009*201702242* &gt;&gt; 2017-02-24-SliceDisagreementCheck.txt</v>
      </c>
      <c r="AE51" s="157" t="str">
        <f t="shared" si="17"/>
        <v>start /low /b %USERPROFILE%\Documents\GitHub\eaglep3\Utilities\DownloadLogsFromS3.py --loco 4009 --day 2017-02-24</v>
      </c>
      <c r="AF51" s="1"/>
    </row>
    <row r="52" spans="1:32" x14ac:dyDescent="0.25">
      <c r="A52" s="32">
        <v>42790.78601851852</v>
      </c>
      <c r="B52" s="30" t="s">
        <v>441</v>
      </c>
      <c r="C52" s="30" t="s">
        <v>470</v>
      </c>
      <c r="D52" s="30" t="s">
        <v>49</v>
      </c>
      <c r="E52" s="30" t="s">
        <v>188</v>
      </c>
      <c r="F52" s="43">
        <v>0</v>
      </c>
      <c r="G52" s="43">
        <v>54</v>
      </c>
      <c r="H52" s="43">
        <v>233291</v>
      </c>
      <c r="I52" s="43">
        <v>233332</v>
      </c>
      <c r="J52" s="30" t="s">
        <v>189</v>
      </c>
      <c r="K52" s="43">
        <v>233491</v>
      </c>
      <c r="L52" s="143" t="s">
        <v>50</v>
      </c>
      <c r="M52" s="144">
        <f t="shared" si="9"/>
        <v>83.951999999999998</v>
      </c>
      <c r="N52" s="145" t="str">
        <f>VLOOKUP(C52,'Trips&amp;Operators'!$C$1:$G$99999,5,FALSE)</f>
        <v>STAMBAUGH JAMES</v>
      </c>
      <c r="O52" s="194" t="s">
        <v>185</v>
      </c>
      <c r="P52" s="146"/>
      <c r="Q52" s="30"/>
      <c r="R52" s="89" t="str">
        <f>VLOOKUP(C52,'Train Runs'!$A$13:$AE$9940,31,0)</f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S52" s="92" t="str">
        <f>VLOOKUP(C52,'Train Runs'!$A$13:$AE$9940,22,0)</f>
        <v>https://d0f6bd738d7f1b3e5a7ca70fe4ff75f0.us-east-1.aws.found.io/app/kibana#/discover/Steve-Slow-Train-Analysis-(2080s-and-2083s)?_g=(refreshInterval:(display:Off,pause:!f,section:0,value:0),time:(from:'2017-02-24T17:07:49-0700',mode:absolute,to:'2017-02-24T19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2" s="94" t="str">
        <f t="shared" si="10"/>
        <v>"C:\Program Files (x86)\AstroGrep\AstroGrep.exe" /spath="%USERPROFILE%\AppData\Local\Temp\OnboardLogs" /stypes="*4022*201702250*" /stext=" 01:.+((SYSTEM_STATE.+slice.+state.+changed )|(ment ac)|(multiple cpu faults)|(system.+state.+changed )|(\[timeout)|(PRM\|1\|D)|(kpr)|(kdp)|(\|lc)|(penalty))" /e /r /s</v>
      </c>
      <c r="U52" s="9" t="str">
        <f t="shared" si="11"/>
        <v>4022</v>
      </c>
      <c r="V52" s="32">
        <f t="shared" si="12"/>
        <v>42791.077685185184</v>
      </c>
      <c r="W52" s="46" t="str">
        <f t="shared" si="13"/>
        <v>EC</v>
      </c>
      <c r="X52" s="46" t="str">
        <f t="shared" si="14"/>
        <v>KEEP</v>
      </c>
      <c r="Y52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{"issue":{"subject":"","project_id":79,"tracker_id":40,"status_id":1,"priority_id":2,"assigned_to_id":23,"start_date":"2017-02-24","description":"","custom_fields":[{"id":1,"name":"Subdivision","value":"EC"},{"id":4,"name":"Milepost","value":"23.3491"},{"id":17,"name":"Train ID","value":"217-24"},{"id":16,"name":"Locomotive ID","value":"4022"},{"id":130,"name":"Impact","value":""},{"id":150,"name":"Time of Event (Mountain Time)","value":"18:51:52"},{"id":151,"name":"Denver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6"/>
        <v>grep -hSE -A400 "Enforcement Action" "%USERPROFILE%\AppData\Local\Temp\OnboardLogs"\RTDC4022\*4022*201702250*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"%USERPROFILE%\AppData\Local\Temp\OnboardLogs"\RTDC4022\*4022*201702250* &gt;&gt; 2017-02-24-SliceDisagreementCheck.txt</v>
      </c>
      <c r="AE52" s="157" t="str">
        <f t="shared" si="17"/>
        <v>start /low /b %USERPROFILE%\Documents\GitHub\eaglep3\Utilities\DownloadLogsFromS3.py --loco 4022 --day 2017-02-25</v>
      </c>
      <c r="AF52" s="1"/>
    </row>
    <row r="53" spans="1:32" x14ac:dyDescent="0.25">
      <c r="A53" s="32">
        <v>42790.797592592593</v>
      </c>
      <c r="B53" s="30" t="s">
        <v>354</v>
      </c>
      <c r="C53" s="30" t="s">
        <v>469</v>
      </c>
      <c r="D53" s="30" t="s">
        <v>49</v>
      </c>
      <c r="E53" s="30" t="s">
        <v>188</v>
      </c>
      <c r="F53" s="43">
        <v>0</v>
      </c>
      <c r="G53" s="43">
        <v>28</v>
      </c>
      <c r="H53" s="43">
        <v>233414</v>
      </c>
      <c r="I53" s="43">
        <v>233427</v>
      </c>
      <c r="J53" s="30" t="s">
        <v>189</v>
      </c>
      <c r="K53" s="43">
        <v>233491</v>
      </c>
      <c r="L53" s="143" t="s">
        <v>50</v>
      </c>
      <c r="M53" s="144">
        <f t="shared" si="9"/>
        <v>33.792000000000002</v>
      </c>
      <c r="N53" s="145" t="str">
        <f>VLOOKUP(C53,'Trips&amp;Operators'!$C$1:$G$99999,5,FALSE)</f>
        <v>HILLS DUSTIN</v>
      </c>
      <c r="O53" s="194" t="s">
        <v>185</v>
      </c>
      <c r="P53" s="146"/>
      <c r="Q53" s="30"/>
      <c r="R53" s="89" t="str">
        <f>VLOOKUP(C53,'Train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53" s="92" t="str">
        <f>VLOOKUP(C53,'Train Runs'!$A$13:$AE$9940,22,0)</f>
        <v>https://d0f6bd738d7f1b3e5a7ca70fe4ff75f0.us-east-1.aws.found.io/app/kibana#/discover/Steve-Slow-Train-Analysis-(2080s-and-2083s)?_g=(refreshInterval:(display:Off,pause:!f,section:0,value:0),time:(from:'2017-02-24T17:25:13-0700',mode:absolute,to:'2017-02-24T20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3" s="94" t="str">
        <f t="shared" si="10"/>
        <v>"C:\Program Files (x86)\AstroGrep\AstroGrep.exe" /spath="%USERPROFILE%\AppData\Local\Temp\OnboardLogs" /stypes="*4009*201702250*" /stext=" 02:.+((SYSTEM_STATE.+slice.+state.+changed )|(ment ac)|(multiple cpu faults)|(system.+state.+changed )|(\[timeout)|(PRM\|1\|D)|(kpr)|(kdp)|(\|lc)|(penalty))" /e /r /s</v>
      </c>
      <c r="U53" s="9" t="str">
        <f t="shared" si="11"/>
        <v>4009</v>
      </c>
      <c r="V53" s="32">
        <f t="shared" si="12"/>
        <v>42791.089259259257</v>
      </c>
      <c r="W53" s="46" t="str">
        <f t="shared" si="13"/>
        <v>EC</v>
      </c>
      <c r="X53" s="46" t="str">
        <f t="shared" si="14"/>
        <v>KEEP</v>
      </c>
      <c r="Y53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{"issue":{"subject":"","project_id":79,"tracker_id":40,"status_id":1,"priority_id":2,"assigned_to_id":23,"start_date":"2017-02-24","description":"","custom_fields":[{"id":1,"name":"Subdivision","value":"EC"},{"id":4,"name":"Milepost","value":"23.3491"},{"id":17,"name":"Train ID","value":"219-24"},{"id":16,"name":"Locomotive ID","value":"4009"},{"id":130,"name":"Impact","value":""},{"id":150,"name":"Time of Event (Mountain Time)","value":"19:08:32"},{"id":151,"name":"Denver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6"/>
        <v>grep -hSE -A400 "Enforcement Action" "%USERPROFILE%\AppData\Local\Temp\OnboardLogs"\RTDC4009\*4009*201702250*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"%USERPROFILE%\AppData\Local\Temp\OnboardLogs"\RTDC4009\*4009*201702250* &gt;&gt; 2017-02-24-SliceDisagreementCheck.txt</v>
      </c>
      <c r="AE53" s="157" t="str">
        <f t="shared" si="17"/>
        <v>start /low /b %USERPROFILE%\Documents\GitHub\eaglep3\Utilities\DownloadLogsFromS3.py --loco 4009 --day 2017-02-25</v>
      </c>
      <c r="AF53" s="1"/>
    </row>
    <row r="54" spans="1:32" x14ac:dyDescent="0.25">
      <c r="A54" s="32">
        <v>42790.857916666668</v>
      </c>
      <c r="B54" s="30" t="s">
        <v>441</v>
      </c>
      <c r="C54" s="30" t="s">
        <v>475</v>
      </c>
      <c r="D54" s="30" t="s">
        <v>49</v>
      </c>
      <c r="E54" s="30" t="s">
        <v>188</v>
      </c>
      <c r="F54" s="43">
        <v>0</v>
      </c>
      <c r="G54" s="43">
        <v>51</v>
      </c>
      <c r="H54" s="43">
        <v>233316</v>
      </c>
      <c r="I54" s="43">
        <v>233355</v>
      </c>
      <c r="J54" s="30" t="s">
        <v>189</v>
      </c>
      <c r="K54" s="43">
        <v>233491</v>
      </c>
      <c r="L54" s="143" t="s">
        <v>50</v>
      </c>
      <c r="M54" s="144">
        <f t="shared" si="9"/>
        <v>71.808000000000007</v>
      </c>
      <c r="N54" s="145" t="str">
        <f>VLOOKUP(C54,'Trips&amp;Operators'!$C$1:$G$99999,5,FALSE)</f>
        <v>STAMBAUGH JAMES</v>
      </c>
      <c r="O54" s="194" t="s">
        <v>185</v>
      </c>
      <c r="P54" s="146"/>
      <c r="Q54" s="30"/>
      <c r="R54" s="89" t="str">
        <f>VLOOKUP(C54,'Train Runs'!$A$13:$AE$9940,31,0)</f>
        <v>aws s3 cp s3://rtdc.mdm.uploadarchive.raw/RTDC4022/ "%USERPROFILE%\AppData\Local\Temp\OnboardLogs"\RTDC4022\2017-02-24 --exclude "*" --recursive --include "*20170224*" &amp; "%USERPROFILE%\Documents\GitHub\mrs-test-scripts\Headless Mode &amp; Sideloading\WalkAndUnGZ.bat" "%USERPROFILE%\AppData\Local\Temp\OnboardLogs"\RTDC4022\2017-02-24 &amp; aws s3 cp s3://rtdc.mdm.uploadarchive.raw/RTDC4022/ "%USERPROFILE%\AppData\Local\Temp\OnboardLogs"\RTDC4022\2017-02-25 --exclude "*" --recursive --include "*20170225*" &amp; "%USERPROFILE%\Documents\GitHub\mrs-test-scripts\Headless Mode &amp; Sideloading\WalkAndUnGZ.bat" "%USERPROFILE%\AppData\Local\Temp\OnboardLogs"\RTDC4022\2017-02-25</v>
      </c>
      <c r="S54" s="92" t="str">
        <f>VLOOKUP(C54,'Train Runs'!$A$13:$AE$9940,22,0)</f>
        <v>https://d0f6bd738d7f1b3e5a7ca70fe4ff75f0.us-east-1.aws.found.io/app/kibana#/discover/Steve-Slow-Train-Analysis-(2080s-and-2083s)?_g=(refreshInterval:(display:Off,pause:!f,section:0,value:0),time:(from:'2017-02-24T18:53:07-0700',mode:absolute,to:'2017-02-24T21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4" s="94" t="str">
        <f t="shared" si="10"/>
        <v>"C:\Program Files (x86)\AstroGrep\AstroGrep.exe" /spath="%USERPROFILE%\AppData\Local\Temp\OnboardLogs" /stypes="*4022*201702250*" /stext=" 03:.+((SYSTEM_STATE.+slice.+state.+changed )|(ment ac)|(multiple cpu faults)|(system.+state.+changed )|(\[timeout)|(PRM\|1\|D)|(kpr)|(kdp)|(\|lc)|(penalty))" /e /r /s</v>
      </c>
      <c r="U54" s="9" t="str">
        <f t="shared" si="11"/>
        <v>4022</v>
      </c>
      <c r="V54" s="32">
        <f t="shared" si="12"/>
        <v>42791.149583333332</v>
      </c>
      <c r="W54" s="46" t="str">
        <f t="shared" si="13"/>
        <v>EC</v>
      </c>
      <c r="X54" s="46" t="str">
        <f t="shared" si="14"/>
        <v>KEEP</v>
      </c>
      <c r="Y54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{"issue":{"subject":"","project_id":79,"tracker_id":40,"status_id":1,"priority_id":2,"assigned_to_id":23,"start_date":"2017-02-24","description":"","custom_fields":[{"id":1,"name":"Subdivision","value":"EC"},{"id":4,"name":"Milepost","value":"23.3491"},{"id":17,"name":"Train ID","value":"225-24"},{"id":16,"name":"Locomotive ID","value":"4022"},{"id":130,"name":"Impact","value":""},{"id":150,"name":"Time of Event (Mountain Time)","value":"20:35:24"},{"id":151,"name":"Denver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6"/>
        <v>grep -hSE -A400 "Enforcement Action" "%USERPROFILE%\AppData\Local\Temp\OnboardLogs"\RTDC4022\*4022*201702250*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"%USERPROFILE%\AppData\Local\Temp\OnboardLogs"\RTDC4022\*4022*201702250* &gt;&gt; 2017-02-24-SliceDisagreementCheck.txt</v>
      </c>
      <c r="AE54" s="157" t="str">
        <f t="shared" si="17"/>
        <v>start /low /b %USERPROFILE%\Documents\GitHub\eaglep3\Utilities\DownloadLogsFromS3.py --loco 4022 --day 2017-02-25</v>
      </c>
      <c r="AF54" s="1"/>
    </row>
    <row r="55" spans="1:32" x14ac:dyDescent="0.25">
      <c r="A55" s="32">
        <v>42790.881562499999</v>
      </c>
      <c r="B55" s="30" t="s">
        <v>354</v>
      </c>
      <c r="C55" s="30" t="s">
        <v>476</v>
      </c>
      <c r="D55" s="30" t="s">
        <v>49</v>
      </c>
      <c r="E55" s="30" t="s">
        <v>188</v>
      </c>
      <c r="F55" s="43">
        <v>0</v>
      </c>
      <c r="G55" s="43">
        <v>39</v>
      </c>
      <c r="H55" s="43">
        <v>233387</v>
      </c>
      <c r="I55" s="43">
        <v>233417</v>
      </c>
      <c r="J55" s="30" t="s">
        <v>189</v>
      </c>
      <c r="K55" s="43">
        <v>233491</v>
      </c>
      <c r="L55" s="143" t="s">
        <v>50</v>
      </c>
      <c r="M55" s="144">
        <f t="shared" si="9"/>
        <v>39.072000000000003</v>
      </c>
      <c r="N55" s="145" t="str">
        <f>VLOOKUP(C55,'Trips&amp;Operators'!$C$1:$G$99999,5,FALSE)</f>
        <v>HILLS DUSTIN</v>
      </c>
      <c r="O55" s="194" t="s">
        <v>185</v>
      </c>
      <c r="P55" s="146"/>
      <c r="Q55" s="30"/>
      <c r="R55" s="89" t="str">
        <f>VLOOKUP(C55,'Train Runs'!$A$13:$AE$9940,31,0)</f>
        <v>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 &amp; aws s3 cp s3://rtdc.mdm.uploadarchive.raw/RTDC4009/ "%USERPROFILE%\AppData\Local\Temp\OnboardLogs"\RTDC4009\2017-02-25 --exclude "*" --recursive --include "*20170225*" &amp; "%USERPROFILE%\Documents\GitHub\mrs-test-scripts\Headless Mode &amp; Sideloading\WalkAndUnGZ.bat" "%USERPROFILE%\AppData\Local\Temp\OnboardLogs"\RTDC4009\2017-02-25</v>
      </c>
      <c r="S55" s="92" t="str">
        <f>VLOOKUP(C55,'Train Runs'!$A$13:$AE$9940,22,0)</f>
        <v>https://d0f6bd738d7f1b3e5a7ca70fe4ff75f0.us-east-1.aws.found.io/app/kibana#/discover/Steve-Slow-Train-Analysis-(2080s-and-2083s)?_g=(refreshInterval:(display:Off,pause:!f,section:0,value:0),time:(from:'2017-02-24T19:07:55-0700',mode:absolute,to:'2017-02-24T22:09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5" s="94" t="str">
        <f t="shared" si="10"/>
        <v>"C:\Program Files (x86)\AstroGrep\AstroGrep.exe" /spath="%USERPROFILE%\AppData\Local\Temp\OnboardLogs" /stypes="*4009*201702250*" /stext=" 04:.+((SYSTEM_STATE.+slice.+state.+changed )|(ment ac)|(multiple cpu faults)|(system.+state.+changed )|(\[timeout)|(PRM\|1\|D)|(kpr)|(kdp)|(\|lc)|(penalty))" /e /r /s</v>
      </c>
      <c r="U55" s="9" t="str">
        <f t="shared" si="11"/>
        <v>4009</v>
      </c>
      <c r="V55" s="32">
        <f t="shared" si="12"/>
        <v>42791.173229166663</v>
      </c>
      <c r="W55" s="46" t="str">
        <f t="shared" si="13"/>
        <v>EC</v>
      </c>
      <c r="X55" s="46" t="str">
        <f t="shared" si="14"/>
        <v>KEEP</v>
      </c>
      <c r="Y55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{"issue":{"subject":"","project_id":79,"tracker_id":40,"status_id":1,"priority_id":2,"assigned_to_id":23,"start_date":"2017-02-24","description":"","custom_fields":[{"id":1,"name":"Subdivision","value":"EC"},{"id":4,"name":"Milepost","value":"23.3491"},{"id":17,"name":"Train ID","value":"227-24"},{"id":16,"name":"Locomotive ID","value":"4009"},{"id":130,"name":"Impact","value":""},{"id":150,"name":"Time of Event (Mountain Time)","value":"21:09:27"},{"id":151,"name":"Denver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6"/>
        <v>grep -hSE -A400 "Enforcement Action" "%USERPROFILE%\AppData\Local\Temp\OnboardLogs"\RTDC4009\*4009*201702250*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"%USERPROFILE%\AppData\Local\Temp\OnboardLogs"\RTDC4009\*4009*201702250* &gt;&gt; 2017-02-24-SliceDisagreementCheck.txt</v>
      </c>
      <c r="AE55" s="157" t="str">
        <f t="shared" si="17"/>
        <v>start /low /b %USERPROFILE%\Documents\GitHub\eaglep3\Utilities\DownloadLogsFromS3.py --loco 4009 --day 2017-02-25</v>
      </c>
      <c r="AF55" s="1"/>
    </row>
    <row r="56" spans="1:32" x14ac:dyDescent="0.25">
      <c r="A56" s="32">
        <v>42790.616932870369</v>
      </c>
      <c r="B56" s="30" t="s">
        <v>229</v>
      </c>
      <c r="C56" s="30" t="s">
        <v>461</v>
      </c>
      <c r="D56" s="30" t="s">
        <v>49</v>
      </c>
      <c r="E56" s="30" t="s">
        <v>276</v>
      </c>
      <c r="F56" s="43">
        <v>300</v>
      </c>
      <c r="G56" s="43">
        <v>532</v>
      </c>
      <c r="H56" s="43">
        <v>26275</v>
      </c>
      <c r="I56" s="43">
        <v>24296</v>
      </c>
      <c r="J56" s="30" t="s">
        <v>277</v>
      </c>
      <c r="K56" s="43">
        <v>23561</v>
      </c>
      <c r="L56" s="143" t="s">
        <v>51</v>
      </c>
      <c r="M56" s="144">
        <f t="shared" si="9"/>
        <v>388.08</v>
      </c>
      <c r="N56" s="145" t="str">
        <f>VLOOKUP(C56,'Trips&amp;Operators'!$C$1:$G$99999,5,FALSE)</f>
        <v>LEVERE CRAIG</v>
      </c>
      <c r="O56" s="194" t="s">
        <v>185</v>
      </c>
      <c r="P56" s="146"/>
      <c r="Q56" s="30"/>
      <c r="R56" s="89" t="str">
        <f>VLOOKUP(C56,'Train Runs'!$A$13:$AE$9940,31,0)</f>
        <v>aws s3 cp s3://rtdc.mdm.uploadarchive.raw/RTDC4054/ "%USERPROFILE%\AppData\Local\Temp\OnboardLogs"\RTDC4054\2017-02-24 --exclude "*" --recursive --include "*20170224*" &amp; "%USERPROFILE%\Documents\GitHub\mrs-test-scripts\Headless Mode &amp; Sideloading\WalkAndUnGZ.bat" "%USERPROFILE%\AppData\Local\Temp\OnboardLogs"\RTDC4054\2017-02-24 &amp; aws s3 cp s3://rtdc.mdm.uploadarchive.raw/RTDC4054/ "%USERPROFILE%\AppData\Local\Temp\OnboardLogs"\RTDC4054\2017-02-25 --exclude "*" --recursive --include "*20170225*" &amp; "%USERPROFILE%\Documents\GitHub\mrs-test-scripts\Headless Mode &amp; Sideloading\WalkAndUnGZ.bat" "%USERPROFILE%\AppData\Local\Temp\OnboardLogs"\RTDC4054\2017-02-25</v>
      </c>
      <c r="S56" s="92" t="str">
        <f>VLOOKUP(C56,'Train Runs'!$A$13:$AE$9940,22,0)</f>
        <v>https://d0f6bd738d7f1b3e5a7ca70fe4ff75f0.us-east-1.aws.found.io/app/kibana#/discover/Steve-Slow-Train-Analysis-(2080s-and-2083s)?_g=(refreshInterval:(display:Off,pause:!f,section:0,value:0),time:(from:'2017-02-24T13:36:33-0700',mode:absolute,to:'2017-02-24T15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56" s="94" t="str">
        <f t="shared" si="10"/>
        <v>"C:\Program Files (x86)\AstroGrep\AstroGrep.exe" /spath="%USERPROFILE%\AppData\Local\Temp\OnboardLogs" /stypes="*4054*201702242*" /stext=" 21:.+((SYSTEM_STATE.+slice.+state.+changed )|(ment ac)|(multiple cpu faults)|(system.+state.+changed )|(\[timeout)|(PRM\|1\|D)|(kpr)|(kdp)|(\|lc)|(penalty))" /e /r /s</v>
      </c>
      <c r="U56" s="9" t="str">
        <f t="shared" si="11"/>
        <v>4054</v>
      </c>
      <c r="V56" s="32">
        <f t="shared" si="12"/>
        <v>42790.908599537033</v>
      </c>
      <c r="W56" s="46" t="str">
        <f t="shared" si="13"/>
        <v>NW</v>
      </c>
      <c r="X56" s="46" t="str">
        <f t="shared" si="14"/>
        <v>KEEP</v>
      </c>
      <c r="Y56" s="108" t="str">
        <f t="shared" si="15"/>
        <v>echo {"issue":{"subject":"","project_id":79,"tracker_id":40,"status_id":1,"priority_id":2,"assigned_to_id":23,"start_date":"2017-02-24","description":"","custom_fields":[{"id":1,"name":"Subdivision","value":"NW"},{"id":4,"name":"Milepost","value":"2.3561"},{"id":17,"name":"Train ID","value":"824-24"},{"id":16,"name":"Locomotive ID","value":"4054"},{"id":130,"name":"Impact","value":""},{"id":150,"name":"Time of Event (Mountain Time)","value":"14:48:23"},{"id":151,"name":"Denver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6"/>
        <v>grep -hSE -A400 "Enforcement Action" "%USERPROFILE%\AppData\Local\Temp\OnboardLogs"\RTDC4054\*4054*201702242*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"%USERPROFILE%\AppData\Local\Temp\OnboardLogs"\RTDC4054\*4054*201702242* &gt;&gt; 2017-02-24-SliceDisagreementCheck.txt</v>
      </c>
      <c r="AE56" s="157" t="str">
        <f t="shared" si="17"/>
        <v>start /low /b %USERPROFILE%\Documents\GitHub\eaglep3\Utilities\DownloadLogsFromS3.py --loco 4054 --day 2017-02-24</v>
      </c>
      <c r="AF56" s="1"/>
    </row>
    <row r="57" spans="1:32" x14ac:dyDescent="0.25">
      <c r="A57" s="32">
        <v>42790.795127314814</v>
      </c>
      <c r="B57" s="30" t="s">
        <v>236</v>
      </c>
      <c r="C57" s="30" t="s">
        <v>471</v>
      </c>
      <c r="D57" s="30" t="s">
        <v>49</v>
      </c>
      <c r="E57" s="30" t="s">
        <v>188</v>
      </c>
      <c r="F57" s="43">
        <v>0</v>
      </c>
      <c r="G57" s="43">
        <v>35</v>
      </c>
      <c r="H57" s="43">
        <v>58963</v>
      </c>
      <c r="I57" s="43">
        <v>58993</v>
      </c>
      <c r="J57" s="30" t="s">
        <v>189</v>
      </c>
      <c r="K57" s="43">
        <v>59048</v>
      </c>
      <c r="L57" s="143" t="s">
        <v>50</v>
      </c>
      <c r="M57" s="144">
        <f t="shared" si="9"/>
        <v>29.04</v>
      </c>
      <c r="N57" s="145" t="str">
        <f>VLOOKUP(C57,'Trips&amp;Operators'!$C$1:$G$99999,5,FALSE)</f>
        <v>SMITH MICHAEL</v>
      </c>
      <c r="O57" s="194" t="s">
        <v>185</v>
      </c>
      <c r="P57" s="146"/>
      <c r="Q57" s="30"/>
      <c r="R57" s="89" t="str">
        <f>VLOOKUP(C57,'Train Runs'!$A$13:$AE$9940,31,0)</f>
        <v>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 &amp; aws s3 cp s3://rtdc.mdm.uploadarchive.raw/RTDC4003/ "%USERPROFILE%\AppData\Local\Temp\OnboardLogs"\RTDC4003\2017-02-25 --exclude "*" --recursive --include "*20170225*" &amp; "%USERPROFILE%\Documents\GitHub\mrs-test-scripts\Headless Mode &amp; Sideloading\WalkAndUnGZ.bat" "%USERPROFILE%\AppData\Local\Temp\OnboardLogs"\RTDC4003\2017-02-25</v>
      </c>
      <c r="S57" s="92" t="str">
        <f>VLOOKUP(C57,'Train Runs'!$A$13:$AE$9940,22,0)</f>
        <v>https://d0f6bd738d7f1b3e5a7ca70fe4ff75f0.us-east-1.aws.found.io/app/kibana#/discover/Steve-Slow-Train-Analysis-(2080s-and-2083s)?_g=(refreshInterval:(display:Off,pause:!f,section:0,value:0),time:(from:'2017-02-24T17:30:04-0700',mode:absolute,to:'2017-02-24T20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57" s="94" t="str">
        <f t="shared" si="10"/>
        <v>"C:\Program Files (x86)\AstroGrep\AstroGrep.exe" /spath="%USERPROFILE%\AppData\Local\Temp\OnboardLogs" /stypes="*4003*201702250*" /stext=" 02:.+((SYSTEM_STATE.+slice.+state.+changed )|(ment ac)|(multiple cpu faults)|(system.+state.+changed )|(\[timeout)|(PRM\|1\|D)|(kpr)|(kdp)|(\|lc)|(penalty))" /e /r /s</v>
      </c>
      <c r="U57" s="9" t="str">
        <f t="shared" si="11"/>
        <v>4003</v>
      </c>
      <c r="V57" s="32">
        <f t="shared" si="12"/>
        <v>42791.086793981478</v>
      </c>
      <c r="W57" s="46" t="str">
        <f t="shared" si="13"/>
        <v>NW</v>
      </c>
      <c r="X57" s="46" t="str">
        <f t="shared" si="14"/>
        <v>KEEP</v>
      </c>
      <c r="Y57" s="108" t="str">
        <f t="shared" si="15"/>
        <v>echo {"issue":{"subject":"","project_id":79,"tracker_id":40,"status_id":1,"priority_id":2,"assigned_to_id":23,"start_date":"2017-02-24","description":"","custom_fields":[{"id":1,"name":"Subdivision","value":"NW"},{"id":4,"name":"Milepost","value":"5.9048"},{"id":17,"name":"Train ID","value":"839-24"},{"id":16,"name":"Locomotive ID","value":"4003"},{"id":130,"name":"Impact","value":""},{"id":150,"name":"Time of Event (Mountain Time)","value":"19:04:59"},{"id":151,"name":"Denver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6"/>
        <v>grep -hSE -A400 "Enforcement Action" "%USERPROFILE%\AppData\Local\Temp\OnboardLogs"\RTDC4003\*4003*201702250*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"%USERPROFILE%\AppData\Local\Temp\OnboardLogs"\RTDC4003\*4003*201702250* &gt;&gt; 2017-02-24-SliceDisagreementCheck.txt</v>
      </c>
      <c r="AE57" s="157" t="str">
        <f t="shared" si="17"/>
        <v>start /low /b %USERPROFILE%\Documents\GitHub\eaglep3\Utilities\DownloadLogsFromS3.py --loco 4003 --day 2017-02-25</v>
      </c>
      <c r="AF57" s="1"/>
    </row>
    <row r="58" spans="1:32" x14ac:dyDescent="0.25">
      <c r="A58" s="32">
        <v>42790.801851851851</v>
      </c>
      <c r="B58" s="30" t="s">
        <v>463</v>
      </c>
      <c r="C58" s="30" t="s">
        <v>472</v>
      </c>
      <c r="D58" s="30" t="s">
        <v>49</v>
      </c>
      <c r="E58" s="30" t="s">
        <v>197</v>
      </c>
      <c r="F58" s="43">
        <v>0</v>
      </c>
      <c r="G58" s="43">
        <v>362</v>
      </c>
      <c r="H58" s="43">
        <v>10456</v>
      </c>
      <c r="I58" s="43">
        <v>11253</v>
      </c>
      <c r="J58" s="30" t="s">
        <v>198</v>
      </c>
      <c r="K58" s="43">
        <v>10716</v>
      </c>
      <c r="L58" s="143" t="s">
        <v>50</v>
      </c>
      <c r="M58" s="144">
        <f t="shared" si="9"/>
        <v>-283.536</v>
      </c>
      <c r="N58" s="145" t="str">
        <f>VLOOKUP(C58,'Trips&amp;Operators'!$C$1:$G$99999,5,FALSE)</f>
        <v>KILLION DAVID</v>
      </c>
      <c r="O58" s="194" t="s">
        <v>185</v>
      </c>
      <c r="P58" s="146"/>
      <c r="Q58" s="30"/>
      <c r="R58" s="89" t="str">
        <f>VLOOKUP(C58,'Train Runs'!$A$13:$AE$9940,31,0)</f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S58" s="92" t="str">
        <f>VLOOKUP(C58,'Train Runs'!$A$13:$AE$9940,22,0)</f>
        <v>https://d0f6bd738d7f1b3e5a7ca70fe4ff75f0.us-east-1.aws.found.io/app/kibana#/discover/Steve-Slow-Train-Analysis-(2080s-and-2083s)?_g=(refreshInterval:(display:Off,pause:!f,section:0,value:0),time:(from:'2017-02-24T18:09:16-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58" s="94" t="str">
        <f t="shared" si="10"/>
        <v>"C:\Program Files (x86)\AstroGrep\AstroGrep.exe" /spath="%USERPROFILE%\AppData\Local\Temp\OnboardLogs" /stypes="*4051*201702250*" /stext=" 02:.+((SYSTEM_STATE.+slice.+state.+changed )|(ment ac)|(multiple cpu faults)|(system.+state.+changed )|(\[timeout)|(PRM\|1\|D)|(kpr)|(kdp)|(\|lc)|(penalty))" /e /r /s</v>
      </c>
      <c r="U58" s="9" t="str">
        <f t="shared" si="11"/>
        <v>4051</v>
      </c>
      <c r="V58" s="32">
        <f t="shared" si="12"/>
        <v>42791.093518518515</v>
      </c>
      <c r="W58" s="46" t="str">
        <f t="shared" si="13"/>
        <v>Other</v>
      </c>
      <c r="X58" s="46" t="str">
        <f t="shared" si="14"/>
        <v>KEEP</v>
      </c>
      <c r="Y58" s="108" t="str">
        <f t="shared" si="15"/>
        <v>echo {"issue":{"subject":"","project_id":79,"tracker_id":40,"status_id":1,"priority_id":2,"assigned_to_id":23,"start_date":"2017-02-24","description":"","custom_fields":[{"id":1,"name":"Subdivision","value":"Other"},{"id":4,"name":"Milepost","value":"1.0716"},{"id":17,"name":"Train ID","value":"305-24"},{"id":16,"name":"Locomotive ID","value":"4051"},{"id":130,"name":"Impact","value":""},{"id":150,"name":"Time of Event (Mountain Time)","value":"19:14:40"},{"id":151,"name":"Denver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6"/>
        <v>grep -hSE -A400 "Enforcement Action" "%USERPROFILE%\AppData\Local\Temp\OnboardLogs"\RTDC4051\*4051*201702250*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"%USERPROFILE%\AppData\Local\Temp\OnboardLogs"\RTDC4051\*4051*201702250* &gt;&gt; 2017-02-24-SliceDisagreementCheck.txt</v>
      </c>
      <c r="AE58" s="157" t="str">
        <f t="shared" si="17"/>
        <v>start /low /b %USERPROFILE%\Documents\GitHub\eaglep3\Utilities\DownloadLogsFromS3.py --loco 4051 --day 2017-02-25</v>
      </c>
      <c r="AF58" s="1"/>
    </row>
    <row r="59" spans="1:32" x14ac:dyDescent="0.25">
      <c r="A59" s="32">
        <v>42790.124780092592</v>
      </c>
      <c r="B59" s="30" t="s">
        <v>433</v>
      </c>
      <c r="C59" s="30" t="s">
        <v>434</v>
      </c>
      <c r="D59" s="30" t="s">
        <v>49</v>
      </c>
      <c r="E59" s="30" t="s">
        <v>186</v>
      </c>
      <c r="F59" s="43">
        <v>0</v>
      </c>
      <c r="G59" s="43">
        <v>129</v>
      </c>
      <c r="H59" s="43">
        <v>7000</v>
      </c>
      <c r="I59" s="43">
        <v>6836</v>
      </c>
      <c r="J59" s="30" t="s">
        <v>187</v>
      </c>
      <c r="K59" s="43">
        <v>6799</v>
      </c>
      <c r="L59" s="143" t="s">
        <v>51</v>
      </c>
      <c r="M59" s="144">
        <f t="shared" si="9"/>
        <v>19.536000000000001</v>
      </c>
      <c r="N59" s="145" t="str">
        <f>VLOOKUP(C59,'Trips&amp;Operators'!$C$1:$G$99999,5,FALSE)</f>
        <v>BADERTSCHER DIANE</v>
      </c>
      <c r="O59" s="194" t="s">
        <v>185</v>
      </c>
      <c r="P59" s="146"/>
      <c r="Q59" s="30"/>
      <c r="R59" s="89" t="str">
        <f>VLOOKUP(C59,'Train Runs'!$A$13:$AE$9940,31,0)</f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S59" s="92" t="str">
        <f>VLOOKUP(C59,'Train Runs'!$A$13:$AE$9940,22,0)</f>
        <v>https://d0f6bd738d7f1b3e5a7ca70fe4ff75f0.us-east-1.aws.found.io/app/kibana#/discover/Steve-Slow-Train-Analysis-(2080s-and-2083s)?_g=(refreshInterval:(display:Off,pause:!f,section:0,value:0),time:(from:'2017-02-24T01:52:23-0700',mode:absolute,to:'2017-02-24T04:02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59" s="94" t="str">
        <f t="shared" si="10"/>
        <v>"C:\Program Files (x86)\AstroGrep\AstroGrep.exe" /spath="%USERPROFILE%\AppData\Local\Temp\OnboardLogs" /stypes="*4052*201702240*" /stext=" 09:.+((SYSTEM_STATE.+slice.+state.+changed )|(ment ac)|(multiple cpu faults)|(system.+state.+changed )|(\[timeout)|(PRM\|1\|D)|(kpr)|(kdp)|(\|lc)|(penalty))" /e /r /s</v>
      </c>
      <c r="U59" s="9" t="str">
        <f t="shared" si="11"/>
        <v>4052</v>
      </c>
      <c r="V59" s="32">
        <f t="shared" si="12"/>
        <v>42790.416446759256</v>
      </c>
      <c r="W59" s="46" t="str">
        <f t="shared" si="13"/>
        <v>Other</v>
      </c>
      <c r="X59" s="46" t="str">
        <f t="shared" si="14"/>
        <v>KEEP</v>
      </c>
      <c r="Y59" s="108" t="str">
        <f t="shared" si="15"/>
        <v>echo {"issue":{"subject":"","project_id":79,"tracker_id":40,"status_id":1,"priority_id":2,"assigned_to_id":23,"start_date":"2017-02-24","description":"","custom_fields":[{"id":1,"name":"Subdivision","value":"Other"},{"id":4,"name":"Milepost","value":"0.6799"},{"id":17,"name":"Train ID","value":"302-24"},{"id":16,"name":"Locomotive ID","value":"4052"},{"id":130,"name":"Impact","value":""},{"id":150,"name":"Time of Event (Mountain Time)","value":"02:59:41"},{"id":151,"name":"Denver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6"/>
        <v>grep -hSE -A400 "Enforcement Action" "%USERPROFILE%\AppData\Local\Temp\OnboardLogs"\RTDC4052\*4052*201702240*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"%USERPROFILE%\AppData\Local\Temp\OnboardLogs"\RTDC4052\*4052*201702240* &gt;&gt; 2017-02-24-SliceDisagreementCheck.txt</v>
      </c>
      <c r="AE59" s="157" t="str">
        <f t="shared" si="17"/>
        <v>start /low /b %USERPROFILE%\Documents\GitHub\eaglep3\Utilities\DownloadLogsFromS3.py --loco 4052 --day 2017-02-24</v>
      </c>
      <c r="AF59" s="1"/>
    </row>
    <row r="60" spans="1:32" x14ac:dyDescent="0.25">
      <c r="A60" s="32">
        <v>42790.125474537039</v>
      </c>
      <c r="B60" s="30" t="s">
        <v>433</v>
      </c>
      <c r="C60" s="30" t="s">
        <v>434</v>
      </c>
      <c r="D60" s="30" t="s">
        <v>49</v>
      </c>
      <c r="E60" s="30" t="s">
        <v>186</v>
      </c>
      <c r="F60" s="43">
        <v>0</v>
      </c>
      <c r="G60" s="43">
        <v>129</v>
      </c>
      <c r="H60" s="43">
        <v>7000</v>
      </c>
      <c r="I60" s="43">
        <v>6739</v>
      </c>
      <c r="J60" s="30" t="s">
        <v>187</v>
      </c>
      <c r="K60" s="43">
        <v>6799</v>
      </c>
      <c r="L60" s="143" t="s">
        <v>51</v>
      </c>
      <c r="M60" s="144">
        <f t="shared" si="9"/>
        <v>-31.68</v>
      </c>
      <c r="N60" s="145" t="str">
        <f>VLOOKUP(C60,'Trips&amp;Operators'!$C$1:$G$99999,5,FALSE)</f>
        <v>BADERTSCHER DIANE</v>
      </c>
      <c r="O60" s="194" t="s">
        <v>185</v>
      </c>
      <c r="P60" s="146"/>
      <c r="Q60" s="30"/>
      <c r="R60" s="89" t="str">
        <f>VLOOKUP(C60,'Train Runs'!$A$13:$AE$9940,31,0)</f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S60" s="92" t="str">
        <f>VLOOKUP(C60,'Train Runs'!$A$13:$AE$9940,22,0)</f>
        <v>https://d0f6bd738d7f1b3e5a7ca70fe4ff75f0.us-east-1.aws.found.io/app/kibana#/discover/Steve-Slow-Train-Analysis-(2080s-and-2083s)?_g=(refreshInterval:(display:Off,pause:!f,section:0,value:0),time:(from:'2017-02-24T01:52:23-0700',mode:absolute,to:'2017-02-24T04:02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60" s="94" t="str">
        <f t="shared" si="10"/>
        <v>"C:\Program Files (x86)\AstroGrep\AstroGrep.exe" /spath="%USERPROFILE%\AppData\Local\Temp\OnboardLogs" /stypes="*4052*201702241*" /stext=" 10:.+((SYSTEM_STATE.+slice.+state.+changed )|(ment ac)|(multiple cpu faults)|(system.+state.+changed )|(\[timeout)|(PRM\|1\|D)|(kpr)|(kdp)|(\|lc)|(penalty))" /e /r /s</v>
      </c>
      <c r="U60" s="9" t="str">
        <f t="shared" si="11"/>
        <v>4052</v>
      </c>
      <c r="V60" s="32">
        <f t="shared" si="12"/>
        <v>42790.417141203703</v>
      </c>
      <c r="W60" s="46" t="str">
        <f t="shared" si="13"/>
        <v>Other</v>
      </c>
      <c r="X60" s="46" t="str">
        <f t="shared" si="14"/>
        <v>KEEP</v>
      </c>
      <c r="Y60" s="108" t="str">
        <f t="shared" si="15"/>
        <v>echo {"issue":{"subject":"","project_id":79,"tracker_id":40,"status_id":1,"priority_id":2,"assigned_to_id":23,"start_date":"2017-02-24","description":"","custom_fields":[{"id":1,"name":"Subdivision","value":"Other"},{"id":4,"name":"Milepost","value":"0.6799"},{"id":17,"name":"Train ID","value":"302-24"},{"id":16,"name":"Locomotive ID","value":"4052"},{"id":130,"name":"Impact","value":""},{"id":150,"name":"Time of Event (Mountain Time)","value":"03:00:41"},{"id":151,"name":"Denver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48"/>
      <c r="AA60" s="48"/>
      <c r="AB60" s="48"/>
      <c r="AC60" s="127" t="str">
        <f t="shared" si="16"/>
        <v>grep -hSE -A400 "Enforcement Action" "%USERPROFILE%\AppData\Local\Temp\OnboardLogs"\RTDC4052\*4052*201702241*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"%USERPROFILE%\AppData\Local\Temp\OnboardLogs"\RTDC4052\*4052*201702241* &gt;&gt; 2017-02-24-SliceDisagreementCheck.txt</v>
      </c>
      <c r="AE60" s="157" t="str">
        <f t="shared" si="17"/>
        <v>start /low /b %USERPROFILE%\Documents\GitHub\eaglep3\Utilities\DownloadLogsFromS3.py --loco 4052 --day 2017-02-24</v>
      </c>
      <c r="AF60" s="1"/>
    </row>
    <row r="61" spans="1:32" x14ac:dyDescent="0.25">
      <c r="A61" s="32">
        <v>42790.128784722219</v>
      </c>
      <c r="B61" s="30" t="s">
        <v>433</v>
      </c>
      <c r="C61" s="30" t="s">
        <v>434</v>
      </c>
      <c r="D61" s="30" t="s">
        <v>98</v>
      </c>
      <c r="E61" s="30" t="s">
        <v>437</v>
      </c>
      <c r="F61" s="43">
        <v>0</v>
      </c>
      <c r="G61" s="43">
        <v>31</v>
      </c>
      <c r="H61" s="43">
        <v>3476</v>
      </c>
      <c r="I61" s="43">
        <v>3443</v>
      </c>
      <c r="J61" s="30" t="s">
        <v>436</v>
      </c>
      <c r="K61" s="43">
        <v>3549</v>
      </c>
      <c r="L61" s="143" t="s">
        <v>51</v>
      </c>
      <c r="M61" s="144">
        <f t="shared" si="9"/>
        <v>-55.968000000000004</v>
      </c>
      <c r="N61" s="145" t="str">
        <f>VLOOKUP(C61,'Trips&amp;Operators'!$C$1:$G$99999,5,FALSE)</f>
        <v>BADERTSCHER DIANE</v>
      </c>
      <c r="O61" s="194" t="s">
        <v>185</v>
      </c>
      <c r="P61" s="146"/>
      <c r="Q61" s="30"/>
      <c r="R61" s="89" t="str">
        <f>VLOOKUP(C61,'Train Runs'!$A$13:$AE$9940,31,0)</f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S61" s="92" t="str">
        <f>VLOOKUP(C61,'Train Runs'!$A$13:$AE$9940,22,0)</f>
        <v>https://d0f6bd738d7f1b3e5a7ca70fe4ff75f0.us-east-1.aws.found.io/app/kibana#/discover/Steve-Slow-Train-Analysis-(2080s-and-2083s)?_g=(refreshInterval:(display:Off,pause:!f,section:0,value:0),time:(from:'2017-02-24T01:52:23-0700',mode:absolute,to:'2017-02-24T04:02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61" s="94" t="str">
        <f t="shared" si="10"/>
        <v>"C:\Program Files (x86)\AstroGrep\AstroGrep.exe" /spath="%USERPROFILE%\AppData\Local\Temp\OnboardLogs" /stypes="*4052*201702241*" /stext=" 10:.+((SYSTEM_STATE.+slice.+state.+changed )|(ment ac)|(multiple cpu faults)|(system.+state.+changed )|(\[timeout)|(PRM\|1\|D)|(kpr)|(kdp)|(\|lc)|(penalty))" /e /r /s</v>
      </c>
      <c r="U61" s="9" t="str">
        <f t="shared" si="11"/>
        <v>4052</v>
      </c>
      <c r="V61" s="32">
        <f t="shared" si="12"/>
        <v>42790.420451388884</v>
      </c>
      <c r="W61" s="46" t="str">
        <f t="shared" si="13"/>
        <v>Other</v>
      </c>
      <c r="X61" s="46" t="str">
        <f t="shared" si="14"/>
        <v>KEEP</v>
      </c>
      <c r="Y61" s="108" t="str">
        <f t="shared" si="15"/>
        <v>echo {"issue":{"subject":"","project_id":79,"tracker_id":40,"status_id":1,"priority_id":2,"assigned_to_id":23,"start_date":"2017-02-24","description":"","custom_fields":[{"id":1,"name":"Subdivision","value":"Other"},{"id":4,"name":"Milepost","value":"0.3549"},{"id":17,"name":"Train ID","value":"302-24"},{"id":16,"name":"Locomotive ID","value":"4052"},{"id":130,"name":"Impact","value":""},{"id":150,"name":"Time of Event (Mountain Time)","value":"03:05:27"},{"id":151,"name":"Denver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48"/>
      <c r="AA61" s="48"/>
      <c r="AB61" s="48"/>
      <c r="AC61" s="127" t="str">
        <f t="shared" si="16"/>
        <v>grep -hSE -A400 "Enforcement Action" "%USERPROFILE%\AppData\Local\Temp\OnboardLogs"\RTDC4052\*4052*201702241*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"%USERPROFILE%\AppData\Local\Temp\OnboardLogs"\RTDC4052\*4052*201702241* &gt;&gt; 2017-02-24-SliceDisagreementCheck.txt</v>
      </c>
      <c r="AE61" s="157" t="str">
        <f t="shared" si="17"/>
        <v>start /low /b %USERPROFILE%\Documents\GitHub\eaglep3\Utilities\DownloadLogsFromS3.py --loco 4052 --day 2017-02-24</v>
      </c>
      <c r="AF61" s="1"/>
    </row>
    <row r="62" spans="1:32" x14ac:dyDescent="0.25">
      <c r="A62" s="32">
        <v>42790.127013888887</v>
      </c>
      <c r="B62" s="30" t="s">
        <v>433</v>
      </c>
      <c r="C62" s="30" t="s">
        <v>434</v>
      </c>
      <c r="D62" s="30" t="s">
        <v>98</v>
      </c>
      <c r="E62" s="30" t="s">
        <v>435</v>
      </c>
      <c r="F62" s="43">
        <v>0</v>
      </c>
      <c r="G62" s="43">
        <v>98</v>
      </c>
      <c r="H62" s="43">
        <v>4108</v>
      </c>
      <c r="I62" s="43">
        <v>0</v>
      </c>
      <c r="J62" s="30" t="s">
        <v>436</v>
      </c>
      <c r="K62" s="43">
        <v>4790</v>
      </c>
      <c r="L62" s="143" t="s">
        <v>51</v>
      </c>
      <c r="M62" s="144">
        <f t="shared" si="9"/>
        <v>-2529.12</v>
      </c>
      <c r="N62" s="145" t="str">
        <f>VLOOKUP(C62,'Trips&amp;Operators'!$C$1:$G$99999,5,FALSE)</f>
        <v>BADERTSCHER DIANE</v>
      </c>
      <c r="O62" s="194" t="s">
        <v>185</v>
      </c>
      <c r="P62" s="146"/>
      <c r="Q62" s="30"/>
      <c r="R62" s="89" t="str">
        <f>VLOOKUP(C62,'Train Runs'!$A$13:$AE$9940,31,0)</f>
        <v>aws s3 cp s3://rtdc.mdm.uploadarchive.raw/RTDC4052/ "%USERPROFILE%\AppData\Local\Temp\OnboardLogs"\RTDC4052\2017-02-24 --exclude "*" --recursive --include "*20170224*" &amp; "%USERPROFILE%\Documents\GitHub\mrs-test-scripts\Headless Mode &amp; Sideloading\WalkAndUnGZ.bat" "%USERPROFILE%\AppData\Local\Temp\OnboardLogs"\RTDC4052\2017-02-24 &amp; aws s3 cp s3://rtdc.mdm.uploadarchive.raw/RTDC4052/ "%USERPROFILE%\AppData\Local\Temp\OnboardLogs"\RTDC4052\2017-02-25 --exclude "*" --recursive --include "*20170225*" &amp; "%USERPROFILE%\Documents\GitHub\mrs-test-scripts\Headless Mode &amp; Sideloading\WalkAndUnGZ.bat" "%USERPROFILE%\AppData\Local\Temp\OnboardLogs"\RTDC4052\2017-02-25</v>
      </c>
      <c r="S62" s="92" t="str">
        <f>VLOOKUP(C62,'Train Runs'!$A$13:$AE$9940,22,0)</f>
        <v>https://d0f6bd738d7f1b3e5a7ca70fe4ff75f0.us-east-1.aws.found.io/app/kibana#/discover/Steve-Slow-Train-Analysis-(2080s-and-2083s)?_g=(refreshInterval:(display:Off,pause:!f,section:0,value:0),time:(from:'2017-02-24T01:52:23-0700',mode:absolute,to:'2017-02-24T04:02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62" s="94" t="str">
        <f t="shared" si="10"/>
        <v>"C:\Program Files (x86)\AstroGrep\AstroGrep.exe" /spath="%USERPROFILE%\AppData\Local\Temp\OnboardLogs" /stypes="*4052*201702241*" /stext=" 10:.+((SYSTEM_STATE.+slice.+state.+changed )|(ment ac)|(multiple cpu faults)|(system.+state.+changed )|(\[timeout)|(PRM\|1\|D)|(kpr)|(kdp)|(\|lc)|(penalty))" /e /r /s</v>
      </c>
      <c r="U62" s="9" t="str">
        <f t="shared" si="11"/>
        <v>4052</v>
      </c>
      <c r="V62" s="32">
        <f t="shared" si="12"/>
        <v>42790.418680555551</v>
      </c>
      <c r="W62" s="46" t="str">
        <f t="shared" si="13"/>
        <v>Other</v>
      </c>
      <c r="X62" s="46" t="str">
        <f t="shared" si="14"/>
        <v>KEEP</v>
      </c>
      <c r="Y62" s="108" t="str">
        <f t="shared" si="15"/>
        <v>echo {"issue":{"subject":"","project_id":79,"tracker_id":40,"status_id":1,"priority_id":2,"assigned_to_id":23,"start_date":"2017-02-24","description":"","custom_fields":[{"id":1,"name":"Subdivision","value":"Other"},{"id":4,"name":"Milepost","value":"0.479"},{"id":17,"name":"Train ID","value":"302-24"},{"id":16,"name":"Locomotive ID","value":"4052"},{"id":130,"name":"Impact","value":""},{"id":150,"name":"Time of Event (Mountain Time)","value":"03:02:54"},{"id":151,"name":"Denver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48"/>
      <c r="AA62" s="48"/>
      <c r="AB62" s="48"/>
      <c r="AC62" s="127" t="str">
        <f t="shared" si="16"/>
        <v>grep -hSE -A400 "Enforcement Action" "%USERPROFILE%\AppData\Local\Temp\OnboardLogs"\RTDC4052\*4052*201702241*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"%USERPROFILE%\AppData\Local\Temp\OnboardLogs"\RTDC4052\*4052*201702241* &gt;&gt; 2017-02-24-SliceDisagreementCheck.txt</v>
      </c>
      <c r="AE62" s="157" t="str">
        <f t="shared" si="17"/>
        <v>start /low /b %USERPROFILE%\Documents\GitHub\eaglep3\Utilities\DownloadLogsFromS3.py --loco 4052 --day 2017-02-24</v>
      </c>
      <c r="AF62" s="1"/>
    </row>
    <row r="63" spans="1:32" x14ac:dyDescent="0.25">
      <c r="A63" s="32">
        <v>42790.439745370371</v>
      </c>
      <c r="B63" s="30" t="s">
        <v>216</v>
      </c>
      <c r="C63" s="30" t="s">
        <v>454</v>
      </c>
      <c r="D63" s="30" t="s">
        <v>49</v>
      </c>
      <c r="E63" s="30" t="s">
        <v>188</v>
      </c>
      <c r="F63" s="43">
        <v>0</v>
      </c>
      <c r="G63" s="43">
        <v>35</v>
      </c>
      <c r="H63" s="43">
        <v>117</v>
      </c>
      <c r="I63" s="43">
        <v>95</v>
      </c>
      <c r="J63" s="30" t="s">
        <v>189</v>
      </c>
      <c r="K63" s="43">
        <v>1</v>
      </c>
      <c r="L63" s="143" t="s">
        <v>51</v>
      </c>
      <c r="M63" s="144">
        <f t="shared" si="9"/>
        <v>49.631999999999998</v>
      </c>
      <c r="N63" s="145" t="str">
        <f>VLOOKUP(C63,'Trips&amp;Operators'!$C$1:$G$99999,5,FALSE)</f>
        <v>DELGADO DIANAH</v>
      </c>
      <c r="O63" s="194" t="s">
        <v>185</v>
      </c>
      <c r="P63" s="146"/>
      <c r="Q63" s="30"/>
      <c r="R63" s="89" t="str">
        <f>VLOOKUP(C63,'Train Runs'!$A$13:$AE$9940,31,0)</f>
        <v>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 &amp; 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</v>
      </c>
      <c r="S63" s="92" t="str">
        <f>VLOOKUP(C63,'Train Runs'!$A$13:$AE$9940,22,0)</f>
        <v>https://d0f6bd738d7f1b3e5a7ca70fe4ff75f0.us-east-1.aws.found.io/app/kibana#/discover/Steve-Slow-Train-Analysis-(2080s-and-2083s)?_g=(refreshInterval:(display:Off,pause:!f,section:0,value:0),time:(from:'2017-02-24T09:23:45-0700',mode:absolute,to:'2017-02-24T11:33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63" s="94" t="str">
        <f t="shared" si="10"/>
        <v>"C:\Program Files (x86)\AstroGrep\AstroGrep.exe" /spath="%USERPROFILE%\AppData\Local\Temp\OnboardLogs" /stypes="*4028*201702241*" /stext=" 17:.+((SYSTEM_STATE.+slice.+state.+changed )|(ment ac)|(multiple cpu faults)|(system.+state.+changed )|(\[timeout)|(PRM\|1\|D)|(kpr)|(kdp)|(\|lc)|(penalty))" /e /r /s</v>
      </c>
      <c r="U63" s="9" t="str">
        <f t="shared" si="11"/>
        <v>4028</v>
      </c>
      <c r="V63" s="32">
        <f t="shared" si="12"/>
        <v>42790.731412037036</v>
      </c>
      <c r="W63" s="46" t="str">
        <f t="shared" si="13"/>
        <v>Other</v>
      </c>
      <c r="X63" s="46" t="str">
        <f t="shared" si="14"/>
        <v>KEEP</v>
      </c>
      <c r="Y63" s="108" t="str">
        <f t="shared" si="15"/>
        <v>echo {"issue":{"subject":"","project_id":79,"tracker_id":40,"status_id":1,"priority_id":2,"assigned_to_id":23,"start_date":"2017-02-24","description":"","custom_fields":[{"id":1,"name":"Subdivision","value":"Other"},{"id":4,"name":"Milepost","value":"0.0001"},{"id":17,"name":"Train ID","value":"50-24"},{"id":16,"name":"Locomotive ID","value":"4028"},{"id":130,"name":"Impact","value":""},{"id":150,"name":"Time of Event (Mountain Time)","value":"10:33:14"},{"id":151,"name":"Denver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48"/>
      <c r="AA63" s="48"/>
      <c r="AB63" s="48"/>
      <c r="AC63" s="127" t="str">
        <f t="shared" si="16"/>
        <v>grep -hSE -A400 "Enforcement Action" "%USERPROFILE%\AppData\Local\Temp\OnboardLogs"\RTDC4028\*4028*201702241*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"%USERPROFILE%\AppData\Local\Temp\OnboardLogs"\RTDC4028\*4028*201702241* &gt;&gt; 2017-02-24-SliceDisagreementCheck.txt</v>
      </c>
      <c r="AE63" s="157" t="str">
        <f t="shared" si="17"/>
        <v>start /low /b %USERPROFILE%\Documents\GitHub\eaglep3\Utilities\DownloadLogsFromS3.py --loco 4028 --day 2017-02-24</v>
      </c>
      <c r="AF63" s="1"/>
    </row>
    <row r="64" spans="1:32" x14ac:dyDescent="0.25">
      <c r="A64" s="32">
        <v>42790.760162037041</v>
      </c>
      <c r="B64" s="30" t="s">
        <v>216</v>
      </c>
      <c r="C64" s="30" t="s">
        <v>467</v>
      </c>
      <c r="D64" s="30" t="s">
        <v>49</v>
      </c>
      <c r="E64" s="30" t="s">
        <v>188</v>
      </c>
      <c r="F64" s="43">
        <v>0</v>
      </c>
      <c r="G64" s="43">
        <v>28</v>
      </c>
      <c r="H64" s="43">
        <v>82</v>
      </c>
      <c r="I64" s="43">
        <v>68</v>
      </c>
      <c r="J64" s="30" t="s">
        <v>189</v>
      </c>
      <c r="K64" s="43">
        <v>1</v>
      </c>
      <c r="L64" s="143" t="s">
        <v>51</v>
      </c>
      <c r="M64" s="144">
        <f t="shared" si="9"/>
        <v>35.375999999999998</v>
      </c>
      <c r="N64" s="145" t="str">
        <f>VLOOKUP(C64,'Trips&amp;Operators'!$C$1:$G$99999,5,FALSE)</f>
        <v>HILLS DUSTIN</v>
      </c>
      <c r="O64" s="194" t="s">
        <v>185</v>
      </c>
      <c r="P64" s="146"/>
      <c r="Q64" s="30"/>
      <c r="R64" s="89" t="str">
        <f>VLOOKUP(C64,'Train Runs'!$A$13:$AE$9940,31,0)</f>
        <v>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 &amp; aws s3 cp s3://rtdc.mdm.uploadarchive.raw/RTDC4028/ "%USERPROFILE%\AppData\Local\Temp\OnboardLogs"\RTDC4028\2017-02-25 --exclude "*" --recursive --include "*20170225*" &amp; "%USERPROFILE%\Documents\GitHub\mrs-test-scripts\Headless Mode &amp; Sideloading\WalkAndUnGZ.bat" "%USERPROFILE%\AppData\Local\Temp\OnboardLogs"\RTDC4028\2017-02-25</v>
      </c>
      <c r="S64" s="92" t="str">
        <f>VLOOKUP(C64,'Train Runs'!$A$13:$AE$9940,22,0)</f>
        <v>https://d0f6bd738d7f1b3e5a7ca70fe4ff75f0.us-east-1.aws.found.io/app/kibana#/discover/Steve-Slow-Train-Analysis-(2080s-and-2083s)?_g=(refreshInterval:(display:Off,pause:!f,section:0,value:0),time:(from:'2017-02-24T17:05:46-0700',mode:absolute,to:'2017-02-24T19:14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64" s="94" t="str">
        <f t="shared" si="10"/>
        <v>"C:\Program Files (x86)\AstroGrep\AstroGrep.exe" /spath="%USERPROFILE%\AppData\Local\Temp\OnboardLogs" /stypes="*4028*201702250*" /stext=" 01:.+((SYSTEM_STATE.+slice.+state.+changed )|(ment ac)|(multiple cpu faults)|(system.+state.+changed )|(\[timeout)|(PRM\|1\|D)|(kpr)|(kdp)|(\|lc)|(penalty))" /e /r /s</v>
      </c>
      <c r="U64" s="9" t="str">
        <f t="shared" si="11"/>
        <v>4028</v>
      </c>
      <c r="V64" s="32">
        <f t="shared" si="12"/>
        <v>42791.051828703705</v>
      </c>
      <c r="W64" s="46" t="str">
        <f t="shared" si="13"/>
        <v>Other</v>
      </c>
      <c r="X64" s="46" t="str">
        <f t="shared" si="14"/>
        <v>KEEP</v>
      </c>
      <c r="Y64" s="108" t="str">
        <f t="shared" si="15"/>
        <v>echo {"issue":{"subject":"","project_id":79,"tracker_id":40,"status_id":1,"priority_id":2,"assigned_to_id":23,"start_date":"2017-02-24","description":"","custom_fields":[{"id":1,"name":"Subdivision","value":"Other"},{"id":4,"name":"Milepost","value":"0.0001"},{"id":17,"name":"Train ID","value":"70-24"},{"id":16,"name":"Locomotive ID","value":"4028"},{"id":130,"name":"Impact","value":""},{"id":150,"name":"Time of Event (Mountain Time)","value":"18:14:38"},{"id":151,"name":"Denver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48"/>
      <c r="AA64" s="48"/>
      <c r="AB64" s="48"/>
      <c r="AC64" s="127" t="str">
        <f t="shared" si="16"/>
        <v>grep -hSE -A400 "Enforcement Action" "%USERPROFILE%\AppData\Local\Temp\OnboardLogs"\RTDC4028\*4028*201702250* | grep -SE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"%USERPROFILE%\AppData\Local\Temp\OnboardLogs"\RTDC4028\*4028*201702250* &gt;&gt; 2017-02-24-SliceDisagreementCheck.txt</v>
      </c>
      <c r="AE64" s="157" t="str">
        <f t="shared" si="17"/>
        <v>start /low /b %USERPROFILE%\Documents\GitHub\eaglep3\Utilities\DownloadLogsFromS3.py --loco 4028 --day 2017-02-25</v>
      </c>
      <c r="AF64" s="1"/>
    </row>
    <row r="65" spans="1:32" x14ac:dyDescent="0.25">
      <c r="A65" s="32">
        <v>42790.154976851853</v>
      </c>
      <c r="B65" s="30" t="s">
        <v>254</v>
      </c>
      <c r="C65" s="30" t="s">
        <v>439</v>
      </c>
      <c r="D65" s="30" t="s">
        <v>98</v>
      </c>
      <c r="E65" s="30" t="s">
        <v>188</v>
      </c>
      <c r="F65" s="43">
        <v>0</v>
      </c>
      <c r="G65" s="43">
        <v>11</v>
      </c>
      <c r="H65" s="43">
        <v>838</v>
      </c>
      <c r="I65" s="43">
        <v>0</v>
      </c>
      <c r="J65" s="30" t="s">
        <v>189</v>
      </c>
      <c r="K65" s="43">
        <v>839</v>
      </c>
      <c r="L65" s="143" t="s">
        <v>51</v>
      </c>
      <c r="M65" s="144">
        <f t="shared" si="9"/>
        <v>-442.99200000000002</v>
      </c>
      <c r="N65" s="145" t="str">
        <f>VLOOKUP(C65,'Trips&amp;Operators'!$C$1:$G$99999,5,FALSE)</f>
        <v>SPECTOR MICHAEL</v>
      </c>
      <c r="O65" s="194" t="s">
        <v>185</v>
      </c>
      <c r="P65" s="146"/>
      <c r="Q65" s="30"/>
      <c r="R65" s="89" t="str">
        <f>VLOOKUP(C65,'Train Runs'!$A$13:$AE$9940,31,0)</f>
        <v>aws s3 cp s3://rtdc.mdm.uploadarchive.raw/RTDC4017/ "%USERPROFILE%\AppData\Local\Temp\OnboardLogs"\RTDC4017\1969-12-31 --exclude "*" --recursive --include "*19691231*" &amp; "%USERPROFILE%\Documents\GitHub\mrs-test-scripts\Headless Mode &amp; Sideloading\WalkAndUnGZ.bat" "%USERPROFILE%\AppData\Local\Temp\OnboardLogs"\RTDC4017\1969-12-31 &amp; aws s3 cp s3://rtdc.mdm.uploadarchive.raw/RTDC4017/ "%USERPROFILE%\AppData\Local\Temp\OnboardLogs"\RTDC4017\1970-01-01 --exclude "*" --recursive --include "*19700101*" &amp; "%USERPROFILE%\Documents\GitHub\mrs-test-scripts\Headless Mode &amp; Sideloading\WalkAndUnGZ.bat" "%USERPROFILE%\AppData\Local\Temp\OnboardLogs"\RTDC4017\1970-01-01</v>
      </c>
      <c r="S65" s="92" t="str">
        <f>VLOOKUP(C65,'Train Runs'!$A$13:$AE$9940,22,0)</f>
        <v>https://d0f6bd738d7f1b3e5a7ca70fe4ff75f0.us-east-1.aws.found.io/app/kibana#/discover/Steve-Slow-Train-Analysis-(2080s-and-2083s)?_g=(refreshInterval:(display:Off,pause:!f,section:0,value:0),time:(from:'2017-02-24T02:18:00-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65" s="94" t="str">
        <f t="shared" si="10"/>
        <v>"C:\Program Files (x86)\AstroGrep\AstroGrep.exe" /spath="%USERPROFILE%\AppData\Local\Temp\OnboardLogs" /stypes="*4017*201702241*" /stext=" 10:.+((SYSTEM_STATE.+slice.+state.+changed )|(ment ac)|(multiple cpu faults)|(system.+state.+changed )|(\[timeout)|(PRM\|1\|D)|(kpr)|(kdp)|(\|lc)|(penalty))" /e /r /s</v>
      </c>
      <c r="U65" s="9" t="str">
        <f t="shared" si="11"/>
        <v>4017</v>
      </c>
      <c r="V65" s="32">
        <f t="shared" si="12"/>
        <v>42790.446643518517</v>
      </c>
      <c r="W65" s="46" t="str">
        <f t="shared" si="13"/>
        <v>Other</v>
      </c>
      <c r="X65" s="46" t="str">
        <f t="shared" si="14"/>
        <v>KEEP</v>
      </c>
      <c r="Y65" s="108" t="str">
        <f t="shared" si="15"/>
        <v>echo {"issue":{"subject":"","project_id":79,"tracker_id":40,"status_id":1,"priority_id":2,"assigned_to_id":23,"start_date":"2017-02-24","description":"","custom_fields":[{"id":1,"name":"Subdivision","value":"Other"},{"id":4,"name":"Milepost","value":"0.0839"},{"id":17,"name":"Train ID","value":"4017-24"},{"id":16,"name":"Locomotive ID","value":"4017"},{"id":130,"name":"Impact","value":""},{"id":150,"name":"Time of Event (Mountain Time)","value":"03:43:10"},{"id":151,"name":"Denver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48"/>
      <c r="AA65" s="48"/>
      <c r="AB65" s="48"/>
      <c r="AC65" s="127" t="str">
        <f t="shared" si="16"/>
        <v>grep -hSE -A400 "Enforcement Action" "%USERPROFILE%\AppData\Local\Temp\OnboardLogs"\RTDC4017\*4017*201702241* | grep -SE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"%USERPROFILE%\AppData\Local\Temp\OnboardLogs"\RTDC4017\*4017*201702241* &gt;&gt; 2017-02-24-SliceDisagreementCheck.txt</v>
      </c>
      <c r="AE65" s="157" t="str">
        <f t="shared" si="17"/>
        <v>start /low /b %USERPROFILE%\Documents\GitHub\eaglep3\Utilities\DownloadLogsFromS3.py --loco 4017 --day 2017-02-24</v>
      </c>
      <c r="AF65" s="1"/>
    </row>
    <row r="66" spans="1:32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2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2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</sheetData>
  <autoFilter ref="A6:AC68">
    <sortState ref="A7:AC68">
      <sortCondition ref="V6:V68"/>
    </sortState>
  </autoFilter>
  <sortState ref="A7:AE65">
    <sortCondition ref="W7:W65"/>
    <sortCondition ref="E7:E65"/>
    <sortCondition ref="K7:K65"/>
    <sortCondition ref="C7:C65"/>
    <sortCondition ref="F7:F65"/>
  </sortState>
  <mergeCells count="1">
    <mergeCell ref="A5:O5"/>
  </mergeCells>
  <conditionalFormatting sqref="O6:P6 R6 O69:O1048576 O7:O6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5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AA7:AA65</xm:sqref>
        </x14:dataValidation>
        <x14:dataValidation type="list" allowBlank="1" showInputMessage="1" showErrorMessage="1">
          <x14:formula1>
            <xm:f>'Redmine List Values'!$C$2:$C$15</xm:f>
          </x14:formula1>
          <xm:sqref>AB7:AB65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5"/>
  <sheetViews>
    <sheetView workbookViewId="0">
      <selection activeCell="A4" sqref="A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2017-02-24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>
        <v>237</v>
      </c>
      <c r="B3" s="43" t="str">
        <f>A3&amp;"-"&amp;IF(DAY(Variables!$A$2)&lt;10,0,"")&amp;DAY(Variables!$A$2)</f>
        <v>237-24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22237-24%22)),sort:!(Time.ISO8601,asc))</v>
      </c>
      <c r="J3" s="30" t="e">
        <f>VLOOKUP(B3,'Train Runs'!$A$13:$A$99937,1,FALSE)</f>
        <v>#N/A</v>
      </c>
    </row>
    <row r="4" spans="1:10" x14ac:dyDescent="0.25">
      <c r="A4" s="185"/>
      <c r="B4" s="43" t="str">
        <f>A4&amp;"-"&amp;IF(DAY(Variables!$A$2)&lt;10,0,"")&amp;DAY(Variables!$A$2)</f>
        <v>-24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" s="30" t="e">
        <f>VLOOKUP(B4,'Train Runs'!$A$13:$A$99937,1,FALSE)</f>
        <v>#N/A</v>
      </c>
    </row>
    <row r="5" spans="1:10" x14ac:dyDescent="0.25">
      <c r="A5" s="185"/>
      <c r="B5" s="43" t="str">
        <f>A5&amp;"-"&amp;IF(DAY(Variables!$A$2)&lt;10,0,"")&amp;DAY(Variables!$A$2)</f>
        <v>-24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" s="30" t="e">
        <f>VLOOKUP(B5,'Train Runs'!$A$13:$A$99937,1,FALSE)</f>
        <v>#N/A</v>
      </c>
    </row>
    <row r="6" spans="1:10" x14ac:dyDescent="0.25">
      <c r="A6" s="185"/>
      <c r="B6" s="43" t="str">
        <f>A6&amp;"-"&amp;IF(DAY(Variables!$A$2)&lt;10,0,"")&amp;DAY(Variables!$A$2)</f>
        <v>-24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" s="30" t="e">
        <f>VLOOKUP(B6,'Train Runs'!$A$13:$A$99937,1,FALSE)</f>
        <v>#N/A</v>
      </c>
    </row>
    <row r="7" spans="1:10" x14ac:dyDescent="0.25">
      <c r="A7" s="185"/>
      <c r="B7" s="43" t="str">
        <f>A7&amp;"-"&amp;IF(DAY(Variables!$A$2)&lt;10,0,"")&amp;DAY(Variables!$A$2)</f>
        <v>-24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" s="30" t="e">
        <f>VLOOKUP(B7,'Train Runs'!$A$13:$A$99937,1,FALSE)</f>
        <v>#N/A</v>
      </c>
    </row>
    <row r="8" spans="1:10" x14ac:dyDescent="0.25">
      <c r="A8" s="185"/>
      <c r="B8" s="43" t="str">
        <f>A8&amp;"-"&amp;IF(DAY(Variables!$A$2)&lt;10,0,"")&amp;DAY(Variables!$A$2)</f>
        <v>-24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" s="30" t="e">
        <f>VLOOKUP(B8,'Train Runs'!$A$13:$A$99937,1,FALSE)</f>
        <v>#N/A</v>
      </c>
    </row>
    <row r="9" spans="1:10" x14ac:dyDescent="0.25">
      <c r="A9" s="185"/>
      <c r="B9" s="43" t="str">
        <f>A9&amp;"-"&amp;IF(DAY(Variables!$A$2)&lt;10,0,"")&amp;DAY(Variables!$A$2)</f>
        <v>-24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" s="30" t="e">
        <f>VLOOKUP(B9,'Train Runs'!$A$13:$A$99937,1,FALSE)</f>
        <v>#N/A</v>
      </c>
    </row>
    <row r="10" spans="1:10" x14ac:dyDescent="0.25">
      <c r="A10" s="185"/>
      <c r="B10" s="43" t="str">
        <f>A10&amp;"-"&amp;IF(DAY(Variables!$A$2)&lt;10,0,"")&amp;DAY(Variables!$A$2)</f>
        <v>-24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" s="30" t="e">
        <f>VLOOKUP(B10,'Train Runs'!$A$13:$A$99937,1,FALSE)</f>
        <v>#N/A</v>
      </c>
    </row>
    <row r="11" spans="1:10" x14ac:dyDescent="0.25">
      <c r="A11" s="185"/>
      <c r="B11" s="43" t="str">
        <f>A11&amp;"-"&amp;IF(DAY(Variables!$A$2)&lt;10,0,"")&amp;DAY(Variables!$A$2)</f>
        <v>-24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" s="30" t="e">
        <f>VLOOKUP(B11,'Train Runs'!$A$13:$A$99937,1,FALSE)</f>
        <v>#N/A</v>
      </c>
    </row>
    <row r="12" spans="1:10" x14ac:dyDescent="0.25">
      <c r="A12" s="185"/>
      <c r="B12" s="43" t="str">
        <f>A12&amp;"-"&amp;IF(DAY(Variables!$A$2)&lt;10,0,"")&amp;DAY(Variables!$A$2)</f>
        <v>-24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" s="30" t="e">
        <f>VLOOKUP(B12,'Train Runs'!$A$13:$A$99937,1,FALSE)</f>
        <v>#N/A</v>
      </c>
    </row>
    <row r="13" spans="1:10" x14ac:dyDescent="0.25">
      <c r="A13" s="185"/>
      <c r="B13" s="43" t="str">
        <f>A13&amp;"-"&amp;IF(DAY(Variables!$A$2)&lt;10,0,"")&amp;DAY(Variables!$A$2)</f>
        <v>-24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" s="30" t="e">
        <f>VLOOKUP(B13,'Train Runs'!$A$13:$A$99937,1,FALSE)</f>
        <v>#N/A</v>
      </c>
    </row>
    <row r="14" spans="1:10" x14ac:dyDescent="0.25">
      <c r="A14" s="185"/>
      <c r="B14" s="43" t="str">
        <f>A14&amp;"-"&amp;IF(DAY(Variables!$A$2)&lt;10,0,"")&amp;DAY(Variables!$A$2)</f>
        <v>-24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4" s="30" t="e">
        <f>VLOOKUP(B14,'Train Runs'!$A$13:$A$99937,1,FALSE)</f>
        <v>#N/A</v>
      </c>
    </row>
    <row r="15" spans="1:10" x14ac:dyDescent="0.25">
      <c r="A15" s="185"/>
      <c r="B15" s="43" t="str">
        <f>A15&amp;"-"&amp;IF(DAY(Variables!$A$2)&lt;10,0,"")&amp;DAY(Variables!$A$2)</f>
        <v>-24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5" s="30" t="e">
        <f>VLOOKUP(B15,'Train Runs'!$A$13:$A$99937,1,FALSE)</f>
        <v>#N/A</v>
      </c>
    </row>
    <row r="16" spans="1:10" x14ac:dyDescent="0.25">
      <c r="A16" s="185"/>
      <c r="B16" s="43" t="str">
        <f>A16&amp;"-"&amp;IF(DAY(Variables!$A$2)&lt;10,0,"")&amp;DAY(Variables!$A$2)</f>
        <v>-24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6" s="30" t="e">
        <f>VLOOKUP(B16,'Train Runs'!$A$13:$A$99937,1,FALSE)</f>
        <v>#N/A</v>
      </c>
    </row>
    <row r="17" spans="1:10" x14ac:dyDescent="0.25">
      <c r="A17" s="185"/>
      <c r="B17" s="43" t="str">
        <f>A17&amp;"-"&amp;IF(DAY(Variables!$A$2)&lt;10,0,"")&amp;DAY(Variables!$A$2)</f>
        <v>-24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7" s="30" t="e">
        <f>VLOOKUP(B17,'Train Runs'!$A$13:$A$99937,1,FALSE)</f>
        <v>#N/A</v>
      </c>
    </row>
    <row r="18" spans="1:10" x14ac:dyDescent="0.25">
      <c r="A18" s="185"/>
      <c r="B18" s="43" t="str">
        <f>A18&amp;"-"&amp;IF(DAY(Variables!$A$2)&lt;10,0,"")&amp;DAY(Variables!$A$2)</f>
        <v>-24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8" s="30" t="e">
        <f>VLOOKUP(B18,'Train Runs'!$A$13:$A$99937,1,FALSE)</f>
        <v>#N/A</v>
      </c>
    </row>
    <row r="19" spans="1:10" x14ac:dyDescent="0.25">
      <c r="A19" s="185"/>
      <c r="B19" s="43" t="str">
        <f>A19&amp;"-"&amp;IF(DAY(Variables!$A$2)&lt;10,0,"")&amp;DAY(Variables!$A$2)</f>
        <v>-24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9" s="30" t="e">
        <f>VLOOKUP(B19,'Train Runs'!$A$13:$A$99937,1,FALSE)</f>
        <v>#N/A</v>
      </c>
    </row>
    <row r="20" spans="1:10" x14ac:dyDescent="0.25">
      <c r="A20" s="185"/>
      <c r="B20" s="43" t="str">
        <f>A20&amp;"-"&amp;IF(DAY(Variables!$A$2)&lt;10,0,"")&amp;DAY(Variables!$A$2)</f>
        <v>-24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0" s="30" t="e">
        <f>VLOOKUP(B20,'Train Runs'!$A$13:$A$99937,1,FALSE)</f>
        <v>#N/A</v>
      </c>
    </row>
    <row r="21" spans="1:10" x14ac:dyDescent="0.25">
      <c r="A21" s="185"/>
      <c r="B21" s="43" t="str">
        <f>A21&amp;"-"&amp;IF(DAY(Variables!$A$2)&lt;10,0,"")&amp;DAY(Variables!$A$2)</f>
        <v>-24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1" s="30" t="e">
        <f>VLOOKUP(B21,'Train Runs'!$A$13:$A$99937,1,FALSE)</f>
        <v>#N/A</v>
      </c>
    </row>
    <row r="22" spans="1:10" x14ac:dyDescent="0.25">
      <c r="A22" s="185"/>
      <c r="B22" s="43" t="str">
        <f>A22&amp;"-"&amp;IF(DAY(Variables!$A$2)&lt;10,0,"")&amp;DAY(Variables!$A$2)</f>
        <v>-24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2" s="30" t="e">
        <f>VLOOKUP(B22,'Train Runs'!$A$13:$A$99937,1,FALSE)</f>
        <v>#N/A</v>
      </c>
    </row>
    <row r="23" spans="1:10" x14ac:dyDescent="0.25">
      <c r="A23" s="185"/>
      <c r="B23" s="43" t="str">
        <f>A23&amp;"-"&amp;IF(DAY(Variables!$A$2)&lt;10,0,"")&amp;DAY(Variables!$A$2)</f>
        <v>-24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3" s="30" t="e">
        <f>VLOOKUP(B23,'Train Runs'!$A$13:$A$99937,1,FALSE)</f>
        <v>#N/A</v>
      </c>
    </row>
    <row r="24" spans="1:10" x14ac:dyDescent="0.25">
      <c r="A24" s="185"/>
      <c r="B24" s="43" t="str">
        <f>A24&amp;"-"&amp;IF(DAY(Variables!$A$2)&lt;10,0,"")&amp;DAY(Variables!$A$2)</f>
        <v>-24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4" s="30" t="e">
        <f>VLOOKUP(B24,'Train Runs'!$A$13:$A$99937,1,FALSE)</f>
        <v>#N/A</v>
      </c>
    </row>
    <row r="25" spans="1:10" x14ac:dyDescent="0.25">
      <c r="A25" s="185"/>
      <c r="B25" s="43" t="str">
        <f>A25&amp;"-"&amp;IF(DAY(Variables!$A$2)&lt;10,0,"")&amp;DAY(Variables!$A$2)</f>
        <v>-24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5" s="30" t="e">
        <f>VLOOKUP(B25,'Train Runs'!$A$13:$A$99937,1,FALSE)</f>
        <v>#N/A</v>
      </c>
    </row>
    <row r="26" spans="1:10" x14ac:dyDescent="0.25">
      <c r="A26" s="185"/>
      <c r="B26" s="43" t="str">
        <f>A26&amp;"-"&amp;IF(DAY(Variables!$A$2)&lt;10,0,"")&amp;DAY(Variables!$A$2)</f>
        <v>-24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6" s="30" t="e">
        <f>VLOOKUP(B26,'Train Runs'!$A$13:$A$99937,1,FALSE)</f>
        <v>#N/A</v>
      </c>
    </row>
    <row r="27" spans="1:10" x14ac:dyDescent="0.25">
      <c r="A27" s="185"/>
      <c r="B27" s="43" t="str">
        <f>A27&amp;"-"&amp;IF(DAY(Variables!$A$2)&lt;10,0,"")&amp;DAY(Variables!$A$2)</f>
        <v>-24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7" s="30" t="e">
        <f>VLOOKUP(B27,'Train Runs'!$A$13:$A$99937,1,FALSE)</f>
        <v>#N/A</v>
      </c>
    </row>
    <row r="28" spans="1:10" x14ac:dyDescent="0.25">
      <c r="A28" s="185"/>
      <c r="B28" s="43" t="str">
        <f>A28&amp;"-"&amp;IF(DAY(Variables!$A$2)&lt;10,0,"")&amp;DAY(Variables!$A$2)</f>
        <v>-24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8" s="30" t="e">
        <f>VLOOKUP(B28,'Train Runs'!$A$13:$A$99937,1,FALSE)</f>
        <v>#N/A</v>
      </c>
    </row>
    <row r="29" spans="1:10" x14ac:dyDescent="0.25">
      <c r="A29" s="185"/>
      <c r="B29" s="43" t="str">
        <f>A29&amp;"-"&amp;IF(DAY(Variables!$A$2)&lt;10,0,"")&amp;DAY(Variables!$A$2)</f>
        <v>-24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9" s="30" t="e">
        <f>VLOOKUP(B29,'Train Runs'!$A$13:$A$99937,1,FALSE)</f>
        <v>#N/A</v>
      </c>
    </row>
    <row r="30" spans="1:10" x14ac:dyDescent="0.25">
      <c r="A30" s="185"/>
      <c r="B30" s="43" t="str">
        <f>A30&amp;"-"&amp;IF(DAY(Variables!$A$2)&lt;10,0,"")&amp;DAY(Variables!$A$2)</f>
        <v>-24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ref="I30:I6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0" s="30" t="e">
        <f>VLOOKUP(B30,'Train Runs'!$A$13:$A$99937,1,FALSE)</f>
        <v>#N/A</v>
      </c>
    </row>
    <row r="31" spans="1:10" x14ac:dyDescent="0.25">
      <c r="A31" s="185"/>
      <c r="B31" s="43" t="str">
        <f>A31&amp;"-"&amp;IF(DAY(Variables!$A$2)&lt;10,0,"")&amp;DAY(Variables!$A$2)</f>
        <v>-24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1" s="30" t="e">
        <f>VLOOKUP(B31,'Train Runs'!$A$13:$A$99937,1,FALSE)</f>
        <v>#N/A</v>
      </c>
    </row>
    <row r="32" spans="1:10" x14ac:dyDescent="0.25">
      <c r="A32" s="185"/>
      <c r="B32" s="43" t="str">
        <f>A32&amp;"-"&amp;IF(DAY(Variables!$A$2)&lt;10,0,"")&amp;DAY(Variables!$A$2)</f>
        <v>-24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2" s="30" t="e">
        <f>VLOOKUP(B32,'Train Runs'!$A$13:$A$99937,1,FALSE)</f>
        <v>#N/A</v>
      </c>
    </row>
    <row r="33" spans="1:10" x14ac:dyDescent="0.25">
      <c r="A33" s="185"/>
      <c r="B33" s="43" t="str">
        <f>A33&amp;"-"&amp;IF(DAY(Variables!$A$2)&lt;10,0,"")&amp;DAY(Variables!$A$2)</f>
        <v>-24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3" s="30" t="e">
        <f>VLOOKUP(B33,'Train Runs'!$A$13:$A$99937,1,FALSE)</f>
        <v>#N/A</v>
      </c>
    </row>
    <row r="34" spans="1:10" x14ac:dyDescent="0.25">
      <c r="A34" s="185"/>
      <c r="B34" s="43" t="str">
        <f>A34&amp;"-"&amp;IF(DAY(Variables!$A$2)&lt;10,0,"")&amp;DAY(Variables!$A$2)</f>
        <v>-24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4" s="30" t="e">
        <f>VLOOKUP(B34,'Train Runs'!$A$13:$A$99937,1,FALSE)</f>
        <v>#N/A</v>
      </c>
    </row>
    <row r="35" spans="1:10" x14ac:dyDescent="0.25">
      <c r="A35" s="185"/>
      <c r="B35" s="43" t="str">
        <f>A35&amp;"-"&amp;IF(DAY(Variables!$A$2)&lt;10,0,"")&amp;DAY(Variables!$A$2)</f>
        <v>-24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5" s="30" t="e">
        <f>VLOOKUP(B35,'Train Runs'!$A$13:$A$99937,1,FALSE)</f>
        <v>#N/A</v>
      </c>
    </row>
    <row r="36" spans="1:10" x14ac:dyDescent="0.25">
      <c r="A36" s="185"/>
      <c r="B36" s="43" t="str">
        <f>A36&amp;"-"&amp;IF(DAY(Variables!$A$2)&lt;10,0,"")&amp;DAY(Variables!$A$2)</f>
        <v>-24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6" s="30" t="e">
        <f>VLOOKUP(B36,'Train Runs'!$A$13:$A$99937,1,FALSE)</f>
        <v>#N/A</v>
      </c>
    </row>
    <row r="37" spans="1:10" x14ac:dyDescent="0.25">
      <c r="A37" s="185"/>
      <c r="B37" s="43" t="str">
        <f>A37&amp;"-"&amp;IF(DAY(Variables!$A$2)&lt;10,0,"")&amp;DAY(Variables!$A$2)</f>
        <v>-24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7" s="30" t="e">
        <f>VLOOKUP(B37,'Train Runs'!$A$13:$A$99937,1,FALSE)</f>
        <v>#N/A</v>
      </c>
    </row>
    <row r="38" spans="1:10" x14ac:dyDescent="0.25">
      <c r="A38" s="185"/>
      <c r="B38" s="43" t="str">
        <f>A38&amp;"-"&amp;IF(DAY(Variables!$A$2)&lt;10,0,"")&amp;DAY(Variables!$A$2)</f>
        <v>-24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8" s="30" t="e">
        <f>VLOOKUP(B38,'Train Runs'!$A$13:$A$99937,1,FALSE)</f>
        <v>#N/A</v>
      </c>
    </row>
    <row r="39" spans="1:10" x14ac:dyDescent="0.25">
      <c r="A39" s="185"/>
      <c r="B39" s="43" t="str">
        <f>A39&amp;"-"&amp;IF(DAY(Variables!$A$2)&lt;10,0,"")&amp;DAY(Variables!$A$2)</f>
        <v>-24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9" s="30" t="e">
        <f>VLOOKUP(B39,'Train Runs'!$A$13:$A$99937,1,FALSE)</f>
        <v>#N/A</v>
      </c>
    </row>
    <row r="40" spans="1:10" x14ac:dyDescent="0.25">
      <c r="A40" s="185"/>
      <c r="B40" s="43" t="str">
        <f>A40&amp;"-"&amp;IF(DAY(Variables!$A$2)&lt;10,0,"")&amp;DAY(Variables!$A$2)</f>
        <v>-24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0" s="30" t="e">
        <f>VLOOKUP(B40,'Train Runs'!$A$13:$A$99937,1,FALSE)</f>
        <v>#N/A</v>
      </c>
    </row>
    <row r="41" spans="1:10" x14ac:dyDescent="0.25">
      <c r="A41" s="185"/>
      <c r="B41" s="43" t="str">
        <f>A41&amp;"-"&amp;IF(DAY(Variables!$A$2)&lt;10,0,"")&amp;DAY(Variables!$A$2)</f>
        <v>-24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1" s="30" t="e">
        <f>VLOOKUP(B41,'Train Runs'!$A$13:$A$99937,1,FALSE)</f>
        <v>#N/A</v>
      </c>
    </row>
    <row r="42" spans="1:10" x14ac:dyDescent="0.25">
      <c r="A42" s="185"/>
      <c r="B42" s="43" t="str">
        <f>A42&amp;"-"&amp;IF(DAY(Variables!$A$2)&lt;10,0,"")&amp;DAY(Variables!$A$2)</f>
        <v>-24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2" s="30" t="e">
        <f>VLOOKUP(B42,'Train Runs'!$A$13:$A$99937,1,FALSE)</f>
        <v>#N/A</v>
      </c>
    </row>
    <row r="43" spans="1:10" x14ac:dyDescent="0.25">
      <c r="A43" s="185"/>
      <c r="B43" s="43" t="str">
        <f>A43&amp;"-"&amp;IF(DAY(Variables!$A$2)&lt;10,0,"")&amp;DAY(Variables!$A$2)</f>
        <v>-24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3" s="30" t="e">
        <f>VLOOKUP(B43,'Train Runs'!$A$13:$A$99937,1,FALSE)</f>
        <v>#N/A</v>
      </c>
    </row>
    <row r="44" spans="1:10" x14ac:dyDescent="0.25">
      <c r="A44" s="185"/>
      <c r="B44" s="43" t="str">
        <f>A44&amp;"-"&amp;IF(DAY(Variables!$A$2)&lt;10,0,"")&amp;DAY(Variables!$A$2)</f>
        <v>-24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4" s="30" t="e">
        <f>VLOOKUP(B44,'Train Runs'!$A$13:$A$99937,1,FALSE)</f>
        <v>#N/A</v>
      </c>
    </row>
    <row r="45" spans="1:10" x14ac:dyDescent="0.25">
      <c r="A45" s="185"/>
      <c r="B45" s="43" t="str">
        <f>A45&amp;"-"&amp;IF(DAY(Variables!$A$2)&lt;10,0,"")&amp;DAY(Variables!$A$2)</f>
        <v>-24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5" s="30" t="e">
        <f>VLOOKUP(B45,'Train Runs'!$A$13:$A$99937,1,FALSE)</f>
        <v>#N/A</v>
      </c>
    </row>
    <row r="46" spans="1:10" x14ac:dyDescent="0.25">
      <c r="A46" s="185"/>
      <c r="B46" s="43" t="str">
        <f>A46&amp;"-"&amp;IF(DAY(Variables!$A$2)&lt;10,0,"")&amp;DAY(Variables!$A$2)</f>
        <v>-24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6" s="30" t="e">
        <f>VLOOKUP(B46,'Train Runs'!$A$13:$A$99937,1,FALSE)</f>
        <v>#N/A</v>
      </c>
    </row>
    <row r="47" spans="1:10" x14ac:dyDescent="0.25">
      <c r="A47" s="185"/>
      <c r="B47" s="43" t="str">
        <f>A47&amp;"-"&amp;IF(DAY(Variables!$A$2)&lt;10,0,"")&amp;DAY(Variables!$A$2)</f>
        <v>-24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7" s="30" t="e">
        <f>VLOOKUP(B47,'Train Runs'!$A$13:$A$99937,1,FALSE)</f>
        <v>#N/A</v>
      </c>
    </row>
    <row r="48" spans="1:10" x14ac:dyDescent="0.25">
      <c r="A48" s="185"/>
      <c r="B48" s="43" t="str">
        <f>A48&amp;"-"&amp;IF(DAY(Variables!$A$2)&lt;10,0,"")&amp;DAY(Variables!$A$2)</f>
        <v>-24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8" s="30" t="e">
        <f>VLOOKUP(B48,'Train Runs'!$A$13:$A$99937,1,FALSE)</f>
        <v>#N/A</v>
      </c>
    </row>
    <row r="49" spans="1:10" x14ac:dyDescent="0.25">
      <c r="A49" s="185"/>
      <c r="B49" s="43" t="str">
        <f>A49&amp;"-"&amp;IF(DAY(Variables!$A$2)&lt;10,0,"")&amp;DAY(Variables!$A$2)</f>
        <v>-24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9" s="30" t="e">
        <f>VLOOKUP(B49,'Train Runs'!$A$13:$A$99937,1,FALSE)</f>
        <v>#N/A</v>
      </c>
    </row>
    <row r="50" spans="1:10" x14ac:dyDescent="0.25">
      <c r="A50" s="185"/>
      <c r="B50" s="43" t="str">
        <f>A50&amp;"-"&amp;IF(DAY(Variables!$A$2)&lt;10,0,"")&amp;DAY(Variables!$A$2)</f>
        <v>-24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0" s="30" t="e">
        <f>VLOOKUP(B50,'Train Runs'!$A$13:$A$99937,1,FALSE)</f>
        <v>#N/A</v>
      </c>
    </row>
    <row r="51" spans="1:10" x14ac:dyDescent="0.25">
      <c r="A51" s="185"/>
      <c r="B51" s="43" t="str">
        <f>A51&amp;"-"&amp;IF(DAY(Variables!$A$2)&lt;10,0,"")&amp;DAY(Variables!$A$2)</f>
        <v>-24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1" s="30" t="e">
        <f>VLOOKUP(B51,'Train Runs'!$A$13:$A$99937,1,FALSE)</f>
        <v>#N/A</v>
      </c>
    </row>
    <row r="52" spans="1:10" x14ac:dyDescent="0.25">
      <c r="A52" s="185"/>
      <c r="B52" s="43" t="str">
        <f>A52&amp;"-"&amp;IF(DAY(Variables!$A$2)&lt;10,0,"")&amp;DAY(Variables!$A$2)</f>
        <v>-24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2" s="30" t="e">
        <f>VLOOKUP(B52,'Train Runs'!$A$13:$A$99937,1,FALSE)</f>
        <v>#N/A</v>
      </c>
    </row>
    <row r="53" spans="1:10" x14ac:dyDescent="0.25">
      <c r="A53" s="185"/>
      <c r="B53" s="43" t="str">
        <f>A53&amp;"-"&amp;IF(DAY(Variables!$A$2)&lt;10,0,"")&amp;DAY(Variables!$A$2)</f>
        <v>-24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3" s="30" t="e">
        <f>VLOOKUP(B53,'Train Runs'!$A$13:$A$99937,1,FALSE)</f>
        <v>#N/A</v>
      </c>
    </row>
    <row r="54" spans="1:10" x14ac:dyDescent="0.25">
      <c r="A54" s="185"/>
      <c r="B54" s="43" t="str">
        <f>A54&amp;"-"&amp;IF(DAY(Variables!$A$2)&lt;10,0,"")&amp;DAY(Variables!$A$2)</f>
        <v>-24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4" s="30" t="e">
        <f>VLOOKUP(B54,'Train Runs'!$A$13:$A$99937,1,FALSE)</f>
        <v>#N/A</v>
      </c>
    </row>
    <row r="55" spans="1:10" x14ac:dyDescent="0.25">
      <c r="A55" s="185"/>
      <c r="B55" s="43" t="str">
        <f>A55&amp;"-"&amp;IF(DAY(Variables!$A$2)&lt;10,0,"")&amp;DAY(Variables!$A$2)</f>
        <v>-24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5" s="30" t="e">
        <f>VLOOKUP(B55,'Train Runs'!$A$13:$A$99937,1,FALSE)</f>
        <v>#N/A</v>
      </c>
    </row>
    <row r="56" spans="1:10" x14ac:dyDescent="0.25">
      <c r="A56" s="185"/>
      <c r="B56" s="43" t="str">
        <f>A56&amp;"-"&amp;IF(DAY(Variables!$A$2)&lt;10,0,"")&amp;DAY(Variables!$A$2)</f>
        <v>-24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6" s="30" t="e">
        <f>VLOOKUP(B56,'Train Runs'!$A$13:$A$99937,1,FALSE)</f>
        <v>#N/A</v>
      </c>
    </row>
    <row r="57" spans="1:10" x14ac:dyDescent="0.25">
      <c r="A57" s="185"/>
      <c r="B57" s="43" t="str">
        <f>A57&amp;"-"&amp;IF(DAY(Variables!$A$2)&lt;10,0,"")&amp;DAY(Variables!$A$2)</f>
        <v>-24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7" s="30" t="e">
        <f>VLOOKUP(B57,'Train Runs'!$A$13:$A$99937,1,FALSE)</f>
        <v>#N/A</v>
      </c>
    </row>
    <row r="58" spans="1:10" x14ac:dyDescent="0.25">
      <c r="A58" s="185"/>
      <c r="B58" s="43" t="str">
        <f>A58&amp;"-"&amp;IF(DAY(Variables!$A$2)&lt;10,0,"")&amp;DAY(Variables!$A$2)</f>
        <v>-24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8" s="30" t="e">
        <f>VLOOKUP(B58,'Train Runs'!$A$13:$A$99937,1,FALSE)</f>
        <v>#N/A</v>
      </c>
    </row>
    <row r="59" spans="1:10" x14ac:dyDescent="0.25">
      <c r="A59" s="185"/>
      <c r="B59" s="43" t="str">
        <f>A59&amp;"-"&amp;IF(DAY(Variables!$A$2)&lt;10,0,"")&amp;DAY(Variables!$A$2)</f>
        <v>-24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9" s="30" t="e">
        <f>VLOOKUP(B59,'Train Runs'!$A$13:$A$99937,1,FALSE)</f>
        <v>#N/A</v>
      </c>
    </row>
    <row r="60" spans="1:10" x14ac:dyDescent="0.25">
      <c r="A60" s="185"/>
      <c r="B60" s="43" t="str">
        <f>A60&amp;"-"&amp;IF(DAY(Variables!$A$2)&lt;10,0,"")&amp;DAY(Variables!$A$2)</f>
        <v>-24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0" s="30" t="e">
        <f>VLOOKUP(B60,'Train Runs'!$A$13:$A$99937,1,FALSE)</f>
        <v>#N/A</v>
      </c>
    </row>
    <row r="61" spans="1:10" x14ac:dyDescent="0.25">
      <c r="A61" s="185"/>
      <c r="B61" s="43" t="str">
        <f>A61&amp;"-"&amp;IF(DAY(Variables!$A$2)&lt;10,0,"")&amp;DAY(Variables!$A$2)</f>
        <v>-24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1" s="30" t="e">
        <f>VLOOKUP(B61,'Train Runs'!$A$13:$A$99937,1,FALSE)</f>
        <v>#N/A</v>
      </c>
    </row>
    <row r="62" spans="1:10" x14ac:dyDescent="0.25">
      <c r="A62" s="185"/>
      <c r="B62" s="43" t="str">
        <f>A62&amp;"-"&amp;IF(DAY(Variables!$A$2)&lt;10,0,"")&amp;DAY(Variables!$A$2)</f>
        <v>-24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ref="I62:I9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2" s="30" t="e">
        <f>VLOOKUP(B62,'Train Runs'!$A$13:$A$99937,1,FALSE)</f>
        <v>#N/A</v>
      </c>
    </row>
    <row r="63" spans="1:10" x14ac:dyDescent="0.25">
      <c r="A63" s="185"/>
      <c r="B63" s="43" t="str">
        <f>A63&amp;"-"&amp;IF(DAY(Variables!$A$2)&lt;10,0,"")&amp;DAY(Variables!$A$2)</f>
        <v>-24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3" s="30" t="e">
        <f>VLOOKUP(B63,'Train Runs'!$A$13:$A$99937,1,FALSE)</f>
        <v>#N/A</v>
      </c>
    </row>
    <row r="64" spans="1:10" x14ac:dyDescent="0.25">
      <c r="A64" s="185"/>
      <c r="B64" s="43" t="str">
        <f>A64&amp;"-"&amp;IF(DAY(Variables!$A$2)&lt;10,0,"")&amp;DAY(Variables!$A$2)</f>
        <v>-24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4" s="30" t="e">
        <f>VLOOKUP(B64,'Train Runs'!$A$13:$A$99937,1,FALSE)</f>
        <v>#N/A</v>
      </c>
    </row>
    <row r="65" spans="1:10" x14ac:dyDescent="0.25">
      <c r="A65" s="185"/>
      <c r="B65" s="43" t="str">
        <f>A65&amp;"-"&amp;IF(DAY(Variables!$A$2)&lt;10,0,"")&amp;DAY(Variables!$A$2)</f>
        <v>-24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5" s="30" t="e">
        <f>VLOOKUP(B65,'Train Runs'!$A$13:$A$99937,1,FALSE)</f>
        <v>#N/A</v>
      </c>
    </row>
    <row r="66" spans="1:10" x14ac:dyDescent="0.25">
      <c r="A66" s="185"/>
      <c r="B66" s="43" t="str">
        <f>A66&amp;"-"&amp;IF(DAY(Variables!$A$2)&lt;10,0,"")&amp;DAY(Variables!$A$2)</f>
        <v>-24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6" s="30" t="e">
        <f>VLOOKUP(B66,'Train Runs'!$A$13:$A$99937,1,FALSE)</f>
        <v>#N/A</v>
      </c>
    </row>
    <row r="67" spans="1:10" x14ac:dyDescent="0.25">
      <c r="A67" s="185"/>
      <c r="B67" s="43" t="str">
        <f>A67&amp;"-"&amp;IF(DAY(Variables!$A$2)&lt;10,0,"")&amp;DAY(Variables!$A$2)</f>
        <v>-24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7" s="30" t="e">
        <f>VLOOKUP(B67,'Train Runs'!$A$13:$A$99937,1,FALSE)</f>
        <v>#N/A</v>
      </c>
    </row>
    <row r="68" spans="1:10" x14ac:dyDescent="0.25">
      <c r="A68" s="185"/>
      <c r="B68" s="43" t="str">
        <f>A68&amp;"-"&amp;IF(DAY(Variables!$A$2)&lt;10,0,"")&amp;DAY(Variables!$A$2)</f>
        <v>-24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8" s="30" t="e">
        <f>VLOOKUP(B68,'Train Runs'!$A$13:$A$99937,1,FALSE)</f>
        <v>#N/A</v>
      </c>
    </row>
    <row r="69" spans="1:10" x14ac:dyDescent="0.25">
      <c r="A69" s="185"/>
      <c r="B69" s="43" t="str">
        <f>A69&amp;"-"&amp;IF(DAY(Variables!$A$2)&lt;10,0,"")&amp;DAY(Variables!$A$2)</f>
        <v>-24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9" s="30" t="e">
        <f>VLOOKUP(B69,'Train Runs'!$A$13:$A$99937,1,FALSE)</f>
        <v>#N/A</v>
      </c>
    </row>
    <row r="70" spans="1:10" x14ac:dyDescent="0.25">
      <c r="A70" s="185"/>
      <c r="B70" s="43" t="str">
        <f>A70&amp;"-"&amp;IF(DAY(Variables!$A$2)&lt;10,0,"")&amp;DAY(Variables!$A$2)</f>
        <v>-24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0" s="30" t="e">
        <f>VLOOKUP(B70,'Train Runs'!$A$13:$A$99937,1,FALSE)</f>
        <v>#N/A</v>
      </c>
    </row>
    <row r="71" spans="1:10" x14ac:dyDescent="0.25">
      <c r="A71" s="185"/>
      <c r="B71" s="43" t="str">
        <f>A71&amp;"-"&amp;IF(DAY(Variables!$A$2)&lt;10,0,"")&amp;DAY(Variables!$A$2)</f>
        <v>-24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1" s="30" t="e">
        <f>VLOOKUP(B71,'Train Runs'!$A$13:$A$99937,1,FALSE)</f>
        <v>#N/A</v>
      </c>
    </row>
    <row r="72" spans="1:10" x14ac:dyDescent="0.25">
      <c r="A72" s="185"/>
      <c r="B72" s="43" t="str">
        <f>A72&amp;"-"&amp;IF(DAY(Variables!$A$2)&lt;10,0,"")&amp;DAY(Variables!$A$2)</f>
        <v>-24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2" s="30" t="e">
        <f>VLOOKUP(B72,'Train Runs'!$A$13:$A$99937,1,FALSE)</f>
        <v>#N/A</v>
      </c>
    </row>
    <row r="73" spans="1:10" x14ac:dyDescent="0.25">
      <c r="A73" s="185"/>
      <c r="B73" s="43" t="str">
        <f>A73&amp;"-"&amp;IF(DAY(Variables!$A$2)&lt;10,0,"")&amp;DAY(Variables!$A$2)</f>
        <v>-24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3" s="30" t="e">
        <f>VLOOKUP(B73,'Train Runs'!$A$13:$A$99937,1,FALSE)</f>
        <v>#N/A</v>
      </c>
    </row>
    <row r="74" spans="1:10" x14ac:dyDescent="0.25">
      <c r="A74" s="185"/>
      <c r="B74" s="43" t="str">
        <f>A74&amp;"-"&amp;IF(DAY(Variables!$A$2)&lt;10,0,"")&amp;DAY(Variables!$A$2)</f>
        <v>-24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4" s="30" t="e">
        <f>VLOOKUP(B74,'Train Runs'!$A$13:$A$99937,1,FALSE)</f>
        <v>#N/A</v>
      </c>
    </row>
    <row r="75" spans="1:10" x14ac:dyDescent="0.25">
      <c r="A75" s="185"/>
      <c r="B75" s="43" t="str">
        <f>A75&amp;"-"&amp;IF(DAY(Variables!$A$2)&lt;10,0,"")&amp;DAY(Variables!$A$2)</f>
        <v>-24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5" s="30" t="e">
        <f>VLOOKUP(B75,'Train Runs'!$A$13:$A$99937,1,FALSE)</f>
        <v>#N/A</v>
      </c>
    </row>
    <row r="76" spans="1:10" x14ac:dyDescent="0.25">
      <c r="A76" s="185"/>
      <c r="B76" s="43" t="str">
        <f>A76&amp;"-"&amp;IF(DAY(Variables!$A$2)&lt;10,0,"")&amp;DAY(Variables!$A$2)</f>
        <v>-24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6" s="30" t="e">
        <f>VLOOKUP(B76,'Train Runs'!$A$13:$A$99937,1,FALSE)</f>
        <v>#N/A</v>
      </c>
    </row>
    <row r="77" spans="1:10" x14ac:dyDescent="0.25">
      <c r="A77" s="185"/>
      <c r="B77" s="43" t="str">
        <f>A77&amp;"-"&amp;IF(DAY(Variables!$A$2)&lt;10,0,"")&amp;DAY(Variables!$A$2)</f>
        <v>-24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7" s="30" t="e">
        <f>VLOOKUP(B77,'Train Runs'!$A$13:$A$99937,1,FALSE)</f>
        <v>#N/A</v>
      </c>
    </row>
    <row r="78" spans="1:10" x14ac:dyDescent="0.25">
      <c r="A78" s="185"/>
      <c r="B78" s="43" t="str">
        <f>A78&amp;"-"&amp;IF(DAY(Variables!$A$2)&lt;10,0,"")&amp;DAY(Variables!$A$2)</f>
        <v>-24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8" s="30" t="e">
        <f>VLOOKUP(B78,'Train Runs'!$A$13:$A$99937,1,FALSE)</f>
        <v>#N/A</v>
      </c>
    </row>
    <row r="79" spans="1:10" x14ac:dyDescent="0.25">
      <c r="A79" s="185"/>
      <c r="B79" s="43" t="str">
        <f>A79&amp;"-"&amp;IF(DAY(Variables!$A$2)&lt;10,0,"")&amp;DAY(Variables!$A$2)</f>
        <v>-24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9" s="30" t="e">
        <f>VLOOKUP(B79,'Train Runs'!$A$13:$A$99937,1,FALSE)</f>
        <v>#N/A</v>
      </c>
    </row>
    <row r="80" spans="1:10" x14ac:dyDescent="0.25">
      <c r="A80" s="185"/>
      <c r="B80" s="43" t="str">
        <f>A80&amp;"-"&amp;IF(DAY(Variables!$A$2)&lt;10,0,"")&amp;DAY(Variables!$A$2)</f>
        <v>-24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0" s="30" t="e">
        <f>VLOOKUP(B80,'Train Runs'!$A$13:$A$99937,1,FALSE)</f>
        <v>#N/A</v>
      </c>
    </row>
    <row r="81" spans="1:10" x14ac:dyDescent="0.25">
      <c r="A81" s="185"/>
      <c r="B81" s="43" t="str">
        <f>A81&amp;"-"&amp;IF(DAY(Variables!$A$2)&lt;10,0,"")&amp;DAY(Variables!$A$2)</f>
        <v>-24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1" s="30" t="e">
        <f>VLOOKUP(B81,'Train Runs'!$A$13:$A$99937,1,FALSE)</f>
        <v>#N/A</v>
      </c>
    </row>
    <row r="82" spans="1:10" x14ac:dyDescent="0.25">
      <c r="A82" s="185"/>
      <c r="B82" s="43" t="str">
        <f>A82&amp;"-"&amp;IF(DAY(Variables!$A$2)&lt;10,0,"")&amp;DAY(Variables!$A$2)</f>
        <v>-24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2" s="30" t="e">
        <f>VLOOKUP(B82,'Train Runs'!$A$13:$A$99937,1,FALSE)</f>
        <v>#N/A</v>
      </c>
    </row>
    <row r="83" spans="1:10" x14ac:dyDescent="0.25">
      <c r="A83" s="185"/>
      <c r="B83" s="43" t="str">
        <f>A83&amp;"-"&amp;IF(DAY(Variables!$A$2)&lt;10,0,"")&amp;DAY(Variables!$A$2)</f>
        <v>-24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3" s="30" t="e">
        <f>VLOOKUP(B83,'Train Runs'!$A$13:$A$99937,1,FALSE)</f>
        <v>#N/A</v>
      </c>
    </row>
    <row r="84" spans="1:10" x14ac:dyDescent="0.25">
      <c r="A84" s="185"/>
      <c r="B84" s="43" t="str">
        <f>A84&amp;"-"&amp;IF(DAY(Variables!$A$2)&lt;10,0,"")&amp;DAY(Variables!$A$2)</f>
        <v>-24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4" s="30" t="e">
        <f>VLOOKUP(B84,'Train Runs'!$A$13:$A$99937,1,FALSE)</f>
        <v>#N/A</v>
      </c>
    </row>
    <row r="85" spans="1:10" x14ac:dyDescent="0.25">
      <c r="A85" s="185"/>
      <c r="B85" s="43" t="str">
        <f>A85&amp;"-"&amp;IF(DAY(Variables!$A$2)&lt;10,0,"")&amp;DAY(Variables!$A$2)</f>
        <v>-24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5" s="30" t="e">
        <f>VLOOKUP(B85,'Train Runs'!$A$13:$A$99937,1,FALSE)</f>
        <v>#N/A</v>
      </c>
    </row>
    <row r="86" spans="1:10" x14ac:dyDescent="0.25">
      <c r="A86" s="185"/>
      <c r="B86" s="43" t="str">
        <f>A86&amp;"-"&amp;IF(DAY(Variables!$A$2)&lt;10,0,"")&amp;DAY(Variables!$A$2)</f>
        <v>-24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6" s="30" t="e">
        <f>VLOOKUP(B86,'Train Runs'!$A$13:$A$99937,1,FALSE)</f>
        <v>#N/A</v>
      </c>
    </row>
    <row r="87" spans="1:10" x14ac:dyDescent="0.25">
      <c r="A87" s="185"/>
      <c r="B87" s="43" t="str">
        <f>A87&amp;"-"&amp;IF(DAY(Variables!$A$2)&lt;10,0,"")&amp;DAY(Variables!$A$2)</f>
        <v>-24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7" s="30" t="e">
        <f>VLOOKUP(B87,'Train Runs'!$A$13:$A$99937,1,FALSE)</f>
        <v>#N/A</v>
      </c>
    </row>
    <row r="88" spans="1:10" x14ac:dyDescent="0.25">
      <c r="A88" s="185"/>
      <c r="B88" s="43" t="str">
        <f>A88&amp;"-"&amp;IF(DAY(Variables!$A$2)&lt;10,0,"")&amp;DAY(Variables!$A$2)</f>
        <v>-24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8" s="30" t="e">
        <f>VLOOKUP(B88,'Train Runs'!$A$13:$A$99937,1,FALSE)</f>
        <v>#N/A</v>
      </c>
    </row>
    <row r="89" spans="1:10" x14ac:dyDescent="0.25">
      <c r="A89" s="185"/>
      <c r="B89" s="43" t="str">
        <f>A89&amp;"-"&amp;IF(DAY(Variables!$A$2)&lt;10,0,"")&amp;DAY(Variables!$A$2)</f>
        <v>-24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9" s="30" t="e">
        <f>VLOOKUP(B89,'Train Runs'!$A$13:$A$99937,1,FALSE)</f>
        <v>#N/A</v>
      </c>
    </row>
    <row r="90" spans="1:10" x14ac:dyDescent="0.25">
      <c r="A90" s="185"/>
      <c r="B90" s="43" t="str">
        <f>A90&amp;"-"&amp;IF(DAY(Variables!$A$2)&lt;10,0,"")&amp;DAY(Variables!$A$2)</f>
        <v>-24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0" s="30" t="e">
        <f>VLOOKUP(B90,'Train Runs'!$A$13:$A$99937,1,FALSE)</f>
        <v>#N/A</v>
      </c>
    </row>
    <row r="91" spans="1:10" x14ac:dyDescent="0.25">
      <c r="A91" s="185"/>
      <c r="B91" s="43" t="str">
        <f>A91&amp;"-"&amp;IF(DAY(Variables!$A$2)&lt;10,0,"")&amp;DAY(Variables!$A$2)</f>
        <v>-24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1" s="30" t="e">
        <f>VLOOKUP(B91,'Train Runs'!$A$13:$A$99937,1,FALSE)</f>
        <v>#N/A</v>
      </c>
    </row>
    <row r="92" spans="1:10" x14ac:dyDescent="0.25">
      <c r="A92" s="185"/>
      <c r="B92" s="43" t="str">
        <f>A92&amp;"-"&amp;IF(DAY(Variables!$A$2)&lt;10,0,"")&amp;DAY(Variables!$A$2)</f>
        <v>-24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2" s="30" t="e">
        <f>VLOOKUP(B92,'Train Runs'!$A$13:$A$99937,1,FALSE)</f>
        <v>#N/A</v>
      </c>
    </row>
    <row r="93" spans="1:10" x14ac:dyDescent="0.25">
      <c r="A93" s="185"/>
      <c r="B93" s="43" t="str">
        <f>A93&amp;"-"&amp;IF(DAY(Variables!$A$2)&lt;10,0,"")&amp;DAY(Variables!$A$2)</f>
        <v>-24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3" s="30" t="e">
        <f>VLOOKUP(B93,'Train Runs'!$A$13:$A$99937,1,FALSE)</f>
        <v>#N/A</v>
      </c>
    </row>
    <row r="94" spans="1:10" x14ac:dyDescent="0.25">
      <c r="A94" s="185"/>
      <c r="B94" s="43" t="str">
        <f>A94&amp;"-"&amp;IF(DAY(Variables!$A$2)&lt;10,0,"")&amp;DAY(Variables!$A$2)</f>
        <v>-24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ref="I94:I115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4" s="30" t="e">
        <f>VLOOKUP(B94,'Train Runs'!$A$13:$A$99937,1,FALSE)</f>
        <v>#N/A</v>
      </c>
    </row>
    <row r="95" spans="1:10" x14ac:dyDescent="0.25">
      <c r="A95" s="185"/>
      <c r="B95" s="43" t="str">
        <f>A95&amp;"-"&amp;IF(DAY(Variables!$A$2)&lt;10,0,"")&amp;DAY(Variables!$A$2)</f>
        <v>-24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5" s="30" t="e">
        <f>VLOOKUP(B95,'Train Runs'!$A$13:$A$99937,1,FALSE)</f>
        <v>#N/A</v>
      </c>
    </row>
    <row r="96" spans="1:10" x14ac:dyDescent="0.25">
      <c r="A96" s="185"/>
      <c r="B96" s="43" t="str">
        <f>A96&amp;"-"&amp;IF(DAY(Variables!$A$2)&lt;10,0,"")&amp;DAY(Variables!$A$2)</f>
        <v>-24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6" s="30" t="e">
        <f>VLOOKUP(B96,'Train Runs'!$A$13:$A$99937,1,FALSE)</f>
        <v>#N/A</v>
      </c>
    </row>
    <row r="97" spans="1:10" x14ac:dyDescent="0.25">
      <c r="A97" s="185"/>
      <c r="B97" s="43" t="str">
        <f>A97&amp;"-"&amp;IF(DAY(Variables!$A$2)&lt;10,0,"")&amp;DAY(Variables!$A$2)</f>
        <v>-24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7" s="30" t="e">
        <f>VLOOKUP(B97,'Train Runs'!$A$13:$A$99937,1,FALSE)</f>
        <v>#N/A</v>
      </c>
    </row>
    <row r="98" spans="1:10" x14ac:dyDescent="0.25">
      <c r="A98" s="185"/>
      <c r="B98" s="43" t="str">
        <f>A98&amp;"-"&amp;IF(DAY(Variables!$A$2)&lt;10,0,"")&amp;DAY(Variables!$A$2)</f>
        <v>-24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8" s="30" t="e">
        <f>VLOOKUP(B98,'Train Runs'!$A$13:$A$99937,1,FALSE)</f>
        <v>#N/A</v>
      </c>
    </row>
    <row r="99" spans="1:10" x14ac:dyDescent="0.25">
      <c r="A99" s="185"/>
      <c r="B99" s="43" t="str">
        <f>A99&amp;"-"&amp;IF(DAY(Variables!$A$2)&lt;10,0,"")&amp;DAY(Variables!$A$2)</f>
        <v>-24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9" s="30" t="e">
        <f>VLOOKUP(B99,'Train Runs'!$A$13:$A$99937,1,FALSE)</f>
        <v>#N/A</v>
      </c>
    </row>
    <row r="100" spans="1:10" x14ac:dyDescent="0.25">
      <c r="A100" s="185"/>
      <c r="B100" s="43" t="str">
        <f>A100&amp;"-"&amp;IF(DAY(Variables!$A$2)&lt;10,0,"")&amp;DAY(Variables!$A$2)</f>
        <v>-24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0" s="30" t="e">
        <f>VLOOKUP(B100,'Train Runs'!$A$13:$A$99937,1,FALSE)</f>
        <v>#N/A</v>
      </c>
    </row>
    <row r="101" spans="1:10" x14ac:dyDescent="0.25">
      <c r="A101" s="185"/>
      <c r="B101" s="43" t="str">
        <f>A101&amp;"-"&amp;IF(DAY(Variables!$A$2)&lt;10,0,"")&amp;DAY(Variables!$A$2)</f>
        <v>-24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1" s="30" t="e">
        <f>VLOOKUP(B101,'Train Runs'!$A$13:$A$99937,1,FALSE)</f>
        <v>#N/A</v>
      </c>
    </row>
    <row r="102" spans="1:10" x14ac:dyDescent="0.25">
      <c r="A102" s="185"/>
      <c r="B102" s="43" t="str">
        <f>A102&amp;"-"&amp;IF(DAY(Variables!$A$2)&lt;10,0,"")&amp;DAY(Variables!$A$2)</f>
        <v>-24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2" s="30" t="e">
        <f>VLOOKUP(B102,'Train Runs'!$A$13:$A$99937,1,FALSE)</f>
        <v>#N/A</v>
      </c>
    </row>
    <row r="103" spans="1:10" x14ac:dyDescent="0.25">
      <c r="A103" s="185"/>
      <c r="B103" s="43" t="str">
        <f>A103&amp;"-"&amp;IF(DAY(Variables!$A$2)&lt;10,0,"")&amp;DAY(Variables!$A$2)</f>
        <v>-24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3" s="30" t="e">
        <f>VLOOKUP(B103,'Train Runs'!$A$13:$A$99937,1,FALSE)</f>
        <v>#N/A</v>
      </c>
    </row>
    <row r="104" spans="1:10" x14ac:dyDescent="0.25">
      <c r="A104" s="185"/>
      <c r="B104" s="43" t="str">
        <f>A104&amp;"-"&amp;IF(DAY(Variables!$A$2)&lt;10,0,"")&amp;DAY(Variables!$A$2)</f>
        <v>-24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4" s="30" t="e">
        <f>VLOOKUP(B104,'Train Runs'!$A$13:$A$99937,1,FALSE)</f>
        <v>#N/A</v>
      </c>
    </row>
    <row r="105" spans="1:10" x14ac:dyDescent="0.25">
      <c r="A105" s="185"/>
      <c r="B105" s="43" t="str">
        <f>A105&amp;"-"&amp;IF(DAY(Variables!$A$2)&lt;10,0,"")&amp;DAY(Variables!$A$2)</f>
        <v>-24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5" s="30" t="e">
        <f>VLOOKUP(B105,'Train Runs'!$A$13:$A$99937,1,FALSE)</f>
        <v>#N/A</v>
      </c>
    </row>
    <row r="106" spans="1:10" x14ac:dyDescent="0.25">
      <c r="A106" s="185"/>
      <c r="B106" s="43" t="str">
        <f>A106&amp;"-"&amp;IF(DAY(Variables!$A$2)&lt;10,0,"")&amp;DAY(Variables!$A$2)</f>
        <v>-24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6" s="30" t="e">
        <f>VLOOKUP(B106,'Train Runs'!$A$13:$A$99937,1,FALSE)</f>
        <v>#N/A</v>
      </c>
    </row>
    <row r="107" spans="1:10" x14ac:dyDescent="0.25">
      <c r="A107" s="185"/>
      <c r="B107" s="43" t="str">
        <f>A107&amp;"-"&amp;IF(DAY(Variables!$A$2)&lt;10,0,"")&amp;DAY(Variables!$A$2)</f>
        <v>-24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7" s="30" t="e">
        <f>VLOOKUP(B107,'Train Runs'!$A$13:$A$99937,1,FALSE)</f>
        <v>#N/A</v>
      </c>
    </row>
    <row r="108" spans="1:10" x14ac:dyDescent="0.25">
      <c r="A108" s="185"/>
      <c r="B108" s="43" t="str">
        <f>A108&amp;"-"&amp;IF(DAY(Variables!$A$2)&lt;10,0,"")&amp;DAY(Variables!$A$2)</f>
        <v>-24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8" s="30" t="e">
        <f>VLOOKUP(B108,'Train Runs'!$A$13:$A$99937,1,FALSE)</f>
        <v>#N/A</v>
      </c>
    </row>
    <row r="109" spans="1:10" x14ac:dyDescent="0.25">
      <c r="A109" s="185"/>
      <c r="B109" s="43" t="str">
        <f>A109&amp;"-"&amp;IF(DAY(Variables!$A$2)&lt;10,0,"")&amp;DAY(Variables!$A$2)</f>
        <v>-24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9" s="30" t="e">
        <f>VLOOKUP(B109,'Train Runs'!$A$13:$A$99937,1,FALSE)</f>
        <v>#N/A</v>
      </c>
    </row>
    <row r="110" spans="1:10" x14ac:dyDescent="0.25">
      <c r="A110" s="185"/>
      <c r="B110" s="43" t="str">
        <f>A110&amp;"-"&amp;IF(DAY(Variables!$A$2)&lt;10,0,"")&amp;DAY(Variables!$A$2)</f>
        <v>-24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0" s="30" t="e">
        <f>VLOOKUP(B110,'Train Runs'!$A$13:$A$99937,1,FALSE)</f>
        <v>#N/A</v>
      </c>
    </row>
    <row r="111" spans="1:10" x14ac:dyDescent="0.25">
      <c r="A111" s="185"/>
      <c r="B111" s="43" t="str">
        <f>A111&amp;"-"&amp;IF(DAY(Variables!$A$2)&lt;10,0,"")&amp;DAY(Variables!$A$2)</f>
        <v>-24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1" s="30" t="e">
        <f>VLOOKUP(B111,'Train Runs'!$A$13:$A$99937,1,FALSE)</f>
        <v>#N/A</v>
      </c>
    </row>
    <row r="112" spans="1:10" x14ac:dyDescent="0.25">
      <c r="A112" s="185"/>
      <c r="B112" s="43" t="str">
        <f>A112&amp;"-"&amp;IF(DAY(Variables!$A$2)&lt;10,0,"")&amp;DAY(Variables!$A$2)</f>
        <v>-24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2" s="30" t="e">
        <f>VLOOKUP(B112,'Train Runs'!$A$13:$A$99937,1,FALSE)</f>
        <v>#N/A</v>
      </c>
    </row>
    <row r="113" spans="1:10" x14ac:dyDescent="0.25">
      <c r="A113" s="185"/>
      <c r="B113" s="43" t="str">
        <f>A113&amp;"-"&amp;IF(DAY(Variables!$A$2)&lt;10,0,"")&amp;DAY(Variables!$A$2)</f>
        <v>-24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3" s="30" t="e">
        <f>VLOOKUP(B113,'Train Runs'!$A$13:$A$99937,1,FALSE)</f>
        <v>#N/A</v>
      </c>
    </row>
    <row r="114" spans="1:10" x14ac:dyDescent="0.25">
      <c r="A114" s="185"/>
      <c r="B114" s="43" t="str">
        <f>A114&amp;"-"&amp;IF(DAY(Variables!$A$2)&lt;10,0,"")&amp;DAY(Variables!$A$2)</f>
        <v>-24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4" s="30" t="e">
        <f>VLOOKUP(B114,'Train Runs'!$A$13:$A$99937,1,FALSE)</f>
        <v>#N/A</v>
      </c>
    </row>
    <row r="115" spans="1:10" x14ac:dyDescent="0.25">
      <c r="A115" s="185"/>
      <c r="B115" s="43" t="str">
        <f>A115&amp;"-"&amp;IF(DAY(Variables!$A$2)&lt;10,0,"")&amp;DAY(Variables!$A$2)</f>
        <v>-24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5" s="30" t="e">
        <f>VLOOKUP(B115,'Train Runs'!$A$13:$A$99937,1,FALSE)</f>
        <v>#N/A</v>
      </c>
    </row>
  </sheetData>
  <autoFilter ref="A2:J11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activeCell="A2" sqref="A2:F26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42790.036620370367</v>
      </c>
      <c r="B2" s="20" t="s">
        <v>217</v>
      </c>
      <c r="C2" s="20" t="s">
        <v>371</v>
      </c>
      <c r="D2" s="150">
        <v>1800000</v>
      </c>
      <c r="E2" s="20" t="s">
        <v>238</v>
      </c>
      <c r="F2" s="20" t="s">
        <v>239</v>
      </c>
      <c r="G2" s="8" t="str">
        <f>E2&amp;" "&amp;F2</f>
        <v>CHANDLER KELVIN</v>
      </c>
    </row>
    <row r="3" spans="1:7" x14ac:dyDescent="0.25">
      <c r="A3" s="8">
        <v>42790.037673611114</v>
      </c>
      <c r="B3" s="20" t="s">
        <v>297</v>
      </c>
      <c r="C3" s="20" t="s">
        <v>370</v>
      </c>
      <c r="D3" s="150">
        <v>2730000</v>
      </c>
      <c r="E3" s="20" t="s">
        <v>278</v>
      </c>
      <c r="F3" s="20" t="s">
        <v>279</v>
      </c>
      <c r="G3" s="8" t="str">
        <f t="shared" ref="G3:G66" si="0">E3&amp;" "&amp;F3</f>
        <v>YANG JAN</v>
      </c>
    </row>
    <row r="4" spans="1:7" x14ac:dyDescent="0.25">
      <c r="A4" s="8">
        <v>42790.038599537038</v>
      </c>
      <c r="B4" s="20" t="s">
        <v>355</v>
      </c>
      <c r="C4" s="20" t="s">
        <v>356</v>
      </c>
      <c r="D4" s="150">
        <v>2270000</v>
      </c>
      <c r="E4" s="20" t="s">
        <v>226</v>
      </c>
      <c r="F4" s="20" t="s">
        <v>227</v>
      </c>
      <c r="G4" s="8" t="str">
        <f t="shared" si="0"/>
        <v>BROWN JACOB</v>
      </c>
    </row>
    <row r="5" spans="1:7" x14ac:dyDescent="0.25">
      <c r="A5" s="8">
        <v>42790.045081018521</v>
      </c>
      <c r="B5" s="20" t="s">
        <v>296</v>
      </c>
      <c r="C5" s="20" t="s">
        <v>367</v>
      </c>
      <c r="D5" s="150">
        <v>2670000</v>
      </c>
      <c r="E5" s="20" t="s">
        <v>230</v>
      </c>
      <c r="F5" s="20" t="s">
        <v>231</v>
      </c>
      <c r="G5" s="8" t="str">
        <f t="shared" si="0"/>
        <v>COMELLA JUSTIN</v>
      </c>
    </row>
    <row r="6" spans="1:7" x14ac:dyDescent="0.25">
      <c r="A6" s="8">
        <v>42790.052789351852</v>
      </c>
      <c r="B6" s="20" t="s">
        <v>214</v>
      </c>
      <c r="C6" s="20" t="s">
        <v>372</v>
      </c>
      <c r="D6" s="150">
        <v>2540000</v>
      </c>
      <c r="E6" s="20" t="s">
        <v>218</v>
      </c>
      <c r="F6" s="20" t="s">
        <v>219</v>
      </c>
      <c r="G6" s="8" t="str">
        <f t="shared" si="0"/>
        <v>MCREYNOLDS KYLE</v>
      </c>
    </row>
    <row r="7" spans="1:7" x14ac:dyDescent="0.25">
      <c r="A7" s="8">
        <v>42790.054884259262</v>
      </c>
      <c r="B7" s="20" t="s">
        <v>297</v>
      </c>
      <c r="C7" s="20" t="s">
        <v>370</v>
      </c>
      <c r="D7" s="150">
        <v>2730000</v>
      </c>
      <c r="E7" s="20" t="s">
        <v>278</v>
      </c>
      <c r="F7" s="20" t="s">
        <v>279</v>
      </c>
      <c r="G7" s="8" t="str">
        <f t="shared" si="0"/>
        <v>YANG JAN</v>
      </c>
    </row>
    <row r="8" spans="1:7" x14ac:dyDescent="0.25">
      <c r="A8" s="8">
        <v>42790.058622685188</v>
      </c>
      <c r="B8" s="20" t="s">
        <v>255</v>
      </c>
      <c r="C8" s="20" t="s">
        <v>373</v>
      </c>
      <c r="D8" s="150">
        <v>2220000</v>
      </c>
      <c r="E8" s="20" t="s">
        <v>212</v>
      </c>
      <c r="F8" s="20" t="s">
        <v>213</v>
      </c>
      <c r="G8" s="8" t="str">
        <f t="shared" si="0"/>
        <v>HILLS DUSTIN</v>
      </c>
    </row>
    <row r="9" spans="1:7" ht="15.75" thickBot="1" x14ac:dyDescent="0.3">
      <c r="A9" s="24">
        <v>42790.063483796293</v>
      </c>
      <c r="B9" s="20" t="s">
        <v>296</v>
      </c>
      <c r="C9" s="20" t="s">
        <v>367</v>
      </c>
      <c r="D9" s="150">
        <v>2670000</v>
      </c>
      <c r="E9" s="20" t="s">
        <v>230</v>
      </c>
      <c r="F9" s="20" t="s">
        <v>231</v>
      </c>
      <c r="G9" s="8" t="str">
        <f t="shared" si="0"/>
        <v>COMELLA JUSTIN</v>
      </c>
    </row>
    <row r="10" spans="1:7" x14ac:dyDescent="0.25">
      <c r="A10" s="8">
        <v>42790.070821759262</v>
      </c>
      <c r="B10" s="20" t="s">
        <v>297</v>
      </c>
      <c r="C10" s="20" t="s">
        <v>370</v>
      </c>
      <c r="D10" s="150">
        <v>2730000</v>
      </c>
      <c r="E10" s="20" t="s">
        <v>278</v>
      </c>
      <c r="F10" s="20" t="s">
        <v>279</v>
      </c>
      <c r="G10" s="8" t="str">
        <f t="shared" si="0"/>
        <v>YANG JAN</v>
      </c>
    </row>
    <row r="11" spans="1:7" x14ac:dyDescent="0.25">
      <c r="A11" s="8">
        <v>42790.072557870371</v>
      </c>
      <c r="B11" s="20" t="s">
        <v>361</v>
      </c>
      <c r="C11" s="20" t="s">
        <v>374</v>
      </c>
      <c r="D11" s="150">
        <v>2270000</v>
      </c>
      <c r="E11" s="20" t="s">
        <v>226</v>
      </c>
      <c r="F11" s="20" t="s">
        <v>227</v>
      </c>
      <c r="G11" s="8" t="str">
        <f t="shared" si="0"/>
        <v>BROWN JACOB</v>
      </c>
    </row>
    <row r="12" spans="1:7" x14ac:dyDescent="0.25">
      <c r="A12" s="8">
        <v>42790.077002314814</v>
      </c>
      <c r="B12" s="20" t="s">
        <v>296</v>
      </c>
      <c r="C12" s="20" t="s">
        <v>367</v>
      </c>
      <c r="D12" s="150">
        <v>2670000</v>
      </c>
      <c r="E12" s="20" t="s">
        <v>230</v>
      </c>
      <c r="F12" s="20" t="s">
        <v>231</v>
      </c>
      <c r="G12" s="8" t="str">
        <f t="shared" si="0"/>
        <v>COMELLA JUSTIN</v>
      </c>
    </row>
    <row r="13" spans="1:7" x14ac:dyDescent="0.25">
      <c r="A13" s="8">
        <v>42790.087210648147</v>
      </c>
      <c r="B13" s="20" t="s">
        <v>297</v>
      </c>
      <c r="C13" s="20" t="s">
        <v>370</v>
      </c>
      <c r="D13" s="150">
        <v>2730000</v>
      </c>
      <c r="E13" s="20" t="s">
        <v>278</v>
      </c>
      <c r="F13" s="20" t="s">
        <v>279</v>
      </c>
      <c r="G13" s="8" t="str">
        <f t="shared" si="0"/>
        <v>YANG JAN</v>
      </c>
    </row>
    <row r="14" spans="1:7" x14ac:dyDescent="0.25">
      <c r="A14" s="8">
        <v>42790.089884259258</v>
      </c>
      <c r="B14" s="20" t="s">
        <v>192</v>
      </c>
      <c r="C14" s="20" t="s">
        <v>375</v>
      </c>
      <c r="D14" s="150">
        <v>2220000</v>
      </c>
      <c r="E14" s="20" t="s">
        <v>212</v>
      </c>
      <c r="F14" s="20" t="s">
        <v>213</v>
      </c>
      <c r="G14" s="8" t="str">
        <f t="shared" si="0"/>
        <v>HILLS DUSTIN</v>
      </c>
    </row>
    <row r="15" spans="1:7" x14ac:dyDescent="0.25">
      <c r="A15" s="8">
        <v>42790.093101851853</v>
      </c>
      <c r="B15" s="20" t="s">
        <v>296</v>
      </c>
      <c r="C15" s="20" t="s">
        <v>367</v>
      </c>
      <c r="D15" s="150">
        <v>2670000</v>
      </c>
      <c r="E15" s="20" t="s">
        <v>230</v>
      </c>
      <c r="F15" s="20" t="s">
        <v>231</v>
      </c>
      <c r="G15" s="8" t="str">
        <f t="shared" si="0"/>
        <v>COMELLA JUSTIN</v>
      </c>
    </row>
    <row r="16" spans="1:7" x14ac:dyDescent="0.25">
      <c r="A16" s="8">
        <v>42790.101909722223</v>
      </c>
      <c r="B16" s="20" t="s">
        <v>297</v>
      </c>
      <c r="C16" s="20" t="s">
        <v>370</v>
      </c>
      <c r="D16" s="150">
        <v>2730000</v>
      </c>
      <c r="E16" s="20" t="s">
        <v>278</v>
      </c>
      <c r="F16" s="20" t="s">
        <v>279</v>
      </c>
      <c r="G16" s="8" t="str">
        <f t="shared" si="0"/>
        <v>YANG JAN</v>
      </c>
    </row>
    <row r="17" spans="1:7" x14ac:dyDescent="0.25">
      <c r="A17" s="8">
        <v>42790.119456018518</v>
      </c>
      <c r="B17" s="20" t="s">
        <v>253</v>
      </c>
      <c r="C17" s="20" t="s">
        <v>439</v>
      </c>
      <c r="D17" s="150">
        <v>1090000</v>
      </c>
      <c r="E17" s="20" t="s">
        <v>321</v>
      </c>
      <c r="F17" s="20" t="s">
        <v>202</v>
      </c>
      <c r="G17" s="8" t="str">
        <f t="shared" si="0"/>
        <v>SPECTOR MICHAEL</v>
      </c>
    </row>
    <row r="18" spans="1:7" x14ac:dyDescent="0.25">
      <c r="A18" s="8">
        <v>42790.120428240742</v>
      </c>
      <c r="B18" s="20" t="s">
        <v>433</v>
      </c>
      <c r="C18" s="20" t="s">
        <v>434</v>
      </c>
      <c r="D18" s="150">
        <v>2550000</v>
      </c>
      <c r="E18" s="20" t="s">
        <v>319</v>
      </c>
      <c r="F18" s="20" t="s">
        <v>320</v>
      </c>
      <c r="G18" s="8" t="str">
        <f t="shared" si="0"/>
        <v>BADERTSCHER DIANE</v>
      </c>
    </row>
    <row r="19" spans="1:7" x14ac:dyDescent="0.25">
      <c r="A19" s="8">
        <v>42790.135370370372</v>
      </c>
      <c r="B19" s="20" t="s">
        <v>228</v>
      </c>
      <c r="C19" s="20" t="s">
        <v>438</v>
      </c>
      <c r="D19" s="150">
        <v>2550000</v>
      </c>
      <c r="E19" s="20" t="s">
        <v>319</v>
      </c>
      <c r="F19" s="20" t="s">
        <v>320</v>
      </c>
      <c r="G19" s="8" t="str">
        <f t="shared" si="0"/>
        <v>BADERTSCHER DIANE</v>
      </c>
    </row>
    <row r="20" spans="1:7" x14ac:dyDescent="0.25">
      <c r="A20" s="8">
        <v>42790.136053240742</v>
      </c>
      <c r="B20" s="20" t="s">
        <v>228</v>
      </c>
      <c r="C20" s="20" t="s">
        <v>438</v>
      </c>
      <c r="D20" s="150">
        <v>2550000</v>
      </c>
      <c r="E20" s="20" t="s">
        <v>319</v>
      </c>
      <c r="F20" s="20" t="s">
        <v>320</v>
      </c>
      <c r="G20" s="8" t="str">
        <f t="shared" si="0"/>
        <v>BADERTSCHER DIANE</v>
      </c>
    </row>
    <row r="21" spans="1:7" x14ac:dyDescent="0.25">
      <c r="A21" s="8">
        <v>42790.136817129627</v>
      </c>
      <c r="B21" s="20" t="s">
        <v>254</v>
      </c>
      <c r="C21" s="20" t="s">
        <v>439</v>
      </c>
      <c r="D21" s="150">
        <v>1090000</v>
      </c>
      <c r="E21" s="20" t="s">
        <v>321</v>
      </c>
      <c r="F21" s="20" t="s">
        <v>202</v>
      </c>
      <c r="G21" s="8" t="str">
        <f t="shared" si="0"/>
        <v>SPECTOR MICHAEL</v>
      </c>
    </row>
    <row r="22" spans="1:7" x14ac:dyDescent="0.25">
      <c r="A22" s="26">
        <v>42790.137395833335</v>
      </c>
      <c r="B22" s="20" t="s">
        <v>233</v>
      </c>
      <c r="C22" s="20" t="s">
        <v>483</v>
      </c>
      <c r="D22" s="150">
        <v>1230000</v>
      </c>
      <c r="E22" s="20" t="s">
        <v>484</v>
      </c>
      <c r="F22" s="20" t="s">
        <v>485</v>
      </c>
      <c r="G22" s="8" t="str">
        <f t="shared" si="0"/>
        <v>YANAI IAN</v>
      </c>
    </row>
    <row r="23" spans="1:7" x14ac:dyDescent="0.25">
      <c r="A23" s="8">
        <v>42790.137986111113</v>
      </c>
      <c r="B23" s="20" t="s">
        <v>254</v>
      </c>
      <c r="C23" s="20" t="s">
        <v>439</v>
      </c>
      <c r="D23" s="150">
        <v>1090000</v>
      </c>
      <c r="E23" s="20" t="s">
        <v>321</v>
      </c>
      <c r="F23" s="20" t="s">
        <v>202</v>
      </c>
      <c r="G23" s="8" t="str">
        <f t="shared" si="0"/>
        <v>SPECTOR MICHAEL</v>
      </c>
    </row>
    <row r="24" spans="1:7" x14ac:dyDescent="0.25">
      <c r="A24" s="8">
        <v>42790.148113425923</v>
      </c>
      <c r="B24" s="20" t="s">
        <v>306</v>
      </c>
      <c r="C24" s="20" t="s">
        <v>486</v>
      </c>
      <c r="D24" s="150">
        <v>1230000</v>
      </c>
      <c r="E24" s="20" t="s">
        <v>484</v>
      </c>
      <c r="F24" s="20" t="s">
        <v>485</v>
      </c>
      <c r="G24" s="8" t="str">
        <f t="shared" si="0"/>
        <v>YANAI IAN</v>
      </c>
    </row>
    <row r="25" spans="1:7" x14ac:dyDescent="0.25">
      <c r="A25" s="8">
        <v>42790.15761574074</v>
      </c>
      <c r="B25" s="20" t="s">
        <v>305</v>
      </c>
      <c r="C25" s="20" t="s">
        <v>487</v>
      </c>
      <c r="D25" s="150">
        <v>2140000</v>
      </c>
      <c r="E25" s="20" t="s">
        <v>358</v>
      </c>
      <c r="F25" s="20" t="s">
        <v>359</v>
      </c>
      <c r="G25" s="8" t="str">
        <f t="shared" si="0"/>
        <v>ROBINSON KADDIBA</v>
      </c>
    </row>
    <row r="26" spans="1:7" x14ac:dyDescent="0.25">
      <c r="A26" s="8">
        <v>42790.167881944442</v>
      </c>
      <c r="B26" s="20" t="s">
        <v>441</v>
      </c>
      <c r="C26" s="20" t="s">
        <v>442</v>
      </c>
      <c r="D26" s="150">
        <v>2140000</v>
      </c>
      <c r="E26" s="20" t="s">
        <v>358</v>
      </c>
      <c r="F26" s="20" t="s">
        <v>359</v>
      </c>
      <c r="G26" s="8" t="str">
        <f t="shared" si="0"/>
        <v>ROBINSON KADDIBA</v>
      </c>
    </row>
    <row r="27" spans="1:7" x14ac:dyDescent="0.25">
      <c r="A27" s="8">
        <v>42790.167881944442</v>
      </c>
      <c r="B27" s="20" t="s">
        <v>353</v>
      </c>
      <c r="C27" s="20" t="s">
        <v>488</v>
      </c>
      <c r="D27" s="150">
        <v>1110000</v>
      </c>
      <c r="E27" s="20" t="s">
        <v>288</v>
      </c>
      <c r="F27" s="20" t="s">
        <v>289</v>
      </c>
      <c r="G27" s="8" t="str">
        <f t="shared" si="0"/>
        <v>STARKS ANGELINA</v>
      </c>
    </row>
    <row r="28" spans="1:7" x14ac:dyDescent="0.25">
      <c r="A28" s="8">
        <v>42790.173622685186</v>
      </c>
      <c r="B28" s="20" t="s">
        <v>433</v>
      </c>
      <c r="C28" s="20" t="s">
        <v>440</v>
      </c>
      <c r="D28" s="150">
        <v>2550000</v>
      </c>
      <c r="E28" s="20" t="s">
        <v>319</v>
      </c>
      <c r="F28" s="20" t="s">
        <v>320</v>
      </c>
      <c r="G28" s="8" t="str">
        <f t="shared" si="0"/>
        <v>BADERTSCHER DIANE</v>
      </c>
    </row>
    <row r="29" spans="1:7" x14ac:dyDescent="0.25">
      <c r="A29" s="8">
        <v>42790.184861111113</v>
      </c>
      <c r="B29" s="20" t="s">
        <v>245</v>
      </c>
      <c r="C29" s="20" t="s">
        <v>489</v>
      </c>
      <c r="D29" s="150">
        <v>890000</v>
      </c>
      <c r="E29" s="20" t="s">
        <v>324</v>
      </c>
      <c r="F29" s="20" t="s">
        <v>325</v>
      </c>
      <c r="G29" s="8" t="str">
        <f t="shared" si="0"/>
        <v>LOZA FIDEL</v>
      </c>
    </row>
    <row r="30" spans="1:7" x14ac:dyDescent="0.25">
      <c r="A30" s="8">
        <v>42790.185613425929</v>
      </c>
      <c r="B30" s="20" t="s">
        <v>233</v>
      </c>
      <c r="C30" s="20" t="s">
        <v>490</v>
      </c>
      <c r="D30" s="150">
        <v>1230000</v>
      </c>
      <c r="E30" s="20" t="s">
        <v>484</v>
      </c>
      <c r="F30" s="20" t="s">
        <v>485</v>
      </c>
      <c r="G30" s="8" t="str">
        <f t="shared" si="0"/>
        <v>YANAI IAN</v>
      </c>
    </row>
    <row r="31" spans="1:7" x14ac:dyDescent="0.25">
      <c r="A31" s="8">
        <v>42790.187175925923</v>
      </c>
      <c r="B31" s="20" t="s">
        <v>354</v>
      </c>
      <c r="C31" s="20" t="s">
        <v>443</v>
      </c>
      <c r="D31" s="150">
        <v>1110000</v>
      </c>
      <c r="E31" s="20" t="s">
        <v>288</v>
      </c>
      <c r="F31" s="20" t="s">
        <v>289</v>
      </c>
      <c r="G31" s="8" t="str">
        <f t="shared" si="0"/>
        <v>STARKS ANGELINA</v>
      </c>
    </row>
    <row r="32" spans="1:7" x14ac:dyDescent="0.25">
      <c r="A32" s="8">
        <v>42790.195833333331</v>
      </c>
      <c r="B32" s="20" t="s">
        <v>248</v>
      </c>
      <c r="C32" s="20" t="s">
        <v>444</v>
      </c>
      <c r="D32" s="150">
        <v>890000</v>
      </c>
      <c r="E32" s="20" t="s">
        <v>324</v>
      </c>
      <c r="F32" s="20" t="s">
        <v>325</v>
      </c>
      <c r="G32" s="8" t="str">
        <f t="shared" si="0"/>
        <v>LOZA FIDEL</v>
      </c>
    </row>
    <row r="33" spans="1:7" x14ac:dyDescent="0.25">
      <c r="A33" s="8">
        <v>42790.198518518519</v>
      </c>
      <c r="B33" s="20" t="s">
        <v>236</v>
      </c>
      <c r="C33" s="20" t="s">
        <v>491</v>
      </c>
      <c r="D33" s="150">
        <v>1100000</v>
      </c>
      <c r="E33" s="20" t="s">
        <v>322</v>
      </c>
      <c r="F33" s="20" t="s">
        <v>323</v>
      </c>
      <c r="G33" s="8" t="str">
        <f t="shared" si="0"/>
        <v>GEBRETEKLE DAGNEW</v>
      </c>
    </row>
    <row r="34" spans="1:7" x14ac:dyDescent="0.25">
      <c r="A34" s="8">
        <v>42790.208321759259</v>
      </c>
      <c r="B34" s="20" t="s">
        <v>237</v>
      </c>
      <c r="C34" s="20" t="s">
        <v>492</v>
      </c>
      <c r="D34" s="150">
        <v>1100000</v>
      </c>
      <c r="E34" s="20" t="s">
        <v>322</v>
      </c>
      <c r="F34" s="20" t="s">
        <v>323</v>
      </c>
      <c r="G34" s="8" t="str">
        <f t="shared" si="0"/>
        <v>GEBRETEKLE DAGNEW</v>
      </c>
    </row>
    <row r="35" spans="1:7" x14ac:dyDescent="0.25">
      <c r="A35" s="8">
        <v>42790.21371527778</v>
      </c>
      <c r="B35" s="20" t="s">
        <v>305</v>
      </c>
      <c r="C35" s="20" t="s">
        <v>493</v>
      </c>
      <c r="D35" s="150">
        <v>2140000</v>
      </c>
      <c r="E35" s="20" t="s">
        <v>358</v>
      </c>
      <c r="F35" s="20" t="s">
        <v>359</v>
      </c>
      <c r="G35" s="8" t="str">
        <f t="shared" si="0"/>
        <v>ROBINSON KADDIBA</v>
      </c>
    </row>
    <row r="36" spans="1:7" x14ac:dyDescent="0.25">
      <c r="A36" s="8">
        <v>42790.216793981483</v>
      </c>
      <c r="B36" s="20" t="s">
        <v>463</v>
      </c>
      <c r="C36" s="20" t="s">
        <v>494</v>
      </c>
      <c r="D36" s="150">
        <v>2550000</v>
      </c>
      <c r="E36" s="20" t="s">
        <v>319</v>
      </c>
      <c r="F36" s="20" t="s">
        <v>320</v>
      </c>
      <c r="G36" s="8" t="str">
        <f t="shared" si="0"/>
        <v>BADERTSCHER DIANE</v>
      </c>
    </row>
    <row r="37" spans="1:7" x14ac:dyDescent="0.25">
      <c r="A37" s="8">
        <v>42790.217430555553</v>
      </c>
      <c r="B37" s="20" t="s">
        <v>228</v>
      </c>
      <c r="C37" s="20" t="s">
        <v>495</v>
      </c>
      <c r="D37" s="150">
        <v>940000</v>
      </c>
      <c r="E37" s="20" t="s">
        <v>286</v>
      </c>
      <c r="F37" s="20" t="s">
        <v>287</v>
      </c>
      <c r="G37" s="8" t="str">
        <f t="shared" si="0"/>
        <v>BONDS REYNALDO</v>
      </c>
    </row>
    <row r="38" spans="1:7" x14ac:dyDescent="0.25">
      <c r="A38" s="8">
        <v>42790.224826388891</v>
      </c>
      <c r="B38" s="20" t="s">
        <v>353</v>
      </c>
      <c r="C38" s="20" t="s">
        <v>496</v>
      </c>
      <c r="D38" s="150">
        <v>1110000</v>
      </c>
      <c r="E38" s="20" t="s">
        <v>288</v>
      </c>
      <c r="F38" s="20" t="s">
        <v>289</v>
      </c>
      <c r="G38" s="8" t="str">
        <f t="shared" si="0"/>
        <v>STARKS ANGELINA</v>
      </c>
    </row>
    <row r="39" spans="1:7" x14ac:dyDescent="0.25">
      <c r="A39" s="8">
        <v>42790.227118055554</v>
      </c>
      <c r="B39" s="20" t="s">
        <v>306</v>
      </c>
      <c r="C39" s="20" t="s">
        <v>497</v>
      </c>
      <c r="D39" s="150">
        <v>900000</v>
      </c>
      <c r="E39" s="20" t="s">
        <v>290</v>
      </c>
      <c r="F39" s="20" t="s">
        <v>291</v>
      </c>
      <c r="G39" s="8" t="str">
        <f t="shared" si="0"/>
        <v>ROCHA YAOTL</v>
      </c>
    </row>
    <row r="40" spans="1:7" x14ac:dyDescent="0.25">
      <c r="A40" s="8">
        <v>42790.227858796294</v>
      </c>
      <c r="B40" s="25" t="s">
        <v>236</v>
      </c>
      <c r="C40" s="20" t="s">
        <v>498</v>
      </c>
      <c r="D40" s="150">
        <v>1100000</v>
      </c>
      <c r="E40" s="20" t="s">
        <v>322</v>
      </c>
      <c r="F40" s="20" t="s">
        <v>323</v>
      </c>
      <c r="G40" s="8" t="str">
        <f t="shared" si="0"/>
        <v>GEBRETEKLE DAGNEW</v>
      </c>
    </row>
    <row r="41" spans="1:7" x14ac:dyDescent="0.25">
      <c r="A41" s="8">
        <v>42790.229421296295</v>
      </c>
      <c r="B41" s="20" t="s">
        <v>245</v>
      </c>
      <c r="C41" s="20" t="s">
        <v>499</v>
      </c>
      <c r="D41" s="150">
        <v>890000</v>
      </c>
      <c r="E41" s="20" t="s">
        <v>324</v>
      </c>
      <c r="F41" s="20" t="s">
        <v>325</v>
      </c>
      <c r="G41" s="8" t="str">
        <f t="shared" si="0"/>
        <v>LOZA FIDEL</v>
      </c>
    </row>
    <row r="42" spans="1:7" x14ac:dyDescent="0.25">
      <c r="A42" s="8">
        <v>42790.230486111112</v>
      </c>
      <c r="B42" s="20" t="s">
        <v>249</v>
      </c>
      <c r="C42" s="20" t="s">
        <v>500</v>
      </c>
      <c r="D42" s="150">
        <v>1230000</v>
      </c>
      <c r="E42" s="20" t="s">
        <v>484</v>
      </c>
      <c r="F42" s="20" t="s">
        <v>485</v>
      </c>
      <c r="G42" s="8" t="str">
        <f t="shared" si="0"/>
        <v>YANAI IAN</v>
      </c>
    </row>
    <row r="43" spans="1:7" x14ac:dyDescent="0.25">
      <c r="A43" s="8">
        <v>42790.246053240742</v>
      </c>
      <c r="B43" s="20" t="s">
        <v>229</v>
      </c>
      <c r="C43" s="20" t="s">
        <v>501</v>
      </c>
      <c r="D43" s="150">
        <v>2020000</v>
      </c>
      <c r="E43" s="20" t="s">
        <v>360</v>
      </c>
      <c r="F43" s="20" t="s">
        <v>256</v>
      </c>
      <c r="G43" s="8" t="str">
        <f t="shared" si="0"/>
        <v>SHOOK JOHN</v>
      </c>
    </row>
    <row r="44" spans="1:7" x14ac:dyDescent="0.25">
      <c r="A44" s="8">
        <v>42790.248240740744</v>
      </c>
      <c r="B44" s="20" t="s">
        <v>441</v>
      </c>
      <c r="C44" s="20" t="s">
        <v>502</v>
      </c>
      <c r="D44" s="150">
        <v>2140000</v>
      </c>
      <c r="E44" s="20" t="s">
        <v>358</v>
      </c>
      <c r="F44" s="20" t="s">
        <v>359</v>
      </c>
      <c r="G44" s="8" t="str">
        <f t="shared" si="0"/>
        <v>ROBINSON KADDIBA</v>
      </c>
    </row>
    <row r="45" spans="1:7" x14ac:dyDescent="0.25">
      <c r="A45" s="8">
        <v>42790.250740740739</v>
      </c>
      <c r="B45" s="20" t="s">
        <v>433</v>
      </c>
      <c r="C45" s="20" t="s">
        <v>503</v>
      </c>
      <c r="D45" s="150">
        <v>2550000</v>
      </c>
      <c r="E45" s="20" t="s">
        <v>319</v>
      </c>
      <c r="F45" s="20" t="s">
        <v>320</v>
      </c>
      <c r="G45" s="8" t="str">
        <f t="shared" si="0"/>
        <v>BADERTSCHER DIANE</v>
      </c>
    </row>
    <row r="46" spans="1:7" x14ac:dyDescent="0.25">
      <c r="A46" s="8">
        <v>42790.254953703705</v>
      </c>
      <c r="B46" s="20" t="s">
        <v>237</v>
      </c>
      <c r="C46" s="20" t="s">
        <v>504</v>
      </c>
      <c r="D46" s="150">
        <v>1100000</v>
      </c>
      <c r="E46" s="20" t="s">
        <v>322</v>
      </c>
      <c r="F46" s="20" t="s">
        <v>323</v>
      </c>
      <c r="G46" s="8" t="str">
        <f t="shared" si="0"/>
        <v>GEBRETEKLE DAGNEW</v>
      </c>
    </row>
    <row r="47" spans="1:7" x14ac:dyDescent="0.25">
      <c r="A47" s="8">
        <v>42790.256956018522</v>
      </c>
      <c r="B47" s="20" t="s">
        <v>232</v>
      </c>
      <c r="C47" s="20" t="s">
        <v>505</v>
      </c>
      <c r="D47" s="150">
        <v>2020000</v>
      </c>
      <c r="E47" s="20" t="s">
        <v>360</v>
      </c>
      <c r="F47" s="20" t="s">
        <v>256</v>
      </c>
      <c r="G47" s="8" t="str">
        <f t="shared" si="0"/>
        <v>SHOOK JOHN</v>
      </c>
    </row>
    <row r="48" spans="1:7" x14ac:dyDescent="0.25">
      <c r="A48" s="8">
        <v>42790.258877314816</v>
      </c>
      <c r="B48" s="20" t="s">
        <v>354</v>
      </c>
      <c r="C48" s="20" t="s">
        <v>445</v>
      </c>
      <c r="D48" s="150">
        <v>1110000</v>
      </c>
      <c r="E48" s="20" t="s">
        <v>288</v>
      </c>
      <c r="F48" s="20" t="s">
        <v>289</v>
      </c>
      <c r="G48" s="8" t="str">
        <f t="shared" si="0"/>
        <v>STARKS ANGELINA</v>
      </c>
    </row>
    <row r="49" spans="1:7" x14ac:dyDescent="0.25">
      <c r="A49" s="8">
        <v>42790.266539351855</v>
      </c>
      <c r="B49" s="20" t="s">
        <v>233</v>
      </c>
      <c r="C49" s="20" t="s">
        <v>506</v>
      </c>
      <c r="D49" s="150">
        <v>1230000</v>
      </c>
      <c r="E49" s="20" t="s">
        <v>484</v>
      </c>
      <c r="F49" s="20" t="s">
        <v>485</v>
      </c>
      <c r="G49" s="8" t="str">
        <f t="shared" si="0"/>
        <v>YANAI IAN</v>
      </c>
    </row>
    <row r="50" spans="1:7" x14ac:dyDescent="0.25">
      <c r="A50" s="8">
        <v>42790.267627314817</v>
      </c>
      <c r="B50" s="20" t="s">
        <v>307</v>
      </c>
      <c r="C50" s="20" t="s">
        <v>507</v>
      </c>
      <c r="D50" s="150">
        <v>900000</v>
      </c>
      <c r="E50" s="20" t="s">
        <v>290</v>
      </c>
      <c r="F50" s="20" t="s">
        <v>291</v>
      </c>
      <c r="G50" s="8" t="str">
        <f t="shared" si="0"/>
        <v>ROCHA YAOTL</v>
      </c>
    </row>
    <row r="51" spans="1:7" x14ac:dyDescent="0.25">
      <c r="A51" s="8">
        <v>42790.269108796296</v>
      </c>
      <c r="B51" s="20" t="s">
        <v>236</v>
      </c>
      <c r="C51" s="20" t="s">
        <v>508</v>
      </c>
      <c r="D51" s="150">
        <v>1100000</v>
      </c>
      <c r="E51" s="20" t="s">
        <v>322</v>
      </c>
      <c r="F51" s="20" t="s">
        <v>323</v>
      </c>
      <c r="G51" s="8" t="str">
        <f t="shared" si="0"/>
        <v>GEBRETEKLE DAGNEW</v>
      </c>
    </row>
    <row r="52" spans="1:7" x14ac:dyDescent="0.25">
      <c r="A52" s="8">
        <v>42790.269247685188</v>
      </c>
      <c r="B52" s="20" t="s">
        <v>248</v>
      </c>
      <c r="C52" s="20" t="s">
        <v>509</v>
      </c>
      <c r="D52" s="150">
        <v>890000</v>
      </c>
      <c r="E52" s="20" t="s">
        <v>324</v>
      </c>
      <c r="F52" s="20" t="s">
        <v>325</v>
      </c>
      <c r="G52" s="8" t="str">
        <f t="shared" si="0"/>
        <v>LOZA FIDEL</v>
      </c>
    </row>
    <row r="53" spans="1:7" x14ac:dyDescent="0.25">
      <c r="A53" s="8">
        <v>42790.276643518519</v>
      </c>
      <c r="B53" s="20" t="s">
        <v>229</v>
      </c>
      <c r="C53" s="20" t="s">
        <v>510</v>
      </c>
      <c r="D53" s="150">
        <v>2020000</v>
      </c>
      <c r="E53" s="20" t="s">
        <v>360</v>
      </c>
      <c r="F53" s="20" t="s">
        <v>256</v>
      </c>
      <c r="G53" s="8" t="str">
        <f t="shared" si="0"/>
        <v>SHOOK JOHN</v>
      </c>
    </row>
    <row r="54" spans="1:7" x14ac:dyDescent="0.25">
      <c r="A54" s="8">
        <v>42790.278009259258</v>
      </c>
      <c r="B54" s="20" t="s">
        <v>228</v>
      </c>
      <c r="C54" s="20" t="s">
        <v>511</v>
      </c>
      <c r="D54" s="150">
        <v>940000</v>
      </c>
      <c r="E54" s="20" t="s">
        <v>286</v>
      </c>
      <c r="F54" s="20" t="s">
        <v>287</v>
      </c>
      <c r="G54" s="8" t="str">
        <f t="shared" si="0"/>
        <v>BONDS REYNALDO</v>
      </c>
    </row>
    <row r="55" spans="1:7" x14ac:dyDescent="0.25">
      <c r="A55" s="8">
        <v>42790.285763888889</v>
      </c>
      <c r="B55" s="20" t="s">
        <v>512</v>
      </c>
      <c r="C55" s="20" t="s">
        <v>513</v>
      </c>
      <c r="D55" s="150">
        <v>2140000</v>
      </c>
      <c r="E55" s="20" t="s">
        <v>358</v>
      </c>
      <c r="F55" s="20" t="s">
        <v>359</v>
      </c>
      <c r="G55" s="8" t="str">
        <f t="shared" si="0"/>
        <v>ROBINSON KADDIBA</v>
      </c>
    </row>
    <row r="56" spans="1:7" x14ac:dyDescent="0.25">
      <c r="A56" s="8">
        <v>42790.290034722224</v>
      </c>
      <c r="B56" s="20" t="s">
        <v>463</v>
      </c>
      <c r="C56" s="20" t="s">
        <v>514</v>
      </c>
      <c r="D56" s="150">
        <v>2550000</v>
      </c>
      <c r="E56" s="20" t="s">
        <v>319</v>
      </c>
      <c r="F56" s="20" t="s">
        <v>320</v>
      </c>
      <c r="G56" s="8" t="str">
        <f t="shared" si="0"/>
        <v>BADERTSCHER DIANE</v>
      </c>
    </row>
    <row r="57" spans="1:7" x14ac:dyDescent="0.25">
      <c r="A57" s="8">
        <v>42790.290775462963</v>
      </c>
      <c r="B57" s="20" t="s">
        <v>232</v>
      </c>
      <c r="C57" s="20" t="s">
        <v>515</v>
      </c>
      <c r="D57" s="150">
        <v>2020000</v>
      </c>
      <c r="E57" s="20" t="s">
        <v>360</v>
      </c>
      <c r="F57" s="20" t="s">
        <v>256</v>
      </c>
      <c r="G57" s="8" t="str">
        <f t="shared" si="0"/>
        <v>SHOOK JOHN</v>
      </c>
    </row>
    <row r="58" spans="1:7" x14ac:dyDescent="0.25">
      <c r="A58" s="8">
        <v>42790.296307870369</v>
      </c>
      <c r="B58" s="20" t="s">
        <v>237</v>
      </c>
      <c r="C58" s="20" t="s">
        <v>516</v>
      </c>
      <c r="D58" s="150">
        <v>1100000</v>
      </c>
      <c r="E58" s="20" t="s">
        <v>322</v>
      </c>
      <c r="F58" s="20" t="s">
        <v>323</v>
      </c>
      <c r="G58" s="8" t="str">
        <f t="shared" si="0"/>
        <v>GEBRETEKLE DAGNEW</v>
      </c>
    </row>
    <row r="59" spans="1:7" x14ac:dyDescent="0.25">
      <c r="A59" s="8">
        <v>42790.297743055555</v>
      </c>
      <c r="B59" s="20" t="s">
        <v>353</v>
      </c>
      <c r="C59" s="20" t="s">
        <v>447</v>
      </c>
      <c r="D59" s="150">
        <v>1110000</v>
      </c>
      <c r="E59" s="20" t="s">
        <v>288</v>
      </c>
      <c r="F59" s="20" t="s">
        <v>289</v>
      </c>
      <c r="G59" s="8" t="str">
        <f t="shared" si="0"/>
        <v>STARKS ANGELINA</v>
      </c>
    </row>
    <row r="60" spans="1:7" x14ac:dyDescent="0.25">
      <c r="A60" s="8">
        <v>42790.300162037034</v>
      </c>
      <c r="B60" s="20" t="s">
        <v>306</v>
      </c>
      <c r="C60" s="20" t="s">
        <v>446</v>
      </c>
      <c r="D60" s="150">
        <v>900000</v>
      </c>
      <c r="E60" s="20" t="s">
        <v>290</v>
      </c>
      <c r="F60" s="20" t="s">
        <v>291</v>
      </c>
      <c r="G60" s="8" t="str">
        <f t="shared" si="0"/>
        <v>ROCHA YAOTL</v>
      </c>
    </row>
    <row r="61" spans="1:7" x14ac:dyDescent="0.25">
      <c r="A61" s="8">
        <v>42790.308252314811</v>
      </c>
      <c r="B61" s="20" t="s">
        <v>245</v>
      </c>
      <c r="C61" s="20" t="s">
        <v>517</v>
      </c>
      <c r="D61" s="150">
        <v>890000</v>
      </c>
      <c r="E61" s="20" t="s">
        <v>324</v>
      </c>
      <c r="F61" s="20" t="s">
        <v>325</v>
      </c>
      <c r="G61" s="8" t="str">
        <f t="shared" si="0"/>
        <v>LOZA FIDEL</v>
      </c>
    </row>
    <row r="62" spans="1:7" x14ac:dyDescent="0.25">
      <c r="A62" s="8">
        <v>42790.310810185183</v>
      </c>
      <c r="B62" s="20" t="s">
        <v>249</v>
      </c>
      <c r="C62" s="20" t="s">
        <v>518</v>
      </c>
      <c r="D62" s="150">
        <v>1230000</v>
      </c>
      <c r="E62" s="20" t="s">
        <v>484</v>
      </c>
      <c r="F62" s="20" t="s">
        <v>485</v>
      </c>
      <c r="G62" s="8" t="str">
        <f t="shared" si="0"/>
        <v>YANAI IAN</v>
      </c>
    </row>
    <row r="63" spans="1:7" x14ac:dyDescent="0.25">
      <c r="A63" s="8">
        <v>42790.311203703706</v>
      </c>
      <c r="B63" s="20" t="s">
        <v>236</v>
      </c>
      <c r="C63" s="20" t="s">
        <v>519</v>
      </c>
      <c r="D63" s="150">
        <v>1100000</v>
      </c>
      <c r="E63" s="20" t="s">
        <v>322</v>
      </c>
      <c r="F63" s="20" t="s">
        <v>323</v>
      </c>
      <c r="G63" s="8" t="str">
        <f t="shared" si="0"/>
        <v>GEBRETEKLE DAGNEW</v>
      </c>
    </row>
    <row r="64" spans="1:7" x14ac:dyDescent="0.25">
      <c r="A64" s="26">
        <v>42790.316932870373</v>
      </c>
      <c r="B64" s="20" t="s">
        <v>210</v>
      </c>
      <c r="C64" s="20" t="s">
        <v>449</v>
      </c>
      <c r="D64" s="150">
        <v>940000</v>
      </c>
      <c r="E64" s="20" t="s">
        <v>286</v>
      </c>
      <c r="F64" s="20" t="s">
        <v>287</v>
      </c>
      <c r="G64" s="8" t="str">
        <f t="shared" si="0"/>
        <v>BONDS REYNALDO</v>
      </c>
    </row>
    <row r="65" spans="1:7" x14ac:dyDescent="0.25">
      <c r="A65" s="8">
        <v>42790.317789351851</v>
      </c>
      <c r="B65" s="20" t="s">
        <v>229</v>
      </c>
      <c r="C65" s="20" t="s">
        <v>520</v>
      </c>
      <c r="D65" s="150">
        <v>2020000</v>
      </c>
      <c r="E65" s="20" t="s">
        <v>360</v>
      </c>
      <c r="F65" s="20" t="s">
        <v>256</v>
      </c>
      <c r="G65" s="8" t="str">
        <f t="shared" si="0"/>
        <v>SHOOK JOHN</v>
      </c>
    </row>
    <row r="66" spans="1:7" x14ac:dyDescent="0.25">
      <c r="A66" s="8">
        <v>42790.320509259262</v>
      </c>
      <c r="B66" s="20" t="s">
        <v>441</v>
      </c>
      <c r="C66" s="20" t="s">
        <v>521</v>
      </c>
      <c r="D66" s="150">
        <v>1290000</v>
      </c>
      <c r="E66" s="20" t="s">
        <v>522</v>
      </c>
      <c r="F66" s="20" t="s">
        <v>256</v>
      </c>
      <c r="G66" s="8" t="str">
        <f t="shared" si="0"/>
        <v>COOLAHAN JOHN</v>
      </c>
    </row>
    <row r="67" spans="1:7" x14ac:dyDescent="0.25">
      <c r="A67" s="8">
        <v>42790.324166666665</v>
      </c>
      <c r="B67" s="20" t="s">
        <v>433</v>
      </c>
      <c r="C67" s="20" t="s">
        <v>450</v>
      </c>
      <c r="D67" s="150">
        <v>2550000</v>
      </c>
      <c r="E67" s="20" t="s">
        <v>319</v>
      </c>
      <c r="F67" s="20" t="s">
        <v>320</v>
      </c>
      <c r="G67" s="8" t="str">
        <f t="shared" ref="G67:G130" si="1">E67&amp;" "&amp;F67</f>
        <v>BADERTSCHER DIANE</v>
      </c>
    </row>
    <row r="68" spans="1:7" x14ac:dyDescent="0.25">
      <c r="A68" s="8">
        <v>42790.332418981481</v>
      </c>
      <c r="B68" s="20" t="s">
        <v>354</v>
      </c>
      <c r="C68" s="20" t="s">
        <v>448</v>
      </c>
      <c r="D68" s="150">
        <v>1110000</v>
      </c>
      <c r="E68" s="20" t="s">
        <v>288</v>
      </c>
      <c r="F68" s="20" t="s">
        <v>289</v>
      </c>
      <c r="G68" s="8" t="str">
        <f t="shared" si="1"/>
        <v>STARKS ANGELINA</v>
      </c>
    </row>
    <row r="69" spans="1:7" x14ac:dyDescent="0.25">
      <c r="A69" s="8">
        <v>42790.332569444443</v>
      </c>
      <c r="B69" s="20" t="s">
        <v>232</v>
      </c>
      <c r="C69" s="20" t="s">
        <v>523</v>
      </c>
      <c r="D69" s="150">
        <v>2020000</v>
      </c>
      <c r="E69" s="20" t="s">
        <v>360</v>
      </c>
      <c r="F69" s="20" t="s">
        <v>256</v>
      </c>
      <c r="G69" s="8" t="str">
        <f t="shared" si="1"/>
        <v>SHOOK JOHN</v>
      </c>
    </row>
    <row r="70" spans="1:7" x14ac:dyDescent="0.25">
      <c r="A70" s="8">
        <v>42790.337743055556</v>
      </c>
      <c r="B70" s="20" t="s">
        <v>237</v>
      </c>
      <c r="C70" s="20" t="s">
        <v>524</v>
      </c>
      <c r="D70" s="150">
        <v>1100000</v>
      </c>
      <c r="E70" s="20" t="s">
        <v>322</v>
      </c>
      <c r="F70" s="20" t="s">
        <v>323</v>
      </c>
      <c r="G70" s="8" t="str">
        <f t="shared" si="1"/>
        <v>GEBRETEKLE DAGNEW</v>
      </c>
    </row>
    <row r="71" spans="1:7" x14ac:dyDescent="0.25">
      <c r="A71" s="8">
        <v>42790.339722222219</v>
      </c>
      <c r="B71" s="20" t="s">
        <v>233</v>
      </c>
      <c r="C71" s="20" t="s">
        <v>525</v>
      </c>
      <c r="D71" s="150">
        <v>1230000</v>
      </c>
      <c r="E71" s="20" t="s">
        <v>484</v>
      </c>
      <c r="F71" s="20" t="s">
        <v>485</v>
      </c>
      <c r="G71" s="8" t="str">
        <f t="shared" si="1"/>
        <v>YANAI IAN</v>
      </c>
    </row>
    <row r="72" spans="1:7" x14ac:dyDescent="0.25">
      <c r="A72" s="8">
        <v>42790.340740740743</v>
      </c>
      <c r="B72" s="20" t="s">
        <v>248</v>
      </c>
      <c r="C72" s="20" t="s">
        <v>526</v>
      </c>
      <c r="D72" s="150">
        <v>890000</v>
      </c>
      <c r="E72" s="20" t="s">
        <v>324</v>
      </c>
      <c r="F72" s="20" t="s">
        <v>325</v>
      </c>
      <c r="G72" s="8" t="str">
        <f t="shared" si="1"/>
        <v>LOZA FIDEL</v>
      </c>
    </row>
    <row r="73" spans="1:7" x14ac:dyDescent="0.25">
      <c r="A73" s="8">
        <v>42790.340752314813</v>
      </c>
      <c r="B73" s="20" t="s">
        <v>307</v>
      </c>
      <c r="C73" s="20" t="s">
        <v>527</v>
      </c>
      <c r="D73" s="150">
        <v>900000</v>
      </c>
      <c r="E73" s="20" t="s">
        <v>290</v>
      </c>
      <c r="F73" s="20" t="s">
        <v>291</v>
      </c>
      <c r="G73" s="8" t="str">
        <f t="shared" si="1"/>
        <v>ROCHA YAOTL</v>
      </c>
    </row>
    <row r="74" spans="1:7" x14ac:dyDescent="0.25">
      <c r="A74" s="8">
        <v>42790.35056712963</v>
      </c>
      <c r="B74" s="20" t="s">
        <v>228</v>
      </c>
      <c r="C74" s="20" t="s">
        <v>528</v>
      </c>
      <c r="D74" s="150">
        <v>940000</v>
      </c>
      <c r="E74" s="20" t="s">
        <v>286</v>
      </c>
      <c r="F74" s="20" t="s">
        <v>287</v>
      </c>
      <c r="G74" s="8" t="str">
        <f t="shared" si="1"/>
        <v>BONDS REYNALDO</v>
      </c>
    </row>
    <row r="75" spans="1:7" x14ac:dyDescent="0.25">
      <c r="A75" s="8">
        <v>42790.353587962964</v>
      </c>
      <c r="B75" s="20" t="s">
        <v>236</v>
      </c>
      <c r="C75" s="20" t="s">
        <v>529</v>
      </c>
      <c r="D75" s="150">
        <v>1100000</v>
      </c>
      <c r="E75" s="20" t="s">
        <v>322</v>
      </c>
      <c r="F75" s="20" t="s">
        <v>323</v>
      </c>
      <c r="G75" s="8" t="str">
        <f t="shared" si="1"/>
        <v>GEBRETEKLE DAGNEW</v>
      </c>
    </row>
    <row r="76" spans="1:7" x14ac:dyDescent="0.25">
      <c r="A76" s="8">
        <v>42790.359363425923</v>
      </c>
      <c r="B76" s="20" t="s">
        <v>512</v>
      </c>
      <c r="C76" s="20" t="s">
        <v>530</v>
      </c>
      <c r="D76" s="150">
        <v>1290000</v>
      </c>
      <c r="E76" s="20" t="s">
        <v>522</v>
      </c>
      <c r="F76" s="20" t="s">
        <v>256</v>
      </c>
      <c r="G76" s="8" t="str">
        <f t="shared" si="1"/>
        <v>COOLAHAN JOHN</v>
      </c>
    </row>
    <row r="77" spans="1:7" x14ac:dyDescent="0.25">
      <c r="A77" s="8">
        <v>42790.35974537037</v>
      </c>
      <c r="B77" s="20" t="s">
        <v>229</v>
      </c>
      <c r="C77" s="20" t="s">
        <v>531</v>
      </c>
      <c r="D77" s="150">
        <v>2020000</v>
      </c>
      <c r="E77" s="20" t="s">
        <v>360</v>
      </c>
      <c r="F77" s="20" t="s">
        <v>256</v>
      </c>
      <c r="G77" s="8" t="str">
        <f t="shared" si="1"/>
        <v>SHOOK JOHN</v>
      </c>
    </row>
    <row r="78" spans="1:7" x14ac:dyDescent="0.25">
      <c r="A78" s="8">
        <v>42790.362951388888</v>
      </c>
      <c r="B78" s="20" t="s">
        <v>463</v>
      </c>
      <c r="C78" s="20" t="s">
        <v>532</v>
      </c>
      <c r="D78" s="150">
        <v>2550000</v>
      </c>
      <c r="E78" s="20" t="s">
        <v>319</v>
      </c>
      <c r="F78" s="20" t="s">
        <v>320</v>
      </c>
      <c r="G78" s="8" t="str">
        <f t="shared" si="1"/>
        <v>BADERTSCHER DIANE</v>
      </c>
    </row>
    <row r="79" spans="1:7" x14ac:dyDescent="0.25">
      <c r="A79" s="8">
        <v>42790.368645833332</v>
      </c>
      <c r="B79" s="20" t="s">
        <v>353</v>
      </c>
      <c r="C79" s="20" t="s">
        <v>451</v>
      </c>
      <c r="D79" s="150">
        <v>1110000</v>
      </c>
      <c r="E79" s="20" t="s">
        <v>288</v>
      </c>
      <c r="F79" s="20" t="s">
        <v>289</v>
      </c>
      <c r="G79" s="8" t="str">
        <f t="shared" si="1"/>
        <v>STARKS ANGELINA</v>
      </c>
    </row>
    <row r="80" spans="1:7" x14ac:dyDescent="0.25">
      <c r="A80" s="8">
        <v>42790.371087962965</v>
      </c>
      <c r="B80" s="20" t="s">
        <v>306</v>
      </c>
      <c r="C80" s="20" t="s">
        <v>533</v>
      </c>
      <c r="D80" s="150">
        <v>900000</v>
      </c>
      <c r="E80" s="20" t="s">
        <v>290</v>
      </c>
      <c r="F80" s="20" t="s">
        <v>291</v>
      </c>
      <c r="G80" s="8" t="str">
        <f t="shared" si="1"/>
        <v>ROCHA YAOTL</v>
      </c>
    </row>
    <row r="81" spans="1:7" x14ac:dyDescent="0.25">
      <c r="A81" s="8">
        <v>42790.373657407406</v>
      </c>
      <c r="B81" s="20" t="s">
        <v>232</v>
      </c>
      <c r="C81" s="20" t="s">
        <v>534</v>
      </c>
      <c r="D81" s="150">
        <v>2020000</v>
      </c>
      <c r="E81" s="20" t="s">
        <v>360</v>
      </c>
      <c r="F81" s="20" t="s">
        <v>256</v>
      </c>
      <c r="G81" s="8" t="str">
        <f t="shared" si="1"/>
        <v>SHOOK JOHN</v>
      </c>
    </row>
    <row r="82" spans="1:7" x14ac:dyDescent="0.25">
      <c r="A82" s="8">
        <v>42790.376840277779</v>
      </c>
      <c r="B82" s="20" t="s">
        <v>245</v>
      </c>
      <c r="C82" s="20" t="s">
        <v>535</v>
      </c>
      <c r="D82" s="150">
        <v>890000</v>
      </c>
      <c r="E82" s="20" t="s">
        <v>324</v>
      </c>
      <c r="F82" s="20" t="s">
        <v>325</v>
      </c>
      <c r="G82" s="8" t="str">
        <f t="shared" si="1"/>
        <v>LOZA FIDEL</v>
      </c>
    </row>
    <row r="83" spans="1:7" x14ac:dyDescent="0.25">
      <c r="A83" s="8">
        <v>42790.380914351852</v>
      </c>
      <c r="B83" s="20" t="s">
        <v>249</v>
      </c>
      <c r="C83" s="20" t="s">
        <v>536</v>
      </c>
      <c r="D83" s="150">
        <v>1230000</v>
      </c>
      <c r="E83" s="20" t="s">
        <v>484</v>
      </c>
      <c r="F83" s="20" t="s">
        <v>485</v>
      </c>
      <c r="G83" s="8" t="str">
        <f t="shared" si="1"/>
        <v>YANAI IAN</v>
      </c>
    </row>
    <row r="84" spans="1:7" x14ac:dyDescent="0.25">
      <c r="A84" s="8">
        <v>42790.39199074074</v>
      </c>
      <c r="B84" s="20" t="s">
        <v>210</v>
      </c>
      <c r="C84" s="20" t="s">
        <v>537</v>
      </c>
      <c r="D84" s="150">
        <v>940000</v>
      </c>
      <c r="E84" s="20" t="s">
        <v>286</v>
      </c>
      <c r="F84" s="20" t="s">
        <v>287</v>
      </c>
      <c r="G84" s="8" t="str">
        <f t="shared" si="1"/>
        <v>BONDS REYNALDO</v>
      </c>
    </row>
    <row r="85" spans="1:7" x14ac:dyDescent="0.25">
      <c r="A85" s="8">
        <v>42790.392766203702</v>
      </c>
      <c r="B85" s="20" t="s">
        <v>441</v>
      </c>
      <c r="C85" s="20" t="s">
        <v>538</v>
      </c>
      <c r="D85" s="150">
        <v>2140000</v>
      </c>
      <c r="E85" s="20" t="s">
        <v>358</v>
      </c>
      <c r="F85" s="20" t="s">
        <v>359</v>
      </c>
      <c r="G85" s="8" t="str">
        <f t="shared" si="1"/>
        <v>ROBINSON KADDIBA</v>
      </c>
    </row>
    <row r="86" spans="1:7" x14ac:dyDescent="0.25">
      <c r="A86" s="8">
        <v>42790.399143518516</v>
      </c>
      <c r="B86" s="20" t="s">
        <v>433</v>
      </c>
      <c r="C86" s="20" t="s">
        <v>453</v>
      </c>
      <c r="D86" s="150">
        <v>2550000</v>
      </c>
      <c r="E86" s="20" t="s">
        <v>319</v>
      </c>
      <c r="F86" s="20" t="s">
        <v>320</v>
      </c>
      <c r="G86" s="8" t="str">
        <f t="shared" si="1"/>
        <v>BADERTSCHER DIANE</v>
      </c>
    </row>
    <row r="87" spans="1:7" x14ac:dyDescent="0.25">
      <c r="A87" s="8">
        <v>42790.401365740741</v>
      </c>
      <c r="B87" s="20" t="s">
        <v>229</v>
      </c>
      <c r="C87" s="20" t="s">
        <v>539</v>
      </c>
      <c r="D87" s="150">
        <v>2020000</v>
      </c>
      <c r="E87" s="20" t="s">
        <v>360</v>
      </c>
      <c r="F87" s="20" t="s">
        <v>256</v>
      </c>
      <c r="G87" s="8" t="str">
        <f t="shared" si="1"/>
        <v>SHOOK JOHN</v>
      </c>
    </row>
    <row r="88" spans="1:7" x14ac:dyDescent="0.25">
      <c r="A88" s="8">
        <v>42790.40388888889</v>
      </c>
      <c r="B88" s="20" t="s">
        <v>354</v>
      </c>
      <c r="C88" s="20" t="s">
        <v>452</v>
      </c>
      <c r="D88" s="150">
        <v>1110000</v>
      </c>
      <c r="E88" s="20" t="s">
        <v>288</v>
      </c>
      <c r="F88" s="20" t="s">
        <v>289</v>
      </c>
      <c r="G88" s="8" t="str">
        <f t="shared" si="1"/>
        <v>STARKS ANGELINA</v>
      </c>
    </row>
    <row r="89" spans="1:7" x14ac:dyDescent="0.25">
      <c r="A89" s="8">
        <v>42790.412939814814</v>
      </c>
      <c r="B89" s="20" t="s">
        <v>307</v>
      </c>
      <c r="C89" s="20" t="s">
        <v>540</v>
      </c>
      <c r="D89" s="150">
        <v>900000</v>
      </c>
      <c r="E89" s="20" t="s">
        <v>290</v>
      </c>
      <c r="F89" s="20" t="s">
        <v>291</v>
      </c>
      <c r="G89" s="8" t="str">
        <f t="shared" si="1"/>
        <v>ROCHA YAOTL</v>
      </c>
    </row>
    <row r="90" spans="1:7" x14ac:dyDescent="0.25">
      <c r="A90" s="8">
        <v>42790.413032407407</v>
      </c>
      <c r="B90" s="20" t="s">
        <v>233</v>
      </c>
      <c r="C90" s="20" t="s">
        <v>541</v>
      </c>
      <c r="D90" s="150">
        <v>1230000</v>
      </c>
      <c r="E90" s="20" t="s">
        <v>484</v>
      </c>
      <c r="F90" s="20" t="s">
        <v>485</v>
      </c>
      <c r="G90" s="8" t="str">
        <f t="shared" si="1"/>
        <v>YANAI IAN</v>
      </c>
    </row>
    <row r="91" spans="1:7" x14ac:dyDescent="0.25">
      <c r="A91" s="8">
        <v>42790.413321759261</v>
      </c>
      <c r="B91" s="20" t="s">
        <v>248</v>
      </c>
      <c r="C91" s="20" t="s">
        <v>542</v>
      </c>
      <c r="D91" s="150">
        <v>890000</v>
      </c>
      <c r="E91" s="20" t="s">
        <v>324</v>
      </c>
      <c r="F91" s="20" t="s">
        <v>325</v>
      </c>
      <c r="G91" s="8" t="str">
        <f t="shared" si="1"/>
        <v>LOZA FIDEL</v>
      </c>
    </row>
    <row r="92" spans="1:7" x14ac:dyDescent="0.25">
      <c r="A92" s="8">
        <v>42790.415023148147</v>
      </c>
      <c r="B92" s="20" t="s">
        <v>232</v>
      </c>
      <c r="C92" s="20" t="s">
        <v>543</v>
      </c>
      <c r="D92" s="150">
        <v>2020000</v>
      </c>
      <c r="E92" s="20" t="s">
        <v>360</v>
      </c>
      <c r="F92" s="20" t="s">
        <v>256</v>
      </c>
      <c r="G92" s="8" t="str">
        <f t="shared" si="1"/>
        <v>SHOOK JOHN</v>
      </c>
    </row>
    <row r="93" spans="1:7" x14ac:dyDescent="0.25">
      <c r="A93" s="8">
        <v>42790.423171296294</v>
      </c>
      <c r="B93" s="20" t="s">
        <v>228</v>
      </c>
      <c r="C93" s="20" t="s">
        <v>544</v>
      </c>
      <c r="D93" s="150">
        <v>940000</v>
      </c>
      <c r="E93" s="20" t="s">
        <v>286</v>
      </c>
      <c r="F93" s="20" t="s">
        <v>287</v>
      </c>
      <c r="G93" s="8" t="str">
        <f t="shared" si="1"/>
        <v>BONDS REYNALDO</v>
      </c>
    </row>
    <row r="94" spans="1:7" x14ac:dyDescent="0.25">
      <c r="A94" s="8">
        <v>42790.429074074076</v>
      </c>
      <c r="B94" s="20" t="s">
        <v>512</v>
      </c>
      <c r="C94" s="20" t="s">
        <v>545</v>
      </c>
      <c r="D94" s="150">
        <v>1290000</v>
      </c>
      <c r="E94" s="20" t="s">
        <v>522</v>
      </c>
      <c r="F94" s="20" t="s">
        <v>256</v>
      </c>
      <c r="G94" s="8" t="str">
        <f t="shared" si="1"/>
        <v>COOLAHAN JOHN</v>
      </c>
    </row>
    <row r="95" spans="1:7" x14ac:dyDescent="0.25">
      <c r="A95" s="8">
        <v>42790.434062499997</v>
      </c>
      <c r="B95" s="20" t="s">
        <v>216</v>
      </c>
      <c r="C95" s="20" t="s">
        <v>454</v>
      </c>
      <c r="D95" s="150">
        <v>2370000</v>
      </c>
      <c r="E95" s="20" t="s">
        <v>368</v>
      </c>
      <c r="F95" s="20" t="s">
        <v>369</v>
      </c>
      <c r="G95" s="8" t="str">
        <f t="shared" si="1"/>
        <v>DELGADO DIANAH</v>
      </c>
    </row>
    <row r="96" spans="1:7" x14ac:dyDescent="0.25">
      <c r="A96" s="8">
        <v>42790.435624999998</v>
      </c>
      <c r="B96" s="20" t="s">
        <v>463</v>
      </c>
      <c r="C96" s="20" t="s">
        <v>546</v>
      </c>
      <c r="D96" s="150">
        <v>1100000</v>
      </c>
      <c r="E96" s="20" t="s">
        <v>322</v>
      </c>
      <c r="F96" s="20" t="s">
        <v>323</v>
      </c>
      <c r="G96" s="8" t="str">
        <f t="shared" si="1"/>
        <v>GEBRETEKLE DAGNEW</v>
      </c>
    </row>
    <row r="97" spans="1:7" x14ac:dyDescent="0.25">
      <c r="A97" s="8">
        <v>42790.437407407408</v>
      </c>
      <c r="B97" s="20" t="s">
        <v>353</v>
      </c>
      <c r="C97" s="20" t="s">
        <v>455</v>
      </c>
      <c r="D97" s="150">
        <v>1110000</v>
      </c>
      <c r="E97" s="20" t="s">
        <v>288</v>
      </c>
      <c r="F97" s="20" t="s">
        <v>289</v>
      </c>
      <c r="G97" s="8" t="str">
        <f t="shared" si="1"/>
        <v>STARKS ANGELINA</v>
      </c>
    </row>
    <row r="98" spans="1:7" x14ac:dyDescent="0.25">
      <c r="A98" s="8">
        <v>42790.442476851851</v>
      </c>
      <c r="B98" s="20" t="s">
        <v>306</v>
      </c>
      <c r="C98" s="20" t="s">
        <v>547</v>
      </c>
      <c r="D98" s="150">
        <v>900000</v>
      </c>
      <c r="E98" s="20" t="s">
        <v>290</v>
      </c>
      <c r="F98" s="20" t="s">
        <v>291</v>
      </c>
      <c r="G98" s="8" t="str">
        <f t="shared" si="1"/>
        <v>ROCHA YAOTL</v>
      </c>
    </row>
    <row r="99" spans="1:7" x14ac:dyDescent="0.25">
      <c r="A99" s="8">
        <v>42790.442650462966</v>
      </c>
      <c r="B99" s="20" t="s">
        <v>229</v>
      </c>
      <c r="C99" s="20" t="s">
        <v>548</v>
      </c>
      <c r="D99" s="150">
        <v>2020000</v>
      </c>
      <c r="E99" s="20" t="s">
        <v>360</v>
      </c>
      <c r="F99" s="20" t="s">
        <v>256</v>
      </c>
      <c r="G99" s="8" t="str">
        <f t="shared" si="1"/>
        <v>SHOOK JOHN</v>
      </c>
    </row>
    <row r="100" spans="1:7" x14ac:dyDescent="0.25">
      <c r="A100" s="8">
        <v>42790.44736111111</v>
      </c>
      <c r="B100" s="20" t="s">
        <v>245</v>
      </c>
      <c r="C100" s="20" t="s">
        <v>549</v>
      </c>
      <c r="D100" s="150">
        <v>890000</v>
      </c>
      <c r="E100" s="20" t="s">
        <v>324</v>
      </c>
      <c r="F100" s="20" t="s">
        <v>325</v>
      </c>
      <c r="G100" s="8" t="str">
        <f t="shared" si="1"/>
        <v>LOZA FIDEL</v>
      </c>
    </row>
    <row r="101" spans="1:7" x14ac:dyDescent="0.25">
      <c r="A101" s="8">
        <v>42790.452175925922</v>
      </c>
      <c r="B101" s="20" t="s">
        <v>217</v>
      </c>
      <c r="C101" s="20" t="s">
        <v>550</v>
      </c>
      <c r="D101" s="150">
        <v>1200000</v>
      </c>
      <c r="E101" s="20" t="s">
        <v>551</v>
      </c>
      <c r="F101" s="20" t="s">
        <v>552</v>
      </c>
      <c r="G101" s="8" t="str">
        <f t="shared" si="1"/>
        <v>CUSHING HARRY</v>
      </c>
    </row>
    <row r="102" spans="1:7" x14ac:dyDescent="0.25">
      <c r="A102" s="8">
        <v>42790.454548611109</v>
      </c>
      <c r="B102" s="20" t="s">
        <v>249</v>
      </c>
      <c r="C102" s="20" t="s">
        <v>553</v>
      </c>
      <c r="D102" s="150">
        <v>2360000</v>
      </c>
      <c r="E102" s="20" t="s">
        <v>554</v>
      </c>
      <c r="F102" s="20" t="s">
        <v>555</v>
      </c>
      <c r="G102" s="8" t="str">
        <f t="shared" si="1"/>
        <v>BRANDNER MELINDA</v>
      </c>
    </row>
    <row r="103" spans="1:7" x14ac:dyDescent="0.25">
      <c r="A103" s="8">
        <v>42790.45653935185</v>
      </c>
      <c r="B103" s="20" t="s">
        <v>232</v>
      </c>
      <c r="C103" s="20" t="s">
        <v>556</v>
      </c>
      <c r="D103" s="150">
        <v>2020000</v>
      </c>
      <c r="E103" s="20" t="s">
        <v>360</v>
      </c>
      <c r="F103" s="20" t="s">
        <v>256</v>
      </c>
      <c r="G103" s="8" t="str">
        <f t="shared" si="1"/>
        <v>SHOOK JOHN</v>
      </c>
    </row>
    <row r="104" spans="1:7" x14ac:dyDescent="0.25">
      <c r="A104" s="8">
        <v>42790.463078703702</v>
      </c>
      <c r="B104" s="20" t="s">
        <v>210</v>
      </c>
      <c r="C104" s="20" t="s">
        <v>557</v>
      </c>
      <c r="D104" s="150">
        <v>940000</v>
      </c>
      <c r="E104" s="20" t="s">
        <v>286</v>
      </c>
      <c r="F104" s="20" t="s">
        <v>287</v>
      </c>
      <c r="G104" s="8" t="str">
        <f t="shared" si="1"/>
        <v>BONDS REYNALDO</v>
      </c>
    </row>
    <row r="105" spans="1:7" x14ac:dyDescent="0.25">
      <c r="A105" s="8">
        <v>42790.46471064815</v>
      </c>
      <c r="B105" s="20" t="s">
        <v>441</v>
      </c>
      <c r="C105" s="20" t="s">
        <v>558</v>
      </c>
      <c r="D105" s="150">
        <v>2370000</v>
      </c>
      <c r="E105" s="20" t="s">
        <v>368</v>
      </c>
      <c r="F105" s="20" t="s">
        <v>369</v>
      </c>
      <c r="G105" s="8" t="str">
        <f t="shared" si="1"/>
        <v>DELGADO DIANAH</v>
      </c>
    </row>
    <row r="106" spans="1:7" x14ac:dyDescent="0.25">
      <c r="A106" s="8">
        <v>42790.464953703704</v>
      </c>
      <c r="B106" s="20" t="s">
        <v>433</v>
      </c>
      <c r="C106" s="20" t="s">
        <v>559</v>
      </c>
      <c r="D106" s="150">
        <v>1100000</v>
      </c>
      <c r="E106" s="20" t="s">
        <v>322</v>
      </c>
      <c r="F106" s="20" t="s">
        <v>323</v>
      </c>
      <c r="G106" s="8" t="str">
        <f t="shared" si="1"/>
        <v>GEBRETEKLE DAGNEW</v>
      </c>
    </row>
    <row r="107" spans="1:7" x14ac:dyDescent="0.25">
      <c r="A107" s="8">
        <v>42790.477164351854</v>
      </c>
      <c r="B107" s="20" t="s">
        <v>354</v>
      </c>
      <c r="C107" s="20" t="s">
        <v>560</v>
      </c>
      <c r="D107" s="150">
        <v>930000</v>
      </c>
      <c r="E107" s="20" t="s">
        <v>292</v>
      </c>
      <c r="F107" s="20" t="s">
        <v>293</v>
      </c>
      <c r="G107" s="8" t="str">
        <f t="shared" si="1"/>
        <v>CLARK KATHLEEN</v>
      </c>
    </row>
    <row r="108" spans="1:7" x14ac:dyDescent="0.25">
      <c r="A108" s="8">
        <v>42790.484537037039</v>
      </c>
      <c r="B108" s="20" t="s">
        <v>229</v>
      </c>
      <c r="C108" s="20" t="s">
        <v>561</v>
      </c>
      <c r="D108" s="150">
        <v>2020000</v>
      </c>
      <c r="E108" s="20" t="s">
        <v>360</v>
      </c>
      <c r="F108" s="20" t="s">
        <v>256</v>
      </c>
      <c r="G108" s="8" t="str">
        <f t="shared" si="1"/>
        <v>SHOOK JOHN</v>
      </c>
    </row>
    <row r="109" spans="1:7" x14ac:dyDescent="0.25">
      <c r="A109" s="8">
        <v>42790.486886574072</v>
      </c>
      <c r="B109" s="20" t="s">
        <v>307</v>
      </c>
      <c r="C109" s="20" t="s">
        <v>562</v>
      </c>
      <c r="D109" s="150">
        <v>900000</v>
      </c>
      <c r="E109" s="20" t="s">
        <v>290</v>
      </c>
      <c r="F109" s="20" t="s">
        <v>291</v>
      </c>
      <c r="G109" s="8" t="str">
        <f t="shared" si="1"/>
        <v>ROCHA YAOTL</v>
      </c>
    </row>
    <row r="110" spans="1:7" x14ac:dyDescent="0.25">
      <c r="A110" s="8">
        <v>42790.48704861111</v>
      </c>
      <c r="B110" s="20" t="s">
        <v>248</v>
      </c>
      <c r="C110" s="20" t="s">
        <v>563</v>
      </c>
      <c r="D110" s="150">
        <v>1770000</v>
      </c>
      <c r="E110" s="20" t="s">
        <v>330</v>
      </c>
      <c r="F110" s="20" t="s">
        <v>331</v>
      </c>
      <c r="G110" s="8" t="str">
        <f t="shared" si="1"/>
        <v>BRUDER RICHARD</v>
      </c>
    </row>
    <row r="111" spans="1:7" x14ac:dyDescent="0.25">
      <c r="A111" s="8">
        <v>42790.4919212963</v>
      </c>
      <c r="B111" s="20" t="s">
        <v>233</v>
      </c>
      <c r="C111" s="20" t="s">
        <v>456</v>
      </c>
      <c r="D111" s="150">
        <v>2360000</v>
      </c>
      <c r="E111" s="20" t="s">
        <v>554</v>
      </c>
      <c r="F111" s="20" t="s">
        <v>555</v>
      </c>
      <c r="G111" s="8" t="str">
        <f t="shared" si="1"/>
        <v>BRANDNER MELINDA</v>
      </c>
    </row>
    <row r="112" spans="1:7" x14ac:dyDescent="0.25">
      <c r="A112" s="8">
        <v>42790.498564814814</v>
      </c>
      <c r="B112" s="20" t="s">
        <v>232</v>
      </c>
      <c r="C112" s="20" t="s">
        <v>564</v>
      </c>
      <c r="D112" s="150">
        <v>2020000</v>
      </c>
      <c r="E112" s="20" t="s">
        <v>360</v>
      </c>
      <c r="F112" s="20" t="s">
        <v>256</v>
      </c>
      <c r="G112" s="8" t="str">
        <f t="shared" si="1"/>
        <v>SHOOK JOHN</v>
      </c>
    </row>
    <row r="113" spans="1:7" x14ac:dyDescent="0.25">
      <c r="A113" s="8">
        <v>42790.498703703706</v>
      </c>
      <c r="B113" s="20" t="s">
        <v>228</v>
      </c>
      <c r="C113" s="20" t="s">
        <v>565</v>
      </c>
      <c r="D113" s="150">
        <v>1540000</v>
      </c>
      <c r="E113" s="20" t="s">
        <v>326</v>
      </c>
      <c r="F113" s="20" t="s">
        <v>327</v>
      </c>
      <c r="G113" s="8" t="str">
        <f t="shared" si="1"/>
        <v>HELVIE ADAM</v>
      </c>
    </row>
    <row r="114" spans="1:7" x14ac:dyDescent="0.25">
      <c r="A114" s="8">
        <v>42790.502152777779</v>
      </c>
      <c r="B114" s="20" t="s">
        <v>512</v>
      </c>
      <c r="C114" s="20" t="s">
        <v>566</v>
      </c>
      <c r="D114" s="150">
        <v>2370000</v>
      </c>
      <c r="E114" s="20" t="s">
        <v>368</v>
      </c>
      <c r="F114" s="20" t="s">
        <v>369</v>
      </c>
      <c r="G114" s="8" t="str">
        <f t="shared" si="1"/>
        <v>DELGADO DIANAH</v>
      </c>
    </row>
    <row r="115" spans="1:7" x14ac:dyDescent="0.25">
      <c r="A115" s="8">
        <v>42790.505914351852</v>
      </c>
      <c r="B115" s="20" t="s">
        <v>463</v>
      </c>
      <c r="C115" s="20" t="s">
        <v>567</v>
      </c>
      <c r="D115" s="150">
        <v>2030000</v>
      </c>
      <c r="E115" s="20" t="s">
        <v>362</v>
      </c>
      <c r="F115" s="20" t="s">
        <v>363</v>
      </c>
      <c r="G115" s="8" t="str">
        <f t="shared" si="1"/>
        <v>KILLION DAVID</v>
      </c>
    </row>
    <row r="116" spans="1:7" x14ac:dyDescent="0.25">
      <c r="A116" s="8">
        <v>42790.512476851851</v>
      </c>
      <c r="B116" s="20" t="s">
        <v>353</v>
      </c>
      <c r="C116" s="20" t="s">
        <v>568</v>
      </c>
      <c r="D116" s="150">
        <v>930000</v>
      </c>
      <c r="E116" s="20" t="s">
        <v>292</v>
      </c>
      <c r="F116" s="20" t="s">
        <v>293</v>
      </c>
      <c r="G116" s="8" t="str">
        <f t="shared" si="1"/>
        <v>CLARK KATHLEEN</v>
      </c>
    </row>
    <row r="117" spans="1:7" x14ac:dyDescent="0.25">
      <c r="A117" s="8">
        <v>42790.516631944447</v>
      </c>
      <c r="B117" s="20" t="s">
        <v>306</v>
      </c>
      <c r="C117" s="20" t="s">
        <v>569</v>
      </c>
      <c r="D117" s="150">
        <v>1190000</v>
      </c>
      <c r="E117" s="20" t="s">
        <v>328</v>
      </c>
      <c r="F117" s="20" t="s">
        <v>329</v>
      </c>
      <c r="G117" s="8" t="str">
        <f t="shared" si="1"/>
        <v>BRANNON JEFFREY</v>
      </c>
    </row>
    <row r="118" spans="1:7" x14ac:dyDescent="0.25">
      <c r="A118" s="8">
        <v>42790.525219907409</v>
      </c>
      <c r="B118" s="20" t="s">
        <v>245</v>
      </c>
      <c r="C118" s="20" t="s">
        <v>457</v>
      </c>
      <c r="D118" s="150">
        <v>1770000</v>
      </c>
      <c r="E118" s="20" t="s">
        <v>330</v>
      </c>
      <c r="F118" s="20" t="s">
        <v>331</v>
      </c>
      <c r="G118" s="8" t="str">
        <f t="shared" si="1"/>
        <v>BRUDER RICHARD</v>
      </c>
    </row>
    <row r="119" spans="1:7" x14ac:dyDescent="0.25">
      <c r="A119" s="8">
        <v>42790.526296296295</v>
      </c>
      <c r="B119" s="20" t="s">
        <v>229</v>
      </c>
      <c r="C119" s="20" t="s">
        <v>570</v>
      </c>
      <c r="D119" s="150">
        <v>2020000</v>
      </c>
      <c r="E119" s="20" t="s">
        <v>360</v>
      </c>
      <c r="F119" s="20" t="s">
        <v>256</v>
      </c>
      <c r="G119" s="8" t="str">
        <f t="shared" si="1"/>
        <v>SHOOK JOHN</v>
      </c>
    </row>
    <row r="120" spans="1:7" x14ac:dyDescent="0.25">
      <c r="A120" s="8">
        <v>42790.528055555558</v>
      </c>
      <c r="B120" s="20" t="s">
        <v>249</v>
      </c>
      <c r="C120" s="20" t="s">
        <v>571</v>
      </c>
      <c r="D120" s="150">
        <v>2360000</v>
      </c>
      <c r="E120" s="20" t="s">
        <v>554</v>
      </c>
      <c r="F120" s="20" t="s">
        <v>555</v>
      </c>
      <c r="G120" s="8" t="str">
        <f t="shared" si="1"/>
        <v>BRANDNER MELINDA</v>
      </c>
    </row>
    <row r="121" spans="1:7" x14ac:dyDescent="0.25">
      <c r="A121" s="8">
        <v>42790.537060185183</v>
      </c>
      <c r="B121" s="20" t="s">
        <v>441</v>
      </c>
      <c r="C121" s="20" t="s">
        <v>572</v>
      </c>
      <c r="D121" s="150">
        <v>2370000</v>
      </c>
      <c r="E121" s="20" t="s">
        <v>368</v>
      </c>
      <c r="F121" s="20" t="s">
        <v>369</v>
      </c>
      <c r="G121" s="8" t="str">
        <f t="shared" si="1"/>
        <v>DELGADO DIANAH</v>
      </c>
    </row>
    <row r="122" spans="1:7" x14ac:dyDescent="0.25">
      <c r="A122" s="8">
        <v>42790.537465277775</v>
      </c>
      <c r="B122" s="25" t="s">
        <v>210</v>
      </c>
      <c r="C122" s="20" t="s">
        <v>458</v>
      </c>
      <c r="D122" s="150">
        <v>1540000</v>
      </c>
      <c r="E122" s="20" t="s">
        <v>326</v>
      </c>
      <c r="F122" s="20" t="s">
        <v>327</v>
      </c>
      <c r="G122" s="8" t="str">
        <f t="shared" si="1"/>
        <v>HELVIE ADAM</v>
      </c>
    </row>
    <row r="123" spans="1:7" x14ac:dyDescent="0.25">
      <c r="A123" s="8">
        <v>42790.54277777778</v>
      </c>
      <c r="B123" s="20" t="s">
        <v>232</v>
      </c>
      <c r="C123" s="20" t="s">
        <v>573</v>
      </c>
      <c r="D123" s="150">
        <v>1180000</v>
      </c>
      <c r="E123" s="20" t="s">
        <v>294</v>
      </c>
      <c r="F123" s="20" t="s">
        <v>295</v>
      </c>
      <c r="G123" s="8" t="str">
        <f t="shared" si="1"/>
        <v>LEVERE CRAIG</v>
      </c>
    </row>
    <row r="124" spans="1:7" x14ac:dyDescent="0.25">
      <c r="A124" s="8">
        <v>42790.542881944442</v>
      </c>
      <c r="B124" s="20" t="s">
        <v>433</v>
      </c>
      <c r="C124" s="20" t="s">
        <v>574</v>
      </c>
      <c r="D124" s="150">
        <v>2030000</v>
      </c>
      <c r="E124" s="20" t="s">
        <v>362</v>
      </c>
      <c r="F124" s="20" t="s">
        <v>363</v>
      </c>
      <c r="G124" s="8" t="str">
        <f t="shared" si="1"/>
        <v>KILLION DAVID</v>
      </c>
    </row>
    <row r="125" spans="1:7" x14ac:dyDescent="0.25">
      <c r="A125" s="8">
        <v>42790.548125000001</v>
      </c>
      <c r="B125" s="20" t="s">
        <v>307</v>
      </c>
      <c r="C125" s="20" t="s">
        <v>575</v>
      </c>
      <c r="D125" s="150">
        <v>1190000</v>
      </c>
      <c r="E125" s="20" t="s">
        <v>328</v>
      </c>
      <c r="F125" s="20" t="s">
        <v>329</v>
      </c>
      <c r="G125" s="8" t="str">
        <f t="shared" si="1"/>
        <v>BRANNON JEFFREY</v>
      </c>
    </row>
    <row r="126" spans="1:7" x14ac:dyDescent="0.25">
      <c r="A126" s="8">
        <v>42790.548842592594</v>
      </c>
      <c r="B126" s="20" t="s">
        <v>354</v>
      </c>
      <c r="C126" s="20" t="s">
        <v>459</v>
      </c>
      <c r="D126" s="150">
        <v>930000</v>
      </c>
      <c r="E126" s="20" t="s">
        <v>292</v>
      </c>
      <c r="F126" s="20" t="s">
        <v>293</v>
      </c>
      <c r="G126" s="8" t="str">
        <f t="shared" si="1"/>
        <v>CLARK KATHLEEN</v>
      </c>
    </row>
    <row r="127" spans="1:7" x14ac:dyDescent="0.25">
      <c r="A127" s="8">
        <v>42790.559004629627</v>
      </c>
      <c r="B127" s="20" t="s">
        <v>248</v>
      </c>
      <c r="C127" s="20" t="s">
        <v>576</v>
      </c>
      <c r="D127" s="150">
        <v>1770000</v>
      </c>
      <c r="E127" s="20" t="s">
        <v>330</v>
      </c>
      <c r="F127" s="20" t="s">
        <v>331</v>
      </c>
      <c r="G127" s="8" t="str">
        <f t="shared" si="1"/>
        <v>BRUDER RICHARD</v>
      </c>
    </row>
    <row r="128" spans="1:7" x14ac:dyDescent="0.25">
      <c r="A128" s="8">
        <v>42790.565949074073</v>
      </c>
      <c r="B128" s="20" t="s">
        <v>233</v>
      </c>
      <c r="C128" s="20" t="s">
        <v>460</v>
      </c>
      <c r="D128" s="150">
        <v>2360000</v>
      </c>
      <c r="E128" s="20" t="s">
        <v>554</v>
      </c>
      <c r="F128" s="20" t="s">
        <v>555</v>
      </c>
      <c r="G128" s="8" t="str">
        <f t="shared" si="1"/>
        <v>BRANDNER MELINDA</v>
      </c>
    </row>
    <row r="129" spans="1:7" x14ac:dyDescent="0.25">
      <c r="A129" s="8">
        <v>42790.567789351851</v>
      </c>
      <c r="B129" s="20" t="s">
        <v>229</v>
      </c>
      <c r="C129" s="20" t="s">
        <v>577</v>
      </c>
      <c r="D129" s="150">
        <v>1180000</v>
      </c>
      <c r="E129" s="20" t="s">
        <v>294</v>
      </c>
      <c r="F129" s="20" t="s">
        <v>295</v>
      </c>
      <c r="G129" s="8" t="str">
        <f t="shared" si="1"/>
        <v>LEVERE CRAIG</v>
      </c>
    </row>
    <row r="130" spans="1:7" x14ac:dyDescent="0.25">
      <c r="A130" s="8">
        <v>42790.570717592593</v>
      </c>
      <c r="B130" s="20" t="s">
        <v>228</v>
      </c>
      <c r="C130" s="20" t="s">
        <v>578</v>
      </c>
      <c r="D130" s="150">
        <v>1540000</v>
      </c>
      <c r="E130" s="20" t="s">
        <v>326</v>
      </c>
      <c r="F130" s="20" t="s">
        <v>327</v>
      </c>
      <c r="G130" s="8" t="str">
        <f t="shared" si="1"/>
        <v>HELVIE ADAM</v>
      </c>
    </row>
    <row r="131" spans="1:7" x14ac:dyDescent="0.25">
      <c r="A131" s="8">
        <v>42790.573344907411</v>
      </c>
      <c r="B131" s="20" t="s">
        <v>512</v>
      </c>
      <c r="C131" s="20" t="s">
        <v>579</v>
      </c>
      <c r="D131" s="150">
        <v>2370000</v>
      </c>
      <c r="E131" s="20" t="s">
        <v>368</v>
      </c>
      <c r="F131" s="20" t="s">
        <v>369</v>
      </c>
      <c r="G131" s="8" t="str">
        <f t="shared" ref="G131:G194" si="2">E131&amp;" "&amp;F131</f>
        <v>DELGADO DIANAH</v>
      </c>
    </row>
    <row r="132" spans="1:7" x14ac:dyDescent="0.25">
      <c r="A132" s="8">
        <v>42790.579421296294</v>
      </c>
      <c r="B132" s="20" t="s">
        <v>463</v>
      </c>
      <c r="C132" s="20" t="s">
        <v>580</v>
      </c>
      <c r="D132" s="150">
        <v>2030000</v>
      </c>
      <c r="E132" s="20" t="s">
        <v>362</v>
      </c>
      <c r="F132" s="20" t="s">
        <v>363</v>
      </c>
      <c r="G132" s="8" t="str">
        <f t="shared" si="2"/>
        <v>KILLION DAVID</v>
      </c>
    </row>
    <row r="133" spans="1:7" x14ac:dyDescent="0.25">
      <c r="A133" s="8">
        <v>42790.586192129631</v>
      </c>
      <c r="B133" s="20" t="s">
        <v>353</v>
      </c>
      <c r="C133" s="20" t="s">
        <v>581</v>
      </c>
      <c r="D133" s="150">
        <v>930000</v>
      </c>
      <c r="E133" s="20" t="s">
        <v>292</v>
      </c>
      <c r="F133" s="20" t="s">
        <v>293</v>
      </c>
      <c r="G133" s="8" t="str">
        <f t="shared" si="2"/>
        <v>CLARK KATHLEEN</v>
      </c>
    </row>
    <row r="134" spans="1:7" x14ac:dyDescent="0.25">
      <c r="A134" s="8">
        <v>42790.589282407411</v>
      </c>
      <c r="B134" s="20" t="s">
        <v>306</v>
      </c>
      <c r="C134" s="20" t="s">
        <v>582</v>
      </c>
      <c r="D134" s="150">
        <v>1190000</v>
      </c>
      <c r="E134" s="20" t="s">
        <v>328</v>
      </c>
      <c r="F134" s="20" t="s">
        <v>329</v>
      </c>
      <c r="G134" s="8" t="str">
        <f t="shared" si="2"/>
        <v>BRANNON JEFFREY</v>
      </c>
    </row>
    <row r="135" spans="1:7" x14ac:dyDescent="0.25">
      <c r="A135" s="8">
        <v>42790.590717592589</v>
      </c>
      <c r="B135" s="20" t="s">
        <v>232</v>
      </c>
      <c r="C135" s="20" t="s">
        <v>583</v>
      </c>
      <c r="D135" s="150">
        <v>1180000</v>
      </c>
      <c r="E135" s="20" t="s">
        <v>294</v>
      </c>
      <c r="F135" s="20" t="s">
        <v>295</v>
      </c>
      <c r="G135" s="8" t="str">
        <f t="shared" si="2"/>
        <v>LEVERE CRAIG</v>
      </c>
    </row>
    <row r="136" spans="1:7" x14ac:dyDescent="0.25">
      <c r="A136" s="8">
        <v>42790.595763888887</v>
      </c>
      <c r="B136" s="20" t="s">
        <v>245</v>
      </c>
      <c r="C136" s="20" t="s">
        <v>584</v>
      </c>
      <c r="D136" s="150">
        <v>1770000</v>
      </c>
      <c r="E136" s="20" t="s">
        <v>330</v>
      </c>
      <c r="F136" s="20" t="s">
        <v>331</v>
      </c>
      <c r="G136" s="8" t="str">
        <f t="shared" si="2"/>
        <v>BRUDER RICHARD</v>
      </c>
    </row>
    <row r="137" spans="1:7" x14ac:dyDescent="0.25">
      <c r="A137" s="8">
        <v>42790.601168981484</v>
      </c>
      <c r="B137" s="20" t="s">
        <v>249</v>
      </c>
      <c r="C137" s="20" t="s">
        <v>585</v>
      </c>
      <c r="D137" s="150">
        <v>2360000</v>
      </c>
      <c r="E137" s="20" t="s">
        <v>554</v>
      </c>
      <c r="F137" s="20" t="s">
        <v>555</v>
      </c>
      <c r="G137" s="8" t="str">
        <f t="shared" si="2"/>
        <v>BRANDNER MELINDA</v>
      </c>
    </row>
    <row r="138" spans="1:7" x14ac:dyDescent="0.25">
      <c r="A138" s="8">
        <v>42790.608761574076</v>
      </c>
      <c r="B138" s="20" t="s">
        <v>210</v>
      </c>
      <c r="C138" s="20" t="s">
        <v>586</v>
      </c>
      <c r="D138" s="150">
        <v>1540000</v>
      </c>
      <c r="E138" s="20" t="s">
        <v>326</v>
      </c>
      <c r="F138" s="20" t="s">
        <v>327</v>
      </c>
      <c r="G138" s="8" t="str">
        <f t="shared" si="2"/>
        <v>HELVIE ADAM</v>
      </c>
    </row>
    <row r="139" spans="1:7" x14ac:dyDescent="0.25">
      <c r="A139" s="8">
        <v>42790.608831018515</v>
      </c>
      <c r="B139" s="20" t="s">
        <v>441</v>
      </c>
      <c r="C139" s="20" t="s">
        <v>587</v>
      </c>
      <c r="D139" s="150">
        <v>2440000</v>
      </c>
      <c r="E139" s="20" t="s">
        <v>365</v>
      </c>
      <c r="F139" s="20" t="s">
        <v>366</v>
      </c>
      <c r="G139" s="8" t="str">
        <f t="shared" si="2"/>
        <v>LOPES KIMBERLY</v>
      </c>
    </row>
    <row r="140" spans="1:7" x14ac:dyDescent="0.25">
      <c r="A140" s="8">
        <v>42790.609074074076</v>
      </c>
      <c r="B140" s="20" t="s">
        <v>229</v>
      </c>
      <c r="C140" s="20" t="s">
        <v>461</v>
      </c>
      <c r="D140" s="150">
        <v>1180000</v>
      </c>
      <c r="E140" s="20" t="s">
        <v>294</v>
      </c>
      <c r="F140" s="20" t="s">
        <v>295</v>
      </c>
      <c r="G140" s="8" t="str">
        <f t="shared" si="2"/>
        <v>LEVERE CRAIG</v>
      </c>
    </row>
    <row r="141" spans="1:7" x14ac:dyDescent="0.25">
      <c r="A141" s="8">
        <v>42790.617129629631</v>
      </c>
      <c r="B141" s="20" t="s">
        <v>433</v>
      </c>
      <c r="C141" s="20" t="s">
        <v>588</v>
      </c>
      <c r="D141" s="150">
        <v>2030000</v>
      </c>
      <c r="E141" s="20" t="s">
        <v>362</v>
      </c>
      <c r="F141" s="20" t="s">
        <v>363</v>
      </c>
      <c r="G141" s="8" t="str">
        <f t="shared" si="2"/>
        <v>KILLION DAVID</v>
      </c>
    </row>
    <row r="142" spans="1:7" x14ac:dyDescent="0.25">
      <c r="A142" s="8">
        <v>42790.621944444443</v>
      </c>
      <c r="B142" s="20" t="s">
        <v>354</v>
      </c>
      <c r="C142" s="20" t="s">
        <v>589</v>
      </c>
      <c r="D142" s="150">
        <v>930000</v>
      </c>
      <c r="E142" s="20" t="s">
        <v>292</v>
      </c>
      <c r="F142" s="20" t="s">
        <v>293</v>
      </c>
      <c r="G142" s="8" t="str">
        <f t="shared" si="2"/>
        <v>CLARK KATHLEEN</v>
      </c>
    </row>
    <row r="143" spans="1:7" x14ac:dyDescent="0.25">
      <c r="A143" s="8">
        <v>42790.623356481483</v>
      </c>
      <c r="B143" s="20" t="s">
        <v>307</v>
      </c>
      <c r="C143" s="20" t="s">
        <v>590</v>
      </c>
      <c r="D143" s="150">
        <v>1190000</v>
      </c>
      <c r="E143" s="20" t="s">
        <v>328</v>
      </c>
      <c r="F143" s="20" t="s">
        <v>329</v>
      </c>
      <c r="G143" s="8" t="str">
        <f t="shared" si="2"/>
        <v>BRANNON JEFFREY</v>
      </c>
    </row>
    <row r="144" spans="1:7" x14ac:dyDescent="0.25">
      <c r="A144" s="8">
        <v>42790.630729166667</v>
      </c>
      <c r="B144" s="20" t="s">
        <v>232</v>
      </c>
      <c r="C144" s="20" t="s">
        <v>591</v>
      </c>
      <c r="D144" s="150">
        <v>1180000</v>
      </c>
      <c r="E144" s="20" t="s">
        <v>294</v>
      </c>
      <c r="F144" s="20" t="s">
        <v>295</v>
      </c>
      <c r="G144" s="8" t="str">
        <f t="shared" si="2"/>
        <v>LEVERE CRAIG</v>
      </c>
    </row>
    <row r="145" spans="1:7" x14ac:dyDescent="0.25">
      <c r="A145" s="8">
        <v>42790.633935185186</v>
      </c>
      <c r="B145" s="20" t="s">
        <v>248</v>
      </c>
      <c r="C145" s="20" t="s">
        <v>592</v>
      </c>
      <c r="D145" s="150">
        <v>1780000</v>
      </c>
      <c r="E145" s="20" t="s">
        <v>308</v>
      </c>
      <c r="F145" s="20" t="s">
        <v>309</v>
      </c>
      <c r="G145" s="8" t="str">
        <f t="shared" si="2"/>
        <v>DE LA ROSA ALEX</v>
      </c>
    </row>
    <row r="146" spans="1:7" x14ac:dyDescent="0.25">
      <c r="A146" s="8">
        <v>42790.638506944444</v>
      </c>
      <c r="B146" s="20" t="s">
        <v>233</v>
      </c>
      <c r="C146" s="20" t="s">
        <v>462</v>
      </c>
      <c r="D146" s="150">
        <v>2360000</v>
      </c>
      <c r="E146" s="20" t="s">
        <v>554</v>
      </c>
      <c r="F146" s="20" t="s">
        <v>555</v>
      </c>
      <c r="G146" s="8" t="str">
        <f t="shared" si="2"/>
        <v>BRANDNER MELINDA</v>
      </c>
    </row>
    <row r="147" spans="1:7" x14ac:dyDescent="0.25">
      <c r="A147" s="8">
        <v>42790.643310185187</v>
      </c>
      <c r="B147" s="20" t="s">
        <v>237</v>
      </c>
      <c r="C147" s="20" t="s">
        <v>593</v>
      </c>
      <c r="D147" s="150">
        <v>2230000</v>
      </c>
      <c r="E147" s="20" t="s">
        <v>364</v>
      </c>
      <c r="F147" s="20" t="s">
        <v>202</v>
      </c>
      <c r="G147" s="8" t="str">
        <f t="shared" si="2"/>
        <v>SMITH MICHAEL</v>
      </c>
    </row>
    <row r="148" spans="1:7" x14ac:dyDescent="0.25">
      <c r="A148" s="8">
        <v>42790.644120370373</v>
      </c>
      <c r="B148" s="20" t="s">
        <v>228</v>
      </c>
      <c r="C148" s="20" t="s">
        <v>594</v>
      </c>
      <c r="D148" s="150">
        <v>1540000</v>
      </c>
      <c r="E148" s="20" t="s">
        <v>326</v>
      </c>
      <c r="F148" s="20" t="s">
        <v>327</v>
      </c>
      <c r="G148" s="8" t="str">
        <f t="shared" si="2"/>
        <v>HELVIE ADAM</v>
      </c>
    </row>
    <row r="149" spans="1:7" x14ac:dyDescent="0.25">
      <c r="A149" s="8">
        <v>42790.645532407405</v>
      </c>
      <c r="B149" s="20" t="s">
        <v>512</v>
      </c>
      <c r="C149" s="20" t="s">
        <v>595</v>
      </c>
      <c r="D149" s="150">
        <v>2440000</v>
      </c>
      <c r="E149" s="20" t="s">
        <v>365</v>
      </c>
      <c r="F149" s="20" t="s">
        <v>366</v>
      </c>
      <c r="G149" s="8" t="str">
        <f t="shared" si="2"/>
        <v>LOPES KIMBERLY</v>
      </c>
    </row>
    <row r="150" spans="1:7" x14ac:dyDescent="0.25">
      <c r="A150" s="8">
        <v>42790.651712962965</v>
      </c>
      <c r="B150" s="20" t="s">
        <v>229</v>
      </c>
      <c r="C150" s="20" t="s">
        <v>596</v>
      </c>
      <c r="D150" s="150">
        <v>1180000</v>
      </c>
      <c r="E150" s="20" t="s">
        <v>294</v>
      </c>
      <c r="F150" s="20" t="s">
        <v>295</v>
      </c>
      <c r="G150" s="8" t="str">
        <f t="shared" si="2"/>
        <v>LEVERE CRAIG</v>
      </c>
    </row>
    <row r="151" spans="1:7" x14ac:dyDescent="0.25">
      <c r="A151" s="8">
        <v>42790.653090277781</v>
      </c>
      <c r="B151" s="20" t="s">
        <v>236</v>
      </c>
      <c r="C151" s="20" t="s">
        <v>597</v>
      </c>
      <c r="D151" s="150">
        <v>2230000</v>
      </c>
      <c r="E151" s="20" t="s">
        <v>364</v>
      </c>
      <c r="F151" s="20" t="s">
        <v>202</v>
      </c>
      <c r="G151" s="8" t="str">
        <f t="shared" si="2"/>
        <v>SMITH MICHAEL</v>
      </c>
    </row>
    <row r="152" spans="1:7" x14ac:dyDescent="0.25">
      <c r="A152" s="8">
        <v>42790.654039351852</v>
      </c>
      <c r="B152" s="20" t="s">
        <v>463</v>
      </c>
      <c r="C152" s="20" t="s">
        <v>464</v>
      </c>
      <c r="D152" s="150">
        <v>2030000</v>
      </c>
      <c r="E152" s="20" t="s">
        <v>362</v>
      </c>
      <c r="F152" s="20" t="s">
        <v>363</v>
      </c>
      <c r="G152" s="8" t="str">
        <f t="shared" si="2"/>
        <v>KILLION DAVID</v>
      </c>
    </row>
    <row r="153" spans="1:7" x14ac:dyDescent="0.25">
      <c r="A153" s="8">
        <v>42790.659733796296</v>
      </c>
      <c r="B153" s="20" t="s">
        <v>353</v>
      </c>
      <c r="C153" s="20" t="s">
        <v>598</v>
      </c>
      <c r="D153" s="150">
        <v>930000</v>
      </c>
      <c r="E153" s="20" t="s">
        <v>292</v>
      </c>
      <c r="F153" s="20" t="s">
        <v>293</v>
      </c>
      <c r="G153" s="8" t="str">
        <f t="shared" si="2"/>
        <v>CLARK KATHLEEN</v>
      </c>
    </row>
    <row r="154" spans="1:7" x14ac:dyDescent="0.25">
      <c r="A154" s="8">
        <v>42790.661273148151</v>
      </c>
      <c r="B154" s="20" t="s">
        <v>306</v>
      </c>
      <c r="C154" s="20" t="s">
        <v>599</v>
      </c>
      <c r="D154" s="150">
        <v>1190000</v>
      </c>
      <c r="E154" s="20" t="s">
        <v>328</v>
      </c>
      <c r="F154" s="20" t="s">
        <v>329</v>
      </c>
      <c r="G154" s="8" t="str">
        <f t="shared" si="2"/>
        <v>BRANNON JEFFREY</v>
      </c>
    </row>
    <row r="155" spans="1:7" x14ac:dyDescent="0.25">
      <c r="A155" s="8">
        <v>42790.66337962963</v>
      </c>
      <c r="B155" s="20" t="s">
        <v>245</v>
      </c>
      <c r="C155" s="20" t="s">
        <v>600</v>
      </c>
      <c r="D155" s="150">
        <v>1780000</v>
      </c>
      <c r="E155" s="20" t="s">
        <v>308</v>
      </c>
      <c r="F155" s="20" t="s">
        <v>309</v>
      </c>
      <c r="G155" s="8" t="str">
        <f t="shared" si="2"/>
        <v>DE LA ROSA ALEX</v>
      </c>
    </row>
    <row r="156" spans="1:7" x14ac:dyDescent="0.25">
      <c r="A156" s="8">
        <v>42790.665034722224</v>
      </c>
      <c r="B156" s="20" t="s">
        <v>232</v>
      </c>
      <c r="C156" s="20" t="s">
        <v>601</v>
      </c>
      <c r="D156" s="150">
        <v>2420000</v>
      </c>
      <c r="E156" s="20" t="s">
        <v>602</v>
      </c>
      <c r="F156" s="20" t="s">
        <v>603</v>
      </c>
      <c r="G156" s="8" t="str">
        <f t="shared" si="2"/>
        <v>HOLCOMB KAMDEN</v>
      </c>
    </row>
    <row r="157" spans="1:7" x14ac:dyDescent="0.25">
      <c r="A157" s="8">
        <v>42790.671666666669</v>
      </c>
      <c r="B157" s="20" t="s">
        <v>237</v>
      </c>
      <c r="C157" s="20" t="s">
        <v>604</v>
      </c>
      <c r="D157" s="150">
        <v>2230000</v>
      </c>
      <c r="E157" s="20" t="s">
        <v>364</v>
      </c>
      <c r="F157" s="20" t="s">
        <v>202</v>
      </c>
      <c r="G157" s="8" t="str">
        <f t="shared" si="2"/>
        <v>SMITH MICHAEL</v>
      </c>
    </row>
    <row r="158" spans="1:7" x14ac:dyDescent="0.25">
      <c r="A158" s="8">
        <v>42790.676712962966</v>
      </c>
      <c r="B158" s="20" t="s">
        <v>249</v>
      </c>
      <c r="C158" s="20" t="s">
        <v>605</v>
      </c>
      <c r="D158" s="150">
        <v>2360000</v>
      </c>
      <c r="E158" s="20" t="s">
        <v>554</v>
      </c>
      <c r="F158" s="20" t="s">
        <v>555</v>
      </c>
      <c r="G158" s="8" t="str">
        <f t="shared" si="2"/>
        <v>BRANDNER MELINDA</v>
      </c>
    </row>
    <row r="159" spans="1:7" x14ac:dyDescent="0.25">
      <c r="A159" s="8">
        <v>42790.681944444441</v>
      </c>
      <c r="B159" s="20" t="s">
        <v>210</v>
      </c>
      <c r="C159" s="20" t="s">
        <v>606</v>
      </c>
      <c r="D159" s="150">
        <v>1540000</v>
      </c>
      <c r="E159" s="20" t="s">
        <v>326</v>
      </c>
      <c r="F159" s="20" t="s">
        <v>327</v>
      </c>
      <c r="G159" s="8" t="str">
        <f t="shared" si="2"/>
        <v>HELVIE ADAM</v>
      </c>
    </row>
    <row r="160" spans="1:7" x14ac:dyDescent="0.25">
      <c r="A160" s="8">
        <v>42790.683969907404</v>
      </c>
      <c r="B160" s="20" t="s">
        <v>441</v>
      </c>
      <c r="C160" s="20" t="s">
        <v>607</v>
      </c>
      <c r="D160" s="150">
        <v>2370000</v>
      </c>
      <c r="E160" s="20" t="s">
        <v>368</v>
      </c>
      <c r="F160" s="20" t="s">
        <v>369</v>
      </c>
      <c r="G160" s="8" t="str">
        <f t="shared" si="2"/>
        <v>DELGADO DIANAH</v>
      </c>
    </row>
    <row r="161" spans="1:7" x14ac:dyDescent="0.25">
      <c r="A161" s="8">
        <v>42790.688842592594</v>
      </c>
      <c r="B161" s="20" t="s">
        <v>236</v>
      </c>
      <c r="C161" s="20" t="s">
        <v>608</v>
      </c>
      <c r="D161" s="150">
        <v>2230000</v>
      </c>
      <c r="E161" s="20" t="s">
        <v>364</v>
      </c>
      <c r="F161" s="20" t="s">
        <v>202</v>
      </c>
      <c r="G161" s="8" t="str">
        <f t="shared" si="2"/>
        <v>SMITH MICHAEL</v>
      </c>
    </row>
    <row r="162" spans="1:7" x14ac:dyDescent="0.25">
      <c r="A162" s="8">
        <v>42790.690717592595</v>
      </c>
      <c r="B162" s="20" t="s">
        <v>433</v>
      </c>
      <c r="C162" s="20" t="s">
        <v>465</v>
      </c>
      <c r="D162" s="150">
        <v>2030000</v>
      </c>
      <c r="E162" s="20" t="s">
        <v>362</v>
      </c>
      <c r="F162" s="20" t="s">
        <v>363</v>
      </c>
      <c r="G162" s="8" t="str">
        <f t="shared" si="2"/>
        <v>KILLION DAVID</v>
      </c>
    </row>
    <row r="163" spans="1:7" x14ac:dyDescent="0.25">
      <c r="A163" s="8">
        <v>42790.693067129629</v>
      </c>
      <c r="B163" s="20" t="s">
        <v>229</v>
      </c>
      <c r="C163" s="20" t="s">
        <v>609</v>
      </c>
      <c r="D163" s="150">
        <v>2420000</v>
      </c>
      <c r="E163" s="20" t="s">
        <v>602</v>
      </c>
      <c r="F163" s="20" t="s">
        <v>603</v>
      </c>
      <c r="G163" s="8" t="str">
        <f t="shared" si="2"/>
        <v>HOLCOMB KAMDEN</v>
      </c>
    </row>
    <row r="164" spans="1:7" x14ac:dyDescent="0.25">
      <c r="A164" s="8">
        <v>42790.694282407407</v>
      </c>
      <c r="B164" s="20" t="s">
        <v>354</v>
      </c>
      <c r="C164" s="20" t="s">
        <v>610</v>
      </c>
      <c r="D164" s="150">
        <v>930000</v>
      </c>
      <c r="E164" s="20" t="s">
        <v>292</v>
      </c>
      <c r="F164" s="20" t="s">
        <v>293</v>
      </c>
      <c r="G164" s="8" t="str">
        <f t="shared" si="2"/>
        <v>CLARK KATHLEEN</v>
      </c>
    </row>
    <row r="165" spans="1:7" x14ac:dyDescent="0.25">
      <c r="A165" s="8">
        <v>42790.700810185182</v>
      </c>
      <c r="B165" s="20" t="s">
        <v>307</v>
      </c>
      <c r="C165" s="20" t="s">
        <v>611</v>
      </c>
      <c r="D165" s="150">
        <v>1190000</v>
      </c>
      <c r="E165" s="20" t="s">
        <v>328</v>
      </c>
      <c r="F165" s="20" t="s">
        <v>329</v>
      </c>
      <c r="G165" s="8" t="str">
        <f t="shared" si="2"/>
        <v>BRANNON JEFFREY</v>
      </c>
    </row>
    <row r="166" spans="1:7" x14ac:dyDescent="0.25">
      <c r="A166" s="8">
        <v>42790.704606481479</v>
      </c>
      <c r="B166" s="20" t="s">
        <v>248</v>
      </c>
      <c r="C166" s="20" t="s">
        <v>612</v>
      </c>
      <c r="D166" s="150">
        <v>1770000</v>
      </c>
      <c r="E166" s="20" t="s">
        <v>330</v>
      </c>
      <c r="F166" s="20" t="s">
        <v>331</v>
      </c>
      <c r="G166" s="8" t="str">
        <f t="shared" si="2"/>
        <v>BRUDER RICHARD</v>
      </c>
    </row>
    <row r="167" spans="1:7" x14ac:dyDescent="0.25">
      <c r="A167" s="8">
        <v>42790.706863425927</v>
      </c>
      <c r="B167" s="20" t="s">
        <v>233</v>
      </c>
      <c r="C167" s="20" t="s">
        <v>613</v>
      </c>
      <c r="D167" s="150">
        <v>2360000</v>
      </c>
      <c r="E167" s="20" t="s">
        <v>554</v>
      </c>
      <c r="F167" s="20" t="s">
        <v>555</v>
      </c>
      <c r="G167" s="8" t="str">
        <f t="shared" si="2"/>
        <v>BRANDNER MELINDA</v>
      </c>
    </row>
    <row r="168" spans="1:7" x14ac:dyDescent="0.25">
      <c r="A168" s="8">
        <v>42790.713773148149</v>
      </c>
      <c r="B168" s="20" t="s">
        <v>237</v>
      </c>
      <c r="C168" s="20" t="s">
        <v>614</v>
      </c>
      <c r="D168" s="150">
        <v>2230000</v>
      </c>
      <c r="E168" s="20" t="s">
        <v>364</v>
      </c>
      <c r="F168" s="20" t="s">
        <v>202</v>
      </c>
      <c r="G168" s="8" t="str">
        <f t="shared" si="2"/>
        <v>SMITH MICHAEL</v>
      </c>
    </row>
    <row r="169" spans="1:7" x14ac:dyDescent="0.25">
      <c r="A169" s="8">
        <v>42790.717268518521</v>
      </c>
      <c r="B169" s="20" t="s">
        <v>228</v>
      </c>
      <c r="C169" s="20" t="s">
        <v>615</v>
      </c>
      <c r="D169" s="150">
        <v>1540000</v>
      </c>
      <c r="E169" s="20" t="s">
        <v>326</v>
      </c>
      <c r="F169" s="20" t="s">
        <v>327</v>
      </c>
      <c r="G169" s="8" t="str">
        <f t="shared" si="2"/>
        <v>HELVIE ADAM</v>
      </c>
    </row>
    <row r="170" spans="1:7" x14ac:dyDescent="0.25">
      <c r="A170" s="8">
        <v>42790.717476851853</v>
      </c>
      <c r="B170" s="20" t="s">
        <v>232</v>
      </c>
      <c r="C170" s="20" t="s">
        <v>616</v>
      </c>
      <c r="D170" s="150">
        <v>1180000</v>
      </c>
      <c r="E170" s="20" t="s">
        <v>294</v>
      </c>
      <c r="F170" s="20" t="s">
        <v>295</v>
      </c>
      <c r="G170" s="8" t="str">
        <f t="shared" si="2"/>
        <v>LEVERE CRAIG</v>
      </c>
    </row>
    <row r="171" spans="1:7" x14ac:dyDescent="0.25">
      <c r="A171" s="8">
        <v>42790.717824074076</v>
      </c>
      <c r="B171" s="20" t="s">
        <v>512</v>
      </c>
      <c r="C171" s="20" t="s">
        <v>617</v>
      </c>
      <c r="D171" s="150">
        <v>2370000</v>
      </c>
      <c r="E171" s="20" t="s">
        <v>368</v>
      </c>
      <c r="F171" s="20" t="s">
        <v>369</v>
      </c>
      <c r="G171" s="8" t="str">
        <f t="shared" si="2"/>
        <v>DELGADO DIANAH</v>
      </c>
    </row>
    <row r="172" spans="1:7" x14ac:dyDescent="0.25">
      <c r="A172" s="8">
        <v>42790.723368055558</v>
      </c>
      <c r="B172" s="20" t="s">
        <v>269</v>
      </c>
      <c r="C172" s="20" t="s">
        <v>618</v>
      </c>
      <c r="D172" s="150">
        <v>2260000</v>
      </c>
      <c r="E172" s="20" t="s">
        <v>619</v>
      </c>
      <c r="F172" s="20" t="s">
        <v>620</v>
      </c>
      <c r="G172" s="8" t="str">
        <f t="shared" si="2"/>
        <v>ARVIDSON DANIEL</v>
      </c>
    </row>
    <row r="173" spans="1:7" x14ac:dyDescent="0.25">
      <c r="A173" s="8">
        <v>42790.723900462966</v>
      </c>
      <c r="B173" s="20" t="s">
        <v>253</v>
      </c>
      <c r="C173" s="20" t="s">
        <v>621</v>
      </c>
      <c r="D173" s="150">
        <v>2420000</v>
      </c>
      <c r="E173" s="20" t="s">
        <v>602</v>
      </c>
      <c r="F173" s="20" t="s">
        <v>603</v>
      </c>
      <c r="G173" s="8" t="str">
        <f t="shared" si="2"/>
        <v>HOLCOMB KAMDEN</v>
      </c>
    </row>
    <row r="174" spans="1:7" x14ac:dyDescent="0.25">
      <c r="A174" s="8">
        <v>42790.726307870369</v>
      </c>
      <c r="B174" s="20" t="s">
        <v>463</v>
      </c>
      <c r="C174" s="20" t="s">
        <v>622</v>
      </c>
      <c r="D174" s="150">
        <v>2030000</v>
      </c>
      <c r="E174" s="20" t="s">
        <v>362</v>
      </c>
      <c r="F174" s="20" t="s">
        <v>363</v>
      </c>
      <c r="G174" s="8" t="str">
        <f t="shared" si="2"/>
        <v>KILLION DAVID</v>
      </c>
    </row>
    <row r="175" spans="1:7" x14ac:dyDescent="0.25">
      <c r="A175" s="8">
        <v>42790.728622685187</v>
      </c>
      <c r="B175" s="20" t="s">
        <v>236</v>
      </c>
      <c r="C175" s="20" t="s">
        <v>623</v>
      </c>
      <c r="D175" s="150">
        <v>2230000</v>
      </c>
      <c r="E175" s="20" t="s">
        <v>364</v>
      </c>
      <c r="F175" s="20" t="s">
        <v>202</v>
      </c>
      <c r="G175" s="8" t="str">
        <f t="shared" si="2"/>
        <v>SMITH MICHAEL</v>
      </c>
    </row>
    <row r="176" spans="1:7" x14ac:dyDescent="0.25">
      <c r="A176" s="8">
        <v>42790.73064814815</v>
      </c>
      <c r="B176" s="20" t="s">
        <v>353</v>
      </c>
      <c r="C176" s="20" t="s">
        <v>624</v>
      </c>
      <c r="D176" s="150">
        <v>930000</v>
      </c>
      <c r="E176" s="20" t="s">
        <v>292</v>
      </c>
      <c r="F176" s="20" t="s">
        <v>293</v>
      </c>
      <c r="G176" s="8" t="str">
        <f t="shared" si="2"/>
        <v>CLARK KATHLEEN</v>
      </c>
    </row>
    <row r="177" spans="1:7" x14ac:dyDescent="0.25">
      <c r="A177" s="8">
        <v>42790.734606481485</v>
      </c>
      <c r="B177" s="20" t="s">
        <v>229</v>
      </c>
      <c r="C177" s="20" t="s">
        <v>625</v>
      </c>
      <c r="D177" s="150">
        <v>1180000</v>
      </c>
      <c r="E177" s="20" t="s">
        <v>294</v>
      </c>
      <c r="F177" s="20" t="s">
        <v>295</v>
      </c>
      <c r="G177" s="8" t="str">
        <f t="shared" si="2"/>
        <v>LEVERE CRAIG</v>
      </c>
    </row>
    <row r="178" spans="1:7" x14ac:dyDescent="0.25">
      <c r="A178" s="8">
        <v>42790.736956018518</v>
      </c>
      <c r="B178" s="20" t="s">
        <v>306</v>
      </c>
      <c r="C178" s="20" t="s">
        <v>466</v>
      </c>
      <c r="D178" s="150">
        <v>1740000</v>
      </c>
      <c r="E178" s="20" t="s">
        <v>223</v>
      </c>
      <c r="F178" s="20" t="s">
        <v>224</v>
      </c>
      <c r="G178" s="8" t="str">
        <f t="shared" si="2"/>
        <v>STORY SAMANTHA</v>
      </c>
    </row>
    <row r="179" spans="1:7" x14ac:dyDescent="0.25">
      <c r="A179" s="8">
        <v>42790.743321759262</v>
      </c>
      <c r="B179" s="20" t="s">
        <v>245</v>
      </c>
      <c r="C179" s="20" t="s">
        <v>626</v>
      </c>
      <c r="D179" s="150">
        <v>1770000</v>
      </c>
      <c r="E179" s="20" t="s">
        <v>330</v>
      </c>
      <c r="F179" s="20" t="s">
        <v>331</v>
      </c>
      <c r="G179" s="8" t="str">
        <f t="shared" si="2"/>
        <v>BRUDER RICHARD</v>
      </c>
    </row>
    <row r="180" spans="1:7" x14ac:dyDescent="0.25">
      <c r="A180" s="8">
        <v>42790.74664351852</v>
      </c>
      <c r="B180" s="20" t="s">
        <v>249</v>
      </c>
      <c r="C180" s="20" t="s">
        <v>627</v>
      </c>
      <c r="D180" s="150">
        <v>1190000</v>
      </c>
      <c r="E180" s="20" t="s">
        <v>328</v>
      </c>
      <c r="F180" s="20" t="s">
        <v>329</v>
      </c>
      <c r="G180" s="8" t="str">
        <f t="shared" si="2"/>
        <v>BRANNON JEFFREY</v>
      </c>
    </row>
    <row r="181" spans="1:7" x14ac:dyDescent="0.25">
      <c r="A181" s="8">
        <v>42790.753946759258</v>
      </c>
      <c r="B181" s="20" t="s">
        <v>210</v>
      </c>
      <c r="C181" s="20" t="s">
        <v>615</v>
      </c>
      <c r="D181" s="150">
        <v>1540000</v>
      </c>
      <c r="E181" s="20" t="s">
        <v>326</v>
      </c>
      <c r="F181" s="20" t="s">
        <v>327</v>
      </c>
      <c r="G181" s="8" t="str">
        <f t="shared" si="2"/>
        <v>HELVIE ADAM</v>
      </c>
    </row>
    <row r="182" spans="1:7" x14ac:dyDescent="0.25">
      <c r="A182" s="8">
        <v>42790.754467592589</v>
      </c>
      <c r="B182" s="20" t="s">
        <v>216</v>
      </c>
      <c r="C182" s="20" t="s">
        <v>467</v>
      </c>
      <c r="D182" s="150">
        <v>2220000</v>
      </c>
      <c r="E182" s="20" t="s">
        <v>212</v>
      </c>
      <c r="F182" s="20" t="s">
        <v>213</v>
      </c>
      <c r="G182" s="8" t="str">
        <f t="shared" si="2"/>
        <v>HILLS DUSTIN</v>
      </c>
    </row>
    <row r="183" spans="1:7" x14ac:dyDescent="0.25">
      <c r="A183" s="8">
        <v>42790.755266203705</v>
      </c>
      <c r="B183" s="20" t="s">
        <v>210</v>
      </c>
      <c r="C183" s="20" t="s">
        <v>468</v>
      </c>
      <c r="D183" s="150">
        <v>1540000</v>
      </c>
      <c r="E183" s="20" t="s">
        <v>326</v>
      </c>
      <c r="F183" s="20" t="s">
        <v>327</v>
      </c>
      <c r="G183" s="8" t="str">
        <f t="shared" si="2"/>
        <v>HELVIE ADAM</v>
      </c>
    </row>
    <row r="184" spans="1:7" x14ac:dyDescent="0.25">
      <c r="A184" s="8">
        <v>42790.755439814813</v>
      </c>
      <c r="B184" s="20" t="s">
        <v>237</v>
      </c>
      <c r="C184" s="20" t="s">
        <v>628</v>
      </c>
      <c r="D184" s="150">
        <v>2230000</v>
      </c>
      <c r="E184" s="20" t="s">
        <v>364</v>
      </c>
      <c r="F184" s="20" t="s">
        <v>202</v>
      </c>
      <c r="G184" s="8" t="str">
        <f t="shared" si="2"/>
        <v>SMITH MICHAEL</v>
      </c>
    </row>
    <row r="185" spans="1:7" x14ac:dyDescent="0.25">
      <c r="A185" s="8">
        <v>42790.756018518521</v>
      </c>
      <c r="B185" s="20" t="s">
        <v>441</v>
      </c>
      <c r="C185" s="20" t="s">
        <v>470</v>
      </c>
      <c r="D185" s="150">
        <v>2000000</v>
      </c>
      <c r="E185" s="20" t="s">
        <v>629</v>
      </c>
      <c r="F185" s="20" t="s">
        <v>199</v>
      </c>
      <c r="G185" s="8" t="str">
        <f t="shared" si="2"/>
        <v>STAMBAUGH JAMES</v>
      </c>
    </row>
    <row r="186" spans="1:7" x14ac:dyDescent="0.25">
      <c r="A186" s="8">
        <v>42790.760983796295</v>
      </c>
      <c r="B186" s="20" t="s">
        <v>355</v>
      </c>
      <c r="C186" s="20" t="s">
        <v>630</v>
      </c>
      <c r="D186" s="150">
        <v>2630000</v>
      </c>
      <c r="E186" s="20" t="s">
        <v>631</v>
      </c>
      <c r="F186" s="20" t="s">
        <v>632</v>
      </c>
      <c r="G186" s="8" t="str">
        <f t="shared" si="2"/>
        <v>SAFIEF AEIMEN</v>
      </c>
    </row>
    <row r="187" spans="1:7" x14ac:dyDescent="0.25">
      <c r="A187" s="8">
        <v>42790.761400462965</v>
      </c>
      <c r="B187" s="20" t="s">
        <v>232</v>
      </c>
      <c r="C187" s="20" t="s">
        <v>633</v>
      </c>
      <c r="D187" s="150">
        <v>1180000</v>
      </c>
      <c r="E187" s="20" t="s">
        <v>294</v>
      </c>
      <c r="F187" s="20" t="s">
        <v>295</v>
      </c>
      <c r="G187" s="8" t="str">
        <f t="shared" si="2"/>
        <v>LEVERE CRAIG</v>
      </c>
    </row>
    <row r="188" spans="1:7" x14ac:dyDescent="0.25">
      <c r="A188" s="8">
        <v>42790.761666666665</v>
      </c>
      <c r="B188" s="20" t="s">
        <v>433</v>
      </c>
      <c r="C188" s="20" t="s">
        <v>634</v>
      </c>
      <c r="D188" s="150">
        <v>2030000</v>
      </c>
      <c r="E188" s="20" t="s">
        <v>362</v>
      </c>
      <c r="F188" s="20" t="s">
        <v>363</v>
      </c>
      <c r="G188" s="8" t="str">
        <f t="shared" si="2"/>
        <v>KILLION DAVID</v>
      </c>
    </row>
    <row r="189" spans="1:7" x14ac:dyDescent="0.25">
      <c r="A189" s="8">
        <v>42790.768136574072</v>
      </c>
      <c r="B189" s="20" t="s">
        <v>354</v>
      </c>
      <c r="C189" s="20" t="s">
        <v>469</v>
      </c>
      <c r="D189" s="150">
        <v>2220000</v>
      </c>
      <c r="E189" s="20" t="s">
        <v>212</v>
      </c>
      <c r="F189" s="20" t="s">
        <v>213</v>
      </c>
      <c r="G189" s="8" t="str">
        <f t="shared" si="2"/>
        <v>HILLS DUSTIN</v>
      </c>
    </row>
    <row r="190" spans="1:7" x14ac:dyDescent="0.25">
      <c r="A190" s="8">
        <v>42790.770694444444</v>
      </c>
      <c r="B190" s="20" t="s">
        <v>217</v>
      </c>
      <c r="C190" s="20" t="s">
        <v>635</v>
      </c>
      <c r="D190" s="150">
        <v>930000</v>
      </c>
      <c r="E190" s="20" t="s">
        <v>292</v>
      </c>
      <c r="F190" s="20" t="s">
        <v>293</v>
      </c>
      <c r="G190" s="8" t="str">
        <f t="shared" si="2"/>
        <v>CLARK KATHLEEN</v>
      </c>
    </row>
    <row r="191" spans="1:7" x14ac:dyDescent="0.25">
      <c r="A191" s="8">
        <v>42790.771099537036</v>
      </c>
      <c r="B191" s="20" t="s">
        <v>307</v>
      </c>
      <c r="C191" s="20" t="s">
        <v>636</v>
      </c>
      <c r="D191" s="150">
        <v>1740000</v>
      </c>
      <c r="E191" s="20" t="s">
        <v>223</v>
      </c>
      <c r="F191" s="20" t="s">
        <v>224</v>
      </c>
      <c r="G191" s="8" t="str">
        <f t="shared" si="2"/>
        <v>STORY SAMANTHA</v>
      </c>
    </row>
    <row r="192" spans="1:7" x14ac:dyDescent="0.25">
      <c r="A192" s="8">
        <v>42790.77134259259</v>
      </c>
      <c r="B192" s="20" t="s">
        <v>236</v>
      </c>
      <c r="C192" s="20" t="s">
        <v>471</v>
      </c>
      <c r="D192" s="150">
        <v>2230000</v>
      </c>
      <c r="E192" s="20" t="s">
        <v>364</v>
      </c>
      <c r="F192" s="20" t="s">
        <v>202</v>
      </c>
      <c r="G192" s="8" t="str">
        <f t="shared" si="2"/>
        <v>SMITH MICHAEL</v>
      </c>
    </row>
    <row r="193" spans="1:7" x14ac:dyDescent="0.25">
      <c r="A193" s="8">
        <v>42790.776412037034</v>
      </c>
      <c r="B193" s="20" t="s">
        <v>229</v>
      </c>
      <c r="C193" s="20" t="s">
        <v>637</v>
      </c>
      <c r="D193" s="150">
        <v>1180000</v>
      </c>
      <c r="E193" s="20" t="s">
        <v>294</v>
      </c>
      <c r="F193" s="20" t="s">
        <v>295</v>
      </c>
      <c r="G193" s="8" t="str">
        <f t="shared" si="2"/>
        <v>LEVERE CRAIG</v>
      </c>
    </row>
    <row r="194" spans="1:7" x14ac:dyDescent="0.25">
      <c r="A194" s="8">
        <v>42790.778078703705</v>
      </c>
      <c r="B194" s="20" t="s">
        <v>248</v>
      </c>
      <c r="C194" s="20" t="s">
        <v>638</v>
      </c>
      <c r="D194" s="150">
        <v>1770000</v>
      </c>
      <c r="E194" s="20" t="s">
        <v>330</v>
      </c>
      <c r="F194" s="20" t="s">
        <v>331</v>
      </c>
      <c r="G194" s="8" t="str">
        <f t="shared" si="2"/>
        <v>BRUDER RICHARD</v>
      </c>
    </row>
    <row r="195" spans="1:7" x14ac:dyDescent="0.25">
      <c r="A195" s="8">
        <v>42790.78533564815</v>
      </c>
      <c r="B195" s="20" t="s">
        <v>233</v>
      </c>
      <c r="C195" s="20" t="s">
        <v>473</v>
      </c>
      <c r="D195" s="150">
        <v>1190000</v>
      </c>
      <c r="E195" s="20" t="s">
        <v>328</v>
      </c>
      <c r="F195" s="20" t="s">
        <v>329</v>
      </c>
      <c r="G195" s="8" t="str">
        <f t="shared" ref="G195:G258" si="3">E195&amp;" "&amp;F195</f>
        <v>BRANNON JEFFREY</v>
      </c>
    </row>
    <row r="196" spans="1:7" x14ac:dyDescent="0.25">
      <c r="A196" s="8">
        <v>42790.790023148147</v>
      </c>
      <c r="B196" s="20" t="s">
        <v>228</v>
      </c>
      <c r="C196" s="20" t="s">
        <v>639</v>
      </c>
      <c r="D196" s="150">
        <v>2540000</v>
      </c>
      <c r="E196" s="20" t="s">
        <v>218</v>
      </c>
      <c r="F196" s="20" t="s">
        <v>219</v>
      </c>
      <c r="G196" s="8" t="str">
        <f t="shared" si="3"/>
        <v>MCREYNOLDS KYLE</v>
      </c>
    </row>
    <row r="197" spans="1:7" x14ac:dyDescent="0.25">
      <c r="A197" s="8">
        <v>42790.791539351849</v>
      </c>
      <c r="B197" s="20" t="s">
        <v>512</v>
      </c>
      <c r="C197" s="20" t="s">
        <v>640</v>
      </c>
      <c r="D197" s="150">
        <v>2000000</v>
      </c>
      <c r="E197" s="20" t="s">
        <v>629</v>
      </c>
      <c r="F197" s="20" t="s">
        <v>199</v>
      </c>
      <c r="G197" s="8" t="str">
        <f t="shared" si="3"/>
        <v>STAMBAUGH JAMES</v>
      </c>
    </row>
    <row r="198" spans="1:7" x14ac:dyDescent="0.25">
      <c r="A198" s="8">
        <v>42790.796944444446</v>
      </c>
      <c r="B198" s="20" t="s">
        <v>237</v>
      </c>
      <c r="C198" s="20" t="s">
        <v>641</v>
      </c>
      <c r="D198" s="150">
        <v>2230000</v>
      </c>
      <c r="E198" s="20" t="s">
        <v>364</v>
      </c>
      <c r="F198" s="20" t="s">
        <v>202</v>
      </c>
      <c r="G198" s="8" t="str">
        <f t="shared" si="3"/>
        <v>SMITH MICHAEL</v>
      </c>
    </row>
    <row r="199" spans="1:7" x14ac:dyDescent="0.25">
      <c r="A199" s="8">
        <v>42790.798483796294</v>
      </c>
      <c r="B199" s="20" t="s">
        <v>463</v>
      </c>
      <c r="C199" s="20" t="s">
        <v>472</v>
      </c>
      <c r="D199" s="150">
        <v>2030000</v>
      </c>
      <c r="E199" s="20" t="s">
        <v>362</v>
      </c>
      <c r="F199" s="20" t="s">
        <v>363</v>
      </c>
      <c r="G199" s="8" t="str">
        <f t="shared" si="3"/>
        <v>KILLION DAVID</v>
      </c>
    </row>
    <row r="200" spans="1:7" x14ac:dyDescent="0.25">
      <c r="A200" s="8">
        <v>42790.800243055557</v>
      </c>
      <c r="B200" s="20" t="s">
        <v>232</v>
      </c>
      <c r="C200" s="20" t="s">
        <v>642</v>
      </c>
      <c r="D200" s="150">
        <v>2610000</v>
      </c>
      <c r="E200" s="20" t="s">
        <v>643</v>
      </c>
      <c r="F200" s="20" t="s">
        <v>644</v>
      </c>
      <c r="G200" s="8" t="str">
        <f t="shared" si="3"/>
        <v>MAGEE KENYA</v>
      </c>
    </row>
    <row r="201" spans="1:7" x14ac:dyDescent="0.25">
      <c r="A201" s="8">
        <v>42790.80127314815</v>
      </c>
      <c r="B201" s="20" t="s">
        <v>232</v>
      </c>
      <c r="C201" s="20" t="s">
        <v>645</v>
      </c>
      <c r="D201" s="150">
        <v>2610000</v>
      </c>
      <c r="E201" s="20" t="s">
        <v>643</v>
      </c>
      <c r="F201" s="20" t="s">
        <v>644</v>
      </c>
      <c r="G201" s="8" t="str">
        <f t="shared" si="3"/>
        <v>MAGEE KENYA</v>
      </c>
    </row>
    <row r="202" spans="1:7" x14ac:dyDescent="0.25">
      <c r="A202" s="26">
        <v>42790.801516203705</v>
      </c>
      <c r="B202" s="20" t="s">
        <v>353</v>
      </c>
      <c r="C202" s="20" t="s">
        <v>474</v>
      </c>
      <c r="D202" s="150">
        <v>2220000</v>
      </c>
      <c r="E202" s="20" t="s">
        <v>212</v>
      </c>
      <c r="F202" s="20" t="s">
        <v>213</v>
      </c>
      <c r="G202" s="8" t="str">
        <f t="shared" si="3"/>
        <v>HILLS DUSTIN</v>
      </c>
    </row>
    <row r="203" spans="1:7" x14ac:dyDescent="0.25">
      <c r="A203" s="8">
        <v>42790.812025462961</v>
      </c>
      <c r="B203" s="20" t="s">
        <v>306</v>
      </c>
      <c r="C203" s="20" t="s">
        <v>646</v>
      </c>
      <c r="D203" s="150">
        <v>2560000</v>
      </c>
      <c r="E203" s="20" t="s">
        <v>647</v>
      </c>
      <c r="F203" s="20" t="s">
        <v>648</v>
      </c>
      <c r="G203" s="8" t="str">
        <f t="shared" si="3"/>
        <v>MACDONALD THOMAS</v>
      </c>
    </row>
    <row r="204" spans="1:7" x14ac:dyDescent="0.25">
      <c r="A204" s="8">
        <v>42790.818449074075</v>
      </c>
      <c r="B204" s="20" t="s">
        <v>249</v>
      </c>
      <c r="C204" s="20" t="s">
        <v>649</v>
      </c>
      <c r="D204" s="150">
        <v>1190000</v>
      </c>
      <c r="E204" s="20" t="s">
        <v>328</v>
      </c>
      <c r="F204" s="20" t="s">
        <v>329</v>
      </c>
      <c r="G204" s="8" t="str">
        <f t="shared" si="3"/>
        <v>BRANNON JEFFREY</v>
      </c>
    </row>
    <row r="205" spans="1:7" x14ac:dyDescent="0.25">
      <c r="A205" s="8">
        <v>42790.819560185184</v>
      </c>
      <c r="B205" s="20" t="s">
        <v>229</v>
      </c>
      <c r="C205" s="20" t="s">
        <v>642</v>
      </c>
      <c r="D205" s="150">
        <v>2610000</v>
      </c>
      <c r="E205" s="20" t="s">
        <v>643</v>
      </c>
      <c r="F205" s="20" t="s">
        <v>644</v>
      </c>
      <c r="G205" s="8" t="str">
        <f t="shared" si="3"/>
        <v>MAGEE KENYA</v>
      </c>
    </row>
    <row r="206" spans="1:7" x14ac:dyDescent="0.25">
      <c r="A206" s="8">
        <v>42790.823437500003</v>
      </c>
      <c r="B206" s="20" t="s">
        <v>210</v>
      </c>
      <c r="C206" s="20" t="s">
        <v>650</v>
      </c>
      <c r="D206" s="150">
        <v>2540000</v>
      </c>
      <c r="E206" s="20" t="s">
        <v>218</v>
      </c>
      <c r="F206" s="20" t="s">
        <v>219</v>
      </c>
      <c r="G206" s="8" t="str">
        <f t="shared" si="3"/>
        <v>MCREYNOLDS KYLE</v>
      </c>
    </row>
    <row r="207" spans="1:7" x14ac:dyDescent="0.25">
      <c r="A207" s="8">
        <v>42790.824826388889</v>
      </c>
      <c r="B207" s="20" t="s">
        <v>210</v>
      </c>
      <c r="C207" s="20" t="s">
        <v>650</v>
      </c>
      <c r="D207" s="150">
        <v>2540000</v>
      </c>
      <c r="E207" s="20" t="s">
        <v>218</v>
      </c>
      <c r="F207" s="20" t="s">
        <v>219</v>
      </c>
      <c r="G207" s="8" t="str">
        <f t="shared" si="3"/>
        <v>MCREYNOLDS KYLE</v>
      </c>
    </row>
    <row r="208" spans="1:7" x14ac:dyDescent="0.25">
      <c r="A208" s="8">
        <v>42790.828981481478</v>
      </c>
      <c r="B208" s="20" t="s">
        <v>441</v>
      </c>
      <c r="C208" s="20" t="s">
        <v>475</v>
      </c>
      <c r="D208" s="150">
        <v>2000000</v>
      </c>
      <c r="E208" s="20" t="s">
        <v>629</v>
      </c>
      <c r="F208" s="20" t="s">
        <v>199</v>
      </c>
      <c r="G208" s="8" t="str">
        <f t="shared" si="3"/>
        <v>STAMBAUGH JAMES</v>
      </c>
    </row>
    <row r="209" spans="1:7" x14ac:dyDescent="0.25">
      <c r="A209" s="8">
        <v>42790.839224537034</v>
      </c>
      <c r="B209" s="20" t="s">
        <v>354</v>
      </c>
      <c r="C209" s="20" t="s">
        <v>476</v>
      </c>
      <c r="D209" s="150">
        <v>2220000</v>
      </c>
      <c r="E209" s="20" t="s">
        <v>212</v>
      </c>
      <c r="F209" s="20" t="s">
        <v>213</v>
      </c>
      <c r="G209" s="8" t="str">
        <f t="shared" si="3"/>
        <v>HILLS DUSTIN</v>
      </c>
    </row>
    <row r="210" spans="1:7" x14ac:dyDescent="0.25">
      <c r="A210" s="8">
        <v>42790.843449074076</v>
      </c>
      <c r="B210" s="20" t="s">
        <v>232</v>
      </c>
      <c r="C210" s="20" t="s">
        <v>651</v>
      </c>
      <c r="D210" s="150">
        <v>2630000</v>
      </c>
      <c r="E210" s="20" t="s">
        <v>631</v>
      </c>
      <c r="F210" s="20" t="s">
        <v>632</v>
      </c>
      <c r="G210" s="8" t="str">
        <f t="shared" si="3"/>
        <v>SAFIEF AEIMEN</v>
      </c>
    </row>
    <row r="211" spans="1:7" x14ac:dyDescent="0.25">
      <c r="A211" s="8">
        <v>42790.847349537034</v>
      </c>
      <c r="B211" s="20" t="s">
        <v>296</v>
      </c>
      <c r="C211" s="20" t="s">
        <v>652</v>
      </c>
      <c r="D211" s="150">
        <v>2670000</v>
      </c>
      <c r="E211" s="20" t="s">
        <v>230</v>
      </c>
      <c r="F211" s="20" t="s">
        <v>231</v>
      </c>
      <c r="G211" s="8" t="str">
        <f t="shared" si="3"/>
        <v>COMELLA JUSTIN</v>
      </c>
    </row>
    <row r="212" spans="1:7" x14ac:dyDescent="0.25">
      <c r="A212" s="8">
        <v>42790.849236111113</v>
      </c>
      <c r="B212" s="20" t="s">
        <v>307</v>
      </c>
      <c r="C212" s="20" t="s">
        <v>477</v>
      </c>
      <c r="D212" s="150">
        <v>2560000</v>
      </c>
      <c r="E212" s="20" t="s">
        <v>647</v>
      </c>
      <c r="F212" s="20" t="s">
        <v>648</v>
      </c>
      <c r="G212" s="8" t="str">
        <f t="shared" si="3"/>
        <v>MACDONALD THOMAS</v>
      </c>
    </row>
    <row r="213" spans="1:7" x14ac:dyDescent="0.25">
      <c r="A213" s="8">
        <v>42790.856724537036</v>
      </c>
      <c r="B213" s="20" t="s">
        <v>297</v>
      </c>
      <c r="C213" s="20" t="s">
        <v>653</v>
      </c>
      <c r="D213" s="150">
        <v>2670000</v>
      </c>
      <c r="E213" s="20" t="s">
        <v>230</v>
      </c>
      <c r="F213" s="20" t="s">
        <v>231</v>
      </c>
      <c r="G213" s="8" t="str">
        <f t="shared" si="3"/>
        <v>COMELLA JUSTIN</v>
      </c>
    </row>
    <row r="214" spans="1:7" x14ac:dyDescent="0.25">
      <c r="A214" s="8">
        <v>42790.860925925925</v>
      </c>
      <c r="B214" s="20" t="s">
        <v>229</v>
      </c>
      <c r="C214" s="20" t="s">
        <v>654</v>
      </c>
      <c r="D214" s="150">
        <v>2630000</v>
      </c>
      <c r="E214" s="20" t="s">
        <v>631</v>
      </c>
      <c r="F214" s="20" t="s">
        <v>632</v>
      </c>
      <c r="G214" s="8" t="str">
        <f t="shared" si="3"/>
        <v>SAFIEF AEIMEN</v>
      </c>
    </row>
    <row r="215" spans="1:7" x14ac:dyDescent="0.25">
      <c r="A215" s="8">
        <v>42790.863009259258</v>
      </c>
      <c r="B215" s="20" t="s">
        <v>228</v>
      </c>
      <c r="C215" s="20" t="s">
        <v>655</v>
      </c>
      <c r="D215" s="150">
        <v>2540000</v>
      </c>
      <c r="E215" s="20" t="s">
        <v>218</v>
      </c>
      <c r="F215" s="20" t="s">
        <v>219</v>
      </c>
      <c r="G215" s="8" t="str">
        <f t="shared" si="3"/>
        <v>MCREYNOLDS KYLE</v>
      </c>
    </row>
    <row r="216" spans="1:7" x14ac:dyDescent="0.25">
      <c r="A216" s="8">
        <v>42790.864050925928</v>
      </c>
      <c r="B216" s="20" t="s">
        <v>296</v>
      </c>
      <c r="C216" s="20" t="s">
        <v>652</v>
      </c>
      <c r="D216" s="150">
        <v>2670000</v>
      </c>
      <c r="E216" s="20" t="s">
        <v>230</v>
      </c>
      <c r="F216" s="20" t="s">
        <v>231</v>
      </c>
      <c r="G216" s="8" t="str">
        <f t="shared" si="3"/>
        <v>COMELLA JUSTIN</v>
      </c>
    </row>
    <row r="217" spans="1:7" x14ac:dyDescent="0.25">
      <c r="A217" s="8">
        <v>42790.870717592596</v>
      </c>
      <c r="B217" s="20" t="s">
        <v>512</v>
      </c>
      <c r="C217" s="20" t="s">
        <v>656</v>
      </c>
      <c r="D217" s="150">
        <v>2000000</v>
      </c>
      <c r="E217" s="20" t="s">
        <v>629</v>
      </c>
      <c r="F217" s="20" t="s">
        <v>199</v>
      </c>
      <c r="G217" s="8" t="str">
        <f t="shared" si="3"/>
        <v>STAMBAUGH JAMES</v>
      </c>
    </row>
    <row r="218" spans="1:7" x14ac:dyDescent="0.25">
      <c r="A218" s="8">
        <v>42790.876481481479</v>
      </c>
      <c r="B218" s="20" t="s">
        <v>232</v>
      </c>
      <c r="C218" s="20" t="s">
        <v>657</v>
      </c>
      <c r="D218" s="150">
        <v>2230000</v>
      </c>
      <c r="E218" s="20" t="s">
        <v>364</v>
      </c>
      <c r="F218" s="20" t="s">
        <v>202</v>
      </c>
      <c r="G218" s="8" t="str">
        <f t="shared" si="3"/>
        <v>SMITH MICHAEL</v>
      </c>
    </row>
    <row r="219" spans="1:7" x14ac:dyDescent="0.25">
      <c r="A219" s="8">
        <v>42790.876643518517</v>
      </c>
      <c r="B219" s="20" t="s">
        <v>297</v>
      </c>
      <c r="C219" s="20" t="s">
        <v>653</v>
      </c>
      <c r="D219" s="150">
        <v>2670000</v>
      </c>
      <c r="E219" s="20" t="s">
        <v>230</v>
      </c>
      <c r="F219" s="20" t="s">
        <v>231</v>
      </c>
      <c r="G219" s="8" t="str">
        <f t="shared" si="3"/>
        <v>COMELLA JUSTIN</v>
      </c>
    </row>
    <row r="220" spans="1:7" x14ac:dyDescent="0.25">
      <c r="A220" s="8">
        <v>42790.883576388886</v>
      </c>
      <c r="B220" s="20" t="s">
        <v>296</v>
      </c>
      <c r="C220" s="20" t="s">
        <v>652</v>
      </c>
      <c r="D220" s="150">
        <v>2670000</v>
      </c>
      <c r="E220" s="20" t="s">
        <v>230</v>
      </c>
      <c r="F220" s="20" t="s">
        <v>231</v>
      </c>
      <c r="G220" s="8" t="str">
        <f t="shared" si="3"/>
        <v>COMELLA JUSTIN</v>
      </c>
    </row>
    <row r="221" spans="1:7" x14ac:dyDescent="0.25">
      <c r="A221" s="8">
        <v>42790.884027777778</v>
      </c>
      <c r="B221" s="20" t="s">
        <v>353</v>
      </c>
      <c r="C221" s="20" t="s">
        <v>658</v>
      </c>
      <c r="D221" s="150">
        <v>2220000</v>
      </c>
      <c r="E221" s="20" t="s">
        <v>212</v>
      </c>
      <c r="F221" s="20" t="s">
        <v>213</v>
      </c>
      <c r="G221" s="8" t="str">
        <f t="shared" si="3"/>
        <v>HILLS DUSTIN</v>
      </c>
    </row>
    <row r="222" spans="1:7" x14ac:dyDescent="0.25">
      <c r="A222" s="8">
        <v>42790.888414351852</v>
      </c>
      <c r="B222" s="20" t="s">
        <v>306</v>
      </c>
      <c r="C222" s="20" t="s">
        <v>659</v>
      </c>
      <c r="D222" s="150">
        <v>1740000</v>
      </c>
      <c r="E222" s="20" t="s">
        <v>223</v>
      </c>
      <c r="F222" s="20" t="s">
        <v>224</v>
      </c>
      <c r="G222" s="8" t="str">
        <f t="shared" si="3"/>
        <v>STORY SAMANTHA</v>
      </c>
    </row>
    <row r="223" spans="1:7" x14ac:dyDescent="0.25">
      <c r="A223" s="8">
        <v>42790.892071759263</v>
      </c>
      <c r="B223" s="20" t="s">
        <v>297</v>
      </c>
      <c r="C223" s="20" t="s">
        <v>653</v>
      </c>
      <c r="D223" s="150">
        <v>2670000</v>
      </c>
      <c r="E223" s="20" t="s">
        <v>230</v>
      </c>
      <c r="F223" s="20" t="s">
        <v>231</v>
      </c>
      <c r="G223" s="8" t="str">
        <f t="shared" si="3"/>
        <v>COMELLA JUSTIN</v>
      </c>
    </row>
    <row r="224" spans="1:7" x14ac:dyDescent="0.25">
      <c r="A224" s="8">
        <v>42790.8984837963</v>
      </c>
      <c r="B224" t="s">
        <v>296</v>
      </c>
      <c r="C224" t="s">
        <v>652</v>
      </c>
      <c r="G224" s="8" t="str">
        <f t="shared" si="3"/>
        <v xml:space="preserve"> </v>
      </c>
    </row>
    <row r="225" spans="1:7" x14ac:dyDescent="0.25">
      <c r="A225" s="8">
        <v>42790.901273148149</v>
      </c>
      <c r="B225" t="s">
        <v>229</v>
      </c>
      <c r="C225" t="s">
        <v>857</v>
      </c>
      <c r="D225" s="150">
        <v>2230000</v>
      </c>
      <c r="E225" t="s">
        <v>364</v>
      </c>
      <c r="F225" s="20" t="s">
        <v>202</v>
      </c>
      <c r="G225" s="8" t="str">
        <f t="shared" si="3"/>
        <v>SMITH MICHAEL</v>
      </c>
    </row>
    <row r="226" spans="1:7" x14ac:dyDescent="0.25">
      <c r="A226" s="8">
        <v>42790.906793981485</v>
      </c>
      <c r="B226" t="s">
        <v>297</v>
      </c>
      <c r="C226" t="s">
        <v>653</v>
      </c>
      <c r="D226" s="150">
        <v>2670000</v>
      </c>
      <c r="E226" t="s">
        <v>230</v>
      </c>
      <c r="F226" s="20" t="s">
        <v>231</v>
      </c>
      <c r="G226" s="8" t="str">
        <f t="shared" si="3"/>
        <v>COMELLA JUSTIN</v>
      </c>
    </row>
    <row r="227" spans="1:7" x14ac:dyDescent="0.25">
      <c r="A227" s="8">
        <v>42790.907233796293</v>
      </c>
      <c r="B227" t="s">
        <v>441</v>
      </c>
      <c r="C227" t="s">
        <v>478</v>
      </c>
      <c r="D227" s="150">
        <v>2000000</v>
      </c>
      <c r="E227" t="s">
        <v>629</v>
      </c>
      <c r="F227" s="20" t="s">
        <v>199</v>
      </c>
      <c r="G227" s="8" t="str">
        <f t="shared" si="3"/>
        <v>STAMBAUGH JAMES</v>
      </c>
    </row>
    <row r="228" spans="1:7" x14ac:dyDescent="0.25">
      <c r="A228" s="8">
        <v>42790.908333333333</v>
      </c>
      <c r="B228" t="s">
        <v>210</v>
      </c>
      <c r="C228" t="s">
        <v>725</v>
      </c>
      <c r="D228" s="150">
        <v>2540000</v>
      </c>
      <c r="E228" t="s">
        <v>218</v>
      </c>
      <c r="F228" s="20" t="s">
        <v>219</v>
      </c>
      <c r="G228" s="8" t="str">
        <f t="shared" si="3"/>
        <v>MCREYNOLDS KYLE</v>
      </c>
    </row>
    <row r="229" spans="1:7" x14ac:dyDescent="0.25">
      <c r="A229" s="8">
        <v>42790.915868055556</v>
      </c>
      <c r="B229" t="s">
        <v>232</v>
      </c>
      <c r="C229" t="s">
        <v>860</v>
      </c>
      <c r="D229" s="150">
        <v>2230000</v>
      </c>
      <c r="E229" t="s">
        <v>364</v>
      </c>
      <c r="F229" s="20" t="s">
        <v>202</v>
      </c>
      <c r="G229" s="8" t="str">
        <f t="shared" si="3"/>
        <v>SMITH MICHAEL</v>
      </c>
    </row>
    <row r="230" spans="1:7" x14ac:dyDescent="0.25">
      <c r="A230" s="8">
        <v>42790.918819444443</v>
      </c>
      <c r="B230" t="s">
        <v>296</v>
      </c>
      <c r="C230" t="s">
        <v>652</v>
      </c>
      <c r="G230" s="8" t="str">
        <f t="shared" si="3"/>
        <v xml:space="preserve"> </v>
      </c>
    </row>
    <row r="231" spans="1:7" x14ac:dyDescent="0.25">
      <c r="A231" s="8">
        <v>42790.922384259262</v>
      </c>
      <c r="B231" t="s">
        <v>354</v>
      </c>
      <c r="C231" t="s">
        <v>731</v>
      </c>
      <c r="D231" s="150">
        <v>2220000</v>
      </c>
      <c r="E231" t="s">
        <v>212</v>
      </c>
      <c r="F231" s="20" t="s">
        <v>213</v>
      </c>
      <c r="G231" s="8" t="str">
        <f t="shared" si="3"/>
        <v>HILLS DUSTIN</v>
      </c>
    </row>
    <row r="232" spans="1:7" x14ac:dyDescent="0.25">
      <c r="A232" s="8">
        <v>42790.928854166668</v>
      </c>
      <c r="B232" t="s">
        <v>297</v>
      </c>
      <c r="C232" t="s">
        <v>653</v>
      </c>
      <c r="D232" s="150">
        <v>2670000</v>
      </c>
      <c r="E232" t="s">
        <v>230</v>
      </c>
      <c r="F232" s="20" t="s">
        <v>231</v>
      </c>
      <c r="G232" s="8" t="str">
        <f t="shared" si="3"/>
        <v>COMELLA JUSTIN</v>
      </c>
    </row>
    <row r="233" spans="1:7" x14ac:dyDescent="0.25">
      <c r="A233" s="8">
        <v>42790.930636574078</v>
      </c>
      <c r="B233" t="s">
        <v>307</v>
      </c>
      <c r="C233" t="s">
        <v>728</v>
      </c>
      <c r="D233" s="150">
        <v>1740000</v>
      </c>
      <c r="E233" t="s">
        <v>223</v>
      </c>
      <c r="F233" s="20" t="s">
        <v>224</v>
      </c>
      <c r="G233" s="8" t="str">
        <f t="shared" si="3"/>
        <v>STORY SAMANTHA</v>
      </c>
    </row>
    <row r="234" spans="1:7" x14ac:dyDescent="0.25">
      <c r="A234" s="8">
        <v>42790.938391203701</v>
      </c>
      <c r="B234" t="s">
        <v>296</v>
      </c>
      <c r="C234" t="s">
        <v>652</v>
      </c>
      <c r="G234" s="8" t="str">
        <f t="shared" si="3"/>
        <v xml:space="preserve"> </v>
      </c>
    </row>
    <row r="235" spans="1:7" x14ac:dyDescent="0.25">
      <c r="A235" s="8">
        <v>42790.944560185184</v>
      </c>
      <c r="B235" t="s">
        <v>229</v>
      </c>
      <c r="C235" t="s">
        <v>868</v>
      </c>
      <c r="D235" s="150">
        <v>2230000</v>
      </c>
      <c r="E235" t="s">
        <v>364</v>
      </c>
      <c r="F235" s="20" t="s">
        <v>202</v>
      </c>
      <c r="G235" s="8" t="str">
        <f t="shared" si="3"/>
        <v>SMITH MICHAEL</v>
      </c>
    </row>
    <row r="236" spans="1:7" x14ac:dyDescent="0.25">
      <c r="A236" s="8">
        <v>42790.945497685185</v>
      </c>
      <c r="B236" t="s">
        <v>512</v>
      </c>
      <c r="C236" t="s">
        <v>730</v>
      </c>
      <c r="D236" s="150">
        <v>2000000</v>
      </c>
      <c r="E236" t="s">
        <v>629</v>
      </c>
      <c r="F236" s="20" t="s">
        <v>199</v>
      </c>
      <c r="G236" s="8" t="str">
        <f t="shared" si="3"/>
        <v>STAMBAUGH JAMES</v>
      </c>
    </row>
    <row r="237" spans="1:7" x14ac:dyDescent="0.25">
      <c r="A237" s="8">
        <v>42790.946643518517</v>
      </c>
      <c r="B237" t="s">
        <v>297</v>
      </c>
      <c r="C237" t="s">
        <v>653</v>
      </c>
      <c r="D237" s="150">
        <v>2670000</v>
      </c>
      <c r="E237" t="s">
        <v>230</v>
      </c>
      <c r="F237" s="20" t="s">
        <v>231</v>
      </c>
      <c r="G237" s="8" t="str">
        <f t="shared" si="3"/>
        <v>COMELLA JUSTIN</v>
      </c>
    </row>
    <row r="238" spans="1:7" x14ac:dyDescent="0.25">
      <c r="A238" s="8">
        <v>42790.954965277779</v>
      </c>
      <c r="B238" t="s">
        <v>296</v>
      </c>
      <c r="C238" t="s">
        <v>652</v>
      </c>
      <c r="G238" s="8" t="str">
        <f t="shared" si="3"/>
        <v xml:space="preserve"> </v>
      </c>
    </row>
    <row r="239" spans="1:7" x14ac:dyDescent="0.25">
      <c r="A239" s="8">
        <v>42790.968680555554</v>
      </c>
      <c r="B239" t="s">
        <v>306</v>
      </c>
      <c r="C239" t="s">
        <v>736</v>
      </c>
      <c r="D239" s="150">
        <v>1740000</v>
      </c>
      <c r="E239" t="s">
        <v>223</v>
      </c>
      <c r="F239" s="20" t="s">
        <v>224</v>
      </c>
      <c r="G239" s="8" t="str">
        <f t="shared" si="3"/>
        <v>STORY SAMANTHA</v>
      </c>
    </row>
    <row r="240" spans="1:7" x14ac:dyDescent="0.25">
      <c r="A240" s="8">
        <v>42790.968784722223</v>
      </c>
      <c r="B240" t="s">
        <v>353</v>
      </c>
      <c r="C240" t="s">
        <v>479</v>
      </c>
      <c r="D240" s="150">
        <v>2220000</v>
      </c>
      <c r="E240" t="s">
        <v>212</v>
      </c>
      <c r="F240" s="20" t="s">
        <v>213</v>
      </c>
      <c r="G240" s="8" t="str">
        <f t="shared" si="3"/>
        <v>HILLS DUSTIN</v>
      </c>
    </row>
    <row r="241" spans="1:7" x14ac:dyDescent="0.25">
      <c r="A241" s="8">
        <v>42790.976493055554</v>
      </c>
      <c r="B241" t="s">
        <v>306</v>
      </c>
      <c r="C241" t="s">
        <v>736</v>
      </c>
      <c r="D241" s="150">
        <v>1740000</v>
      </c>
      <c r="E241" t="s">
        <v>223</v>
      </c>
      <c r="F241" s="20" t="s">
        <v>224</v>
      </c>
      <c r="G241" s="8" t="str">
        <f t="shared" si="3"/>
        <v>STORY SAMANTHA</v>
      </c>
    </row>
    <row r="242" spans="1:7" x14ac:dyDescent="0.25">
      <c r="A242" s="8">
        <v>42790.986527777779</v>
      </c>
      <c r="B242" t="s">
        <v>441</v>
      </c>
      <c r="C242" t="s">
        <v>737</v>
      </c>
      <c r="D242" s="150">
        <v>2000000</v>
      </c>
      <c r="E242" t="s">
        <v>629</v>
      </c>
      <c r="F242" s="20" t="s">
        <v>199</v>
      </c>
      <c r="G242" s="8" t="str">
        <f t="shared" si="3"/>
        <v>STAMBAUGH JAMES</v>
      </c>
    </row>
    <row r="243" spans="1:7" x14ac:dyDescent="0.25">
      <c r="A243" s="8">
        <v>42790.99795138889</v>
      </c>
      <c r="B243" t="s">
        <v>297</v>
      </c>
      <c r="C243" t="s">
        <v>653</v>
      </c>
      <c r="D243" s="150">
        <v>2670000</v>
      </c>
      <c r="E243" t="s">
        <v>230</v>
      </c>
      <c r="F243" s="20" t="s">
        <v>231</v>
      </c>
      <c r="G243" s="8" t="str">
        <f t="shared" si="3"/>
        <v>COMELLA JUSTIN</v>
      </c>
    </row>
    <row r="244" spans="1:7" x14ac:dyDescent="0.25">
      <c r="A244" s="8">
        <v>42790.99962962963</v>
      </c>
      <c r="B244" t="s">
        <v>210</v>
      </c>
      <c r="C244" t="s">
        <v>734</v>
      </c>
      <c r="D244" s="150">
        <v>2630000</v>
      </c>
      <c r="E244" t="s">
        <v>631</v>
      </c>
      <c r="F244" s="20" t="s">
        <v>632</v>
      </c>
      <c r="G244" s="8" t="str">
        <f t="shared" si="3"/>
        <v>SAFIEF AEIMEN</v>
      </c>
    </row>
    <row r="245" spans="1:7" x14ac:dyDescent="0.25">
      <c r="A245" s="8">
        <v>42791.004525462966</v>
      </c>
      <c r="B245" t="s">
        <v>296</v>
      </c>
      <c r="C245" t="s">
        <v>652</v>
      </c>
      <c r="G245" s="8" t="str">
        <f t="shared" si="3"/>
        <v xml:space="preserve"> </v>
      </c>
    </row>
    <row r="246" spans="1:7" x14ac:dyDescent="0.25">
      <c r="A246" s="8">
        <v>42791.008425925924</v>
      </c>
      <c r="B246" t="s">
        <v>354</v>
      </c>
      <c r="C246" t="s">
        <v>480</v>
      </c>
      <c r="D246" s="150">
        <v>2220000</v>
      </c>
      <c r="E246" t="s">
        <v>212</v>
      </c>
      <c r="F246" s="20" t="s">
        <v>213</v>
      </c>
      <c r="G246" s="8" t="str">
        <f t="shared" si="3"/>
        <v>HILLS DUSTIN</v>
      </c>
    </row>
    <row r="247" spans="1:7" x14ac:dyDescent="0.25">
      <c r="A247" s="8">
        <v>42791.010115740741</v>
      </c>
      <c r="B247" t="s">
        <v>307</v>
      </c>
      <c r="C247" t="s">
        <v>481</v>
      </c>
      <c r="D247" s="150">
        <v>1740000</v>
      </c>
      <c r="E247" t="s">
        <v>223</v>
      </c>
      <c r="F247" s="20" t="s">
        <v>224</v>
      </c>
      <c r="G247" s="8" t="str">
        <f t="shared" si="3"/>
        <v>STORY SAMANTHA</v>
      </c>
    </row>
    <row r="248" spans="1:7" x14ac:dyDescent="0.25">
      <c r="A248" s="8">
        <v>42791.012256944443</v>
      </c>
      <c r="B248" t="s">
        <v>297</v>
      </c>
      <c r="C248" t="s">
        <v>653</v>
      </c>
      <c r="D248" s="150">
        <v>2670000</v>
      </c>
      <c r="E248" t="s">
        <v>230</v>
      </c>
      <c r="F248" s="20" t="s">
        <v>231</v>
      </c>
      <c r="G248" s="8" t="str">
        <f t="shared" si="3"/>
        <v>COMELLA JUSTIN</v>
      </c>
    </row>
    <row r="249" spans="1:7" x14ac:dyDescent="0.25">
      <c r="A249" s="8">
        <v>42791.023287037038</v>
      </c>
      <c r="B249" t="s">
        <v>296</v>
      </c>
      <c r="C249" t="s">
        <v>652</v>
      </c>
      <c r="G249" s="8" t="str">
        <f t="shared" si="3"/>
        <v xml:space="preserve"> </v>
      </c>
    </row>
    <row r="250" spans="1:7" x14ac:dyDescent="0.25">
      <c r="A250" s="8">
        <v>42791.027546296296</v>
      </c>
      <c r="B250" t="s">
        <v>512</v>
      </c>
      <c r="C250" t="s">
        <v>738</v>
      </c>
      <c r="D250" s="150">
        <v>2000000</v>
      </c>
      <c r="E250" t="s">
        <v>629</v>
      </c>
      <c r="F250" s="20" t="s">
        <v>199</v>
      </c>
      <c r="G250" s="8" t="str">
        <f t="shared" si="3"/>
        <v>STAMBAUGH JAMES</v>
      </c>
    </row>
    <row r="251" spans="1:7" x14ac:dyDescent="0.25">
      <c r="A251" s="8">
        <v>42791.032175925924</v>
      </c>
      <c r="B251" t="s">
        <v>297</v>
      </c>
      <c r="C251" t="s">
        <v>653</v>
      </c>
      <c r="D251" s="150">
        <v>2670000</v>
      </c>
      <c r="E251" t="s">
        <v>230</v>
      </c>
      <c r="F251" s="20" t="s">
        <v>231</v>
      </c>
      <c r="G251" s="8" t="str">
        <f t="shared" si="3"/>
        <v>COMELLA JUSTIN</v>
      </c>
    </row>
    <row r="252" spans="1:7" x14ac:dyDescent="0.25">
      <c r="A252" s="8">
        <v>42791.037361111114</v>
      </c>
      <c r="B252" t="s">
        <v>228</v>
      </c>
      <c r="C252" t="s">
        <v>482</v>
      </c>
      <c r="D252" s="150">
        <v>2270000</v>
      </c>
      <c r="E252" t="s">
        <v>226</v>
      </c>
      <c r="F252" s="20" t="s">
        <v>227</v>
      </c>
      <c r="G252" s="8" t="str">
        <f t="shared" si="3"/>
        <v>BROWN JACOB</v>
      </c>
    </row>
    <row r="253" spans="1:7" x14ac:dyDescent="0.25">
      <c r="A253" s="8">
        <v>42791.038668981484</v>
      </c>
      <c r="B253" t="s">
        <v>296</v>
      </c>
      <c r="C253" t="s">
        <v>652</v>
      </c>
      <c r="G253" s="8" t="str">
        <f t="shared" si="3"/>
        <v xml:space="preserve"> </v>
      </c>
    </row>
    <row r="254" spans="1:7" x14ac:dyDescent="0.25">
      <c r="A254" s="8">
        <v>42791.046805555554</v>
      </c>
      <c r="B254" t="s">
        <v>297</v>
      </c>
      <c r="C254" t="s">
        <v>653</v>
      </c>
      <c r="D254" s="150">
        <v>2670000</v>
      </c>
      <c r="E254" t="s">
        <v>230</v>
      </c>
      <c r="F254" s="20" t="s">
        <v>231</v>
      </c>
      <c r="G254" s="8" t="str">
        <f t="shared" si="3"/>
        <v>COMELLA JUSTIN</v>
      </c>
    </row>
    <row r="255" spans="1:7" x14ac:dyDescent="0.25">
      <c r="A255" s="8">
        <v>42791.047905092593</v>
      </c>
      <c r="B255" t="s">
        <v>297</v>
      </c>
      <c r="C255" t="s">
        <v>653</v>
      </c>
      <c r="D255" s="150">
        <v>2670000</v>
      </c>
      <c r="E255" t="s">
        <v>230</v>
      </c>
      <c r="F255" s="20" t="s">
        <v>231</v>
      </c>
      <c r="G255" s="8" t="str">
        <f t="shared" si="3"/>
        <v>COMELLA JUSTIN</v>
      </c>
    </row>
    <row r="256" spans="1:7" x14ac:dyDescent="0.25">
      <c r="A256" s="8">
        <v>42791.048634259256</v>
      </c>
      <c r="B256" t="s">
        <v>306</v>
      </c>
      <c r="C256" t="s">
        <v>754</v>
      </c>
      <c r="D256" s="150">
        <v>1740000</v>
      </c>
      <c r="E256" t="s">
        <v>223</v>
      </c>
      <c r="F256" s="20" t="s">
        <v>224</v>
      </c>
      <c r="G256" s="8" t="str">
        <f t="shared" si="3"/>
        <v>STORY SAMANTHA</v>
      </c>
    </row>
    <row r="257" spans="1:7" x14ac:dyDescent="0.25">
      <c r="A257" s="8">
        <v>42791.050243055557</v>
      </c>
      <c r="B257" t="s">
        <v>353</v>
      </c>
      <c r="C257" t="s">
        <v>741</v>
      </c>
      <c r="D257" s="150">
        <v>2220000</v>
      </c>
      <c r="E257" t="s">
        <v>212</v>
      </c>
      <c r="F257" s="20" t="s">
        <v>213</v>
      </c>
      <c r="G257" s="8" t="str">
        <f t="shared" si="3"/>
        <v>HILLS DUSTIN</v>
      </c>
    </row>
    <row r="258" spans="1:7" x14ac:dyDescent="0.25">
      <c r="A258" s="8">
        <v>42791.054027777776</v>
      </c>
      <c r="B258" t="s">
        <v>296</v>
      </c>
      <c r="C258" t="s">
        <v>652</v>
      </c>
      <c r="G258" s="8" t="str">
        <f t="shared" si="3"/>
        <v xml:space="preserve"> </v>
      </c>
    </row>
    <row r="259" spans="1:7" x14ac:dyDescent="0.25">
      <c r="A259" s="8">
        <v>42791.061851851853</v>
      </c>
      <c r="B259" t="s">
        <v>297</v>
      </c>
      <c r="C259" t="s">
        <v>653</v>
      </c>
      <c r="D259" s="150">
        <v>2670000</v>
      </c>
      <c r="E259" t="s">
        <v>230</v>
      </c>
      <c r="F259" s="20" t="s">
        <v>231</v>
      </c>
      <c r="G259" s="8" t="str">
        <f t="shared" ref="G259:G322" si="4">E259&amp;" "&amp;F259</f>
        <v>COMELLA JUSTIN</v>
      </c>
    </row>
    <row r="260" spans="1:7" x14ac:dyDescent="0.25">
      <c r="A260" s="8">
        <v>42791.068483796298</v>
      </c>
      <c r="B260" t="s">
        <v>296</v>
      </c>
      <c r="C260" t="s">
        <v>652</v>
      </c>
      <c r="G260" s="8" t="str">
        <f t="shared" si="4"/>
        <v xml:space="preserve"> </v>
      </c>
    </row>
    <row r="261" spans="1:7" x14ac:dyDescent="0.25">
      <c r="A261" s="8">
        <v>42791.069768518515</v>
      </c>
      <c r="B261" t="s">
        <v>441</v>
      </c>
      <c r="C261" t="s">
        <v>756</v>
      </c>
      <c r="D261" s="150">
        <v>2000000</v>
      </c>
      <c r="E261" t="s">
        <v>629</v>
      </c>
      <c r="F261" s="20" t="s">
        <v>199</v>
      </c>
      <c r="G261" s="8" t="str">
        <f t="shared" si="4"/>
        <v>STAMBAUGH JAMES</v>
      </c>
    </row>
    <row r="262" spans="1:7" x14ac:dyDescent="0.25">
      <c r="A262" s="8">
        <v>42791.0778125</v>
      </c>
      <c r="B262" t="s">
        <v>210</v>
      </c>
      <c r="C262" t="s">
        <v>746</v>
      </c>
      <c r="D262" s="150">
        <v>2270000</v>
      </c>
      <c r="E262" t="s">
        <v>226</v>
      </c>
      <c r="F262" s="20" t="s">
        <v>227</v>
      </c>
      <c r="G262" s="8" t="str">
        <f t="shared" si="4"/>
        <v>BROWN JACOB</v>
      </c>
    </row>
    <row r="263" spans="1:7" x14ac:dyDescent="0.25">
      <c r="A263" s="8">
        <v>42791.081388888888</v>
      </c>
      <c r="B263" t="s">
        <v>297</v>
      </c>
      <c r="C263" t="s">
        <v>653</v>
      </c>
      <c r="D263" s="150">
        <v>2670000</v>
      </c>
      <c r="E263" t="s">
        <v>230</v>
      </c>
      <c r="F263" s="20" t="s">
        <v>231</v>
      </c>
      <c r="G263" s="8" t="str">
        <f t="shared" si="4"/>
        <v>COMELLA JUSTIN</v>
      </c>
    </row>
    <row r="264" spans="1:7" x14ac:dyDescent="0.25">
      <c r="A264" s="8">
        <v>42791.089328703703</v>
      </c>
      <c r="B264" t="s">
        <v>354</v>
      </c>
      <c r="C264" t="s">
        <v>758</v>
      </c>
      <c r="D264" s="150">
        <v>2220000</v>
      </c>
      <c r="E264" t="s">
        <v>212</v>
      </c>
      <c r="F264" s="20" t="s">
        <v>213</v>
      </c>
      <c r="G264" s="8" t="str">
        <f t="shared" si="4"/>
        <v>HILLS DUSTIN</v>
      </c>
    </row>
    <row r="265" spans="1:7" x14ac:dyDescent="0.25">
      <c r="A265" s="8">
        <v>42791.090694444443</v>
      </c>
      <c r="B265" t="s">
        <v>296</v>
      </c>
      <c r="C265" t="s">
        <v>652</v>
      </c>
      <c r="G265" s="8" t="str">
        <f t="shared" si="4"/>
        <v xml:space="preserve"> </v>
      </c>
    </row>
    <row r="266" spans="1:7" x14ac:dyDescent="0.25">
      <c r="A266" s="8">
        <v>42791.102395833332</v>
      </c>
      <c r="B266" t="s">
        <v>297</v>
      </c>
      <c r="C266" t="s">
        <v>653</v>
      </c>
      <c r="D266" s="150">
        <v>2670000</v>
      </c>
      <c r="E266" t="s">
        <v>230</v>
      </c>
      <c r="F266" s="20" t="s">
        <v>231</v>
      </c>
      <c r="G266" s="8" t="str">
        <f t="shared" si="4"/>
        <v>COMELLA JUSTIN</v>
      </c>
    </row>
    <row r="267" spans="1:7" x14ac:dyDescent="0.25">
      <c r="A267" s="8">
        <v>42791.112314814818</v>
      </c>
      <c r="B267" t="s">
        <v>228</v>
      </c>
      <c r="C267" t="s">
        <v>759</v>
      </c>
      <c r="D267" s="150">
        <v>2270000</v>
      </c>
      <c r="E267" t="s">
        <v>226</v>
      </c>
      <c r="F267" s="20" t="s">
        <v>227</v>
      </c>
      <c r="G267" s="8" t="str">
        <f t="shared" si="4"/>
        <v>BROWN JACOB</v>
      </c>
    </row>
    <row r="268" spans="1:7" x14ac:dyDescent="0.25">
      <c r="G268" s="8" t="str">
        <f t="shared" si="4"/>
        <v xml:space="preserve"> </v>
      </c>
    </row>
    <row r="269" spans="1:7" x14ac:dyDescent="0.25">
      <c r="A269" s="8">
        <v>42790.077002314814</v>
      </c>
      <c r="B269" t="s">
        <v>296</v>
      </c>
      <c r="C269" t="s">
        <v>367</v>
      </c>
      <c r="D269" s="150">
        <v>2670000</v>
      </c>
      <c r="E269" t="s">
        <v>230</v>
      </c>
      <c r="F269" s="20" t="s">
        <v>231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297</v>
      </c>
      <c r="C270" t="s">
        <v>370</v>
      </c>
      <c r="D270" s="150">
        <v>2730000</v>
      </c>
      <c r="E270" t="s">
        <v>278</v>
      </c>
      <c r="F270" s="20" t="s">
        <v>279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192</v>
      </c>
      <c r="C271" t="s">
        <v>375</v>
      </c>
      <c r="D271" s="150">
        <v>2220000</v>
      </c>
      <c r="E271" t="s">
        <v>212</v>
      </c>
      <c r="F271" s="20" t="s">
        <v>213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296</v>
      </c>
      <c r="C272" t="s">
        <v>367</v>
      </c>
      <c r="D272" s="150">
        <v>2670000</v>
      </c>
      <c r="E272" t="s">
        <v>230</v>
      </c>
      <c r="F272" s="20" t="s">
        <v>231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297</v>
      </c>
      <c r="C273" t="s">
        <v>370</v>
      </c>
      <c r="D273" s="150">
        <v>2730000</v>
      </c>
      <c r="E273" t="s">
        <v>278</v>
      </c>
      <c r="F273" s="20" t="s">
        <v>279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376</v>
      </c>
      <c r="I1" s="190" t="s">
        <v>168</v>
      </c>
      <c r="J1" s="190" t="s">
        <v>169</v>
      </c>
      <c r="K1" s="190" t="s">
        <v>332</v>
      </c>
      <c r="L1" s="190" t="s">
        <v>163</v>
      </c>
      <c r="M1" s="190" t="s">
        <v>161</v>
      </c>
      <c r="N1" s="190" t="s">
        <v>156</v>
      </c>
      <c r="O1" s="190" t="s">
        <v>166</v>
      </c>
      <c r="P1" s="190" t="s">
        <v>160</v>
      </c>
      <c r="Q1" s="190" t="s">
        <v>167</v>
      </c>
      <c r="R1" s="190" t="s">
        <v>164</v>
      </c>
    </row>
    <row r="2" spans="1:18" x14ac:dyDescent="0.25">
      <c r="A2" s="168">
        <v>13.69</v>
      </c>
      <c r="B2" s="168">
        <v>0.88</v>
      </c>
      <c r="C2" s="168">
        <v>14.88</v>
      </c>
      <c r="D2" s="8">
        <v>42790</v>
      </c>
      <c r="E2" s="168">
        <v>0.83</v>
      </c>
      <c r="F2" s="168" t="s">
        <v>380</v>
      </c>
      <c r="G2" s="168">
        <v>345.16</v>
      </c>
      <c r="H2" s="168">
        <v>3.7999999999999999E-2</v>
      </c>
      <c r="I2" s="168">
        <v>2.3E-3</v>
      </c>
      <c r="J2" s="168">
        <v>0.06</v>
      </c>
      <c r="K2" s="168" t="s">
        <v>380</v>
      </c>
      <c r="L2" s="168">
        <v>1018.52</v>
      </c>
      <c r="M2" s="168" t="s">
        <v>382</v>
      </c>
      <c r="N2" s="168">
        <v>19.18</v>
      </c>
      <c r="O2" s="168">
        <v>1487919600</v>
      </c>
      <c r="P2" s="168">
        <v>5.36</v>
      </c>
      <c r="Q2" s="168">
        <v>353</v>
      </c>
      <c r="R2" s="168">
        <v>3.7</v>
      </c>
    </row>
    <row r="3" spans="1:18" x14ac:dyDescent="0.25">
      <c r="A3" s="168">
        <v>14.61</v>
      </c>
      <c r="B3" s="168">
        <v>0.78</v>
      </c>
      <c r="C3" s="168">
        <v>15.24</v>
      </c>
      <c r="D3" s="8">
        <v>42790.041666666664</v>
      </c>
      <c r="E3" s="168">
        <v>0.85</v>
      </c>
      <c r="F3" s="168" t="s">
        <v>380</v>
      </c>
      <c r="G3" s="168">
        <v>347.31</v>
      </c>
      <c r="H3" s="168">
        <v>2.3E-2</v>
      </c>
      <c r="I3" s="168">
        <v>1.4E-3</v>
      </c>
      <c r="J3" s="168">
        <v>0.03</v>
      </c>
      <c r="K3" s="168" t="s">
        <v>380</v>
      </c>
      <c r="L3" s="168">
        <v>1018.47</v>
      </c>
      <c r="M3" s="168" t="s">
        <v>381</v>
      </c>
      <c r="N3" s="168">
        <v>19.07</v>
      </c>
      <c r="O3" s="168">
        <v>1487923200</v>
      </c>
      <c r="P3" s="168">
        <v>5.41</v>
      </c>
      <c r="Q3" s="168">
        <v>352</v>
      </c>
      <c r="R3" s="168">
        <v>3.05</v>
      </c>
    </row>
    <row r="4" spans="1:18" x14ac:dyDescent="0.25">
      <c r="A4" s="168">
        <v>18.37</v>
      </c>
      <c r="B4" s="168">
        <v>0.72</v>
      </c>
      <c r="C4" s="168">
        <v>15.07</v>
      </c>
      <c r="D4" s="8">
        <v>42790.083333333336</v>
      </c>
      <c r="E4" s="168">
        <v>0.87</v>
      </c>
      <c r="F4" s="168" t="s">
        <v>234</v>
      </c>
      <c r="G4" s="168">
        <v>349.47</v>
      </c>
      <c r="H4" s="168"/>
      <c r="I4" s="168">
        <v>0</v>
      </c>
      <c r="J4" s="168">
        <v>0</v>
      </c>
      <c r="K4" s="168"/>
      <c r="L4" s="168">
        <v>1018.31</v>
      </c>
      <c r="M4" s="168" t="s">
        <v>379</v>
      </c>
      <c r="N4" s="168">
        <v>18.37</v>
      </c>
      <c r="O4" s="168">
        <v>1487926800</v>
      </c>
      <c r="P4" s="168">
        <v>4.87</v>
      </c>
      <c r="Q4" s="168">
        <v>333</v>
      </c>
      <c r="R4" s="168">
        <v>2.09</v>
      </c>
    </row>
    <row r="5" spans="1:18" x14ac:dyDescent="0.25">
      <c r="A5" s="168">
        <v>18.27</v>
      </c>
      <c r="B5" s="168">
        <v>0.72</v>
      </c>
      <c r="C5" s="168">
        <v>15.09</v>
      </c>
      <c r="D5" s="8">
        <v>42790.125</v>
      </c>
      <c r="E5" s="168">
        <v>0.87</v>
      </c>
      <c r="F5" s="168" t="s">
        <v>234</v>
      </c>
      <c r="G5" s="168">
        <v>349.79</v>
      </c>
      <c r="H5" s="168"/>
      <c r="I5" s="168">
        <v>0</v>
      </c>
      <c r="J5" s="168">
        <v>0</v>
      </c>
      <c r="K5" s="168"/>
      <c r="L5" s="168">
        <v>1018.7</v>
      </c>
      <c r="M5" s="168" t="s">
        <v>379</v>
      </c>
      <c r="N5" s="168">
        <v>18.27</v>
      </c>
      <c r="O5" s="168">
        <v>1487930400</v>
      </c>
      <c r="P5" s="168">
        <v>4.2300000000000004</v>
      </c>
      <c r="Q5" s="168">
        <v>331</v>
      </c>
      <c r="R5" s="168">
        <v>2.5</v>
      </c>
    </row>
    <row r="6" spans="1:18" x14ac:dyDescent="0.25">
      <c r="A6" s="168">
        <v>13.39</v>
      </c>
      <c r="B6" s="168">
        <v>0.73</v>
      </c>
      <c r="C6" s="168">
        <v>14.53</v>
      </c>
      <c r="D6" s="8">
        <v>42790.166666666664</v>
      </c>
      <c r="E6" s="168">
        <v>0.86</v>
      </c>
      <c r="F6" s="168" t="s">
        <v>377</v>
      </c>
      <c r="G6" s="168">
        <v>349.34</v>
      </c>
      <c r="H6" s="168">
        <v>1.2999999999999999E-2</v>
      </c>
      <c r="I6" s="168">
        <v>8.0000000000000004E-4</v>
      </c>
      <c r="J6" s="168">
        <v>0.01</v>
      </c>
      <c r="K6" s="168" t="s">
        <v>380</v>
      </c>
      <c r="L6" s="168">
        <v>1019.27</v>
      </c>
      <c r="M6" s="168" t="s">
        <v>378</v>
      </c>
      <c r="N6" s="168">
        <v>17.989999999999998</v>
      </c>
      <c r="O6" s="168">
        <v>1487934000</v>
      </c>
      <c r="P6" s="168">
        <v>1.7</v>
      </c>
      <c r="Q6" s="168">
        <v>340</v>
      </c>
      <c r="R6" s="168">
        <v>3.05</v>
      </c>
    </row>
    <row r="7" spans="1:18" x14ac:dyDescent="0.25">
      <c r="A7" s="168">
        <v>18.53</v>
      </c>
      <c r="B7" s="168">
        <v>0.73</v>
      </c>
      <c r="C7" s="168">
        <v>15.17</v>
      </c>
      <c r="D7" s="8">
        <v>42790.208333333336</v>
      </c>
      <c r="E7" s="168">
        <v>0.86</v>
      </c>
      <c r="F7" s="168" t="s">
        <v>380</v>
      </c>
      <c r="G7" s="168">
        <v>348.96</v>
      </c>
      <c r="H7" s="168">
        <v>2.1999999999999999E-2</v>
      </c>
      <c r="I7" s="168">
        <v>1.2999999999999999E-3</v>
      </c>
      <c r="J7" s="168">
        <v>0.02</v>
      </c>
      <c r="K7" s="168" t="s">
        <v>380</v>
      </c>
      <c r="L7" s="168">
        <v>1019.7</v>
      </c>
      <c r="M7" s="168" t="s">
        <v>381</v>
      </c>
      <c r="N7" s="168">
        <v>18.53</v>
      </c>
      <c r="O7" s="168">
        <v>1487937600</v>
      </c>
      <c r="P7" s="168">
        <v>1.1499999999999999</v>
      </c>
      <c r="Q7" s="168">
        <v>340</v>
      </c>
      <c r="R7" s="168">
        <v>2.11</v>
      </c>
    </row>
    <row r="8" spans="1:18" x14ac:dyDescent="0.25">
      <c r="A8" s="168">
        <v>19.04</v>
      </c>
      <c r="B8" s="168">
        <v>0.67</v>
      </c>
      <c r="C8" s="168">
        <v>15.52</v>
      </c>
      <c r="D8" s="8">
        <v>42790.25</v>
      </c>
      <c r="E8" s="168">
        <v>0.86</v>
      </c>
      <c r="F8" s="168" t="s">
        <v>380</v>
      </c>
      <c r="G8" s="168">
        <v>348.62</v>
      </c>
      <c r="H8" s="168">
        <v>3.6999999999999998E-2</v>
      </c>
      <c r="I8" s="168">
        <v>2.3E-3</v>
      </c>
      <c r="J8" s="168">
        <v>0.06</v>
      </c>
      <c r="K8" s="168" t="s">
        <v>380</v>
      </c>
      <c r="L8" s="168">
        <v>1019.93</v>
      </c>
      <c r="M8" s="168" t="s">
        <v>382</v>
      </c>
      <c r="N8" s="168">
        <v>19.04</v>
      </c>
      <c r="O8" s="168">
        <v>1487941200</v>
      </c>
      <c r="P8" s="168">
        <v>1.1000000000000001</v>
      </c>
      <c r="Q8" s="168">
        <v>353</v>
      </c>
      <c r="R8" s="168">
        <v>2.73</v>
      </c>
    </row>
    <row r="9" spans="1:18" x14ac:dyDescent="0.25">
      <c r="A9" s="168">
        <v>14.03</v>
      </c>
      <c r="B9" s="168">
        <v>0.56000000000000005</v>
      </c>
      <c r="C9" s="168">
        <v>15.06</v>
      </c>
      <c r="D9" s="8">
        <v>42790.291666666664</v>
      </c>
      <c r="E9" s="168">
        <v>0.86</v>
      </c>
      <c r="F9" s="168" t="s">
        <v>380</v>
      </c>
      <c r="G9" s="168">
        <v>348.35</v>
      </c>
      <c r="H9" s="168">
        <v>5.8000000000000003E-2</v>
      </c>
      <c r="I9" s="168">
        <v>3.5000000000000001E-3</v>
      </c>
      <c r="J9" s="168">
        <v>0.12</v>
      </c>
      <c r="K9" s="168" t="s">
        <v>380</v>
      </c>
      <c r="L9" s="168">
        <v>1020.03</v>
      </c>
      <c r="M9" s="168" t="s">
        <v>382</v>
      </c>
      <c r="N9" s="168">
        <v>18.579999999999998</v>
      </c>
      <c r="O9" s="168">
        <v>1487944800</v>
      </c>
      <c r="P9" s="168">
        <v>1.45</v>
      </c>
      <c r="Q9" s="168">
        <v>1</v>
      </c>
      <c r="R9" s="168">
        <v>3.06</v>
      </c>
    </row>
    <row r="10" spans="1:18" x14ac:dyDescent="0.25">
      <c r="A10" s="168">
        <v>19.53</v>
      </c>
      <c r="B10" s="168">
        <v>0.52</v>
      </c>
      <c r="C10" s="168">
        <v>15.66</v>
      </c>
      <c r="D10" s="8">
        <v>42790.333333333336</v>
      </c>
      <c r="E10" s="168">
        <v>0.85</v>
      </c>
      <c r="F10" s="168" t="s">
        <v>380</v>
      </c>
      <c r="G10" s="168">
        <v>349.09</v>
      </c>
      <c r="H10" s="168">
        <v>6.5000000000000002E-2</v>
      </c>
      <c r="I10" s="168">
        <v>4.1000000000000003E-3</v>
      </c>
      <c r="J10" s="168">
        <v>0.16</v>
      </c>
      <c r="K10" s="168" t="s">
        <v>380</v>
      </c>
      <c r="L10" s="168">
        <v>1020.17</v>
      </c>
      <c r="M10" s="168" t="s">
        <v>382</v>
      </c>
      <c r="N10" s="168">
        <v>19.53</v>
      </c>
      <c r="O10" s="168">
        <v>1487948400</v>
      </c>
      <c r="P10" s="168">
        <v>1.74</v>
      </c>
      <c r="Q10" s="168">
        <v>16</v>
      </c>
      <c r="R10" s="168">
        <v>2.85</v>
      </c>
    </row>
    <row r="11" spans="1:18" x14ac:dyDescent="0.25">
      <c r="A11" s="168">
        <v>20.89</v>
      </c>
      <c r="B11" s="168">
        <v>0.56999999999999995</v>
      </c>
      <c r="C11" s="168">
        <v>16.7</v>
      </c>
      <c r="D11" s="8">
        <v>42790.375</v>
      </c>
      <c r="E11" s="168">
        <v>0.84</v>
      </c>
      <c r="F11" s="168" t="s">
        <v>380</v>
      </c>
      <c r="G11" s="168">
        <v>352.01</v>
      </c>
      <c r="H11" s="168">
        <v>5.0999999999999997E-2</v>
      </c>
      <c r="I11" s="168">
        <v>3.3999999999999998E-3</v>
      </c>
      <c r="J11" s="168">
        <v>0.12</v>
      </c>
      <c r="K11" s="168" t="s">
        <v>380</v>
      </c>
      <c r="L11" s="168">
        <v>1020.59</v>
      </c>
      <c r="M11" s="168" t="s">
        <v>382</v>
      </c>
      <c r="N11" s="168">
        <v>20.89</v>
      </c>
      <c r="O11" s="168">
        <v>1487952000</v>
      </c>
      <c r="P11" s="168">
        <v>2.39</v>
      </c>
      <c r="Q11" s="168">
        <v>45</v>
      </c>
      <c r="R11" s="168">
        <v>2.96</v>
      </c>
    </row>
    <row r="12" spans="1:18" x14ac:dyDescent="0.25">
      <c r="A12" s="168">
        <v>21.7</v>
      </c>
      <c r="B12" s="168">
        <v>0.69</v>
      </c>
      <c r="C12" s="168">
        <v>16.52</v>
      </c>
      <c r="D12" s="8">
        <v>42790.416666666664</v>
      </c>
      <c r="E12" s="168">
        <v>0.8</v>
      </c>
      <c r="F12" s="168" t="s">
        <v>380</v>
      </c>
      <c r="G12" s="168">
        <v>355.94</v>
      </c>
      <c r="H12" s="168">
        <v>0.03</v>
      </c>
      <c r="I12" s="168">
        <v>2.0999999999999999E-3</v>
      </c>
      <c r="J12" s="168">
        <v>0.05</v>
      </c>
      <c r="K12" s="168" t="s">
        <v>380</v>
      </c>
      <c r="L12" s="168">
        <v>1020.86</v>
      </c>
      <c r="M12" s="168" t="s">
        <v>382</v>
      </c>
      <c r="N12" s="168">
        <v>21.7</v>
      </c>
      <c r="O12" s="168">
        <v>1487955600</v>
      </c>
      <c r="P12" s="168">
        <v>2.4</v>
      </c>
      <c r="Q12" s="168">
        <v>36</v>
      </c>
      <c r="R12" s="168">
        <v>2.98</v>
      </c>
    </row>
    <row r="13" spans="1:18" x14ac:dyDescent="0.25">
      <c r="A13" s="168">
        <v>23.21</v>
      </c>
      <c r="B13" s="168">
        <v>0.8</v>
      </c>
      <c r="C13" s="168">
        <v>17.02</v>
      </c>
      <c r="D13" s="8">
        <v>42790.458333333336</v>
      </c>
      <c r="E13" s="168">
        <v>0.77</v>
      </c>
      <c r="F13" s="168" t="s">
        <v>380</v>
      </c>
      <c r="G13" s="168">
        <v>358.32</v>
      </c>
      <c r="H13" s="168">
        <v>1.7000000000000001E-2</v>
      </c>
      <c r="I13" s="168">
        <v>1.2999999999999999E-3</v>
      </c>
      <c r="J13" s="168">
        <v>0.02</v>
      </c>
      <c r="K13" s="168" t="s">
        <v>380</v>
      </c>
      <c r="L13" s="168">
        <v>1020.77</v>
      </c>
      <c r="M13" s="168" t="s">
        <v>381</v>
      </c>
      <c r="N13" s="168">
        <v>23.21</v>
      </c>
      <c r="O13" s="168">
        <v>1487959200</v>
      </c>
      <c r="P13" s="168">
        <v>3.04</v>
      </c>
      <c r="Q13" s="168">
        <v>56</v>
      </c>
      <c r="R13" s="168">
        <v>2.72</v>
      </c>
    </row>
    <row r="14" spans="1:18" x14ac:dyDescent="0.25">
      <c r="A14" s="168">
        <v>20.38</v>
      </c>
      <c r="B14" s="168">
        <v>0.76</v>
      </c>
      <c r="C14" s="168">
        <v>16.350000000000001</v>
      </c>
      <c r="D14" s="8">
        <v>42790.5</v>
      </c>
      <c r="E14" s="168">
        <v>0.72</v>
      </c>
      <c r="F14" s="168" t="s">
        <v>380</v>
      </c>
      <c r="G14" s="168">
        <v>357.6</v>
      </c>
      <c r="H14" s="168">
        <v>1.7999999999999999E-2</v>
      </c>
      <c r="I14" s="168">
        <v>1.4E-3</v>
      </c>
      <c r="J14" s="168">
        <v>0.03</v>
      </c>
      <c r="K14" s="168" t="s">
        <v>380</v>
      </c>
      <c r="L14" s="168">
        <v>1020.3</v>
      </c>
      <c r="M14" s="168" t="s">
        <v>381</v>
      </c>
      <c r="N14" s="168">
        <v>24.21</v>
      </c>
      <c r="O14" s="168">
        <v>1487962800</v>
      </c>
      <c r="P14" s="168">
        <v>3.25</v>
      </c>
      <c r="Q14" s="168">
        <v>65</v>
      </c>
      <c r="R14" s="168">
        <v>3.08</v>
      </c>
    </row>
    <row r="15" spans="1:18" x14ac:dyDescent="0.25">
      <c r="A15" s="168">
        <v>20.97</v>
      </c>
      <c r="B15" s="168">
        <v>0.67</v>
      </c>
      <c r="C15" s="168">
        <v>16.41</v>
      </c>
      <c r="D15" s="8">
        <v>42790.541666666664</v>
      </c>
      <c r="E15" s="168">
        <v>0.69</v>
      </c>
      <c r="F15" s="168" t="s">
        <v>380</v>
      </c>
      <c r="G15" s="168">
        <v>355.34</v>
      </c>
      <c r="H15" s="168">
        <v>2.4E-2</v>
      </c>
      <c r="I15" s="168">
        <v>2E-3</v>
      </c>
      <c r="J15" s="168">
        <v>0.05</v>
      </c>
      <c r="K15" s="168" t="s">
        <v>380</v>
      </c>
      <c r="L15" s="168">
        <v>1019.51</v>
      </c>
      <c r="M15" s="168" t="s">
        <v>381</v>
      </c>
      <c r="N15" s="168">
        <v>25.07</v>
      </c>
      <c r="O15" s="168">
        <v>1487966400</v>
      </c>
      <c r="P15" s="168">
        <v>3.13</v>
      </c>
      <c r="Q15" s="168">
        <v>64</v>
      </c>
      <c r="R15" s="168">
        <v>3.33</v>
      </c>
    </row>
    <row r="16" spans="1:18" x14ac:dyDescent="0.25">
      <c r="A16" s="168">
        <v>21.21</v>
      </c>
      <c r="B16" s="168">
        <v>0.65</v>
      </c>
      <c r="C16" s="168">
        <v>17.3</v>
      </c>
      <c r="D16" s="8">
        <v>42790.583333333336</v>
      </c>
      <c r="E16" s="168">
        <v>0.69</v>
      </c>
      <c r="F16" s="168" t="s">
        <v>380</v>
      </c>
      <c r="G16" s="168">
        <v>353.64</v>
      </c>
      <c r="H16" s="168">
        <v>2.8000000000000001E-2</v>
      </c>
      <c r="I16" s="168">
        <v>2.5000000000000001E-3</v>
      </c>
      <c r="J16" s="168">
        <v>7.0000000000000007E-2</v>
      </c>
      <c r="K16" s="168" t="s">
        <v>380</v>
      </c>
      <c r="L16" s="168">
        <v>1018.96</v>
      </c>
      <c r="M16" s="168" t="s">
        <v>382</v>
      </c>
      <c r="N16" s="168">
        <v>26.12</v>
      </c>
      <c r="O16" s="168">
        <v>1487970000</v>
      </c>
      <c r="P16" s="168">
        <v>3.03</v>
      </c>
      <c r="Q16" s="168">
        <v>37</v>
      </c>
      <c r="R16" s="168">
        <v>4.0599999999999996</v>
      </c>
    </row>
    <row r="17" spans="1:18" x14ac:dyDescent="0.25">
      <c r="A17" s="168">
        <v>21.9</v>
      </c>
      <c r="B17" s="168">
        <v>0.71</v>
      </c>
      <c r="C17" s="168">
        <v>15.88</v>
      </c>
      <c r="D17" s="8">
        <v>42790.625</v>
      </c>
      <c r="E17" s="168">
        <v>0.64</v>
      </c>
      <c r="F17" s="168" t="s">
        <v>380</v>
      </c>
      <c r="G17" s="168">
        <v>353.17</v>
      </c>
      <c r="H17" s="168">
        <v>2.8000000000000001E-2</v>
      </c>
      <c r="I17" s="168">
        <v>2.5000000000000001E-3</v>
      </c>
      <c r="J17" s="168">
        <v>7.0000000000000007E-2</v>
      </c>
      <c r="K17" s="168" t="s">
        <v>380</v>
      </c>
      <c r="L17" s="168">
        <v>1019.55</v>
      </c>
      <c r="M17" s="168" t="s">
        <v>382</v>
      </c>
      <c r="N17" s="168">
        <v>26.31</v>
      </c>
      <c r="O17" s="168">
        <v>1487973600</v>
      </c>
      <c r="P17" s="168">
        <v>3.33</v>
      </c>
      <c r="Q17" s="168">
        <v>32</v>
      </c>
      <c r="R17" s="168">
        <v>3.69</v>
      </c>
    </row>
    <row r="18" spans="1:18" x14ac:dyDescent="0.25">
      <c r="A18" s="168">
        <v>26.12</v>
      </c>
      <c r="B18" s="168">
        <v>0.82</v>
      </c>
      <c r="C18" s="168">
        <v>16.03</v>
      </c>
      <c r="D18" s="8">
        <v>42790.666666666664</v>
      </c>
      <c r="E18" s="168">
        <v>0.65</v>
      </c>
      <c r="F18" s="168" t="s">
        <v>380</v>
      </c>
      <c r="G18" s="168">
        <v>353.27</v>
      </c>
      <c r="H18" s="168">
        <v>3.4000000000000002E-2</v>
      </c>
      <c r="I18" s="168">
        <v>3.0000000000000001E-3</v>
      </c>
      <c r="J18" s="168">
        <v>0.1</v>
      </c>
      <c r="K18" s="168" t="s">
        <v>380</v>
      </c>
      <c r="L18" s="168">
        <v>1020.7</v>
      </c>
      <c r="M18" s="168" t="s">
        <v>382</v>
      </c>
      <c r="N18" s="168">
        <v>26.12</v>
      </c>
      <c r="O18" s="168">
        <v>1487977200</v>
      </c>
      <c r="P18" s="168">
        <v>5.53</v>
      </c>
      <c r="Q18" s="168">
        <v>38</v>
      </c>
      <c r="R18" s="168">
        <v>2.97</v>
      </c>
    </row>
    <row r="19" spans="1:18" x14ac:dyDescent="0.25">
      <c r="A19" s="168">
        <v>25.68</v>
      </c>
      <c r="B19" s="168">
        <v>0.85</v>
      </c>
      <c r="C19" s="168">
        <v>16.510000000000002</v>
      </c>
      <c r="D19" s="8">
        <v>42790.708333333336</v>
      </c>
      <c r="E19" s="168">
        <v>0.68</v>
      </c>
      <c r="F19" s="168" t="s">
        <v>380</v>
      </c>
      <c r="G19" s="168">
        <v>354.08</v>
      </c>
      <c r="H19" s="168">
        <v>2.5000000000000001E-2</v>
      </c>
      <c r="I19" s="168">
        <v>2.0999999999999999E-3</v>
      </c>
      <c r="J19" s="168">
        <v>0.05</v>
      </c>
      <c r="K19" s="168" t="s">
        <v>380</v>
      </c>
      <c r="L19" s="168">
        <v>1021.73</v>
      </c>
      <c r="M19" s="168" t="s">
        <v>381</v>
      </c>
      <c r="N19" s="168">
        <v>25.68</v>
      </c>
      <c r="O19" s="168">
        <v>1487980800</v>
      </c>
      <c r="P19" s="168">
        <v>7.22</v>
      </c>
      <c r="Q19" s="168">
        <v>61</v>
      </c>
      <c r="R19" s="168">
        <v>2.27</v>
      </c>
    </row>
    <row r="20" spans="1:18" x14ac:dyDescent="0.25">
      <c r="A20" s="168">
        <v>22.95</v>
      </c>
      <c r="B20" s="168">
        <v>0.8</v>
      </c>
      <c r="C20" s="168">
        <v>13.97</v>
      </c>
      <c r="D20" s="8">
        <v>42790.75</v>
      </c>
      <c r="E20" s="168">
        <v>0.68</v>
      </c>
      <c r="F20" s="168" t="s">
        <v>380</v>
      </c>
      <c r="G20" s="168">
        <v>355.85</v>
      </c>
      <c r="H20" s="168">
        <v>2.1999999999999999E-2</v>
      </c>
      <c r="I20" s="168">
        <v>1.6000000000000001E-3</v>
      </c>
      <c r="J20" s="168">
        <v>0.03</v>
      </c>
      <c r="K20" s="168" t="s">
        <v>380</v>
      </c>
      <c r="L20" s="168">
        <v>1022.47</v>
      </c>
      <c r="M20" s="168" t="s">
        <v>381</v>
      </c>
      <c r="N20" s="168">
        <v>22.95</v>
      </c>
      <c r="O20" s="168">
        <v>1487984400</v>
      </c>
      <c r="P20" s="168">
        <v>6.48</v>
      </c>
      <c r="Q20" s="168">
        <v>56</v>
      </c>
      <c r="R20" s="168">
        <v>1.74</v>
      </c>
    </row>
    <row r="21" spans="1:18" x14ac:dyDescent="0.25">
      <c r="A21" s="168">
        <v>22.81</v>
      </c>
      <c r="B21" s="168">
        <v>0.71</v>
      </c>
      <c r="C21" s="168">
        <v>14.89</v>
      </c>
      <c r="D21" s="8">
        <v>42790.791666666664</v>
      </c>
      <c r="E21" s="168">
        <v>0.71</v>
      </c>
      <c r="F21" s="168" t="s">
        <v>380</v>
      </c>
      <c r="G21" s="168">
        <v>358.33</v>
      </c>
      <c r="H21" s="168">
        <v>0.03</v>
      </c>
      <c r="I21" s="168">
        <v>2.2000000000000001E-3</v>
      </c>
      <c r="J21" s="168">
        <v>0.06</v>
      </c>
      <c r="K21" s="168" t="s">
        <v>380</v>
      </c>
      <c r="L21" s="168">
        <v>1023.11</v>
      </c>
      <c r="M21" s="168" t="s">
        <v>382</v>
      </c>
      <c r="N21" s="168">
        <v>22.81</v>
      </c>
      <c r="O21" s="168">
        <v>1487988000</v>
      </c>
      <c r="P21" s="168">
        <v>5.84</v>
      </c>
      <c r="Q21" s="168">
        <v>69</v>
      </c>
      <c r="R21" s="168">
        <v>1.19</v>
      </c>
    </row>
    <row r="22" spans="1:18" x14ac:dyDescent="0.25">
      <c r="A22" s="168">
        <v>21.52</v>
      </c>
      <c r="B22" s="168">
        <v>0.62</v>
      </c>
      <c r="C22" s="168">
        <v>14.78</v>
      </c>
      <c r="D22" s="8">
        <v>42790.833333333336</v>
      </c>
      <c r="E22" s="168">
        <v>0.75</v>
      </c>
      <c r="F22" s="168" t="s">
        <v>380</v>
      </c>
      <c r="G22" s="168">
        <v>360.97</v>
      </c>
      <c r="H22" s="168">
        <v>3.3000000000000002E-2</v>
      </c>
      <c r="I22" s="168">
        <v>2.3E-3</v>
      </c>
      <c r="J22" s="168">
        <v>0.06</v>
      </c>
      <c r="K22" s="168" t="s">
        <v>380</v>
      </c>
      <c r="L22" s="168">
        <v>1023.58</v>
      </c>
      <c r="M22" s="168" t="s">
        <v>382</v>
      </c>
      <c r="N22" s="168">
        <v>21.52</v>
      </c>
      <c r="O22" s="168">
        <v>1487991600</v>
      </c>
      <c r="P22" s="168">
        <v>5.0199999999999996</v>
      </c>
      <c r="Q22" s="168">
        <v>75</v>
      </c>
      <c r="R22" s="168">
        <v>0.31</v>
      </c>
    </row>
    <row r="23" spans="1:18" x14ac:dyDescent="0.25">
      <c r="A23" s="168">
        <v>21.3</v>
      </c>
      <c r="B23" s="168">
        <v>0.67</v>
      </c>
      <c r="C23" s="168">
        <v>15.25</v>
      </c>
      <c r="D23" s="8">
        <v>42790.875</v>
      </c>
      <c r="E23" s="168">
        <v>0.77</v>
      </c>
      <c r="F23" s="168" t="s">
        <v>380</v>
      </c>
      <c r="G23" s="168">
        <v>363.85</v>
      </c>
      <c r="H23" s="168">
        <v>3.5000000000000003E-2</v>
      </c>
      <c r="I23" s="168">
        <v>2.3999999999999998E-3</v>
      </c>
      <c r="J23" s="168">
        <v>7.0000000000000007E-2</v>
      </c>
      <c r="K23" s="168" t="s">
        <v>380</v>
      </c>
      <c r="L23" s="168">
        <v>1023.86</v>
      </c>
      <c r="M23" s="168" t="s">
        <v>382</v>
      </c>
      <c r="N23" s="168">
        <v>21.3</v>
      </c>
      <c r="O23" s="168">
        <v>1487995200</v>
      </c>
      <c r="P23" s="168">
        <v>3.61</v>
      </c>
      <c r="Q23" s="168">
        <v>183</v>
      </c>
      <c r="R23" s="168">
        <v>0.66</v>
      </c>
    </row>
    <row r="24" spans="1:18" x14ac:dyDescent="0.25">
      <c r="A24" s="168">
        <v>20.03</v>
      </c>
      <c r="B24" s="168">
        <v>0.69</v>
      </c>
      <c r="C24" s="168">
        <v>14.34</v>
      </c>
      <c r="D24" s="8">
        <v>42790.916666666664</v>
      </c>
      <c r="E24" s="168">
        <v>0.78</v>
      </c>
      <c r="F24" s="168" t="s">
        <v>380</v>
      </c>
      <c r="G24" s="168">
        <v>366.89</v>
      </c>
      <c r="H24" s="168">
        <v>2.1000000000000001E-2</v>
      </c>
      <c r="I24" s="168">
        <v>1.2999999999999999E-3</v>
      </c>
      <c r="J24" s="168">
        <v>0.02</v>
      </c>
      <c r="K24" s="168" t="s">
        <v>380</v>
      </c>
      <c r="L24" s="168">
        <v>1023.96</v>
      </c>
      <c r="M24" s="168" t="s">
        <v>381</v>
      </c>
      <c r="N24" s="168">
        <v>20.03</v>
      </c>
      <c r="O24" s="168">
        <v>1487998800</v>
      </c>
      <c r="P24" s="168">
        <v>3.87</v>
      </c>
      <c r="Q24" s="168">
        <v>234</v>
      </c>
      <c r="R24" s="168">
        <v>0.91</v>
      </c>
    </row>
    <row r="25" spans="1:18" x14ac:dyDescent="0.25">
      <c r="A25" s="168">
        <v>19.690000000000001</v>
      </c>
      <c r="B25" s="168">
        <v>0.69</v>
      </c>
      <c r="C25" s="168">
        <v>14.17</v>
      </c>
      <c r="D25" s="8">
        <v>42790.958333333336</v>
      </c>
      <c r="E25" s="168">
        <v>0.79</v>
      </c>
      <c r="F25" s="168" t="s">
        <v>234</v>
      </c>
      <c r="G25" s="168">
        <v>369.25</v>
      </c>
      <c r="H25" s="168"/>
      <c r="I25" s="168">
        <v>0</v>
      </c>
      <c r="J25" s="168">
        <v>0</v>
      </c>
      <c r="K25" s="168"/>
      <c r="L25" s="168">
        <v>1023.95</v>
      </c>
      <c r="M25" s="168" t="s">
        <v>379</v>
      </c>
      <c r="N25" s="168">
        <v>19.690000000000001</v>
      </c>
      <c r="O25" s="168">
        <v>1488002400</v>
      </c>
      <c r="P25" s="168">
        <v>4.49</v>
      </c>
      <c r="Q25" s="168">
        <v>203</v>
      </c>
      <c r="R25" s="168">
        <v>1.78</v>
      </c>
    </row>
    <row r="26" spans="1:18" x14ac:dyDescent="0.25">
      <c r="A26" s="168">
        <v>18.649999999999999</v>
      </c>
      <c r="B26" s="168">
        <v>0.7</v>
      </c>
      <c r="C26" s="168">
        <v>12.42</v>
      </c>
      <c r="D26" s="8">
        <v>42791</v>
      </c>
      <c r="E26" s="168">
        <v>0.76</v>
      </c>
      <c r="F26" s="168" t="s">
        <v>234</v>
      </c>
      <c r="G26" s="168">
        <v>369.99</v>
      </c>
      <c r="H26" s="168"/>
      <c r="I26" s="168">
        <v>0</v>
      </c>
      <c r="J26" s="168">
        <v>0</v>
      </c>
      <c r="K26" s="168"/>
      <c r="L26" s="168">
        <v>1023.81</v>
      </c>
      <c r="M26" s="168" t="s">
        <v>379</v>
      </c>
      <c r="N26" s="168">
        <v>18.649999999999999</v>
      </c>
      <c r="O26" s="168">
        <v>1488006000</v>
      </c>
      <c r="P26" s="168">
        <v>5.19</v>
      </c>
      <c r="Q26" s="168">
        <v>217</v>
      </c>
      <c r="R26" s="168">
        <v>1.65</v>
      </c>
    </row>
    <row r="27" spans="1:18" x14ac:dyDescent="0.25">
      <c r="A27" s="168">
        <v>18.350000000000001</v>
      </c>
      <c r="B27" s="168">
        <v>0.56000000000000005</v>
      </c>
      <c r="C27" s="168">
        <v>12.32</v>
      </c>
      <c r="D27" s="8">
        <v>42791.041666666664</v>
      </c>
      <c r="E27" s="168">
        <v>0.77</v>
      </c>
      <c r="F27" s="168" t="s">
        <v>234</v>
      </c>
      <c r="G27" s="168">
        <v>370.74</v>
      </c>
      <c r="H27" s="168"/>
      <c r="I27" s="168">
        <v>0</v>
      </c>
      <c r="J27" s="168">
        <v>0</v>
      </c>
      <c r="K27" s="168"/>
      <c r="L27" s="168">
        <v>1023.66</v>
      </c>
      <c r="M27" s="168" t="s">
        <v>660</v>
      </c>
      <c r="N27" s="168">
        <v>18.350000000000001</v>
      </c>
      <c r="O27" s="168">
        <v>1488009600</v>
      </c>
      <c r="P27" s="168">
        <v>5.46</v>
      </c>
      <c r="Q27" s="168">
        <v>210</v>
      </c>
      <c r="R27" s="168">
        <v>2.46</v>
      </c>
    </row>
    <row r="28" spans="1:18" x14ac:dyDescent="0.25">
      <c r="A28" s="168">
        <v>12.81</v>
      </c>
      <c r="B28" s="168">
        <v>0.47</v>
      </c>
      <c r="C28" s="168">
        <v>11.81</v>
      </c>
      <c r="D28" s="8">
        <v>42791.083333333336</v>
      </c>
      <c r="E28" s="168">
        <v>0.77</v>
      </c>
      <c r="F28" s="168" t="s">
        <v>234</v>
      </c>
      <c r="G28" s="168">
        <v>371.48</v>
      </c>
      <c r="H28" s="168"/>
      <c r="I28" s="168">
        <v>0</v>
      </c>
      <c r="J28" s="168">
        <v>0</v>
      </c>
      <c r="K28" s="168"/>
      <c r="L28" s="168">
        <v>1023.49</v>
      </c>
      <c r="M28" s="168" t="s">
        <v>660</v>
      </c>
      <c r="N28" s="168">
        <v>17.809999999999999</v>
      </c>
      <c r="O28" s="168">
        <v>1488013200</v>
      </c>
      <c r="P28" s="168">
        <v>6.17</v>
      </c>
      <c r="Q28" s="168">
        <v>219</v>
      </c>
      <c r="R28" s="168">
        <v>3.27</v>
      </c>
    </row>
    <row r="29" spans="1:18" x14ac:dyDescent="0.25">
      <c r="A29" s="168">
        <v>9.64</v>
      </c>
      <c r="B29" s="168">
        <v>0.48</v>
      </c>
      <c r="C29" s="168">
        <v>9.7200000000000006</v>
      </c>
      <c r="D29" s="8">
        <v>42791.125</v>
      </c>
      <c r="E29" s="168">
        <v>0.76</v>
      </c>
      <c r="F29" s="168" t="s">
        <v>234</v>
      </c>
      <c r="G29" s="168">
        <v>370.75</v>
      </c>
      <c r="H29" s="168"/>
      <c r="I29" s="168">
        <v>0</v>
      </c>
      <c r="J29" s="168">
        <v>0</v>
      </c>
      <c r="K29" s="168"/>
      <c r="L29" s="168">
        <v>1023.7</v>
      </c>
      <c r="M29" s="168" t="s">
        <v>660</v>
      </c>
      <c r="N29" s="168">
        <v>15.89</v>
      </c>
      <c r="O29" s="168">
        <v>1488016800</v>
      </c>
      <c r="P29" s="168">
        <v>7.52</v>
      </c>
      <c r="Q29" s="168">
        <v>218</v>
      </c>
      <c r="R29" s="168">
        <v>3.88</v>
      </c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8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42790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191</v>
      </c>
      <c r="J17" s="160"/>
      <c r="K17" s="161"/>
      <c r="L17" s="161"/>
    </row>
    <row r="18" spans="3:14" x14ac:dyDescent="0.25">
      <c r="C18" t="s">
        <v>870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871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872</v>
      </c>
      <c r="J20" s="152" t="s">
        <v>87</v>
      </c>
      <c r="M20" s="168" t="s">
        <v>890</v>
      </c>
      <c r="N20" s="168" t="s">
        <v>352</v>
      </c>
    </row>
    <row r="21" spans="3:14" x14ac:dyDescent="0.25">
      <c r="C21" t="s">
        <v>873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432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874</v>
      </c>
      <c r="J23" s="162" t="s">
        <v>95</v>
      </c>
      <c r="M23" s="168" t="str">
        <f>"-07"</f>
        <v>-07</v>
      </c>
    </row>
    <row r="24" spans="3:14" x14ac:dyDescent="0.25">
      <c r="C24" t="s">
        <v>875</v>
      </c>
      <c r="J24" s="152" t="s">
        <v>108</v>
      </c>
      <c r="M24" s="168" t="s">
        <v>110</v>
      </c>
    </row>
    <row r="25" spans="3:14" x14ac:dyDescent="0.25">
      <c r="C25" t="s">
        <v>876</v>
      </c>
      <c r="J25" s="152" t="s">
        <v>150</v>
      </c>
      <c r="M25" s="168" t="b">
        <v>1</v>
      </c>
    </row>
    <row r="26" spans="3:14" x14ac:dyDescent="0.25">
      <c r="C26" t="s">
        <v>877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C:\Users\stu\Documents\GitHub\eaglep3-reporting\EC\2017-02-24-refined-times.txt</v>
      </c>
    </row>
    <row r="27" spans="3:14" x14ac:dyDescent="0.25">
      <c r="C27" t="s">
        <v>878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C:\Users\stu\Documents\GitHub\eaglep3-reporting\EC\2017-02-24-Enforcements.txt</v>
      </c>
    </row>
    <row r="28" spans="3:14" x14ac:dyDescent="0.25">
      <c r="C28" t="s">
        <v>879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C:\Users\stu\Documents\GitHub\eaglep3-reporting\EC\2017-02-24-Runs-refined.txt</v>
      </c>
    </row>
    <row r="29" spans="3:14" x14ac:dyDescent="0.25">
      <c r="C29" t="s">
        <v>880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C:\Users\stu\Documents\GitHub\eaglep3-reporting\EC\2017-02-24-Trips.txt</v>
      </c>
    </row>
    <row r="30" spans="3:14" x14ac:dyDescent="0.25">
      <c r="C30" t="s">
        <v>881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C:\Users\stu\Documents\GitHub\eaglep3-reporting\EC\2017-02-24-Weather.txt</v>
      </c>
    </row>
    <row r="31" spans="3:14" x14ac:dyDescent="0.25">
      <c r="C31" t="s">
        <v>882</v>
      </c>
      <c r="J31" s="152" t="s">
        <v>208</v>
      </c>
      <c r="M31" s="168" t="s">
        <v>209</v>
      </c>
    </row>
    <row r="32" spans="3:14" x14ac:dyDescent="0.25">
      <c r="C32" t="s">
        <v>883</v>
      </c>
    </row>
    <row r="33" spans="3:3" x14ac:dyDescent="0.25">
      <c r="C33" t="s">
        <v>884</v>
      </c>
    </row>
    <row r="34" spans="3:3" x14ac:dyDescent="0.25">
      <c r="C34" t="s">
        <v>885</v>
      </c>
    </row>
    <row r="35" spans="3:3" x14ac:dyDescent="0.25">
      <c r="C35" t="s">
        <v>886</v>
      </c>
    </row>
    <row r="36" spans="3:3" x14ac:dyDescent="0.25">
      <c r="C36" t="s">
        <v>887</v>
      </c>
    </row>
    <row r="37" spans="3:3" x14ac:dyDescent="0.25">
      <c r="C37" t="s">
        <v>888</v>
      </c>
    </row>
    <row r="38" spans="3:3" x14ac:dyDescent="0.25">
      <c r="C38" t="s">
        <v>889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136" workbookViewId="0">
      <selection activeCell="B146" sqref="B146:C162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905</v>
      </c>
      <c r="B1" t="str">
        <f t="shared" ref="B1:B30" si="0">MID(A1,6,23)</f>
        <v>2017/02/24 09:59:30.327</v>
      </c>
      <c r="C1" t="e">
        <f>ABS(B1-#REF!)</f>
        <v>#REF!</v>
      </c>
    </row>
    <row r="2" spans="1:3" x14ac:dyDescent="0.25">
      <c r="A2" t="s">
        <v>906</v>
      </c>
      <c r="B2" s="20" t="str">
        <f t="shared" si="0"/>
        <v>2017/02/24 09:59:31.709</v>
      </c>
      <c r="C2">
        <f>ABS(B2-B1)</f>
        <v>1.5995370631571859E-5</v>
      </c>
    </row>
    <row r="3" spans="1:3" x14ac:dyDescent="0.25">
      <c r="A3" t="s">
        <v>907</v>
      </c>
      <c r="B3" s="20" t="str">
        <f t="shared" si="0"/>
        <v>2017/02/24 09:59:32.274</v>
      </c>
      <c r="C3" s="20">
        <f t="shared" ref="C3:C30" si="1">ABS(B3-B2)</f>
        <v>6.53934694128111E-6</v>
      </c>
    </row>
    <row r="4" spans="1:3" x14ac:dyDescent="0.25">
      <c r="A4" t="s">
        <v>908</v>
      </c>
      <c r="B4" s="20" t="str">
        <f t="shared" si="0"/>
        <v>2017/02/24 10:02:42.831</v>
      </c>
      <c r="C4" s="20">
        <f t="shared" si="1"/>
        <v>2.2055208391975611E-3</v>
      </c>
    </row>
    <row r="5" spans="1:3" x14ac:dyDescent="0.25">
      <c r="A5" t="s">
        <v>909</v>
      </c>
      <c r="B5" s="20" t="str">
        <f t="shared" si="0"/>
        <v>2017/02/24 10:02:42.856</v>
      </c>
      <c r="C5" s="20">
        <f t="shared" si="1"/>
        <v>2.8935028240084648E-7</v>
      </c>
    </row>
    <row r="6" spans="1:3" x14ac:dyDescent="0.25">
      <c r="A6" t="s">
        <v>910</v>
      </c>
      <c r="B6" s="20" t="str">
        <f t="shared" si="0"/>
        <v>2017/02/24 10:02:42.892</v>
      </c>
      <c r="C6" s="20">
        <f t="shared" si="1"/>
        <v>4.1666498873382807E-7</v>
      </c>
    </row>
    <row r="7" spans="1:3" x14ac:dyDescent="0.25">
      <c r="A7" t="s">
        <v>911</v>
      </c>
      <c r="B7" s="20" t="str">
        <f t="shared" si="0"/>
        <v>2017/02/24 10:02:42.905</v>
      </c>
      <c r="C7" s="20">
        <f t="shared" si="1"/>
        <v>1.5046680346131325E-7</v>
      </c>
    </row>
    <row r="8" spans="1:3" x14ac:dyDescent="0.25">
      <c r="A8" t="s">
        <v>912</v>
      </c>
      <c r="B8" s="20" t="str">
        <f t="shared" si="0"/>
        <v>2017/02/24 10:02:43.291</v>
      </c>
      <c r="C8" s="20">
        <f t="shared" si="1"/>
        <v>4.4675907702185214E-6</v>
      </c>
    </row>
    <row r="9" spans="1:3" x14ac:dyDescent="0.25">
      <c r="A9" t="s">
        <v>913</v>
      </c>
      <c r="B9" s="20" t="str">
        <f t="shared" si="0"/>
        <v>2017/02/24 10:02:43.343</v>
      </c>
      <c r="C9" s="20">
        <f t="shared" si="1"/>
        <v>6.0185266193002462E-7</v>
      </c>
    </row>
    <row r="10" spans="1:3" x14ac:dyDescent="0.25">
      <c r="A10" t="s">
        <v>914</v>
      </c>
      <c r="B10" s="20" t="str">
        <f t="shared" si="0"/>
        <v>2017/02/24 10:02:43.352</v>
      </c>
      <c r="C10" s="20">
        <f t="shared" si="1"/>
        <v>1.0416260920464993E-7</v>
      </c>
    </row>
    <row r="11" spans="1:3" x14ac:dyDescent="0.25">
      <c r="A11" t="s">
        <v>915</v>
      </c>
      <c r="B11" s="20" t="str">
        <f t="shared" si="0"/>
        <v>2017/02/24 10:05:20.049</v>
      </c>
      <c r="C11" s="20">
        <f t="shared" si="1"/>
        <v>1.8136226863134652E-3</v>
      </c>
    </row>
    <row r="12" spans="1:3" x14ac:dyDescent="0.25">
      <c r="A12" t="s">
        <v>916</v>
      </c>
      <c r="B12" s="20" t="str">
        <f t="shared" si="0"/>
        <v>2017/02/24 10:05:20.239</v>
      </c>
      <c r="C12" s="20">
        <f t="shared" si="1"/>
        <v>2.1990708773955703E-6</v>
      </c>
    </row>
    <row r="13" spans="1:3" x14ac:dyDescent="0.25">
      <c r="A13" t="s">
        <v>917</v>
      </c>
      <c r="B13" s="20" t="str">
        <f t="shared" si="0"/>
        <v>2017/02/24 10:05:20.677</v>
      </c>
      <c r="C13" s="20">
        <f t="shared" si="1"/>
        <v>5.0694507081061602E-6</v>
      </c>
    </row>
    <row r="14" spans="1:3" x14ac:dyDescent="0.25">
      <c r="A14" t="s">
        <v>918</v>
      </c>
      <c r="B14" s="20" t="str">
        <f t="shared" si="0"/>
        <v>2017/02/24 10:26:08.539</v>
      </c>
      <c r="C14" s="20">
        <f t="shared" si="1"/>
        <v>1.4442847219470423E-2</v>
      </c>
    </row>
    <row r="15" spans="1:3" x14ac:dyDescent="0.25">
      <c r="A15" t="s">
        <v>919</v>
      </c>
      <c r="B15" s="20" t="str">
        <f t="shared" si="0"/>
        <v>2017/02/24 10:26:08.805</v>
      </c>
      <c r="C15" s="20">
        <f t="shared" si="1"/>
        <v>3.0787050491198897E-6</v>
      </c>
    </row>
    <row r="16" spans="1:3" x14ac:dyDescent="0.25">
      <c r="A16" t="s">
        <v>920</v>
      </c>
      <c r="B16" s="20" t="str">
        <f t="shared" si="0"/>
        <v>2017/02/24 10:26:08.853</v>
      </c>
      <c r="C16" s="20">
        <f t="shared" si="1"/>
        <v>5.5555574363097548E-7</v>
      </c>
    </row>
    <row r="17" spans="1:3" x14ac:dyDescent="0.25">
      <c r="A17" t="s">
        <v>921</v>
      </c>
      <c r="B17" s="20" t="str">
        <f t="shared" si="0"/>
        <v>2017/02/24 10:31:00.776</v>
      </c>
      <c r="C17" s="20">
        <f t="shared" si="1"/>
        <v>3.3787384236347862E-3</v>
      </c>
    </row>
    <row r="18" spans="1:3" x14ac:dyDescent="0.25">
      <c r="A18" t="s">
        <v>922</v>
      </c>
      <c r="B18" s="20" t="str">
        <f t="shared" si="0"/>
        <v>2017/02/24 10:31:00.830</v>
      </c>
      <c r="C18" s="20">
        <f t="shared" si="1"/>
        <v>6.249974831007421E-7</v>
      </c>
    </row>
    <row r="19" spans="1:3" x14ac:dyDescent="0.25">
      <c r="A19" t="s">
        <v>923</v>
      </c>
      <c r="B19" s="20" t="str">
        <f t="shared" si="0"/>
        <v>2017/02/24 10:31:01.510</v>
      </c>
      <c r="C19" s="20">
        <f t="shared" si="1"/>
        <v>7.8703742474317551E-6</v>
      </c>
    </row>
    <row r="20" spans="1:3" x14ac:dyDescent="0.25">
      <c r="A20" t="s">
        <v>924</v>
      </c>
      <c r="B20" s="20" t="str">
        <f t="shared" si="0"/>
        <v>2017/02/24 10:33:38.534</v>
      </c>
      <c r="C20" s="20">
        <f t="shared" si="1"/>
        <v>1.8174074066337198E-3</v>
      </c>
    </row>
    <row r="21" spans="1:3" x14ac:dyDescent="0.25">
      <c r="A21" t="s">
        <v>925</v>
      </c>
      <c r="B21" s="20" t="str">
        <f t="shared" si="0"/>
        <v>2017/02/24 10:33:38.800</v>
      </c>
      <c r="C21" s="20">
        <f t="shared" si="1"/>
        <v>3.0787050491198897E-6</v>
      </c>
    </row>
    <row r="22" spans="1:3" x14ac:dyDescent="0.25">
      <c r="A22" t="s">
        <v>926</v>
      </c>
      <c r="B22" s="20" t="str">
        <f t="shared" si="0"/>
        <v>2017/02/24 10:33:38.847</v>
      </c>
      <c r="C22" s="20">
        <f t="shared" si="1"/>
        <v>5.4397969506680965E-7</v>
      </c>
    </row>
    <row r="23" spans="1:3" x14ac:dyDescent="0.25">
      <c r="A23" t="s">
        <v>927</v>
      </c>
      <c r="B23" s="20" t="str">
        <f t="shared" si="0"/>
        <v>2017/02/24 11:15:54.773</v>
      </c>
      <c r="C23" s="20">
        <f t="shared" si="1"/>
        <v>2.9350995369895827E-2</v>
      </c>
    </row>
    <row r="24" spans="1:3" x14ac:dyDescent="0.25">
      <c r="A24" t="s">
        <v>928</v>
      </c>
      <c r="B24" s="20" t="str">
        <f t="shared" si="0"/>
        <v>2017/02/24 11:15:55.074</v>
      </c>
      <c r="C24" s="20">
        <f t="shared" si="1"/>
        <v>3.483793989289552E-6</v>
      </c>
    </row>
    <row r="25" spans="1:3" x14ac:dyDescent="0.25">
      <c r="A25" t="s">
        <v>929</v>
      </c>
      <c r="B25" s="20" t="str">
        <f t="shared" si="0"/>
        <v>2017/02/24 11:15:55.273</v>
      </c>
      <c r="C25" s="20">
        <f t="shared" si="1"/>
        <v>2.3032407625578344E-6</v>
      </c>
    </row>
    <row r="26" spans="1:3" x14ac:dyDescent="0.25">
      <c r="A26" t="s">
        <v>930</v>
      </c>
      <c r="B26" s="20" t="str">
        <f t="shared" si="0"/>
        <v>2017/02/24 11:18:14.301</v>
      </c>
      <c r="C26" s="20">
        <f t="shared" si="1"/>
        <v>1.6091203724499792E-3</v>
      </c>
    </row>
    <row r="27" spans="1:3" x14ac:dyDescent="0.25">
      <c r="A27" t="s">
        <v>931</v>
      </c>
      <c r="B27" s="20" t="str">
        <f t="shared" si="0"/>
        <v>2017/02/24 11:18:14.649</v>
      </c>
      <c r="C27" s="20">
        <f t="shared" si="1"/>
        <v>4.0277809603139758E-6</v>
      </c>
    </row>
    <row r="28" spans="1:3" x14ac:dyDescent="0.25">
      <c r="A28" t="s">
        <v>932</v>
      </c>
      <c r="B28" s="20" t="str">
        <f t="shared" si="0"/>
        <v>2017/02/24 11:43:23.990</v>
      </c>
      <c r="C28" s="20">
        <f t="shared" si="1"/>
        <v>1.7469224534579553E-2</v>
      </c>
    </row>
    <row r="29" spans="1:3" x14ac:dyDescent="0.25">
      <c r="A29" t="s">
        <v>933</v>
      </c>
      <c r="B29" s="20" t="str">
        <f t="shared" si="0"/>
        <v>2017/02/24 11:43:24.502</v>
      </c>
      <c r="C29" s="20">
        <f t="shared" si="1"/>
        <v>5.9259255067445338E-6</v>
      </c>
    </row>
    <row r="30" spans="1:3" x14ac:dyDescent="0.25">
      <c r="A30" t="s">
        <v>934</v>
      </c>
      <c r="B30" s="20" t="str">
        <f t="shared" si="0"/>
        <v>2017/02/24 11:43:24.802</v>
      </c>
      <c r="C30" s="20">
        <f t="shared" si="1"/>
        <v>3.4722252166830003E-6</v>
      </c>
    </row>
    <row r="31" spans="1:3" x14ac:dyDescent="0.25">
      <c r="A31" t="s">
        <v>935</v>
      </c>
      <c r="B31" s="20" t="str">
        <f t="shared" ref="B31:B32" si="2">MID(A31,6,23)</f>
        <v>2017/02/24 11:44:14.001</v>
      </c>
      <c r="C31" s="20">
        <f t="shared" ref="C31:C32" si="3">ABS(B31-B30)</f>
        <v>5.6943287199828774E-4</v>
      </c>
    </row>
    <row r="32" spans="1:3" x14ac:dyDescent="0.25">
      <c r="A32" t="s">
        <v>936</v>
      </c>
      <c r="B32" s="20" t="str">
        <f t="shared" si="2"/>
        <v>2017/02/24 11:44:14.508</v>
      </c>
      <c r="C32" s="20">
        <f t="shared" si="3"/>
        <v>5.8680525398813188E-6</v>
      </c>
    </row>
    <row r="33" spans="1:3" x14ac:dyDescent="0.25">
      <c r="A33" t="s">
        <v>937</v>
      </c>
      <c r="B33" s="20" t="str">
        <f t="shared" ref="B33:B49" si="4">MID(A33,6,23)</f>
        <v>2017/02/24 11:44:14.803</v>
      </c>
      <c r="C33" s="20">
        <f t="shared" ref="C33:C49" si="5">ABS(B33-B32)</f>
        <v>3.4143522498197854E-6</v>
      </c>
    </row>
    <row r="34" spans="1:3" x14ac:dyDescent="0.25">
      <c r="A34" t="s">
        <v>938</v>
      </c>
      <c r="B34" s="20" t="str">
        <f t="shared" si="4"/>
        <v>2017/02/24 11:53:09.487</v>
      </c>
      <c r="C34" s="20">
        <f t="shared" si="5"/>
        <v>6.1884722235845402E-3</v>
      </c>
    </row>
    <row r="35" spans="1:3" x14ac:dyDescent="0.25">
      <c r="A35" t="s">
        <v>939</v>
      </c>
      <c r="B35" s="20" t="str">
        <f t="shared" si="4"/>
        <v>2017/02/24 11:53:09.949</v>
      </c>
      <c r="C35" s="20">
        <f t="shared" si="5"/>
        <v>5.3472176659852266E-6</v>
      </c>
    </row>
    <row r="36" spans="1:3" x14ac:dyDescent="0.25">
      <c r="A36" t="s">
        <v>940</v>
      </c>
      <c r="B36" s="20" t="str">
        <f t="shared" si="4"/>
        <v>2017/02/24 11:53:10.786</v>
      </c>
      <c r="C36" s="20">
        <f t="shared" si="5"/>
        <v>9.6875010058283806E-6</v>
      </c>
    </row>
    <row r="37" spans="1:3" x14ac:dyDescent="0.25">
      <c r="A37" t="s">
        <v>941</v>
      </c>
      <c r="B37" s="20" t="str">
        <f t="shared" si="4"/>
        <v>2017/02/24 13:23:38.794</v>
      </c>
      <c r="C37" s="20">
        <f t="shared" si="5"/>
        <v>6.2824166670907289E-2</v>
      </c>
    </row>
    <row r="38" spans="1:3" x14ac:dyDescent="0.25">
      <c r="A38" t="s">
        <v>942</v>
      </c>
      <c r="B38" s="20" t="str">
        <f t="shared" si="4"/>
        <v>2017/02/24 13:28:28.989</v>
      </c>
      <c r="C38" s="20">
        <f t="shared" si="5"/>
        <v>3.3587384241400287E-3</v>
      </c>
    </row>
    <row r="39" spans="1:3" x14ac:dyDescent="0.25">
      <c r="A39" t="s">
        <v>943</v>
      </c>
      <c r="B39" s="20" t="str">
        <f t="shared" si="4"/>
        <v>2017/02/24 13:28:29.495</v>
      </c>
      <c r="C39" s="20">
        <f t="shared" si="5"/>
        <v>5.8564837672747672E-6</v>
      </c>
    </row>
    <row r="40" spans="1:3" x14ac:dyDescent="0.25">
      <c r="A40" t="s">
        <v>944</v>
      </c>
      <c r="B40" s="20" t="str">
        <f t="shared" si="4"/>
        <v>2017/02/24 13:28:29.789</v>
      </c>
      <c r="C40" s="20">
        <f t="shared" si="5"/>
        <v>3.4027762012556195E-6</v>
      </c>
    </row>
    <row r="41" spans="1:3" x14ac:dyDescent="0.25">
      <c r="A41" t="s">
        <v>945</v>
      </c>
      <c r="B41" s="20" t="str">
        <f t="shared" si="4"/>
        <v>2017/02/24 13:52:19.975</v>
      </c>
      <c r="C41" s="20">
        <f t="shared" si="5"/>
        <v>1.6553078705328517E-2</v>
      </c>
    </row>
    <row r="42" spans="1:3" x14ac:dyDescent="0.25">
      <c r="A42" t="s">
        <v>946</v>
      </c>
      <c r="B42" s="20" t="str">
        <f t="shared" si="4"/>
        <v>2017/02/24 13:54:00.047</v>
      </c>
      <c r="C42" s="20">
        <f t="shared" si="5"/>
        <v>1.1582407387322746E-3</v>
      </c>
    </row>
    <row r="43" spans="1:3" x14ac:dyDescent="0.25">
      <c r="A43" t="s">
        <v>947</v>
      </c>
      <c r="B43" s="20" t="str">
        <f t="shared" si="4"/>
        <v>2017/02/24 13:54:02.675</v>
      </c>
      <c r="C43" s="20">
        <f t="shared" si="5"/>
        <v>3.041666786884889E-5</v>
      </c>
    </row>
    <row r="44" spans="1:3" x14ac:dyDescent="0.25">
      <c r="A44" t="s">
        <v>948</v>
      </c>
      <c r="B44" s="20" t="str">
        <f t="shared" si="4"/>
        <v>2017/02/24 14:18:05.722</v>
      </c>
      <c r="C44" s="20">
        <f t="shared" si="5"/>
        <v>1.6701932865544222E-2</v>
      </c>
    </row>
    <row r="45" spans="1:3" x14ac:dyDescent="0.25">
      <c r="A45" t="s">
        <v>949</v>
      </c>
      <c r="B45" s="20" t="str">
        <f t="shared" si="4"/>
        <v>2017/02/24 14:18:06.100</v>
      </c>
      <c r="C45" s="20">
        <f t="shared" si="5"/>
        <v>4.3750042095780373E-6</v>
      </c>
    </row>
    <row r="46" spans="1:3" x14ac:dyDescent="0.25">
      <c r="A46" t="s">
        <v>950</v>
      </c>
      <c r="B46" s="20" t="str">
        <f t="shared" si="4"/>
        <v>2017/02/24 14:18:06.164</v>
      </c>
      <c r="C46" s="20">
        <f t="shared" si="5"/>
        <v>7.4073614086955786E-7</v>
      </c>
    </row>
    <row r="47" spans="1:3" x14ac:dyDescent="0.25">
      <c r="A47" t="s">
        <v>951</v>
      </c>
      <c r="B47" s="20" t="str">
        <f t="shared" si="4"/>
        <v>2017/02/24 14:22:08.694</v>
      </c>
      <c r="C47" s="20">
        <f t="shared" si="5"/>
        <v>2.8070601911167614E-3</v>
      </c>
    </row>
    <row r="48" spans="1:3" x14ac:dyDescent="0.25">
      <c r="A48" t="s">
        <v>952</v>
      </c>
      <c r="B48" s="20" t="str">
        <f t="shared" si="4"/>
        <v>2017/02/24 14:30:18.748</v>
      </c>
      <c r="C48" s="20">
        <f t="shared" si="5"/>
        <v>5.6719212952884845E-3</v>
      </c>
    </row>
    <row r="49" spans="1:3" x14ac:dyDescent="0.25">
      <c r="A49" t="s">
        <v>953</v>
      </c>
      <c r="B49" s="20" t="str">
        <f t="shared" si="4"/>
        <v>2017/02/24 14:30:19.336</v>
      </c>
      <c r="C49" s="20">
        <f t="shared" si="5"/>
        <v>6.8055524025112391E-6</v>
      </c>
    </row>
    <row r="50" spans="1:3" x14ac:dyDescent="0.25">
      <c r="A50" t="s">
        <v>954</v>
      </c>
      <c r="B50" s="20" t="str">
        <f t="shared" ref="B50:B54" si="6">MID(A50,6,23)</f>
        <v>2017/02/24 15:06:45.982</v>
      </c>
      <c r="C50" s="20">
        <f t="shared" ref="C50:C54" si="7">ABS(B50-B49)</f>
        <v>2.5308402779046446E-2</v>
      </c>
    </row>
    <row r="51" spans="1:3" x14ac:dyDescent="0.25">
      <c r="A51" t="s">
        <v>955</v>
      </c>
      <c r="B51" s="20" t="str">
        <f t="shared" si="6"/>
        <v>2017/02/24 15:06:46.784</v>
      </c>
      <c r="C51" s="20">
        <f t="shared" si="7"/>
        <v>9.2824047897011042E-6</v>
      </c>
    </row>
    <row r="52" spans="1:3" x14ac:dyDescent="0.25">
      <c r="A52" t="s">
        <v>956</v>
      </c>
      <c r="B52" s="20" t="str">
        <f t="shared" si="6"/>
        <v>2017/02/24 15:06:47.490</v>
      </c>
      <c r="C52" s="20">
        <f t="shared" si="7"/>
        <v>8.1713005783967674E-6</v>
      </c>
    </row>
    <row r="53" spans="1:3" x14ac:dyDescent="0.25">
      <c r="A53" t="s">
        <v>957</v>
      </c>
      <c r="B53" s="20" t="str">
        <f t="shared" si="6"/>
        <v>2017/02/24 15:21:35.690</v>
      </c>
      <c r="C53" s="20">
        <f t="shared" si="7"/>
        <v>1.0280092588800471E-2</v>
      </c>
    </row>
    <row r="54" spans="1:3" x14ac:dyDescent="0.25">
      <c r="A54" t="s">
        <v>958</v>
      </c>
      <c r="B54" s="20" t="str">
        <f t="shared" si="6"/>
        <v>2017/02/24 15:21:36.018</v>
      </c>
      <c r="C54" s="20">
        <f t="shared" si="7"/>
        <v>3.7962963688187301E-6</v>
      </c>
    </row>
    <row r="55" spans="1:3" x14ac:dyDescent="0.25">
      <c r="A55" t="s">
        <v>959</v>
      </c>
      <c r="B55" s="20" t="str">
        <f t="shared" ref="B55:B62" si="8">MID(A55,6,23)</f>
        <v>2017/02/24 15:21:36.062</v>
      </c>
      <c r="C55" s="20">
        <f t="shared" ref="C55:C62" si="9">ABS(B55-B54)</f>
        <v>5.0925882533192635E-7</v>
      </c>
    </row>
    <row r="56" spans="1:3" x14ac:dyDescent="0.25">
      <c r="A56" t="s">
        <v>960</v>
      </c>
      <c r="B56" s="20" t="str">
        <f t="shared" si="8"/>
        <v>2017/02/24 15:21:36.253</v>
      </c>
      <c r="C56" s="20">
        <f t="shared" si="9"/>
        <v>2.2106469259597361E-6</v>
      </c>
    </row>
    <row r="57" spans="1:3" x14ac:dyDescent="0.25">
      <c r="A57" t="s">
        <v>961</v>
      </c>
      <c r="B57" s="20" t="str">
        <f t="shared" si="8"/>
        <v>2017/02/24 15:21:36.262</v>
      </c>
      <c r="C57" s="20">
        <f t="shared" si="9"/>
        <v>1.0416988516226411E-7</v>
      </c>
    </row>
    <row r="58" spans="1:3" x14ac:dyDescent="0.25">
      <c r="A58" t="s">
        <v>962</v>
      </c>
      <c r="B58" s="20" t="str">
        <f t="shared" si="8"/>
        <v>2017/02/24 15:21:36.333</v>
      </c>
      <c r="C58" s="20">
        <f t="shared" si="9"/>
        <v>8.2176120486110449E-7</v>
      </c>
    </row>
    <row r="59" spans="1:3" x14ac:dyDescent="0.25">
      <c r="A59" t="s">
        <v>963</v>
      </c>
      <c r="B59" s="20" t="str">
        <f t="shared" si="8"/>
        <v>2017/02/24 15:22:18.935</v>
      </c>
      <c r="C59" s="20">
        <f t="shared" si="9"/>
        <v>4.9307870358461514E-4</v>
      </c>
    </row>
    <row r="60" spans="1:3" x14ac:dyDescent="0.25">
      <c r="A60" t="s">
        <v>964</v>
      </c>
      <c r="B60" s="20" t="str">
        <f t="shared" si="8"/>
        <v>2017/02/24 15:58:00.752</v>
      </c>
      <c r="C60" s="20">
        <f t="shared" si="9"/>
        <v>2.4789548609987833E-2</v>
      </c>
    </row>
    <row r="61" spans="1:3" x14ac:dyDescent="0.25">
      <c r="A61" t="s">
        <v>965</v>
      </c>
      <c r="B61" s="20" t="str">
        <f t="shared" si="8"/>
        <v>2017/02/24 15:58:01.730</v>
      </c>
      <c r="C61" s="20">
        <f t="shared" si="9"/>
        <v>1.131944009102881E-5</v>
      </c>
    </row>
    <row r="62" spans="1:3" x14ac:dyDescent="0.25">
      <c r="A62" t="s">
        <v>966</v>
      </c>
      <c r="B62" s="20" t="str">
        <f t="shared" si="8"/>
        <v>2017/02/24 15:58:02.316</v>
      </c>
      <c r="C62" s="20">
        <f t="shared" si="9"/>
        <v>6.7824075813405216E-6</v>
      </c>
    </row>
    <row r="63" spans="1:3" x14ac:dyDescent="0.25">
      <c r="A63" t="s">
        <v>967</v>
      </c>
      <c r="B63" s="20" t="str">
        <f t="shared" ref="B63:B86" si="10">MID(A63,6,23)</f>
        <v>2017/02/24 16:23:02.352</v>
      </c>
      <c r="C63" s="20">
        <f t="shared" ref="C63:C86" si="11">ABS(B63-B62)</f>
        <v>1.7361527781758923E-2</v>
      </c>
    </row>
    <row r="64" spans="1:3" x14ac:dyDescent="0.25">
      <c r="A64" t="s">
        <v>968</v>
      </c>
      <c r="B64" s="20" t="str">
        <f t="shared" si="10"/>
        <v>2017/02/24 16:23:03.751</v>
      </c>
      <c r="C64" s="20">
        <f t="shared" si="11"/>
        <v>1.6192127077374607E-5</v>
      </c>
    </row>
    <row r="65" spans="1:3" x14ac:dyDescent="0.25">
      <c r="A65" t="s">
        <v>969</v>
      </c>
      <c r="B65" s="20" t="str">
        <f t="shared" si="10"/>
        <v>2017/02/24 16:23:03.753</v>
      </c>
      <c r="C65" s="20">
        <f t="shared" si="11"/>
        <v>2.3152097128331661E-8</v>
      </c>
    </row>
    <row r="66" spans="1:3" x14ac:dyDescent="0.25">
      <c r="A66" t="s">
        <v>970</v>
      </c>
      <c r="B66" s="20" t="str">
        <f t="shared" si="10"/>
        <v>2017/02/24 16:53:14.796</v>
      </c>
      <c r="C66" s="20">
        <f t="shared" si="11"/>
        <v>2.0961145834007766E-2</v>
      </c>
    </row>
    <row r="67" spans="1:3" x14ac:dyDescent="0.25">
      <c r="A67" t="s">
        <v>971</v>
      </c>
      <c r="B67" s="20" t="str">
        <f t="shared" si="10"/>
        <v>2017/02/24 16:53:14.988</v>
      </c>
      <c r="C67" s="20">
        <f t="shared" si="11"/>
        <v>2.2222229745239019E-6</v>
      </c>
    </row>
    <row r="68" spans="1:3" x14ac:dyDescent="0.25">
      <c r="A68" t="s">
        <v>972</v>
      </c>
      <c r="B68" s="20" t="str">
        <f t="shared" si="10"/>
        <v>2017/02/24 16:53:15.487</v>
      </c>
      <c r="C68" s="20">
        <f t="shared" si="11"/>
        <v>5.7754587032832205E-6</v>
      </c>
    </row>
    <row r="69" spans="1:3" x14ac:dyDescent="0.25">
      <c r="A69" t="s">
        <v>973</v>
      </c>
      <c r="B69" s="20" t="str">
        <f t="shared" si="10"/>
        <v>2017/02/24 16:59:14.255</v>
      </c>
      <c r="C69" s="20">
        <f t="shared" si="11"/>
        <v>4.1524074113112874E-3</v>
      </c>
    </row>
    <row r="70" spans="1:3" x14ac:dyDescent="0.25">
      <c r="A70" t="s">
        <v>974</v>
      </c>
      <c r="B70" s="20" t="str">
        <f t="shared" si="10"/>
        <v>2017/02/24 16:59:15.063</v>
      </c>
      <c r="C70" s="20">
        <f t="shared" si="11"/>
        <v>9.3518465291708708E-6</v>
      </c>
    </row>
    <row r="71" spans="1:3" x14ac:dyDescent="0.25">
      <c r="A71" t="s">
        <v>975</v>
      </c>
      <c r="B71" s="20" t="str">
        <f t="shared" si="10"/>
        <v>2017/02/24 16:59:15.693</v>
      </c>
      <c r="C71" s="20">
        <f t="shared" si="11"/>
        <v>7.2916664066724479E-6</v>
      </c>
    </row>
    <row r="72" spans="1:3" x14ac:dyDescent="0.25">
      <c r="A72" t="s">
        <v>976</v>
      </c>
      <c r="B72" s="20" t="str">
        <f t="shared" si="10"/>
        <v>2017/02/24 17:06:48.799</v>
      </c>
      <c r="C72" s="20">
        <f t="shared" si="11"/>
        <v>5.2442824089666829E-3</v>
      </c>
    </row>
    <row r="73" spans="1:3" x14ac:dyDescent="0.25">
      <c r="A73" t="s">
        <v>977</v>
      </c>
      <c r="B73" s="20" t="str">
        <f t="shared" si="10"/>
        <v>2017/02/24 17:06:48.997</v>
      </c>
      <c r="C73" s="20">
        <f t="shared" si="11"/>
        <v>2.2916647139936686E-6</v>
      </c>
    </row>
    <row r="74" spans="1:3" x14ac:dyDescent="0.25">
      <c r="A74" t="s">
        <v>978</v>
      </c>
      <c r="B74" s="20" t="str">
        <f t="shared" si="10"/>
        <v>2017/02/24 17:06:49.506</v>
      </c>
      <c r="C74" s="20">
        <f t="shared" si="11"/>
        <v>5.8912046370096505E-6</v>
      </c>
    </row>
    <row r="75" spans="1:3" x14ac:dyDescent="0.25">
      <c r="A75" t="s">
        <v>979</v>
      </c>
      <c r="B75" s="20" t="str">
        <f t="shared" si="10"/>
        <v>2017/02/24 17:06:58.694</v>
      </c>
      <c r="C75" s="20">
        <f t="shared" si="11"/>
        <v>1.0634259524522349E-4</v>
      </c>
    </row>
    <row r="76" spans="1:3" x14ac:dyDescent="0.25">
      <c r="A76" t="s">
        <v>980</v>
      </c>
      <c r="B76" s="20" t="str">
        <f t="shared" si="10"/>
        <v>2017/02/24 17:06:59.061</v>
      </c>
      <c r="C76" s="20">
        <f t="shared" si="11"/>
        <v>4.2476822272874415E-6</v>
      </c>
    </row>
    <row r="77" spans="1:3" x14ac:dyDescent="0.25">
      <c r="A77" t="s">
        <v>981</v>
      </c>
      <c r="B77" s="20" t="str">
        <f t="shared" si="10"/>
        <v>2017/02/24 17:06:59.258</v>
      </c>
      <c r="C77" s="20">
        <f t="shared" si="11"/>
        <v>2.2800959413871169E-6</v>
      </c>
    </row>
    <row r="78" spans="1:3" x14ac:dyDescent="0.25">
      <c r="A78" t="s">
        <v>982</v>
      </c>
      <c r="B78" s="20" t="str">
        <f t="shared" si="10"/>
        <v>2017/02/24 17:22:49.676</v>
      </c>
      <c r="C78" s="20">
        <f t="shared" si="11"/>
        <v>1.1000208331097383E-2</v>
      </c>
    </row>
    <row r="79" spans="1:3" x14ac:dyDescent="0.25">
      <c r="A79" t="s">
        <v>983</v>
      </c>
      <c r="B79" s="20" t="str">
        <f t="shared" si="10"/>
        <v>2017/02/24 17:22:50.043</v>
      </c>
      <c r="C79" s="20">
        <f t="shared" si="11"/>
        <v>4.2476895032450557E-6</v>
      </c>
    </row>
    <row r="80" spans="1:3" x14ac:dyDescent="0.25">
      <c r="A80" t="s">
        <v>984</v>
      </c>
      <c r="B80" s="20" t="str">
        <f t="shared" si="10"/>
        <v>2017/02/24 17:22:50.248</v>
      </c>
      <c r="C80" s="20">
        <f t="shared" si="11"/>
        <v>2.372682502027601E-6</v>
      </c>
    </row>
    <row r="81" spans="1:3" x14ac:dyDescent="0.25">
      <c r="A81" t="s">
        <v>985</v>
      </c>
      <c r="B81" s="20" t="str">
        <f t="shared" si="10"/>
        <v>2017/02/24 18:06:41.738</v>
      </c>
      <c r="C81" s="20">
        <f t="shared" si="11"/>
        <v>3.0457060187472962E-2</v>
      </c>
    </row>
    <row r="82" spans="1:3" x14ac:dyDescent="0.25">
      <c r="A82" t="s">
        <v>986</v>
      </c>
      <c r="B82" s="20" t="str">
        <f t="shared" si="10"/>
        <v>2017/02/24 18:06:44.349</v>
      </c>
      <c r="C82" s="20">
        <f t="shared" si="11"/>
        <v>3.0219904147088528E-5</v>
      </c>
    </row>
    <row r="83" spans="1:3" x14ac:dyDescent="0.25">
      <c r="A83" t="s">
        <v>987</v>
      </c>
      <c r="B83" s="20" t="str">
        <f t="shared" si="10"/>
        <v>2017/02/24 18:06:44.786</v>
      </c>
      <c r="C83" s="20">
        <f t="shared" si="11"/>
        <v>5.0578673835843801E-6</v>
      </c>
    </row>
    <row r="84" spans="1:3" x14ac:dyDescent="0.25">
      <c r="A84" t="s">
        <v>988</v>
      </c>
      <c r="B84" s="20" t="str">
        <f t="shared" si="10"/>
        <v>2017/02/24 19:15:38.493</v>
      </c>
      <c r="C84" s="20">
        <f t="shared" si="11"/>
        <v>4.7843831023783423E-2</v>
      </c>
    </row>
    <row r="85" spans="1:3" x14ac:dyDescent="0.25">
      <c r="A85" t="s">
        <v>989</v>
      </c>
      <c r="B85" s="20" t="str">
        <f t="shared" si="10"/>
        <v>2017/02/24 19:20:28.090</v>
      </c>
      <c r="C85" s="20">
        <f t="shared" si="11"/>
        <v>3.351817125803791E-3</v>
      </c>
    </row>
    <row r="86" spans="1:3" x14ac:dyDescent="0.25">
      <c r="A86" t="s">
        <v>990</v>
      </c>
      <c r="B86" s="20" t="str">
        <f t="shared" si="10"/>
        <v>2017/02/24 19:20:28.125</v>
      </c>
      <c r="C86" s="20">
        <f t="shared" si="11"/>
        <v>4.0509621612727642E-7</v>
      </c>
    </row>
    <row r="87" spans="1:3" x14ac:dyDescent="0.25">
      <c r="A87" t="s">
        <v>991</v>
      </c>
      <c r="B87" s="20" t="str">
        <f t="shared" ref="B87:B146" si="12">MID(A87,6,23)</f>
        <v>2017/02/24 19:20:28.934</v>
      </c>
      <c r="C87" s="20">
        <f t="shared" ref="C87:C146" si="13">ABS(B87-B86)</f>
        <v>9.3634225777350366E-6</v>
      </c>
    </row>
    <row r="88" spans="1:3" x14ac:dyDescent="0.25">
      <c r="A88" t="s">
        <v>992</v>
      </c>
      <c r="B88" s="20" t="str">
        <f t="shared" si="12"/>
        <v>2017/02/24 19:28:54.934</v>
      </c>
      <c r="C88" s="20">
        <f t="shared" si="13"/>
        <v>5.8564814826240763E-3</v>
      </c>
    </row>
    <row r="89" spans="1:3" x14ac:dyDescent="0.25">
      <c r="A89" t="s">
        <v>993</v>
      </c>
      <c r="B89" s="20" t="str">
        <f t="shared" si="12"/>
        <v>2017/02/24 20:06:42.198</v>
      </c>
      <c r="C89" s="20">
        <f t="shared" si="13"/>
        <v>2.6241481478791684E-2</v>
      </c>
    </row>
    <row r="90" spans="1:3" x14ac:dyDescent="0.25">
      <c r="A90" t="s">
        <v>994</v>
      </c>
      <c r="B90" s="20" t="str">
        <f t="shared" si="12"/>
        <v>2017/02/24 20:06:42.375</v>
      </c>
      <c r="C90" s="20">
        <f t="shared" si="13"/>
        <v>2.0486113498918712E-6</v>
      </c>
    </row>
    <row r="91" spans="1:3" x14ac:dyDescent="0.25">
      <c r="A91" t="s">
        <v>995</v>
      </c>
      <c r="B91" s="20" t="str">
        <f t="shared" si="12"/>
        <v>2017/02/24 20:06:42.389</v>
      </c>
      <c r="C91" s="20">
        <f t="shared" si="13"/>
        <v>1.6204285202547908E-7</v>
      </c>
    </row>
    <row r="92" spans="1:3" x14ac:dyDescent="0.25">
      <c r="A92" t="s">
        <v>996</v>
      </c>
      <c r="B92" s="20" t="str">
        <f t="shared" si="12"/>
        <v>2017/02/24 20:19:56.039</v>
      </c>
      <c r="C92" s="20">
        <f t="shared" si="13"/>
        <v>9.1857638835790567E-3</v>
      </c>
    </row>
    <row r="93" spans="1:3" x14ac:dyDescent="0.25">
      <c r="A93" t="s">
        <v>997</v>
      </c>
      <c r="B93" s="20" t="str">
        <f t="shared" si="12"/>
        <v>2017/02/24 20:19:56.276</v>
      </c>
      <c r="C93" s="20">
        <f t="shared" si="13"/>
        <v>2.7430578484199941E-6</v>
      </c>
    </row>
    <row r="94" spans="1:3" x14ac:dyDescent="0.25">
      <c r="A94" t="s">
        <v>998</v>
      </c>
      <c r="B94" s="20" t="str">
        <f t="shared" si="12"/>
        <v>2017/02/24 20:19:56.359</v>
      </c>
      <c r="C94" s="20">
        <f t="shared" si="13"/>
        <v>9.6065195975825191E-7</v>
      </c>
    </row>
    <row r="95" spans="1:3" x14ac:dyDescent="0.25">
      <c r="A95" t="s">
        <v>999</v>
      </c>
      <c r="B95" s="20" t="str">
        <f t="shared" si="12"/>
        <v>2017/02/24 20:52:56.779</v>
      </c>
      <c r="C95" s="20">
        <f t="shared" si="13"/>
        <v>2.2921527772268746E-2</v>
      </c>
    </row>
    <row r="96" spans="1:3" x14ac:dyDescent="0.25">
      <c r="A96" t="s">
        <v>1000</v>
      </c>
      <c r="B96" s="20" t="str">
        <f t="shared" si="12"/>
        <v>2017/02/24 20:52:56.979</v>
      </c>
      <c r="C96" s="20">
        <f t="shared" si="13"/>
        <v>2.3148168111220002E-6</v>
      </c>
    </row>
    <row r="97" spans="1:3" x14ac:dyDescent="0.25">
      <c r="A97" t="s">
        <v>1001</v>
      </c>
      <c r="B97" s="20" t="str">
        <f t="shared" si="12"/>
        <v>2017/02/24 20:52:57.492</v>
      </c>
      <c r="C97" s="20">
        <f t="shared" si="13"/>
        <v>5.9375015553086996E-6</v>
      </c>
    </row>
    <row r="98" spans="1:3" x14ac:dyDescent="0.25">
      <c r="A98" t="s">
        <v>1002</v>
      </c>
      <c r="B98" s="20" t="str">
        <f t="shared" si="12"/>
        <v>2017/02/24 21:21:19.071</v>
      </c>
      <c r="C98" s="20">
        <f t="shared" si="13"/>
        <v>1.9694201386300847E-2</v>
      </c>
    </row>
    <row r="99" spans="1:3" x14ac:dyDescent="0.25">
      <c r="A99" t="s">
        <v>1003</v>
      </c>
      <c r="B99" s="20" t="str">
        <f t="shared" si="12"/>
        <v>2017/02/24 21:21:19.094</v>
      </c>
      <c r="C99" s="20">
        <f t="shared" si="13"/>
        <v>2.66205461230129E-7</v>
      </c>
    </row>
    <row r="100" spans="1:3" x14ac:dyDescent="0.25">
      <c r="A100" t="s">
        <v>1004</v>
      </c>
      <c r="B100" s="20" t="str">
        <f t="shared" si="12"/>
        <v>2017/02/24 21:21:19.667</v>
      </c>
      <c r="C100" s="20">
        <f t="shared" si="13"/>
        <v>6.6319407778792083E-6</v>
      </c>
    </row>
    <row r="101" spans="1:3" x14ac:dyDescent="0.25">
      <c r="A101" t="s">
        <v>1005</v>
      </c>
      <c r="B101" s="20" t="str">
        <f t="shared" si="12"/>
        <v>2017/02/24 21:47:58.659</v>
      </c>
      <c r="C101" s="20">
        <f t="shared" si="13"/>
        <v>1.8506851854908746E-2</v>
      </c>
    </row>
    <row r="102" spans="1:3" x14ac:dyDescent="0.25">
      <c r="A102" t="s">
        <v>1006</v>
      </c>
      <c r="B102" s="20" t="str">
        <f t="shared" si="12"/>
        <v>2017/02/24 21:47:59.292</v>
      </c>
      <c r="C102" s="20">
        <f t="shared" si="13"/>
        <v>7.3263872764073312E-6</v>
      </c>
    </row>
    <row r="103" spans="1:3" x14ac:dyDescent="0.25">
      <c r="A103" t="s">
        <v>1007</v>
      </c>
      <c r="B103" s="20" t="str">
        <f t="shared" si="12"/>
        <v>2017/02/24 21:47:59.567</v>
      </c>
      <c r="C103" s="20">
        <f t="shared" si="13"/>
        <v>3.1828749342821538E-6</v>
      </c>
    </row>
    <row r="104" spans="1:3" x14ac:dyDescent="0.25">
      <c r="A104" t="s">
        <v>1008</v>
      </c>
      <c r="B104" s="20" t="str">
        <f t="shared" si="12"/>
        <v>2017/02/24 22:47:03.098</v>
      </c>
      <c r="C104" s="20">
        <f t="shared" si="13"/>
        <v>4.1013090274645947E-2</v>
      </c>
    </row>
    <row r="105" spans="1:3" x14ac:dyDescent="0.25">
      <c r="A105" t="s">
        <v>1009</v>
      </c>
      <c r="B105" s="20" t="str">
        <f t="shared" si="12"/>
        <v>2017/02/24 22:47:03.116</v>
      </c>
      <c r="C105" s="20">
        <f t="shared" si="13"/>
        <v>2.0833249436691403E-7</v>
      </c>
    </row>
    <row r="106" spans="1:3" x14ac:dyDescent="0.25">
      <c r="A106" t="s">
        <v>1010</v>
      </c>
      <c r="B106" s="20" t="str">
        <f t="shared" si="12"/>
        <v>2017/02/24 22:47:03.686</v>
      </c>
      <c r="C106" s="20">
        <f t="shared" si="13"/>
        <v>6.597219908144325E-6</v>
      </c>
    </row>
    <row r="107" spans="1:3" x14ac:dyDescent="0.25">
      <c r="A107" t="s">
        <v>1011</v>
      </c>
      <c r="B107" s="20" t="str">
        <f t="shared" si="12"/>
        <v>2017/02/24 22:51:32.158</v>
      </c>
      <c r="C107" s="20">
        <f t="shared" si="13"/>
        <v>3.1073148202267475E-3</v>
      </c>
    </row>
    <row r="108" spans="1:3" x14ac:dyDescent="0.25">
      <c r="A108" t="s">
        <v>1012</v>
      </c>
      <c r="B108" s="20" t="str">
        <f t="shared" si="12"/>
        <v>2017/02/24 22:51:32.638</v>
      </c>
      <c r="C108" s="20">
        <f t="shared" si="13"/>
        <v>5.5555501603521407E-6</v>
      </c>
    </row>
    <row r="109" spans="1:3" x14ac:dyDescent="0.25">
      <c r="A109" t="s">
        <v>1013</v>
      </c>
      <c r="B109" s="20" t="str">
        <f t="shared" si="12"/>
        <v>2017/02/24 22:51:33.164</v>
      </c>
      <c r="C109" s="20">
        <f t="shared" si="13"/>
        <v>6.0879683587700129E-6</v>
      </c>
    </row>
    <row r="110" spans="1:3" x14ac:dyDescent="0.25">
      <c r="A110" t="s">
        <v>1014</v>
      </c>
      <c r="B110" s="20" t="str">
        <f t="shared" si="12"/>
        <v>2017/02/24 23:59:29.255</v>
      </c>
      <c r="C110" s="20">
        <f t="shared" si="13"/>
        <v>4.7176979162031785E-2</v>
      </c>
    </row>
    <row r="111" spans="1:3" x14ac:dyDescent="0.25">
      <c r="A111" t="s">
        <v>1015</v>
      </c>
      <c r="B111" s="20" t="str">
        <f t="shared" si="12"/>
        <v>2017/02/25 00:53:12.486</v>
      </c>
      <c r="C111" s="20">
        <f t="shared" si="13"/>
        <v>3.7305914353055414E-2</v>
      </c>
    </row>
    <row r="112" spans="1:3" x14ac:dyDescent="0.25">
      <c r="A112" t="s">
        <v>1016</v>
      </c>
      <c r="B112" s="20" t="str">
        <f t="shared" si="12"/>
        <v>2017/02/25 00:53:12.938</v>
      </c>
      <c r="C112" s="20">
        <f t="shared" si="13"/>
        <v>5.2314862841740251E-6</v>
      </c>
    </row>
    <row r="113" spans="1:3" x14ac:dyDescent="0.25">
      <c r="A113" t="s">
        <v>1017</v>
      </c>
      <c r="B113" s="20" t="str">
        <f t="shared" si="12"/>
        <v>2017/02/25 00:53:13.697</v>
      </c>
      <c r="C113" s="20">
        <f t="shared" si="13"/>
        <v>8.7847220129333436E-6</v>
      </c>
    </row>
    <row r="114" spans="1:3" x14ac:dyDescent="0.25">
      <c r="A114" t="s">
        <v>1018</v>
      </c>
      <c r="B114" s="20" t="str">
        <f t="shared" si="12"/>
        <v>2017/02/25 01:29:47.278</v>
      </c>
      <c r="C114" s="20">
        <f t="shared" si="13"/>
        <v>2.5388668975210749E-2</v>
      </c>
    </row>
    <row r="115" spans="1:3" x14ac:dyDescent="0.25">
      <c r="A115" t="s">
        <v>1019</v>
      </c>
      <c r="B115" s="20" t="str">
        <f t="shared" si="12"/>
        <v>2017/02/25 01:29:48.042</v>
      </c>
      <c r="C115" s="20">
        <f t="shared" si="13"/>
        <v>8.8425949797965586E-6</v>
      </c>
    </row>
    <row r="116" spans="1:3" x14ac:dyDescent="0.25">
      <c r="A116" t="s">
        <v>1020</v>
      </c>
      <c r="B116" s="20" t="str">
        <f t="shared" si="12"/>
        <v>2017/02/25 01:29:48.349</v>
      </c>
      <c r="C116" s="20">
        <f t="shared" si="13"/>
        <v>3.5532430047169328E-6</v>
      </c>
    </row>
    <row r="117" spans="1:3" x14ac:dyDescent="0.25">
      <c r="A117" t="s">
        <v>1021</v>
      </c>
      <c r="B117" s="20" t="str">
        <f t="shared" si="12"/>
        <v>2017/02/25 01:36:54.987</v>
      </c>
      <c r="C117" s="20">
        <f t="shared" si="13"/>
        <v>4.9379398114979267E-3</v>
      </c>
    </row>
    <row r="118" spans="1:3" x14ac:dyDescent="0.25">
      <c r="A118" t="s">
        <v>1022</v>
      </c>
      <c r="B118" s="20" t="str">
        <f t="shared" si="12"/>
        <v>2017/02/25 01:36:55.492</v>
      </c>
      <c r="C118" s="20">
        <f t="shared" si="13"/>
        <v>5.8449077187106013E-6</v>
      </c>
    </row>
    <row r="119" spans="1:3" x14ac:dyDescent="0.25">
      <c r="A119" t="s">
        <v>1023</v>
      </c>
      <c r="B119" s="20" t="str">
        <f t="shared" si="12"/>
        <v>2017/02/25 01:36:55.790</v>
      </c>
      <c r="C119" s="20">
        <f t="shared" si="13"/>
        <v>3.4490731195546687E-6</v>
      </c>
    </row>
    <row r="120" spans="1:3" x14ac:dyDescent="0.25">
      <c r="A120" t="s">
        <v>1024</v>
      </c>
      <c r="B120" s="20" t="str">
        <f t="shared" si="12"/>
        <v>2017/02/25 01:51:46.279</v>
      </c>
      <c r="C120" s="20">
        <f t="shared" si="13"/>
        <v>1.0306585652870126E-2</v>
      </c>
    </row>
    <row r="121" spans="1:3" x14ac:dyDescent="0.25">
      <c r="A121" t="s">
        <v>1025</v>
      </c>
      <c r="B121" s="20" t="str">
        <f t="shared" si="12"/>
        <v>2017/02/25 01:51:46.355</v>
      </c>
      <c r="C121" s="20">
        <f t="shared" si="13"/>
        <v>8.7962689576670527E-7</v>
      </c>
    </row>
    <row r="122" spans="1:3" x14ac:dyDescent="0.25">
      <c r="A122" t="s">
        <v>1026</v>
      </c>
      <c r="B122" s="20" t="str">
        <f t="shared" si="12"/>
        <v>2017/02/25 01:51:46.621</v>
      </c>
      <c r="C122" s="20">
        <f t="shared" si="13"/>
        <v>3.0787050491198897E-6</v>
      </c>
    </row>
    <row r="123" spans="1:3" x14ac:dyDescent="0.25">
      <c r="A123" t="s">
        <v>1027</v>
      </c>
      <c r="B123" s="20" t="str">
        <f t="shared" si="12"/>
        <v>2017/02/25 01:51:46.795</v>
      </c>
      <c r="C123" s="20">
        <f t="shared" si="13"/>
        <v>2.0138904801569879E-6</v>
      </c>
    </row>
    <row r="124" spans="1:3" x14ac:dyDescent="0.25">
      <c r="A124" t="s">
        <v>1028</v>
      </c>
      <c r="B124" s="20" t="str">
        <f t="shared" si="12"/>
        <v>2017/02/25 01:51:46.992</v>
      </c>
      <c r="C124" s="20">
        <f t="shared" si="13"/>
        <v>2.2800886654295027E-6</v>
      </c>
    </row>
    <row r="125" spans="1:3" x14ac:dyDescent="0.25">
      <c r="A125" t="s">
        <v>1029</v>
      </c>
      <c r="B125" s="20" t="str">
        <f t="shared" si="12"/>
        <v>2017/02/25 01:51:47.499</v>
      </c>
      <c r="C125" s="20">
        <f t="shared" si="13"/>
        <v>5.868059815838933E-6</v>
      </c>
    </row>
    <row r="126" spans="1:3" x14ac:dyDescent="0.25">
      <c r="A126" t="s">
        <v>1030</v>
      </c>
      <c r="B126" s="20" t="str">
        <f t="shared" si="12"/>
        <v>2017/02/25 02:04:53.951</v>
      </c>
      <c r="C126" s="20">
        <f t="shared" si="13"/>
        <v>9.1024537032353692E-3</v>
      </c>
    </row>
    <row r="127" spans="1:3" x14ac:dyDescent="0.25">
      <c r="A127" t="s">
        <v>1031</v>
      </c>
      <c r="B127" s="20" t="str">
        <f t="shared" si="12"/>
        <v>2017/02/25 02:04:54.253</v>
      </c>
      <c r="C127" s="20">
        <f t="shared" si="13"/>
        <v>3.4953700378537178E-6</v>
      </c>
    </row>
    <row r="128" spans="1:3" x14ac:dyDescent="0.25">
      <c r="A128" t="s">
        <v>1032</v>
      </c>
      <c r="B128" s="20" t="str">
        <f t="shared" si="12"/>
        <v>2017/02/25 02:04:54.744</v>
      </c>
      <c r="C128" s="20">
        <f t="shared" si="13"/>
        <v>5.6828648666851223E-6</v>
      </c>
    </row>
    <row r="129" spans="1:3" x14ac:dyDescent="0.25">
      <c r="A129" t="s">
        <v>1033</v>
      </c>
      <c r="B129" s="20" t="str">
        <f t="shared" si="12"/>
        <v>2017/02/25 02:08:27.975</v>
      </c>
      <c r="C129" s="20">
        <f t="shared" si="13"/>
        <v>2.4679513953742571E-3</v>
      </c>
    </row>
    <row r="130" spans="1:3" x14ac:dyDescent="0.25">
      <c r="A130" t="s">
        <v>1034</v>
      </c>
      <c r="B130" s="20" t="str">
        <f t="shared" si="12"/>
        <v>2017/02/25 02:08:28.474</v>
      </c>
      <c r="C130" s="20">
        <f t="shared" si="13"/>
        <v>5.7754587032832205E-6</v>
      </c>
    </row>
    <row r="131" spans="1:3" x14ac:dyDescent="0.25">
      <c r="A131" t="s">
        <v>1035</v>
      </c>
      <c r="B131" s="20" t="str">
        <f t="shared" si="12"/>
        <v>2017/02/25 02:08:28.778</v>
      </c>
      <c r="C131" s="20">
        <f t="shared" si="13"/>
        <v>3.5185221349820495E-6</v>
      </c>
    </row>
    <row r="132" spans="1:3" x14ac:dyDescent="0.25">
      <c r="A132" t="s">
        <v>1036</v>
      </c>
      <c r="B132" s="20" t="str">
        <f t="shared" si="12"/>
        <v>2017/02/25 02:26:31.081</v>
      </c>
      <c r="C132" s="20">
        <f t="shared" si="13"/>
        <v>1.2526655089459382E-2</v>
      </c>
    </row>
    <row r="133" spans="1:3" x14ac:dyDescent="0.25">
      <c r="A133" t="s">
        <v>1037</v>
      </c>
      <c r="B133" s="20" t="str">
        <f t="shared" si="12"/>
        <v>2017/02/25 02:26:31.103</v>
      </c>
      <c r="C133" s="20">
        <f t="shared" si="13"/>
        <v>2.5462941266596317E-7</v>
      </c>
    </row>
    <row r="134" spans="1:3" x14ac:dyDescent="0.25">
      <c r="A134" t="s">
        <v>1038</v>
      </c>
      <c r="B134" s="20" t="str">
        <f t="shared" si="12"/>
        <v>2017/02/25 02:26:31.678</v>
      </c>
      <c r="C134" s="20">
        <f t="shared" si="13"/>
        <v>6.65509287500754E-6</v>
      </c>
    </row>
    <row r="135" spans="1:3" x14ac:dyDescent="0.25">
      <c r="A135" t="s">
        <v>1039</v>
      </c>
      <c r="B135" s="20" t="str">
        <f t="shared" si="12"/>
        <v>2017/02/25 02:51:22.725</v>
      </c>
      <c r="C135" s="20">
        <f t="shared" si="13"/>
        <v>1.7257488427276257E-2</v>
      </c>
    </row>
    <row r="136" spans="1:3" x14ac:dyDescent="0.25">
      <c r="A136" t="s">
        <v>1040</v>
      </c>
      <c r="B136" s="20" t="str">
        <f t="shared" si="12"/>
        <v>2017/02/25 02:51:22.736</v>
      </c>
      <c r="C136" s="20">
        <f t="shared" si="13"/>
        <v>1.2731470633298159E-7</v>
      </c>
    </row>
    <row r="137" spans="1:3" x14ac:dyDescent="0.25">
      <c r="A137" t="s">
        <v>1041</v>
      </c>
      <c r="B137" s="20" t="str">
        <f t="shared" si="12"/>
        <v>2017/02/25 02:51:22.844</v>
      </c>
      <c r="C137" s="20">
        <f t="shared" si="13"/>
        <v>1.2500022421590984E-6</v>
      </c>
    </row>
    <row r="138" spans="1:3" x14ac:dyDescent="0.25">
      <c r="A138" t="s">
        <v>1042</v>
      </c>
      <c r="B138" s="20" t="str">
        <f t="shared" si="12"/>
        <v>2017/02/25 03:35:18.274</v>
      </c>
      <c r="C138" s="20">
        <f t="shared" si="13"/>
        <v>3.0502662033541128E-2</v>
      </c>
    </row>
    <row r="139" spans="1:3" x14ac:dyDescent="0.25">
      <c r="A139" t="s">
        <v>1043</v>
      </c>
      <c r="B139" s="20" t="str">
        <f t="shared" si="12"/>
        <v>2017/02/25 03:35:18.354</v>
      </c>
      <c r="C139" s="20">
        <f t="shared" si="13"/>
        <v>9.2592381406575441E-7</v>
      </c>
    </row>
    <row r="140" spans="1:3" x14ac:dyDescent="0.25">
      <c r="A140" t="s">
        <v>1044</v>
      </c>
      <c r="B140" s="20" t="str">
        <f t="shared" si="12"/>
        <v>2017/02/25 03:35:18.627</v>
      </c>
      <c r="C140" s="20">
        <f t="shared" si="13"/>
        <v>3.1597228371538222E-6</v>
      </c>
    </row>
    <row r="141" spans="1:3" x14ac:dyDescent="0.25">
      <c r="A141" t="s">
        <v>1045</v>
      </c>
      <c r="B141" s="20" t="str">
        <f t="shared" si="12"/>
        <v>2017/02/25 03:40:35.793</v>
      </c>
      <c r="C141" s="20">
        <f t="shared" si="13"/>
        <v>3.6709027772303671E-3</v>
      </c>
    </row>
    <row r="142" spans="1:3" x14ac:dyDescent="0.25">
      <c r="A142" t="s">
        <v>1046</v>
      </c>
      <c r="B142" s="20" t="str">
        <f t="shared" si="12"/>
        <v>2017/02/25 03:40:35.989</v>
      </c>
      <c r="C142" s="20">
        <f t="shared" si="13"/>
        <v>2.2685198928229511E-6</v>
      </c>
    </row>
    <row r="143" spans="1:3" x14ac:dyDescent="0.25">
      <c r="A143" t="s">
        <v>1047</v>
      </c>
      <c r="B143" s="20" t="str">
        <f t="shared" si="12"/>
        <v>2017/02/25 03:40:36.492</v>
      </c>
      <c r="C143" s="20">
        <f t="shared" si="13"/>
        <v>5.8217628975398839E-6</v>
      </c>
    </row>
    <row r="144" spans="1:3" x14ac:dyDescent="0.25">
      <c r="A144" t="s">
        <v>1048</v>
      </c>
      <c r="B144" s="20" t="str">
        <f t="shared" si="12"/>
        <v>2017/02/25 03:43:18.722</v>
      </c>
      <c r="C144" s="20">
        <f t="shared" si="13"/>
        <v>1.8776620345306583E-3</v>
      </c>
    </row>
    <row r="145" spans="1:3" x14ac:dyDescent="0.25">
      <c r="A145" t="s">
        <v>1049</v>
      </c>
      <c r="B145" s="20" t="str">
        <f t="shared" si="12"/>
        <v>2017/02/25 03:43:18.811</v>
      </c>
      <c r="C145" s="20">
        <f t="shared" si="13"/>
        <v>1.0300936992280185E-6</v>
      </c>
    </row>
    <row r="146" spans="1:3" x14ac:dyDescent="0.25">
      <c r="A146" t="s">
        <v>1050</v>
      </c>
      <c r="B146" s="20" t="str">
        <f t="shared" si="12"/>
        <v>2017/02/25 03:43:19.194</v>
      </c>
      <c r="C146" s="20">
        <f t="shared" si="13"/>
        <v>4.432869900483638E-6</v>
      </c>
    </row>
    <row r="147" spans="1:3" x14ac:dyDescent="0.25">
      <c r="A147" t="s">
        <v>1051</v>
      </c>
      <c r="B147" s="20" t="str">
        <f t="shared" ref="B147:B162" si="14">MID(A147,6,23)</f>
        <v>2017/02/25 03:44:14.985</v>
      </c>
      <c r="C147" s="20">
        <f t="shared" ref="C147:C162" si="15">ABS(B147-B146)</f>
        <v>6.4572916744509712E-4</v>
      </c>
    </row>
    <row r="148" spans="1:3" x14ac:dyDescent="0.25">
      <c r="A148" t="s">
        <v>1052</v>
      </c>
      <c r="B148" s="20" t="str">
        <f t="shared" si="14"/>
        <v>2017/02/25 03:44:15.795</v>
      </c>
      <c r="C148" s="20">
        <f t="shared" si="15"/>
        <v>9.3749986262992024E-6</v>
      </c>
    </row>
    <row r="149" spans="1:3" x14ac:dyDescent="0.25">
      <c r="A149" t="s">
        <v>1053</v>
      </c>
      <c r="B149" s="20" t="str">
        <f t="shared" si="14"/>
        <v>2017/02/25 03:44:16.418</v>
      </c>
      <c r="C149" s="20">
        <f t="shared" si="15"/>
        <v>7.2106486186385155E-6</v>
      </c>
    </row>
    <row r="150" spans="1:3" x14ac:dyDescent="0.25">
      <c r="A150" t="s">
        <v>1054</v>
      </c>
      <c r="B150" s="20" t="str">
        <f t="shared" si="14"/>
        <v>2017/02/25 03:51:20.705</v>
      </c>
      <c r="C150" s="20">
        <f t="shared" si="15"/>
        <v>4.9107291633845307E-3</v>
      </c>
    </row>
    <row r="151" spans="1:3" x14ac:dyDescent="0.25">
      <c r="A151" t="s">
        <v>1055</v>
      </c>
      <c r="B151" s="20" t="str">
        <f t="shared" si="14"/>
        <v>2017/02/25 03:51:20.810</v>
      </c>
      <c r="C151" s="20">
        <f t="shared" si="15"/>
        <v>1.2152813724242151E-6</v>
      </c>
    </row>
    <row r="152" spans="1:3" x14ac:dyDescent="0.25">
      <c r="A152" t="s">
        <v>1056</v>
      </c>
      <c r="B152" s="20" t="str">
        <f t="shared" si="14"/>
        <v>2017/02/25 03:51:21.217</v>
      </c>
      <c r="C152" s="20">
        <f t="shared" si="15"/>
        <v>4.7106441343203187E-6</v>
      </c>
    </row>
    <row r="153" spans="1:3" x14ac:dyDescent="0.25">
      <c r="A153" t="s">
        <v>1057</v>
      </c>
      <c r="B153" s="20" t="str">
        <f t="shared" si="14"/>
        <v>2017/02/25 05:03:00.301</v>
      </c>
      <c r="C153" s="20">
        <f t="shared" si="15"/>
        <v>4.9757916669477709E-2</v>
      </c>
    </row>
    <row r="154" spans="1:3" x14ac:dyDescent="0.25">
      <c r="A154" t="s">
        <v>1058</v>
      </c>
      <c r="B154" s="20" t="str">
        <f t="shared" si="14"/>
        <v>2017/02/25 05:03:00.636</v>
      </c>
      <c r="C154" s="20">
        <f t="shared" si="15"/>
        <v>3.8773141568526626E-6</v>
      </c>
    </row>
    <row r="155" spans="1:3" x14ac:dyDescent="0.25">
      <c r="A155" t="s">
        <v>1059</v>
      </c>
      <c r="B155" s="20" t="str">
        <f t="shared" si="14"/>
        <v>2017/02/25 05:03:01.372</v>
      </c>
      <c r="C155" s="20">
        <f t="shared" si="15"/>
        <v>8.5185165517032146E-6</v>
      </c>
    </row>
    <row r="156" spans="1:3" x14ac:dyDescent="0.25">
      <c r="A156" t="s">
        <v>1060</v>
      </c>
      <c r="B156" s="20" t="str">
        <f t="shared" si="14"/>
        <v>2017/02/25 08:34:55.941</v>
      </c>
      <c r="C156" s="20">
        <f t="shared" si="15"/>
        <v>0.14715936342690839</v>
      </c>
    </row>
    <row r="157" spans="1:3" x14ac:dyDescent="0.25">
      <c r="A157" t="s">
        <v>1061</v>
      </c>
      <c r="B157" s="20" t="str">
        <f t="shared" si="14"/>
        <v>2017/02/25 08:34:56.694</v>
      </c>
      <c r="C157" s="20">
        <f t="shared" si="15"/>
        <v>8.715280273463577E-6</v>
      </c>
    </row>
    <row r="158" spans="1:3" x14ac:dyDescent="0.25">
      <c r="A158" t="s">
        <v>1062</v>
      </c>
      <c r="B158" s="20" t="str">
        <f t="shared" si="14"/>
        <v>2017/02/25 08:36:07.699</v>
      </c>
      <c r="C158" s="20">
        <f t="shared" si="15"/>
        <v>8.218171278713271E-4</v>
      </c>
    </row>
    <row r="159" spans="1:3" x14ac:dyDescent="0.25">
      <c r="A159" t="s">
        <v>1063</v>
      </c>
      <c r="B159" s="20" t="str">
        <f t="shared" si="14"/>
        <v>2017/02/25 08:36:07.944</v>
      </c>
      <c r="C159" s="20">
        <f t="shared" si="15"/>
        <v>2.8356516850180924E-6</v>
      </c>
    </row>
    <row r="160" spans="1:3" x14ac:dyDescent="0.25">
      <c r="A160" t="s">
        <v>1064</v>
      </c>
      <c r="B160" s="20" t="str">
        <f t="shared" si="14"/>
        <v>2017/02/25 09:17:19.276</v>
      </c>
      <c r="C160" s="20">
        <f t="shared" si="15"/>
        <v>2.8603379629203118E-2</v>
      </c>
    </row>
    <row r="161" spans="1:3" x14ac:dyDescent="0.25">
      <c r="A161" t="s">
        <v>1065</v>
      </c>
      <c r="B161" s="20" t="str">
        <f t="shared" si="14"/>
        <v>2017/02/25 09:17:19.343</v>
      </c>
      <c r="C161" s="20">
        <f t="shared" si="15"/>
        <v>7.7546428656205535E-7</v>
      </c>
    </row>
    <row r="162" spans="1:3" x14ac:dyDescent="0.25">
      <c r="A162" t="s">
        <v>1066</v>
      </c>
      <c r="B162" s="20" t="str">
        <f t="shared" si="14"/>
        <v>2017/02/25 09:17:20.042</v>
      </c>
      <c r="C162" s="20">
        <f t="shared" si="15"/>
        <v>8.0902755144052207E-6</v>
      </c>
    </row>
    <row r="163" spans="1:3" x14ac:dyDescent="0.25">
      <c r="B163" s="20"/>
      <c r="C163" s="20"/>
    </row>
    <row r="164" spans="1:3" x14ac:dyDescent="0.25">
      <c r="B164" s="20"/>
      <c r="C164" s="20"/>
    </row>
    <row r="165" spans="1:3" x14ac:dyDescent="0.25">
      <c r="B165" s="20"/>
      <c r="C165" s="20"/>
    </row>
    <row r="166" spans="1:3" x14ac:dyDescent="0.25">
      <c r="B166" s="20"/>
      <c r="C166" s="20"/>
    </row>
    <row r="167" spans="1:3" x14ac:dyDescent="0.25">
      <c r="B167" s="20"/>
      <c r="C167" s="20"/>
    </row>
    <row r="168" spans="1:3" x14ac:dyDescent="0.25">
      <c r="B168" s="20"/>
      <c r="C168" s="20"/>
    </row>
    <row r="169" spans="1:3" x14ac:dyDescent="0.25">
      <c r="B169" s="20"/>
      <c r="C169" s="20"/>
    </row>
    <row r="170" spans="1:3" x14ac:dyDescent="0.25">
      <c r="B170" s="20"/>
      <c r="C170" s="20"/>
    </row>
    <row r="171" spans="1:3" x14ac:dyDescent="0.25">
      <c r="B171" s="20"/>
      <c r="C171" s="20"/>
    </row>
    <row r="172" spans="1:3" x14ac:dyDescent="0.25">
      <c r="B172" s="20"/>
      <c r="C172" s="20"/>
    </row>
    <row r="173" spans="1:3" x14ac:dyDescent="0.25">
      <c r="B173" s="20"/>
      <c r="C173" s="20"/>
    </row>
    <row r="174" spans="1:3" x14ac:dyDescent="0.25">
      <c r="B174" s="20"/>
      <c r="C174" s="20"/>
    </row>
    <row r="175" spans="1:3" x14ac:dyDescent="0.25">
      <c r="B175" s="20"/>
      <c r="C175" s="20"/>
    </row>
    <row r="176" spans="1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2017-02-27T20:01:16Z</dcterms:modified>
</cp:coreProperties>
</file>