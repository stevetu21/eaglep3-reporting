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Enforcements!$A$6:$AB$67</definedName>
    <definedName name="_xlnm._FilterDatabase" localSheetId="2" hidden="1">'Missing Trips'!$B$2:$I$2</definedName>
    <definedName name="_xlnm._FilterDatabase" localSheetId="0" hidden="1">'Train Runs'!$A$12:$AG$259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89" i="1" l="1"/>
  <c r="X163" i="1"/>
  <c r="K162" i="1"/>
  <c r="L162" i="1"/>
  <c r="M162" i="1"/>
  <c r="V162" i="1"/>
  <c r="Y162" i="1"/>
  <c r="Z162" i="1"/>
  <c r="AA162" i="1" s="1"/>
  <c r="AB162" i="1"/>
  <c r="AC162" i="1"/>
  <c r="AD162" i="1"/>
  <c r="AG162" i="1" s="1"/>
  <c r="AE162" i="1"/>
  <c r="AF162" i="1"/>
  <c r="AH162" i="1"/>
  <c r="P22" i="1"/>
  <c r="AG16" i="1"/>
  <c r="AG17" i="1"/>
  <c r="AG18" i="1"/>
  <c r="AG19" i="1"/>
  <c r="S19" i="1" s="1"/>
  <c r="AG20" i="1"/>
  <c r="AG21" i="1"/>
  <c r="AG22" i="1"/>
  <c r="AG23" i="1"/>
  <c r="AG24" i="1"/>
  <c r="AG25" i="1"/>
  <c r="AG26" i="1"/>
  <c r="AG27" i="1"/>
  <c r="AG28" i="1"/>
  <c r="S26" i="1"/>
  <c r="S21" i="1"/>
  <c r="S17" i="1"/>
  <c r="X21" i="1"/>
  <c r="Y21" i="1"/>
  <c r="X22" i="1"/>
  <c r="Y22" i="1"/>
  <c r="X23" i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X31" i="1"/>
  <c r="Y31" i="1"/>
  <c r="X32" i="1"/>
  <c r="Y32" i="1"/>
  <c r="AD26" i="1"/>
  <c r="T26" i="1"/>
  <c r="AD16" i="1"/>
  <c r="AD17" i="1"/>
  <c r="AD18" i="1"/>
  <c r="X18" i="1" s="1"/>
  <c r="AD19" i="1"/>
  <c r="X19" i="1" s="1"/>
  <c r="AD20" i="1"/>
  <c r="AD21" i="1"/>
  <c r="AD22" i="1"/>
  <c r="AD23" i="1"/>
  <c r="AD24" i="1"/>
  <c r="X17" i="1"/>
  <c r="T21" i="1"/>
  <c r="T17" i="1"/>
  <c r="X162" i="1" l="1"/>
  <c r="T162" i="1"/>
  <c r="AI162" i="1"/>
  <c r="U162" i="1"/>
  <c r="S162" i="1" s="1"/>
  <c r="W162" i="1"/>
  <c r="X20" i="1"/>
  <c r="K14" i="1"/>
  <c r="L14" i="1"/>
  <c r="M14" i="1"/>
  <c r="V14" i="1"/>
  <c r="Y14" i="1"/>
  <c r="Z14" i="1"/>
  <c r="AB14" i="1"/>
  <c r="AC14" i="1"/>
  <c r="AD14" i="1"/>
  <c r="X14" i="1" s="1"/>
  <c r="AE14" i="1"/>
  <c r="AF14" i="1"/>
  <c r="AH14" i="1"/>
  <c r="K15" i="1"/>
  <c r="L15" i="1"/>
  <c r="M15" i="1"/>
  <c r="V15" i="1"/>
  <c r="Y15" i="1"/>
  <c r="Z15" i="1"/>
  <c r="AA15" i="1"/>
  <c r="AB15" i="1"/>
  <c r="AC15" i="1"/>
  <c r="AD15" i="1"/>
  <c r="X15" i="1" s="1"/>
  <c r="AE15" i="1"/>
  <c r="AF15" i="1"/>
  <c r="AH15" i="1"/>
  <c r="K16" i="1"/>
  <c r="L16" i="1"/>
  <c r="M16" i="1"/>
  <c r="N16" i="1"/>
  <c r="V16" i="1"/>
  <c r="Y16" i="1"/>
  <c r="Z16" i="1"/>
  <c r="AA16" i="1" s="1"/>
  <c r="AB16" i="1"/>
  <c r="AC16" i="1"/>
  <c r="AE16" i="1"/>
  <c r="AF16" i="1"/>
  <c r="AH16" i="1"/>
  <c r="N18" i="3"/>
  <c r="U18" i="3"/>
  <c r="T18" i="3" s="1"/>
  <c r="V18" i="3"/>
  <c r="W18" i="3"/>
  <c r="X18" i="3"/>
  <c r="N27" i="3"/>
  <c r="U27" i="3"/>
  <c r="T27" i="3" s="1"/>
  <c r="V27" i="3"/>
  <c r="W27" i="3"/>
  <c r="X27" i="3"/>
  <c r="N15" i="3"/>
  <c r="U15" i="3"/>
  <c r="T15" i="3" s="1"/>
  <c r="V15" i="3"/>
  <c r="W15" i="3"/>
  <c r="X15" i="3"/>
  <c r="N12" i="3"/>
  <c r="U12" i="3"/>
  <c r="T12" i="3" s="1"/>
  <c r="V12" i="3"/>
  <c r="W12" i="3"/>
  <c r="X12" i="3"/>
  <c r="N19" i="3"/>
  <c r="U19" i="3"/>
  <c r="T19" i="3" s="1"/>
  <c r="V19" i="3"/>
  <c r="W19" i="3"/>
  <c r="X19" i="3"/>
  <c r="N11" i="3"/>
  <c r="U11" i="3"/>
  <c r="T11" i="3" s="1"/>
  <c r="V11" i="3"/>
  <c r="W11" i="3"/>
  <c r="X11" i="3"/>
  <c r="N8" i="3"/>
  <c r="U8" i="3"/>
  <c r="T8" i="3" s="1"/>
  <c r="V8" i="3"/>
  <c r="W8" i="3"/>
  <c r="X8" i="3"/>
  <c r="N28" i="3"/>
  <c r="U28" i="3"/>
  <c r="T28" i="3" s="1"/>
  <c r="V28" i="3"/>
  <c r="W28" i="3"/>
  <c r="X28" i="3"/>
  <c r="N34" i="3"/>
  <c r="U34" i="3"/>
  <c r="T34" i="3" s="1"/>
  <c r="V34" i="3"/>
  <c r="W34" i="3"/>
  <c r="X34" i="3"/>
  <c r="N10" i="3"/>
  <c r="U10" i="3"/>
  <c r="T10" i="3" s="1"/>
  <c r="V10" i="3"/>
  <c r="W10" i="3"/>
  <c r="X10" i="3"/>
  <c r="N7" i="3"/>
  <c r="U7" i="3"/>
  <c r="T7" i="3" s="1"/>
  <c r="V7" i="3"/>
  <c r="W7" i="3"/>
  <c r="X7" i="3"/>
  <c r="N20" i="3"/>
  <c r="U20" i="3"/>
  <c r="T20" i="3" s="1"/>
  <c r="V20" i="3"/>
  <c r="W20" i="3"/>
  <c r="X20" i="3"/>
  <c r="N13" i="3"/>
  <c r="U13" i="3"/>
  <c r="T13" i="3" s="1"/>
  <c r="V13" i="3"/>
  <c r="W13" i="3"/>
  <c r="X13" i="3"/>
  <c r="N21" i="3"/>
  <c r="U21" i="3"/>
  <c r="T21" i="3" s="1"/>
  <c r="V21" i="3"/>
  <c r="W21" i="3"/>
  <c r="X21" i="3"/>
  <c r="N22" i="3"/>
  <c r="U22" i="3"/>
  <c r="T22" i="3" s="1"/>
  <c r="V22" i="3"/>
  <c r="W22" i="3"/>
  <c r="X22" i="3"/>
  <c r="N33" i="3"/>
  <c r="U33" i="3"/>
  <c r="T33" i="3" s="1"/>
  <c r="V33" i="3"/>
  <c r="W33" i="3"/>
  <c r="X33" i="3"/>
  <c r="N23" i="3"/>
  <c r="U23" i="3"/>
  <c r="T23" i="3" s="1"/>
  <c r="V23" i="3"/>
  <c r="W23" i="3"/>
  <c r="X23" i="3"/>
  <c r="N31" i="3"/>
  <c r="U31" i="3"/>
  <c r="T31" i="3" s="1"/>
  <c r="V31" i="3"/>
  <c r="W31" i="3"/>
  <c r="X31" i="3"/>
  <c r="N30" i="3"/>
  <c r="U30" i="3"/>
  <c r="T30" i="3" s="1"/>
  <c r="V30" i="3"/>
  <c r="W30" i="3"/>
  <c r="X30" i="3"/>
  <c r="N32" i="3"/>
  <c r="U32" i="3"/>
  <c r="T32" i="3" s="1"/>
  <c r="V32" i="3"/>
  <c r="W32" i="3"/>
  <c r="X32" i="3"/>
  <c r="N35" i="3"/>
  <c r="U35" i="3"/>
  <c r="T35" i="3" s="1"/>
  <c r="V35" i="3"/>
  <c r="W35" i="3"/>
  <c r="X35" i="3"/>
  <c r="N24" i="3"/>
  <c r="U24" i="3"/>
  <c r="T24" i="3" s="1"/>
  <c r="V24" i="3"/>
  <c r="W24" i="3"/>
  <c r="X24" i="3"/>
  <c r="N36" i="3"/>
  <c r="U36" i="3"/>
  <c r="T36" i="3" s="1"/>
  <c r="V36" i="3"/>
  <c r="W36" i="3"/>
  <c r="X36" i="3"/>
  <c r="N25" i="3"/>
  <c r="U25" i="3"/>
  <c r="T25" i="3" s="1"/>
  <c r="V25" i="3"/>
  <c r="W25" i="3"/>
  <c r="X25" i="3"/>
  <c r="N9" i="3"/>
  <c r="U9" i="3"/>
  <c r="T9" i="3" s="1"/>
  <c r="V9" i="3"/>
  <c r="W9" i="3"/>
  <c r="X9" i="3"/>
  <c r="N29" i="3"/>
  <c r="U29" i="3"/>
  <c r="T29" i="3" s="1"/>
  <c r="V29" i="3"/>
  <c r="W29" i="3"/>
  <c r="X29" i="3"/>
  <c r="N14" i="3"/>
  <c r="U14" i="3"/>
  <c r="T14" i="3" s="1"/>
  <c r="V14" i="3"/>
  <c r="W14" i="3"/>
  <c r="X14" i="3"/>
  <c r="N26" i="3"/>
  <c r="U26" i="3"/>
  <c r="T26" i="3" s="1"/>
  <c r="V26" i="3"/>
  <c r="W26" i="3"/>
  <c r="X26" i="3"/>
  <c r="N16" i="3"/>
  <c r="U16" i="3"/>
  <c r="T16" i="3" s="1"/>
  <c r="V16" i="3"/>
  <c r="W16" i="3"/>
  <c r="X16" i="3"/>
  <c r="B3" i="6"/>
  <c r="B4" i="6"/>
  <c r="B5" i="6"/>
  <c r="B6" i="6"/>
  <c r="B7" i="6"/>
  <c r="K18" i="1"/>
  <c r="L18" i="1"/>
  <c r="M18" i="1"/>
  <c r="N18" i="1" s="1"/>
  <c r="V18" i="1"/>
  <c r="Y18" i="1"/>
  <c r="Z18" i="1"/>
  <c r="AB18" i="1"/>
  <c r="AC18" i="1"/>
  <c r="T18" i="1"/>
  <c r="AE18" i="1"/>
  <c r="AF18" i="1"/>
  <c r="K20" i="1"/>
  <c r="L20" i="1"/>
  <c r="M20" i="1"/>
  <c r="N20" i="1" s="1"/>
  <c r="V20" i="1"/>
  <c r="Y20" i="1"/>
  <c r="Z20" i="1"/>
  <c r="AB20" i="1"/>
  <c r="AC20" i="1"/>
  <c r="T20" i="1"/>
  <c r="AE20" i="1"/>
  <c r="AF20" i="1"/>
  <c r="K22" i="1"/>
  <c r="L22" i="1"/>
  <c r="M22" i="1"/>
  <c r="V22" i="1"/>
  <c r="Z22" i="1"/>
  <c r="AB22" i="1"/>
  <c r="AC22" i="1"/>
  <c r="T22" i="1"/>
  <c r="AE22" i="1"/>
  <c r="AF22" i="1"/>
  <c r="K23" i="1"/>
  <c r="L23" i="1"/>
  <c r="M23" i="1"/>
  <c r="N23" i="1" s="1"/>
  <c r="V23" i="1"/>
  <c r="Z23" i="1"/>
  <c r="AB23" i="1"/>
  <c r="AC23" i="1"/>
  <c r="T23" i="1"/>
  <c r="AE23" i="1"/>
  <c r="AF23" i="1"/>
  <c r="K24" i="1"/>
  <c r="L24" i="1"/>
  <c r="M24" i="1"/>
  <c r="N24" i="1" s="1"/>
  <c r="V24" i="1"/>
  <c r="S18" i="3" s="1"/>
  <c r="Z24" i="1"/>
  <c r="AB24" i="1"/>
  <c r="AC24" i="1"/>
  <c r="T24" i="1"/>
  <c r="AE24" i="1"/>
  <c r="R18" i="3" s="1"/>
  <c r="AF24" i="1"/>
  <c r="K25" i="1"/>
  <c r="L25" i="1"/>
  <c r="M25" i="1"/>
  <c r="N25" i="1" s="1"/>
  <c r="V25" i="1"/>
  <c r="Z25" i="1"/>
  <c r="AB25" i="1"/>
  <c r="AC25" i="1"/>
  <c r="AD25" i="1"/>
  <c r="T25" i="1" s="1"/>
  <c r="AE25" i="1"/>
  <c r="AF25" i="1"/>
  <c r="K27" i="1"/>
  <c r="L27" i="1"/>
  <c r="M27" i="1"/>
  <c r="N27" i="1" s="1"/>
  <c r="V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Z28" i="1"/>
  <c r="AB28" i="1"/>
  <c r="AC28" i="1"/>
  <c r="AD28" i="1"/>
  <c r="T28" i="1" s="1"/>
  <c r="AE28" i="1"/>
  <c r="AF28" i="1"/>
  <c r="K29" i="1"/>
  <c r="L29" i="1"/>
  <c r="M29" i="1"/>
  <c r="N29" i="1" s="1"/>
  <c r="V29" i="1"/>
  <c r="Z29" i="1"/>
  <c r="AB29" i="1"/>
  <c r="AC29" i="1"/>
  <c r="AD29" i="1"/>
  <c r="T29" i="1" s="1"/>
  <c r="AE29" i="1"/>
  <c r="AF29" i="1"/>
  <c r="K30" i="1"/>
  <c r="L30" i="1"/>
  <c r="M30" i="1"/>
  <c r="N30" i="1" s="1"/>
  <c r="V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S27" i="3" s="1"/>
  <c r="Z31" i="1"/>
  <c r="AB31" i="1"/>
  <c r="AC31" i="1"/>
  <c r="AD31" i="1"/>
  <c r="T31" i="1" s="1"/>
  <c r="AE31" i="1"/>
  <c r="R27" i="3" s="1"/>
  <c r="AF31" i="1"/>
  <c r="K32" i="1"/>
  <c r="L32" i="1"/>
  <c r="M32" i="1"/>
  <c r="N32" i="1" s="1"/>
  <c r="V32" i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K34" i="1"/>
  <c r="L34" i="1"/>
  <c r="M34" i="1"/>
  <c r="N34" i="1" s="1"/>
  <c r="V34" i="1"/>
  <c r="S19" i="3" s="1"/>
  <c r="Y34" i="1"/>
  <c r="Z34" i="1"/>
  <c r="AB34" i="1"/>
  <c r="AC34" i="1"/>
  <c r="AD34" i="1"/>
  <c r="T34" i="1" s="1"/>
  <c r="AE34" i="1"/>
  <c r="R19" i="3" s="1"/>
  <c r="AF34" i="1"/>
  <c r="K35" i="1"/>
  <c r="L35" i="1"/>
  <c r="M35" i="1"/>
  <c r="N35" i="1" s="1"/>
  <c r="V35" i="1"/>
  <c r="S15" i="3" s="1"/>
  <c r="Y35" i="1"/>
  <c r="Z35" i="1"/>
  <c r="AB35" i="1"/>
  <c r="AC35" i="1"/>
  <c r="AD35" i="1"/>
  <c r="X35" i="1" s="1"/>
  <c r="AE35" i="1"/>
  <c r="R15" i="3" s="1"/>
  <c r="AF35" i="1"/>
  <c r="K36" i="1"/>
  <c r="L36" i="1"/>
  <c r="M36" i="1"/>
  <c r="N36" i="1" s="1"/>
  <c r="V36" i="1"/>
  <c r="S12" i="3" s="1"/>
  <c r="Y36" i="1"/>
  <c r="Z36" i="1"/>
  <c r="AB36" i="1"/>
  <c r="AC36" i="1"/>
  <c r="AD36" i="1"/>
  <c r="AG36" i="1" s="1"/>
  <c r="AE36" i="1"/>
  <c r="R12" i="3" s="1"/>
  <c r="AF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S11" i="3" s="1"/>
  <c r="Y43" i="1"/>
  <c r="Z43" i="1"/>
  <c r="AB43" i="1"/>
  <c r="AC43" i="1"/>
  <c r="AD43" i="1"/>
  <c r="AE43" i="1"/>
  <c r="R11" i="3" s="1"/>
  <c r="AF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X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A50" i="1" s="1"/>
  <c r="AB50" i="1"/>
  <c r="AC50" i="1"/>
  <c r="AD50" i="1"/>
  <c r="T50" i="1" s="1"/>
  <c r="AE50" i="1"/>
  <c r="AF50" i="1"/>
  <c r="K51" i="1"/>
  <c r="L51" i="1"/>
  <c r="M51" i="1"/>
  <c r="N51" i="1" s="1"/>
  <c r="V51" i="1"/>
  <c r="X51" i="1"/>
  <c r="Y51" i="1"/>
  <c r="Z51" i="1"/>
  <c r="AB51" i="1"/>
  <c r="AC51" i="1"/>
  <c r="AD51" i="1"/>
  <c r="T51" i="1" s="1"/>
  <c r="AE51" i="1"/>
  <c r="AF51" i="1"/>
  <c r="AG51" i="1"/>
  <c r="K52" i="1"/>
  <c r="L52" i="1"/>
  <c r="M52" i="1"/>
  <c r="N52" i="1" s="1"/>
  <c r="V52" i="1"/>
  <c r="Y52" i="1"/>
  <c r="Z52" i="1"/>
  <c r="AA52" i="1" s="1"/>
  <c r="W52" i="1" s="1"/>
  <c r="AB52" i="1"/>
  <c r="AC52" i="1"/>
  <c r="AD52" i="1"/>
  <c r="AG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V55" i="1"/>
  <c r="S28" i="3" s="1"/>
  <c r="Y55" i="1"/>
  <c r="Z55" i="1"/>
  <c r="AB55" i="1"/>
  <c r="AC55" i="1"/>
  <c r="AD55" i="1"/>
  <c r="T55" i="1" s="1"/>
  <c r="AE55" i="1"/>
  <c r="R28" i="3" s="1"/>
  <c r="AF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K57" i="1"/>
  <c r="L57" i="1"/>
  <c r="M57" i="1"/>
  <c r="N57" i="1" s="1"/>
  <c r="V57" i="1"/>
  <c r="S8" i="3" s="1"/>
  <c r="Y57" i="1"/>
  <c r="Z57" i="1"/>
  <c r="AB57" i="1"/>
  <c r="AC57" i="1"/>
  <c r="AD57" i="1"/>
  <c r="AE57" i="1"/>
  <c r="R8" i="3" s="1"/>
  <c r="AF57" i="1"/>
  <c r="K58" i="1"/>
  <c r="L58" i="1"/>
  <c r="M58" i="1"/>
  <c r="N58" i="1" s="1"/>
  <c r="V58" i="1"/>
  <c r="S7" i="3" s="1"/>
  <c r="Y58" i="1"/>
  <c r="Z58" i="1"/>
  <c r="AB58" i="1"/>
  <c r="AC58" i="1"/>
  <c r="AD58" i="1"/>
  <c r="AE58" i="1"/>
  <c r="R7" i="3" s="1"/>
  <c r="AF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V72" i="1"/>
  <c r="Y72" i="1"/>
  <c r="Z72" i="1"/>
  <c r="AA72" i="1" s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K75" i="1"/>
  <c r="L75" i="1"/>
  <c r="M75" i="1"/>
  <c r="N75" i="1" s="1"/>
  <c r="V75" i="1"/>
  <c r="Y75" i="1"/>
  <c r="AA75" i="1" s="1"/>
  <c r="Z75" i="1"/>
  <c r="AB75" i="1"/>
  <c r="AC75" i="1"/>
  <c r="AD75" i="1"/>
  <c r="AG75" i="1" s="1"/>
  <c r="AE75" i="1"/>
  <c r="AF75" i="1"/>
  <c r="K76" i="1"/>
  <c r="L76" i="1"/>
  <c r="M76" i="1"/>
  <c r="N76" i="1" s="1"/>
  <c r="V76" i="1"/>
  <c r="S20" i="3" s="1"/>
  <c r="Y76" i="1"/>
  <c r="Z76" i="1"/>
  <c r="AB76" i="1"/>
  <c r="AC76" i="1"/>
  <c r="AD76" i="1"/>
  <c r="T76" i="1" s="1"/>
  <c r="AE76" i="1"/>
  <c r="R20" i="3" s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S13" i="3" s="1"/>
  <c r="Y80" i="1"/>
  <c r="Z80" i="1"/>
  <c r="AA80" i="1" s="1"/>
  <c r="AB80" i="1"/>
  <c r="AC80" i="1"/>
  <c r="AD80" i="1"/>
  <c r="T80" i="1" s="1"/>
  <c r="AE80" i="1"/>
  <c r="R13" i="3" s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S21" i="3" s="1"/>
  <c r="Y82" i="1"/>
  <c r="Z82" i="1"/>
  <c r="AB82" i="1"/>
  <c r="AC82" i="1"/>
  <c r="AD82" i="1"/>
  <c r="T82" i="1" s="1"/>
  <c r="AE82" i="1"/>
  <c r="R21" i="3" s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K87" i="1"/>
  <c r="L87" i="1"/>
  <c r="M87" i="1"/>
  <c r="N87" i="1" s="1"/>
  <c r="V87" i="1"/>
  <c r="Y87" i="1"/>
  <c r="Z87" i="1"/>
  <c r="AA87" i="1" s="1"/>
  <c r="W87" i="1" s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K90" i="1"/>
  <c r="L90" i="1"/>
  <c r="M90" i="1"/>
  <c r="N90" i="1" s="1"/>
  <c r="T90" i="1"/>
  <c r="V90" i="1"/>
  <c r="Y90" i="1"/>
  <c r="Z90" i="1"/>
  <c r="AB90" i="1"/>
  <c r="AC90" i="1"/>
  <c r="AD90" i="1"/>
  <c r="AG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163" i="1"/>
  <c r="L163" i="1"/>
  <c r="M163" i="1"/>
  <c r="N163" i="1"/>
  <c r="V163" i="1"/>
  <c r="Y163" i="1"/>
  <c r="Z163" i="1"/>
  <c r="AB163" i="1"/>
  <c r="AC163" i="1"/>
  <c r="AD163" i="1"/>
  <c r="T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Y171" i="1"/>
  <c r="AA171" i="1" s="1"/>
  <c r="Z171" i="1"/>
  <c r="AB171" i="1"/>
  <c r="AC171" i="1"/>
  <c r="AD171" i="1"/>
  <c r="AE171" i="1"/>
  <c r="AF171" i="1"/>
  <c r="K172" i="1"/>
  <c r="L172" i="1"/>
  <c r="M172" i="1"/>
  <c r="N172" i="1"/>
  <c r="V172" i="1"/>
  <c r="Y172" i="1"/>
  <c r="Z172" i="1"/>
  <c r="AB172" i="1"/>
  <c r="AC172" i="1"/>
  <c r="AD172" i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K179" i="1"/>
  <c r="L179" i="1"/>
  <c r="M179" i="1"/>
  <c r="N179" i="1" s="1"/>
  <c r="V179" i="1"/>
  <c r="S33" i="3" s="1"/>
  <c r="Y179" i="1"/>
  <c r="Z179" i="1"/>
  <c r="AB179" i="1"/>
  <c r="AC179" i="1"/>
  <c r="AD179" i="1"/>
  <c r="AG179" i="1" s="1"/>
  <c r="AE179" i="1"/>
  <c r="R33" i="3" s="1"/>
  <c r="AF179" i="1"/>
  <c r="K180" i="1"/>
  <c r="L180" i="1"/>
  <c r="M180" i="1"/>
  <c r="N180" i="1" s="1"/>
  <c r="V180" i="1"/>
  <c r="S31" i="3" s="1"/>
  <c r="Y180" i="1"/>
  <c r="Z180" i="1"/>
  <c r="AB180" i="1"/>
  <c r="AC180" i="1"/>
  <c r="AD180" i="1"/>
  <c r="AE180" i="1"/>
  <c r="R31" i="3" s="1"/>
  <c r="AF18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K182" i="1"/>
  <c r="L182" i="1"/>
  <c r="M182" i="1"/>
  <c r="N182" i="1" s="1"/>
  <c r="V182" i="1"/>
  <c r="S30" i="3" s="1"/>
  <c r="Y182" i="1"/>
  <c r="AA182" i="1" s="1"/>
  <c r="Z182" i="1"/>
  <c r="AB182" i="1"/>
  <c r="AC182" i="1"/>
  <c r="AD182" i="1"/>
  <c r="AG182" i="1" s="1"/>
  <c r="AE182" i="1"/>
  <c r="R30" i="3" s="1"/>
  <c r="AF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189" i="1"/>
  <c r="L189" i="1"/>
  <c r="M189" i="1"/>
  <c r="V189" i="1"/>
  <c r="Y189" i="1"/>
  <c r="Z189" i="1"/>
  <c r="AB189" i="1"/>
  <c r="AC189" i="1"/>
  <c r="AD189" i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96" i="1"/>
  <c r="L96" i="1"/>
  <c r="M96" i="1"/>
  <c r="N96" i="1" s="1"/>
  <c r="V96" i="1"/>
  <c r="S22" i="3" s="1"/>
  <c r="Y96" i="1"/>
  <c r="Z96" i="1"/>
  <c r="AB96" i="1"/>
  <c r="AC96" i="1"/>
  <c r="AD96" i="1"/>
  <c r="T96" i="1" s="1"/>
  <c r="AE96" i="1"/>
  <c r="R22" i="3" s="1"/>
  <c r="AF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K102" i="1"/>
  <c r="L102" i="1"/>
  <c r="M102" i="1"/>
  <c r="N102" i="1" s="1"/>
  <c r="V102" i="1"/>
  <c r="S23" i="3" s="1"/>
  <c r="Y102" i="1"/>
  <c r="Z102" i="1"/>
  <c r="AA102" i="1" s="1"/>
  <c r="AB102" i="1"/>
  <c r="AC102" i="1"/>
  <c r="AD102" i="1"/>
  <c r="T102" i="1" s="1"/>
  <c r="AE102" i="1"/>
  <c r="R23" i="3" s="1"/>
  <c r="AF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K106" i="1"/>
  <c r="L106" i="1"/>
  <c r="M106" i="1"/>
  <c r="N106" i="1" s="1"/>
  <c r="V106" i="1"/>
  <c r="Y106" i="1"/>
  <c r="Z106" i="1"/>
  <c r="AA106" i="1" s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K116" i="1"/>
  <c r="L116" i="1"/>
  <c r="M116" i="1"/>
  <c r="N116" i="1" s="1"/>
  <c r="V116" i="1"/>
  <c r="S24" i="3" s="1"/>
  <c r="Y116" i="1"/>
  <c r="Z116" i="1"/>
  <c r="AB116" i="1"/>
  <c r="AC116" i="1"/>
  <c r="AD116" i="1"/>
  <c r="T116" i="1" s="1"/>
  <c r="AE116" i="1"/>
  <c r="R24" i="3" s="1"/>
  <c r="AF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S25" i="3" s="1"/>
  <c r="Y124" i="1"/>
  <c r="Z124" i="1"/>
  <c r="AB124" i="1"/>
  <c r="AC124" i="1"/>
  <c r="AD124" i="1"/>
  <c r="T124" i="1" s="1"/>
  <c r="AE124" i="1"/>
  <c r="R25" i="3" s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S9" i="3" s="1"/>
  <c r="Y130" i="1"/>
  <c r="Z130" i="1"/>
  <c r="AB130" i="1"/>
  <c r="AC130" i="1"/>
  <c r="AD130" i="1"/>
  <c r="T130" i="1" s="1"/>
  <c r="AE130" i="1"/>
  <c r="R9" i="3" s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K136" i="1"/>
  <c r="L136" i="1"/>
  <c r="M136" i="1"/>
  <c r="N136" i="1" s="1"/>
  <c r="V136" i="1"/>
  <c r="S14" i="3" s="1"/>
  <c r="Y136" i="1"/>
  <c r="Z136" i="1"/>
  <c r="AB136" i="1"/>
  <c r="AC136" i="1"/>
  <c r="AD136" i="1"/>
  <c r="T136" i="1" s="1"/>
  <c r="AE136" i="1"/>
  <c r="R14" i="3" s="1"/>
  <c r="AF136" i="1"/>
  <c r="AG136" i="1"/>
  <c r="K137" i="1"/>
  <c r="L137" i="1"/>
  <c r="M137" i="1"/>
  <c r="N137" i="1" s="1"/>
  <c r="V137" i="1"/>
  <c r="S29" i="3" s="1"/>
  <c r="Y137" i="1"/>
  <c r="Z137" i="1"/>
  <c r="AB137" i="1"/>
  <c r="AC137" i="1"/>
  <c r="AD137" i="1"/>
  <c r="AG137" i="1" s="1"/>
  <c r="AE137" i="1"/>
  <c r="R29" i="3" s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S26" i="3" s="1"/>
  <c r="Y144" i="1"/>
  <c r="Z144" i="1"/>
  <c r="AB144" i="1"/>
  <c r="AC144" i="1"/>
  <c r="AD144" i="1"/>
  <c r="T144" i="1" s="1"/>
  <c r="AE144" i="1"/>
  <c r="R26" i="3" s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S16" i="3" s="1"/>
  <c r="Y149" i="1"/>
  <c r="Z149" i="1"/>
  <c r="AB149" i="1"/>
  <c r="AC149" i="1"/>
  <c r="AD149" i="1"/>
  <c r="T149" i="1" s="1"/>
  <c r="AE149" i="1"/>
  <c r="R16" i="3" s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K198" i="1"/>
  <c r="L198" i="1"/>
  <c r="M198" i="1"/>
  <c r="N198" i="1" s="1"/>
  <c r="V198" i="1"/>
  <c r="S34" i="3" s="1"/>
  <c r="Y198" i="1"/>
  <c r="Z198" i="1"/>
  <c r="AB198" i="1"/>
  <c r="AC198" i="1"/>
  <c r="AD198" i="1"/>
  <c r="T198" i="1" s="1"/>
  <c r="AE198" i="1"/>
  <c r="R34" i="3" s="1"/>
  <c r="AF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200" i="1"/>
  <c r="L200" i="1"/>
  <c r="M200" i="1"/>
  <c r="N200" i="1" s="1"/>
  <c r="V200" i="1"/>
  <c r="S35" i="3" s="1"/>
  <c r="Y200" i="1"/>
  <c r="Z200" i="1"/>
  <c r="AB200" i="1"/>
  <c r="AC200" i="1"/>
  <c r="AD200" i="1"/>
  <c r="AG200" i="1" s="1"/>
  <c r="AE200" i="1"/>
  <c r="R35" i="3" s="1"/>
  <c r="AF200" i="1"/>
  <c r="K201" i="1"/>
  <c r="L201" i="1"/>
  <c r="M201" i="1"/>
  <c r="N201" i="1" s="1"/>
  <c r="V201" i="1"/>
  <c r="S36" i="3" s="1"/>
  <c r="Y201" i="1"/>
  <c r="Z201" i="1"/>
  <c r="AA201" i="1" s="1"/>
  <c r="AB201" i="1"/>
  <c r="AC201" i="1"/>
  <c r="AD201" i="1"/>
  <c r="T201" i="1" s="1"/>
  <c r="AE201" i="1"/>
  <c r="R36" i="3" s="1"/>
  <c r="AF20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Y28" i="3" l="1"/>
  <c r="Y31" i="3"/>
  <c r="Y22" i="3"/>
  <c r="Y7" i="3"/>
  <c r="X16" i="1"/>
  <c r="Y30" i="3"/>
  <c r="Y33" i="3"/>
  <c r="AI16" i="1"/>
  <c r="T15" i="1"/>
  <c r="Y25" i="3"/>
  <c r="Y23" i="3"/>
  <c r="R10" i="3"/>
  <c r="AG14" i="1"/>
  <c r="AA14" i="1"/>
  <c r="AG15" i="1"/>
  <c r="AI15" i="1" s="1"/>
  <c r="T14" i="1"/>
  <c r="T16" i="1"/>
  <c r="AA135" i="1"/>
  <c r="X97" i="1"/>
  <c r="AA79" i="1"/>
  <c r="AA78" i="1"/>
  <c r="X62" i="1"/>
  <c r="AA48" i="1"/>
  <c r="AA45" i="1"/>
  <c r="X40" i="1"/>
  <c r="AA36" i="1"/>
  <c r="Y14" i="3"/>
  <c r="Y36" i="3"/>
  <c r="Y32" i="3"/>
  <c r="R32" i="3"/>
  <c r="AG140" i="1"/>
  <c r="X128" i="1"/>
  <c r="AA120" i="1"/>
  <c r="AA101" i="1"/>
  <c r="AA92" i="1"/>
  <c r="AA84" i="1"/>
  <c r="AA65" i="1"/>
  <c r="AA64" i="1"/>
  <c r="W182" i="1"/>
  <c r="T164" i="1"/>
  <c r="Y26" i="3"/>
  <c r="AA44" i="1"/>
  <c r="W44" i="1" s="1"/>
  <c r="AA18" i="1"/>
  <c r="AG199" i="1"/>
  <c r="U199" i="1" s="1"/>
  <c r="S199" i="1" s="1"/>
  <c r="AA193" i="1"/>
  <c r="T153" i="1"/>
  <c r="T125" i="1"/>
  <c r="AG108" i="1"/>
  <c r="AG191" i="1"/>
  <c r="X186" i="1"/>
  <c r="T94" i="1"/>
  <c r="AG54" i="1"/>
  <c r="U54" i="1" s="1"/>
  <c r="X36" i="1"/>
  <c r="S32" i="3"/>
  <c r="S10" i="3"/>
  <c r="X190" i="1"/>
  <c r="X189" i="1"/>
  <c r="AA194" i="1"/>
  <c r="W194" i="1" s="1"/>
  <c r="AA154" i="1"/>
  <c r="W154" i="1" s="1"/>
  <c r="AA153" i="1"/>
  <c r="AI153" i="1" s="1"/>
  <c r="AA125" i="1"/>
  <c r="AA190" i="1"/>
  <c r="T190" i="1"/>
  <c r="T189" i="1"/>
  <c r="AA178" i="1"/>
  <c r="AA177" i="1"/>
  <c r="AA86" i="1"/>
  <c r="AA58" i="1"/>
  <c r="AA34" i="1"/>
  <c r="Y8" i="3"/>
  <c r="Y15" i="3"/>
  <c r="Y12" i="3"/>
  <c r="Y20" i="3"/>
  <c r="Y35" i="3"/>
  <c r="Y24" i="3"/>
  <c r="Y21" i="3"/>
  <c r="Y13" i="3"/>
  <c r="Y10" i="3"/>
  <c r="Y34" i="3"/>
  <c r="Y11" i="3"/>
  <c r="Y19" i="3"/>
  <c r="Y27" i="3"/>
  <c r="Y18" i="3"/>
  <c r="Y16" i="3"/>
  <c r="Y29" i="3"/>
  <c r="Y9" i="3"/>
  <c r="AA197" i="1"/>
  <c r="AA158" i="1"/>
  <c r="W158" i="1" s="1"/>
  <c r="AA145" i="1"/>
  <c r="AA138" i="1"/>
  <c r="T112" i="1"/>
  <c r="AA105" i="1"/>
  <c r="W105" i="1" s="1"/>
  <c r="T101" i="1"/>
  <c r="AA98" i="1"/>
  <c r="AA91" i="1"/>
  <c r="W91" i="1" s="1"/>
  <c r="T86" i="1"/>
  <c r="U86" i="1" s="1"/>
  <c r="S86" i="1" s="1"/>
  <c r="T70" i="1"/>
  <c r="X44" i="1"/>
  <c r="AA37" i="1"/>
  <c r="AA29" i="1"/>
  <c r="AA22" i="1"/>
  <c r="W75" i="1"/>
  <c r="AA68" i="1"/>
  <c r="AA57" i="1"/>
  <c r="AA49" i="1"/>
  <c r="W48" i="1"/>
  <c r="AA38" i="1"/>
  <c r="AA32" i="1"/>
  <c r="AI32" i="1" s="1"/>
  <c r="AA30" i="1"/>
  <c r="AG145" i="1"/>
  <c r="AA122" i="1"/>
  <c r="AG98" i="1"/>
  <c r="AG173" i="1"/>
  <c r="AA166" i="1"/>
  <c r="AG82" i="1"/>
  <c r="AA71" i="1"/>
  <c r="W71" i="1" s="1"/>
  <c r="AG132" i="1"/>
  <c r="X200" i="1"/>
  <c r="AA157" i="1"/>
  <c r="AA142" i="1"/>
  <c r="AA136" i="1"/>
  <c r="AA127" i="1"/>
  <c r="X125" i="1"/>
  <c r="AG122" i="1"/>
  <c r="U122" i="1" s="1"/>
  <c r="S122" i="1" s="1"/>
  <c r="AG116" i="1"/>
  <c r="T105" i="1"/>
  <c r="AA97" i="1"/>
  <c r="W97" i="1" s="1"/>
  <c r="T97" i="1"/>
  <c r="U97" i="1" s="1"/>
  <c r="S97" i="1" s="1"/>
  <c r="AA192" i="1"/>
  <c r="AA191" i="1"/>
  <c r="AA185" i="1"/>
  <c r="AA184" i="1"/>
  <c r="AG175" i="1"/>
  <c r="AA163" i="1"/>
  <c r="AA161" i="1"/>
  <c r="AA73" i="1"/>
  <c r="X71" i="1"/>
  <c r="T62" i="1"/>
  <c r="AA46" i="1"/>
  <c r="AG31" i="1"/>
  <c r="AA28" i="1"/>
  <c r="AA20" i="1"/>
  <c r="U108" i="1"/>
  <c r="S108" i="1" s="1"/>
  <c r="AA199" i="1"/>
  <c r="AA195" i="1"/>
  <c r="W195" i="1" s="1"/>
  <c r="AA149" i="1"/>
  <c r="T128" i="1"/>
  <c r="AA119" i="1"/>
  <c r="AA118" i="1"/>
  <c r="AA117" i="1"/>
  <c r="W117" i="1" s="1"/>
  <c r="T117" i="1"/>
  <c r="AA110" i="1"/>
  <c r="AA109" i="1"/>
  <c r="W109" i="1" s="1"/>
  <c r="T109" i="1"/>
  <c r="AA103" i="1"/>
  <c r="T186" i="1"/>
  <c r="AA183" i="1"/>
  <c r="AA176" i="1"/>
  <c r="T176" i="1"/>
  <c r="AA160" i="1"/>
  <c r="T160" i="1"/>
  <c r="AA77" i="1"/>
  <c r="AA63" i="1"/>
  <c r="AA47" i="1"/>
  <c r="X43" i="1"/>
  <c r="AA42" i="1"/>
  <c r="AA41" i="1"/>
  <c r="AA40" i="1"/>
  <c r="AA35" i="1"/>
  <c r="U175" i="1"/>
  <c r="S175" i="1" s="1"/>
  <c r="U51" i="1"/>
  <c r="AA200" i="1"/>
  <c r="AA196" i="1"/>
  <c r="W196" i="1" s="1"/>
  <c r="W153" i="1"/>
  <c r="AG149" i="1"/>
  <c r="U149" i="1" s="1"/>
  <c r="S149" i="1" s="1"/>
  <c r="W136" i="1"/>
  <c r="AG128" i="1"/>
  <c r="X117" i="1"/>
  <c r="AA114" i="1"/>
  <c r="AG110" i="1"/>
  <c r="X109" i="1"/>
  <c r="AG104" i="1"/>
  <c r="U104" i="1" s="1"/>
  <c r="S104" i="1" s="1"/>
  <c r="AG100" i="1"/>
  <c r="U100" i="1" s="1"/>
  <c r="S100" i="1" s="1"/>
  <c r="AG186" i="1"/>
  <c r="T179" i="1"/>
  <c r="X176" i="1"/>
  <c r="T93" i="1"/>
  <c r="T165" i="1"/>
  <c r="U164" i="1"/>
  <c r="S164" i="1" s="1"/>
  <c r="X160" i="1"/>
  <c r="X87" i="1"/>
  <c r="AA83" i="1"/>
  <c r="W83" i="1" s="1"/>
  <c r="AA76" i="1"/>
  <c r="AA67" i="1"/>
  <c r="AG59" i="1"/>
  <c r="AA56" i="1"/>
  <c r="T43" i="1"/>
  <c r="AA23" i="1"/>
  <c r="X157" i="1"/>
  <c r="X141" i="1"/>
  <c r="AA140" i="1"/>
  <c r="W140" i="1" s="1"/>
  <c r="AA132" i="1"/>
  <c r="W132" i="1" s="1"/>
  <c r="AA131" i="1"/>
  <c r="AA130" i="1"/>
  <c r="AG124" i="1"/>
  <c r="U124" i="1" s="1"/>
  <c r="S124" i="1" s="1"/>
  <c r="U112" i="1"/>
  <c r="S112" i="1" s="1"/>
  <c r="AA112" i="1"/>
  <c r="W112" i="1" s="1"/>
  <c r="AA111" i="1"/>
  <c r="AG106" i="1"/>
  <c r="X105" i="1"/>
  <c r="AG102" i="1"/>
  <c r="X101" i="1"/>
  <c r="AG96" i="1"/>
  <c r="U96" i="1" s="1"/>
  <c r="S96" i="1" s="1"/>
  <c r="AG189" i="1"/>
  <c r="U189" i="1" s="1"/>
  <c r="S189" i="1" s="1"/>
  <c r="AA95" i="1"/>
  <c r="AA188" i="1"/>
  <c r="AA187" i="1"/>
  <c r="AA181" i="1"/>
  <c r="AA180" i="1"/>
  <c r="AA179" i="1"/>
  <c r="W179" i="1" s="1"/>
  <c r="AA173" i="1"/>
  <c r="W173" i="1" s="1"/>
  <c r="AA170" i="1"/>
  <c r="AA169" i="1"/>
  <c r="AA93" i="1"/>
  <c r="AA165" i="1"/>
  <c r="AA88" i="1"/>
  <c r="X83" i="1"/>
  <c r="AA82" i="1"/>
  <c r="T74" i="1"/>
  <c r="AA66" i="1"/>
  <c r="AA55" i="1"/>
  <c r="AA54" i="1"/>
  <c r="X52" i="1"/>
  <c r="T47" i="1"/>
  <c r="AA43" i="1"/>
  <c r="AG38" i="1"/>
  <c r="T35" i="1"/>
  <c r="AG30" i="1"/>
  <c r="AA27" i="1"/>
  <c r="W27" i="1" s="1"/>
  <c r="AA202" i="1"/>
  <c r="T200" i="1"/>
  <c r="T195" i="1"/>
  <c r="U195" i="1" s="1"/>
  <c r="S195" i="1" s="1"/>
  <c r="X158" i="1"/>
  <c r="AG157" i="1"/>
  <c r="U157" i="1" s="1"/>
  <c r="U153" i="1"/>
  <c r="S153" i="1" s="1"/>
  <c r="X153" i="1"/>
  <c r="X149" i="1"/>
  <c r="U145" i="1"/>
  <c r="X145" i="1"/>
  <c r="AA198" i="1"/>
  <c r="T196" i="1"/>
  <c r="AA156" i="1"/>
  <c r="AA155" i="1"/>
  <c r="X154" i="1"/>
  <c r="AA152" i="1"/>
  <c r="AA151" i="1"/>
  <c r="AA150" i="1"/>
  <c r="AA148" i="1"/>
  <c r="AA147" i="1"/>
  <c r="AA146" i="1"/>
  <c r="AA144" i="1"/>
  <c r="AA143" i="1"/>
  <c r="AA141" i="1"/>
  <c r="T141" i="1"/>
  <c r="AA139" i="1"/>
  <c r="X137" i="1"/>
  <c r="AG133" i="1"/>
  <c r="U133" i="1" s="1"/>
  <c r="X133" i="1"/>
  <c r="AG129" i="1"/>
  <c r="X129" i="1"/>
  <c r="AA128" i="1"/>
  <c r="X121" i="1"/>
  <c r="AG120" i="1"/>
  <c r="U120" i="1" s="1"/>
  <c r="S120" i="1" s="1"/>
  <c r="AG118" i="1"/>
  <c r="W118" i="1" s="1"/>
  <c r="AA116" i="1"/>
  <c r="W116" i="1" s="1"/>
  <c r="AA115" i="1"/>
  <c r="AG114" i="1"/>
  <c r="X113" i="1"/>
  <c r="AA104" i="1"/>
  <c r="T158" i="1"/>
  <c r="U116" i="1"/>
  <c r="S116" i="1" s="1"/>
  <c r="AG172" i="1"/>
  <c r="T172" i="1"/>
  <c r="X172" i="1"/>
  <c r="W56" i="1"/>
  <c r="AI56" i="1"/>
  <c r="X196" i="1"/>
  <c r="AG156" i="1"/>
  <c r="T154" i="1"/>
  <c r="AG152" i="1"/>
  <c r="U152" i="1" s="1"/>
  <c r="S152" i="1" s="1"/>
  <c r="AG148" i="1"/>
  <c r="AG144" i="1"/>
  <c r="AG141" i="1"/>
  <c r="AA137" i="1"/>
  <c r="W137" i="1" s="1"/>
  <c r="T137" i="1"/>
  <c r="AG134" i="1"/>
  <c r="W134" i="1" s="1"/>
  <c r="AA133" i="1"/>
  <c r="W133" i="1" s="1"/>
  <c r="AG130" i="1"/>
  <c r="W130" i="1" s="1"/>
  <c r="AA129" i="1"/>
  <c r="W129" i="1" s="1"/>
  <c r="AG126" i="1"/>
  <c r="W126" i="1" s="1"/>
  <c r="AA124" i="1"/>
  <c r="W124" i="1" s="1"/>
  <c r="AA123" i="1"/>
  <c r="AA121" i="1"/>
  <c r="T121" i="1"/>
  <c r="AA113" i="1"/>
  <c r="T113" i="1"/>
  <c r="AA108" i="1"/>
  <c r="AA107" i="1"/>
  <c r="AA96" i="1"/>
  <c r="W96" i="1" s="1"/>
  <c r="T180" i="1"/>
  <c r="AG180" i="1"/>
  <c r="T171" i="1"/>
  <c r="AG171" i="1"/>
  <c r="W171" i="1" s="1"/>
  <c r="T169" i="1"/>
  <c r="AG169" i="1"/>
  <c r="AI36" i="1"/>
  <c r="T63" i="1"/>
  <c r="T40" i="1"/>
  <c r="AA33" i="1"/>
  <c r="T32" i="1"/>
  <c r="U32" i="1" s="1"/>
  <c r="S32" i="1" s="1"/>
  <c r="AA25" i="1"/>
  <c r="AI25" i="1" s="1"/>
  <c r="AA24" i="1"/>
  <c r="U23" i="1"/>
  <c r="S23" i="1" s="1"/>
  <c r="AA168" i="1"/>
  <c r="AI91" i="1"/>
  <c r="T91" i="1"/>
  <c r="U91" i="1" s="1"/>
  <c r="S91" i="1" s="1"/>
  <c r="W86" i="1"/>
  <c r="X79" i="1"/>
  <c r="AG78" i="1"/>
  <c r="U78" i="1" s="1"/>
  <c r="S78" i="1" s="1"/>
  <c r="T75" i="1"/>
  <c r="X67" i="1"/>
  <c r="AG66" i="1"/>
  <c r="AA62" i="1"/>
  <c r="AI62" i="1" s="1"/>
  <c r="AG61" i="1"/>
  <c r="U59" i="1"/>
  <c r="X56" i="1"/>
  <c r="AG55" i="1"/>
  <c r="U55" i="1" s="1"/>
  <c r="S55" i="1" s="1"/>
  <c r="X55" i="1"/>
  <c r="AI48" i="1"/>
  <c r="T48" i="1"/>
  <c r="U48" i="1" s="1"/>
  <c r="S48" i="1" s="1"/>
  <c r="AG40" i="1"/>
  <c r="AG39" i="1"/>
  <c r="U39" i="1" s="1"/>
  <c r="S39" i="1" s="1"/>
  <c r="X39" i="1"/>
  <c r="W36" i="1"/>
  <c r="U31" i="1"/>
  <c r="S31" i="1" s="1"/>
  <c r="T182" i="1"/>
  <c r="U182" i="1" s="1"/>
  <c r="S182" i="1" s="1"/>
  <c r="AA94" i="1"/>
  <c r="W94" i="1" s="1"/>
  <c r="X93" i="1"/>
  <c r="AG168" i="1"/>
  <c r="AG166" i="1"/>
  <c r="U166" i="1" s="1"/>
  <c r="S166" i="1" s="1"/>
  <c r="AA164" i="1"/>
  <c r="AI87" i="1"/>
  <c r="T87" i="1"/>
  <c r="U87" i="1" s="1"/>
  <c r="S87" i="1" s="1"/>
  <c r="W82" i="1"/>
  <c r="AA74" i="1"/>
  <c r="W74" i="1" s="1"/>
  <c r="T71" i="1"/>
  <c r="X63" i="1"/>
  <c r="AG62" i="1"/>
  <c r="AI52" i="1"/>
  <c r="T52" i="1"/>
  <c r="U52" i="1" s="1"/>
  <c r="S52" i="1" s="1"/>
  <c r="AG46" i="1"/>
  <c r="W46" i="1" s="1"/>
  <c r="T44" i="1"/>
  <c r="AG42" i="1"/>
  <c r="W42" i="1" s="1"/>
  <c r="W38" i="1"/>
  <c r="T36" i="1"/>
  <c r="U36" i="1" s="1"/>
  <c r="S36" i="1" s="1"/>
  <c r="AG34" i="1"/>
  <c r="W34" i="1" s="1"/>
  <c r="W30" i="1"/>
  <c r="AA100" i="1"/>
  <c r="W100" i="1" s="1"/>
  <c r="AA99" i="1"/>
  <c r="AA189" i="1"/>
  <c r="W189" i="1" s="1"/>
  <c r="AA186" i="1"/>
  <c r="W186" i="1" s="1"/>
  <c r="AG185" i="1"/>
  <c r="X185" i="1"/>
  <c r="AG184" i="1"/>
  <c r="W184" i="1" s="1"/>
  <c r="X179" i="1"/>
  <c r="AG177" i="1"/>
  <c r="U177" i="1" s="1"/>
  <c r="S177" i="1" s="1"/>
  <c r="AA175" i="1"/>
  <c r="W175" i="1" s="1"/>
  <c r="AA174" i="1"/>
  <c r="AA172" i="1"/>
  <c r="X165" i="1"/>
  <c r="AG161" i="1"/>
  <c r="U161" i="1" s="1"/>
  <c r="S161" i="1" s="1"/>
  <c r="X91" i="1"/>
  <c r="AA85" i="1"/>
  <c r="T83" i="1"/>
  <c r="U82" i="1"/>
  <c r="S82" i="1" s="1"/>
  <c r="AA81" i="1"/>
  <c r="T79" i="1"/>
  <c r="X75" i="1"/>
  <c r="AA70" i="1"/>
  <c r="W70" i="1" s="1"/>
  <c r="AA69" i="1"/>
  <c r="T67" i="1"/>
  <c r="AA61" i="1"/>
  <c r="AA60" i="1"/>
  <c r="AA59" i="1"/>
  <c r="W59" i="1" s="1"/>
  <c r="T56" i="1"/>
  <c r="U56" i="1" s="1"/>
  <c r="S56" i="1" s="1"/>
  <c r="AA53" i="1"/>
  <c r="AA51" i="1"/>
  <c r="W51" i="1" s="1"/>
  <c r="AG50" i="1"/>
  <c r="U50" i="1" s="1"/>
  <c r="S50" i="1" s="1"/>
  <c r="X48" i="1"/>
  <c r="AG47" i="1"/>
  <c r="AG43" i="1"/>
  <c r="AA39" i="1"/>
  <c r="W39" i="1" s="1"/>
  <c r="AG35" i="1"/>
  <c r="U35" i="1" s="1"/>
  <c r="S35" i="1" s="1"/>
  <c r="AA31" i="1"/>
  <c r="U28" i="1"/>
  <c r="S28" i="1" s="1"/>
  <c r="U27" i="1"/>
  <c r="S27" i="1" s="1"/>
  <c r="U200" i="1"/>
  <c r="S200" i="1" s="1"/>
  <c r="AI200" i="1"/>
  <c r="U137" i="1"/>
  <c r="S137" i="1" s="1"/>
  <c r="AI171" i="1"/>
  <c r="U196" i="1"/>
  <c r="S196" i="1" s="1"/>
  <c r="AI196" i="1"/>
  <c r="W141" i="1"/>
  <c r="AI175" i="1"/>
  <c r="U158" i="1"/>
  <c r="S158" i="1" s="1"/>
  <c r="W149" i="1"/>
  <c r="AI183" i="1"/>
  <c r="W145" i="1"/>
  <c r="AI179" i="1"/>
  <c r="W200" i="1"/>
  <c r="AI194" i="1"/>
  <c r="U154" i="1"/>
  <c r="S154" i="1" s="1"/>
  <c r="U134" i="1"/>
  <c r="S134" i="1" s="1"/>
  <c r="AG202" i="1"/>
  <c r="X199" i="1"/>
  <c r="AG198" i="1"/>
  <c r="U156" i="1"/>
  <c r="S156" i="1" s="1"/>
  <c r="U148" i="1"/>
  <c r="S148" i="1" s="1"/>
  <c r="U144" i="1"/>
  <c r="S144" i="1" s="1"/>
  <c r="U140" i="1"/>
  <c r="S140" i="1" s="1"/>
  <c r="U136" i="1"/>
  <c r="S136" i="1" s="1"/>
  <c r="U132" i="1"/>
  <c r="S132" i="1" s="1"/>
  <c r="U121" i="1"/>
  <c r="S121" i="1" s="1"/>
  <c r="AI154" i="1"/>
  <c r="W114" i="1"/>
  <c r="U113" i="1"/>
  <c r="S113" i="1" s="1"/>
  <c r="W106" i="1"/>
  <c r="W187" i="1"/>
  <c r="AI122" i="1"/>
  <c r="X198" i="1"/>
  <c r="AG197" i="1"/>
  <c r="AI195" i="1"/>
  <c r="X194" i="1"/>
  <c r="T194" i="1"/>
  <c r="U194" i="1" s="1"/>
  <c r="S194" i="1" s="1"/>
  <c r="AG193" i="1"/>
  <c r="W193" i="1" s="1"/>
  <c r="AI191" i="1"/>
  <c r="S157" i="1"/>
  <c r="X156" i="1"/>
  <c r="AG155" i="1"/>
  <c r="AI155" i="1" s="1"/>
  <c r="AI187" i="1"/>
  <c r="X152" i="1"/>
  <c r="AG151" i="1"/>
  <c r="X148" i="1"/>
  <c r="AG147" i="1"/>
  <c r="W147" i="1" s="1"/>
  <c r="S145" i="1"/>
  <c r="X144" i="1"/>
  <c r="AG143" i="1"/>
  <c r="AI143" i="1" s="1"/>
  <c r="X140" i="1"/>
  <c r="AG139" i="1"/>
  <c r="AI139" i="1" s="1"/>
  <c r="X136" i="1"/>
  <c r="AG135" i="1"/>
  <c r="W135" i="1" s="1"/>
  <c r="S133" i="1"/>
  <c r="X132" i="1"/>
  <c r="AG131" i="1"/>
  <c r="AI131" i="1" s="1"/>
  <c r="AI161" i="1"/>
  <c r="T127" i="1"/>
  <c r="X127" i="1"/>
  <c r="AG127" i="1"/>
  <c r="W127" i="1" s="1"/>
  <c r="U126" i="1"/>
  <c r="S126" i="1" s="1"/>
  <c r="U118" i="1"/>
  <c r="S118" i="1" s="1"/>
  <c r="U117" i="1"/>
  <c r="S117" i="1" s="1"/>
  <c r="U105" i="1"/>
  <c r="S105" i="1" s="1"/>
  <c r="X195" i="1"/>
  <c r="X202" i="1"/>
  <c r="AG201" i="1"/>
  <c r="X201" i="1"/>
  <c r="X197" i="1"/>
  <c r="X193" i="1"/>
  <c r="AI190" i="1"/>
  <c r="X155" i="1"/>
  <c r="AI186" i="1"/>
  <c r="X151" i="1"/>
  <c r="AG150" i="1"/>
  <c r="AI150" i="1" s="1"/>
  <c r="AI182" i="1"/>
  <c r="X147" i="1"/>
  <c r="AG146" i="1"/>
  <c r="X143" i="1"/>
  <c r="AG142" i="1"/>
  <c r="X139" i="1"/>
  <c r="AG138" i="1"/>
  <c r="W138" i="1" s="1"/>
  <c r="X135" i="1"/>
  <c r="AI166" i="1"/>
  <c r="X131" i="1"/>
  <c r="W128" i="1"/>
  <c r="W125" i="1"/>
  <c r="W110" i="1"/>
  <c r="W102" i="1"/>
  <c r="W101" i="1"/>
  <c r="W191" i="1"/>
  <c r="AI127" i="1"/>
  <c r="W190" i="1"/>
  <c r="X150" i="1"/>
  <c r="X146" i="1"/>
  <c r="X142" i="1"/>
  <c r="X138" i="1"/>
  <c r="X134" i="1"/>
  <c r="X130" i="1"/>
  <c r="U125" i="1"/>
  <c r="S125" i="1" s="1"/>
  <c r="W121" i="1"/>
  <c r="W113" i="1"/>
  <c r="U109" i="1"/>
  <c r="S109" i="1" s="1"/>
  <c r="U101" i="1"/>
  <c r="S101" i="1" s="1"/>
  <c r="AI134" i="1"/>
  <c r="U190" i="1"/>
  <c r="S190" i="1" s="1"/>
  <c r="AI126" i="1"/>
  <c r="X124" i="1"/>
  <c r="AG123" i="1"/>
  <c r="X120" i="1"/>
  <c r="AG119" i="1"/>
  <c r="X116" i="1"/>
  <c r="AG115" i="1"/>
  <c r="X112" i="1"/>
  <c r="AG111" i="1"/>
  <c r="X108" i="1"/>
  <c r="AG107" i="1"/>
  <c r="AI107" i="1" s="1"/>
  <c r="X104" i="1"/>
  <c r="AG103" i="1"/>
  <c r="AI103" i="1" s="1"/>
  <c r="X100" i="1"/>
  <c r="AG99" i="1"/>
  <c r="AI99" i="1" s="1"/>
  <c r="X96" i="1"/>
  <c r="AG192" i="1"/>
  <c r="AI192" i="1" s="1"/>
  <c r="AG95" i="1"/>
  <c r="AI95" i="1" s="1"/>
  <c r="AI120" i="1"/>
  <c r="W183" i="1"/>
  <c r="T183" i="1"/>
  <c r="U183" i="1" s="1"/>
  <c r="S183" i="1" s="1"/>
  <c r="U173" i="1"/>
  <c r="S173" i="1" s="1"/>
  <c r="AI106" i="1"/>
  <c r="W93" i="1"/>
  <c r="AI157" i="1"/>
  <c r="X123" i="1"/>
  <c r="X119" i="1"/>
  <c r="AI149" i="1"/>
  <c r="X115" i="1"/>
  <c r="U114" i="1"/>
  <c r="S114" i="1" s="1"/>
  <c r="AI145" i="1"/>
  <c r="X111" i="1"/>
  <c r="U110" i="1"/>
  <c r="S110" i="1" s="1"/>
  <c r="AI141" i="1"/>
  <c r="X107" i="1"/>
  <c r="U106" i="1"/>
  <c r="S106" i="1" s="1"/>
  <c r="X103" i="1"/>
  <c r="U102" i="1"/>
  <c r="S102" i="1" s="1"/>
  <c r="AI133" i="1"/>
  <c r="X99" i="1"/>
  <c r="AI129" i="1"/>
  <c r="X192" i="1"/>
  <c r="U191" i="1"/>
  <c r="S191" i="1" s="1"/>
  <c r="AI125" i="1"/>
  <c r="X95" i="1"/>
  <c r="AG188" i="1"/>
  <c r="W188" i="1" s="1"/>
  <c r="T187" i="1"/>
  <c r="U187" i="1" s="1"/>
  <c r="S187" i="1" s="1"/>
  <c r="U186" i="1"/>
  <c r="S186" i="1" s="1"/>
  <c r="AI118" i="1"/>
  <c r="U179" i="1"/>
  <c r="S179" i="1" s="1"/>
  <c r="AI114" i="1"/>
  <c r="U93" i="1"/>
  <c r="S93" i="1" s="1"/>
  <c r="AI102" i="1"/>
  <c r="W165" i="1"/>
  <c r="X126" i="1"/>
  <c r="X122" i="1"/>
  <c r="X118" i="1"/>
  <c r="X114" i="1"/>
  <c r="X110" i="1"/>
  <c r="X106" i="1"/>
  <c r="X102" i="1"/>
  <c r="X98" i="1"/>
  <c r="X191" i="1"/>
  <c r="X188" i="1"/>
  <c r="X187" i="1"/>
  <c r="W185" i="1"/>
  <c r="U185" i="1"/>
  <c r="S185" i="1" s="1"/>
  <c r="X183" i="1"/>
  <c r="AI113" i="1"/>
  <c r="W176" i="1"/>
  <c r="U165" i="1"/>
  <c r="S165" i="1" s="1"/>
  <c r="W160" i="1"/>
  <c r="AI121" i="1"/>
  <c r="T181" i="1"/>
  <c r="X181" i="1"/>
  <c r="AG181" i="1"/>
  <c r="X182" i="1"/>
  <c r="U94" i="1"/>
  <c r="S94" i="1" s="1"/>
  <c r="T178" i="1"/>
  <c r="X178" i="1"/>
  <c r="AG178" i="1"/>
  <c r="AI178" i="1" s="1"/>
  <c r="X94" i="1"/>
  <c r="U176" i="1"/>
  <c r="S176" i="1" s="1"/>
  <c r="AI110" i="1"/>
  <c r="U160" i="1"/>
  <c r="S160" i="1" s="1"/>
  <c r="AI94" i="1"/>
  <c r="X175" i="1"/>
  <c r="AG174" i="1"/>
  <c r="X171" i="1"/>
  <c r="AG170" i="1"/>
  <c r="X168" i="1"/>
  <c r="AG167" i="1"/>
  <c r="AI167" i="1" s="1"/>
  <c r="X164" i="1"/>
  <c r="AG163" i="1"/>
  <c r="W163" i="1" s="1"/>
  <c r="AA159" i="1"/>
  <c r="T92" i="1"/>
  <c r="X92" i="1"/>
  <c r="AG92" i="1"/>
  <c r="W92" i="1" s="1"/>
  <c r="X90" i="1"/>
  <c r="T84" i="1"/>
  <c r="X84" i="1"/>
  <c r="AG84" i="1"/>
  <c r="U83" i="1"/>
  <c r="S83" i="1" s="1"/>
  <c r="AI83" i="1"/>
  <c r="U79" i="1"/>
  <c r="S79" i="1" s="1"/>
  <c r="AI79" i="1"/>
  <c r="U63" i="1"/>
  <c r="S63" i="1" s="1"/>
  <c r="AI63" i="1"/>
  <c r="AI109" i="1"/>
  <c r="X174" i="1"/>
  <c r="X170" i="1"/>
  <c r="AI101" i="1"/>
  <c r="X167" i="1"/>
  <c r="AI97" i="1"/>
  <c r="T159" i="1"/>
  <c r="X159" i="1"/>
  <c r="T85" i="1"/>
  <c r="X85" i="1"/>
  <c r="AI82" i="1"/>
  <c r="U75" i="1"/>
  <c r="S75" i="1" s="1"/>
  <c r="AI75" i="1"/>
  <c r="X184" i="1"/>
  <c r="X180" i="1"/>
  <c r="X177" i="1"/>
  <c r="X173" i="1"/>
  <c r="X169" i="1"/>
  <c r="X166" i="1"/>
  <c r="X161" i="1"/>
  <c r="AG159" i="1"/>
  <c r="AA90" i="1"/>
  <c r="W90" i="1" s="1"/>
  <c r="U90" i="1"/>
  <c r="S90" i="1" s="1"/>
  <c r="AA89" i="1"/>
  <c r="W89" i="1" s="1"/>
  <c r="T88" i="1"/>
  <c r="X88" i="1"/>
  <c r="AG88" i="1"/>
  <c r="AI86" i="1"/>
  <c r="X86" i="1"/>
  <c r="AG85" i="1"/>
  <c r="T81" i="1"/>
  <c r="X81" i="1"/>
  <c r="AG81" i="1"/>
  <c r="X82" i="1"/>
  <c r="U71" i="1"/>
  <c r="S71" i="1" s="1"/>
  <c r="W67" i="1"/>
  <c r="T89" i="1"/>
  <c r="U89" i="1" s="1"/>
  <c r="S89" i="1" s="1"/>
  <c r="X89" i="1"/>
  <c r="W79" i="1"/>
  <c r="T77" i="1"/>
  <c r="X77" i="1"/>
  <c r="AG77" i="1"/>
  <c r="X78" i="1"/>
  <c r="U67" i="1"/>
  <c r="S67" i="1" s="1"/>
  <c r="AI67" i="1"/>
  <c r="W63" i="1"/>
  <c r="U74" i="1"/>
  <c r="S74" i="1" s="1"/>
  <c r="U70" i="1"/>
  <c r="S70" i="1" s="1"/>
  <c r="U66" i="1"/>
  <c r="S66" i="1" s="1"/>
  <c r="U62" i="1"/>
  <c r="S62" i="1" s="1"/>
  <c r="S54" i="1"/>
  <c r="T53" i="1"/>
  <c r="X53" i="1"/>
  <c r="AG53" i="1"/>
  <c r="W53" i="1" s="1"/>
  <c r="X74" i="1"/>
  <c r="AG73" i="1"/>
  <c r="X70" i="1"/>
  <c r="AG69" i="1"/>
  <c r="X66" i="1"/>
  <c r="AG65" i="1"/>
  <c r="U61" i="1"/>
  <c r="S61" i="1" s="1"/>
  <c r="T49" i="1"/>
  <c r="X49" i="1"/>
  <c r="AG49" i="1"/>
  <c r="W49" i="1" s="1"/>
  <c r="AG80" i="1"/>
  <c r="W80" i="1" s="1"/>
  <c r="AG76" i="1"/>
  <c r="AI74" i="1"/>
  <c r="X73" i="1"/>
  <c r="AG72" i="1"/>
  <c r="AI70" i="1"/>
  <c r="X69" i="1"/>
  <c r="AG68" i="1"/>
  <c r="W68" i="1" s="1"/>
  <c r="X65" i="1"/>
  <c r="AG64" i="1"/>
  <c r="X61" i="1"/>
  <c r="AG60" i="1"/>
  <c r="W60" i="1" s="1"/>
  <c r="T58" i="1"/>
  <c r="X58" i="1"/>
  <c r="U44" i="1"/>
  <c r="S44" i="1" s="1"/>
  <c r="AI44" i="1"/>
  <c r="X80" i="1"/>
  <c r="X76" i="1"/>
  <c r="X72" i="1"/>
  <c r="X68" i="1"/>
  <c r="X64" i="1"/>
  <c r="AI61" i="1"/>
  <c r="X60" i="1"/>
  <c r="S59" i="1"/>
  <c r="X59" i="1"/>
  <c r="AG58" i="1"/>
  <c r="T57" i="1"/>
  <c r="X57" i="1"/>
  <c r="AG57" i="1"/>
  <c r="W57" i="1" s="1"/>
  <c r="AI23" i="1"/>
  <c r="U46" i="1"/>
  <c r="S46" i="1" s="1"/>
  <c r="U38" i="1"/>
  <c r="S38" i="1" s="1"/>
  <c r="U34" i="1"/>
  <c r="S34" i="1" s="1"/>
  <c r="U30" i="1"/>
  <c r="S30" i="1" s="1"/>
  <c r="U25" i="1"/>
  <c r="S25" i="1" s="1"/>
  <c r="X54" i="1"/>
  <c r="AI51" i="1"/>
  <c r="S51" i="1"/>
  <c r="X50" i="1"/>
  <c r="AI47" i="1"/>
  <c r="X46" i="1"/>
  <c r="AG45" i="1"/>
  <c r="AI43" i="1"/>
  <c r="X42" i="1"/>
  <c r="AG41" i="1"/>
  <c r="AI39" i="1"/>
  <c r="X38" i="1"/>
  <c r="AG37" i="1"/>
  <c r="AI35" i="1"/>
  <c r="X34" i="1"/>
  <c r="AG33" i="1"/>
  <c r="AI31" i="1"/>
  <c r="AG29" i="1"/>
  <c r="AI27" i="1"/>
  <c r="AI22" i="1"/>
  <c r="AI46" i="1"/>
  <c r="X45" i="1"/>
  <c r="X41" i="1"/>
  <c r="AI38" i="1"/>
  <c r="X37" i="1"/>
  <c r="AI34" i="1"/>
  <c r="X33" i="1"/>
  <c r="AI30" i="1"/>
  <c r="F3" i="6"/>
  <c r="G4" i="6"/>
  <c r="F5" i="6"/>
  <c r="F6" i="6"/>
  <c r="H7" i="6"/>
  <c r="M18" i="3"/>
  <c r="M27" i="3"/>
  <c r="M15" i="3"/>
  <c r="M12" i="3"/>
  <c r="M19" i="3"/>
  <c r="M11" i="3"/>
  <c r="M8" i="3"/>
  <c r="M28" i="3"/>
  <c r="M34" i="3"/>
  <c r="M10" i="3"/>
  <c r="M7" i="3"/>
  <c r="M20" i="3"/>
  <c r="M13" i="3"/>
  <c r="M21" i="3"/>
  <c r="M22" i="3"/>
  <c r="M33" i="3"/>
  <c r="M23" i="3"/>
  <c r="M31" i="3"/>
  <c r="M30" i="3"/>
  <c r="M32" i="3"/>
  <c r="M35" i="3"/>
  <c r="M24" i="3"/>
  <c r="M36" i="3"/>
  <c r="M25" i="3"/>
  <c r="M9" i="3"/>
  <c r="N17" i="3"/>
  <c r="U17" i="3"/>
  <c r="T17" i="3" s="1"/>
  <c r="V17" i="3"/>
  <c r="W17" i="3"/>
  <c r="X17" i="3"/>
  <c r="S17" i="3"/>
  <c r="R17" i="3"/>
  <c r="W14" i="1" l="1"/>
  <c r="J7" i="1"/>
  <c r="W22" i="1"/>
  <c r="U22" i="1"/>
  <c r="S22" i="1" s="1"/>
  <c r="W16" i="1"/>
  <c r="W23" i="1"/>
  <c r="U16" i="1"/>
  <c r="S16" i="1" s="1"/>
  <c r="AI14" i="1"/>
  <c r="U14" i="1"/>
  <c r="S14" i="1" s="1"/>
  <c r="U15" i="1"/>
  <c r="S15" i="1" s="1"/>
  <c r="W15" i="1"/>
  <c r="W98" i="1"/>
  <c r="U172" i="1"/>
  <c r="S172" i="1" s="1"/>
  <c r="AI28" i="1"/>
  <c r="W157" i="1"/>
  <c r="AI66" i="1"/>
  <c r="U42" i="1"/>
  <c r="S42" i="1" s="1"/>
  <c r="W81" i="1"/>
  <c r="AI42" i="1"/>
  <c r="W69" i="1"/>
  <c r="AI54" i="1"/>
  <c r="AI78" i="1"/>
  <c r="AI159" i="1"/>
  <c r="W170" i="1"/>
  <c r="U98" i="1"/>
  <c r="S98" i="1" s="1"/>
  <c r="AI158" i="1"/>
  <c r="AI135" i="1"/>
  <c r="AI146" i="1"/>
  <c r="AI199" i="1"/>
  <c r="U130" i="1"/>
  <c r="S130" i="1" s="1"/>
  <c r="W172" i="1"/>
  <c r="W108" i="1"/>
  <c r="W199" i="1"/>
  <c r="W32" i="1"/>
  <c r="W122" i="1"/>
  <c r="W29" i="1"/>
  <c r="W73" i="1"/>
  <c r="AI71" i="1"/>
  <c r="AI105" i="1"/>
  <c r="AI174" i="1"/>
  <c r="W181" i="1"/>
  <c r="AI142" i="1"/>
  <c r="AI130" i="1"/>
  <c r="AI151" i="1"/>
  <c r="W31" i="1"/>
  <c r="U43" i="1"/>
  <c r="S43" i="1" s="1"/>
  <c r="W66" i="1"/>
  <c r="U141" i="1"/>
  <c r="S141" i="1" s="1"/>
  <c r="W104" i="1"/>
  <c r="AI55" i="1"/>
  <c r="AI50" i="1"/>
  <c r="AI98" i="1"/>
  <c r="AI137" i="1"/>
  <c r="W123" i="1"/>
  <c r="U47" i="1"/>
  <c r="S47" i="1" s="1"/>
  <c r="W54" i="1"/>
  <c r="U128" i="1"/>
  <c r="S128" i="1" s="1"/>
  <c r="AI117" i="1"/>
  <c r="AI147" i="1"/>
  <c r="W61" i="1"/>
  <c r="U169" i="1"/>
  <c r="S169" i="1" s="1"/>
  <c r="AI138" i="1"/>
  <c r="W55" i="1"/>
  <c r="U184" i="1"/>
  <c r="W28" i="1"/>
  <c r="W115" i="1"/>
  <c r="AI115" i="1"/>
  <c r="W35" i="1"/>
  <c r="U40" i="1"/>
  <c r="S40" i="1" s="1"/>
  <c r="AI40" i="1"/>
  <c r="W62" i="1"/>
  <c r="W177" i="1"/>
  <c r="W25" i="1"/>
  <c r="U171" i="1"/>
  <c r="S171" i="1" s="1"/>
  <c r="U129" i="1"/>
  <c r="S129" i="1" s="1"/>
  <c r="W144" i="1"/>
  <c r="W120" i="1"/>
  <c r="AI170" i="1"/>
  <c r="AI163" i="1"/>
  <c r="U168" i="1"/>
  <c r="S168" i="1" s="1"/>
  <c r="AI168" i="1"/>
  <c r="W43" i="1"/>
  <c r="AI59" i="1"/>
  <c r="W156" i="1"/>
  <c r="W40" i="1"/>
  <c r="W111" i="1"/>
  <c r="AI111" i="1"/>
  <c r="W119" i="1"/>
  <c r="AI119" i="1"/>
  <c r="W47" i="1"/>
  <c r="W50" i="1"/>
  <c r="W161" i="1"/>
  <c r="W78" i="1"/>
  <c r="U180" i="1"/>
  <c r="S180" i="1" s="1"/>
  <c r="W166" i="1"/>
  <c r="W152" i="1"/>
  <c r="AI188" i="1"/>
  <c r="S184" i="1"/>
  <c r="W164" i="1"/>
  <c r="AI164" i="1"/>
  <c r="W168" i="1"/>
  <c r="W169" i="1"/>
  <c r="W180" i="1"/>
  <c r="W148" i="1"/>
  <c r="AI20" i="1"/>
  <c r="U20" i="1"/>
  <c r="S20" i="1" s="1"/>
  <c r="AI18" i="1"/>
  <c r="U18" i="1"/>
  <c r="S18" i="1" s="1"/>
  <c r="AI24" i="1"/>
  <c r="U24" i="1"/>
  <c r="S24" i="1" s="1"/>
  <c r="AI29" i="1"/>
  <c r="U29" i="1"/>
  <c r="S29" i="1" s="1"/>
  <c r="AI33" i="1"/>
  <c r="U33" i="1"/>
  <c r="S33" i="1" s="1"/>
  <c r="AI37" i="1"/>
  <c r="U37" i="1"/>
  <c r="S37" i="1" s="1"/>
  <c r="AI41" i="1"/>
  <c r="U41" i="1"/>
  <c r="S41" i="1" s="1"/>
  <c r="AI45" i="1"/>
  <c r="U45" i="1"/>
  <c r="S45" i="1" s="1"/>
  <c r="AI57" i="1"/>
  <c r="U57" i="1"/>
  <c r="S57" i="1" s="1"/>
  <c r="W37" i="1"/>
  <c r="U64" i="1"/>
  <c r="S64" i="1" s="1"/>
  <c r="AI64" i="1"/>
  <c r="W20" i="1"/>
  <c r="W45" i="1"/>
  <c r="AI85" i="1"/>
  <c r="U85" i="1"/>
  <c r="S85" i="1" s="1"/>
  <c r="U88" i="1"/>
  <c r="S88" i="1" s="1"/>
  <c r="AI88" i="1"/>
  <c r="U84" i="1"/>
  <c r="S84" i="1" s="1"/>
  <c r="AI84" i="1"/>
  <c r="AI89" i="1"/>
  <c r="U150" i="1"/>
  <c r="S150" i="1" s="1"/>
  <c r="AI184" i="1"/>
  <c r="U201" i="1"/>
  <c r="S201" i="1" s="1"/>
  <c r="AI201" i="1"/>
  <c r="AI177" i="1"/>
  <c r="U143" i="1"/>
  <c r="S143" i="1" s="1"/>
  <c r="AI198" i="1"/>
  <c r="U198" i="1"/>
  <c r="S198" i="1" s="1"/>
  <c r="W198" i="1"/>
  <c r="U60" i="1"/>
  <c r="S60" i="1" s="1"/>
  <c r="AI60" i="1"/>
  <c r="U76" i="1"/>
  <c r="S76" i="1" s="1"/>
  <c r="W76" i="1"/>
  <c r="AI76" i="1"/>
  <c r="AI65" i="1"/>
  <c r="U65" i="1"/>
  <c r="S65" i="1" s="1"/>
  <c r="AI73" i="1"/>
  <c r="U73" i="1"/>
  <c r="S73" i="1" s="1"/>
  <c r="W33" i="1"/>
  <c r="AI77" i="1"/>
  <c r="U77" i="1"/>
  <c r="S77" i="1" s="1"/>
  <c r="W77" i="1"/>
  <c r="AI81" i="1"/>
  <c r="U81" i="1"/>
  <c r="S81" i="1" s="1"/>
  <c r="AI90" i="1"/>
  <c r="AI100" i="1"/>
  <c r="U167" i="1"/>
  <c r="S167" i="1" s="1"/>
  <c r="AI108" i="1"/>
  <c r="U174" i="1"/>
  <c r="S174" i="1" s="1"/>
  <c r="W174" i="1"/>
  <c r="AI132" i="1"/>
  <c r="U99" i="1"/>
  <c r="S99" i="1" s="1"/>
  <c r="AI140" i="1"/>
  <c r="U107" i="1"/>
  <c r="S107" i="1" s="1"/>
  <c r="AI148" i="1"/>
  <c r="U115" i="1"/>
  <c r="S115" i="1" s="1"/>
  <c r="AI156" i="1"/>
  <c r="U123" i="1"/>
  <c r="S123" i="1" s="1"/>
  <c r="U146" i="1"/>
  <c r="S146" i="1" s="1"/>
  <c r="AI180" i="1"/>
  <c r="AI173" i="1"/>
  <c r="U139" i="1"/>
  <c r="S139" i="1" s="1"/>
  <c r="W150" i="1"/>
  <c r="W201" i="1"/>
  <c r="U72" i="1"/>
  <c r="S72" i="1" s="1"/>
  <c r="AI72" i="1"/>
  <c r="U80" i="1"/>
  <c r="S80" i="1" s="1"/>
  <c r="AI80" i="1"/>
  <c r="AI49" i="1"/>
  <c r="U49" i="1"/>
  <c r="S49" i="1" s="1"/>
  <c r="W72" i="1"/>
  <c r="AI93" i="1"/>
  <c r="U159" i="1"/>
  <c r="S159" i="1" s="1"/>
  <c r="W159" i="1"/>
  <c r="AI112" i="1"/>
  <c r="U178" i="1"/>
  <c r="S178" i="1" s="1"/>
  <c r="W178" i="1"/>
  <c r="W84" i="1"/>
  <c r="AI124" i="1"/>
  <c r="U95" i="1"/>
  <c r="S95" i="1" s="1"/>
  <c r="W99" i="1"/>
  <c r="W107" i="1"/>
  <c r="U142" i="1"/>
  <c r="S142" i="1" s="1"/>
  <c r="AI176" i="1"/>
  <c r="AI160" i="1"/>
  <c r="U127" i="1"/>
  <c r="S127" i="1" s="1"/>
  <c r="AI185" i="1"/>
  <c r="U151" i="1"/>
  <c r="S151" i="1" s="1"/>
  <c r="AI189" i="1"/>
  <c r="U155" i="1"/>
  <c r="S155" i="1" s="1"/>
  <c r="AI193" i="1"/>
  <c r="U193" i="1"/>
  <c r="S193" i="1" s="1"/>
  <c r="W95" i="1"/>
  <c r="AI202" i="1"/>
  <c r="U202" i="1"/>
  <c r="S202" i="1" s="1"/>
  <c r="W143" i="1"/>
  <c r="W151" i="1"/>
  <c r="W202" i="1"/>
  <c r="AI58" i="1"/>
  <c r="U58" i="1"/>
  <c r="S58" i="1" s="1"/>
  <c r="U68" i="1"/>
  <c r="S68" i="1" s="1"/>
  <c r="AI68" i="1"/>
  <c r="W18" i="1"/>
  <c r="W58" i="1"/>
  <c r="AI69" i="1"/>
  <c r="U69" i="1"/>
  <c r="S69" i="1" s="1"/>
  <c r="W24" i="1"/>
  <c r="W41" i="1"/>
  <c r="AI53" i="1"/>
  <c r="U53" i="1"/>
  <c r="S53" i="1" s="1"/>
  <c r="W64" i="1"/>
  <c r="W65" i="1"/>
  <c r="W85" i="1"/>
  <c r="U92" i="1"/>
  <c r="S92" i="1" s="1"/>
  <c r="AI92" i="1"/>
  <c r="AI96" i="1"/>
  <c r="U163" i="1"/>
  <c r="S163" i="1" s="1"/>
  <c r="AI104" i="1"/>
  <c r="U170" i="1"/>
  <c r="S170" i="1" s="1"/>
  <c r="AI116" i="1"/>
  <c r="U181" i="1"/>
  <c r="S181" i="1" s="1"/>
  <c r="W88" i="1"/>
  <c r="W167" i="1"/>
  <c r="AI123" i="1"/>
  <c r="U188" i="1"/>
  <c r="S188" i="1" s="1"/>
  <c r="AI128" i="1"/>
  <c r="U192" i="1"/>
  <c r="S192" i="1" s="1"/>
  <c r="AI136" i="1"/>
  <c r="U103" i="1"/>
  <c r="S103" i="1" s="1"/>
  <c r="AI144" i="1"/>
  <c r="U111" i="1"/>
  <c r="S111" i="1" s="1"/>
  <c r="AI152" i="1"/>
  <c r="U119" i="1"/>
  <c r="S119" i="1" s="1"/>
  <c r="U138" i="1"/>
  <c r="S138" i="1" s="1"/>
  <c r="AI172" i="1"/>
  <c r="W192" i="1"/>
  <c r="W103" i="1"/>
  <c r="AI165" i="1"/>
  <c r="U131" i="1"/>
  <c r="S131" i="1" s="1"/>
  <c r="AI169" i="1"/>
  <c r="U135" i="1"/>
  <c r="S135" i="1" s="1"/>
  <c r="AI181" i="1"/>
  <c r="U147" i="1"/>
  <c r="S147" i="1" s="1"/>
  <c r="AI197" i="1"/>
  <c r="U197" i="1"/>
  <c r="S197" i="1" s="1"/>
  <c r="W131" i="1"/>
  <c r="W142" i="1"/>
  <c r="W139" i="1"/>
  <c r="W146" i="1"/>
  <c r="W155" i="1"/>
  <c r="W197" i="1"/>
  <c r="Y17" i="3"/>
  <c r="I7" i="6"/>
  <c r="F4" i="6"/>
  <c r="I3" i="6"/>
  <c r="H6" i="6"/>
  <c r="G7" i="6"/>
  <c r="F7" i="6"/>
  <c r="G6" i="6"/>
  <c r="I4" i="6"/>
  <c r="H3" i="6"/>
  <c r="G3" i="6"/>
  <c r="I6" i="6"/>
  <c r="I5" i="6"/>
  <c r="H5" i="6"/>
  <c r="G5" i="6"/>
  <c r="H4" i="6"/>
  <c r="V13" i="1" l="1"/>
  <c r="M14" i="3" l="1"/>
  <c r="M29" i="3"/>
  <c r="M26" i="3"/>
  <c r="M17" i="3"/>
  <c r="M16" i="3"/>
  <c r="K13" i="1" l="1"/>
  <c r="L13" i="1"/>
  <c r="M13" i="1"/>
  <c r="Y13" i="1"/>
  <c r="Z13" i="1"/>
  <c r="AB13" i="1"/>
  <c r="AC13" i="1"/>
  <c r="AD13" i="1"/>
  <c r="AE13" i="1"/>
  <c r="AF13" i="1"/>
  <c r="T13" i="1" l="1"/>
  <c r="X13" i="1"/>
  <c r="AA13" i="1"/>
  <c r="AG13" i="1"/>
  <c r="M26" i="5"/>
  <c r="AH22" i="1" l="1"/>
  <c r="AH23" i="1"/>
  <c r="AH24" i="1"/>
  <c r="AH25" i="1"/>
  <c r="AH32" i="1"/>
  <c r="AH33" i="1"/>
  <c r="AH34" i="1"/>
  <c r="AH35" i="1"/>
  <c r="AH48" i="1"/>
  <c r="AH49" i="1"/>
  <c r="AH50" i="1"/>
  <c r="AH54" i="1"/>
  <c r="AH55" i="1"/>
  <c r="AH56" i="1"/>
  <c r="AH57" i="1"/>
  <c r="AH58" i="1"/>
  <c r="AH59" i="1"/>
  <c r="AH69" i="1"/>
  <c r="AH79" i="1"/>
  <c r="AH85" i="1"/>
  <c r="AH92" i="1"/>
  <c r="AH93" i="1"/>
  <c r="AH94" i="1"/>
  <c r="AH95" i="1"/>
  <c r="AH107" i="1"/>
  <c r="AH108" i="1"/>
  <c r="AH117" i="1"/>
  <c r="AH118" i="1"/>
  <c r="AH119" i="1"/>
  <c r="AH126" i="1"/>
  <c r="AH131" i="1"/>
  <c r="AH132" i="1"/>
  <c r="AH133" i="1"/>
  <c r="AH145" i="1"/>
  <c r="AH146" i="1"/>
  <c r="AH147" i="1"/>
  <c r="AH148" i="1"/>
  <c r="AH174" i="1"/>
  <c r="AH175" i="1"/>
  <c r="AH176" i="1"/>
  <c r="AH196" i="1"/>
  <c r="AH197" i="1"/>
  <c r="AH198" i="1"/>
  <c r="AH178" i="1"/>
  <c r="AH188" i="1"/>
  <c r="AH171" i="1"/>
  <c r="AH180" i="1"/>
  <c r="AH184" i="1"/>
  <c r="AH192" i="1"/>
  <c r="AH202" i="1"/>
  <c r="AH27" i="1"/>
  <c r="AH28" i="1"/>
  <c r="AH29" i="1"/>
  <c r="AH30" i="1"/>
  <c r="AH36" i="1"/>
  <c r="AH37" i="1"/>
  <c r="AH38" i="1"/>
  <c r="AH39" i="1"/>
  <c r="AH40" i="1"/>
  <c r="AH41" i="1"/>
  <c r="AH42" i="1"/>
  <c r="AH43" i="1"/>
  <c r="AH60" i="1"/>
  <c r="AH61" i="1"/>
  <c r="AH70" i="1"/>
  <c r="AH86" i="1"/>
  <c r="AH87" i="1"/>
  <c r="AH96" i="1"/>
  <c r="AH109" i="1"/>
  <c r="AH110" i="1"/>
  <c r="AH111" i="1"/>
  <c r="AH120" i="1"/>
  <c r="AH121" i="1"/>
  <c r="AH122" i="1"/>
  <c r="AH123" i="1"/>
  <c r="AH124" i="1"/>
  <c r="AH127" i="1"/>
  <c r="AH128" i="1"/>
  <c r="AH129" i="1"/>
  <c r="AH134" i="1"/>
  <c r="AH135" i="1"/>
  <c r="AH136" i="1"/>
  <c r="AH137" i="1"/>
  <c r="AH149" i="1"/>
  <c r="AH150" i="1"/>
  <c r="AH151" i="1"/>
  <c r="AH152" i="1"/>
  <c r="AH153" i="1"/>
  <c r="AH158" i="1"/>
  <c r="AH159" i="1"/>
  <c r="AH160" i="1"/>
  <c r="AH161" i="1"/>
  <c r="AH163" i="1"/>
  <c r="AH164" i="1"/>
  <c r="AH165" i="1"/>
  <c r="AH177" i="1"/>
  <c r="AH187" i="1"/>
  <c r="AH199" i="1"/>
  <c r="AH179" i="1"/>
  <c r="AH183" i="1"/>
  <c r="AH191" i="1"/>
  <c r="AH195" i="1"/>
  <c r="AH51" i="1"/>
  <c r="AH52" i="1"/>
  <c r="AH62" i="1"/>
  <c r="AH63" i="1"/>
  <c r="AH71" i="1"/>
  <c r="AH72" i="1"/>
  <c r="AH73" i="1"/>
  <c r="AH74" i="1"/>
  <c r="AH80" i="1"/>
  <c r="AH81" i="1"/>
  <c r="AH88" i="1"/>
  <c r="AH89" i="1"/>
  <c r="AH97" i="1"/>
  <c r="AH98" i="1"/>
  <c r="AH99" i="1"/>
  <c r="AH100" i="1"/>
  <c r="AH101" i="1"/>
  <c r="AH102" i="1"/>
  <c r="AH103" i="1"/>
  <c r="AH104" i="1"/>
  <c r="AH105" i="1"/>
  <c r="AH112" i="1"/>
  <c r="AH125" i="1"/>
  <c r="AH138" i="1"/>
  <c r="AH139" i="1"/>
  <c r="AH140" i="1"/>
  <c r="AH154" i="1"/>
  <c r="AH166" i="1"/>
  <c r="AH167" i="1"/>
  <c r="AH168" i="1"/>
  <c r="AH169" i="1"/>
  <c r="AH189" i="1"/>
  <c r="AH190" i="1"/>
  <c r="AH200" i="1"/>
  <c r="AH201" i="1"/>
  <c r="AH116" i="1"/>
  <c r="AH141" i="1"/>
  <c r="AH143" i="1"/>
  <c r="AH155" i="1"/>
  <c r="AH157" i="1"/>
  <c r="AH172" i="1"/>
  <c r="AH181" i="1"/>
  <c r="AH185" i="1"/>
  <c r="AH193" i="1"/>
  <c r="AH18" i="1"/>
  <c r="AH20" i="1"/>
  <c r="AH31" i="1"/>
  <c r="AH44" i="1"/>
  <c r="AH45" i="1"/>
  <c r="AH46" i="1"/>
  <c r="AH47" i="1"/>
  <c r="AH53" i="1"/>
  <c r="AH64" i="1"/>
  <c r="AH65" i="1"/>
  <c r="AH66" i="1"/>
  <c r="AH67" i="1"/>
  <c r="AH68" i="1"/>
  <c r="AH75" i="1"/>
  <c r="AH76" i="1"/>
  <c r="AH77" i="1"/>
  <c r="AH78" i="1"/>
  <c r="AH82" i="1"/>
  <c r="AH83" i="1"/>
  <c r="AH84" i="1"/>
  <c r="AH90" i="1"/>
  <c r="AH91" i="1"/>
  <c r="AH106" i="1"/>
  <c r="AH113" i="1"/>
  <c r="AH114" i="1"/>
  <c r="AH115" i="1"/>
  <c r="AH130" i="1"/>
  <c r="AH142" i="1"/>
  <c r="AH144" i="1"/>
  <c r="AH156" i="1"/>
  <c r="AH170" i="1"/>
  <c r="AH173" i="1"/>
  <c r="AH182" i="1"/>
  <c r="AH186" i="1"/>
  <c r="AH194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<sst xmlns="http://schemas.openxmlformats.org/spreadsheetml/2006/main" count="1988" uniqueCount="722">
  <si>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</si>
  <si>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</si>
  <si>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</si>
  <si>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</si>
  <si>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</si>
  <si>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</si>
  <si>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</si>
  <si>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</si>
  <si>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</si>
  <si>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</si>
  <si>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</si>
  <si>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</si>
  <si>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</si>
  <si>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</si>
  <si>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</si>
  <si>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</si>
  <si>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</si>
  <si>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</si>
  <si>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</si>
  <si>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</si>
  <si>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</si>
  <si>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</si>
  <si>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</si>
  <si>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</si>
  <si>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</si>
  <si>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</si>
  <si>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</si>
  <si>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</si>
  <si>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</si>
  <si>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</si>
  <si>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</si>
  <si>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</si>
  <si>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</si>
  <si>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</si>
  <si>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</si>
  <si>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</si>
  <si>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</si>
  <si>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</si>
  <si>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</si>
  <si>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</si>
  <si>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</si>
  <si>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</si>
  <si>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</si>
  <si>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</si>
  <si>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</si>
  <si>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</si>
  <si>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</si>
  <si>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</si>
  <si>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</si>
  <si>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</si>
  <si>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</si>
  <si>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</si>
  <si>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</si>
  <si>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</si>
  <si>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</si>
  <si>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</si>
  <si>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</si>
  <si>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</si>
  <si>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</si>
  <si>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</si>
  <si>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</si>
  <si>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</si>
  <si>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</si>
  <si>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</si>
  <si>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</si>
  <si>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</si>
  <si>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</si>
  <si>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</si>
  <si>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</si>
  <si>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</si>
  <si>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</si>
  <si>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</si>
  <si>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</si>
  <si>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</si>
  <si>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</si>
  <si>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</si>
  <si>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</si>
  <si>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</si>
  <si>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</si>
  <si>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</si>
  <si>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</si>
  <si>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</si>
  <si>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</si>
  <si>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</si>
  <si>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</si>
  <si>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</si>
  <si>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</si>
  <si>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</si>
  <si>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</si>
  <si>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rtdc.l.rtdc.4030:itc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</si>
  <si>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</si>
  <si>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</si>
  <si>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</si>
  <si>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</si>
  <si>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</si>
  <si>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</si>
  <si>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</si>
  <si>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</si>
  <si>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</si>
  <si>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</si>
  <si>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</si>
  <si>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</si>
  <si>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</si>
  <si>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</si>
  <si>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</si>
  <si>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</si>
  <si>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</si>
  <si>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</si>
  <si>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</si>
  <si>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</si>
  <si>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</si>
  <si>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</si>
  <si>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</si>
  <si>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</si>
  <si>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</si>
  <si>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</si>
  <si>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</si>
  <si>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</si>
  <si>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</si>
  <si>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</si>
  <si>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</si>
  <si>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</si>
  <si>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</si>
  <si>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</si>
  <si>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</si>
  <si>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</si>
  <si>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</si>
  <si>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</si>
  <si>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</si>
  <si>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</si>
  <si>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rtdc.l.rtdc.4038:itc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</si>
  <si>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</si>
  <si>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</si>
  <si>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</si>
  <si>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</si>
  <si>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</si>
  <si>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</si>
  <si>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</si>
  <si>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</si>
  <si>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</si>
  <si>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</si>
  <si>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</si>
  <si>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</si>
  <si>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</si>
  <si>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</si>
  <si>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</si>
  <si>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</si>
  <si>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</si>
  <si>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</si>
  <si>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</si>
  <si>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</si>
  <si>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</si>
  <si>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</si>
  <si>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</si>
  <si>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</si>
  <si>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</si>
  <si>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</si>
  <si>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</si>
  <si>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</si>
  <si>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</si>
  <si>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</si>
  <si>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</si>
  <si>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</si>
  <si>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</si>
  <si>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</si>
  <si>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</si>
  <si>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</si>
  <si>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</si>
  <si>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</si>
  <si>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</si>
  <si>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</si>
  <si>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</si>
  <si>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</si>
  <si>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</si>
  <si>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</si>
  <si>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</si>
  <si>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rtdc.l.rtdc.4011:itc</t>
  </si>
  <si>
    <t>Reactive Warning (1)</t>
  </si>
  <si>
    <t>Y</t>
  </si>
  <si>
    <t>rtdc.l.rtdc.4025:itc</t>
  </si>
  <si>
    <t>rtdc.l.rtdc.4026:itc</t>
  </si>
  <si>
    <t>COOLAHAN</t>
  </si>
  <si>
    <t>rtdc.l.rtdc.4012:itc</t>
  </si>
  <si>
    <t>rtdc.l.rtdc.4051:itc</t>
  </si>
  <si>
    <t>rtdc.l.rtdc.4052:itc</t>
  </si>
  <si>
    <t>Wi-MAX outage</t>
  </si>
  <si>
    <t>rtdc.l.rtdc.4041:itc</t>
  </si>
  <si>
    <t>rtdc.l.rtdc.4010:itc</t>
  </si>
  <si>
    <t>SANTIZO</t>
  </si>
  <si>
    <t>rtdc.l.rtdc.4042:itc</t>
  </si>
  <si>
    <t>STURGEON</t>
  </si>
  <si>
    <t>Data.Current Information Milepost</t>
  </si>
  <si>
    <t>Stopped Distance Short of Target (ft)</t>
  </si>
  <si>
    <t>MAELZER</t>
  </si>
  <si>
    <t>rtdc.l.rtdc.4046:itc</t>
  </si>
  <si>
    <t>MAHAN</t>
  </si>
  <si>
    <t>MOSES</t>
  </si>
  <si>
    <t>CUSHING</t>
  </si>
  <si>
    <t>rtdc.l.rtdc.4003:itc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</si>
  <si>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</si>
  <si>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</si>
  <si>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</si>
  <si>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</si>
  <si>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</si>
  <si>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</si>
  <si>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</si>
  <si>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</si>
  <si>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</si>
  <si>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</si>
  <si>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</si>
  <si>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</si>
  <si>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</si>
  <si>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</si>
  <si>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Partly Cloudy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</si>
  <si>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</si>
  <si>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</si>
  <si>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</si>
  <si>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</si>
  <si>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</si>
  <si>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</si>
  <si>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</si>
  <si>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</si>
  <si>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</si>
  <si>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</si>
  <si>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</si>
  <si>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</si>
  <si>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</si>
  <si>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</si>
  <si>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</si>
  <si>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partly-cloudy-day</t>
  </si>
  <si>
    <t>clear-night</t>
  </si>
  <si>
    <t>Clear</t>
  </si>
  <si>
    <t>Powered by Forecast [forecast.io]</t>
  </si>
  <si>
    <t>40th 4S STOP, cleared shortly</t>
  </si>
  <si>
    <t>Early arrival</t>
  </si>
  <si>
    <t>204:149</t>
  </si>
  <si>
    <t>204:233314</t>
  </si>
  <si>
    <t>204:160</t>
  </si>
  <si>
    <t>204:446</t>
  </si>
  <si>
    <t>204:232982</t>
  </si>
  <si>
    <t>204:163</t>
  </si>
  <si>
    <t>204:471</t>
  </si>
  <si>
    <t>204:232991</t>
  </si>
  <si>
    <t>204:158</t>
  </si>
  <si>
    <t>204:233305</t>
  </si>
  <si>
    <t>204:232990</t>
  </si>
  <si>
    <t>204:147</t>
  </si>
  <si>
    <t>204:453</t>
  </si>
  <si>
    <t>204:233302</t>
  </si>
  <si>
    <t>204:232986</t>
  </si>
  <si>
    <t>204:150</t>
  </si>
  <si>
    <t>204:233291</t>
  </si>
  <si>
    <t>204:143</t>
  </si>
  <si>
    <t>204:233278</t>
  </si>
  <si>
    <t>204:462</t>
  </si>
  <si>
    <t>204:152</t>
  </si>
  <si>
    <t>204:233004</t>
  </si>
  <si>
    <t>204:438</t>
  </si>
  <si>
    <t>204:232996</t>
  </si>
  <si>
    <t>204:457</t>
  </si>
  <si>
    <t>204:145</t>
  </si>
  <si>
    <t>204:447</t>
  </si>
  <si>
    <t>204:437</t>
  </si>
  <si>
    <t>204:233297</t>
  </si>
  <si>
    <t>204:466</t>
  </si>
  <si>
    <t>204:134</t>
  </si>
  <si>
    <t>204:232998</t>
  </si>
  <si>
    <t>204:431</t>
  </si>
  <si>
    <t>204:451</t>
  </si>
  <si>
    <t>204:233282</t>
  </si>
  <si>
    <t>204:156</t>
  </si>
  <si>
    <t>204:455</t>
  </si>
  <si>
    <t>204:232977</t>
  </si>
  <si>
    <t>204:233299</t>
  </si>
  <si>
    <t>204:233312</t>
  </si>
  <si>
    <t>300:58615</t>
  </si>
  <si>
    <t>rtdc.l.rtdc.4016:itc</t>
  </si>
  <si>
    <t>rtdc.l.rtdc.4018:itc</t>
  </si>
  <si>
    <t>rtdc.l.rtdc.4017:itc</t>
  </si>
  <si>
    <t>rtdc.l.rtdc.4015:itc</t>
  </si>
  <si>
    <t>rtdc.l.rtdc.4037:itc</t>
  </si>
  <si>
    <t>rtdc.l.rtdc.4039:itc</t>
  </si>
  <si>
    <t>237-08</t>
  </si>
  <si>
    <t>204:139</t>
  </si>
  <si>
    <t>204:233310</t>
  </si>
  <si>
    <t>204:442</t>
  </si>
  <si>
    <t>204:477</t>
  </si>
  <si>
    <t>204:233293</t>
  </si>
  <si>
    <t>204:233308</t>
  </si>
  <si>
    <t>204:232987</t>
  </si>
  <si>
    <t>204:473</t>
  </si>
  <si>
    <t>204:458</t>
  </si>
  <si>
    <t>204:233320</t>
  </si>
  <si>
    <t>204:232981</t>
  </si>
  <si>
    <t>204:233317</t>
  </si>
  <si>
    <t>204:464</t>
  </si>
  <si>
    <t>204:232989</t>
  </si>
  <si>
    <t>204:233301</t>
  </si>
  <si>
    <t>204:232993</t>
  </si>
  <si>
    <t>204:232984</t>
  </si>
  <si>
    <t>204:136</t>
  </si>
  <si>
    <t>204:420</t>
  </si>
  <si>
    <t>204:232969</t>
  </si>
  <si>
    <t>204:233321</t>
  </si>
  <si>
    <t>204:170</t>
  </si>
  <si>
    <t>204:467</t>
  </si>
  <si>
    <t>234-08</t>
  </si>
  <si>
    <t>236-08</t>
  </si>
  <si>
    <t>238-08</t>
  </si>
  <si>
    <t>239-08</t>
  </si>
  <si>
    <t>240-08</t>
  </si>
  <si>
    <t>204:141</t>
  </si>
  <si>
    <t>241-08</t>
  </si>
  <si>
    <t>204:233323</t>
  </si>
  <si>
    <t>242-08</t>
  </si>
  <si>
    <t>243-08</t>
  </si>
  <si>
    <t>204:233295</t>
  </si>
  <si>
    <t>244-08</t>
  </si>
  <si>
    <t>204:460</t>
  </si>
  <si>
    <t>309-08</t>
  </si>
  <si>
    <t>311-08</t>
  </si>
  <si>
    <t>313-08</t>
  </si>
  <si>
    <t>315-08</t>
  </si>
  <si>
    <t>human_readable_time</t>
  </si>
  <si>
    <t>clear-day</t>
  </si>
  <si>
    <t>MALAVE</t>
  </si>
  <si>
    <t>SHOOK</t>
  </si>
  <si>
    <t>ADANE</t>
  </si>
  <si>
    <t>rtdc.l.rtdc.4040:itc</t>
  </si>
  <si>
    <t>DELGADO</t>
  </si>
  <si>
    <t>OUN</t>
  </si>
  <si>
    <t>rtdc.l.rtdc.4028:itc</t>
  </si>
  <si>
    <t>Did not init</t>
  </si>
  <si>
    <t>Form C</t>
  </si>
  <si>
    <t>204:232965</t>
  </si>
  <si>
    <t>204:165</t>
  </si>
  <si>
    <t>204:232975</t>
  </si>
  <si>
    <t>204:233249</t>
  </si>
  <si>
    <t>204:232978</t>
  </si>
  <si>
    <t>204:233319</t>
  </si>
  <si>
    <t>204:232988</t>
  </si>
  <si>
    <t>204:138</t>
  </si>
  <si>
    <t>204:233006</t>
  </si>
  <si>
    <t>204:232980</t>
  </si>
  <si>
    <t>204:232994</t>
  </si>
  <si>
    <t>204:216</t>
  </si>
  <si>
    <t>204:495</t>
  </si>
  <si>
    <t>204:233013</t>
  </si>
  <si>
    <t>204:232985</t>
  </si>
  <si>
    <t>204:121</t>
  </si>
  <si>
    <t>228-09</t>
  </si>
  <si>
    <t>204:185</t>
  </si>
  <si>
    <t>230-09</t>
  </si>
  <si>
    <t>231-09</t>
  </si>
  <si>
    <t>204:233324</t>
  </si>
  <si>
    <t>232-09</t>
  </si>
  <si>
    <t>233-09</t>
  </si>
  <si>
    <t>234-09</t>
  </si>
  <si>
    <t>235-09</t>
  </si>
  <si>
    <t>236-09</t>
  </si>
  <si>
    <t>237-09</t>
  </si>
  <si>
    <t>238-09</t>
  </si>
  <si>
    <t>239-09</t>
  </si>
  <si>
    <t>241-09</t>
  </si>
  <si>
    <t>300:23308</t>
  </si>
  <si>
    <t>300:23346</t>
  </si>
  <si>
    <t>61-09</t>
  </si>
  <si>
    <t>300:58621</t>
  </si>
  <si>
    <t>300:58598</t>
  </si>
  <si>
    <t>204:841</t>
  </si>
  <si>
    <t>300:58935</t>
  </si>
  <si>
    <t>204:757</t>
  </si>
  <si>
    <t>300:58613</t>
  </si>
  <si>
    <t>300:58608</t>
  </si>
  <si>
    <t>300:58611</t>
  </si>
  <si>
    <t>204:661</t>
  </si>
  <si>
    <t>300:58606</t>
  </si>
  <si>
    <t>204:958</t>
  </si>
  <si>
    <t>844-09</t>
  </si>
  <si>
    <t>300:58634</t>
  </si>
  <si>
    <t>845-09</t>
  </si>
  <si>
    <t>847-09</t>
  </si>
  <si>
    <t>908-09</t>
  </si>
  <si>
    <t>SWITCH UNKNOWN</t>
  </si>
  <si>
    <t>Track device (7)</t>
  </si>
  <si>
    <t>DAVIS</t>
  </si>
  <si>
    <t>HILLS</t>
  </si>
  <si>
    <t>STEWART</t>
  </si>
  <si>
    <t>CLARK</t>
  </si>
  <si>
    <t>CHANDLER</t>
  </si>
  <si>
    <t>243-09</t>
  </si>
  <si>
    <t>240-09</t>
  </si>
  <si>
    <t>242-09</t>
  </si>
  <si>
    <t>BOS was offline 2016-09-10 00:55:42 - 04:29:41</t>
  </si>
  <si>
    <t>110-10</t>
  </si>
  <si>
    <t>112-10</t>
  </si>
  <si>
    <t>119-10</t>
  </si>
  <si>
    <t>123-10</t>
  </si>
  <si>
    <t>124-10</t>
  </si>
  <si>
    <t>rtdc.l.rtdc.4013:itc</t>
  </si>
  <si>
    <t>122-10</t>
  </si>
  <si>
    <t>rtdc.l.rtdc.4002:itc</t>
  </si>
  <si>
    <t>131-10</t>
  </si>
  <si>
    <t>145-10</t>
  </si>
  <si>
    <t>143-10</t>
  </si>
  <si>
    <t>rtdc.l.rtdc.4004:itc</t>
  </si>
  <si>
    <t>50-10</t>
  </si>
  <si>
    <t>rtdc.l.rtdc.4001:itc</t>
  </si>
  <si>
    <t>146-10</t>
  </si>
  <si>
    <t>164-10</t>
  </si>
  <si>
    <t>168-10</t>
  </si>
  <si>
    <t>170-10</t>
  </si>
  <si>
    <t>184-10</t>
  </si>
  <si>
    <t>1820-10</t>
  </si>
  <si>
    <t>rtdc.l.rtdc.4045:itc</t>
  </si>
  <si>
    <t>190-10</t>
  </si>
  <si>
    <t>1821-10</t>
  </si>
  <si>
    <t>1823-10</t>
  </si>
  <si>
    <t>52-10</t>
  </si>
  <si>
    <t>SWITCH ALIGNMENT</t>
  </si>
  <si>
    <t>204-10</t>
  </si>
  <si>
    <t>56-10</t>
  </si>
  <si>
    <t>212-10</t>
  </si>
  <si>
    <t>218-10</t>
  </si>
  <si>
    <t>225-10</t>
  </si>
  <si>
    <t>224-10</t>
  </si>
  <si>
    <t>232-10</t>
  </si>
  <si>
    <t>237-10</t>
  </si>
  <si>
    <t>104-10</t>
  </si>
  <si>
    <t>204:232660</t>
  </si>
  <si>
    <t>106-10</t>
  </si>
  <si>
    <t>204:232772</t>
  </si>
  <si>
    <t>204:597</t>
  </si>
  <si>
    <t>108-10</t>
  </si>
  <si>
    <t>204:1169</t>
  </si>
  <si>
    <t>204:154001</t>
  </si>
  <si>
    <t>204:178</t>
  </si>
  <si>
    <t>111-10</t>
  </si>
  <si>
    <t>204:772</t>
  </si>
  <si>
    <t>204:233309</t>
  </si>
  <si>
    <t>113-10</t>
  </si>
  <si>
    <t>115-10</t>
  </si>
  <si>
    <t>116-10</t>
  </si>
  <si>
    <t>117-10</t>
  </si>
  <si>
    <t>118-10</t>
  </si>
  <si>
    <t>204:340</t>
  </si>
  <si>
    <t>204:724</t>
  </si>
  <si>
    <t>120-10</t>
  </si>
  <si>
    <t>204:232992</t>
  </si>
  <si>
    <t>121-10</t>
  </si>
  <si>
    <t>204:478</t>
  </si>
  <si>
    <t>204:469</t>
  </si>
  <si>
    <t>204:233326</t>
  </si>
  <si>
    <t>125-10</t>
  </si>
  <si>
    <t>126-10</t>
  </si>
  <si>
    <t>204:232983</t>
  </si>
  <si>
    <t>127-10</t>
  </si>
  <si>
    <t>204:644</t>
  </si>
  <si>
    <t>128-10</t>
  </si>
  <si>
    <t>129-10</t>
  </si>
  <si>
    <t>130-10</t>
  </si>
  <si>
    <t>204:641</t>
  </si>
  <si>
    <t>132-10</t>
  </si>
  <si>
    <t>133-10</t>
  </si>
  <si>
    <t>134-10</t>
  </si>
  <si>
    <t>135-10</t>
  </si>
  <si>
    <t>136-10</t>
  </si>
  <si>
    <t>137-10</t>
  </si>
  <si>
    <t>204:233281</t>
  </si>
  <si>
    <t>138-10</t>
  </si>
  <si>
    <t>204:232972</t>
  </si>
  <si>
    <t>139-10</t>
  </si>
  <si>
    <t>140-10</t>
  </si>
  <si>
    <t>141-10</t>
  </si>
  <si>
    <t>142-10</t>
  </si>
  <si>
    <t>204:233002</t>
  </si>
  <si>
    <t>144-10</t>
  </si>
  <si>
    <t>204:232932</t>
  </si>
  <si>
    <t>204:233270</t>
  </si>
  <si>
    <t>204:232951</t>
  </si>
  <si>
    <t>147-10</t>
  </si>
  <si>
    <t>148-10</t>
  </si>
  <si>
    <t>204:232971</t>
  </si>
  <si>
    <t>204:132</t>
  </si>
  <si>
    <t>149-10</t>
  </si>
  <si>
    <t>150-10</t>
  </si>
  <si>
    <t>151-10</t>
  </si>
  <si>
    <t>204:233286</t>
  </si>
  <si>
    <t>152-10</t>
  </si>
  <si>
    <t>153-10</t>
  </si>
  <si>
    <t>154-10</t>
  </si>
  <si>
    <t>155-10</t>
  </si>
  <si>
    <t>204:233311</t>
  </si>
  <si>
    <t>156-10</t>
  </si>
  <si>
    <t>157-10</t>
  </si>
  <si>
    <t>158-10</t>
  </si>
  <si>
    <t>159-10</t>
  </si>
  <si>
    <t>160-10</t>
  </si>
  <si>
    <t>161-10</t>
  </si>
  <si>
    <t>204:233315</t>
  </si>
  <si>
    <t>162-10</t>
  </si>
  <si>
    <t>163-10</t>
  </si>
  <si>
    <t>204:480</t>
  </si>
  <si>
    <t>165-10</t>
  </si>
  <si>
    <t>204:233331</t>
  </si>
  <si>
    <t>166-10</t>
  </si>
  <si>
    <t>204:233047</t>
  </si>
  <si>
    <t>204:130</t>
  </si>
  <si>
    <t>167-10</t>
  </si>
  <si>
    <t>169-10</t>
  </si>
  <si>
    <t>171-10</t>
  </si>
  <si>
    <t>172-10</t>
  </si>
  <si>
    <t>173-10</t>
  </si>
  <si>
    <t>174-10</t>
  </si>
  <si>
    <t>204:233010</t>
  </si>
  <si>
    <t>175-10</t>
  </si>
  <si>
    <t>176-10</t>
  </si>
  <si>
    <t>177-10</t>
  </si>
  <si>
    <t>204:522</t>
  </si>
  <si>
    <t>178-10</t>
  </si>
  <si>
    <t>179-10</t>
  </si>
  <si>
    <t>204:444</t>
  </si>
  <si>
    <t>204:233374</t>
  </si>
  <si>
    <t>180-10</t>
  </si>
  <si>
    <t>204:233049</t>
  </si>
  <si>
    <t>1800-10</t>
  </si>
  <si>
    <t>204:843</t>
  </si>
  <si>
    <t>1801-10</t>
  </si>
  <si>
    <t>204:1123</t>
  </si>
  <si>
    <t>1802-10</t>
  </si>
  <si>
    <t>204:811</t>
  </si>
  <si>
    <t>1804-10</t>
  </si>
  <si>
    <t>300:58632</t>
  </si>
  <si>
    <t>204:845</t>
  </si>
  <si>
    <t>1805-10</t>
  </si>
  <si>
    <t>204:1132</t>
  </si>
  <si>
    <t>1806-10</t>
  </si>
  <si>
    <t>204:908</t>
  </si>
  <si>
    <t>1807-10</t>
  </si>
  <si>
    <t>204:1205</t>
  </si>
  <si>
    <t>300:58944</t>
  </si>
  <si>
    <t>1808-10</t>
  </si>
  <si>
    <t>1809-10</t>
  </si>
  <si>
    <t>204:1126</t>
  </si>
  <si>
    <t>300:58946</t>
  </si>
  <si>
    <t>181-10</t>
  </si>
  <si>
    <t>1810-10</t>
  </si>
  <si>
    <t>204:831</t>
  </si>
  <si>
    <t>1811-10</t>
  </si>
  <si>
    <t>300:58941</t>
  </si>
  <si>
    <t>1812-10</t>
  </si>
  <si>
    <t>1813-10</t>
  </si>
  <si>
    <t>204:1151</t>
  </si>
  <si>
    <t>1814-10</t>
  </si>
  <si>
    <t>204:682</t>
  </si>
  <si>
    <t>1815-10</t>
  </si>
  <si>
    <t>204:967</t>
  </si>
  <si>
    <t>1816-10</t>
  </si>
  <si>
    <t>300:58609</t>
  </si>
  <si>
    <t>204:808</t>
  </si>
  <si>
    <t>1817-10</t>
  </si>
  <si>
    <t>300:58879</t>
  </si>
  <si>
    <t>1818-10</t>
  </si>
  <si>
    <t>204:643</t>
  </si>
  <si>
    <t>1819-10</t>
  </si>
  <si>
    <t>204:934</t>
  </si>
  <si>
    <t>300:57620</t>
  </si>
  <si>
    <t>182-10</t>
  </si>
  <si>
    <t>204:664</t>
  </si>
  <si>
    <t>300:57627</t>
  </si>
  <si>
    <t>1822-10</t>
  </si>
  <si>
    <t>204:846</t>
  </si>
  <si>
    <t>204:902</t>
  </si>
  <si>
    <t>300:57618</t>
  </si>
  <si>
    <t>1824-10</t>
  </si>
  <si>
    <t>300:58591</t>
  </si>
  <si>
    <t>1825-10</t>
  </si>
  <si>
    <t>204:944</t>
  </si>
  <si>
    <t>1826-10</t>
  </si>
  <si>
    <t>300:58664</t>
  </si>
  <si>
    <t>204:703</t>
  </si>
  <si>
    <t>1827-10</t>
  </si>
  <si>
    <t>204:985</t>
  </si>
  <si>
    <t>1828-10</t>
  </si>
  <si>
    <t>1829-10</t>
  </si>
  <si>
    <t>204:971</t>
  </si>
  <si>
    <t>300:58912</t>
  </si>
  <si>
    <t>183-10</t>
  </si>
  <si>
    <t>1830-10</t>
  </si>
  <si>
    <t>300:57335</t>
  </si>
  <si>
    <t>1831-10</t>
  </si>
  <si>
    <t>204:906</t>
  </si>
  <si>
    <t>300:58924</t>
  </si>
  <si>
    <t>1832-10</t>
  </si>
  <si>
    <t>300:58604</t>
  </si>
  <si>
    <t>204:659</t>
  </si>
  <si>
    <t>1833-10</t>
  </si>
  <si>
    <t>204:950</t>
  </si>
  <si>
    <t>300:57614</t>
  </si>
  <si>
    <t>204:231</t>
  </si>
  <si>
    <t>185-10</t>
  </si>
  <si>
    <t>186-10</t>
  </si>
  <si>
    <t>187-10</t>
  </si>
  <si>
    <t>188-10</t>
  </si>
  <si>
    <t>204:232957</t>
  </si>
  <si>
    <t>189-10</t>
  </si>
  <si>
    <t>191-10</t>
  </si>
  <si>
    <t>192-10</t>
  </si>
  <si>
    <t>204:233011</t>
  </si>
  <si>
    <t>193-10</t>
  </si>
  <si>
    <t>204:233364</t>
  </si>
  <si>
    <t>194-10</t>
  </si>
  <si>
    <t>204:233059</t>
  </si>
  <si>
    <t>195-10</t>
  </si>
  <si>
    <t>204:233307</t>
  </si>
  <si>
    <t>196-10</t>
  </si>
  <si>
    <t>197-10</t>
  </si>
  <si>
    <t>204:539</t>
  </si>
  <si>
    <t>198-10</t>
  </si>
  <si>
    <t>199-10</t>
  </si>
  <si>
    <t>200-10</t>
  </si>
  <si>
    <t>201-10</t>
  </si>
  <si>
    <t>202-10</t>
  </si>
  <si>
    <t>204:172</t>
  </si>
  <si>
    <t>203-10</t>
  </si>
  <si>
    <t>204:513</t>
  </si>
  <si>
    <t>204:233372</t>
  </si>
  <si>
    <t>204:233038</t>
  </si>
  <si>
    <t>204:285</t>
  </si>
  <si>
    <t>205-10</t>
  </si>
  <si>
    <t>204:233329</t>
  </si>
  <si>
    <t>206-10</t>
  </si>
  <si>
    <t>207-10</t>
  </si>
  <si>
    <t>204:449</t>
  </si>
  <si>
    <t>204:233366</t>
  </si>
  <si>
    <t>208-10</t>
  </si>
  <si>
    <t>204:233042</t>
  </si>
  <si>
    <t>209-10</t>
  </si>
  <si>
    <t>210-10</t>
  </si>
  <si>
    <t>211-10</t>
  </si>
  <si>
    <t>204:233003</t>
  </si>
  <si>
    <t>204:200</t>
  </si>
  <si>
    <t>213-10</t>
  </si>
  <si>
    <t>204:484</t>
  </si>
  <si>
    <t>214-10</t>
  </si>
  <si>
    <t>204:233008</t>
  </si>
  <si>
    <t>215-10</t>
  </si>
  <si>
    <t>216-10</t>
  </si>
  <si>
    <t>217-10</t>
  </si>
  <si>
    <t>204:602</t>
  </si>
  <si>
    <t>219-10</t>
  </si>
  <si>
    <t>220-10</t>
  </si>
  <si>
    <t>221-10</t>
  </si>
  <si>
    <t>222-10</t>
  </si>
  <si>
    <t>223-10</t>
  </si>
  <si>
    <t>204:233259</t>
  </si>
  <si>
    <t>226-10</t>
  </si>
  <si>
    <t>204:232946</t>
  </si>
  <si>
    <t>227-10</t>
  </si>
  <si>
    <t>228-10</t>
  </si>
  <si>
    <t>229-10</t>
  </si>
  <si>
    <t>230-10</t>
  </si>
  <si>
    <t>231-10</t>
  </si>
  <si>
    <t>204:233318</t>
  </si>
  <si>
    <t>233-10</t>
  </si>
  <si>
    <t>234-10</t>
  </si>
  <si>
    <t>235-10</t>
  </si>
  <si>
    <t>236-10</t>
  </si>
  <si>
    <t>238-10</t>
  </si>
  <si>
    <t>239-10</t>
  </si>
  <si>
    <t>240-10</t>
  </si>
  <si>
    <t>241-10</t>
  </si>
  <si>
    <t>204:233276</t>
  </si>
  <si>
    <t>242-10</t>
  </si>
  <si>
    <t>204:232970</t>
  </si>
  <si>
    <t>243-10</t>
  </si>
  <si>
    <t>244-10</t>
  </si>
  <si>
    <t>245-10</t>
  </si>
  <si>
    <t>204:233327</t>
  </si>
  <si>
    <t>246-10</t>
  </si>
  <si>
    <t>303-10</t>
  </si>
  <si>
    <t>305-10</t>
  </si>
  <si>
    <t>307-10</t>
  </si>
  <si>
    <t>311-10</t>
  </si>
  <si>
    <t>300:22843</t>
  </si>
  <si>
    <t>313-10</t>
  </si>
  <si>
    <t>300:23304</t>
  </si>
  <si>
    <t>300:24546</t>
  </si>
  <si>
    <t>300:24019</t>
  </si>
  <si>
    <t>51-10</t>
  </si>
  <si>
    <t>204:1181</t>
  </si>
  <si>
    <t>300:24191</t>
  </si>
  <si>
    <t>300:24163</t>
  </si>
  <si>
    <t>204:865</t>
  </si>
  <si>
    <t>66-10</t>
  </si>
  <si>
    <t>204:337</t>
  </si>
  <si>
    <t>300:24252</t>
  </si>
  <si>
    <t>Summary for DUS 2016-09-10: Partly cloudy starting in the afternoon, continuing until evening.</t>
  </si>
  <si>
    <t>GEBRETEKLE</t>
  </si>
  <si>
    <t>rtdc.l.rtdc.4029:itc</t>
  </si>
  <si>
    <t>ACKERMAN</t>
  </si>
  <si>
    <t>DE LA ROSA</t>
  </si>
  <si>
    <t>YORK</t>
  </si>
  <si>
    <t>KILLION</t>
  </si>
  <si>
    <t>STORY</t>
  </si>
  <si>
    <t>BARTLETT</t>
  </si>
  <si>
    <t>BRUDER</t>
  </si>
  <si>
    <t>NEWELL</t>
  </si>
  <si>
    <t>HAITHCOX</t>
  </si>
  <si>
    <t>SWANSON</t>
  </si>
  <si>
    <t>309-10</t>
  </si>
  <si>
    <t>101-10</t>
  </si>
  <si>
    <t>102-10</t>
  </si>
  <si>
    <t>103-10</t>
  </si>
  <si>
    <t>105-10</t>
  </si>
  <si>
    <t>107-10</t>
  </si>
  <si>
    <t>109-10</t>
  </si>
  <si>
    <t>114-10</t>
  </si>
  <si>
    <t>Onboard in-route failure</t>
  </si>
  <si>
    <t>1803-10</t>
  </si>
  <si>
    <t>61st 2N STOP, cleared shortly</t>
  </si>
  <si>
    <t>Sat - Sun = 34 Trips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</si>
</sst>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7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2" borderId="13" xfId="0" applyNumberFormat="1" applyFill="1" applyBorder="1" applyAlignment="1"/>
    <xf numFmtId="169" fontId="0" fillId="0" borderId="0" xfId="0" applyAlignment="1"/>
    <xf numFmtId="169" fontId="0" fillId="0" borderId="15" xfId="0" applyBorder="1" applyAlignment="1">
      <alignment horizontal="left" vertical="center"/>
    </xf>
    <xf numFmtId="169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33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9"/>
  <sheetViews>
    <sheetView topLeftCell="A166" workbookViewId="0">
      <selection activeCell="P31" sqref="P31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29" customWidth="1"/>
    <col min="19" max="19" width="7.7109375" style="23" customWidth="1"/>
    <col min="20" max="20" width="3.85546875" customWidth="1"/>
    <col min="21" max="21" width="5" style="165" customWidth="1"/>
    <col min="22" max="22" width="5.7109375" style="104" customWidth="1"/>
    <col min="23" max="23" width="3.85546875" style="22" customWidth="1"/>
    <col min="24" max="24" width="5.28515625" style="170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9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117</v>
      </c>
      <c r="J1" s="43"/>
      <c r="K1" s="30"/>
      <c r="L1" s="30"/>
      <c r="M1" s="42"/>
      <c r="N1" s="43"/>
      <c r="O1" s="2"/>
      <c r="P1" s="2"/>
      <c r="R1" s="40" t="s">
        <v>118</v>
      </c>
      <c r="S1" s="43"/>
      <c r="T1" s="30"/>
      <c r="U1" s="161"/>
      <c r="V1" s="42"/>
      <c r="W1" s="43"/>
      <c r="X1" s="165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42623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42623</v>
      </c>
      <c r="S2" s="79"/>
      <c r="T2" s="80"/>
      <c r="U2" s="162"/>
      <c r="V2" s="102" t="s">
        <v>8</v>
      </c>
      <c r="W2" s="82"/>
      <c r="X2" s="168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63"/>
      <c r="V3" s="44" t="s">
        <v>11</v>
      </c>
      <c r="W3" s="45" t="s">
        <v>12</v>
      </c>
      <c r="X3" s="169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34</v>
      </c>
      <c r="T4" s="46"/>
      <c r="U4" s="164"/>
      <c r="V4" s="47" t="s">
        <v>15</v>
      </c>
      <c r="W4" s="45" t="s">
        <v>15</v>
      </c>
      <c r="X4" s="169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COUNTIFS($N$13:$N$9402,"&gt;0",$AG$13:$AG$9402,I1)</f>
        <v>138</v>
      </c>
      <c r="K5" s="46"/>
      <c r="L5" s="46"/>
      <c r="M5" s="47">
        <f>AVERAGEIFS($N$13:$N$9402,$AG$13:$AG$9402,I1)</f>
        <v>38.462922705676526</v>
      </c>
      <c r="N5" s="45">
        <f t="array" ref="N5">MIN(IF($AG$13:$AG$9402=I1,IF(ISNUMBER($N$13:$N$9402),IF($N$13:$N$9402&gt;0,$N$13:$N$9402))))</f>
        <v>34.65000000083819</v>
      </c>
      <c r="O5" s="3">
        <f t="array" ref="O5">MAX(IF($AG$13:$AG$9402=I1,IF(ISNUMBER($N$13:$N$9402),IF($N$13:$N$9402&gt;0,$N$13:$N$9402))))</f>
        <v>53.566666668048128</v>
      </c>
      <c r="P5" s="2"/>
      <c r="R5" s="87" t="s">
        <v>17</v>
      </c>
      <c r="S5" s="57">
        <f>COUNTIFS($N$13:$N$9402,"&gt;0",$AG$13:$AG$9402,R1)</f>
        <v>32</v>
      </c>
      <c r="T5" s="46"/>
      <c r="U5" s="164"/>
      <c r="V5" s="47">
        <f>AVERAGEIFS($N$13:$N$9402,$AG$13:$AG$9402,R1)</f>
        <v>13.719791666117089</v>
      </c>
      <c r="W5" s="45">
        <f t="array" ref="W5">MIN(IF($AG$13:$AG$9402=R1,IF(ISNUMBER($N$13:$N$9402),IF($N$13:$N$9402&gt;0,$N$13:$N$9402))))</f>
        <v>10.500000002793968</v>
      </c>
      <c r="X5" s="169">
        <f t="array" ref="X5">MAX(IF($AG$13:$AG$9402=R1,IF(ISNUMBER($N$13:$N$9402),IF($N$13:$N$9402&gt;0,$N$13:$N$9402))))</f>
        <v>20.050000003539026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COUNT($O$13:$O$163)</f>
        <v>0</v>
      </c>
      <c r="K6" s="46"/>
      <c r="L6" s="46"/>
      <c r="M6" s="47">
        <f>IFERROR(AVERAGE($O$13:$O$163),0)</f>
        <v>0</v>
      </c>
      <c r="N6" s="45">
        <f>MIN($O$13:$O$163)</f>
        <v>0</v>
      </c>
      <c r="O6" s="3">
        <f>MAX($O$13:$O$163)</f>
        <v>0</v>
      </c>
      <c r="P6" s="2"/>
      <c r="R6" s="88" t="s">
        <v>43</v>
      </c>
      <c r="S6" s="57">
        <f>COUNT($O$13:$O$163)</f>
        <v>0</v>
      </c>
      <c r="T6" s="46"/>
      <c r="U6" s="164"/>
      <c r="V6" s="47">
        <f>IFERROR(AVERAGE($O$13:$O$163),0)</f>
        <v>0</v>
      </c>
      <c r="W6" s="45">
        <f>MIN($O$13:$O$163)</f>
        <v>0</v>
      </c>
      <c r="X6" s="169">
        <f>MAX($O$13:$O$163)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COUNTIFS($P$13:$P$9402,"&gt;0",$AG$13:$AG$9402,I1)</f>
        <v>8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COUNTIFS($P$13:$P$9402,"&gt;0",$AG$13:$AG$9402,R1)</f>
        <v>2</v>
      </c>
      <c r="T7" s="46"/>
      <c r="U7" s="164"/>
      <c r="V7" s="47" t="s">
        <v>15</v>
      </c>
      <c r="W7" s="45" t="s">
        <v>15</v>
      </c>
      <c r="X7" s="169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138</v>
      </c>
      <c r="K8" s="46"/>
      <c r="L8" s="46"/>
      <c r="M8" s="47">
        <f>M5</f>
        <v>38.462922705676526</v>
      </c>
      <c r="N8" s="45">
        <f>N5</f>
        <v>34.65000000083819</v>
      </c>
      <c r="O8" s="3">
        <f>O5</f>
        <v>53.566666668048128</v>
      </c>
      <c r="P8" s="2"/>
      <c r="R8" s="87" t="s">
        <v>16</v>
      </c>
      <c r="S8" s="57">
        <f>S5</f>
        <v>32</v>
      </c>
      <c r="T8" s="46"/>
      <c r="U8" s="164"/>
      <c r="V8" s="47">
        <f>V5</f>
        <v>13.719791666117089</v>
      </c>
      <c r="W8" s="45">
        <f>W5</f>
        <v>10.500000002793968</v>
      </c>
      <c r="X8" s="169">
        <f>X5</f>
        <v>20.050000003539026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0.9452054794520548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0.94117647058823528</v>
      </c>
      <c r="T9" s="48"/>
      <c r="U9" s="161"/>
      <c r="V9" s="90"/>
      <c r="W9" s="43"/>
      <c r="X9" s="158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5"/>
      <c r="V10" s="103"/>
      <c r="W10" s="22"/>
      <c r="X10" s="170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5" t="str">
        <f>"Eagle P3 System Performance - "&amp;TEXT(Variables!A2,"yyyy-mm-dd")</f>
        <v>Eagle P3 System Performance - 2016-09-10</v>
      </c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S11" s="72">
        <f>AVERAGE(S13:S110)</f>
        <v>0.9285714285714286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6" t="s">
        <v>71</v>
      </c>
      <c r="V12" s="105" t="s">
        <v>45</v>
      </c>
      <c r="W12" s="53" t="s">
        <v>23</v>
      </c>
      <c r="X12" s="171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90</v>
      </c>
      <c r="AE12" s="98" t="s">
        <v>97</v>
      </c>
      <c r="AF12" s="95" t="s">
        <v>102</v>
      </c>
      <c r="AG12" s="4" t="s">
        <v>119</v>
      </c>
      <c r="AH12" s="101" t="s">
        <v>121</v>
      </c>
      <c r="AI12" s="136" t="s">
        <v>166</v>
      </c>
      <c r="AJ12" s="53" t="s">
        <v>167</v>
      </c>
      <c r="AK12" s="53" t="s">
        <v>139</v>
      </c>
      <c r="AL12" s="53" t="s">
        <v>168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711</v>
      </c>
      <c r="B13" s="7"/>
      <c r="C13" s="24"/>
      <c r="D13" s="24"/>
      <c r="E13" s="15"/>
      <c r="F13" s="15"/>
      <c r="G13" s="7"/>
      <c r="H13" s="15"/>
      <c r="I13" s="15"/>
      <c r="J13" s="7">
        <v>0</v>
      </c>
      <c r="K13" s="122" t="str">
        <f>IF(ISEVEN(B13),(B13-1)&amp;"/"&amp;B13,B13&amp;"/"&amp;(B13+1))</f>
        <v>-1/</v>
      </c>
      <c r="L13" s="24" t="e">
        <f>VLOOKUP(A13,'Trips&amp;Operators'!$C$1:$E$10000,3,FALSE)</f>
        <v>#N/A</v>
      </c>
      <c r="M13" s="6">
        <f>I13-F13</f>
        <v>0</v>
      </c>
      <c r="N13" s="7"/>
      <c r="O13" s="7"/>
      <c r="P13" s="7">
        <v>1</v>
      </c>
      <c r="Q13" s="25"/>
      <c r="R13" s="25" t="s">
        <v>393</v>
      </c>
      <c r="S13" s="37">
        <f>SUM(U13:U13)/IF(AG13="EC",12,1)</f>
        <v>0</v>
      </c>
      <c r="T13" s="52" t="str">
        <f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106" t="e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#VALUE!</v>
      </c>
      <c r="W13" s="54" t="e">
        <f>IF(AA13&lt;IF(AG13="EC",23,5.65),"Y","N")</f>
        <v>#VALUE!</v>
      </c>
      <c r="X13" s="172" t="e">
        <f>VALUE(LEFT(AD13,4))-VALUE(LEFT(AD12,4))</f>
        <v>#VALUE!</v>
      </c>
      <c r="Y13" s="69" t="e">
        <f>RIGHT(D13,LEN(D13)-4)/10000</f>
        <v>#VALUE!</v>
      </c>
      <c r="Z13" s="69" t="e">
        <f>RIGHT(H13,LEN(H13)-4)/10000</f>
        <v>#VALUE!</v>
      </c>
      <c r="AA13" s="69" t="e">
        <f>ABS(Z13-Y13)</f>
        <v>#VALUE!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>IF(LEN(A13)=6,"0"&amp;A13,A13)</f>
        <v>0101-10</v>
      </c>
      <c r="AE13" s="99" t="str">
        <f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13" s="96" t="str">
        <f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13" s="1" t="str">
        <f>IFERROR(IF(VALUE(LEFT(AD13,2))&lt;=2,"EC",IF(OR(VALUE(LEFT(AD13,2))=8,VALUE(LEFT(AD13,2))=18),"NW","Other")),"Other")</f>
        <v>EC</v>
      </c>
      <c r="AH13" s="100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 --swversion  --startMP  --initTime 1900-01-00T00:00:00 --startdatetime 1900-01-00T00:00:00 --delay  --endMP  --enddatetime 1900-01-00T00:00:00 --enforcementcount 0 &gt;&gt;C:\Users\stu\Documents\GitHub\eaglep3-reporting\EC\2016-09-10-refined-times.txt</v>
      </c>
      <c r="AI13" s="137" t="e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#VALUE!</v>
      </c>
      <c r="AJ13" s="55"/>
      <c r="AK13" s="55"/>
      <c r="AL13" s="55"/>
    </row>
    <row r="14" spans="1:91" s="1" customFormat="1" x14ac:dyDescent="0.25">
      <c r="A14" s="39" t="s">
        <v>712</v>
      </c>
      <c r="B14" s="7"/>
      <c r="C14" s="24"/>
      <c r="D14" s="24"/>
      <c r="E14" s="15"/>
      <c r="F14" s="15"/>
      <c r="G14" s="7"/>
      <c r="H14" s="15"/>
      <c r="I14" s="15"/>
      <c r="J14" s="7">
        <v>0</v>
      </c>
      <c r="K14" s="122" t="str">
        <f t="shared" ref="K14:K16" si="2">IF(ISEVEN(B14),(B14-1)&amp;"/"&amp;B14,B14&amp;"/"&amp;(B14+1))</f>
        <v>-1/</v>
      </c>
      <c r="L14" s="24" t="e">
        <f>VLOOKUP(A14,'Trips&amp;Operators'!$C$1:$E$10000,3,FALSE)</f>
        <v>#N/A</v>
      </c>
      <c r="M14" s="6">
        <f t="shared" ref="M14:M16" si="3">I14-F14</f>
        <v>0</v>
      </c>
      <c r="N14" s="7"/>
      <c r="O14" s="7"/>
      <c r="P14" s="7">
        <v>1</v>
      </c>
      <c r="Q14" s="25"/>
      <c r="R14" s="25" t="s">
        <v>393</v>
      </c>
      <c r="S14" s="37">
        <f t="shared" ref="S14:S21" si="4">SUM(U14:U14)/IF(AG14="EC",12,1)</f>
        <v>0</v>
      </c>
      <c r="T14" s="52" t="str">
        <f t="shared" ref="T14:T17" si="5">IF(ISEVEN(LEFT(AD14,4)),"Southbound","NorthBound")</f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106" t="e">
        <f t="shared" ref="V14:V16" si="6"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&amp;"%22')),sort:!(Time,asc))"</f>
        <v>#VALUE!</v>
      </c>
      <c r="W14" s="54" t="e">
        <f t="shared" ref="W14:W16" si="7">IF(AA14&lt;IF(AG14="EC",23,5.65),"Y","N")</f>
        <v>#VALUE!</v>
      </c>
      <c r="X14" s="172">
        <f t="shared" ref="X14:X20" si="8">VALUE(LEFT(AD14,4))-VALUE(LEFT(AD13,4))</f>
        <v>1</v>
      </c>
      <c r="Y14" s="69" t="e">
        <f t="shared" ref="Y14:Y16" si="9">RIGHT(D14,LEN(D14)-4)/10000</f>
        <v>#VALUE!</v>
      </c>
      <c r="Z14" s="69" t="e">
        <f t="shared" ref="Z14:Z16" si="10">RIGHT(H14,LEN(H14)-4)/10000</f>
        <v>#VALUE!</v>
      </c>
      <c r="AA14" s="69" t="e">
        <f t="shared" ref="AA14:AA16" si="11">ABS(Z14-Y14)</f>
        <v>#VALUE!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ref="AD14:AD24" si="12">IF(LEN(A14)=6,"0"&amp;A14,A14)</f>
        <v>0102-10</v>
      </c>
      <c r="AE14" s="99" t="str">
        <f>"aws s3 cp "&amp;s3_bucket&amp;"/RTDC"&amp;B14&amp;"/"&amp;TEXT(F14,"YYYY-MM-DD")&amp;"/ "&amp;search_path&amp;"\RTDC"&amp;B14&amp;"\"&amp;TEXT(F14,"YYYY-MM-DD")&amp;" --recursive &amp; """&amp;walkandungz&amp;""" "&amp;search_path&amp;"\RTDC"&amp;B14&amp;"\"&amp;TEXT(F14,"YYYY-MM-DD")
&amp;" &amp; "&amp;"aws s3 cp "&amp;s3_bucket&amp;"/RTDC"&amp;B14&amp;"/"&amp;TEXT(F14+1,"YYYY-MM-DD")&amp;"/ "&amp;search_path&amp;"\RTDC"&amp;B14&amp;"\"&amp;TEXT(F14+1,"YYYY-MM-DD")&amp;" --recursive &amp; """&amp;walkandungz&amp;""" "&amp;search_path&amp;"\RTDC"&amp;B14&amp;"\"&amp;TEXT(F14+1,"YYYY-MM-DD")</f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14" s="96" t="str">
        <f>astrogrep_path&amp;" /spath="&amp;search_path&amp;" /stypes=""*"&amp;B14&amp;"*"&amp;TEXT(I14-utc_offset/24,"YYYYMMDD")&amp;"*"" /stext="" "&amp;TEXT(I14-utc_offset/24,"HH")&amp;search_regexp&amp;""" /e /r /s"</f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14" s="1" t="str">
        <f t="shared" ref="AG14:AG28" si="13">IFERROR(IF(VALUE(LEFT(AD14,2))&lt;=2,"EC",IF(OR(VALUE(LEFT(AD14,2))=8,VALUE(LEFT(AD14,2))=18),"NW","Other")),"Other")</f>
        <v>EC</v>
      </c>
      <c r="AH14" s="100" t="str">
        <f t="shared" ref="AH14:AH16" si="1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 --swversion  --startMP  --initTime 1900-01-00T00:00:00 --startdatetime 1900-01-00T00:00:00 --delay  --endMP  --enddatetime 1900-01-00T00:00:00 --enforcementcount 0 &gt;&gt;C:\Users\stu\Documents\GitHub\eaglep3-reporting\EC\2016-09-10-refined-times.txt</v>
      </c>
      <c r="AI14" s="137" t="e">
        <f t="shared" ref="AI14:AI16" si="1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#VALUE!</v>
      </c>
      <c r="AJ14" s="55"/>
      <c r="AK14" s="55"/>
      <c r="AL14" s="55"/>
    </row>
    <row r="15" spans="1:91" s="1" customFormat="1" x14ac:dyDescent="0.25">
      <c r="A15" s="39" t="s">
        <v>713</v>
      </c>
      <c r="B15" s="7"/>
      <c r="C15" s="24"/>
      <c r="D15" s="24"/>
      <c r="E15" s="15"/>
      <c r="F15" s="15"/>
      <c r="G15" s="7"/>
      <c r="H15" s="15"/>
      <c r="I15" s="15"/>
      <c r="J15" s="7">
        <v>0</v>
      </c>
      <c r="K15" s="122" t="str">
        <f t="shared" si="2"/>
        <v>-1/</v>
      </c>
      <c r="L15" s="24" t="e">
        <f>VLOOKUP(A15,'Trips&amp;Operators'!$C$1:$E$10000,3,FALSE)</f>
        <v>#N/A</v>
      </c>
      <c r="M15" s="6">
        <f t="shared" si="3"/>
        <v>0</v>
      </c>
      <c r="N15" s="7"/>
      <c r="O15" s="7"/>
      <c r="P15" s="7">
        <v>1</v>
      </c>
      <c r="Q15" s="25"/>
      <c r="R15" s="25" t="s">
        <v>393</v>
      </c>
      <c r="S15" s="37">
        <f t="shared" si="4"/>
        <v>0</v>
      </c>
      <c r="T15" s="52" t="str">
        <f t="shared" si="5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106" t="e">
        <f t="shared" si="6"/>
        <v>#VALUE!</v>
      </c>
      <c r="W15" s="54" t="e">
        <f t="shared" si="7"/>
        <v>#VALUE!</v>
      </c>
      <c r="X15" s="172">
        <f t="shared" si="8"/>
        <v>1</v>
      </c>
      <c r="Y15" s="69" t="e">
        <f t="shared" si="9"/>
        <v>#VALUE!</v>
      </c>
      <c r="Z15" s="69" t="e">
        <f t="shared" si="10"/>
        <v>#VALUE!</v>
      </c>
      <c r="AA15" s="69" t="e">
        <f t="shared" si="11"/>
        <v>#VALUE!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2"/>
        <v>0103-10</v>
      </c>
      <c r="AE15" s="99" t="str">
        <f>"aws s3 cp "&amp;s3_bucket&amp;"/RTDC"&amp;B15&amp;"/"&amp;TEXT(F15,"YYYY-MM-DD")&amp;"/ "&amp;search_path&amp;"\RTDC"&amp;B15&amp;"\"&amp;TEXT(F15,"YYYY-MM-DD")&amp;" --recursive &amp; """&amp;walkandungz&amp;""" "&amp;search_path&amp;"\RTDC"&amp;B15&amp;"\"&amp;TEXT(F15,"YYYY-MM-DD")
&amp;" &amp; "&amp;"aws s3 cp "&amp;s3_bucket&amp;"/RTDC"&amp;B15&amp;"/"&amp;TEXT(F15+1,"YYYY-MM-DD")&amp;"/ "&amp;search_path&amp;"\RTDC"&amp;B15&amp;"\"&amp;TEXT(F15+1,"YYYY-MM-DD")&amp;" --recursive &amp; """&amp;walkandungz&amp;""" "&amp;search_path&amp;"\RTDC"&amp;B15&amp;"\"&amp;TEXT(F15+1,"YYYY-MM-DD")</f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15" s="96" t="str">
        <f>astrogrep_path&amp;" /spath="&amp;search_path&amp;" /stypes=""*"&amp;B15&amp;"*"&amp;TEXT(I15-utc_offset/24,"YYYYMMDD")&amp;"*"" /stext="" "&amp;TEXT(I15-utc_offset/24,"HH")&amp;search_regexp&amp;""" /e /r /s"</f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15" s="1" t="str">
        <f t="shared" si="13"/>
        <v>EC</v>
      </c>
      <c r="AH15" s="100" t="str">
        <f t="shared" si="14"/>
        <v>"%USERPROFILE%\Documents\GitHub\eaglep3\Utilities\RefineRTDCRunTimes.py" --tripid 103-10 --locoid  --swversion  --startMP  --initTime 1900-01-00T00:00:00 --startdatetime 1900-01-00T00:00:00 --delay  --endMP  --enddatetime 1900-01-00T00:00:00 --enforcementcount 0 &gt;&gt;C:\Users\stu\Documents\GitHub\eaglep3-reporting\EC\2016-09-10-refined-times.txt</v>
      </c>
      <c r="AI15" s="137" t="e">
        <f t="shared" si="15"/>
        <v>#VALUE!</v>
      </c>
      <c r="AJ15" s="55"/>
      <c r="AK15" s="55"/>
      <c r="AL15" s="55"/>
    </row>
    <row r="16" spans="1:91" s="1" customFormat="1" x14ac:dyDescent="0.25">
      <c r="A16" s="39" t="s">
        <v>428</v>
      </c>
      <c r="B16" s="7">
        <v>4001</v>
      </c>
      <c r="C16" s="24" t="s">
        <v>108</v>
      </c>
      <c r="D16" s="24" t="s">
        <v>429</v>
      </c>
      <c r="E16" s="15">
        <v>42623.193981481483</v>
      </c>
      <c r="F16" s="15">
        <v>42623.195983796293</v>
      </c>
      <c r="G16" s="7">
        <v>2</v>
      </c>
      <c r="H16" s="15" t="s">
        <v>260</v>
      </c>
      <c r="I16" s="15">
        <v>42623.226273148146</v>
      </c>
      <c r="J16" s="7">
        <v>0</v>
      </c>
      <c r="K16" s="122" t="str">
        <f t="shared" si="2"/>
        <v>4001/4002</v>
      </c>
      <c r="L16" s="24" t="str">
        <f>VLOOKUP(A16,'Trips&amp;Operators'!$C$1:$E$10000,3,FALSE)</f>
        <v>MALAVE</v>
      </c>
      <c r="M16" s="6">
        <f t="shared" si="3"/>
        <v>3.0289351852843538E-2</v>
      </c>
      <c r="N16" s="7">
        <f t="shared" ref="N16" si="16">24*60*SUM($M16:$M16)</f>
        <v>43.616666668094695</v>
      </c>
      <c r="O16" s="7"/>
      <c r="P16" s="7"/>
      <c r="Q16" s="25"/>
      <c r="R16" s="25"/>
      <c r="S16" s="37">
        <f t="shared" si="4"/>
        <v>1</v>
      </c>
      <c r="T16" s="52" t="str">
        <f t="shared" si="5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6"/>
        <v>https://search-rtdc-monitor-bjffxe2xuh6vdkpspy63sjmuny.us-east-1.es.amazonaws.com/_plugin/kibana/#/discover/Steve-Slow-Train-Analysis-(2080s-and-2083s)?_g=(refreshInterval:(display:Off,section:0,value:0),time:(from:'2016-09-10 03:39:20-0600',mode:absolute,to:'2016-09-10 06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" s="54" t="str">
        <f t="shared" si="7"/>
        <v>N</v>
      </c>
      <c r="X16" s="172">
        <f t="shared" si="8"/>
        <v>1</v>
      </c>
      <c r="Y16" s="69">
        <f t="shared" si="9"/>
        <v>23.265999999999998</v>
      </c>
      <c r="Z16" s="69">
        <f t="shared" si="10"/>
        <v>1.4500000000000001E-2</v>
      </c>
      <c r="AA16" s="69">
        <f t="shared" si="11"/>
        <v>23.251499999999997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12"/>
        <v>0104-10</v>
      </c>
      <c r="AE16" s="99" t="str">
        <f>"aws s3 cp "&amp;s3_bucket&amp;"/RTDC"&amp;B16&amp;"/"&amp;TEXT(F16,"YYYY-MM-DD")&amp;"/ "&amp;search_path&amp;"\RTDC"&amp;B16&amp;"\"&amp;TEXT(F16,"YYYY-MM-DD")&amp;" --recursive &amp; """&amp;walkandungz&amp;""" "&amp;search_path&amp;"\RTDC"&amp;B16&amp;"\"&amp;TEXT(F16,"YYYY-MM-DD")
&amp;" &amp; "&amp;"aws s3 cp "&amp;s3_bucket&amp;"/RTDC"&amp;B16&amp;"/"&amp;TEXT(F16+1,"YYYY-MM-DD")&amp;"/ "&amp;search_path&amp;"\RTDC"&amp;B16&amp;"\"&amp;TEXT(F16+1,"YYYY-MM-DD")&amp;" --recursive &amp; """&amp;walkandungz&amp;""" "&amp;search_path&amp;"\RTDC"&amp;B16&amp;"\"&amp;TEXT(F16+1,"YYYY-MM-DD")</f>
        <v>aws s3 cp s3://rtdc.mdm.uploadarchive/RTDC4001/2016-09-10/ "%USERPROFILE%\AppData\Local\Temp\OnboardLogs"\RTDC4001\2016-09-10 --recursive &amp; "%USERPROFILE%\Documents\GitHub\mrs-test-scripts\Headless Mode &amp; Sideloading\WalkAndUnGZ.bat" "%USERPROFILE%\AppData\Local\Temp\OnboardLogs"\RTDC4001\2016-09-10 &amp; 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</v>
      </c>
      <c r="AF16" s="96" t="str">
        <f>astrogrep_path&amp;" /spath="&amp;search_path&amp;" /stypes=""*"&amp;B16&amp;"*"&amp;TEXT(I16-utc_offset/24,"YYYYMMDD")&amp;"*"" /stext="" "&amp;TEXT(I16-utc_offset/24,"HH")&amp;search_regexp&amp;""" /e /r /s"</f>
        <v>"C:\Program Files (x86)\AstroGrep\AstroGrep.exe" /spath="%USERPROFILE%\AppData\Local\Temp\OnboardLogs" /stypes="*4001*20160910*" /stext=" 11:.+((SYSTEM_STATE.+slice.+state.+changed )|(ment ac)|(system.+state.+changed )|(\|lc)|(penalty)|(\[timeout)|(PRM\|1\|D)|(kpr)|(kdp))" /e /r /s</v>
      </c>
      <c r="AG16" s="1" t="str">
        <f t="shared" si="13"/>
        <v>EC</v>
      </c>
      <c r="AH16" s="100" t="str">
        <f t="shared" si="14"/>
        <v>"%USERPROFILE%\Documents\GitHub\eaglep3\Utilities\RefineRTDCRunTimes.py" --tripid 104-10 --locoid 4001 --swversion DE.1.0.7.0 --startMP 204:232660 --initTime 2016-09-10T04:39:20 --startdatetime 2016-09-10T04:42:13 --delay 2 --endMP 204:145 --enddatetime 2016-09-10T05:25:50 --enforcementcount 0 &gt;&gt;C:\Users\stu\Documents\GitHub\eaglep3-reporting\EC\2016-09-10-refined-times.txt</v>
      </c>
      <c r="AI16" s="137" t="str">
        <f t="shared" si="15"/>
        <v>echo {"issue":{"subject":"","project_id":79,"tracker_id":40,"status_id":1,"priority_id":2,"assigned_to_id":23,"start_date":"2016-09-10","description":"","custom_fields":[{"id":1,"name":"Subdivision","value":"EC"},{"id":4,"name":"Milepost","value":"23.2515"},{"id":17,"name":"Train ID","value":"104-10"},{"id":16,"name":"Locomotive ID","value":"4001"},{"id":130,"name":"Impact","value":""},{"id":150,"name":"Time of Event (Mountain Time)","value":"05:25:50"},{"id":151,"name":"Denver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714</v>
      </c>
      <c r="B17" s="7"/>
      <c r="C17" s="24"/>
      <c r="D17" s="24"/>
      <c r="E17" s="15"/>
      <c r="F17" s="15"/>
      <c r="G17" s="7"/>
      <c r="H17" s="15"/>
      <c r="I17" s="15"/>
      <c r="J17" s="7"/>
      <c r="K17" s="122"/>
      <c r="L17" s="24"/>
      <c r="M17" s="6"/>
      <c r="N17" s="7"/>
      <c r="O17" s="7"/>
      <c r="P17" s="7">
        <v>1</v>
      </c>
      <c r="Q17" s="25"/>
      <c r="R17" s="25" t="s">
        <v>332</v>
      </c>
      <c r="S17" s="37">
        <f t="shared" si="4"/>
        <v>0</v>
      </c>
      <c r="T17" s="52" t="str">
        <f t="shared" si="5"/>
        <v>NorthBound</v>
      </c>
      <c r="U17" s="167"/>
      <c r="V17" s="106"/>
      <c r="W17" s="54"/>
      <c r="X17" s="172">
        <f t="shared" si="8"/>
        <v>1</v>
      </c>
      <c r="Y17" s="69"/>
      <c r="Z17" s="69"/>
      <c r="AA17" s="69"/>
      <c r="AB17" s="66"/>
      <c r="AC17" s="62"/>
      <c r="AD17" s="63" t="str">
        <f t="shared" si="12"/>
        <v>0105-10</v>
      </c>
      <c r="AE17" s="99"/>
      <c r="AF17" s="96"/>
      <c r="AG17" s="1" t="str">
        <f t="shared" si="13"/>
        <v>EC</v>
      </c>
      <c r="AH17" s="100"/>
      <c r="AI17" s="137"/>
      <c r="AJ17" s="55"/>
      <c r="AK17" s="55"/>
      <c r="AL17" s="55"/>
    </row>
    <row r="18" spans="1:38" s="1" customFormat="1" x14ac:dyDescent="0.25">
      <c r="A18" s="39" t="s">
        <v>430</v>
      </c>
      <c r="B18" s="7">
        <v>4013</v>
      </c>
      <c r="C18" s="24" t="s">
        <v>108</v>
      </c>
      <c r="D18" s="24" t="s">
        <v>431</v>
      </c>
      <c r="E18" s="15">
        <v>42623.211446759262</v>
      </c>
      <c r="F18" s="15">
        <v>42623.216238425928</v>
      </c>
      <c r="G18" s="7">
        <v>1</v>
      </c>
      <c r="H18" s="15" t="s">
        <v>432</v>
      </c>
      <c r="I18" s="15">
        <v>42623.243564814817</v>
      </c>
      <c r="J18" s="7">
        <v>0</v>
      </c>
      <c r="K18" s="122" t="str">
        <f>IF(ISEVEN(B18),(B18-1)&amp;"/"&amp;B18,B18&amp;"/"&amp;(B18+1))</f>
        <v>4013/4014</v>
      </c>
      <c r="L18" s="24" t="str">
        <f>VLOOKUP(A18,'Trips&amp;Operators'!$C$1:$E$10000,3,FALSE)</f>
        <v>ACKERMAN</v>
      </c>
      <c r="M18" s="6">
        <f>I18-F18</f>
        <v>2.73263888884685E-2</v>
      </c>
      <c r="N18" s="7">
        <f>24*60*SUM($M18:$M18)</f>
        <v>39.34999999939464</v>
      </c>
      <c r="O18" s="7"/>
      <c r="P18" s="7"/>
      <c r="Q18" s="25"/>
      <c r="R18" s="25"/>
      <c r="S18" s="37">
        <f>SUM(U18:U18)/IF(AG18="EC",12,1)</f>
        <v>1</v>
      </c>
      <c r="T18" s="52" t="str">
        <f>IF(ISEVEN(LEFT(AD18,4)),"Southbound","NorthBound")</f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hh:mm:ss")&amp;"-0600',mode:absolute,to:'"&amp;TEXT(I18+1/24,"yyyy-MM-DD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https://search-rtdc-monitor-bjffxe2xuh6vdkpspy63sjmuny.us-east-1.es.amazonaws.com/_plugin/kibana/#/discover/Steve-Slow-Train-Analysis-(2080s-and-2083s)?_g=(refreshInterval:(display:Off,section:0,value:0),time:(from:'2016-09-10 04:04:29-0600',mode:absolute,to:'2016-09-10 06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" s="54" t="str">
        <f>IF(AA18&lt;IF(AG18="EC",23,5.65),"Y","N")</f>
        <v>N</v>
      </c>
      <c r="X18" s="172">
        <f t="shared" si="8"/>
        <v>1</v>
      </c>
      <c r="Y18" s="69">
        <f>RIGHT(D18,LEN(D18)-4)/10000</f>
        <v>23.277200000000001</v>
      </c>
      <c r="Z18" s="69">
        <f>RIGHT(H18,LEN(H18)-4)/10000</f>
        <v>5.9700000000000003E-2</v>
      </c>
      <c r="AA18" s="69">
        <f>ABS(Z18-Y18)</f>
        <v>23.217500000000001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12"/>
        <v>0106-10</v>
      </c>
      <c r="AE18" s="99" t="str">
        <f>"aws s3 cp "&amp;s3_bucket&amp;"/RTDC"&amp;B18&amp;"/"&amp;TEXT(F18,"YYYY-MM-DD")&amp;"/ "&amp;search_path&amp;"\RTDC"&amp;B18&amp;"\"&amp;TEXT(F18,"YYYY-MM-DD")&amp;" --recursive &amp; """&amp;walkandungz&amp;""" "&amp;search_path&amp;"\RTDC"&amp;B18&amp;"\"&amp;TEXT(F18,"YYYY-MM-DD")
&amp;" &amp; "&amp;"aws s3 cp "&amp;s3_bucket&amp;"/RTDC"&amp;B18&amp;"/"&amp;TEXT(F18+1,"YYYY-MM-DD")&amp;"/ "&amp;search_path&amp;"\RTDC"&amp;B18&amp;"\"&amp;TEXT(F18+1,"YYYY-MM-DD")&amp;" --recursive &amp; """&amp;walkandungz&amp;""" "&amp;search_path&amp;"\RTDC"&amp;B18&amp;"\"&amp;TEXT(F18+1,"YYYY-MM-DD")</f>
        <v>aws s3 cp s3://rtdc.mdm.uploadarchive/RTDC4013/2016-09-10/ "%USERPROFILE%\AppData\Local\Temp\OnboardLogs"\RTDC4013\2016-09-10 --recursive &amp; "%USERPROFILE%\Documents\GitHub\mrs-test-scripts\Headless Mode &amp; Sideloading\WalkAndUnGZ.bat" "%USERPROFILE%\AppData\Local\Temp\OnboardLogs"\RTDC4013\2016-09-10 &amp; aws s3 cp s3://rtdc.mdm.uploadarchive/RTDC4013/2016-09-11/ "%USERPROFILE%\AppData\Local\Temp\OnboardLogs"\RTDC4013\2016-09-11 --recursive &amp; "%USERPROFILE%\Documents\GitHub\mrs-test-scripts\Headless Mode &amp; Sideloading\WalkAndUnGZ.bat" "%USERPROFILE%\AppData\Local\Temp\OnboardLogs"\RTDC4013\2016-09-11</v>
      </c>
      <c r="AF18" s="96" t="str">
        <f>astrogrep_path&amp;" /spath="&amp;search_path&amp;" /stypes=""*"&amp;B18&amp;"*"&amp;TEXT(I18-utc_offset/24,"YYYYMMDD")&amp;"*"" /stext="" "&amp;TEXT(I18-utc_offset/24,"HH")&amp;search_regexp&amp;""" /e /r /s"</f>
        <v>"C:\Program Files (x86)\AstroGrep\AstroGrep.exe" /spath="%USERPROFILE%\AppData\Local\Temp\OnboardLogs" /stypes="*4013*20160910*" /stext=" 11:.+((SYSTEM_STATE.+slice.+state.+changed )|(ment ac)|(system.+state.+changed )|(\|lc)|(penalty)|(\[timeout)|(PRM\|1\|D)|(kpr)|(kdp))" /e /r /s</v>
      </c>
      <c r="AG18" s="1" t="str">
        <f t="shared" si="13"/>
        <v>EC</v>
      </c>
      <c r="AH18" s="100" t="str">
        <f t="shared" ref="AH18:AH84" si="17"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106-10 --locoid 4013 --swversion DE.1.0.7.0 --startMP 204:232772 --initTime 2016-09-10T05:04:29 --startdatetime 2016-09-10T05:11:23 --delay 1 --endMP 204:597 --enddatetime 2016-09-10T05:50:44 --enforcementcount 0 &gt;&gt;C:\Users\stu\Documents\GitHub\eaglep3-reporting\EC\2016-09-10-refined-times.txt</v>
      </c>
      <c r="AI18" s="137" t="str">
        <f t="shared" ref="AI18:AI84" si="18"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AA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{"issue":{"subject":"","project_id":79,"tracker_id":40,"status_id":1,"priority_id":2,"assigned_to_id":23,"start_date":"2016-09-10","description":"","custom_fields":[{"id":1,"name":"Subdivision","value":"EC"},{"id":4,"name":"Milepost","value":"23.2175"},{"id":17,"name":"Train ID","value":"106-10"},{"id":16,"name":"Locomotive ID","value":"4013"},{"id":130,"name":"Impact","value":""},{"id":150,"name":"Time of Event (Mountain Time)","value":"05:50:44"},{"id":151,"name":"Denver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715</v>
      </c>
      <c r="B19" s="7"/>
      <c r="C19" s="24"/>
      <c r="D19" s="24"/>
      <c r="E19" s="15"/>
      <c r="F19" s="15"/>
      <c r="G19" s="7"/>
      <c r="H19" s="15"/>
      <c r="I19" s="15"/>
      <c r="J19" s="7"/>
      <c r="K19" s="122"/>
      <c r="L19" s="24"/>
      <c r="M19" s="6"/>
      <c r="N19" s="7"/>
      <c r="O19" s="7"/>
      <c r="P19" s="7">
        <v>1</v>
      </c>
      <c r="Q19" s="25"/>
      <c r="R19" s="25" t="s">
        <v>332</v>
      </c>
      <c r="S19" s="37">
        <f t="shared" si="4"/>
        <v>0</v>
      </c>
      <c r="T19" s="52"/>
      <c r="U19" s="167"/>
      <c r="V19" s="106"/>
      <c r="W19" s="54"/>
      <c r="X19" s="172">
        <f t="shared" si="8"/>
        <v>1</v>
      </c>
      <c r="Y19" s="69"/>
      <c r="Z19" s="69"/>
      <c r="AA19" s="69"/>
      <c r="AB19" s="66"/>
      <c r="AC19" s="62"/>
      <c r="AD19" s="63" t="str">
        <f t="shared" si="12"/>
        <v>0107-10</v>
      </c>
      <c r="AE19" s="99"/>
      <c r="AF19" s="96"/>
      <c r="AG19" s="1" t="str">
        <f t="shared" si="13"/>
        <v>EC</v>
      </c>
      <c r="AH19" s="100"/>
      <c r="AI19" s="137"/>
      <c r="AJ19" s="55"/>
      <c r="AK19" s="55"/>
      <c r="AL19" s="55"/>
    </row>
    <row r="20" spans="1:38" s="1" customFormat="1" x14ac:dyDescent="0.25">
      <c r="A20" s="39" t="s">
        <v>433</v>
      </c>
      <c r="B20" s="7">
        <v>4010</v>
      </c>
      <c r="C20" s="24" t="s">
        <v>108</v>
      </c>
      <c r="D20" s="24" t="s">
        <v>249</v>
      </c>
      <c r="E20" s="15">
        <v>42623.229641203703</v>
      </c>
      <c r="F20" s="15">
        <v>42623.232673611114</v>
      </c>
      <c r="G20" s="7">
        <v>3</v>
      </c>
      <c r="H20" s="15" t="s">
        <v>434</v>
      </c>
      <c r="I20" s="15">
        <v>42623.269872685189</v>
      </c>
      <c r="J20" s="7">
        <v>0</v>
      </c>
      <c r="K20" s="122" t="str">
        <f>IF(ISEVEN(B20),(B20-1)&amp;"/"&amp;B20,B20&amp;"/"&amp;(B20+1))</f>
        <v>4009/4010</v>
      </c>
      <c r="L20" s="24" t="str">
        <f>VLOOKUP(A20,'Trips&amp;Operators'!$C$1:$E$10000,3,FALSE)</f>
        <v>DAVIS</v>
      </c>
      <c r="M20" s="6">
        <f>I20-F20</f>
        <v>3.7199074075033423E-2</v>
      </c>
      <c r="N20" s="7">
        <f>24*60*SUM($M20:$M20)</f>
        <v>53.566666668048128</v>
      </c>
      <c r="O20" s="7"/>
      <c r="P20" s="7"/>
      <c r="Q20" s="25"/>
      <c r="R20" s="25"/>
      <c r="S20" s="37">
        <f>SUM(U20:U20)/IF(AG20="EC",12,1)</f>
        <v>1</v>
      </c>
      <c r="T20" s="52" t="str">
        <f t="shared" ref="T20:T51" si="19">IF(ISEVEN(LEFT(AD20,4)),"Southbound","NorthBound")</f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hh:mm:ss")&amp;"-0600',mode:absolute,to:'"&amp;TEXT(I20+1/24,"yyyy-MM-DD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https://search-rtdc-monitor-bjffxe2xuh6vdkpspy63sjmuny.us-east-1.es.amazonaws.com/_plugin/kibana/#/discover/Steve-Slow-Train-Analysis-(2080s-and-2083s)?_g=(refreshInterval:(display:Off,section:0,value:0),time:(from:'2016-09-10 04:30:41-0600',mode:absolute,to:'2016-09-10 07:28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20" s="54" t="str">
        <f>IF(AA20&lt;IF(AG20="EC",23,5.65),"Y","N")</f>
        <v>N</v>
      </c>
      <c r="X20" s="172">
        <f t="shared" si="8"/>
        <v>1</v>
      </c>
      <c r="Y20" s="69">
        <f>RIGHT(D20,LEN(D20)-4)/10000</f>
        <v>23.2986</v>
      </c>
      <c r="Z20" s="69">
        <f>RIGHT(H20,LEN(H20)-4)/10000</f>
        <v>0.1169</v>
      </c>
      <c r="AA20" s="69">
        <f>ABS(Z20-Y20)</f>
        <v>23.181699999999999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12"/>
        <v>0108-10</v>
      </c>
      <c r="AE20" s="99" t="str">
        <f>"aws s3 cp "&amp;s3_bucket&amp;"/RTDC"&amp;B20&amp;"/"&amp;TEXT(F20,"YYYY-MM-DD")&amp;"/ "&amp;search_path&amp;"\RTDC"&amp;B20&amp;"\"&amp;TEXT(F20,"YYYY-MM-DD")&amp;" --recursive &amp; """&amp;walkandungz&amp;""" "&amp;search_path&amp;"\RTDC"&amp;B20&amp;"\"&amp;TEXT(F20,"YYYY-MM-DD")
&amp;" &amp; "&amp;"aws s3 cp "&amp;s3_bucket&amp;"/RTDC"&amp;B20&amp;"/"&amp;TEXT(F20+1,"YYYY-MM-DD")&amp;"/ "&amp;search_path&amp;"\RTDC"&amp;B20&amp;"\"&amp;TEXT(F20+1,"YYYY-MM-DD")&amp;" --recursive &amp; """&amp;walkandungz&amp;""" "&amp;search_path&amp;"\RTDC"&amp;B20&amp;"\"&amp;TEXT(F20+1,"YYYY-MM-DD")</f>
        <v>aws s3 cp s3://rtdc.mdm.uploadarchive/RTDC4010/2016-09-10/ "%USERPROFILE%\AppData\Local\Temp\OnboardLogs"\RTDC4010\2016-09-10 --recursive &amp; "%USERPROFILE%\Documents\GitHub\mrs-test-scripts\Headless Mode &amp; Sideloading\WalkAndUnGZ.bat" "%USERPROFILE%\AppData\Local\Temp\OnboardLogs"\RTDC4010\2016-09-10 &amp; 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</v>
      </c>
      <c r="AF20" s="96" t="str">
        <f>astrogrep_path&amp;" /spath="&amp;search_path&amp;" /stypes=""*"&amp;B20&amp;"*"&amp;TEXT(I20-utc_offset/24,"YYYYMMDD")&amp;"*"" /stext="" "&amp;TEXT(I20-utc_offset/24,"HH")&amp;search_regexp&amp;""" /e /r /s"</f>
        <v>"C:\Program Files (x86)\AstroGrep\AstroGrep.exe" /spath="%USERPROFILE%\AppData\Local\Temp\OnboardLogs" /stypes="*4010*20160910*" /stext=" 12:.+((SYSTEM_STATE.+slice.+state.+changed )|(ment ac)|(system.+state.+changed )|(\|lc)|(penalty)|(\[timeout)|(PRM\|1\|D)|(kpr)|(kdp))" /e /r /s</v>
      </c>
      <c r="AG20" s="1" t="str">
        <f t="shared" si="13"/>
        <v>EC</v>
      </c>
      <c r="AH20" s="100" t="str">
        <f t="shared" si="17"/>
        <v>"%USERPROFILE%\Documents\GitHub\eaglep3\Utilities\RefineRTDCRunTimes.py" --tripid 108-10 --locoid 4010 --swversion DE.1.0.7.0 --startMP 204:232986 --initTime 2016-09-10T05:30:41 --startdatetime 2016-09-10T05:35:03 --delay 3 --endMP 204:1169 --enddatetime 2016-09-10T06:28:37 --enforcementcount 0 &gt;&gt;C:\Users\stu\Documents\GitHub\eaglep3-reporting\EC\2016-09-10-refined-times.txt</v>
      </c>
      <c r="AI20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{"issue":{"subject":"","project_id":79,"tracker_id":40,"status_id":1,"priority_id":2,"assigned_to_id":23,"start_date":"2016-09-10","description":"","custom_fields":[{"id":1,"name":"Subdivision","value":"EC"},{"id":4,"name":"Milepost","value":"23.1817"},{"id":17,"name":"Train ID","value":"108-10"},{"id":16,"name":"Locomotive ID","value":"4010"},{"id":130,"name":"Impact","value":""},{"id":150,"name":"Time of Event (Mountain Time)","value":"06:28:37"},{"id":151,"name":"Denver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716</v>
      </c>
      <c r="B21" s="7"/>
      <c r="C21" s="24"/>
      <c r="D21" s="24"/>
      <c r="E21" s="15"/>
      <c r="F21" s="15"/>
      <c r="G21" s="7"/>
      <c r="H21" s="15"/>
      <c r="I21" s="15"/>
      <c r="J21" s="7"/>
      <c r="K21" s="122"/>
      <c r="L21" s="24"/>
      <c r="M21" s="6"/>
      <c r="N21" s="7"/>
      <c r="O21" s="7"/>
      <c r="P21" s="7">
        <v>1</v>
      </c>
      <c r="Q21" s="25"/>
      <c r="R21" s="25" t="s">
        <v>332</v>
      </c>
      <c r="S21" s="37">
        <f t="shared" si="4"/>
        <v>0</v>
      </c>
      <c r="T21" s="52" t="str">
        <f t="shared" si="19"/>
        <v>NorthBound</v>
      </c>
      <c r="U21" s="167"/>
      <c r="V21" s="106"/>
      <c r="W21" s="54"/>
      <c r="X21" s="172">
        <f t="shared" ref="X21:X32" si="20">VALUE(LEFT(AD21,4))-VALUE(LEFT(AD20,4))</f>
        <v>1</v>
      </c>
      <c r="Y21" s="69" t="e">
        <f t="shared" ref="Y21:Y32" si="21">RIGHT(D21,LEN(D21)-4)/10000</f>
        <v>#VALUE!</v>
      </c>
      <c r="Z21" s="69"/>
      <c r="AA21" s="69"/>
      <c r="AB21" s="66"/>
      <c r="AC21" s="62"/>
      <c r="AD21" s="63" t="str">
        <f t="shared" si="12"/>
        <v>0109-10</v>
      </c>
      <c r="AE21" s="99"/>
      <c r="AF21" s="96"/>
      <c r="AG21" s="1" t="str">
        <f t="shared" si="13"/>
        <v>EC</v>
      </c>
      <c r="AH21" s="100"/>
      <c r="AI21" s="137"/>
      <c r="AJ21" s="55"/>
      <c r="AK21" s="55"/>
      <c r="AL21" s="55"/>
    </row>
    <row r="22" spans="1:38" s="1" customFormat="1" x14ac:dyDescent="0.25">
      <c r="A22" s="39" t="s">
        <v>394</v>
      </c>
      <c r="B22" s="7">
        <v>4039</v>
      </c>
      <c r="C22" s="24" t="s">
        <v>108</v>
      </c>
      <c r="D22" s="24" t="s">
        <v>435</v>
      </c>
      <c r="E22" s="15">
        <v>42623.247233796297</v>
      </c>
      <c r="F22" s="15">
        <v>42623.25136574074</v>
      </c>
      <c r="G22" s="7">
        <v>3</v>
      </c>
      <c r="H22" s="15" t="s">
        <v>436</v>
      </c>
      <c r="I22" s="15">
        <v>42623.27103009259</v>
      </c>
      <c r="J22" s="7">
        <v>0</v>
      </c>
      <c r="K22" s="122" t="str">
        <f>IF(ISEVEN(B22),(B22-1)&amp;"/"&amp;B22,B22&amp;"/"&amp;(B22+1))</f>
        <v>4039/4040</v>
      </c>
      <c r="L22" s="24" t="str">
        <f>VLOOKUP(A22,'Trips&amp;Operators'!$C$1:$E$10000,3,FALSE)</f>
        <v>KILLION</v>
      </c>
      <c r="M22" s="6">
        <f>I22-F22</f>
        <v>1.9664351850224193E-2</v>
      </c>
      <c r="N22" s="7"/>
      <c r="O22" s="7"/>
      <c r="P22" s="7">
        <f>24*60*SUM($M22:$M22)</f>
        <v>28.316666664322838</v>
      </c>
      <c r="Q22" s="25"/>
      <c r="R22" s="25" t="s">
        <v>718</v>
      </c>
      <c r="S22" s="37">
        <f>SUM(U22:U22)/IF(AG22="EC",12,1)</f>
        <v>1</v>
      </c>
      <c r="T22" s="52" t="str">
        <f t="shared" si="19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hh:mm:ss")&amp;"-0600',mode:absolute,to:'"&amp;TEXT(I22+1/24,"yyyy-MM-DD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https://search-rtdc-monitor-bjffxe2xuh6vdkpspy63sjmuny.us-east-1.es.amazonaws.com/_plugin/kibana/#/discover/Steve-Slow-Train-Analysis-(2080s-and-2083s)?_g=(refreshInterval:(display:Off,section:0,value:0),time:(from:'2016-09-10 04:56:01-0600',mode:absolute,to:'2016-09-10 07:30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22" s="54" t="str">
        <f>IF(AA22&lt;IF(AG22="EC",23,5.65),"Y","N")</f>
        <v>Y</v>
      </c>
      <c r="X22" s="172">
        <f t="shared" si="20"/>
        <v>1</v>
      </c>
      <c r="Y22" s="69">
        <f t="shared" si="21"/>
        <v>15.4001</v>
      </c>
      <c r="Z22" s="69">
        <f>RIGHT(H22,LEN(H22)-4)/10000</f>
        <v>1.78E-2</v>
      </c>
      <c r="AA22" s="69">
        <f>ABS(Z22-Y22)</f>
        <v>15.382300000000001</v>
      </c>
      <c r="AB22" s="66" t="str">
        <f>VLOOKUP(A22,Enforcements!$C$7:$K$21,8,0)</f>
        <v>Form based authority (4)</v>
      </c>
      <c r="AC22" s="62" t="str">
        <f>VLOOKUP(A22,Enforcements!$C$7:$E$21,3,0)</f>
        <v>TRACK WARRANT AUTHORITY</v>
      </c>
      <c r="AD22" s="63" t="str">
        <f t="shared" si="12"/>
        <v>0110-10</v>
      </c>
      <c r="AE22" s="99" t="str">
        <f>"aws s3 cp "&amp;s3_bucket&amp;"/RTDC"&amp;B22&amp;"/"&amp;TEXT(F22,"YYYY-MM-DD")&amp;"/ "&amp;search_path&amp;"\RTDC"&amp;B22&amp;"\"&amp;TEXT(F22,"YYYY-MM-DD")&amp;" --recursive &amp; """&amp;walkandungz&amp;""" "&amp;search_path&amp;"\RTDC"&amp;B22&amp;"\"&amp;TEXT(F22,"YYYY-MM-DD")
&amp;" &amp; "&amp;"aws s3 cp "&amp;s3_bucket&amp;"/RTDC"&amp;B22&amp;"/"&amp;TEXT(F22+1,"YYYY-MM-DD")&amp;"/ "&amp;search_path&amp;"\RTDC"&amp;B22&amp;"\"&amp;TEXT(F22+1,"YYYY-MM-DD")&amp;" --recursive &amp; """&amp;walkandungz&amp;""" "&amp;search_path&amp;"\RTDC"&amp;B22&amp;"\"&amp;TEXT(F22+1,"YYYY-MM-DD")</f>
        <v>aws s3 cp s3://rtdc.mdm.uploadarchive/RTDC4039/2016-09-10/ "%USERPROFILE%\AppData\Local\Temp\OnboardLogs"\RTDC4039\2016-09-10 --recursive &amp; "%USERPROFILE%\Documents\GitHub\mrs-test-scripts\Headless Mode &amp; Sideloading\WalkAndUnGZ.bat" "%USERPROFILE%\AppData\Local\Temp\OnboardLogs"\RTDC4039\2016-09-10 &amp; 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</v>
      </c>
      <c r="AF22" s="96" t="str">
        <f>astrogrep_path&amp;" /spath="&amp;search_path&amp;" /stypes=""*"&amp;B22&amp;"*"&amp;TEXT(I22-utc_offset/24,"YYYYMMDD")&amp;"*"" /stext="" "&amp;TEXT(I22-utc_offset/24,"HH")&amp;search_regexp&amp;""" /e /r /s"</f>
        <v>"C:\Program Files (x86)\AstroGrep\AstroGrep.exe" /spath="%USERPROFILE%\AppData\Local\Temp\OnboardLogs" /stypes="*4039*20160910*" /stext=" 12:.+((SYSTEM_STATE.+slice.+state.+changed )|(ment ac)|(system.+state.+changed )|(\|lc)|(penalty)|(\[timeout)|(PRM\|1\|D)|(kpr)|(kdp))" /e /r /s</v>
      </c>
      <c r="AG22" s="1" t="str">
        <f t="shared" si="13"/>
        <v>EC</v>
      </c>
      <c r="AH22" s="100" t="str">
        <f t="shared" si="17"/>
        <v>"%USERPROFILE%\Documents\GitHub\eaglep3\Utilities\RefineRTDCRunTimes.py" --tripid 110-10 --locoid 4039 --swversion DE.1.0.7.0 --startMP 204:154001 --initTime 2016-09-10T05:56:01 --startdatetime 2016-09-10T06:01:58 --delay 3 --endMP 204:178 --enddatetime 2016-09-10T06:30:17 --enforcementcount 0 &gt;&gt;C:\Users\stu\Documents\GitHub\eaglep3-reporting\EC\2016-09-10-refined-times.txt</v>
      </c>
      <c r="AI22" s="137" t="str">
        <f t="shared" si="18"/>
        <v>echo {"issue":{"subject":"Onboard in-route failure","project_id":79,"tracker_id":40,"status_id":1,"priority_id":2,"assigned_to_id":23,"start_date":"2016-09-10","description":"","custom_fields":[{"id":1,"name":"Subdivision","value":"EC"},{"id":4,"name":"Milepost","value":"15.3823"},{"id":17,"name":"Train ID","value":"110-10"},{"id":16,"name":"Locomotive ID","value":"4039"},{"id":130,"name":"Impact","value":""},{"id":150,"name":"Time of Event (Mountain Time)","value":"06:30:17"},{"id":151,"name":"Denver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437</v>
      </c>
      <c r="B23" s="7">
        <v>4038</v>
      </c>
      <c r="C23" s="24" t="s">
        <v>108</v>
      </c>
      <c r="D23" s="24" t="s">
        <v>438</v>
      </c>
      <c r="E23" s="15">
        <v>42623.204675925925</v>
      </c>
      <c r="F23" s="15">
        <v>42623.209027777775</v>
      </c>
      <c r="G23" s="7">
        <v>2</v>
      </c>
      <c r="H23" s="15" t="s">
        <v>439</v>
      </c>
      <c r="I23" s="15">
        <v>42623.235891203702</v>
      </c>
      <c r="J23" s="7">
        <v>0</v>
      </c>
      <c r="K23" s="122" t="str">
        <f>IF(ISEVEN(B23),(B23-1)&amp;"/"&amp;B23,B23&amp;"/"&amp;(B23+1))</f>
        <v>4037/4038</v>
      </c>
      <c r="L23" s="24" t="str">
        <f>VLOOKUP(A23,'Trips&amp;Operators'!$C$1:$E$10000,3,FALSE)</f>
        <v>GEBRETEKLE</v>
      </c>
      <c r="M23" s="6">
        <f>I23-F23</f>
        <v>2.6863425926421769E-2</v>
      </c>
      <c r="N23" s="7">
        <f>24*60*SUM($M23:$M23)</f>
        <v>38.683333334047347</v>
      </c>
      <c r="O23" s="7"/>
      <c r="P23" s="7"/>
      <c r="Q23" s="25"/>
      <c r="R23" s="25"/>
      <c r="S23" s="37">
        <f>SUM(U23:U23)/IF(AG23="EC",12,1)</f>
        <v>1</v>
      </c>
      <c r="T23" s="52" t="str">
        <f t="shared" si="19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hh:mm:ss")&amp;"-0600',mode:absolute,to:'"&amp;TEXT(I23+1/24,"yyyy-MM-DD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https://search-rtdc-monitor-bjffxe2xuh6vdkpspy63sjmuny.us-east-1.es.amazonaws.com/_plugin/kibana/#/discover/Steve-Slow-Train-Analysis-(2080s-and-2083s)?_g=(refreshInterval:(display:Off,section:0,value:0),time:(from:'2016-09-10 03:54:44-0600',mode:absolute,to:'2016-09-10 06:39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3" s="54" t="str">
        <f>IF(AA23&lt;IF(AG23="EC",23,5.65),"Y","N")</f>
        <v>N</v>
      </c>
      <c r="X23" s="172">
        <f t="shared" si="20"/>
        <v>1</v>
      </c>
      <c r="Y23" s="69">
        <f t="shared" si="21"/>
        <v>7.7200000000000005E-2</v>
      </c>
      <c r="Z23" s="69">
        <f>RIGHT(H23,LEN(H23)-4)/10000</f>
        <v>23.3309</v>
      </c>
      <c r="AA23" s="69">
        <f>ABS(Z23-Y23)</f>
        <v>23.253699999999998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12"/>
        <v>0111-10</v>
      </c>
      <c r="AE23" s="99" t="str">
        <f>"aws s3 cp "&amp;s3_bucket&amp;"/RTDC"&amp;B23&amp;"/"&amp;TEXT(F23,"YYYY-MM-DD")&amp;"/ "&amp;search_path&amp;"\RTDC"&amp;B23&amp;"\"&amp;TEXT(F23,"YYYY-MM-DD")&amp;" --recursive &amp; """&amp;walkandungz&amp;""" "&amp;search_path&amp;"\RTDC"&amp;B23&amp;"\"&amp;TEXT(F23,"YYYY-MM-DD")
&amp;" &amp; "&amp;"aws s3 cp "&amp;s3_bucket&amp;"/RTDC"&amp;B23&amp;"/"&amp;TEXT(F23+1,"YYYY-MM-DD")&amp;"/ "&amp;search_path&amp;"\RTDC"&amp;B23&amp;"\"&amp;TEXT(F23+1,"YYYY-MM-DD")&amp;" --recursive &amp; """&amp;walkandungz&amp;""" "&amp;search_path&amp;"\RTDC"&amp;B23&amp;"\"&amp;TEXT(F23+1,"YYYY-MM-DD")</f>
        <v>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 &amp; aws s3 cp s3://rtdc.mdm.uploadarchive/RTDC4038/2016-09-11/ "%USERPROFILE%\AppData\Local\Temp\OnboardLogs"\RTDC4038\2016-09-11 --recursive &amp; "%USERPROFILE%\Documents\GitHub\mrs-test-scripts\Headless Mode &amp; Sideloading\WalkAndUnGZ.bat" "%USERPROFILE%\AppData\Local\Temp\OnboardLogs"\RTDC4038\2016-09-11</v>
      </c>
      <c r="AF23" s="96" t="str">
        <f>astrogrep_path&amp;" /spath="&amp;search_path&amp;" /stypes=""*"&amp;B23&amp;"*"&amp;TEXT(I23-utc_offset/24,"YYYYMMDD")&amp;"*"" /stext="" "&amp;TEXT(I23-utc_offset/24,"HH")&amp;search_regexp&amp;""" /e /r /s"</f>
        <v>"C:\Program Files (x86)\AstroGrep\AstroGrep.exe" /spath="%USERPROFILE%\AppData\Local\Temp\OnboardLogs" /stypes="*4038*20160910*" /stext=" 11:.+((SYSTEM_STATE.+slice.+state.+changed )|(ment ac)|(system.+state.+changed )|(\|lc)|(penalty)|(\[timeout)|(PRM\|1\|D)|(kpr)|(kdp))" /e /r /s</v>
      </c>
      <c r="AG23" s="1" t="str">
        <f t="shared" si="13"/>
        <v>EC</v>
      </c>
      <c r="AH23" s="100" t="str">
        <f t="shared" si="17"/>
        <v>"%USERPROFILE%\Documents\GitHub\eaglep3\Utilities\RefineRTDCRunTimes.py" --tripid 111-10 --locoid 4038 --swversion DE.1.0.7.0 --startMP 204:772 --initTime 2016-09-10T04:54:44 --startdatetime 2016-09-10T05:01:00 --delay 2 --endMP 204:233309 --enddatetime 2016-09-10T05:39:41 --enforcementcount 0 &gt;&gt;C:\Users\stu\Documents\GitHub\eaglep3-reporting\EC\2016-09-10-refined-times.txt</v>
      </c>
      <c r="AI23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{"issue":{"subject":"","project_id":79,"tracker_id":40,"status_id":1,"priority_id":2,"assigned_to_id":23,"start_date":"2016-09-10","description":"","custom_fields":[{"id":1,"name":"Subdivision","value":"EC"},{"id":4,"name":"Milepost","value":"23.2537"},{"id":17,"name":"Train ID","value":"111-10"},{"id":16,"name":"Locomotive ID","value":"4038"},{"id":130,"name":"Impact","value":""},{"id":150,"name":"Time of Event (Mountain Time)","value":"05:39:41"},{"id":151,"name":"Denver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395</v>
      </c>
      <c r="B24" s="7">
        <v>4037</v>
      </c>
      <c r="C24" s="24" t="s">
        <v>108</v>
      </c>
      <c r="D24" s="24" t="s">
        <v>334</v>
      </c>
      <c r="E24" s="15">
        <v>42623.243981481479</v>
      </c>
      <c r="F24" s="15">
        <v>42623.247418981482</v>
      </c>
      <c r="G24" s="7">
        <v>2</v>
      </c>
      <c r="H24" s="15" t="s">
        <v>283</v>
      </c>
      <c r="I24" s="15">
        <v>42623.277175925927</v>
      </c>
      <c r="J24" s="7">
        <v>0</v>
      </c>
      <c r="K24" s="122" t="str">
        <f>IF(ISEVEN(B24),(B24-1)&amp;"/"&amp;B24,B24&amp;"/"&amp;(B24+1))</f>
        <v>4037/4038</v>
      </c>
      <c r="L24" s="24" t="str">
        <f>VLOOKUP(A24,'Trips&amp;Operators'!$C$1:$E$10000,3,FALSE)</f>
        <v>GEBRETEKLE</v>
      </c>
      <c r="M24" s="6">
        <f>I24-F24</f>
        <v>2.9756944444670808E-2</v>
      </c>
      <c r="N24" s="7">
        <f>24*60*SUM($M24:$M24)</f>
        <v>42.850000000325963</v>
      </c>
      <c r="O24" s="7"/>
      <c r="P24" s="7"/>
      <c r="Q24" s="25"/>
      <c r="R24" s="25"/>
      <c r="S24" s="37">
        <f>SUM(U24:U24)/IF(AG24="EC",12,1)</f>
        <v>1</v>
      </c>
      <c r="T24" s="52" t="str">
        <f t="shared" si="19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hh:mm:ss")&amp;"-0600',mode:absolute,to:'"&amp;TEXT(I24+1/24,"yyyy-MM-DD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https://search-rtdc-monitor-bjffxe2xuh6vdkpspy63sjmuny.us-east-1.es.amazonaws.com/_plugin/kibana/#/discover/Steve-Slow-Train-Analysis-(2080s-and-2083s)?_g=(refreshInterval:(display:Off,section:0,value:0),time:(from:'2016-09-10 04:51:20-0600',mode:absolute,to:'2016-09-10 07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24" s="54" t="str">
        <f>IF(AA24&lt;IF(AG24="EC",23,5.65),"Y","N")</f>
        <v>N</v>
      </c>
      <c r="X24" s="172">
        <f t="shared" si="20"/>
        <v>1</v>
      </c>
      <c r="Y24" s="69">
        <f t="shared" si="21"/>
        <v>23.296500000000002</v>
      </c>
      <c r="Z24" s="69">
        <f>RIGHT(H24,LEN(H24)-4)/10000</f>
        <v>1.3899999999999999E-2</v>
      </c>
      <c r="AA24" s="69">
        <f>ABS(Z24-Y24)</f>
        <v>23.282600000000002</v>
      </c>
      <c r="AB24" s="66" t="str">
        <f>VLOOKUP(A24,Enforcements!$C$7:$K$21,8,0)</f>
        <v>Form based authority (4)</v>
      </c>
      <c r="AC24" s="62" t="str">
        <f>VLOOKUP(A24,Enforcements!$C$7:$E$21,3,0)</f>
        <v>TRACK WARRANT AUTHORITY</v>
      </c>
      <c r="AD24" s="63" t="str">
        <f t="shared" si="12"/>
        <v>0112-10</v>
      </c>
      <c r="AE24" s="99" t="str">
        <f>"aws s3 cp "&amp;s3_bucket&amp;"/RTDC"&amp;B24&amp;"/"&amp;TEXT(F24,"YYYY-MM-DD")&amp;"/ "&amp;search_path&amp;"\RTDC"&amp;B24&amp;"\"&amp;TEXT(F24,"YYYY-MM-DD")&amp;" --recursive &amp; """&amp;walkandungz&amp;""" "&amp;search_path&amp;"\RTDC"&amp;B24&amp;"\"&amp;TEXT(F24,"YYYY-MM-DD")
&amp;" &amp; "&amp;"aws s3 cp "&amp;s3_bucket&amp;"/RTDC"&amp;B24&amp;"/"&amp;TEXT(F24+1,"YYYY-MM-DD")&amp;"/ "&amp;search_path&amp;"\RTDC"&amp;B24&amp;"\"&amp;TEXT(F24+1,"YYYY-MM-DD")&amp;" --recursive &amp; """&amp;walkandungz&amp;""" "&amp;search_path&amp;"\RTDC"&amp;B24&amp;"\"&amp;TEXT(F24+1,"YYYY-MM-DD")</f>
        <v>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 &amp; aws s3 cp s3://rtdc.mdm.uploadarchive/RTDC4037/2016-09-11/ "%USERPROFILE%\AppData\Local\Temp\OnboardLogs"\RTDC4037\2016-09-11 --recursive &amp; "%USERPROFILE%\Documents\GitHub\mrs-test-scripts\Headless Mode &amp; Sideloading\WalkAndUnGZ.bat" "%USERPROFILE%\AppData\Local\Temp\OnboardLogs"\RTDC4037\2016-09-11</v>
      </c>
      <c r="AF24" s="96" t="str">
        <f>astrogrep_path&amp;" /spath="&amp;search_path&amp;" /stypes=""*"&amp;B24&amp;"*"&amp;TEXT(I24-utc_offset/24,"YYYYMMDD")&amp;"*"" /stext="" "&amp;TEXT(I24-utc_offset/24,"HH")&amp;search_regexp&amp;""" /e /r /s"</f>
        <v>"C:\Program Files (x86)\AstroGrep\AstroGrep.exe" /spath="%USERPROFILE%\AppData\Local\Temp\OnboardLogs" /stypes="*4037*20160910*" /stext=" 12:.+((SYSTEM_STATE.+slice.+state.+changed )|(ment ac)|(system.+state.+changed )|(\|lc)|(penalty)|(\[timeout)|(PRM\|1\|D)|(kpr)|(kdp))" /e /r /s</v>
      </c>
      <c r="AG24" s="1" t="str">
        <f t="shared" si="13"/>
        <v>EC</v>
      </c>
      <c r="AH24" s="100" t="str">
        <f t="shared" si="17"/>
        <v>"%USERPROFILE%\Documents\GitHub\eaglep3\Utilities\RefineRTDCRunTimes.py" --tripid 112-10 --locoid 4037 --swversion DE.1.0.7.0 --startMP 204:232965 --initTime 2016-09-10T05:51:20 --startdatetime 2016-09-10T05:56:17 --delay 2 --endMP 204:139 --enddatetime 2016-09-10T06:39:08 --enforcementcount 0 &gt;&gt;C:\Users\stu\Documents\GitHub\eaglep3-reporting\EC\2016-09-10-refined-times.txt</v>
      </c>
      <c r="AI24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{"issue":{"subject":"","project_id":79,"tracker_id":40,"status_id":1,"priority_id":2,"assigned_to_id":23,"start_date":"2016-09-10","description":"","custom_fields":[{"id":1,"name":"Subdivision","value":"EC"},{"id":4,"name":"Milepost","value":"23.2826"},{"id":17,"name":"Train ID","value":"112-10"},{"id":16,"name":"Locomotive ID","value":"4037"},{"id":130,"name":"Impact","value":""},{"id":150,"name":"Time of Event (Mountain Time)","value":"06:39:08"},{"id":151,"name":"Denver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440</v>
      </c>
      <c r="B25" s="7">
        <v>4029</v>
      </c>
      <c r="C25" s="24" t="s">
        <v>108</v>
      </c>
      <c r="D25" s="24" t="s">
        <v>271</v>
      </c>
      <c r="E25" s="15">
        <v>42623.211944444447</v>
      </c>
      <c r="F25" s="15">
        <v>42623.2190162037</v>
      </c>
      <c r="G25" s="7">
        <v>1</v>
      </c>
      <c r="H25" s="15" t="s">
        <v>294</v>
      </c>
      <c r="I25" s="15">
        <v>42623.244652777779</v>
      </c>
      <c r="J25" s="7">
        <v>0</v>
      </c>
      <c r="K25" s="122" t="str">
        <f>IF(ISEVEN(B25),(B25-1)&amp;"/"&amp;B25,B25&amp;"/"&amp;(B25+1))</f>
        <v>4029/4030</v>
      </c>
      <c r="L25" s="24" t="str">
        <f>VLOOKUP(A25,'Trips&amp;Operators'!$C$1:$E$10000,3,FALSE)</f>
        <v>MAELZER</v>
      </c>
      <c r="M25" s="6">
        <f>I25-F25</f>
        <v>2.5636574078816921E-2</v>
      </c>
      <c r="N25" s="7">
        <f>24*60*SUM($M25:$M25)</f>
        <v>36.916666673496366</v>
      </c>
      <c r="O25" s="7"/>
      <c r="P25" s="7"/>
      <c r="Q25" s="25"/>
      <c r="R25" s="25"/>
      <c r="S25" s="37">
        <f>SUM(U25:U25)/IF(AG25="EC",12,1)</f>
        <v>1</v>
      </c>
      <c r="T25" s="52" t="str">
        <f t="shared" si="19"/>
        <v>NorthBound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hh:mm:ss")&amp;"-0600',mode:absolute,to:'"&amp;TEXT(I25+1/24,"yyyy-MM-DD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https://search-rtdc-monitor-bjffxe2xuh6vdkpspy63sjmuny.us-east-1.es.amazonaws.com/_plugin/kibana/#/discover/Steve-Slow-Train-Analysis-(2080s-and-2083s)?_g=(refreshInterval:(display:Off,section:0,value:0),time:(from:'2016-09-10 04:05:12-0600',mode:absolute,to:'2016-09-10 06:52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5" s="54" t="str">
        <f>IF(AA25&lt;IF(AG25="EC",23,5.65),"Y","N")</f>
        <v>N</v>
      </c>
      <c r="X25" s="172">
        <f t="shared" si="20"/>
        <v>1</v>
      </c>
      <c r="Y25" s="69">
        <f t="shared" si="21"/>
        <v>4.5499999999999999E-2</v>
      </c>
      <c r="Z25" s="69">
        <f>RIGHT(H25,LEN(H25)-4)/10000</f>
        <v>23.331700000000001</v>
      </c>
      <c r="AA25" s="69">
        <f>ABS(Z25-Y25)</f>
        <v>23.286200000000001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ref="AD25:AD56" si="22">IF(LEN(A25)=6,"0"&amp;A25,A25)</f>
        <v>0113-10</v>
      </c>
      <c r="AE25" s="99" t="str">
        <f>"aws s3 cp "&amp;s3_bucket&amp;"/RTDC"&amp;B25&amp;"/"&amp;TEXT(F25,"YYYY-MM-DD")&amp;"/ "&amp;search_path&amp;"\RTDC"&amp;B25&amp;"\"&amp;TEXT(F25,"YYYY-MM-DD")&amp;" --recursive &amp; """&amp;walkandungz&amp;""" "&amp;search_path&amp;"\RTDC"&amp;B25&amp;"\"&amp;TEXT(F25,"YYYY-MM-DD")
&amp;" &amp; "&amp;"aws s3 cp "&amp;s3_bucket&amp;"/RTDC"&amp;B25&amp;"/"&amp;TEXT(F25+1,"YYYY-MM-DD")&amp;"/ "&amp;search_path&amp;"\RTDC"&amp;B25&amp;"\"&amp;TEXT(F25+1,"YYYY-MM-DD")&amp;" --recursive &amp; """&amp;walkandungz&amp;""" "&amp;search_path&amp;"\RTDC"&amp;B25&amp;"\"&amp;TEXT(F25+1,"YYYY-MM-DD")</f>
        <v>aws s3 cp s3://rtdc.mdm.uploadarchive/RTDC4029/2016-09-10/ "%USERPROFILE%\AppData\Local\Temp\OnboardLogs"\RTDC4029\2016-09-10 --recursive &amp; "%USERPROFILE%\Documents\GitHub\mrs-test-scripts\Headless Mode &amp; Sideloading\WalkAndUnGZ.bat" "%USERPROFILE%\AppData\Local\Temp\OnboardLogs"\RTDC4029\2016-09-10 &amp; 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</v>
      </c>
      <c r="AF25" s="96" t="str">
        <f>astrogrep_path&amp;" /spath="&amp;search_path&amp;" /stypes=""*"&amp;B25&amp;"*"&amp;TEXT(I25-utc_offset/24,"YYYYMMDD")&amp;"*"" /stext="" "&amp;TEXT(I25-utc_offset/24,"HH")&amp;search_regexp&amp;""" /e /r /s"</f>
        <v>"C:\Program Files (x86)\AstroGrep\AstroGrep.exe" /spath="%USERPROFILE%\AppData\Local\Temp\OnboardLogs" /stypes="*4029*20160910*" /stext=" 11:.+((SYSTEM_STATE.+slice.+state.+changed )|(ment ac)|(system.+state.+changed )|(\|lc)|(penalty)|(\[timeout)|(PRM\|1\|D)|(kpr)|(kdp))" /e /r /s</v>
      </c>
      <c r="AG25" s="1" t="str">
        <f t="shared" si="13"/>
        <v>EC</v>
      </c>
      <c r="AH25" s="100" t="str">
        <f t="shared" si="17"/>
        <v>"%USERPROFILE%\Documents\GitHub\eaglep3\Utilities\RefineRTDCRunTimes.py" --tripid 113-10 --locoid 4029 --swversion DE.1.0.7.0 --startMP 204:455 --initTime 2016-09-10T05:05:12 --startdatetime 2016-09-10T05:15:23 --delay 1 --endMP 204:233317 --enddatetime 2016-09-10T05:52:18 --enforcementcount 0 &gt;&gt;C:\Users\stu\Documents\GitHub\eaglep3-reporting\EC\2016-09-10-refined-times.txt</v>
      </c>
      <c r="AI25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{"issue":{"subject":"","project_id":79,"tracker_id":40,"status_id":1,"priority_id":2,"assigned_to_id":23,"start_date":"2016-09-10","description":"","custom_fields":[{"id":1,"name":"Subdivision","value":"EC"},{"id":4,"name":"Milepost","value":"23.2862"},{"id":17,"name":"Train ID","value":"113-10"},{"id":16,"name":"Locomotive ID","value":"4029"},{"id":130,"name":"Impact","value":""},{"id":150,"name":"Time of Event (Mountain Time)","value":"05:52:18"},{"id":151,"name":"Denver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717</v>
      </c>
      <c r="B26" s="7"/>
      <c r="C26" s="24"/>
      <c r="D26" s="24"/>
      <c r="E26" s="15"/>
      <c r="F26" s="15"/>
      <c r="G26" s="7"/>
      <c r="H26" s="15"/>
      <c r="I26" s="15"/>
      <c r="J26" s="7"/>
      <c r="K26" s="122"/>
      <c r="L26" s="24"/>
      <c r="M26" s="6"/>
      <c r="N26" s="7"/>
      <c r="O26" s="7"/>
      <c r="P26" s="7">
        <v>1</v>
      </c>
      <c r="Q26" s="25"/>
      <c r="R26" s="25" t="s">
        <v>332</v>
      </c>
      <c r="S26" s="37">
        <f t="shared" ref="S26" si="23">SUM(U26:U26)/IF(AG26="EC",12,1)</f>
        <v>0</v>
      </c>
      <c r="T26" s="52" t="str">
        <f t="shared" si="19"/>
        <v>Southbound</v>
      </c>
      <c r="U26" s="167"/>
      <c r="V26" s="106"/>
      <c r="W26" s="54"/>
      <c r="X26" s="172">
        <f t="shared" si="20"/>
        <v>1</v>
      </c>
      <c r="Y26" s="69" t="e">
        <f t="shared" si="21"/>
        <v>#VALUE!</v>
      </c>
      <c r="Z26" s="69"/>
      <c r="AA26" s="69"/>
      <c r="AB26" s="66"/>
      <c r="AC26" s="62"/>
      <c r="AD26" s="63" t="str">
        <f t="shared" si="22"/>
        <v>0114-10</v>
      </c>
      <c r="AE26" s="99"/>
      <c r="AF26" s="96"/>
      <c r="AG26" s="1" t="str">
        <f t="shared" si="13"/>
        <v>EC</v>
      </c>
      <c r="AH26" s="100"/>
      <c r="AI26" s="137"/>
      <c r="AJ26" s="55"/>
      <c r="AK26" s="55"/>
      <c r="AL26" s="55"/>
    </row>
    <row r="27" spans="1:38" s="1" customFormat="1" x14ac:dyDescent="0.25">
      <c r="A27" s="39" t="s">
        <v>441</v>
      </c>
      <c r="B27" s="7">
        <v>4011</v>
      </c>
      <c r="C27" s="24" t="s">
        <v>108</v>
      </c>
      <c r="D27" s="24" t="s">
        <v>371</v>
      </c>
      <c r="E27" s="15">
        <v>42623.229513888888</v>
      </c>
      <c r="F27" s="15">
        <v>42623.232627314814</v>
      </c>
      <c r="G27" s="7">
        <v>3</v>
      </c>
      <c r="H27" s="15" t="s">
        <v>253</v>
      </c>
      <c r="I27" s="15">
        <v>42623.257777777777</v>
      </c>
      <c r="J27" s="7">
        <v>0</v>
      </c>
      <c r="K27" s="122" t="str">
        <f t="shared" ref="K27:K58" si="24">IF(ISEVEN(B27),(B27-1)&amp;"/"&amp;B27,B27&amp;"/"&amp;(B27+1))</f>
        <v>4011/4012</v>
      </c>
      <c r="L27" s="24" t="str">
        <f>VLOOKUP(A27,'Trips&amp;Operators'!$C$1:$E$10000,3,FALSE)</f>
        <v>DE LA ROSA</v>
      </c>
      <c r="M27" s="6">
        <f t="shared" ref="M27:M58" si="25">I27-F27</f>
        <v>2.5150462963210884E-2</v>
      </c>
      <c r="N27" s="7">
        <f t="shared" ref="N27:N58" si="26">24*60*SUM($M27:$M27)</f>
        <v>36.216666667023674</v>
      </c>
      <c r="O27" s="7"/>
      <c r="P27" s="7"/>
      <c r="Q27" s="25"/>
      <c r="R27" s="25"/>
      <c r="S27" s="37">
        <f t="shared" ref="S27:S58" si="27">SUM(U27:U27)/IF(AG27="EC",12,1)</f>
        <v>1</v>
      </c>
      <c r="T27" s="52" t="str">
        <f t="shared" si="19"/>
        <v>NorthBound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ref="V27:V58" si="28">"https://search-rtdc-monitor-bjffxe2xuh6vdkpspy63sjmuny.us-east-1.es.amazonaws.com/_plugin/kibana/#/discover/Steve-Slow-Train-Analysis-(2080s-and-2083s)?_g=(refreshInterval:(display:Off,section:0,value:0),time:(from:'"&amp;TEXT(E27-1/24,"yyyy-MM-DD hh:mm:ss")&amp;"-0600',mode:absolute,to:'"&amp;TEXT(I27+1/24,"yyyy-MM-DD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https://search-rtdc-monitor-bjffxe2xuh6vdkpspy63sjmuny.us-east-1.es.amazonaws.com/_plugin/kibana/#/discover/Steve-Slow-Train-Analysis-(2080s-and-2083s)?_g=(refreshInterval:(display:Off,section:0,value:0),time:(from:'2016-09-10 04:30:30-0600',mode:absolute,to:'2016-09-10 07:11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7" s="54" t="str">
        <f t="shared" ref="W27:W58" si="29">IF(AA27&lt;IF(AG27="EC",23,5.65),"Y","N")</f>
        <v>N</v>
      </c>
      <c r="X27" s="172">
        <f t="shared" si="20"/>
        <v>1</v>
      </c>
      <c r="Y27" s="69">
        <f t="shared" si="21"/>
        <v>7.5700000000000003E-2</v>
      </c>
      <c r="Z27" s="69">
        <f t="shared" ref="Z27:Z58" si="30">RIGHT(H27,LEN(H27)-4)/10000</f>
        <v>23.3278</v>
      </c>
      <c r="AA27" s="69">
        <f t="shared" ref="AA27:AA58" si="31">ABS(Z27-Y27)</f>
        <v>23.252099999999999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22"/>
        <v>0115-10</v>
      </c>
      <c r="AE27" s="99" t="str">
        <f t="shared" ref="AE27:AE58" si="32">"aws s3 cp "&amp;s3_bucket&amp;"/RTDC"&amp;B27&amp;"/"&amp;TEXT(F27,"YYYY-MM-DD")&amp;"/ "&amp;search_path&amp;"\RTDC"&amp;B27&amp;"\"&amp;TEXT(F27,"YYYY-MM-DD")&amp;" --recursive &amp; """&amp;walkandungz&amp;""" "&amp;search_path&amp;"\RTDC"&amp;B27&amp;"\"&amp;TEXT(F27,"YYYY-MM-DD")
&amp;" &amp; "&amp;"aws s3 cp "&amp;s3_bucket&amp;"/RTDC"&amp;B27&amp;"/"&amp;TEXT(F27+1,"YYYY-MM-DD")&amp;"/ "&amp;search_path&amp;"\RTDC"&amp;B27&amp;"\"&amp;TEXT(F27+1,"YYYY-MM-DD")&amp;" --recursive &amp; """&amp;walkandungz&amp;""" "&amp;search_path&amp;"\RTDC"&amp;B27&amp;"\"&amp;TEXT(F27+1,"YYYY-MM-DD")</f>
        <v>aws s3 cp s3://rtdc.mdm.uploadarchive/RTDC4011/2016-09-10/ "%USERPROFILE%\AppData\Local\Temp\OnboardLogs"\RTDC4011\2016-09-10 --recursive &amp; "%USERPROFILE%\Documents\GitHub\mrs-test-scripts\Headless Mode &amp; Sideloading\WalkAndUnGZ.bat" "%USERPROFILE%\AppData\Local\Temp\OnboardLogs"\RTDC4011\2016-09-10 &amp; aws s3 cp s3://rtdc.mdm.uploadarchive/RTDC4011/2016-09-11/ "%USERPROFILE%\AppData\Local\Temp\OnboardLogs"\RTDC4011\2016-09-11 --recursive &amp; "%USERPROFILE%\Documents\GitHub\mrs-test-scripts\Headless Mode &amp; Sideloading\WalkAndUnGZ.bat" "%USERPROFILE%\AppData\Local\Temp\OnboardLogs"\RTDC4011\2016-09-11</v>
      </c>
      <c r="AF27" s="96" t="str">
        <f t="shared" ref="AF27:AF58" si="33">astrogrep_path&amp;" /spath="&amp;search_path&amp;" /stypes=""*"&amp;B27&amp;"*"&amp;TEXT(I27-utc_offset/24,"YYYYMMDD")&amp;"*"" /stext="" "&amp;TEXT(I27-utc_offset/24,"HH")&amp;search_regexp&amp;""" /e /r /s"</f>
        <v>"C:\Program Files (x86)\AstroGrep\AstroGrep.exe" /spath="%USERPROFILE%\AppData\Local\Temp\OnboardLogs" /stypes="*4011*20160910*" /stext=" 12:.+((SYSTEM_STATE.+slice.+state.+changed )|(ment ac)|(system.+state.+changed )|(\|lc)|(penalty)|(\[timeout)|(PRM\|1\|D)|(kpr)|(kdp))" /e /r /s</v>
      </c>
      <c r="AG27" s="1" t="str">
        <f t="shared" si="13"/>
        <v>EC</v>
      </c>
      <c r="AH27" s="100" t="str">
        <f t="shared" si="17"/>
        <v>"%USERPROFILE%\Documents\GitHub\eaglep3\Utilities\RefineRTDCRunTimes.py" --tripid 115-10 --locoid 4011 --swversion DE.1.0.7.0 --startMP 204:757 --initTime 2016-09-10T05:30:30 --startdatetime 2016-09-10T05:34:59 --delay 3 --endMP 204:233278 --enddatetime 2016-09-10T06:11:12 --enforcementcount 0 &gt;&gt;C:\Users\stu\Documents\GitHub\eaglep3-reporting\EC\2016-09-10-refined-times.txt</v>
      </c>
      <c r="AI27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{"issue":{"subject":"","project_id":79,"tracker_id":40,"status_id":1,"priority_id":2,"assigned_to_id":23,"start_date":"2016-09-10","description":"","custom_fields":[{"id":1,"name":"Subdivision","value":"EC"},{"id":4,"name":"Milepost","value":"23.2521"},{"id":17,"name":"Train ID","value":"115-10"},{"id":16,"name":"Locomotive ID","value":"4011"},{"id":130,"name":"Impact","value":""},{"id":150,"name":"Time of Event (Mountain Time)","value":"06:11:12"},{"id":151,"name":"Denver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442</v>
      </c>
      <c r="B28" s="7">
        <v>4012</v>
      </c>
      <c r="C28" s="24" t="s">
        <v>108</v>
      </c>
      <c r="D28" s="24" t="s">
        <v>302</v>
      </c>
      <c r="E28" s="15">
        <v>42623.262071759258</v>
      </c>
      <c r="F28" s="15">
        <v>42623.268229166664</v>
      </c>
      <c r="G28" s="7">
        <v>2</v>
      </c>
      <c r="H28" s="15" t="s">
        <v>250</v>
      </c>
      <c r="I28" s="15">
        <v>42623.297314814816</v>
      </c>
      <c r="J28" s="7">
        <v>0</v>
      </c>
      <c r="K28" s="122" t="str">
        <f t="shared" si="24"/>
        <v>4011/4012</v>
      </c>
      <c r="L28" s="24" t="str">
        <f>VLOOKUP(A28,'Trips&amp;Operators'!$C$1:$E$10000,3,FALSE)</f>
        <v>DE LA ROSA</v>
      </c>
      <c r="M28" s="6">
        <f t="shared" si="25"/>
        <v>2.9085648151522037E-2</v>
      </c>
      <c r="N28" s="7">
        <f t="shared" si="26"/>
        <v>41.883333338191733</v>
      </c>
      <c r="O28" s="7"/>
      <c r="P28" s="7"/>
      <c r="Q28" s="25"/>
      <c r="R28" s="25"/>
      <c r="S28" s="37">
        <f t="shared" si="27"/>
        <v>1</v>
      </c>
      <c r="T28" s="52" t="str">
        <f t="shared" si="19"/>
        <v>Southbound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05:17:23-0600',mode:absolute,to:'2016-09-10 08:08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28" s="54" t="str">
        <f t="shared" si="29"/>
        <v>N</v>
      </c>
      <c r="X28" s="172">
        <f t="shared" si="20"/>
        <v>1</v>
      </c>
      <c r="Y28" s="69">
        <f t="shared" si="21"/>
        <v>23.296900000000001</v>
      </c>
      <c r="Z28" s="69">
        <f t="shared" si="30"/>
        <v>1.4999999999999999E-2</v>
      </c>
      <c r="AA28" s="69">
        <f t="shared" si="31"/>
        <v>23.2819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22"/>
        <v>0116-10</v>
      </c>
      <c r="AE28" s="99" t="str">
        <f t="shared" si="32"/>
        <v>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 &amp; aws s3 cp s3://rtdc.mdm.uploadarchive/RTDC4012/2016-09-11/ "%USERPROFILE%\AppData\Local\Temp\OnboardLogs"\RTDC4012\2016-09-11 --recursive &amp; "%USERPROFILE%\Documents\GitHub\mrs-test-scripts\Headless Mode &amp; Sideloading\WalkAndUnGZ.bat" "%USERPROFILE%\AppData\Local\Temp\OnboardLogs"\RTDC4012\2016-09-11</v>
      </c>
      <c r="AF28" s="96" t="str">
        <f t="shared" si="33"/>
        <v>"C:\Program Files (x86)\AstroGrep\AstroGrep.exe" /spath="%USERPROFILE%\AppData\Local\Temp\OnboardLogs" /stypes="*4012*20160910*" /stext=" 13:.+((SYSTEM_STATE.+slice.+state.+changed )|(ment ac)|(system.+state.+changed )|(\|lc)|(penalty)|(\[timeout)|(PRM\|1\|D)|(kpr)|(kdp))" /e /r /s</v>
      </c>
      <c r="AG28" s="1" t="str">
        <f t="shared" si="13"/>
        <v>EC</v>
      </c>
      <c r="AH28" s="100" t="str">
        <f t="shared" si="17"/>
        <v>"%USERPROFILE%\Documents\GitHub\eaglep3\Utilities\RefineRTDCRunTimes.py" --tripid 116-10 --locoid 4012 --swversion DE.1.0.7.0 --startMP 204:232969 --initTime 2016-09-10T06:17:23 --startdatetime 2016-09-10T06:26:15 --delay 2 --endMP 204:150 --enddatetime 2016-09-10T07:08:08 --enforcementcount 0 &gt;&gt;C:\Users\stu\Documents\GitHub\eaglep3-reporting\EC\2016-09-10-refined-times.txt</v>
      </c>
      <c r="AI28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{"issue":{"subject":"","project_id":79,"tracker_id":40,"status_id":1,"priority_id":2,"assigned_to_id":23,"start_date":"2016-09-10","description":"","custom_fields":[{"id":1,"name":"Subdivision","value":"EC"},{"id":4,"name":"Milepost","value":"23.2819"},{"id":17,"name":"Train ID","value":"116-10"},{"id":16,"name":"Locomotive ID","value":"4012"},{"id":130,"name":"Impact","value":""},{"id":150,"name":"Time of Event (Mountain Time)","value":"07:08:08"},{"id":151,"name":"Denver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443</v>
      </c>
      <c r="B29" s="7">
        <v>4002</v>
      </c>
      <c r="C29" s="24" t="s">
        <v>108</v>
      </c>
      <c r="D29" s="24" t="s">
        <v>305</v>
      </c>
      <c r="E29" s="15">
        <v>42623.237835648149</v>
      </c>
      <c r="F29" s="15">
        <v>42623.239884259259</v>
      </c>
      <c r="G29" s="7">
        <v>2</v>
      </c>
      <c r="H29" s="15" t="s">
        <v>248</v>
      </c>
      <c r="I29" s="15">
        <v>42623.271631944444</v>
      </c>
      <c r="J29" s="7">
        <v>0</v>
      </c>
      <c r="K29" s="122" t="str">
        <f t="shared" si="24"/>
        <v>4001/4002</v>
      </c>
      <c r="L29" s="24" t="str">
        <f>VLOOKUP(A29,'Trips&amp;Operators'!$C$1:$E$10000,3,FALSE)</f>
        <v>MALAVE</v>
      </c>
      <c r="M29" s="6">
        <f t="shared" si="25"/>
        <v>3.1747685185109731E-2</v>
      </c>
      <c r="N29" s="7">
        <f t="shared" si="26"/>
        <v>45.716666666558012</v>
      </c>
      <c r="O29" s="7"/>
      <c r="P29" s="7"/>
      <c r="Q29" s="25"/>
      <c r="R29" s="25"/>
      <c r="S29" s="37">
        <f t="shared" si="27"/>
        <v>1</v>
      </c>
      <c r="T29" s="52" t="str">
        <f t="shared" si="19"/>
        <v>NorthBound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04:42:29-0600',mode:absolute,to:'2016-09-10 07:31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9" s="54" t="str">
        <f t="shared" si="29"/>
        <v>N</v>
      </c>
      <c r="X29" s="172">
        <f t="shared" si="20"/>
        <v>1</v>
      </c>
      <c r="Y29" s="69">
        <f t="shared" si="21"/>
        <v>4.6699999999999998E-2</v>
      </c>
      <c r="Z29" s="69">
        <f t="shared" si="30"/>
        <v>23.330200000000001</v>
      </c>
      <c r="AA29" s="69">
        <f t="shared" si="31"/>
        <v>23.2835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22"/>
        <v>0117-10</v>
      </c>
      <c r="AE29" s="99" t="str">
        <f t="shared" si="32"/>
        <v>aws s3 cp s3://rtdc.mdm.uploadarchive/RTDC4002/2016-09-10/ "%USERPROFILE%\AppData\Local\Temp\OnboardLogs"\RTDC4002\2016-09-10 --recursive &amp; "%USERPROFILE%\Documents\GitHub\mrs-test-scripts\Headless Mode &amp; Sideloading\WalkAndUnGZ.bat" "%USERPROFILE%\AppData\Local\Temp\OnboardLogs"\RTDC4002\2016-09-10 &amp; 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</v>
      </c>
      <c r="AF29" s="96" t="str">
        <f t="shared" si="33"/>
        <v>"C:\Program Files (x86)\AstroGrep\AstroGrep.exe" /spath="%USERPROFILE%\AppData\Local\Temp\OnboardLogs" /stypes="*4002*20160910*" /stext=" 12:.+((SYSTEM_STATE.+slice.+state.+changed )|(ment ac)|(system.+state.+changed )|(\|lc)|(penalty)|(\[timeout)|(PRM\|1\|D)|(kpr)|(kdp))" /e /r /s</v>
      </c>
      <c r="AG29" s="1" t="str">
        <f t="shared" ref="AG29:AG60" si="34">IFERROR(IF(VALUE(LEFT(AD29,2))&lt;=2,"EC",IF(OR(VALUE(LEFT(AD29,2))=8,VALUE(LEFT(AD29,2))=18),"NW","Other")),"Other")</f>
        <v>EC</v>
      </c>
      <c r="AH29" s="100" t="str">
        <f t="shared" si="17"/>
        <v>"%USERPROFILE%\Documents\GitHub\eaglep3\Utilities\RefineRTDCRunTimes.py" --tripid 117-10 --locoid 4002 --swversion DE.1.0.7.0 --startMP 204:467 --initTime 2016-09-10T05:42:29 --startdatetime 2016-09-10T05:45:26 --delay 2 --endMP 204:233302 --enddatetime 2016-09-10T06:31:09 --enforcementcount 0 &gt;&gt;C:\Users\stu\Documents\GitHub\eaglep3-reporting\EC\2016-09-10-refined-times.txt</v>
      </c>
      <c r="AI29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{"issue":{"subject":"","project_id":79,"tracker_id":40,"status_id":1,"priority_id":2,"assigned_to_id":23,"start_date":"2016-09-10","description":"","custom_fields":[{"id":1,"name":"Subdivision","value":"EC"},{"id":4,"name":"Milepost","value":"23.2835"},{"id":17,"name":"Train ID","value":"117-10"},{"id":16,"name":"Locomotive ID","value":"4002"},{"id":130,"name":"Impact","value":""},{"id":150,"name":"Time of Event (Mountain Time)","value":"06:31:09"},{"id":151,"name":"Denver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444</v>
      </c>
      <c r="B30" s="7">
        <v>4001</v>
      </c>
      <c r="C30" s="24" t="s">
        <v>108</v>
      </c>
      <c r="D30" s="24" t="s">
        <v>289</v>
      </c>
      <c r="E30" s="15">
        <v>42623.278194444443</v>
      </c>
      <c r="F30" s="15">
        <v>42623.279317129629</v>
      </c>
      <c r="G30" s="7">
        <v>1</v>
      </c>
      <c r="H30" s="15" t="s">
        <v>445</v>
      </c>
      <c r="I30" s="15">
        <v>42623.304988425924</v>
      </c>
      <c r="J30" s="7">
        <v>0</v>
      </c>
      <c r="K30" s="122" t="str">
        <f t="shared" si="24"/>
        <v>4001/4002</v>
      </c>
      <c r="L30" s="24" t="str">
        <f>VLOOKUP(A30,'Trips&amp;Operators'!$C$1:$E$10000,3,FALSE)</f>
        <v>MALAVE</v>
      </c>
      <c r="M30" s="6">
        <f t="shared" si="25"/>
        <v>2.5671296294603962E-2</v>
      </c>
      <c r="N30" s="7">
        <f t="shared" si="26"/>
        <v>36.966666664229706</v>
      </c>
      <c r="O30" s="7"/>
      <c r="P30" s="7"/>
      <c r="Q30" s="25"/>
      <c r="R30" s="25"/>
      <c r="S30" s="37">
        <f t="shared" si="27"/>
        <v>1</v>
      </c>
      <c r="T30" s="52" t="str">
        <f t="shared" si="19"/>
        <v>Southbound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05:40:36-0600',mode:absolute,to:'2016-09-10 08:19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30" s="54" t="str">
        <f t="shared" si="29"/>
        <v>N</v>
      </c>
      <c r="X30" s="172">
        <f t="shared" si="20"/>
        <v>1</v>
      </c>
      <c r="Y30" s="69">
        <f t="shared" si="21"/>
        <v>23.2987</v>
      </c>
      <c r="Z30" s="69">
        <f t="shared" si="30"/>
        <v>3.4000000000000002E-2</v>
      </c>
      <c r="AA30" s="69">
        <f t="shared" si="31"/>
        <v>23.264700000000001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22"/>
        <v>0118-10</v>
      </c>
      <c r="AE30" s="99" t="str">
        <f t="shared" si="32"/>
        <v>aws s3 cp s3://rtdc.mdm.uploadarchive/RTDC4001/2016-09-10/ "%USERPROFILE%\AppData\Local\Temp\OnboardLogs"\RTDC4001\2016-09-10 --recursive &amp; "%USERPROFILE%\Documents\GitHub\mrs-test-scripts\Headless Mode &amp; Sideloading\WalkAndUnGZ.bat" "%USERPROFILE%\AppData\Local\Temp\OnboardLogs"\RTDC4001\2016-09-10 &amp; 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</v>
      </c>
      <c r="AF30" s="96" t="str">
        <f t="shared" si="33"/>
        <v>"C:\Program Files (x86)\AstroGrep\AstroGrep.exe" /spath="%USERPROFILE%\AppData\Local\Temp\OnboardLogs" /stypes="*4001*20160910*" /stext=" 13:.+((SYSTEM_STATE.+slice.+state.+changed )|(ment ac)|(system.+state.+changed )|(\|lc)|(penalty)|(\[timeout)|(PRM\|1\|D)|(kpr)|(kdp))" /e /r /s</v>
      </c>
      <c r="AG30" s="1" t="str">
        <f t="shared" si="34"/>
        <v>EC</v>
      </c>
      <c r="AH30" s="100" t="str">
        <f t="shared" si="17"/>
        <v>"%USERPROFILE%\Documents\GitHub\eaglep3\Utilities\RefineRTDCRunTimes.py" --tripid 118-10 --locoid 4001 --swversion DE.1.0.7.0 --startMP 204:232987 --initTime 2016-09-10T06:40:36 --startdatetime 2016-09-10T06:42:13 --delay 1 --endMP 204:340 --enddatetime 2016-09-10T07:19:11 --enforcementcount 0 &gt;&gt;C:\Users\stu\Documents\GitHub\eaglep3-reporting\EC\2016-09-10-refined-times.txt</v>
      </c>
      <c r="AI30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{"issue":{"subject":"","project_id":79,"tracker_id":40,"status_id":1,"priority_id":2,"assigned_to_id":23,"start_date":"2016-09-10","description":"","custom_fields":[{"id":1,"name":"Subdivision","value":"EC"},{"id":4,"name":"Milepost","value":"23.2647"},{"id":17,"name":"Train ID","value":"118-10"},{"id":16,"name":"Locomotive ID","value":"4001"},{"id":130,"name":"Impact","value":""},{"id":150,"name":"Time of Event (Mountain Time)","value":"07:19:11"},{"id":151,"name":"Denver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396</v>
      </c>
      <c r="B31" s="7">
        <v>4046</v>
      </c>
      <c r="C31" s="24" t="s">
        <v>108</v>
      </c>
      <c r="D31" s="24" t="s">
        <v>446</v>
      </c>
      <c r="E31" s="15">
        <v>42623.25099537037</v>
      </c>
      <c r="F31" s="15">
        <v>42623.25340277778</v>
      </c>
      <c r="G31" s="7">
        <v>2</v>
      </c>
      <c r="H31" s="15" t="s">
        <v>244</v>
      </c>
      <c r="I31" s="15">
        <v>42623.277800925927</v>
      </c>
      <c r="J31" s="7">
        <v>0</v>
      </c>
      <c r="K31" s="122" t="str">
        <f t="shared" si="24"/>
        <v>4045/4046</v>
      </c>
      <c r="L31" s="24" t="str">
        <f>VLOOKUP(A31,'Trips&amp;Operators'!$C$1:$E$10000,3,FALSE)</f>
        <v>ACKERMAN</v>
      </c>
      <c r="M31" s="6">
        <f t="shared" si="25"/>
        <v>2.4398148147156462E-2</v>
      </c>
      <c r="N31" s="7">
        <f t="shared" si="26"/>
        <v>35.133333331905305</v>
      </c>
      <c r="O31" s="7"/>
      <c r="P31" s="7"/>
      <c r="Q31" s="25"/>
      <c r="R31" s="25"/>
      <c r="S31" s="37">
        <f t="shared" si="27"/>
        <v>1</v>
      </c>
      <c r="T31" s="52" t="str">
        <f t="shared" si="19"/>
        <v>NorthBound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05:01:26-0600',mode:absolute,to:'2016-09-10 07:40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31" s="54" t="str">
        <f t="shared" si="29"/>
        <v>N</v>
      </c>
      <c r="X31" s="172">
        <f t="shared" si="20"/>
        <v>1</v>
      </c>
      <c r="Y31" s="69">
        <f t="shared" si="21"/>
        <v>7.2400000000000006E-2</v>
      </c>
      <c r="Z31" s="69">
        <f t="shared" si="30"/>
        <v>23.330500000000001</v>
      </c>
      <c r="AA31" s="69">
        <f t="shared" si="31"/>
        <v>23.258100000000002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22"/>
        <v>0119-10</v>
      </c>
      <c r="AE31" s="99" t="str">
        <f t="shared" si="32"/>
        <v>aws s3 cp s3://rtdc.mdm.uploadarchive/RTDC4046/2016-09-10/ "%USERPROFILE%\AppData\Local\Temp\OnboardLogs"\RTDC4046\2016-09-10 --recursive &amp; "%USERPROFILE%\Documents\GitHub\mrs-test-scripts\Headless Mode &amp; Sideloading\WalkAndUnGZ.bat" "%USERPROFILE%\AppData\Local\Temp\OnboardLogs"\RTDC4046\2016-09-10 &amp; aws s3 cp s3://rtdc.mdm.uploadarchive/RTDC4046/2016-09-11/ "%USERPROFILE%\AppData\Local\Temp\OnboardLogs"\RTDC4046\2016-09-11 --recursive &amp; "%USERPROFILE%\Documents\GitHub\mrs-test-scripts\Headless Mode &amp; Sideloading\WalkAndUnGZ.bat" "%USERPROFILE%\AppData\Local\Temp\OnboardLogs"\RTDC4046\2016-09-11</v>
      </c>
      <c r="AF31" s="96" t="str">
        <f t="shared" si="33"/>
        <v>"C:\Program Files (x86)\AstroGrep\AstroGrep.exe" /spath="%USERPROFILE%\AppData\Local\Temp\OnboardLogs" /stypes="*4046*20160910*" /stext=" 12:.+((SYSTEM_STATE.+slice.+state.+changed )|(ment ac)|(system.+state.+changed )|(\|lc)|(penalty)|(\[timeout)|(PRM\|1\|D)|(kpr)|(kdp))" /e /r /s</v>
      </c>
      <c r="AG31" s="1" t="str">
        <f t="shared" si="34"/>
        <v>EC</v>
      </c>
      <c r="AH31" s="100" t="str">
        <f t="shared" si="17"/>
        <v>"%USERPROFILE%\Documents\GitHub\eaglep3\Utilities\RefineRTDCRunTimes.py" --tripid 119-10 --locoid 4046 --swversion DE.1.0.7.0 --startMP 204:724 --initTime 2016-09-10T06:01:26 --startdatetime 2016-09-10T06:04:54 --delay 2 --endMP 204:233305 --enddatetime 2016-09-10T06:40:02 --enforcementcount 0 &gt;&gt;C:\Users\stu\Documents\GitHub\eaglep3-reporting\EC\2016-09-10-refined-times.txt</v>
      </c>
      <c r="AI31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{"issue":{"subject":"","project_id":79,"tracker_id":40,"status_id":1,"priority_id":2,"assigned_to_id":23,"start_date":"2016-09-10","description":"","custom_fields":[{"id":1,"name":"Subdivision","value":"EC"},{"id":4,"name":"Milepost","value":"23.2581"},{"id":17,"name":"Train ID","value":"119-10"},{"id":16,"name":"Locomotive ID","value":"4046"},{"id":130,"name":"Impact","value":""},{"id":150,"name":"Time of Event (Mountain Time)","value":"06:40:02"},{"id":151,"name":"Denver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447</v>
      </c>
      <c r="B32" s="7">
        <v>4045</v>
      </c>
      <c r="C32" s="24" t="s">
        <v>108</v>
      </c>
      <c r="D32" s="24" t="s">
        <v>448</v>
      </c>
      <c r="E32" s="15">
        <v>42623.283495370371</v>
      </c>
      <c r="F32" s="15">
        <v>42623.2891087963</v>
      </c>
      <c r="G32" s="7">
        <v>2</v>
      </c>
      <c r="H32" s="15" t="s">
        <v>341</v>
      </c>
      <c r="I32" s="15">
        <v>42623.31559027778</v>
      </c>
      <c r="J32" s="7">
        <v>0</v>
      </c>
      <c r="K32" s="122" t="str">
        <f t="shared" si="24"/>
        <v>4045/4046</v>
      </c>
      <c r="L32" s="24" t="str">
        <f>VLOOKUP(A32,'Trips&amp;Operators'!$C$1:$E$10000,3,FALSE)</f>
        <v>ACKERMAN</v>
      </c>
      <c r="M32" s="6">
        <f t="shared" si="25"/>
        <v>2.6481481480004732E-2</v>
      </c>
      <c r="N32" s="7">
        <f t="shared" si="26"/>
        <v>38.133333331206813</v>
      </c>
      <c r="O32" s="7"/>
      <c r="P32" s="7"/>
      <c r="Q32" s="25"/>
      <c r="R32" s="25"/>
      <c r="S32" s="37">
        <f t="shared" si="27"/>
        <v>1</v>
      </c>
      <c r="T32" s="52" t="str">
        <f t="shared" si="19"/>
        <v>Southbound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05:48:14-0600',mode:absolute,to:'2016-09-10 08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32" s="54" t="str">
        <f t="shared" si="29"/>
        <v>N</v>
      </c>
      <c r="X32" s="172">
        <f t="shared" si="20"/>
        <v>1</v>
      </c>
      <c r="Y32" s="69">
        <f t="shared" si="21"/>
        <v>23.299199999999999</v>
      </c>
      <c r="Z32" s="69">
        <f t="shared" si="30"/>
        <v>1.38E-2</v>
      </c>
      <c r="AA32" s="69">
        <f t="shared" si="31"/>
        <v>23.285399999999999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22"/>
        <v>0120-10</v>
      </c>
      <c r="AE32" s="99" t="str">
        <f t="shared" si="32"/>
        <v>aws s3 cp s3://rtdc.mdm.uploadarchive/RTDC4045/2016-09-10/ "%USERPROFILE%\AppData\Local\Temp\OnboardLogs"\RTDC4045\2016-09-10 --recursive &amp; "%USERPROFILE%\Documents\GitHub\mrs-test-scripts\Headless Mode &amp; Sideloading\WalkAndUnGZ.bat" "%USERPROFILE%\AppData\Local\Temp\OnboardLogs"\RTDC4045\2016-09-10 &amp; aws s3 cp s3://rtdc.mdm.uploadarchive/RTDC4045/2016-09-11/ "%USERPROFILE%\AppData\Local\Temp\OnboardLogs"\RTDC4045\2016-09-11 --recursive &amp; "%USERPROFILE%\Documents\GitHub\mrs-test-scripts\Headless Mode &amp; Sideloading\WalkAndUnGZ.bat" "%USERPROFILE%\AppData\Local\Temp\OnboardLogs"\RTDC4045\2016-09-11</v>
      </c>
      <c r="AF32" s="96" t="str">
        <f t="shared" si="33"/>
        <v>"C:\Program Files (x86)\AstroGrep\AstroGrep.exe" /spath="%USERPROFILE%\AppData\Local\Temp\OnboardLogs" /stypes="*4045*20160910*" /stext=" 13:.+((SYSTEM_STATE.+slice.+state.+changed )|(ment ac)|(system.+state.+changed )|(\|lc)|(penalty)|(\[timeout)|(PRM\|1\|D)|(kpr)|(kdp))" /e /r /s</v>
      </c>
      <c r="AG32" s="1" t="str">
        <f t="shared" si="34"/>
        <v>EC</v>
      </c>
      <c r="AH32" s="100" t="str">
        <f t="shared" si="17"/>
        <v>"%USERPROFILE%\Documents\GitHub\eaglep3\Utilities\RefineRTDCRunTimes.py" --tripid 120-10 --locoid 4045 --swversion DE.1.0.7.0 --startMP 204:232992 --initTime 2016-09-10T06:48:14 --startdatetime 2016-09-10T06:56:19 --delay 2 --endMP 204:138 --enddatetime 2016-09-10T07:34:27 --enforcementcount 0 &gt;&gt;C:\Users\stu\Documents\GitHub\eaglep3-reporting\EC\2016-09-10-refined-times.txt</v>
      </c>
      <c r="AI32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{"issue":{"subject":"","project_id":79,"tracker_id":40,"status_id":1,"priority_id":2,"assigned_to_id":23,"start_date":"2016-09-10","description":"","custom_fields":[{"id":1,"name":"Subdivision","value":"EC"},{"id":4,"name":"Milepost","value":"23.2854"},{"id":17,"name":"Train ID","value":"120-10"},{"id":16,"name":"Locomotive ID","value":"4045"},{"id":130,"name":"Impact","value":""},{"id":150,"name":"Time of Event (Mountain Time)","value":"07:34:27"},{"id":151,"name":"Denver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449</v>
      </c>
      <c r="B33" s="7">
        <v>4014</v>
      </c>
      <c r="C33" s="24" t="s">
        <v>108</v>
      </c>
      <c r="D33" s="24" t="s">
        <v>450</v>
      </c>
      <c r="E33" s="15">
        <v>42623.256284722222</v>
      </c>
      <c r="F33" s="15">
        <v>42623.260694444441</v>
      </c>
      <c r="G33" s="7">
        <v>0</v>
      </c>
      <c r="H33" s="15" t="s">
        <v>303</v>
      </c>
      <c r="I33" s="15">
        <v>42623.285462962966</v>
      </c>
      <c r="J33" s="7">
        <v>0</v>
      </c>
      <c r="K33" s="122" t="str">
        <f t="shared" si="24"/>
        <v>4013/4014</v>
      </c>
      <c r="L33" s="24" t="str">
        <f>VLOOKUP(A33,'Trips&amp;Operators'!$C$1:$E$10000,3,FALSE)</f>
        <v>SANTIZO</v>
      </c>
      <c r="M33" s="6">
        <f t="shared" si="25"/>
        <v>2.4768518524069805E-2</v>
      </c>
      <c r="N33" s="7">
        <f t="shared" si="26"/>
        <v>35.666666674660519</v>
      </c>
      <c r="O33" s="7"/>
      <c r="P33" s="7"/>
      <c r="Q33" s="25"/>
      <c r="R33" s="25"/>
      <c r="S33" s="37">
        <f t="shared" si="27"/>
        <v>1</v>
      </c>
      <c r="T33" s="52" t="str">
        <f t="shared" si="19"/>
        <v>NorthBound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05:09:03-0600',mode:absolute,to:'2016-09-10 07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33" s="54" t="str">
        <f t="shared" si="29"/>
        <v>N</v>
      </c>
      <c r="X33" s="172">
        <f t="shared" ref="X33:X64" si="35">VALUE(LEFT(AD33,4))-VALUE(LEFT(AD32,4))</f>
        <v>1</v>
      </c>
      <c r="Y33" s="69">
        <f t="shared" ref="Y33:Y64" si="36">RIGHT(D33,LEN(D33)-4)/10000</f>
        <v>4.7800000000000002E-2</v>
      </c>
      <c r="Z33" s="69">
        <f t="shared" si="30"/>
        <v>23.332100000000001</v>
      </c>
      <c r="AA33" s="69">
        <f t="shared" si="31"/>
        <v>23.284300000000002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22"/>
        <v>0121-10</v>
      </c>
      <c r="AE33" s="99" t="str">
        <f t="shared" si="32"/>
        <v>aws s3 cp s3://rtdc.mdm.uploadarchive/RTDC4014/2016-09-10/ "%USERPROFILE%\AppData\Local\Temp\OnboardLogs"\RTDC4014\2016-09-10 --recursive &amp; "%USERPROFILE%\Documents\GitHub\mrs-test-scripts\Headless Mode &amp; Sideloading\WalkAndUnGZ.bat" "%USERPROFILE%\AppData\Local\Temp\OnboardLogs"\RTDC4014\2016-09-10 &amp; aws s3 cp s3://rtdc.mdm.uploadarchive/RTDC4014/2016-09-11/ "%USERPROFILE%\AppData\Local\Temp\OnboardLogs"\RTDC4014\2016-09-11 --recursive &amp; "%USERPROFILE%\Documents\GitHub\mrs-test-scripts\Headless Mode &amp; Sideloading\WalkAndUnGZ.bat" "%USERPROFILE%\AppData\Local\Temp\OnboardLogs"\RTDC4014\2016-09-11</v>
      </c>
      <c r="AF33" s="96" t="str">
        <f t="shared" si="33"/>
        <v>"C:\Program Files (x86)\AstroGrep\AstroGrep.exe" /spath="%USERPROFILE%\AppData\Local\Temp\OnboardLogs" /stypes="*4014*20160910*" /stext=" 12:.+((SYSTEM_STATE.+slice.+state.+changed )|(ment ac)|(system.+state.+changed )|(\|lc)|(penalty)|(\[timeout)|(PRM\|1\|D)|(kpr)|(kdp))" /e /r /s</v>
      </c>
      <c r="AG33" s="1" t="str">
        <f t="shared" si="34"/>
        <v>EC</v>
      </c>
      <c r="AH33" s="100" t="str">
        <f t="shared" si="17"/>
        <v>"%USERPROFILE%\Documents\GitHub\eaglep3\Utilities\RefineRTDCRunTimes.py" --tripid 121-10 --locoid 4014 --swversion DE.1.0.7.0 --startMP 204:478 --initTime 2016-09-10T06:09:03 --startdatetime 2016-09-10T06:15:24 --delay 0 --endMP 204:233321 --enddatetime 2016-09-10T06:51:04 --enforcementcount 0 &gt;&gt;C:\Users\stu\Documents\GitHub\eaglep3-reporting\EC\2016-09-10-refined-times.txt</v>
      </c>
      <c r="AI33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{"issue":{"subject":"","project_id":79,"tracker_id":40,"status_id":1,"priority_id":2,"assigned_to_id":23,"start_date":"2016-09-10","description":"","custom_fields":[{"id":1,"name":"Subdivision","value":"EC"},{"id":4,"name":"Milepost","value":"23.2843"},{"id":17,"name":"Train ID","value":"121-10"},{"id":16,"name":"Locomotive ID","value":"4014"},{"id":130,"name":"Impact","value":""},{"id":150,"name":"Time of Event (Mountain Time)","value":"06:51:04"},{"id":151,"name":"Denver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400</v>
      </c>
      <c r="B34" s="7">
        <v>4013</v>
      </c>
      <c r="C34" s="24" t="s">
        <v>108</v>
      </c>
      <c r="D34" s="24" t="s">
        <v>293</v>
      </c>
      <c r="E34" s="15">
        <v>42623.286782407406</v>
      </c>
      <c r="F34" s="15">
        <v>42623.29959490741</v>
      </c>
      <c r="G34" s="7">
        <v>1</v>
      </c>
      <c r="H34" s="15" t="s">
        <v>335</v>
      </c>
      <c r="I34" s="15">
        <v>42623.325289351851</v>
      </c>
      <c r="J34" s="7">
        <v>0</v>
      </c>
      <c r="K34" s="122" t="str">
        <f t="shared" si="24"/>
        <v>4013/4014</v>
      </c>
      <c r="L34" s="24" t="str">
        <f>VLOOKUP(A34,'Trips&amp;Operators'!$C$1:$E$10000,3,FALSE)</f>
        <v>SANTIZO</v>
      </c>
      <c r="M34" s="6">
        <f t="shared" si="25"/>
        <v>2.569444444088731E-2</v>
      </c>
      <c r="N34" s="7">
        <f t="shared" si="26"/>
        <v>36.999999994877726</v>
      </c>
      <c r="O34" s="7"/>
      <c r="P34" s="7"/>
      <c r="Q34" s="25"/>
      <c r="R34" s="25"/>
      <c r="S34" s="37">
        <f t="shared" si="27"/>
        <v>1</v>
      </c>
      <c r="T34" s="52" t="str">
        <f t="shared" si="19"/>
        <v>Southbound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05:52:58-0600',mode:absolute,to:'2016-09-10 08:48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34" s="54" t="str">
        <f t="shared" si="29"/>
        <v>N</v>
      </c>
      <c r="X34" s="172">
        <f t="shared" si="35"/>
        <v>1</v>
      </c>
      <c r="Y34" s="69">
        <f t="shared" si="36"/>
        <v>23.298100000000002</v>
      </c>
      <c r="Z34" s="69">
        <f t="shared" si="30"/>
        <v>1.6500000000000001E-2</v>
      </c>
      <c r="AA34" s="69">
        <f t="shared" si="31"/>
        <v>23.281600000000001</v>
      </c>
      <c r="AB34" s="66" t="str">
        <f>VLOOKUP(A34,Enforcements!$C$7:$K$21,8,0)</f>
        <v>Form based authority (4)</v>
      </c>
      <c r="AC34" s="62" t="str">
        <f>VLOOKUP(A34,Enforcements!$C$7:$E$21,3,0)</f>
        <v>TRACK WARRANT AUTHORITY</v>
      </c>
      <c r="AD34" s="63" t="str">
        <f t="shared" si="22"/>
        <v>0122-10</v>
      </c>
      <c r="AE34" s="99" t="str">
        <f t="shared" si="32"/>
        <v>aws s3 cp s3://rtdc.mdm.uploadarchive/RTDC4013/2016-09-10/ "%USERPROFILE%\AppData\Local\Temp\OnboardLogs"\RTDC4013\2016-09-10 --recursive &amp; "%USERPROFILE%\Documents\GitHub\mrs-test-scripts\Headless Mode &amp; Sideloading\WalkAndUnGZ.bat" "%USERPROFILE%\AppData\Local\Temp\OnboardLogs"\RTDC4013\2016-09-10 &amp; aws s3 cp s3://rtdc.mdm.uploadarchive/RTDC4013/2016-09-11/ "%USERPROFILE%\AppData\Local\Temp\OnboardLogs"\RTDC4013\2016-09-11 --recursive &amp; "%USERPROFILE%\Documents\GitHub\mrs-test-scripts\Headless Mode &amp; Sideloading\WalkAndUnGZ.bat" "%USERPROFILE%\AppData\Local\Temp\OnboardLogs"\RTDC4013\2016-09-11</v>
      </c>
      <c r="AF34" s="96" t="str">
        <f t="shared" si="33"/>
        <v>"C:\Program Files (x86)\AstroGrep\AstroGrep.exe" /spath="%USERPROFILE%\AppData\Local\Temp\OnboardLogs" /stypes="*4013*20160910*" /stext=" 13:.+((SYSTEM_STATE.+slice.+state.+changed )|(ment ac)|(system.+state.+changed )|(\|lc)|(penalty)|(\[timeout)|(PRM\|1\|D)|(kpr)|(kdp))" /e /r /s</v>
      </c>
      <c r="AG34" s="1" t="str">
        <f t="shared" si="34"/>
        <v>EC</v>
      </c>
      <c r="AH34" s="100" t="str">
        <f t="shared" si="17"/>
        <v>"%USERPROFILE%\Documents\GitHub\eaglep3\Utilities\RefineRTDCRunTimes.py" --tripid 122-10 --locoid 4013 --swversion DE.1.0.7.0 --startMP 204:232981 --initTime 2016-09-10T06:52:58 --startdatetime 2016-09-10T07:11:25 --delay 1 --endMP 204:165 --enddatetime 2016-09-10T07:48:25 --enforcementcount 0 &gt;&gt;C:\Users\stu\Documents\GitHub\eaglep3-reporting\EC\2016-09-10-refined-times.txt</v>
      </c>
      <c r="AI34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{"issue":{"subject":"","project_id":79,"tracker_id":40,"status_id":1,"priority_id":2,"assigned_to_id":23,"start_date":"2016-09-10","description":"","custom_fields":[{"id":1,"name":"Subdivision","value":"EC"},{"id":4,"name":"Milepost","value":"23.2816"},{"id":17,"name":"Train ID","value":"122-10"},{"id":16,"name":"Locomotive ID","value":"4013"},{"id":130,"name":"Impact","value":""},{"id":150,"name":"Time of Event (Mountain Time)","value":"07:48:25"},{"id":151,"name":"Denver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397</v>
      </c>
      <c r="B35" s="7">
        <v>4040</v>
      </c>
      <c r="C35" s="24" t="s">
        <v>108</v>
      </c>
      <c r="D35" s="24" t="s">
        <v>451</v>
      </c>
      <c r="E35" s="15">
        <v>42623.272314814814</v>
      </c>
      <c r="F35" s="15">
        <v>42623.274907407409</v>
      </c>
      <c r="G35" s="7">
        <v>2</v>
      </c>
      <c r="H35" s="15" t="s">
        <v>452</v>
      </c>
      <c r="I35" s="15">
        <v>42623.303136574075</v>
      </c>
      <c r="J35" s="7">
        <v>0</v>
      </c>
      <c r="K35" s="122" t="str">
        <f t="shared" si="24"/>
        <v>4039/4040</v>
      </c>
      <c r="L35" s="24" t="str">
        <f>VLOOKUP(A35,'Trips&amp;Operators'!$C$1:$E$10000,3,FALSE)</f>
        <v>KILLION</v>
      </c>
      <c r="M35" s="6">
        <f t="shared" si="25"/>
        <v>2.8229166666278616E-2</v>
      </c>
      <c r="N35" s="7">
        <f t="shared" si="26"/>
        <v>40.649999999441206</v>
      </c>
      <c r="O35" s="7"/>
      <c r="P35" s="7"/>
      <c r="Q35" s="25"/>
      <c r="R35" s="25"/>
      <c r="S35" s="37">
        <f t="shared" si="27"/>
        <v>1</v>
      </c>
      <c r="T35" s="52" t="str">
        <f t="shared" si="19"/>
        <v>NorthBound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05:32:08-0600',mode:absolute,to:'2016-09-10 08:16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35" s="54" t="str">
        <f t="shared" si="29"/>
        <v>N</v>
      </c>
      <c r="X35" s="172">
        <f t="shared" si="35"/>
        <v>1</v>
      </c>
      <c r="Y35" s="69">
        <f t="shared" si="36"/>
        <v>4.6899999999999997E-2</v>
      </c>
      <c r="Z35" s="69">
        <f t="shared" si="30"/>
        <v>23.332599999999999</v>
      </c>
      <c r="AA35" s="69">
        <f t="shared" si="31"/>
        <v>23.285699999999999</v>
      </c>
      <c r="AB35" s="66" t="str">
        <f>VLOOKUP(A35,Enforcements!$C$7:$K$21,8,0)</f>
        <v>Signal based authority (5)</v>
      </c>
      <c r="AC35" s="62" t="str">
        <f>VLOOKUP(A35,Enforcements!$C$7:$E$21,3,0)</f>
        <v>SIGNAL</v>
      </c>
      <c r="AD35" s="63" t="str">
        <f t="shared" si="22"/>
        <v>0123-10</v>
      </c>
      <c r="AE35" s="99" t="str">
        <f t="shared" si="32"/>
        <v>aws s3 cp s3://rtdc.mdm.uploadarchive/RTDC4040/2016-09-10/ "%USERPROFILE%\AppData\Local\Temp\OnboardLogs"\RTDC4040\2016-09-10 --recursive &amp; "%USERPROFILE%\Documents\GitHub\mrs-test-scripts\Headless Mode &amp; Sideloading\WalkAndUnGZ.bat" "%USERPROFILE%\AppData\Local\Temp\OnboardLogs"\RTDC4040\2016-09-10 &amp; 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</v>
      </c>
      <c r="AF35" s="96" t="str">
        <f t="shared" si="33"/>
        <v>"C:\Program Files (x86)\AstroGrep\AstroGrep.exe" /spath="%USERPROFILE%\AppData\Local\Temp\OnboardLogs" /stypes="*4040*20160910*" /stext=" 13:.+((SYSTEM_STATE.+slice.+state.+changed )|(ment ac)|(system.+state.+changed )|(\|lc)|(penalty)|(\[timeout)|(PRM\|1\|D)|(kpr)|(kdp))" /e /r /s</v>
      </c>
      <c r="AG35" s="1" t="str">
        <f t="shared" si="34"/>
        <v>EC</v>
      </c>
      <c r="AH35" s="100" t="str">
        <f t="shared" si="17"/>
        <v>"%USERPROFILE%\Documents\GitHub\eaglep3\Utilities\RefineRTDCRunTimes.py" --tripid 123-10 --locoid 4040 --swversion DE.1.0.7.0 --startMP 204:469 --initTime 2016-09-10T06:32:08 --startdatetime 2016-09-10T06:35:52 --delay 2 --endMP 204:233326 --enddatetime 2016-09-10T07:16:31 --enforcementcount 0 &gt;&gt;C:\Users\stu\Documents\GitHub\eaglep3-reporting\EC\2016-09-10-refined-times.txt</v>
      </c>
      <c r="AI35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{"issue":{"subject":"","project_id":79,"tracker_id":40,"status_id":1,"priority_id":2,"assigned_to_id":23,"start_date":"2016-09-10","description":"","custom_fields":[{"id":1,"name":"Subdivision","value":"EC"},{"id":4,"name":"Milepost","value":"23.2857"},{"id":17,"name":"Train ID","value":"123-10"},{"id":16,"name":"Locomotive ID","value":"4040"},{"id":130,"name":"Impact","value":""},{"id":150,"name":"Time of Event (Mountain Time)","value":"07:16:31"},{"id":151,"name":"Denver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398</v>
      </c>
      <c r="B36" s="7">
        <v>4039</v>
      </c>
      <c r="C36" s="24" t="s">
        <v>108</v>
      </c>
      <c r="D36" s="24" t="s">
        <v>336</v>
      </c>
      <c r="E36" s="15">
        <v>42623.304872685185</v>
      </c>
      <c r="F36" s="15">
        <v>42623.309918981482</v>
      </c>
      <c r="G36" s="7">
        <v>2</v>
      </c>
      <c r="H36" s="15" t="s">
        <v>243</v>
      </c>
      <c r="I36" s="15">
        <v>42623.337141203701</v>
      </c>
      <c r="J36" s="7">
        <v>0</v>
      </c>
      <c r="K36" s="122" t="str">
        <f t="shared" si="24"/>
        <v>4039/4040</v>
      </c>
      <c r="L36" s="24" t="str">
        <f>VLOOKUP(A36,'Trips&amp;Operators'!$C$1:$E$10000,3,FALSE)</f>
        <v>KILLION</v>
      </c>
      <c r="M36" s="6">
        <f t="shared" si="25"/>
        <v>2.7222222219279502E-2</v>
      </c>
      <c r="N36" s="7">
        <f t="shared" si="26"/>
        <v>39.199999995762482</v>
      </c>
      <c r="O36" s="7"/>
      <c r="P36" s="7"/>
      <c r="Q36" s="25"/>
      <c r="R36" s="25"/>
      <c r="S36" s="37">
        <f t="shared" si="27"/>
        <v>1</v>
      </c>
      <c r="T36" s="52" t="str">
        <f t="shared" si="19"/>
        <v>Southbound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06:19:01-0600',mode:absolute,to:'2016-09-10 09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36" s="54" t="str">
        <f t="shared" si="29"/>
        <v>N</v>
      </c>
      <c r="X36" s="172">
        <f t="shared" si="35"/>
        <v>1</v>
      </c>
      <c r="Y36" s="69">
        <f t="shared" si="36"/>
        <v>23.297499999999999</v>
      </c>
      <c r="Z36" s="69">
        <f t="shared" si="30"/>
        <v>1.5800000000000002E-2</v>
      </c>
      <c r="AA36" s="69">
        <f t="shared" si="31"/>
        <v>23.281700000000001</v>
      </c>
      <c r="AB36" s="66" t="str">
        <f>VLOOKUP(A36,Enforcements!$C$7:$K$21,8,0)</f>
        <v>Speed (6)</v>
      </c>
      <c r="AC36" s="62" t="str">
        <f>VLOOKUP(A36,Enforcements!$C$7:$E$21,3,0)</f>
        <v>PERMANENT SPEED RESTRICTION</v>
      </c>
      <c r="AD36" s="63" t="str">
        <f t="shared" si="22"/>
        <v>0124-10</v>
      </c>
      <c r="AE36" s="99" t="str">
        <f t="shared" si="32"/>
        <v>aws s3 cp s3://rtdc.mdm.uploadarchive/RTDC4039/2016-09-10/ "%USERPROFILE%\AppData\Local\Temp\OnboardLogs"\RTDC4039\2016-09-10 --recursive &amp; "%USERPROFILE%\Documents\GitHub\mrs-test-scripts\Headless Mode &amp; Sideloading\WalkAndUnGZ.bat" "%USERPROFILE%\AppData\Local\Temp\OnboardLogs"\RTDC4039\2016-09-10 &amp; 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</v>
      </c>
      <c r="AF36" s="96" t="str">
        <f t="shared" si="33"/>
        <v>"C:\Program Files (x86)\AstroGrep\AstroGrep.exe" /spath="%USERPROFILE%\AppData\Local\Temp\OnboardLogs" /stypes="*4039*20160910*" /stext=" 14:.+((SYSTEM_STATE.+slice.+state.+changed )|(ment ac)|(system.+state.+changed )|(\|lc)|(penalty)|(\[timeout)|(PRM\|1\|D)|(kpr)|(kdp))" /e /r /s</v>
      </c>
      <c r="AG36" s="1" t="str">
        <f t="shared" si="34"/>
        <v>EC</v>
      </c>
      <c r="AH36" s="100" t="str">
        <f t="shared" si="17"/>
        <v>"%USERPROFILE%\Documents\GitHub\eaglep3\Utilities\RefineRTDCRunTimes.py" --tripid 124-10 --locoid 4039 --swversion DE.1.0.7.0 --startMP 204:232975 --initTime 2016-09-10T07:19:01 --startdatetime 2016-09-10T07:26:17 --delay 2 --endMP 204:158 --enddatetime 2016-09-10T08:05:29 --enforcementcount 0 &gt;&gt;C:\Users\stu\Documents\GitHub\eaglep3-reporting\EC\2016-09-10-refined-times.txt</v>
      </c>
      <c r="AI36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{"issue":{"subject":"","project_id":79,"tracker_id":40,"status_id":1,"priority_id":2,"assigned_to_id":23,"start_date":"2016-09-10","description":"","custom_fields":[{"id":1,"name":"Subdivision","value":"EC"},{"id":4,"name":"Milepost","value":"23.2817"},{"id":17,"name":"Train ID","value":"124-10"},{"id":16,"name":"Locomotive ID","value":"4039"},{"id":130,"name":"Impact","value":""},{"id":150,"name":"Time of Event (Mountain Time)","value":"08:05:29"},{"id":151,"name":"Denver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453</v>
      </c>
      <c r="B37" s="7">
        <v>4038</v>
      </c>
      <c r="C37" s="24" t="s">
        <v>108</v>
      </c>
      <c r="D37" s="24" t="s">
        <v>318</v>
      </c>
      <c r="E37" s="15">
        <v>42623.27925925926</v>
      </c>
      <c r="F37" s="15">
        <v>42623.281585648147</v>
      </c>
      <c r="G37" s="7">
        <v>1</v>
      </c>
      <c r="H37" s="15" t="s">
        <v>284</v>
      </c>
      <c r="I37" s="15">
        <v>42623.306435185186</v>
      </c>
      <c r="J37" s="7">
        <v>0</v>
      </c>
      <c r="K37" s="122" t="str">
        <f t="shared" si="24"/>
        <v>4037/4038</v>
      </c>
      <c r="L37" s="24" t="str">
        <f>VLOOKUP(A37,'Trips&amp;Operators'!$C$1:$E$10000,3,FALSE)</f>
        <v>GEBRETEKLE</v>
      </c>
      <c r="M37" s="6">
        <f t="shared" si="25"/>
        <v>2.4849537039699499E-2</v>
      </c>
      <c r="N37" s="7">
        <f t="shared" si="26"/>
        <v>35.783333337167278</v>
      </c>
      <c r="O37" s="7"/>
      <c r="P37" s="7"/>
      <c r="Q37" s="25"/>
      <c r="R37" s="25"/>
      <c r="S37" s="37">
        <f t="shared" si="27"/>
        <v>1</v>
      </c>
      <c r="T37" s="52" t="str">
        <f t="shared" si="19"/>
        <v>NorthBound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05:42:08-0600',mode:absolute,to:'2016-09-10 08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37" s="54" t="str">
        <f t="shared" si="29"/>
        <v>N</v>
      </c>
      <c r="X37" s="172">
        <f t="shared" si="35"/>
        <v>1</v>
      </c>
      <c r="Y37" s="69">
        <f t="shared" si="36"/>
        <v>4.5999999999999999E-2</v>
      </c>
      <c r="Z37" s="69">
        <f t="shared" si="30"/>
        <v>23.331</v>
      </c>
      <c r="AA37" s="69">
        <f t="shared" si="31"/>
        <v>23.285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22"/>
        <v>0125-10</v>
      </c>
      <c r="AE37" s="99" t="str">
        <f t="shared" si="32"/>
        <v>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 &amp; aws s3 cp s3://rtdc.mdm.uploadarchive/RTDC4038/2016-09-11/ "%USERPROFILE%\AppData\Local\Temp\OnboardLogs"\RTDC4038\2016-09-11 --recursive &amp; "%USERPROFILE%\Documents\GitHub\mrs-test-scripts\Headless Mode &amp; Sideloading\WalkAndUnGZ.bat" "%USERPROFILE%\AppData\Local\Temp\OnboardLogs"\RTDC4038\2016-09-11</v>
      </c>
      <c r="AF37" s="96" t="str">
        <f t="shared" si="33"/>
        <v>"C:\Program Files (x86)\AstroGrep\AstroGrep.exe" /spath="%USERPROFILE%\AppData\Local\Temp\OnboardLogs" /stypes="*4038*20160910*" /stext=" 13:.+((SYSTEM_STATE.+slice.+state.+changed )|(ment ac)|(system.+state.+changed )|(\|lc)|(penalty)|(\[timeout)|(PRM\|1\|D)|(kpr)|(kdp))" /e /r /s</v>
      </c>
      <c r="AG37" s="1" t="str">
        <f t="shared" si="34"/>
        <v>EC</v>
      </c>
      <c r="AH37" s="100" t="str">
        <f t="shared" si="17"/>
        <v>"%USERPROFILE%\Documents\GitHub\eaglep3\Utilities\RefineRTDCRunTimes.py" --tripid 125-10 --locoid 4038 --swversion DE.1.0.7.0 --startMP 204:460 --initTime 2016-09-10T06:42:08 --startdatetime 2016-09-10T06:45:29 --delay 1 --endMP 204:233310 --enddatetime 2016-09-10T07:21:16 --enforcementcount 0 &gt;&gt;C:\Users\stu\Documents\GitHub\eaglep3-reporting\EC\2016-09-10-refined-times.txt</v>
      </c>
      <c r="AI37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{"issue":{"subject":"","project_id":79,"tracker_id":40,"status_id":1,"priority_id":2,"assigned_to_id":23,"start_date":"2016-09-10","description":"","custom_fields":[{"id":1,"name":"Subdivision","value":"EC"},{"id":4,"name":"Milepost","value":"23.285"},{"id":17,"name":"Train ID","value":"125-10"},{"id":16,"name":"Locomotive ID","value":"4038"},{"id":130,"name":"Impact","value":""},{"id":150,"name":"Time of Event (Mountain Time)","value":"07:21:16"},{"id":151,"name":"Denver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454</v>
      </c>
      <c r="B38" s="7">
        <v>4037</v>
      </c>
      <c r="C38" s="24" t="s">
        <v>108</v>
      </c>
      <c r="D38" s="24" t="s">
        <v>455</v>
      </c>
      <c r="E38" s="15">
        <v>42623.315462962964</v>
      </c>
      <c r="F38" s="15">
        <v>42623.320347222223</v>
      </c>
      <c r="G38" s="7">
        <v>1</v>
      </c>
      <c r="H38" s="15" t="s">
        <v>237</v>
      </c>
      <c r="I38" s="15">
        <v>42623.34652777778</v>
      </c>
      <c r="J38" s="7">
        <v>0</v>
      </c>
      <c r="K38" s="122" t="str">
        <f t="shared" si="24"/>
        <v>4037/4038</v>
      </c>
      <c r="L38" s="24" t="str">
        <f>VLOOKUP(A38,'Trips&amp;Operators'!$C$1:$E$10000,3,FALSE)</f>
        <v>GEBRETEKLE</v>
      </c>
      <c r="M38" s="6">
        <f t="shared" si="25"/>
        <v>2.6180555556493346E-2</v>
      </c>
      <c r="N38" s="7">
        <f t="shared" si="26"/>
        <v>37.700000001350418</v>
      </c>
      <c r="O38" s="7"/>
      <c r="P38" s="7"/>
      <c r="Q38" s="25"/>
      <c r="R38" s="25"/>
      <c r="S38" s="37">
        <f t="shared" si="27"/>
        <v>1</v>
      </c>
      <c r="T38" s="52" t="str">
        <f t="shared" si="19"/>
        <v>Southbound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06:34:16-0600',mode:absolute,to:'2016-09-10 09:19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38" s="54" t="str">
        <f t="shared" si="29"/>
        <v>N</v>
      </c>
      <c r="X38" s="172">
        <f t="shared" si="35"/>
        <v>1</v>
      </c>
      <c r="Y38" s="69">
        <f t="shared" si="36"/>
        <v>23.298300000000001</v>
      </c>
      <c r="Z38" s="69">
        <f t="shared" si="30"/>
        <v>1.6E-2</v>
      </c>
      <c r="AA38" s="69">
        <f t="shared" si="31"/>
        <v>23.282300000000003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22"/>
        <v>0126-10</v>
      </c>
      <c r="AE38" s="99" t="str">
        <f t="shared" si="32"/>
        <v>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 &amp; aws s3 cp s3://rtdc.mdm.uploadarchive/RTDC4037/2016-09-11/ "%USERPROFILE%\AppData\Local\Temp\OnboardLogs"\RTDC4037\2016-09-11 --recursive &amp; "%USERPROFILE%\Documents\GitHub\mrs-test-scripts\Headless Mode &amp; Sideloading\WalkAndUnGZ.bat" "%USERPROFILE%\AppData\Local\Temp\OnboardLogs"\RTDC4037\2016-09-11</v>
      </c>
      <c r="AF38" s="96" t="str">
        <f t="shared" si="33"/>
        <v>"C:\Program Files (x86)\AstroGrep\AstroGrep.exe" /spath="%USERPROFILE%\AppData\Local\Temp\OnboardLogs" /stypes="*4037*20160910*" /stext=" 14:.+((SYSTEM_STATE.+slice.+state.+changed )|(ment ac)|(system.+state.+changed )|(\|lc)|(penalty)|(\[timeout)|(PRM\|1\|D)|(kpr)|(kdp))" /e /r /s</v>
      </c>
      <c r="AG38" s="1" t="str">
        <f t="shared" si="34"/>
        <v>EC</v>
      </c>
      <c r="AH38" s="100" t="str">
        <f t="shared" si="17"/>
        <v>"%USERPROFILE%\Documents\GitHub\eaglep3\Utilities\RefineRTDCRunTimes.py" --tripid 126-10 --locoid 4037 --swversion DE.1.0.7.0 --startMP 204:232983 --initTime 2016-09-10T07:34:16 --startdatetime 2016-09-10T07:41:18 --delay 1 --endMP 204:160 --enddatetime 2016-09-10T08:19:00 --enforcementcount 0 &gt;&gt;C:\Users\stu\Documents\GitHub\eaglep3-reporting\EC\2016-09-10-refined-times.txt</v>
      </c>
      <c r="AI38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{"issue":{"subject":"","project_id":79,"tracker_id":40,"status_id":1,"priority_id":2,"assigned_to_id":23,"start_date":"2016-09-10","description":"","custom_fields":[{"id":1,"name":"Subdivision","value":"EC"},{"id":4,"name":"Milepost","value":"23.2823"},{"id":17,"name":"Train ID","value":"126-10"},{"id":16,"name":"Locomotive ID","value":"4037"},{"id":130,"name":"Impact","value":""},{"id":150,"name":"Time of Event (Mountain Time)","value":"08:19:00"},{"id":151,"name":"Denver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456</v>
      </c>
      <c r="B39" s="7">
        <v>4009</v>
      </c>
      <c r="C39" s="24" t="s">
        <v>108</v>
      </c>
      <c r="D39" s="24" t="s">
        <v>457</v>
      </c>
      <c r="E39" s="15">
        <v>42623.291192129633</v>
      </c>
      <c r="F39" s="15">
        <v>42623.292673611111</v>
      </c>
      <c r="G39" s="7">
        <v>1</v>
      </c>
      <c r="H39" s="15" t="s">
        <v>439</v>
      </c>
      <c r="I39" s="15">
        <v>42623.317974537036</v>
      </c>
      <c r="J39" s="7">
        <v>0</v>
      </c>
      <c r="K39" s="122" t="str">
        <f t="shared" si="24"/>
        <v>4009/4010</v>
      </c>
      <c r="L39" s="24" t="str">
        <f>VLOOKUP(A39,'Trips&amp;Operators'!$C$1:$E$10000,3,FALSE)</f>
        <v>MAELZER</v>
      </c>
      <c r="M39" s="6">
        <f t="shared" si="25"/>
        <v>2.5300925924966577E-2</v>
      </c>
      <c r="N39" s="7">
        <f t="shared" si="26"/>
        <v>36.433333331951872</v>
      </c>
      <c r="O39" s="7"/>
      <c r="P39" s="7"/>
      <c r="Q39" s="25"/>
      <c r="R39" s="25"/>
      <c r="S39" s="37">
        <f t="shared" si="27"/>
        <v>1</v>
      </c>
      <c r="T39" s="52" t="str">
        <f t="shared" si="19"/>
        <v>NorthBound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05:59:19-0600',mode:absolute,to:'2016-09-10 08:37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39" s="54" t="str">
        <f t="shared" si="29"/>
        <v>N</v>
      </c>
      <c r="X39" s="172">
        <f t="shared" si="35"/>
        <v>1</v>
      </c>
      <c r="Y39" s="69">
        <f t="shared" si="36"/>
        <v>6.4399999999999999E-2</v>
      </c>
      <c r="Z39" s="69">
        <f t="shared" si="30"/>
        <v>23.3309</v>
      </c>
      <c r="AA39" s="69">
        <f t="shared" si="31"/>
        <v>23.266500000000001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22"/>
        <v>0127-10</v>
      </c>
      <c r="AE39" s="99" t="str">
        <f t="shared" si="32"/>
        <v>aws s3 cp s3://rtdc.mdm.uploadarchive/RTDC4009/2016-09-10/ "%USERPROFILE%\AppData\Local\Temp\OnboardLogs"\RTDC4009\2016-09-10 --recursive &amp; "%USERPROFILE%\Documents\GitHub\mrs-test-scripts\Headless Mode &amp; Sideloading\WalkAndUnGZ.bat" "%USERPROFILE%\AppData\Local\Temp\OnboardLogs"\RTDC4009\2016-09-10 &amp; aws s3 cp s3://rtdc.mdm.uploadarchive/RTDC4009/2016-09-11/ "%USERPROFILE%\AppData\Local\Temp\OnboardLogs"\RTDC4009\2016-09-11 --recursive &amp; "%USERPROFILE%\Documents\GitHub\mrs-test-scripts\Headless Mode &amp; Sideloading\WalkAndUnGZ.bat" "%USERPROFILE%\AppData\Local\Temp\OnboardLogs"\RTDC4009\2016-09-11</v>
      </c>
      <c r="AF39" s="96" t="str">
        <f t="shared" si="33"/>
        <v>"C:\Program Files (x86)\AstroGrep\AstroGrep.exe" /spath="%USERPROFILE%\AppData\Local\Temp\OnboardLogs" /stypes="*4009*20160910*" /stext=" 13:.+((SYSTEM_STATE.+slice.+state.+changed )|(ment ac)|(system.+state.+changed )|(\|lc)|(penalty)|(\[timeout)|(PRM\|1\|D)|(kpr)|(kdp))" /e /r /s</v>
      </c>
      <c r="AG39" s="1" t="str">
        <f t="shared" si="34"/>
        <v>EC</v>
      </c>
      <c r="AH39" s="100" t="str">
        <f t="shared" si="17"/>
        <v>"%USERPROFILE%\Documents\GitHub\eaglep3\Utilities\RefineRTDCRunTimes.py" --tripid 127-10 --locoid 4009 --swversion DE.1.0.7.0 --startMP 204:644 --initTime 2016-09-10T06:59:19 --startdatetime 2016-09-10T07:01:27 --delay 1 --endMP 204:233309 --enddatetime 2016-09-10T07:37:53 --enforcementcount 0 &gt;&gt;C:\Users\stu\Documents\GitHub\eaglep3-reporting\EC\2016-09-10-refined-times.txt</v>
      </c>
      <c r="AI39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{"issue":{"subject":"","project_id":79,"tracker_id":40,"status_id":1,"priority_id":2,"assigned_to_id":23,"start_date":"2016-09-10","description":"","custom_fields":[{"id":1,"name":"Subdivision","value":"EC"},{"id":4,"name":"Milepost","value":"23.2665"},{"id":17,"name":"Train ID","value":"127-10"},{"id":16,"name":"Locomotive ID","value":"4009"},{"id":130,"name":"Impact","value":""},{"id":150,"name":"Time of Event (Mountain Time)","value":"07:37:53"},{"id":151,"name":"Denver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458</v>
      </c>
      <c r="B40" s="7">
        <v>4010</v>
      </c>
      <c r="C40" s="24" t="s">
        <v>108</v>
      </c>
      <c r="D40" s="24" t="s">
        <v>338</v>
      </c>
      <c r="E40" s="15">
        <v>42623.323761574073</v>
      </c>
      <c r="F40" s="15">
        <v>42623.330868055556</v>
      </c>
      <c r="G40" s="7">
        <v>1</v>
      </c>
      <c r="H40" s="15" t="s">
        <v>235</v>
      </c>
      <c r="I40" s="15">
        <v>42623.359502314815</v>
      </c>
      <c r="J40" s="7">
        <v>0</v>
      </c>
      <c r="K40" s="122" t="str">
        <f t="shared" si="24"/>
        <v>4009/4010</v>
      </c>
      <c r="L40" s="24" t="str">
        <f>VLOOKUP(A40,'Trips&amp;Operators'!$C$1:$E$10000,3,FALSE)</f>
        <v>MAELZER</v>
      </c>
      <c r="M40" s="6">
        <f t="shared" si="25"/>
        <v>2.8634259258979E-2</v>
      </c>
      <c r="N40" s="7">
        <f t="shared" si="26"/>
        <v>41.23333333292976</v>
      </c>
      <c r="O40" s="7"/>
      <c r="P40" s="7"/>
      <c r="Q40" s="25"/>
      <c r="R40" s="25"/>
      <c r="S40" s="37">
        <f t="shared" si="27"/>
        <v>1</v>
      </c>
      <c r="T40" s="52" t="str">
        <f t="shared" si="19"/>
        <v>Southbound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06:46:13-0600',mode:absolute,to:'2016-09-10 09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40" s="54" t="str">
        <f t="shared" si="29"/>
        <v>N</v>
      </c>
      <c r="X40" s="172">
        <f t="shared" si="35"/>
        <v>1</v>
      </c>
      <c r="Y40" s="69">
        <f t="shared" si="36"/>
        <v>23.297799999999999</v>
      </c>
      <c r="Z40" s="69">
        <f t="shared" si="30"/>
        <v>1.49E-2</v>
      </c>
      <c r="AA40" s="69">
        <f t="shared" si="31"/>
        <v>23.282899999999998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22"/>
        <v>0128-10</v>
      </c>
      <c r="AE40" s="99" t="str">
        <f t="shared" si="32"/>
        <v>aws s3 cp s3://rtdc.mdm.uploadarchive/RTDC4010/2016-09-10/ "%USERPROFILE%\AppData\Local\Temp\OnboardLogs"\RTDC4010\2016-09-10 --recursive &amp; "%USERPROFILE%\Documents\GitHub\mrs-test-scripts\Headless Mode &amp; Sideloading\WalkAndUnGZ.bat" "%USERPROFILE%\AppData\Local\Temp\OnboardLogs"\RTDC4010\2016-09-10 &amp; 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</v>
      </c>
      <c r="AF40" s="96" t="str">
        <f t="shared" si="33"/>
        <v>"C:\Program Files (x86)\AstroGrep\AstroGrep.exe" /spath="%USERPROFILE%\AppData\Local\Temp\OnboardLogs" /stypes="*4010*20160910*" /stext=" 14:.+((SYSTEM_STATE.+slice.+state.+changed )|(ment ac)|(system.+state.+changed )|(\|lc)|(penalty)|(\[timeout)|(PRM\|1\|D)|(kpr)|(kdp))" /e /r /s</v>
      </c>
      <c r="AG40" s="1" t="str">
        <f t="shared" si="34"/>
        <v>EC</v>
      </c>
      <c r="AH40" s="100" t="str">
        <f t="shared" si="17"/>
        <v>"%USERPROFILE%\Documents\GitHub\eaglep3\Utilities\RefineRTDCRunTimes.py" --tripid 128-10 --locoid 4010 --swversion DE.1.0.7.0 --startMP 204:232978 --initTime 2016-09-10T07:46:13 --startdatetime 2016-09-10T07:56:27 --delay 1 --endMP 204:149 --enddatetime 2016-09-10T08:37:41 --enforcementcount 0 &gt;&gt;C:\Users\stu\Documents\GitHub\eaglep3-reporting\EC\2016-09-10-refined-times.txt</v>
      </c>
      <c r="AI40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{"issue":{"subject":"","project_id":79,"tracker_id":40,"status_id":1,"priority_id":2,"assigned_to_id":23,"start_date":"2016-09-10","description":"","custom_fields":[{"id":1,"name":"Subdivision","value":"EC"},{"id":4,"name":"Milepost","value":"23.2829"},{"id":17,"name":"Train ID","value":"128-10"},{"id":16,"name":"Locomotive ID","value":"4010"},{"id":130,"name":"Impact","value":""},{"id":150,"name":"Time of Event (Mountain Time)","value":"08:37:41"},{"id":151,"name":"Denver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ht="16.5" customHeight="1" x14ac:dyDescent="0.25">
      <c r="A41" s="39" t="s">
        <v>459</v>
      </c>
      <c r="B41" s="7">
        <v>4011</v>
      </c>
      <c r="C41" s="24" t="s">
        <v>108</v>
      </c>
      <c r="D41" s="24" t="s">
        <v>259</v>
      </c>
      <c r="E41" s="15">
        <v>42623.299108796295</v>
      </c>
      <c r="F41" s="15">
        <v>42623.302245370367</v>
      </c>
      <c r="G41" s="7">
        <v>4</v>
      </c>
      <c r="H41" s="15" t="s">
        <v>236</v>
      </c>
      <c r="I41" s="15">
        <v>42623.327025462961</v>
      </c>
      <c r="J41" s="7">
        <v>0</v>
      </c>
      <c r="K41" s="122" t="str">
        <f t="shared" si="24"/>
        <v>4011/4012</v>
      </c>
      <c r="L41" s="24" t="str">
        <f>VLOOKUP(A41,'Trips&amp;Operators'!$C$1:$E$10000,3,FALSE)</f>
        <v>DE LA ROSA</v>
      </c>
      <c r="M41" s="6">
        <f t="shared" si="25"/>
        <v>2.4780092593573499E-2</v>
      </c>
      <c r="N41" s="7">
        <f t="shared" si="26"/>
        <v>35.683333334745839</v>
      </c>
      <c r="O41" s="7"/>
      <c r="P41" s="7"/>
      <c r="Q41" s="25"/>
      <c r="R41" s="25"/>
      <c r="S41" s="37">
        <f t="shared" si="27"/>
        <v>1</v>
      </c>
      <c r="T41" s="52" t="str">
        <f t="shared" si="19"/>
        <v>NorthBound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06:10:43-0600',mode:absolute,to:'2016-09-10 08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41" s="54" t="str">
        <f t="shared" si="29"/>
        <v>N</v>
      </c>
      <c r="X41" s="172">
        <f t="shared" si="35"/>
        <v>1</v>
      </c>
      <c r="Y41" s="69">
        <f t="shared" si="36"/>
        <v>4.5699999999999998E-2</v>
      </c>
      <c r="Z41" s="69">
        <f t="shared" si="30"/>
        <v>23.331399999999999</v>
      </c>
      <c r="AA41" s="69">
        <f t="shared" si="31"/>
        <v>23.285699999999999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22"/>
        <v>0129-10</v>
      </c>
      <c r="AE41" s="99" t="str">
        <f t="shared" si="32"/>
        <v>aws s3 cp s3://rtdc.mdm.uploadarchive/RTDC4011/2016-09-10/ "%USERPROFILE%\AppData\Local\Temp\OnboardLogs"\RTDC4011\2016-09-10 --recursive &amp; "%USERPROFILE%\Documents\GitHub\mrs-test-scripts\Headless Mode &amp; Sideloading\WalkAndUnGZ.bat" "%USERPROFILE%\AppData\Local\Temp\OnboardLogs"\RTDC4011\2016-09-10 &amp; aws s3 cp s3://rtdc.mdm.uploadarchive/RTDC4011/2016-09-11/ "%USERPROFILE%\AppData\Local\Temp\OnboardLogs"\RTDC4011\2016-09-11 --recursive &amp; "%USERPROFILE%\Documents\GitHub\mrs-test-scripts\Headless Mode &amp; Sideloading\WalkAndUnGZ.bat" "%USERPROFILE%\AppData\Local\Temp\OnboardLogs"\RTDC4011\2016-09-11</v>
      </c>
      <c r="AF41" s="96" t="str">
        <f t="shared" si="33"/>
        <v>"C:\Program Files (x86)\AstroGrep\AstroGrep.exe" /spath="%USERPROFILE%\AppData\Local\Temp\OnboardLogs" /stypes="*4011*20160910*" /stext=" 13:.+((SYSTEM_STATE.+slice.+state.+changed )|(ment ac)|(system.+state.+changed )|(\|lc)|(penalty)|(\[timeout)|(PRM\|1\|D)|(kpr)|(kdp))" /e /r /s</v>
      </c>
      <c r="AG41" s="1" t="str">
        <f t="shared" si="34"/>
        <v>EC</v>
      </c>
      <c r="AH41" s="100" t="str">
        <f t="shared" si="17"/>
        <v>"%USERPROFILE%\Documents\GitHub\eaglep3\Utilities\RefineRTDCRunTimes.py" --tripid 129-10 --locoid 4011 --swversion DE.1.0.7.0 --startMP 204:457 --initTime 2016-09-10T07:10:43 --startdatetime 2016-09-10T07:15:14 --delay 4 --endMP 204:233314 --enddatetime 2016-09-10T07:50:55 --enforcementcount 0 &gt;&gt;C:\Users\stu\Documents\GitHub\eaglep3-reporting\EC\2016-09-10-refined-times.txt</v>
      </c>
      <c r="AI41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{"issue":{"subject":"","project_id":79,"tracker_id":40,"status_id":1,"priority_id":2,"assigned_to_id":23,"start_date":"2016-09-10","description":"","custom_fields":[{"id":1,"name":"Subdivision","value":"EC"},{"id":4,"name":"Milepost","value":"23.2857"},{"id":17,"name":"Train ID","value":"129-10"},{"id":16,"name":"Locomotive ID","value":"4011"},{"id":130,"name":"Impact","value":""},{"id":150,"name":"Time of Event (Mountain Time)","value":"07:50:55"},{"id":151,"name":"Denver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460</v>
      </c>
      <c r="B42" s="7">
        <v>4012</v>
      </c>
      <c r="C42" s="24" t="s">
        <v>108</v>
      </c>
      <c r="D42" s="24" t="s">
        <v>344</v>
      </c>
      <c r="E42" s="15">
        <v>42623.337511574071</v>
      </c>
      <c r="F42" s="15">
        <v>42623.341307870367</v>
      </c>
      <c r="G42" s="7">
        <v>1</v>
      </c>
      <c r="H42" s="15" t="s">
        <v>131</v>
      </c>
      <c r="I42" s="15">
        <v>42623.369930555556</v>
      </c>
      <c r="J42" s="7">
        <v>0</v>
      </c>
      <c r="K42" s="122" t="str">
        <f t="shared" si="24"/>
        <v>4011/4012</v>
      </c>
      <c r="L42" s="24" t="str">
        <f>VLOOKUP(A42,'Trips&amp;Operators'!$C$1:$E$10000,3,FALSE)</f>
        <v>DE LA ROSA</v>
      </c>
      <c r="M42" s="6">
        <f t="shared" si="25"/>
        <v>2.8622685189475305E-2</v>
      </c>
      <c r="N42" s="7">
        <f t="shared" si="26"/>
        <v>41.21666667284444</v>
      </c>
      <c r="O42" s="7"/>
      <c r="P42" s="7"/>
      <c r="Q42" s="25"/>
      <c r="R42" s="25"/>
      <c r="S42" s="37">
        <f t="shared" si="27"/>
        <v>1</v>
      </c>
      <c r="T42" s="52" t="str">
        <f t="shared" si="19"/>
        <v>Southbound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07:06:01-0600',mode:absolute,to:'2016-09-10 09:52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42" s="54" t="str">
        <f t="shared" si="29"/>
        <v>N</v>
      </c>
      <c r="X42" s="172">
        <f t="shared" si="35"/>
        <v>1</v>
      </c>
      <c r="Y42" s="69">
        <f t="shared" si="36"/>
        <v>23.299399999999999</v>
      </c>
      <c r="Z42" s="69">
        <f t="shared" si="30"/>
        <v>1.54E-2</v>
      </c>
      <c r="AA42" s="69">
        <f t="shared" si="31"/>
        <v>23.283999999999999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22"/>
        <v>0130-10</v>
      </c>
      <c r="AE42" s="99" t="str">
        <f t="shared" si="32"/>
        <v>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 &amp; aws s3 cp s3://rtdc.mdm.uploadarchive/RTDC4012/2016-09-11/ "%USERPROFILE%\AppData\Local\Temp\OnboardLogs"\RTDC4012\2016-09-11 --recursive &amp; "%USERPROFILE%\Documents\GitHub\mrs-test-scripts\Headless Mode &amp; Sideloading\WalkAndUnGZ.bat" "%USERPROFILE%\AppData\Local\Temp\OnboardLogs"\RTDC4012\2016-09-11</v>
      </c>
      <c r="AF42" s="96" t="str">
        <f t="shared" si="33"/>
        <v>"C:\Program Files (x86)\AstroGrep\AstroGrep.exe" /spath="%USERPROFILE%\AppData\Local\Temp\OnboardLogs" /stypes="*4012*20160910*" /stext=" 14:.+((SYSTEM_STATE.+slice.+state.+changed )|(ment ac)|(system.+state.+changed )|(\|lc)|(penalty)|(\[timeout)|(PRM\|1\|D)|(kpr)|(kdp))" /e /r /s</v>
      </c>
      <c r="AG42" s="1" t="str">
        <f t="shared" si="34"/>
        <v>EC</v>
      </c>
      <c r="AH42" s="100" t="str">
        <f t="shared" si="17"/>
        <v>"%USERPROFILE%\Documents\GitHub\eaglep3\Utilities\RefineRTDCRunTimes.py" --tripid 130-10 --locoid 4012 --swversion DE.1.0.7.0 --startMP 204:232994 --initTime 2016-09-10T08:06:01 --startdatetime 2016-09-10T08:11:29 --delay 1 --endMP 204:154 --enddatetime 2016-09-10T08:52:42 --enforcementcount 0 &gt;&gt;C:\Users\stu\Documents\GitHub\eaglep3-reporting\EC\2016-09-10-refined-times.txt</v>
      </c>
      <c r="AI42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{"issue":{"subject":"","project_id":79,"tracker_id":40,"status_id":1,"priority_id":2,"assigned_to_id":23,"start_date":"2016-09-10","description":"","custom_fields":[{"id":1,"name":"Subdivision","value":"EC"},{"id":4,"name":"Milepost","value":"23.284"},{"id":17,"name":"Train ID","value":"130-10"},{"id":16,"name":"Locomotive ID","value":"4012"},{"id":130,"name":"Impact","value":""},{"id":150,"name":"Time of Event (Mountain Time)","value":"08:52:42"},{"id":151,"name":"Denver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31" customFormat="1" x14ac:dyDescent="0.25">
      <c r="A43" s="39" t="s">
        <v>402</v>
      </c>
      <c r="B43" s="7">
        <v>4002</v>
      </c>
      <c r="C43" s="24" t="s">
        <v>108</v>
      </c>
      <c r="D43" s="24" t="s">
        <v>461</v>
      </c>
      <c r="E43" s="15">
        <v>42623.310810185183</v>
      </c>
      <c r="F43" s="15">
        <v>42623.312754629631</v>
      </c>
      <c r="G43" s="7">
        <v>1</v>
      </c>
      <c r="H43" s="15" t="s">
        <v>269</v>
      </c>
      <c r="I43" s="15">
        <v>42623.338969907411</v>
      </c>
      <c r="J43" s="7">
        <v>0</v>
      </c>
      <c r="K43" s="122" t="str">
        <f t="shared" si="24"/>
        <v>4001/4002</v>
      </c>
      <c r="L43" s="24" t="str">
        <f>VLOOKUP(A43,'Trips&amp;Operators'!$C$1:$E$10000,3,FALSE)</f>
        <v>MALAVE</v>
      </c>
      <c r="M43" s="6">
        <f t="shared" si="25"/>
        <v>2.6215277779556345E-2</v>
      </c>
      <c r="N43" s="7">
        <f t="shared" si="26"/>
        <v>37.750000002561137</v>
      </c>
      <c r="O43" s="7"/>
      <c r="P43" s="7"/>
      <c r="Q43" s="25"/>
      <c r="R43" s="25"/>
      <c r="S43" s="37">
        <f t="shared" si="27"/>
        <v>1</v>
      </c>
      <c r="T43" s="52" t="str">
        <f t="shared" si="19"/>
        <v>NorthBound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06:27:34-0600',mode:absolute,to:'2016-09-10 09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43" s="54" t="str">
        <f t="shared" si="29"/>
        <v>N</v>
      </c>
      <c r="X43" s="172">
        <f t="shared" si="35"/>
        <v>1</v>
      </c>
      <c r="Y43" s="69">
        <f t="shared" si="36"/>
        <v>6.4100000000000004E-2</v>
      </c>
      <c r="Z43" s="69">
        <f t="shared" si="30"/>
        <v>23.328199999999999</v>
      </c>
      <c r="AA43" s="69">
        <f t="shared" si="31"/>
        <v>23.264099999999999</v>
      </c>
      <c r="AB43" s="66" t="str">
        <f>VLOOKUP(A43,Enforcements!$C$7:$K$21,8,0)</f>
        <v>Speed (6)</v>
      </c>
      <c r="AC43" s="62" t="str">
        <f>VLOOKUP(A43,Enforcements!$C$7:$E$21,3,0)</f>
        <v>PERMANENT SPEED RESTRICTION</v>
      </c>
      <c r="AD43" s="63" t="str">
        <f t="shared" si="22"/>
        <v>0131-10</v>
      </c>
      <c r="AE43" s="99" t="str">
        <f t="shared" si="32"/>
        <v>aws s3 cp s3://rtdc.mdm.uploadarchive/RTDC4002/2016-09-10/ "%USERPROFILE%\AppData\Local\Temp\OnboardLogs"\RTDC4002\2016-09-10 --recursive &amp; "%USERPROFILE%\Documents\GitHub\mrs-test-scripts\Headless Mode &amp; Sideloading\WalkAndUnGZ.bat" "%USERPROFILE%\AppData\Local\Temp\OnboardLogs"\RTDC4002\2016-09-10 &amp; 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</v>
      </c>
      <c r="AF43" s="96" t="str">
        <f t="shared" si="33"/>
        <v>"C:\Program Files (x86)\AstroGrep\AstroGrep.exe" /spath="%USERPROFILE%\AppData\Local\Temp\OnboardLogs" /stypes="*4002*20160910*" /stext=" 14:.+((SYSTEM_STATE.+slice.+state.+changed )|(ment ac)|(system.+state.+changed )|(\|lc)|(penalty)|(\[timeout)|(PRM\|1\|D)|(kpr)|(kdp))" /e /r /s</v>
      </c>
      <c r="AG43" s="1" t="str">
        <f t="shared" si="34"/>
        <v>EC</v>
      </c>
      <c r="AH43" s="100" t="str">
        <f t="shared" si="17"/>
        <v>"%USERPROFILE%\Documents\GitHub\eaglep3\Utilities\RefineRTDCRunTimes.py" --tripid 131-10 --locoid 4002 --swversion DE.1.0.7.0 --startMP 204:641 --initTime 2016-09-10T07:27:34 --startdatetime 2016-09-10T07:30:22 --delay 1 --endMP 204:233282 --enddatetime 2016-09-10T08:08:07 --enforcementcount 0 &gt;&gt;C:\Users\stu\Documents\GitHub\eaglep3-reporting\EC\2016-09-10-refined-times.txt</v>
      </c>
      <c r="AI43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{"issue":{"subject":"","project_id":79,"tracker_id":40,"status_id":1,"priority_id":2,"assigned_to_id":23,"start_date":"2016-09-10","description":"","custom_fields":[{"id":1,"name":"Subdivision","value":"EC"},{"id":4,"name":"Milepost","value":"23.2641"},{"id":17,"name":"Train ID","value":"131-10"},{"id":16,"name":"Locomotive ID","value":"4002"},{"id":130,"name":"Impact","value":""},{"id":150,"name":"Time of Event (Mountain Time)","value":"08:08:07"},{"id":151,"name":"Denver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462</v>
      </c>
      <c r="B44" s="7">
        <v>4001</v>
      </c>
      <c r="C44" s="24" t="s">
        <v>108</v>
      </c>
      <c r="D44" s="24" t="s">
        <v>334</v>
      </c>
      <c r="E44" s="15">
        <v>42623.347743055558</v>
      </c>
      <c r="F44" s="15">
        <v>42623.35193287037</v>
      </c>
      <c r="G44" s="7">
        <v>1</v>
      </c>
      <c r="H44" s="15" t="s">
        <v>240</v>
      </c>
      <c r="I44" s="15">
        <v>42623.378796296296</v>
      </c>
      <c r="J44" s="7">
        <v>0</v>
      </c>
      <c r="K44" s="122" t="str">
        <f t="shared" si="24"/>
        <v>4001/4002</v>
      </c>
      <c r="L44" s="24" t="str">
        <f>VLOOKUP(A44,'Trips&amp;Operators'!$C$1:$E$10000,3,FALSE)</f>
        <v>MALAVE</v>
      </c>
      <c r="M44" s="6">
        <f t="shared" si="25"/>
        <v>2.6863425926421769E-2</v>
      </c>
      <c r="N44" s="7">
        <f t="shared" si="26"/>
        <v>38.683333334047347</v>
      </c>
      <c r="O44" s="7"/>
      <c r="P44" s="7"/>
      <c r="Q44" s="25"/>
      <c r="R44" s="25"/>
      <c r="S44" s="37">
        <f t="shared" si="27"/>
        <v>1</v>
      </c>
      <c r="T44" s="52" t="str">
        <f t="shared" si="19"/>
        <v>Southbound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07:20:45-0600',mode:absolute,to:'2016-09-10 10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44" s="54" t="str">
        <f t="shared" si="29"/>
        <v>N</v>
      </c>
      <c r="X44" s="172">
        <f t="shared" si="35"/>
        <v>1</v>
      </c>
      <c r="Y44" s="69">
        <f t="shared" si="36"/>
        <v>23.296500000000002</v>
      </c>
      <c r="Z44" s="69">
        <f t="shared" si="30"/>
        <v>1.6299999999999999E-2</v>
      </c>
      <c r="AA44" s="69">
        <f t="shared" si="31"/>
        <v>23.280200000000001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22"/>
        <v>0132-10</v>
      </c>
      <c r="AE44" s="99" t="str">
        <f t="shared" si="32"/>
        <v>aws s3 cp s3://rtdc.mdm.uploadarchive/RTDC4001/2016-09-10/ "%USERPROFILE%\AppData\Local\Temp\OnboardLogs"\RTDC4001\2016-09-10 --recursive &amp; "%USERPROFILE%\Documents\GitHub\mrs-test-scripts\Headless Mode &amp; Sideloading\WalkAndUnGZ.bat" "%USERPROFILE%\AppData\Local\Temp\OnboardLogs"\RTDC4001\2016-09-10 &amp; 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</v>
      </c>
      <c r="AF44" s="96" t="str">
        <f t="shared" si="33"/>
        <v>"C:\Program Files (x86)\AstroGrep\AstroGrep.exe" /spath="%USERPROFILE%\AppData\Local\Temp\OnboardLogs" /stypes="*4001*20160910*" /stext=" 15:.+((SYSTEM_STATE.+slice.+state.+changed )|(ment ac)|(system.+state.+changed )|(\|lc)|(penalty)|(\[timeout)|(PRM\|1\|D)|(kpr)|(kdp))" /e /r /s</v>
      </c>
      <c r="AG44" s="1" t="str">
        <f t="shared" si="34"/>
        <v>EC</v>
      </c>
      <c r="AH44" s="100" t="str">
        <f t="shared" si="17"/>
        <v>"%USERPROFILE%\Documents\GitHub\eaglep3\Utilities\RefineRTDCRunTimes.py" --tripid 132-10 --locoid 4001 --swversion DE.1.0.7.0 --startMP 204:232965 --initTime 2016-09-10T08:20:45 --startdatetime 2016-09-10T08:26:47 --delay 1 --endMP 204:163 --enddatetime 2016-09-10T09:05:28 --enforcementcount 0 &gt;&gt;C:\Users\stu\Documents\GitHub\eaglep3-reporting\EC\2016-09-10-refined-times.txt</v>
      </c>
      <c r="AI44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{"issue":{"subject":"","project_id":79,"tracker_id":40,"status_id":1,"priority_id":2,"assigned_to_id":23,"start_date":"2016-09-10","description":"","custom_fields":[{"id":1,"name":"Subdivision","value":"EC"},{"id":4,"name":"Milepost","value":"23.2802"},{"id":17,"name":"Train ID","value":"132-10"},{"id":16,"name":"Locomotive ID","value":"4001"},{"id":130,"name":"Impact","value":""},{"id":150,"name":"Time of Event (Mountain Time)","value":"09:05:28"},{"id":151,"name":"Denver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463</v>
      </c>
      <c r="B45" s="7">
        <v>4046</v>
      </c>
      <c r="C45" s="24" t="s">
        <v>108</v>
      </c>
      <c r="D45" s="24" t="s">
        <v>291</v>
      </c>
      <c r="E45" s="15">
        <v>42623.318240740744</v>
      </c>
      <c r="F45" s="15">
        <v>42623.326874999999</v>
      </c>
      <c r="G45" s="7">
        <v>1</v>
      </c>
      <c r="H45" s="15" t="s">
        <v>294</v>
      </c>
      <c r="I45" s="15">
        <v>42623.3515162037</v>
      </c>
      <c r="J45" s="7">
        <v>0</v>
      </c>
      <c r="K45" s="122" t="str">
        <f t="shared" si="24"/>
        <v>4045/4046</v>
      </c>
      <c r="L45" s="24" t="str">
        <f>VLOOKUP(A45,'Trips&amp;Operators'!$C$1:$E$10000,3,FALSE)</f>
        <v>ACKERMAN</v>
      </c>
      <c r="M45" s="6">
        <f t="shared" si="25"/>
        <v>2.4641203701321501E-2</v>
      </c>
      <c r="N45" s="7">
        <f t="shared" si="26"/>
        <v>35.483333329902962</v>
      </c>
      <c r="O45" s="7"/>
      <c r="P45" s="7"/>
      <c r="Q45" s="25"/>
      <c r="R45" s="25"/>
      <c r="S45" s="37">
        <f t="shared" si="27"/>
        <v>1</v>
      </c>
      <c r="T45" s="52" t="str">
        <f t="shared" si="19"/>
        <v>NorthBound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06:38:16-0600',mode:absolute,to:'2016-09-10 09:26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45" s="54" t="str">
        <f t="shared" si="29"/>
        <v>N</v>
      </c>
      <c r="X45" s="172">
        <f t="shared" si="35"/>
        <v>1</v>
      </c>
      <c r="Y45" s="69">
        <f t="shared" si="36"/>
        <v>4.58E-2</v>
      </c>
      <c r="Z45" s="69">
        <f t="shared" si="30"/>
        <v>23.331700000000001</v>
      </c>
      <c r="AA45" s="69">
        <f t="shared" si="31"/>
        <v>23.285900000000002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si="22"/>
        <v>0133-10</v>
      </c>
      <c r="AE45" s="99" t="str">
        <f t="shared" si="32"/>
        <v>aws s3 cp s3://rtdc.mdm.uploadarchive/RTDC4046/2016-09-10/ "%USERPROFILE%\AppData\Local\Temp\OnboardLogs"\RTDC4046\2016-09-10 --recursive &amp; "%USERPROFILE%\Documents\GitHub\mrs-test-scripts\Headless Mode &amp; Sideloading\WalkAndUnGZ.bat" "%USERPROFILE%\AppData\Local\Temp\OnboardLogs"\RTDC4046\2016-09-10 &amp; aws s3 cp s3://rtdc.mdm.uploadarchive/RTDC4046/2016-09-11/ "%USERPROFILE%\AppData\Local\Temp\OnboardLogs"\RTDC4046\2016-09-11 --recursive &amp; "%USERPROFILE%\Documents\GitHub\mrs-test-scripts\Headless Mode &amp; Sideloading\WalkAndUnGZ.bat" "%USERPROFILE%\AppData\Local\Temp\OnboardLogs"\RTDC4046\2016-09-11</v>
      </c>
      <c r="AF45" s="96" t="str">
        <f t="shared" si="33"/>
        <v>"C:\Program Files (x86)\AstroGrep\AstroGrep.exe" /spath="%USERPROFILE%\AppData\Local\Temp\OnboardLogs" /stypes="*4046*20160910*" /stext=" 14:.+((SYSTEM_STATE.+slice.+state.+changed )|(ment ac)|(system.+state.+changed )|(\|lc)|(penalty)|(\[timeout)|(PRM\|1\|D)|(kpr)|(kdp))" /e /r /s</v>
      </c>
      <c r="AG45" s="1" t="str">
        <f t="shared" si="34"/>
        <v>EC</v>
      </c>
      <c r="AH45" s="100" t="str">
        <f t="shared" si="17"/>
        <v>"%USERPROFILE%\Documents\GitHub\eaglep3\Utilities\RefineRTDCRunTimes.py" --tripid 133-10 --locoid 4046 --swversion DE.1.0.7.0 --startMP 204:458 --initTime 2016-09-10T07:38:16 --startdatetime 2016-09-10T07:50:42 --delay 1 --endMP 204:233317 --enddatetime 2016-09-10T08:26:11 --enforcementcount 0 &gt;&gt;C:\Users\stu\Documents\GitHub\eaglep3-reporting\EC\2016-09-10-refined-times.txt</v>
      </c>
      <c r="AI45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{"issue":{"subject":"","project_id":79,"tracker_id":40,"status_id":1,"priority_id":2,"assigned_to_id":23,"start_date":"2016-09-10","description":"","custom_fields":[{"id":1,"name":"Subdivision","value":"EC"},{"id":4,"name":"Milepost","value":"23.2859"},{"id":17,"name":"Train ID","value":"133-10"},{"id":16,"name":"Locomotive ID","value":"4046"},{"id":130,"name":"Impact","value":""},{"id":150,"name":"Time of Event (Mountain Time)","value":"08:26:11"},{"id":151,"name":"Denver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464</v>
      </c>
      <c r="B46" s="7">
        <v>4045</v>
      </c>
      <c r="C46" s="24" t="s">
        <v>108</v>
      </c>
      <c r="D46" s="24" t="s">
        <v>242</v>
      </c>
      <c r="E46" s="15">
        <v>42623.356076388889</v>
      </c>
      <c r="F46" s="15">
        <v>42623.362060185187</v>
      </c>
      <c r="G46" s="7">
        <v>1</v>
      </c>
      <c r="H46" s="15" t="s">
        <v>131</v>
      </c>
      <c r="I46" s="15">
        <v>42623.38863425926</v>
      </c>
      <c r="J46" s="7">
        <v>0</v>
      </c>
      <c r="K46" s="122" t="str">
        <f t="shared" si="24"/>
        <v>4045/4046</v>
      </c>
      <c r="L46" s="24" t="str">
        <f>VLOOKUP(A46,'Trips&amp;Operators'!$C$1:$E$10000,3,FALSE)</f>
        <v>ACKERMAN</v>
      </c>
      <c r="M46" s="6">
        <f t="shared" si="25"/>
        <v>2.6574074072414078E-2</v>
      </c>
      <c r="N46" s="7">
        <f t="shared" si="26"/>
        <v>38.266666664276272</v>
      </c>
      <c r="O46" s="7"/>
      <c r="P46" s="7"/>
      <c r="Q46" s="25"/>
      <c r="R46" s="25"/>
      <c r="S46" s="37">
        <f t="shared" si="27"/>
        <v>1</v>
      </c>
      <c r="T46" s="52" t="str">
        <f t="shared" si="19"/>
        <v>Southbound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07:32:45-0600',mode:absolute,to:'2016-09-10 10:19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46" s="54" t="str">
        <f t="shared" si="29"/>
        <v>N</v>
      </c>
      <c r="X46" s="172">
        <f t="shared" si="35"/>
        <v>1</v>
      </c>
      <c r="Y46" s="69">
        <f t="shared" si="36"/>
        <v>23.299099999999999</v>
      </c>
      <c r="Z46" s="69">
        <f t="shared" si="30"/>
        <v>1.54E-2</v>
      </c>
      <c r="AA46" s="69">
        <f t="shared" si="31"/>
        <v>23.2837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22"/>
        <v>0134-10</v>
      </c>
      <c r="AE46" s="99" t="str">
        <f t="shared" si="32"/>
        <v>aws s3 cp s3://rtdc.mdm.uploadarchive/RTDC4045/2016-09-10/ "%USERPROFILE%\AppData\Local\Temp\OnboardLogs"\RTDC4045\2016-09-10 --recursive &amp; "%USERPROFILE%\Documents\GitHub\mrs-test-scripts\Headless Mode &amp; Sideloading\WalkAndUnGZ.bat" "%USERPROFILE%\AppData\Local\Temp\OnboardLogs"\RTDC4045\2016-09-10 &amp; aws s3 cp s3://rtdc.mdm.uploadarchive/RTDC4045/2016-09-11/ "%USERPROFILE%\AppData\Local\Temp\OnboardLogs"\RTDC4045\2016-09-11 --recursive &amp; "%USERPROFILE%\Documents\GitHub\mrs-test-scripts\Headless Mode &amp; Sideloading\WalkAndUnGZ.bat" "%USERPROFILE%\AppData\Local\Temp\OnboardLogs"\RTDC4045\2016-09-11</v>
      </c>
      <c r="AF46" s="96" t="str">
        <f t="shared" si="33"/>
        <v>"C:\Program Files (x86)\AstroGrep\AstroGrep.exe" /spath="%USERPROFILE%\AppData\Local\Temp\OnboardLogs" /stypes="*4045*20160910*" /stext=" 15:.+((SYSTEM_STATE.+slice.+state.+changed )|(ment ac)|(system.+state.+changed )|(\|lc)|(penalty)|(\[timeout)|(PRM\|1\|D)|(kpr)|(kdp))" /e /r /s</v>
      </c>
      <c r="AG46" s="1" t="str">
        <f t="shared" si="34"/>
        <v>EC</v>
      </c>
      <c r="AH46" s="100" t="str">
        <f t="shared" si="17"/>
        <v>"%USERPROFILE%\Documents\GitHub\eaglep3\Utilities\RefineRTDCRunTimes.py" --tripid 134-10 --locoid 4045 --swversion DE.1.0.7.0 --startMP 204:232991 --initTime 2016-09-10T08:32:45 --startdatetime 2016-09-10T08:41:22 --delay 1 --endMP 204:154 --enddatetime 2016-09-10T09:19:38 --enforcementcount 0 &gt;&gt;C:\Users\stu\Documents\GitHub\eaglep3-reporting\EC\2016-09-10-refined-times.txt</v>
      </c>
      <c r="AI46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{"issue":{"subject":"","project_id":79,"tracker_id":40,"status_id":1,"priority_id":2,"assigned_to_id":23,"start_date":"2016-09-10","description":"","custom_fields":[{"id":1,"name":"Subdivision","value":"EC"},{"id":4,"name":"Milepost","value":"23.2837"},{"id":17,"name":"Train ID","value":"134-10"},{"id":16,"name":"Locomotive ID","value":"4045"},{"id":130,"name":"Impact","value":""},{"id":150,"name":"Time of Event (Mountain Time)","value":"09:19:38"},{"id":151,"name":"Denver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465</v>
      </c>
      <c r="B47" s="7">
        <v>4014</v>
      </c>
      <c r="C47" s="24" t="s">
        <v>108</v>
      </c>
      <c r="D47" s="24" t="s">
        <v>290</v>
      </c>
      <c r="E47" s="15">
        <v>42623.3280787037</v>
      </c>
      <c r="F47" s="15">
        <v>42623.333541666667</v>
      </c>
      <c r="G47" s="7">
        <v>1</v>
      </c>
      <c r="H47" s="15" t="s">
        <v>287</v>
      </c>
      <c r="I47" s="15">
        <v>42623.359143518515</v>
      </c>
      <c r="J47" s="7">
        <v>0</v>
      </c>
      <c r="K47" s="122" t="str">
        <f t="shared" si="24"/>
        <v>4013/4014</v>
      </c>
      <c r="L47" s="24" t="str">
        <f>VLOOKUP(A47,'Trips&amp;Operators'!$C$1:$E$10000,3,FALSE)</f>
        <v>DAVIS</v>
      </c>
      <c r="M47" s="6">
        <f t="shared" si="25"/>
        <v>2.5601851848477963E-2</v>
      </c>
      <c r="N47" s="7">
        <f t="shared" si="26"/>
        <v>36.866666661808267</v>
      </c>
      <c r="O47" s="7"/>
      <c r="P47" s="7"/>
      <c r="Q47" s="25"/>
      <c r="R47" s="25"/>
      <c r="S47" s="37">
        <f t="shared" si="27"/>
        <v>1</v>
      </c>
      <c r="T47" s="52" t="str">
        <f t="shared" si="19"/>
        <v>NorthBound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06:52:26-0600',mode:absolute,to:'2016-09-10 09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47" s="54" t="str">
        <f t="shared" si="29"/>
        <v>N</v>
      </c>
      <c r="X47" s="172">
        <f t="shared" si="35"/>
        <v>1</v>
      </c>
      <c r="Y47" s="69">
        <f t="shared" si="36"/>
        <v>4.7300000000000002E-2</v>
      </c>
      <c r="Z47" s="69">
        <f t="shared" si="30"/>
        <v>23.3293</v>
      </c>
      <c r="AA47" s="69">
        <f t="shared" si="31"/>
        <v>23.282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22"/>
        <v>0135-10</v>
      </c>
      <c r="AE47" s="99" t="str">
        <f t="shared" si="32"/>
        <v>aws s3 cp s3://rtdc.mdm.uploadarchive/RTDC4014/2016-09-10/ "%USERPROFILE%\AppData\Local\Temp\OnboardLogs"\RTDC4014\2016-09-10 --recursive &amp; "%USERPROFILE%\Documents\GitHub\mrs-test-scripts\Headless Mode &amp; Sideloading\WalkAndUnGZ.bat" "%USERPROFILE%\AppData\Local\Temp\OnboardLogs"\RTDC4014\2016-09-10 &amp; aws s3 cp s3://rtdc.mdm.uploadarchive/RTDC4014/2016-09-11/ "%USERPROFILE%\AppData\Local\Temp\OnboardLogs"\RTDC4014\2016-09-11 --recursive &amp; "%USERPROFILE%\Documents\GitHub\mrs-test-scripts\Headless Mode &amp; Sideloading\WalkAndUnGZ.bat" "%USERPROFILE%\AppData\Local\Temp\OnboardLogs"\RTDC4014\2016-09-11</v>
      </c>
      <c r="AF47" s="96" t="str">
        <f t="shared" si="33"/>
        <v>"C:\Program Files (x86)\AstroGrep\AstroGrep.exe" /spath="%USERPROFILE%\AppData\Local\Temp\OnboardLogs" /stypes="*4014*20160910*" /stext=" 14:.+((SYSTEM_STATE.+slice.+state.+changed )|(ment ac)|(system.+state.+changed )|(\|lc)|(penalty)|(\[timeout)|(PRM\|1\|D)|(kpr)|(kdp))" /e /r /s</v>
      </c>
      <c r="AG47" s="1" t="str">
        <f t="shared" si="34"/>
        <v>EC</v>
      </c>
      <c r="AH47" s="100" t="str">
        <f t="shared" si="17"/>
        <v>"%USERPROFILE%\Documents\GitHub\eaglep3\Utilities\RefineRTDCRunTimes.py" --tripid 135-10 --locoid 4014 --swversion DE.1.0.7.0 --startMP 204:473 --initTime 2016-09-10T07:52:26 --startdatetime 2016-09-10T08:00:18 --delay 1 --endMP 204:233293 --enddatetime 2016-09-10T08:37:10 --enforcementcount 0 &gt;&gt;C:\Users\stu\Documents\GitHub\eaglep3-reporting\EC\2016-09-10-refined-times.txt</v>
      </c>
      <c r="AI47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{"issue":{"subject":"","project_id":79,"tracker_id":40,"status_id":1,"priority_id":2,"assigned_to_id":23,"start_date":"2016-09-10","description":"","custom_fields":[{"id":1,"name":"Subdivision","value":"EC"},{"id":4,"name":"Milepost","value":"23.282"},{"id":17,"name":"Train ID","value":"135-10"},{"id":16,"name":"Locomotive ID","value":"4014"},{"id":130,"name":"Impact","value":""},{"id":150,"name":"Time of Event (Mountain Time)","value":"08:37:10"},{"id":151,"name":"Denver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466</v>
      </c>
      <c r="B48" s="7">
        <v>4013</v>
      </c>
      <c r="C48" s="24" t="s">
        <v>108</v>
      </c>
      <c r="D48" s="24" t="s">
        <v>336</v>
      </c>
      <c r="E48" s="15">
        <v>42623.367268518516</v>
      </c>
      <c r="F48" s="15">
        <v>42623.372372685182</v>
      </c>
      <c r="G48" s="7">
        <v>2</v>
      </c>
      <c r="H48" s="15" t="s">
        <v>250</v>
      </c>
      <c r="I48" s="15">
        <v>42623.400324074071</v>
      </c>
      <c r="J48" s="7">
        <v>0</v>
      </c>
      <c r="K48" s="122" t="str">
        <f t="shared" si="24"/>
        <v>4013/4014</v>
      </c>
      <c r="L48" s="24" t="str">
        <f>VLOOKUP(A48,'Trips&amp;Operators'!$C$1:$E$10000,3,FALSE)</f>
        <v>DAVIS</v>
      </c>
      <c r="M48" s="6">
        <f t="shared" si="25"/>
        <v>2.7951388889050577E-2</v>
      </c>
      <c r="N48" s="7">
        <f t="shared" si="26"/>
        <v>40.250000000232831</v>
      </c>
      <c r="O48" s="7"/>
      <c r="P48" s="7"/>
      <c r="Q48" s="25"/>
      <c r="R48" s="25"/>
      <c r="S48" s="37">
        <f t="shared" si="27"/>
        <v>1</v>
      </c>
      <c r="T48" s="52" t="str">
        <f t="shared" si="19"/>
        <v>Southbound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07:48:52-0600',mode:absolute,to:'2016-09-10 10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48" s="54" t="str">
        <f t="shared" si="29"/>
        <v>N</v>
      </c>
      <c r="X48" s="172">
        <f t="shared" si="35"/>
        <v>1</v>
      </c>
      <c r="Y48" s="69">
        <f t="shared" si="36"/>
        <v>23.297499999999999</v>
      </c>
      <c r="Z48" s="69">
        <f t="shared" si="30"/>
        <v>1.4999999999999999E-2</v>
      </c>
      <c r="AA48" s="69">
        <f t="shared" si="31"/>
        <v>23.282499999999999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22"/>
        <v>0136-10</v>
      </c>
      <c r="AE48" s="99" t="str">
        <f t="shared" si="32"/>
        <v>aws s3 cp s3://rtdc.mdm.uploadarchive/RTDC4013/2016-09-10/ "%USERPROFILE%\AppData\Local\Temp\OnboardLogs"\RTDC4013\2016-09-10 --recursive &amp; "%USERPROFILE%\Documents\GitHub\mrs-test-scripts\Headless Mode &amp; Sideloading\WalkAndUnGZ.bat" "%USERPROFILE%\AppData\Local\Temp\OnboardLogs"\RTDC4013\2016-09-10 &amp; aws s3 cp s3://rtdc.mdm.uploadarchive/RTDC4013/2016-09-11/ "%USERPROFILE%\AppData\Local\Temp\OnboardLogs"\RTDC4013\2016-09-11 --recursive &amp; "%USERPROFILE%\Documents\GitHub\mrs-test-scripts\Headless Mode &amp; Sideloading\WalkAndUnGZ.bat" "%USERPROFILE%\AppData\Local\Temp\OnboardLogs"\RTDC4013\2016-09-11</v>
      </c>
      <c r="AF48" s="96" t="str">
        <f t="shared" si="33"/>
        <v>"C:\Program Files (x86)\AstroGrep\AstroGrep.exe" /spath="%USERPROFILE%\AppData\Local\Temp\OnboardLogs" /stypes="*4013*20160910*" /stext=" 15:.+((SYSTEM_STATE.+slice.+state.+changed )|(ment ac)|(system.+state.+changed )|(\|lc)|(penalty)|(\[timeout)|(PRM\|1\|D)|(kpr)|(kdp))" /e /r /s</v>
      </c>
      <c r="AG48" s="1" t="str">
        <f t="shared" si="34"/>
        <v>EC</v>
      </c>
      <c r="AH48" s="100" t="str">
        <f t="shared" si="17"/>
        <v>"%USERPROFILE%\Documents\GitHub\eaglep3\Utilities\RefineRTDCRunTimes.py" --tripid 136-10 --locoid 4013 --swversion DE.1.0.7.0 --startMP 204:232975 --initTime 2016-09-10T08:48:52 --startdatetime 2016-09-10T08:56:13 --delay 2 --endMP 204:150 --enddatetime 2016-09-10T09:36:28 --enforcementcount 0 &gt;&gt;C:\Users\stu\Documents\GitHub\eaglep3-reporting\EC\2016-09-10-refined-times.txt</v>
      </c>
      <c r="AI48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{"issue":{"subject":"","project_id":79,"tracker_id":40,"status_id":1,"priority_id":2,"assigned_to_id":23,"start_date":"2016-09-10","description":"","custom_fields":[{"id":1,"name":"Subdivision","value":"EC"},{"id":4,"name":"Milepost","value":"23.2825"},{"id":17,"name":"Train ID","value":"136-10"},{"id":16,"name":"Locomotive ID","value":"4013"},{"id":130,"name":"Impact","value":""},{"id":150,"name":"Time of Event (Mountain Time)","value":"09:36:28"},{"id":151,"name":"Denver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467</v>
      </c>
      <c r="B49" s="7">
        <v>4040</v>
      </c>
      <c r="C49" s="24" t="s">
        <v>108</v>
      </c>
      <c r="D49" s="24" t="s">
        <v>295</v>
      </c>
      <c r="E49" s="15">
        <v>42623.338599537034</v>
      </c>
      <c r="F49" s="15">
        <v>42623.343981481485</v>
      </c>
      <c r="G49" s="7">
        <v>1</v>
      </c>
      <c r="H49" s="15" t="s">
        <v>468</v>
      </c>
      <c r="I49" s="15">
        <v>42623.368981481479</v>
      </c>
      <c r="J49" s="7">
        <v>0</v>
      </c>
      <c r="K49" s="122" t="str">
        <f t="shared" si="24"/>
        <v>4039/4040</v>
      </c>
      <c r="L49" s="24" t="str">
        <f>VLOOKUP(A49,'Trips&amp;Operators'!$C$1:$E$10000,3,FALSE)</f>
        <v>KILLION</v>
      </c>
      <c r="M49" s="6">
        <f t="shared" si="25"/>
        <v>2.4999999994179234E-2</v>
      </c>
      <c r="N49" s="7">
        <f t="shared" si="26"/>
        <v>35.999999991618097</v>
      </c>
      <c r="O49" s="7"/>
      <c r="P49" s="7"/>
      <c r="Q49" s="25"/>
      <c r="R49" s="25"/>
      <c r="S49" s="37">
        <f t="shared" si="27"/>
        <v>1</v>
      </c>
      <c r="T49" s="52" t="str">
        <f t="shared" si="19"/>
        <v>NorthBound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07:07:35-0600',mode:absolute,to:'2016-09-10 09:51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49" s="54" t="str">
        <f t="shared" si="29"/>
        <v>N</v>
      </c>
      <c r="X49" s="172">
        <f t="shared" si="35"/>
        <v>1</v>
      </c>
      <c r="Y49" s="69">
        <f t="shared" si="36"/>
        <v>4.6399999999999997E-2</v>
      </c>
      <c r="Z49" s="69">
        <f t="shared" si="30"/>
        <v>23.328099999999999</v>
      </c>
      <c r="AA49" s="69">
        <f t="shared" si="31"/>
        <v>23.281700000000001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22"/>
        <v>0137-10</v>
      </c>
      <c r="AE49" s="99" t="str">
        <f t="shared" si="32"/>
        <v>aws s3 cp s3://rtdc.mdm.uploadarchive/RTDC4040/2016-09-10/ "%USERPROFILE%\AppData\Local\Temp\OnboardLogs"\RTDC4040\2016-09-10 --recursive &amp; "%USERPROFILE%\Documents\GitHub\mrs-test-scripts\Headless Mode &amp; Sideloading\WalkAndUnGZ.bat" "%USERPROFILE%\AppData\Local\Temp\OnboardLogs"\RTDC4040\2016-09-10 &amp; 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</v>
      </c>
      <c r="AF49" s="96" t="str">
        <f t="shared" si="33"/>
        <v>"C:\Program Files (x86)\AstroGrep\AstroGrep.exe" /spath="%USERPROFILE%\AppData\Local\Temp\OnboardLogs" /stypes="*4040*20160910*" /stext=" 14:.+((SYSTEM_STATE.+slice.+state.+changed )|(ment ac)|(system.+state.+changed )|(\|lc)|(penalty)|(\[timeout)|(PRM\|1\|D)|(kpr)|(kdp))" /e /r /s</v>
      </c>
      <c r="AG49" s="1" t="str">
        <f t="shared" si="34"/>
        <v>EC</v>
      </c>
      <c r="AH49" s="100" t="str">
        <f t="shared" si="17"/>
        <v>"%USERPROFILE%\Documents\GitHub\eaglep3\Utilities\RefineRTDCRunTimes.py" --tripid 137-10 --locoid 4040 --swversion DE.1.0.7.0 --startMP 204:464 --initTime 2016-09-10T08:07:35 --startdatetime 2016-09-10T08:15:20 --delay 1 --endMP 204:233281 --enddatetime 2016-09-10T08:51:20 --enforcementcount 0 &gt;&gt;C:\Users\stu\Documents\GitHub\eaglep3-reporting\EC\2016-09-10-refined-times.txt</v>
      </c>
      <c r="AI49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{"issue":{"subject":"","project_id":79,"tracker_id":40,"status_id":1,"priority_id":2,"assigned_to_id":23,"start_date":"2016-09-10","description":"","custom_fields":[{"id":1,"name":"Subdivision","value":"EC"},{"id":4,"name":"Milepost","value":"23.2817"},{"id":17,"name":"Train ID","value":"137-10"},{"id":16,"name":"Locomotive ID","value":"4040"},{"id":130,"name":"Impact","value":""},{"id":150,"name":"Time of Event (Mountain Time)","value":"08:51:20"},{"id":151,"name":"Denver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469</v>
      </c>
      <c r="B50" s="7">
        <v>4039</v>
      </c>
      <c r="C50" s="24" t="s">
        <v>108</v>
      </c>
      <c r="D50" s="24" t="s">
        <v>470</v>
      </c>
      <c r="E50" s="15">
        <v>42623.374826388892</v>
      </c>
      <c r="F50" s="15">
        <v>42623.383067129631</v>
      </c>
      <c r="G50" s="7">
        <v>1</v>
      </c>
      <c r="H50" s="15" t="s">
        <v>255</v>
      </c>
      <c r="I50" s="15">
        <v>42623.409629629627</v>
      </c>
      <c r="J50" s="7">
        <v>0</v>
      </c>
      <c r="K50" s="122" t="str">
        <f t="shared" si="24"/>
        <v>4039/4040</v>
      </c>
      <c r="L50" s="24" t="str">
        <f>VLOOKUP(A50,'Trips&amp;Operators'!$C$1:$E$10000,3,FALSE)</f>
        <v>KILLION</v>
      </c>
      <c r="M50" s="6">
        <f t="shared" si="25"/>
        <v>2.6562499995634425E-2</v>
      </c>
      <c r="N50" s="7">
        <f t="shared" si="26"/>
        <v>38.249999993713573</v>
      </c>
      <c r="O50" s="7"/>
      <c r="P50" s="7"/>
      <c r="Q50" s="25"/>
      <c r="R50" s="25"/>
      <c r="S50" s="37">
        <f t="shared" si="27"/>
        <v>1</v>
      </c>
      <c r="T50" s="52" t="str">
        <f t="shared" si="19"/>
        <v>Southbound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07:59:45-0600',mode:absolute,to:'2016-09-10 10:49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50" s="54" t="str">
        <f t="shared" si="29"/>
        <v>N</v>
      </c>
      <c r="X50" s="172">
        <f t="shared" si="35"/>
        <v>1</v>
      </c>
      <c r="Y50" s="69">
        <f t="shared" si="36"/>
        <v>23.2972</v>
      </c>
      <c r="Z50" s="69">
        <f t="shared" si="30"/>
        <v>1.52E-2</v>
      </c>
      <c r="AA50" s="69">
        <f t="shared" si="31"/>
        <v>23.282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22"/>
        <v>0138-10</v>
      </c>
      <c r="AE50" s="99" t="str">
        <f t="shared" si="32"/>
        <v>aws s3 cp s3://rtdc.mdm.uploadarchive/RTDC4039/2016-09-10/ "%USERPROFILE%\AppData\Local\Temp\OnboardLogs"\RTDC4039\2016-09-10 --recursive &amp; "%USERPROFILE%\Documents\GitHub\mrs-test-scripts\Headless Mode &amp; Sideloading\WalkAndUnGZ.bat" "%USERPROFILE%\AppData\Local\Temp\OnboardLogs"\RTDC4039\2016-09-10 &amp; 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</v>
      </c>
      <c r="AF50" s="96" t="str">
        <f t="shared" si="33"/>
        <v>"C:\Program Files (x86)\AstroGrep\AstroGrep.exe" /spath="%USERPROFILE%\AppData\Local\Temp\OnboardLogs" /stypes="*4039*20160910*" /stext=" 15:.+((SYSTEM_STATE.+slice.+state.+changed )|(ment ac)|(system.+state.+changed )|(\|lc)|(penalty)|(\[timeout)|(PRM\|1\|D)|(kpr)|(kdp))" /e /r /s</v>
      </c>
      <c r="AG50" s="1" t="str">
        <f t="shared" si="34"/>
        <v>EC</v>
      </c>
      <c r="AH50" s="100" t="str">
        <f t="shared" si="17"/>
        <v>"%USERPROFILE%\Documents\GitHub\eaglep3\Utilities\RefineRTDCRunTimes.py" --tripid 138-10 --locoid 4039 --swversion DE.1.0.7.0 --startMP 204:232972 --initTime 2016-09-10T08:59:45 --startdatetime 2016-09-10T09:11:37 --delay 1 --endMP 204:152 --enddatetime 2016-09-10T09:49:52 --enforcementcount 0 &gt;&gt;C:\Users\stu\Documents\GitHub\eaglep3-reporting\EC\2016-09-10-refined-times.txt</v>
      </c>
      <c r="AI50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{"issue":{"subject":"","project_id":79,"tracker_id":40,"status_id":1,"priority_id":2,"assigned_to_id":23,"start_date":"2016-09-10","description":"","custom_fields":[{"id":1,"name":"Subdivision","value":"EC"},{"id":4,"name":"Milepost","value":"23.282"},{"id":17,"name":"Train ID","value":"138-10"},{"id":16,"name":"Locomotive ID","value":"4039"},{"id":130,"name":"Impact","value":""},{"id":150,"name":"Time of Event (Mountain Time)","value":"09:49:52"},{"id":151,"name":"Denver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471</v>
      </c>
      <c r="B51" s="7">
        <v>4038</v>
      </c>
      <c r="C51" s="24" t="s">
        <v>108</v>
      </c>
      <c r="D51" s="24" t="s">
        <v>451</v>
      </c>
      <c r="E51" s="15">
        <v>42623.348622685182</v>
      </c>
      <c r="F51" s="15">
        <v>42623.354375000003</v>
      </c>
      <c r="G51" s="7">
        <v>1</v>
      </c>
      <c r="H51" s="15" t="s">
        <v>287</v>
      </c>
      <c r="I51" s="15">
        <v>42623.378831018519</v>
      </c>
      <c r="J51" s="7">
        <v>0</v>
      </c>
      <c r="K51" s="122" t="str">
        <f t="shared" si="24"/>
        <v>4037/4038</v>
      </c>
      <c r="L51" s="24" t="str">
        <f>VLOOKUP(A51,'Trips&amp;Operators'!$C$1:$E$10000,3,FALSE)</f>
        <v>GEBRETEKLE</v>
      </c>
      <c r="M51" s="6">
        <f t="shared" si="25"/>
        <v>2.4456018516502809E-2</v>
      </c>
      <c r="N51" s="7">
        <f t="shared" si="26"/>
        <v>35.216666663764045</v>
      </c>
      <c r="O51" s="7"/>
      <c r="P51" s="7"/>
      <c r="Q51" s="25"/>
      <c r="R51" s="25"/>
      <c r="S51" s="37">
        <f t="shared" si="27"/>
        <v>1</v>
      </c>
      <c r="T51" s="52" t="str">
        <f t="shared" si="19"/>
        <v>NorthBound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07:22:01-0600',mode:absolute,to:'2016-09-10 10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51" s="54" t="str">
        <f t="shared" si="29"/>
        <v>N</v>
      </c>
      <c r="X51" s="172">
        <f t="shared" si="35"/>
        <v>1</v>
      </c>
      <c r="Y51" s="69">
        <f t="shared" si="36"/>
        <v>4.6899999999999997E-2</v>
      </c>
      <c r="Z51" s="69">
        <f t="shared" si="30"/>
        <v>23.3293</v>
      </c>
      <c r="AA51" s="69">
        <f t="shared" si="31"/>
        <v>23.282399999999999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22"/>
        <v>0139-10</v>
      </c>
      <c r="AE51" s="99" t="str">
        <f t="shared" si="32"/>
        <v>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 &amp; aws s3 cp s3://rtdc.mdm.uploadarchive/RTDC4038/2016-09-11/ "%USERPROFILE%\AppData\Local\Temp\OnboardLogs"\RTDC4038\2016-09-11 --recursive &amp; "%USERPROFILE%\Documents\GitHub\mrs-test-scripts\Headless Mode &amp; Sideloading\WalkAndUnGZ.bat" "%USERPROFILE%\AppData\Local\Temp\OnboardLogs"\RTDC4038\2016-09-11</v>
      </c>
      <c r="AF51" s="96" t="str">
        <f t="shared" si="33"/>
        <v>"C:\Program Files (x86)\AstroGrep\AstroGrep.exe" /spath="%USERPROFILE%\AppData\Local\Temp\OnboardLogs" /stypes="*4038*20160910*" /stext=" 15:.+((SYSTEM_STATE.+slice.+state.+changed )|(ment ac)|(system.+state.+changed )|(\|lc)|(penalty)|(\[timeout)|(PRM\|1\|D)|(kpr)|(kdp))" /e /r /s</v>
      </c>
      <c r="AG51" s="1" t="str">
        <f t="shared" si="34"/>
        <v>EC</v>
      </c>
      <c r="AH51" s="100" t="str">
        <f t="shared" si="17"/>
        <v>"%USERPROFILE%\Documents\GitHub\eaglep3\Utilities\RefineRTDCRunTimes.py" --tripid 139-10 --locoid 4038 --swversion DE.1.0.7.0 --startMP 204:469 --initTime 2016-09-10T08:22:01 --startdatetime 2016-09-10T08:30:18 --delay 1 --endMP 204:233293 --enddatetime 2016-09-10T09:05:31 --enforcementcount 0 &gt;&gt;C:\Users\stu\Documents\GitHub\eaglep3-reporting\EC\2016-09-10-refined-times.txt</v>
      </c>
      <c r="AI51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{"issue":{"subject":"","project_id":79,"tracker_id":40,"status_id":1,"priority_id":2,"assigned_to_id":23,"start_date":"2016-09-10","description":"","custom_fields":[{"id":1,"name":"Subdivision","value":"EC"},{"id":4,"name":"Milepost","value":"23.2824"},{"id":17,"name":"Train ID","value":"139-10"},{"id":16,"name":"Locomotive ID","value":"4038"},{"id":130,"name":"Impact","value":""},{"id":150,"name":"Time of Event (Mountain Time)","value":"09:05:31"},{"id":151,"name":"Denver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472</v>
      </c>
      <c r="B52" s="7">
        <v>4037</v>
      </c>
      <c r="C52" s="24" t="s">
        <v>108</v>
      </c>
      <c r="D52" s="24" t="s">
        <v>272</v>
      </c>
      <c r="E52" s="15">
        <v>42623.388935185183</v>
      </c>
      <c r="F52" s="15">
        <v>42623.39329861111</v>
      </c>
      <c r="G52" s="7">
        <v>1</v>
      </c>
      <c r="H52" s="15" t="s">
        <v>283</v>
      </c>
      <c r="I52" s="15">
        <v>42623.419641203705</v>
      </c>
      <c r="J52" s="7">
        <v>0</v>
      </c>
      <c r="K52" s="122" t="str">
        <f t="shared" si="24"/>
        <v>4037/4038</v>
      </c>
      <c r="L52" s="24" t="str">
        <f>VLOOKUP(A52,'Trips&amp;Operators'!$C$1:$E$10000,3,FALSE)</f>
        <v>GEBRETEKLE</v>
      </c>
      <c r="M52" s="6">
        <f t="shared" si="25"/>
        <v>2.6342592595028691E-2</v>
      </c>
      <c r="N52" s="7">
        <f t="shared" si="26"/>
        <v>37.933333336841315</v>
      </c>
      <c r="O52" s="7"/>
      <c r="P52" s="7"/>
      <c r="Q52" s="25"/>
      <c r="R52" s="25"/>
      <c r="S52" s="37">
        <f t="shared" si="27"/>
        <v>1</v>
      </c>
      <c r="T52" s="52" t="str">
        <f t="shared" ref="T52:T83" si="37">IF(ISEVEN(LEFT(AD52,4)),"Southbound","NorthBound")</f>
        <v>Southbound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08:20:04-0600',mode:absolute,to:'2016-09-10 11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52" s="54" t="str">
        <f t="shared" si="29"/>
        <v>N</v>
      </c>
      <c r="X52" s="172">
        <f t="shared" si="35"/>
        <v>1</v>
      </c>
      <c r="Y52" s="69">
        <f t="shared" si="36"/>
        <v>23.297699999999999</v>
      </c>
      <c r="Z52" s="69">
        <f t="shared" si="30"/>
        <v>1.3899999999999999E-2</v>
      </c>
      <c r="AA52" s="69">
        <f t="shared" si="31"/>
        <v>23.283799999999999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 t="shared" si="22"/>
        <v>0140-10</v>
      </c>
      <c r="AE52" s="99" t="str">
        <f t="shared" si="32"/>
        <v>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 &amp; aws s3 cp s3://rtdc.mdm.uploadarchive/RTDC4037/2016-09-11/ "%USERPROFILE%\AppData\Local\Temp\OnboardLogs"\RTDC4037\2016-09-11 --recursive &amp; "%USERPROFILE%\Documents\GitHub\mrs-test-scripts\Headless Mode &amp; Sideloading\WalkAndUnGZ.bat" "%USERPROFILE%\AppData\Local\Temp\OnboardLogs"\RTDC4037\2016-09-11</v>
      </c>
      <c r="AF52" s="96" t="str">
        <f t="shared" si="33"/>
        <v>"C:\Program Files (x86)\AstroGrep\AstroGrep.exe" /spath="%USERPROFILE%\AppData\Local\Temp\OnboardLogs" /stypes="*4037*20160910*" /stext=" 16:.+((SYSTEM_STATE.+slice.+state.+changed )|(ment ac)|(system.+state.+changed )|(\|lc)|(penalty)|(\[timeout)|(PRM\|1\|D)|(kpr)|(kdp))" /e /r /s</v>
      </c>
      <c r="AG52" s="1" t="str">
        <f t="shared" si="34"/>
        <v>EC</v>
      </c>
      <c r="AH52" s="100" t="str">
        <f t="shared" si="17"/>
        <v>"%USERPROFILE%\Documents\GitHub\eaglep3\Utilities\RefineRTDCRunTimes.py" --tripid 140-10 --locoid 4037 --swversion DE.1.0.7.0 --startMP 204:232977 --initTime 2016-09-10T09:20:04 --startdatetime 2016-09-10T09:26:21 --delay 1 --endMP 204:139 --enddatetime 2016-09-10T10:04:17 --enforcementcount 0 &gt;&gt;C:\Users\stu\Documents\GitHub\eaglep3-reporting\EC\2016-09-10-refined-times.txt</v>
      </c>
      <c r="AI52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{"issue":{"subject":"","project_id":79,"tracker_id":40,"status_id":1,"priority_id":2,"assigned_to_id":23,"start_date":"2016-09-10","description":"","custom_fields":[{"id":1,"name":"Subdivision","value":"EC"},{"id":4,"name":"Milepost","value":"23.2838"},{"id":17,"name":"Train ID","value":"140-10"},{"id":16,"name":"Locomotive ID","value":"4037"},{"id":130,"name":"Impact","value":""},{"id":150,"name":"Time of Event (Mountain Time)","value":"10:04:17"},{"id":151,"name":"Denver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473</v>
      </c>
      <c r="B53" s="7">
        <v>4009</v>
      </c>
      <c r="C53" s="24" t="s">
        <v>108</v>
      </c>
      <c r="D53" s="24" t="s">
        <v>268</v>
      </c>
      <c r="E53" s="15">
        <v>42623.361550925925</v>
      </c>
      <c r="F53" s="15">
        <v>42623.365162037036</v>
      </c>
      <c r="G53" s="7">
        <v>1</v>
      </c>
      <c r="H53" s="15" t="s">
        <v>284</v>
      </c>
      <c r="I53" s="15">
        <v>42623.391157407408</v>
      </c>
      <c r="J53" s="7">
        <v>0</v>
      </c>
      <c r="K53" s="122" t="str">
        <f t="shared" si="24"/>
        <v>4009/4010</v>
      </c>
      <c r="L53" s="24" t="str">
        <f>VLOOKUP(A53,'Trips&amp;Operators'!$C$1:$E$10000,3,FALSE)</f>
        <v>MAELZER</v>
      </c>
      <c r="M53" s="6">
        <f t="shared" si="25"/>
        <v>2.5995370371674653E-2</v>
      </c>
      <c r="N53" s="7">
        <f t="shared" si="26"/>
        <v>37.433333335211501</v>
      </c>
      <c r="O53" s="7"/>
      <c r="P53" s="7"/>
      <c r="Q53" s="25"/>
      <c r="R53" s="25"/>
      <c r="S53" s="37">
        <f t="shared" si="27"/>
        <v>1</v>
      </c>
      <c r="T53" s="52" t="str">
        <f t="shared" si="37"/>
        <v>NorthBound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07:40:38-0600',mode:absolute,to:'2016-09-10 10:23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53" s="54" t="str">
        <f t="shared" si="29"/>
        <v>N</v>
      </c>
      <c r="X53" s="172">
        <f t="shared" si="35"/>
        <v>1</v>
      </c>
      <c r="Y53" s="69">
        <f t="shared" si="36"/>
        <v>4.5100000000000001E-2</v>
      </c>
      <c r="Z53" s="69">
        <f t="shared" si="30"/>
        <v>23.331</v>
      </c>
      <c r="AA53" s="69">
        <f t="shared" si="31"/>
        <v>23.285899999999998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22"/>
        <v>0141-10</v>
      </c>
      <c r="AE53" s="99" t="str">
        <f t="shared" si="32"/>
        <v>aws s3 cp s3://rtdc.mdm.uploadarchive/RTDC4009/2016-09-10/ "%USERPROFILE%\AppData\Local\Temp\OnboardLogs"\RTDC4009\2016-09-10 --recursive &amp; "%USERPROFILE%\Documents\GitHub\mrs-test-scripts\Headless Mode &amp; Sideloading\WalkAndUnGZ.bat" "%USERPROFILE%\AppData\Local\Temp\OnboardLogs"\RTDC4009\2016-09-10 &amp; aws s3 cp s3://rtdc.mdm.uploadarchive/RTDC4009/2016-09-11/ "%USERPROFILE%\AppData\Local\Temp\OnboardLogs"\RTDC4009\2016-09-11 --recursive &amp; "%USERPROFILE%\Documents\GitHub\mrs-test-scripts\Headless Mode &amp; Sideloading\WalkAndUnGZ.bat" "%USERPROFILE%\AppData\Local\Temp\OnboardLogs"\RTDC4009\2016-09-11</v>
      </c>
      <c r="AF53" s="96" t="str">
        <f t="shared" si="33"/>
        <v>"C:\Program Files (x86)\AstroGrep\AstroGrep.exe" /spath="%USERPROFILE%\AppData\Local\Temp\OnboardLogs" /stypes="*4009*20160910*" /stext=" 15:.+((SYSTEM_STATE.+slice.+state.+changed )|(ment ac)|(system.+state.+changed )|(\|lc)|(penalty)|(\[timeout)|(PRM\|1\|D)|(kpr)|(kdp))" /e /r /s</v>
      </c>
      <c r="AG53" s="1" t="str">
        <f t="shared" si="34"/>
        <v>EC</v>
      </c>
      <c r="AH53" s="100" t="str">
        <f t="shared" si="17"/>
        <v>"%USERPROFILE%\Documents\GitHub\eaglep3\Utilities\RefineRTDCRunTimes.py" --tripid 141-10 --locoid 4009 --swversion DE.1.0.7.0 --startMP 204:451 --initTime 2016-09-10T08:40:38 --startdatetime 2016-09-10T08:45:50 --delay 1 --endMP 204:233310 --enddatetime 2016-09-10T09:23:16 --enforcementcount 0 &gt;&gt;C:\Users\stu\Documents\GitHub\eaglep3-reporting\EC\2016-09-10-refined-times.txt</v>
      </c>
      <c r="AI53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{"issue":{"subject":"","project_id":79,"tracker_id":40,"status_id":1,"priority_id":2,"assigned_to_id":23,"start_date":"2016-09-10","description":"","custom_fields":[{"id":1,"name":"Subdivision","value":"EC"},{"id":4,"name":"Milepost","value":"23.2859"},{"id":17,"name":"Train ID","value":"141-10"},{"id":16,"name":"Locomotive ID","value":"4009"},{"id":130,"name":"Impact","value":""},{"id":150,"name":"Time of Event (Mountain Time)","value":"09:23:16"},{"id":151,"name":"Denver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474</v>
      </c>
      <c r="B54" s="7">
        <v>4010</v>
      </c>
      <c r="C54" s="24" t="s">
        <v>108</v>
      </c>
      <c r="D54" s="24" t="s">
        <v>475</v>
      </c>
      <c r="E54" s="15">
        <v>42623.397418981483</v>
      </c>
      <c r="F54" s="15">
        <v>42623.40384259259</v>
      </c>
      <c r="G54" s="7">
        <v>0</v>
      </c>
      <c r="H54" s="15" t="s">
        <v>246</v>
      </c>
      <c r="I54" s="15">
        <v>42623.430937500001</v>
      </c>
      <c r="J54" s="7">
        <v>0</v>
      </c>
      <c r="K54" s="122" t="str">
        <f t="shared" si="24"/>
        <v>4009/4010</v>
      </c>
      <c r="L54" s="24" t="str">
        <f>VLOOKUP(A54,'Trips&amp;Operators'!$C$1:$E$10000,3,FALSE)</f>
        <v>MAELZER</v>
      </c>
      <c r="M54" s="6">
        <f t="shared" si="25"/>
        <v>2.7094907411083113E-2</v>
      </c>
      <c r="N54" s="7">
        <f t="shared" si="26"/>
        <v>39.016666671959683</v>
      </c>
      <c r="O54" s="7"/>
      <c r="P54" s="7"/>
      <c r="Q54" s="25"/>
      <c r="R54" s="25"/>
      <c r="S54" s="37">
        <f t="shared" si="27"/>
        <v>1</v>
      </c>
      <c r="T54" s="52" t="str">
        <f t="shared" si="37"/>
        <v>Southbound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08:32:17-0600',mode:absolute,to:'2016-09-10 11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54" s="54" t="str">
        <f t="shared" si="29"/>
        <v>N</v>
      </c>
      <c r="X54" s="172">
        <f t="shared" si="35"/>
        <v>1</v>
      </c>
      <c r="Y54" s="69">
        <f t="shared" si="36"/>
        <v>23.3002</v>
      </c>
      <c r="Z54" s="69">
        <f t="shared" si="30"/>
        <v>1.47E-2</v>
      </c>
      <c r="AA54" s="69">
        <f t="shared" si="31"/>
        <v>23.285499999999999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22"/>
        <v>0142-10</v>
      </c>
      <c r="AE54" s="99" t="str">
        <f t="shared" si="32"/>
        <v>aws s3 cp s3://rtdc.mdm.uploadarchive/RTDC4010/2016-09-10/ "%USERPROFILE%\AppData\Local\Temp\OnboardLogs"\RTDC4010\2016-09-10 --recursive &amp; "%USERPROFILE%\Documents\GitHub\mrs-test-scripts\Headless Mode &amp; Sideloading\WalkAndUnGZ.bat" "%USERPROFILE%\AppData\Local\Temp\OnboardLogs"\RTDC4010\2016-09-10 &amp; 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</v>
      </c>
      <c r="AF54" s="96" t="str">
        <f t="shared" si="33"/>
        <v>"C:\Program Files (x86)\AstroGrep\AstroGrep.exe" /spath="%USERPROFILE%\AppData\Local\Temp\OnboardLogs" /stypes="*4010*20160910*" /stext=" 16:.+((SYSTEM_STATE.+slice.+state.+changed )|(ment ac)|(system.+state.+changed )|(\|lc)|(penalty)|(\[timeout)|(PRM\|1\|D)|(kpr)|(kdp))" /e /r /s</v>
      </c>
      <c r="AG54" s="1" t="str">
        <f t="shared" si="34"/>
        <v>EC</v>
      </c>
      <c r="AH54" s="100" t="str">
        <f t="shared" si="17"/>
        <v>"%USERPROFILE%\Documents\GitHub\eaglep3\Utilities\RefineRTDCRunTimes.py" --tripid 142-10 --locoid 4010 --swversion DE.1.0.7.0 --startMP 204:233002 --initTime 2016-09-10T09:32:17 --startdatetime 2016-09-10T09:41:32 --delay 0 --endMP 204:147 --enddatetime 2016-09-10T10:20:33 --enforcementcount 0 &gt;&gt;C:\Users\stu\Documents\GitHub\eaglep3-reporting\EC\2016-09-10-refined-times.txt</v>
      </c>
      <c r="AI54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{"issue":{"subject":"","project_id":79,"tracker_id":40,"status_id":1,"priority_id":2,"assigned_to_id":23,"start_date":"2016-09-10","description":"","custom_fields":[{"id":1,"name":"Subdivision","value":"EC"},{"id":4,"name":"Milepost","value":"23.2855"},{"id":17,"name":"Train ID","value":"142-10"},{"id":16,"name":"Locomotive ID","value":"4010"},{"id":130,"name":"Impact","value":""},{"id":150,"name":"Time of Event (Mountain Time)","value":"10:20:33"},{"id":151,"name":"Denver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404</v>
      </c>
      <c r="B55" s="7">
        <v>4011</v>
      </c>
      <c r="C55" s="24" t="s">
        <v>108</v>
      </c>
      <c r="D55" s="24" t="s">
        <v>450</v>
      </c>
      <c r="E55" s="15">
        <v>42623.372465277775</v>
      </c>
      <c r="F55" s="15">
        <v>42623.375601851854</v>
      </c>
      <c r="G55" s="7">
        <v>3</v>
      </c>
      <c r="H55" s="15" t="s">
        <v>337</v>
      </c>
      <c r="I55" s="15">
        <v>42623.400034722225</v>
      </c>
      <c r="J55" s="7">
        <v>0</v>
      </c>
      <c r="K55" s="122" t="str">
        <f t="shared" si="24"/>
        <v>4011/4012</v>
      </c>
      <c r="L55" s="24" t="str">
        <f>VLOOKUP(A55,'Trips&amp;Operators'!$C$1:$E$10000,3,FALSE)</f>
        <v>HILLS</v>
      </c>
      <c r="M55" s="6">
        <f t="shared" si="25"/>
        <v>2.4432870370219462E-2</v>
      </c>
      <c r="N55" s="7">
        <f t="shared" si="26"/>
        <v>35.183333333116025</v>
      </c>
      <c r="O55" s="7"/>
      <c r="P55" s="7"/>
      <c r="Q55" s="25"/>
      <c r="R55" s="25"/>
      <c r="S55" s="37">
        <f t="shared" si="27"/>
        <v>1</v>
      </c>
      <c r="T55" s="52" t="str">
        <f t="shared" si="37"/>
        <v>NorthBound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07:56:21-0600',mode:absolute,to:'2016-09-10 10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55" s="54" t="str">
        <f t="shared" si="29"/>
        <v>N</v>
      </c>
      <c r="X55" s="172">
        <f t="shared" si="35"/>
        <v>1</v>
      </c>
      <c r="Y55" s="69">
        <f t="shared" si="36"/>
        <v>4.7800000000000002E-2</v>
      </c>
      <c r="Z55" s="69">
        <f t="shared" si="30"/>
        <v>23.3249</v>
      </c>
      <c r="AA55" s="69">
        <f t="shared" si="31"/>
        <v>23.277100000000001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22"/>
        <v>0143-10</v>
      </c>
      <c r="AE55" s="99" t="str">
        <f t="shared" si="32"/>
        <v>aws s3 cp s3://rtdc.mdm.uploadarchive/RTDC4011/2016-09-10/ "%USERPROFILE%\AppData\Local\Temp\OnboardLogs"\RTDC4011\2016-09-10 --recursive &amp; "%USERPROFILE%\Documents\GitHub\mrs-test-scripts\Headless Mode &amp; Sideloading\WalkAndUnGZ.bat" "%USERPROFILE%\AppData\Local\Temp\OnboardLogs"\RTDC4011\2016-09-10 &amp; aws s3 cp s3://rtdc.mdm.uploadarchive/RTDC4011/2016-09-11/ "%USERPROFILE%\AppData\Local\Temp\OnboardLogs"\RTDC4011\2016-09-11 --recursive &amp; "%USERPROFILE%\Documents\GitHub\mrs-test-scripts\Headless Mode &amp; Sideloading\WalkAndUnGZ.bat" "%USERPROFILE%\AppData\Local\Temp\OnboardLogs"\RTDC4011\2016-09-11</v>
      </c>
      <c r="AF55" s="96" t="str">
        <f t="shared" si="33"/>
        <v>"C:\Program Files (x86)\AstroGrep\AstroGrep.exe" /spath="%USERPROFILE%\AppData\Local\Temp\OnboardLogs" /stypes="*4011*20160910*" /stext=" 15:.+((SYSTEM_STATE.+slice.+state.+changed )|(ment ac)|(system.+state.+changed )|(\|lc)|(penalty)|(\[timeout)|(PRM\|1\|D)|(kpr)|(kdp))" /e /r /s</v>
      </c>
      <c r="AG55" s="1" t="str">
        <f t="shared" si="34"/>
        <v>EC</v>
      </c>
      <c r="AH55" s="100" t="str">
        <f t="shared" si="17"/>
        <v>"%USERPROFILE%\Documents\GitHub\eaglep3\Utilities\RefineRTDCRunTimes.py" --tripid 143-10 --locoid 4011 --swversion DE.1.0.7.0 --startMP 204:478 --initTime 2016-09-10T08:56:21 --startdatetime 2016-09-10T09:00:52 --delay 3 --endMP 204:233249 --enddatetime 2016-09-10T09:36:03 --enforcementcount 0 &gt;&gt;C:\Users\stu\Documents\GitHub\eaglep3-reporting\EC\2016-09-10-refined-times.txt</v>
      </c>
      <c r="AI55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{"issue":{"subject":"","project_id":79,"tracker_id":40,"status_id":1,"priority_id":2,"assigned_to_id":23,"start_date":"2016-09-10","description":"","custom_fields":[{"id":1,"name":"Subdivision","value":"EC"},{"id":4,"name":"Milepost","value":"23.2771"},{"id":17,"name":"Train ID","value":"143-10"},{"id":16,"name":"Locomotive ID","value":"4011"},{"id":130,"name":"Impact","value":""},{"id":150,"name":"Time of Event (Mountain Time)","value":"09:36:03"},{"id":151,"name":"Denver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476</v>
      </c>
      <c r="B56" s="7">
        <v>4012</v>
      </c>
      <c r="C56" s="24" t="s">
        <v>108</v>
      </c>
      <c r="D56" s="24" t="s">
        <v>477</v>
      </c>
      <c r="E56" s="15">
        <v>42623.404548611114</v>
      </c>
      <c r="F56" s="15">
        <v>42623.414189814815</v>
      </c>
      <c r="G56" s="7">
        <v>1</v>
      </c>
      <c r="H56" s="15" t="s">
        <v>270</v>
      </c>
      <c r="I56" s="15">
        <v>42623.440763888888</v>
      </c>
      <c r="J56" s="7">
        <v>0</v>
      </c>
      <c r="K56" s="122" t="str">
        <f t="shared" si="24"/>
        <v>4011/4012</v>
      </c>
      <c r="L56" s="24" t="str">
        <f>VLOOKUP(A56,'Trips&amp;Operators'!$C$1:$E$10000,3,FALSE)</f>
        <v>HILLS</v>
      </c>
      <c r="M56" s="6">
        <f t="shared" si="25"/>
        <v>2.6574074072414078E-2</v>
      </c>
      <c r="N56" s="7">
        <f t="shared" si="26"/>
        <v>38.266666664276272</v>
      </c>
      <c r="O56" s="7"/>
      <c r="P56" s="7"/>
      <c r="Q56" s="25"/>
      <c r="R56" s="25"/>
      <c r="S56" s="37">
        <f t="shared" si="27"/>
        <v>1</v>
      </c>
      <c r="T56" s="52" t="str">
        <f t="shared" si="37"/>
        <v>Southbound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08:42:33-0600',mode:absolute,to:'2016-09-10 11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56" s="54" t="str">
        <f t="shared" si="29"/>
        <v>N</v>
      </c>
      <c r="X56" s="172">
        <f t="shared" si="35"/>
        <v>1</v>
      </c>
      <c r="Y56" s="69">
        <f t="shared" si="36"/>
        <v>23.293199999999999</v>
      </c>
      <c r="Z56" s="69">
        <f t="shared" si="30"/>
        <v>1.5599999999999999E-2</v>
      </c>
      <c r="AA56" s="69">
        <f t="shared" si="31"/>
        <v>23.2776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22"/>
        <v>0144-10</v>
      </c>
      <c r="AE56" s="99" t="str">
        <f t="shared" si="32"/>
        <v>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 &amp; aws s3 cp s3://rtdc.mdm.uploadarchive/RTDC4012/2016-09-11/ "%USERPROFILE%\AppData\Local\Temp\OnboardLogs"\RTDC4012\2016-09-11 --recursive &amp; "%USERPROFILE%\Documents\GitHub\mrs-test-scripts\Headless Mode &amp; Sideloading\WalkAndUnGZ.bat" "%USERPROFILE%\AppData\Local\Temp\OnboardLogs"\RTDC4012\2016-09-11</v>
      </c>
      <c r="AF56" s="96" t="str">
        <f t="shared" si="33"/>
        <v>"C:\Program Files (x86)\AstroGrep\AstroGrep.exe" /spath="%USERPROFILE%\AppData\Local\Temp\OnboardLogs" /stypes="*4012*20160910*" /stext=" 16:.+((SYSTEM_STATE.+slice.+state.+changed )|(ment ac)|(system.+state.+changed )|(\|lc)|(penalty)|(\[timeout)|(PRM\|1\|D)|(kpr)|(kdp))" /e /r /s</v>
      </c>
      <c r="AG56" s="1" t="str">
        <f t="shared" si="34"/>
        <v>EC</v>
      </c>
      <c r="AH56" s="100" t="str">
        <f t="shared" si="17"/>
        <v>"%USERPROFILE%\Documents\GitHub\eaglep3\Utilities\RefineRTDCRunTimes.py" --tripid 144-10 --locoid 4012 --swversion DE.1.0.7.0 --startMP 204:232932 --initTime 2016-09-10T09:42:33 --startdatetime 2016-09-10T09:56:26 --delay 1 --endMP 204:156 --enddatetime 2016-09-10T10:34:42 --enforcementcount 0 &gt;&gt;C:\Users\stu\Documents\GitHub\eaglep3-reporting\EC\2016-09-10-refined-times.txt</v>
      </c>
      <c r="AI56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{"issue":{"subject":"","project_id":79,"tracker_id":40,"status_id":1,"priority_id":2,"assigned_to_id":23,"start_date":"2016-09-10","description":"","custom_fields":[{"id":1,"name":"Subdivision","value":"EC"},{"id":4,"name":"Milepost","value":"23.2776"},{"id":17,"name":"Train ID","value":"144-10"},{"id":16,"name":"Locomotive ID","value":"4012"},{"id":130,"name":"Impact","value":""},{"id":150,"name":"Time of Event (Mountain Time)","value":"10:34:42"},{"id":151,"name":"Denver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403</v>
      </c>
      <c r="B57" s="7">
        <v>4002</v>
      </c>
      <c r="C57" s="24" t="s">
        <v>108</v>
      </c>
      <c r="D57" s="24" t="s">
        <v>286</v>
      </c>
      <c r="E57" s="15">
        <v>42623.384247685186</v>
      </c>
      <c r="F57" s="15">
        <v>42623.385740740741</v>
      </c>
      <c r="G57" s="7">
        <v>1</v>
      </c>
      <c r="H57" s="15" t="s">
        <v>478</v>
      </c>
      <c r="I57" s="15">
        <v>42623.41201388889</v>
      </c>
      <c r="J57" s="7">
        <v>0</v>
      </c>
      <c r="K57" s="122" t="str">
        <f t="shared" si="24"/>
        <v>4001/4002</v>
      </c>
      <c r="L57" s="24" t="str">
        <f>VLOOKUP(A57,'Trips&amp;Operators'!$C$1:$E$10000,3,FALSE)</f>
        <v>MALAVE</v>
      </c>
      <c r="M57" s="6">
        <f t="shared" si="25"/>
        <v>2.6273148148902692E-2</v>
      </c>
      <c r="N57" s="7">
        <f t="shared" si="26"/>
        <v>37.833333334419876</v>
      </c>
      <c r="O57" s="7"/>
      <c r="P57" s="7"/>
      <c r="Q57" s="25"/>
      <c r="R57" s="25"/>
      <c r="S57" s="37">
        <f t="shared" si="27"/>
        <v>1</v>
      </c>
      <c r="T57" s="52" t="str">
        <f t="shared" si="37"/>
        <v>NorthBound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08:13:19-0600',mode:absolute,to:'2016-09-10 10:53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57" s="54" t="str">
        <f t="shared" si="29"/>
        <v>N</v>
      </c>
      <c r="X57" s="172">
        <f t="shared" si="35"/>
        <v>1</v>
      </c>
      <c r="Y57" s="69">
        <f t="shared" si="36"/>
        <v>4.7699999999999999E-2</v>
      </c>
      <c r="Z57" s="69">
        <f t="shared" si="30"/>
        <v>23.327000000000002</v>
      </c>
      <c r="AA57" s="69">
        <f t="shared" si="31"/>
        <v>23.279300000000003</v>
      </c>
      <c r="AB57" s="66" t="str">
        <f>VLOOKUP(A57,Enforcements!$C$7:$K$21,8,0)</f>
        <v>Bulletin (2)</v>
      </c>
      <c r="AC57" s="62" t="str">
        <f>VLOOKUP(A57,Enforcements!$C$7:$E$21,3,0)</f>
        <v>GRADE CROSSING</v>
      </c>
      <c r="AD57" s="63" t="str">
        <f t="shared" ref="AD57:AD88" si="38">IF(LEN(A57)=6,"0"&amp;A57,A57)</f>
        <v>0145-10</v>
      </c>
      <c r="AE57" s="99" t="str">
        <f t="shared" si="32"/>
        <v>aws s3 cp s3://rtdc.mdm.uploadarchive/RTDC4002/2016-09-10/ "%USERPROFILE%\AppData\Local\Temp\OnboardLogs"\RTDC4002\2016-09-10 --recursive &amp; "%USERPROFILE%\Documents\GitHub\mrs-test-scripts\Headless Mode &amp; Sideloading\WalkAndUnGZ.bat" "%USERPROFILE%\AppData\Local\Temp\OnboardLogs"\RTDC4002\2016-09-10 &amp; 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</v>
      </c>
      <c r="AF57" s="96" t="str">
        <f t="shared" si="33"/>
        <v>"C:\Program Files (x86)\AstroGrep\AstroGrep.exe" /spath="%USERPROFILE%\AppData\Local\Temp\OnboardLogs" /stypes="*4002*20160910*" /stext=" 15:.+((SYSTEM_STATE.+slice.+state.+changed )|(ment ac)|(system.+state.+changed )|(\|lc)|(penalty)|(\[timeout)|(PRM\|1\|D)|(kpr)|(kdp))" /e /r /s</v>
      </c>
      <c r="AG57" s="1" t="str">
        <f t="shared" si="34"/>
        <v>EC</v>
      </c>
      <c r="AH57" s="100" t="str">
        <f t="shared" si="17"/>
        <v>"%USERPROFILE%\Documents\GitHub\eaglep3\Utilities\RefineRTDCRunTimes.py" --tripid 145-10 --locoid 4002 --swversion DE.1.0.7.0 --startMP 204:477 --initTime 2016-09-10T09:13:19 --startdatetime 2016-09-10T09:15:28 --delay 1 --endMP 204:233270 --enddatetime 2016-09-10T09:53:18 --enforcementcount 0 &gt;&gt;C:\Users\stu\Documents\GitHub\eaglep3-reporting\EC\2016-09-10-refined-times.txt</v>
      </c>
      <c r="AI57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{"issue":{"subject":"","project_id":79,"tracker_id":40,"status_id":1,"priority_id":2,"assigned_to_id":23,"start_date":"2016-09-10","description":"","custom_fields":[{"id":1,"name":"Subdivision","value":"EC"},{"id":4,"name":"Milepost","value":"23.2793"},{"id":17,"name":"Train ID","value":"145-10"},{"id":16,"name":"Locomotive ID","value":"4002"},{"id":130,"name":"Impact","value":""},{"id":150,"name":"Time of Event (Mountain Time)","value":"09:53:18"},{"id":151,"name":"Denver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408</v>
      </c>
      <c r="B58" s="7">
        <v>4001</v>
      </c>
      <c r="C58" s="24" t="s">
        <v>108</v>
      </c>
      <c r="D58" s="24" t="s">
        <v>479</v>
      </c>
      <c r="E58" s="15">
        <v>42623.421400462961</v>
      </c>
      <c r="F58" s="15">
        <v>42623.424560185187</v>
      </c>
      <c r="G58" s="7">
        <v>1</v>
      </c>
      <c r="H58" s="15" t="s">
        <v>243</v>
      </c>
      <c r="I58" s="15">
        <v>42623.456111111111</v>
      </c>
      <c r="J58" s="7">
        <v>0</v>
      </c>
      <c r="K58" s="122" t="str">
        <f t="shared" si="24"/>
        <v>4001/4002</v>
      </c>
      <c r="L58" s="24" t="str">
        <f>VLOOKUP(A58,'Trips&amp;Operators'!$C$1:$E$10000,3,FALSE)</f>
        <v>MALAVE</v>
      </c>
      <c r="M58" s="6">
        <f t="shared" si="25"/>
        <v>3.1550925923511386E-2</v>
      </c>
      <c r="N58" s="7">
        <f t="shared" si="26"/>
        <v>45.433333329856396</v>
      </c>
      <c r="O58" s="7"/>
      <c r="P58" s="7"/>
      <c r="Q58" s="25"/>
      <c r="R58" s="25"/>
      <c r="S58" s="37">
        <f t="shared" si="27"/>
        <v>1</v>
      </c>
      <c r="T58" s="52" t="str">
        <f t="shared" si="37"/>
        <v>Southbound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https://search-rtdc-monitor-bjffxe2xuh6vdkpspy63sjmuny.us-east-1.es.amazonaws.com/_plugin/kibana/#/discover/Steve-Slow-Train-Analysis-(2080s-and-2083s)?_g=(refreshInterval:(display:Off,section:0,value:0),time:(from:'2016-09-10 09:06:49-0600',mode:absolute,to:'2016-09-10 11:56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58" s="54" t="str">
        <f t="shared" si="29"/>
        <v>N</v>
      </c>
      <c r="X58" s="172">
        <f t="shared" si="35"/>
        <v>1</v>
      </c>
      <c r="Y58" s="69">
        <f t="shared" si="36"/>
        <v>23.295100000000001</v>
      </c>
      <c r="Z58" s="69">
        <f t="shared" si="30"/>
        <v>1.5800000000000002E-2</v>
      </c>
      <c r="AA58" s="69">
        <f t="shared" si="31"/>
        <v>23.279300000000003</v>
      </c>
      <c r="AB58" s="66" t="str">
        <f>VLOOKUP(A58,Enforcements!$C$7:$K$21,8,0)</f>
        <v>Bulletin (2)</v>
      </c>
      <c r="AC58" s="62" t="str">
        <f>VLOOKUP(A58,Enforcements!$C$7:$E$21,3,0)</f>
        <v>GRADE CROSSING</v>
      </c>
      <c r="AD58" s="63" t="str">
        <f t="shared" si="38"/>
        <v>0146-10</v>
      </c>
      <c r="AE58" s="99" t="str">
        <f t="shared" si="32"/>
        <v>aws s3 cp s3://rtdc.mdm.uploadarchive/RTDC4001/2016-09-10/ "%USERPROFILE%\AppData\Local\Temp\OnboardLogs"\RTDC4001\2016-09-10 --recursive &amp; "%USERPROFILE%\Documents\GitHub\mrs-test-scripts\Headless Mode &amp; Sideloading\WalkAndUnGZ.bat" "%USERPROFILE%\AppData\Local\Temp\OnboardLogs"\RTDC4001\2016-09-10 &amp; 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</v>
      </c>
      <c r="AF58" s="96" t="str">
        <f t="shared" si="33"/>
        <v>"C:\Program Files (x86)\AstroGrep\AstroGrep.exe" /spath="%USERPROFILE%\AppData\Local\Temp\OnboardLogs" /stypes="*4001*20160910*" /stext=" 16:.+((SYSTEM_STATE.+slice.+state.+changed )|(ment ac)|(system.+state.+changed )|(\|lc)|(penalty)|(\[timeout)|(PRM\|1\|D)|(kpr)|(kdp))" /e /r /s</v>
      </c>
      <c r="AG58" s="1" t="str">
        <f t="shared" si="34"/>
        <v>EC</v>
      </c>
      <c r="AH58" s="100" t="str">
        <f t="shared" si="17"/>
        <v>"%USERPROFILE%\Documents\GitHub\eaglep3\Utilities\RefineRTDCRunTimes.py" --tripid 146-10 --locoid 4001 --swversion DE.1.0.7.0 --startMP 204:232951 --initTime 2016-09-10T10:06:49 --startdatetime 2016-09-10T10:11:22 --delay 1 --endMP 204:158 --enddatetime 2016-09-10T10:56:48 --enforcementcount 0 &gt;&gt;C:\Users\stu\Documents\GitHub\eaglep3-reporting\EC\2016-09-10-refined-times.txt</v>
      </c>
      <c r="AI58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{"issue":{"subject":"","project_id":79,"tracker_id":40,"status_id":1,"priority_id":2,"assigned_to_id":23,"start_date":"2016-09-10","description":"","custom_fields":[{"id":1,"name":"Subdivision","value":"EC"},{"id":4,"name":"Milepost","value":"23.2793"},{"id":17,"name":"Train ID","value":"146-10"},{"id":16,"name":"Locomotive ID","value":"4001"},{"id":130,"name":"Impact","value":""},{"id":150,"name":"Time of Event (Mountain Time)","value":"10:56:48"},{"id":151,"name":"Denver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480</v>
      </c>
      <c r="B59" s="7">
        <v>4046</v>
      </c>
      <c r="C59" s="24" t="s">
        <v>108</v>
      </c>
      <c r="D59" s="24" t="s">
        <v>259</v>
      </c>
      <c r="E59" s="15">
        <v>42623.391076388885</v>
      </c>
      <c r="F59" s="15">
        <v>42623.396053240744</v>
      </c>
      <c r="G59" s="7">
        <v>1</v>
      </c>
      <c r="H59" s="15" t="s">
        <v>273</v>
      </c>
      <c r="I59" s="15">
        <v>42623.420590277776</v>
      </c>
      <c r="J59" s="7">
        <v>0</v>
      </c>
      <c r="K59" s="122" t="str">
        <f t="shared" ref="K59:K90" si="39">IF(ISEVEN(B59),(B59-1)&amp;"/"&amp;B59,B59&amp;"/"&amp;(B59+1))</f>
        <v>4045/4046</v>
      </c>
      <c r="L59" s="24" t="str">
        <f>VLOOKUP(A59,'Trips&amp;Operators'!$C$1:$E$10000,3,FALSE)</f>
        <v>ACKERMAN</v>
      </c>
      <c r="M59" s="6">
        <f t="shared" ref="M59:M90" si="40">I59-F59</f>
        <v>2.4537037032132503E-2</v>
      </c>
      <c r="N59" s="7">
        <f t="shared" ref="N59:N90" si="41">24*60*SUM($M59:$M59)</f>
        <v>35.333333326270804</v>
      </c>
      <c r="O59" s="7"/>
      <c r="P59" s="7"/>
      <c r="Q59" s="25"/>
      <c r="R59" s="25"/>
      <c r="S59" s="37">
        <f t="shared" ref="S59:S90" si="42">SUM(U59:U59)/IF(AG59="EC",12,1)</f>
        <v>1</v>
      </c>
      <c r="T59" s="52" t="str">
        <f t="shared" si="37"/>
        <v>NorthBound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ref="V59:V90" si="43">"https://search-rtdc-monitor-bjffxe2xuh6vdkpspy63sjmuny.us-east-1.es.amazonaws.com/_plugin/kibana/#/discover/Steve-Slow-Train-Analysis-(2080s-and-2083s)?_g=(refreshInterval:(display:Off,section:0,value:0),time:(from:'"&amp;TEXT(E59-1/24,"yyyy-MM-DD hh:mm:ss")&amp;"-0600',mode:absolute,to:'"&amp;TEXT(I59+1/24,"yyyy-MM-DD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https://search-rtdc-monitor-bjffxe2xuh6vdkpspy63sjmuny.us-east-1.es.amazonaws.com/_plugin/kibana/#/discover/Steve-Slow-Train-Analysis-(2080s-and-2083s)?_g=(refreshInterval:(display:Off,section:0,value:0),time:(from:'2016-09-10 08:23:09-0600',mode:absolute,to:'2016-09-10 11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59" s="54" t="str">
        <f t="shared" ref="W59:W90" si="44">IF(AA59&lt;IF(AG59="EC",23,5.65),"Y","N")</f>
        <v>N</v>
      </c>
      <c r="X59" s="172">
        <f t="shared" si="35"/>
        <v>1</v>
      </c>
      <c r="Y59" s="69">
        <f t="shared" si="36"/>
        <v>4.5699999999999998E-2</v>
      </c>
      <c r="Z59" s="69">
        <f t="shared" ref="Z59:Z90" si="45">RIGHT(H59,LEN(H59)-4)/10000</f>
        <v>23.329899999999999</v>
      </c>
      <c r="AA59" s="69">
        <f t="shared" ref="AA59:AA90" si="46">ABS(Z59-Y59)</f>
        <v>23.284199999999998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38"/>
        <v>0147-10</v>
      </c>
      <c r="AE59" s="99" t="str">
        <f t="shared" ref="AE59:AE90" si="47">"aws s3 cp "&amp;s3_bucket&amp;"/RTDC"&amp;B59&amp;"/"&amp;TEXT(F59,"YYYY-MM-DD")&amp;"/ "&amp;search_path&amp;"\RTDC"&amp;B59&amp;"\"&amp;TEXT(F59,"YYYY-MM-DD")&amp;" --recursive &amp; """&amp;walkandungz&amp;""" "&amp;search_path&amp;"\RTDC"&amp;B59&amp;"\"&amp;TEXT(F59,"YYYY-MM-DD")
&amp;" &amp; "&amp;"aws s3 cp "&amp;s3_bucket&amp;"/RTDC"&amp;B59&amp;"/"&amp;TEXT(F59+1,"YYYY-MM-DD")&amp;"/ "&amp;search_path&amp;"\RTDC"&amp;B59&amp;"\"&amp;TEXT(F59+1,"YYYY-MM-DD")&amp;" --recursive &amp; """&amp;walkandungz&amp;""" "&amp;search_path&amp;"\RTDC"&amp;B59&amp;"\"&amp;TEXT(F59+1,"YYYY-MM-DD")</f>
        <v>aws s3 cp s3://rtdc.mdm.uploadarchive/RTDC4046/2016-09-10/ "%USERPROFILE%\AppData\Local\Temp\OnboardLogs"\RTDC4046\2016-09-10 --recursive &amp; "%USERPROFILE%\Documents\GitHub\mrs-test-scripts\Headless Mode &amp; Sideloading\WalkAndUnGZ.bat" "%USERPROFILE%\AppData\Local\Temp\OnboardLogs"\RTDC4046\2016-09-10 &amp; aws s3 cp s3://rtdc.mdm.uploadarchive/RTDC4046/2016-09-11/ "%USERPROFILE%\AppData\Local\Temp\OnboardLogs"\RTDC4046\2016-09-11 --recursive &amp; "%USERPROFILE%\Documents\GitHub\mrs-test-scripts\Headless Mode &amp; Sideloading\WalkAndUnGZ.bat" "%USERPROFILE%\AppData\Local\Temp\OnboardLogs"\RTDC4046\2016-09-11</v>
      </c>
      <c r="AF59" s="96" t="str">
        <f t="shared" ref="AF59:AF90" si="48">astrogrep_path&amp;" /spath="&amp;search_path&amp;" /stypes=""*"&amp;B59&amp;"*"&amp;TEXT(I59-utc_offset/24,"YYYYMMDD")&amp;"*"" /stext="" "&amp;TEXT(I59-utc_offset/24,"HH")&amp;search_regexp&amp;""" /e /r /s"</f>
        <v>"C:\Program Files (x86)\AstroGrep\AstroGrep.exe" /spath="%USERPROFILE%\AppData\Local\Temp\OnboardLogs" /stypes="*4046*20160910*" /stext=" 16:.+((SYSTEM_STATE.+slice.+state.+changed )|(ment ac)|(system.+state.+changed )|(\|lc)|(penalty)|(\[timeout)|(PRM\|1\|D)|(kpr)|(kdp))" /e /r /s</v>
      </c>
      <c r="AG59" s="1" t="str">
        <f t="shared" si="34"/>
        <v>EC</v>
      </c>
      <c r="AH59" s="100" t="str">
        <f t="shared" si="17"/>
        <v>"%USERPROFILE%\Documents\GitHub\eaglep3\Utilities\RefineRTDCRunTimes.py" --tripid 147-10 --locoid 4046 --swversion DE.1.0.7.0 --startMP 204:457 --initTime 2016-09-10T09:23:09 --startdatetime 2016-09-10T09:30:19 --delay 1 --endMP 204:233299 --enddatetime 2016-09-10T10:05:39 --enforcementcount 0 &gt;&gt;C:\Users\stu\Documents\GitHub\eaglep3-reporting\EC\2016-09-10-refined-times.txt</v>
      </c>
      <c r="AI59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{"issue":{"subject":"","project_id":79,"tracker_id":40,"status_id":1,"priority_id":2,"assigned_to_id":23,"start_date":"2016-09-10","description":"","custom_fields":[{"id":1,"name":"Subdivision","value":"EC"},{"id":4,"name":"Milepost","value":"23.2842"},{"id":17,"name":"Train ID","value":"147-10"},{"id":16,"name":"Locomotive ID","value":"4046"},{"id":130,"name":"Impact","value":""},{"id":150,"name":"Time of Event (Mountain Time)","value":"10:05:39"},{"id":151,"name":"Denver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481</v>
      </c>
      <c r="B60" s="7">
        <v>4045</v>
      </c>
      <c r="C60" s="24" t="s">
        <v>108</v>
      </c>
      <c r="D60" s="24" t="s">
        <v>482</v>
      </c>
      <c r="E60" s="15">
        <v>42623.428310185183</v>
      </c>
      <c r="F60" s="15">
        <v>42623.435011574074</v>
      </c>
      <c r="G60" s="7">
        <v>1</v>
      </c>
      <c r="H60" s="15" t="s">
        <v>483</v>
      </c>
      <c r="I60" s="15">
        <v>42623.464212962965</v>
      </c>
      <c r="J60" s="7">
        <v>0</v>
      </c>
      <c r="K60" s="122" t="str">
        <f t="shared" si="39"/>
        <v>4045/4046</v>
      </c>
      <c r="L60" s="24" t="str">
        <f>VLOOKUP(A60,'Trips&amp;Operators'!$C$1:$E$10000,3,FALSE)</f>
        <v>ACKERMAN</v>
      </c>
      <c r="M60" s="6">
        <f t="shared" si="40"/>
        <v>2.920138889021473E-2</v>
      </c>
      <c r="N60" s="7">
        <f t="shared" si="41"/>
        <v>42.050000001909211</v>
      </c>
      <c r="O60" s="7"/>
      <c r="P60" s="7"/>
      <c r="Q60" s="25"/>
      <c r="R60" s="25"/>
      <c r="S60" s="37">
        <f t="shared" si="42"/>
        <v>1</v>
      </c>
      <c r="T60" s="52" t="str">
        <f t="shared" si="37"/>
        <v>Southbound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09:16:46-0600',mode:absolute,to:'2016-09-10 12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60" s="54" t="str">
        <f t="shared" si="44"/>
        <v>N</v>
      </c>
      <c r="X60" s="172">
        <f t="shared" si="35"/>
        <v>1</v>
      </c>
      <c r="Y60" s="69">
        <f t="shared" si="36"/>
        <v>23.2971</v>
      </c>
      <c r="Z60" s="69">
        <f t="shared" si="45"/>
        <v>1.32E-2</v>
      </c>
      <c r="AA60" s="69">
        <f t="shared" si="46"/>
        <v>23.283899999999999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38"/>
        <v>0148-10</v>
      </c>
      <c r="AE60" s="99" t="str">
        <f t="shared" si="47"/>
        <v>aws s3 cp s3://rtdc.mdm.uploadarchive/RTDC4045/2016-09-10/ "%USERPROFILE%\AppData\Local\Temp\OnboardLogs"\RTDC4045\2016-09-10 --recursive &amp; "%USERPROFILE%\Documents\GitHub\mrs-test-scripts\Headless Mode &amp; Sideloading\WalkAndUnGZ.bat" "%USERPROFILE%\AppData\Local\Temp\OnboardLogs"\RTDC4045\2016-09-10 &amp; aws s3 cp s3://rtdc.mdm.uploadarchive/RTDC4045/2016-09-11/ "%USERPROFILE%\AppData\Local\Temp\OnboardLogs"\RTDC4045\2016-09-11 --recursive &amp; "%USERPROFILE%\Documents\GitHub\mrs-test-scripts\Headless Mode &amp; Sideloading\WalkAndUnGZ.bat" "%USERPROFILE%\AppData\Local\Temp\OnboardLogs"\RTDC4045\2016-09-11</v>
      </c>
      <c r="AF60" s="96" t="str">
        <f t="shared" si="48"/>
        <v>"C:\Program Files (x86)\AstroGrep\AstroGrep.exe" /spath="%USERPROFILE%\AppData\Local\Temp\OnboardLogs" /stypes="*4045*20160910*" /stext=" 17:.+((SYSTEM_STATE.+slice.+state.+changed )|(ment ac)|(system.+state.+changed )|(\|lc)|(penalty)|(\[timeout)|(PRM\|1\|D)|(kpr)|(kdp))" /e /r /s</v>
      </c>
      <c r="AG60" s="1" t="str">
        <f t="shared" si="34"/>
        <v>EC</v>
      </c>
      <c r="AH60" s="100" t="str">
        <f t="shared" si="17"/>
        <v>"%USERPROFILE%\Documents\GitHub\eaglep3\Utilities\RefineRTDCRunTimes.py" --tripid 148-10 --locoid 4045 --swversion DE.1.0.7.0 --startMP 204:232971 --initTime 2016-09-10T10:16:46 --startdatetime 2016-09-10T10:26:25 --delay 1 --endMP 204:132 --enddatetime 2016-09-10T11:08:28 --enforcementcount 0 &gt;&gt;C:\Users\stu\Documents\GitHub\eaglep3-reporting\EC\2016-09-10-refined-times.txt</v>
      </c>
      <c r="AI60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{"issue":{"subject":"","project_id":79,"tracker_id":40,"status_id":1,"priority_id":2,"assigned_to_id":23,"start_date":"2016-09-10","description":"","custom_fields":[{"id":1,"name":"Subdivision","value":"EC"},{"id":4,"name":"Milepost","value":"23.2839"},{"id":17,"name":"Train ID","value":"148-10"},{"id":16,"name":"Locomotive ID","value":"4045"},{"id":130,"name":"Impact","value":""},{"id":150,"name":"Time of Event (Mountain Time)","value":"11:08:28"},{"id":151,"name":"Denver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484</v>
      </c>
      <c r="B61" s="7">
        <v>4014</v>
      </c>
      <c r="C61" s="24" t="s">
        <v>108</v>
      </c>
      <c r="D61" s="24" t="s">
        <v>259</v>
      </c>
      <c r="E61" s="15">
        <v>42623.402766203704</v>
      </c>
      <c r="F61" s="15">
        <v>42623.4065162037</v>
      </c>
      <c r="G61" s="7">
        <v>1</v>
      </c>
      <c r="H61" s="15" t="s">
        <v>303</v>
      </c>
      <c r="I61" s="15">
        <v>42623.432303240741</v>
      </c>
      <c r="J61" s="7">
        <v>0</v>
      </c>
      <c r="K61" s="122" t="str">
        <f t="shared" si="39"/>
        <v>4013/4014</v>
      </c>
      <c r="L61" s="24" t="str">
        <f>VLOOKUP(A61,'Trips&amp;Operators'!$C$1:$E$10000,3,FALSE)</f>
        <v>DAVIS</v>
      </c>
      <c r="M61" s="6">
        <f t="shared" si="40"/>
        <v>2.5787037040572613E-2</v>
      </c>
      <c r="N61" s="7">
        <f t="shared" si="41"/>
        <v>37.133333338424563</v>
      </c>
      <c r="O61" s="7"/>
      <c r="P61" s="7"/>
      <c r="Q61" s="25"/>
      <c r="R61" s="25"/>
      <c r="S61" s="37">
        <f t="shared" si="42"/>
        <v>1</v>
      </c>
      <c r="T61" s="52" t="str">
        <f t="shared" si="37"/>
        <v>NorthBound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08:39:59-0600',mode:absolute,to:'2016-09-10 11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61" s="54" t="str">
        <f t="shared" si="44"/>
        <v>N</v>
      </c>
      <c r="X61" s="172">
        <f t="shared" si="35"/>
        <v>1</v>
      </c>
      <c r="Y61" s="69">
        <f t="shared" si="36"/>
        <v>4.5699999999999998E-2</v>
      </c>
      <c r="Z61" s="69">
        <f t="shared" si="45"/>
        <v>23.332100000000001</v>
      </c>
      <c r="AA61" s="69">
        <f t="shared" si="46"/>
        <v>23.2864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38"/>
        <v>0149-10</v>
      </c>
      <c r="AE61" s="99" t="str">
        <f t="shared" si="47"/>
        <v>aws s3 cp s3://rtdc.mdm.uploadarchive/RTDC4014/2016-09-10/ "%USERPROFILE%\AppData\Local\Temp\OnboardLogs"\RTDC4014\2016-09-10 --recursive &amp; "%USERPROFILE%\Documents\GitHub\mrs-test-scripts\Headless Mode &amp; Sideloading\WalkAndUnGZ.bat" "%USERPROFILE%\AppData\Local\Temp\OnboardLogs"\RTDC4014\2016-09-10 &amp; aws s3 cp s3://rtdc.mdm.uploadarchive/RTDC4014/2016-09-11/ "%USERPROFILE%\AppData\Local\Temp\OnboardLogs"\RTDC4014\2016-09-11 --recursive &amp; "%USERPROFILE%\Documents\GitHub\mrs-test-scripts\Headless Mode &amp; Sideloading\WalkAndUnGZ.bat" "%USERPROFILE%\AppData\Local\Temp\OnboardLogs"\RTDC4014\2016-09-11</v>
      </c>
      <c r="AF61" s="96" t="str">
        <f t="shared" si="48"/>
        <v>"C:\Program Files (x86)\AstroGrep\AstroGrep.exe" /spath="%USERPROFILE%\AppData\Local\Temp\OnboardLogs" /stypes="*4014*20160910*" /stext=" 16:.+((SYSTEM_STATE.+slice.+state.+changed )|(ment ac)|(system.+state.+changed )|(\|lc)|(penalty)|(\[timeout)|(PRM\|1\|D)|(kpr)|(kdp))" /e /r /s</v>
      </c>
      <c r="AG61" s="1" t="str">
        <f t="shared" ref="AG61:AG92" si="49">IFERROR(IF(VALUE(LEFT(AD61,2))&lt;=2,"EC",IF(OR(VALUE(LEFT(AD61,2))=8,VALUE(LEFT(AD61,2))=18),"NW","Other")),"Other")</f>
        <v>EC</v>
      </c>
      <c r="AH61" s="100" t="str">
        <f t="shared" si="17"/>
        <v>"%USERPROFILE%\Documents\GitHub\eaglep3\Utilities\RefineRTDCRunTimes.py" --tripid 149-10 --locoid 4014 --swversion DE.1.0.7.0 --startMP 204:457 --initTime 2016-09-10T09:39:59 --startdatetime 2016-09-10T09:45:23 --delay 1 --endMP 204:233321 --enddatetime 2016-09-10T10:22:31 --enforcementcount 0 &gt;&gt;C:\Users\stu\Documents\GitHub\eaglep3-reporting\EC\2016-09-10-refined-times.txt</v>
      </c>
      <c r="AI61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{"issue":{"subject":"","project_id":79,"tracker_id":40,"status_id":1,"priority_id":2,"assigned_to_id":23,"start_date":"2016-09-10","description":"","custom_fields":[{"id":1,"name":"Subdivision","value":"EC"},{"id":4,"name":"Milepost","value":"23.2864"},{"id":17,"name":"Train ID","value":"149-10"},{"id":16,"name":"Locomotive ID","value":"4014"},{"id":130,"name":"Impact","value":""},{"id":150,"name":"Time of Event (Mountain Time)","value":"10:22:31"},{"id":151,"name":"Denver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485</v>
      </c>
      <c r="B62" s="7">
        <v>4013</v>
      </c>
      <c r="C62" s="24" t="s">
        <v>108</v>
      </c>
      <c r="D62" s="24" t="s">
        <v>289</v>
      </c>
      <c r="E62" s="15">
        <v>42623.442083333335</v>
      </c>
      <c r="F62" s="15">
        <v>42623.445324074077</v>
      </c>
      <c r="G62" s="7">
        <v>1</v>
      </c>
      <c r="H62" s="15" t="s">
        <v>270</v>
      </c>
      <c r="I62" s="15">
        <v>42623.479212962964</v>
      </c>
      <c r="J62" s="7">
        <v>0</v>
      </c>
      <c r="K62" s="122" t="str">
        <f t="shared" si="39"/>
        <v>4013/4014</v>
      </c>
      <c r="L62" s="24" t="str">
        <f>VLOOKUP(A62,'Trips&amp;Operators'!$C$1:$E$10000,3,FALSE)</f>
        <v>DAVIS</v>
      </c>
      <c r="M62" s="6">
        <f t="shared" si="40"/>
        <v>3.3888888887304347E-2</v>
      </c>
      <c r="N62" s="7">
        <f t="shared" si="41"/>
        <v>48.79999999771826</v>
      </c>
      <c r="O62" s="7"/>
      <c r="P62" s="7"/>
      <c r="Q62" s="25"/>
      <c r="R62" s="25"/>
      <c r="S62" s="37">
        <f t="shared" si="42"/>
        <v>1</v>
      </c>
      <c r="T62" s="52" t="str">
        <f t="shared" si="37"/>
        <v>Southbound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09:36:36-0600',mode:absolute,to:'2016-09-10 12:30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62" s="54" t="str">
        <f t="shared" si="44"/>
        <v>N</v>
      </c>
      <c r="X62" s="172">
        <f t="shared" si="35"/>
        <v>1</v>
      </c>
      <c r="Y62" s="69">
        <f t="shared" si="36"/>
        <v>23.2987</v>
      </c>
      <c r="Z62" s="69">
        <f t="shared" si="45"/>
        <v>1.5599999999999999E-2</v>
      </c>
      <c r="AA62" s="69">
        <f t="shared" si="46"/>
        <v>23.283100000000001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38"/>
        <v>0150-10</v>
      </c>
      <c r="AE62" s="99" t="str">
        <f t="shared" si="47"/>
        <v>aws s3 cp s3://rtdc.mdm.uploadarchive/RTDC4013/2016-09-10/ "%USERPROFILE%\AppData\Local\Temp\OnboardLogs"\RTDC4013\2016-09-10 --recursive &amp; "%USERPROFILE%\Documents\GitHub\mrs-test-scripts\Headless Mode &amp; Sideloading\WalkAndUnGZ.bat" "%USERPROFILE%\AppData\Local\Temp\OnboardLogs"\RTDC4013\2016-09-10 &amp; aws s3 cp s3://rtdc.mdm.uploadarchive/RTDC4013/2016-09-11/ "%USERPROFILE%\AppData\Local\Temp\OnboardLogs"\RTDC4013\2016-09-11 --recursive &amp; "%USERPROFILE%\Documents\GitHub\mrs-test-scripts\Headless Mode &amp; Sideloading\WalkAndUnGZ.bat" "%USERPROFILE%\AppData\Local\Temp\OnboardLogs"\RTDC4013\2016-09-11</v>
      </c>
      <c r="AF62" s="96" t="str">
        <f t="shared" si="48"/>
        <v>"C:\Program Files (x86)\AstroGrep\AstroGrep.exe" /spath="%USERPROFILE%\AppData\Local\Temp\OnboardLogs" /stypes="*4013*20160910*" /stext=" 17:.+((SYSTEM_STATE.+slice.+state.+changed )|(ment ac)|(system.+state.+changed )|(\|lc)|(penalty)|(\[timeout)|(PRM\|1\|D)|(kpr)|(kdp))" /e /r /s</v>
      </c>
      <c r="AG62" s="1" t="str">
        <f t="shared" si="49"/>
        <v>EC</v>
      </c>
      <c r="AH62" s="100" t="str">
        <f t="shared" si="17"/>
        <v>"%USERPROFILE%\Documents\GitHub\eaglep3\Utilities\RefineRTDCRunTimes.py" --tripid 150-10 --locoid 4013 --swversion DE.1.0.7.0 --startMP 204:232987 --initTime 2016-09-10T10:36:36 --startdatetime 2016-09-10T10:41:16 --delay 1 --endMP 204:156 --enddatetime 2016-09-10T11:30:04 --enforcementcount 0 &gt;&gt;C:\Users\stu\Documents\GitHub\eaglep3-reporting\EC\2016-09-10-refined-times.txt</v>
      </c>
      <c r="AI62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{"issue":{"subject":"","project_id":79,"tracker_id":40,"status_id":1,"priority_id":2,"assigned_to_id":23,"start_date":"2016-09-10","description":"","custom_fields":[{"id":1,"name":"Subdivision","value":"EC"},{"id":4,"name":"Milepost","value":"23.2831"},{"id":17,"name":"Train ID","value":"150-10"},{"id":16,"name":"Locomotive ID","value":"4013"},{"id":130,"name":"Impact","value":""},{"id":150,"name":"Time of Event (Mountain Time)","value":"11:30:04"},{"id":151,"name":"Denver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486</v>
      </c>
      <c r="B63" s="7">
        <v>4040</v>
      </c>
      <c r="C63" s="24" t="s">
        <v>108</v>
      </c>
      <c r="D63" s="24" t="s">
        <v>262</v>
      </c>
      <c r="E63" s="15">
        <v>42623.411064814813</v>
      </c>
      <c r="F63" s="15">
        <v>42623.416886574072</v>
      </c>
      <c r="G63" s="7">
        <v>1</v>
      </c>
      <c r="H63" s="15" t="s">
        <v>487</v>
      </c>
      <c r="I63" s="15">
        <v>42623.441319444442</v>
      </c>
      <c r="J63" s="7">
        <v>0</v>
      </c>
      <c r="K63" s="122" t="str">
        <f t="shared" si="39"/>
        <v>4039/4040</v>
      </c>
      <c r="L63" s="24" t="str">
        <f>VLOOKUP(A63,'Trips&amp;Operators'!$C$1:$E$10000,3,FALSE)</f>
        <v>KILLION</v>
      </c>
      <c r="M63" s="6">
        <f t="shared" si="40"/>
        <v>2.4432870370219462E-2</v>
      </c>
      <c r="N63" s="7">
        <f t="shared" si="41"/>
        <v>35.183333333116025</v>
      </c>
      <c r="O63" s="7"/>
      <c r="P63" s="7"/>
      <c r="Q63" s="25"/>
      <c r="R63" s="25"/>
      <c r="S63" s="37">
        <f t="shared" si="42"/>
        <v>1</v>
      </c>
      <c r="T63" s="52" t="str">
        <f t="shared" si="37"/>
        <v>NorthBound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08:51:56-0600',mode:absolute,to:'2016-09-10 11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63" s="54" t="str">
        <f t="shared" si="44"/>
        <v>N</v>
      </c>
      <c r="X63" s="172">
        <f t="shared" si="35"/>
        <v>1</v>
      </c>
      <c r="Y63" s="69">
        <f t="shared" si="36"/>
        <v>4.3700000000000003E-2</v>
      </c>
      <c r="Z63" s="69">
        <f t="shared" si="45"/>
        <v>23.328600000000002</v>
      </c>
      <c r="AA63" s="69">
        <f t="shared" si="46"/>
        <v>23.2849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38"/>
        <v>0151-10</v>
      </c>
      <c r="AE63" s="99" t="str">
        <f t="shared" si="47"/>
        <v>aws s3 cp s3://rtdc.mdm.uploadarchive/RTDC4040/2016-09-10/ "%USERPROFILE%\AppData\Local\Temp\OnboardLogs"\RTDC4040\2016-09-10 --recursive &amp; "%USERPROFILE%\Documents\GitHub\mrs-test-scripts\Headless Mode &amp; Sideloading\WalkAndUnGZ.bat" "%USERPROFILE%\AppData\Local\Temp\OnboardLogs"\RTDC4040\2016-09-10 &amp; 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</v>
      </c>
      <c r="AF63" s="96" t="str">
        <f t="shared" si="48"/>
        <v>"C:\Program Files (x86)\AstroGrep\AstroGrep.exe" /spath="%USERPROFILE%\AppData\Local\Temp\OnboardLogs" /stypes="*4040*20160910*" /stext=" 16:.+((SYSTEM_STATE.+slice.+state.+changed )|(ment ac)|(system.+state.+changed )|(\|lc)|(penalty)|(\[timeout)|(PRM\|1\|D)|(kpr)|(kdp))" /e /r /s</v>
      </c>
      <c r="AG63" s="1" t="str">
        <f t="shared" si="49"/>
        <v>EC</v>
      </c>
      <c r="AH63" s="100" t="str">
        <f t="shared" si="17"/>
        <v>"%USERPROFILE%\Documents\GitHub\eaglep3\Utilities\RefineRTDCRunTimes.py" --tripid 151-10 --locoid 4040 --swversion DE.1.0.7.0 --startMP 204:437 --initTime 2016-09-10T09:51:56 --startdatetime 2016-09-10T10:00:19 --delay 1 --endMP 204:233286 --enddatetime 2016-09-10T10:35:30 --enforcementcount 0 &gt;&gt;C:\Users\stu\Documents\GitHub\eaglep3-reporting\EC\2016-09-10-refined-times.txt</v>
      </c>
      <c r="AI63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{"issue":{"subject":"","project_id":79,"tracker_id":40,"status_id":1,"priority_id":2,"assigned_to_id":23,"start_date":"2016-09-10","description":"","custom_fields":[{"id":1,"name":"Subdivision","value":"EC"},{"id":4,"name":"Milepost","value":"23.2849"},{"id":17,"name":"Train ID","value":"151-10"},{"id":16,"name":"Locomotive ID","value":"4040"},{"id":130,"name":"Impact","value":""},{"id":150,"name":"Time of Event (Mountain Time)","value":"10:35:30"},{"id":151,"name":"Denver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488</v>
      </c>
      <c r="B64" s="7">
        <v>4039</v>
      </c>
      <c r="C64" s="24" t="s">
        <v>108</v>
      </c>
      <c r="D64" s="24" t="s">
        <v>338</v>
      </c>
      <c r="E64" s="15">
        <v>42623.44730324074</v>
      </c>
      <c r="F64" s="15">
        <v>42623.455740740741</v>
      </c>
      <c r="G64" s="7">
        <v>1</v>
      </c>
      <c r="H64" s="15" t="s">
        <v>131</v>
      </c>
      <c r="I64" s="15">
        <v>42623.482615740744</v>
      </c>
      <c r="J64" s="7">
        <v>0</v>
      </c>
      <c r="K64" s="122" t="str">
        <f t="shared" si="39"/>
        <v>4039/4040</v>
      </c>
      <c r="L64" s="24" t="str">
        <f>VLOOKUP(A64,'Trips&amp;Operators'!$C$1:$E$10000,3,FALSE)</f>
        <v>KILLION</v>
      </c>
      <c r="M64" s="6">
        <f t="shared" si="40"/>
        <v>2.6875000003201421E-2</v>
      </c>
      <c r="N64" s="7">
        <f t="shared" si="41"/>
        <v>38.700000004610047</v>
      </c>
      <c r="O64" s="7"/>
      <c r="P64" s="7"/>
      <c r="Q64" s="25"/>
      <c r="R64" s="25"/>
      <c r="S64" s="37">
        <f t="shared" si="42"/>
        <v>1</v>
      </c>
      <c r="T64" s="52" t="str">
        <f t="shared" si="37"/>
        <v>Southbound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09:44:07-0600',mode:absolute,to:'2016-09-10 12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64" s="54" t="str">
        <f t="shared" si="44"/>
        <v>N</v>
      </c>
      <c r="X64" s="172">
        <f t="shared" si="35"/>
        <v>1</v>
      </c>
      <c r="Y64" s="69">
        <f t="shared" si="36"/>
        <v>23.297799999999999</v>
      </c>
      <c r="Z64" s="69">
        <f t="shared" si="45"/>
        <v>1.54E-2</v>
      </c>
      <c r="AA64" s="69">
        <f t="shared" si="46"/>
        <v>23.282399999999999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38"/>
        <v>0152-10</v>
      </c>
      <c r="AE64" s="99" t="str">
        <f t="shared" si="47"/>
        <v>aws s3 cp s3://rtdc.mdm.uploadarchive/RTDC4039/2016-09-10/ "%USERPROFILE%\AppData\Local\Temp\OnboardLogs"\RTDC4039\2016-09-10 --recursive &amp; "%USERPROFILE%\Documents\GitHub\mrs-test-scripts\Headless Mode &amp; Sideloading\WalkAndUnGZ.bat" "%USERPROFILE%\AppData\Local\Temp\OnboardLogs"\RTDC4039\2016-09-10 &amp; 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</v>
      </c>
      <c r="AF64" s="96" t="str">
        <f t="shared" si="48"/>
        <v>"C:\Program Files (x86)\AstroGrep\AstroGrep.exe" /spath="%USERPROFILE%\AppData\Local\Temp\OnboardLogs" /stypes="*4039*20160910*" /stext=" 17:.+((SYSTEM_STATE.+slice.+state.+changed )|(ment ac)|(system.+state.+changed )|(\|lc)|(penalty)|(\[timeout)|(PRM\|1\|D)|(kpr)|(kdp))" /e /r /s</v>
      </c>
      <c r="AG64" s="1" t="str">
        <f t="shared" si="49"/>
        <v>EC</v>
      </c>
      <c r="AH64" s="100" t="str">
        <f t="shared" si="17"/>
        <v>"%USERPROFILE%\Documents\GitHub\eaglep3\Utilities\RefineRTDCRunTimes.py" --tripid 152-10 --locoid 4039 --swversion DE.1.0.7.0 --startMP 204:232978 --initTime 2016-09-10T10:44:07 --startdatetime 2016-09-10T10:56:16 --delay 1 --endMP 204:154 --enddatetime 2016-09-10T11:34:58 --enforcementcount 0 &gt;&gt;C:\Users\stu\Documents\GitHub\eaglep3-reporting\EC\2016-09-10-refined-times.txt</v>
      </c>
      <c r="AI64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{"issue":{"subject":"","project_id":79,"tracker_id":40,"status_id":1,"priority_id":2,"assigned_to_id":23,"start_date":"2016-09-10","description":"","custom_fields":[{"id":1,"name":"Subdivision","value":"EC"},{"id":4,"name":"Milepost","value":"23.2824"},{"id":17,"name":"Train ID","value":"152-10"},{"id":16,"name":"Locomotive ID","value":"4039"},{"id":130,"name":"Impact","value":""},{"id":150,"name":"Time of Event (Mountain Time)","value":"11:34:58"},{"id":151,"name":"Denver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489</v>
      </c>
      <c r="B65" s="7">
        <v>4038</v>
      </c>
      <c r="C65" s="24" t="s">
        <v>108</v>
      </c>
      <c r="D65" s="24" t="s">
        <v>238</v>
      </c>
      <c r="E65" s="15">
        <v>42623.421747685185</v>
      </c>
      <c r="F65" s="15">
        <v>42623.427314814813</v>
      </c>
      <c r="G65" s="7">
        <v>1</v>
      </c>
      <c r="H65" s="15" t="s">
        <v>288</v>
      </c>
      <c r="I65" s="15">
        <v>42623.452476851853</v>
      </c>
      <c r="J65" s="7">
        <v>0</v>
      </c>
      <c r="K65" s="122" t="str">
        <f t="shared" si="39"/>
        <v>4037/4038</v>
      </c>
      <c r="L65" s="24" t="str">
        <f>VLOOKUP(A65,'Trips&amp;Operators'!$C$1:$E$10000,3,FALSE)</f>
        <v>GEBRETEKLE</v>
      </c>
      <c r="M65" s="6">
        <f t="shared" si="40"/>
        <v>2.5162037039990537E-2</v>
      </c>
      <c r="N65" s="7">
        <f t="shared" si="41"/>
        <v>36.233333337586373</v>
      </c>
      <c r="O65" s="7"/>
      <c r="P65" s="7"/>
      <c r="Q65" s="25"/>
      <c r="R65" s="25"/>
      <c r="S65" s="37">
        <f t="shared" si="42"/>
        <v>1</v>
      </c>
      <c r="T65" s="52" t="str">
        <f t="shared" si="37"/>
        <v>NorthBound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09:07:19-0600',mode:absolute,to:'2016-09-10 11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65" s="54" t="str">
        <f t="shared" si="44"/>
        <v>N</v>
      </c>
      <c r="X65" s="172">
        <f t="shared" ref="X65:X96" si="50">VALUE(LEFT(AD65,4))-VALUE(LEFT(AD64,4))</f>
        <v>1</v>
      </c>
      <c r="Y65" s="69">
        <f t="shared" ref="Y65:Y96" si="51">RIGHT(D65,LEN(D65)-4)/10000</f>
        <v>4.4600000000000001E-2</v>
      </c>
      <c r="Z65" s="69">
        <f t="shared" si="45"/>
        <v>23.3308</v>
      </c>
      <c r="AA65" s="69">
        <f t="shared" si="46"/>
        <v>23.286200000000001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38"/>
        <v>0153-10</v>
      </c>
      <c r="AE65" s="99" t="str">
        <f t="shared" si="47"/>
        <v>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 &amp; aws s3 cp s3://rtdc.mdm.uploadarchive/RTDC4038/2016-09-11/ "%USERPROFILE%\AppData\Local\Temp\OnboardLogs"\RTDC4038\2016-09-11 --recursive &amp; "%USERPROFILE%\Documents\GitHub\mrs-test-scripts\Headless Mode &amp; Sideloading\WalkAndUnGZ.bat" "%USERPROFILE%\AppData\Local\Temp\OnboardLogs"\RTDC4038\2016-09-11</v>
      </c>
      <c r="AF65" s="96" t="str">
        <f t="shared" si="48"/>
        <v>"C:\Program Files (x86)\AstroGrep\AstroGrep.exe" /spath="%USERPROFILE%\AppData\Local\Temp\OnboardLogs" /stypes="*4038*20160910*" /stext=" 16:.+((SYSTEM_STATE.+slice.+state.+changed )|(ment ac)|(system.+state.+changed )|(\|lc)|(penalty)|(\[timeout)|(PRM\|1\|D)|(kpr)|(kdp))" /e /r /s</v>
      </c>
      <c r="AG65" s="1" t="str">
        <f t="shared" si="49"/>
        <v>EC</v>
      </c>
      <c r="AH65" s="100" t="str">
        <f t="shared" si="17"/>
        <v>"%USERPROFILE%\Documents\GitHub\eaglep3\Utilities\RefineRTDCRunTimes.py" --tripid 153-10 --locoid 4038 --swversion DE.1.0.7.0 --startMP 204:446 --initTime 2016-09-10T10:07:19 --startdatetime 2016-09-10T10:15:20 --delay 1 --endMP 204:233308 --enddatetime 2016-09-10T10:51:34 --enforcementcount 0 &gt;&gt;C:\Users\stu\Documents\GitHub\eaglep3-reporting\EC\2016-09-10-refined-times.txt</v>
      </c>
      <c r="AI65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{"issue":{"subject":"","project_id":79,"tracker_id":40,"status_id":1,"priority_id":2,"assigned_to_id":23,"start_date":"2016-09-10","description":"","custom_fields":[{"id":1,"name":"Subdivision","value":"EC"},{"id":4,"name":"Milepost","value":"23.2862"},{"id":17,"name":"Train ID","value":"153-10"},{"id":16,"name":"Locomotive ID","value":"4038"},{"id":130,"name":"Impact","value":""},{"id":150,"name":"Time of Event (Mountain Time)","value":"10:51:34"},{"id":151,"name":"Denver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490</v>
      </c>
      <c r="B66" s="7">
        <v>4037</v>
      </c>
      <c r="C66" s="24" t="s">
        <v>108</v>
      </c>
      <c r="D66" s="24" t="s">
        <v>242</v>
      </c>
      <c r="E66" s="15">
        <v>42623.46329861111</v>
      </c>
      <c r="F66" s="15">
        <v>42623.466215277775</v>
      </c>
      <c r="G66" s="7">
        <v>2</v>
      </c>
      <c r="H66" s="15" t="s">
        <v>237</v>
      </c>
      <c r="I66" s="15">
        <v>42623.493495370371</v>
      </c>
      <c r="J66" s="7">
        <v>0</v>
      </c>
      <c r="K66" s="122" t="str">
        <f t="shared" si="39"/>
        <v>4037/4038</v>
      </c>
      <c r="L66" s="24" t="str">
        <f>VLOOKUP(A66,'Trips&amp;Operators'!$C$1:$E$10000,3,FALSE)</f>
        <v>GEBRETEKLE</v>
      </c>
      <c r="M66" s="6">
        <f t="shared" si="40"/>
        <v>2.7280092595901806E-2</v>
      </c>
      <c r="N66" s="7">
        <f t="shared" si="41"/>
        <v>39.283333338098601</v>
      </c>
      <c r="O66" s="7"/>
      <c r="P66" s="7"/>
      <c r="Q66" s="25"/>
      <c r="R66" s="25"/>
      <c r="S66" s="37">
        <f t="shared" si="42"/>
        <v>1</v>
      </c>
      <c r="T66" s="52" t="str">
        <f t="shared" si="37"/>
        <v>Southbound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10:07:09-0600',mode:absolute,to:'2016-09-10 12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66" s="54" t="str">
        <f t="shared" si="44"/>
        <v>N</v>
      </c>
      <c r="X66" s="172">
        <f t="shared" si="50"/>
        <v>1</v>
      </c>
      <c r="Y66" s="69">
        <f t="shared" si="51"/>
        <v>23.299099999999999</v>
      </c>
      <c r="Z66" s="69">
        <f t="shared" si="45"/>
        <v>1.6E-2</v>
      </c>
      <c r="AA66" s="69">
        <f t="shared" si="46"/>
        <v>23.283100000000001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 t="shared" si="38"/>
        <v>0154-10</v>
      </c>
      <c r="AE66" s="99" t="str">
        <f t="shared" si="47"/>
        <v>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 &amp; aws s3 cp s3://rtdc.mdm.uploadarchive/RTDC4037/2016-09-11/ "%USERPROFILE%\AppData\Local\Temp\OnboardLogs"\RTDC4037\2016-09-11 --recursive &amp; "%USERPROFILE%\Documents\GitHub\mrs-test-scripts\Headless Mode &amp; Sideloading\WalkAndUnGZ.bat" "%USERPROFILE%\AppData\Local\Temp\OnboardLogs"\RTDC4037\2016-09-11</v>
      </c>
      <c r="AF66" s="96" t="str">
        <f t="shared" si="48"/>
        <v>"C:\Program Files (x86)\AstroGrep\AstroGrep.exe" /spath="%USERPROFILE%\AppData\Local\Temp\OnboardLogs" /stypes="*4037*20160910*" /stext=" 17:.+((SYSTEM_STATE.+slice.+state.+changed )|(ment ac)|(system.+state.+changed )|(\|lc)|(penalty)|(\[timeout)|(PRM\|1\|D)|(kpr)|(kdp))" /e /r /s</v>
      </c>
      <c r="AG66" s="1" t="str">
        <f t="shared" si="49"/>
        <v>EC</v>
      </c>
      <c r="AH66" s="100" t="str">
        <f t="shared" si="17"/>
        <v>"%USERPROFILE%\Documents\GitHub\eaglep3\Utilities\RefineRTDCRunTimes.py" --tripid 154-10 --locoid 4037 --swversion DE.1.0.7.0 --startMP 204:232991 --initTime 2016-09-10T11:07:09 --startdatetime 2016-09-10T11:11:21 --delay 2 --endMP 204:160 --enddatetime 2016-09-10T11:50:38 --enforcementcount 0 &gt;&gt;C:\Users\stu\Documents\GitHub\eaglep3-reporting\EC\2016-09-10-refined-times.txt</v>
      </c>
      <c r="AI66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{"issue":{"subject":"","project_id":79,"tracker_id":40,"status_id":1,"priority_id":2,"assigned_to_id":23,"start_date":"2016-09-10","description":"","custom_fields":[{"id":1,"name":"Subdivision","value":"EC"},{"id":4,"name":"Milepost","value":"23.2831"},{"id":17,"name":"Train ID","value":"154-10"},{"id":16,"name":"Locomotive ID","value":"4037"},{"id":130,"name":"Impact","value":""},{"id":150,"name":"Time of Event (Mountain Time)","value":"11:50:38"},{"id":151,"name":"Denver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491</v>
      </c>
      <c r="B67" s="7">
        <v>4009</v>
      </c>
      <c r="C67" s="24" t="s">
        <v>108</v>
      </c>
      <c r="D67" s="24" t="s">
        <v>271</v>
      </c>
      <c r="E67" s="15">
        <v>42623.433842592596</v>
      </c>
      <c r="F67" s="15">
        <v>42623.437708333331</v>
      </c>
      <c r="G67" s="7">
        <v>2</v>
      </c>
      <c r="H67" s="15" t="s">
        <v>492</v>
      </c>
      <c r="I67" s="15">
        <v>42623.469305555554</v>
      </c>
      <c r="J67" s="7">
        <v>0</v>
      </c>
      <c r="K67" s="122" t="str">
        <f t="shared" si="39"/>
        <v>4009/4010</v>
      </c>
      <c r="L67" s="24" t="str">
        <f>VLOOKUP(A67,'Trips&amp;Operators'!$C$1:$E$10000,3,FALSE)</f>
        <v>CLARK</v>
      </c>
      <c r="M67" s="6">
        <f t="shared" si="40"/>
        <v>3.1597222223354038E-2</v>
      </c>
      <c r="N67" s="7">
        <f t="shared" si="41"/>
        <v>45.500000001629815</v>
      </c>
      <c r="O67" s="7"/>
      <c r="P67" s="7"/>
      <c r="Q67" s="25"/>
      <c r="R67" s="25"/>
      <c r="S67" s="37">
        <f t="shared" si="42"/>
        <v>1</v>
      </c>
      <c r="T67" s="52" t="str">
        <f t="shared" si="37"/>
        <v>NorthBound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09:24:44-0600',mode:absolute,to:'2016-09-10 12:15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67" s="54" t="str">
        <f t="shared" si="44"/>
        <v>N</v>
      </c>
      <c r="X67" s="172">
        <f t="shared" si="50"/>
        <v>1</v>
      </c>
      <c r="Y67" s="69">
        <f t="shared" si="51"/>
        <v>4.5499999999999999E-2</v>
      </c>
      <c r="Z67" s="69">
        <f t="shared" si="45"/>
        <v>23.331099999999999</v>
      </c>
      <c r="AA67" s="69">
        <f t="shared" si="46"/>
        <v>23.285599999999999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38"/>
        <v>0155-10</v>
      </c>
      <c r="AE67" s="99" t="str">
        <f t="shared" si="47"/>
        <v>aws s3 cp s3://rtdc.mdm.uploadarchive/RTDC4009/2016-09-10/ "%USERPROFILE%\AppData\Local\Temp\OnboardLogs"\RTDC4009\2016-09-10 --recursive &amp; "%USERPROFILE%\Documents\GitHub\mrs-test-scripts\Headless Mode &amp; Sideloading\WalkAndUnGZ.bat" "%USERPROFILE%\AppData\Local\Temp\OnboardLogs"\RTDC4009\2016-09-10 &amp; aws s3 cp s3://rtdc.mdm.uploadarchive/RTDC4009/2016-09-11/ "%USERPROFILE%\AppData\Local\Temp\OnboardLogs"\RTDC4009\2016-09-11 --recursive &amp; "%USERPROFILE%\Documents\GitHub\mrs-test-scripts\Headless Mode &amp; Sideloading\WalkAndUnGZ.bat" "%USERPROFILE%\AppData\Local\Temp\OnboardLogs"\RTDC4009\2016-09-11</v>
      </c>
      <c r="AF67" s="96" t="str">
        <f t="shared" si="48"/>
        <v>"C:\Program Files (x86)\AstroGrep\AstroGrep.exe" /spath="%USERPROFILE%\AppData\Local\Temp\OnboardLogs" /stypes="*4009*20160910*" /stext=" 17:.+((SYSTEM_STATE.+slice.+state.+changed )|(ment ac)|(system.+state.+changed )|(\|lc)|(penalty)|(\[timeout)|(PRM\|1\|D)|(kpr)|(kdp))" /e /r /s</v>
      </c>
      <c r="AG67" s="1" t="str">
        <f t="shared" si="49"/>
        <v>EC</v>
      </c>
      <c r="AH67" s="100" t="str">
        <f t="shared" si="17"/>
        <v>"%USERPROFILE%\Documents\GitHub\eaglep3\Utilities\RefineRTDCRunTimes.py" --tripid 155-10 --locoid 4009 --swversion DE.1.0.7.0 --startMP 204:455 --initTime 2016-09-10T10:24:44 --startdatetime 2016-09-10T10:30:18 --delay 2 --endMP 204:233311 --enddatetime 2016-09-10T11:15:48 --enforcementcount 0 &gt;&gt;C:\Users\stu\Documents\GitHub\eaglep3-reporting\EC\2016-09-10-refined-times.txt</v>
      </c>
      <c r="AI67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{"issue":{"subject":"","project_id":79,"tracker_id":40,"status_id":1,"priority_id":2,"assigned_to_id":23,"start_date":"2016-09-10","description":"","custom_fields":[{"id":1,"name":"Subdivision","value":"EC"},{"id":4,"name":"Milepost","value":"23.2856"},{"id":17,"name":"Train ID","value":"155-10"},{"id":16,"name":"Locomotive ID","value":"4009"},{"id":130,"name":"Impact","value":""},{"id":150,"name":"Time of Event (Mountain Time)","value":"11:15:48"},{"id":151,"name":"Denver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493</v>
      </c>
      <c r="B68" s="7">
        <v>4010</v>
      </c>
      <c r="C68" s="24" t="s">
        <v>108</v>
      </c>
      <c r="D68" s="24" t="s">
        <v>266</v>
      </c>
      <c r="E68" s="15">
        <v>42623.474664351852</v>
      </c>
      <c r="F68" s="15">
        <v>42623.476747685185</v>
      </c>
      <c r="G68" s="7">
        <v>1</v>
      </c>
      <c r="H68" s="15" t="s">
        <v>341</v>
      </c>
      <c r="I68" s="15">
        <v>42623.504027777781</v>
      </c>
      <c r="J68" s="7">
        <v>0</v>
      </c>
      <c r="K68" s="122" t="str">
        <f t="shared" si="39"/>
        <v>4009/4010</v>
      </c>
      <c r="L68" s="24" t="str">
        <f>VLOOKUP(A68,'Trips&amp;Operators'!$C$1:$E$10000,3,FALSE)</f>
        <v>CLARK</v>
      </c>
      <c r="M68" s="6">
        <f t="shared" si="40"/>
        <v>2.7280092595901806E-2</v>
      </c>
      <c r="N68" s="7">
        <f t="shared" si="41"/>
        <v>39.283333338098601</v>
      </c>
      <c r="O68" s="7"/>
      <c r="P68" s="7"/>
      <c r="Q68" s="25"/>
      <c r="R68" s="25"/>
      <c r="S68" s="37">
        <f t="shared" si="42"/>
        <v>1</v>
      </c>
      <c r="T68" s="52" t="str">
        <f t="shared" si="37"/>
        <v>Southbound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10:23:31-0600',mode:absolute,to:'2016-09-10 13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8" s="54" t="str">
        <f t="shared" si="44"/>
        <v>N</v>
      </c>
      <c r="X68" s="172">
        <f t="shared" si="50"/>
        <v>1</v>
      </c>
      <c r="Y68" s="69">
        <f t="shared" si="51"/>
        <v>23.299800000000001</v>
      </c>
      <c r="Z68" s="69">
        <f t="shared" si="45"/>
        <v>1.38E-2</v>
      </c>
      <c r="AA68" s="69">
        <f t="shared" si="46"/>
        <v>23.286000000000001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38"/>
        <v>0156-10</v>
      </c>
      <c r="AE68" s="99" t="str">
        <f t="shared" si="47"/>
        <v>aws s3 cp s3://rtdc.mdm.uploadarchive/RTDC4010/2016-09-10/ "%USERPROFILE%\AppData\Local\Temp\OnboardLogs"\RTDC4010\2016-09-10 --recursive &amp; "%USERPROFILE%\Documents\GitHub\mrs-test-scripts\Headless Mode &amp; Sideloading\WalkAndUnGZ.bat" "%USERPROFILE%\AppData\Local\Temp\OnboardLogs"\RTDC4010\2016-09-10 &amp; 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</v>
      </c>
      <c r="AF68" s="96" t="str">
        <f t="shared" si="48"/>
        <v>"C:\Program Files (x86)\AstroGrep\AstroGrep.exe" /spath="%USERPROFILE%\AppData\Local\Temp\OnboardLogs" /stypes="*4010*20160910*" /stext=" 18:.+((SYSTEM_STATE.+slice.+state.+changed )|(ment ac)|(system.+state.+changed )|(\|lc)|(penalty)|(\[timeout)|(PRM\|1\|D)|(kpr)|(kdp))" /e /r /s</v>
      </c>
      <c r="AG68" s="1" t="str">
        <f t="shared" si="49"/>
        <v>EC</v>
      </c>
      <c r="AH68" s="100" t="str">
        <f t="shared" si="17"/>
        <v>"%USERPROFILE%\Documents\GitHub\eaglep3\Utilities\RefineRTDCRunTimes.py" --tripid 156-10 --locoid 4010 --swversion DE.1.0.7.0 --startMP 204:232998 --initTime 2016-09-10T11:23:31 --startdatetime 2016-09-10T11:26:31 --delay 1 --endMP 204:138 --enddatetime 2016-09-10T12:05:48 --enforcementcount 0 &gt;&gt;C:\Users\stu\Documents\GitHub\eaglep3-reporting\EC\2016-09-10-refined-times.txt</v>
      </c>
      <c r="AI68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{"issue":{"subject":"","project_id":79,"tracker_id":40,"status_id":1,"priority_id":2,"assigned_to_id":23,"start_date":"2016-09-10","description":"","custom_fields":[{"id":1,"name":"Subdivision","value":"EC"},{"id":4,"name":"Milepost","value":"23.286"},{"id":17,"name":"Train ID","value":"156-10"},{"id":16,"name":"Locomotive ID","value":"4010"},{"id":130,"name":"Impact","value":""},{"id":150,"name":"Time of Event (Mountain Time)","value":"12:05:48"},{"id":151,"name":"Denver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494</v>
      </c>
      <c r="B69" s="7">
        <v>4011</v>
      </c>
      <c r="C69" s="24" t="s">
        <v>108</v>
      </c>
      <c r="D69" s="24" t="s">
        <v>318</v>
      </c>
      <c r="E69" s="15">
        <v>42623.442962962959</v>
      </c>
      <c r="F69" s="15">
        <v>42623.448136574072</v>
      </c>
      <c r="G69" s="7">
        <v>2</v>
      </c>
      <c r="H69" s="15" t="s">
        <v>316</v>
      </c>
      <c r="I69" s="15">
        <v>42623.473460648151</v>
      </c>
      <c r="J69" s="7">
        <v>0</v>
      </c>
      <c r="K69" s="122" t="str">
        <f t="shared" si="39"/>
        <v>4011/4012</v>
      </c>
      <c r="L69" s="24" t="str">
        <f>VLOOKUP(A69,'Trips&amp;Operators'!$C$1:$E$10000,3,FALSE)</f>
        <v>DE LA ROSA</v>
      </c>
      <c r="M69" s="6">
        <f t="shared" si="40"/>
        <v>2.5324074078525882E-2</v>
      </c>
      <c r="N69" s="7">
        <f t="shared" si="41"/>
        <v>36.46666667307727</v>
      </c>
      <c r="O69" s="7"/>
      <c r="P69" s="7"/>
      <c r="Q69" s="25"/>
      <c r="R69" s="25"/>
      <c r="S69" s="37">
        <f t="shared" si="42"/>
        <v>1</v>
      </c>
      <c r="T69" s="52" t="str">
        <f t="shared" si="37"/>
        <v>NorthBound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09:37:52-0600',mode:absolute,to:'2016-09-10 12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69" s="54" t="str">
        <f t="shared" si="44"/>
        <v>N</v>
      </c>
      <c r="X69" s="172">
        <f t="shared" si="50"/>
        <v>1</v>
      </c>
      <c r="Y69" s="69">
        <f t="shared" si="51"/>
        <v>4.5999999999999999E-2</v>
      </c>
      <c r="Z69" s="69">
        <f t="shared" si="45"/>
        <v>23.329499999999999</v>
      </c>
      <c r="AA69" s="69">
        <f t="shared" si="46"/>
        <v>23.2835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38"/>
        <v>0157-10</v>
      </c>
      <c r="AE69" s="99" t="str">
        <f t="shared" si="47"/>
        <v>aws s3 cp s3://rtdc.mdm.uploadarchive/RTDC4011/2016-09-10/ "%USERPROFILE%\AppData\Local\Temp\OnboardLogs"\RTDC4011\2016-09-10 --recursive &amp; "%USERPROFILE%\Documents\GitHub\mrs-test-scripts\Headless Mode &amp; Sideloading\WalkAndUnGZ.bat" "%USERPROFILE%\AppData\Local\Temp\OnboardLogs"\RTDC4011\2016-09-10 &amp; aws s3 cp s3://rtdc.mdm.uploadarchive/RTDC4011/2016-09-11/ "%USERPROFILE%\AppData\Local\Temp\OnboardLogs"\RTDC4011\2016-09-11 --recursive &amp; "%USERPROFILE%\Documents\GitHub\mrs-test-scripts\Headless Mode &amp; Sideloading\WalkAndUnGZ.bat" "%USERPROFILE%\AppData\Local\Temp\OnboardLogs"\RTDC4011\2016-09-11</v>
      </c>
      <c r="AF69" s="96" t="str">
        <f t="shared" si="48"/>
        <v>"C:\Program Files (x86)\AstroGrep\AstroGrep.exe" /spath="%USERPROFILE%\AppData\Local\Temp\OnboardLogs" /stypes="*4011*20160910*" /stext=" 17:.+((SYSTEM_STATE.+slice.+state.+changed )|(ment ac)|(system.+state.+changed )|(\|lc)|(penalty)|(\[timeout)|(PRM\|1\|D)|(kpr)|(kdp))" /e /r /s</v>
      </c>
      <c r="AG69" s="1" t="str">
        <f t="shared" si="49"/>
        <v>EC</v>
      </c>
      <c r="AH69" s="100" t="str">
        <f t="shared" si="17"/>
        <v>"%USERPROFILE%\Documents\GitHub\eaglep3\Utilities\RefineRTDCRunTimes.py" --tripid 157-10 --locoid 4011 --swversion DE.1.0.7.0 --startMP 204:460 --initTime 2016-09-10T10:37:52 --startdatetime 2016-09-10T10:45:19 --delay 2 --endMP 204:233295 --enddatetime 2016-09-10T11:21:47 --enforcementcount 0 &gt;&gt;C:\Users\stu\Documents\GitHub\eaglep3-reporting\EC\2016-09-10-refined-times.txt</v>
      </c>
      <c r="AI69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{"issue":{"subject":"","project_id":79,"tracker_id":40,"status_id":1,"priority_id":2,"assigned_to_id":23,"start_date":"2016-09-10","description":"","custom_fields":[{"id":1,"name":"Subdivision","value":"EC"},{"id":4,"name":"Milepost","value":"23.2835"},{"id":17,"name":"Train ID","value":"157-10"},{"id":16,"name":"Locomotive ID","value":"4011"},{"id":130,"name":"Impact","value":""},{"id":150,"name":"Time of Event (Mountain Time)","value":"11:21:47"},{"id":151,"name":"Denver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495</v>
      </c>
      <c r="B70" s="7">
        <v>4012</v>
      </c>
      <c r="C70" s="24" t="s">
        <v>108</v>
      </c>
      <c r="D70" s="24" t="s">
        <v>455</v>
      </c>
      <c r="E70" s="15">
        <v>42623.483668981484</v>
      </c>
      <c r="F70" s="15">
        <v>42623.487534722219</v>
      </c>
      <c r="G70" s="7">
        <v>1</v>
      </c>
      <c r="H70" s="15" t="s">
        <v>270</v>
      </c>
      <c r="I70" s="15">
        <v>42623.513831018521</v>
      </c>
      <c r="J70" s="7">
        <v>0</v>
      </c>
      <c r="K70" s="122" t="str">
        <f t="shared" si="39"/>
        <v>4011/4012</v>
      </c>
      <c r="L70" s="24" t="str">
        <f>VLOOKUP(A70,'Trips&amp;Operators'!$C$1:$E$10000,3,FALSE)</f>
        <v>DE LA ROSA</v>
      </c>
      <c r="M70" s="6">
        <f t="shared" si="40"/>
        <v>2.6296296302461997E-2</v>
      </c>
      <c r="N70" s="7">
        <f t="shared" si="41"/>
        <v>37.866666675545275</v>
      </c>
      <c r="O70" s="7"/>
      <c r="P70" s="7"/>
      <c r="Q70" s="25"/>
      <c r="R70" s="25"/>
      <c r="S70" s="37">
        <f t="shared" si="42"/>
        <v>1</v>
      </c>
      <c r="T70" s="52" t="str">
        <f t="shared" si="37"/>
        <v>Southbound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10:36:29-0600',mode:absolute,to:'2016-09-10 13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70" s="54" t="str">
        <f t="shared" si="44"/>
        <v>N</v>
      </c>
      <c r="X70" s="172">
        <f t="shared" si="50"/>
        <v>1</v>
      </c>
      <c r="Y70" s="69">
        <f t="shared" si="51"/>
        <v>23.298300000000001</v>
      </c>
      <c r="Z70" s="69">
        <f t="shared" si="45"/>
        <v>1.5599999999999999E-2</v>
      </c>
      <c r="AA70" s="69">
        <f t="shared" si="46"/>
        <v>23.282700000000002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38"/>
        <v>0158-10</v>
      </c>
      <c r="AE70" s="99" t="str">
        <f t="shared" si="47"/>
        <v>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 &amp; aws s3 cp s3://rtdc.mdm.uploadarchive/RTDC4012/2016-09-11/ "%USERPROFILE%\AppData\Local\Temp\OnboardLogs"\RTDC4012\2016-09-11 --recursive &amp; "%USERPROFILE%\Documents\GitHub\mrs-test-scripts\Headless Mode &amp; Sideloading\WalkAndUnGZ.bat" "%USERPROFILE%\AppData\Local\Temp\OnboardLogs"\RTDC4012\2016-09-11</v>
      </c>
      <c r="AF70" s="96" t="str">
        <f t="shared" si="48"/>
        <v>"C:\Program Files (x86)\AstroGrep\AstroGrep.exe" /spath="%USERPROFILE%\AppData\Local\Temp\OnboardLogs" /stypes="*4012*20160910*" /stext=" 18:.+((SYSTEM_STATE.+slice.+state.+changed )|(ment ac)|(system.+state.+changed )|(\|lc)|(penalty)|(\[timeout)|(PRM\|1\|D)|(kpr)|(kdp))" /e /r /s</v>
      </c>
      <c r="AG70" s="1" t="str">
        <f t="shared" si="49"/>
        <v>EC</v>
      </c>
      <c r="AH70" s="100" t="str">
        <f t="shared" si="17"/>
        <v>"%USERPROFILE%\Documents\GitHub\eaglep3\Utilities\RefineRTDCRunTimes.py" --tripid 158-10 --locoid 4012 --swversion DE.1.0.7.0 --startMP 204:232983 --initTime 2016-09-10T11:36:29 --startdatetime 2016-09-10T11:42:03 --delay 1 --endMP 204:156 --enddatetime 2016-09-10T12:19:55 --enforcementcount 0 &gt;&gt;C:\Users\stu\Documents\GitHub\eaglep3-reporting\EC\2016-09-10-refined-times.txt</v>
      </c>
      <c r="AI70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{"issue":{"subject":"","project_id":79,"tracker_id":40,"status_id":1,"priority_id":2,"assigned_to_id":23,"start_date":"2016-09-10","description":"","custom_fields":[{"id":1,"name":"Subdivision","value":"EC"},{"id":4,"name":"Milepost","value":"23.2827"},{"id":17,"name":"Train ID","value":"158-10"},{"id":16,"name":"Locomotive ID","value":"4012"},{"id":130,"name":"Impact","value":""},{"id":150,"name":"Time of Event (Mountain Time)","value":"12:19:55"},{"id":151,"name":"Denver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496</v>
      </c>
      <c r="B71" s="7">
        <v>4002</v>
      </c>
      <c r="C71" s="24" t="s">
        <v>108</v>
      </c>
      <c r="D71" s="24" t="s">
        <v>271</v>
      </c>
      <c r="E71" s="15">
        <v>42623.458553240744</v>
      </c>
      <c r="F71" s="15">
        <v>42623.462060185186</v>
      </c>
      <c r="G71" s="7">
        <v>2</v>
      </c>
      <c r="H71" s="15" t="s">
        <v>492</v>
      </c>
      <c r="I71" s="15">
        <v>42623.490497685183</v>
      </c>
      <c r="J71" s="7">
        <v>0</v>
      </c>
      <c r="K71" s="122" t="str">
        <f t="shared" si="39"/>
        <v>4001/4002</v>
      </c>
      <c r="L71" s="24" t="str">
        <f>VLOOKUP(A71,'Trips&amp;Operators'!$C$1:$E$10000,3,FALSE)</f>
        <v>STEWART</v>
      </c>
      <c r="M71" s="6">
        <f t="shared" si="40"/>
        <v>2.8437499997380655E-2</v>
      </c>
      <c r="N71" s="7">
        <f t="shared" si="41"/>
        <v>40.949999996228144</v>
      </c>
      <c r="O71" s="7"/>
      <c r="P71" s="7"/>
      <c r="Q71" s="25"/>
      <c r="R71" s="25"/>
      <c r="S71" s="37">
        <f t="shared" si="42"/>
        <v>1</v>
      </c>
      <c r="T71" s="52" t="str">
        <f t="shared" si="37"/>
        <v>NorthBound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10:00:19-0600',mode:absolute,to:'2016-09-10 12:46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71" s="54" t="str">
        <f t="shared" si="44"/>
        <v>N</v>
      </c>
      <c r="X71" s="172">
        <f t="shared" si="50"/>
        <v>1</v>
      </c>
      <c r="Y71" s="69">
        <f t="shared" si="51"/>
        <v>4.5499999999999999E-2</v>
      </c>
      <c r="Z71" s="69">
        <f t="shared" si="45"/>
        <v>23.331099999999999</v>
      </c>
      <c r="AA71" s="69">
        <f t="shared" si="46"/>
        <v>23.285599999999999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38"/>
        <v>0159-10</v>
      </c>
      <c r="AE71" s="99" t="str">
        <f t="shared" si="47"/>
        <v>aws s3 cp s3://rtdc.mdm.uploadarchive/RTDC4002/2016-09-10/ "%USERPROFILE%\AppData\Local\Temp\OnboardLogs"\RTDC4002\2016-09-10 --recursive &amp; "%USERPROFILE%\Documents\GitHub\mrs-test-scripts\Headless Mode &amp; Sideloading\WalkAndUnGZ.bat" "%USERPROFILE%\AppData\Local\Temp\OnboardLogs"\RTDC4002\2016-09-10 &amp; 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</v>
      </c>
      <c r="AF71" s="96" t="str">
        <f t="shared" si="48"/>
        <v>"C:\Program Files (x86)\AstroGrep\AstroGrep.exe" /spath="%USERPROFILE%\AppData\Local\Temp\OnboardLogs" /stypes="*4002*20160910*" /stext=" 17:.+((SYSTEM_STATE.+slice.+state.+changed )|(ment ac)|(system.+state.+changed )|(\|lc)|(penalty)|(\[timeout)|(PRM\|1\|D)|(kpr)|(kdp))" /e /r /s</v>
      </c>
      <c r="AG71" s="1" t="str">
        <f t="shared" si="49"/>
        <v>EC</v>
      </c>
      <c r="AH71" s="100" t="str">
        <f t="shared" si="17"/>
        <v>"%USERPROFILE%\Documents\GitHub\eaglep3\Utilities\RefineRTDCRunTimes.py" --tripid 159-10 --locoid 4002 --swversion DE.1.0.7.0 --startMP 204:455 --initTime 2016-09-10T11:00:19 --startdatetime 2016-09-10T11:05:22 --delay 2 --endMP 204:233311 --enddatetime 2016-09-10T11:46:19 --enforcementcount 0 &gt;&gt;C:\Users\stu\Documents\GitHub\eaglep3-reporting\EC\2016-09-10-refined-times.txt</v>
      </c>
      <c r="AI71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{"issue":{"subject":"","project_id":79,"tracker_id":40,"status_id":1,"priority_id":2,"assigned_to_id":23,"start_date":"2016-09-10","description":"","custom_fields":[{"id":1,"name":"Subdivision","value":"EC"},{"id":4,"name":"Milepost","value":"23.2856"},{"id":17,"name":"Train ID","value":"159-10"},{"id":16,"name":"Locomotive ID","value":"4002"},{"id":130,"name":"Impact","value":""},{"id":150,"name":"Time of Event (Mountain Time)","value":"11:46:19"},{"id":151,"name":"Denver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497</v>
      </c>
      <c r="B72" s="7">
        <v>4001</v>
      </c>
      <c r="C72" s="24" t="s">
        <v>108</v>
      </c>
      <c r="D72" s="24" t="s">
        <v>448</v>
      </c>
      <c r="E72" s="15">
        <v>42623.492673611108</v>
      </c>
      <c r="F72" s="15">
        <v>42623.497465277775</v>
      </c>
      <c r="G72" s="7">
        <v>2</v>
      </c>
      <c r="H72" s="15" t="s">
        <v>237</v>
      </c>
      <c r="I72" s="15">
        <v>42623.524710648147</v>
      </c>
      <c r="J72" s="7">
        <v>0</v>
      </c>
      <c r="K72" s="122" t="str">
        <f t="shared" si="39"/>
        <v>4001/4002</v>
      </c>
      <c r="L72" s="24" t="str">
        <f>VLOOKUP(A72,'Trips&amp;Operators'!$C$1:$E$10000,3,FALSE)</f>
        <v>STEWART</v>
      </c>
      <c r="M72" s="6">
        <f t="shared" si="40"/>
        <v>2.7245370372838806E-2</v>
      </c>
      <c r="N72" s="7">
        <f t="shared" si="41"/>
        <v>39.233333336887881</v>
      </c>
      <c r="O72" s="7"/>
      <c r="P72" s="7"/>
      <c r="Q72" s="25"/>
      <c r="R72" s="25"/>
      <c r="S72" s="37">
        <f t="shared" si="42"/>
        <v>1</v>
      </c>
      <c r="T72" s="52" t="str">
        <f t="shared" si="37"/>
        <v>Southbound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10:49:27-0600',mode:absolute,to:'2016-09-10 13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72" s="54" t="str">
        <f t="shared" si="44"/>
        <v>N</v>
      </c>
      <c r="X72" s="172">
        <f t="shared" si="50"/>
        <v>1</v>
      </c>
      <c r="Y72" s="69">
        <f t="shared" si="51"/>
        <v>23.299199999999999</v>
      </c>
      <c r="Z72" s="69">
        <f t="shared" si="45"/>
        <v>1.6E-2</v>
      </c>
      <c r="AA72" s="69">
        <f t="shared" si="46"/>
        <v>23.283200000000001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38"/>
        <v>0160-10</v>
      </c>
      <c r="AE72" s="99" t="str">
        <f t="shared" si="47"/>
        <v>aws s3 cp s3://rtdc.mdm.uploadarchive/RTDC4001/2016-09-10/ "%USERPROFILE%\AppData\Local\Temp\OnboardLogs"\RTDC4001\2016-09-10 --recursive &amp; "%USERPROFILE%\Documents\GitHub\mrs-test-scripts\Headless Mode &amp; Sideloading\WalkAndUnGZ.bat" "%USERPROFILE%\AppData\Local\Temp\OnboardLogs"\RTDC4001\2016-09-10 &amp; 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</v>
      </c>
      <c r="AF72" s="96" t="str">
        <f t="shared" si="48"/>
        <v>"C:\Program Files (x86)\AstroGrep\AstroGrep.exe" /spath="%USERPROFILE%\AppData\Local\Temp\OnboardLogs" /stypes="*4001*20160910*" /stext=" 18:.+((SYSTEM_STATE.+slice.+state.+changed )|(ment ac)|(system.+state.+changed )|(\|lc)|(penalty)|(\[timeout)|(PRM\|1\|D)|(kpr)|(kdp))" /e /r /s</v>
      </c>
      <c r="AG72" s="1" t="str">
        <f t="shared" si="49"/>
        <v>EC</v>
      </c>
      <c r="AH72" s="100" t="str">
        <f t="shared" si="17"/>
        <v>"%USERPROFILE%\Documents\GitHub\eaglep3\Utilities\RefineRTDCRunTimes.py" --tripid 160-10 --locoid 4001 --swversion DE.1.0.7.0 --startMP 204:232992 --initTime 2016-09-10T11:49:27 --startdatetime 2016-09-10T11:56:21 --delay 2 --endMP 204:160 --enddatetime 2016-09-10T12:35:35 --enforcementcount 0 &gt;&gt;C:\Users\stu\Documents\GitHub\eaglep3-reporting\EC\2016-09-10-refined-times.txt</v>
      </c>
      <c r="AI72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{"issue":{"subject":"","project_id":79,"tracker_id":40,"status_id":1,"priority_id":2,"assigned_to_id":23,"start_date":"2016-09-10","description":"","custom_fields":[{"id":1,"name":"Subdivision","value":"EC"},{"id":4,"name":"Milepost","value":"23.2832"},{"id":17,"name":"Train ID","value":"160-10"},{"id":16,"name":"Locomotive ID","value":"4001"},{"id":130,"name":"Impact","value":""},{"id":150,"name":"Time of Event (Mountain Time)","value":"12:35:35"},{"id":151,"name":"Denver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498</v>
      </c>
      <c r="B73" s="7">
        <v>4046</v>
      </c>
      <c r="C73" s="24" t="s">
        <v>108</v>
      </c>
      <c r="D73" s="24" t="s">
        <v>261</v>
      </c>
      <c r="E73" s="15">
        <v>42623.466180555559</v>
      </c>
      <c r="F73" s="15">
        <v>42623.4690162037</v>
      </c>
      <c r="G73" s="7">
        <v>1</v>
      </c>
      <c r="H73" s="15" t="s">
        <v>499</v>
      </c>
      <c r="I73" s="15">
        <v>42623.494768518518</v>
      </c>
      <c r="J73" s="7">
        <v>0</v>
      </c>
      <c r="K73" s="122" t="str">
        <f t="shared" si="39"/>
        <v>4045/4046</v>
      </c>
      <c r="L73" s="24" t="str">
        <f>VLOOKUP(A73,'Trips&amp;Operators'!$C$1:$E$10000,3,FALSE)</f>
        <v>BARTLETT</v>
      </c>
      <c r="M73" s="6">
        <f t="shared" si="40"/>
        <v>2.5752314817509614E-2</v>
      </c>
      <c r="N73" s="7">
        <f t="shared" si="41"/>
        <v>37.083333337213844</v>
      </c>
      <c r="O73" s="7"/>
      <c r="P73" s="7"/>
      <c r="Q73" s="25"/>
      <c r="R73" s="25"/>
      <c r="S73" s="37">
        <f t="shared" si="42"/>
        <v>1</v>
      </c>
      <c r="T73" s="52" t="str">
        <f t="shared" si="37"/>
        <v>NorthBound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10:11:18-0600',mode:absolute,to:'2016-09-10 12:52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73" s="54" t="str">
        <f t="shared" si="44"/>
        <v>N</v>
      </c>
      <c r="X73" s="172">
        <f t="shared" si="50"/>
        <v>1</v>
      </c>
      <c r="Y73" s="69">
        <f t="shared" si="51"/>
        <v>4.4699999999999997E-2</v>
      </c>
      <c r="Z73" s="69">
        <f t="shared" si="45"/>
        <v>23.331499999999998</v>
      </c>
      <c r="AA73" s="69">
        <f t="shared" si="46"/>
        <v>23.286799999999999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38"/>
        <v>0161-10</v>
      </c>
      <c r="AE73" s="99" t="str">
        <f t="shared" si="47"/>
        <v>aws s3 cp s3://rtdc.mdm.uploadarchive/RTDC4046/2016-09-10/ "%USERPROFILE%\AppData\Local\Temp\OnboardLogs"\RTDC4046\2016-09-10 --recursive &amp; "%USERPROFILE%\Documents\GitHub\mrs-test-scripts\Headless Mode &amp; Sideloading\WalkAndUnGZ.bat" "%USERPROFILE%\AppData\Local\Temp\OnboardLogs"\RTDC4046\2016-09-10 &amp; aws s3 cp s3://rtdc.mdm.uploadarchive/RTDC4046/2016-09-11/ "%USERPROFILE%\AppData\Local\Temp\OnboardLogs"\RTDC4046\2016-09-11 --recursive &amp; "%USERPROFILE%\Documents\GitHub\mrs-test-scripts\Headless Mode &amp; Sideloading\WalkAndUnGZ.bat" "%USERPROFILE%\AppData\Local\Temp\OnboardLogs"\RTDC4046\2016-09-11</v>
      </c>
      <c r="AF73" s="96" t="str">
        <f t="shared" si="48"/>
        <v>"C:\Program Files (x86)\AstroGrep\AstroGrep.exe" /spath="%USERPROFILE%\AppData\Local\Temp\OnboardLogs" /stypes="*4046*20160910*" /stext=" 17:.+((SYSTEM_STATE.+slice.+state.+changed )|(ment ac)|(system.+state.+changed )|(\|lc)|(penalty)|(\[timeout)|(PRM\|1\|D)|(kpr)|(kdp))" /e /r /s</v>
      </c>
      <c r="AG73" s="1" t="str">
        <f t="shared" si="49"/>
        <v>EC</v>
      </c>
      <c r="AH73" s="100" t="str">
        <f t="shared" si="17"/>
        <v>"%USERPROFILE%\Documents\GitHub\eaglep3\Utilities\RefineRTDCRunTimes.py" --tripid 161-10 --locoid 4046 --swversion DE.1.0.7.0 --startMP 204:447 --initTime 2016-09-10T11:11:18 --startdatetime 2016-09-10T11:15:23 --delay 1 --endMP 204:233315 --enddatetime 2016-09-10T11:52:28 --enforcementcount 0 &gt;&gt;C:\Users\stu\Documents\GitHub\eaglep3-reporting\EC\2016-09-10-refined-times.txt</v>
      </c>
      <c r="AI73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{"issue":{"subject":"","project_id":79,"tracker_id":40,"status_id":1,"priority_id":2,"assigned_to_id":23,"start_date":"2016-09-10","description":"","custom_fields":[{"id":1,"name":"Subdivision","value":"EC"},{"id":4,"name":"Milepost","value":"23.2868"},{"id":17,"name":"Train ID","value":"161-10"},{"id":16,"name":"Locomotive ID","value":"4046"},{"id":130,"name":"Impact","value":""},{"id":150,"name":"Time of Event (Mountain Time)","value":"11:52:28"},{"id":151,"name":"Denver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500</v>
      </c>
      <c r="B74" s="7">
        <v>4045</v>
      </c>
      <c r="C74" s="24" t="s">
        <v>108</v>
      </c>
      <c r="D74" s="24" t="s">
        <v>344</v>
      </c>
      <c r="E74" s="15">
        <v>42623.496874999997</v>
      </c>
      <c r="F74" s="15">
        <v>42623.507881944446</v>
      </c>
      <c r="G74" s="7">
        <v>1</v>
      </c>
      <c r="H74" s="15" t="s">
        <v>260</v>
      </c>
      <c r="I74" s="15">
        <v>42623.53565972222</v>
      </c>
      <c r="J74" s="7">
        <v>0</v>
      </c>
      <c r="K74" s="122" t="str">
        <f t="shared" si="39"/>
        <v>4045/4046</v>
      </c>
      <c r="L74" s="24" t="str">
        <f>VLOOKUP(A74,'Trips&amp;Operators'!$C$1:$E$10000,3,FALSE)</f>
        <v>BARTLETT</v>
      </c>
      <c r="M74" s="6">
        <f t="shared" si="40"/>
        <v>2.7777777773735579E-2</v>
      </c>
      <c r="N74" s="7">
        <f t="shared" si="41"/>
        <v>39.999999994179234</v>
      </c>
      <c r="O74" s="7"/>
      <c r="P74" s="7"/>
      <c r="Q74" s="25"/>
      <c r="R74" s="25"/>
      <c r="S74" s="37">
        <f t="shared" si="42"/>
        <v>1</v>
      </c>
      <c r="T74" s="52" t="str">
        <f t="shared" si="37"/>
        <v>Southbound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10:55:30-0600',mode:absolute,to:'2016-09-10 13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74" s="54" t="str">
        <f t="shared" si="44"/>
        <v>N</v>
      </c>
      <c r="X74" s="172">
        <f t="shared" si="50"/>
        <v>1</v>
      </c>
      <c r="Y74" s="69">
        <f t="shared" si="51"/>
        <v>23.299399999999999</v>
      </c>
      <c r="Z74" s="69">
        <f t="shared" si="45"/>
        <v>1.4500000000000001E-2</v>
      </c>
      <c r="AA74" s="69">
        <f t="shared" si="46"/>
        <v>23.284899999999997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38"/>
        <v>0162-10</v>
      </c>
      <c r="AE74" s="99" t="str">
        <f t="shared" si="47"/>
        <v>aws s3 cp s3://rtdc.mdm.uploadarchive/RTDC4045/2016-09-10/ "%USERPROFILE%\AppData\Local\Temp\OnboardLogs"\RTDC4045\2016-09-10 --recursive &amp; "%USERPROFILE%\Documents\GitHub\mrs-test-scripts\Headless Mode &amp; Sideloading\WalkAndUnGZ.bat" "%USERPROFILE%\AppData\Local\Temp\OnboardLogs"\RTDC4045\2016-09-10 &amp; aws s3 cp s3://rtdc.mdm.uploadarchive/RTDC4045/2016-09-11/ "%USERPROFILE%\AppData\Local\Temp\OnboardLogs"\RTDC4045\2016-09-11 --recursive &amp; "%USERPROFILE%\Documents\GitHub\mrs-test-scripts\Headless Mode &amp; Sideloading\WalkAndUnGZ.bat" "%USERPROFILE%\AppData\Local\Temp\OnboardLogs"\RTDC4045\2016-09-11</v>
      </c>
      <c r="AF74" s="96" t="str">
        <f t="shared" si="48"/>
        <v>"C:\Program Files (x86)\AstroGrep\AstroGrep.exe" /spath="%USERPROFILE%\AppData\Local\Temp\OnboardLogs" /stypes="*4045*20160910*" /stext=" 18:.+((SYSTEM_STATE.+slice.+state.+changed )|(ment ac)|(system.+state.+changed )|(\|lc)|(penalty)|(\[timeout)|(PRM\|1\|D)|(kpr)|(kdp))" /e /r /s</v>
      </c>
      <c r="AG74" s="1" t="str">
        <f t="shared" si="49"/>
        <v>EC</v>
      </c>
      <c r="AH74" s="100" t="str">
        <f t="shared" si="17"/>
        <v>"%USERPROFILE%\Documents\GitHub\eaglep3\Utilities\RefineRTDCRunTimes.py" --tripid 162-10 --locoid 4045 --swversion DE.1.0.7.0 --startMP 204:232994 --initTime 2016-09-10T11:55:30 --startdatetime 2016-09-10T12:11:21 --delay 1 --endMP 204:145 --enddatetime 2016-09-10T12:51:21 --enforcementcount 0 &gt;&gt;C:\Users\stu\Documents\GitHub\eaglep3-reporting\EC\2016-09-10-refined-times.txt</v>
      </c>
      <c r="AI74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{"issue":{"subject":"","project_id":79,"tracker_id":40,"status_id":1,"priority_id":2,"assigned_to_id":23,"start_date":"2016-09-10","description":"","custom_fields":[{"id":1,"name":"Subdivision","value":"EC"},{"id":4,"name":"Milepost","value":"23.2849"},{"id":17,"name":"Train ID","value":"162-10"},{"id":16,"name":"Locomotive ID","value":"4045"},{"id":130,"name":"Impact","value":""},{"id":150,"name":"Time of Event (Mountain Time)","value":"12:51:21"},{"id":151,"name":"Denver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501</v>
      </c>
      <c r="B75" s="7">
        <v>4014</v>
      </c>
      <c r="C75" s="24" t="s">
        <v>108</v>
      </c>
      <c r="D75" s="24" t="s">
        <v>502</v>
      </c>
      <c r="E75" s="15">
        <v>42623.482523148145</v>
      </c>
      <c r="F75" s="15">
        <v>42623.484317129631</v>
      </c>
      <c r="G75" s="7">
        <v>1</v>
      </c>
      <c r="H75" s="15" t="s">
        <v>297</v>
      </c>
      <c r="I75" s="15">
        <v>42623.511932870373</v>
      </c>
      <c r="J75" s="7">
        <v>0</v>
      </c>
      <c r="K75" s="122" t="str">
        <f t="shared" si="39"/>
        <v>4013/4014</v>
      </c>
      <c r="L75" s="24" t="str">
        <f>VLOOKUP(A75,'Trips&amp;Operators'!$C$1:$E$10000,3,FALSE)</f>
        <v>MOSES</v>
      </c>
      <c r="M75" s="6">
        <f t="shared" si="40"/>
        <v>2.7615740742476191E-2</v>
      </c>
      <c r="N75" s="7">
        <f t="shared" si="41"/>
        <v>39.766666669165716</v>
      </c>
      <c r="O75" s="7"/>
      <c r="P75" s="7"/>
      <c r="Q75" s="25"/>
      <c r="R75" s="25"/>
      <c r="S75" s="37">
        <f t="shared" si="42"/>
        <v>1</v>
      </c>
      <c r="T75" s="52" t="str">
        <f t="shared" si="37"/>
        <v>NorthBound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10:34:50-0600',mode:absolute,to:'2016-09-10 13:17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75" s="54" t="str">
        <f t="shared" si="44"/>
        <v>N</v>
      </c>
      <c r="X75" s="172">
        <f t="shared" si="50"/>
        <v>1</v>
      </c>
      <c r="Y75" s="69">
        <f t="shared" si="51"/>
        <v>4.8000000000000001E-2</v>
      </c>
      <c r="Z75" s="69">
        <f t="shared" si="45"/>
        <v>23.330100000000002</v>
      </c>
      <c r="AA75" s="69">
        <f t="shared" si="46"/>
        <v>23.282100000000003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38"/>
        <v>0163-10</v>
      </c>
      <c r="AE75" s="99" t="str">
        <f t="shared" si="47"/>
        <v>aws s3 cp s3://rtdc.mdm.uploadarchive/RTDC4014/2016-09-10/ "%USERPROFILE%\AppData\Local\Temp\OnboardLogs"\RTDC4014\2016-09-10 --recursive &amp; "%USERPROFILE%\Documents\GitHub\mrs-test-scripts\Headless Mode &amp; Sideloading\WalkAndUnGZ.bat" "%USERPROFILE%\AppData\Local\Temp\OnboardLogs"\RTDC4014\2016-09-10 &amp; aws s3 cp s3://rtdc.mdm.uploadarchive/RTDC4014/2016-09-11/ "%USERPROFILE%\AppData\Local\Temp\OnboardLogs"\RTDC4014\2016-09-11 --recursive &amp; "%USERPROFILE%\Documents\GitHub\mrs-test-scripts\Headless Mode &amp; Sideloading\WalkAndUnGZ.bat" "%USERPROFILE%\AppData\Local\Temp\OnboardLogs"\RTDC4014\2016-09-11</v>
      </c>
      <c r="AF75" s="96" t="str">
        <f t="shared" si="48"/>
        <v>"C:\Program Files (x86)\AstroGrep\AstroGrep.exe" /spath="%USERPROFILE%\AppData\Local\Temp\OnboardLogs" /stypes="*4014*20160910*" /stext=" 18:.+((SYSTEM_STATE.+slice.+state.+changed )|(ment ac)|(system.+state.+changed )|(\|lc)|(penalty)|(\[timeout)|(PRM\|1\|D)|(kpr)|(kdp))" /e /r /s</v>
      </c>
      <c r="AG75" s="1" t="str">
        <f t="shared" si="49"/>
        <v>EC</v>
      </c>
      <c r="AH75" s="100" t="str">
        <f t="shared" si="17"/>
        <v>"%USERPROFILE%\Documents\GitHub\eaglep3\Utilities\RefineRTDCRunTimes.py" --tripid 163-10 --locoid 4014 --swversion DE.1.0.7.0 --startMP 204:480 --initTime 2016-09-10T11:34:50 --startdatetime 2016-09-10T11:37:25 --delay 1 --endMP 204:233301 --enddatetime 2016-09-10T12:17:11 --enforcementcount 0 &gt;&gt;C:\Users\stu\Documents\GitHub\eaglep3-reporting\EC\2016-09-10-refined-times.txt</v>
      </c>
      <c r="AI75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{"issue":{"subject":"","project_id":79,"tracker_id":40,"status_id":1,"priority_id":2,"assigned_to_id":23,"start_date":"2016-09-10","description":"","custom_fields":[{"id":1,"name":"Subdivision","value":"EC"},{"id":4,"name":"Milepost","value":"23.2821"},{"id":17,"name":"Train ID","value":"163-10"},{"id":16,"name":"Locomotive ID","value":"4014"},{"id":130,"name":"Impact","value":""},{"id":150,"name":"Time of Event (Mountain Time)","value":"12:17:11"},{"id":151,"name":"Denver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409</v>
      </c>
      <c r="B76" s="7">
        <v>4013</v>
      </c>
      <c r="C76" s="24" t="s">
        <v>108</v>
      </c>
      <c r="D76" s="24" t="s">
        <v>343</v>
      </c>
      <c r="E76" s="15">
        <v>42623.515775462962</v>
      </c>
      <c r="F76" s="15">
        <v>42623.518217592595</v>
      </c>
      <c r="G76" s="7">
        <v>1</v>
      </c>
      <c r="H76" s="15" t="s">
        <v>345</v>
      </c>
      <c r="I76" s="15">
        <v>42623.545370370368</v>
      </c>
      <c r="J76" s="7">
        <v>0</v>
      </c>
      <c r="K76" s="122" t="str">
        <f t="shared" si="39"/>
        <v>4013/4014</v>
      </c>
      <c r="L76" s="24" t="str">
        <f>VLOOKUP(A76,'Trips&amp;Operators'!$C$1:$E$10000,3,FALSE)</f>
        <v>MOSES</v>
      </c>
      <c r="M76" s="6">
        <f t="shared" si="40"/>
        <v>2.7152777773153502E-2</v>
      </c>
      <c r="N76" s="7">
        <f t="shared" si="41"/>
        <v>39.099999993341044</v>
      </c>
      <c r="O76" s="7"/>
      <c r="P76" s="7"/>
      <c r="Q76" s="25"/>
      <c r="R76" s="25"/>
      <c r="S76" s="37">
        <f t="shared" si="42"/>
        <v>1</v>
      </c>
      <c r="T76" s="52" t="str">
        <f t="shared" si="37"/>
        <v>Southbound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11:22:43-0600',mode:absolute,to:'2016-09-10 14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76" s="54" t="str">
        <f t="shared" si="44"/>
        <v>N</v>
      </c>
      <c r="X76" s="172">
        <f t="shared" si="50"/>
        <v>1</v>
      </c>
      <c r="Y76" s="69">
        <f t="shared" si="51"/>
        <v>23.297999999999998</v>
      </c>
      <c r="Z76" s="69">
        <f t="shared" si="45"/>
        <v>2.1600000000000001E-2</v>
      </c>
      <c r="AA76" s="69">
        <f t="shared" si="46"/>
        <v>23.276399999999999</v>
      </c>
      <c r="AB76" s="66" t="str">
        <f>VLOOKUP(A76,Enforcements!$C$7:$K$21,8,0)</f>
        <v>Form based authority (4)</v>
      </c>
      <c r="AC76" s="62" t="str">
        <f>VLOOKUP(A76,Enforcements!$C$7:$E$21,3,0)</f>
        <v>TRACK WARRANT AUTHORITY</v>
      </c>
      <c r="AD76" s="63" t="str">
        <f t="shared" si="38"/>
        <v>0164-10</v>
      </c>
      <c r="AE76" s="99" t="str">
        <f t="shared" si="47"/>
        <v>aws s3 cp s3://rtdc.mdm.uploadarchive/RTDC4013/2016-09-10/ "%USERPROFILE%\AppData\Local\Temp\OnboardLogs"\RTDC4013\2016-09-10 --recursive &amp; "%USERPROFILE%\Documents\GitHub\mrs-test-scripts\Headless Mode &amp; Sideloading\WalkAndUnGZ.bat" "%USERPROFILE%\AppData\Local\Temp\OnboardLogs"\RTDC4013\2016-09-10 &amp; aws s3 cp s3://rtdc.mdm.uploadarchive/RTDC4013/2016-09-11/ "%USERPROFILE%\AppData\Local\Temp\OnboardLogs"\RTDC4013\2016-09-11 --recursive &amp; "%USERPROFILE%\Documents\GitHub\mrs-test-scripts\Headless Mode &amp; Sideloading\WalkAndUnGZ.bat" "%USERPROFILE%\AppData\Local\Temp\OnboardLogs"\RTDC4013\2016-09-11</v>
      </c>
      <c r="AF76" s="96" t="str">
        <f t="shared" si="48"/>
        <v>"C:\Program Files (x86)\AstroGrep\AstroGrep.exe" /spath="%USERPROFILE%\AppData\Local\Temp\OnboardLogs" /stypes="*4013*20160910*" /stext=" 19:.+((SYSTEM_STATE.+slice.+state.+changed )|(ment ac)|(system.+state.+changed )|(\|lc)|(penalty)|(\[timeout)|(PRM\|1\|D)|(kpr)|(kdp))" /e /r /s</v>
      </c>
      <c r="AG76" s="1" t="str">
        <f t="shared" si="49"/>
        <v>EC</v>
      </c>
      <c r="AH76" s="100" t="str">
        <f t="shared" si="17"/>
        <v>"%USERPROFILE%\Documents\GitHub\eaglep3\Utilities\RefineRTDCRunTimes.py" --tripid 164-10 --locoid 4013 --swversion DE.1.0.7.0 --startMP 204:232980 --initTime 2016-09-10T12:22:43 --startdatetime 2016-09-10T12:26:14 --delay 1 --endMP 204:216 --enddatetime 2016-09-10T13:05:20 --enforcementcount 0 &gt;&gt;C:\Users\stu\Documents\GitHub\eaglep3-reporting\EC\2016-09-10-refined-times.txt</v>
      </c>
      <c r="AI76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{"issue":{"subject":"","project_id":79,"tracker_id":40,"status_id":1,"priority_id":2,"assigned_to_id":23,"start_date":"2016-09-10","description":"","custom_fields":[{"id":1,"name":"Subdivision","value":"EC"},{"id":4,"name":"Milepost","value":"23.2764"},{"id":17,"name":"Train ID","value":"164-10"},{"id":16,"name":"Locomotive ID","value":"4013"},{"id":130,"name":"Impact","value":""},{"id":150,"name":"Time of Event (Mountain Time)","value":"13:05:20"},{"id":151,"name":"Denver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503</v>
      </c>
      <c r="B77" s="7">
        <v>4040</v>
      </c>
      <c r="C77" s="24" t="s">
        <v>108</v>
      </c>
      <c r="D77" s="24" t="s">
        <v>295</v>
      </c>
      <c r="E77" s="15">
        <v>42623.485706018517</v>
      </c>
      <c r="F77" s="15">
        <v>42623.489791666667</v>
      </c>
      <c r="G77" s="7">
        <v>2</v>
      </c>
      <c r="H77" s="15" t="s">
        <v>504</v>
      </c>
      <c r="I77" s="15">
        <v>42623.516817129632</v>
      </c>
      <c r="J77" s="7">
        <v>0</v>
      </c>
      <c r="K77" s="122" t="str">
        <f t="shared" si="39"/>
        <v>4039/4040</v>
      </c>
      <c r="L77" s="24" t="str">
        <f>VLOOKUP(A77,'Trips&amp;Operators'!$C$1:$E$10000,3,FALSE)</f>
        <v>SHOOK</v>
      </c>
      <c r="M77" s="6">
        <f t="shared" si="40"/>
        <v>2.7025462964957114E-2</v>
      </c>
      <c r="N77" s="7">
        <f t="shared" si="41"/>
        <v>38.916666669538245</v>
      </c>
      <c r="O77" s="7"/>
      <c r="P77" s="7"/>
      <c r="Q77" s="25"/>
      <c r="R77" s="25"/>
      <c r="S77" s="37">
        <f t="shared" si="42"/>
        <v>1</v>
      </c>
      <c r="T77" s="52" t="str">
        <f t="shared" si="37"/>
        <v>NorthBound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10:39:25-0600',mode:absolute,to:'2016-09-10 13:24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77" s="54" t="str">
        <f t="shared" si="44"/>
        <v>N</v>
      </c>
      <c r="X77" s="172">
        <f t="shared" si="50"/>
        <v>1</v>
      </c>
      <c r="Y77" s="69">
        <f t="shared" si="51"/>
        <v>4.6399999999999997E-2</v>
      </c>
      <c r="Z77" s="69">
        <f t="shared" si="45"/>
        <v>23.333100000000002</v>
      </c>
      <c r="AA77" s="69">
        <f t="shared" si="46"/>
        <v>23.286700000000003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si="38"/>
        <v>0165-10</v>
      </c>
      <c r="AE77" s="99" t="str">
        <f t="shared" si="47"/>
        <v>aws s3 cp s3://rtdc.mdm.uploadarchive/RTDC4040/2016-09-10/ "%USERPROFILE%\AppData\Local\Temp\OnboardLogs"\RTDC4040\2016-09-10 --recursive &amp; "%USERPROFILE%\Documents\GitHub\mrs-test-scripts\Headless Mode &amp; Sideloading\WalkAndUnGZ.bat" "%USERPROFILE%\AppData\Local\Temp\OnboardLogs"\RTDC4040\2016-09-10 &amp; 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</v>
      </c>
      <c r="AF77" s="96" t="str">
        <f t="shared" si="48"/>
        <v>"C:\Program Files (x86)\AstroGrep\AstroGrep.exe" /spath="%USERPROFILE%\AppData\Local\Temp\OnboardLogs" /stypes="*4040*20160910*" /stext=" 18:.+((SYSTEM_STATE.+slice.+state.+changed )|(ment ac)|(system.+state.+changed )|(\|lc)|(penalty)|(\[timeout)|(PRM\|1\|D)|(kpr)|(kdp))" /e /r /s</v>
      </c>
      <c r="AG77" s="1" t="str">
        <f t="shared" si="49"/>
        <v>EC</v>
      </c>
      <c r="AH77" s="100" t="str">
        <f t="shared" si="17"/>
        <v>"%USERPROFILE%\Documents\GitHub\eaglep3\Utilities\RefineRTDCRunTimes.py" --tripid 165-10 --locoid 4040 --swversion DE.1.0.7.0 --startMP 204:464 --initTime 2016-09-10T11:39:25 --startdatetime 2016-09-10T11:45:18 --delay 2 --endMP 204:233331 --enddatetime 2016-09-10T12:24:13 --enforcementcount 0 &gt;&gt;C:\Users\stu\Documents\GitHub\eaglep3-reporting\EC\2016-09-10-refined-times.txt</v>
      </c>
      <c r="AI77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{"issue":{"subject":"","project_id":79,"tracker_id":40,"status_id":1,"priority_id":2,"assigned_to_id":23,"start_date":"2016-09-10","description":"","custom_fields":[{"id":1,"name":"Subdivision","value":"EC"},{"id":4,"name":"Milepost","value":"23.2867"},{"id":17,"name":"Train ID","value":"165-10"},{"id":16,"name":"Locomotive ID","value":"4040"},{"id":130,"name":"Impact","value":""},{"id":150,"name":"Time of Event (Mountain Time)","value":"12:24:13"},{"id":151,"name":"Denver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505</v>
      </c>
      <c r="B78" s="7">
        <v>4039</v>
      </c>
      <c r="C78" s="24" t="s">
        <v>108</v>
      </c>
      <c r="D78" s="24" t="s">
        <v>506</v>
      </c>
      <c r="E78" s="15">
        <v>42623.523356481484</v>
      </c>
      <c r="F78" s="15">
        <v>42623.528715277775</v>
      </c>
      <c r="G78" s="7">
        <v>1</v>
      </c>
      <c r="H78" s="15" t="s">
        <v>507</v>
      </c>
      <c r="I78" s="15">
        <v>42623.555277777778</v>
      </c>
      <c r="J78" s="7">
        <v>0</v>
      </c>
      <c r="K78" s="122" t="str">
        <f t="shared" si="39"/>
        <v>4039/4040</v>
      </c>
      <c r="L78" s="24" t="str">
        <f>VLOOKUP(A78,'Trips&amp;Operators'!$C$1:$E$10000,3,FALSE)</f>
        <v>SHOOK</v>
      </c>
      <c r="M78" s="6">
        <f t="shared" si="40"/>
        <v>2.6562500002910383E-2</v>
      </c>
      <c r="N78" s="7">
        <f t="shared" si="41"/>
        <v>38.250000004190952</v>
      </c>
      <c r="O78" s="7"/>
      <c r="P78" s="7"/>
      <c r="Q78" s="25"/>
      <c r="R78" s="25"/>
      <c r="S78" s="37">
        <f t="shared" si="42"/>
        <v>1</v>
      </c>
      <c r="T78" s="52" t="str">
        <f t="shared" si="37"/>
        <v>Southbound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11:33:38-0600',mode:absolute,to:'2016-09-10 14:19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78" s="54" t="str">
        <f t="shared" si="44"/>
        <v>N</v>
      </c>
      <c r="X78" s="172">
        <f t="shared" si="50"/>
        <v>1</v>
      </c>
      <c r="Y78" s="69">
        <f t="shared" si="51"/>
        <v>23.3047</v>
      </c>
      <c r="Z78" s="69">
        <f t="shared" si="45"/>
        <v>1.2999999999999999E-2</v>
      </c>
      <c r="AA78" s="69">
        <f t="shared" si="46"/>
        <v>23.291699999999999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38"/>
        <v>0166-10</v>
      </c>
      <c r="AE78" s="99" t="str">
        <f t="shared" si="47"/>
        <v>aws s3 cp s3://rtdc.mdm.uploadarchive/RTDC4039/2016-09-10/ "%USERPROFILE%\AppData\Local\Temp\OnboardLogs"\RTDC4039\2016-09-10 --recursive &amp; "%USERPROFILE%\Documents\GitHub\mrs-test-scripts\Headless Mode &amp; Sideloading\WalkAndUnGZ.bat" "%USERPROFILE%\AppData\Local\Temp\OnboardLogs"\RTDC4039\2016-09-10 &amp; 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</v>
      </c>
      <c r="AF78" s="96" t="str">
        <f t="shared" si="48"/>
        <v>"C:\Program Files (x86)\AstroGrep\AstroGrep.exe" /spath="%USERPROFILE%\AppData\Local\Temp\OnboardLogs" /stypes="*4039*20160910*" /stext=" 19:.+((SYSTEM_STATE.+slice.+state.+changed )|(ment ac)|(system.+state.+changed )|(\|lc)|(penalty)|(\[timeout)|(PRM\|1\|D)|(kpr)|(kdp))" /e /r /s</v>
      </c>
      <c r="AG78" s="1" t="str">
        <f t="shared" si="49"/>
        <v>EC</v>
      </c>
      <c r="AH78" s="100" t="str">
        <f t="shared" si="17"/>
        <v>"%USERPROFILE%\Documents\GitHub\eaglep3\Utilities\RefineRTDCRunTimes.py" --tripid 166-10 --locoid 4039 --swversion DE.1.0.7.0 --startMP 204:233047 --initTime 2016-09-10T12:33:38 --startdatetime 2016-09-10T12:41:21 --delay 1 --endMP 204:130 --enddatetime 2016-09-10T13:19:36 --enforcementcount 0 &gt;&gt;C:\Users\stu\Documents\GitHub\eaglep3-reporting\EC\2016-09-10-refined-times.txt</v>
      </c>
      <c r="AI78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{"issue":{"subject":"","project_id":79,"tracker_id":40,"status_id":1,"priority_id":2,"assigned_to_id":23,"start_date":"2016-09-10","description":"","custom_fields":[{"id":1,"name":"Subdivision","value":"EC"},{"id":4,"name":"Milepost","value":"23.2917"},{"id":17,"name":"Train ID","value":"166-10"},{"id":16,"name":"Locomotive ID","value":"4039"},{"id":130,"name":"Impact","value":""},{"id":150,"name":"Time of Event (Mountain Time)","value":"13:19:36"},{"id":151,"name":"Denver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508</v>
      </c>
      <c r="B79" s="7">
        <v>4038</v>
      </c>
      <c r="C79" s="24" t="s">
        <v>108</v>
      </c>
      <c r="D79" s="24" t="s">
        <v>295</v>
      </c>
      <c r="E79" s="15">
        <v>42623.496689814812</v>
      </c>
      <c r="F79" s="15">
        <v>42623.500208333331</v>
      </c>
      <c r="G79" s="7">
        <v>4</v>
      </c>
      <c r="H79" s="15" t="s">
        <v>297</v>
      </c>
      <c r="I79" s="15">
        <v>42623.525034722225</v>
      </c>
      <c r="J79" s="7">
        <v>0</v>
      </c>
      <c r="K79" s="122" t="str">
        <f t="shared" si="39"/>
        <v>4037/4038</v>
      </c>
      <c r="L79" s="24" t="str">
        <f>VLOOKUP(A79,'Trips&amp;Operators'!$C$1:$E$10000,3,FALSE)</f>
        <v>BRUDER</v>
      </c>
      <c r="M79" s="6">
        <f t="shared" si="40"/>
        <v>2.4826388893416151E-2</v>
      </c>
      <c r="N79" s="7">
        <f t="shared" si="41"/>
        <v>35.750000006519258</v>
      </c>
      <c r="O79" s="7"/>
      <c r="P79" s="7"/>
      <c r="Q79" s="25"/>
      <c r="R79" s="25"/>
      <c r="S79" s="37">
        <f t="shared" si="42"/>
        <v>1</v>
      </c>
      <c r="T79" s="52" t="str">
        <f t="shared" si="37"/>
        <v>NorthBound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10:55:14-0600',mode:absolute,to:'2016-09-10 13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79" s="54" t="str">
        <f t="shared" si="44"/>
        <v>N</v>
      </c>
      <c r="X79" s="172">
        <f t="shared" si="50"/>
        <v>1</v>
      </c>
      <c r="Y79" s="69">
        <f t="shared" si="51"/>
        <v>4.6399999999999997E-2</v>
      </c>
      <c r="Z79" s="69">
        <f t="shared" si="45"/>
        <v>23.330100000000002</v>
      </c>
      <c r="AA79" s="69">
        <f t="shared" si="46"/>
        <v>23.283700000000003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38"/>
        <v>0167-10</v>
      </c>
      <c r="AE79" s="99" t="str">
        <f t="shared" si="47"/>
        <v>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 &amp; aws s3 cp s3://rtdc.mdm.uploadarchive/RTDC4038/2016-09-11/ "%USERPROFILE%\AppData\Local\Temp\OnboardLogs"\RTDC4038\2016-09-11 --recursive &amp; "%USERPROFILE%\Documents\GitHub\mrs-test-scripts\Headless Mode &amp; Sideloading\WalkAndUnGZ.bat" "%USERPROFILE%\AppData\Local\Temp\OnboardLogs"\RTDC4038\2016-09-11</v>
      </c>
      <c r="AF79" s="96" t="str">
        <f t="shared" si="48"/>
        <v>"C:\Program Files (x86)\AstroGrep\AstroGrep.exe" /spath="%USERPROFILE%\AppData\Local\Temp\OnboardLogs" /stypes="*4038*20160910*" /stext=" 18:.+((SYSTEM_STATE.+slice.+state.+changed )|(ment ac)|(system.+state.+changed )|(\|lc)|(penalty)|(\[timeout)|(PRM\|1\|D)|(kpr)|(kdp))" /e /r /s</v>
      </c>
      <c r="AG79" s="1" t="str">
        <f t="shared" si="49"/>
        <v>EC</v>
      </c>
      <c r="AH79" s="100" t="str">
        <f t="shared" si="17"/>
        <v>"%USERPROFILE%\Documents\GitHub\eaglep3\Utilities\RefineRTDCRunTimes.py" --tripid 167-10 --locoid 4038 --swversion DE.1.0.7.0 --startMP 204:464 --initTime 2016-09-10T11:55:14 --startdatetime 2016-09-10T12:00:18 --delay 4 --endMP 204:233301 --enddatetime 2016-09-10T12:36:03 --enforcementcount 0 &gt;&gt;C:\Users\stu\Documents\GitHub\eaglep3-reporting\EC\2016-09-10-refined-times.txt</v>
      </c>
      <c r="AI79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{"issue":{"subject":"","project_id":79,"tracker_id":40,"status_id":1,"priority_id":2,"assigned_to_id":23,"start_date":"2016-09-10","description":"","custom_fields":[{"id":1,"name":"Subdivision","value":"EC"},{"id":4,"name":"Milepost","value":"23.2837"},{"id":17,"name":"Train ID","value":"167-10"},{"id":16,"name":"Locomotive ID","value":"4038"},{"id":130,"name":"Impact","value":""},{"id":150,"name":"Time of Event (Mountain Time)","value":"12:36:03"},{"id":151,"name":"Denver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410</v>
      </c>
      <c r="B80" s="7">
        <v>4037</v>
      </c>
      <c r="C80" s="24" t="s">
        <v>108</v>
      </c>
      <c r="D80" s="24" t="s">
        <v>272</v>
      </c>
      <c r="E80" s="15">
        <v>42623.533576388887</v>
      </c>
      <c r="F80" s="15">
        <v>42623.5391087963</v>
      </c>
      <c r="G80" s="7">
        <v>1</v>
      </c>
      <c r="H80" s="15" t="s">
        <v>265</v>
      </c>
      <c r="I80" s="15">
        <v>42623.565925925926</v>
      </c>
      <c r="J80" s="7">
        <v>0</v>
      </c>
      <c r="K80" s="122" t="str">
        <f t="shared" si="39"/>
        <v>4037/4038</v>
      </c>
      <c r="L80" s="24" t="str">
        <f>VLOOKUP(A80,'Trips&amp;Operators'!$C$1:$E$10000,3,FALSE)</f>
        <v>BRUDER</v>
      </c>
      <c r="M80" s="6">
        <f t="shared" si="40"/>
        <v>2.6817129626579117E-2</v>
      </c>
      <c r="N80" s="7">
        <f t="shared" si="41"/>
        <v>38.616666662273929</v>
      </c>
      <c r="O80" s="7"/>
      <c r="P80" s="7"/>
      <c r="Q80" s="25"/>
      <c r="R80" s="25"/>
      <c r="S80" s="37">
        <f t="shared" si="42"/>
        <v>1</v>
      </c>
      <c r="T80" s="52" t="str">
        <f t="shared" si="37"/>
        <v>Southbound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11:48:21-0600',mode:absolute,to:'2016-09-10 14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80" s="54" t="str">
        <f t="shared" si="44"/>
        <v>N</v>
      </c>
      <c r="X80" s="172">
        <f t="shared" si="50"/>
        <v>1</v>
      </c>
      <c r="Y80" s="69">
        <f t="shared" si="51"/>
        <v>23.297699999999999</v>
      </c>
      <c r="Z80" s="69">
        <f t="shared" si="45"/>
        <v>1.34E-2</v>
      </c>
      <c r="AA80" s="69">
        <f t="shared" si="46"/>
        <v>23.284299999999998</v>
      </c>
      <c r="AB80" s="66" t="str">
        <f>VLOOKUP(A80,Enforcements!$C$7:$K$21,8,0)</f>
        <v>Signal based authority (5)</v>
      </c>
      <c r="AC80" s="62" t="str">
        <f>VLOOKUP(A80,Enforcements!$C$7:$E$21,3,0)</f>
        <v>SIGNAL</v>
      </c>
      <c r="AD80" s="63" t="str">
        <f t="shared" si="38"/>
        <v>0168-10</v>
      </c>
      <c r="AE80" s="99" t="str">
        <f t="shared" si="47"/>
        <v>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 &amp; aws s3 cp s3://rtdc.mdm.uploadarchive/RTDC4037/2016-09-11/ "%USERPROFILE%\AppData\Local\Temp\OnboardLogs"\RTDC4037\2016-09-11 --recursive &amp; "%USERPROFILE%\Documents\GitHub\mrs-test-scripts\Headless Mode &amp; Sideloading\WalkAndUnGZ.bat" "%USERPROFILE%\AppData\Local\Temp\OnboardLogs"\RTDC4037\2016-09-11</v>
      </c>
      <c r="AF80" s="96" t="str">
        <f t="shared" si="48"/>
        <v>"C:\Program Files (x86)\AstroGrep\AstroGrep.exe" /spath="%USERPROFILE%\AppData\Local\Temp\OnboardLogs" /stypes="*4037*20160910*" /stext=" 19:.+((SYSTEM_STATE.+slice.+state.+changed )|(ment ac)|(system.+state.+changed )|(\|lc)|(penalty)|(\[timeout)|(PRM\|1\|D)|(kpr)|(kdp))" /e /r /s</v>
      </c>
      <c r="AG80" s="1" t="str">
        <f t="shared" si="49"/>
        <v>EC</v>
      </c>
      <c r="AH80" s="100" t="str">
        <f t="shared" si="17"/>
        <v>"%USERPROFILE%\Documents\GitHub\eaglep3\Utilities\RefineRTDCRunTimes.py" --tripid 168-10 --locoid 4037 --swversion DE.1.0.7.0 --startMP 204:232977 --initTime 2016-09-10T12:48:21 --startdatetime 2016-09-10T12:56:19 --delay 1 --endMP 204:134 --enddatetime 2016-09-10T13:34:56 --enforcementcount 0 &gt;&gt;C:\Users\stu\Documents\GitHub\eaglep3-reporting\EC\2016-09-10-refined-times.txt</v>
      </c>
      <c r="AI80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{"issue":{"subject":"","project_id":79,"tracker_id":40,"status_id":1,"priority_id":2,"assigned_to_id":23,"start_date":"2016-09-10","description":"","custom_fields":[{"id":1,"name":"Subdivision","value":"EC"},{"id":4,"name":"Milepost","value":"23.2843"},{"id":17,"name":"Train ID","value":"168-10"},{"id":16,"name":"Locomotive ID","value":"4037"},{"id":130,"name":"Impact","value":""},{"id":150,"name":"Time of Event (Mountain Time)","value":"13:34:56"},{"id":151,"name":"Denver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509</v>
      </c>
      <c r="B81" s="7">
        <v>4009</v>
      </c>
      <c r="C81" s="24" t="s">
        <v>108</v>
      </c>
      <c r="D81" s="24" t="s">
        <v>257</v>
      </c>
      <c r="E81" s="15">
        <v>42623.505277777775</v>
      </c>
      <c r="F81" s="15">
        <v>42623.51059027778</v>
      </c>
      <c r="G81" s="7">
        <v>1</v>
      </c>
      <c r="H81" s="15" t="s">
        <v>288</v>
      </c>
      <c r="I81" s="15">
        <v>42623.536759259259</v>
      </c>
      <c r="J81" s="7">
        <v>0</v>
      </c>
      <c r="K81" s="122" t="str">
        <f t="shared" si="39"/>
        <v>4009/4010</v>
      </c>
      <c r="L81" s="24" t="str">
        <f>VLOOKUP(A81,'Trips&amp;Operators'!$C$1:$E$10000,3,FALSE)</f>
        <v>CLARK</v>
      </c>
      <c r="M81" s="6">
        <f t="shared" si="40"/>
        <v>2.6168981479713693E-2</v>
      </c>
      <c r="N81" s="7">
        <f t="shared" si="41"/>
        <v>37.683333330787718</v>
      </c>
      <c r="O81" s="7"/>
      <c r="P81" s="7"/>
      <c r="Q81" s="25"/>
      <c r="R81" s="25"/>
      <c r="S81" s="37">
        <f t="shared" si="42"/>
        <v>1</v>
      </c>
      <c r="T81" s="52" t="str">
        <f t="shared" si="37"/>
        <v>NorthBound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11:07:36-0600',mode:absolute,to:'2016-09-10 13:52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81" s="54" t="str">
        <f t="shared" si="44"/>
        <v>N</v>
      </c>
      <c r="X81" s="172">
        <f t="shared" si="50"/>
        <v>1</v>
      </c>
      <c r="Y81" s="69">
        <f t="shared" si="51"/>
        <v>4.3799999999999999E-2</v>
      </c>
      <c r="Z81" s="69">
        <f t="shared" si="45"/>
        <v>23.3308</v>
      </c>
      <c r="AA81" s="69">
        <f t="shared" si="46"/>
        <v>23.286999999999999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38"/>
        <v>0169-10</v>
      </c>
      <c r="AE81" s="99" t="str">
        <f t="shared" si="47"/>
        <v>aws s3 cp s3://rtdc.mdm.uploadarchive/RTDC4009/2016-09-10/ "%USERPROFILE%\AppData\Local\Temp\OnboardLogs"\RTDC4009\2016-09-10 --recursive &amp; "%USERPROFILE%\Documents\GitHub\mrs-test-scripts\Headless Mode &amp; Sideloading\WalkAndUnGZ.bat" "%USERPROFILE%\AppData\Local\Temp\OnboardLogs"\RTDC4009\2016-09-10 &amp; aws s3 cp s3://rtdc.mdm.uploadarchive/RTDC4009/2016-09-11/ "%USERPROFILE%\AppData\Local\Temp\OnboardLogs"\RTDC4009\2016-09-11 --recursive &amp; "%USERPROFILE%\Documents\GitHub\mrs-test-scripts\Headless Mode &amp; Sideloading\WalkAndUnGZ.bat" "%USERPROFILE%\AppData\Local\Temp\OnboardLogs"\RTDC4009\2016-09-11</v>
      </c>
      <c r="AF81" s="96" t="str">
        <f t="shared" si="48"/>
        <v>"C:\Program Files (x86)\AstroGrep\AstroGrep.exe" /spath="%USERPROFILE%\AppData\Local\Temp\OnboardLogs" /stypes="*4009*20160910*" /stext=" 18:.+((SYSTEM_STATE.+slice.+state.+changed )|(ment ac)|(system.+state.+changed )|(\|lc)|(penalty)|(\[timeout)|(PRM\|1\|D)|(kpr)|(kdp))" /e /r /s</v>
      </c>
      <c r="AG81" s="1" t="str">
        <f t="shared" si="49"/>
        <v>EC</v>
      </c>
      <c r="AH81" s="100" t="str">
        <f t="shared" si="17"/>
        <v>"%USERPROFILE%\Documents\GitHub\eaglep3\Utilities\RefineRTDCRunTimes.py" --tripid 169-10 --locoid 4009 --swversion DE.1.0.7.0 --startMP 204:438 --initTime 2016-09-10T12:07:36 --startdatetime 2016-09-10T12:15:15 --delay 1 --endMP 204:233308 --enddatetime 2016-09-10T12:52:56 --enforcementcount 0 &gt;&gt;C:\Users\stu\Documents\GitHub\eaglep3-reporting\EC\2016-09-10-refined-times.txt</v>
      </c>
      <c r="AI81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{"issue":{"subject":"","project_id":79,"tracker_id":40,"status_id":1,"priority_id":2,"assigned_to_id":23,"start_date":"2016-09-10","description":"","custom_fields":[{"id":1,"name":"Subdivision","value":"EC"},{"id":4,"name":"Milepost","value":"23.287"},{"id":17,"name":"Train ID","value":"169-10"},{"id":16,"name":"Locomotive ID","value":"4009"},{"id":130,"name":"Impact","value":""},{"id":150,"name":"Time of Event (Mountain Time)","value":"12:52:56"},{"id":151,"name":"Denver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411</v>
      </c>
      <c r="B82" s="7">
        <v>4010</v>
      </c>
      <c r="C82" s="24" t="s">
        <v>108</v>
      </c>
      <c r="D82" s="24" t="s">
        <v>258</v>
      </c>
      <c r="E82" s="15">
        <v>42623.545960648145</v>
      </c>
      <c r="F82" s="15">
        <v>42623.549490740741</v>
      </c>
      <c r="G82" s="7">
        <v>1</v>
      </c>
      <c r="H82" s="15" t="s">
        <v>131</v>
      </c>
      <c r="I82" s="15">
        <v>42623.578472222223</v>
      </c>
      <c r="J82" s="7">
        <v>0</v>
      </c>
      <c r="K82" s="122" t="str">
        <f t="shared" si="39"/>
        <v>4009/4010</v>
      </c>
      <c r="L82" s="24" t="str">
        <f>VLOOKUP(A82,'Trips&amp;Operators'!$C$1:$E$10000,3,FALSE)</f>
        <v>CLARK</v>
      </c>
      <c r="M82" s="6">
        <f t="shared" si="40"/>
        <v>2.8981481482333038E-2</v>
      </c>
      <c r="N82" s="7">
        <f t="shared" si="41"/>
        <v>41.733333334559575</v>
      </c>
      <c r="O82" s="7"/>
      <c r="P82" s="7"/>
      <c r="Q82" s="25"/>
      <c r="R82" s="25"/>
      <c r="S82" s="37">
        <f t="shared" si="42"/>
        <v>1</v>
      </c>
      <c r="T82" s="52" t="str">
        <f t="shared" si="37"/>
        <v>Southbound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12:06:11-0600',mode:absolute,to:'2016-09-10 14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82" s="54" t="str">
        <f t="shared" si="44"/>
        <v>N</v>
      </c>
      <c r="X82" s="172">
        <f t="shared" si="50"/>
        <v>1</v>
      </c>
      <c r="Y82" s="69">
        <f t="shared" si="51"/>
        <v>23.299600000000002</v>
      </c>
      <c r="Z82" s="69">
        <f t="shared" si="45"/>
        <v>1.54E-2</v>
      </c>
      <c r="AA82" s="69">
        <f t="shared" si="46"/>
        <v>23.284200000000002</v>
      </c>
      <c r="AB82" s="66" t="str">
        <f>VLOOKUP(A82,Enforcements!$C$7:$K$21,8,0)</f>
        <v>Form based authority (4)</v>
      </c>
      <c r="AC82" s="62" t="str">
        <f>VLOOKUP(A82,Enforcements!$C$7:$E$21,3,0)</f>
        <v>TRACK WARRANT AUTHORITY</v>
      </c>
      <c r="AD82" s="63" t="str">
        <f t="shared" si="38"/>
        <v>0170-10</v>
      </c>
      <c r="AE82" s="99" t="str">
        <f t="shared" si="47"/>
        <v>aws s3 cp s3://rtdc.mdm.uploadarchive/RTDC4010/2016-09-10/ "%USERPROFILE%\AppData\Local\Temp\OnboardLogs"\RTDC4010\2016-09-10 --recursive &amp; "%USERPROFILE%\Documents\GitHub\mrs-test-scripts\Headless Mode &amp; Sideloading\WalkAndUnGZ.bat" "%USERPROFILE%\AppData\Local\Temp\OnboardLogs"\RTDC4010\2016-09-10 &amp; 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</v>
      </c>
      <c r="AF82" s="96" t="str">
        <f t="shared" si="48"/>
        <v>"C:\Program Files (x86)\AstroGrep\AstroGrep.exe" /spath="%USERPROFILE%\AppData\Local\Temp\OnboardLogs" /stypes="*4010*20160910*" /stext=" 19:.+((SYSTEM_STATE.+slice.+state.+changed )|(ment ac)|(system.+state.+changed )|(\|lc)|(penalty)|(\[timeout)|(PRM\|1\|D)|(kpr)|(kdp))" /e /r /s</v>
      </c>
      <c r="AG82" s="1" t="str">
        <f t="shared" si="49"/>
        <v>EC</v>
      </c>
      <c r="AH82" s="100" t="str">
        <f t="shared" si="17"/>
        <v>"%USERPROFILE%\Documents\GitHub\eaglep3\Utilities\RefineRTDCRunTimes.py" --tripid 170-10 --locoid 4010 --swversion DE.1.0.7.0 --startMP 204:232996 --initTime 2016-09-10T13:06:11 --startdatetime 2016-09-10T13:11:16 --delay 1 --endMP 204:154 --enddatetime 2016-09-10T13:53:00 --enforcementcount 0 &gt;&gt;C:\Users\stu\Documents\GitHub\eaglep3-reporting\EC\2016-09-10-refined-times.txt</v>
      </c>
      <c r="AI82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{"issue":{"subject":"","project_id":79,"tracker_id":40,"status_id":1,"priority_id":2,"assigned_to_id":23,"start_date":"2016-09-10","description":"","custom_fields":[{"id":1,"name":"Subdivision","value":"EC"},{"id":4,"name":"Milepost","value":"23.2842"},{"id":17,"name":"Train ID","value":"170-10"},{"id":16,"name":"Locomotive ID","value":"4010"},{"id":130,"name":"Impact","value":""},{"id":150,"name":"Time of Event (Mountain Time)","value":"13:53:00"},{"id":151,"name":"Denver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510</v>
      </c>
      <c r="B83" s="7">
        <v>4011</v>
      </c>
      <c r="C83" s="24" t="s">
        <v>108</v>
      </c>
      <c r="D83" s="24" t="s">
        <v>264</v>
      </c>
      <c r="E83" s="15">
        <v>42623.516469907408</v>
      </c>
      <c r="F83" s="15">
        <v>42623.521192129629</v>
      </c>
      <c r="G83" s="7">
        <v>1</v>
      </c>
      <c r="H83" s="15" t="s">
        <v>487</v>
      </c>
      <c r="I83" s="15">
        <v>42623.545613425929</v>
      </c>
      <c r="J83" s="7">
        <v>0</v>
      </c>
      <c r="K83" s="122" t="str">
        <f t="shared" si="39"/>
        <v>4011/4012</v>
      </c>
      <c r="L83" s="24" t="str">
        <f>VLOOKUP(A83,'Trips&amp;Operators'!$C$1:$E$10000,3,FALSE)</f>
        <v>OUN</v>
      </c>
      <c r="M83" s="6">
        <f t="shared" si="40"/>
        <v>2.4421296300715767E-2</v>
      </c>
      <c r="N83" s="7">
        <f t="shared" si="41"/>
        <v>35.166666673030704</v>
      </c>
      <c r="O83" s="7"/>
      <c r="P83" s="7"/>
      <c r="Q83" s="25"/>
      <c r="R83" s="25"/>
      <c r="S83" s="37">
        <f t="shared" si="42"/>
        <v>1</v>
      </c>
      <c r="T83" s="52" t="str">
        <f t="shared" si="37"/>
        <v>NorthBound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11:23:43-0600',mode:absolute,to:'2016-09-10 14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83" s="54" t="str">
        <f t="shared" si="44"/>
        <v>N</v>
      </c>
      <c r="X83" s="172">
        <f t="shared" si="50"/>
        <v>1</v>
      </c>
      <c r="Y83" s="69">
        <f t="shared" si="51"/>
        <v>4.6600000000000003E-2</v>
      </c>
      <c r="Z83" s="69">
        <f t="shared" si="45"/>
        <v>23.328600000000002</v>
      </c>
      <c r="AA83" s="69">
        <f t="shared" si="46"/>
        <v>23.282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38"/>
        <v>0171-10</v>
      </c>
      <c r="AE83" s="99" t="str">
        <f t="shared" si="47"/>
        <v>aws s3 cp s3://rtdc.mdm.uploadarchive/RTDC4011/2016-09-10/ "%USERPROFILE%\AppData\Local\Temp\OnboardLogs"\RTDC4011\2016-09-10 --recursive &amp; "%USERPROFILE%\Documents\GitHub\mrs-test-scripts\Headless Mode &amp; Sideloading\WalkAndUnGZ.bat" "%USERPROFILE%\AppData\Local\Temp\OnboardLogs"\RTDC4011\2016-09-10 &amp; aws s3 cp s3://rtdc.mdm.uploadarchive/RTDC4011/2016-09-11/ "%USERPROFILE%\AppData\Local\Temp\OnboardLogs"\RTDC4011\2016-09-11 --recursive &amp; "%USERPROFILE%\Documents\GitHub\mrs-test-scripts\Headless Mode &amp; Sideloading\WalkAndUnGZ.bat" "%USERPROFILE%\AppData\Local\Temp\OnboardLogs"\RTDC4011\2016-09-11</v>
      </c>
      <c r="AF83" s="96" t="str">
        <f t="shared" si="48"/>
        <v>"C:\Program Files (x86)\AstroGrep\AstroGrep.exe" /spath="%USERPROFILE%\AppData\Local\Temp\OnboardLogs" /stypes="*4011*20160910*" /stext=" 19:.+((SYSTEM_STATE.+slice.+state.+changed )|(ment ac)|(system.+state.+changed )|(\|lc)|(penalty)|(\[timeout)|(PRM\|1\|D)|(kpr)|(kdp))" /e /r /s</v>
      </c>
      <c r="AG83" s="1" t="str">
        <f t="shared" si="49"/>
        <v>EC</v>
      </c>
      <c r="AH83" s="100" t="str">
        <f t="shared" si="17"/>
        <v>"%USERPROFILE%\Documents\GitHub\eaglep3\Utilities\RefineRTDCRunTimes.py" --tripid 171-10 --locoid 4011 --swversion DE.1.0.7.0 --startMP 204:466 --initTime 2016-09-10T12:23:43 --startdatetime 2016-09-10T12:30:31 --delay 1 --endMP 204:233286 --enddatetime 2016-09-10T13:05:41 --enforcementcount 0 &gt;&gt;C:\Users\stu\Documents\GitHub\eaglep3-reporting\EC\2016-09-10-refined-times.txt</v>
      </c>
      <c r="AI83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{"issue":{"subject":"","project_id":79,"tracker_id":40,"status_id":1,"priority_id":2,"assigned_to_id":23,"start_date":"2016-09-10","description":"","custom_fields":[{"id":1,"name":"Subdivision","value":"EC"},{"id":4,"name":"Milepost","value":"23.282"},{"id":17,"name":"Train ID","value":"171-10"},{"id":16,"name":"Locomotive ID","value":"4011"},{"id":130,"name":"Impact","value":""},{"id":150,"name":"Time of Event (Mountain Time)","value":"13:05:41"},{"id":151,"name":"Denver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511</v>
      </c>
      <c r="B84" s="7">
        <v>4012</v>
      </c>
      <c r="C84" s="24" t="s">
        <v>108</v>
      </c>
      <c r="D84" s="24" t="s">
        <v>272</v>
      </c>
      <c r="E84" s="15">
        <v>42623.553784722222</v>
      </c>
      <c r="F84" s="15">
        <v>42623.56</v>
      </c>
      <c r="G84" s="7">
        <v>2</v>
      </c>
      <c r="H84" s="15" t="s">
        <v>246</v>
      </c>
      <c r="I84" s="15">
        <v>42623.586319444446</v>
      </c>
      <c r="J84" s="7">
        <v>0</v>
      </c>
      <c r="K84" s="122" t="str">
        <f t="shared" si="39"/>
        <v>4011/4012</v>
      </c>
      <c r="L84" s="24" t="str">
        <f>VLOOKUP(A84,'Trips&amp;Operators'!$C$1:$E$10000,3,FALSE)</f>
        <v>OUN</v>
      </c>
      <c r="M84" s="6">
        <f t="shared" si="40"/>
        <v>2.6319444448745344E-2</v>
      </c>
      <c r="N84" s="7">
        <f t="shared" si="41"/>
        <v>37.900000006193295</v>
      </c>
      <c r="O84" s="7"/>
      <c r="P84" s="7"/>
      <c r="Q84" s="25"/>
      <c r="R84" s="25"/>
      <c r="S84" s="37">
        <f t="shared" si="42"/>
        <v>1</v>
      </c>
      <c r="T84" s="52" t="str">
        <f t="shared" ref="T84:T115" si="52">IF(ISEVEN(LEFT(AD84,4)),"Southbound","NorthBound")</f>
        <v>Southbound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12:17:27-0600',mode:absolute,to:'2016-09-10 15:04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84" s="54" t="str">
        <f t="shared" si="44"/>
        <v>N</v>
      </c>
      <c r="X84" s="172">
        <f t="shared" si="50"/>
        <v>1</v>
      </c>
      <c r="Y84" s="69">
        <f t="shared" si="51"/>
        <v>23.297699999999999</v>
      </c>
      <c r="Z84" s="69">
        <f t="shared" si="45"/>
        <v>1.47E-2</v>
      </c>
      <c r="AA84" s="69">
        <f t="shared" si="46"/>
        <v>23.282999999999998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38"/>
        <v>0172-10</v>
      </c>
      <c r="AE84" s="99" t="str">
        <f t="shared" si="47"/>
        <v>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 &amp; aws s3 cp s3://rtdc.mdm.uploadarchive/RTDC4012/2016-09-11/ "%USERPROFILE%\AppData\Local\Temp\OnboardLogs"\RTDC4012\2016-09-11 --recursive &amp; "%USERPROFILE%\Documents\GitHub\mrs-test-scripts\Headless Mode &amp; Sideloading\WalkAndUnGZ.bat" "%USERPROFILE%\AppData\Local\Temp\OnboardLogs"\RTDC4012\2016-09-11</v>
      </c>
      <c r="AF84" s="96" t="str">
        <f t="shared" si="48"/>
        <v>"C:\Program Files (x86)\AstroGrep\AstroGrep.exe" /spath="%USERPROFILE%\AppData\Local\Temp\OnboardLogs" /stypes="*4012*20160910*" /stext=" 20:.+((SYSTEM_STATE.+slice.+state.+changed )|(ment ac)|(system.+state.+changed )|(\|lc)|(penalty)|(\[timeout)|(PRM\|1\|D)|(kpr)|(kdp))" /e /r /s</v>
      </c>
      <c r="AG84" s="1" t="str">
        <f t="shared" si="49"/>
        <v>EC</v>
      </c>
      <c r="AH84" s="100" t="str">
        <f t="shared" si="17"/>
        <v>"%USERPROFILE%\Documents\GitHub\eaglep3\Utilities\RefineRTDCRunTimes.py" --tripid 172-10 --locoid 4012 --swversion DE.1.0.7.0 --startMP 204:232977 --initTime 2016-09-10T13:17:27 --startdatetime 2016-09-10T13:26:24 --delay 2 --endMP 204:147 --enddatetime 2016-09-10T14:04:18 --enforcementcount 0 &gt;&gt;C:\Users\stu\Documents\GitHub\eaglep3-reporting\EC\2016-09-10-refined-times.txt</v>
      </c>
      <c r="AI84" s="137" t="str">
        <f t="shared" si="18"/>
        <v>echo {"issue":{"subject":"","project_id":79,"tracker_id":40,"status_id":1,"priority_id":2,"assigned_to_id":23,"start_date":"2016-09-10","description":"","custom_fields":[{"id":1,"name":"Subdivision","value":"EC"},{"id":4,"name":"Milepost","value":"23.283"},{"id":17,"name":"Train ID","value":"172-10"},{"id":16,"name":"Locomotive ID","value":"4012"},{"id":130,"name":"Impact","value":""},{"id":150,"name":"Time of Event (Mountain Time)","value":"14:04:18"},{"id":151,"name":"Denver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512</v>
      </c>
      <c r="B85" s="7">
        <v>4002</v>
      </c>
      <c r="C85" s="24" t="s">
        <v>108</v>
      </c>
      <c r="D85" s="24" t="s">
        <v>241</v>
      </c>
      <c r="E85" s="15">
        <v>42623.527384259258</v>
      </c>
      <c r="F85" s="15">
        <v>42623.53162037037</v>
      </c>
      <c r="G85" s="7">
        <v>2</v>
      </c>
      <c r="H85" s="15" t="s">
        <v>313</v>
      </c>
      <c r="I85" s="15">
        <v>42623.557824074072</v>
      </c>
      <c r="J85" s="7">
        <v>0</v>
      </c>
      <c r="K85" s="122" t="str">
        <f t="shared" si="39"/>
        <v>4001/4002</v>
      </c>
      <c r="L85" s="24" t="str">
        <f>VLOOKUP(A85,'Trips&amp;Operators'!$C$1:$E$10000,3,FALSE)</f>
        <v>STEWART</v>
      </c>
      <c r="M85" s="6">
        <f t="shared" si="40"/>
        <v>2.6203703702776693E-2</v>
      </c>
      <c r="N85" s="7">
        <f t="shared" si="41"/>
        <v>37.733333331998438</v>
      </c>
      <c r="O85" s="7"/>
      <c r="P85" s="7"/>
      <c r="Q85" s="25"/>
      <c r="R85" s="25"/>
      <c r="S85" s="37">
        <f t="shared" si="42"/>
        <v>1</v>
      </c>
      <c r="T85" s="52" t="str">
        <f t="shared" si="52"/>
        <v>NorthBound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11:39:26-0600',mode:absolute,to:'2016-09-10 14:23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85" s="54" t="str">
        <f t="shared" si="44"/>
        <v>N</v>
      </c>
      <c r="X85" s="172">
        <f t="shared" si="50"/>
        <v>1</v>
      </c>
      <c r="Y85" s="69">
        <f t="shared" si="51"/>
        <v>4.7100000000000003E-2</v>
      </c>
      <c r="Z85" s="69">
        <f t="shared" si="45"/>
        <v>23.3323</v>
      </c>
      <c r="AA85" s="69">
        <f t="shared" si="46"/>
        <v>23.2852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38"/>
        <v>0173-10</v>
      </c>
      <c r="AE85" s="99" t="str">
        <f t="shared" si="47"/>
        <v>aws s3 cp s3://rtdc.mdm.uploadarchive/RTDC4002/2016-09-10/ "%USERPROFILE%\AppData\Local\Temp\OnboardLogs"\RTDC4002\2016-09-10 --recursive &amp; "%USERPROFILE%\Documents\GitHub\mrs-test-scripts\Headless Mode &amp; Sideloading\WalkAndUnGZ.bat" "%USERPROFILE%\AppData\Local\Temp\OnboardLogs"\RTDC4002\2016-09-10 &amp; 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</v>
      </c>
      <c r="AF85" s="96" t="str">
        <f t="shared" si="48"/>
        <v>"C:\Program Files (x86)\AstroGrep\AstroGrep.exe" /spath="%USERPROFILE%\AppData\Local\Temp\OnboardLogs" /stypes="*4002*20160910*" /stext=" 19:.+((SYSTEM_STATE.+slice.+state.+changed )|(ment ac)|(system.+state.+changed )|(\|lc)|(penalty)|(\[timeout)|(PRM\|1\|D)|(kpr)|(kdp))" /e /r /s</v>
      </c>
      <c r="AG85" s="1" t="str">
        <f t="shared" si="49"/>
        <v>EC</v>
      </c>
      <c r="AH85" s="100" t="str">
        <f t="shared" ref="AH85:AH148" si="53">refinertdcruntimes&amp;" --tripid "&amp;A85&amp;" --locoid "&amp;B85&amp;" --swversion "&amp;C85&amp;" --startMP "&amp;D85&amp;" --initTime "&amp;TEXT(E85,"yyyy-mm-ddTHH:MM:SS")&amp;" --startdatetime "&amp;TEXT(F85,"yyyy-mm-ddTHH:MM:SS")&amp;" --delay "&amp;G85&amp;" --endMP "&amp;H85&amp;" --enddatetime "&amp;TEXT(I85,"yyyy-mm-ddTHH:MM:SS")&amp;" --enforcementcount "&amp;J85&amp;IF(outputrefinedruntimes," &gt;&gt;"&amp;RefinedRTDCRunTimesOutputFile,"")</f>
        <v>"%USERPROFILE%\Documents\GitHub\eaglep3\Utilities\RefineRTDCRunTimes.py" --tripid 173-10 --locoid 4002 --swversion DE.1.0.7.0 --startMP 204:471 --initTime 2016-09-10T12:39:26 --startdatetime 2016-09-10T12:45:32 --delay 2 --endMP 204:233323 --enddatetime 2016-09-10T13:23:16 --enforcementcount 0 &gt;&gt;C:\Users\stu\Documents\GitHub\eaglep3-reporting\EC\2016-09-10-refined-times.txt</v>
      </c>
      <c r="AI85" s="137" t="str">
        <f t="shared" ref="AI85:AI148" si="54">"echo {""issue"":{""subject"":"""&amp;R85&amp;""",""project_id"":79,""tracker_id"":40,""status_id"":"&amp;redmine_status&amp;",""priority_id"":"&amp;redmine_priority&amp;",""assigned_to_id"":"&amp;redmine_assignee&amp;",""start_date"":"""&amp;TEXT(I85,"YYYY-mm-dd")&amp;""",""description"":"""&amp;AJ85&amp;""",""custom_fields"":[{""id"":1,""name"":""Subdivision"",""value"":"""&amp;AG85&amp;"""},{""id"":4,""name"":""Milepost"",""value"":"""&amp;AA85&amp;"""},{""id"":17,""name"":""Train ID"",""value"":"""&amp;A85&amp;"""},{""id"":16,""name"":""Locomotive ID"",""value"":"""&amp;B85&amp;"""},{""id"":130,""name"":""Impact"",""value"":"""&amp;AK85&amp;"""},{""id"":150,""name"":""Time of Event (Mountain Time)"",""value"":"""&amp;TEXT(I85,"hh:mm:ss")&amp;"""},{""id"":151,""name"":""Denver Issue ID"",""value"":"""&amp;"""},{""id"":178,""name"":""Operational Impact"",""value"":"""&amp;redmine_op_impact&amp;"""},{""id"":179,""name"":""Denver Segment Assigned"",""value"":"""&amp;AL85&amp;"""}]}}"&amp;"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{"issue":{"subject":"","project_id":79,"tracker_id":40,"status_id":1,"priority_id":2,"assigned_to_id":23,"start_date":"2016-09-10","description":"","custom_fields":[{"id":1,"name":"Subdivision","value":"EC"},{"id":4,"name":"Milepost","value":"23.2852"},{"id":17,"name":"Train ID","value":"173-10"},{"id":16,"name":"Locomotive ID","value":"4002"},{"id":130,"name":"Impact","value":""},{"id":150,"name":"Time of Event (Mountain Time)","value":"13:23:16"},{"id":151,"name":"Denver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513</v>
      </c>
      <c r="B86" s="7">
        <v>4001</v>
      </c>
      <c r="C86" s="24" t="s">
        <v>108</v>
      </c>
      <c r="D86" s="24" t="s">
        <v>514</v>
      </c>
      <c r="E86" s="15">
        <v>42623.566979166666</v>
      </c>
      <c r="F86" s="15">
        <v>42623.570474537039</v>
      </c>
      <c r="G86" s="7">
        <v>2</v>
      </c>
      <c r="H86" s="15" t="s">
        <v>246</v>
      </c>
      <c r="I86" s="15">
        <v>42623.59715277778</v>
      </c>
      <c r="J86" s="7">
        <v>0</v>
      </c>
      <c r="K86" s="122" t="str">
        <f t="shared" si="39"/>
        <v>4001/4002</v>
      </c>
      <c r="L86" s="24" t="str">
        <f>VLOOKUP(A86,'Trips&amp;Operators'!$C$1:$E$10000,3,FALSE)</f>
        <v>STEWART</v>
      </c>
      <c r="M86" s="6">
        <f t="shared" si="40"/>
        <v>2.6678240741603076E-2</v>
      </c>
      <c r="N86" s="7">
        <f t="shared" si="41"/>
        <v>38.41666666790843</v>
      </c>
      <c r="O86" s="7"/>
      <c r="P86" s="7"/>
      <c r="Q86" s="25"/>
      <c r="R86" s="25"/>
      <c r="S86" s="37">
        <f t="shared" si="42"/>
        <v>1</v>
      </c>
      <c r="T86" s="52" t="str">
        <f t="shared" si="52"/>
        <v>Southbound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12:36:27-0600',mode:absolute,to:'2016-09-10 15:19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86" s="54" t="str">
        <f t="shared" si="44"/>
        <v>N</v>
      </c>
      <c r="X86" s="172">
        <f t="shared" si="50"/>
        <v>1</v>
      </c>
      <c r="Y86" s="69">
        <f t="shared" si="51"/>
        <v>23.300999999999998</v>
      </c>
      <c r="Z86" s="69">
        <f t="shared" si="45"/>
        <v>1.47E-2</v>
      </c>
      <c r="AA86" s="69">
        <f t="shared" si="46"/>
        <v>23.286299999999997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38"/>
        <v>0174-10</v>
      </c>
      <c r="AE86" s="99" t="str">
        <f t="shared" si="47"/>
        <v>aws s3 cp s3://rtdc.mdm.uploadarchive/RTDC4001/2016-09-10/ "%USERPROFILE%\AppData\Local\Temp\OnboardLogs"\RTDC4001\2016-09-10 --recursive &amp; "%USERPROFILE%\Documents\GitHub\mrs-test-scripts\Headless Mode &amp; Sideloading\WalkAndUnGZ.bat" "%USERPROFILE%\AppData\Local\Temp\OnboardLogs"\RTDC4001\2016-09-10 &amp; 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</v>
      </c>
      <c r="AF86" s="96" t="str">
        <f t="shared" si="48"/>
        <v>"C:\Program Files (x86)\AstroGrep\AstroGrep.exe" /spath="%USERPROFILE%\AppData\Local\Temp\OnboardLogs" /stypes="*4001*20160910*" /stext=" 20:.+((SYSTEM_STATE.+slice.+state.+changed )|(ment ac)|(system.+state.+changed )|(\|lc)|(penalty)|(\[timeout)|(PRM\|1\|D)|(kpr)|(kdp))" /e /r /s</v>
      </c>
      <c r="AG86" s="1" t="str">
        <f t="shared" si="49"/>
        <v>EC</v>
      </c>
      <c r="AH86" s="100" t="str">
        <f t="shared" si="53"/>
        <v>"%USERPROFILE%\Documents\GitHub\eaglep3\Utilities\RefineRTDCRunTimes.py" --tripid 174-10 --locoid 4001 --swversion DE.1.0.7.0 --startMP 204:233010 --initTime 2016-09-10T13:36:27 --startdatetime 2016-09-10T13:41:29 --delay 2 --endMP 204:147 --enddatetime 2016-09-10T14:19:54 --enforcementcount 0 &gt;&gt;C:\Users\stu\Documents\GitHub\eaglep3-reporting\EC\2016-09-10-refined-times.txt</v>
      </c>
      <c r="AI86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{"issue":{"subject":"","project_id":79,"tracker_id":40,"status_id":1,"priority_id":2,"assigned_to_id":23,"start_date":"2016-09-10","description":"","custom_fields":[{"id":1,"name":"Subdivision","value":"EC"},{"id":4,"name":"Milepost","value":"23.2863"},{"id":17,"name":"Train ID","value":"174-10"},{"id":16,"name":"Locomotive ID","value":"4001"},{"id":130,"name":"Impact","value":""},{"id":150,"name":"Time of Event (Mountain Time)","value":"14:19:54"},{"id":151,"name":"Denver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515</v>
      </c>
      <c r="B87" s="7">
        <v>4046</v>
      </c>
      <c r="C87" s="24" t="s">
        <v>108</v>
      </c>
      <c r="D87" s="24" t="s">
        <v>290</v>
      </c>
      <c r="E87" s="15">
        <v>42623.537546296298</v>
      </c>
      <c r="F87" s="15">
        <v>42623.541851851849</v>
      </c>
      <c r="G87" s="7">
        <v>1</v>
      </c>
      <c r="H87" s="15" t="s">
        <v>263</v>
      </c>
      <c r="I87" s="15">
        <v>42623.567314814813</v>
      </c>
      <c r="J87" s="7">
        <v>0</v>
      </c>
      <c r="K87" s="122" t="str">
        <f t="shared" si="39"/>
        <v>4045/4046</v>
      </c>
      <c r="L87" s="24" t="str">
        <f>VLOOKUP(A87,'Trips&amp;Operators'!$C$1:$E$10000,3,FALSE)</f>
        <v>BARTLETT</v>
      </c>
      <c r="M87" s="6">
        <f t="shared" si="40"/>
        <v>2.5462962963501923E-2</v>
      </c>
      <c r="N87" s="7">
        <f t="shared" si="41"/>
        <v>36.666666667442769</v>
      </c>
      <c r="O87" s="7"/>
      <c r="P87" s="7"/>
      <c r="Q87" s="25"/>
      <c r="R87" s="25"/>
      <c r="S87" s="37">
        <f t="shared" si="42"/>
        <v>1</v>
      </c>
      <c r="T87" s="52" t="str">
        <f t="shared" si="52"/>
        <v>NorthBound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11:54:04-0600',mode:absolute,to:'2016-09-10 14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87" s="54" t="str">
        <f t="shared" si="44"/>
        <v>N</v>
      </c>
      <c r="X87" s="172">
        <f t="shared" si="50"/>
        <v>1</v>
      </c>
      <c r="Y87" s="69">
        <f t="shared" si="51"/>
        <v>4.7300000000000002E-2</v>
      </c>
      <c r="Z87" s="69">
        <f t="shared" si="45"/>
        <v>23.329699999999999</v>
      </c>
      <c r="AA87" s="69">
        <f t="shared" si="46"/>
        <v>23.282399999999999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38"/>
        <v>0175-10</v>
      </c>
      <c r="AE87" s="99" t="str">
        <f t="shared" si="47"/>
        <v>aws s3 cp s3://rtdc.mdm.uploadarchive/RTDC4046/2016-09-10/ "%USERPROFILE%\AppData\Local\Temp\OnboardLogs"\RTDC4046\2016-09-10 --recursive &amp; "%USERPROFILE%\Documents\GitHub\mrs-test-scripts\Headless Mode &amp; Sideloading\WalkAndUnGZ.bat" "%USERPROFILE%\AppData\Local\Temp\OnboardLogs"\RTDC4046\2016-09-10 &amp; aws s3 cp s3://rtdc.mdm.uploadarchive/RTDC4046/2016-09-11/ "%USERPROFILE%\AppData\Local\Temp\OnboardLogs"\RTDC4046\2016-09-11 --recursive &amp; "%USERPROFILE%\Documents\GitHub\mrs-test-scripts\Headless Mode &amp; Sideloading\WalkAndUnGZ.bat" "%USERPROFILE%\AppData\Local\Temp\OnboardLogs"\RTDC4046\2016-09-11</v>
      </c>
      <c r="AF87" s="96" t="str">
        <f t="shared" si="48"/>
        <v>"C:\Program Files (x86)\AstroGrep\AstroGrep.exe" /spath="%USERPROFILE%\AppData\Local\Temp\OnboardLogs" /stypes="*4046*20160910*" /stext=" 19:.+((SYSTEM_STATE.+slice.+state.+changed )|(ment ac)|(system.+state.+changed )|(\|lc)|(penalty)|(\[timeout)|(PRM\|1\|D)|(kpr)|(kdp))" /e /r /s</v>
      </c>
      <c r="AG87" s="1" t="str">
        <f t="shared" si="49"/>
        <v>EC</v>
      </c>
      <c r="AH87" s="100" t="str">
        <f t="shared" si="53"/>
        <v>"%USERPROFILE%\Documents\GitHub\eaglep3\Utilities\RefineRTDCRunTimes.py" --tripid 175-10 --locoid 4046 --swversion DE.1.0.7.0 --startMP 204:473 --initTime 2016-09-10T12:54:04 --startdatetime 2016-09-10T13:00:16 --delay 1 --endMP 204:233297 --enddatetime 2016-09-10T13:36:56 --enforcementcount 0 &gt;&gt;C:\Users\stu\Documents\GitHub\eaglep3-reporting\EC\2016-09-10-refined-times.txt</v>
      </c>
      <c r="AI87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{"issue":{"subject":"","project_id":79,"tracker_id":40,"status_id":1,"priority_id":2,"assigned_to_id":23,"start_date":"2016-09-10","description":"","custom_fields":[{"id":1,"name":"Subdivision","value":"EC"},{"id":4,"name":"Milepost","value":"23.2824"},{"id":17,"name":"Train ID","value":"175-10"},{"id":16,"name":"Locomotive ID","value":"4046"},{"id":130,"name":"Impact","value":""},{"id":150,"name":"Time of Event (Mountain Time)","value":"13:36:56"},{"id":151,"name":"Denver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516</v>
      </c>
      <c r="B88" s="7">
        <v>4045</v>
      </c>
      <c r="C88" s="24" t="s">
        <v>108</v>
      </c>
      <c r="D88" s="24" t="s">
        <v>245</v>
      </c>
      <c r="E88" s="15">
        <v>42623.569212962961</v>
      </c>
      <c r="F88" s="15">
        <v>42623.58085648148</v>
      </c>
      <c r="G88" s="7">
        <v>1</v>
      </c>
      <c r="H88" s="15" t="s">
        <v>131</v>
      </c>
      <c r="I88" s="15">
        <v>42623.607997685183</v>
      </c>
      <c r="J88" s="7">
        <v>0</v>
      </c>
      <c r="K88" s="122" t="str">
        <f t="shared" si="39"/>
        <v>4045/4046</v>
      </c>
      <c r="L88" s="24" t="str">
        <f>VLOOKUP(A88,'Trips&amp;Operators'!$C$1:$E$10000,3,FALSE)</f>
        <v>BARTLETT</v>
      </c>
      <c r="M88" s="6">
        <f t="shared" si="40"/>
        <v>2.7141203703649808E-2</v>
      </c>
      <c r="N88" s="7">
        <f t="shared" si="41"/>
        <v>39.083333333255723</v>
      </c>
      <c r="O88" s="7"/>
      <c r="P88" s="7"/>
      <c r="Q88" s="25"/>
      <c r="R88" s="25"/>
      <c r="S88" s="37">
        <f t="shared" si="42"/>
        <v>1</v>
      </c>
      <c r="T88" s="52" t="str">
        <f t="shared" si="52"/>
        <v>Southbound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12:39:40-0600',mode:absolute,to:'2016-09-10 15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88" s="54" t="str">
        <f t="shared" si="44"/>
        <v>N</v>
      </c>
      <c r="X88" s="172">
        <f t="shared" si="50"/>
        <v>1</v>
      </c>
      <c r="Y88" s="69">
        <f t="shared" si="51"/>
        <v>23.298999999999999</v>
      </c>
      <c r="Z88" s="69">
        <f t="shared" si="45"/>
        <v>1.54E-2</v>
      </c>
      <c r="AA88" s="69">
        <f t="shared" si="46"/>
        <v>23.2836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38"/>
        <v>0176-10</v>
      </c>
      <c r="AE88" s="99" t="str">
        <f t="shared" si="47"/>
        <v>aws s3 cp s3://rtdc.mdm.uploadarchive/RTDC4045/2016-09-10/ "%USERPROFILE%\AppData\Local\Temp\OnboardLogs"\RTDC4045\2016-09-10 --recursive &amp; "%USERPROFILE%\Documents\GitHub\mrs-test-scripts\Headless Mode &amp; Sideloading\WalkAndUnGZ.bat" "%USERPROFILE%\AppData\Local\Temp\OnboardLogs"\RTDC4045\2016-09-10 &amp; aws s3 cp s3://rtdc.mdm.uploadarchive/RTDC4045/2016-09-11/ "%USERPROFILE%\AppData\Local\Temp\OnboardLogs"\RTDC4045\2016-09-11 --recursive &amp; "%USERPROFILE%\Documents\GitHub\mrs-test-scripts\Headless Mode &amp; Sideloading\WalkAndUnGZ.bat" "%USERPROFILE%\AppData\Local\Temp\OnboardLogs"\RTDC4045\2016-09-11</v>
      </c>
      <c r="AF88" s="96" t="str">
        <f t="shared" si="48"/>
        <v>"C:\Program Files (x86)\AstroGrep\AstroGrep.exe" /spath="%USERPROFILE%\AppData\Local\Temp\OnboardLogs" /stypes="*4045*20160910*" /stext=" 20:.+((SYSTEM_STATE.+slice.+state.+changed )|(ment ac)|(system.+state.+changed )|(\|lc)|(penalty)|(\[timeout)|(PRM\|1\|D)|(kpr)|(kdp))" /e /r /s</v>
      </c>
      <c r="AG88" s="1" t="str">
        <f t="shared" si="49"/>
        <v>EC</v>
      </c>
      <c r="AH88" s="100" t="str">
        <f t="shared" si="53"/>
        <v>"%USERPROFILE%\Documents\GitHub\eaglep3\Utilities\RefineRTDCRunTimes.py" --tripid 176-10 --locoid 4045 --swversion DE.1.0.7.0 --startMP 204:232990 --initTime 2016-09-10T13:39:40 --startdatetime 2016-09-10T13:56:26 --delay 1 --endMP 204:154 --enddatetime 2016-09-10T14:35:31 --enforcementcount 0 &gt;&gt;C:\Users\stu\Documents\GitHub\eaglep3-reporting\EC\2016-09-10-refined-times.txt</v>
      </c>
      <c r="AI88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{"issue":{"subject":"","project_id":79,"tracker_id":40,"status_id":1,"priority_id":2,"assigned_to_id":23,"start_date":"2016-09-10","description":"","custom_fields":[{"id":1,"name":"Subdivision","value":"EC"},{"id":4,"name":"Milepost","value":"23.2836"},{"id":17,"name":"Train ID","value":"176-10"},{"id":16,"name":"Locomotive ID","value":"4045"},{"id":130,"name":"Impact","value":""},{"id":150,"name":"Time of Event (Mountain Time)","value":"14:35:31"},{"id":151,"name":"Denver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517</v>
      </c>
      <c r="B89" s="7">
        <v>4014</v>
      </c>
      <c r="C89" s="24" t="s">
        <v>108</v>
      </c>
      <c r="D89" s="24" t="s">
        <v>518</v>
      </c>
      <c r="E89" s="15">
        <v>42623.549560185187</v>
      </c>
      <c r="F89" s="15">
        <v>42623.552349537036</v>
      </c>
      <c r="G89" s="7">
        <v>1</v>
      </c>
      <c r="H89" s="15" t="s">
        <v>339</v>
      </c>
      <c r="I89" s="15">
        <v>42623.578182870369</v>
      </c>
      <c r="J89" s="7">
        <v>0</v>
      </c>
      <c r="K89" s="122" t="str">
        <f t="shared" si="39"/>
        <v>4013/4014</v>
      </c>
      <c r="L89" s="24" t="str">
        <f>VLOOKUP(A89,'Trips&amp;Operators'!$C$1:$E$10000,3,FALSE)</f>
        <v>MOSES</v>
      </c>
      <c r="M89" s="6">
        <f t="shared" si="40"/>
        <v>2.5833333333139308E-2</v>
      </c>
      <c r="N89" s="7">
        <f t="shared" si="41"/>
        <v>37.199999999720603</v>
      </c>
      <c r="O89" s="7"/>
      <c r="P89" s="7"/>
      <c r="Q89" s="25"/>
      <c r="R89" s="25"/>
      <c r="S89" s="37">
        <f t="shared" si="42"/>
        <v>1</v>
      </c>
      <c r="T89" s="52" t="str">
        <f t="shared" si="52"/>
        <v>NorthBound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12:11:22-0600',mode:absolute,to:'2016-09-10 14:52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89" s="54" t="str">
        <f t="shared" si="44"/>
        <v>N</v>
      </c>
      <c r="X89" s="172">
        <f t="shared" si="50"/>
        <v>1</v>
      </c>
      <c r="Y89" s="69">
        <f t="shared" si="51"/>
        <v>5.2200000000000003E-2</v>
      </c>
      <c r="Z89" s="69">
        <f t="shared" si="45"/>
        <v>23.331900000000001</v>
      </c>
      <c r="AA89" s="69">
        <f t="shared" si="46"/>
        <v>23.279700000000002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ref="AD89:AD120" si="55">IF(LEN(A89)=6,"0"&amp;A89,A89)</f>
        <v>0177-10</v>
      </c>
      <c r="AE89" s="99" t="str">
        <f t="shared" si="47"/>
        <v>aws s3 cp s3://rtdc.mdm.uploadarchive/RTDC4014/2016-09-10/ "%USERPROFILE%\AppData\Local\Temp\OnboardLogs"\RTDC4014\2016-09-10 --recursive &amp; "%USERPROFILE%\Documents\GitHub\mrs-test-scripts\Headless Mode &amp; Sideloading\WalkAndUnGZ.bat" "%USERPROFILE%\AppData\Local\Temp\OnboardLogs"\RTDC4014\2016-09-10 &amp; aws s3 cp s3://rtdc.mdm.uploadarchive/RTDC4014/2016-09-11/ "%USERPROFILE%\AppData\Local\Temp\OnboardLogs"\RTDC4014\2016-09-11 --recursive &amp; "%USERPROFILE%\Documents\GitHub\mrs-test-scripts\Headless Mode &amp; Sideloading\WalkAndUnGZ.bat" "%USERPROFILE%\AppData\Local\Temp\OnboardLogs"\RTDC4014\2016-09-11</v>
      </c>
      <c r="AF89" s="96" t="str">
        <f t="shared" si="48"/>
        <v>"C:\Program Files (x86)\AstroGrep\AstroGrep.exe" /spath="%USERPROFILE%\AppData\Local\Temp\OnboardLogs" /stypes="*4014*20160910*" /stext=" 19:.+((SYSTEM_STATE.+slice.+state.+changed )|(ment ac)|(system.+state.+changed )|(\|lc)|(penalty)|(\[timeout)|(PRM\|1\|D)|(kpr)|(kdp))" /e /r /s</v>
      </c>
      <c r="AG89" s="1" t="str">
        <f t="shared" si="49"/>
        <v>EC</v>
      </c>
      <c r="AH89" s="100" t="str">
        <f t="shared" si="53"/>
        <v>"%USERPROFILE%\Documents\GitHub\eaglep3\Utilities\RefineRTDCRunTimes.py" --tripid 177-10 --locoid 4014 --swversion DE.1.0.7.0 --startMP 204:522 --initTime 2016-09-10T13:11:22 --startdatetime 2016-09-10T13:15:23 --delay 1 --endMP 204:233319 --enddatetime 2016-09-10T13:52:35 --enforcementcount 0 &gt;&gt;C:\Users\stu\Documents\GitHub\eaglep3-reporting\EC\2016-09-10-refined-times.txt</v>
      </c>
      <c r="AI89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{"issue":{"subject":"","project_id":79,"tracker_id":40,"status_id":1,"priority_id":2,"assigned_to_id":23,"start_date":"2016-09-10","description":"","custom_fields":[{"id":1,"name":"Subdivision","value":"EC"},{"id":4,"name":"Milepost","value":"23.2797"},{"id":17,"name":"Train ID","value":"177-10"},{"id":16,"name":"Locomotive ID","value":"4014"},{"id":130,"name":"Impact","value":""},{"id":150,"name":"Time of Event (Mountain Time)","value":"13:52:35"},{"id":151,"name":"Denver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519</v>
      </c>
      <c r="B90" s="7">
        <v>4013</v>
      </c>
      <c r="C90" s="24" t="s">
        <v>108</v>
      </c>
      <c r="D90" s="24" t="s">
        <v>256</v>
      </c>
      <c r="E90" s="15">
        <v>42623.587523148148</v>
      </c>
      <c r="F90" s="15">
        <v>42623.591273148151</v>
      </c>
      <c r="G90" s="7">
        <v>1</v>
      </c>
      <c r="H90" s="15" t="s">
        <v>260</v>
      </c>
      <c r="I90" s="15">
        <v>42623.618449074071</v>
      </c>
      <c r="J90" s="7">
        <v>0</v>
      </c>
      <c r="K90" s="122" t="str">
        <f t="shared" si="39"/>
        <v>4013/4014</v>
      </c>
      <c r="L90" s="24" t="str">
        <f>VLOOKUP(A90,'Trips&amp;Operators'!$C$1:$E$10000,3,FALSE)</f>
        <v>MOSES</v>
      </c>
      <c r="M90" s="6">
        <f t="shared" si="40"/>
        <v>2.717592591943685E-2</v>
      </c>
      <c r="N90" s="7">
        <f t="shared" si="41"/>
        <v>39.133333323989064</v>
      </c>
      <c r="O90" s="7"/>
      <c r="P90" s="7"/>
      <c r="Q90" s="25"/>
      <c r="R90" s="25"/>
      <c r="S90" s="37">
        <f t="shared" si="42"/>
        <v>1</v>
      </c>
      <c r="T90" s="52" t="str">
        <f t="shared" si="52"/>
        <v>Southbound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43"/>
        <v>https://search-rtdc-monitor-bjffxe2xuh6vdkpspy63sjmuny.us-east-1.es.amazonaws.com/_plugin/kibana/#/discover/Steve-Slow-Train-Analysis-(2080s-and-2083s)?_g=(refreshInterval:(display:Off,section:0,value:0),time:(from:'2016-09-10 13:06:02-0600',mode:absolute,to:'2016-09-10 15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90" s="54" t="str">
        <f t="shared" si="44"/>
        <v>N</v>
      </c>
      <c r="X90" s="172">
        <f t="shared" si="50"/>
        <v>1</v>
      </c>
      <c r="Y90" s="69">
        <f t="shared" si="51"/>
        <v>23.3004</v>
      </c>
      <c r="Z90" s="69">
        <f t="shared" si="45"/>
        <v>1.4500000000000001E-2</v>
      </c>
      <c r="AA90" s="69">
        <f t="shared" si="46"/>
        <v>23.285899999999998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55"/>
        <v>0178-10</v>
      </c>
      <c r="AE90" s="99" t="str">
        <f t="shared" si="47"/>
        <v>aws s3 cp s3://rtdc.mdm.uploadarchive/RTDC4013/2016-09-10/ "%USERPROFILE%\AppData\Local\Temp\OnboardLogs"\RTDC4013\2016-09-10 --recursive &amp; "%USERPROFILE%\Documents\GitHub\mrs-test-scripts\Headless Mode &amp; Sideloading\WalkAndUnGZ.bat" "%USERPROFILE%\AppData\Local\Temp\OnboardLogs"\RTDC4013\2016-09-10 &amp; aws s3 cp s3://rtdc.mdm.uploadarchive/RTDC4013/2016-09-11/ "%USERPROFILE%\AppData\Local\Temp\OnboardLogs"\RTDC4013\2016-09-11 --recursive &amp; "%USERPROFILE%\Documents\GitHub\mrs-test-scripts\Headless Mode &amp; Sideloading\WalkAndUnGZ.bat" "%USERPROFILE%\AppData\Local\Temp\OnboardLogs"\RTDC4013\2016-09-11</v>
      </c>
      <c r="AF90" s="96" t="str">
        <f t="shared" si="48"/>
        <v>"C:\Program Files (x86)\AstroGrep\AstroGrep.exe" /spath="%USERPROFILE%\AppData\Local\Temp\OnboardLogs" /stypes="*4013*20160910*" /stext=" 20:.+((SYSTEM_STATE.+slice.+state.+changed )|(ment ac)|(system.+state.+changed )|(\|lc)|(penalty)|(\[timeout)|(PRM\|1\|D)|(kpr)|(kdp))" /e /r /s</v>
      </c>
      <c r="AG90" s="1" t="str">
        <f t="shared" si="49"/>
        <v>EC</v>
      </c>
      <c r="AH90" s="100" t="str">
        <f t="shared" si="53"/>
        <v>"%USERPROFILE%\Documents\GitHub\eaglep3\Utilities\RefineRTDCRunTimes.py" --tripid 178-10 --locoid 4013 --swversion DE.1.0.7.0 --startMP 204:233004 --initTime 2016-09-10T14:06:02 --startdatetime 2016-09-10T14:11:26 --delay 1 --endMP 204:145 --enddatetime 2016-09-10T14:50:34 --enforcementcount 0 &gt;&gt;C:\Users\stu\Documents\GitHub\eaglep3-reporting\EC\2016-09-10-refined-times.txt</v>
      </c>
      <c r="AI90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{"issue":{"subject":"","project_id":79,"tracker_id":40,"status_id":1,"priority_id":2,"assigned_to_id":23,"start_date":"2016-09-10","description":"","custom_fields":[{"id":1,"name":"Subdivision","value":"EC"},{"id":4,"name":"Milepost","value":"23.2859"},{"id":17,"name":"Train ID","value":"178-10"},{"id":16,"name":"Locomotive ID","value":"4013"},{"id":130,"name":"Impact","value":""},{"id":150,"name":"Time of Event (Mountain Time)","value":"14:50:34"},{"id":151,"name":"Denver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x14ac:dyDescent="0.25">
      <c r="A91" s="39" t="s">
        <v>520</v>
      </c>
      <c r="B91" s="7">
        <v>4040</v>
      </c>
      <c r="C91" s="24" t="s">
        <v>108</v>
      </c>
      <c r="D91" s="24" t="s">
        <v>521</v>
      </c>
      <c r="E91" s="15">
        <v>42623.557129629633</v>
      </c>
      <c r="F91" s="15">
        <v>42623.562696759262</v>
      </c>
      <c r="G91" s="7">
        <v>1</v>
      </c>
      <c r="H91" s="15" t="s">
        <v>522</v>
      </c>
      <c r="I91" s="15">
        <v>42623.587581018517</v>
      </c>
      <c r="J91" s="7">
        <v>0</v>
      </c>
      <c r="K91" s="122" t="str">
        <f t="shared" ref="K91:K122" si="56">IF(ISEVEN(B91),(B91-1)&amp;"/"&amp;B91,B91&amp;"/"&amp;(B91+1))</f>
        <v>4039/4040</v>
      </c>
      <c r="L91" s="24" t="str">
        <f>VLOOKUP(A91,'Trips&amp;Operators'!$C$1:$E$10000,3,FALSE)</f>
        <v>SHOOK</v>
      </c>
      <c r="M91" s="6">
        <f t="shared" ref="M91:M122" si="57">I91-F91</f>
        <v>2.488425925548654E-2</v>
      </c>
      <c r="N91" s="7">
        <f t="shared" ref="N91:N122" si="58">24*60*SUM($M91:$M91)</f>
        <v>35.833333327900618</v>
      </c>
      <c r="O91" s="7"/>
      <c r="P91" s="7"/>
      <c r="Q91" s="25"/>
      <c r="R91" s="25"/>
      <c r="S91" s="37">
        <f t="shared" ref="S91:S122" si="59">SUM(U91:U91)/IF(AG91="EC",12,1)</f>
        <v>1</v>
      </c>
      <c r="T91" s="52" t="str">
        <f t="shared" si="52"/>
        <v>NorthBound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ref="V91:V122" si="60">"https://search-rtdc-monitor-bjffxe2xuh6vdkpspy63sjmuny.us-east-1.es.amazonaws.com/_plugin/kibana/#/discover/Steve-Slow-Train-Analysis-(2080s-and-2083s)?_g=(refreshInterval:(display:Off,section:0,value:0),time:(from:'"&amp;TEXT(E91-1/24,"yyyy-MM-DD hh:mm:ss")&amp;"-0600',mode:absolute,to:'"&amp;TEXT(I91+1/24,"yyyy-MM-DD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https://search-rtdc-monitor-bjffxe2xuh6vdkpspy63sjmuny.us-east-1.es.amazonaws.com/_plugin/kibana/#/discover/Steve-Slow-Train-Analysis-(2080s-and-2083s)?_g=(refreshInterval:(display:Off,section:0,value:0),time:(from:'2016-09-10 12:22:16-0600',mode:absolute,to:'2016-09-10 15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91" s="54" t="str">
        <f t="shared" ref="W91:W122" si="61">IF(AA91&lt;IF(AG91="EC",23,5.65),"Y","N")</f>
        <v>N</v>
      </c>
      <c r="X91" s="172">
        <f t="shared" si="50"/>
        <v>1</v>
      </c>
      <c r="Y91" s="69">
        <f t="shared" si="51"/>
        <v>4.4400000000000002E-2</v>
      </c>
      <c r="Z91" s="69">
        <f t="shared" ref="Z91:Z122" si="62">RIGHT(H91,LEN(H91)-4)/10000</f>
        <v>23.337399999999999</v>
      </c>
      <c r="AA91" s="69">
        <f t="shared" ref="AA91:AA122" si="63">ABS(Z91-Y91)</f>
        <v>23.292999999999999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55"/>
        <v>0179-10</v>
      </c>
      <c r="AE91" s="99" t="str">
        <f t="shared" ref="AE91:AE122" si="64">"aws s3 cp "&amp;s3_bucket&amp;"/RTDC"&amp;B91&amp;"/"&amp;TEXT(F91,"YYYY-MM-DD")&amp;"/ "&amp;search_path&amp;"\RTDC"&amp;B91&amp;"\"&amp;TEXT(F91,"YYYY-MM-DD")&amp;" --recursive &amp; """&amp;walkandungz&amp;""" "&amp;search_path&amp;"\RTDC"&amp;B91&amp;"\"&amp;TEXT(F91,"YYYY-MM-DD")
&amp;" &amp; "&amp;"aws s3 cp "&amp;s3_bucket&amp;"/RTDC"&amp;B91&amp;"/"&amp;TEXT(F91+1,"YYYY-MM-DD")&amp;"/ "&amp;search_path&amp;"\RTDC"&amp;B91&amp;"\"&amp;TEXT(F91+1,"YYYY-MM-DD")&amp;" --recursive &amp; """&amp;walkandungz&amp;""" "&amp;search_path&amp;"\RTDC"&amp;B91&amp;"\"&amp;TEXT(F91+1,"YYYY-MM-DD")</f>
        <v>aws s3 cp s3://rtdc.mdm.uploadarchive/RTDC4040/2016-09-10/ "%USERPROFILE%\AppData\Local\Temp\OnboardLogs"\RTDC4040\2016-09-10 --recursive &amp; "%USERPROFILE%\Documents\GitHub\mrs-test-scripts\Headless Mode &amp; Sideloading\WalkAndUnGZ.bat" "%USERPROFILE%\AppData\Local\Temp\OnboardLogs"\RTDC4040\2016-09-10 &amp; 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</v>
      </c>
      <c r="AF91" s="96" t="str">
        <f t="shared" ref="AF91:AF122" si="65">astrogrep_path&amp;" /spath="&amp;search_path&amp;" /stypes=""*"&amp;B91&amp;"*"&amp;TEXT(I91-utc_offset/24,"YYYYMMDD")&amp;"*"" /stext="" "&amp;TEXT(I91-utc_offset/24,"HH")&amp;search_regexp&amp;""" /e /r /s"</f>
        <v>"C:\Program Files (x86)\AstroGrep\AstroGrep.exe" /spath="%USERPROFILE%\AppData\Local\Temp\OnboardLogs" /stypes="*4040*20160910*" /stext=" 20:.+((SYSTEM_STATE.+slice.+state.+changed )|(ment ac)|(system.+state.+changed )|(\|lc)|(penalty)|(\[timeout)|(PRM\|1\|D)|(kpr)|(kdp))" /e /r /s</v>
      </c>
      <c r="AG91" s="1" t="str">
        <f t="shared" si="49"/>
        <v>EC</v>
      </c>
      <c r="AH91" s="100" t="str">
        <f t="shared" si="53"/>
        <v>"%USERPROFILE%\Documents\GitHub\eaglep3\Utilities\RefineRTDCRunTimes.py" --tripid 179-10 --locoid 4040 --swversion DE.1.0.7.0 --startMP 204:444 --initTime 2016-09-10T13:22:16 --startdatetime 2016-09-10T13:30:17 --delay 1 --endMP 204:233374 --enddatetime 2016-09-10T14:06:07 --enforcementcount 0 &gt;&gt;C:\Users\stu\Documents\GitHub\eaglep3-reporting\EC\2016-09-10-refined-times.txt</v>
      </c>
      <c r="AI91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{"issue":{"subject":"","project_id":79,"tracker_id":40,"status_id":1,"priority_id":2,"assigned_to_id":23,"start_date":"2016-09-10","description":"","custom_fields":[{"id":1,"name":"Subdivision","value":"EC"},{"id":4,"name":"Milepost","value":"23.293"},{"id":17,"name":"Train ID","value":"179-10"},{"id":16,"name":"Locomotive ID","value":"4040"},{"id":130,"name":"Impact","value":""},{"id":150,"name":"Time of Event (Mountain Time)","value":"14:06:07"},{"id":151,"name":"Denver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523</v>
      </c>
      <c r="B92" s="7">
        <v>4039</v>
      </c>
      <c r="C92" s="24" t="s">
        <v>108</v>
      </c>
      <c r="D92" s="24" t="s">
        <v>524</v>
      </c>
      <c r="E92" s="15">
        <v>42623.595995370371</v>
      </c>
      <c r="F92" s="15">
        <v>42623.6016087963</v>
      </c>
      <c r="G92" s="7">
        <v>1</v>
      </c>
      <c r="H92" s="15" t="s">
        <v>300</v>
      </c>
      <c r="I92" s="15">
        <v>42623.62903935185</v>
      </c>
      <c r="J92" s="7">
        <v>0</v>
      </c>
      <c r="K92" s="122" t="str">
        <f t="shared" si="56"/>
        <v>4039/4040</v>
      </c>
      <c r="L92" s="24" t="str">
        <f>VLOOKUP(A92,'Trips&amp;Operators'!$C$1:$E$10000,3,FALSE)</f>
        <v>SHOOK</v>
      </c>
      <c r="M92" s="6">
        <f t="shared" si="57"/>
        <v>2.7430555550381541E-2</v>
      </c>
      <c r="N92" s="7">
        <f t="shared" si="58"/>
        <v>39.499999992549419</v>
      </c>
      <c r="O92" s="7"/>
      <c r="P92" s="7"/>
      <c r="Q92" s="25"/>
      <c r="R92" s="25"/>
      <c r="S92" s="37">
        <f t="shared" si="59"/>
        <v>1</v>
      </c>
      <c r="T92" s="52" t="str">
        <f t="shared" si="52"/>
        <v>Southbound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13:18:14-0600',mode:absolute,to:'2016-09-10 16:05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92" s="54" t="str">
        <f t="shared" si="61"/>
        <v>N</v>
      </c>
      <c r="X92" s="172">
        <f t="shared" si="50"/>
        <v>1</v>
      </c>
      <c r="Y92" s="69">
        <f t="shared" si="51"/>
        <v>23.3049</v>
      </c>
      <c r="Z92" s="69">
        <f t="shared" si="62"/>
        <v>1.3599999999999999E-2</v>
      </c>
      <c r="AA92" s="69">
        <f t="shared" si="63"/>
        <v>23.2913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55"/>
        <v>0180-10</v>
      </c>
      <c r="AE92" s="99" t="str">
        <f t="shared" si="64"/>
        <v>aws s3 cp s3://rtdc.mdm.uploadarchive/RTDC4039/2016-09-10/ "%USERPROFILE%\AppData\Local\Temp\OnboardLogs"\RTDC4039\2016-09-10 --recursive &amp; "%USERPROFILE%\Documents\GitHub\mrs-test-scripts\Headless Mode &amp; Sideloading\WalkAndUnGZ.bat" "%USERPROFILE%\AppData\Local\Temp\OnboardLogs"\RTDC4039\2016-09-10 &amp; 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</v>
      </c>
      <c r="AF92" s="96" t="str">
        <f t="shared" si="65"/>
        <v>"C:\Program Files (x86)\AstroGrep\AstroGrep.exe" /spath="%USERPROFILE%\AppData\Local\Temp\OnboardLogs" /stypes="*4039*20160910*" /stext=" 21:.+((SYSTEM_STATE.+slice.+state.+changed )|(ment ac)|(system.+state.+changed )|(\|lc)|(penalty)|(\[timeout)|(PRM\|1\|D)|(kpr)|(kdp))" /e /r /s</v>
      </c>
      <c r="AG92" s="1" t="str">
        <f t="shared" si="49"/>
        <v>EC</v>
      </c>
      <c r="AH92" s="100" t="str">
        <f t="shared" si="53"/>
        <v>"%USERPROFILE%\Documents\GitHub\eaglep3\Utilities\RefineRTDCRunTimes.py" --tripid 180-10 --locoid 4039 --swversion DE.1.0.7.0 --startMP 204:233049 --initTime 2016-09-10T14:18:14 --startdatetime 2016-09-10T14:26:19 --delay 1 --endMP 204:136 --enddatetime 2016-09-10T15:05:49 --enforcementcount 0 &gt;&gt;C:\Users\stu\Documents\GitHub\eaglep3-reporting\EC\2016-09-10-refined-times.txt</v>
      </c>
      <c r="AI92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{"issue":{"subject":"","project_id":79,"tracker_id":40,"status_id":1,"priority_id":2,"assigned_to_id":23,"start_date":"2016-09-10","description":"","custom_fields":[{"id":1,"name":"Subdivision","value":"EC"},{"id":4,"name":"Milepost","value":"23.2913"},{"id":17,"name":"Train ID","value":"180-10"},{"id":16,"name":"Locomotive ID","value":"4039"},{"id":130,"name":"Impact","value":""},{"id":150,"name":"Time of Event (Mountain Time)","value":"15:05:49"},{"id":151,"name":"Denver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545</v>
      </c>
      <c r="B93" s="7">
        <v>4038</v>
      </c>
      <c r="C93" s="24" t="s">
        <v>108</v>
      </c>
      <c r="D93" s="24" t="s">
        <v>264</v>
      </c>
      <c r="E93" s="15">
        <v>42623.567719907405</v>
      </c>
      <c r="F93" s="15">
        <v>42623.573125000003</v>
      </c>
      <c r="G93" s="7">
        <v>1</v>
      </c>
      <c r="H93" s="15" t="s">
        <v>499</v>
      </c>
      <c r="I93" s="15">
        <v>42623.599212962959</v>
      </c>
      <c r="J93" s="7">
        <v>0</v>
      </c>
      <c r="K93" s="122" t="str">
        <f t="shared" si="56"/>
        <v>4037/4038</v>
      </c>
      <c r="L93" s="24" t="str">
        <f>VLOOKUP(A93,'Trips&amp;Operators'!$C$1:$E$10000,3,FALSE)</f>
        <v>BRUDER</v>
      </c>
      <c r="M93" s="6">
        <f t="shared" si="57"/>
        <v>2.6087962956808042E-2</v>
      </c>
      <c r="N93" s="7">
        <f t="shared" si="58"/>
        <v>37.56666665780358</v>
      </c>
      <c r="O93" s="7"/>
      <c r="P93" s="7"/>
      <c r="Q93" s="25"/>
      <c r="R93" s="25"/>
      <c r="S93" s="37">
        <f t="shared" si="59"/>
        <v>1</v>
      </c>
      <c r="T93" s="52" t="str">
        <f t="shared" si="52"/>
        <v>NorthBound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12:37:31-0600',mode:absolute,to:'2016-09-10 15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93" s="54" t="str">
        <f t="shared" si="61"/>
        <v>N</v>
      </c>
      <c r="X93" s="172">
        <f t="shared" si="50"/>
        <v>1</v>
      </c>
      <c r="Y93" s="69">
        <f t="shared" si="51"/>
        <v>4.6600000000000003E-2</v>
      </c>
      <c r="Z93" s="69">
        <f t="shared" si="62"/>
        <v>23.331499999999998</v>
      </c>
      <c r="AA93" s="69">
        <f t="shared" si="63"/>
        <v>23.284899999999997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55"/>
        <v>0181-10</v>
      </c>
      <c r="AE93" s="99" t="str">
        <f t="shared" si="64"/>
        <v>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 &amp; aws s3 cp s3://rtdc.mdm.uploadarchive/RTDC4038/2016-09-11/ "%USERPROFILE%\AppData\Local\Temp\OnboardLogs"\RTDC4038\2016-09-11 --recursive &amp; "%USERPROFILE%\Documents\GitHub\mrs-test-scripts\Headless Mode &amp; Sideloading\WalkAndUnGZ.bat" "%USERPROFILE%\AppData\Local\Temp\OnboardLogs"\RTDC4038\2016-09-11</v>
      </c>
      <c r="AF93" s="96" t="str">
        <f t="shared" si="65"/>
        <v>"C:\Program Files (x86)\AstroGrep\AstroGrep.exe" /spath="%USERPROFILE%\AppData\Local\Temp\OnboardLogs" /stypes="*4038*20160910*" /stext=" 20:.+((SYSTEM_STATE.+slice.+state.+changed )|(ment ac)|(system.+state.+changed )|(\|lc)|(penalty)|(\[timeout)|(PRM\|1\|D)|(kpr)|(kdp))" /e /r /s</v>
      </c>
      <c r="AG93" s="1" t="str">
        <f t="shared" ref="AG93:AG124" si="66">IFERROR(IF(VALUE(LEFT(AD93,2))&lt;=2,"EC",IF(OR(VALUE(LEFT(AD93,2))=8,VALUE(LEFT(AD93,2))=18),"NW","Other")),"Other")</f>
        <v>EC</v>
      </c>
      <c r="AH93" s="100" t="str">
        <f t="shared" si="53"/>
        <v>"%USERPROFILE%\Documents\GitHub\eaglep3\Utilities\RefineRTDCRunTimes.py" --tripid 181-10 --locoid 4038 --swversion DE.1.0.7.0 --startMP 204:466 --initTime 2016-09-10T13:37:31 --startdatetime 2016-09-10T13:45:18 --delay 1 --endMP 204:233315 --enddatetime 2016-09-10T14:22:52 --enforcementcount 0 &gt;&gt;C:\Users\stu\Documents\GitHub\eaglep3-reporting\EC\2016-09-10-refined-times.txt</v>
      </c>
      <c r="AI93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{"issue":{"subject":"","project_id":79,"tracker_id":40,"status_id":1,"priority_id":2,"assigned_to_id":23,"start_date":"2016-09-10","description":"","custom_fields":[{"id":1,"name":"Subdivision","value":"EC"},{"id":4,"name":"Milepost","value":"23.2849"},{"id":17,"name":"Train ID","value":"181-10"},{"id":16,"name":"Locomotive ID","value":"4038"},{"id":130,"name":"Impact","value":""},{"id":150,"name":"Time of Event (Mountain Time)","value":"14:22:52"},{"id":151,"name":"Denver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567</v>
      </c>
      <c r="B94" s="7">
        <v>4037</v>
      </c>
      <c r="C94" s="24" t="s">
        <v>108</v>
      </c>
      <c r="D94" s="24" t="s">
        <v>289</v>
      </c>
      <c r="E94" s="15">
        <v>42623.60769675926</v>
      </c>
      <c r="F94" s="15">
        <v>42623.612268518518</v>
      </c>
      <c r="G94" s="7">
        <v>1</v>
      </c>
      <c r="H94" s="15" t="s">
        <v>237</v>
      </c>
      <c r="I94" s="15">
        <v>42623.63925925926</v>
      </c>
      <c r="J94" s="7">
        <v>0</v>
      </c>
      <c r="K94" s="122" t="str">
        <f t="shared" si="56"/>
        <v>4037/4038</v>
      </c>
      <c r="L94" s="24" t="str">
        <f>VLOOKUP(A94,'Trips&amp;Operators'!$C$1:$E$10000,3,FALSE)</f>
        <v>BRUDER</v>
      </c>
      <c r="M94" s="6">
        <f t="shared" si="57"/>
        <v>2.6990740741894115E-2</v>
      </c>
      <c r="N94" s="7">
        <f t="shared" si="58"/>
        <v>38.866666668327525</v>
      </c>
      <c r="O94" s="7"/>
      <c r="P94" s="7"/>
      <c r="Q94" s="25"/>
      <c r="R94" s="25"/>
      <c r="S94" s="37">
        <f t="shared" si="59"/>
        <v>1</v>
      </c>
      <c r="T94" s="52" t="str">
        <f t="shared" si="52"/>
        <v>Southbound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13:35:05-0600',mode:absolute,to:'2016-09-10 16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94" s="54" t="str">
        <f t="shared" si="61"/>
        <v>N</v>
      </c>
      <c r="X94" s="172">
        <f t="shared" si="50"/>
        <v>1</v>
      </c>
      <c r="Y94" s="69">
        <f t="shared" si="51"/>
        <v>23.2987</v>
      </c>
      <c r="Z94" s="69">
        <f t="shared" si="62"/>
        <v>1.6E-2</v>
      </c>
      <c r="AA94" s="69">
        <f t="shared" si="63"/>
        <v>23.282700000000002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55"/>
        <v>0182-10</v>
      </c>
      <c r="AE94" s="99" t="str">
        <f t="shared" si="64"/>
        <v>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 &amp; aws s3 cp s3://rtdc.mdm.uploadarchive/RTDC4037/2016-09-11/ "%USERPROFILE%\AppData\Local\Temp\OnboardLogs"\RTDC4037\2016-09-11 --recursive &amp; "%USERPROFILE%\Documents\GitHub\mrs-test-scripts\Headless Mode &amp; Sideloading\WalkAndUnGZ.bat" "%USERPROFILE%\AppData\Local\Temp\OnboardLogs"\RTDC4037\2016-09-11</v>
      </c>
      <c r="AF94" s="96" t="str">
        <f t="shared" si="65"/>
        <v>"C:\Program Files (x86)\AstroGrep\AstroGrep.exe" /spath="%USERPROFILE%\AppData\Local\Temp\OnboardLogs" /stypes="*4037*20160910*" /stext=" 21:.+((SYSTEM_STATE.+slice.+state.+changed )|(ment ac)|(system.+state.+changed )|(\|lc)|(penalty)|(\[timeout)|(PRM\|1\|D)|(kpr)|(kdp))" /e /r /s</v>
      </c>
      <c r="AG94" s="1" t="str">
        <f t="shared" si="66"/>
        <v>EC</v>
      </c>
      <c r="AH94" s="100" t="str">
        <f t="shared" si="53"/>
        <v>"%USERPROFILE%\Documents\GitHub\eaglep3\Utilities\RefineRTDCRunTimes.py" --tripid 182-10 --locoid 4037 --swversion DE.1.0.7.0 --startMP 204:232987 --initTime 2016-09-10T14:35:05 --startdatetime 2016-09-10T14:41:40 --delay 1 --endMP 204:160 --enddatetime 2016-09-10T15:20:32 --enforcementcount 0 &gt;&gt;C:\Users\stu\Documents\GitHub\eaglep3-reporting\EC\2016-09-10-refined-times.txt</v>
      </c>
      <c r="AI94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{"issue":{"subject":"","project_id":79,"tracker_id":40,"status_id":1,"priority_id":2,"assigned_to_id":23,"start_date":"2016-09-10","description":"","custom_fields":[{"id":1,"name":"Subdivision","value":"EC"},{"id":4,"name":"Milepost","value":"23.2827"},{"id":17,"name":"Train ID","value":"182-10"},{"id":16,"name":"Locomotive ID","value":"4037"},{"id":130,"name":"Impact","value":""},{"id":150,"name":"Time of Event (Mountain Time)","value":"15:20:32"},{"id":151,"name":"Denver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587</v>
      </c>
      <c r="B95" s="7">
        <v>4009</v>
      </c>
      <c r="C95" s="24" t="s">
        <v>108</v>
      </c>
      <c r="D95" s="24" t="s">
        <v>285</v>
      </c>
      <c r="E95" s="15">
        <v>42623.579976851855</v>
      </c>
      <c r="F95" s="15">
        <v>42623.583541666667</v>
      </c>
      <c r="G95" s="7">
        <v>1</v>
      </c>
      <c r="H95" s="15" t="s">
        <v>236</v>
      </c>
      <c r="I95" s="15">
        <v>42623.6096875</v>
      </c>
      <c r="J95" s="7">
        <v>0</v>
      </c>
      <c r="K95" s="122" t="str">
        <f t="shared" si="56"/>
        <v>4009/4010</v>
      </c>
      <c r="L95" s="24" t="str">
        <f>VLOOKUP(A95,'Trips&amp;Operators'!$C$1:$E$10000,3,FALSE)</f>
        <v>CLARK</v>
      </c>
      <c r="M95" s="6">
        <f t="shared" si="57"/>
        <v>2.6145833333430346E-2</v>
      </c>
      <c r="N95" s="7">
        <f t="shared" si="58"/>
        <v>37.650000000139698</v>
      </c>
      <c r="O95" s="7"/>
      <c r="P95" s="7"/>
      <c r="Q95" s="25"/>
      <c r="R95" s="25"/>
      <c r="S95" s="37">
        <f t="shared" si="59"/>
        <v>1</v>
      </c>
      <c r="T95" s="52" t="str">
        <f t="shared" si="52"/>
        <v>NorthBound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12:55:10-0600',mode:absolute,to:'2016-09-10 15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95" s="54" t="str">
        <f t="shared" si="61"/>
        <v>N</v>
      </c>
      <c r="X95" s="172">
        <f t="shared" si="50"/>
        <v>1</v>
      </c>
      <c r="Y95" s="69">
        <f t="shared" si="51"/>
        <v>4.4200000000000003E-2</v>
      </c>
      <c r="Z95" s="69">
        <f t="shared" si="62"/>
        <v>23.331399999999999</v>
      </c>
      <c r="AA95" s="69">
        <f t="shared" si="63"/>
        <v>23.287199999999999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55"/>
        <v>0183-10</v>
      </c>
      <c r="AE95" s="99" t="str">
        <f t="shared" si="64"/>
        <v>aws s3 cp s3://rtdc.mdm.uploadarchive/RTDC4009/2016-09-10/ "%USERPROFILE%\AppData\Local\Temp\OnboardLogs"\RTDC4009\2016-09-10 --recursive &amp; "%USERPROFILE%\Documents\GitHub\mrs-test-scripts\Headless Mode &amp; Sideloading\WalkAndUnGZ.bat" "%USERPROFILE%\AppData\Local\Temp\OnboardLogs"\RTDC4009\2016-09-10 &amp; aws s3 cp s3://rtdc.mdm.uploadarchive/RTDC4009/2016-09-11/ "%USERPROFILE%\AppData\Local\Temp\OnboardLogs"\RTDC4009\2016-09-11 --recursive &amp; "%USERPROFILE%\Documents\GitHub\mrs-test-scripts\Headless Mode &amp; Sideloading\WalkAndUnGZ.bat" "%USERPROFILE%\AppData\Local\Temp\OnboardLogs"\RTDC4009\2016-09-11</v>
      </c>
      <c r="AF95" s="96" t="str">
        <f t="shared" si="65"/>
        <v>"C:\Program Files (x86)\AstroGrep\AstroGrep.exe" /spath="%USERPROFILE%\AppData\Local\Temp\OnboardLogs" /stypes="*4009*20160910*" /stext=" 20:.+((SYSTEM_STATE.+slice.+state.+changed )|(ment ac)|(system.+state.+changed )|(\|lc)|(penalty)|(\[timeout)|(PRM\|1\|D)|(kpr)|(kdp))" /e /r /s</v>
      </c>
      <c r="AG95" s="1" t="str">
        <f t="shared" si="66"/>
        <v>EC</v>
      </c>
      <c r="AH95" s="100" t="str">
        <f t="shared" si="53"/>
        <v>"%USERPROFILE%\Documents\GitHub\eaglep3\Utilities\RefineRTDCRunTimes.py" --tripid 183-10 --locoid 4009 --swversion DE.1.0.7.0 --startMP 204:442 --initTime 2016-09-10T13:55:10 --startdatetime 2016-09-10T14:00:18 --delay 1 --endMP 204:233314 --enddatetime 2016-09-10T14:37:57 --enforcementcount 0 &gt;&gt;C:\Users\stu\Documents\GitHub\eaglep3-reporting\EC\2016-09-10-refined-times.txt</v>
      </c>
      <c r="AI95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{"issue":{"subject":"","project_id":79,"tracker_id":40,"status_id":1,"priority_id":2,"assigned_to_id":23,"start_date":"2016-09-10","description":"","custom_fields":[{"id":1,"name":"Subdivision","value":"EC"},{"id":4,"name":"Milepost","value":"23.2872"},{"id":17,"name":"Train ID","value":"183-10"},{"id":16,"name":"Locomotive ID","value":"4009"},{"id":130,"name":"Impact","value":""},{"id":150,"name":"Time of Event (Mountain Time)","value":"14:37:57"},{"id":151,"name":"Denver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412</v>
      </c>
      <c r="B96" s="7">
        <v>4010</v>
      </c>
      <c r="C96" s="24" t="s">
        <v>108</v>
      </c>
      <c r="D96" s="24" t="s">
        <v>239</v>
      </c>
      <c r="E96" s="15">
        <v>42623.616226851853</v>
      </c>
      <c r="F96" s="15">
        <v>42623.622546296298</v>
      </c>
      <c r="G96" s="7">
        <v>1</v>
      </c>
      <c r="H96" s="15" t="s">
        <v>599</v>
      </c>
      <c r="I96" s="15">
        <v>42623.650231481479</v>
      </c>
      <c r="J96" s="7">
        <v>0</v>
      </c>
      <c r="K96" s="122" t="str">
        <f t="shared" si="56"/>
        <v>4009/4010</v>
      </c>
      <c r="L96" s="24" t="str">
        <f>VLOOKUP(A96,'Trips&amp;Operators'!$C$1:$E$10000,3,FALSE)</f>
        <v>CLARK</v>
      </c>
      <c r="M96" s="6">
        <f t="shared" si="57"/>
        <v>2.7685185181326233E-2</v>
      </c>
      <c r="N96" s="7">
        <f t="shared" si="58"/>
        <v>39.866666661109775</v>
      </c>
      <c r="O96" s="7"/>
      <c r="P96" s="7"/>
      <c r="Q96" s="25"/>
      <c r="R96" s="25"/>
      <c r="S96" s="37">
        <f t="shared" si="59"/>
        <v>1</v>
      </c>
      <c r="T96" s="52" t="str">
        <f t="shared" si="52"/>
        <v>Southbound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13:47:22-0600',mode:absolute,to:'2016-09-10 16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6" s="54" t="str">
        <f t="shared" si="61"/>
        <v>N</v>
      </c>
      <c r="X96" s="172">
        <f t="shared" si="50"/>
        <v>1</v>
      </c>
      <c r="Y96" s="69">
        <f t="shared" si="51"/>
        <v>23.298200000000001</v>
      </c>
      <c r="Z96" s="69">
        <f t="shared" si="62"/>
        <v>2.3099999999999999E-2</v>
      </c>
      <c r="AA96" s="69">
        <f t="shared" si="63"/>
        <v>23.275100000000002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55"/>
        <v>0184-10</v>
      </c>
      <c r="AE96" s="99" t="str">
        <f t="shared" si="64"/>
        <v>aws s3 cp s3://rtdc.mdm.uploadarchive/RTDC4010/2016-09-10/ "%USERPROFILE%\AppData\Local\Temp\OnboardLogs"\RTDC4010\2016-09-10 --recursive &amp; "%USERPROFILE%\Documents\GitHub\mrs-test-scripts\Headless Mode &amp; Sideloading\WalkAndUnGZ.bat" "%USERPROFILE%\AppData\Local\Temp\OnboardLogs"\RTDC4010\2016-09-10 &amp; 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</v>
      </c>
      <c r="AF96" s="96" t="str">
        <f t="shared" si="65"/>
        <v>"C:\Program Files (x86)\AstroGrep\AstroGrep.exe" /spath="%USERPROFILE%\AppData\Local\Temp\OnboardLogs" /stypes="*4010*20160910*" /stext=" 21:.+((SYSTEM_STATE.+slice.+state.+changed )|(ment ac)|(system.+state.+changed )|(\|lc)|(penalty)|(\[timeout)|(PRM\|1\|D)|(kpr)|(kdp))" /e /r /s</v>
      </c>
      <c r="AG96" s="1" t="str">
        <f t="shared" si="66"/>
        <v>EC</v>
      </c>
      <c r="AH96" s="100" t="str">
        <f t="shared" si="53"/>
        <v>"%USERPROFILE%\Documents\GitHub\eaglep3\Utilities\RefineRTDCRunTimes.py" --tripid 184-10 --locoid 4010 --swversion DE.1.0.7.0 --startMP 204:232982 --initTime 2016-09-10T14:47:22 --startdatetime 2016-09-10T14:56:28 --delay 1 --endMP 204:231 --enddatetime 2016-09-10T15:36:20 --enforcementcount 0 &gt;&gt;C:\Users\stu\Documents\GitHub\eaglep3-reporting\EC\2016-09-10-refined-times.txt</v>
      </c>
      <c r="AI96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{"issue":{"subject":"","project_id":79,"tracker_id":40,"status_id":1,"priority_id":2,"assigned_to_id":23,"start_date":"2016-09-10","description":"","custom_fields":[{"id":1,"name":"Subdivision","value":"EC"},{"id":4,"name":"Milepost","value":"23.2751"},{"id":17,"name":"Train ID","value":"184-10"},{"id":16,"name":"Locomotive ID","value":"4010"},{"id":130,"name":"Impact","value":""},{"id":150,"name":"Time of Event (Mountain Time)","value":"15:36:20"},{"id":151,"name":"Denver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600</v>
      </c>
      <c r="B97" s="7">
        <v>4011</v>
      </c>
      <c r="C97" s="24" t="s">
        <v>108</v>
      </c>
      <c r="D97" s="24" t="s">
        <v>261</v>
      </c>
      <c r="E97" s="15">
        <v>42623.588587962964</v>
      </c>
      <c r="F97" s="15">
        <v>42623.594039351854</v>
      </c>
      <c r="G97" s="7">
        <v>1</v>
      </c>
      <c r="H97" s="15" t="s">
        <v>303</v>
      </c>
      <c r="I97" s="15">
        <v>42623.620694444442</v>
      </c>
      <c r="J97" s="7">
        <v>0</v>
      </c>
      <c r="K97" s="122" t="str">
        <f t="shared" si="56"/>
        <v>4011/4012</v>
      </c>
      <c r="L97" s="24" t="str">
        <f>VLOOKUP(A97,'Trips&amp;Operators'!$C$1:$E$10000,3,FALSE)</f>
        <v>OUN</v>
      </c>
      <c r="M97" s="6">
        <f t="shared" si="57"/>
        <v>2.6655092588043772E-2</v>
      </c>
      <c r="N97" s="7">
        <f t="shared" si="58"/>
        <v>38.383333326783031</v>
      </c>
      <c r="O97" s="7"/>
      <c r="P97" s="7"/>
      <c r="Q97" s="25"/>
      <c r="R97" s="25"/>
      <c r="S97" s="37">
        <f t="shared" si="59"/>
        <v>1</v>
      </c>
      <c r="T97" s="52" t="str">
        <f t="shared" si="52"/>
        <v>NorthBound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13:07:34-0600',mode:absolute,to:'2016-09-10 15:53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97" s="54" t="str">
        <f t="shared" si="61"/>
        <v>N</v>
      </c>
      <c r="X97" s="172">
        <f t="shared" ref="X97:X128" si="67">VALUE(LEFT(AD97,4))-VALUE(LEFT(AD96,4))</f>
        <v>1</v>
      </c>
      <c r="Y97" s="69">
        <f t="shared" ref="Y97:Y128" si="68">RIGHT(D97,LEN(D97)-4)/10000</f>
        <v>4.4699999999999997E-2</v>
      </c>
      <c r="Z97" s="69">
        <f t="shared" si="62"/>
        <v>23.332100000000001</v>
      </c>
      <c r="AA97" s="69">
        <f t="shared" si="63"/>
        <v>23.287400000000002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55"/>
        <v>0185-10</v>
      </c>
      <c r="AE97" s="99" t="str">
        <f t="shared" si="64"/>
        <v>aws s3 cp s3://rtdc.mdm.uploadarchive/RTDC4011/2016-09-10/ "%USERPROFILE%\AppData\Local\Temp\OnboardLogs"\RTDC4011\2016-09-10 --recursive &amp; "%USERPROFILE%\Documents\GitHub\mrs-test-scripts\Headless Mode &amp; Sideloading\WalkAndUnGZ.bat" "%USERPROFILE%\AppData\Local\Temp\OnboardLogs"\RTDC4011\2016-09-10 &amp; aws s3 cp s3://rtdc.mdm.uploadarchive/RTDC4011/2016-09-11/ "%USERPROFILE%\AppData\Local\Temp\OnboardLogs"\RTDC4011\2016-09-11 --recursive &amp; "%USERPROFILE%\Documents\GitHub\mrs-test-scripts\Headless Mode &amp; Sideloading\WalkAndUnGZ.bat" "%USERPROFILE%\AppData\Local\Temp\OnboardLogs"\RTDC4011\2016-09-11</v>
      </c>
      <c r="AF97" s="96" t="str">
        <f t="shared" si="65"/>
        <v>"C:\Program Files (x86)\AstroGrep\AstroGrep.exe" /spath="%USERPROFILE%\AppData\Local\Temp\OnboardLogs" /stypes="*4011*20160910*" /stext=" 20:.+((SYSTEM_STATE.+slice.+state.+changed )|(ment ac)|(system.+state.+changed )|(\|lc)|(penalty)|(\[timeout)|(PRM\|1\|D)|(kpr)|(kdp))" /e /r /s</v>
      </c>
      <c r="AG97" s="1" t="str">
        <f t="shared" si="66"/>
        <v>EC</v>
      </c>
      <c r="AH97" s="100" t="str">
        <f t="shared" si="53"/>
        <v>"%USERPROFILE%\Documents\GitHub\eaglep3\Utilities\RefineRTDCRunTimes.py" --tripid 185-10 --locoid 4011 --swversion DE.1.0.7.0 --startMP 204:447 --initTime 2016-09-10T14:07:34 --startdatetime 2016-09-10T14:15:25 --delay 1 --endMP 204:233321 --enddatetime 2016-09-10T14:53:48 --enforcementcount 0 &gt;&gt;C:\Users\stu\Documents\GitHub\eaglep3-reporting\EC\2016-09-10-refined-times.txt</v>
      </c>
      <c r="AI97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{"issue":{"subject":"","project_id":79,"tracker_id":40,"status_id":1,"priority_id":2,"assigned_to_id":23,"start_date":"2016-09-10","description":"","custom_fields":[{"id":1,"name":"Subdivision","value":"EC"},{"id":4,"name":"Milepost","value":"23.2874"},{"id":17,"name":"Train ID","value":"185-10"},{"id":16,"name":"Locomotive ID","value":"4011"},{"id":130,"name":"Impact","value":""},{"id":150,"name":"Time of Event (Mountain Time)","value":"14:53:48"},{"id":151,"name":"Denver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601</v>
      </c>
      <c r="B98" s="7">
        <v>4012</v>
      </c>
      <c r="C98" s="24" t="s">
        <v>108</v>
      </c>
      <c r="D98" s="24" t="s">
        <v>475</v>
      </c>
      <c r="E98" s="15">
        <v>42623.630879629629</v>
      </c>
      <c r="F98" s="15">
        <v>42623.632847222223</v>
      </c>
      <c r="G98" s="7">
        <v>0</v>
      </c>
      <c r="H98" s="15" t="s">
        <v>265</v>
      </c>
      <c r="I98" s="15">
        <v>42623.660046296296</v>
      </c>
      <c r="J98" s="7">
        <v>0</v>
      </c>
      <c r="K98" s="122" t="str">
        <f t="shared" si="56"/>
        <v>4011/4012</v>
      </c>
      <c r="L98" s="24" t="str">
        <f>VLOOKUP(A98,'Trips&amp;Operators'!$C$1:$E$10000,3,FALSE)</f>
        <v>OUN</v>
      </c>
      <c r="M98" s="6">
        <f t="shared" si="57"/>
        <v>2.7199074072996154E-2</v>
      </c>
      <c r="N98" s="7">
        <f t="shared" si="58"/>
        <v>39.166666665114462</v>
      </c>
      <c r="O98" s="7"/>
      <c r="P98" s="7"/>
      <c r="Q98" s="25"/>
      <c r="R98" s="25"/>
      <c r="S98" s="37">
        <f t="shared" si="59"/>
        <v>1</v>
      </c>
      <c r="T98" s="52" t="str">
        <f t="shared" si="52"/>
        <v>Southbound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14:08:28-0600',mode:absolute,to:'2016-09-10 16:50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98" s="54" t="str">
        <f t="shared" si="61"/>
        <v>N</v>
      </c>
      <c r="X98" s="172">
        <f t="shared" si="67"/>
        <v>1</v>
      </c>
      <c r="Y98" s="69">
        <f t="shared" si="68"/>
        <v>23.3002</v>
      </c>
      <c r="Z98" s="69">
        <f t="shared" si="62"/>
        <v>1.34E-2</v>
      </c>
      <c r="AA98" s="69">
        <f t="shared" si="63"/>
        <v>23.286799999999999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55"/>
        <v>0186-10</v>
      </c>
      <c r="AE98" s="99" t="str">
        <f t="shared" si="64"/>
        <v>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 &amp; aws s3 cp s3://rtdc.mdm.uploadarchive/RTDC4012/2016-09-11/ "%USERPROFILE%\AppData\Local\Temp\OnboardLogs"\RTDC4012\2016-09-11 --recursive &amp; "%USERPROFILE%\Documents\GitHub\mrs-test-scripts\Headless Mode &amp; Sideloading\WalkAndUnGZ.bat" "%USERPROFILE%\AppData\Local\Temp\OnboardLogs"\RTDC4012\2016-09-11</v>
      </c>
      <c r="AF98" s="96" t="str">
        <f t="shared" si="65"/>
        <v>"C:\Program Files (x86)\AstroGrep\AstroGrep.exe" /spath="%USERPROFILE%\AppData\Local\Temp\OnboardLogs" /stypes="*4012*20160910*" /stext=" 21:.+((SYSTEM_STATE.+slice.+state.+changed )|(ment ac)|(system.+state.+changed )|(\|lc)|(penalty)|(\[timeout)|(PRM\|1\|D)|(kpr)|(kdp))" /e /r /s</v>
      </c>
      <c r="AG98" s="1" t="str">
        <f t="shared" si="66"/>
        <v>EC</v>
      </c>
      <c r="AH98" s="100" t="str">
        <f t="shared" si="53"/>
        <v>"%USERPROFILE%\Documents\GitHub\eaglep3\Utilities\RefineRTDCRunTimes.py" --tripid 186-10 --locoid 4012 --swversion DE.1.0.7.0 --startMP 204:233002 --initTime 2016-09-10T15:08:28 --startdatetime 2016-09-10T15:11:18 --delay 0 --endMP 204:134 --enddatetime 2016-09-10T15:50:28 --enforcementcount 0 &gt;&gt;C:\Users\stu\Documents\GitHub\eaglep3-reporting\EC\2016-09-10-refined-times.txt</v>
      </c>
      <c r="AI98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{"issue":{"subject":"","project_id":79,"tracker_id":40,"status_id":1,"priority_id":2,"assigned_to_id":23,"start_date":"2016-09-10","description":"","custom_fields":[{"id":1,"name":"Subdivision","value":"EC"},{"id":4,"name":"Milepost","value":"23.2868"},{"id":17,"name":"Train ID","value":"186-10"},{"id":16,"name":"Locomotive ID","value":"4012"},{"id":130,"name":"Impact","value":""},{"id":150,"name":"Time of Event (Mountain Time)","value":"15:50:28"},{"id":151,"name":"Denver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602</v>
      </c>
      <c r="B99" s="7">
        <v>4002</v>
      </c>
      <c r="C99" s="24" t="s">
        <v>108</v>
      </c>
      <c r="D99" s="24" t="s">
        <v>285</v>
      </c>
      <c r="E99" s="15">
        <v>42623.600266203706</v>
      </c>
      <c r="F99" s="15">
        <v>42623.604849537034</v>
      </c>
      <c r="G99" s="7">
        <v>1</v>
      </c>
      <c r="H99" s="15" t="s">
        <v>273</v>
      </c>
      <c r="I99" s="15">
        <v>42623.63082175926</v>
      </c>
      <c r="J99" s="7">
        <v>0</v>
      </c>
      <c r="K99" s="122" t="str">
        <f t="shared" si="56"/>
        <v>4001/4002</v>
      </c>
      <c r="L99" s="24" t="str">
        <f>VLOOKUP(A99,'Trips&amp;Operators'!$C$1:$E$10000,3,FALSE)</f>
        <v>STEWART</v>
      </c>
      <c r="M99" s="6">
        <f t="shared" si="57"/>
        <v>2.5972222225391306E-2</v>
      </c>
      <c r="N99" s="7">
        <f t="shared" si="58"/>
        <v>37.400000004563481</v>
      </c>
      <c r="O99" s="7"/>
      <c r="P99" s="7"/>
      <c r="Q99" s="25"/>
      <c r="R99" s="25"/>
      <c r="S99" s="37">
        <f t="shared" si="59"/>
        <v>1</v>
      </c>
      <c r="T99" s="52" t="str">
        <f t="shared" si="52"/>
        <v>NorthBound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13:24:23-0600',mode:absolute,to:'2016-09-10 16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99" s="54" t="str">
        <f t="shared" si="61"/>
        <v>N</v>
      </c>
      <c r="X99" s="172">
        <f t="shared" si="67"/>
        <v>1</v>
      </c>
      <c r="Y99" s="69">
        <f t="shared" si="68"/>
        <v>4.4200000000000003E-2</v>
      </c>
      <c r="Z99" s="69">
        <f t="shared" si="62"/>
        <v>23.329899999999999</v>
      </c>
      <c r="AA99" s="69">
        <f t="shared" si="63"/>
        <v>23.285699999999999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55"/>
        <v>0187-10</v>
      </c>
      <c r="AE99" s="99" t="str">
        <f t="shared" si="64"/>
        <v>aws s3 cp s3://rtdc.mdm.uploadarchive/RTDC4002/2016-09-10/ "%USERPROFILE%\AppData\Local\Temp\OnboardLogs"\RTDC4002\2016-09-10 --recursive &amp; "%USERPROFILE%\Documents\GitHub\mrs-test-scripts\Headless Mode &amp; Sideloading\WalkAndUnGZ.bat" "%USERPROFILE%\AppData\Local\Temp\OnboardLogs"\RTDC4002\2016-09-10 &amp; 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</v>
      </c>
      <c r="AF99" s="96" t="str">
        <f t="shared" si="65"/>
        <v>"C:\Program Files (x86)\AstroGrep\AstroGrep.exe" /spath="%USERPROFILE%\AppData\Local\Temp\OnboardLogs" /stypes="*4002*20160910*" /stext=" 21:.+((SYSTEM_STATE.+slice.+state.+changed )|(ment ac)|(system.+state.+changed )|(\|lc)|(penalty)|(\[timeout)|(PRM\|1\|D)|(kpr)|(kdp))" /e /r /s</v>
      </c>
      <c r="AG99" s="1" t="str">
        <f t="shared" si="66"/>
        <v>EC</v>
      </c>
      <c r="AH99" s="100" t="str">
        <f t="shared" si="53"/>
        <v>"%USERPROFILE%\Documents\GitHub\eaglep3\Utilities\RefineRTDCRunTimes.py" --tripid 187-10 --locoid 4002 --swversion DE.1.0.7.0 --startMP 204:442 --initTime 2016-09-10T14:24:23 --startdatetime 2016-09-10T14:30:59 --delay 1 --endMP 204:233299 --enddatetime 2016-09-10T15:08:23 --enforcementcount 0 &gt;&gt;C:\Users\stu\Documents\GitHub\eaglep3-reporting\EC\2016-09-10-refined-times.txt</v>
      </c>
      <c r="AI99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{"issue":{"subject":"","project_id":79,"tracker_id":40,"status_id":1,"priority_id":2,"assigned_to_id":23,"start_date":"2016-09-10","description":"","custom_fields":[{"id":1,"name":"Subdivision","value":"EC"},{"id":4,"name":"Milepost","value":"23.2857"},{"id":17,"name":"Train ID","value":"187-10"},{"id":16,"name":"Locomotive ID","value":"4002"},{"id":130,"name":"Impact","value":""},{"id":150,"name":"Time of Event (Mountain Time)","value":"15:08:23"},{"id":151,"name":"Denver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603</v>
      </c>
      <c r="B100" s="7">
        <v>4001</v>
      </c>
      <c r="C100" s="24" t="s">
        <v>108</v>
      </c>
      <c r="D100" s="24" t="s">
        <v>604</v>
      </c>
      <c r="E100" s="15">
        <v>42623.641805555555</v>
      </c>
      <c r="F100" s="15">
        <v>42623.643622685187</v>
      </c>
      <c r="G100" s="7">
        <v>1</v>
      </c>
      <c r="H100" s="15" t="s">
        <v>235</v>
      </c>
      <c r="I100" s="15">
        <v>42623.669907407406</v>
      </c>
      <c r="J100" s="7">
        <v>0</v>
      </c>
      <c r="K100" s="122" t="str">
        <f t="shared" si="56"/>
        <v>4001/4002</v>
      </c>
      <c r="L100" s="24" t="str">
        <f>VLOOKUP(A100,'Trips&amp;Operators'!$C$1:$E$10000,3,FALSE)</f>
        <v>STEWART</v>
      </c>
      <c r="M100" s="6">
        <f t="shared" si="57"/>
        <v>2.6284722218406387E-2</v>
      </c>
      <c r="N100" s="7">
        <f t="shared" si="58"/>
        <v>37.849999994505197</v>
      </c>
      <c r="O100" s="7"/>
      <c r="P100" s="7"/>
      <c r="Q100" s="25"/>
      <c r="R100" s="25"/>
      <c r="S100" s="37">
        <f t="shared" si="59"/>
        <v>1</v>
      </c>
      <c r="T100" s="52" t="str">
        <f t="shared" si="52"/>
        <v>Southbound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14:24:12-0600',mode:absolute,to:'2016-09-10 17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00" s="54" t="str">
        <f t="shared" si="61"/>
        <v>N</v>
      </c>
      <c r="X100" s="172">
        <f t="shared" si="67"/>
        <v>1</v>
      </c>
      <c r="Y100" s="69">
        <f t="shared" si="68"/>
        <v>23.2957</v>
      </c>
      <c r="Z100" s="69">
        <f t="shared" si="62"/>
        <v>1.49E-2</v>
      </c>
      <c r="AA100" s="69">
        <f t="shared" si="63"/>
        <v>23.280799999999999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55"/>
        <v>0188-10</v>
      </c>
      <c r="AE100" s="99" t="str">
        <f t="shared" si="64"/>
        <v>aws s3 cp s3://rtdc.mdm.uploadarchive/RTDC4001/2016-09-10/ "%USERPROFILE%\AppData\Local\Temp\OnboardLogs"\RTDC4001\2016-09-10 --recursive &amp; "%USERPROFILE%\Documents\GitHub\mrs-test-scripts\Headless Mode &amp; Sideloading\WalkAndUnGZ.bat" "%USERPROFILE%\AppData\Local\Temp\OnboardLogs"\RTDC4001\2016-09-10 &amp; 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</v>
      </c>
      <c r="AF100" s="96" t="str">
        <f t="shared" si="65"/>
        <v>"C:\Program Files (x86)\AstroGrep\AstroGrep.exe" /spath="%USERPROFILE%\AppData\Local\Temp\OnboardLogs" /stypes="*4001*20160910*" /stext=" 22:.+((SYSTEM_STATE.+slice.+state.+changed )|(ment ac)|(system.+state.+changed )|(\|lc)|(penalty)|(\[timeout)|(PRM\|1\|D)|(kpr)|(kdp))" /e /r /s</v>
      </c>
      <c r="AG100" s="1" t="str">
        <f t="shared" si="66"/>
        <v>EC</v>
      </c>
      <c r="AH100" s="100" t="str">
        <f t="shared" si="53"/>
        <v>"%USERPROFILE%\Documents\GitHub\eaglep3\Utilities\RefineRTDCRunTimes.py" --tripid 188-10 --locoid 4001 --swversion DE.1.0.7.0 --startMP 204:232957 --initTime 2016-09-10T15:24:12 --startdatetime 2016-09-10T15:26:49 --delay 1 --endMP 204:149 --enddatetime 2016-09-10T16:04:40 --enforcementcount 0 &gt;&gt;C:\Users\stu\Documents\GitHub\eaglep3-reporting\EC\2016-09-10-refined-times.txt</v>
      </c>
      <c r="AI100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{"issue":{"subject":"","project_id":79,"tracker_id":40,"status_id":1,"priority_id":2,"assigned_to_id":23,"start_date":"2016-09-10","description":"","custom_fields":[{"id":1,"name":"Subdivision","value":"EC"},{"id":4,"name":"Milepost","value":"23.2808"},{"id":17,"name":"Train ID","value":"188-10"},{"id":16,"name":"Locomotive ID","value":"4001"},{"id":130,"name":"Impact","value":""},{"id":150,"name":"Time of Event (Mountain Time)","value":"16:04:40"},{"id":151,"name":"Denver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605</v>
      </c>
      <c r="B101" s="7">
        <v>4046</v>
      </c>
      <c r="C101" s="24" t="s">
        <v>108</v>
      </c>
      <c r="D101" s="24" t="s">
        <v>291</v>
      </c>
      <c r="E101" s="15">
        <v>42623.613229166665</v>
      </c>
      <c r="F101" s="15">
        <v>42623.615023148152</v>
      </c>
      <c r="G101" s="7">
        <v>1</v>
      </c>
      <c r="H101" s="15" t="s">
        <v>294</v>
      </c>
      <c r="I101" s="15">
        <v>42623.6405787037</v>
      </c>
      <c r="J101" s="7">
        <v>0</v>
      </c>
      <c r="K101" s="122" t="str">
        <f t="shared" si="56"/>
        <v>4045/4046</v>
      </c>
      <c r="L101" s="24" t="str">
        <f>VLOOKUP(A101,'Trips&amp;Operators'!$C$1:$E$10000,3,FALSE)</f>
        <v>BARTLETT</v>
      </c>
      <c r="M101" s="6">
        <f t="shared" si="57"/>
        <v>2.5555555548635311E-2</v>
      </c>
      <c r="N101" s="7">
        <f t="shared" si="58"/>
        <v>36.799999990034848</v>
      </c>
      <c r="O101" s="7"/>
      <c r="P101" s="7"/>
      <c r="Q101" s="25"/>
      <c r="R101" s="25"/>
      <c r="S101" s="37">
        <f t="shared" si="59"/>
        <v>1</v>
      </c>
      <c r="T101" s="52" t="str">
        <f t="shared" si="52"/>
        <v>NorthBound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13:43:03-0600',mode:absolute,to:'2016-09-10 16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01" s="54" t="str">
        <f t="shared" si="61"/>
        <v>N</v>
      </c>
      <c r="X101" s="172">
        <f t="shared" si="67"/>
        <v>1</v>
      </c>
      <c r="Y101" s="69">
        <f t="shared" si="68"/>
        <v>4.58E-2</v>
      </c>
      <c r="Z101" s="69">
        <f t="shared" si="62"/>
        <v>23.331700000000001</v>
      </c>
      <c r="AA101" s="69">
        <f t="shared" si="63"/>
        <v>23.285900000000002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55"/>
        <v>0189-10</v>
      </c>
      <c r="AE101" s="99" t="str">
        <f t="shared" si="64"/>
        <v>aws s3 cp s3://rtdc.mdm.uploadarchive/RTDC4046/2016-09-10/ "%USERPROFILE%\AppData\Local\Temp\OnboardLogs"\RTDC4046\2016-09-10 --recursive &amp; "%USERPROFILE%\Documents\GitHub\mrs-test-scripts\Headless Mode &amp; Sideloading\WalkAndUnGZ.bat" "%USERPROFILE%\AppData\Local\Temp\OnboardLogs"\RTDC4046\2016-09-10 &amp; aws s3 cp s3://rtdc.mdm.uploadarchive/RTDC4046/2016-09-11/ "%USERPROFILE%\AppData\Local\Temp\OnboardLogs"\RTDC4046\2016-09-11 --recursive &amp; "%USERPROFILE%\Documents\GitHub\mrs-test-scripts\Headless Mode &amp; Sideloading\WalkAndUnGZ.bat" "%USERPROFILE%\AppData\Local\Temp\OnboardLogs"\RTDC4046\2016-09-11</v>
      </c>
      <c r="AF101" s="96" t="str">
        <f t="shared" si="65"/>
        <v>"C:\Program Files (x86)\AstroGrep\AstroGrep.exe" /spath="%USERPROFILE%\AppData\Local\Temp\OnboardLogs" /stypes="*4046*20160910*" /stext=" 21:.+((SYSTEM_STATE.+slice.+state.+changed )|(ment ac)|(system.+state.+changed )|(\|lc)|(penalty)|(\[timeout)|(PRM\|1\|D)|(kpr)|(kdp))" /e /r /s</v>
      </c>
      <c r="AG101" s="1" t="str">
        <f t="shared" si="66"/>
        <v>EC</v>
      </c>
      <c r="AH101" s="100" t="str">
        <f t="shared" si="53"/>
        <v>"%USERPROFILE%\Documents\GitHub\eaglep3\Utilities\RefineRTDCRunTimes.py" --tripid 189-10 --locoid 4046 --swversion DE.1.0.7.0 --startMP 204:458 --initTime 2016-09-10T14:43:03 --startdatetime 2016-09-10T14:45:38 --delay 1 --endMP 204:233317 --enddatetime 2016-09-10T15:22:26 --enforcementcount 0 &gt;&gt;C:\Users\stu\Documents\GitHub\eaglep3-reporting\EC\2016-09-10-refined-times.txt</v>
      </c>
      <c r="AI101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{"issue":{"subject":"","project_id":79,"tracker_id":40,"status_id":1,"priority_id":2,"assigned_to_id":23,"start_date":"2016-09-10","description":"","custom_fields":[{"id":1,"name":"Subdivision","value":"EC"},{"id":4,"name":"Milepost","value":"23.2859"},{"id":17,"name":"Train ID","value":"189-10"},{"id":16,"name":"Locomotive ID","value":"4046"},{"id":130,"name":"Impact","value":""},{"id":150,"name":"Time of Event (Mountain Time)","value":"15:22:26"},{"id":151,"name":"Denver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415</v>
      </c>
      <c r="B102" s="7">
        <v>4045</v>
      </c>
      <c r="C102" s="24" t="s">
        <v>108</v>
      </c>
      <c r="D102" s="24" t="s">
        <v>298</v>
      </c>
      <c r="E102" s="15">
        <v>42623.64340277778</v>
      </c>
      <c r="F102" s="15">
        <v>42623.653692129628</v>
      </c>
      <c r="G102" s="7">
        <v>0</v>
      </c>
      <c r="H102" s="15" t="s">
        <v>351</v>
      </c>
      <c r="I102" s="15">
        <v>42623.680694444447</v>
      </c>
      <c r="J102" s="7">
        <v>0</v>
      </c>
      <c r="K102" s="122" t="str">
        <f t="shared" si="56"/>
        <v>4045/4046</v>
      </c>
      <c r="L102" s="24" t="str">
        <f>VLOOKUP(A102,'Trips&amp;Operators'!$C$1:$E$10000,3,FALSE)</f>
        <v>BARTLETT</v>
      </c>
      <c r="M102" s="6">
        <f t="shared" si="57"/>
        <v>2.7002314818673767E-2</v>
      </c>
      <c r="N102" s="7">
        <f t="shared" si="58"/>
        <v>38.883333338890225</v>
      </c>
      <c r="O102" s="7"/>
      <c r="P102" s="7"/>
      <c r="Q102" s="25"/>
      <c r="R102" s="25"/>
      <c r="S102" s="37">
        <f t="shared" si="59"/>
        <v>1</v>
      </c>
      <c r="T102" s="52" t="str">
        <f t="shared" si="52"/>
        <v>Southbound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14:26:30-0600',mode:absolute,to:'2016-09-10 17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02" s="54" t="str">
        <f t="shared" si="61"/>
        <v>N</v>
      </c>
      <c r="X102" s="172">
        <f t="shared" si="67"/>
        <v>1</v>
      </c>
      <c r="Y102" s="69">
        <f t="shared" si="68"/>
        <v>23.299299999999999</v>
      </c>
      <c r="Z102" s="69">
        <f t="shared" si="62"/>
        <v>1.8499999999999999E-2</v>
      </c>
      <c r="AA102" s="69">
        <f t="shared" si="63"/>
        <v>23.280799999999999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55"/>
        <v>0190-10</v>
      </c>
      <c r="AE102" s="99" t="str">
        <f t="shared" si="64"/>
        <v>aws s3 cp s3://rtdc.mdm.uploadarchive/RTDC4045/2016-09-10/ "%USERPROFILE%\AppData\Local\Temp\OnboardLogs"\RTDC4045\2016-09-10 --recursive &amp; "%USERPROFILE%\Documents\GitHub\mrs-test-scripts\Headless Mode &amp; Sideloading\WalkAndUnGZ.bat" "%USERPROFILE%\AppData\Local\Temp\OnboardLogs"\RTDC4045\2016-09-10 &amp; aws s3 cp s3://rtdc.mdm.uploadarchive/RTDC4045/2016-09-11/ "%USERPROFILE%\AppData\Local\Temp\OnboardLogs"\RTDC4045\2016-09-11 --recursive &amp; "%USERPROFILE%\Documents\GitHub\mrs-test-scripts\Headless Mode &amp; Sideloading\WalkAndUnGZ.bat" "%USERPROFILE%\AppData\Local\Temp\OnboardLogs"\RTDC4045\2016-09-11</v>
      </c>
      <c r="AF102" s="96" t="str">
        <f t="shared" si="65"/>
        <v>"C:\Program Files (x86)\AstroGrep\AstroGrep.exe" /spath="%USERPROFILE%\AppData\Local\Temp\OnboardLogs" /stypes="*4045*20160910*" /stext=" 22:.+((SYSTEM_STATE.+slice.+state.+changed )|(ment ac)|(system.+state.+changed )|(\|lc)|(penalty)|(\[timeout)|(PRM\|1\|D)|(kpr)|(kdp))" /e /r /s</v>
      </c>
      <c r="AG102" s="1" t="str">
        <f t="shared" si="66"/>
        <v>EC</v>
      </c>
      <c r="AH102" s="100" t="str">
        <f t="shared" si="53"/>
        <v>"%USERPROFILE%\Documents\GitHub\eaglep3\Utilities\RefineRTDCRunTimes.py" --tripid 190-10 --locoid 4045 --swversion DE.1.0.7.0 --startMP 204:232993 --initTime 2016-09-10T15:26:30 --startdatetime 2016-09-10T15:41:19 --delay 0 --endMP 204:185 --enddatetime 2016-09-10T16:20:12 --enforcementcount 0 &gt;&gt;C:\Users\stu\Documents\GitHub\eaglep3-reporting\EC\2016-09-10-refined-times.txt</v>
      </c>
      <c r="AI102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{"issue":{"subject":"","project_id":79,"tracker_id":40,"status_id":1,"priority_id":2,"assigned_to_id":23,"start_date":"2016-09-10","description":"","custom_fields":[{"id":1,"name":"Subdivision","value":"EC"},{"id":4,"name":"Milepost","value":"23.2808"},{"id":17,"name":"Train ID","value":"190-10"},{"id":16,"name":"Locomotive ID","value":"4045"},{"id":130,"name":"Impact","value":""},{"id":150,"name":"Time of Event (Mountain Time)","value":"16:20:12"},{"id":151,"name":"Denver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606</v>
      </c>
      <c r="B103" s="7">
        <v>4014</v>
      </c>
      <c r="C103" s="24" t="s">
        <v>108</v>
      </c>
      <c r="D103" s="24" t="s">
        <v>301</v>
      </c>
      <c r="E103" s="15">
        <v>42623.621145833335</v>
      </c>
      <c r="F103" s="15">
        <v>42623.625185185185</v>
      </c>
      <c r="G103" s="7">
        <v>2</v>
      </c>
      <c r="H103" s="15" t="s">
        <v>292</v>
      </c>
      <c r="I103" s="15">
        <v>42623.650254629632</v>
      </c>
      <c r="J103" s="7">
        <v>0</v>
      </c>
      <c r="K103" s="122" t="str">
        <f t="shared" si="56"/>
        <v>4013/4014</v>
      </c>
      <c r="L103" s="24" t="str">
        <f>VLOOKUP(A103,'Trips&amp;Operators'!$C$1:$E$10000,3,FALSE)</f>
        <v>MOSES</v>
      </c>
      <c r="M103" s="6">
        <f t="shared" si="57"/>
        <v>2.5069444447581191E-2</v>
      </c>
      <c r="N103" s="7">
        <f t="shared" si="58"/>
        <v>36.100000004516914</v>
      </c>
      <c r="O103" s="7"/>
      <c r="P103" s="7"/>
      <c r="Q103" s="25"/>
      <c r="R103" s="25"/>
      <c r="S103" s="37">
        <f t="shared" si="59"/>
        <v>1</v>
      </c>
      <c r="T103" s="52" t="str">
        <f t="shared" si="52"/>
        <v>NorthBound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13:54:27-0600',mode:absolute,to:'2016-09-10 16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03" s="54" t="str">
        <f t="shared" si="61"/>
        <v>N</v>
      </c>
      <c r="X103" s="172">
        <f t="shared" si="67"/>
        <v>1</v>
      </c>
      <c r="Y103" s="69">
        <f t="shared" si="68"/>
        <v>4.2000000000000003E-2</v>
      </c>
      <c r="Z103" s="69">
        <f t="shared" si="62"/>
        <v>23.332000000000001</v>
      </c>
      <c r="AA103" s="69">
        <f t="shared" si="63"/>
        <v>23.29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55"/>
        <v>0191-10</v>
      </c>
      <c r="AE103" s="99" t="str">
        <f t="shared" si="64"/>
        <v>aws s3 cp s3://rtdc.mdm.uploadarchive/RTDC4014/2016-09-10/ "%USERPROFILE%\AppData\Local\Temp\OnboardLogs"\RTDC4014\2016-09-10 --recursive &amp; "%USERPROFILE%\Documents\GitHub\mrs-test-scripts\Headless Mode &amp; Sideloading\WalkAndUnGZ.bat" "%USERPROFILE%\AppData\Local\Temp\OnboardLogs"\RTDC4014\2016-09-10 &amp; aws s3 cp s3://rtdc.mdm.uploadarchive/RTDC4014/2016-09-11/ "%USERPROFILE%\AppData\Local\Temp\OnboardLogs"\RTDC4014\2016-09-11 --recursive &amp; "%USERPROFILE%\Documents\GitHub\mrs-test-scripts\Headless Mode &amp; Sideloading\WalkAndUnGZ.bat" "%USERPROFILE%\AppData\Local\Temp\OnboardLogs"\RTDC4014\2016-09-11</v>
      </c>
      <c r="AF103" s="96" t="str">
        <f t="shared" si="65"/>
        <v>"C:\Program Files (x86)\AstroGrep\AstroGrep.exe" /spath="%USERPROFILE%\AppData\Local\Temp\OnboardLogs" /stypes="*4014*20160910*" /stext=" 21:.+((SYSTEM_STATE.+slice.+state.+changed )|(ment ac)|(system.+state.+changed )|(\|lc)|(penalty)|(\[timeout)|(PRM\|1\|D)|(kpr)|(kdp))" /e /r /s</v>
      </c>
      <c r="AG103" s="1" t="str">
        <f t="shared" si="66"/>
        <v>EC</v>
      </c>
      <c r="AH103" s="100" t="str">
        <f t="shared" si="53"/>
        <v>"%USERPROFILE%\Documents\GitHub\eaglep3\Utilities\RefineRTDCRunTimes.py" --tripid 191-10 --locoid 4014 --swversion DE.1.0.7.0 --startMP 204:420 --initTime 2016-09-10T14:54:27 --startdatetime 2016-09-10T15:00:16 --delay 2 --endMP 204:233320 --enddatetime 2016-09-10T15:36:22 --enforcementcount 0 &gt;&gt;C:\Users\stu\Documents\GitHub\eaglep3-reporting\EC\2016-09-10-refined-times.txt</v>
      </c>
      <c r="AI103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{"issue":{"subject":"","project_id":79,"tracker_id":40,"status_id":1,"priority_id":2,"assigned_to_id":23,"start_date":"2016-09-10","description":"","custom_fields":[{"id":1,"name":"Subdivision","value":"EC"},{"id":4,"name":"Milepost","value":"23.29"},{"id":17,"name":"Train ID","value":"191-10"},{"id":16,"name":"Locomotive ID","value":"4014"},{"id":130,"name":"Impact","value":""},{"id":150,"name":"Time of Event (Mountain Time)","value":"15:36:22"},{"id":151,"name":"Denver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607</v>
      </c>
      <c r="B104" s="7">
        <v>4013</v>
      </c>
      <c r="C104" s="24" t="s">
        <v>108</v>
      </c>
      <c r="D104" s="24" t="s">
        <v>608</v>
      </c>
      <c r="E104" s="15">
        <v>42623.66028935185</v>
      </c>
      <c r="F104" s="15">
        <v>42623.664247685185</v>
      </c>
      <c r="G104" s="7">
        <v>1</v>
      </c>
      <c r="H104" s="15" t="s">
        <v>235</v>
      </c>
      <c r="I104" s="15">
        <v>42623.691006944442</v>
      </c>
      <c r="J104" s="7">
        <v>0</v>
      </c>
      <c r="K104" s="122" t="str">
        <f t="shared" si="56"/>
        <v>4013/4014</v>
      </c>
      <c r="L104" s="24" t="str">
        <f>VLOOKUP(A104,'Trips&amp;Operators'!$C$1:$E$10000,3,FALSE)</f>
        <v>MOSES</v>
      </c>
      <c r="M104" s="6">
        <f t="shared" si="57"/>
        <v>2.675925925723277E-2</v>
      </c>
      <c r="N104" s="7">
        <f t="shared" si="58"/>
        <v>38.533333330415189</v>
      </c>
      <c r="O104" s="7"/>
      <c r="P104" s="7"/>
      <c r="Q104" s="25"/>
      <c r="R104" s="25"/>
      <c r="S104" s="37">
        <f t="shared" si="59"/>
        <v>1</v>
      </c>
      <c r="T104" s="52" t="str">
        <f t="shared" si="52"/>
        <v>Southbound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14:50:49-0600',mode:absolute,to:'2016-09-10 17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04" s="54" t="str">
        <f t="shared" si="61"/>
        <v>N</v>
      </c>
      <c r="X104" s="172">
        <f t="shared" si="67"/>
        <v>1</v>
      </c>
      <c r="Y104" s="69">
        <f t="shared" si="68"/>
        <v>23.301100000000002</v>
      </c>
      <c r="Z104" s="69">
        <f t="shared" si="62"/>
        <v>1.49E-2</v>
      </c>
      <c r="AA104" s="69">
        <f t="shared" si="63"/>
        <v>23.286200000000001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55"/>
        <v>0192-10</v>
      </c>
      <c r="AE104" s="99" t="str">
        <f t="shared" si="64"/>
        <v>aws s3 cp s3://rtdc.mdm.uploadarchive/RTDC4013/2016-09-10/ "%USERPROFILE%\AppData\Local\Temp\OnboardLogs"\RTDC4013\2016-09-10 --recursive &amp; "%USERPROFILE%\Documents\GitHub\mrs-test-scripts\Headless Mode &amp; Sideloading\WalkAndUnGZ.bat" "%USERPROFILE%\AppData\Local\Temp\OnboardLogs"\RTDC4013\2016-09-10 &amp; aws s3 cp s3://rtdc.mdm.uploadarchive/RTDC4013/2016-09-11/ "%USERPROFILE%\AppData\Local\Temp\OnboardLogs"\RTDC4013\2016-09-11 --recursive &amp; "%USERPROFILE%\Documents\GitHub\mrs-test-scripts\Headless Mode &amp; Sideloading\WalkAndUnGZ.bat" "%USERPROFILE%\AppData\Local\Temp\OnboardLogs"\RTDC4013\2016-09-11</v>
      </c>
      <c r="AF104" s="96" t="str">
        <f t="shared" si="65"/>
        <v>"C:\Program Files (x86)\AstroGrep\AstroGrep.exe" /spath="%USERPROFILE%\AppData\Local\Temp\OnboardLogs" /stypes="*4013*20160910*" /stext=" 22:.+((SYSTEM_STATE.+slice.+state.+changed )|(ment ac)|(system.+state.+changed )|(\|lc)|(penalty)|(\[timeout)|(PRM\|1\|D)|(kpr)|(kdp))" /e /r /s</v>
      </c>
      <c r="AG104" s="1" t="str">
        <f t="shared" si="66"/>
        <v>EC</v>
      </c>
      <c r="AH104" s="100" t="str">
        <f t="shared" si="53"/>
        <v>"%USERPROFILE%\Documents\GitHub\eaglep3\Utilities\RefineRTDCRunTimes.py" --tripid 192-10 --locoid 4013 --swversion DE.1.0.7.0 --startMP 204:233011 --initTime 2016-09-10T15:50:49 --startdatetime 2016-09-10T15:56:31 --delay 1 --endMP 204:149 --enddatetime 2016-09-10T16:35:03 --enforcementcount 0 &gt;&gt;C:\Users\stu\Documents\GitHub\eaglep3-reporting\EC\2016-09-10-refined-times.txt</v>
      </c>
      <c r="AI104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{"issue":{"subject":"","project_id":79,"tracker_id":40,"status_id":1,"priority_id":2,"assigned_to_id":23,"start_date":"2016-09-10","description":"","custom_fields":[{"id":1,"name":"Subdivision","value":"EC"},{"id":4,"name":"Milepost","value":"23.2862"},{"id":17,"name":"Train ID","value":"192-10"},{"id":16,"name":"Locomotive ID","value":"4013"},{"id":130,"name":"Impact","value":""},{"id":150,"name":"Time of Event (Mountain Time)","value":"16:35:03"},{"id":151,"name":"Denver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609</v>
      </c>
      <c r="B105" s="7">
        <v>4040</v>
      </c>
      <c r="C105" s="24" t="s">
        <v>108</v>
      </c>
      <c r="D105" s="24" t="s">
        <v>268</v>
      </c>
      <c r="E105" s="15">
        <v>42623.630532407406</v>
      </c>
      <c r="F105" s="15">
        <v>42623.635613425926</v>
      </c>
      <c r="G105" s="7">
        <v>1</v>
      </c>
      <c r="H105" s="15" t="s">
        <v>610</v>
      </c>
      <c r="I105" s="15">
        <v>42623.660729166666</v>
      </c>
      <c r="J105" s="7">
        <v>0</v>
      </c>
      <c r="K105" s="122" t="str">
        <f t="shared" si="56"/>
        <v>4039/4040</v>
      </c>
      <c r="L105" s="24" t="str">
        <f>VLOOKUP(A105,'Trips&amp;Operators'!$C$1:$E$10000,3,FALSE)</f>
        <v>SHOOK</v>
      </c>
      <c r="M105" s="6">
        <f t="shared" si="57"/>
        <v>2.5115740740147885E-2</v>
      </c>
      <c r="N105" s="7">
        <f t="shared" si="58"/>
        <v>36.166666665812954</v>
      </c>
      <c r="O105" s="7"/>
      <c r="P105" s="7"/>
      <c r="Q105" s="25"/>
      <c r="R105" s="25"/>
      <c r="S105" s="37">
        <f t="shared" si="59"/>
        <v>1</v>
      </c>
      <c r="T105" s="52" t="str">
        <f t="shared" si="52"/>
        <v>NorthBound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14:07:58-0600',mode:absolute,to:'2016-09-10 16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05" s="54" t="str">
        <f t="shared" si="61"/>
        <v>N</v>
      </c>
      <c r="X105" s="172">
        <f t="shared" si="67"/>
        <v>1</v>
      </c>
      <c r="Y105" s="69">
        <f t="shared" si="68"/>
        <v>4.5100000000000001E-2</v>
      </c>
      <c r="Z105" s="69">
        <f t="shared" si="62"/>
        <v>23.336400000000001</v>
      </c>
      <c r="AA105" s="69">
        <f t="shared" si="63"/>
        <v>23.2913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si="55"/>
        <v>0193-10</v>
      </c>
      <c r="AE105" s="99" t="str">
        <f t="shared" si="64"/>
        <v>aws s3 cp s3://rtdc.mdm.uploadarchive/RTDC4040/2016-09-10/ "%USERPROFILE%\AppData\Local\Temp\OnboardLogs"\RTDC4040\2016-09-10 --recursive &amp; "%USERPROFILE%\Documents\GitHub\mrs-test-scripts\Headless Mode &amp; Sideloading\WalkAndUnGZ.bat" "%USERPROFILE%\AppData\Local\Temp\OnboardLogs"\RTDC4040\2016-09-10 &amp; 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</v>
      </c>
      <c r="AF105" s="96" t="str">
        <f t="shared" si="65"/>
        <v>"C:\Program Files (x86)\AstroGrep\AstroGrep.exe" /spath="%USERPROFILE%\AppData\Local\Temp\OnboardLogs" /stypes="*4040*20160910*" /stext=" 21:.+((SYSTEM_STATE.+slice.+state.+changed )|(ment ac)|(system.+state.+changed )|(\|lc)|(penalty)|(\[timeout)|(PRM\|1\|D)|(kpr)|(kdp))" /e /r /s</v>
      </c>
      <c r="AG105" s="1" t="str">
        <f t="shared" si="66"/>
        <v>EC</v>
      </c>
      <c r="AH105" s="100" t="str">
        <f t="shared" si="53"/>
        <v>"%USERPROFILE%\Documents\GitHub\eaglep3\Utilities\RefineRTDCRunTimes.py" --tripid 193-10 --locoid 4040 --swversion DE.1.0.7.0 --startMP 204:451 --initTime 2016-09-10T15:07:58 --startdatetime 2016-09-10T15:15:17 --delay 1 --endMP 204:233364 --enddatetime 2016-09-10T15:51:27 --enforcementcount 0 &gt;&gt;C:\Users\stu\Documents\GitHub\eaglep3-reporting\EC\2016-09-10-refined-times.txt</v>
      </c>
      <c r="AI105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{"issue":{"subject":"","project_id":79,"tracker_id":40,"status_id":1,"priority_id":2,"assigned_to_id":23,"start_date":"2016-09-10","description":"","custom_fields":[{"id":1,"name":"Subdivision","value":"EC"},{"id":4,"name":"Milepost","value":"23.2913"},{"id":17,"name":"Train ID","value":"193-10"},{"id":16,"name":"Locomotive ID","value":"4040"},{"id":130,"name":"Impact","value":""},{"id":150,"name":"Time of Event (Mountain Time)","value":"15:51:27"},{"id":151,"name":"Denver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x14ac:dyDescent="0.25">
      <c r="A106" s="39" t="s">
        <v>611</v>
      </c>
      <c r="B106" s="7">
        <v>4039</v>
      </c>
      <c r="C106" s="24" t="s">
        <v>108</v>
      </c>
      <c r="D106" s="24" t="s">
        <v>612</v>
      </c>
      <c r="E106" s="15">
        <v>42623.669016203705</v>
      </c>
      <c r="F106" s="15">
        <v>42623.67454861111</v>
      </c>
      <c r="G106" s="7">
        <v>1</v>
      </c>
      <c r="H106" s="15" t="s">
        <v>250</v>
      </c>
      <c r="I106" s="15">
        <v>42623.701469907406</v>
      </c>
      <c r="J106" s="7">
        <v>0</v>
      </c>
      <c r="K106" s="122" t="str">
        <f t="shared" si="56"/>
        <v>4039/4040</v>
      </c>
      <c r="L106" s="24" t="str">
        <f>VLOOKUP(A106,'Trips&amp;Operators'!$C$1:$E$10000,3,FALSE)</f>
        <v>SHOOK</v>
      </c>
      <c r="M106" s="6">
        <f t="shared" si="57"/>
        <v>2.6921296295768116E-2</v>
      </c>
      <c r="N106" s="7">
        <f t="shared" si="58"/>
        <v>38.766666665906087</v>
      </c>
      <c r="O106" s="7"/>
      <c r="P106" s="7"/>
      <c r="Q106" s="25"/>
      <c r="R106" s="25"/>
      <c r="S106" s="37">
        <f t="shared" si="59"/>
        <v>1</v>
      </c>
      <c r="T106" s="52" t="str">
        <f t="shared" si="52"/>
        <v>Southbound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15:03:23-0600',mode:absolute,to:'2016-09-10 17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06" s="54" t="str">
        <f t="shared" si="61"/>
        <v>N</v>
      </c>
      <c r="X106" s="172">
        <f t="shared" si="67"/>
        <v>1</v>
      </c>
      <c r="Y106" s="69">
        <f t="shared" si="68"/>
        <v>23.305900000000001</v>
      </c>
      <c r="Z106" s="69">
        <f t="shared" si="62"/>
        <v>1.4999999999999999E-2</v>
      </c>
      <c r="AA106" s="69">
        <f t="shared" si="63"/>
        <v>23.290900000000001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55"/>
        <v>0194-10</v>
      </c>
      <c r="AE106" s="99" t="str">
        <f t="shared" si="64"/>
        <v>aws s3 cp s3://rtdc.mdm.uploadarchive/RTDC4039/2016-09-10/ "%USERPROFILE%\AppData\Local\Temp\OnboardLogs"\RTDC4039\2016-09-10 --recursive &amp; "%USERPROFILE%\Documents\GitHub\mrs-test-scripts\Headless Mode &amp; Sideloading\WalkAndUnGZ.bat" "%USERPROFILE%\AppData\Local\Temp\OnboardLogs"\RTDC4039\2016-09-10 &amp; 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</v>
      </c>
      <c r="AF106" s="96" t="str">
        <f t="shared" si="65"/>
        <v>"C:\Program Files (x86)\AstroGrep\AstroGrep.exe" /spath="%USERPROFILE%\AppData\Local\Temp\OnboardLogs" /stypes="*4039*20160910*" /stext=" 22:.+((SYSTEM_STATE.+slice.+state.+changed )|(ment ac)|(system.+state.+changed )|(\|lc)|(penalty)|(\[timeout)|(PRM\|1\|D)|(kpr)|(kdp))" /e /r /s</v>
      </c>
      <c r="AG106" s="1" t="str">
        <f t="shared" si="66"/>
        <v>EC</v>
      </c>
      <c r="AH106" s="100" t="str">
        <f t="shared" si="53"/>
        <v>"%USERPROFILE%\Documents\GitHub\eaglep3\Utilities\RefineRTDCRunTimes.py" --tripid 194-10 --locoid 4039 --swversion DE.1.0.7.0 --startMP 204:233059 --initTime 2016-09-10T16:03:23 --startdatetime 2016-09-10T16:11:21 --delay 1 --endMP 204:150 --enddatetime 2016-09-10T16:50:07 --enforcementcount 0 &gt;&gt;C:\Users\stu\Documents\GitHub\eaglep3-reporting\EC\2016-09-10-refined-times.txt</v>
      </c>
      <c r="AI106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{"issue":{"subject":"","project_id":79,"tracker_id":40,"status_id":1,"priority_id":2,"assigned_to_id":23,"start_date":"2016-09-10","description":"","custom_fields":[{"id":1,"name":"Subdivision","value":"EC"},{"id":4,"name":"Milepost","value":"23.2909"},{"id":17,"name":"Train ID","value":"194-10"},{"id":16,"name":"Locomotive ID","value":"4039"},{"id":130,"name":"Impact","value":""},{"id":150,"name":"Time of Event (Mountain Time)","value":"16:50:07"},{"id":151,"name":"Denver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613</v>
      </c>
      <c r="B107" s="7">
        <v>4038</v>
      </c>
      <c r="C107" s="24" t="s">
        <v>108</v>
      </c>
      <c r="D107" s="24" t="s">
        <v>268</v>
      </c>
      <c r="E107" s="15">
        <v>42623.642002314817</v>
      </c>
      <c r="F107" s="15">
        <v>42623.646041666667</v>
      </c>
      <c r="G107" s="7">
        <v>1</v>
      </c>
      <c r="H107" s="15" t="s">
        <v>614</v>
      </c>
      <c r="I107" s="15">
        <v>42623.670104166667</v>
      </c>
      <c r="J107" s="7">
        <v>0</v>
      </c>
      <c r="K107" s="122" t="str">
        <f t="shared" si="56"/>
        <v>4037/4038</v>
      </c>
      <c r="L107" s="24" t="str">
        <f>VLOOKUP(A107,'Trips&amp;Operators'!$C$1:$E$10000,3,FALSE)</f>
        <v>BRUDER</v>
      </c>
      <c r="M107" s="6">
        <f t="shared" si="57"/>
        <v>2.4062500000582077E-2</v>
      </c>
      <c r="N107" s="7">
        <f t="shared" si="58"/>
        <v>34.65000000083819</v>
      </c>
      <c r="O107" s="7"/>
      <c r="P107" s="7"/>
      <c r="Q107" s="25"/>
      <c r="R107" s="25"/>
      <c r="S107" s="37">
        <f t="shared" si="59"/>
        <v>1</v>
      </c>
      <c r="T107" s="52" t="str">
        <f t="shared" si="52"/>
        <v>NorthBound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14:24:29-0600',mode:absolute,to:'2016-09-10 17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07" s="54" t="str">
        <f t="shared" si="61"/>
        <v>N</v>
      </c>
      <c r="X107" s="172">
        <f t="shared" si="67"/>
        <v>1</v>
      </c>
      <c r="Y107" s="69">
        <f t="shared" si="68"/>
        <v>4.5100000000000001E-2</v>
      </c>
      <c r="Z107" s="69">
        <f t="shared" si="62"/>
        <v>23.3307</v>
      </c>
      <c r="AA107" s="69">
        <f t="shared" si="63"/>
        <v>23.285599999999999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55"/>
        <v>0195-10</v>
      </c>
      <c r="AE107" s="99" t="str">
        <f t="shared" si="64"/>
        <v>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 &amp; aws s3 cp s3://rtdc.mdm.uploadarchive/RTDC4038/2016-09-11/ "%USERPROFILE%\AppData\Local\Temp\OnboardLogs"\RTDC4038\2016-09-11 --recursive &amp; "%USERPROFILE%\Documents\GitHub\mrs-test-scripts\Headless Mode &amp; Sideloading\WalkAndUnGZ.bat" "%USERPROFILE%\AppData\Local\Temp\OnboardLogs"\RTDC4038\2016-09-11</v>
      </c>
      <c r="AF107" s="96" t="str">
        <f t="shared" si="65"/>
        <v>"C:\Program Files (x86)\AstroGrep\AstroGrep.exe" /spath="%USERPROFILE%\AppData\Local\Temp\OnboardLogs" /stypes="*4038*20160910*" /stext=" 22:.+((SYSTEM_STATE.+slice.+state.+changed )|(ment ac)|(system.+state.+changed )|(\|lc)|(penalty)|(\[timeout)|(PRM\|1\|D)|(kpr)|(kdp))" /e /r /s</v>
      </c>
      <c r="AG107" s="1" t="str">
        <f t="shared" si="66"/>
        <v>EC</v>
      </c>
      <c r="AH107" s="100" t="str">
        <f t="shared" si="53"/>
        <v>"%USERPROFILE%\Documents\GitHub\eaglep3\Utilities\RefineRTDCRunTimes.py" --tripid 195-10 --locoid 4038 --swversion DE.1.0.7.0 --startMP 204:451 --initTime 2016-09-10T15:24:29 --startdatetime 2016-09-10T15:30:18 --delay 1 --endMP 204:233307 --enddatetime 2016-09-10T16:04:57 --enforcementcount 0 &gt;&gt;C:\Users\stu\Documents\GitHub\eaglep3-reporting\EC\2016-09-10-refined-times.txt</v>
      </c>
      <c r="AI107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{"issue":{"subject":"","project_id":79,"tracker_id":40,"status_id":1,"priority_id":2,"assigned_to_id":23,"start_date":"2016-09-10","description":"","custom_fields":[{"id":1,"name":"Subdivision","value":"EC"},{"id":4,"name":"Milepost","value":"23.2856"},{"id":17,"name":"Train ID","value":"195-10"},{"id":16,"name":"Locomotive ID","value":"4038"},{"id":130,"name":"Impact","value":""},{"id":150,"name":"Time of Event (Mountain Time)","value":"16:04:57"},{"id":151,"name":"Denver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615</v>
      </c>
      <c r="B108" s="7">
        <v>4037</v>
      </c>
      <c r="C108" s="24" t="s">
        <v>108</v>
      </c>
      <c r="D108" s="24" t="s">
        <v>338</v>
      </c>
      <c r="E108" s="15">
        <v>42623.679259259261</v>
      </c>
      <c r="F108" s="15">
        <v>42623.684918981482</v>
      </c>
      <c r="G108" s="7">
        <v>1</v>
      </c>
      <c r="H108" s="15" t="s">
        <v>235</v>
      </c>
      <c r="I108" s="15">
        <v>42623.711064814815</v>
      </c>
      <c r="J108" s="7">
        <v>0</v>
      </c>
      <c r="K108" s="122" t="str">
        <f t="shared" si="56"/>
        <v>4037/4038</v>
      </c>
      <c r="L108" s="24" t="str">
        <f>VLOOKUP(A108,'Trips&amp;Operators'!$C$1:$E$10000,3,FALSE)</f>
        <v>BRUDER</v>
      </c>
      <c r="M108" s="6">
        <f t="shared" si="57"/>
        <v>2.6145833333430346E-2</v>
      </c>
      <c r="N108" s="7">
        <f t="shared" si="58"/>
        <v>37.650000000139698</v>
      </c>
      <c r="O108" s="7"/>
      <c r="P108" s="7"/>
      <c r="Q108" s="25"/>
      <c r="R108" s="25"/>
      <c r="S108" s="37">
        <f t="shared" si="59"/>
        <v>1</v>
      </c>
      <c r="T108" s="52" t="str">
        <f t="shared" si="52"/>
        <v>Southbound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15:18:08-0600',mode:absolute,to:'2016-09-10 18:03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08" s="54" t="str">
        <f t="shared" si="61"/>
        <v>N</v>
      </c>
      <c r="X108" s="172">
        <f t="shared" si="67"/>
        <v>1</v>
      </c>
      <c r="Y108" s="69">
        <f t="shared" si="68"/>
        <v>23.297799999999999</v>
      </c>
      <c r="Z108" s="69">
        <f t="shared" si="62"/>
        <v>1.49E-2</v>
      </c>
      <c r="AA108" s="69">
        <f t="shared" si="63"/>
        <v>23.282899999999998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55"/>
        <v>0196-10</v>
      </c>
      <c r="AE108" s="99" t="str">
        <f t="shared" si="64"/>
        <v>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 &amp; aws s3 cp s3://rtdc.mdm.uploadarchive/RTDC4037/2016-09-11/ "%USERPROFILE%\AppData\Local\Temp\OnboardLogs"\RTDC4037\2016-09-11 --recursive &amp; "%USERPROFILE%\Documents\GitHub\mrs-test-scripts\Headless Mode &amp; Sideloading\WalkAndUnGZ.bat" "%USERPROFILE%\AppData\Local\Temp\OnboardLogs"\RTDC4037\2016-09-11</v>
      </c>
      <c r="AF108" s="96" t="str">
        <f t="shared" si="65"/>
        <v>"C:\Program Files (x86)\AstroGrep\AstroGrep.exe" /spath="%USERPROFILE%\AppData\Local\Temp\OnboardLogs" /stypes="*4037*20160910*" /stext=" 23:.+((SYSTEM_STATE.+slice.+state.+changed )|(ment ac)|(system.+state.+changed )|(\|lc)|(penalty)|(\[timeout)|(PRM\|1\|D)|(kpr)|(kdp))" /e /r /s</v>
      </c>
      <c r="AG108" s="1" t="str">
        <f t="shared" si="66"/>
        <v>EC</v>
      </c>
      <c r="AH108" s="100" t="str">
        <f t="shared" si="53"/>
        <v>"%USERPROFILE%\Documents\GitHub\eaglep3\Utilities\RefineRTDCRunTimes.py" --tripid 196-10 --locoid 4037 --swversion DE.1.0.7.0 --startMP 204:232978 --initTime 2016-09-10T16:18:08 --startdatetime 2016-09-10T16:26:17 --delay 1 --endMP 204:149 --enddatetime 2016-09-10T17:03:56 --enforcementcount 0 &gt;&gt;C:\Users\stu\Documents\GitHub\eaglep3-reporting\EC\2016-09-10-refined-times.txt</v>
      </c>
      <c r="AI108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{"issue":{"subject":"","project_id":79,"tracker_id":40,"status_id":1,"priority_id":2,"assigned_to_id":23,"start_date":"2016-09-10","description":"","custom_fields":[{"id":1,"name":"Subdivision","value":"EC"},{"id":4,"name":"Milepost","value":"23.2829"},{"id":17,"name":"Train ID","value":"196-10"},{"id":16,"name":"Locomotive ID","value":"4037"},{"id":130,"name":"Impact","value":""},{"id":150,"name":"Time of Event (Mountain Time)","value":"17:03:56"},{"id":151,"name":"Denver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616</v>
      </c>
      <c r="B109" s="7">
        <v>4009</v>
      </c>
      <c r="C109" s="24" t="s">
        <v>108</v>
      </c>
      <c r="D109" s="24" t="s">
        <v>617</v>
      </c>
      <c r="E109" s="15">
        <v>42623.653090277781</v>
      </c>
      <c r="F109" s="15">
        <v>42623.656423611108</v>
      </c>
      <c r="G109" s="7">
        <v>1</v>
      </c>
      <c r="H109" s="15" t="s">
        <v>284</v>
      </c>
      <c r="I109" s="15">
        <v>42623.682164351849</v>
      </c>
      <c r="J109" s="7">
        <v>0</v>
      </c>
      <c r="K109" s="122" t="str">
        <f t="shared" si="56"/>
        <v>4009/4010</v>
      </c>
      <c r="L109" s="24" t="str">
        <f>VLOOKUP(A109,'Trips&amp;Operators'!$C$1:$E$10000,3,FALSE)</f>
        <v>CLARK</v>
      </c>
      <c r="M109" s="6">
        <f t="shared" si="57"/>
        <v>2.5740740740729962E-2</v>
      </c>
      <c r="N109" s="7">
        <f t="shared" si="58"/>
        <v>37.066666666651145</v>
      </c>
      <c r="O109" s="7"/>
      <c r="P109" s="7"/>
      <c r="Q109" s="25"/>
      <c r="R109" s="25"/>
      <c r="S109" s="37">
        <f t="shared" si="59"/>
        <v>1</v>
      </c>
      <c r="T109" s="52" t="str">
        <f t="shared" si="52"/>
        <v>NorthBound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14:40:27-0600',mode:absolute,to:'2016-09-10 17:22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09" s="54" t="str">
        <f t="shared" si="61"/>
        <v>N</v>
      </c>
      <c r="X109" s="172">
        <f t="shared" si="67"/>
        <v>1</v>
      </c>
      <c r="Y109" s="69">
        <f t="shared" si="68"/>
        <v>5.3900000000000003E-2</v>
      </c>
      <c r="Z109" s="69">
        <f t="shared" si="62"/>
        <v>23.331</v>
      </c>
      <c r="AA109" s="69">
        <f t="shared" si="63"/>
        <v>23.277100000000001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55"/>
        <v>0197-10</v>
      </c>
      <c r="AE109" s="99" t="str">
        <f t="shared" si="64"/>
        <v>aws s3 cp s3://rtdc.mdm.uploadarchive/RTDC4009/2016-09-10/ "%USERPROFILE%\AppData\Local\Temp\OnboardLogs"\RTDC4009\2016-09-10 --recursive &amp; "%USERPROFILE%\Documents\GitHub\mrs-test-scripts\Headless Mode &amp; Sideloading\WalkAndUnGZ.bat" "%USERPROFILE%\AppData\Local\Temp\OnboardLogs"\RTDC4009\2016-09-10 &amp; aws s3 cp s3://rtdc.mdm.uploadarchive/RTDC4009/2016-09-11/ "%USERPROFILE%\AppData\Local\Temp\OnboardLogs"\RTDC4009\2016-09-11 --recursive &amp; "%USERPROFILE%\Documents\GitHub\mrs-test-scripts\Headless Mode &amp; Sideloading\WalkAndUnGZ.bat" "%USERPROFILE%\AppData\Local\Temp\OnboardLogs"\RTDC4009\2016-09-11</v>
      </c>
      <c r="AF109" s="96" t="str">
        <f t="shared" si="65"/>
        <v>"C:\Program Files (x86)\AstroGrep\AstroGrep.exe" /spath="%USERPROFILE%\AppData\Local\Temp\OnboardLogs" /stypes="*4009*20160910*" /stext=" 22:.+((SYSTEM_STATE.+slice.+state.+changed )|(ment ac)|(system.+state.+changed )|(\|lc)|(penalty)|(\[timeout)|(PRM\|1\|D)|(kpr)|(kdp))" /e /r /s</v>
      </c>
      <c r="AG109" s="1" t="str">
        <f t="shared" si="66"/>
        <v>EC</v>
      </c>
      <c r="AH109" s="100" t="str">
        <f t="shared" si="53"/>
        <v>"%USERPROFILE%\Documents\GitHub\eaglep3\Utilities\RefineRTDCRunTimes.py" --tripid 197-10 --locoid 4009 --swversion DE.1.0.7.0 --startMP 204:539 --initTime 2016-09-10T15:40:27 --startdatetime 2016-09-10T15:45:15 --delay 1 --endMP 204:233310 --enddatetime 2016-09-10T16:22:19 --enforcementcount 0 &gt;&gt;C:\Users\stu\Documents\GitHub\eaglep3-reporting\EC\2016-09-10-refined-times.txt</v>
      </c>
      <c r="AI109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{"issue":{"subject":"","project_id":79,"tracker_id":40,"status_id":1,"priority_id":2,"assigned_to_id":23,"start_date":"2016-09-10","description":"","custom_fields":[{"id":1,"name":"Subdivision","value":"EC"},{"id":4,"name":"Milepost","value":"23.2771"},{"id":17,"name":"Train ID","value":"197-10"},{"id":16,"name":"Locomotive ID","value":"4009"},{"id":130,"name":"Impact","value":""},{"id":150,"name":"Time of Event (Mountain Time)","value":"16:22:19"},{"id":151,"name":"Denver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618</v>
      </c>
      <c r="B110" s="7">
        <v>4010</v>
      </c>
      <c r="C110" s="24" t="s">
        <v>108</v>
      </c>
      <c r="D110" s="24" t="s">
        <v>289</v>
      </c>
      <c r="E110" s="15">
        <v>42623.690497685187</v>
      </c>
      <c r="F110" s="15">
        <v>42623.695347222223</v>
      </c>
      <c r="G110" s="7">
        <v>1</v>
      </c>
      <c r="H110" s="15" t="s">
        <v>349</v>
      </c>
      <c r="I110" s="15">
        <v>42623.72388888889</v>
      </c>
      <c r="J110" s="7">
        <v>0</v>
      </c>
      <c r="K110" s="122" t="str">
        <f t="shared" si="56"/>
        <v>4009/4010</v>
      </c>
      <c r="L110" s="24" t="str">
        <f>VLOOKUP(A110,'Trips&amp;Operators'!$C$1:$E$10000,3,FALSE)</f>
        <v>CLARK</v>
      </c>
      <c r="M110" s="6">
        <f t="shared" si="57"/>
        <v>2.8541666666569654E-2</v>
      </c>
      <c r="N110" s="7">
        <f t="shared" si="58"/>
        <v>41.099999999860302</v>
      </c>
      <c r="O110" s="7"/>
      <c r="P110" s="7"/>
      <c r="Q110" s="25"/>
      <c r="R110" s="25"/>
      <c r="S110" s="37">
        <f t="shared" si="59"/>
        <v>1</v>
      </c>
      <c r="T110" s="52" t="str">
        <f t="shared" si="52"/>
        <v>Southbound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15:34:19-0600',mode:absolute,to:'2016-09-10 18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10" s="54" t="str">
        <f t="shared" si="61"/>
        <v>N</v>
      </c>
      <c r="X110" s="172">
        <f t="shared" si="67"/>
        <v>1</v>
      </c>
      <c r="Y110" s="69">
        <f t="shared" si="68"/>
        <v>23.2987</v>
      </c>
      <c r="Z110" s="69">
        <f t="shared" si="62"/>
        <v>1.21E-2</v>
      </c>
      <c r="AA110" s="69">
        <f t="shared" si="63"/>
        <v>23.2866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55"/>
        <v>0198-10</v>
      </c>
      <c r="AE110" s="99" t="str">
        <f t="shared" si="64"/>
        <v>aws s3 cp s3://rtdc.mdm.uploadarchive/RTDC4010/2016-09-10/ "%USERPROFILE%\AppData\Local\Temp\OnboardLogs"\RTDC4010\2016-09-10 --recursive &amp; "%USERPROFILE%\Documents\GitHub\mrs-test-scripts\Headless Mode &amp; Sideloading\WalkAndUnGZ.bat" "%USERPROFILE%\AppData\Local\Temp\OnboardLogs"\RTDC4010\2016-09-10 &amp; 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</v>
      </c>
      <c r="AF110" s="96" t="str">
        <f t="shared" si="65"/>
        <v>"C:\Program Files (x86)\AstroGrep\AstroGrep.exe" /spath="%USERPROFILE%\AppData\Local\Temp\OnboardLogs" /stypes="*4010*20160910*" /stext=" 23:.+((SYSTEM_STATE.+slice.+state.+changed )|(ment ac)|(system.+state.+changed )|(\|lc)|(penalty)|(\[timeout)|(PRM\|1\|D)|(kpr)|(kdp))" /e /r /s</v>
      </c>
      <c r="AG110" s="1" t="str">
        <f t="shared" si="66"/>
        <v>EC</v>
      </c>
      <c r="AH110" s="100" t="str">
        <f t="shared" si="53"/>
        <v>"%USERPROFILE%\Documents\GitHub\eaglep3\Utilities\RefineRTDCRunTimes.py" --tripid 198-10 --locoid 4010 --swversion DE.1.0.7.0 --startMP 204:232987 --initTime 2016-09-10T16:34:19 --startdatetime 2016-09-10T16:41:18 --delay 1 --endMP 204:121 --enddatetime 2016-09-10T17:22:24 --enforcementcount 0 &gt;&gt;C:\Users\stu\Documents\GitHub\eaglep3-reporting\EC\2016-09-10-refined-times.txt</v>
      </c>
      <c r="AI110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{"issue":{"subject":"","project_id":79,"tracker_id":40,"status_id":1,"priority_id":2,"assigned_to_id":23,"start_date":"2016-09-10","description":"","custom_fields":[{"id":1,"name":"Subdivision","value":"EC"},{"id":4,"name":"Milepost","value":"23.2866"},{"id":17,"name":"Train ID","value":"198-10"},{"id":16,"name":"Locomotive ID","value":"4010"},{"id":130,"name":"Impact","value":""},{"id":150,"name":"Time of Event (Mountain Time)","value":"17:22:24"},{"id":151,"name":"Denver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619</v>
      </c>
      <c r="B111" s="7">
        <v>4011</v>
      </c>
      <c r="C111" s="24" t="s">
        <v>108</v>
      </c>
      <c r="D111" s="24" t="s">
        <v>521</v>
      </c>
      <c r="E111" s="15">
        <v>42623.662268518521</v>
      </c>
      <c r="F111" s="15">
        <v>42623.666921296295</v>
      </c>
      <c r="G111" s="7">
        <v>1</v>
      </c>
      <c r="H111" s="15" t="s">
        <v>263</v>
      </c>
      <c r="I111" s="15">
        <v>42623.691828703704</v>
      </c>
      <c r="J111" s="7">
        <v>0</v>
      </c>
      <c r="K111" s="122" t="str">
        <f t="shared" si="56"/>
        <v>4011/4012</v>
      </c>
      <c r="L111" s="24" t="str">
        <f>VLOOKUP(A111,'Trips&amp;Operators'!$C$1:$E$10000,3,FALSE)</f>
        <v>OUN</v>
      </c>
      <c r="M111" s="6">
        <f t="shared" si="57"/>
        <v>2.4907407409045845E-2</v>
      </c>
      <c r="N111" s="7">
        <f t="shared" si="58"/>
        <v>35.866666669026017</v>
      </c>
      <c r="O111" s="7"/>
      <c r="P111" s="7"/>
      <c r="Q111" s="25"/>
      <c r="R111" s="25"/>
      <c r="S111" s="37">
        <f t="shared" si="59"/>
        <v>1</v>
      </c>
      <c r="T111" s="52" t="str">
        <f t="shared" si="52"/>
        <v>NorthBound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14:53:40-0600',mode:absolute,to:'2016-09-10 17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11" s="54" t="str">
        <f t="shared" si="61"/>
        <v>N</v>
      </c>
      <c r="X111" s="172">
        <f t="shared" si="67"/>
        <v>1</v>
      </c>
      <c r="Y111" s="69">
        <f t="shared" si="68"/>
        <v>4.4400000000000002E-2</v>
      </c>
      <c r="Z111" s="69">
        <f t="shared" si="62"/>
        <v>23.329699999999999</v>
      </c>
      <c r="AA111" s="69">
        <f t="shared" si="63"/>
        <v>23.285299999999999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55"/>
        <v>0199-10</v>
      </c>
      <c r="AE111" s="99" t="str">
        <f t="shared" si="64"/>
        <v>aws s3 cp s3://rtdc.mdm.uploadarchive/RTDC4011/2016-09-10/ "%USERPROFILE%\AppData\Local\Temp\OnboardLogs"\RTDC4011\2016-09-10 --recursive &amp; "%USERPROFILE%\Documents\GitHub\mrs-test-scripts\Headless Mode &amp; Sideloading\WalkAndUnGZ.bat" "%USERPROFILE%\AppData\Local\Temp\OnboardLogs"\RTDC4011\2016-09-10 &amp; aws s3 cp s3://rtdc.mdm.uploadarchive/RTDC4011/2016-09-11/ "%USERPROFILE%\AppData\Local\Temp\OnboardLogs"\RTDC4011\2016-09-11 --recursive &amp; "%USERPROFILE%\Documents\GitHub\mrs-test-scripts\Headless Mode &amp; Sideloading\WalkAndUnGZ.bat" "%USERPROFILE%\AppData\Local\Temp\OnboardLogs"\RTDC4011\2016-09-11</v>
      </c>
      <c r="AF111" s="96" t="str">
        <f t="shared" si="65"/>
        <v>"C:\Program Files (x86)\AstroGrep\AstroGrep.exe" /spath="%USERPROFILE%\AppData\Local\Temp\OnboardLogs" /stypes="*4011*20160910*" /stext=" 22:.+((SYSTEM_STATE.+slice.+state.+changed )|(ment ac)|(system.+state.+changed )|(\|lc)|(penalty)|(\[timeout)|(PRM\|1\|D)|(kpr)|(kdp))" /e /r /s</v>
      </c>
      <c r="AG111" s="1" t="str">
        <f t="shared" si="66"/>
        <v>EC</v>
      </c>
      <c r="AH111" s="100" t="str">
        <f t="shared" si="53"/>
        <v>"%USERPROFILE%\Documents\GitHub\eaglep3\Utilities\RefineRTDCRunTimes.py" --tripid 199-10 --locoid 4011 --swversion DE.1.0.7.0 --startMP 204:444 --initTime 2016-09-10T15:53:40 --startdatetime 2016-09-10T16:00:22 --delay 1 --endMP 204:233297 --enddatetime 2016-09-10T16:36:14 --enforcementcount 0 &gt;&gt;C:\Users\stu\Documents\GitHub\eaglep3-reporting\EC\2016-09-10-refined-times.txt</v>
      </c>
      <c r="AI111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{"issue":{"subject":"","project_id":79,"tracker_id":40,"status_id":1,"priority_id":2,"assigned_to_id":23,"start_date":"2016-09-10","description":"","custom_fields":[{"id":1,"name":"Subdivision","value":"EC"},{"id":4,"name":"Milepost","value":"23.2853"},{"id":17,"name":"Train ID","value":"199-10"},{"id":16,"name":"Locomotive ID","value":"4011"},{"id":130,"name":"Impact","value":""},{"id":150,"name":"Time of Event (Mountain Time)","value":"16:36:14"},{"id":151,"name":"Denver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x14ac:dyDescent="0.25">
      <c r="A112" s="39" t="s">
        <v>620</v>
      </c>
      <c r="B112" s="7">
        <v>4012</v>
      </c>
      <c r="C112" s="24" t="s">
        <v>108</v>
      </c>
      <c r="D112" s="24" t="s">
        <v>258</v>
      </c>
      <c r="E112" s="15">
        <v>42623.699780092589</v>
      </c>
      <c r="F112" s="15">
        <v>42623.705821759257</v>
      </c>
      <c r="G112" s="7">
        <v>1</v>
      </c>
      <c r="H112" s="15" t="s">
        <v>250</v>
      </c>
      <c r="I112" s="15">
        <v>42623.733067129629</v>
      </c>
      <c r="J112" s="7">
        <v>0</v>
      </c>
      <c r="K112" s="122" t="str">
        <f t="shared" si="56"/>
        <v>4011/4012</v>
      </c>
      <c r="L112" s="24" t="str">
        <f>VLOOKUP(A112,'Trips&amp;Operators'!$C$1:$E$10000,3,FALSE)</f>
        <v>OUN</v>
      </c>
      <c r="M112" s="6">
        <f t="shared" si="57"/>
        <v>2.7245370372838806E-2</v>
      </c>
      <c r="N112" s="7">
        <f t="shared" si="58"/>
        <v>39.233333336887881</v>
      </c>
      <c r="O112" s="7"/>
      <c r="P112" s="7"/>
      <c r="Q112" s="25"/>
      <c r="R112" s="25"/>
      <c r="S112" s="37">
        <f t="shared" si="59"/>
        <v>1</v>
      </c>
      <c r="T112" s="52" t="str">
        <f t="shared" si="52"/>
        <v>Southbound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15:47:41-0600',mode:absolute,to:'2016-09-10 18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12" s="54" t="str">
        <f t="shared" si="61"/>
        <v>N</v>
      </c>
      <c r="X112" s="172">
        <f t="shared" si="67"/>
        <v>1</v>
      </c>
      <c r="Y112" s="69">
        <f t="shared" si="68"/>
        <v>23.299600000000002</v>
      </c>
      <c r="Z112" s="69">
        <f t="shared" si="62"/>
        <v>1.4999999999999999E-2</v>
      </c>
      <c r="AA112" s="69">
        <f t="shared" si="63"/>
        <v>23.284600000000001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55"/>
        <v>0200-10</v>
      </c>
      <c r="AE112" s="99" t="str">
        <f t="shared" si="64"/>
        <v>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 &amp; aws s3 cp s3://rtdc.mdm.uploadarchive/RTDC4012/2016-09-11/ "%USERPROFILE%\AppData\Local\Temp\OnboardLogs"\RTDC4012\2016-09-11 --recursive &amp; "%USERPROFILE%\Documents\GitHub\mrs-test-scripts\Headless Mode &amp; Sideloading\WalkAndUnGZ.bat" "%USERPROFILE%\AppData\Local\Temp\OnboardLogs"\RTDC4012\2016-09-11</v>
      </c>
      <c r="AF112" s="96" t="str">
        <f t="shared" si="65"/>
        <v>"C:\Program Files (x86)\AstroGrep\AstroGrep.exe" /spath="%USERPROFILE%\AppData\Local\Temp\OnboardLogs" /stypes="*4012*20160910*" /stext=" 23:.+((SYSTEM_STATE.+slice.+state.+changed )|(ment ac)|(system.+state.+changed )|(\|lc)|(penalty)|(\[timeout)|(PRM\|1\|D)|(kpr)|(kdp))" /e /r /s</v>
      </c>
      <c r="AG112" s="1" t="str">
        <f t="shared" si="66"/>
        <v>EC</v>
      </c>
      <c r="AH112" s="100" t="str">
        <f t="shared" si="53"/>
        <v>"%USERPROFILE%\Documents\GitHub\eaglep3\Utilities\RefineRTDCRunTimes.py" --tripid 200-10 --locoid 4012 --swversion DE.1.0.7.0 --startMP 204:232996 --initTime 2016-09-10T16:47:41 --startdatetime 2016-09-10T16:56:23 --delay 1 --endMP 204:150 --enddatetime 2016-09-10T17:35:37 --enforcementcount 0 &gt;&gt;C:\Users\stu\Documents\GitHub\eaglep3-reporting\EC\2016-09-10-refined-times.txt</v>
      </c>
      <c r="AI112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{"issue":{"subject":"","project_id":79,"tracker_id":40,"status_id":1,"priority_id":2,"assigned_to_id":23,"start_date":"2016-09-10","description":"","custom_fields":[{"id":1,"name":"Subdivision","value":"EC"},{"id":4,"name":"Milepost","value":"23.2846"},{"id":17,"name":"Train ID","value":"200-10"},{"id":16,"name":"Locomotive ID","value":"4012"},{"id":130,"name":"Impact","value":""},{"id":150,"name":"Time of Event (Mountain Time)","value":"17:35:37"},{"id":151,"name":"Denver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621</v>
      </c>
      <c r="B113" s="7">
        <v>4002</v>
      </c>
      <c r="C113" s="24" t="s">
        <v>108</v>
      </c>
      <c r="D113" s="24" t="s">
        <v>295</v>
      </c>
      <c r="E113" s="15">
        <v>42623.672905092593</v>
      </c>
      <c r="F113" s="15">
        <v>42623.677488425928</v>
      </c>
      <c r="G113" s="7">
        <v>1</v>
      </c>
      <c r="H113" s="15" t="s">
        <v>294</v>
      </c>
      <c r="I113" s="15">
        <v>42623.7028125</v>
      </c>
      <c r="J113" s="7">
        <v>0</v>
      </c>
      <c r="K113" s="122" t="str">
        <f t="shared" si="56"/>
        <v>4001/4002</v>
      </c>
      <c r="L113" s="24" t="str">
        <f>VLOOKUP(A113,'Trips&amp;Operators'!$C$1:$E$10000,3,FALSE)</f>
        <v>STEWART</v>
      </c>
      <c r="M113" s="6">
        <f t="shared" si="57"/>
        <v>2.5324074071249925E-2</v>
      </c>
      <c r="N113" s="7">
        <f t="shared" si="58"/>
        <v>36.466666662599891</v>
      </c>
      <c r="O113" s="7"/>
      <c r="P113" s="7"/>
      <c r="Q113" s="25"/>
      <c r="R113" s="25"/>
      <c r="S113" s="37">
        <f t="shared" si="59"/>
        <v>1</v>
      </c>
      <c r="T113" s="52" t="str">
        <f t="shared" si="52"/>
        <v>NorthBound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15:08:59-0600',mode:absolute,to:'2016-09-10 17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13" s="54" t="str">
        <f t="shared" si="61"/>
        <v>N</v>
      </c>
      <c r="X113" s="172">
        <f t="shared" si="67"/>
        <v>1</v>
      </c>
      <c r="Y113" s="69">
        <f t="shared" si="68"/>
        <v>4.6399999999999997E-2</v>
      </c>
      <c r="Z113" s="69">
        <f t="shared" si="62"/>
        <v>23.331700000000001</v>
      </c>
      <c r="AA113" s="69">
        <f t="shared" si="63"/>
        <v>23.285300000000003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55"/>
        <v>0201-10</v>
      </c>
      <c r="AE113" s="99" t="str">
        <f t="shared" si="64"/>
        <v>aws s3 cp s3://rtdc.mdm.uploadarchive/RTDC4002/2016-09-10/ "%USERPROFILE%\AppData\Local\Temp\OnboardLogs"\RTDC4002\2016-09-10 --recursive &amp; "%USERPROFILE%\Documents\GitHub\mrs-test-scripts\Headless Mode &amp; Sideloading\WalkAndUnGZ.bat" "%USERPROFILE%\AppData\Local\Temp\OnboardLogs"\RTDC4002\2016-09-10 &amp; 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</v>
      </c>
      <c r="AF113" s="96" t="str">
        <f t="shared" si="65"/>
        <v>"C:\Program Files (x86)\AstroGrep\AstroGrep.exe" /spath="%USERPROFILE%\AppData\Local\Temp\OnboardLogs" /stypes="*4002*20160910*" /stext=" 22:.+((SYSTEM_STATE.+slice.+state.+changed )|(ment ac)|(system.+state.+changed )|(\|lc)|(penalty)|(\[timeout)|(PRM\|1\|D)|(kpr)|(kdp))" /e /r /s</v>
      </c>
      <c r="AG113" s="1" t="str">
        <f t="shared" si="66"/>
        <v>EC</v>
      </c>
      <c r="AH113" s="100" t="str">
        <f t="shared" si="53"/>
        <v>"%USERPROFILE%\Documents\GitHub\eaglep3\Utilities\RefineRTDCRunTimes.py" --tripid 201-10 --locoid 4002 --swversion DE.1.0.7.0 --startMP 204:464 --initTime 2016-09-10T16:08:59 --startdatetime 2016-09-10T16:15:35 --delay 1 --endMP 204:233317 --enddatetime 2016-09-10T16:52:03 --enforcementcount 0 &gt;&gt;C:\Users\stu\Documents\GitHub\eaglep3-reporting\EC\2016-09-10-refined-times.txt</v>
      </c>
      <c r="AI113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{"issue":{"subject":"","project_id":79,"tracker_id":40,"status_id":1,"priority_id":2,"assigned_to_id":23,"start_date":"2016-09-10","description":"","custom_fields":[{"id":1,"name":"Subdivision","value":"EC"},{"id":4,"name":"Milepost","value":"23.2853"},{"id":17,"name":"Train ID","value":"201-10"},{"id":16,"name":"Locomotive ID","value":"4002"},{"id":130,"name":"Impact","value":""},{"id":150,"name":"Time of Event (Mountain Time)","value":"16:52:03"},{"id":151,"name":"Denver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622</v>
      </c>
      <c r="B114" s="7">
        <v>4001</v>
      </c>
      <c r="C114" s="24" t="s">
        <v>108</v>
      </c>
      <c r="D114" s="24" t="s">
        <v>514</v>
      </c>
      <c r="E114" s="15">
        <v>42623.714398148149</v>
      </c>
      <c r="F114" s="15">
        <v>42623.716736111113</v>
      </c>
      <c r="G114" s="7">
        <v>1</v>
      </c>
      <c r="H114" s="15" t="s">
        <v>623</v>
      </c>
      <c r="I114" s="15">
        <v>42623.742534722223</v>
      </c>
      <c r="J114" s="7">
        <v>0</v>
      </c>
      <c r="K114" s="122" t="str">
        <f t="shared" si="56"/>
        <v>4001/4002</v>
      </c>
      <c r="L114" s="24" t="str">
        <f>VLOOKUP(A114,'Trips&amp;Operators'!$C$1:$E$10000,3,FALSE)</f>
        <v>STEWART</v>
      </c>
      <c r="M114" s="6">
        <f t="shared" si="57"/>
        <v>2.5798611110076308E-2</v>
      </c>
      <c r="N114" s="7">
        <f t="shared" si="58"/>
        <v>37.149999998509884</v>
      </c>
      <c r="O114" s="7"/>
      <c r="P114" s="7"/>
      <c r="Q114" s="25"/>
      <c r="R114" s="25"/>
      <c r="S114" s="37">
        <f t="shared" si="59"/>
        <v>1</v>
      </c>
      <c r="T114" s="52" t="str">
        <f t="shared" si="52"/>
        <v>Southbound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16:08:44-0600',mode:absolute,to:'2016-09-10 18:49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14" s="54" t="str">
        <f t="shared" si="61"/>
        <v>N</v>
      </c>
      <c r="X114" s="172">
        <f t="shared" si="67"/>
        <v>1</v>
      </c>
      <c r="Y114" s="69">
        <f t="shared" si="68"/>
        <v>23.300999999999998</v>
      </c>
      <c r="Z114" s="69">
        <f t="shared" si="62"/>
        <v>1.72E-2</v>
      </c>
      <c r="AA114" s="69">
        <f t="shared" si="63"/>
        <v>23.283799999999999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55"/>
        <v>0202-10</v>
      </c>
      <c r="AE114" s="99" t="str">
        <f t="shared" si="64"/>
        <v>aws s3 cp s3://rtdc.mdm.uploadarchive/RTDC4001/2016-09-10/ "%USERPROFILE%\AppData\Local\Temp\OnboardLogs"\RTDC4001\2016-09-10 --recursive &amp; "%USERPROFILE%\Documents\GitHub\mrs-test-scripts\Headless Mode &amp; Sideloading\WalkAndUnGZ.bat" "%USERPROFILE%\AppData\Local\Temp\OnboardLogs"\RTDC4001\2016-09-10 &amp; 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</v>
      </c>
      <c r="AF114" s="96" t="str">
        <f t="shared" si="65"/>
        <v>"C:\Program Files (x86)\AstroGrep\AstroGrep.exe" /spath="%USERPROFILE%\AppData\Local\Temp\OnboardLogs" /stypes="*4001*20160910*" /stext=" 23:.+((SYSTEM_STATE.+slice.+state.+changed )|(ment ac)|(system.+state.+changed )|(\|lc)|(penalty)|(\[timeout)|(PRM\|1\|D)|(kpr)|(kdp))" /e /r /s</v>
      </c>
      <c r="AG114" s="1" t="str">
        <f t="shared" si="66"/>
        <v>EC</v>
      </c>
      <c r="AH114" s="100" t="str">
        <f t="shared" si="53"/>
        <v>"%USERPROFILE%\Documents\GitHub\eaglep3\Utilities\RefineRTDCRunTimes.py" --tripid 202-10 --locoid 4001 --swversion DE.1.0.7.0 --startMP 204:233010 --initTime 2016-09-10T17:08:44 --startdatetime 2016-09-10T17:12:06 --delay 1 --endMP 204:172 --enddatetime 2016-09-10T17:49:15 --enforcementcount 0 &gt;&gt;C:\Users\stu\Documents\GitHub\eaglep3-reporting\EC\2016-09-10-refined-times.txt</v>
      </c>
      <c r="AI114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{"issue":{"subject":"","project_id":79,"tracker_id":40,"status_id":1,"priority_id":2,"assigned_to_id":23,"start_date":"2016-09-10","description":"","custom_fields":[{"id":1,"name":"Subdivision","value":"EC"},{"id":4,"name":"Milepost","value":"23.2838"},{"id":17,"name":"Train ID","value":"202-10"},{"id":16,"name":"Locomotive ID","value":"4001"},{"id":130,"name":"Impact","value":""},{"id":150,"name":"Time of Event (Mountain Time)","value":"17:49:15"},{"id":151,"name":"Denver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624</v>
      </c>
      <c r="B115" s="7">
        <v>4046</v>
      </c>
      <c r="C115" s="24" t="s">
        <v>108</v>
      </c>
      <c r="D115" s="24" t="s">
        <v>625</v>
      </c>
      <c r="E115" s="15">
        <v>42623.683240740742</v>
      </c>
      <c r="F115" s="15">
        <v>42623.689432870371</v>
      </c>
      <c r="G115" s="7">
        <v>1</v>
      </c>
      <c r="H115" s="15" t="s">
        <v>626</v>
      </c>
      <c r="I115" s="15">
        <v>42623.71465277778</v>
      </c>
      <c r="J115" s="7">
        <v>0</v>
      </c>
      <c r="K115" s="122" t="str">
        <f t="shared" si="56"/>
        <v>4045/4046</v>
      </c>
      <c r="L115" s="24" t="str">
        <f>VLOOKUP(A115,'Trips&amp;Operators'!$C$1:$E$10000,3,FALSE)</f>
        <v>BARTLETT</v>
      </c>
      <c r="M115" s="6">
        <f t="shared" si="57"/>
        <v>2.5219907409336884E-2</v>
      </c>
      <c r="N115" s="7">
        <f t="shared" si="58"/>
        <v>36.316666669445112</v>
      </c>
      <c r="O115" s="7"/>
      <c r="P115" s="7"/>
      <c r="Q115" s="25"/>
      <c r="R115" s="25"/>
      <c r="S115" s="37">
        <f t="shared" si="59"/>
        <v>1</v>
      </c>
      <c r="T115" s="52" t="str">
        <f t="shared" si="52"/>
        <v>NorthBound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15:23:52-0600',mode:absolute,to:'2016-09-10 18:09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15" s="54" t="str">
        <f t="shared" si="61"/>
        <v>N</v>
      </c>
      <c r="X115" s="172">
        <f t="shared" si="67"/>
        <v>1</v>
      </c>
      <c r="Y115" s="69">
        <f t="shared" si="68"/>
        <v>5.1299999999999998E-2</v>
      </c>
      <c r="Z115" s="69">
        <f t="shared" si="62"/>
        <v>23.337199999999999</v>
      </c>
      <c r="AA115" s="69">
        <f t="shared" si="63"/>
        <v>23.285899999999998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55"/>
        <v>0203-10</v>
      </c>
      <c r="AE115" s="99" t="str">
        <f t="shared" si="64"/>
        <v>aws s3 cp s3://rtdc.mdm.uploadarchive/RTDC4046/2016-09-10/ "%USERPROFILE%\AppData\Local\Temp\OnboardLogs"\RTDC4046\2016-09-10 --recursive &amp; "%USERPROFILE%\Documents\GitHub\mrs-test-scripts\Headless Mode &amp; Sideloading\WalkAndUnGZ.bat" "%USERPROFILE%\AppData\Local\Temp\OnboardLogs"\RTDC4046\2016-09-10 &amp; aws s3 cp s3://rtdc.mdm.uploadarchive/RTDC4046/2016-09-11/ "%USERPROFILE%\AppData\Local\Temp\OnboardLogs"\RTDC4046\2016-09-11 --recursive &amp; "%USERPROFILE%\Documents\GitHub\mrs-test-scripts\Headless Mode &amp; Sideloading\WalkAndUnGZ.bat" "%USERPROFILE%\AppData\Local\Temp\OnboardLogs"\RTDC4046\2016-09-11</v>
      </c>
      <c r="AF115" s="96" t="str">
        <f t="shared" si="65"/>
        <v>"C:\Program Files (x86)\AstroGrep\AstroGrep.exe" /spath="%USERPROFILE%\AppData\Local\Temp\OnboardLogs" /stypes="*4046*20160910*" /stext=" 23:.+((SYSTEM_STATE.+slice.+state.+changed )|(ment ac)|(system.+state.+changed )|(\|lc)|(penalty)|(\[timeout)|(PRM\|1\|D)|(kpr)|(kdp))" /e /r /s</v>
      </c>
      <c r="AG115" s="1" t="str">
        <f t="shared" si="66"/>
        <v>EC</v>
      </c>
      <c r="AH115" s="100" t="str">
        <f t="shared" si="53"/>
        <v>"%USERPROFILE%\Documents\GitHub\eaglep3\Utilities\RefineRTDCRunTimes.py" --tripid 203-10 --locoid 4046 --swversion DE.1.0.7.0 --startMP 204:513 --initTime 2016-09-10T16:23:52 --startdatetime 2016-09-10T16:32:47 --delay 1 --endMP 204:233372 --enddatetime 2016-09-10T17:09:06 --enforcementcount 0 &gt;&gt;C:\Users\stu\Documents\GitHub\eaglep3-reporting\EC\2016-09-10-refined-times.txt</v>
      </c>
      <c r="AI115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{"issue":{"subject":"","project_id":79,"tracker_id":40,"status_id":1,"priority_id":2,"assigned_to_id":23,"start_date":"2016-09-10","description":"","custom_fields":[{"id":1,"name":"Subdivision","value":"EC"},{"id":4,"name":"Milepost","value":"23.2859"},{"id":17,"name":"Train ID","value":"203-10"},{"id":16,"name":"Locomotive ID","value":"4046"},{"id":130,"name":"Impact","value":""},{"id":150,"name":"Time of Event (Mountain Time)","value":"17:09:06"},{"id":151,"name":"Denver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420</v>
      </c>
      <c r="B116" s="7">
        <v>4045</v>
      </c>
      <c r="C116" s="24" t="s">
        <v>108</v>
      </c>
      <c r="D116" s="24" t="s">
        <v>627</v>
      </c>
      <c r="E116" s="15">
        <v>42623.716736111113</v>
      </c>
      <c r="F116" s="15">
        <v>42623.726863425924</v>
      </c>
      <c r="G116" s="7">
        <v>1</v>
      </c>
      <c r="H116" s="15" t="s">
        <v>628</v>
      </c>
      <c r="I116" s="15">
        <v>42623.754236111112</v>
      </c>
      <c r="J116" s="7">
        <v>0</v>
      </c>
      <c r="K116" s="122" t="str">
        <f t="shared" si="56"/>
        <v>4045/4046</v>
      </c>
      <c r="L116" s="24" t="str">
        <f>VLOOKUP(A116,'Trips&amp;Operators'!$C$1:$E$10000,3,FALSE)</f>
        <v>BARTLETT</v>
      </c>
      <c r="M116" s="6">
        <f t="shared" si="57"/>
        <v>2.7372685188311152E-2</v>
      </c>
      <c r="N116" s="7">
        <f t="shared" si="58"/>
        <v>39.416666671168059</v>
      </c>
      <c r="O116" s="7"/>
      <c r="P116" s="7"/>
      <c r="Q116" s="25"/>
      <c r="R116" s="25"/>
      <c r="S116" s="37">
        <f t="shared" si="59"/>
        <v>1</v>
      </c>
      <c r="T116" s="52" t="str">
        <f t="shared" ref="T116:T147" si="69">IF(ISEVEN(LEFT(AD116,4)),"Southbound","NorthBound")</f>
        <v>Southbound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16:12:06-0600',mode:absolute,to:'2016-09-10 19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16" s="54" t="str">
        <f t="shared" si="61"/>
        <v>N</v>
      </c>
      <c r="X116" s="172">
        <f t="shared" si="67"/>
        <v>1</v>
      </c>
      <c r="Y116" s="69">
        <f t="shared" si="68"/>
        <v>23.303799999999999</v>
      </c>
      <c r="Z116" s="69">
        <f t="shared" si="62"/>
        <v>2.8500000000000001E-2</v>
      </c>
      <c r="AA116" s="69">
        <f t="shared" si="63"/>
        <v>23.275299999999998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55"/>
        <v>0204-10</v>
      </c>
      <c r="AE116" s="99" t="str">
        <f t="shared" si="64"/>
        <v>aws s3 cp s3://rtdc.mdm.uploadarchive/RTDC4045/2016-09-10/ "%USERPROFILE%\AppData\Local\Temp\OnboardLogs"\RTDC4045\2016-09-10 --recursive &amp; "%USERPROFILE%\Documents\GitHub\mrs-test-scripts\Headless Mode &amp; Sideloading\WalkAndUnGZ.bat" "%USERPROFILE%\AppData\Local\Temp\OnboardLogs"\RTDC4045\2016-09-10 &amp; aws s3 cp s3://rtdc.mdm.uploadarchive/RTDC4045/2016-09-11/ "%USERPROFILE%\AppData\Local\Temp\OnboardLogs"\RTDC4045\2016-09-11 --recursive &amp; "%USERPROFILE%\Documents\GitHub\mrs-test-scripts\Headless Mode &amp; Sideloading\WalkAndUnGZ.bat" "%USERPROFILE%\AppData\Local\Temp\OnboardLogs"\RTDC4045\2016-09-11</v>
      </c>
      <c r="AF116" s="96" t="str">
        <f t="shared" si="65"/>
        <v>"C:\Program Files (x86)\AstroGrep\AstroGrep.exe" /spath="%USERPROFILE%\AppData\Local\Temp\OnboardLogs" /stypes="*4045*20160911*" /stext=" 00:.+((SYSTEM_STATE.+slice.+state.+changed )|(ment ac)|(system.+state.+changed )|(\|lc)|(penalty)|(\[timeout)|(PRM\|1\|D)|(kpr)|(kdp))" /e /r /s</v>
      </c>
      <c r="AG116" s="1" t="str">
        <f t="shared" si="66"/>
        <v>EC</v>
      </c>
      <c r="AH116" s="100" t="str">
        <f t="shared" si="53"/>
        <v>"%USERPROFILE%\Documents\GitHub\eaglep3\Utilities\RefineRTDCRunTimes.py" --tripid 204-10 --locoid 4045 --swversion DE.1.0.7.0 --startMP 204:233038 --initTime 2016-09-10T17:12:06 --startdatetime 2016-09-10T17:26:41 --delay 1 --endMP 204:285 --enddatetime 2016-09-10T18:06:06 --enforcementcount 0 &gt;&gt;C:\Users\stu\Documents\GitHub\eaglep3-reporting\EC\2016-09-10-refined-times.txt</v>
      </c>
      <c r="AI116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{"issue":{"subject":"","project_id":79,"tracker_id":40,"status_id":1,"priority_id":2,"assigned_to_id":23,"start_date":"2016-09-10","description":"","custom_fields":[{"id":1,"name":"Subdivision","value":"EC"},{"id":4,"name":"Milepost","value":"23.2753"},{"id":17,"name":"Train ID","value":"204-10"},{"id":16,"name":"Locomotive ID","value":"4045"},{"id":130,"name":"Impact","value":""},{"id":150,"name":"Time of Event (Mountain Time)","value":"18:06:06"},{"id":151,"name":"Denver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629</v>
      </c>
      <c r="B117" s="7">
        <v>4014</v>
      </c>
      <c r="C117" s="24" t="s">
        <v>108</v>
      </c>
      <c r="D117" s="24" t="s">
        <v>295</v>
      </c>
      <c r="E117" s="15">
        <v>42623.695844907408</v>
      </c>
      <c r="F117" s="15">
        <v>42623.698252314818</v>
      </c>
      <c r="G117" s="7">
        <v>1</v>
      </c>
      <c r="H117" s="15" t="s">
        <v>630</v>
      </c>
      <c r="I117" s="15">
        <v>42623.723796296297</v>
      </c>
      <c r="J117" s="7">
        <v>0</v>
      </c>
      <c r="K117" s="122" t="str">
        <f t="shared" si="56"/>
        <v>4013/4014</v>
      </c>
      <c r="L117" s="24" t="str">
        <f>VLOOKUP(A117,'Trips&amp;Operators'!$C$1:$E$10000,3,FALSE)</f>
        <v>MOSES</v>
      </c>
      <c r="M117" s="6">
        <f t="shared" si="57"/>
        <v>2.5543981479131617E-2</v>
      </c>
      <c r="N117" s="7">
        <f t="shared" si="58"/>
        <v>36.783333329949528</v>
      </c>
      <c r="O117" s="7"/>
      <c r="P117" s="7"/>
      <c r="Q117" s="25"/>
      <c r="R117" s="25"/>
      <c r="S117" s="37">
        <f t="shared" si="59"/>
        <v>1</v>
      </c>
      <c r="T117" s="52" t="str">
        <f t="shared" si="69"/>
        <v>NorthBound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15:42:01-0600',mode:absolute,to:'2016-09-10 18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17" s="54" t="str">
        <f t="shared" si="61"/>
        <v>N</v>
      </c>
      <c r="X117" s="172">
        <f t="shared" si="67"/>
        <v>1</v>
      </c>
      <c r="Y117" s="69">
        <f t="shared" si="68"/>
        <v>4.6399999999999997E-2</v>
      </c>
      <c r="Z117" s="69">
        <f t="shared" si="62"/>
        <v>23.332899999999999</v>
      </c>
      <c r="AA117" s="69">
        <f t="shared" si="63"/>
        <v>23.2865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55"/>
        <v>0205-10</v>
      </c>
      <c r="AE117" s="99" t="str">
        <f t="shared" si="64"/>
        <v>aws s3 cp s3://rtdc.mdm.uploadarchive/RTDC4014/2016-09-10/ "%USERPROFILE%\AppData\Local\Temp\OnboardLogs"\RTDC4014\2016-09-10 --recursive &amp; "%USERPROFILE%\Documents\GitHub\mrs-test-scripts\Headless Mode &amp; Sideloading\WalkAndUnGZ.bat" "%USERPROFILE%\AppData\Local\Temp\OnboardLogs"\RTDC4014\2016-09-10 &amp; aws s3 cp s3://rtdc.mdm.uploadarchive/RTDC4014/2016-09-11/ "%USERPROFILE%\AppData\Local\Temp\OnboardLogs"\RTDC4014\2016-09-11 --recursive &amp; "%USERPROFILE%\Documents\GitHub\mrs-test-scripts\Headless Mode &amp; Sideloading\WalkAndUnGZ.bat" "%USERPROFILE%\AppData\Local\Temp\OnboardLogs"\RTDC4014\2016-09-11</v>
      </c>
      <c r="AF117" s="96" t="str">
        <f t="shared" si="65"/>
        <v>"C:\Program Files (x86)\AstroGrep\AstroGrep.exe" /spath="%USERPROFILE%\AppData\Local\Temp\OnboardLogs" /stypes="*4014*20160910*" /stext=" 23:.+((SYSTEM_STATE.+slice.+state.+changed )|(ment ac)|(system.+state.+changed )|(\|lc)|(penalty)|(\[timeout)|(PRM\|1\|D)|(kpr)|(kdp))" /e /r /s</v>
      </c>
      <c r="AG117" s="1" t="str">
        <f t="shared" si="66"/>
        <v>EC</v>
      </c>
      <c r="AH117" s="100" t="str">
        <f t="shared" si="53"/>
        <v>"%USERPROFILE%\Documents\GitHub\eaglep3\Utilities\RefineRTDCRunTimes.py" --tripid 205-10 --locoid 4014 --swversion DE.1.0.7.0 --startMP 204:464 --initTime 2016-09-10T16:42:01 --startdatetime 2016-09-10T16:45:29 --delay 1 --endMP 204:233329 --enddatetime 2016-09-10T17:22:16 --enforcementcount 0 &gt;&gt;C:\Users\stu\Documents\GitHub\eaglep3-reporting\EC\2016-09-10-refined-times.txt</v>
      </c>
      <c r="AI117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{"issue":{"subject":"","project_id":79,"tracker_id":40,"status_id":1,"priority_id":2,"assigned_to_id":23,"start_date":"2016-09-10","description":"","custom_fields":[{"id":1,"name":"Subdivision","value":"EC"},{"id":4,"name":"Milepost","value":"23.2865"},{"id":17,"name":"Train ID","value":"205-10"},{"id":16,"name":"Locomotive ID","value":"4014"},{"id":130,"name":"Impact","value":""},{"id":150,"name":"Time of Event (Mountain Time)","value":"17:22:16"},{"id":151,"name":"Denver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631</v>
      </c>
      <c r="B118" s="7">
        <v>4013</v>
      </c>
      <c r="C118" s="24" t="s">
        <v>108</v>
      </c>
      <c r="D118" s="24" t="s">
        <v>347</v>
      </c>
      <c r="E118" s="15">
        <v>42623.733414351853</v>
      </c>
      <c r="F118" s="15">
        <v>42623.737129629626</v>
      </c>
      <c r="G118" s="7">
        <v>1</v>
      </c>
      <c r="H118" s="15" t="s">
        <v>304</v>
      </c>
      <c r="I118" s="15">
        <v>42623.76462962963</v>
      </c>
      <c r="J118" s="7">
        <v>0</v>
      </c>
      <c r="K118" s="122" t="str">
        <f t="shared" si="56"/>
        <v>4013/4014</v>
      </c>
      <c r="L118" s="24" t="str">
        <f>VLOOKUP(A118,'Trips&amp;Operators'!$C$1:$E$10000,3,FALSE)</f>
        <v>MOSES</v>
      </c>
      <c r="M118" s="6">
        <f t="shared" si="57"/>
        <v>2.7500000003783498E-2</v>
      </c>
      <c r="N118" s="7">
        <f t="shared" si="58"/>
        <v>39.600000005448237</v>
      </c>
      <c r="O118" s="7"/>
      <c r="P118" s="7"/>
      <c r="Q118" s="25"/>
      <c r="R118" s="25"/>
      <c r="S118" s="37">
        <f t="shared" si="59"/>
        <v>1</v>
      </c>
      <c r="T118" s="52" t="str">
        <f t="shared" si="69"/>
        <v>Southbound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16:36:07-0600',mode:absolute,to:'2016-09-10 19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18" s="54" t="str">
        <f t="shared" si="61"/>
        <v>N</v>
      </c>
      <c r="X118" s="172">
        <f t="shared" si="67"/>
        <v>1</v>
      </c>
      <c r="Y118" s="69">
        <f t="shared" si="68"/>
        <v>23.301300000000001</v>
      </c>
      <c r="Z118" s="69">
        <f t="shared" si="62"/>
        <v>1.7000000000000001E-2</v>
      </c>
      <c r="AA118" s="69">
        <f t="shared" si="63"/>
        <v>23.284300000000002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55"/>
        <v>0206-10</v>
      </c>
      <c r="AE118" s="99" t="str">
        <f t="shared" si="64"/>
        <v>aws s3 cp s3://rtdc.mdm.uploadarchive/RTDC4013/2016-09-10/ "%USERPROFILE%\AppData\Local\Temp\OnboardLogs"\RTDC4013\2016-09-10 --recursive &amp; "%USERPROFILE%\Documents\GitHub\mrs-test-scripts\Headless Mode &amp; Sideloading\WalkAndUnGZ.bat" "%USERPROFILE%\AppData\Local\Temp\OnboardLogs"\RTDC4013\2016-09-10 &amp; aws s3 cp s3://rtdc.mdm.uploadarchive/RTDC4013/2016-09-11/ "%USERPROFILE%\AppData\Local\Temp\OnboardLogs"\RTDC4013\2016-09-11 --recursive &amp; "%USERPROFILE%\Documents\GitHub\mrs-test-scripts\Headless Mode &amp; Sideloading\WalkAndUnGZ.bat" "%USERPROFILE%\AppData\Local\Temp\OnboardLogs"\RTDC4013\2016-09-11</v>
      </c>
      <c r="AF118" s="96" t="str">
        <f t="shared" si="65"/>
        <v>"C:\Program Files (x86)\AstroGrep\AstroGrep.exe" /spath="%USERPROFILE%\AppData\Local\Temp\OnboardLogs" /stypes="*4013*20160911*" /stext=" 00:.+((SYSTEM_STATE.+slice.+state.+changed )|(ment ac)|(system.+state.+changed )|(\|lc)|(penalty)|(\[timeout)|(PRM\|1\|D)|(kpr)|(kdp))" /e /r /s</v>
      </c>
      <c r="AG118" s="1" t="str">
        <f t="shared" si="66"/>
        <v>EC</v>
      </c>
      <c r="AH118" s="100" t="str">
        <f t="shared" si="53"/>
        <v>"%USERPROFILE%\Documents\GitHub\eaglep3\Utilities\RefineRTDCRunTimes.py" --tripid 206-10 --locoid 4013 --swversion DE.1.0.7.0 --startMP 204:233013 --initTime 2016-09-10T17:36:07 --startdatetime 2016-09-10T17:41:28 --delay 1 --endMP 204:170 --enddatetime 2016-09-10T18:21:04 --enforcementcount 0 &gt;&gt;C:\Users\stu\Documents\GitHub\eaglep3-reporting\EC\2016-09-10-refined-times.txt</v>
      </c>
      <c r="AI118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{"issue":{"subject":"","project_id":79,"tracker_id":40,"status_id":1,"priority_id":2,"assigned_to_id":23,"start_date":"2016-09-10","description":"","custom_fields":[{"id":1,"name":"Subdivision","value":"EC"},{"id":4,"name":"Milepost","value":"23.2843"},{"id":17,"name":"Train ID","value":"206-10"},{"id":16,"name":"Locomotive ID","value":"4013"},{"id":130,"name":"Impact","value":""},{"id":150,"name":"Time of Event (Mountain Time)","value":"18:21:04"},{"id":151,"name":"Denver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632</v>
      </c>
      <c r="B119" s="7">
        <v>4040</v>
      </c>
      <c r="C119" s="24" t="s">
        <v>108</v>
      </c>
      <c r="D119" s="24" t="s">
        <v>633</v>
      </c>
      <c r="E119" s="15">
        <v>42623.703159722223</v>
      </c>
      <c r="F119" s="15">
        <v>42623.70853009259</v>
      </c>
      <c r="G119" s="7">
        <v>1</v>
      </c>
      <c r="H119" s="15" t="s">
        <v>634</v>
      </c>
      <c r="I119" s="15">
        <v>42623.733738425923</v>
      </c>
      <c r="J119" s="7">
        <v>0</v>
      </c>
      <c r="K119" s="122" t="str">
        <f t="shared" si="56"/>
        <v>4039/4040</v>
      </c>
      <c r="L119" s="24" t="str">
        <f>VLOOKUP(A119,'Trips&amp;Operators'!$C$1:$E$10000,3,FALSE)</f>
        <v>SHOOK</v>
      </c>
      <c r="M119" s="6">
        <f t="shared" si="57"/>
        <v>2.5208333332557231E-2</v>
      </c>
      <c r="N119" s="7">
        <f t="shared" si="58"/>
        <v>36.299999998882413</v>
      </c>
      <c r="O119" s="7"/>
      <c r="P119" s="7"/>
      <c r="Q119" s="25"/>
      <c r="R119" s="25"/>
      <c r="S119" s="37">
        <f t="shared" si="59"/>
        <v>1</v>
      </c>
      <c r="T119" s="52" t="str">
        <f t="shared" si="69"/>
        <v>NorthBound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15:52:33-0600',mode:absolute,to:'2016-09-10 18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19" s="54" t="str">
        <f t="shared" si="61"/>
        <v>N</v>
      </c>
      <c r="X119" s="172">
        <f t="shared" si="67"/>
        <v>1</v>
      </c>
      <c r="Y119" s="69">
        <f t="shared" si="68"/>
        <v>4.4900000000000002E-2</v>
      </c>
      <c r="Z119" s="69">
        <f t="shared" si="62"/>
        <v>23.336600000000001</v>
      </c>
      <c r="AA119" s="69">
        <f t="shared" si="63"/>
        <v>23.291700000000002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55"/>
        <v>0207-10</v>
      </c>
      <c r="AE119" s="99" t="str">
        <f t="shared" si="64"/>
        <v>aws s3 cp s3://rtdc.mdm.uploadarchive/RTDC4040/2016-09-10/ "%USERPROFILE%\AppData\Local\Temp\OnboardLogs"\RTDC4040\2016-09-10 --recursive &amp; "%USERPROFILE%\Documents\GitHub\mrs-test-scripts\Headless Mode &amp; Sideloading\WalkAndUnGZ.bat" "%USERPROFILE%\AppData\Local\Temp\OnboardLogs"\RTDC4040\2016-09-10 &amp; 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</v>
      </c>
      <c r="AF119" s="96" t="str">
        <f t="shared" si="65"/>
        <v>"C:\Program Files (x86)\AstroGrep\AstroGrep.exe" /spath="%USERPROFILE%\AppData\Local\Temp\OnboardLogs" /stypes="*4040*20160910*" /stext=" 23:.+((SYSTEM_STATE.+slice.+state.+changed )|(ment ac)|(system.+state.+changed )|(\|lc)|(penalty)|(\[timeout)|(PRM\|1\|D)|(kpr)|(kdp))" /e /r /s</v>
      </c>
      <c r="AG119" s="1" t="str">
        <f t="shared" si="66"/>
        <v>EC</v>
      </c>
      <c r="AH119" s="100" t="str">
        <f t="shared" si="53"/>
        <v>"%USERPROFILE%\Documents\GitHub\eaglep3\Utilities\RefineRTDCRunTimes.py" --tripid 207-10 --locoid 4040 --swversion DE.1.0.7.0 --startMP 204:449 --initTime 2016-09-10T16:52:33 --startdatetime 2016-09-10T17:00:17 --delay 1 --endMP 204:233366 --enddatetime 2016-09-10T17:36:35 --enforcementcount 0 &gt;&gt;C:\Users\stu\Documents\GitHub\eaglep3-reporting\EC\2016-09-10-refined-times.txt</v>
      </c>
      <c r="AI119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{"issue":{"subject":"","project_id":79,"tracker_id":40,"status_id":1,"priority_id":2,"assigned_to_id":23,"start_date":"2016-09-10","description":"","custom_fields":[{"id":1,"name":"Subdivision","value":"EC"},{"id":4,"name":"Milepost","value":"23.2917"},{"id":17,"name":"Train ID","value":"207-10"},{"id":16,"name":"Locomotive ID","value":"4040"},{"id":130,"name":"Impact","value":""},{"id":150,"name":"Time of Event (Mountain Time)","value":"17:36:35"},{"id":151,"name":"Denver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635</v>
      </c>
      <c r="B120" s="7">
        <v>4039</v>
      </c>
      <c r="C120" s="24" t="s">
        <v>108</v>
      </c>
      <c r="D120" s="24" t="s">
        <v>636</v>
      </c>
      <c r="E120" s="15">
        <v>42623.74324074074</v>
      </c>
      <c r="F120" s="15">
        <v>42623.747465277775</v>
      </c>
      <c r="G120" s="7">
        <v>1</v>
      </c>
      <c r="H120" s="15" t="s">
        <v>252</v>
      </c>
      <c r="I120" s="15">
        <v>42623.773865740739</v>
      </c>
      <c r="J120" s="7">
        <v>0</v>
      </c>
      <c r="K120" s="122" t="str">
        <f t="shared" si="56"/>
        <v>4039/4040</v>
      </c>
      <c r="L120" s="24" t="str">
        <f>VLOOKUP(A120,'Trips&amp;Operators'!$C$1:$E$10000,3,FALSE)</f>
        <v>SHOOK</v>
      </c>
      <c r="M120" s="6">
        <f t="shared" si="57"/>
        <v>2.6400462964375038E-2</v>
      </c>
      <c r="N120" s="7">
        <f t="shared" si="58"/>
        <v>38.016666668700054</v>
      </c>
      <c r="O120" s="7"/>
      <c r="P120" s="7"/>
      <c r="Q120" s="25"/>
      <c r="R120" s="25"/>
      <c r="S120" s="37">
        <f t="shared" si="59"/>
        <v>1</v>
      </c>
      <c r="T120" s="52" t="str">
        <f t="shared" si="69"/>
        <v>Southbound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16:50:16-0600',mode:absolute,to:'2016-09-10 19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20" s="54" t="str">
        <f t="shared" si="61"/>
        <v>N</v>
      </c>
      <c r="X120" s="172">
        <f t="shared" si="67"/>
        <v>1</v>
      </c>
      <c r="Y120" s="69">
        <f t="shared" si="68"/>
        <v>23.304200000000002</v>
      </c>
      <c r="Z120" s="69">
        <f t="shared" si="62"/>
        <v>1.43E-2</v>
      </c>
      <c r="AA120" s="69">
        <f t="shared" si="63"/>
        <v>23.289900000000003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55"/>
        <v>0208-10</v>
      </c>
      <c r="AE120" s="99" t="str">
        <f t="shared" si="64"/>
        <v>aws s3 cp s3://rtdc.mdm.uploadarchive/RTDC4039/2016-09-10/ "%USERPROFILE%\AppData\Local\Temp\OnboardLogs"\RTDC4039\2016-09-10 --recursive &amp; "%USERPROFILE%\Documents\GitHub\mrs-test-scripts\Headless Mode &amp; Sideloading\WalkAndUnGZ.bat" "%USERPROFILE%\AppData\Local\Temp\OnboardLogs"\RTDC4039\2016-09-10 &amp; 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</v>
      </c>
      <c r="AF120" s="96" t="str">
        <f t="shared" si="65"/>
        <v>"C:\Program Files (x86)\AstroGrep\AstroGrep.exe" /spath="%USERPROFILE%\AppData\Local\Temp\OnboardLogs" /stypes="*4039*20160911*" /stext=" 00:.+((SYSTEM_STATE.+slice.+state.+changed )|(ment ac)|(system.+state.+changed )|(\|lc)|(penalty)|(\[timeout)|(PRM\|1\|D)|(kpr)|(kdp))" /e /r /s</v>
      </c>
      <c r="AG120" s="1" t="str">
        <f t="shared" si="66"/>
        <v>EC</v>
      </c>
      <c r="AH120" s="100" t="str">
        <f t="shared" si="53"/>
        <v>"%USERPROFILE%\Documents\GitHub\eaglep3\Utilities\RefineRTDCRunTimes.py" --tripid 208-10 --locoid 4039 --swversion DE.1.0.7.0 --startMP 204:233042 --initTime 2016-09-10T17:50:16 --startdatetime 2016-09-10T17:56:21 --delay 1 --endMP 204:143 --enddatetime 2016-09-10T18:34:22 --enforcementcount 0 &gt;&gt;C:\Users\stu\Documents\GitHub\eaglep3-reporting\EC\2016-09-10-refined-times.txt</v>
      </c>
      <c r="AI120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{"issue":{"subject":"","project_id":79,"tracker_id":40,"status_id":1,"priority_id":2,"assigned_to_id":23,"start_date":"2016-09-10","description":"","custom_fields":[{"id":1,"name":"Subdivision","value":"EC"},{"id":4,"name":"Milepost","value":"23.2899"},{"id":17,"name":"Train ID","value":"208-10"},{"id":16,"name":"Locomotive ID","value":"4039"},{"id":130,"name":"Impact","value":""},{"id":150,"name":"Time of Event (Mountain Time)","value":"18:34:22"},{"id":151,"name":"Denver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637</v>
      </c>
      <c r="B121" s="7">
        <v>4038</v>
      </c>
      <c r="C121" s="24" t="s">
        <v>108</v>
      </c>
      <c r="D121" s="24" t="s">
        <v>268</v>
      </c>
      <c r="E121" s="15">
        <v>42623.713738425926</v>
      </c>
      <c r="F121" s="15">
        <v>42623.718969907408</v>
      </c>
      <c r="G121" s="7">
        <v>1</v>
      </c>
      <c r="H121" s="15" t="s">
        <v>499</v>
      </c>
      <c r="I121" s="15">
        <v>42623.744664351849</v>
      </c>
      <c r="J121" s="7">
        <v>0</v>
      </c>
      <c r="K121" s="122" t="str">
        <f t="shared" si="56"/>
        <v>4037/4038</v>
      </c>
      <c r="L121" s="24" t="str">
        <f>VLOOKUP(A121,'Trips&amp;Operators'!$C$1:$E$10000,3,FALSE)</f>
        <v>BRUDER</v>
      </c>
      <c r="M121" s="6">
        <f t="shared" si="57"/>
        <v>2.569444444088731E-2</v>
      </c>
      <c r="N121" s="7">
        <f t="shared" si="58"/>
        <v>36.999999994877726</v>
      </c>
      <c r="O121" s="7"/>
      <c r="P121" s="7"/>
      <c r="Q121" s="25"/>
      <c r="R121" s="25"/>
      <c r="S121" s="37">
        <f t="shared" si="59"/>
        <v>1</v>
      </c>
      <c r="T121" s="52" t="str">
        <f t="shared" si="69"/>
        <v>NorthBound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16:07:47-0600',mode:absolute,to:'2016-09-10 18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21" s="54" t="str">
        <f t="shared" si="61"/>
        <v>N</v>
      </c>
      <c r="X121" s="172">
        <f t="shared" si="67"/>
        <v>1</v>
      </c>
      <c r="Y121" s="69">
        <f t="shared" si="68"/>
        <v>4.5100000000000001E-2</v>
      </c>
      <c r="Z121" s="69">
        <f t="shared" si="62"/>
        <v>23.331499999999998</v>
      </c>
      <c r="AA121" s="69">
        <f t="shared" si="63"/>
        <v>23.286399999999997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ref="AD121:AD152" si="70">IF(LEN(A121)=6,"0"&amp;A121,A121)</f>
        <v>0209-10</v>
      </c>
      <c r="AE121" s="99" t="str">
        <f t="shared" si="64"/>
        <v>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 &amp; aws s3 cp s3://rtdc.mdm.uploadarchive/RTDC4038/2016-09-11/ "%USERPROFILE%\AppData\Local\Temp\OnboardLogs"\RTDC4038\2016-09-11 --recursive &amp; "%USERPROFILE%\Documents\GitHub\mrs-test-scripts\Headless Mode &amp; Sideloading\WalkAndUnGZ.bat" "%USERPROFILE%\AppData\Local\Temp\OnboardLogs"\RTDC4038\2016-09-11</v>
      </c>
      <c r="AF121" s="96" t="str">
        <f t="shared" si="65"/>
        <v>"C:\Program Files (x86)\AstroGrep\AstroGrep.exe" /spath="%USERPROFILE%\AppData\Local\Temp\OnboardLogs" /stypes="*4038*20160910*" /stext=" 23:.+((SYSTEM_STATE.+slice.+state.+changed )|(ment ac)|(system.+state.+changed )|(\|lc)|(penalty)|(\[timeout)|(PRM\|1\|D)|(kpr)|(kdp))" /e /r /s</v>
      </c>
      <c r="AG121" s="1" t="str">
        <f t="shared" si="66"/>
        <v>EC</v>
      </c>
      <c r="AH121" s="100" t="str">
        <f t="shared" si="53"/>
        <v>"%USERPROFILE%\Documents\GitHub\eaglep3\Utilities\RefineRTDCRunTimes.py" --tripid 209-10 --locoid 4038 --swversion DE.1.0.7.0 --startMP 204:451 --initTime 2016-09-10T17:07:47 --startdatetime 2016-09-10T17:15:19 --delay 1 --endMP 204:233315 --enddatetime 2016-09-10T17:52:19 --enforcementcount 0 &gt;&gt;C:\Users\stu\Documents\GitHub\eaglep3-reporting\EC\2016-09-10-refined-times.txt</v>
      </c>
      <c r="AI121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{"issue":{"subject":"","project_id":79,"tracker_id":40,"status_id":1,"priority_id":2,"assigned_to_id":23,"start_date":"2016-09-10","description":"","custom_fields":[{"id":1,"name":"Subdivision","value":"EC"},{"id":4,"name":"Milepost","value":"23.2864"},{"id":17,"name":"Train ID","value":"209-10"},{"id":16,"name":"Locomotive ID","value":"4038"},{"id":130,"name":"Impact","value":""},{"id":150,"name":"Time of Event (Mountain Time)","value":"17:52:19"},{"id":151,"name":"Denver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638</v>
      </c>
      <c r="B122" s="7">
        <v>4037</v>
      </c>
      <c r="C122" s="24" t="s">
        <v>108</v>
      </c>
      <c r="D122" s="24" t="s">
        <v>348</v>
      </c>
      <c r="E122" s="15">
        <v>42623.75203703704</v>
      </c>
      <c r="F122" s="15">
        <v>42623.757893518516</v>
      </c>
      <c r="G122" s="7">
        <v>1</v>
      </c>
      <c r="H122" s="15" t="s">
        <v>311</v>
      </c>
      <c r="I122" s="15">
        <v>42623.78392361111</v>
      </c>
      <c r="J122" s="7">
        <v>0</v>
      </c>
      <c r="K122" s="122" t="str">
        <f t="shared" si="56"/>
        <v>4037/4038</v>
      </c>
      <c r="L122" s="24" t="str">
        <f>VLOOKUP(A122,'Trips&amp;Operators'!$C$1:$E$10000,3,FALSE)</f>
        <v>BRUDER</v>
      </c>
      <c r="M122" s="6">
        <f t="shared" si="57"/>
        <v>2.6030092594737653E-2</v>
      </c>
      <c r="N122" s="7">
        <f t="shared" si="58"/>
        <v>37.48333333642222</v>
      </c>
      <c r="O122" s="7"/>
      <c r="P122" s="7"/>
      <c r="Q122" s="25"/>
      <c r="R122" s="25"/>
      <c r="S122" s="37">
        <f t="shared" si="59"/>
        <v>1</v>
      </c>
      <c r="T122" s="52" t="str">
        <f t="shared" si="69"/>
        <v>Southbound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https://search-rtdc-monitor-bjffxe2xuh6vdkpspy63sjmuny.us-east-1.es.amazonaws.com/_plugin/kibana/#/discover/Steve-Slow-Train-Analysis-(2080s-and-2083s)?_g=(refreshInterval:(display:Off,section:0,value:0),time:(from:'2016-09-10 17:02:56-0600',mode:absolute,to:'2016-09-10 19:48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22" s="54" t="str">
        <f t="shared" si="61"/>
        <v>N</v>
      </c>
      <c r="X122" s="172">
        <f t="shared" si="67"/>
        <v>1</v>
      </c>
      <c r="Y122" s="69">
        <f t="shared" si="68"/>
        <v>23.298500000000001</v>
      </c>
      <c r="Z122" s="69">
        <f t="shared" si="62"/>
        <v>1.41E-2</v>
      </c>
      <c r="AA122" s="69">
        <f t="shared" si="63"/>
        <v>23.284400000000002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70"/>
        <v>0210-10</v>
      </c>
      <c r="AE122" s="99" t="str">
        <f t="shared" si="64"/>
        <v>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 &amp; aws s3 cp s3://rtdc.mdm.uploadarchive/RTDC4037/2016-09-11/ "%USERPROFILE%\AppData\Local\Temp\OnboardLogs"\RTDC4037\2016-09-11 --recursive &amp; "%USERPROFILE%\Documents\GitHub\mrs-test-scripts\Headless Mode &amp; Sideloading\WalkAndUnGZ.bat" "%USERPROFILE%\AppData\Local\Temp\OnboardLogs"\RTDC4037\2016-09-11</v>
      </c>
      <c r="AF122" s="96" t="str">
        <f t="shared" si="65"/>
        <v>"C:\Program Files (x86)\AstroGrep\AstroGrep.exe" /spath="%USERPROFILE%\AppData\Local\Temp\OnboardLogs" /stypes="*4037*20160911*" /stext=" 00:.+((SYSTEM_STATE.+slice.+state.+changed )|(ment ac)|(system.+state.+changed )|(\|lc)|(penalty)|(\[timeout)|(PRM\|1\|D)|(kpr)|(kdp))" /e /r /s</v>
      </c>
      <c r="AG122" s="1" t="str">
        <f t="shared" si="66"/>
        <v>EC</v>
      </c>
      <c r="AH122" s="100" t="str">
        <f t="shared" si="53"/>
        <v>"%USERPROFILE%\Documents\GitHub\eaglep3\Utilities\RefineRTDCRunTimes.py" --tripid 210-10 --locoid 4037 --swversion DE.1.0.7.0 --startMP 204:232985 --initTime 2016-09-10T18:02:56 --startdatetime 2016-09-10T18:11:22 --delay 1 --endMP 204:141 --enddatetime 2016-09-10T18:48:51 --enforcementcount 0 &gt;&gt;C:\Users\stu\Documents\GitHub\eaglep3-reporting\EC\2016-09-10-refined-times.txt</v>
      </c>
      <c r="AI122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{"issue":{"subject":"","project_id":79,"tracker_id":40,"status_id":1,"priority_id":2,"assigned_to_id":23,"start_date":"2016-09-10","description":"","custom_fields":[{"id":1,"name":"Subdivision","value":"EC"},{"id":4,"name":"Milepost","value":"23.2844"},{"id":17,"name":"Train ID","value":"210-10"},{"id":16,"name":"Locomotive ID","value":"4037"},{"id":130,"name":"Impact","value":""},{"id":150,"name":"Time of Event (Mountain Time)","value":"18:48:51"},{"id":151,"name":"Denver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639</v>
      </c>
      <c r="B123" s="7">
        <v>4009</v>
      </c>
      <c r="C123" s="24" t="s">
        <v>108</v>
      </c>
      <c r="D123" s="24" t="s">
        <v>268</v>
      </c>
      <c r="E123" s="15">
        <v>42623.726851851854</v>
      </c>
      <c r="F123" s="15">
        <v>42623.72934027778</v>
      </c>
      <c r="G123" s="7">
        <v>1</v>
      </c>
      <c r="H123" s="15" t="s">
        <v>274</v>
      </c>
      <c r="I123" s="15">
        <v>42623.755347222221</v>
      </c>
      <c r="J123" s="7">
        <v>0</v>
      </c>
      <c r="K123" s="122" t="str">
        <f t="shared" ref="K123:K154" si="71">IF(ISEVEN(B123),(B123-1)&amp;"/"&amp;B123,B123&amp;"/"&amp;(B123+1))</f>
        <v>4009/4010</v>
      </c>
      <c r="L123" s="24" t="str">
        <f>VLOOKUP(A123,'Trips&amp;Operators'!$C$1:$E$10000,3,FALSE)</f>
        <v>CLARK</v>
      </c>
      <c r="M123" s="6">
        <f t="shared" ref="M123:M154" si="72">I123-F123</f>
        <v>2.6006944441178348E-2</v>
      </c>
      <c r="N123" s="7">
        <f t="shared" ref="N123:N154" si="73">24*60*SUM($M123:$M123)</f>
        <v>37.449999995296821</v>
      </c>
      <c r="O123" s="7"/>
      <c r="P123" s="7"/>
      <c r="Q123" s="25"/>
      <c r="R123" s="25"/>
      <c r="S123" s="37">
        <f t="shared" ref="S123:S154" si="74">SUM(U123:U123)/IF(AG123="EC",12,1)</f>
        <v>1</v>
      </c>
      <c r="T123" s="52" t="str">
        <f t="shared" si="69"/>
        <v>NorthBound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ref="V123:V154" si="75">"https://search-rtdc-monitor-bjffxe2xuh6vdkpspy63sjmuny.us-east-1.es.amazonaws.com/_plugin/kibana/#/discover/Steve-Slow-Train-Analysis-(2080s-and-2083s)?_g=(refreshInterval:(display:Off,section:0,value:0),time:(from:'"&amp;TEXT(E123-1/24,"yyyy-MM-DD hh:mm:ss")&amp;"-0600',mode:absolute,to:'"&amp;TEXT(I123+1/24,"yyyy-MM-DD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https://search-rtdc-monitor-bjffxe2xuh6vdkpspy63sjmuny.us-east-1.es.amazonaws.com/_plugin/kibana/#/discover/Steve-Slow-Train-Analysis-(2080s-and-2083s)?_g=(refreshInterval:(display:Off,section:0,value:0),time:(from:'2016-09-10 16:26:40-0600',mode:absolute,to:'2016-09-10 19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23" s="54" t="str">
        <f t="shared" ref="W123:W154" si="76">IF(AA123&lt;IF(AG123="EC",23,5.65),"Y","N")</f>
        <v>N</v>
      </c>
      <c r="X123" s="172">
        <f t="shared" si="67"/>
        <v>1</v>
      </c>
      <c r="Y123" s="69">
        <f t="shared" si="68"/>
        <v>4.5100000000000001E-2</v>
      </c>
      <c r="Z123" s="69">
        <f t="shared" ref="Z123:Z154" si="77">RIGHT(H123,LEN(H123)-4)/10000</f>
        <v>23.331199999999999</v>
      </c>
      <c r="AA123" s="69">
        <f t="shared" ref="AA123:AA154" si="78">ABS(Z123-Y123)</f>
        <v>23.286099999999998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70"/>
        <v>0211-10</v>
      </c>
      <c r="AE123" s="99" t="str">
        <f t="shared" ref="AE123:AE154" si="79">"aws s3 cp "&amp;s3_bucket&amp;"/RTDC"&amp;B123&amp;"/"&amp;TEXT(F123,"YYYY-MM-DD")&amp;"/ "&amp;search_path&amp;"\RTDC"&amp;B123&amp;"\"&amp;TEXT(F123,"YYYY-MM-DD")&amp;" --recursive &amp; """&amp;walkandungz&amp;""" "&amp;search_path&amp;"\RTDC"&amp;B123&amp;"\"&amp;TEXT(F123,"YYYY-MM-DD")
&amp;" &amp; "&amp;"aws s3 cp "&amp;s3_bucket&amp;"/RTDC"&amp;B123&amp;"/"&amp;TEXT(F123+1,"YYYY-MM-DD")&amp;"/ "&amp;search_path&amp;"\RTDC"&amp;B123&amp;"\"&amp;TEXT(F123+1,"YYYY-MM-DD")&amp;" --recursive &amp; """&amp;walkandungz&amp;""" "&amp;search_path&amp;"\RTDC"&amp;B123&amp;"\"&amp;TEXT(F123+1,"YYYY-MM-DD")</f>
        <v>aws s3 cp s3://rtdc.mdm.uploadarchive/RTDC4009/2016-09-10/ "%USERPROFILE%\AppData\Local\Temp\OnboardLogs"\RTDC4009\2016-09-10 --recursive &amp; "%USERPROFILE%\Documents\GitHub\mrs-test-scripts\Headless Mode &amp; Sideloading\WalkAndUnGZ.bat" "%USERPROFILE%\AppData\Local\Temp\OnboardLogs"\RTDC4009\2016-09-10 &amp; aws s3 cp s3://rtdc.mdm.uploadarchive/RTDC4009/2016-09-11/ "%USERPROFILE%\AppData\Local\Temp\OnboardLogs"\RTDC4009\2016-09-11 --recursive &amp; "%USERPROFILE%\Documents\GitHub\mrs-test-scripts\Headless Mode &amp; Sideloading\WalkAndUnGZ.bat" "%USERPROFILE%\AppData\Local\Temp\OnboardLogs"\RTDC4009\2016-09-11</v>
      </c>
      <c r="AF123" s="96" t="str">
        <f t="shared" ref="AF123:AF154" si="80">astrogrep_path&amp;" /spath="&amp;search_path&amp;" /stypes=""*"&amp;B123&amp;"*"&amp;TEXT(I123-utc_offset/24,"YYYYMMDD")&amp;"*"" /stext="" "&amp;TEXT(I123-utc_offset/24,"HH")&amp;search_regexp&amp;""" /e /r /s"</f>
        <v>"C:\Program Files (x86)\AstroGrep\AstroGrep.exe" /spath="%USERPROFILE%\AppData\Local\Temp\OnboardLogs" /stypes="*4009*20160911*" /stext=" 00:.+((SYSTEM_STATE.+slice.+state.+changed )|(ment ac)|(system.+state.+changed )|(\|lc)|(penalty)|(\[timeout)|(PRM\|1\|D)|(kpr)|(kdp))" /e /r /s</v>
      </c>
      <c r="AG123" s="1" t="str">
        <f t="shared" si="66"/>
        <v>EC</v>
      </c>
      <c r="AH123" s="100" t="str">
        <f t="shared" si="53"/>
        <v>"%USERPROFILE%\Documents\GitHub\eaglep3\Utilities\RefineRTDCRunTimes.py" --tripid 211-10 --locoid 4009 --swversion DE.1.0.7.0 --startMP 204:451 --initTime 2016-09-10T17:26:40 --startdatetime 2016-09-10T17:30:15 --delay 1 --endMP 204:233312 --enddatetime 2016-09-10T18:07:42 --enforcementcount 0 &gt;&gt;C:\Users\stu\Documents\GitHub\eaglep3-reporting\EC\2016-09-10-refined-times.txt</v>
      </c>
      <c r="AI123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{"issue":{"subject":"","project_id":79,"tracker_id":40,"status_id":1,"priority_id":2,"assigned_to_id":23,"start_date":"2016-09-10","description":"","custom_fields":[{"id":1,"name":"Subdivision","value":"EC"},{"id":4,"name":"Milepost","value":"23.2861"},{"id":17,"name":"Train ID","value":"211-10"},{"id":16,"name":"Locomotive ID","value":"4009"},{"id":130,"name":"Impact","value":""},{"id":150,"name":"Time of Event (Mountain Time)","value":"18:07:42"},{"id":151,"name":"Denver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x14ac:dyDescent="0.25">
      <c r="A124" s="39" t="s">
        <v>422</v>
      </c>
      <c r="B124" s="7">
        <v>4010</v>
      </c>
      <c r="C124" s="24" t="s">
        <v>108</v>
      </c>
      <c r="D124" s="24" t="s">
        <v>640</v>
      </c>
      <c r="E124" s="15">
        <v>42623.763796296298</v>
      </c>
      <c r="F124" s="15">
        <v>42623.768229166664</v>
      </c>
      <c r="G124" s="7">
        <v>1</v>
      </c>
      <c r="H124" s="15" t="s">
        <v>641</v>
      </c>
      <c r="I124" s="15">
        <v>42623.795949074076</v>
      </c>
      <c r="J124" s="7">
        <v>0</v>
      </c>
      <c r="K124" s="122" t="str">
        <f t="shared" si="71"/>
        <v>4009/4010</v>
      </c>
      <c r="L124" s="24" t="str">
        <f>VLOOKUP(A124,'Trips&amp;Operators'!$C$1:$E$10000,3,FALSE)</f>
        <v>CLARK</v>
      </c>
      <c r="M124" s="6">
        <f t="shared" si="72"/>
        <v>2.771990741166519E-2</v>
      </c>
      <c r="N124" s="7">
        <f t="shared" si="73"/>
        <v>39.916666672797874</v>
      </c>
      <c r="O124" s="7"/>
      <c r="P124" s="7"/>
      <c r="Q124" s="25"/>
      <c r="R124" s="25"/>
      <c r="S124" s="37">
        <f t="shared" si="74"/>
        <v>1</v>
      </c>
      <c r="T124" s="52" t="str">
        <f t="shared" si="69"/>
        <v>Southbound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17:19:52-0600',mode:absolute,to:'2016-09-10 20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24" s="54" t="str">
        <f t="shared" si="76"/>
        <v>N</v>
      </c>
      <c r="X124" s="172">
        <f t="shared" si="67"/>
        <v>1</v>
      </c>
      <c r="Y124" s="69">
        <f t="shared" si="68"/>
        <v>23.3003</v>
      </c>
      <c r="Z124" s="69">
        <f t="shared" si="77"/>
        <v>0.02</v>
      </c>
      <c r="AA124" s="69">
        <f t="shared" si="78"/>
        <v>23.2803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70"/>
        <v>0212-10</v>
      </c>
      <c r="AE124" s="99" t="str">
        <f t="shared" si="79"/>
        <v>aws s3 cp s3://rtdc.mdm.uploadarchive/RTDC4010/2016-09-10/ "%USERPROFILE%\AppData\Local\Temp\OnboardLogs"\RTDC4010\2016-09-10 --recursive &amp; "%USERPROFILE%\Documents\GitHub\mrs-test-scripts\Headless Mode &amp; Sideloading\WalkAndUnGZ.bat" "%USERPROFILE%\AppData\Local\Temp\OnboardLogs"\RTDC4010\2016-09-10 &amp; 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</v>
      </c>
      <c r="AF124" s="96" t="str">
        <f t="shared" si="80"/>
        <v>"C:\Program Files (x86)\AstroGrep\AstroGrep.exe" /spath="%USERPROFILE%\AppData\Local\Temp\OnboardLogs" /stypes="*4010*20160911*" /stext=" 01:.+((SYSTEM_STATE.+slice.+state.+changed )|(ment ac)|(system.+state.+changed )|(\|lc)|(penalty)|(\[timeout)|(PRM\|1\|D)|(kpr)|(kdp))" /e /r /s</v>
      </c>
      <c r="AG124" s="1" t="str">
        <f t="shared" si="66"/>
        <v>EC</v>
      </c>
      <c r="AH124" s="100" t="str">
        <f t="shared" si="53"/>
        <v>"%USERPROFILE%\Documents\GitHub\eaglep3\Utilities\RefineRTDCRunTimes.py" --tripid 212-10 --locoid 4010 --swversion DE.1.0.7.0 --startMP 204:233003 --initTime 2016-09-10T18:19:52 --startdatetime 2016-09-10T18:26:15 --delay 1 --endMP 204:200 --enddatetime 2016-09-10T19:06:10 --enforcementcount 0 &gt;&gt;C:\Users\stu\Documents\GitHub\eaglep3-reporting\EC\2016-09-10-refined-times.txt</v>
      </c>
      <c r="AI124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{"issue":{"subject":"","project_id":79,"tracker_id":40,"status_id":1,"priority_id":2,"assigned_to_id":23,"start_date":"2016-09-10","description":"","custom_fields":[{"id":1,"name":"Subdivision","value":"EC"},{"id":4,"name":"Milepost","value":"23.2803"},{"id":17,"name":"Train ID","value":"212-10"},{"id":16,"name":"Locomotive ID","value":"4010"},{"id":130,"name":"Impact","value":""},{"id":150,"name":"Time of Event (Mountain Time)","value":"19:06:10"},{"id":151,"name":"Denver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642</v>
      </c>
      <c r="B125" s="7">
        <v>4011</v>
      </c>
      <c r="C125" s="24" t="s">
        <v>108</v>
      </c>
      <c r="D125" s="24" t="s">
        <v>643</v>
      </c>
      <c r="E125" s="15">
        <v>42623.735324074078</v>
      </c>
      <c r="F125" s="15">
        <v>42623.739895833336</v>
      </c>
      <c r="G125" s="7">
        <v>1</v>
      </c>
      <c r="H125" s="15" t="s">
        <v>303</v>
      </c>
      <c r="I125" s="15">
        <v>42623.764236111114</v>
      </c>
      <c r="J125" s="7">
        <v>0</v>
      </c>
      <c r="K125" s="122" t="str">
        <f t="shared" si="71"/>
        <v>4011/4012</v>
      </c>
      <c r="L125" s="24" t="str">
        <f>VLOOKUP(A125,'Trips&amp;Operators'!$C$1:$E$10000,3,FALSE)</f>
        <v>NEWELL</v>
      </c>
      <c r="M125" s="6">
        <f t="shared" si="72"/>
        <v>2.4340277777810115E-2</v>
      </c>
      <c r="N125" s="7">
        <f t="shared" si="73"/>
        <v>35.050000000046566</v>
      </c>
      <c r="O125" s="7"/>
      <c r="P125" s="7"/>
      <c r="Q125" s="25"/>
      <c r="R125" s="25"/>
      <c r="S125" s="37">
        <f t="shared" si="74"/>
        <v>1</v>
      </c>
      <c r="T125" s="52" t="str">
        <f t="shared" si="69"/>
        <v>NorthBound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16:38:52-0600',mode:absolute,to:'2016-09-10 19:20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25" s="54" t="str">
        <f t="shared" si="76"/>
        <v>N</v>
      </c>
      <c r="X125" s="172">
        <f t="shared" si="67"/>
        <v>1</v>
      </c>
      <c r="Y125" s="69">
        <f t="shared" si="68"/>
        <v>4.8399999999999999E-2</v>
      </c>
      <c r="Z125" s="69">
        <f t="shared" si="77"/>
        <v>23.332100000000001</v>
      </c>
      <c r="AA125" s="69">
        <f t="shared" si="78"/>
        <v>23.2837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70"/>
        <v>0213-10</v>
      </c>
      <c r="AE125" s="99" t="str">
        <f t="shared" si="79"/>
        <v>aws s3 cp s3://rtdc.mdm.uploadarchive/RTDC4011/2016-09-10/ "%USERPROFILE%\AppData\Local\Temp\OnboardLogs"\RTDC4011\2016-09-10 --recursive &amp; "%USERPROFILE%\Documents\GitHub\mrs-test-scripts\Headless Mode &amp; Sideloading\WalkAndUnGZ.bat" "%USERPROFILE%\AppData\Local\Temp\OnboardLogs"\RTDC4011\2016-09-10 &amp; aws s3 cp s3://rtdc.mdm.uploadarchive/RTDC4011/2016-09-11/ "%USERPROFILE%\AppData\Local\Temp\OnboardLogs"\RTDC4011\2016-09-11 --recursive &amp; "%USERPROFILE%\Documents\GitHub\mrs-test-scripts\Headless Mode &amp; Sideloading\WalkAndUnGZ.bat" "%USERPROFILE%\AppData\Local\Temp\OnboardLogs"\RTDC4011\2016-09-11</v>
      </c>
      <c r="AF125" s="96" t="str">
        <f t="shared" si="80"/>
        <v>"C:\Program Files (x86)\AstroGrep\AstroGrep.exe" /spath="%USERPROFILE%\AppData\Local\Temp\OnboardLogs" /stypes="*4011*20160911*" /stext=" 00:.+((SYSTEM_STATE.+slice.+state.+changed )|(ment ac)|(system.+state.+changed )|(\|lc)|(penalty)|(\[timeout)|(PRM\|1\|D)|(kpr)|(kdp))" /e /r /s</v>
      </c>
      <c r="AG125" s="1" t="str">
        <f t="shared" ref="AG125:AG156" si="81">IFERROR(IF(VALUE(LEFT(AD125,2))&lt;=2,"EC",IF(OR(VALUE(LEFT(AD125,2))=8,VALUE(LEFT(AD125,2))=18),"NW","Other")),"Other")</f>
        <v>EC</v>
      </c>
      <c r="AH125" s="100" t="str">
        <f t="shared" si="53"/>
        <v>"%USERPROFILE%\Documents\GitHub\eaglep3\Utilities\RefineRTDCRunTimes.py" --tripid 213-10 --locoid 4011 --swversion DE.1.0.7.0 --startMP 204:484 --initTime 2016-09-10T17:38:52 --startdatetime 2016-09-10T17:45:27 --delay 1 --endMP 204:233321 --enddatetime 2016-09-10T18:20:30 --enforcementcount 0 &gt;&gt;C:\Users\stu\Documents\GitHub\eaglep3-reporting\EC\2016-09-10-refined-times.txt</v>
      </c>
      <c r="AI125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{"issue":{"subject":"","project_id":79,"tracker_id":40,"status_id":1,"priority_id":2,"assigned_to_id":23,"start_date":"2016-09-10","description":"","custom_fields":[{"id":1,"name":"Subdivision","value":"EC"},{"id":4,"name":"Milepost","value":"23.2837"},{"id":17,"name":"Train ID","value":"213-10"},{"id":16,"name":"Locomotive ID","value":"4011"},{"id":130,"name":"Impact","value":""},{"id":150,"name":"Time of Event (Mountain Time)","value":"18:20:30"},{"id":151,"name":"Denver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x14ac:dyDescent="0.25">
      <c r="A126" s="39" t="s">
        <v>644</v>
      </c>
      <c r="B126" s="7">
        <v>4012</v>
      </c>
      <c r="C126" s="24" t="s">
        <v>108</v>
      </c>
      <c r="D126" s="24" t="s">
        <v>645</v>
      </c>
      <c r="E126" s="15">
        <v>42623.767141203702</v>
      </c>
      <c r="F126" s="15">
        <v>42623.778645833336</v>
      </c>
      <c r="G126" s="7">
        <v>1</v>
      </c>
      <c r="H126" s="15" t="s">
        <v>341</v>
      </c>
      <c r="I126" s="15">
        <v>42623.8049537037</v>
      </c>
      <c r="J126" s="7">
        <v>0</v>
      </c>
      <c r="K126" s="122" t="str">
        <f t="shared" si="71"/>
        <v>4011/4012</v>
      </c>
      <c r="L126" s="24" t="str">
        <f>VLOOKUP(A126,'Trips&amp;Operators'!$C$1:$E$10000,3,FALSE)</f>
        <v>NEWELL</v>
      </c>
      <c r="M126" s="6">
        <f t="shared" si="72"/>
        <v>2.6307870364689734E-2</v>
      </c>
      <c r="N126" s="7">
        <f t="shared" si="73"/>
        <v>37.883333325153217</v>
      </c>
      <c r="O126" s="7"/>
      <c r="P126" s="7"/>
      <c r="Q126" s="25"/>
      <c r="R126" s="25"/>
      <c r="S126" s="37">
        <f t="shared" si="74"/>
        <v>1</v>
      </c>
      <c r="T126" s="52" t="str">
        <f t="shared" si="69"/>
        <v>Southbound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17:24:41-0600',mode:absolute,to:'2016-09-10 20:19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26" s="54" t="str">
        <f t="shared" si="76"/>
        <v>N</v>
      </c>
      <c r="X126" s="172">
        <f t="shared" si="67"/>
        <v>1</v>
      </c>
      <c r="Y126" s="69">
        <f t="shared" si="68"/>
        <v>23.300799999999999</v>
      </c>
      <c r="Z126" s="69">
        <f t="shared" si="77"/>
        <v>1.38E-2</v>
      </c>
      <c r="AA126" s="69">
        <f t="shared" si="78"/>
        <v>23.286999999999999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70"/>
        <v>0214-10</v>
      </c>
      <c r="AE126" s="99" t="str">
        <f t="shared" si="79"/>
        <v>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 &amp; aws s3 cp s3://rtdc.mdm.uploadarchive/RTDC4012/2016-09-11/ "%USERPROFILE%\AppData\Local\Temp\OnboardLogs"\RTDC4012\2016-09-11 --recursive &amp; "%USERPROFILE%\Documents\GitHub\mrs-test-scripts\Headless Mode &amp; Sideloading\WalkAndUnGZ.bat" "%USERPROFILE%\AppData\Local\Temp\OnboardLogs"\RTDC4012\2016-09-11</v>
      </c>
      <c r="AF126" s="96" t="str">
        <f t="shared" si="80"/>
        <v>"C:\Program Files (x86)\AstroGrep\AstroGrep.exe" /spath="%USERPROFILE%\AppData\Local\Temp\OnboardLogs" /stypes="*4012*20160911*" /stext=" 01:.+((SYSTEM_STATE.+slice.+state.+changed )|(ment ac)|(system.+state.+changed )|(\|lc)|(penalty)|(\[timeout)|(PRM\|1\|D)|(kpr)|(kdp))" /e /r /s</v>
      </c>
      <c r="AG126" s="1" t="str">
        <f t="shared" si="81"/>
        <v>EC</v>
      </c>
      <c r="AH126" s="100" t="str">
        <f t="shared" si="53"/>
        <v>"%USERPROFILE%\Documents\GitHub\eaglep3\Utilities\RefineRTDCRunTimes.py" --tripid 214-10 --locoid 4012 --swversion DE.1.0.7.0 --startMP 204:233008 --initTime 2016-09-10T18:24:41 --startdatetime 2016-09-10T18:41:15 --delay 1 --endMP 204:138 --enddatetime 2016-09-10T19:19:08 --enforcementcount 0 &gt;&gt;C:\Users\stu\Documents\GitHub\eaglep3-reporting\EC\2016-09-10-refined-times.txt</v>
      </c>
      <c r="AI126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{"issue":{"subject":"","project_id":79,"tracker_id":40,"status_id":1,"priority_id":2,"assigned_to_id":23,"start_date":"2016-09-10","description":"","custom_fields":[{"id":1,"name":"Subdivision","value":"EC"},{"id":4,"name":"Milepost","value":"23.287"},{"id":17,"name":"Train ID","value":"214-10"},{"id":16,"name":"Locomotive ID","value":"4012"},{"id":130,"name":"Impact","value":""},{"id":150,"name":"Time of Event (Mountain Time)","value":"19:19:08"},{"id":151,"name":"Denver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646</v>
      </c>
      <c r="B127" s="7">
        <v>4002</v>
      </c>
      <c r="C127" s="24" t="s">
        <v>108</v>
      </c>
      <c r="D127" s="24" t="s">
        <v>268</v>
      </c>
      <c r="E127" s="15">
        <v>42623.744722222225</v>
      </c>
      <c r="F127" s="15">
        <v>42623.7502662037</v>
      </c>
      <c r="G127" s="7">
        <v>3</v>
      </c>
      <c r="H127" s="15" t="s">
        <v>439</v>
      </c>
      <c r="I127" s="15">
        <v>42623.775104166663</v>
      </c>
      <c r="J127" s="7">
        <v>0</v>
      </c>
      <c r="K127" s="122" t="str">
        <f t="shared" si="71"/>
        <v>4001/4002</v>
      </c>
      <c r="L127" s="24" t="str">
        <f>VLOOKUP(A127,'Trips&amp;Operators'!$C$1:$E$10000,3,FALSE)</f>
        <v>OUN</v>
      </c>
      <c r="M127" s="6">
        <f t="shared" si="72"/>
        <v>2.4837962962919846E-2</v>
      </c>
      <c r="N127" s="7">
        <f t="shared" si="73"/>
        <v>35.766666666604578</v>
      </c>
      <c r="O127" s="7"/>
      <c r="P127" s="7"/>
      <c r="Q127" s="25"/>
      <c r="R127" s="25"/>
      <c r="S127" s="37">
        <f t="shared" si="74"/>
        <v>1</v>
      </c>
      <c r="T127" s="52" t="str">
        <f t="shared" si="69"/>
        <v>NorthBound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16:52:24-0600',mode:absolute,to:'2016-09-10 19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27" s="54" t="str">
        <f t="shared" si="76"/>
        <v>N</v>
      </c>
      <c r="X127" s="172">
        <f t="shared" si="67"/>
        <v>1</v>
      </c>
      <c r="Y127" s="69">
        <f t="shared" si="68"/>
        <v>4.5100000000000001E-2</v>
      </c>
      <c r="Z127" s="69">
        <f t="shared" si="77"/>
        <v>23.3309</v>
      </c>
      <c r="AA127" s="69">
        <f t="shared" si="78"/>
        <v>23.285799999999998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70"/>
        <v>0215-10</v>
      </c>
      <c r="AE127" s="99" t="str">
        <f t="shared" si="79"/>
        <v>aws s3 cp s3://rtdc.mdm.uploadarchive/RTDC4002/2016-09-10/ "%USERPROFILE%\AppData\Local\Temp\OnboardLogs"\RTDC4002\2016-09-10 --recursive &amp; "%USERPROFILE%\Documents\GitHub\mrs-test-scripts\Headless Mode &amp; Sideloading\WalkAndUnGZ.bat" "%USERPROFILE%\AppData\Local\Temp\OnboardLogs"\RTDC4002\2016-09-10 &amp; 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</v>
      </c>
      <c r="AF127" s="96" t="str">
        <f t="shared" si="80"/>
        <v>"C:\Program Files (x86)\AstroGrep\AstroGrep.exe" /spath="%USERPROFILE%\AppData\Local\Temp\OnboardLogs" /stypes="*4002*20160911*" /stext=" 00:.+((SYSTEM_STATE.+slice.+state.+changed )|(ment ac)|(system.+state.+changed )|(\|lc)|(penalty)|(\[timeout)|(PRM\|1\|D)|(kpr)|(kdp))" /e /r /s</v>
      </c>
      <c r="AG127" s="1" t="str">
        <f t="shared" si="81"/>
        <v>EC</v>
      </c>
      <c r="AH127" s="100" t="str">
        <f t="shared" si="53"/>
        <v>"%USERPROFILE%\Documents\GitHub\eaglep3\Utilities\RefineRTDCRunTimes.py" --tripid 215-10 --locoid 4002 --swversion DE.1.0.7.0 --startMP 204:451 --initTime 2016-09-10T17:52:24 --startdatetime 2016-09-10T18:00:23 --delay 3 --endMP 204:233309 --enddatetime 2016-09-10T18:36:09 --enforcementcount 0 &gt;&gt;C:\Users\stu\Documents\GitHub\eaglep3-reporting\EC\2016-09-10-refined-times.txt</v>
      </c>
      <c r="AI127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{"issue":{"subject":"","project_id":79,"tracker_id":40,"status_id":1,"priority_id":2,"assigned_to_id":23,"start_date":"2016-09-10","description":"","custom_fields":[{"id":1,"name":"Subdivision","value":"EC"},{"id":4,"name":"Milepost","value":"23.2858"},{"id":17,"name":"Train ID","value":"215-10"},{"id":16,"name":"Locomotive ID","value":"4002"},{"id":130,"name":"Impact","value":""},{"id":150,"name":"Time of Event (Mountain Time)","value":"18:36:09"},{"id":151,"name":"Denver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647</v>
      </c>
      <c r="B128" s="7">
        <v>4001</v>
      </c>
      <c r="C128" s="24" t="s">
        <v>108</v>
      </c>
      <c r="D128" s="24" t="s">
        <v>299</v>
      </c>
      <c r="E128" s="15">
        <v>42623.784282407411</v>
      </c>
      <c r="F128" s="15">
        <v>42623.789236111108</v>
      </c>
      <c r="G128" s="7">
        <v>1</v>
      </c>
      <c r="H128" s="15" t="s">
        <v>341</v>
      </c>
      <c r="I128" s="15">
        <v>42623.816342592596</v>
      </c>
      <c r="J128" s="7">
        <v>0</v>
      </c>
      <c r="K128" s="122" t="str">
        <f t="shared" si="71"/>
        <v>4001/4002</v>
      </c>
      <c r="L128" s="24" t="str">
        <f>VLOOKUP(A128,'Trips&amp;Operators'!$C$1:$E$10000,3,FALSE)</f>
        <v>OUN</v>
      </c>
      <c r="M128" s="6">
        <f t="shared" si="72"/>
        <v>2.7106481487862766E-2</v>
      </c>
      <c r="N128" s="7">
        <f t="shared" si="73"/>
        <v>39.033333342522383</v>
      </c>
      <c r="O128" s="7"/>
      <c r="P128" s="7"/>
      <c r="Q128" s="25"/>
      <c r="R128" s="25"/>
      <c r="S128" s="37">
        <f t="shared" si="74"/>
        <v>1</v>
      </c>
      <c r="T128" s="52" t="str">
        <f t="shared" si="69"/>
        <v>Southbound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17:49:22-0600',mode:absolute,to:'2016-09-10 20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28" s="54" t="str">
        <f t="shared" si="76"/>
        <v>N</v>
      </c>
      <c r="X128" s="172">
        <f t="shared" si="67"/>
        <v>1</v>
      </c>
      <c r="Y128" s="69">
        <f t="shared" si="68"/>
        <v>23.298400000000001</v>
      </c>
      <c r="Z128" s="69">
        <f t="shared" si="77"/>
        <v>1.38E-2</v>
      </c>
      <c r="AA128" s="69">
        <f t="shared" si="78"/>
        <v>23.284600000000001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70"/>
        <v>0216-10</v>
      </c>
      <c r="AE128" s="99" t="str">
        <f t="shared" si="79"/>
        <v>aws s3 cp s3://rtdc.mdm.uploadarchive/RTDC4001/2016-09-10/ "%USERPROFILE%\AppData\Local\Temp\OnboardLogs"\RTDC4001\2016-09-10 --recursive &amp; "%USERPROFILE%\Documents\GitHub\mrs-test-scripts\Headless Mode &amp; Sideloading\WalkAndUnGZ.bat" "%USERPROFILE%\AppData\Local\Temp\OnboardLogs"\RTDC4001\2016-09-10 &amp; 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</v>
      </c>
      <c r="AF128" s="96" t="str">
        <f t="shared" si="80"/>
        <v>"C:\Program Files (x86)\AstroGrep\AstroGrep.exe" /spath="%USERPROFILE%\AppData\Local\Temp\OnboardLogs" /stypes="*4001*20160911*" /stext=" 01:.+((SYSTEM_STATE.+slice.+state.+changed )|(ment ac)|(system.+state.+changed )|(\|lc)|(penalty)|(\[timeout)|(PRM\|1\|D)|(kpr)|(kdp))" /e /r /s</v>
      </c>
      <c r="AG128" s="1" t="str">
        <f t="shared" si="81"/>
        <v>EC</v>
      </c>
      <c r="AH128" s="100" t="str">
        <f t="shared" si="53"/>
        <v>"%USERPROFILE%\Documents\GitHub\eaglep3\Utilities\RefineRTDCRunTimes.py" --tripid 216-10 --locoid 4001 --swversion DE.1.0.7.0 --startMP 204:232984 --initTime 2016-09-10T18:49:22 --startdatetime 2016-09-10T18:56:30 --delay 1 --endMP 204:138 --enddatetime 2016-09-10T19:35:32 --enforcementcount 0 &gt;&gt;C:\Users\stu\Documents\GitHub\eaglep3-reporting\EC\2016-09-10-refined-times.txt</v>
      </c>
      <c r="AI128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{"issue":{"subject":"","project_id":79,"tracker_id":40,"status_id":1,"priority_id":2,"assigned_to_id":23,"start_date":"2016-09-10","description":"","custom_fields":[{"id":1,"name":"Subdivision","value":"EC"},{"id":4,"name":"Milepost","value":"23.2846"},{"id":17,"name":"Train ID","value":"216-10"},{"id":16,"name":"Locomotive ID","value":"4001"},{"id":130,"name":"Impact","value":""},{"id":150,"name":"Time of Event (Mountain Time)","value":"19:35:32"},{"id":151,"name":"Denver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648</v>
      </c>
      <c r="B129" s="7">
        <v>4046</v>
      </c>
      <c r="C129" s="24" t="s">
        <v>108</v>
      </c>
      <c r="D129" s="24" t="s">
        <v>649</v>
      </c>
      <c r="E129" s="15">
        <v>42623.759756944448</v>
      </c>
      <c r="F129" s="15">
        <v>42623.760925925926</v>
      </c>
      <c r="G129" s="7">
        <v>1</v>
      </c>
      <c r="H129" s="15" t="s">
        <v>248</v>
      </c>
      <c r="I129" s="15">
        <v>42623.786770833336</v>
      </c>
      <c r="J129" s="7">
        <v>0</v>
      </c>
      <c r="K129" s="122" t="str">
        <f t="shared" si="71"/>
        <v>4045/4046</v>
      </c>
      <c r="L129" s="24" t="str">
        <f>VLOOKUP(A129,'Trips&amp;Operators'!$C$1:$E$10000,3,FALSE)</f>
        <v>CHANDLER</v>
      </c>
      <c r="M129" s="6">
        <f t="shared" si="72"/>
        <v>2.584490740991896E-2</v>
      </c>
      <c r="N129" s="7">
        <f t="shared" si="73"/>
        <v>37.216666670283303</v>
      </c>
      <c r="O129" s="7"/>
      <c r="P129" s="7"/>
      <c r="Q129" s="25"/>
      <c r="R129" s="25"/>
      <c r="S129" s="37">
        <f t="shared" si="74"/>
        <v>1</v>
      </c>
      <c r="T129" s="52" t="str">
        <f t="shared" si="69"/>
        <v>NorthBound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17:14:03-0600',mode:absolute,to:'2016-09-10 19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29" s="54" t="str">
        <f t="shared" si="76"/>
        <v>N</v>
      </c>
      <c r="X129" s="172">
        <f t="shared" ref="X129:X160" si="82">VALUE(LEFT(AD129,4))-VALUE(LEFT(AD128,4))</f>
        <v>1</v>
      </c>
      <c r="Y129" s="69">
        <f t="shared" ref="Y129:Y160" si="83">RIGHT(D129,LEN(D129)-4)/10000</f>
        <v>6.0199999999999997E-2</v>
      </c>
      <c r="Z129" s="69">
        <f t="shared" si="77"/>
        <v>23.330200000000001</v>
      </c>
      <c r="AA129" s="69">
        <f t="shared" si="78"/>
        <v>23.270000000000003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70"/>
        <v>0217-10</v>
      </c>
      <c r="AE129" s="99" t="str">
        <f t="shared" si="79"/>
        <v>aws s3 cp s3://rtdc.mdm.uploadarchive/RTDC4046/2016-09-10/ "%USERPROFILE%\AppData\Local\Temp\OnboardLogs"\RTDC4046\2016-09-10 --recursive &amp; "%USERPROFILE%\Documents\GitHub\mrs-test-scripts\Headless Mode &amp; Sideloading\WalkAndUnGZ.bat" "%USERPROFILE%\AppData\Local\Temp\OnboardLogs"\RTDC4046\2016-09-10 &amp; aws s3 cp s3://rtdc.mdm.uploadarchive/RTDC4046/2016-09-11/ "%USERPROFILE%\AppData\Local\Temp\OnboardLogs"\RTDC4046\2016-09-11 --recursive &amp; "%USERPROFILE%\Documents\GitHub\mrs-test-scripts\Headless Mode &amp; Sideloading\WalkAndUnGZ.bat" "%USERPROFILE%\AppData\Local\Temp\OnboardLogs"\RTDC4046\2016-09-11</v>
      </c>
      <c r="AF129" s="96" t="str">
        <f t="shared" si="80"/>
        <v>"C:\Program Files (x86)\AstroGrep\AstroGrep.exe" /spath="%USERPROFILE%\AppData\Local\Temp\OnboardLogs" /stypes="*4046*20160911*" /stext=" 00:.+((SYSTEM_STATE.+slice.+state.+changed )|(ment ac)|(system.+state.+changed )|(\|lc)|(penalty)|(\[timeout)|(PRM\|1\|D)|(kpr)|(kdp))" /e /r /s</v>
      </c>
      <c r="AG129" s="1" t="str">
        <f t="shared" si="81"/>
        <v>EC</v>
      </c>
      <c r="AH129" s="100" t="str">
        <f t="shared" si="53"/>
        <v>"%USERPROFILE%\Documents\GitHub\eaglep3\Utilities\RefineRTDCRunTimes.py" --tripid 217-10 --locoid 4046 --swversion DE.1.0.7.0 --startMP 204:602 --initTime 2016-09-10T18:14:03 --startdatetime 2016-09-10T18:15:44 --delay 1 --endMP 204:233302 --enddatetime 2016-09-10T18:52:57 --enforcementcount 0 &gt;&gt;C:\Users\stu\Documents\GitHub\eaglep3-reporting\EC\2016-09-10-refined-times.txt</v>
      </c>
      <c r="AI129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{"issue":{"subject":"","project_id":79,"tracker_id":40,"status_id":1,"priority_id":2,"assigned_to_id":23,"start_date":"2016-09-10","description":"","custom_fields":[{"id":1,"name":"Subdivision","value":"EC"},{"id":4,"name":"Milepost","value":"23.27"},{"id":17,"name":"Train ID","value":"217-10"},{"id":16,"name":"Locomotive ID","value":"4046"},{"id":130,"name":"Impact","value":""},{"id":150,"name":"Time of Event (Mountain Time)","value":"18:52:57"},{"id":151,"name":"Denver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423</v>
      </c>
      <c r="B130" s="7">
        <v>4045</v>
      </c>
      <c r="C130" s="24" t="s">
        <v>108</v>
      </c>
      <c r="D130" s="24" t="s">
        <v>289</v>
      </c>
      <c r="E130" s="15">
        <v>42623.796446759261</v>
      </c>
      <c r="F130" s="15">
        <v>42623.79959490741</v>
      </c>
      <c r="G130" s="7">
        <v>1</v>
      </c>
      <c r="H130" s="15" t="s">
        <v>255</v>
      </c>
      <c r="I130" s="15">
        <v>42623.827766203707</v>
      </c>
      <c r="J130" s="7">
        <v>0</v>
      </c>
      <c r="K130" s="122" t="str">
        <f t="shared" si="71"/>
        <v>4045/4046</v>
      </c>
      <c r="L130" s="24" t="str">
        <f>VLOOKUP(A130,'Trips&amp;Operators'!$C$1:$E$10000,3,FALSE)</f>
        <v>CHANDLER</v>
      </c>
      <c r="M130" s="6">
        <f t="shared" si="72"/>
        <v>2.8171296296932269E-2</v>
      </c>
      <c r="N130" s="7">
        <f t="shared" si="73"/>
        <v>40.566666667582467</v>
      </c>
      <c r="O130" s="7"/>
      <c r="P130" s="7"/>
      <c r="Q130" s="25"/>
      <c r="R130" s="25"/>
      <c r="S130" s="37">
        <f t="shared" si="74"/>
        <v>1</v>
      </c>
      <c r="T130" s="52" t="str">
        <f t="shared" si="69"/>
        <v>Southbound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18:06:53-0600',mode:absolute,to:'2016-09-10 20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30" s="54" t="str">
        <f t="shared" si="76"/>
        <v>N</v>
      </c>
      <c r="X130" s="172">
        <f t="shared" si="82"/>
        <v>1</v>
      </c>
      <c r="Y130" s="69">
        <f t="shared" si="83"/>
        <v>23.2987</v>
      </c>
      <c r="Z130" s="69">
        <f t="shared" si="77"/>
        <v>1.52E-2</v>
      </c>
      <c r="AA130" s="69">
        <f t="shared" si="78"/>
        <v>23.2835</v>
      </c>
      <c r="AB130" s="66" t="str">
        <f>VLOOKUP(A130,Enforcements!$C$7:$K$21,8,0)</f>
        <v>Bulletin (2)</v>
      </c>
      <c r="AC130" s="62" t="str">
        <f>VLOOKUP(A130,Enforcements!$C$7:$E$21,3,0)</f>
        <v>GRADE CROSSING</v>
      </c>
      <c r="AD130" s="63" t="str">
        <f t="shared" si="70"/>
        <v>0218-10</v>
      </c>
      <c r="AE130" s="99" t="str">
        <f t="shared" si="79"/>
        <v>aws s3 cp s3://rtdc.mdm.uploadarchive/RTDC4045/2016-09-10/ "%USERPROFILE%\AppData\Local\Temp\OnboardLogs"\RTDC4045\2016-09-10 --recursive &amp; "%USERPROFILE%\Documents\GitHub\mrs-test-scripts\Headless Mode &amp; Sideloading\WalkAndUnGZ.bat" "%USERPROFILE%\AppData\Local\Temp\OnboardLogs"\RTDC4045\2016-09-10 &amp; aws s3 cp s3://rtdc.mdm.uploadarchive/RTDC4045/2016-09-11/ "%USERPROFILE%\AppData\Local\Temp\OnboardLogs"\RTDC4045\2016-09-11 --recursive &amp; "%USERPROFILE%\Documents\GitHub\mrs-test-scripts\Headless Mode &amp; Sideloading\WalkAndUnGZ.bat" "%USERPROFILE%\AppData\Local\Temp\OnboardLogs"\RTDC4045\2016-09-11</v>
      </c>
      <c r="AF130" s="96" t="str">
        <f t="shared" si="80"/>
        <v>"C:\Program Files (x86)\AstroGrep\AstroGrep.exe" /spath="%USERPROFILE%\AppData\Local\Temp\OnboardLogs" /stypes="*4045*20160911*" /stext=" 01:.+((SYSTEM_STATE.+slice.+state.+changed )|(ment ac)|(system.+state.+changed )|(\|lc)|(penalty)|(\[timeout)|(PRM\|1\|D)|(kpr)|(kdp))" /e /r /s</v>
      </c>
      <c r="AG130" s="1" t="str">
        <f t="shared" si="81"/>
        <v>EC</v>
      </c>
      <c r="AH130" s="100" t="str">
        <f t="shared" si="53"/>
        <v>"%USERPROFILE%\Documents\GitHub\eaglep3\Utilities\RefineRTDCRunTimes.py" --tripid 218-10 --locoid 4045 --swversion DE.1.0.7.0 --startMP 204:232987 --initTime 2016-09-10T19:06:53 --startdatetime 2016-09-10T19:11:25 --delay 1 --endMP 204:152 --enddatetime 2016-09-10T19:51:59 --enforcementcount 0 &gt;&gt;C:\Users\stu\Documents\GitHub\eaglep3-reporting\EC\2016-09-10-refined-times.txt</v>
      </c>
      <c r="AI130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{"issue":{"subject":"","project_id":79,"tracker_id":40,"status_id":1,"priority_id":2,"assigned_to_id":23,"start_date":"2016-09-10","description":"","custom_fields":[{"id":1,"name":"Subdivision","value":"EC"},{"id":4,"name":"Milepost","value":"23.2835"},{"id":17,"name":"Train ID","value":"218-10"},{"id":16,"name":"Locomotive ID","value":"4045"},{"id":130,"name":"Impact","value":""},{"id":150,"name":"Time of Event (Mountain Time)","value":"19:51:59"},{"id":151,"name":"Denver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650</v>
      </c>
      <c r="B131" s="7">
        <v>4014</v>
      </c>
      <c r="C131" s="24" t="s">
        <v>108</v>
      </c>
      <c r="D131" s="24" t="s">
        <v>238</v>
      </c>
      <c r="E131" s="15">
        <v>42623.766412037039</v>
      </c>
      <c r="F131" s="15">
        <v>42623.771226851852</v>
      </c>
      <c r="G131" s="7">
        <v>4</v>
      </c>
      <c r="H131" s="15" t="s">
        <v>287</v>
      </c>
      <c r="I131" s="15">
        <v>42623.796782407408</v>
      </c>
      <c r="J131" s="7">
        <v>0</v>
      </c>
      <c r="K131" s="122" t="str">
        <f t="shared" si="71"/>
        <v>4013/4014</v>
      </c>
      <c r="L131" s="24" t="str">
        <f>VLOOKUP(A131,'Trips&amp;Operators'!$C$1:$E$10000,3,FALSE)</f>
        <v>SWANSON</v>
      </c>
      <c r="M131" s="6">
        <f t="shared" si="72"/>
        <v>2.5555555555911269E-2</v>
      </c>
      <c r="N131" s="7">
        <f t="shared" si="73"/>
        <v>36.800000000512227</v>
      </c>
      <c r="O131" s="7"/>
      <c r="P131" s="7"/>
      <c r="Q131" s="25"/>
      <c r="R131" s="25"/>
      <c r="S131" s="37">
        <f t="shared" si="74"/>
        <v>1</v>
      </c>
      <c r="T131" s="52" t="str">
        <f t="shared" si="69"/>
        <v>NorthBound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17:23:38-0600',mode:absolute,to:'2016-09-10 20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31" s="54" t="str">
        <f t="shared" si="76"/>
        <v>N</v>
      </c>
      <c r="X131" s="172">
        <f t="shared" si="82"/>
        <v>1</v>
      </c>
      <c r="Y131" s="69">
        <f t="shared" si="83"/>
        <v>4.4600000000000001E-2</v>
      </c>
      <c r="Z131" s="69">
        <f t="shared" si="77"/>
        <v>23.3293</v>
      </c>
      <c r="AA131" s="69">
        <f t="shared" si="78"/>
        <v>23.284700000000001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70"/>
        <v>0219-10</v>
      </c>
      <c r="AE131" s="99" t="str">
        <f t="shared" si="79"/>
        <v>aws s3 cp s3://rtdc.mdm.uploadarchive/RTDC4014/2016-09-10/ "%USERPROFILE%\AppData\Local\Temp\OnboardLogs"\RTDC4014\2016-09-10 --recursive &amp; "%USERPROFILE%\Documents\GitHub\mrs-test-scripts\Headless Mode &amp; Sideloading\WalkAndUnGZ.bat" "%USERPROFILE%\AppData\Local\Temp\OnboardLogs"\RTDC4014\2016-09-10 &amp; aws s3 cp s3://rtdc.mdm.uploadarchive/RTDC4014/2016-09-11/ "%USERPROFILE%\AppData\Local\Temp\OnboardLogs"\RTDC4014\2016-09-11 --recursive &amp; "%USERPROFILE%\Documents\GitHub\mrs-test-scripts\Headless Mode &amp; Sideloading\WalkAndUnGZ.bat" "%USERPROFILE%\AppData\Local\Temp\OnboardLogs"\RTDC4014\2016-09-11</v>
      </c>
      <c r="AF131" s="96" t="str">
        <f t="shared" si="80"/>
        <v>"C:\Program Files (x86)\AstroGrep\AstroGrep.exe" /spath="%USERPROFILE%\AppData\Local\Temp\OnboardLogs" /stypes="*4014*20160911*" /stext=" 01:.+((SYSTEM_STATE.+slice.+state.+changed )|(ment ac)|(system.+state.+changed )|(\|lc)|(penalty)|(\[timeout)|(PRM\|1\|D)|(kpr)|(kdp))" /e /r /s</v>
      </c>
      <c r="AG131" s="1" t="str">
        <f t="shared" si="81"/>
        <v>EC</v>
      </c>
      <c r="AH131" s="100" t="str">
        <f t="shared" si="53"/>
        <v>"%USERPROFILE%\Documents\GitHub\eaglep3\Utilities\RefineRTDCRunTimes.py" --tripid 219-10 --locoid 4014 --swversion DE.1.0.7.0 --startMP 204:446 --initTime 2016-09-10T18:23:38 --startdatetime 2016-09-10T18:30:34 --delay 4 --endMP 204:233293 --enddatetime 2016-09-10T19:07:22 --enforcementcount 0 &gt;&gt;C:\Users\stu\Documents\GitHub\eaglep3-reporting\EC\2016-09-10-refined-times.txt</v>
      </c>
      <c r="AI131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{"issue":{"subject":"","project_id":79,"tracker_id":40,"status_id":1,"priority_id":2,"assigned_to_id":23,"start_date":"2016-09-10","description":"","custom_fields":[{"id":1,"name":"Subdivision","value":"EC"},{"id":4,"name":"Milepost","value":"23.2847"},{"id":17,"name":"Train ID","value":"219-10"},{"id":16,"name":"Locomotive ID","value":"4014"},{"id":130,"name":"Impact","value":""},{"id":150,"name":"Time of Event (Mountain Time)","value":"19:07:22"},{"id":151,"name":"Denver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651</v>
      </c>
      <c r="B132" s="7">
        <v>4013</v>
      </c>
      <c r="C132" s="24" t="s">
        <v>108</v>
      </c>
      <c r="D132" s="24" t="s">
        <v>338</v>
      </c>
      <c r="E132" s="15">
        <v>42623.798784722225</v>
      </c>
      <c r="F132" s="15">
        <v>42623.809976851851</v>
      </c>
      <c r="G132" s="7">
        <v>1</v>
      </c>
      <c r="H132" s="15" t="s">
        <v>246</v>
      </c>
      <c r="I132" s="15">
        <v>42623.841273148151</v>
      </c>
      <c r="J132" s="7">
        <v>0</v>
      </c>
      <c r="K132" s="122" t="str">
        <f t="shared" si="71"/>
        <v>4013/4014</v>
      </c>
      <c r="L132" s="24" t="str">
        <f>VLOOKUP(A132,'Trips&amp;Operators'!$C$1:$E$10000,3,FALSE)</f>
        <v>SWANSON</v>
      </c>
      <c r="M132" s="6">
        <f t="shared" si="72"/>
        <v>3.1296296299842652E-2</v>
      </c>
      <c r="N132" s="7">
        <f t="shared" si="73"/>
        <v>45.066666671773419</v>
      </c>
      <c r="O132" s="7"/>
      <c r="P132" s="7"/>
      <c r="Q132" s="25"/>
      <c r="R132" s="25"/>
      <c r="S132" s="37">
        <f t="shared" si="74"/>
        <v>1</v>
      </c>
      <c r="T132" s="52" t="str">
        <f t="shared" si="69"/>
        <v>Southbound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18:10:15-0600',mode:absolute,to:'2016-09-10 21:11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32" s="54" t="str">
        <f t="shared" si="76"/>
        <v>N</v>
      </c>
      <c r="X132" s="172">
        <f t="shared" si="82"/>
        <v>1</v>
      </c>
      <c r="Y132" s="69">
        <f t="shared" si="83"/>
        <v>23.297799999999999</v>
      </c>
      <c r="Z132" s="69">
        <f t="shared" si="77"/>
        <v>1.47E-2</v>
      </c>
      <c r="AA132" s="69">
        <f t="shared" si="78"/>
        <v>23.283099999999997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70"/>
        <v>0220-10</v>
      </c>
      <c r="AE132" s="99" t="str">
        <f t="shared" si="79"/>
        <v>aws s3 cp s3://rtdc.mdm.uploadarchive/RTDC4013/2016-09-10/ "%USERPROFILE%\AppData\Local\Temp\OnboardLogs"\RTDC4013\2016-09-10 --recursive &amp; "%USERPROFILE%\Documents\GitHub\mrs-test-scripts\Headless Mode &amp; Sideloading\WalkAndUnGZ.bat" "%USERPROFILE%\AppData\Local\Temp\OnboardLogs"\RTDC4013\2016-09-10 &amp; aws s3 cp s3://rtdc.mdm.uploadarchive/RTDC4013/2016-09-11/ "%USERPROFILE%\AppData\Local\Temp\OnboardLogs"\RTDC4013\2016-09-11 --recursive &amp; "%USERPROFILE%\Documents\GitHub\mrs-test-scripts\Headless Mode &amp; Sideloading\WalkAndUnGZ.bat" "%USERPROFILE%\AppData\Local\Temp\OnboardLogs"\RTDC4013\2016-09-11</v>
      </c>
      <c r="AF132" s="96" t="str">
        <f t="shared" si="80"/>
        <v>"C:\Program Files (x86)\AstroGrep\AstroGrep.exe" /spath="%USERPROFILE%\AppData\Local\Temp\OnboardLogs" /stypes="*4013*20160911*" /stext=" 02:.+((SYSTEM_STATE.+slice.+state.+changed )|(ment ac)|(system.+state.+changed )|(\|lc)|(penalty)|(\[timeout)|(PRM\|1\|D)|(kpr)|(kdp))" /e /r /s</v>
      </c>
      <c r="AG132" s="1" t="str">
        <f t="shared" si="81"/>
        <v>EC</v>
      </c>
      <c r="AH132" s="100" t="str">
        <f t="shared" si="53"/>
        <v>"%USERPROFILE%\Documents\GitHub\eaglep3\Utilities\RefineRTDCRunTimes.py" --tripid 220-10 --locoid 4013 --swversion DE.1.0.7.0 --startMP 204:232978 --initTime 2016-09-10T19:10:15 --startdatetime 2016-09-10T19:26:22 --delay 1 --endMP 204:147 --enddatetime 2016-09-10T20:11:26 --enforcementcount 0 &gt;&gt;C:\Users\stu\Documents\GitHub\eaglep3-reporting\EC\2016-09-10-refined-times.txt</v>
      </c>
      <c r="AI132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{"issue":{"subject":"","project_id":79,"tracker_id":40,"status_id":1,"priority_id":2,"assigned_to_id":23,"start_date":"2016-09-10","description":"","custom_fields":[{"id":1,"name":"Subdivision","value":"EC"},{"id":4,"name":"Milepost","value":"23.2831"},{"id":17,"name":"Train ID","value":"220-10"},{"id":16,"name":"Locomotive ID","value":"4013"},{"id":130,"name":"Impact","value":""},{"id":150,"name":"Time of Event (Mountain Time)","value":"20:11:26"},{"id":151,"name":"Denver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652</v>
      </c>
      <c r="B133" s="7">
        <v>4038</v>
      </c>
      <c r="C133" s="24" t="s">
        <v>108</v>
      </c>
      <c r="D133" s="24" t="s">
        <v>257</v>
      </c>
      <c r="E133" s="15">
        <v>42623.786400462966</v>
      </c>
      <c r="F133" s="15">
        <v>42623.791932870372</v>
      </c>
      <c r="G133" s="7">
        <v>1</v>
      </c>
      <c r="H133" s="15" t="s">
        <v>492</v>
      </c>
      <c r="I133" s="15">
        <v>42623.816574074073</v>
      </c>
      <c r="J133" s="7">
        <v>0</v>
      </c>
      <c r="K133" s="122" t="str">
        <f t="shared" si="71"/>
        <v>4037/4038</v>
      </c>
      <c r="L133" s="24" t="str">
        <f>VLOOKUP(A133,'Trips&amp;Operators'!$C$1:$E$10000,3,FALSE)</f>
        <v>LEVIN</v>
      </c>
      <c r="M133" s="6">
        <f t="shared" si="72"/>
        <v>2.4641203701321501E-2</v>
      </c>
      <c r="N133" s="7">
        <f t="shared" si="73"/>
        <v>35.483333329902962</v>
      </c>
      <c r="O133" s="7"/>
      <c r="P133" s="7"/>
      <c r="Q133" s="25"/>
      <c r="R133" s="25"/>
      <c r="S133" s="37">
        <f t="shared" si="74"/>
        <v>1</v>
      </c>
      <c r="T133" s="52" t="str">
        <f t="shared" si="69"/>
        <v>NorthBound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17:52:25-0600',mode:absolute,to:'2016-09-10 20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33" s="54" t="str">
        <f t="shared" si="76"/>
        <v>N</v>
      </c>
      <c r="X133" s="172">
        <f t="shared" si="82"/>
        <v>1</v>
      </c>
      <c r="Y133" s="69">
        <f t="shared" si="83"/>
        <v>4.3799999999999999E-2</v>
      </c>
      <c r="Z133" s="69">
        <f t="shared" si="77"/>
        <v>23.331099999999999</v>
      </c>
      <c r="AA133" s="69">
        <f t="shared" si="78"/>
        <v>23.287299999999998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70"/>
        <v>0221-10</v>
      </c>
      <c r="AE133" s="99" t="str">
        <f t="shared" si="79"/>
        <v>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 &amp; aws s3 cp s3://rtdc.mdm.uploadarchive/RTDC4038/2016-09-11/ "%USERPROFILE%\AppData\Local\Temp\OnboardLogs"\RTDC4038\2016-09-11 --recursive &amp; "%USERPROFILE%\Documents\GitHub\mrs-test-scripts\Headless Mode &amp; Sideloading\WalkAndUnGZ.bat" "%USERPROFILE%\AppData\Local\Temp\OnboardLogs"\RTDC4038\2016-09-11</v>
      </c>
      <c r="AF133" s="96" t="str">
        <f t="shared" si="80"/>
        <v>"C:\Program Files (x86)\AstroGrep\AstroGrep.exe" /spath="%USERPROFILE%\AppData\Local\Temp\OnboardLogs" /stypes="*4038*20160911*" /stext=" 01:.+((SYSTEM_STATE.+slice.+state.+changed )|(ment ac)|(system.+state.+changed )|(\|lc)|(penalty)|(\[timeout)|(PRM\|1\|D)|(kpr)|(kdp))" /e /r /s</v>
      </c>
      <c r="AG133" s="1" t="str">
        <f t="shared" si="81"/>
        <v>EC</v>
      </c>
      <c r="AH133" s="100" t="str">
        <f t="shared" si="53"/>
        <v>"%USERPROFILE%\Documents\GitHub\eaglep3\Utilities\RefineRTDCRunTimes.py" --tripid 221-10 --locoid 4038 --swversion DE.1.0.7.0 --startMP 204:438 --initTime 2016-09-10T18:52:25 --startdatetime 2016-09-10T19:00:23 --delay 1 --endMP 204:233311 --enddatetime 2016-09-10T19:35:52 --enforcementcount 0 &gt;&gt;C:\Users\stu\Documents\GitHub\eaglep3-reporting\EC\2016-09-10-refined-times.txt</v>
      </c>
      <c r="AI133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{"issue":{"subject":"","project_id":79,"tracker_id":40,"status_id":1,"priority_id":2,"assigned_to_id":23,"start_date":"2016-09-10","description":"","custom_fields":[{"id":1,"name":"Subdivision","value":"EC"},{"id":4,"name":"Milepost","value":"23.2873"},{"id":17,"name":"Train ID","value":"221-10"},{"id":16,"name":"Locomotive ID","value":"4038"},{"id":130,"name":"Impact","value":""},{"id":150,"name":"Time of Event (Mountain Time)","value":"19:35:52"},{"id":151,"name":"Denver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653</v>
      </c>
      <c r="B134" s="7">
        <v>4037</v>
      </c>
      <c r="C134" s="24" t="s">
        <v>108</v>
      </c>
      <c r="D134" s="24" t="s">
        <v>340</v>
      </c>
      <c r="E134" s="15">
        <v>42623.825787037036</v>
      </c>
      <c r="F134" s="15">
        <v>42623.830833333333</v>
      </c>
      <c r="G134" s="7">
        <v>1</v>
      </c>
      <c r="H134" s="15" t="s">
        <v>243</v>
      </c>
      <c r="I134" s="15">
        <v>42623.86310185185</v>
      </c>
      <c r="J134" s="7">
        <v>0</v>
      </c>
      <c r="K134" s="122" t="str">
        <f t="shared" si="71"/>
        <v>4037/4038</v>
      </c>
      <c r="L134" s="24" t="str">
        <f>VLOOKUP(A134,'Trips&amp;Operators'!$C$1:$E$10000,3,FALSE)</f>
        <v>LEVIN</v>
      </c>
      <c r="M134" s="6">
        <f t="shared" si="72"/>
        <v>3.2268518516502809E-2</v>
      </c>
      <c r="N134" s="7">
        <f t="shared" si="73"/>
        <v>46.466666663764045</v>
      </c>
      <c r="O134" s="7"/>
      <c r="P134" s="7"/>
      <c r="Q134" s="25"/>
      <c r="R134" s="25"/>
      <c r="S134" s="37">
        <f t="shared" si="74"/>
        <v>1</v>
      </c>
      <c r="T134" s="52" t="str">
        <f t="shared" si="69"/>
        <v>Southbound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18:49:08-0600',mode:absolute,to:'2016-09-10 21:42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34" s="54" t="str">
        <f t="shared" si="76"/>
        <v>N</v>
      </c>
      <c r="X134" s="172">
        <f t="shared" si="82"/>
        <v>1</v>
      </c>
      <c r="Y134" s="69">
        <f t="shared" si="83"/>
        <v>23.2988</v>
      </c>
      <c r="Z134" s="69">
        <f t="shared" si="77"/>
        <v>1.5800000000000002E-2</v>
      </c>
      <c r="AA134" s="69">
        <f t="shared" si="78"/>
        <v>23.283000000000001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70"/>
        <v>0222-10</v>
      </c>
      <c r="AE134" s="99" t="str">
        <f t="shared" si="79"/>
        <v>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 &amp; aws s3 cp s3://rtdc.mdm.uploadarchive/RTDC4037/2016-09-11/ "%USERPROFILE%\AppData\Local\Temp\OnboardLogs"\RTDC4037\2016-09-11 --recursive &amp; "%USERPROFILE%\Documents\GitHub\mrs-test-scripts\Headless Mode &amp; Sideloading\WalkAndUnGZ.bat" "%USERPROFILE%\AppData\Local\Temp\OnboardLogs"\RTDC4037\2016-09-11</v>
      </c>
      <c r="AF134" s="96" t="str">
        <f t="shared" si="80"/>
        <v>"C:\Program Files (x86)\AstroGrep\AstroGrep.exe" /spath="%USERPROFILE%\AppData\Local\Temp\OnboardLogs" /stypes="*4037*20160911*" /stext=" 02:.+((SYSTEM_STATE.+slice.+state.+changed )|(ment ac)|(system.+state.+changed )|(\|lc)|(penalty)|(\[timeout)|(PRM\|1\|D)|(kpr)|(kdp))" /e /r /s</v>
      </c>
      <c r="AG134" s="1" t="str">
        <f t="shared" si="81"/>
        <v>EC</v>
      </c>
      <c r="AH134" s="100" t="str">
        <f t="shared" si="53"/>
        <v>"%USERPROFILE%\Documents\GitHub\eaglep3\Utilities\RefineRTDCRunTimes.py" --tripid 222-10 --locoid 4037 --swversion DE.1.0.7.0 --startMP 204:232988 --initTime 2016-09-10T19:49:08 --startdatetime 2016-09-10T19:56:24 --delay 1 --endMP 204:158 --enddatetime 2016-09-10T20:42:52 --enforcementcount 0 &gt;&gt;C:\Users\stu\Documents\GitHub\eaglep3-reporting\EC\2016-09-10-refined-times.txt</v>
      </c>
      <c r="AI134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{"issue":{"subject":"","project_id":79,"tracker_id":40,"status_id":1,"priority_id":2,"assigned_to_id":23,"start_date":"2016-09-10","description":"","custom_fields":[{"id":1,"name":"Subdivision","value":"EC"},{"id":4,"name":"Milepost","value":"23.283"},{"id":17,"name":"Train ID","value":"222-10"},{"id":16,"name":"Locomotive ID","value":"4037"},{"id":130,"name":"Impact","value":""},{"id":150,"name":"Time of Event (Mountain Time)","value":"20:42:52"},{"id":151,"name":"Denver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654</v>
      </c>
      <c r="B135" s="7">
        <v>4011</v>
      </c>
      <c r="C135" s="24" t="s">
        <v>108</v>
      </c>
      <c r="D135" s="24" t="s">
        <v>264</v>
      </c>
      <c r="E135" s="15">
        <v>42623.807638888888</v>
      </c>
      <c r="F135" s="15">
        <v>42623.812743055554</v>
      </c>
      <c r="G135" s="7">
        <v>1</v>
      </c>
      <c r="H135" s="15" t="s">
        <v>284</v>
      </c>
      <c r="I135" s="15">
        <v>42623.837187500001</v>
      </c>
      <c r="J135" s="7">
        <v>0</v>
      </c>
      <c r="K135" s="122" t="str">
        <f t="shared" si="71"/>
        <v>4011/4012</v>
      </c>
      <c r="L135" s="24" t="str">
        <f>VLOOKUP(A135,'Trips&amp;Operators'!$C$1:$E$10000,3,FALSE)</f>
        <v>NEWELL</v>
      </c>
      <c r="M135" s="6">
        <f t="shared" si="72"/>
        <v>2.4444444446999114E-2</v>
      </c>
      <c r="N135" s="7">
        <f t="shared" si="73"/>
        <v>35.200000003678724</v>
      </c>
      <c r="O135" s="7"/>
      <c r="P135" s="7"/>
      <c r="Q135" s="25"/>
      <c r="R135" s="25"/>
      <c r="S135" s="37">
        <f t="shared" si="74"/>
        <v>1</v>
      </c>
      <c r="T135" s="52" t="str">
        <f t="shared" si="69"/>
        <v>NorthBound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18:23:00-0600',mode:absolute,to:'2016-09-10 21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35" s="54" t="str">
        <f t="shared" si="76"/>
        <v>N</v>
      </c>
      <c r="X135" s="172">
        <f t="shared" si="82"/>
        <v>1</v>
      </c>
      <c r="Y135" s="69">
        <f t="shared" si="83"/>
        <v>4.6600000000000003E-2</v>
      </c>
      <c r="Z135" s="69">
        <f t="shared" si="77"/>
        <v>23.331</v>
      </c>
      <c r="AA135" s="69">
        <f t="shared" si="78"/>
        <v>23.284399999999998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70"/>
        <v>0223-10</v>
      </c>
      <c r="AE135" s="99" t="str">
        <f t="shared" si="79"/>
        <v>aws s3 cp s3://rtdc.mdm.uploadarchive/RTDC4011/2016-09-10/ "%USERPROFILE%\AppData\Local\Temp\OnboardLogs"\RTDC4011\2016-09-10 --recursive &amp; "%USERPROFILE%\Documents\GitHub\mrs-test-scripts\Headless Mode &amp; Sideloading\WalkAndUnGZ.bat" "%USERPROFILE%\AppData\Local\Temp\OnboardLogs"\RTDC4011\2016-09-10 &amp; aws s3 cp s3://rtdc.mdm.uploadarchive/RTDC4011/2016-09-11/ "%USERPROFILE%\AppData\Local\Temp\OnboardLogs"\RTDC4011\2016-09-11 --recursive &amp; "%USERPROFILE%\Documents\GitHub\mrs-test-scripts\Headless Mode &amp; Sideloading\WalkAndUnGZ.bat" "%USERPROFILE%\AppData\Local\Temp\OnboardLogs"\RTDC4011\2016-09-11</v>
      </c>
      <c r="AF135" s="96" t="str">
        <f t="shared" si="80"/>
        <v>"C:\Program Files (x86)\AstroGrep\AstroGrep.exe" /spath="%USERPROFILE%\AppData\Local\Temp\OnboardLogs" /stypes="*4011*20160911*" /stext=" 02:.+((SYSTEM_STATE.+slice.+state.+changed )|(ment ac)|(system.+state.+changed )|(\|lc)|(penalty)|(\[timeout)|(PRM\|1\|D)|(kpr)|(kdp))" /e /r /s</v>
      </c>
      <c r="AG135" s="1" t="str">
        <f t="shared" si="81"/>
        <v>EC</v>
      </c>
      <c r="AH135" s="100" t="str">
        <f t="shared" si="53"/>
        <v>"%USERPROFILE%\Documents\GitHub\eaglep3\Utilities\RefineRTDCRunTimes.py" --tripid 223-10 --locoid 4011 --swversion DE.1.0.7.0 --startMP 204:466 --initTime 2016-09-10T19:23:00 --startdatetime 2016-09-10T19:30:21 --delay 1 --endMP 204:233310 --enddatetime 2016-09-10T20:05:33 --enforcementcount 0 &gt;&gt;C:\Users\stu\Documents\GitHub\eaglep3-reporting\EC\2016-09-10-refined-times.txt</v>
      </c>
      <c r="AI135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{"issue":{"subject":"","project_id":79,"tracker_id":40,"status_id":1,"priority_id":2,"assigned_to_id":23,"start_date":"2016-09-10","description":"","custom_fields":[{"id":1,"name":"Subdivision","value":"EC"},{"id":4,"name":"Milepost","value":"23.2844"},{"id":17,"name":"Train ID","value":"223-10"},{"id":16,"name":"Locomotive ID","value":"4011"},{"id":130,"name":"Impact","value":""},{"id":150,"name":"Time of Event (Mountain Time)","value":"20:05:33"},{"id":151,"name":"Denver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425</v>
      </c>
      <c r="B136" s="7">
        <v>4012</v>
      </c>
      <c r="C136" s="24" t="s">
        <v>108</v>
      </c>
      <c r="D136" s="24" t="s">
        <v>342</v>
      </c>
      <c r="E136" s="15">
        <v>42623.840763888889</v>
      </c>
      <c r="F136" s="15">
        <v>42623.851539351854</v>
      </c>
      <c r="G136" s="7">
        <v>0</v>
      </c>
      <c r="H136" s="15" t="s">
        <v>270</v>
      </c>
      <c r="I136" s="15">
        <v>42623.88113425926</v>
      </c>
      <c r="J136" s="7">
        <v>0</v>
      </c>
      <c r="K136" s="122" t="str">
        <f t="shared" si="71"/>
        <v>4011/4012</v>
      </c>
      <c r="L136" s="24" t="str">
        <f>VLOOKUP(A136,'Trips&amp;Operators'!$C$1:$E$10000,3,FALSE)</f>
        <v>NEWELL</v>
      </c>
      <c r="M136" s="6">
        <f t="shared" si="72"/>
        <v>2.9594907406135462E-2</v>
      </c>
      <c r="N136" s="7">
        <f t="shared" si="73"/>
        <v>42.616666664835066</v>
      </c>
      <c r="O136" s="7"/>
      <c r="P136" s="7"/>
      <c r="Q136" s="25"/>
      <c r="R136" s="25"/>
      <c r="S136" s="37">
        <f t="shared" si="74"/>
        <v>1</v>
      </c>
      <c r="T136" s="52" t="str">
        <f t="shared" si="69"/>
        <v>Southbound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19:10:42-0600',mode:absolute,to:'2016-09-10 22:08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36" s="54" t="str">
        <f t="shared" si="76"/>
        <v>N</v>
      </c>
      <c r="X136" s="172">
        <f t="shared" si="82"/>
        <v>1</v>
      </c>
      <c r="Y136" s="69">
        <f t="shared" si="83"/>
        <v>23.300599999999999</v>
      </c>
      <c r="Z136" s="69">
        <f t="shared" si="77"/>
        <v>1.5599999999999999E-2</v>
      </c>
      <c r="AA136" s="69">
        <f t="shared" si="78"/>
        <v>23.285</v>
      </c>
      <c r="AB136" s="66" t="str">
        <f>VLOOKUP(A136,Enforcements!$C$7:$K$21,8,0)</f>
        <v>Signal based authority (5)</v>
      </c>
      <c r="AC136" s="62" t="str">
        <f>VLOOKUP(A136,Enforcements!$C$7:$E$21,3,0)</f>
        <v>SIGNAL</v>
      </c>
      <c r="AD136" s="63" t="str">
        <f t="shared" si="70"/>
        <v>0224-10</v>
      </c>
      <c r="AE136" s="99" t="str">
        <f t="shared" si="79"/>
        <v>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 &amp; aws s3 cp s3://rtdc.mdm.uploadarchive/RTDC4012/2016-09-11/ "%USERPROFILE%\AppData\Local\Temp\OnboardLogs"\RTDC4012\2016-09-11 --recursive &amp; "%USERPROFILE%\Documents\GitHub\mrs-test-scripts\Headless Mode &amp; Sideloading\WalkAndUnGZ.bat" "%USERPROFILE%\AppData\Local\Temp\OnboardLogs"\RTDC4012\2016-09-11</v>
      </c>
      <c r="AF136" s="96" t="str">
        <f t="shared" si="80"/>
        <v>"C:\Program Files (x86)\AstroGrep\AstroGrep.exe" /spath="%USERPROFILE%\AppData\Local\Temp\OnboardLogs" /stypes="*4012*20160911*" /stext=" 03:.+((SYSTEM_STATE.+slice.+state.+changed )|(ment ac)|(system.+state.+changed )|(\|lc)|(penalty)|(\[timeout)|(PRM\|1\|D)|(kpr)|(kdp))" /e /r /s</v>
      </c>
      <c r="AG136" s="1" t="str">
        <f t="shared" si="81"/>
        <v>EC</v>
      </c>
      <c r="AH136" s="100" t="str">
        <f t="shared" si="53"/>
        <v>"%USERPROFILE%\Documents\GitHub\eaglep3\Utilities\RefineRTDCRunTimes.py" --tripid 224-10 --locoid 4012 --swversion DE.1.0.7.0 --startMP 204:233006 --initTime 2016-09-10T20:10:42 --startdatetime 2016-09-10T20:26:13 --delay 0 --endMP 204:156 --enddatetime 2016-09-10T21:08:50 --enforcementcount 0 &gt;&gt;C:\Users\stu\Documents\GitHub\eaglep3-reporting\EC\2016-09-10-refined-times.txt</v>
      </c>
      <c r="AI136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{"issue":{"subject":"","project_id":79,"tracker_id":40,"status_id":1,"priority_id":2,"assigned_to_id":23,"start_date":"2016-09-10","description":"","custom_fields":[{"id":1,"name":"Subdivision","value":"EC"},{"id":4,"name":"Milepost","value":"23.285"},{"id":17,"name":"Train ID","value":"224-10"},{"id":16,"name":"Locomotive ID","value":"4012"},{"id":130,"name":"Impact","value":""},{"id":150,"name":"Time of Event (Mountain Time)","value":"21:08:50"},{"id":151,"name":"Denver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424</v>
      </c>
      <c r="B137" s="7">
        <v>4046</v>
      </c>
      <c r="C137" s="24" t="s">
        <v>108</v>
      </c>
      <c r="D137" s="24" t="s">
        <v>241</v>
      </c>
      <c r="E137" s="15">
        <v>42623.83284722222</v>
      </c>
      <c r="F137" s="15">
        <v>42623.833865740744</v>
      </c>
      <c r="G137" s="7">
        <v>1</v>
      </c>
      <c r="H137" s="15" t="s">
        <v>655</v>
      </c>
      <c r="I137" s="15">
        <v>42623.858576388891</v>
      </c>
      <c r="J137" s="7">
        <v>0</v>
      </c>
      <c r="K137" s="122" t="str">
        <f t="shared" si="71"/>
        <v>4045/4046</v>
      </c>
      <c r="L137" s="24" t="str">
        <f>VLOOKUP(A137,'Trips&amp;Operators'!$C$1:$E$10000,3,FALSE)</f>
        <v>CHANDLER</v>
      </c>
      <c r="M137" s="6">
        <f t="shared" si="72"/>
        <v>2.47106481474475E-2</v>
      </c>
      <c r="N137" s="7">
        <f t="shared" si="73"/>
        <v>35.583333332324401</v>
      </c>
      <c r="O137" s="7"/>
      <c r="P137" s="7"/>
      <c r="Q137" s="25"/>
      <c r="R137" s="25"/>
      <c r="S137" s="37">
        <f t="shared" si="74"/>
        <v>1</v>
      </c>
      <c r="T137" s="52" t="str">
        <f t="shared" si="69"/>
        <v>NorthBound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18:59:18-0600',mode:absolute,to:'2016-09-10 21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37" s="54" t="str">
        <f t="shared" si="76"/>
        <v>N</v>
      </c>
      <c r="X137" s="172">
        <f t="shared" si="82"/>
        <v>1</v>
      </c>
      <c r="Y137" s="69">
        <f t="shared" si="83"/>
        <v>4.7100000000000003E-2</v>
      </c>
      <c r="Z137" s="69">
        <f t="shared" si="77"/>
        <v>23.325900000000001</v>
      </c>
      <c r="AA137" s="69">
        <f t="shared" si="78"/>
        <v>23.2788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70"/>
        <v>0225-10</v>
      </c>
      <c r="AE137" s="99" t="str">
        <f t="shared" si="79"/>
        <v>aws s3 cp s3://rtdc.mdm.uploadarchive/RTDC4046/2016-09-10/ "%USERPROFILE%\AppData\Local\Temp\OnboardLogs"\RTDC4046\2016-09-10 --recursive &amp; "%USERPROFILE%\Documents\GitHub\mrs-test-scripts\Headless Mode &amp; Sideloading\WalkAndUnGZ.bat" "%USERPROFILE%\AppData\Local\Temp\OnboardLogs"\RTDC4046\2016-09-10 &amp; aws s3 cp s3://rtdc.mdm.uploadarchive/RTDC4046/2016-09-11/ "%USERPROFILE%\AppData\Local\Temp\OnboardLogs"\RTDC4046\2016-09-11 --recursive &amp; "%USERPROFILE%\Documents\GitHub\mrs-test-scripts\Headless Mode &amp; Sideloading\WalkAndUnGZ.bat" "%USERPROFILE%\AppData\Local\Temp\OnboardLogs"\RTDC4046\2016-09-11</v>
      </c>
      <c r="AF137" s="96" t="str">
        <f t="shared" si="80"/>
        <v>"C:\Program Files (x86)\AstroGrep\AstroGrep.exe" /spath="%USERPROFILE%\AppData\Local\Temp\OnboardLogs" /stypes="*4046*20160911*" /stext=" 02:.+((SYSTEM_STATE.+slice.+state.+changed )|(ment ac)|(system.+state.+changed )|(\|lc)|(penalty)|(\[timeout)|(PRM\|1\|D)|(kpr)|(kdp))" /e /r /s</v>
      </c>
      <c r="AG137" s="1" t="str">
        <f t="shared" si="81"/>
        <v>EC</v>
      </c>
      <c r="AH137" s="100" t="str">
        <f t="shared" si="53"/>
        <v>"%USERPROFILE%\Documents\GitHub\eaglep3\Utilities\RefineRTDCRunTimes.py" --tripid 225-10 --locoid 4046 --swversion DE.1.0.7.0 --startMP 204:471 --initTime 2016-09-10T19:59:18 --startdatetime 2016-09-10T20:00:46 --delay 1 --endMP 204:233259 --enddatetime 2016-09-10T20:36:21 --enforcementcount 0 &gt;&gt;C:\Users\stu\Documents\GitHub\eaglep3-reporting\EC\2016-09-10-refined-times.txt</v>
      </c>
      <c r="AI137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{"issue":{"subject":"","project_id":79,"tracker_id":40,"status_id":1,"priority_id":2,"assigned_to_id":23,"start_date":"2016-09-10","description":"","custom_fields":[{"id":1,"name":"Subdivision","value":"EC"},{"id":4,"name":"Milepost","value":"23.2788"},{"id":17,"name":"Train ID","value":"225-10"},{"id":16,"name":"Locomotive ID","value":"4046"},{"id":130,"name":"Impact","value":""},{"id":150,"name":"Time of Event (Mountain Time)","value":"20:36:21"},{"id":151,"name":"Denver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656</v>
      </c>
      <c r="B138" s="7">
        <v>4045</v>
      </c>
      <c r="C138" s="24" t="s">
        <v>108</v>
      </c>
      <c r="D138" s="24" t="s">
        <v>657</v>
      </c>
      <c r="E138" s="15">
        <v>42623.870300925926</v>
      </c>
      <c r="F138" s="15">
        <v>42623.872569444444</v>
      </c>
      <c r="G138" s="7">
        <v>1</v>
      </c>
      <c r="H138" s="15" t="s">
        <v>240</v>
      </c>
      <c r="I138" s="15">
        <v>42623.903229166666</v>
      </c>
      <c r="J138" s="7">
        <v>0</v>
      </c>
      <c r="K138" s="122" t="str">
        <f t="shared" si="71"/>
        <v>4045/4046</v>
      </c>
      <c r="L138" s="24" t="str">
        <f>VLOOKUP(A138,'Trips&amp;Operators'!$C$1:$E$10000,3,FALSE)</f>
        <v>CHANDLER</v>
      </c>
      <c r="M138" s="6">
        <f t="shared" si="72"/>
        <v>3.0659722222480923E-2</v>
      </c>
      <c r="N138" s="7">
        <f t="shared" si="73"/>
        <v>44.150000000372529</v>
      </c>
      <c r="O138" s="7"/>
      <c r="P138" s="7"/>
      <c r="Q138" s="25"/>
      <c r="R138" s="25"/>
      <c r="S138" s="37">
        <f t="shared" si="74"/>
        <v>1</v>
      </c>
      <c r="T138" s="52" t="str">
        <f t="shared" si="69"/>
        <v>Southbound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19:53:14-0600',mode:absolute,to:'2016-09-10 22:40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38" s="54" t="str">
        <f t="shared" si="76"/>
        <v>N</v>
      </c>
      <c r="X138" s="172">
        <f t="shared" si="82"/>
        <v>1</v>
      </c>
      <c r="Y138" s="69">
        <f t="shared" si="83"/>
        <v>23.294599999999999</v>
      </c>
      <c r="Z138" s="69">
        <f t="shared" si="77"/>
        <v>1.6299999999999999E-2</v>
      </c>
      <c r="AA138" s="69">
        <f t="shared" si="78"/>
        <v>23.278299999999998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70"/>
        <v>0226-10</v>
      </c>
      <c r="AE138" s="99" t="str">
        <f t="shared" si="79"/>
        <v>aws s3 cp s3://rtdc.mdm.uploadarchive/RTDC4045/2016-09-10/ "%USERPROFILE%\AppData\Local\Temp\OnboardLogs"\RTDC4045\2016-09-10 --recursive &amp; "%USERPROFILE%\Documents\GitHub\mrs-test-scripts\Headless Mode &amp; Sideloading\WalkAndUnGZ.bat" "%USERPROFILE%\AppData\Local\Temp\OnboardLogs"\RTDC4045\2016-09-10 &amp; aws s3 cp s3://rtdc.mdm.uploadarchive/RTDC4045/2016-09-11/ "%USERPROFILE%\AppData\Local\Temp\OnboardLogs"\RTDC4045\2016-09-11 --recursive &amp; "%USERPROFILE%\Documents\GitHub\mrs-test-scripts\Headless Mode &amp; Sideloading\WalkAndUnGZ.bat" "%USERPROFILE%\AppData\Local\Temp\OnboardLogs"\RTDC4045\2016-09-11</v>
      </c>
      <c r="AF138" s="96" t="str">
        <f t="shared" si="80"/>
        <v>"C:\Program Files (x86)\AstroGrep\AstroGrep.exe" /spath="%USERPROFILE%\AppData\Local\Temp\OnboardLogs" /stypes="*4045*20160911*" /stext=" 03:.+((SYSTEM_STATE.+slice.+state.+changed )|(ment ac)|(system.+state.+changed )|(\|lc)|(penalty)|(\[timeout)|(PRM\|1\|D)|(kpr)|(kdp))" /e /r /s</v>
      </c>
      <c r="AG138" s="1" t="str">
        <f t="shared" si="81"/>
        <v>EC</v>
      </c>
      <c r="AH138" s="100" t="str">
        <f t="shared" si="53"/>
        <v>"%USERPROFILE%\Documents\GitHub\eaglep3\Utilities\RefineRTDCRunTimes.py" --tripid 226-10 --locoid 4045 --swversion DE.1.0.7.0 --startMP 204:232946 --initTime 2016-09-10T20:53:14 --startdatetime 2016-09-10T20:56:30 --delay 1 --endMP 204:163 --enddatetime 2016-09-10T21:40:39 --enforcementcount 0 &gt;&gt;C:\Users\stu\Documents\GitHub\eaglep3-reporting\EC\2016-09-10-refined-times.txt</v>
      </c>
      <c r="AI138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{"issue":{"subject":"","project_id":79,"tracker_id":40,"status_id":1,"priority_id":2,"assigned_to_id":23,"start_date":"2016-09-10","description":"","custom_fields":[{"id":1,"name":"Subdivision","value":"EC"},{"id":4,"name":"Milepost","value":"23.2783"},{"id":17,"name":"Train ID","value":"226-10"},{"id":16,"name":"Locomotive ID","value":"4045"},{"id":130,"name":"Impact","value":""},{"id":150,"name":"Time of Event (Mountain Time)","value":"21:40:39"},{"id":151,"name":"Denver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658</v>
      </c>
      <c r="B139" s="7">
        <v>4014</v>
      </c>
      <c r="C139" s="24" t="s">
        <v>108</v>
      </c>
      <c r="D139" s="24" t="s">
        <v>259</v>
      </c>
      <c r="E139" s="15">
        <v>42623.843807870369</v>
      </c>
      <c r="F139" s="15">
        <v>42623.854560185187</v>
      </c>
      <c r="G139" s="7">
        <v>1</v>
      </c>
      <c r="H139" s="15" t="s">
        <v>316</v>
      </c>
      <c r="I139" s="15">
        <v>42623.880486111113</v>
      </c>
      <c r="J139" s="7">
        <v>0</v>
      </c>
      <c r="K139" s="122" t="str">
        <f t="shared" si="71"/>
        <v>4013/4014</v>
      </c>
      <c r="L139" s="24" t="str">
        <f>VLOOKUP(A139,'Trips&amp;Operators'!$C$1:$E$10000,3,FALSE)</f>
        <v>SWANSON</v>
      </c>
      <c r="M139" s="6">
        <f t="shared" si="72"/>
        <v>2.5925925925548654E-2</v>
      </c>
      <c r="N139" s="7">
        <f t="shared" si="73"/>
        <v>37.333333332790062</v>
      </c>
      <c r="O139" s="7"/>
      <c r="P139" s="7"/>
      <c r="Q139" s="25"/>
      <c r="R139" s="25"/>
      <c r="S139" s="37">
        <f t="shared" si="74"/>
        <v>1</v>
      </c>
      <c r="T139" s="52" t="str">
        <f t="shared" si="69"/>
        <v>NorthBound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19:15:05-0600',mode:absolute,to:'2016-09-10 22:07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39" s="54" t="str">
        <f t="shared" si="76"/>
        <v>N</v>
      </c>
      <c r="X139" s="172">
        <f t="shared" si="82"/>
        <v>1</v>
      </c>
      <c r="Y139" s="69">
        <f t="shared" si="83"/>
        <v>4.5699999999999998E-2</v>
      </c>
      <c r="Z139" s="69">
        <f t="shared" si="77"/>
        <v>23.329499999999999</v>
      </c>
      <c r="AA139" s="69">
        <f t="shared" si="78"/>
        <v>23.283799999999999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70"/>
        <v>0227-10</v>
      </c>
      <c r="AE139" s="99" t="str">
        <f t="shared" si="79"/>
        <v>aws s3 cp s3://rtdc.mdm.uploadarchive/RTDC4014/2016-09-10/ "%USERPROFILE%\AppData\Local\Temp\OnboardLogs"\RTDC4014\2016-09-10 --recursive &amp; "%USERPROFILE%\Documents\GitHub\mrs-test-scripts\Headless Mode &amp; Sideloading\WalkAndUnGZ.bat" "%USERPROFILE%\AppData\Local\Temp\OnboardLogs"\RTDC4014\2016-09-10 &amp; aws s3 cp s3://rtdc.mdm.uploadarchive/RTDC4014/2016-09-11/ "%USERPROFILE%\AppData\Local\Temp\OnboardLogs"\RTDC4014\2016-09-11 --recursive &amp; "%USERPROFILE%\Documents\GitHub\mrs-test-scripts\Headless Mode &amp; Sideloading\WalkAndUnGZ.bat" "%USERPROFILE%\AppData\Local\Temp\OnboardLogs"\RTDC4014\2016-09-11</v>
      </c>
      <c r="AF139" s="96" t="str">
        <f t="shared" si="80"/>
        <v>"C:\Program Files (x86)\AstroGrep\AstroGrep.exe" /spath="%USERPROFILE%\AppData\Local\Temp\OnboardLogs" /stypes="*4014*20160911*" /stext=" 03:.+((SYSTEM_STATE.+slice.+state.+changed )|(ment ac)|(system.+state.+changed )|(\|lc)|(penalty)|(\[timeout)|(PRM\|1\|D)|(kpr)|(kdp))" /e /r /s</v>
      </c>
      <c r="AG139" s="1" t="str">
        <f t="shared" si="81"/>
        <v>EC</v>
      </c>
      <c r="AH139" s="100" t="str">
        <f t="shared" si="53"/>
        <v>"%USERPROFILE%\Documents\GitHub\eaglep3\Utilities\RefineRTDCRunTimes.py" --tripid 227-10 --locoid 4014 --swversion DE.1.0.7.0 --startMP 204:457 --initTime 2016-09-10T20:15:05 --startdatetime 2016-09-10T20:30:34 --delay 1 --endMP 204:233295 --enddatetime 2016-09-10T21:07:54 --enforcementcount 0 &gt;&gt;C:\Users\stu\Documents\GitHub\eaglep3-reporting\EC\2016-09-10-refined-times.txt</v>
      </c>
      <c r="AI139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{"issue":{"subject":"","project_id":79,"tracker_id":40,"status_id":1,"priority_id":2,"assigned_to_id":23,"start_date":"2016-09-10","description":"","custom_fields":[{"id":1,"name":"Subdivision","value":"EC"},{"id":4,"name":"Milepost","value":"23.2838"},{"id":17,"name":"Train ID","value":"227-10"},{"id":16,"name":"Locomotive ID","value":"4014"},{"id":130,"name":"Impact","value":""},{"id":150,"name":"Time of Event (Mountain Time)","value":"21:07:54"},{"id":151,"name":"Denver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659</v>
      </c>
      <c r="B140" s="7">
        <v>4013</v>
      </c>
      <c r="C140" s="24" t="s">
        <v>108</v>
      </c>
      <c r="D140" s="24" t="s">
        <v>336</v>
      </c>
      <c r="E140" s="15">
        <v>42623.887453703705</v>
      </c>
      <c r="F140" s="15">
        <v>42623.893576388888</v>
      </c>
      <c r="G140" s="7">
        <v>1</v>
      </c>
      <c r="H140" s="15" t="s">
        <v>235</v>
      </c>
      <c r="I140" s="15">
        <v>42623.923379629632</v>
      </c>
      <c r="J140" s="7">
        <v>0</v>
      </c>
      <c r="K140" s="122" t="str">
        <f t="shared" si="71"/>
        <v>4013/4014</v>
      </c>
      <c r="L140" s="24" t="str">
        <f>VLOOKUP(A140,'Trips&amp;Operators'!$C$1:$E$10000,3,FALSE)</f>
        <v>SWANSON</v>
      </c>
      <c r="M140" s="6">
        <f t="shared" si="72"/>
        <v>2.980324074451346E-2</v>
      </c>
      <c r="N140" s="7">
        <f t="shared" si="73"/>
        <v>42.916666672099382</v>
      </c>
      <c r="O140" s="7"/>
      <c r="P140" s="7"/>
      <c r="Q140" s="25"/>
      <c r="R140" s="25"/>
      <c r="S140" s="37">
        <f t="shared" si="74"/>
        <v>1</v>
      </c>
      <c r="T140" s="52" t="str">
        <f t="shared" si="69"/>
        <v>Southbound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20:17:56-0600',mode:absolute,to:'2016-09-10 23:09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0" s="54" t="str">
        <f t="shared" si="76"/>
        <v>N</v>
      </c>
      <c r="X140" s="172">
        <f t="shared" si="82"/>
        <v>1</v>
      </c>
      <c r="Y140" s="69">
        <f t="shared" si="83"/>
        <v>23.297499999999999</v>
      </c>
      <c r="Z140" s="69">
        <f t="shared" si="77"/>
        <v>1.49E-2</v>
      </c>
      <c r="AA140" s="69">
        <f t="shared" si="78"/>
        <v>23.282599999999999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70"/>
        <v>0228-10</v>
      </c>
      <c r="AE140" s="99" t="str">
        <f t="shared" si="79"/>
        <v>aws s3 cp s3://rtdc.mdm.uploadarchive/RTDC4013/2016-09-10/ "%USERPROFILE%\AppData\Local\Temp\OnboardLogs"\RTDC4013\2016-09-10 --recursive &amp; "%USERPROFILE%\Documents\GitHub\mrs-test-scripts\Headless Mode &amp; Sideloading\WalkAndUnGZ.bat" "%USERPROFILE%\AppData\Local\Temp\OnboardLogs"\RTDC4013\2016-09-10 &amp; aws s3 cp s3://rtdc.mdm.uploadarchive/RTDC4013/2016-09-11/ "%USERPROFILE%\AppData\Local\Temp\OnboardLogs"\RTDC4013\2016-09-11 --recursive &amp; "%USERPROFILE%\Documents\GitHub\mrs-test-scripts\Headless Mode &amp; Sideloading\WalkAndUnGZ.bat" "%USERPROFILE%\AppData\Local\Temp\OnboardLogs"\RTDC4013\2016-09-11</v>
      </c>
      <c r="AF140" s="96" t="str">
        <f t="shared" si="80"/>
        <v>"C:\Program Files (x86)\AstroGrep\AstroGrep.exe" /spath="%USERPROFILE%\AppData\Local\Temp\OnboardLogs" /stypes="*4013*20160911*" /stext=" 04:.+((SYSTEM_STATE.+slice.+state.+changed )|(ment ac)|(system.+state.+changed )|(\|lc)|(penalty)|(\[timeout)|(PRM\|1\|D)|(kpr)|(kdp))" /e /r /s</v>
      </c>
      <c r="AG140" s="1" t="str">
        <f t="shared" si="81"/>
        <v>EC</v>
      </c>
      <c r="AH140" s="100" t="str">
        <f t="shared" si="53"/>
        <v>"%USERPROFILE%\Documents\GitHub\eaglep3\Utilities\RefineRTDCRunTimes.py" --tripid 228-10 --locoid 4013 --swversion DE.1.0.7.0 --startMP 204:232975 --initTime 2016-09-10T21:17:56 --startdatetime 2016-09-10T21:26:45 --delay 1 --endMP 204:149 --enddatetime 2016-09-10T22:09:40 --enforcementcount 0 &gt;&gt;C:\Users\stu\Documents\GitHub\eaglep3-reporting\EC\2016-09-10-refined-times.txt</v>
      </c>
      <c r="AI140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{"issue":{"subject":"","project_id":79,"tracker_id":40,"status_id":1,"priority_id":2,"assigned_to_id":23,"start_date":"2016-09-10","description":"","custom_fields":[{"id":1,"name":"Subdivision","value":"EC"},{"id":4,"name":"Milepost","value":"23.2826"},{"id":17,"name":"Train ID","value":"228-10"},{"id":16,"name":"Locomotive ID","value":"4013"},{"id":130,"name":"Impact","value":""},{"id":150,"name":"Time of Event (Mountain Time)","value":"22:09:40"},{"id":151,"name":"Denver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660</v>
      </c>
      <c r="B141" s="7">
        <v>4038</v>
      </c>
      <c r="C141" s="24" t="s">
        <v>108</v>
      </c>
      <c r="D141" s="24" t="s">
        <v>254</v>
      </c>
      <c r="E141" s="15">
        <v>42623.86922453704</v>
      </c>
      <c r="F141" s="15">
        <v>42623.875451388885</v>
      </c>
      <c r="G141" s="7">
        <v>1</v>
      </c>
      <c r="H141" s="15" t="s">
        <v>297</v>
      </c>
      <c r="I141" s="15">
        <v>42623.900960648149</v>
      </c>
      <c r="J141" s="7">
        <v>0</v>
      </c>
      <c r="K141" s="122" t="str">
        <f t="shared" si="71"/>
        <v>4037/4038</v>
      </c>
      <c r="L141" s="24" t="str">
        <f>VLOOKUP(A141,'Trips&amp;Operators'!$C$1:$E$10000,3,FALSE)</f>
        <v>LEVIN</v>
      </c>
      <c r="M141" s="6">
        <f t="shared" si="72"/>
        <v>2.5509259263344575E-2</v>
      </c>
      <c r="N141" s="7">
        <f t="shared" si="73"/>
        <v>36.733333339216188</v>
      </c>
      <c r="O141" s="7"/>
      <c r="P141" s="7"/>
      <c r="Q141" s="25"/>
      <c r="R141" s="25"/>
      <c r="S141" s="37">
        <f t="shared" si="74"/>
        <v>1</v>
      </c>
      <c r="T141" s="52" t="str">
        <f t="shared" si="69"/>
        <v>NorthBound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19:51:41-0600',mode:absolute,to:'2016-09-10 22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41" s="54" t="str">
        <f t="shared" si="76"/>
        <v>N</v>
      </c>
      <c r="X141" s="172">
        <f t="shared" si="82"/>
        <v>1</v>
      </c>
      <c r="Y141" s="69">
        <f t="shared" si="83"/>
        <v>4.6199999999999998E-2</v>
      </c>
      <c r="Z141" s="69">
        <f t="shared" si="77"/>
        <v>23.330100000000002</v>
      </c>
      <c r="AA141" s="69">
        <f t="shared" si="78"/>
        <v>23.283900000000003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si="70"/>
        <v>0229-10</v>
      </c>
      <c r="AE141" s="99" t="str">
        <f t="shared" si="79"/>
        <v>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 &amp; aws s3 cp s3://rtdc.mdm.uploadarchive/RTDC4038/2016-09-11/ "%USERPROFILE%\AppData\Local\Temp\OnboardLogs"\RTDC4038\2016-09-11 --recursive &amp; "%USERPROFILE%\Documents\GitHub\mrs-test-scripts\Headless Mode &amp; Sideloading\WalkAndUnGZ.bat" "%USERPROFILE%\AppData\Local\Temp\OnboardLogs"\RTDC4038\2016-09-11</v>
      </c>
      <c r="AF141" s="96" t="str">
        <f t="shared" si="80"/>
        <v>"C:\Program Files (x86)\AstroGrep\AstroGrep.exe" /spath="%USERPROFILE%\AppData\Local\Temp\OnboardLogs" /stypes="*4038*20160911*" /stext=" 03:.+((SYSTEM_STATE.+slice.+state.+changed )|(ment ac)|(system.+state.+changed )|(\|lc)|(penalty)|(\[timeout)|(PRM\|1\|D)|(kpr)|(kdp))" /e /r /s</v>
      </c>
      <c r="AG141" s="1" t="str">
        <f t="shared" si="81"/>
        <v>EC</v>
      </c>
      <c r="AH141" s="100" t="str">
        <f t="shared" si="53"/>
        <v>"%USERPROFILE%\Documents\GitHub\eaglep3\Utilities\RefineRTDCRunTimes.py" --tripid 229-10 --locoid 4038 --swversion DE.1.0.7.0 --startMP 204:462 --initTime 2016-09-10T20:51:41 --startdatetime 2016-09-10T21:00:39 --delay 1 --endMP 204:233301 --enddatetime 2016-09-10T21:37:23 --enforcementcount 0 &gt;&gt;C:\Users\stu\Documents\GitHub\eaglep3-reporting\EC\2016-09-10-refined-times.txt</v>
      </c>
      <c r="AI141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{"issue":{"subject":"","project_id":79,"tracker_id":40,"status_id":1,"priority_id":2,"assigned_to_id":23,"start_date":"2016-09-10","description":"","custom_fields":[{"id":1,"name":"Subdivision","value":"EC"},{"id":4,"name":"Milepost","value":"23.2839"},{"id":17,"name":"Train ID","value":"229-10"},{"id":16,"name":"Locomotive ID","value":"4038"},{"id":130,"name":"Impact","value":""},{"id":150,"name":"Time of Event (Mountain Time)","value":"21:37:23"},{"id":151,"name":"Denver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661</v>
      </c>
      <c r="B142" s="7">
        <v>4037</v>
      </c>
      <c r="C142" s="24" t="s">
        <v>108</v>
      </c>
      <c r="D142" s="24" t="s">
        <v>299</v>
      </c>
      <c r="E142" s="15">
        <v>42623.910243055558</v>
      </c>
      <c r="F142" s="15">
        <v>42623.914189814815</v>
      </c>
      <c r="G142" s="7">
        <v>1</v>
      </c>
      <c r="H142" s="15" t="s">
        <v>235</v>
      </c>
      <c r="I142" s="15">
        <v>42623.943703703706</v>
      </c>
      <c r="J142" s="7">
        <v>0</v>
      </c>
      <c r="K142" s="122" t="str">
        <f t="shared" si="71"/>
        <v>4037/4038</v>
      </c>
      <c r="L142" s="24" t="str">
        <f>VLOOKUP(A142,'Trips&amp;Operators'!$C$1:$E$10000,3,FALSE)</f>
        <v>LEVIN</v>
      </c>
      <c r="M142" s="6">
        <f t="shared" si="72"/>
        <v>2.9513888890505768E-2</v>
      </c>
      <c r="N142" s="7">
        <f t="shared" si="73"/>
        <v>42.500000002328306</v>
      </c>
      <c r="O142" s="7"/>
      <c r="P142" s="7"/>
      <c r="Q142" s="25"/>
      <c r="R142" s="25"/>
      <c r="S142" s="37">
        <f t="shared" si="74"/>
        <v>1</v>
      </c>
      <c r="T142" s="52" t="str">
        <f t="shared" si="69"/>
        <v>Southbound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20:50:45-0600',mode:absolute,to:'2016-09-10 23:38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42" s="54" t="str">
        <f t="shared" si="76"/>
        <v>N</v>
      </c>
      <c r="X142" s="172">
        <f t="shared" si="82"/>
        <v>1</v>
      </c>
      <c r="Y142" s="69">
        <f t="shared" si="83"/>
        <v>23.298400000000001</v>
      </c>
      <c r="Z142" s="69">
        <f t="shared" si="77"/>
        <v>1.49E-2</v>
      </c>
      <c r="AA142" s="69">
        <f t="shared" si="78"/>
        <v>23.2835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70"/>
        <v>0230-10</v>
      </c>
      <c r="AE142" s="99" t="str">
        <f t="shared" si="79"/>
        <v>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 &amp; aws s3 cp s3://rtdc.mdm.uploadarchive/RTDC4037/2016-09-11/ "%USERPROFILE%\AppData\Local\Temp\OnboardLogs"\RTDC4037\2016-09-11 --recursive &amp; "%USERPROFILE%\Documents\GitHub\mrs-test-scripts\Headless Mode &amp; Sideloading\WalkAndUnGZ.bat" "%USERPROFILE%\AppData\Local\Temp\OnboardLogs"\RTDC4037\2016-09-11</v>
      </c>
      <c r="AF142" s="96" t="str">
        <f t="shared" si="80"/>
        <v>"C:\Program Files (x86)\AstroGrep\AstroGrep.exe" /spath="%USERPROFILE%\AppData\Local\Temp\OnboardLogs" /stypes="*4037*20160911*" /stext=" 04:.+((SYSTEM_STATE.+slice.+state.+changed )|(ment ac)|(system.+state.+changed )|(\|lc)|(penalty)|(\[timeout)|(PRM\|1\|D)|(kpr)|(kdp))" /e /r /s</v>
      </c>
      <c r="AG142" s="1" t="str">
        <f t="shared" si="81"/>
        <v>EC</v>
      </c>
      <c r="AH142" s="100" t="str">
        <f t="shared" si="53"/>
        <v>"%USERPROFILE%\Documents\GitHub\eaglep3\Utilities\RefineRTDCRunTimes.py" --tripid 230-10 --locoid 4037 --swversion DE.1.0.7.0 --startMP 204:232984 --initTime 2016-09-10T21:50:45 --startdatetime 2016-09-10T21:56:26 --delay 1 --endMP 204:149 --enddatetime 2016-09-10T22:38:56 --enforcementcount 0 &gt;&gt;C:\Users\stu\Documents\GitHub\eaglep3-reporting\EC\2016-09-10-refined-times.txt</v>
      </c>
      <c r="AI142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{"issue":{"subject":"","project_id":79,"tracker_id":40,"status_id":1,"priority_id":2,"assigned_to_id":23,"start_date":"2016-09-10","description":"","custom_fields":[{"id":1,"name":"Subdivision","value":"EC"},{"id":4,"name":"Milepost","value":"23.2835"},{"id":17,"name":"Train ID","value":"230-10"},{"id":16,"name":"Locomotive ID","value":"4037"},{"id":130,"name":"Impact","value":""},{"id":150,"name":"Time of Event (Mountain Time)","value":"22:38:56"},{"id":151,"name":"Denver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662</v>
      </c>
      <c r="B143" s="7">
        <v>4011</v>
      </c>
      <c r="C143" s="24" t="s">
        <v>108</v>
      </c>
      <c r="D143" s="24" t="s">
        <v>267</v>
      </c>
      <c r="E143" s="15">
        <v>42623.890729166669</v>
      </c>
      <c r="F143" s="15">
        <v>42623.896307870367</v>
      </c>
      <c r="G143" s="7">
        <v>1</v>
      </c>
      <c r="H143" s="15" t="s">
        <v>663</v>
      </c>
      <c r="I143" s="15">
        <v>42623.920590277776</v>
      </c>
      <c r="J143" s="7">
        <v>0</v>
      </c>
      <c r="K143" s="122" t="str">
        <f t="shared" si="71"/>
        <v>4011/4012</v>
      </c>
      <c r="L143" s="24" t="str">
        <f>VLOOKUP(A143,'Trips&amp;Operators'!$C$1:$E$10000,3,FALSE)</f>
        <v>NEWELL</v>
      </c>
      <c r="M143" s="6">
        <f t="shared" si="72"/>
        <v>2.4282407408463769E-2</v>
      </c>
      <c r="N143" s="7">
        <f t="shared" si="73"/>
        <v>34.966666668187827</v>
      </c>
      <c r="O143" s="7"/>
      <c r="P143" s="7"/>
      <c r="Q143" s="25"/>
      <c r="R143" s="25"/>
      <c r="S143" s="37">
        <f t="shared" si="74"/>
        <v>1</v>
      </c>
      <c r="T143" s="52" t="str">
        <f t="shared" si="69"/>
        <v>NorthBound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20:22:39-0600',mode:absolute,to:'2016-09-10 23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43" s="54" t="str">
        <f t="shared" si="76"/>
        <v>N</v>
      </c>
      <c r="X143" s="172">
        <f t="shared" si="82"/>
        <v>1</v>
      </c>
      <c r="Y143" s="69">
        <f t="shared" si="83"/>
        <v>4.3099999999999999E-2</v>
      </c>
      <c r="Z143" s="69">
        <f t="shared" si="77"/>
        <v>23.331800000000001</v>
      </c>
      <c r="AA143" s="69">
        <f t="shared" si="78"/>
        <v>23.288700000000002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70"/>
        <v>0231-10</v>
      </c>
      <c r="AE143" s="99" t="str">
        <f t="shared" si="79"/>
        <v>aws s3 cp s3://rtdc.mdm.uploadarchive/RTDC4011/2016-09-10/ "%USERPROFILE%\AppData\Local\Temp\OnboardLogs"\RTDC4011\2016-09-10 --recursive &amp; "%USERPROFILE%\Documents\GitHub\mrs-test-scripts\Headless Mode &amp; Sideloading\WalkAndUnGZ.bat" "%USERPROFILE%\AppData\Local\Temp\OnboardLogs"\RTDC4011\2016-09-10 &amp; aws s3 cp s3://rtdc.mdm.uploadarchive/RTDC4011/2016-09-11/ "%USERPROFILE%\AppData\Local\Temp\OnboardLogs"\RTDC4011\2016-09-11 --recursive &amp; "%USERPROFILE%\Documents\GitHub\mrs-test-scripts\Headless Mode &amp; Sideloading\WalkAndUnGZ.bat" "%USERPROFILE%\AppData\Local\Temp\OnboardLogs"\RTDC4011\2016-09-11</v>
      </c>
      <c r="AF143" s="96" t="str">
        <f t="shared" si="80"/>
        <v>"C:\Program Files (x86)\AstroGrep\AstroGrep.exe" /spath="%USERPROFILE%\AppData\Local\Temp\OnboardLogs" /stypes="*4011*20160911*" /stext=" 04:.+((SYSTEM_STATE.+slice.+state.+changed )|(ment ac)|(system.+state.+changed )|(\|lc)|(penalty)|(\[timeout)|(PRM\|1\|D)|(kpr)|(kdp))" /e /r /s</v>
      </c>
      <c r="AG143" s="1" t="str">
        <f t="shared" si="81"/>
        <v>EC</v>
      </c>
      <c r="AH143" s="100" t="str">
        <f t="shared" si="53"/>
        <v>"%USERPROFILE%\Documents\GitHub\eaglep3\Utilities\RefineRTDCRunTimes.py" --tripid 231-10 --locoid 4011 --swversion DE.1.0.7.0 --startMP 204:431 --initTime 2016-09-10T21:22:39 --startdatetime 2016-09-10T21:30:41 --delay 1 --endMP 204:233318 --enddatetime 2016-09-10T22:05:39 --enforcementcount 0 &gt;&gt;C:\Users\stu\Documents\GitHub\eaglep3-reporting\EC\2016-09-10-refined-times.txt</v>
      </c>
      <c r="AI143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{"issue":{"subject":"","project_id":79,"tracker_id":40,"status_id":1,"priority_id":2,"assigned_to_id":23,"start_date":"2016-09-10","description":"","custom_fields":[{"id":1,"name":"Subdivision","value":"EC"},{"id":4,"name":"Milepost","value":"23.2887"},{"id":17,"name":"Train ID","value":"231-10"},{"id":16,"name":"Locomotive ID","value":"4011"},{"id":130,"name":"Impact","value":""},{"id":150,"name":"Time of Event (Mountain Time)","value":"22:05:39"},{"id":151,"name":"Denver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426</v>
      </c>
      <c r="B144" s="7">
        <v>4012</v>
      </c>
      <c r="C144" s="24" t="s">
        <v>108</v>
      </c>
      <c r="D144" s="24" t="s">
        <v>299</v>
      </c>
      <c r="E144" s="15">
        <v>42623.922314814816</v>
      </c>
      <c r="F144" s="15">
        <v>42623.935196759259</v>
      </c>
      <c r="G144" s="7">
        <v>1</v>
      </c>
      <c r="H144" s="15" t="s">
        <v>311</v>
      </c>
      <c r="I144" s="15">
        <v>42623.960914351854</v>
      </c>
      <c r="J144" s="7">
        <v>0</v>
      </c>
      <c r="K144" s="122" t="str">
        <f t="shared" si="71"/>
        <v>4011/4012</v>
      </c>
      <c r="L144" s="24" t="str">
        <f>VLOOKUP(A144,'Trips&amp;Operators'!$C$1:$E$10000,3,FALSE)</f>
        <v>NEWELL</v>
      </c>
      <c r="M144" s="6">
        <f t="shared" si="72"/>
        <v>2.5717592594446614E-2</v>
      </c>
      <c r="N144" s="7">
        <f t="shared" si="73"/>
        <v>37.033333336003125</v>
      </c>
      <c r="O144" s="7"/>
      <c r="P144" s="7"/>
      <c r="Q144" s="25"/>
      <c r="R144" s="25"/>
      <c r="S144" s="37">
        <f t="shared" si="74"/>
        <v>1</v>
      </c>
      <c r="T144" s="52" t="str">
        <f t="shared" si="69"/>
        <v>Southbound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21:08:08-0600',mode:absolute,to:'2016-09-11 00:03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44" s="54" t="str">
        <f t="shared" si="76"/>
        <v>N</v>
      </c>
      <c r="X144" s="172">
        <f t="shared" si="82"/>
        <v>1</v>
      </c>
      <c r="Y144" s="69">
        <f t="shared" si="83"/>
        <v>23.298400000000001</v>
      </c>
      <c r="Z144" s="69">
        <f t="shared" si="77"/>
        <v>1.41E-2</v>
      </c>
      <c r="AA144" s="69">
        <f t="shared" si="78"/>
        <v>23.284300000000002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70"/>
        <v>0232-10</v>
      </c>
      <c r="AE144" s="99" t="str">
        <f t="shared" si="79"/>
        <v>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 &amp; aws s3 cp s3://rtdc.mdm.uploadarchive/RTDC4012/2016-09-11/ "%USERPROFILE%\AppData\Local\Temp\OnboardLogs"\RTDC4012\2016-09-11 --recursive &amp; "%USERPROFILE%\Documents\GitHub\mrs-test-scripts\Headless Mode &amp; Sideloading\WalkAndUnGZ.bat" "%USERPROFILE%\AppData\Local\Temp\OnboardLogs"\RTDC4012\2016-09-11</v>
      </c>
      <c r="AF144" s="96" t="str">
        <f t="shared" si="80"/>
        <v>"C:\Program Files (x86)\AstroGrep\AstroGrep.exe" /spath="%USERPROFILE%\AppData\Local\Temp\OnboardLogs" /stypes="*4012*20160911*" /stext=" 05:.+((SYSTEM_STATE.+slice.+state.+changed )|(ment ac)|(system.+state.+changed )|(\|lc)|(penalty)|(\[timeout)|(PRM\|1\|D)|(kpr)|(kdp))" /e /r /s</v>
      </c>
      <c r="AG144" s="1" t="str">
        <f t="shared" si="81"/>
        <v>EC</v>
      </c>
      <c r="AH144" s="100" t="str">
        <f t="shared" si="53"/>
        <v>"%USERPROFILE%\Documents\GitHub\eaglep3\Utilities\RefineRTDCRunTimes.py" --tripid 232-10 --locoid 4012 --swversion DE.1.0.7.0 --startMP 204:232984 --initTime 2016-09-10T22:08:08 --startdatetime 2016-09-10T22:26:41 --delay 1 --endMP 204:141 --enddatetime 2016-09-10T23:03:43 --enforcementcount 0 &gt;&gt;C:\Users\stu\Documents\GitHub\eaglep3-reporting\EC\2016-09-10-refined-times.txt</v>
      </c>
      <c r="AI144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{"issue":{"subject":"","project_id":79,"tracker_id":40,"status_id":1,"priority_id":2,"assigned_to_id":23,"start_date":"2016-09-10","description":"","custom_fields":[{"id":1,"name":"Subdivision","value":"EC"},{"id":4,"name":"Milepost","value":"23.2843"},{"id":17,"name":"Train ID","value":"232-10"},{"id":16,"name":"Locomotive ID","value":"4012"},{"id":130,"name":"Impact","value":""},{"id":150,"name":"Time of Event (Mountain Time)","value":"23:03:43"},{"id":151,"name":"Denver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664</v>
      </c>
      <c r="B145" s="7">
        <v>4046</v>
      </c>
      <c r="C145" s="24" t="s">
        <v>108</v>
      </c>
      <c r="D145" s="24" t="s">
        <v>259</v>
      </c>
      <c r="E145" s="15">
        <v>42623.913761574076</v>
      </c>
      <c r="F145" s="15">
        <v>42623.916944444441</v>
      </c>
      <c r="G145" s="7">
        <v>4</v>
      </c>
      <c r="H145" s="15" t="s">
        <v>248</v>
      </c>
      <c r="I145" s="15">
        <v>42623.941863425927</v>
      </c>
      <c r="J145" s="7">
        <v>0</v>
      </c>
      <c r="K145" s="122" t="str">
        <f t="shared" si="71"/>
        <v>4045/4046</v>
      </c>
      <c r="L145" s="24" t="str">
        <f>VLOOKUP(A145,'Trips&amp;Operators'!$C$1:$E$10000,3,FALSE)</f>
        <v>CHANDLER</v>
      </c>
      <c r="M145" s="6">
        <f t="shared" si="72"/>
        <v>2.4918981485825498E-2</v>
      </c>
      <c r="N145" s="7">
        <f t="shared" si="73"/>
        <v>35.883333339588717</v>
      </c>
      <c r="O145" s="7"/>
      <c r="P145" s="7"/>
      <c r="Q145" s="25"/>
      <c r="R145" s="25"/>
      <c r="S145" s="37">
        <f t="shared" si="74"/>
        <v>1</v>
      </c>
      <c r="T145" s="52" t="str">
        <f t="shared" si="69"/>
        <v>NorthBound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20:55:49-0600',mode:absolute,to:'2016-09-10 23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45" s="54" t="str">
        <f t="shared" si="76"/>
        <v>N</v>
      </c>
      <c r="X145" s="172">
        <f t="shared" si="82"/>
        <v>1</v>
      </c>
      <c r="Y145" s="69">
        <f t="shared" si="83"/>
        <v>4.5699999999999998E-2</v>
      </c>
      <c r="Z145" s="69">
        <f t="shared" si="77"/>
        <v>23.330200000000001</v>
      </c>
      <c r="AA145" s="69">
        <f t="shared" si="78"/>
        <v>23.284500000000001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70"/>
        <v>0233-10</v>
      </c>
      <c r="AE145" s="99" t="str">
        <f t="shared" si="79"/>
        <v>aws s3 cp s3://rtdc.mdm.uploadarchive/RTDC4046/2016-09-10/ "%USERPROFILE%\AppData\Local\Temp\OnboardLogs"\RTDC4046\2016-09-10 --recursive &amp; "%USERPROFILE%\Documents\GitHub\mrs-test-scripts\Headless Mode &amp; Sideloading\WalkAndUnGZ.bat" "%USERPROFILE%\AppData\Local\Temp\OnboardLogs"\RTDC4046\2016-09-10 &amp; aws s3 cp s3://rtdc.mdm.uploadarchive/RTDC4046/2016-09-11/ "%USERPROFILE%\AppData\Local\Temp\OnboardLogs"\RTDC4046\2016-09-11 --recursive &amp; "%USERPROFILE%\Documents\GitHub\mrs-test-scripts\Headless Mode &amp; Sideloading\WalkAndUnGZ.bat" "%USERPROFILE%\AppData\Local\Temp\OnboardLogs"\RTDC4046\2016-09-11</v>
      </c>
      <c r="AF145" s="96" t="str">
        <f t="shared" si="80"/>
        <v>"C:\Program Files (x86)\AstroGrep\AstroGrep.exe" /spath="%USERPROFILE%\AppData\Local\Temp\OnboardLogs" /stypes="*4046*20160911*" /stext=" 04:.+((SYSTEM_STATE.+slice.+state.+changed )|(ment ac)|(system.+state.+changed )|(\|lc)|(penalty)|(\[timeout)|(PRM\|1\|D)|(kpr)|(kdp))" /e /r /s</v>
      </c>
      <c r="AG145" s="1" t="str">
        <f t="shared" si="81"/>
        <v>EC</v>
      </c>
      <c r="AH145" s="100" t="str">
        <f t="shared" si="53"/>
        <v>"%USERPROFILE%\Documents\GitHub\eaglep3\Utilities\RefineRTDCRunTimes.py" --tripid 233-10 --locoid 4046 --swversion DE.1.0.7.0 --startMP 204:457 --initTime 2016-09-10T21:55:49 --startdatetime 2016-09-10T22:00:24 --delay 4 --endMP 204:233302 --enddatetime 2016-09-10T22:36:17 --enforcementcount 0 &gt;&gt;C:\Users\stu\Documents\GitHub\eaglep3-reporting\EC\2016-09-10-refined-times.txt</v>
      </c>
      <c r="AI145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{"issue":{"subject":"","project_id":79,"tracker_id":40,"status_id":1,"priority_id":2,"assigned_to_id":23,"start_date":"2016-09-10","description":"","custom_fields":[{"id":1,"name":"Subdivision","value":"EC"},{"id":4,"name":"Milepost","value":"23.2845"},{"id":17,"name":"Train ID","value":"233-10"},{"id":16,"name":"Locomotive ID","value":"4046"},{"id":130,"name":"Impact","value":""},{"id":150,"name":"Time of Event (Mountain Time)","value":"22:36:17"},{"id":151,"name":"Denver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665</v>
      </c>
      <c r="B146" s="7">
        <v>4045</v>
      </c>
      <c r="C146" s="24" t="s">
        <v>108</v>
      </c>
      <c r="D146" s="24" t="s">
        <v>272</v>
      </c>
      <c r="E146" s="15">
        <v>42623.953229166669</v>
      </c>
      <c r="F146" s="15">
        <v>42623.955925925926</v>
      </c>
      <c r="G146" s="7">
        <v>1</v>
      </c>
      <c r="H146" s="15" t="s">
        <v>243</v>
      </c>
      <c r="I146" s="15">
        <v>42623.984293981484</v>
      </c>
      <c r="J146" s="7">
        <v>0</v>
      </c>
      <c r="K146" s="122" t="str">
        <f t="shared" si="71"/>
        <v>4045/4046</v>
      </c>
      <c r="L146" s="24" t="str">
        <f>VLOOKUP(A146,'Trips&amp;Operators'!$C$1:$E$10000,3,FALSE)</f>
        <v>CHANDLER</v>
      </c>
      <c r="M146" s="6">
        <f t="shared" si="72"/>
        <v>2.8368055558530614E-2</v>
      </c>
      <c r="N146" s="7">
        <f t="shared" si="73"/>
        <v>40.850000004284084</v>
      </c>
      <c r="O146" s="7"/>
      <c r="P146" s="7"/>
      <c r="Q146" s="25"/>
      <c r="R146" s="25"/>
      <c r="S146" s="37">
        <f t="shared" si="74"/>
        <v>1</v>
      </c>
      <c r="T146" s="52" t="str">
        <f t="shared" si="69"/>
        <v>Southbound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21:52:39-0600',mode:absolute,to:'2016-09-11 00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46" s="54" t="str">
        <f t="shared" si="76"/>
        <v>N</v>
      </c>
      <c r="X146" s="172">
        <f t="shared" si="82"/>
        <v>1</v>
      </c>
      <c r="Y146" s="69">
        <f t="shared" si="83"/>
        <v>23.297699999999999</v>
      </c>
      <c r="Z146" s="69">
        <f t="shared" si="77"/>
        <v>1.5800000000000002E-2</v>
      </c>
      <c r="AA146" s="69">
        <f t="shared" si="78"/>
        <v>23.2819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70"/>
        <v>0234-10</v>
      </c>
      <c r="AE146" s="99" t="str">
        <f t="shared" si="79"/>
        <v>aws s3 cp s3://rtdc.mdm.uploadarchive/RTDC4045/2016-09-10/ "%USERPROFILE%\AppData\Local\Temp\OnboardLogs"\RTDC4045\2016-09-10 --recursive &amp; "%USERPROFILE%\Documents\GitHub\mrs-test-scripts\Headless Mode &amp; Sideloading\WalkAndUnGZ.bat" "%USERPROFILE%\AppData\Local\Temp\OnboardLogs"\RTDC4045\2016-09-10 &amp; aws s3 cp s3://rtdc.mdm.uploadarchive/RTDC4045/2016-09-11/ "%USERPROFILE%\AppData\Local\Temp\OnboardLogs"\RTDC4045\2016-09-11 --recursive &amp; "%USERPROFILE%\Documents\GitHub\mrs-test-scripts\Headless Mode &amp; Sideloading\WalkAndUnGZ.bat" "%USERPROFILE%\AppData\Local\Temp\OnboardLogs"\RTDC4045\2016-09-11</v>
      </c>
      <c r="AF146" s="96" t="str">
        <f t="shared" si="80"/>
        <v>"C:\Program Files (x86)\AstroGrep\AstroGrep.exe" /spath="%USERPROFILE%\AppData\Local\Temp\OnboardLogs" /stypes="*4045*20160911*" /stext=" 05:.+((SYSTEM_STATE.+slice.+state.+changed )|(ment ac)|(system.+state.+changed )|(\|lc)|(penalty)|(\[timeout)|(PRM\|1\|D)|(kpr)|(kdp))" /e /r /s</v>
      </c>
      <c r="AG146" s="1" t="str">
        <f t="shared" si="81"/>
        <v>EC</v>
      </c>
      <c r="AH146" s="100" t="str">
        <f t="shared" si="53"/>
        <v>"%USERPROFILE%\Documents\GitHub\eaglep3\Utilities\RefineRTDCRunTimes.py" --tripid 234-10 --locoid 4045 --swversion DE.1.0.7.0 --startMP 204:232977 --initTime 2016-09-10T22:52:39 --startdatetime 2016-09-10T22:56:32 --delay 1 --endMP 204:158 --enddatetime 2016-09-10T23:37:23 --enforcementcount 0 &gt;&gt;C:\Users\stu\Documents\GitHub\eaglep3-reporting\EC\2016-09-10-refined-times.txt</v>
      </c>
      <c r="AI146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{"issue":{"subject":"","project_id":79,"tracker_id":40,"status_id":1,"priority_id":2,"assigned_to_id":23,"start_date":"2016-09-10","description":"","custom_fields":[{"id":1,"name":"Subdivision","value":"EC"},{"id":4,"name":"Milepost","value":"23.2819"},{"id":17,"name":"Train ID","value":"234-10"},{"id":16,"name":"Locomotive ID","value":"4045"},{"id":130,"name":"Impact","value":""},{"id":150,"name":"Time of Event (Mountain Time)","value":"23:37:23"},{"id":151,"name":"Denver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666</v>
      </c>
      <c r="B147" s="7">
        <v>4014</v>
      </c>
      <c r="C147" s="24" t="s">
        <v>108</v>
      </c>
      <c r="D147" s="24" t="s">
        <v>261</v>
      </c>
      <c r="E147" s="15">
        <v>42623.927291666667</v>
      </c>
      <c r="F147" s="15">
        <v>42623.937731481485</v>
      </c>
      <c r="G147" s="7">
        <v>1</v>
      </c>
      <c r="H147" s="15" t="s">
        <v>251</v>
      </c>
      <c r="I147" s="15">
        <v>42623.963703703703</v>
      </c>
      <c r="J147" s="7">
        <v>0</v>
      </c>
      <c r="K147" s="122" t="str">
        <f t="shared" si="71"/>
        <v>4013/4014</v>
      </c>
      <c r="L147" s="24" t="str">
        <f>VLOOKUP(A147,'Trips&amp;Operators'!$C$1:$E$10000,3,FALSE)</f>
        <v>SWANSON</v>
      </c>
      <c r="M147" s="6">
        <f t="shared" si="72"/>
        <v>2.5972222218115348E-2</v>
      </c>
      <c r="N147" s="7">
        <f t="shared" si="73"/>
        <v>37.399999994086102</v>
      </c>
      <c r="O147" s="7"/>
      <c r="P147" s="7"/>
      <c r="Q147" s="25"/>
      <c r="R147" s="25"/>
      <c r="S147" s="37">
        <f t="shared" si="74"/>
        <v>1</v>
      </c>
      <c r="T147" s="52" t="str">
        <f t="shared" si="69"/>
        <v>NorthBound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21:15:18-0600',mode:absolute,to:'2016-09-11 00:07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47" s="54" t="str">
        <f t="shared" si="76"/>
        <v>N</v>
      </c>
      <c r="X147" s="172">
        <f t="shared" si="82"/>
        <v>1</v>
      </c>
      <c r="Y147" s="69">
        <f t="shared" si="83"/>
        <v>4.4699999999999997E-2</v>
      </c>
      <c r="Z147" s="69">
        <f t="shared" si="77"/>
        <v>23.3291</v>
      </c>
      <c r="AA147" s="69">
        <f t="shared" si="78"/>
        <v>23.284400000000002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70"/>
        <v>0235-10</v>
      </c>
      <c r="AE147" s="99" t="str">
        <f t="shared" si="79"/>
        <v>aws s3 cp s3://rtdc.mdm.uploadarchive/RTDC4014/2016-09-10/ "%USERPROFILE%\AppData\Local\Temp\OnboardLogs"\RTDC4014\2016-09-10 --recursive &amp; "%USERPROFILE%\Documents\GitHub\mrs-test-scripts\Headless Mode &amp; Sideloading\WalkAndUnGZ.bat" "%USERPROFILE%\AppData\Local\Temp\OnboardLogs"\RTDC4014\2016-09-10 &amp; aws s3 cp s3://rtdc.mdm.uploadarchive/RTDC4014/2016-09-11/ "%USERPROFILE%\AppData\Local\Temp\OnboardLogs"\RTDC4014\2016-09-11 --recursive &amp; "%USERPROFILE%\Documents\GitHub\mrs-test-scripts\Headless Mode &amp; Sideloading\WalkAndUnGZ.bat" "%USERPROFILE%\AppData\Local\Temp\OnboardLogs"\RTDC4014\2016-09-11</v>
      </c>
      <c r="AF147" s="96" t="str">
        <f t="shared" si="80"/>
        <v>"C:\Program Files (x86)\AstroGrep\AstroGrep.exe" /spath="%USERPROFILE%\AppData\Local\Temp\OnboardLogs" /stypes="*4014*20160911*" /stext=" 05:.+((SYSTEM_STATE.+slice.+state.+changed )|(ment ac)|(system.+state.+changed )|(\|lc)|(penalty)|(\[timeout)|(PRM\|1\|D)|(kpr)|(kdp))" /e /r /s</v>
      </c>
      <c r="AG147" s="1" t="str">
        <f t="shared" si="81"/>
        <v>EC</v>
      </c>
      <c r="AH147" s="100" t="str">
        <f t="shared" si="53"/>
        <v>"%USERPROFILE%\Documents\GitHub\eaglep3\Utilities\RefineRTDCRunTimes.py" --tripid 235-10 --locoid 4014 --swversion DE.1.0.7.0 --startMP 204:447 --initTime 2016-09-10T22:15:18 --startdatetime 2016-09-10T22:30:20 --delay 1 --endMP 204:233291 --enddatetime 2016-09-10T23:07:44 --enforcementcount 0 &gt;&gt;C:\Users\stu\Documents\GitHub\eaglep3-reporting\EC\2016-09-10-refined-times.txt</v>
      </c>
      <c r="AI147" s="137" t="str">
        <f t="shared" si="54"/>
        <v>echo {"issue":{"subject":"","project_id":79,"tracker_id":40,"status_id":1,"priority_id":2,"assigned_to_id":23,"start_date":"2016-09-10","description":"","custom_fields":[{"id":1,"name":"Subdivision","value":"EC"},{"id":4,"name":"Milepost","value":"23.2844"},{"id":17,"name":"Train ID","value":"235-10"},{"id":16,"name":"Locomotive ID","value":"4014"},{"id":130,"name":"Impact","value":""},{"id":150,"name":"Time of Event (Mountain Time)","value":"23:07:44"},{"id":151,"name":"Denver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667</v>
      </c>
      <c r="B148" s="7">
        <v>4013</v>
      </c>
      <c r="C148" s="24" t="s">
        <v>108</v>
      </c>
      <c r="D148" s="24" t="s">
        <v>272</v>
      </c>
      <c r="E148" s="15">
        <v>42623.966261574074</v>
      </c>
      <c r="F148" s="15">
        <v>42623.976863425924</v>
      </c>
      <c r="G148" s="7">
        <v>1</v>
      </c>
      <c r="H148" s="15" t="s">
        <v>341</v>
      </c>
      <c r="I148" s="15">
        <v>42624.004201388889</v>
      </c>
      <c r="J148" s="7">
        <v>0</v>
      </c>
      <c r="K148" s="122" t="str">
        <f t="shared" si="71"/>
        <v>4013/4014</v>
      </c>
      <c r="L148" s="24" t="str">
        <f>VLOOKUP(A148,'Trips&amp;Operators'!$C$1:$E$10000,3,FALSE)</f>
        <v>SWANSON</v>
      </c>
      <c r="M148" s="6">
        <f t="shared" si="72"/>
        <v>2.7337962965248153E-2</v>
      </c>
      <c r="N148" s="7">
        <f t="shared" si="73"/>
        <v>39.36666666995734</v>
      </c>
      <c r="O148" s="7"/>
      <c r="P148" s="7"/>
      <c r="Q148" s="25"/>
      <c r="R148" s="25"/>
      <c r="S148" s="37">
        <f t="shared" si="74"/>
        <v>1</v>
      </c>
      <c r="T148" s="52" t="str">
        <f t="shared" ref="T148:T179" si="84">IF(ISEVEN(LEFT(AD148,4)),"Southbound","NorthBound")</f>
        <v>Southbound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22:11:25-0600',mode:absolute,to:'2016-09-11 01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8" s="54" t="str">
        <f t="shared" si="76"/>
        <v>N</v>
      </c>
      <c r="X148" s="172">
        <f t="shared" si="82"/>
        <v>1</v>
      </c>
      <c r="Y148" s="69">
        <f t="shared" si="83"/>
        <v>23.297699999999999</v>
      </c>
      <c r="Z148" s="69">
        <f t="shared" si="77"/>
        <v>1.38E-2</v>
      </c>
      <c r="AA148" s="69">
        <f t="shared" si="78"/>
        <v>23.283899999999999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70"/>
        <v>0236-10</v>
      </c>
      <c r="AE148" s="99" t="str">
        <f t="shared" si="79"/>
        <v>aws s3 cp s3://rtdc.mdm.uploadarchive/RTDC4013/2016-09-10/ "%USERPROFILE%\AppData\Local\Temp\OnboardLogs"\RTDC4013\2016-09-10 --recursive &amp; "%USERPROFILE%\Documents\GitHub\mrs-test-scripts\Headless Mode &amp; Sideloading\WalkAndUnGZ.bat" "%USERPROFILE%\AppData\Local\Temp\OnboardLogs"\RTDC4013\2016-09-10 &amp; aws s3 cp s3://rtdc.mdm.uploadarchive/RTDC4013/2016-09-11/ "%USERPROFILE%\AppData\Local\Temp\OnboardLogs"\RTDC4013\2016-09-11 --recursive &amp; "%USERPROFILE%\Documents\GitHub\mrs-test-scripts\Headless Mode &amp; Sideloading\WalkAndUnGZ.bat" "%USERPROFILE%\AppData\Local\Temp\OnboardLogs"\RTDC4013\2016-09-11</v>
      </c>
      <c r="AF148" s="96" t="str">
        <f t="shared" si="80"/>
        <v>"C:\Program Files (x86)\AstroGrep\AstroGrep.exe" /spath="%USERPROFILE%\AppData\Local\Temp\OnboardLogs" /stypes="*4013*20160911*" /stext=" 06:.+((SYSTEM_STATE.+slice.+state.+changed )|(ment ac)|(system.+state.+changed )|(\|lc)|(penalty)|(\[timeout)|(PRM\|1\|D)|(kpr)|(kdp))" /e /r /s</v>
      </c>
      <c r="AG148" s="1" t="str">
        <f t="shared" si="81"/>
        <v>EC</v>
      </c>
      <c r="AH148" s="100" t="str">
        <f t="shared" si="53"/>
        <v>"%USERPROFILE%\Documents\GitHub\eaglep3\Utilities\RefineRTDCRunTimes.py" --tripid 236-10 --locoid 4013 --swversion DE.1.0.7.0 --startMP 204:232977 --initTime 2016-09-10T23:11:25 --startdatetime 2016-09-10T23:26:41 --delay 1 --endMP 204:138 --enddatetime 2016-09-11T00:06:03 --enforcementcount 0 &gt;&gt;C:\Users\stu\Documents\GitHub\eaglep3-reporting\EC\2016-09-10-refined-times.txt</v>
      </c>
      <c r="AI148" s="137" t="str">
        <f t="shared" si="54"/>
        <v>echo {"issue":{"subject":"","project_id":79,"tracker_id":40,"status_id":1,"priority_id":2,"assigned_to_id":23,"start_date":"2016-09-11","description":"","custom_fields":[{"id":1,"name":"Subdivision","value":"EC"},{"id":4,"name":"Milepost","value":"23.2839"},{"id":17,"name":"Train ID","value":"236-10"},{"id":16,"name":"Locomotive ID","value":"4013"},{"id":130,"name":"Impact","value":""},{"id":150,"name":"Time of Event (Mountain Time)","value":"00:06:03"},{"id":151,"name":"Denver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427</v>
      </c>
      <c r="B149" s="7">
        <v>4038</v>
      </c>
      <c r="C149" s="24" t="s">
        <v>108</v>
      </c>
      <c r="D149" s="24" t="s">
        <v>451</v>
      </c>
      <c r="E149" s="15">
        <v>42623.954375000001</v>
      </c>
      <c r="F149" s="15">
        <v>42623.95857638889</v>
      </c>
      <c r="G149" s="7">
        <v>1</v>
      </c>
      <c r="H149" s="15" t="s">
        <v>630</v>
      </c>
      <c r="I149" s="15">
        <v>42623.984131944446</v>
      </c>
      <c r="J149" s="7">
        <v>0</v>
      </c>
      <c r="K149" s="122" t="str">
        <f t="shared" si="71"/>
        <v>4037/4038</v>
      </c>
      <c r="L149" s="24" t="str">
        <f>VLOOKUP(A149,'Trips&amp;Operators'!$C$1:$E$10000,3,FALSE)</f>
        <v>LEVIN</v>
      </c>
      <c r="M149" s="6">
        <f t="shared" si="72"/>
        <v>2.5555555555911269E-2</v>
      </c>
      <c r="N149" s="7">
        <f t="shared" si="73"/>
        <v>36.800000000512227</v>
      </c>
      <c r="O149" s="7"/>
      <c r="P149" s="7"/>
      <c r="Q149" s="25"/>
      <c r="R149" s="25"/>
      <c r="S149" s="37">
        <f t="shared" si="74"/>
        <v>1</v>
      </c>
      <c r="T149" s="52" t="str">
        <f t="shared" si="84"/>
        <v>NorthBound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21:54:18-0600',mode:absolute,to:'2016-09-11 00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49" s="54" t="str">
        <f t="shared" si="76"/>
        <v>N</v>
      </c>
      <c r="X149" s="172">
        <f t="shared" si="82"/>
        <v>1</v>
      </c>
      <c r="Y149" s="69">
        <f t="shared" si="83"/>
        <v>4.6899999999999997E-2</v>
      </c>
      <c r="Z149" s="69">
        <f t="shared" si="77"/>
        <v>23.332899999999999</v>
      </c>
      <c r="AA149" s="69">
        <f t="shared" si="78"/>
        <v>23.285999999999998</v>
      </c>
      <c r="AB149" s="66" t="str">
        <f>VLOOKUP(A149,Enforcements!$C$7:$K$21,8,0)</f>
        <v>Track device (7)</v>
      </c>
      <c r="AC149" s="62" t="str">
        <f>VLOOKUP(A149,Enforcements!$C$7:$E$21,3,0)</f>
        <v>SWITCH UNKNOWN</v>
      </c>
      <c r="AD149" s="63" t="str">
        <f t="shared" si="70"/>
        <v>0237-10</v>
      </c>
      <c r="AE149" s="99" t="str">
        <f t="shared" si="79"/>
        <v>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 &amp; aws s3 cp s3://rtdc.mdm.uploadarchive/RTDC4038/2016-09-11/ "%USERPROFILE%\AppData\Local\Temp\OnboardLogs"\RTDC4038\2016-09-11 --recursive &amp; "%USERPROFILE%\Documents\GitHub\mrs-test-scripts\Headless Mode &amp; Sideloading\WalkAndUnGZ.bat" "%USERPROFILE%\AppData\Local\Temp\OnboardLogs"\RTDC4038\2016-09-11</v>
      </c>
      <c r="AF149" s="96" t="str">
        <f t="shared" si="80"/>
        <v>"C:\Program Files (x86)\AstroGrep\AstroGrep.exe" /spath="%USERPROFILE%\AppData\Local\Temp\OnboardLogs" /stypes="*4038*20160911*" /stext=" 05:.+((SYSTEM_STATE.+slice.+state.+changed )|(ment ac)|(system.+state.+changed )|(\|lc)|(penalty)|(\[timeout)|(PRM\|1\|D)|(kpr)|(kdp))" /e /r /s</v>
      </c>
      <c r="AG149" s="1" t="str">
        <f t="shared" si="81"/>
        <v>EC</v>
      </c>
      <c r="AH149" s="100" t="str">
        <f t="shared" ref="AH149:AH202" si="85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237-10 --locoid 4038 --swversion DE.1.0.7.0 --startMP 204:469 --initTime 2016-09-10T22:54:18 --startdatetime 2016-09-10T23:00:21 --delay 1 --endMP 204:233329 --enddatetime 2016-09-10T23:37:09 --enforcementcount 0 &gt;&gt;C:\Users\stu\Documents\GitHub\eaglep3-reporting\EC\2016-09-10-refined-times.txt</v>
      </c>
      <c r="AI149" s="137" t="str">
        <f t="shared" ref="AI149:AI202" si="86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AA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{"issue":{"subject":"","project_id":79,"tracker_id":40,"status_id":1,"priority_id":2,"assigned_to_id":23,"start_date":"2016-09-10","description":"","custom_fields":[{"id":1,"name":"Subdivision","value":"EC"},{"id":4,"name":"Milepost","value":"23.286"},{"id":17,"name":"Train ID","value":"237-10"},{"id":16,"name":"Locomotive ID","value":"4038"},{"id":130,"name":"Impact","value":""},{"id":150,"name":"Time of Event (Mountain Time)","value":"23:37:09"},{"id":151,"name":"Denver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668</v>
      </c>
      <c r="B150" s="7">
        <v>4037</v>
      </c>
      <c r="C150" s="24" t="s">
        <v>108</v>
      </c>
      <c r="D150" s="24" t="s">
        <v>475</v>
      </c>
      <c r="E150" s="15">
        <v>42623.993252314816</v>
      </c>
      <c r="F150" s="15">
        <v>42623.997465277775</v>
      </c>
      <c r="G150" s="7">
        <v>1</v>
      </c>
      <c r="H150" s="15" t="s">
        <v>131</v>
      </c>
      <c r="I150" s="15">
        <v>42624.023773148147</v>
      </c>
      <c r="J150" s="7">
        <v>0</v>
      </c>
      <c r="K150" s="122" t="str">
        <f t="shared" si="71"/>
        <v>4037/4038</v>
      </c>
      <c r="L150" s="24" t="str">
        <f>VLOOKUP(A150,'Trips&amp;Operators'!$C$1:$E$10000,3,FALSE)</f>
        <v>LEVIN</v>
      </c>
      <c r="M150" s="6">
        <f t="shared" si="72"/>
        <v>2.6307870371965691E-2</v>
      </c>
      <c r="N150" s="7">
        <f t="shared" si="73"/>
        <v>37.883333335630596</v>
      </c>
      <c r="O150" s="7"/>
      <c r="P150" s="7"/>
      <c r="Q150" s="25"/>
      <c r="R150" s="25"/>
      <c r="S150" s="37">
        <f t="shared" si="74"/>
        <v>1</v>
      </c>
      <c r="T150" s="52" t="str">
        <f t="shared" si="84"/>
        <v>Southbound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22:50:17-0600',mode:absolute,to:'2016-09-11 01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50" s="54" t="str">
        <f t="shared" si="76"/>
        <v>N</v>
      </c>
      <c r="X150" s="172">
        <f t="shared" si="82"/>
        <v>1</v>
      </c>
      <c r="Y150" s="69">
        <f t="shared" si="83"/>
        <v>23.3002</v>
      </c>
      <c r="Z150" s="69">
        <f t="shared" si="77"/>
        <v>1.54E-2</v>
      </c>
      <c r="AA150" s="69">
        <f t="shared" si="78"/>
        <v>23.284800000000001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70"/>
        <v>0238-10</v>
      </c>
      <c r="AE150" s="99" t="str">
        <f t="shared" si="79"/>
        <v>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 &amp; aws s3 cp s3://rtdc.mdm.uploadarchive/RTDC4037/2016-09-11/ "%USERPROFILE%\AppData\Local\Temp\OnboardLogs"\RTDC4037\2016-09-11 --recursive &amp; "%USERPROFILE%\Documents\GitHub\mrs-test-scripts\Headless Mode &amp; Sideloading\WalkAndUnGZ.bat" "%USERPROFILE%\AppData\Local\Temp\OnboardLogs"\RTDC4037\2016-09-11</v>
      </c>
      <c r="AF150" s="96" t="str">
        <f t="shared" si="80"/>
        <v>"C:\Program Files (x86)\AstroGrep\AstroGrep.exe" /spath="%USERPROFILE%\AppData\Local\Temp\OnboardLogs" /stypes="*4037*20160911*" /stext=" 06:.+((SYSTEM_STATE.+slice.+state.+changed )|(ment ac)|(system.+state.+changed )|(\|lc)|(penalty)|(\[timeout)|(PRM\|1\|D)|(kpr)|(kdp))" /e /r /s</v>
      </c>
      <c r="AG150" s="1" t="str">
        <f t="shared" si="81"/>
        <v>EC</v>
      </c>
      <c r="AH150" s="100" t="str">
        <f t="shared" si="85"/>
        <v>"%USERPROFILE%\Documents\GitHub\eaglep3\Utilities\RefineRTDCRunTimes.py" --tripid 238-10 --locoid 4037 --swversion DE.1.0.7.0 --startMP 204:233002 --initTime 2016-09-10T23:50:17 --startdatetime 2016-09-10T23:56:21 --delay 1 --endMP 204:154 --enddatetime 2016-09-11T00:34:14 --enforcementcount 0 &gt;&gt;C:\Users\stu\Documents\GitHub\eaglep3-reporting\EC\2016-09-10-refined-times.txt</v>
      </c>
      <c r="AI150" s="137" t="str">
        <f t="shared" si="86"/>
        <v>echo {"issue":{"subject":"","project_id":79,"tracker_id":40,"status_id":1,"priority_id":2,"assigned_to_id":23,"start_date":"2016-09-11","description":"","custom_fields":[{"id":1,"name":"Subdivision","value":"EC"},{"id":4,"name":"Milepost","value":"23.2848"},{"id":17,"name":"Train ID","value":"238-10"},{"id":16,"name":"Locomotive ID","value":"4037"},{"id":130,"name":"Impact","value":""},{"id":150,"name":"Time of Event (Mountain Time)","value":"00:34:14"},{"id":151,"name":"Denver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s="23" customFormat="1" x14ac:dyDescent="0.25">
      <c r="A151" s="39" t="s">
        <v>669</v>
      </c>
      <c r="B151" s="7">
        <v>4011</v>
      </c>
      <c r="C151" s="24" t="s">
        <v>108</v>
      </c>
      <c r="D151" s="24" t="s">
        <v>259</v>
      </c>
      <c r="E151" s="15">
        <v>42623.962291666663</v>
      </c>
      <c r="F151" s="15">
        <v>42623.979328703703</v>
      </c>
      <c r="G151" s="7">
        <v>20</v>
      </c>
      <c r="H151" s="15" t="s">
        <v>236</v>
      </c>
      <c r="I151" s="15">
        <v>42624.003738425927</v>
      </c>
      <c r="J151" s="7">
        <v>0</v>
      </c>
      <c r="K151" s="122" t="str">
        <f t="shared" si="71"/>
        <v>4011/4012</v>
      </c>
      <c r="L151" s="24" t="str">
        <f>VLOOKUP(A151,'Trips&amp;Operators'!$C$1:$E$10000,3,FALSE)</f>
        <v>NEWELL</v>
      </c>
      <c r="M151" s="6">
        <f t="shared" si="72"/>
        <v>2.4409722223936114E-2</v>
      </c>
      <c r="N151" s="7">
        <f t="shared" si="73"/>
        <v>35.150000002468005</v>
      </c>
      <c r="O151" s="7"/>
      <c r="P151" s="7"/>
      <c r="Q151" s="25"/>
      <c r="R151" s="25"/>
      <c r="S151" s="37">
        <f t="shared" si="74"/>
        <v>1</v>
      </c>
      <c r="T151" s="52" t="str">
        <f t="shared" si="84"/>
        <v>NorthBound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22:05:42-0600',mode:absolute,to:'2016-09-11 01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51" s="54" t="str">
        <f t="shared" si="76"/>
        <v>N</v>
      </c>
      <c r="X151" s="172">
        <f t="shared" si="82"/>
        <v>1</v>
      </c>
      <c r="Y151" s="69">
        <f t="shared" si="83"/>
        <v>4.5699999999999998E-2</v>
      </c>
      <c r="Z151" s="69">
        <f t="shared" si="77"/>
        <v>23.331399999999999</v>
      </c>
      <c r="AA151" s="69">
        <f t="shared" si="78"/>
        <v>23.285699999999999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70"/>
        <v>0239-10</v>
      </c>
      <c r="AE151" s="99" t="str">
        <f t="shared" si="79"/>
        <v>aws s3 cp s3://rtdc.mdm.uploadarchive/RTDC4011/2016-09-10/ "%USERPROFILE%\AppData\Local\Temp\OnboardLogs"\RTDC4011\2016-09-10 --recursive &amp; "%USERPROFILE%\Documents\GitHub\mrs-test-scripts\Headless Mode &amp; Sideloading\WalkAndUnGZ.bat" "%USERPROFILE%\AppData\Local\Temp\OnboardLogs"\RTDC4011\2016-09-10 &amp; aws s3 cp s3://rtdc.mdm.uploadarchive/RTDC4011/2016-09-11/ "%USERPROFILE%\AppData\Local\Temp\OnboardLogs"\RTDC4011\2016-09-11 --recursive &amp; "%USERPROFILE%\Documents\GitHub\mrs-test-scripts\Headless Mode &amp; Sideloading\WalkAndUnGZ.bat" "%USERPROFILE%\AppData\Local\Temp\OnboardLogs"\RTDC4011\2016-09-11</v>
      </c>
      <c r="AF151" s="96" t="str">
        <f t="shared" si="80"/>
        <v>"C:\Program Files (x86)\AstroGrep\AstroGrep.exe" /spath="%USERPROFILE%\AppData\Local\Temp\OnboardLogs" /stypes="*4011*20160911*" /stext=" 06:.+((SYSTEM_STATE.+slice.+state.+changed )|(ment ac)|(system.+state.+changed )|(\|lc)|(penalty)|(\[timeout)|(PRM\|1\|D)|(kpr)|(kdp))" /e /r /s</v>
      </c>
      <c r="AG151" s="1" t="str">
        <f t="shared" si="81"/>
        <v>EC</v>
      </c>
      <c r="AH151" s="100" t="str">
        <f t="shared" si="85"/>
        <v>"%USERPROFILE%\Documents\GitHub\eaglep3\Utilities\RefineRTDCRunTimes.py" --tripid 239-10 --locoid 4011 --swversion DE.1.0.7.0 --startMP 204:457 --initTime 2016-09-10T23:05:42 --startdatetime 2016-09-10T23:30:14 --delay 20 --endMP 204:233314 --enddatetime 2016-09-11T00:05:23 --enforcementcount 0 &gt;&gt;C:\Users\stu\Documents\GitHub\eaglep3-reporting\EC\2016-09-10-refined-times.txt</v>
      </c>
      <c r="AI151" s="137" t="str">
        <f t="shared" si="86"/>
        <v>echo {"issue":{"subject":"","project_id":79,"tracker_id":40,"status_id":1,"priority_id":2,"assigned_to_id":23,"start_date":"2016-09-11","description":"","custom_fields":[{"id":1,"name":"Subdivision","value":"EC"},{"id":4,"name":"Milepost","value":"23.2857"},{"id":17,"name":"Train ID","value":"239-10"},{"id":16,"name":"Locomotive ID","value":"4011"},{"id":130,"name":"Impact","value":""},{"id":150,"name":"Time of Event (Mountain Time)","value":"00:05:23"},{"id":151,"name":"Denver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670</v>
      </c>
      <c r="B152" s="7">
        <v>4012</v>
      </c>
      <c r="C152" s="24" t="s">
        <v>108</v>
      </c>
      <c r="D152" s="24" t="s">
        <v>249</v>
      </c>
      <c r="E152" s="15">
        <v>42624.004988425928</v>
      </c>
      <c r="F152" s="15">
        <v>42624.018506944441</v>
      </c>
      <c r="G152" s="7">
        <v>1</v>
      </c>
      <c r="H152" s="15" t="s">
        <v>255</v>
      </c>
      <c r="I152" s="15">
        <v>42624.044710648152</v>
      </c>
      <c r="J152" s="7">
        <v>0</v>
      </c>
      <c r="K152" s="122" t="str">
        <f t="shared" si="71"/>
        <v>4011/4012</v>
      </c>
      <c r="L152" s="24" t="str">
        <f>VLOOKUP(A152,'Trips&amp;Operators'!$C$1:$E$10000,3,FALSE)</f>
        <v>NEWELL</v>
      </c>
      <c r="M152" s="6">
        <f t="shared" si="72"/>
        <v>2.620370371005265E-2</v>
      </c>
      <c r="N152" s="7">
        <f t="shared" si="73"/>
        <v>37.733333342475817</v>
      </c>
      <c r="O152" s="7"/>
      <c r="P152" s="7"/>
      <c r="Q152" s="25"/>
      <c r="R152" s="25"/>
      <c r="S152" s="37">
        <f t="shared" si="74"/>
        <v>1</v>
      </c>
      <c r="T152" s="52" t="str">
        <f t="shared" si="84"/>
        <v>Southbound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23:07:11-0600',mode:absolute,to:'2016-09-11 02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52" s="54" t="str">
        <f t="shared" si="76"/>
        <v>N</v>
      </c>
      <c r="X152" s="172">
        <f t="shared" si="82"/>
        <v>1</v>
      </c>
      <c r="Y152" s="69">
        <f t="shared" si="83"/>
        <v>23.2986</v>
      </c>
      <c r="Z152" s="69">
        <f t="shared" si="77"/>
        <v>1.52E-2</v>
      </c>
      <c r="AA152" s="69">
        <f t="shared" si="78"/>
        <v>23.2834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70"/>
        <v>0240-10</v>
      </c>
      <c r="AE152" s="99" t="str">
        <f t="shared" si="79"/>
        <v>aws s3 cp s3://rtdc.mdm.uploadarchive/RTDC4012/2016-09-11/ "%USERPROFILE%\AppData\Local\Temp\OnboardLogs"\RTDC4012\2016-09-11 --recursive &amp; "%USERPROFILE%\Documents\GitHub\mrs-test-scripts\Headless Mode &amp; Sideloading\WalkAndUnGZ.bat" "%USERPROFILE%\AppData\Local\Temp\OnboardLogs"\RTDC4012\2016-09-11 &amp; aws s3 cp s3://rtdc.mdm.uploadarchive/RTDC4012/2016-09-12/ "%USERPROFILE%\AppData\Local\Temp\OnboardLogs"\RTDC4012\2016-09-12 --recursive &amp; "%USERPROFILE%\Documents\GitHub\mrs-test-scripts\Headless Mode &amp; Sideloading\WalkAndUnGZ.bat" "%USERPROFILE%\AppData\Local\Temp\OnboardLogs"\RTDC4012\2016-09-12</v>
      </c>
      <c r="AF152" s="96" t="str">
        <f t="shared" si="80"/>
        <v>"C:\Program Files (x86)\AstroGrep\AstroGrep.exe" /spath="%USERPROFILE%\AppData\Local\Temp\OnboardLogs" /stypes="*4012*20160911*" /stext=" 07:.+((SYSTEM_STATE.+slice.+state.+changed )|(ment ac)|(system.+state.+changed )|(\|lc)|(penalty)|(\[timeout)|(PRM\|1\|D)|(kpr)|(kdp))" /e /r /s</v>
      </c>
      <c r="AG152" s="1" t="str">
        <f t="shared" si="81"/>
        <v>EC</v>
      </c>
      <c r="AH152" s="100" t="str">
        <f t="shared" si="85"/>
        <v>"%USERPROFILE%\Documents\GitHub\eaglep3\Utilities\RefineRTDCRunTimes.py" --tripid 240-10 --locoid 4012 --swversion DE.1.0.7.0 --startMP 204:232986 --initTime 2016-09-11T00:07:11 --startdatetime 2016-09-11T00:26:39 --delay 1 --endMP 204:152 --enddatetime 2016-09-11T01:04:23 --enforcementcount 0 &gt;&gt;C:\Users\stu\Documents\GitHub\eaglep3-reporting\EC\2016-09-10-refined-times.txt</v>
      </c>
      <c r="AI152" s="137" t="str">
        <f t="shared" si="86"/>
        <v>echo {"issue":{"subject":"","project_id":79,"tracker_id":40,"status_id":1,"priority_id":2,"assigned_to_id":23,"start_date":"2016-09-11","description":"","custom_fields":[{"id":1,"name":"Subdivision","value":"EC"},{"id":4,"name":"Milepost","value":"23.2834"},{"id":17,"name":"Train ID","value":"240-10"},{"id":16,"name":"Locomotive ID","value":"4012"},{"id":130,"name":"Impact","value":""},{"id":150,"name":"Time of Event (Mountain Time)","value":"01:04:23"},{"id":151,"name":"Denver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671</v>
      </c>
      <c r="B153" s="7">
        <v>4046</v>
      </c>
      <c r="C153" s="24" t="s">
        <v>108</v>
      </c>
      <c r="D153" s="24" t="s">
        <v>521</v>
      </c>
      <c r="E153" s="15">
        <v>42623.997812499998</v>
      </c>
      <c r="F153" s="15">
        <v>42624.000196759262</v>
      </c>
      <c r="G153" s="7">
        <v>1</v>
      </c>
      <c r="H153" s="15" t="s">
        <v>672</v>
      </c>
      <c r="I153" s="15">
        <v>42624.02484953704</v>
      </c>
      <c r="J153" s="7">
        <v>0</v>
      </c>
      <c r="K153" s="122" t="str">
        <f t="shared" si="71"/>
        <v>4045/4046</v>
      </c>
      <c r="L153" s="24" t="str">
        <f>VLOOKUP(A153,'Trips&amp;Operators'!$C$1:$E$10000,3,FALSE)</f>
        <v>CHANDLER</v>
      </c>
      <c r="M153" s="6">
        <f t="shared" si="72"/>
        <v>2.4652777778101154E-2</v>
      </c>
      <c r="N153" s="7">
        <f t="shared" si="73"/>
        <v>35.500000000465661</v>
      </c>
      <c r="O153" s="7"/>
      <c r="P153" s="7"/>
      <c r="Q153" s="25"/>
      <c r="R153" s="25"/>
      <c r="S153" s="37">
        <f t="shared" si="74"/>
        <v>1</v>
      </c>
      <c r="T153" s="52" t="str">
        <f t="shared" si="84"/>
        <v>NorthBound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22:56:51-0600',mode:absolute,to:'2016-09-11 01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53" s="54" t="str">
        <f t="shared" si="76"/>
        <v>N</v>
      </c>
      <c r="X153" s="172">
        <f t="shared" si="82"/>
        <v>1</v>
      </c>
      <c r="Y153" s="69">
        <f t="shared" si="83"/>
        <v>4.4400000000000002E-2</v>
      </c>
      <c r="Z153" s="69">
        <f t="shared" si="77"/>
        <v>23.3276</v>
      </c>
      <c r="AA153" s="69">
        <f t="shared" si="78"/>
        <v>23.283200000000001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ref="AD153:AD184" si="87">IF(LEN(A153)=6,"0"&amp;A153,A153)</f>
        <v>0241-10</v>
      </c>
      <c r="AE153" s="99" t="str">
        <f t="shared" si="79"/>
        <v>aws s3 cp s3://rtdc.mdm.uploadarchive/RTDC4046/2016-09-11/ "%USERPROFILE%\AppData\Local\Temp\OnboardLogs"\RTDC4046\2016-09-11 --recursive &amp; "%USERPROFILE%\Documents\GitHub\mrs-test-scripts\Headless Mode &amp; Sideloading\WalkAndUnGZ.bat" "%USERPROFILE%\AppData\Local\Temp\OnboardLogs"\RTDC4046\2016-09-11 &amp; aws s3 cp s3://rtdc.mdm.uploadarchive/RTDC4046/2016-09-12/ "%USERPROFILE%\AppData\Local\Temp\OnboardLogs"\RTDC4046\2016-09-12 --recursive &amp; "%USERPROFILE%\Documents\GitHub\mrs-test-scripts\Headless Mode &amp; Sideloading\WalkAndUnGZ.bat" "%USERPROFILE%\AppData\Local\Temp\OnboardLogs"\RTDC4046\2016-09-12</v>
      </c>
      <c r="AF153" s="96" t="str">
        <f t="shared" si="80"/>
        <v>"C:\Program Files (x86)\AstroGrep\AstroGrep.exe" /spath="%USERPROFILE%\AppData\Local\Temp\OnboardLogs" /stypes="*4046*20160911*" /stext=" 06:.+((SYSTEM_STATE.+slice.+state.+changed )|(ment ac)|(system.+state.+changed )|(\|lc)|(penalty)|(\[timeout)|(PRM\|1\|D)|(kpr)|(kdp))" /e /r /s</v>
      </c>
      <c r="AG153" s="1" t="str">
        <f t="shared" si="81"/>
        <v>EC</v>
      </c>
      <c r="AH153" s="100" t="str">
        <f t="shared" si="85"/>
        <v>"%USERPROFILE%\Documents\GitHub\eaglep3\Utilities\RefineRTDCRunTimes.py" --tripid 241-10 --locoid 4046 --swversion DE.1.0.7.0 --startMP 204:444 --initTime 2016-09-10T23:56:51 --startdatetime 2016-09-11T00:00:17 --delay 1 --endMP 204:233276 --enddatetime 2016-09-11T00:35:47 --enforcementcount 0 &gt;&gt;C:\Users\stu\Documents\GitHub\eaglep3-reporting\EC\2016-09-10-refined-times.txt</v>
      </c>
      <c r="AI153" s="137" t="str">
        <f t="shared" si="86"/>
        <v>echo {"issue":{"subject":"","project_id":79,"tracker_id":40,"status_id":1,"priority_id":2,"assigned_to_id":23,"start_date":"2016-09-11","description":"","custom_fields":[{"id":1,"name":"Subdivision","value":"EC"},{"id":4,"name":"Milepost","value":"23.2832"},{"id":17,"name":"Train ID","value":"241-10"},{"id":16,"name":"Locomotive ID","value":"4046"},{"id":130,"name":"Impact","value":""},{"id":150,"name":"Time of Event (Mountain Time)","value":"00:35:47"},{"id":151,"name":"Denver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673</v>
      </c>
      <c r="B154" s="7">
        <v>4045</v>
      </c>
      <c r="C154" s="24" t="s">
        <v>108</v>
      </c>
      <c r="D154" s="24" t="s">
        <v>674</v>
      </c>
      <c r="E154" s="15">
        <v>42624.037905092591</v>
      </c>
      <c r="F154" s="15">
        <v>42624.039386574077</v>
      </c>
      <c r="G154" s="7">
        <v>1</v>
      </c>
      <c r="H154" s="15" t="s">
        <v>260</v>
      </c>
      <c r="I154" s="15">
        <v>42624.066817129627</v>
      </c>
      <c r="J154" s="7">
        <v>0</v>
      </c>
      <c r="K154" s="122" t="str">
        <f t="shared" si="71"/>
        <v>4045/4046</v>
      </c>
      <c r="L154" s="24" t="str">
        <f>VLOOKUP(A154,'Trips&amp;Operators'!$C$1:$E$10000,3,FALSE)</f>
        <v>CHANDLER</v>
      </c>
      <c r="M154" s="6">
        <f t="shared" si="72"/>
        <v>2.7430555550381541E-2</v>
      </c>
      <c r="N154" s="7">
        <f t="shared" si="73"/>
        <v>39.499999992549419</v>
      </c>
      <c r="O154" s="7"/>
      <c r="P154" s="7"/>
      <c r="Q154" s="25"/>
      <c r="R154" s="25"/>
      <c r="S154" s="37">
        <f t="shared" si="74"/>
        <v>1</v>
      </c>
      <c r="T154" s="52" t="str">
        <f t="shared" si="84"/>
        <v>Southbound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https://search-rtdc-monitor-bjffxe2xuh6vdkpspy63sjmuny.us-east-1.es.amazonaws.com/_plugin/kibana/#/discover/Steve-Slow-Train-Analysis-(2080s-and-2083s)?_g=(refreshInterval:(display:Off,section:0,value:0),time:(from:'2016-09-10 23:54:35-0600',mode:absolute,to:'2016-09-11 02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54" s="54" t="str">
        <f t="shared" si="76"/>
        <v>N</v>
      </c>
      <c r="X154" s="172">
        <f t="shared" si="82"/>
        <v>1</v>
      </c>
      <c r="Y154" s="69">
        <f t="shared" si="83"/>
        <v>23.297000000000001</v>
      </c>
      <c r="Z154" s="69">
        <f t="shared" si="77"/>
        <v>1.4500000000000001E-2</v>
      </c>
      <c r="AA154" s="69">
        <f t="shared" si="78"/>
        <v>23.282499999999999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87"/>
        <v>0242-10</v>
      </c>
      <c r="AE154" s="99" t="str">
        <f t="shared" si="79"/>
        <v>aws s3 cp s3://rtdc.mdm.uploadarchive/RTDC4045/2016-09-11/ "%USERPROFILE%\AppData\Local\Temp\OnboardLogs"\RTDC4045\2016-09-11 --recursive &amp; "%USERPROFILE%\Documents\GitHub\mrs-test-scripts\Headless Mode &amp; Sideloading\WalkAndUnGZ.bat" "%USERPROFILE%\AppData\Local\Temp\OnboardLogs"\RTDC4045\2016-09-11 &amp; aws s3 cp s3://rtdc.mdm.uploadarchive/RTDC4045/2016-09-12/ "%USERPROFILE%\AppData\Local\Temp\OnboardLogs"\RTDC4045\2016-09-12 --recursive &amp; "%USERPROFILE%\Documents\GitHub\mrs-test-scripts\Headless Mode &amp; Sideloading\WalkAndUnGZ.bat" "%USERPROFILE%\AppData\Local\Temp\OnboardLogs"\RTDC4045\2016-09-12</v>
      </c>
      <c r="AF154" s="96" t="str">
        <f t="shared" si="80"/>
        <v>"C:\Program Files (x86)\AstroGrep\AstroGrep.exe" /spath="%USERPROFILE%\AppData\Local\Temp\OnboardLogs" /stypes="*4045*20160911*" /stext=" 07:.+((SYSTEM_STATE.+slice.+state.+changed )|(ment ac)|(system.+state.+changed )|(\|lc)|(penalty)|(\[timeout)|(PRM\|1\|D)|(kpr)|(kdp))" /e /r /s</v>
      </c>
      <c r="AG154" s="1" t="str">
        <f t="shared" si="81"/>
        <v>EC</v>
      </c>
      <c r="AH154" s="100" t="str">
        <f t="shared" si="85"/>
        <v>"%USERPROFILE%\Documents\GitHub\eaglep3\Utilities\RefineRTDCRunTimes.py" --tripid 242-10 --locoid 4045 --swversion DE.1.0.7.0 --startMP 204:232970 --initTime 2016-09-11T00:54:35 --startdatetime 2016-09-11T00:56:43 --delay 1 --endMP 204:145 --enddatetime 2016-09-11T01:36:13 --enforcementcount 0 &gt;&gt;C:\Users\stu\Documents\GitHub\eaglep3-reporting\EC\2016-09-10-refined-times.txt</v>
      </c>
      <c r="AI154" s="137" t="str">
        <f t="shared" si="86"/>
        <v>echo {"issue":{"subject":"","project_id":79,"tracker_id":40,"status_id":1,"priority_id":2,"assigned_to_id":23,"start_date":"2016-09-11","description":"","custom_fields":[{"id":1,"name":"Subdivision","value":"EC"},{"id":4,"name":"Milepost","value":"23.2825"},{"id":17,"name":"Train ID","value":"242-10"},{"id":16,"name":"Locomotive ID","value":"4045"},{"id":130,"name":"Impact","value":""},{"id":150,"name":"Time of Event (Mountain Time)","value":"01:36:13"},{"id":151,"name":"Denver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675</v>
      </c>
      <c r="B155" s="7">
        <v>4014</v>
      </c>
      <c r="C155" s="24" t="s">
        <v>108</v>
      </c>
      <c r="D155" s="24" t="s">
        <v>295</v>
      </c>
      <c r="E155" s="15">
        <v>42624.00613425926</v>
      </c>
      <c r="F155" s="15">
        <v>42624.021134259259</v>
      </c>
      <c r="G155" s="7">
        <v>1</v>
      </c>
      <c r="H155" s="15" t="s">
        <v>354</v>
      </c>
      <c r="I155" s="15">
        <v>42624.047037037039</v>
      </c>
      <c r="J155" s="7">
        <v>0</v>
      </c>
      <c r="K155" s="122" t="str">
        <f t="shared" ref="K155:K186" si="88">IF(ISEVEN(B155),(B155-1)&amp;"/"&amp;B155,B155&amp;"/"&amp;(B155+1))</f>
        <v>4013/4014</v>
      </c>
      <c r="L155" s="24" t="str">
        <f>VLOOKUP(A155,'Trips&amp;Operators'!$C$1:$E$10000,3,FALSE)</f>
        <v>SWANSON</v>
      </c>
      <c r="M155" s="6">
        <f t="shared" ref="M155:M186" si="89">I155-F155</f>
        <v>2.5902777779265307E-2</v>
      </c>
      <c r="N155" s="7">
        <f t="shared" ref="N155:N161" si="90">24*60*SUM($M155:$M155)</f>
        <v>37.300000002142042</v>
      </c>
      <c r="O155" s="7"/>
      <c r="P155" s="7"/>
      <c r="Q155" s="25"/>
      <c r="R155" s="25"/>
      <c r="S155" s="37">
        <f t="shared" ref="S155:S186" si="91">SUM(U155:U155)/IF(AG155="EC",12,1)</f>
        <v>1</v>
      </c>
      <c r="T155" s="52" t="str">
        <f t="shared" si="84"/>
        <v>NorthBound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ref="V155:V186" si="92">"https://search-rtdc-monitor-bjffxe2xuh6vdkpspy63sjmuny.us-east-1.es.amazonaws.com/_plugin/kibana/#/discover/Steve-Slow-Train-Analysis-(2080s-and-2083s)?_g=(refreshInterval:(display:Off,section:0,value:0),time:(from:'"&amp;TEXT(E155-1/24,"yyyy-MM-DD hh:mm:ss")&amp;"-0600',mode:absolute,to:'"&amp;TEXT(I155+1/24,"yyyy-MM-DD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https://search-rtdc-monitor-bjffxe2xuh6vdkpspy63sjmuny.us-east-1.es.amazonaws.com/_plugin/kibana/#/discover/Steve-Slow-Train-Analysis-(2080s-and-2083s)?_g=(refreshInterval:(display:Off,section:0,value:0),time:(from:'2016-09-10 23:08:50-0600',mode:absolute,to:'2016-09-11 02:07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55" s="54" t="str">
        <f t="shared" ref="W155:W186" si="93">IF(AA155&lt;IF(AG155="EC",23,5.65),"Y","N")</f>
        <v>N</v>
      </c>
      <c r="X155" s="172">
        <f t="shared" si="82"/>
        <v>1</v>
      </c>
      <c r="Y155" s="69">
        <f t="shared" si="83"/>
        <v>4.6399999999999997E-2</v>
      </c>
      <c r="Z155" s="69">
        <f t="shared" ref="Z155:Z186" si="94">RIGHT(H155,LEN(H155)-4)/10000</f>
        <v>23.3324</v>
      </c>
      <c r="AA155" s="69">
        <f t="shared" ref="AA155:AA186" si="95">ABS(Z155-Y155)</f>
        <v>23.286000000000001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87"/>
        <v>0243-10</v>
      </c>
      <c r="AE155" s="99" t="str">
        <f t="shared" ref="AE155:AE186" si="96">"aws s3 cp "&amp;s3_bucket&amp;"/RTDC"&amp;B155&amp;"/"&amp;TEXT(F155,"YYYY-MM-DD")&amp;"/ "&amp;search_path&amp;"\RTDC"&amp;B155&amp;"\"&amp;TEXT(F155,"YYYY-MM-DD")&amp;" --recursive &amp; """&amp;walkandungz&amp;""" "&amp;search_path&amp;"\RTDC"&amp;B155&amp;"\"&amp;TEXT(F155,"YYYY-MM-DD")
&amp;" &amp; "&amp;"aws s3 cp "&amp;s3_bucket&amp;"/RTDC"&amp;B155&amp;"/"&amp;TEXT(F155+1,"YYYY-MM-DD")&amp;"/ "&amp;search_path&amp;"\RTDC"&amp;B155&amp;"\"&amp;TEXT(F155+1,"YYYY-MM-DD")&amp;" --recursive &amp; """&amp;walkandungz&amp;""" "&amp;search_path&amp;"\RTDC"&amp;B155&amp;"\"&amp;TEXT(F155+1,"YYYY-MM-DD")</f>
        <v>aws s3 cp s3://rtdc.mdm.uploadarchive/RTDC4014/2016-09-11/ "%USERPROFILE%\AppData\Local\Temp\OnboardLogs"\RTDC4014\2016-09-11 --recursive &amp; "%USERPROFILE%\Documents\GitHub\mrs-test-scripts\Headless Mode &amp; Sideloading\WalkAndUnGZ.bat" "%USERPROFILE%\AppData\Local\Temp\OnboardLogs"\RTDC4014\2016-09-11 &amp; 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</v>
      </c>
      <c r="AF155" s="96" t="str">
        <f t="shared" ref="AF155:AF186" si="97">astrogrep_path&amp;" /spath="&amp;search_path&amp;" /stypes=""*"&amp;B155&amp;"*"&amp;TEXT(I155-utc_offset/24,"YYYYMMDD")&amp;"*"" /stext="" "&amp;TEXT(I155-utc_offset/24,"HH")&amp;search_regexp&amp;""" /e /r /s"</f>
        <v>"C:\Program Files (x86)\AstroGrep\AstroGrep.exe" /spath="%USERPROFILE%\AppData\Local\Temp\OnboardLogs" /stypes="*4014*20160911*" /stext=" 07:.+((SYSTEM_STATE.+slice.+state.+changed )|(ment ac)|(system.+state.+changed )|(\|lc)|(penalty)|(\[timeout)|(PRM\|1\|D)|(kpr)|(kdp))" /e /r /s</v>
      </c>
      <c r="AG155" s="1" t="str">
        <f t="shared" si="81"/>
        <v>EC</v>
      </c>
      <c r="AH155" s="100" t="str">
        <f t="shared" si="85"/>
        <v>"%USERPROFILE%\Documents\GitHub\eaglep3\Utilities\RefineRTDCRunTimes.py" --tripid 243-10 --locoid 4014 --swversion DE.1.0.7.0 --startMP 204:464 --initTime 2016-09-11T00:08:50 --startdatetime 2016-09-11T00:30:26 --delay 1 --endMP 204:233324 --enddatetime 2016-09-11T01:07:44 --enforcementcount 0 &gt;&gt;C:\Users\stu\Documents\GitHub\eaglep3-reporting\EC\2016-09-10-refined-times.txt</v>
      </c>
      <c r="AI155" s="137" t="str">
        <f t="shared" si="86"/>
        <v>echo {"issue":{"subject":"","project_id":79,"tracker_id":40,"status_id":1,"priority_id":2,"assigned_to_id":23,"start_date":"2016-09-11","description":"","custom_fields":[{"id":1,"name":"Subdivision","value":"EC"},{"id":4,"name":"Milepost","value":"23.286"},{"id":17,"name":"Train ID","value":"243-10"},{"id":16,"name":"Locomotive ID","value":"4014"},{"id":130,"name":"Impact","value":""},{"id":150,"name":"Time of Event (Mountain Time)","value":"01:07:44"},{"id":151,"name":"Denver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676</v>
      </c>
      <c r="B156" s="7">
        <v>4013</v>
      </c>
      <c r="C156" s="24" t="s">
        <v>108</v>
      </c>
      <c r="D156" s="24" t="s">
        <v>258</v>
      </c>
      <c r="E156" s="15">
        <v>42624.058587962965</v>
      </c>
      <c r="F156" s="15">
        <v>42624.059942129628</v>
      </c>
      <c r="G156" s="7">
        <v>1</v>
      </c>
      <c r="H156" s="15" t="s">
        <v>250</v>
      </c>
      <c r="I156" s="15">
        <v>42624.087152777778</v>
      </c>
      <c r="J156" s="7">
        <v>0</v>
      </c>
      <c r="K156" s="122" t="str">
        <f t="shared" si="88"/>
        <v>4013/4014</v>
      </c>
      <c r="L156" s="24" t="str">
        <f>VLOOKUP(A156,'Trips&amp;Operators'!$C$1:$E$10000,3,FALSE)</f>
        <v>SWANSON</v>
      </c>
      <c r="M156" s="6">
        <f t="shared" si="89"/>
        <v>2.7210648149775807E-2</v>
      </c>
      <c r="N156" s="7">
        <f t="shared" si="90"/>
        <v>39.183333335677162</v>
      </c>
      <c r="O156" s="7"/>
      <c r="P156" s="7"/>
      <c r="Q156" s="25"/>
      <c r="R156" s="25"/>
      <c r="S156" s="37">
        <f t="shared" si="91"/>
        <v>1</v>
      </c>
      <c r="T156" s="52" t="str">
        <f t="shared" si="84"/>
        <v>Southbound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https://search-rtdc-monitor-bjffxe2xuh6vdkpspy63sjmuny.us-east-1.es.amazonaws.com/_plugin/kibana/#/discover/Steve-Slow-Train-Analysis-(2080s-and-2083s)?_g=(refreshInterval:(display:Off,section:0,value:0),time:(from:'2016-09-11 00:24:22-0600',mode:absolute,to:'2016-09-11 03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56" s="54" t="str">
        <f t="shared" si="93"/>
        <v>N</v>
      </c>
      <c r="X156" s="172">
        <f t="shared" si="82"/>
        <v>1</v>
      </c>
      <c r="Y156" s="69">
        <f t="shared" si="83"/>
        <v>23.299600000000002</v>
      </c>
      <c r="Z156" s="69">
        <f t="shared" si="94"/>
        <v>1.4999999999999999E-2</v>
      </c>
      <c r="AA156" s="69">
        <f t="shared" si="95"/>
        <v>23.284600000000001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87"/>
        <v>0244-10</v>
      </c>
      <c r="AE156" s="99" t="str">
        <f t="shared" si="96"/>
        <v>aws s3 cp s3://rtdc.mdm.uploadarchive/RTDC4013/2016-09-11/ "%USERPROFILE%\AppData\Local\Temp\OnboardLogs"\RTDC4013\2016-09-11 --recursive &amp; "%USERPROFILE%\Documents\GitHub\mrs-test-scripts\Headless Mode &amp; Sideloading\WalkAndUnGZ.bat" "%USERPROFILE%\AppData\Local\Temp\OnboardLogs"\RTDC4013\2016-09-11 &amp; 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</v>
      </c>
      <c r="AF156" s="96" t="str">
        <f t="shared" si="97"/>
        <v>"C:\Program Files (x86)\AstroGrep\AstroGrep.exe" /spath="%USERPROFILE%\AppData\Local\Temp\OnboardLogs" /stypes="*4013*20160911*" /stext=" 08:.+((SYSTEM_STATE.+slice.+state.+changed )|(ment ac)|(system.+state.+changed )|(\|lc)|(penalty)|(\[timeout)|(PRM\|1\|D)|(kpr)|(kdp))" /e /r /s</v>
      </c>
      <c r="AG156" s="1" t="str">
        <f t="shared" si="81"/>
        <v>EC</v>
      </c>
      <c r="AH156" s="100" t="str">
        <f t="shared" si="85"/>
        <v>"%USERPROFILE%\Documents\GitHub\eaglep3\Utilities\RefineRTDCRunTimes.py" --tripid 244-10 --locoid 4013 --swversion DE.1.0.7.0 --startMP 204:232996 --initTime 2016-09-11T01:24:22 --startdatetime 2016-09-11T01:26:19 --delay 1 --endMP 204:150 --enddatetime 2016-09-11T02:05:30 --enforcementcount 0 &gt;&gt;C:\Users\stu\Documents\GitHub\eaglep3-reporting\EC\2016-09-10-refined-times.txt</v>
      </c>
      <c r="AI156" s="137" t="str">
        <f t="shared" si="86"/>
        <v>echo {"issue":{"subject":"","project_id":79,"tracker_id":40,"status_id":1,"priority_id":2,"assigned_to_id":23,"start_date":"2016-09-11","description":"","custom_fields":[{"id":1,"name":"Subdivision","value":"EC"},{"id":4,"name":"Milepost","value":"23.2846"},{"id":17,"name":"Train ID","value":"244-10"},{"id":16,"name":"Locomotive ID","value":"4013"},{"id":130,"name":"Impact","value":""},{"id":150,"name":"Time of Event (Mountain Time)","value":"02:05:30"},{"id":151,"name":"Denver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s="23" customFormat="1" x14ac:dyDescent="0.25">
      <c r="A157" s="39" t="s">
        <v>677</v>
      </c>
      <c r="B157" s="7">
        <v>4038</v>
      </c>
      <c r="C157" s="24" t="s">
        <v>108</v>
      </c>
      <c r="D157" s="24" t="s">
        <v>247</v>
      </c>
      <c r="E157" s="15">
        <v>42624.035798611112</v>
      </c>
      <c r="F157" s="15">
        <v>42624.041875000003</v>
      </c>
      <c r="G157" s="7">
        <v>1</v>
      </c>
      <c r="H157" s="15" t="s">
        <v>678</v>
      </c>
      <c r="I157" s="15">
        <v>42624.067013888889</v>
      </c>
      <c r="J157" s="7">
        <v>0</v>
      </c>
      <c r="K157" s="122" t="str">
        <f t="shared" si="88"/>
        <v>4037/4038</v>
      </c>
      <c r="L157" s="24" t="str">
        <f>VLOOKUP(A157,'Trips&amp;Operators'!$C$1:$E$10000,3,FALSE)</f>
        <v>LEVIN</v>
      </c>
      <c r="M157" s="6">
        <f t="shared" si="89"/>
        <v>2.5138888886431232E-2</v>
      </c>
      <c r="N157" s="7">
        <f t="shared" si="90"/>
        <v>36.199999996460974</v>
      </c>
      <c r="O157" s="7"/>
      <c r="P157" s="7"/>
      <c r="Q157" s="25"/>
      <c r="R157" s="25"/>
      <c r="S157" s="37">
        <f t="shared" si="91"/>
        <v>1</v>
      </c>
      <c r="T157" s="52" t="str">
        <f t="shared" si="84"/>
        <v>NorthBound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23:51:33-0600',mode:absolute,to:'2016-09-11 02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57" s="54" t="str">
        <f t="shared" si="93"/>
        <v>N</v>
      </c>
      <c r="X157" s="172">
        <f t="shared" si="82"/>
        <v>1</v>
      </c>
      <c r="Y157" s="69">
        <f t="shared" si="83"/>
        <v>4.53E-2</v>
      </c>
      <c r="Z157" s="69">
        <f t="shared" si="94"/>
        <v>23.332699999999999</v>
      </c>
      <c r="AA157" s="69">
        <f t="shared" si="95"/>
        <v>23.287399999999998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87"/>
        <v>0245-10</v>
      </c>
      <c r="AE157" s="99" t="str">
        <f t="shared" si="96"/>
        <v>aws s3 cp s3://rtdc.mdm.uploadarchive/RTDC4038/2016-09-11/ "%USERPROFILE%\AppData\Local\Temp\OnboardLogs"\RTDC4038\2016-09-11 --recursive &amp; "%USERPROFILE%\Documents\GitHub\mrs-test-scripts\Headless Mode &amp; Sideloading\WalkAndUnGZ.bat" "%USERPROFILE%\AppData\Local\Temp\OnboardLogs"\RTDC4038\2016-09-11 &amp; 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</v>
      </c>
      <c r="AF157" s="96" t="str">
        <f t="shared" si="97"/>
        <v>"C:\Program Files (x86)\AstroGrep\AstroGrep.exe" /spath="%USERPROFILE%\AppData\Local\Temp\OnboardLogs" /stypes="*4038*20160911*" /stext=" 07:.+((SYSTEM_STATE.+slice.+state.+changed )|(ment ac)|(system.+state.+changed )|(\|lc)|(penalty)|(\[timeout)|(PRM\|1\|D)|(kpr)|(kdp))" /e /r /s</v>
      </c>
      <c r="AG157" s="1" t="str">
        <f t="shared" ref="AG157:AG188" si="98">IFERROR(IF(VALUE(LEFT(AD157,2))&lt;=2,"EC",IF(OR(VALUE(LEFT(AD157,2))=8,VALUE(LEFT(AD157,2))=18),"NW","Other")),"Other")</f>
        <v>EC</v>
      </c>
      <c r="AH157" s="100" t="str">
        <f t="shared" si="85"/>
        <v>"%USERPROFILE%\Documents\GitHub\eaglep3\Utilities\RefineRTDCRunTimes.py" --tripid 245-10 --locoid 4038 --swversion DE.1.0.7.0 --startMP 204:453 --initTime 2016-09-11T00:51:33 --startdatetime 2016-09-11T01:00:18 --delay 1 --endMP 204:233327 --enddatetime 2016-09-11T01:36:30 --enforcementcount 0 &gt;&gt;C:\Users\stu\Documents\GitHub\eaglep3-reporting\EC\2016-09-10-refined-times.txt</v>
      </c>
      <c r="AI157" s="137" t="str">
        <f t="shared" si="86"/>
        <v>echo {"issue":{"subject":"","project_id":79,"tracker_id":40,"status_id":1,"priority_id":2,"assigned_to_id":23,"start_date":"2016-09-11","description":"","custom_fields":[{"id":1,"name":"Subdivision","value":"EC"},{"id":4,"name":"Milepost","value":"23.2874"},{"id":17,"name":"Train ID","value":"245-10"},{"id":16,"name":"Locomotive ID","value":"4038"},{"id":130,"name":"Impact","value":""},{"id":150,"name":"Time of Event (Mountain Time)","value":"01:36:30"},{"id":151,"name":"Denver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679</v>
      </c>
      <c r="B158" s="7">
        <v>4037</v>
      </c>
      <c r="C158" s="24" t="s">
        <v>108</v>
      </c>
      <c r="D158" s="24" t="s">
        <v>296</v>
      </c>
      <c r="E158" s="15">
        <v>42624.076261574075</v>
      </c>
      <c r="F158" s="15">
        <v>42624.080740740741</v>
      </c>
      <c r="G158" s="7">
        <v>1</v>
      </c>
      <c r="H158" s="15" t="s">
        <v>250</v>
      </c>
      <c r="I158" s="15">
        <v>42624.10732638889</v>
      </c>
      <c r="J158" s="7">
        <v>0</v>
      </c>
      <c r="K158" s="122" t="str">
        <f t="shared" si="88"/>
        <v>4037/4038</v>
      </c>
      <c r="L158" s="24" t="str">
        <f>VLOOKUP(A158,'Trips&amp;Operators'!$C$1:$E$10000,3,FALSE)</f>
        <v>LEVIN</v>
      </c>
      <c r="M158" s="6">
        <f t="shared" si="89"/>
        <v>2.658564814919373E-2</v>
      </c>
      <c r="N158" s="7">
        <f t="shared" si="90"/>
        <v>38.283333334838971</v>
      </c>
      <c r="O158" s="7"/>
      <c r="P158" s="7"/>
      <c r="Q158" s="25"/>
      <c r="R158" s="25"/>
      <c r="S158" s="37">
        <f t="shared" si="91"/>
        <v>1</v>
      </c>
      <c r="T158" s="52" t="str">
        <f t="shared" si="84"/>
        <v>Southbound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https://search-rtdc-monitor-bjffxe2xuh6vdkpspy63sjmuny.us-east-1.es.amazonaws.com/_plugin/kibana/#/discover/Steve-Slow-Train-Analysis-(2080s-and-2083s)?_g=(refreshInterval:(display:Off,section:0,value:0),time:(from:'2016-09-11 00:49:49-0600',mode:absolute,to:'2016-09-11 03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58" s="54" t="str">
        <f t="shared" si="93"/>
        <v>N</v>
      </c>
      <c r="X158" s="172">
        <f t="shared" si="82"/>
        <v>1</v>
      </c>
      <c r="Y158" s="69">
        <f t="shared" si="83"/>
        <v>23.2989</v>
      </c>
      <c r="Z158" s="69">
        <f t="shared" si="94"/>
        <v>1.4999999999999999E-2</v>
      </c>
      <c r="AA158" s="69">
        <f t="shared" si="95"/>
        <v>23.283899999999999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87"/>
        <v>0246-10</v>
      </c>
      <c r="AE158" s="99" t="str">
        <f t="shared" si="96"/>
        <v>aws s3 cp s3://rtdc.mdm.uploadarchive/RTDC4037/2016-09-11/ "%USERPROFILE%\AppData\Local\Temp\OnboardLogs"\RTDC4037\2016-09-11 --recursive &amp; "%USERPROFILE%\Documents\GitHub\mrs-test-scripts\Headless Mode &amp; Sideloading\WalkAndUnGZ.bat" "%USERPROFILE%\AppData\Local\Temp\OnboardLogs"\RTDC4037\2016-09-11 &amp; 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</v>
      </c>
      <c r="AF158" s="96" t="str">
        <f t="shared" si="97"/>
        <v>"C:\Program Files (x86)\AstroGrep\AstroGrep.exe" /spath="%USERPROFILE%\AppData\Local\Temp\OnboardLogs" /stypes="*4037*20160911*" /stext=" 08:.+((SYSTEM_STATE.+slice.+state.+changed )|(ment ac)|(system.+state.+changed )|(\|lc)|(penalty)|(\[timeout)|(PRM\|1\|D)|(kpr)|(kdp))" /e /r /s</v>
      </c>
      <c r="AG158" s="1" t="str">
        <f t="shared" si="98"/>
        <v>EC</v>
      </c>
      <c r="AH158" s="100" t="str">
        <f t="shared" si="85"/>
        <v>"%USERPROFILE%\Documents\GitHub\eaglep3\Utilities\RefineRTDCRunTimes.py" --tripid 246-10 --locoid 4037 --swversion DE.1.0.7.0 --startMP 204:232989 --initTime 2016-09-11T01:49:49 --startdatetime 2016-09-11T01:56:16 --delay 1 --endMP 204:150 --enddatetime 2016-09-11T02:34:33 --enforcementcount 0 &gt;&gt;C:\Users\stu\Documents\GitHub\eaglep3-reporting\EC\2016-09-10-refined-times.txt</v>
      </c>
      <c r="AI158" s="137" t="str">
        <f t="shared" si="86"/>
        <v>echo {"issue":{"subject":"","project_id":79,"tracker_id":40,"status_id":1,"priority_id":2,"assigned_to_id":23,"start_date":"2016-09-11","description":"","custom_fields":[{"id":1,"name":"Subdivision","value":"EC"},{"id":4,"name":"Milepost","value":"23.2839"},{"id":17,"name":"Train ID","value":"246-10"},{"id":16,"name":"Locomotive ID","value":"4037"},{"id":130,"name":"Impact","value":""},{"id":150,"name":"Time of Event (Mountain Time)","value":"02:34:33"},{"id":151,"name":"Denver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525</v>
      </c>
      <c r="B159" s="7">
        <v>4032</v>
      </c>
      <c r="C159" s="24" t="s">
        <v>108</v>
      </c>
      <c r="D159" s="24" t="s">
        <v>373</v>
      </c>
      <c r="E159" s="15">
        <v>42623.235150462962</v>
      </c>
      <c r="F159" s="15">
        <v>42623.236504629633</v>
      </c>
      <c r="G159" s="7">
        <v>1</v>
      </c>
      <c r="H159" s="15" t="s">
        <v>526</v>
      </c>
      <c r="I159" s="15">
        <v>42623.245879629627</v>
      </c>
      <c r="J159" s="7">
        <v>0</v>
      </c>
      <c r="K159" s="122" t="str">
        <f t="shared" si="88"/>
        <v>4031/4032</v>
      </c>
      <c r="L159" s="24" t="str">
        <f>VLOOKUP(A159,'Trips&amp;Operators'!$C$1:$E$10000,3,FALSE)</f>
        <v>YORK</v>
      </c>
      <c r="M159" s="6">
        <f t="shared" si="89"/>
        <v>9.3749999941792339E-3</v>
      </c>
      <c r="N159" s="7">
        <f t="shared" si="90"/>
        <v>13.499999991618097</v>
      </c>
      <c r="O159" s="7"/>
      <c r="P159" s="7"/>
      <c r="Q159" s="25"/>
      <c r="R159" s="25"/>
      <c r="S159" s="37">
        <f t="shared" si="91"/>
        <v>1</v>
      </c>
      <c r="T159" s="52" t="str">
        <f t="shared" si="84"/>
        <v>Southbound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04:38:37-0600',mode:absolute,to:'2016-09-10 06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59" s="54" t="str">
        <f t="shared" si="93"/>
        <v>N</v>
      </c>
      <c r="X159" s="172">
        <f t="shared" si="82"/>
        <v>1554</v>
      </c>
      <c r="Y159" s="69">
        <f t="shared" si="83"/>
        <v>5.8608000000000002</v>
      </c>
      <c r="Z159" s="69">
        <f t="shared" si="94"/>
        <v>8.43E-2</v>
      </c>
      <c r="AA159" s="69">
        <f t="shared" si="95"/>
        <v>5.7765000000000004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87"/>
        <v>1800-10</v>
      </c>
      <c r="AE159" s="99" t="str">
        <f t="shared" si="96"/>
        <v>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 &amp; aws s3 cp s3://rtdc.mdm.uploadarchive/RTDC4032/2016-09-11/ "%USERPROFILE%\AppData\Local\Temp\OnboardLogs"\RTDC4032\2016-09-11 --recursive &amp; "%USERPROFILE%\Documents\GitHub\mrs-test-scripts\Headless Mode &amp; Sideloading\WalkAndUnGZ.bat" "%USERPROFILE%\AppData\Local\Temp\OnboardLogs"\RTDC4032\2016-09-11</v>
      </c>
      <c r="AF159" s="96" t="str">
        <f t="shared" si="97"/>
        <v>"C:\Program Files (x86)\AstroGrep\AstroGrep.exe" /spath="%USERPROFILE%\AppData\Local\Temp\OnboardLogs" /stypes="*4032*20160910*" /stext=" 11:.+((SYSTEM_STATE.+slice.+state.+changed )|(ment ac)|(system.+state.+changed )|(\|lc)|(penalty)|(\[timeout)|(PRM\|1\|D)|(kpr)|(kdp))" /e /r /s</v>
      </c>
      <c r="AG159" s="1" t="str">
        <f t="shared" si="98"/>
        <v>NW</v>
      </c>
      <c r="AH159" s="100" t="str">
        <f t="shared" si="85"/>
        <v>"%USERPROFILE%\Documents\GitHub\eaglep3\Utilities\RefineRTDCRunTimes.py" --tripid 1800-10 --locoid 4032 --swversion DE.1.0.7.0 --startMP 300:58608 --initTime 2016-09-10T05:38:37 --startdatetime 2016-09-10T05:40:34 --delay 1 --endMP 204:843 --enddatetime 2016-09-10T05:54:04 --enforcementcount 0 &gt;&gt;C:\Users\stu\Documents\GitHub\eaglep3-reporting\EC\2016-09-10-refined-times.txt</v>
      </c>
      <c r="AI159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{"issue":{"subject":"","project_id":79,"tracker_id":40,"status_id":1,"priority_id":2,"assigned_to_id":23,"start_date":"2016-09-10","description":"","custom_fields":[{"id":1,"name":"Subdivision","value":"NW"},{"id":4,"name":"Milepost","value":"5.7765"},{"id":17,"name":"Train ID","value":"1800-10"},{"id":16,"name":"Locomotive ID","value":"4032"},{"id":130,"name":"Impact","value":""},{"id":150,"name":"Time of Event (Mountain Time)","value":"05:54:04"},{"id":151,"name":"Denver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527</v>
      </c>
      <c r="B160" s="7">
        <v>4031</v>
      </c>
      <c r="C160" s="24" t="s">
        <v>108</v>
      </c>
      <c r="D160" s="24" t="s">
        <v>528</v>
      </c>
      <c r="E160" s="15">
        <v>42623.24695601852</v>
      </c>
      <c r="F160" s="15">
        <v>42623.348993055559</v>
      </c>
      <c r="G160" s="7">
        <v>1</v>
      </c>
      <c r="H160" s="15" t="s">
        <v>370</v>
      </c>
      <c r="I160" s="15">
        <v>42623.357847222222</v>
      </c>
      <c r="J160" s="7">
        <v>0</v>
      </c>
      <c r="K160" s="122" t="str">
        <f t="shared" si="88"/>
        <v>4031/4032</v>
      </c>
      <c r="L160" s="24" t="str">
        <f>VLOOKUP(A160,'Trips&amp;Operators'!$C$1:$E$10000,3,FALSE)</f>
        <v>YORK</v>
      </c>
      <c r="M160" s="6">
        <f t="shared" si="89"/>
        <v>8.8541666627861559E-3</v>
      </c>
      <c r="N160" s="7">
        <f t="shared" si="90"/>
        <v>12.749999994412065</v>
      </c>
      <c r="O160" s="7"/>
      <c r="P160" s="7"/>
      <c r="Q160" s="25"/>
      <c r="R160" s="25"/>
      <c r="S160" s="37">
        <f t="shared" si="91"/>
        <v>1</v>
      </c>
      <c r="T160" s="52" t="str">
        <f t="shared" si="84"/>
        <v>NorthBound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04:55:37-0600',mode:absolute,to:'2016-09-10 09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0" s="54" t="str">
        <f t="shared" si="93"/>
        <v>N</v>
      </c>
      <c r="X160" s="172">
        <f t="shared" si="82"/>
        <v>1</v>
      </c>
      <c r="Y160" s="69">
        <f t="shared" si="83"/>
        <v>0.1123</v>
      </c>
      <c r="Z160" s="69">
        <f t="shared" si="94"/>
        <v>5.8935000000000004</v>
      </c>
      <c r="AA160" s="69">
        <f t="shared" si="95"/>
        <v>5.7812000000000001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87"/>
        <v>1801-10</v>
      </c>
      <c r="AE160" s="99" t="str">
        <f t="shared" si="96"/>
        <v>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 &amp; aws s3 cp s3://rtdc.mdm.uploadarchive/RTDC4031/2016-09-11/ "%USERPROFILE%\AppData\Local\Temp\OnboardLogs"\RTDC4031\2016-09-11 --recursive &amp; "%USERPROFILE%\Documents\GitHub\mrs-test-scripts\Headless Mode &amp; Sideloading\WalkAndUnGZ.bat" "%USERPROFILE%\AppData\Local\Temp\OnboardLogs"\RTDC4031\2016-09-11</v>
      </c>
      <c r="AF160" s="96" t="str">
        <f t="shared" si="97"/>
        <v>"C:\Program Files (x86)\AstroGrep\AstroGrep.exe" /spath="%USERPROFILE%\AppData\Local\Temp\OnboardLogs" /stypes="*4031*20160910*" /stext=" 14:.+((SYSTEM_STATE.+slice.+state.+changed )|(ment ac)|(system.+state.+changed )|(\|lc)|(penalty)|(\[timeout)|(PRM\|1\|D)|(kpr)|(kdp))" /e /r /s</v>
      </c>
      <c r="AG160" s="1" t="str">
        <f t="shared" si="98"/>
        <v>NW</v>
      </c>
      <c r="AH160" s="100" t="str">
        <f t="shared" si="85"/>
        <v>"%USERPROFILE%\Documents\GitHub\eaglep3\Utilities\RefineRTDCRunTimes.py" --tripid 1801-10 --locoid 4031 --swversion DE.1.0.7.0 --startMP 204:1123 --initTime 2016-09-10T05:55:37 --startdatetime 2016-09-10T08:22:33 --delay 1 --endMP 300:58935 --enddatetime 2016-09-10T08:35:18 --enforcementcount 0 &gt;&gt;C:\Users\stu\Documents\GitHub\eaglep3-reporting\EC\2016-09-10-refined-times.txt</v>
      </c>
      <c r="AI160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{"issue":{"subject":"","project_id":79,"tracker_id":40,"status_id":1,"priority_id":2,"assigned_to_id":23,"start_date":"2016-09-10","description":"","custom_fields":[{"id":1,"name":"Subdivision","value":"NW"},{"id":4,"name":"Milepost","value":"5.7812"},{"id":17,"name":"Train ID","value":"1801-10"},{"id":16,"name":"Locomotive ID","value":"4031"},{"id":130,"name":"Impact","value":""},{"id":150,"name":"Time of Event (Mountain Time)","value":"08:35:18"},{"id":151,"name":"Denver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529</v>
      </c>
      <c r="B161" s="7">
        <v>4032</v>
      </c>
      <c r="C161" s="24" t="s">
        <v>108</v>
      </c>
      <c r="D161" s="24" t="s">
        <v>372</v>
      </c>
      <c r="E161" s="15">
        <v>42623.275625000002</v>
      </c>
      <c r="F161" s="15">
        <v>42623.277557870373</v>
      </c>
      <c r="G161" s="7">
        <v>0</v>
      </c>
      <c r="H161" s="15" t="s">
        <v>530</v>
      </c>
      <c r="I161" s="15">
        <v>42623.287349537037</v>
      </c>
      <c r="J161" s="7">
        <v>0</v>
      </c>
      <c r="K161" s="122" t="str">
        <f t="shared" si="88"/>
        <v>4031/4032</v>
      </c>
      <c r="L161" s="24" t="str">
        <f>VLOOKUP(A161,'Trips&amp;Operators'!$C$1:$E$10000,3,FALSE)</f>
        <v>YORK</v>
      </c>
      <c r="M161" s="6">
        <f t="shared" si="89"/>
        <v>9.7916666636592709E-3</v>
      </c>
      <c r="N161" s="7">
        <f t="shared" si="90"/>
        <v>14.09999999566935</v>
      </c>
      <c r="O161" s="7"/>
      <c r="P161" s="7"/>
      <c r="Q161" s="25"/>
      <c r="R161" s="25"/>
      <c r="S161" s="37">
        <f t="shared" si="91"/>
        <v>1</v>
      </c>
      <c r="T161" s="52" t="str">
        <f t="shared" si="84"/>
        <v>Southbound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05:36:54-0600',mode:absolute,to:'2016-09-10 07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1" s="54" t="str">
        <f t="shared" si="93"/>
        <v>N</v>
      </c>
      <c r="X161" s="172">
        <f t="shared" ref="X161:X192" si="99">VALUE(LEFT(AD161,4))-VALUE(LEFT(AD160,4))</f>
        <v>1</v>
      </c>
      <c r="Y161" s="69">
        <f t="shared" ref="Y161:Y192" si="100">RIGHT(D161,LEN(D161)-4)/10000</f>
        <v>5.8613</v>
      </c>
      <c r="Z161" s="69">
        <f t="shared" si="94"/>
        <v>8.1100000000000005E-2</v>
      </c>
      <c r="AA161" s="69">
        <f t="shared" si="95"/>
        <v>5.7801999999999998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87"/>
        <v>1802-10</v>
      </c>
      <c r="AE161" s="99" t="str">
        <f t="shared" si="96"/>
        <v>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 &amp; aws s3 cp s3://rtdc.mdm.uploadarchive/RTDC4032/2016-09-11/ "%USERPROFILE%\AppData\Local\Temp\OnboardLogs"\RTDC4032\2016-09-11 --recursive &amp; "%USERPROFILE%\Documents\GitHub\mrs-test-scripts\Headless Mode &amp; Sideloading\WalkAndUnGZ.bat" "%USERPROFILE%\AppData\Local\Temp\OnboardLogs"\RTDC4032\2016-09-11</v>
      </c>
      <c r="AF161" s="96" t="str">
        <f t="shared" si="97"/>
        <v>"C:\Program Files (x86)\AstroGrep\AstroGrep.exe" /spath="%USERPROFILE%\AppData\Local\Temp\OnboardLogs" /stypes="*4032*20160910*" /stext=" 12:.+((SYSTEM_STATE.+slice.+state.+changed )|(ment ac)|(system.+state.+changed )|(\|lc)|(penalty)|(\[timeout)|(PRM\|1\|D)|(kpr)|(kdp))" /e /r /s</v>
      </c>
      <c r="AG161" s="1" t="str">
        <f t="shared" si="98"/>
        <v>NW</v>
      </c>
      <c r="AH161" s="100" t="str">
        <f t="shared" si="85"/>
        <v>"%USERPROFILE%\Documents\GitHub\eaglep3\Utilities\RefineRTDCRunTimes.py" --tripid 1802-10 --locoid 4032 --swversion DE.1.0.7.0 --startMP 300:58613 --initTime 2016-09-10T06:36:54 --startdatetime 2016-09-10T06:39:41 --delay 0 --endMP 204:811 --enddatetime 2016-09-10T06:53:47 --enforcementcount 0 &gt;&gt;C:\Users\stu\Documents\GitHub\eaglep3-reporting\EC\2016-09-10-refined-times.txt</v>
      </c>
      <c r="AI161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{"issue":{"subject":"","project_id":79,"tracker_id":40,"status_id":1,"priority_id":2,"assigned_to_id":23,"start_date":"2016-09-10","description":"","custom_fields":[{"id":1,"name":"Subdivision","value":"NW"},{"id":4,"name":"Milepost","value":"5.7802"},{"id":17,"name":"Train ID","value":"1802-10"},{"id":16,"name":"Locomotive ID","value":"4032"},{"id":130,"name":"Impact","value":""},{"id":150,"name":"Time of Event (Mountain Time)","value":"06:53:47"},{"id":151,"name":"Denver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719</v>
      </c>
      <c r="B162" s="7">
        <v>4031</v>
      </c>
      <c r="C162" s="24" t="s">
        <v>108</v>
      </c>
      <c r="D162" s="24" t="s">
        <v>372</v>
      </c>
      <c r="E162" s="15">
        <v>42623.275625000002</v>
      </c>
      <c r="F162" s="15">
        <v>42623.277557870373</v>
      </c>
      <c r="G162" s="7">
        <v>0</v>
      </c>
      <c r="H162" s="15" t="s">
        <v>530</v>
      </c>
      <c r="I162" s="15">
        <v>42623.287349537037</v>
      </c>
      <c r="J162" s="7">
        <v>0</v>
      </c>
      <c r="K162" s="122" t="str">
        <f t="shared" si="88"/>
        <v>4031/4032</v>
      </c>
      <c r="L162" s="24" t="e">
        <f>VLOOKUP(A162,'Trips&amp;Operators'!$C$1:$E$10000,3,FALSE)</f>
        <v>#N/A</v>
      </c>
      <c r="M162" s="6">
        <f t="shared" si="89"/>
        <v>9.7916666636592709E-3</v>
      </c>
      <c r="N162" s="7"/>
      <c r="O162" s="7"/>
      <c r="P162" s="7">
        <v>1</v>
      </c>
      <c r="Q162" s="25"/>
      <c r="R162" s="25" t="s">
        <v>332</v>
      </c>
      <c r="S162" s="37">
        <f t="shared" si="91"/>
        <v>0</v>
      </c>
      <c r="T162" s="52" t="str">
        <f t="shared" si="84"/>
        <v>NorthBound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0</v>
      </c>
      <c r="V162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05:36:54-0600',mode:absolute,to:'2016-09-10 07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2" s="54" t="str">
        <f t="shared" si="93"/>
        <v>N</v>
      </c>
      <c r="X162" s="172">
        <f t="shared" si="99"/>
        <v>1</v>
      </c>
      <c r="Y162" s="69">
        <f t="shared" si="100"/>
        <v>5.8613</v>
      </c>
      <c r="Z162" s="69">
        <f t="shared" si="94"/>
        <v>8.1100000000000005E-2</v>
      </c>
      <c r="AA162" s="69">
        <f t="shared" si="95"/>
        <v>5.7801999999999998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87"/>
        <v>1803-10</v>
      </c>
      <c r="AE162" s="99" t="str">
        <f t="shared" si="96"/>
        <v>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 &amp; aws s3 cp s3://rtdc.mdm.uploadarchive/RTDC4031/2016-09-11/ "%USERPROFILE%\AppData\Local\Temp\OnboardLogs"\RTDC4031\2016-09-11 --recursive &amp; "%USERPROFILE%\Documents\GitHub\mrs-test-scripts\Headless Mode &amp; Sideloading\WalkAndUnGZ.bat" "%USERPROFILE%\AppData\Local\Temp\OnboardLogs"\RTDC4031\2016-09-11</v>
      </c>
      <c r="AF162" s="96" t="str">
        <f t="shared" si="97"/>
        <v>"C:\Program Files (x86)\AstroGrep\AstroGrep.exe" /spath="%USERPROFILE%\AppData\Local\Temp\OnboardLogs" /stypes="*4031*20160910*" /stext=" 12:.+((SYSTEM_STATE.+slice.+state.+changed )|(ment ac)|(system.+state.+changed )|(\|lc)|(penalty)|(\[timeout)|(PRM\|1\|D)|(kpr)|(kdp))" /e /r /s</v>
      </c>
      <c r="AG162" s="1" t="str">
        <f t="shared" si="98"/>
        <v>NW</v>
      </c>
      <c r="AH162" s="100" t="str">
        <f t="shared" ref="AH162" si="101">refinertdcruntimes&amp;" --tripid "&amp;A162&amp;" --locoid "&amp;B162&amp;" --swversion "&amp;C162&amp;" --startMP "&amp;D162&amp;" --initTime "&amp;TEXT(E162,"yyyy-mm-ddTHH:MM:SS")&amp;" --startdatetime "&amp;TEXT(F162,"yyyy-mm-ddTHH:MM:SS")&amp;" --delay "&amp;G162&amp;" --endMP "&amp;H162&amp;" --enddatetime "&amp;TEXT(I162,"yyyy-mm-ddTHH:MM:SS")&amp;" --enforcementcount "&amp;J162&amp;IF(outputrefinedruntimes," &gt;&gt;"&amp;RefinedRTDCRunTimesOutputFile,"")</f>
        <v>"%USERPROFILE%\Documents\GitHub\eaglep3\Utilities\RefineRTDCRunTimes.py" --tripid 1803-10 --locoid 4031 --swversion DE.1.0.7.0 --startMP 300:58613 --initTime 2016-09-10T06:36:54 --startdatetime 2016-09-10T06:39:41 --delay 0 --endMP 204:811 --enddatetime 2016-09-10T06:53:47 --enforcementcount 0 &gt;&gt;C:\Users\stu\Documents\GitHub\eaglep3-reporting\EC\2016-09-10-refined-times.txt</v>
      </c>
      <c r="AI162" s="137" t="str">
        <f t="shared" ref="AI162" si="102">"echo {""issue"":{""subject"":"""&amp;R162&amp;""",""project_id"":79,""tracker_id"":40,""status_id"":"&amp;redmine_status&amp;",""priority_id"":"&amp;redmine_priority&amp;",""assigned_to_id"":"&amp;redmine_assignee&amp;",""start_date"":"""&amp;TEXT(I162,"YYYY-mm-dd")&amp;""",""description"":"""&amp;AJ162&amp;""",""custom_fields"":[{""id"":1,""name"":""Subdivision"",""value"":"""&amp;AG162&amp;"""},{""id"":4,""name"":""Milepost"",""value"":"""&amp;AA162&amp;"""},{""id"":17,""name"":""Train ID"",""value"":"""&amp;A162&amp;"""},{""id"":16,""name"":""Locomotive ID"",""value"":"""&amp;B162&amp;"""},{""id"":130,""name"":""Impact"",""value"":"""&amp;AK162&amp;"""},{""id"":150,""name"":""Time of Event (Mountain Time)"",""value"":"""&amp;TEXT(I162,"hh:mm:ss")&amp;"""},{""id"":151,""name"":""Denver Issue ID"",""value"":"""&amp;"""},{""id"":178,""name"":""Operational Impact"",""value"":"""&amp;redmine_op_impact&amp;"""},{""id"":179,""name"":""Denver Segment Assigned"",""value"":"""&amp;AL162&amp;"""}]}}"&amp;"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init","project_id":79,"tracker_id":40,"status_id":1,"priority_id":2,"assigned_to_id":23,"start_date":"2016-09-10","description":"","custom_fields":[{"id":1,"name":"Subdivision","value":"NW"},{"id":4,"name":"Milepost","value":"5.7802"},{"id":17,"name":"Train ID","value":"1803-10"},{"id":16,"name":"Locomotive ID","value":"4031"},{"id":130,"name":"Impact","value":""},{"id":150,"name":"Time of Event (Mountain Time)","value":"06:53:47"},{"id":151,"name":"Denver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531</v>
      </c>
      <c r="B163" s="7">
        <v>4032</v>
      </c>
      <c r="C163" s="24" t="s">
        <v>108</v>
      </c>
      <c r="D163" s="24" t="s">
        <v>532</v>
      </c>
      <c r="E163" s="15">
        <v>42623.317766203705</v>
      </c>
      <c r="F163" s="15">
        <v>42623.319814814815</v>
      </c>
      <c r="G163" s="7">
        <v>1</v>
      </c>
      <c r="H163" s="15" t="s">
        <v>533</v>
      </c>
      <c r="I163" s="15">
        <v>42623.328981481478</v>
      </c>
      <c r="J163" s="7">
        <v>0</v>
      </c>
      <c r="K163" s="122" t="str">
        <f t="shared" si="88"/>
        <v>4031/4032</v>
      </c>
      <c r="L163" s="24" t="str">
        <f>VLOOKUP(A163,'Trips&amp;Operators'!$C$1:$E$10000,3,FALSE)</f>
        <v>YORK</v>
      </c>
      <c r="M163" s="6">
        <f t="shared" si="89"/>
        <v>9.1666666630771942E-3</v>
      </c>
      <c r="N163" s="7">
        <f t="shared" ref="N163:N188" si="103">24*60*SUM($M163:$M163)</f>
        <v>13.19999999483116</v>
      </c>
      <c r="O163" s="7"/>
      <c r="P163" s="7"/>
      <c r="Q163" s="25"/>
      <c r="R163" s="25"/>
      <c r="S163" s="37">
        <f t="shared" si="91"/>
        <v>1</v>
      </c>
      <c r="T163" s="52" t="str">
        <f t="shared" si="84"/>
        <v>Southbound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06:37:35-0600',mode:absolute,to:'2016-09-10 08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3" s="54" t="str">
        <f t="shared" si="93"/>
        <v>N</v>
      </c>
      <c r="X163" s="172">
        <f t="shared" si="99"/>
        <v>1</v>
      </c>
      <c r="Y163" s="69">
        <f t="shared" si="100"/>
        <v>5.8632</v>
      </c>
      <c r="Z163" s="69">
        <f t="shared" si="94"/>
        <v>8.4500000000000006E-2</v>
      </c>
      <c r="AA163" s="69">
        <f t="shared" si="95"/>
        <v>5.7786999999999997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87"/>
        <v>1804-10</v>
      </c>
      <c r="AE163" s="99" t="str">
        <f t="shared" si="96"/>
        <v>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 &amp; aws s3 cp s3://rtdc.mdm.uploadarchive/RTDC4032/2016-09-11/ "%USERPROFILE%\AppData\Local\Temp\OnboardLogs"\RTDC4032\2016-09-11 --recursive &amp; "%USERPROFILE%\Documents\GitHub\mrs-test-scripts\Headless Mode &amp; Sideloading\WalkAndUnGZ.bat" "%USERPROFILE%\AppData\Local\Temp\OnboardLogs"\RTDC4032\2016-09-11</v>
      </c>
      <c r="AF163" s="96" t="str">
        <f t="shared" si="97"/>
        <v>"C:\Program Files (x86)\AstroGrep\AstroGrep.exe" /spath="%USERPROFILE%\AppData\Local\Temp\OnboardLogs" /stypes="*4032*20160910*" /stext=" 13:.+((SYSTEM_STATE.+slice.+state.+changed )|(ment ac)|(system.+state.+changed )|(\|lc)|(penalty)|(\[timeout)|(PRM\|1\|D)|(kpr)|(kdp))" /e /r /s</v>
      </c>
      <c r="AG163" s="1" t="str">
        <f t="shared" si="98"/>
        <v>NW</v>
      </c>
      <c r="AH163" s="100" t="str">
        <f t="shared" si="85"/>
        <v>"%USERPROFILE%\Documents\GitHub\eaglep3\Utilities\RefineRTDCRunTimes.py" --tripid 1804-10 --locoid 4032 --swversion DE.1.0.7.0 --startMP 300:58632 --initTime 2016-09-10T07:37:35 --startdatetime 2016-09-10T07:40:32 --delay 1 --endMP 204:845 --enddatetime 2016-09-10T07:53:44 --enforcementcount 0 &gt;&gt;C:\Users\stu\Documents\GitHub\eaglep3-reporting\EC\2016-09-10-refined-times.txt</v>
      </c>
      <c r="AI163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{"issue":{"subject":"","project_id":79,"tracker_id":40,"status_id":1,"priority_id":2,"assigned_to_id":23,"start_date":"2016-09-10","description":"","custom_fields":[{"id":1,"name":"Subdivision","value":"NW"},{"id":4,"name":"Milepost","value":"5.7787"},{"id":17,"name":"Train ID","value":"1804-10"},{"id":16,"name":"Locomotive ID","value":"4032"},{"id":130,"name":"Impact","value":""},{"id":150,"name":"Time of Event (Mountain Time)","value":"07:53:44"},{"id":151,"name":"Denver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534</v>
      </c>
      <c r="B164" s="7">
        <v>4031</v>
      </c>
      <c r="C164" s="24" t="s">
        <v>108</v>
      </c>
      <c r="D164" s="24" t="s">
        <v>535</v>
      </c>
      <c r="E164" s="15">
        <v>42623.347395833334</v>
      </c>
      <c r="F164" s="15">
        <v>42623.348993055559</v>
      </c>
      <c r="G164" s="7">
        <v>2</v>
      </c>
      <c r="H164" s="15" t="s">
        <v>370</v>
      </c>
      <c r="I164" s="15">
        <v>42623.357847222222</v>
      </c>
      <c r="J164" s="7">
        <v>0</v>
      </c>
      <c r="K164" s="122" t="str">
        <f t="shared" si="88"/>
        <v>4031/4032</v>
      </c>
      <c r="L164" s="24" t="str">
        <f>VLOOKUP(A164,'Trips&amp;Operators'!$C$1:$E$10000,3,FALSE)</f>
        <v>YORK</v>
      </c>
      <c r="M164" s="6">
        <f t="shared" si="89"/>
        <v>8.8541666627861559E-3</v>
      </c>
      <c r="N164" s="7">
        <f t="shared" si="103"/>
        <v>12.749999994412065</v>
      </c>
      <c r="O164" s="7"/>
      <c r="P164" s="7"/>
      <c r="Q164" s="25"/>
      <c r="R164" s="25"/>
      <c r="S164" s="37">
        <f t="shared" si="91"/>
        <v>1</v>
      </c>
      <c r="T164" s="52" t="str">
        <f t="shared" si="84"/>
        <v>NorthBound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07:20:15-0600',mode:absolute,to:'2016-09-10 09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4" s="54" t="str">
        <f t="shared" si="93"/>
        <v>N</v>
      </c>
      <c r="X164" s="172">
        <f t="shared" si="99"/>
        <v>1</v>
      </c>
      <c r="Y164" s="69">
        <f t="shared" si="100"/>
        <v>0.1132</v>
      </c>
      <c r="Z164" s="69">
        <f t="shared" si="94"/>
        <v>5.8935000000000004</v>
      </c>
      <c r="AA164" s="69">
        <f t="shared" si="95"/>
        <v>5.7803000000000004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87"/>
        <v>1805-10</v>
      </c>
      <c r="AE164" s="99" t="str">
        <f t="shared" si="96"/>
        <v>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 &amp; aws s3 cp s3://rtdc.mdm.uploadarchive/RTDC4031/2016-09-11/ "%USERPROFILE%\AppData\Local\Temp\OnboardLogs"\RTDC4031\2016-09-11 --recursive &amp; "%USERPROFILE%\Documents\GitHub\mrs-test-scripts\Headless Mode &amp; Sideloading\WalkAndUnGZ.bat" "%USERPROFILE%\AppData\Local\Temp\OnboardLogs"\RTDC4031\2016-09-11</v>
      </c>
      <c r="AF164" s="96" t="str">
        <f t="shared" si="97"/>
        <v>"C:\Program Files (x86)\AstroGrep\AstroGrep.exe" /spath="%USERPROFILE%\AppData\Local\Temp\OnboardLogs" /stypes="*4031*20160910*" /stext=" 14:.+((SYSTEM_STATE.+slice.+state.+changed )|(ment ac)|(system.+state.+changed )|(\|lc)|(penalty)|(\[timeout)|(PRM\|1\|D)|(kpr)|(kdp))" /e /r /s</v>
      </c>
      <c r="AG164" s="1" t="str">
        <f t="shared" si="98"/>
        <v>NW</v>
      </c>
      <c r="AH164" s="100" t="str">
        <f t="shared" si="85"/>
        <v>"%USERPROFILE%\Documents\GitHub\eaglep3\Utilities\RefineRTDCRunTimes.py" --tripid 1805-10 --locoid 4031 --swversion DE.1.0.7.0 --startMP 204:1132 --initTime 2016-09-10T08:20:15 --startdatetime 2016-09-10T08:22:33 --delay 2 --endMP 300:58935 --enddatetime 2016-09-10T08:35:18 --enforcementcount 0 &gt;&gt;C:\Users\stu\Documents\GitHub\eaglep3-reporting\EC\2016-09-10-refined-times.txt</v>
      </c>
      <c r="AI164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{"issue":{"subject":"","project_id":79,"tracker_id":40,"status_id":1,"priority_id":2,"assigned_to_id":23,"start_date":"2016-09-10","description":"","custom_fields":[{"id":1,"name":"Subdivision","value":"NW"},{"id":4,"name":"Milepost","value":"5.7803"},{"id":17,"name":"Train ID","value":"1805-10"},{"id":16,"name":"Locomotive ID","value":"4031"},{"id":130,"name":"Impact","value":""},{"id":150,"name":"Time of Event (Mountain Time)","value":"08:35:18"},{"id":151,"name":"Denver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536</v>
      </c>
      <c r="B165" s="7">
        <v>4032</v>
      </c>
      <c r="C165" s="24" t="s">
        <v>108</v>
      </c>
      <c r="D165" s="24" t="s">
        <v>374</v>
      </c>
      <c r="E165" s="15">
        <v>42623.358981481484</v>
      </c>
      <c r="F165" s="15">
        <v>42623.360405092593</v>
      </c>
      <c r="G165" s="7">
        <v>1</v>
      </c>
      <c r="H165" s="15" t="s">
        <v>537</v>
      </c>
      <c r="I165" s="15">
        <v>42623.370775462965</v>
      </c>
      <c r="J165" s="7">
        <v>0</v>
      </c>
      <c r="K165" s="122" t="str">
        <f t="shared" si="88"/>
        <v>4031/4032</v>
      </c>
      <c r="L165" s="24" t="str">
        <f>VLOOKUP(A165,'Trips&amp;Operators'!$C$1:$E$10000,3,FALSE)</f>
        <v>YORK</v>
      </c>
      <c r="M165" s="6">
        <f t="shared" si="89"/>
        <v>1.0370370371674653E-2</v>
      </c>
      <c r="N165" s="7">
        <f t="shared" si="103"/>
        <v>14.933333335211501</v>
      </c>
      <c r="O165" s="7"/>
      <c r="P165" s="7"/>
      <c r="Q165" s="25"/>
      <c r="R165" s="25"/>
      <c r="S165" s="37">
        <f t="shared" si="91"/>
        <v>1</v>
      </c>
      <c r="T165" s="52" t="str">
        <f t="shared" si="84"/>
        <v>Southbound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07:36:56-0600',mode:absolute,to:'2016-09-10 09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5" s="54" t="str">
        <f t="shared" si="93"/>
        <v>N</v>
      </c>
      <c r="X165" s="172">
        <f t="shared" si="99"/>
        <v>1</v>
      </c>
      <c r="Y165" s="69">
        <f t="shared" si="100"/>
        <v>5.8611000000000004</v>
      </c>
      <c r="Z165" s="69">
        <f t="shared" si="94"/>
        <v>9.0800000000000006E-2</v>
      </c>
      <c r="AA165" s="69">
        <f t="shared" si="95"/>
        <v>5.7703000000000007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87"/>
        <v>1806-10</v>
      </c>
      <c r="AE165" s="99" t="str">
        <f t="shared" si="96"/>
        <v>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 &amp; aws s3 cp s3://rtdc.mdm.uploadarchive/RTDC4032/2016-09-11/ "%USERPROFILE%\AppData\Local\Temp\OnboardLogs"\RTDC4032\2016-09-11 --recursive &amp; "%USERPROFILE%\Documents\GitHub\mrs-test-scripts\Headless Mode &amp; Sideloading\WalkAndUnGZ.bat" "%USERPROFILE%\AppData\Local\Temp\OnboardLogs"\RTDC4032\2016-09-11</v>
      </c>
      <c r="AF165" s="96" t="str">
        <f t="shared" si="97"/>
        <v>"C:\Program Files (x86)\AstroGrep\AstroGrep.exe" /spath="%USERPROFILE%\AppData\Local\Temp\OnboardLogs" /stypes="*4032*20160910*" /stext=" 14:.+((SYSTEM_STATE.+slice.+state.+changed )|(ment ac)|(system.+state.+changed )|(\|lc)|(penalty)|(\[timeout)|(PRM\|1\|D)|(kpr)|(kdp))" /e /r /s</v>
      </c>
      <c r="AG165" s="1" t="str">
        <f t="shared" si="98"/>
        <v>NW</v>
      </c>
      <c r="AH165" s="100" t="str">
        <f t="shared" si="85"/>
        <v>"%USERPROFILE%\Documents\GitHub\eaglep3\Utilities\RefineRTDCRunTimes.py" --tripid 1806-10 --locoid 4032 --swversion DE.1.0.7.0 --startMP 300:58611 --initTime 2016-09-10T08:36:56 --startdatetime 2016-09-10T08:38:59 --delay 1 --endMP 204:908 --enddatetime 2016-09-10T08:53:55 --enforcementcount 0 &gt;&gt;C:\Users\stu\Documents\GitHub\eaglep3-reporting\EC\2016-09-10-refined-times.txt</v>
      </c>
      <c r="AI165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{"issue":{"subject":"","project_id":79,"tracker_id":40,"status_id":1,"priority_id":2,"assigned_to_id":23,"start_date":"2016-09-10","description":"","custom_fields":[{"id":1,"name":"Subdivision","value":"NW"},{"id":4,"name":"Milepost","value":"5.7703"},{"id":17,"name":"Train ID","value":"1806-10"},{"id":16,"name":"Locomotive ID","value":"4032"},{"id":130,"name":"Impact","value":""},{"id":150,"name":"Time of Event (Mountain Time)","value":"08:53:55"},{"id":151,"name":"Denver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538</v>
      </c>
      <c r="B166" s="7">
        <v>4031</v>
      </c>
      <c r="C166" s="24" t="s">
        <v>108</v>
      </c>
      <c r="D166" s="24" t="s">
        <v>539</v>
      </c>
      <c r="E166" s="15">
        <v>42623.387303240743</v>
      </c>
      <c r="F166" s="15">
        <v>42623.389768518522</v>
      </c>
      <c r="G166" s="7">
        <v>1</v>
      </c>
      <c r="H166" s="15" t="s">
        <v>540</v>
      </c>
      <c r="I166" s="15">
        <v>42623.398622685185</v>
      </c>
      <c r="J166" s="7">
        <v>0</v>
      </c>
      <c r="K166" s="122" t="str">
        <f t="shared" si="88"/>
        <v>4031/4032</v>
      </c>
      <c r="L166" s="24" t="str">
        <f>VLOOKUP(A166,'Trips&amp;Operators'!$C$1:$E$10000,3,FALSE)</f>
        <v>YORK</v>
      </c>
      <c r="M166" s="6">
        <f t="shared" si="89"/>
        <v>8.8541666627861559E-3</v>
      </c>
      <c r="N166" s="7">
        <f t="shared" si="103"/>
        <v>12.749999994412065</v>
      </c>
      <c r="O166" s="7"/>
      <c r="P166" s="7"/>
      <c r="Q166" s="25"/>
      <c r="R166" s="25"/>
      <c r="S166" s="37">
        <f t="shared" si="91"/>
        <v>1</v>
      </c>
      <c r="T166" s="52" t="str">
        <f t="shared" si="84"/>
        <v>NorthBound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08:17:43-0600',mode:absolute,to:'2016-09-10 10:34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6" s="54" t="str">
        <f t="shared" si="93"/>
        <v>N</v>
      </c>
      <c r="X166" s="172">
        <f t="shared" si="99"/>
        <v>1</v>
      </c>
      <c r="Y166" s="69">
        <f t="shared" si="100"/>
        <v>0.1205</v>
      </c>
      <c r="Z166" s="69">
        <f t="shared" si="94"/>
        <v>5.8944000000000001</v>
      </c>
      <c r="AA166" s="69">
        <f t="shared" si="95"/>
        <v>5.7739000000000003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87"/>
        <v>1807-10</v>
      </c>
      <c r="AE166" s="99" t="str">
        <f t="shared" si="96"/>
        <v>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 &amp; aws s3 cp s3://rtdc.mdm.uploadarchive/RTDC4031/2016-09-11/ "%USERPROFILE%\AppData\Local\Temp\OnboardLogs"\RTDC4031\2016-09-11 --recursive &amp; "%USERPROFILE%\Documents\GitHub\mrs-test-scripts\Headless Mode &amp; Sideloading\WalkAndUnGZ.bat" "%USERPROFILE%\AppData\Local\Temp\OnboardLogs"\RTDC4031\2016-09-11</v>
      </c>
      <c r="AF166" s="96" t="str">
        <f t="shared" si="97"/>
        <v>"C:\Program Files (x86)\AstroGrep\AstroGrep.exe" /spath="%USERPROFILE%\AppData\Local\Temp\OnboardLogs" /stypes="*4031*20160910*" /stext=" 15:.+((SYSTEM_STATE.+slice.+state.+changed )|(ment ac)|(system.+state.+changed )|(\|lc)|(penalty)|(\[timeout)|(PRM\|1\|D)|(kpr)|(kdp))" /e /r /s</v>
      </c>
      <c r="AG166" s="1" t="str">
        <f t="shared" si="98"/>
        <v>NW</v>
      </c>
      <c r="AH166" s="100" t="str">
        <f t="shared" si="85"/>
        <v>"%USERPROFILE%\Documents\GitHub\eaglep3\Utilities\RefineRTDCRunTimes.py" --tripid 1807-10 --locoid 4031 --swversion DE.1.0.7.0 --startMP 204:1205 --initTime 2016-09-10T09:17:43 --startdatetime 2016-09-10T09:21:16 --delay 1 --endMP 300:58944 --enddatetime 2016-09-10T09:34:01 --enforcementcount 0 &gt;&gt;C:\Users\stu\Documents\GitHub\eaglep3-reporting\EC\2016-09-10-refined-times.txt</v>
      </c>
      <c r="AI166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{"issue":{"subject":"","project_id":79,"tracker_id":40,"status_id":1,"priority_id":2,"assigned_to_id":23,"start_date":"2016-09-10","description":"","custom_fields":[{"id":1,"name":"Subdivision","value":"NW"},{"id":4,"name":"Milepost","value":"5.7739"},{"id":17,"name":"Train ID","value":"1807-10"},{"id":16,"name":"Locomotive ID","value":"4031"},{"id":130,"name":"Impact","value":""},{"id":150,"name":"Time of Event (Mountain Time)","value":"09:34:01"},{"id":151,"name":"Denver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541</v>
      </c>
      <c r="B167" s="7">
        <v>4032</v>
      </c>
      <c r="C167" s="24" t="s">
        <v>108</v>
      </c>
      <c r="D167" s="24" t="s">
        <v>379</v>
      </c>
      <c r="E167" s="15">
        <v>42623.400601851848</v>
      </c>
      <c r="F167" s="15">
        <v>42623.402418981481</v>
      </c>
      <c r="G167" s="7">
        <v>1</v>
      </c>
      <c r="H167" s="15" t="s">
        <v>526</v>
      </c>
      <c r="I167" s="15">
        <v>42623.412268518521</v>
      </c>
      <c r="J167" s="7">
        <v>0</v>
      </c>
      <c r="K167" s="122" t="str">
        <f t="shared" si="88"/>
        <v>4031/4032</v>
      </c>
      <c r="L167" s="24" t="str">
        <f>VLOOKUP(A167,'Trips&amp;Operators'!$C$1:$E$10000,3,FALSE)</f>
        <v>YORK</v>
      </c>
      <c r="M167" s="6">
        <f t="shared" si="89"/>
        <v>9.8495370402815752E-3</v>
      </c>
      <c r="N167" s="7">
        <f t="shared" si="103"/>
        <v>14.183333338005468</v>
      </c>
      <c r="O167" s="7"/>
      <c r="P167" s="7"/>
      <c r="Q167" s="25"/>
      <c r="R167" s="25"/>
      <c r="S167" s="37">
        <f t="shared" si="91"/>
        <v>1</v>
      </c>
      <c r="T167" s="52" t="str">
        <f t="shared" si="84"/>
        <v>Southbound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08:36:52-0600',mode:absolute,to:'2016-09-10 10:53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7" s="54" t="str">
        <f t="shared" si="93"/>
        <v>N</v>
      </c>
      <c r="X167" s="172">
        <f t="shared" si="99"/>
        <v>1</v>
      </c>
      <c r="Y167" s="69">
        <f t="shared" si="100"/>
        <v>5.8634000000000004</v>
      </c>
      <c r="Z167" s="69">
        <f t="shared" si="94"/>
        <v>8.43E-2</v>
      </c>
      <c r="AA167" s="69">
        <f t="shared" si="95"/>
        <v>5.7791000000000006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87"/>
        <v>1808-10</v>
      </c>
      <c r="AE167" s="99" t="str">
        <f t="shared" si="96"/>
        <v>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 &amp; aws s3 cp s3://rtdc.mdm.uploadarchive/RTDC4032/2016-09-11/ "%USERPROFILE%\AppData\Local\Temp\OnboardLogs"\RTDC4032\2016-09-11 --recursive &amp; "%USERPROFILE%\Documents\GitHub\mrs-test-scripts\Headless Mode &amp; Sideloading\WalkAndUnGZ.bat" "%USERPROFILE%\AppData\Local\Temp\OnboardLogs"\RTDC4032\2016-09-11</v>
      </c>
      <c r="AF167" s="96" t="str">
        <f t="shared" si="97"/>
        <v>"C:\Program Files (x86)\AstroGrep\AstroGrep.exe" /spath="%USERPROFILE%\AppData\Local\Temp\OnboardLogs" /stypes="*4032*20160910*" /stext=" 15:.+((SYSTEM_STATE.+slice.+state.+changed )|(ment ac)|(system.+state.+changed )|(\|lc)|(penalty)|(\[timeout)|(PRM\|1\|D)|(kpr)|(kdp))" /e /r /s</v>
      </c>
      <c r="AG167" s="1" t="str">
        <f t="shared" si="98"/>
        <v>NW</v>
      </c>
      <c r="AH167" s="100" t="str">
        <f t="shared" si="85"/>
        <v>"%USERPROFILE%\Documents\GitHub\eaglep3\Utilities\RefineRTDCRunTimes.py" --tripid 1808-10 --locoid 4032 --swversion DE.1.0.7.0 --startMP 300:58634 --initTime 2016-09-10T09:36:52 --startdatetime 2016-09-10T09:39:29 --delay 1 --endMP 204:843 --enddatetime 2016-09-10T09:53:40 --enforcementcount 0 &gt;&gt;C:\Users\stu\Documents\GitHub\eaglep3-reporting\EC\2016-09-10-refined-times.txt</v>
      </c>
      <c r="AI167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{"issue":{"subject":"","project_id":79,"tracker_id":40,"status_id":1,"priority_id":2,"assigned_to_id":23,"start_date":"2016-09-10","description":"","custom_fields":[{"id":1,"name":"Subdivision","value":"NW"},{"id":4,"name":"Milepost","value":"5.7791"},{"id":17,"name":"Train ID","value":"1808-10"},{"id":16,"name":"Locomotive ID","value":"4032"},{"id":130,"name":"Impact","value":""},{"id":150,"name":"Time of Event (Mountain Time)","value":"09:53:40"},{"id":151,"name":"Denver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542</v>
      </c>
      <c r="B168" s="7">
        <v>4031</v>
      </c>
      <c r="C168" s="24" t="s">
        <v>108</v>
      </c>
      <c r="D168" s="24" t="s">
        <v>543</v>
      </c>
      <c r="E168" s="15">
        <v>42623.430532407408</v>
      </c>
      <c r="F168" s="15">
        <v>42623.431770833333</v>
      </c>
      <c r="G168" s="7">
        <v>1</v>
      </c>
      <c r="H168" s="15" t="s">
        <v>544</v>
      </c>
      <c r="I168" s="15">
        <v>42623.440486111111</v>
      </c>
      <c r="J168" s="7">
        <v>0</v>
      </c>
      <c r="K168" s="122" t="str">
        <f t="shared" si="88"/>
        <v>4031/4032</v>
      </c>
      <c r="L168" s="24" t="str">
        <f>VLOOKUP(A168,'Trips&amp;Operators'!$C$1:$E$10000,3,FALSE)</f>
        <v>YORK</v>
      </c>
      <c r="M168" s="6">
        <f t="shared" si="89"/>
        <v>8.7152777778101154E-3</v>
      </c>
      <c r="N168" s="7">
        <f t="shared" si="103"/>
        <v>12.550000000046566</v>
      </c>
      <c r="O168" s="7"/>
      <c r="P168" s="7"/>
      <c r="Q168" s="25"/>
      <c r="R168" s="25"/>
      <c r="S168" s="37">
        <f t="shared" si="91"/>
        <v>1</v>
      </c>
      <c r="T168" s="52" t="str">
        <f t="shared" si="84"/>
        <v>NorthBound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09:19:58-0600',mode:absolute,to:'2016-09-10 11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8" s="54" t="str">
        <f t="shared" si="93"/>
        <v>N</v>
      </c>
      <c r="X168" s="172">
        <f t="shared" si="99"/>
        <v>1</v>
      </c>
      <c r="Y168" s="69">
        <f t="shared" si="100"/>
        <v>0.11260000000000001</v>
      </c>
      <c r="Z168" s="69">
        <f t="shared" si="94"/>
        <v>5.8945999999999996</v>
      </c>
      <c r="AA168" s="69">
        <f t="shared" si="95"/>
        <v>5.782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87"/>
        <v>1809-10</v>
      </c>
      <c r="AE168" s="99" t="str">
        <f t="shared" si="96"/>
        <v>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 &amp; aws s3 cp s3://rtdc.mdm.uploadarchive/RTDC4031/2016-09-11/ "%USERPROFILE%\AppData\Local\Temp\OnboardLogs"\RTDC4031\2016-09-11 --recursive &amp; "%USERPROFILE%\Documents\GitHub\mrs-test-scripts\Headless Mode &amp; Sideloading\WalkAndUnGZ.bat" "%USERPROFILE%\AppData\Local\Temp\OnboardLogs"\RTDC4031\2016-09-11</v>
      </c>
      <c r="AF168" s="96" t="str">
        <f t="shared" si="97"/>
        <v>"C:\Program Files (x86)\AstroGrep\AstroGrep.exe" /spath="%USERPROFILE%\AppData\Local\Temp\OnboardLogs" /stypes="*4031*20160910*" /stext=" 16:.+((SYSTEM_STATE.+slice.+state.+changed )|(ment ac)|(system.+state.+changed )|(\|lc)|(penalty)|(\[timeout)|(PRM\|1\|D)|(kpr)|(kdp))" /e /r /s</v>
      </c>
      <c r="AG168" s="1" t="str">
        <f t="shared" si="98"/>
        <v>NW</v>
      </c>
      <c r="AH168" s="100" t="str">
        <f t="shared" si="85"/>
        <v>"%USERPROFILE%\Documents\GitHub\eaglep3\Utilities\RefineRTDCRunTimes.py" --tripid 1809-10 --locoid 4031 --swversion DE.1.0.7.0 --startMP 204:1126 --initTime 2016-09-10T10:19:58 --startdatetime 2016-09-10T10:21:45 --delay 1 --endMP 300:58946 --enddatetime 2016-09-10T10:34:18 --enforcementcount 0 &gt;&gt;C:\Users\stu\Documents\GitHub\eaglep3-reporting\EC\2016-09-10-refined-times.txt</v>
      </c>
      <c r="AI168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{"issue":{"subject":"","project_id":79,"tracker_id":40,"status_id":1,"priority_id":2,"assigned_to_id":23,"start_date":"2016-09-10","description":"","custom_fields":[{"id":1,"name":"Subdivision","value":"NW"},{"id":4,"name":"Milepost","value":"5.782"},{"id":17,"name":"Train ID","value":"1809-10"},{"id":16,"name":"Locomotive ID","value":"4031"},{"id":130,"name":"Impact","value":""},{"id":150,"name":"Time of Event (Mountain Time)","value":"10:34:18"},{"id":151,"name":"Denver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546</v>
      </c>
      <c r="B169" s="7">
        <v>4032</v>
      </c>
      <c r="C169" s="24" t="s">
        <v>108</v>
      </c>
      <c r="D169" s="24" t="s">
        <v>275</v>
      </c>
      <c r="E169" s="15">
        <v>42623.442141203705</v>
      </c>
      <c r="F169" s="15">
        <v>42623.445</v>
      </c>
      <c r="G169" s="7">
        <v>1</v>
      </c>
      <c r="H169" s="15" t="s">
        <v>547</v>
      </c>
      <c r="I169" s="15">
        <v>42623.454039351855</v>
      </c>
      <c r="J169" s="7">
        <v>0</v>
      </c>
      <c r="K169" s="122" t="str">
        <f t="shared" si="88"/>
        <v>4031/4032</v>
      </c>
      <c r="L169" s="24" t="str">
        <f>VLOOKUP(A169,'Trips&amp;Operators'!$C$1:$E$10000,3,FALSE)</f>
        <v>YORK</v>
      </c>
      <c r="M169" s="6">
        <f t="shared" si="89"/>
        <v>9.0393518548808061E-3</v>
      </c>
      <c r="N169" s="7">
        <f t="shared" si="103"/>
        <v>13.016666671028361</v>
      </c>
      <c r="O169" s="7"/>
      <c r="P169" s="7"/>
      <c r="Q169" s="25"/>
      <c r="R169" s="25"/>
      <c r="S169" s="37">
        <f t="shared" si="91"/>
        <v>1</v>
      </c>
      <c r="T169" s="52" t="str">
        <f t="shared" si="84"/>
        <v>Southbound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09:36:41-0600',mode:absolute,to:'2016-09-10 11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9" s="54" t="str">
        <f t="shared" si="93"/>
        <v>N</v>
      </c>
      <c r="X169" s="172">
        <f t="shared" si="99"/>
        <v>1</v>
      </c>
      <c r="Y169" s="69">
        <f t="shared" si="100"/>
        <v>5.8615000000000004</v>
      </c>
      <c r="Z169" s="69">
        <f t="shared" si="94"/>
        <v>8.3099999999999993E-2</v>
      </c>
      <c r="AA169" s="69">
        <f t="shared" si="95"/>
        <v>5.7784000000000004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87"/>
        <v>1810-10</v>
      </c>
      <c r="AE169" s="99" t="str">
        <f t="shared" si="96"/>
        <v>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 &amp; aws s3 cp s3://rtdc.mdm.uploadarchive/RTDC4032/2016-09-11/ "%USERPROFILE%\AppData\Local\Temp\OnboardLogs"\RTDC4032\2016-09-11 --recursive &amp; "%USERPROFILE%\Documents\GitHub\mrs-test-scripts\Headless Mode &amp; Sideloading\WalkAndUnGZ.bat" "%USERPROFILE%\AppData\Local\Temp\OnboardLogs"\RTDC4032\2016-09-11</v>
      </c>
      <c r="AF169" s="96" t="str">
        <f t="shared" si="97"/>
        <v>"C:\Program Files (x86)\AstroGrep\AstroGrep.exe" /spath="%USERPROFILE%\AppData\Local\Temp\OnboardLogs" /stypes="*4032*20160910*" /stext=" 16:.+((SYSTEM_STATE.+slice.+state.+changed )|(ment ac)|(system.+state.+changed )|(\|lc)|(penalty)|(\[timeout)|(PRM\|1\|D)|(kpr)|(kdp))" /e /r /s</v>
      </c>
      <c r="AG169" s="1" t="str">
        <f t="shared" si="98"/>
        <v>NW</v>
      </c>
      <c r="AH169" s="100" t="str">
        <f t="shared" si="85"/>
        <v>"%USERPROFILE%\Documents\GitHub\eaglep3\Utilities\RefineRTDCRunTimes.py" --tripid 1810-10 --locoid 4032 --swversion DE.1.0.7.0 --startMP 300:58615 --initTime 2016-09-10T10:36:41 --startdatetime 2016-09-10T10:40:48 --delay 1 --endMP 204:831 --enddatetime 2016-09-10T10:53:49 --enforcementcount 0 &gt;&gt;C:\Users\stu\Documents\GitHub\eaglep3-reporting\EC\2016-09-10-refined-times.txt</v>
      </c>
      <c r="AI169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{"issue":{"subject":"","project_id":79,"tracker_id":40,"status_id":1,"priority_id":2,"assigned_to_id":23,"start_date":"2016-09-10","description":"","custom_fields":[{"id":1,"name":"Subdivision","value":"NW"},{"id":4,"name":"Milepost","value":"5.7784"},{"id":17,"name":"Train ID","value":"1810-10"},{"id":16,"name":"Locomotive ID","value":"4032"},{"id":130,"name":"Impact","value":""},{"id":150,"name":"Time of Event (Mountain Time)","value":"10:53:49"},{"id":151,"name":"Denver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548</v>
      </c>
      <c r="B170" s="7">
        <v>4031</v>
      </c>
      <c r="C170" s="24" t="s">
        <v>108</v>
      </c>
      <c r="D170" s="24" t="s">
        <v>528</v>
      </c>
      <c r="E170" s="15">
        <v>42623.470347222225</v>
      </c>
      <c r="F170" s="15">
        <v>42623.473078703704</v>
      </c>
      <c r="G170" s="7">
        <v>1</v>
      </c>
      <c r="H170" s="15" t="s">
        <v>549</v>
      </c>
      <c r="I170" s="15">
        <v>42623.482071759259</v>
      </c>
      <c r="J170" s="7">
        <v>0</v>
      </c>
      <c r="K170" s="122" t="str">
        <f t="shared" si="88"/>
        <v>4031/4032</v>
      </c>
      <c r="L170" s="24" t="str">
        <f>VLOOKUP(A170,'Trips&amp;Operators'!$C$1:$E$10000,3,FALSE)</f>
        <v>YORK</v>
      </c>
      <c r="M170" s="6">
        <f t="shared" si="89"/>
        <v>8.9930555550381541E-3</v>
      </c>
      <c r="N170" s="7">
        <f t="shared" si="103"/>
        <v>12.949999999254942</v>
      </c>
      <c r="O170" s="7"/>
      <c r="P170" s="7"/>
      <c r="Q170" s="25"/>
      <c r="R170" s="25"/>
      <c r="S170" s="37">
        <f t="shared" si="91"/>
        <v>1</v>
      </c>
      <c r="T170" s="52" t="str">
        <f t="shared" si="84"/>
        <v>NorthBound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10:17:18-0600',mode:absolute,to:'2016-09-10 12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0" s="54" t="str">
        <f t="shared" si="93"/>
        <v>N</v>
      </c>
      <c r="X170" s="172">
        <f t="shared" si="99"/>
        <v>1</v>
      </c>
      <c r="Y170" s="69">
        <f t="shared" si="100"/>
        <v>0.1123</v>
      </c>
      <c r="Z170" s="69">
        <f t="shared" si="94"/>
        <v>5.8940999999999999</v>
      </c>
      <c r="AA170" s="69">
        <f t="shared" si="95"/>
        <v>5.7817999999999996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87"/>
        <v>1811-10</v>
      </c>
      <c r="AE170" s="99" t="str">
        <f t="shared" si="96"/>
        <v>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 &amp; aws s3 cp s3://rtdc.mdm.uploadarchive/RTDC4031/2016-09-11/ "%USERPROFILE%\AppData\Local\Temp\OnboardLogs"\RTDC4031\2016-09-11 --recursive &amp; "%USERPROFILE%\Documents\GitHub\mrs-test-scripts\Headless Mode &amp; Sideloading\WalkAndUnGZ.bat" "%USERPROFILE%\AppData\Local\Temp\OnboardLogs"\RTDC4031\2016-09-11</v>
      </c>
      <c r="AF170" s="96" t="str">
        <f t="shared" si="97"/>
        <v>"C:\Program Files (x86)\AstroGrep\AstroGrep.exe" /spath="%USERPROFILE%\AppData\Local\Temp\OnboardLogs" /stypes="*4031*20160910*" /stext=" 17:.+((SYSTEM_STATE.+slice.+state.+changed )|(ment ac)|(system.+state.+changed )|(\|lc)|(penalty)|(\[timeout)|(PRM\|1\|D)|(kpr)|(kdp))" /e /r /s</v>
      </c>
      <c r="AG170" s="1" t="str">
        <f t="shared" si="98"/>
        <v>NW</v>
      </c>
      <c r="AH170" s="100" t="str">
        <f t="shared" si="85"/>
        <v>"%USERPROFILE%\Documents\GitHub\eaglep3\Utilities\RefineRTDCRunTimes.py" --tripid 1811-10 --locoid 4031 --swversion DE.1.0.7.0 --startMP 204:1123 --initTime 2016-09-10T11:17:18 --startdatetime 2016-09-10T11:21:14 --delay 1 --endMP 300:58941 --enddatetime 2016-09-10T11:34:11 --enforcementcount 0 &gt;&gt;C:\Users\stu\Documents\GitHub\eaglep3-reporting\EC\2016-09-10-refined-times.txt</v>
      </c>
      <c r="AI170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{"issue":{"subject":"","project_id":79,"tracker_id":40,"status_id":1,"priority_id":2,"assigned_to_id":23,"start_date":"2016-09-10","description":"","custom_fields":[{"id":1,"name":"Subdivision","value":"NW"},{"id":4,"name":"Milepost","value":"5.7818"},{"id":17,"name":"Train ID","value":"1811-10"},{"id":16,"name":"Locomotive ID","value":"4031"},{"id":130,"name":"Impact","value":""},{"id":150,"name":"Time of Event (Mountain Time)","value":"11:34:11"},{"id":151,"name":"Denver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550</v>
      </c>
      <c r="B171" s="7">
        <v>4032</v>
      </c>
      <c r="C171" s="24" t="s">
        <v>108</v>
      </c>
      <c r="D171" s="24" t="s">
        <v>367</v>
      </c>
      <c r="E171" s="15">
        <v>42623.483425925922</v>
      </c>
      <c r="F171" s="15">
        <v>42623.485856481479</v>
      </c>
      <c r="G171" s="7">
        <v>1</v>
      </c>
      <c r="H171" s="15" t="s">
        <v>369</v>
      </c>
      <c r="I171" s="15">
        <v>42623.495810185188</v>
      </c>
      <c r="J171" s="7">
        <v>0</v>
      </c>
      <c r="K171" s="122" t="str">
        <f t="shared" si="88"/>
        <v>4031/4032</v>
      </c>
      <c r="L171" s="24" t="str">
        <f>VLOOKUP(A171,'Trips&amp;Operators'!$C$1:$E$10000,3,FALSE)</f>
        <v>YORK</v>
      </c>
      <c r="M171" s="6">
        <f t="shared" si="89"/>
        <v>9.9537037094705738E-3</v>
      </c>
      <c r="N171" s="7">
        <f t="shared" si="103"/>
        <v>14.333333341637626</v>
      </c>
      <c r="O171" s="7"/>
      <c r="P171" s="7"/>
      <c r="Q171" s="25"/>
      <c r="R171" s="25"/>
      <c r="S171" s="37">
        <f t="shared" si="91"/>
        <v>1</v>
      </c>
      <c r="T171" s="52" t="str">
        <f t="shared" si="84"/>
        <v>Southbound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10:36:08-0600',mode:absolute,to:'2016-09-10 12:53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1" s="54" t="str">
        <f t="shared" si="93"/>
        <v>N</v>
      </c>
      <c r="X171" s="172">
        <f t="shared" si="99"/>
        <v>1</v>
      </c>
      <c r="Y171" s="69">
        <f t="shared" si="100"/>
        <v>5.8620999999999999</v>
      </c>
      <c r="Z171" s="69">
        <f t="shared" si="94"/>
        <v>8.4099999999999994E-2</v>
      </c>
      <c r="AA171" s="69">
        <f t="shared" si="95"/>
        <v>5.7779999999999996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87"/>
        <v>1812-10</v>
      </c>
      <c r="AE171" s="99" t="str">
        <f t="shared" si="96"/>
        <v>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 &amp; aws s3 cp s3://rtdc.mdm.uploadarchive/RTDC4032/2016-09-11/ "%USERPROFILE%\AppData\Local\Temp\OnboardLogs"\RTDC4032\2016-09-11 --recursive &amp; "%USERPROFILE%\Documents\GitHub\mrs-test-scripts\Headless Mode &amp; Sideloading\WalkAndUnGZ.bat" "%USERPROFILE%\AppData\Local\Temp\OnboardLogs"\RTDC4032\2016-09-11</v>
      </c>
      <c r="AF171" s="96" t="str">
        <f t="shared" si="97"/>
        <v>"C:\Program Files (x86)\AstroGrep\AstroGrep.exe" /spath="%USERPROFILE%\AppData\Local\Temp\OnboardLogs" /stypes="*4032*20160910*" /stext=" 17:.+((SYSTEM_STATE.+slice.+state.+changed )|(ment ac)|(system.+state.+changed )|(\|lc)|(penalty)|(\[timeout)|(PRM\|1\|D)|(kpr)|(kdp))" /e /r /s</v>
      </c>
      <c r="AG171" s="1" t="str">
        <f t="shared" si="98"/>
        <v>NW</v>
      </c>
      <c r="AH171" s="100" t="str">
        <f t="shared" si="85"/>
        <v>"%USERPROFILE%\Documents\GitHub\eaglep3\Utilities\RefineRTDCRunTimes.py" --tripid 1812-10 --locoid 4032 --swversion DE.1.0.7.0 --startMP 300:58621 --initTime 2016-09-10T11:36:08 --startdatetime 2016-09-10T11:39:38 --delay 1 --endMP 204:841 --enddatetime 2016-09-10T11:53:58 --enforcementcount 0 &gt;&gt;C:\Users\stu\Documents\GitHub\eaglep3-reporting\EC\2016-09-10-refined-times.txt</v>
      </c>
      <c r="AI171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{"issue":{"subject":"","project_id":79,"tracker_id":40,"status_id":1,"priority_id":2,"assigned_to_id":23,"start_date":"2016-09-10","description":"","custom_fields":[{"id":1,"name":"Subdivision","value":"NW"},{"id":4,"name":"Milepost","value":"5.778"},{"id":17,"name":"Train ID","value":"1812-10"},{"id":16,"name":"Locomotive ID","value":"4032"},{"id":130,"name":"Impact","value":""},{"id":150,"name":"Time of Event (Mountain Time)","value":"11:53:58"},{"id":151,"name":"Denver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551</v>
      </c>
      <c r="B172" s="7">
        <v>4031</v>
      </c>
      <c r="C172" s="24" t="s">
        <v>108</v>
      </c>
      <c r="D172" s="24" t="s">
        <v>552</v>
      </c>
      <c r="E172" s="15">
        <v>42623.506516203706</v>
      </c>
      <c r="F172" s="15">
        <v>42623.514861111114</v>
      </c>
      <c r="G172" s="7">
        <v>1</v>
      </c>
      <c r="H172" s="15" t="s">
        <v>540</v>
      </c>
      <c r="I172" s="15">
        <v>42623.524328703701</v>
      </c>
      <c r="J172" s="7">
        <v>0</v>
      </c>
      <c r="K172" s="122" t="str">
        <f t="shared" si="88"/>
        <v>4031/4032</v>
      </c>
      <c r="L172" s="24" t="str">
        <f>VLOOKUP(A172,'Trips&amp;Operators'!$C$1:$E$10000,3,FALSE)</f>
        <v>HILLS</v>
      </c>
      <c r="M172" s="6">
        <f t="shared" si="89"/>
        <v>9.4675925865885802E-3</v>
      </c>
      <c r="N172" s="7">
        <f t="shared" si="103"/>
        <v>13.633333324687555</v>
      </c>
      <c r="O172" s="7"/>
      <c r="P172" s="7"/>
      <c r="Q172" s="25"/>
      <c r="R172" s="25"/>
      <c r="S172" s="37">
        <f t="shared" si="91"/>
        <v>1</v>
      </c>
      <c r="T172" s="52" t="str">
        <f t="shared" si="84"/>
        <v>NorthBound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11:09:23-0600',mode:absolute,to:'2016-09-10 13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2" s="54" t="str">
        <f t="shared" si="93"/>
        <v>N</v>
      </c>
      <c r="X172" s="172">
        <f t="shared" si="99"/>
        <v>1</v>
      </c>
      <c r="Y172" s="69">
        <f t="shared" si="100"/>
        <v>0.11509999999999999</v>
      </c>
      <c r="Z172" s="69">
        <f t="shared" si="94"/>
        <v>5.8944000000000001</v>
      </c>
      <c r="AA172" s="69">
        <f t="shared" si="95"/>
        <v>5.7793000000000001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87"/>
        <v>1813-10</v>
      </c>
      <c r="AE172" s="99" t="str">
        <f t="shared" si="96"/>
        <v>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 &amp; aws s3 cp s3://rtdc.mdm.uploadarchive/RTDC4031/2016-09-11/ "%USERPROFILE%\AppData\Local\Temp\OnboardLogs"\RTDC4031\2016-09-11 --recursive &amp; "%USERPROFILE%\Documents\GitHub\mrs-test-scripts\Headless Mode &amp; Sideloading\WalkAndUnGZ.bat" "%USERPROFILE%\AppData\Local\Temp\OnboardLogs"\RTDC4031\2016-09-11</v>
      </c>
      <c r="AF172" s="96" t="str">
        <f t="shared" si="97"/>
        <v>"C:\Program Files (x86)\AstroGrep\AstroGrep.exe" /spath="%USERPROFILE%\AppData\Local\Temp\OnboardLogs" /stypes="*4031*20160910*" /stext=" 18:.+((SYSTEM_STATE.+slice.+state.+changed )|(ment ac)|(system.+state.+changed )|(\|lc)|(penalty)|(\[timeout)|(PRM\|1\|D)|(kpr)|(kdp))" /e /r /s</v>
      </c>
      <c r="AG172" s="1" t="str">
        <f t="shared" si="98"/>
        <v>NW</v>
      </c>
      <c r="AH172" s="100" t="str">
        <f t="shared" si="85"/>
        <v>"%USERPROFILE%\Documents\GitHub\eaglep3\Utilities\RefineRTDCRunTimes.py" --tripid 1813-10 --locoid 4031 --swversion DE.1.0.7.0 --startMP 204:1151 --initTime 2016-09-10T12:09:23 --startdatetime 2016-09-10T12:21:24 --delay 1 --endMP 300:58944 --enddatetime 2016-09-10T12:35:02 --enforcementcount 0 &gt;&gt;C:\Users\stu\Documents\GitHub\eaglep3-reporting\EC\2016-09-10-refined-times.txt</v>
      </c>
      <c r="AI172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{"issue":{"subject":"","project_id":79,"tracker_id":40,"status_id":1,"priority_id":2,"assigned_to_id":23,"start_date":"2016-09-10","description":"","custom_fields":[{"id":1,"name":"Subdivision","value":"NW"},{"id":4,"name":"Milepost","value":"5.7793"},{"id":17,"name":"Train ID","value":"1813-10"},{"id":16,"name":"Locomotive ID","value":"4031"},{"id":130,"name":"Impact","value":""},{"id":150,"name":"Time of Event (Mountain Time)","value":"12:35:02"},{"id":151,"name":"Denver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553</v>
      </c>
      <c r="B173" s="7">
        <v>4032</v>
      </c>
      <c r="C173" s="24" t="s">
        <v>108</v>
      </c>
      <c r="D173" s="24" t="s">
        <v>532</v>
      </c>
      <c r="E173" s="15">
        <v>42623.526932870373</v>
      </c>
      <c r="F173" s="15">
        <v>42623.528692129628</v>
      </c>
      <c r="G173" s="7">
        <v>1</v>
      </c>
      <c r="H173" s="15" t="s">
        <v>554</v>
      </c>
      <c r="I173" s="15">
        <v>42623.538472222222</v>
      </c>
      <c r="J173" s="7">
        <v>0</v>
      </c>
      <c r="K173" s="122" t="str">
        <f t="shared" si="88"/>
        <v>4031/4032</v>
      </c>
      <c r="L173" s="24" t="str">
        <f>VLOOKUP(A173,'Trips&amp;Operators'!$C$1:$E$10000,3,FALSE)</f>
        <v>HILLS</v>
      </c>
      <c r="M173" s="6">
        <f t="shared" si="89"/>
        <v>9.7800925941555761E-3</v>
      </c>
      <c r="N173" s="7">
        <f t="shared" si="103"/>
        <v>14.08333333558403</v>
      </c>
      <c r="O173" s="7"/>
      <c r="P173" s="7"/>
      <c r="Q173" s="25"/>
      <c r="R173" s="25"/>
      <c r="S173" s="37">
        <f t="shared" si="91"/>
        <v>1</v>
      </c>
      <c r="T173" s="52" t="str">
        <f t="shared" si="84"/>
        <v>Southbound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11:38:47-0600',mode:absolute,to:'2016-09-10 13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3" s="54" t="str">
        <f t="shared" si="93"/>
        <v>N</v>
      </c>
      <c r="X173" s="172">
        <f t="shared" si="99"/>
        <v>1</v>
      </c>
      <c r="Y173" s="69">
        <f t="shared" si="100"/>
        <v>5.8632</v>
      </c>
      <c r="Z173" s="69">
        <f t="shared" si="94"/>
        <v>6.8199999999999997E-2</v>
      </c>
      <c r="AA173" s="69">
        <f t="shared" si="95"/>
        <v>5.7949999999999999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87"/>
        <v>1814-10</v>
      </c>
      <c r="AE173" s="99" t="str">
        <f t="shared" si="96"/>
        <v>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 &amp; aws s3 cp s3://rtdc.mdm.uploadarchive/RTDC4032/2016-09-11/ "%USERPROFILE%\AppData\Local\Temp\OnboardLogs"\RTDC4032\2016-09-11 --recursive &amp; "%USERPROFILE%\Documents\GitHub\mrs-test-scripts\Headless Mode &amp; Sideloading\WalkAndUnGZ.bat" "%USERPROFILE%\AppData\Local\Temp\OnboardLogs"\RTDC4032\2016-09-11</v>
      </c>
      <c r="AF173" s="96" t="str">
        <f t="shared" si="97"/>
        <v>"C:\Program Files (x86)\AstroGrep\AstroGrep.exe" /spath="%USERPROFILE%\AppData\Local\Temp\OnboardLogs" /stypes="*4032*20160910*" /stext=" 18:.+((SYSTEM_STATE.+slice.+state.+changed )|(ment ac)|(system.+state.+changed )|(\|lc)|(penalty)|(\[timeout)|(PRM\|1\|D)|(kpr)|(kdp))" /e /r /s</v>
      </c>
      <c r="AG173" s="1" t="str">
        <f t="shared" si="98"/>
        <v>NW</v>
      </c>
      <c r="AH173" s="100" t="str">
        <f t="shared" si="85"/>
        <v>"%USERPROFILE%\Documents\GitHub\eaglep3\Utilities\RefineRTDCRunTimes.py" --tripid 1814-10 --locoid 4032 --swversion DE.1.0.7.0 --startMP 300:58632 --initTime 2016-09-10T12:38:47 --startdatetime 2016-09-10T12:41:19 --delay 1 --endMP 204:682 --enddatetime 2016-09-10T12:55:24 --enforcementcount 0 &gt;&gt;C:\Users\stu\Documents\GitHub\eaglep3-reporting\EC\2016-09-10-refined-times.txt</v>
      </c>
      <c r="AI173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{"issue":{"subject":"","project_id":79,"tracker_id":40,"status_id":1,"priority_id":2,"assigned_to_id":23,"start_date":"2016-09-10","description":"","custom_fields":[{"id":1,"name":"Subdivision","value":"NW"},{"id":4,"name":"Milepost","value":"5.795"},{"id":17,"name":"Train ID","value":"1814-10"},{"id":16,"name":"Locomotive ID","value":"4032"},{"id":130,"name":"Impact","value":""},{"id":150,"name":"Time of Event (Mountain Time)","value":"12:55:24"},{"id":151,"name":"Denver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555</v>
      </c>
      <c r="B174" s="7">
        <v>4031</v>
      </c>
      <c r="C174" s="24" t="s">
        <v>108</v>
      </c>
      <c r="D174" s="24" t="s">
        <v>556</v>
      </c>
      <c r="E174" s="15">
        <v>42623.549155092594</v>
      </c>
      <c r="F174" s="15">
        <v>42623.556666666664</v>
      </c>
      <c r="G174" s="7">
        <v>1</v>
      </c>
      <c r="H174" s="15" t="s">
        <v>370</v>
      </c>
      <c r="I174" s="15">
        <v>42623.565706018519</v>
      </c>
      <c r="J174" s="7">
        <v>0</v>
      </c>
      <c r="K174" s="122" t="str">
        <f t="shared" si="88"/>
        <v>4031/4032</v>
      </c>
      <c r="L174" s="24" t="str">
        <f>VLOOKUP(A174,'Trips&amp;Operators'!$C$1:$E$10000,3,FALSE)</f>
        <v>YORK</v>
      </c>
      <c r="M174" s="6">
        <f t="shared" si="89"/>
        <v>9.0393518548808061E-3</v>
      </c>
      <c r="N174" s="7">
        <f t="shared" si="103"/>
        <v>13.016666671028361</v>
      </c>
      <c r="O174" s="7"/>
      <c r="P174" s="7"/>
      <c r="Q174" s="25"/>
      <c r="R174" s="25"/>
      <c r="S174" s="37">
        <f t="shared" si="91"/>
        <v>1</v>
      </c>
      <c r="T174" s="52" t="str">
        <f t="shared" si="84"/>
        <v>NorthBound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12:10:47-0600',mode:absolute,to:'2016-09-10 14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4" s="54" t="str">
        <f t="shared" si="93"/>
        <v>N</v>
      </c>
      <c r="X174" s="172">
        <f t="shared" si="99"/>
        <v>1</v>
      </c>
      <c r="Y174" s="69">
        <f t="shared" si="100"/>
        <v>9.6699999999999994E-2</v>
      </c>
      <c r="Z174" s="69">
        <f t="shared" si="94"/>
        <v>5.8935000000000004</v>
      </c>
      <c r="AA174" s="69">
        <f t="shared" si="95"/>
        <v>5.7968000000000002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87"/>
        <v>1815-10</v>
      </c>
      <c r="AE174" s="99" t="str">
        <f t="shared" si="96"/>
        <v>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 &amp; aws s3 cp s3://rtdc.mdm.uploadarchive/RTDC4031/2016-09-11/ "%USERPROFILE%\AppData\Local\Temp\OnboardLogs"\RTDC4031\2016-09-11 --recursive &amp; "%USERPROFILE%\Documents\GitHub\mrs-test-scripts\Headless Mode &amp; Sideloading\WalkAndUnGZ.bat" "%USERPROFILE%\AppData\Local\Temp\OnboardLogs"\RTDC4031\2016-09-11</v>
      </c>
      <c r="AF174" s="96" t="str">
        <f t="shared" si="97"/>
        <v>"C:\Program Files (x86)\AstroGrep\AstroGrep.exe" /spath="%USERPROFILE%\AppData\Local\Temp\OnboardLogs" /stypes="*4031*20160910*" /stext=" 19:.+((SYSTEM_STATE.+slice.+state.+changed )|(ment ac)|(system.+state.+changed )|(\|lc)|(penalty)|(\[timeout)|(PRM\|1\|D)|(kpr)|(kdp))" /e /r /s</v>
      </c>
      <c r="AG174" s="1" t="str">
        <f t="shared" si="98"/>
        <v>NW</v>
      </c>
      <c r="AH174" s="100" t="str">
        <f t="shared" si="85"/>
        <v>"%USERPROFILE%\Documents\GitHub\eaglep3\Utilities\RefineRTDCRunTimes.py" --tripid 1815-10 --locoid 4031 --swversion DE.1.0.7.0 --startMP 204:967 --initTime 2016-09-10T13:10:47 --startdatetime 2016-09-10T13:21:36 --delay 1 --endMP 300:58935 --enddatetime 2016-09-10T13:34:37 --enforcementcount 0 &gt;&gt;C:\Users\stu\Documents\GitHub\eaglep3-reporting\EC\2016-09-10-refined-times.txt</v>
      </c>
      <c r="AI174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{"issue":{"subject":"","project_id":79,"tracker_id":40,"status_id":1,"priority_id":2,"assigned_to_id":23,"start_date":"2016-09-10","description":"","custom_fields":[{"id":1,"name":"Subdivision","value":"NW"},{"id":4,"name":"Milepost","value":"5.7968"},{"id":17,"name":"Train ID","value":"1815-10"},{"id":16,"name":"Locomotive ID","value":"4031"},{"id":130,"name":"Impact","value":""},{"id":150,"name":"Time of Event (Mountain Time)","value":"13:34:37"},{"id":151,"name":"Denver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557</v>
      </c>
      <c r="B175" s="7">
        <v>4032</v>
      </c>
      <c r="C175" s="24" t="s">
        <v>108</v>
      </c>
      <c r="D175" s="24" t="s">
        <v>558</v>
      </c>
      <c r="E175" s="15">
        <v>42623.566620370373</v>
      </c>
      <c r="F175" s="15">
        <v>42623.568206018521</v>
      </c>
      <c r="G175" s="7">
        <v>1</v>
      </c>
      <c r="H175" s="15" t="s">
        <v>559</v>
      </c>
      <c r="I175" s="15">
        <v>42623.579027777778</v>
      </c>
      <c r="J175" s="7">
        <v>0</v>
      </c>
      <c r="K175" s="122" t="str">
        <f t="shared" si="88"/>
        <v>4031/4032</v>
      </c>
      <c r="L175" s="24" t="str">
        <f>VLOOKUP(A175,'Trips&amp;Operators'!$C$1:$E$10000,3,FALSE)</f>
        <v>YORK</v>
      </c>
      <c r="M175" s="6">
        <f t="shared" si="89"/>
        <v>1.0821759256941732E-2</v>
      </c>
      <c r="N175" s="7">
        <f t="shared" si="103"/>
        <v>15.583333329996094</v>
      </c>
      <c r="O175" s="7"/>
      <c r="P175" s="7"/>
      <c r="Q175" s="25"/>
      <c r="R175" s="25"/>
      <c r="S175" s="37">
        <f t="shared" si="91"/>
        <v>1</v>
      </c>
      <c r="T175" s="52" t="str">
        <f t="shared" si="84"/>
        <v>Southbound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12:35:56-0600',mode:absolute,to:'2016-09-10 14:53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5" s="54" t="str">
        <f t="shared" si="93"/>
        <v>N</v>
      </c>
      <c r="X175" s="172">
        <f t="shared" si="99"/>
        <v>1</v>
      </c>
      <c r="Y175" s="69">
        <f t="shared" si="100"/>
        <v>5.8609</v>
      </c>
      <c r="Z175" s="69">
        <f t="shared" si="94"/>
        <v>8.0799999999999997E-2</v>
      </c>
      <c r="AA175" s="69">
        <f t="shared" si="95"/>
        <v>5.7801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87"/>
        <v>1816-10</v>
      </c>
      <c r="AE175" s="99" t="str">
        <f t="shared" si="96"/>
        <v>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 &amp; aws s3 cp s3://rtdc.mdm.uploadarchive/RTDC4032/2016-09-11/ "%USERPROFILE%\AppData\Local\Temp\OnboardLogs"\RTDC4032\2016-09-11 --recursive &amp; "%USERPROFILE%\Documents\GitHub\mrs-test-scripts\Headless Mode &amp; Sideloading\WalkAndUnGZ.bat" "%USERPROFILE%\AppData\Local\Temp\OnboardLogs"\RTDC4032\2016-09-11</v>
      </c>
      <c r="AF175" s="96" t="str">
        <f t="shared" si="97"/>
        <v>"C:\Program Files (x86)\AstroGrep\AstroGrep.exe" /spath="%USERPROFILE%\AppData\Local\Temp\OnboardLogs" /stypes="*4032*20160910*" /stext=" 19:.+((SYSTEM_STATE.+slice.+state.+changed )|(ment ac)|(system.+state.+changed )|(\|lc)|(penalty)|(\[timeout)|(PRM\|1\|D)|(kpr)|(kdp))" /e /r /s</v>
      </c>
      <c r="AG175" s="1" t="str">
        <f t="shared" si="98"/>
        <v>NW</v>
      </c>
      <c r="AH175" s="100" t="str">
        <f t="shared" si="85"/>
        <v>"%USERPROFILE%\Documents\GitHub\eaglep3\Utilities\RefineRTDCRunTimes.py" --tripid 1816-10 --locoid 4032 --swversion DE.1.0.7.0 --startMP 300:58609 --initTime 2016-09-10T13:35:56 --startdatetime 2016-09-10T13:38:13 --delay 1 --endMP 204:808 --enddatetime 2016-09-10T13:53:48 --enforcementcount 0 &gt;&gt;C:\Users\stu\Documents\GitHub\eaglep3-reporting\EC\2016-09-10-refined-times.txt</v>
      </c>
      <c r="AI175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{"issue":{"subject":"","project_id":79,"tracker_id":40,"status_id":1,"priority_id":2,"assigned_to_id":23,"start_date":"2016-09-10","description":"","custom_fields":[{"id":1,"name":"Subdivision","value":"NW"},{"id":4,"name":"Milepost","value":"5.7801"},{"id":17,"name":"Train ID","value":"1816-10"},{"id":16,"name":"Locomotive ID","value":"4032"},{"id":130,"name":"Impact","value":""},{"id":150,"name":"Time of Event (Mountain Time)","value":"13:53:48"},{"id":151,"name":"Denver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560</v>
      </c>
      <c r="B176" s="7">
        <v>4031</v>
      </c>
      <c r="C176" s="24" t="s">
        <v>108</v>
      </c>
      <c r="D176" s="24" t="s">
        <v>528</v>
      </c>
      <c r="E176" s="15">
        <v>42623.595717592594</v>
      </c>
      <c r="F176" s="15">
        <v>42623.599062499998</v>
      </c>
      <c r="G176" s="7">
        <v>1</v>
      </c>
      <c r="H176" s="15" t="s">
        <v>561</v>
      </c>
      <c r="I176" s="15">
        <v>42623.608495370368</v>
      </c>
      <c r="J176" s="7">
        <v>0</v>
      </c>
      <c r="K176" s="122" t="str">
        <f t="shared" si="88"/>
        <v>4031/4032</v>
      </c>
      <c r="L176" s="24" t="str">
        <f>VLOOKUP(A176,'Trips&amp;Operators'!$C$1:$E$10000,3,FALSE)</f>
        <v>ADANE</v>
      </c>
      <c r="M176" s="6">
        <f t="shared" si="89"/>
        <v>9.4328703708015382E-3</v>
      </c>
      <c r="N176" s="7">
        <f t="shared" si="103"/>
        <v>13.583333333954215</v>
      </c>
      <c r="O176" s="7"/>
      <c r="P176" s="7"/>
      <c r="Q176" s="25"/>
      <c r="R176" s="25"/>
      <c r="S176" s="37">
        <f t="shared" si="91"/>
        <v>1</v>
      </c>
      <c r="T176" s="52" t="str">
        <f t="shared" si="84"/>
        <v>NorthBound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13:17:50-0600',mode:absolute,to:'2016-09-10 15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6" s="54" t="str">
        <f t="shared" si="93"/>
        <v>N</v>
      </c>
      <c r="X176" s="172">
        <f t="shared" si="99"/>
        <v>1</v>
      </c>
      <c r="Y176" s="69">
        <f t="shared" si="100"/>
        <v>0.1123</v>
      </c>
      <c r="Z176" s="69">
        <f t="shared" si="94"/>
        <v>5.8879000000000001</v>
      </c>
      <c r="AA176" s="69">
        <f t="shared" si="95"/>
        <v>5.7755999999999998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87"/>
        <v>1817-10</v>
      </c>
      <c r="AE176" s="99" t="str">
        <f t="shared" si="96"/>
        <v>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 &amp; aws s3 cp s3://rtdc.mdm.uploadarchive/RTDC4031/2016-09-11/ "%USERPROFILE%\AppData\Local\Temp\OnboardLogs"\RTDC4031\2016-09-11 --recursive &amp; "%USERPROFILE%\Documents\GitHub\mrs-test-scripts\Headless Mode &amp; Sideloading\WalkAndUnGZ.bat" "%USERPROFILE%\AppData\Local\Temp\OnboardLogs"\RTDC4031\2016-09-11</v>
      </c>
      <c r="AF176" s="96" t="str">
        <f t="shared" si="97"/>
        <v>"C:\Program Files (x86)\AstroGrep\AstroGrep.exe" /spath="%USERPROFILE%\AppData\Local\Temp\OnboardLogs" /stypes="*4031*20160910*" /stext=" 20:.+((SYSTEM_STATE.+slice.+state.+changed )|(ment ac)|(system.+state.+changed )|(\|lc)|(penalty)|(\[timeout)|(PRM\|1\|D)|(kpr)|(kdp))" /e /r /s</v>
      </c>
      <c r="AG176" s="1" t="str">
        <f t="shared" si="98"/>
        <v>NW</v>
      </c>
      <c r="AH176" s="100" t="str">
        <f t="shared" si="85"/>
        <v>"%USERPROFILE%\Documents\GitHub\eaglep3\Utilities\RefineRTDCRunTimes.py" --tripid 1817-10 --locoid 4031 --swversion DE.1.0.7.0 --startMP 204:1123 --initTime 2016-09-10T14:17:50 --startdatetime 2016-09-10T14:22:39 --delay 1 --endMP 300:58879 --enddatetime 2016-09-10T14:36:14 --enforcementcount 0 &gt;&gt;C:\Users\stu\Documents\GitHub\eaglep3-reporting\EC\2016-09-10-refined-times.txt</v>
      </c>
      <c r="AI176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{"issue":{"subject":"","project_id":79,"tracker_id":40,"status_id":1,"priority_id":2,"assigned_to_id":23,"start_date":"2016-09-10","description":"","custom_fields":[{"id":1,"name":"Subdivision","value":"NW"},{"id":4,"name":"Milepost","value":"5.7756"},{"id":17,"name":"Train ID","value":"1817-10"},{"id":16,"name":"Locomotive ID","value":"4031"},{"id":130,"name":"Impact","value":""},{"id":150,"name":"Time of Event (Mountain Time)","value":"14:36:14"},{"id":151,"name":"Denver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562</v>
      </c>
      <c r="B177" s="7">
        <v>4032</v>
      </c>
      <c r="C177" s="24" t="s">
        <v>108</v>
      </c>
      <c r="D177" s="24" t="s">
        <v>368</v>
      </c>
      <c r="E177" s="15">
        <v>42623.610474537039</v>
      </c>
      <c r="F177" s="15">
        <v>42623.612361111111</v>
      </c>
      <c r="G177" s="7">
        <v>1</v>
      </c>
      <c r="H177" s="15" t="s">
        <v>563</v>
      </c>
      <c r="I177" s="15">
        <v>42623.621782407405</v>
      </c>
      <c r="J177" s="7">
        <v>0</v>
      </c>
      <c r="K177" s="122" t="str">
        <f t="shared" si="88"/>
        <v>4031/4032</v>
      </c>
      <c r="L177" s="24" t="str">
        <f>VLOOKUP(A177,'Trips&amp;Operators'!$C$1:$E$10000,3,FALSE)</f>
        <v>ADANE</v>
      </c>
      <c r="M177" s="6">
        <f t="shared" si="89"/>
        <v>9.4212962940218858E-3</v>
      </c>
      <c r="N177" s="7">
        <f t="shared" si="103"/>
        <v>13.566666663391516</v>
      </c>
      <c r="O177" s="7"/>
      <c r="P177" s="7"/>
      <c r="Q177" s="25"/>
      <c r="R177" s="25"/>
      <c r="S177" s="37">
        <f t="shared" si="91"/>
        <v>1</v>
      </c>
      <c r="T177" s="52" t="str">
        <f t="shared" si="84"/>
        <v>Southbound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13:39:05-0600',mode:absolute,to:'2016-09-10 15:55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7" s="54" t="str">
        <f t="shared" si="93"/>
        <v>N</v>
      </c>
      <c r="X177" s="172">
        <f t="shared" si="99"/>
        <v>1</v>
      </c>
      <c r="Y177" s="69">
        <f t="shared" si="100"/>
        <v>5.8597999999999999</v>
      </c>
      <c r="Z177" s="69">
        <f t="shared" si="94"/>
        <v>6.4299999999999996E-2</v>
      </c>
      <c r="AA177" s="69">
        <f t="shared" si="95"/>
        <v>5.7954999999999997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87"/>
        <v>1818-10</v>
      </c>
      <c r="AE177" s="99" t="str">
        <f t="shared" si="96"/>
        <v>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 &amp; aws s3 cp s3://rtdc.mdm.uploadarchive/RTDC4032/2016-09-11/ "%USERPROFILE%\AppData\Local\Temp\OnboardLogs"\RTDC4032\2016-09-11 --recursive &amp; "%USERPROFILE%\Documents\GitHub\mrs-test-scripts\Headless Mode &amp; Sideloading\WalkAndUnGZ.bat" "%USERPROFILE%\AppData\Local\Temp\OnboardLogs"\RTDC4032\2016-09-11</v>
      </c>
      <c r="AF177" s="96" t="str">
        <f t="shared" si="97"/>
        <v>"C:\Program Files (x86)\AstroGrep\AstroGrep.exe" /spath="%USERPROFILE%\AppData\Local\Temp\OnboardLogs" /stypes="*4032*20160910*" /stext=" 20:.+((SYSTEM_STATE.+slice.+state.+changed )|(ment ac)|(system.+state.+changed )|(\|lc)|(penalty)|(\[timeout)|(PRM\|1\|D)|(kpr)|(kdp))" /e /r /s</v>
      </c>
      <c r="AG177" s="1" t="str">
        <f t="shared" si="98"/>
        <v>NW</v>
      </c>
      <c r="AH177" s="100" t="str">
        <f t="shared" si="85"/>
        <v>"%USERPROFILE%\Documents\GitHub\eaglep3\Utilities\RefineRTDCRunTimes.py" --tripid 1818-10 --locoid 4032 --swversion DE.1.0.7.0 --startMP 300:58598 --initTime 2016-09-10T14:39:05 --startdatetime 2016-09-10T14:41:48 --delay 1 --endMP 204:643 --enddatetime 2016-09-10T14:55:22 --enforcementcount 0 &gt;&gt;C:\Users\stu\Documents\GitHub\eaglep3-reporting\EC\2016-09-10-refined-times.txt</v>
      </c>
      <c r="AI177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{"issue":{"subject":"","project_id":79,"tracker_id":40,"status_id":1,"priority_id":2,"assigned_to_id":23,"start_date":"2016-09-10","description":"","custom_fields":[{"id":1,"name":"Subdivision","value":"NW"},{"id":4,"name":"Milepost","value":"5.7955"},{"id":17,"name":"Train ID","value":"1818-10"},{"id":16,"name":"Locomotive ID","value":"4032"},{"id":130,"name":"Impact","value":""},{"id":150,"name":"Time of Event (Mountain Time)","value":"14:55:22"},{"id":151,"name":"Denver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564</v>
      </c>
      <c r="B178" s="7">
        <v>4031</v>
      </c>
      <c r="C178" s="24" t="s">
        <v>108</v>
      </c>
      <c r="D178" s="24" t="s">
        <v>565</v>
      </c>
      <c r="E178" s="15">
        <v>42623.636481481481</v>
      </c>
      <c r="F178" s="15">
        <v>42623.639884259261</v>
      </c>
      <c r="G178" s="7">
        <v>1</v>
      </c>
      <c r="H178" s="15" t="s">
        <v>566</v>
      </c>
      <c r="I178" s="15">
        <v>42623.647511574076</v>
      </c>
      <c r="J178" s="7">
        <v>0</v>
      </c>
      <c r="K178" s="122" t="str">
        <f t="shared" si="88"/>
        <v>4031/4032</v>
      </c>
      <c r="L178" s="24" t="str">
        <f>VLOOKUP(A178,'Trips&amp;Operators'!$C$1:$E$10000,3,FALSE)</f>
        <v>ADANE</v>
      </c>
      <c r="M178" s="6">
        <f t="shared" si="89"/>
        <v>7.6273148151813075E-3</v>
      </c>
      <c r="N178" s="7">
        <f t="shared" si="103"/>
        <v>10.983333333861083</v>
      </c>
      <c r="O178" s="7"/>
      <c r="P178" s="7"/>
      <c r="Q178" s="25"/>
      <c r="R178" s="25"/>
      <c r="S178" s="37">
        <f t="shared" si="91"/>
        <v>1</v>
      </c>
      <c r="T178" s="52" t="str">
        <f t="shared" si="84"/>
        <v>NorthBound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14:16:32-0600',mode:absolute,to:'2016-09-10 16:32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8" s="54" t="str">
        <f t="shared" si="93"/>
        <v>N</v>
      </c>
      <c r="X178" s="172">
        <f t="shared" si="99"/>
        <v>1</v>
      </c>
      <c r="Y178" s="69">
        <f t="shared" si="100"/>
        <v>9.3399999999999997E-2</v>
      </c>
      <c r="Z178" s="69">
        <f t="shared" si="94"/>
        <v>5.7619999999999996</v>
      </c>
      <c r="AA178" s="69">
        <f t="shared" si="95"/>
        <v>5.6685999999999996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87"/>
        <v>1819-10</v>
      </c>
      <c r="AE178" s="99" t="str">
        <f t="shared" si="96"/>
        <v>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 &amp; aws s3 cp s3://rtdc.mdm.uploadarchive/RTDC4031/2016-09-11/ "%USERPROFILE%\AppData\Local\Temp\OnboardLogs"\RTDC4031\2016-09-11 --recursive &amp; "%USERPROFILE%\Documents\GitHub\mrs-test-scripts\Headless Mode &amp; Sideloading\WalkAndUnGZ.bat" "%USERPROFILE%\AppData\Local\Temp\OnboardLogs"\RTDC4031\2016-09-11</v>
      </c>
      <c r="AF178" s="96" t="str">
        <f t="shared" si="97"/>
        <v>"C:\Program Files (x86)\AstroGrep\AstroGrep.exe" /spath="%USERPROFILE%\AppData\Local\Temp\OnboardLogs" /stypes="*4031*20160910*" /stext=" 21:.+((SYSTEM_STATE.+slice.+state.+changed )|(ment ac)|(system.+state.+changed )|(\|lc)|(penalty)|(\[timeout)|(PRM\|1\|D)|(kpr)|(kdp))" /e /r /s</v>
      </c>
      <c r="AG178" s="1" t="str">
        <f t="shared" si="98"/>
        <v>NW</v>
      </c>
      <c r="AH178" s="100" t="str">
        <f t="shared" si="85"/>
        <v>"%USERPROFILE%\Documents\GitHub\eaglep3\Utilities\RefineRTDCRunTimes.py" --tripid 1819-10 --locoid 4031 --swversion DE.1.0.7.0 --startMP 204:934 --initTime 2016-09-10T15:16:32 --startdatetime 2016-09-10T15:21:26 --delay 1 --endMP 300:57620 --enddatetime 2016-09-10T15:32:25 --enforcementcount 0 &gt;&gt;C:\Users\stu\Documents\GitHub\eaglep3-reporting\EC\2016-09-10-refined-times.txt</v>
      </c>
      <c r="AI178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{"issue":{"subject":"","project_id":79,"tracker_id":40,"status_id":1,"priority_id":2,"assigned_to_id":23,"start_date":"2016-09-10","description":"","custom_fields":[{"id":1,"name":"Subdivision","value":"NW"},{"id":4,"name":"Milepost","value":"5.6686"},{"id":17,"name":"Train ID","value":"1819-10"},{"id":16,"name":"Locomotive ID","value":"4031"},{"id":130,"name":"Impact","value":""},{"id":150,"name":"Time of Event (Mountain Time)","value":"15:32:25"},{"id":151,"name":"Denver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413</v>
      </c>
      <c r="B179" s="7">
        <v>4032</v>
      </c>
      <c r="C179" s="24" t="s">
        <v>108</v>
      </c>
      <c r="D179" s="24" t="s">
        <v>376</v>
      </c>
      <c r="E179" s="15">
        <v>42623.651435185187</v>
      </c>
      <c r="F179" s="15">
        <v>42623.652719907404</v>
      </c>
      <c r="G179" s="7">
        <v>1</v>
      </c>
      <c r="H179" s="15" t="s">
        <v>568</v>
      </c>
      <c r="I179" s="15">
        <v>42623.663344907407</v>
      </c>
      <c r="J179" s="7">
        <v>0</v>
      </c>
      <c r="K179" s="122" t="str">
        <f t="shared" si="88"/>
        <v>4031/4032</v>
      </c>
      <c r="L179" s="24" t="str">
        <f>VLOOKUP(A179,'Trips&amp;Operators'!$C$1:$E$10000,3,FALSE)</f>
        <v>ADANE</v>
      </c>
      <c r="M179" s="6">
        <f t="shared" si="89"/>
        <v>1.0625000002619345E-2</v>
      </c>
      <c r="N179" s="7">
        <f t="shared" si="103"/>
        <v>15.300000003771856</v>
      </c>
      <c r="O179" s="7"/>
      <c r="P179" s="7"/>
      <c r="Q179" s="25"/>
      <c r="R179" s="25"/>
      <c r="S179" s="37">
        <f t="shared" si="91"/>
        <v>1</v>
      </c>
      <c r="T179" s="52" t="str">
        <f t="shared" si="84"/>
        <v>Southbound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14:38:04-0600',mode:absolute,to:'2016-09-10 16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9" s="54" t="str">
        <f t="shared" si="93"/>
        <v>N</v>
      </c>
      <c r="X179" s="172">
        <f t="shared" si="99"/>
        <v>1</v>
      </c>
      <c r="Y179" s="69">
        <f t="shared" si="100"/>
        <v>5.8605999999999998</v>
      </c>
      <c r="Z179" s="69">
        <f t="shared" si="94"/>
        <v>6.6400000000000001E-2</v>
      </c>
      <c r="AA179" s="69">
        <f t="shared" si="95"/>
        <v>5.7942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87"/>
        <v>1820-10</v>
      </c>
      <c r="AE179" s="99" t="str">
        <f t="shared" si="96"/>
        <v>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 &amp; aws s3 cp s3://rtdc.mdm.uploadarchive/RTDC4032/2016-09-11/ "%USERPROFILE%\AppData\Local\Temp\OnboardLogs"\RTDC4032\2016-09-11 --recursive &amp; "%USERPROFILE%\Documents\GitHub\mrs-test-scripts\Headless Mode &amp; Sideloading\WalkAndUnGZ.bat" "%USERPROFILE%\AppData\Local\Temp\OnboardLogs"\RTDC4032\2016-09-11</v>
      </c>
      <c r="AF179" s="96" t="str">
        <f t="shared" si="97"/>
        <v>"C:\Program Files (x86)\AstroGrep\AstroGrep.exe" /spath="%USERPROFILE%\AppData\Local\Temp\OnboardLogs" /stypes="*4032*20160910*" /stext=" 21:.+((SYSTEM_STATE.+slice.+state.+changed )|(ment ac)|(system.+state.+changed )|(\|lc)|(penalty)|(\[timeout)|(PRM\|1\|D)|(kpr)|(kdp))" /e /r /s</v>
      </c>
      <c r="AG179" s="1" t="str">
        <f t="shared" si="98"/>
        <v>NW</v>
      </c>
      <c r="AH179" s="100" t="str">
        <f t="shared" si="85"/>
        <v>"%USERPROFILE%\Documents\GitHub\eaglep3\Utilities\RefineRTDCRunTimes.py" --tripid 1820-10 --locoid 4032 --swversion DE.1.0.7.0 --startMP 300:58606 --initTime 2016-09-10T15:38:04 --startdatetime 2016-09-10T15:39:55 --delay 1 --endMP 204:664 --enddatetime 2016-09-10T15:55:13 --enforcementcount 0 &gt;&gt;C:\Users\stu\Documents\GitHub\eaglep3-reporting\EC\2016-09-10-refined-times.txt</v>
      </c>
      <c r="AI179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{"issue":{"subject":"","project_id":79,"tracker_id":40,"status_id":1,"priority_id":2,"assigned_to_id":23,"start_date":"2016-09-10","description":"","custom_fields":[{"id":1,"name":"Subdivision","value":"NW"},{"id":4,"name":"Milepost","value":"5.7942"},{"id":17,"name":"Train ID","value":"1820-10"},{"id":16,"name":"Locomotive ID","value":"4032"},{"id":130,"name":"Impact","value":""},{"id":150,"name":"Time of Event (Mountain Time)","value":"15:55:13"},{"id":151,"name":"Denver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416</v>
      </c>
      <c r="B180" s="7">
        <v>4031</v>
      </c>
      <c r="C180" s="24" t="s">
        <v>108</v>
      </c>
      <c r="D180" s="24" t="s">
        <v>377</v>
      </c>
      <c r="E180" s="15">
        <v>42623.677361111113</v>
      </c>
      <c r="F180" s="15">
        <v>42623.681527777779</v>
      </c>
      <c r="G180" s="7">
        <v>1</v>
      </c>
      <c r="H180" s="15" t="s">
        <v>569</v>
      </c>
      <c r="I180" s="15">
        <v>42623.688819444447</v>
      </c>
      <c r="J180" s="7">
        <v>0</v>
      </c>
      <c r="K180" s="122" t="str">
        <f t="shared" si="88"/>
        <v>4031/4032</v>
      </c>
      <c r="L180" s="24" t="str">
        <f>VLOOKUP(A180,'Trips&amp;Operators'!$C$1:$E$10000,3,FALSE)</f>
        <v>ADANE</v>
      </c>
      <c r="M180" s="6">
        <f t="shared" si="89"/>
        <v>7.291666668606922E-3</v>
      </c>
      <c r="N180" s="7">
        <f t="shared" si="103"/>
        <v>10.500000002793968</v>
      </c>
      <c r="O180" s="7"/>
      <c r="P180" s="7"/>
      <c r="Q180" s="25"/>
      <c r="R180" s="25"/>
      <c r="S180" s="37">
        <f t="shared" si="91"/>
        <v>1</v>
      </c>
      <c r="T180" s="52" t="str">
        <f t="shared" ref="T180:T202" si="104">IF(ISEVEN(LEFT(AD180,4)),"Southbound","NorthBound")</f>
        <v>NorthBound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15:15:24-0600',mode:absolute,to:'2016-09-10 17:31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0" s="54" t="str">
        <f t="shared" si="93"/>
        <v>N</v>
      </c>
      <c r="X180" s="172">
        <f t="shared" si="99"/>
        <v>1</v>
      </c>
      <c r="Y180" s="69">
        <f t="shared" si="100"/>
        <v>9.5799999999999996E-2</v>
      </c>
      <c r="Z180" s="69">
        <f t="shared" si="94"/>
        <v>5.7626999999999997</v>
      </c>
      <c r="AA180" s="69">
        <f t="shared" si="95"/>
        <v>5.6669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87"/>
        <v>1821-10</v>
      </c>
      <c r="AE180" s="99" t="str">
        <f t="shared" si="96"/>
        <v>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 &amp; aws s3 cp s3://rtdc.mdm.uploadarchive/RTDC4031/2016-09-11/ "%USERPROFILE%\AppData\Local\Temp\OnboardLogs"\RTDC4031\2016-09-11 --recursive &amp; "%USERPROFILE%\Documents\GitHub\mrs-test-scripts\Headless Mode &amp; Sideloading\WalkAndUnGZ.bat" "%USERPROFILE%\AppData\Local\Temp\OnboardLogs"\RTDC4031\2016-09-11</v>
      </c>
      <c r="AF180" s="96" t="str">
        <f t="shared" si="97"/>
        <v>"C:\Program Files (x86)\AstroGrep\AstroGrep.exe" /spath="%USERPROFILE%\AppData\Local\Temp\OnboardLogs" /stypes="*4031*20160910*" /stext=" 22:.+((SYSTEM_STATE.+slice.+state.+changed )|(ment ac)|(system.+state.+changed )|(\|lc)|(penalty)|(\[timeout)|(PRM\|1\|D)|(kpr)|(kdp))" /e /r /s</v>
      </c>
      <c r="AG180" s="1" t="str">
        <f t="shared" si="98"/>
        <v>NW</v>
      </c>
      <c r="AH180" s="100" t="str">
        <f t="shared" si="85"/>
        <v>"%USERPROFILE%\Documents\GitHub\eaglep3\Utilities\RefineRTDCRunTimes.py" --tripid 1821-10 --locoid 4031 --swversion DE.1.0.7.0 --startMP 204:958 --initTime 2016-09-10T16:15:24 --startdatetime 2016-09-10T16:21:24 --delay 1 --endMP 300:57627 --enddatetime 2016-09-10T16:31:54 --enforcementcount 0 &gt;&gt;C:\Users\stu\Documents\GitHub\eaglep3-reporting\EC\2016-09-10-refined-times.txt</v>
      </c>
      <c r="AI180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{"issue":{"subject":"","project_id":79,"tracker_id":40,"status_id":1,"priority_id":2,"assigned_to_id":23,"start_date":"2016-09-10","description":"","custom_fields":[{"id":1,"name":"Subdivision","value":"NW"},{"id":4,"name":"Milepost","value":"5.6669"},{"id":17,"name":"Train ID","value":"1821-10"},{"id":16,"name":"Locomotive ID","value":"4031"},{"id":130,"name":"Impact","value":""},{"id":150,"name":"Time of Event (Mountain Time)","value":"16:31:54"},{"id":151,"name":"Denver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570</v>
      </c>
      <c r="B181" s="7">
        <v>4032</v>
      </c>
      <c r="C181" s="24" t="s">
        <v>108</v>
      </c>
      <c r="D181" s="24" t="s">
        <v>367</v>
      </c>
      <c r="E181" s="15">
        <v>42623.693796296298</v>
      </c>
      <c r="F181" s="15">
        <v>42623.6952662037</v>
      </c>
      <c r="G181" s="7">
        <v>1</v>
      </c>
      <c r="H181" s="15" t="s">
        <v>571</v>
      </c>
      <c r="I181" s="15">
        <v>42623.704699074071</v>
      </c>
      <c r="J181" s="7">
        <v>0</v>
      </c>
      <c r="K181" s="122" t="str">
        <f t="shared" si="88"/>
        <v>4031/4032</v>
      </c>
      <c r="L181" s="24" t="str">
        <f>VLOOKUP(A181,'Trips&amp;Operators'!$C$1:$E$10000,3,FALSE)</f>
        <v>ADANE</v>
      </c>
      <c r="M181" s="6">
        <f t="shared" si="89"/>
        <v>9.4328703708015382E-3</v>
      </c>
      <c r="N181" s="7">
        <f t="shared" si="103"/>
        <v>13.583333333954215</v>
      </c>
      <c r="O181" s="7"/>
      <c r="P181" s="7"/>
      <c r="Q181" s="25"/>
      <c r="R181" s="25"/>
      <c r="S181" s="37">
        <f t="shared" si="91"/>
        <v>1</v>
      </c>
      <c r="T181" s="52" t="str">
        <f t="shared" si="104"/>
        <v>Southbound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15:39:04-0600',mode:absolute,to:'2016-09-10 17:54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1" s="54" t="str">
        <f t="shared" si="93"/>
        <v>N</v>
      </c>
      <c r="X181" s="172">
        <f t="shared" si="99"/>
        <v>1</v>
      </c>
      <c r="Y181" s="69">
        <f t="shared" si="100"/>
        <v>5.8620999999999999</v>
      </c>
      <c r="Z181" s="69">
        <f t="shared" si="94"/>
        <v>8.4599999999999995E-2</v>
      </c>
      <c r="AA181" s="69">
        <f t="shared" si="95"/>
        <v>5.7774999999999999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87"/>
        <v>1822-10</v>
      </c>
      <c r="AE181" s="99" t="str">
        <f t="shared" si="96"/>
        <v>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 &amp; aws s3 cp s3://rtdc.mdm.uploadarchive/RTDC4032/2016-09-11/ "%USERPROFILE%\AppData\Local\Temp\OnboardLogs"\RTDC4032\2016-09-11 --recursive &amp; "%USERPROFILE%\Documents\GitHub\mrs-test-scripts\Headless Mode &amp; Sideloading\WalkAndUnGZ.bat" "%USERPROFILE%\AppData\Local\Temp\OnboardLogs"\RTDC4032\2016-09-11</v>
      </c>
      <c r="AF181" s="96" t="str">
        <f t="shared" si="97"/>
        <v>"C:\Program Files (x86)\AstroGrep\AstroGrep.exe" /spath="%USERPROFILE%\AppData\Local\Temp\OnboardLogs" /stypes="*4032*20160910*" /stext=" 22:.+((SYSTEM_STATE.+slice.+state.+changed )|(ment ac)|(system.+state.+changed )|(\|lc)|(penalty)|(\[timeout)|(PRM\|1\|D)|(kpr)|(kdp))" /e /r /s</v>
      </c>
      <c r="AG181" s="1" t="str">
        <f t="shared" si="98"/>
        <v>NW</v>
      </c>
      <c r="AH181" s="100" t="str">
        <f t="shared" si="85"/>
        <v>"%USERPROFILE%\Documents\GitHub\eaglep3\Utilities\RefineRTDCRunTimes.py" --tripid 1822-10 --locoid 4032 --swversion DE.1.0.7.0 --startMP 300:58621 --initTime 2016-09-10T16:39:04 --startdatetime 2016-09-10T16:41:11 --delay 1 --endMP 204:846 --enddatetime 2016-09-10T16:54:46 --enforcementcount 0 &gt;&gt;C:\Users\stu\Documents\GitHub\eaglep3-reporting\EC\2016-09-10-refined-times.txt</v>
      </c>
      <c r="AI181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{"issue":{"subject":"","project_id":79,"tracker_id":40,"status_id":1,"priority_id":2,"assigned_to_id":23,"start_date":"2016-09-10","description":"","custom_fields":[{"id":1,"name":"Subdivision","value":"NW"},{"id":4,"name":"Milepost","value":"5.7775"},{"id":17,"name":"Train ID","value":"1822-10"},{"id":16,"name":"Locomotive ID","value":"4032"},{"id":130,"name":"Impact","value":""},{"id":150,"name":"Time of Event (Mountain Time)","value":"16:54:46"},{"id":151,"name":"Denver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417</v>
      </c>
      <c r="B182" s="7">
        <v>4031</v>
      </c>
      <c r="C182" s="24" t="s">
        <v>108</v>
      </c>
      <c r="D182" s="24" t="s">
        <v>572</v>
      </c>
      <c r="E182" s="15">
        <v>42623.718981481485</v>
      </c>
      <c r="F182" s="15">
        <v>42623.735833333332</v>
      </c>
      <c r="G182" s="7">
        <v>2</v>
      </c>
      <c r="H182" s="15" t="s">
        <v>573</v>
      </c>
      <c r="I182" s="15">
        <v>42623.746400462966</v>
      </c>
      <c r="J182" s="7">
        <v>0</v>
      </c>
      <c r="K182" s="122" t="str">
        <f t="shared" si="88"/>
        <v>4031/4032</v>
      </c>
      <c r="L182" s="24" t="str">
        <f>VLOOKUP(A182,'Trips&amp;Operators'!$C$1:$E$10000,3,FALSE)</f>
        <v>ADANE</v>
      </c>
      <c r="M182" s="6">
        <f t="shared" si="89"/>
        <v>1.0567129633272998E-2</v>
      </c>
      <c r="N182" s="7">
        <f t="shared" si="103"/>
        <v>15.216666671913117</v>
      </c>
      <c r="O182" s="7"/>
      <c r="P182" s="7"/>
      <c r="Q182" s="25"/>
      <c r="R182" s="25"/>
      <c r="S182" s="37">
        <f t="shared" si="91"/>
        <v>1</v>
      </c>
      <c r="T182" s="52" t="str">
        <f t="shared" si="104"/>
        <v>NorthBound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16:15:20-0600',mode:absolute,to:'2016-09-10 18:54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2" s="54" t="str">
        <f t="shared" si="93"/>
        <v>N</v>
      </c>
      <c r="X182" s="172">
        <f t="shared" si="99"/>
        <v>1</v>
      </c>
      <c r="Y182" s="69">
        <f t="shared" si="100"/>
        <v>9.0200000000000002E-2</v>
      </c>
      <c r="Z182" s="69">
        <f t="shared" si="94"/>
        <v>5.7618</v>
      </c>
      <c r="AA182" s="69">
        <f t="shared" si="95"/>
        <v>5.6715999999999998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87"/>
        <v>1823-10</v>
      </c>
      <c r="AE182" s="99" t="str">
        <f t="shared" si="96"/>
        <v>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 &amp; aws s3 cp s3://rtdc.mdm.uploadarchive/RTDC4031/2016-09-11/ "%USERPROFILE%\AppData\Local\Temp\OnboardLogs"\RTDC4031\2016-09-11 --recursive &amp; "%USERPROFILE%\Documents\GitHub\mrs-test-scripts\Headless Mode &amp; Sideloading\WalkAndUnGZ.bat" "%USERPROFILE%\AppData\Local\Temp\OnboardLogs"\RTDC4031\2016-09-11</v>
      </c>
      <c r="AF182" s="96" t="str">
        <f t="shared" si="97"/>
        <v>"C:\Program Files (x86)\AstroGrep\AstroGrep.exe" /spath="%USERPROFILE%\AppData\Local\Temp\OnboardLogs" /stypes="*4031*20160910*" /stext=" 23:.+((SYSTEM_STATE.+slice.+state.+changed )|(ment ac)|(system.+state.+changed )|(\|lc)|(penalty)|(\[timeout)|(PRM\|1\|D)|(kpr)|(kdp))" /e /r /s</v>
      </c>
      <c r="AG182" s="1" t="str">
        <f t="shared" si="98"/>
        <v>NW</v>
      </c>
      <c r="AH182" s="100" t="str">
        <f t="shared" si="85"/>
        <v>"%USERPROFILE%\Documents\GitHub\eaglep3\Utilities\RefineRTDCRunTimes.py" --tripid 1823-10 --locoid 4031 --swversion DE.1.0.7.0 --startMP 204:902 --initTime 2016-09-10T17:15:20 --startdatetime 2016-09-10T17:39:36 --delay 2 --endMP 300:57618 --enddatetime 2016-09-10T17:54:49 --enforcementcount 0 &gt;&gt;C:\Users\stu\Documents\GitHub\eaglep3-reporting\EC\2016-09-10-refined-times.txt</v>
      </c>
      <c r="AI182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{"issue":{"subject":"","project_id":79,"tracker_id":40,"status_id":1,"priority_id":2,"assigned_to_id":23,"start_date":"2016-09-10","description":"","custom_fields":[{"id":1,"name":"Subdivision","value":"NW"},{"id":4,"name":"Milepost","value":"5.6716"},{"id":17,"name":"Train ID","value":"1823-10"},{"id":16,"name":"Locomotive ID","value":"4031"},{"id":130,"name":"Impact","value":""},{"id":150,"name":"Time of Event (Mountain Time)","value":"17:54:49"},{"id":151,"name":"Denver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574</v>
      </c>
      <c r="B183" s="7">
        <v>4032</v>
      </c>
      <c r="C183" s="24" t="s">
        <v>108</v>
      </c>
      <c r="D183" s="24" t="s">
        <v>575</v>
      </c>
      <c r="E183" s="15">
        <v>42623.734652777777</v>
      </c>
      <c r="F183" s="15">
        <v>42623.735833333332</v>
      </c>
      <c r="G183" s="7">
        <v>1</v>
      </c>
      <c r="H183" s="15" t="s">
        <v>375</v>
      </c>
      <c r="I183" s="15">
        <v>42623.746400462966</v>
      </c>
      <c r="J183" s="7">
        <v>0</v>
      </c>
      <c r="K183" s="122" t="str">
        <f t="shared" si="88"/>
        <v>4031/4032</v>
      </c>
      <c r="L183" s="24" t="str">
        <f>VLOOKUP(A183,'Trips&amp;Operators'!$C$1:$E$10000,3,FALSE)</f>
        <v>ADANE</v>
      </c>
      <c r="M183" s="6">
        <f t="shared" si="89"/>
        <v>1.0567129633272998E-2</v>
      </c>
      <c r="N183" s="7">
        <f t="shared" si="103"/>
        <v>15.216666671913117</v>
      </c>
      <c r="O183" s="7"/>
      <c r="P183" s="7"/>
      <c r="Q183" s="25"/>
      <c r="R183" s="25"/>
      <c r="S183" s="37">
        <f t="shared" si="91"/>
        <v>1</v>
      </c>
      <c r="T183" s="52" t="str">
        <f t="shared" si="104"/>
        <v>Southbound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16:37:54-0600',mode:absolute,to:'2016-09-10 18:54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3" s="54" t="str">
        <f t="shared" si="93"/>
        <v>N</v>
      </c>
      <c r="X183" s="172">
        <f t="shared" si="99"/>
        <v>1</v>
      </c>
      <c r="Y183" s="69">
        <f t="shared" si="100"/>
        <v>5.8590999999999998</v>
      </c>
      <c r="Z183" s="69">
        <f t="shared" si="94"/>
        <v>6.6100000000000006E-2</v>
      </c>
      <c r="AA183" s="69">
        <f t="shared" si="95"/>
        <v>5.7930000000000001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87"/>
        <v>1824-10</v>
      </c>
      <c r="AE183" s="99" t="str">
        <f t="shared" si="96"/>
        <v>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 &amp; aws s3 cp s3://rtdc.mdm.uploadarchive/RTDC4032/2016-09-11/ "%USERPROFILE%\AppData\Local\Temp\OnboardLogs"\RTDC4032\2016-09-11 --recursive &amp; "%USERPROFILE%\Documents\GitHub\mrs-test-scripts\Headless Mode &amp; Sideloading\WalkAndUnGZ.bat" "%USERPROFILE%\AppData\Local\Temp\OnboardLogs"\RTDC4032\2016-09-11</v>
      </c>
      <c r="AF183" s="96" t="str">
        <f t="shared" si="97"/>
        <v>"C:\Program Files (x86)\AstroGrep\AstroGrep.exe" /spath="%USERPROFILE%\AppData\Local\Temp\OnboardLogs" /stypes="*4032*20160910*" /stext=" 23:.+((SYSTEM_STATE.+slice.+state.+changed )|(ment ac)|(system.+state.+changed )|(\|lc)|(penalty)|(\[timeout)|(PRM\|1\|D)|(kpr)|(kdp))" /e /r /s</v>
      </c>
      <c r="AG183" s="1" t="str">
        <f t="shared" si="98"/>
        <v>NW</v>
      </c>
      <c r="AH183" s="100" t="str">
        <f t="shared" si="85"/>
        <v>"%USERPROFILE%\Documents\GitHub\eaglep3\Utilities\RefineRTDCRunTimes.py" --tripid 1824-10 --locoid 4032 --swversion DE.1.0.7.0 --startMP 300:58591 --initTime 2016-09-10T17:37:54 --startdatetime 2016-09-10T17:39:36 --delay 1 --endMP 204:661 --enddatetime 2016-09-10T17:54:49 --enforcementcount 0 &gt;&gt;C:\Users\stu\Documents\GitHub\eaglep3-reporting\EC\2016-09-10-refined-times.txt</v>
      </c>
      <c r="AI183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{"issue":{"subject":"","project_id":79,"tracker_id":40,"status_id":1,"priority_id":2,"assigned_to_id":23,"start_date":"2016-09-10","description":"","custom_fields":[{"id":1,"name":"Subdivision","value":"NW"},{"id":4,"name":"Milepost","value":"5.793"},{"id":17,"name":"Train ID","value":"1824-10"},{"id":16,"name":"Locomotive ID","value":"4032"},{"id":130,"name":"Impact","value":""},{"id":150,"name":"Time of Event (Mountain Time)","value":"17:54:49"},{"id":151,"name":"Denver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576</v>
      </c>
      <c r="B184" s="7">
        <v>4031</v>
      </c>
      <c r="C184" s="24" t="s">
        <v>108</v>
      </c>
      <c r="D184" s="24" t="s">
        <v>577</v>
      </c>
      <c r="E184" s="15">
        <v>42623.761423611111</v>
      </c>
      <c r="F184" s="15">
        <v>42623.764814814815</v>
      </c>
      <c r="G184" s="7">
        <v>0</v>
      </c>
      <c r="H184" s="15" t="s">
        <v>569</v>
      </c>
      <c r="I184" s="15">
        <v>42623.77239583333</v>
      </c>
      <c r="J184" s="7">
        <v>0</v>
      </c>
      <c r="K184" s="122" t="str">
        <f t="shared" si="88"/>
        <v>4031/4032</v>
      </c>
      <c r="L184" s="24" t="str">
        <f>VLOOKUP(A184,'Trips&amp;Operators'!$C$1:$E$10000,3,FALSE)</f>
        <v>ADANE</v>
      </c>
      <c r="M184" s="6">
        <f t="shared" si="89"/>
        <v>7.5810185153386556E-3</v>
      </c>
      <c r="N184" s="7">
        <f t="shared" si="103"/>
        <v>10.916666662087664</v>
      </c>
      <c r="O184" s="7"/>
      <c r="P184" s="7"/>
      <c r="Q184" s="25"/>
      <c r="R184" s="25"/>
      <c r="S184" s="37">
        <f t="shared" si="91"/>
        <v>1</v>
      </c>
      <c r="T184" s="52" t="str">
        <f t="shared" si="104"/>
        <v>NorthBound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17:16:27-0600',mode:absolute,to:'2016-09-10 19:32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4" s="54" t="str">
        <f t="shared" si="93"/>
        <v>N</v>
      </c>
      <c r="X184" s="172">
        <f t="shared" si="99"/>
        <v>1</v>
      </c>
      <c r="Y184" s="69">
        <f t="shared" si="100"/>
        <v>9.4399999999999998E-2</v>
      </c>
      <c r="Z184" s="69">
        <f t="shared" si="94"/>
        <v>5.7626999999999997</v>
      </c>
      <c r="AA184" s="69">
        <f t="shared" si="95"/>
        <v>5.6682999999999995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87"/>
        <v>1825-10</v>
      </c>
      <c r="AE184" s="99" t="str">
        <f t="shared" si="96"/>
        <v>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 &amp; aws s3 cp s3://rtdc.mdm.uploadarchive/RTDC4031/2016-09-11/ "%USERPROFILE%\AppData\Local\Temp\OnboardLogs"\RTDC4031\2016-09-11 --recursive &amp; "%USERPROFILE%\Documents\GitHub\mrs-test-scripts\Headless Mode &amp; Sideloading\WalkAndUnGZ.bat" "%USERPROFILE%\AppData\Local\Temp\OnboardLogs"\RTDC4031\2016-09-11</v>
      </c>
      <c r="AF184" s="96" t="str">
        <f t="shared" si="97"/>
        <v>"C:\Program Files (x86)\AstroGrep\AstroGrep.exe" /spath="%USERPROFILE%\AppData\Local\Temp\OnboardLogs" /stypes="*4031*20160911*" /stext=" 00:.+((SYSTEM_STATE.+slice.+state.+changed )|(ment ac)|(system.+state.+changed )|(\|lc)|(penalty)|(\[timeout)|(PRM\|1\|D)|(kpr)|(kdp))" /e /r /s</v>
      </c>
      <c r="AG184" s="1" t="str">
        <f t="shared" si="98"/>
        <v>NW</v>
      </c>
      <c r="AH184" s="100" t="str">
        <f t="shared" si="85"/>
        <v>"%USERPROFILE%\Documents\GitHub\eaglep3\Utilities\RefineRTDCRunTimes.py" --tripid 1825-10 --locoid 4031 --swversion DE.1.0.7.0 --startMP 204:944 --initTime 2016-09-10T18:16:27 --startdatetime 2016-09-10T18:21:20 --delay 0 --endMP 300:57627 --enddatetime 2016-09-10T18:32:15 --enforcementcount 0 &gt;&gt;C:\Users\stu\Documents\GitHub\eaglep3-reporting\EC\2016-09-10-refined-times.txt</v>
      </c>
      <c r="AI184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{"issue":{"subject":"","project_id":79,"tracker_id":40,"status_id":1,"priority_id":2,"assigned_to_id":23,"start_date":"2016-09-10","description":"","custom_fields":[{"id":1,"name":"Subdivision","value":"NW"},{"id":4,"name":"Milepost","value":"5.6683"},{"id":17,"name":"Train ID","value":"1825-10"},{"id":16,"name":"Locomotive ID","value":"4031"},{"id":130,"name":"Impact","value":""},{"id":150,"name":"Time of Event (Mountain Time)","value":"18:32:15"},{"id":151,"name":"Denver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578</v>
      </c>
      <c r="B185" s="7">
        <v>4032</v>
      </c>
      <c r="C185" s="24" t="s">
        <v>108</v>
      </c>
      <c r="D185" s="24" t="s">
        <v>579</v>
      </c>
      <c r="E185" s="15">
        <v>42623.774722222224</v>
      </c>
      <c r="F185" s="15">
        <v>42623.776180555556</v>
      </c>
      <c r="G185" s="7">
        <v>1</v>
      </c>
      <c r="H185" s="15" t="s">
        <v>580</v>
      </c>
      <c r="I185" s="15">
        <v>42623.79010416667</v>
      </c>
      <c r="J185" s="7">
        <v>0</v>
      </c>
      <c r="K185" s="122" t="str">
        <f t="shared" si="88"/>
        <v>4031/4032</v>
      </c>
      <c r="L185" s="24" t="str">
        <f>VLOOKUP(A185,'Trips&amp;Operators'!$C$1:$E$10000,3,FALSE)</f>
        <v>ADANE</v>
      </c>
      <c r="M185" s="6">
        <f t="shared" si="89"/>
        <v>1.3923611113568768E-2</v>
      </c>
      <c r="N185" s="7">
        <f t="shared" si="103"/>
        <v>20.050000003539026</v>
      </c>
      <c r="O185" s="7"/>
      <c r="P185" s="7"/>
      <c r="Q185" s="25"/>
      <c r="R185" s="25"/>
      <c r="S185" s="37">
        <f t="shared" si="91"/>
        <v>1</v>
      </c>
      <c r="T185" s="52" t="str">
        <f t="shared" si="104"/>
        <v>Southbound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17:35:36-0600',mode:absolute,to:'2016-09-10 19:57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5" s="54" t="str">
        <f t="shared" si="93"/>
        <v>N</v>
      </c>
      <c r="X185" s="172">
        <f t="shared" si="99"/>
        <v>1</v>
      </c>
      <c r="Y185" s="69">
        <f t="shared" si="100"/>
        <v>5.8663999999999996</v>
      </c>
      <c r="Z185" s="69">
        <f t="shared" si="94"/>
        <v>7.0300000000000001E-2</v>
      </c>
      <c r="AA185" s="69">
        <f t="shared" si="95"/>
        <v>5.7961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ref="AD185:AD202" si="105">IF(LEN(A185)=6,"0"&amp;A185,A185)</f>
        <v>1826-10</v>
      </c>
      <c r="AE185" s="99" t="str">
        <f t="shared" si="96"/>
        <v>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 &amp; aws s3 cp s3://rtdc.mdm.uploadarchive/RTDC4032/2016-09-11/ "%USERPROFILE%\AppData\Local\Temp\OnboardLogs"\RTDC4032\2016-09-11 --recursive &amp; "%USERPROFILE%\Documents\GitHub\mrs-test-scripts\Headless Mode &amp; Sideloading\WalkAndUnGZ.bat" "%USERPROFILE%\AppData\Local\Temp\OnboardLogs"\RTDC4032\2016-09-11</v>
      </c>
      <c r="AF185" s="96" t="str">
        <f t="shared" si="97"/>
        <v>"C:\Program Files (x86)\AstroGrep\AstroGrep.exe" /spath="%USERPROFILE%\AppData\Local\Temp\OnboardLogs" /stypes="*4032*20160911*" /stext=" 00:.+((SYSTEM_STATE.+slice.+state.+changed )|(ment ac)|(system.+state.+changed )|(\|lc)|(penalty)|(\[timeout)|(PRM\|1\|D)|(kpr)|(kdp))" /e /r /s</v>
      </c>
      <c r="AG185" s="1" t="str">
        <f t="shared" si="98"/>
        <v>NW</v>
      </c>
      <c r="AH185" s="100" t="str">
        <f t="shared" si="85"/>
        <v>"%USERPROFILE%\Documents\GitHub\eaglep3\Utilities\RefineRTDCRunTimes.py" --tripid 1826-10 --locoid 4032 --swversion DE.1.0.7.0 --startMP 300:58664 --initTime 2016-09-10T18:35:36 --startdatetime 2016-09-10T18:37:42 --delay 1 --endMP 204:703 --enddatetime 2016-09-10T18:57:45 --enforcementcount 0 &gt;&gt;C:\Users\stu\Documents\GitHub\eaglep3-reporting\EC\2016-09-10-refined-times.txt</v>
      </c>
      <c r="AI185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{"issue":{"subject":"","project_id":79,"tracker_id":40,"status_id":1,"priority_id":2,"assigned_to_id":23,"start_date":"2016-09-10","description":"","custom_fields":[{"id":1,"name":"Subdivision","value":"NW"},{"id":4,"name":"Milepost","value":"5.7961"},{"id":17,"name":"Train ID","value":"1826-10"},{"id":16,"name":"Locomotive ID","value":"4032"},{"id":130,"name":"Impact","value":""},{"id":150,"name":"Time of Event (Mountain Time)","value":"18:57:45"},{"id":151,"name":"Denver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581</v>
      </c>
      <c r="B186" s="7">
        <v>4031</v>
      </c>
      <c r="C186" s="24" t="s">
        <v>108</v>
      </c>
      <c r="D186" s="24" t="s">
        <v>582</v>
      </c>
      <c r="E186" s="15">
        <v>42623.803807870368</v>
      </c>
      <c r="F186" s="15">
        <v>42623.806990740741</v>
      </c>
      <c r="G186" s="7">
        <v>0</v>
      </c>
      <c r="H186" s="15" t="s">
        <v>566</v>
      </c>
      <c r="I186" s="15">
        <v>42623.814976851849</v>
      </c>
      <c r="J186" s="7">
        <v>0</v>
      </c>
      <c r="K186" s="122" t="str">
        <f t="shared" si="88"/>
        <v>4031/4032</v>
      </c>
      <c r="L186" s="24" t="str">
        <f>VLOOKUP(A186,'Trips&amp;Operators'!$C$1:$E$10000,3,FALSE)</f>
        <v>ADANE</v>
      </c>
      <c r="M186" s="6">
        <f t="shared" si="89"/>
        <v>7.9861111080390401E-3</v>
      </c>
      <c r="N186" s="7">
        <f t="shared" si="103"/>
        <v>11.499999995576218</v>
      </c>
      <c r="O186" s="7"/>
      <c r="P186" s="7"/>
      <c r="Q186" s="25"/>
      <c r="R186" s="25"/>
      <c r="S186" s="37">
        <f t="shared" si="91"/>
        <v>1</v>
      </c>
      <c r="T186" s="52" t="str">
        <f t="shared" si="104"/>
        <v>NorthBound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92"/>
        <v>https://search-rtdc-monitor-bjffxe2xuh6vdkpspy63sjmuny.us-east-1.es.amazonaws.com/_plugin/kibana/#/discover/Steve-Slow-Train-Analysis-(2080s-and-2083s)?_g=(refreshInterval:(display:Off,section:0,value:0),time:(from:'2016-09-10 18:17:29-0600',mode:absolute,to:'2016-09-10 20:33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6" s="54" t="str">
        <f t="shared" si="93"/>
        <v>N</v>
      </c>
      <c r="X186" s="172">
        <f t="shared" si="99"/>
        <v>1</v>
      </c>
      <c r="Y186" s="69">
        <f t="shared" si="100"/>
        <v>9.8500000000000004E-2</v>
      </c>
      <c r="Z186" s="69">
        <f t="shared" si="94"/>
        <v>5.7619999999999996</v>
      </c>
      <c r="AA186" s="69">
        <f t="shared" si="95"/>
        <v>5.6635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105"/>
        <v>1827-10</v>
      </c>
      <c r="AE186" s="99" t="str">
        <f t="shared" si="96"/>
        <v>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 &amp; aws s3 cp s3://rtdc.mdm.uploadarchive/RTDC4031/2016-09-11/ "%USERPROFILE%\AppData\Local\Temp\OnboardLogs"\RTDC4031\2016-09-11 --recursive &amp; "%USERPROFILE%\Documents\GitHub\mrs-test-scripts\Headless Mode &amp; Sideloading\WalkAndUnGZ.bat" "%USERPROFILE%\AppData\Local\Temp\OnboardLogs"\RTDC4031\2016-09-11</v>
      </c>
      <c r="AF186" s="96" t="str">
        <f t="shared" si="97"/>
        <v>"C:\Program Files (x86)\AstroGrep\AstroGrep.exe" /spath="%USERPROFILE%\AppData\Local\Temp\OnboardLogs" /stypes="*4031*20160911*" /stext=" 01:.+((SYSTEM_STATE.+slice.+state.+changed )|(ment ac)|(system.+state.+changed )|(\|lc)|(penalty)|(\[timeout)|(PRM\|1\|D)|(kpr)|(kdp))" /e /r /s</v>
      </c>
      <c r="AG186" s="1" t="str">
        <f t="shared" si="98"/>
        <v>NW</v>
      </c>
      <c r="AH186" s="100" t="str">
        <f t="shared" si="85"/>
        <v>"%USERPROFILE%\Documents\GitHub\eaglep3\Utilities\RefineRTDCRunTimes.py" --tripid 1827-10 --locoid 4031 --swversion DE.1.0.7.0 --startMP 204:985 --initTime 2016-09-10T19:17:29 --startdatetime 2016-09-10T19:22:04 --delay 0 --endMP 300:57620 --enddatetime 2016-09-10T19:33:34 --enforcementcount 0 &gt;&gt;C:\Users\stu\Documents\GitHub\eaglep3-reporting\EC\2016-09-10-refined-times.txt</v>
      </c>
      <c r="AI186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{"issue":{"subject":"","project_id":79,"tracker_id":40,"status_id":1,"priority_id":2,"assigned_to_id":23,"start_date":"2016-09-10","description":"","custom_fields":[{"id":1,"name":"Subdivision","value":"NW"},{"id":4,"name":"Milepost","value":"5.6635"},{"id":17,"name":"Train ID","value":"1827-10"},{"id":16,"name":"Locomotive ID","value":"4031"},{"id":130,"name":"Impact","value":""},{"id":150,"name":"Time of Event (Mountain Time)","value":"19:33:34"},{"id":151,"name":"Denver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583</v>
      </c>
      <c r="B187" s="7">
        <v>4032</v>
      </c>
      <c r="C187" s="24" t="s">
        <v>108</v>
      </c>
      <c r="D187" s="24" t="s">
        <v>275</v>
      </c>
      <c r="E187" s="15">
        <v>42623.817118055558</v>
      </c>
      <c r="F187" s="15">
        <v>42623.818449074075</v>
      </c>
      <c r="G187" s="7">
        <v>1</v>
      </c>
      <c r="H187" s="15" t="s">
        <v>554</v>
      </c>
      <c r="I187" s="15">
        <v>42623.830995370372</v>
      </c>
      <c r="J187" s="7">
        <v>0</v>
      </c>
      <c r="K187" s="122" t="str">
        <f t="shared" ref="K187:K202" si="106">IF(ISEVEN(B187),(B187-1)&amp;"/"&amp;B187,B187&amp;"/"&amp;(B187+1))</f>
        <v>4031/4032</v>
      </c>
      <c r="L187" s="24" t="str">
        <f>VLOOKUP(A187,'Trips&amp;Operators'!$C$1:$E$10000,3,FALSE)</f>
        <v>ADANE</v>
      </c>
      <c r="M187" s="6">
        <f t="shared" ref="M187:M202" si="107">I187-F187</f>
        <v>1.2546296296932269E-2</v>
      </c>
      <c r="N187" s="7">
        <f t="shared" si="103"/>
        <v>18.066666667582467</v>
      </c>
      <c r="O187" s="7"/>
      <c r="P187" s="7"/>
      <c r="Q187" s="25"/>
      <c r="R187" s="25"/>
      <c r="S187" s="37">
        <f t="shared" ref="S187:S202" si="108">SUM(U187:U187)/IF(AG187="EC",12,1)</f>
        <v>1</v>
      </c>
      <c r="T187" s="52" t="str">
        <f t="shared" si="104"/>
        <v>Southbound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ref="V187:V202" si="109">"https://search-rtdc-monitor-bjffxe2xuh6vdkpspy63sjmuny.us-east-1.es.amazonaws.com/_plugin/kibana/#/discover/Steve-Slow-Train-Analysis-(2080s-and-2083s)?_g=(refreshInterval:(display:Off,section:0,value:0),time:(from:'"&amp;TEXT(E187-1/24,"yyyy-MM-DD hh:mm:ss")&amp;"-0600',mode:absolute,to:'"&amp;TEXT(I187+1/24,"yyyy-MM-DD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https://search-rtdc-monitor-bjffxe2xuh6vdkpspy63sjmuny.us-east-1.es.amazonaws.com/_plugin/kibana/#/discover/Steve-Slow-Train-Analysis-(2080s-and-2083s)?_g=(refreshInterval:(display:Off,section:0,value:0),time:(from:'2016-09-10 18:36:39-0600',mode:absolute,to:'2016-09-10 20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7" s="54" t="str">
        <f t="shared" ref="W187:W202" si="110">IF(AA187&lt;IF(AG187="EC",23,5.65),"Y","N")</f>
        <v>N</v>
      </c>
      <c r="X187" s="172">
        <f t="shared" si="99"/>
        <v>1</v>
      </c>
      <c r="Y187" s="69">
        <f t="shared" si="100"/>
        <v>5.8615000000000004</v>
      </c>
      <c r="Z187" s="69">
        <f t="shared" ref="Z187:Z202" si="111">RIGHT(H187,LEN(H187)-4)/10000</f>
        <v>6.8199999999999997E-2</v>
      </c>
      <c r="AA187" s="69">
        <f t="shared" ref="AA187:AA202" si="112">ABS(Z187-Y187)</f>
        <v>5.7933000000000003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105"/>
        <v>1828-10</v>
      </c>
      <c r="AE187" s="99" t="str">
        <f t="shared" ref="AE187:AE202" si="113">"aws s3 cp "&amp;s3_bucket&amp;"/RTDC"&amp;B187&amp;"/"&amp;TEXT(F187,"YYYY-MM-DD")&amp;"/ "&amp;search_path&amp;"\RTDC"&amp;B187&amp;"\"&amp;TEXT(F187,"YYYY-MM-DD")&amp;" --recursive &amp; """&amp;walkandungz&amp;""" "&amp;search_path&amp;"\RTDC"&amp;B187&amp;"\"&amp;TEXT(F187,"YYYY-MM-DD")
&amp;" &amp; "&amp;"aws s3 cp "&amp;s3_bucket&amp;"/RTDC"&amp;B187&amp;"/"&amp;TEXT(F187+1,"YYYY-MM-DD")&amp;"/ "&amp;search_path&amp;"\RTDC"&amp;B187&amp;"\"&amp;TEXT(F187+1,"YYYY-MM-DD")&amp;" --recursive &amp; """&amp;walkandungz&amp;""" "&amp;search_path&amp;"\RTDC"&amp;B187&amp;"\"&amp;TEXT(F187+1,"YYYY-MM-DD")</f>
        <v>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 &amp; aws s3 cp s3://rtdc.mdm.uploadarchive/RTDC4032/2016-09-11/ "%USERPROFILE%\AppData\Local\Temp\OnboardLogs"\RTDC4032\2016-09-11 --recursive &amp; "%USERPROFILE%\Documents\GitHub\mrs-test-scripts\Headless Mode &amp; Sideloading\WalkAndUnGZ.bat" "%USERPROFILE%\AppData\Local\Temp\OnboardLogs"\RTDC4032\2016-09-11</v>
      </c>
      <c r="AF187" s="96" t="str">
        <f t="shared" ref="AF187:AF202" si="114">astrogrep_path&amp;" /spath="&amp;search_path&amp;" /stypes=""*"&amp;B187&amp;"*"&amp;TEXT(I187-utc_offset/24,"YYYYMMDD")&amp;"*"" /stext="" "&amp;TEXT(I187-utc_offset/24,"HH")&amp;search_regexp&amp;""" /e /r /s"</f>
        <v>"C:\Program Files (x86)\AstroGrep\AstroGrep.exe" /spath="%USERPROFILE%\AppData\Local\Temp\OnboardLogs" /stypes="*4032*20160911*" /stext=" 01:.+((SYSTEM_STATE.+slice.+state.+changed )|(ment ac)|(system.+state.+changed )|(\|lc)|(penalty)|(\[timeout)|(PRM\|1\|D)|(kpr)|(kdp))" /e /r /s</v>
      </c>
      <c r="AG187" s="1" t="str">
        <f t="shared" si="98"/>
        <v>NW</v>
      </c>
      <c r="AH187" s="100" t="str">
        <f t="shared" si="85"/>
        <v>"%USERPROFILE%\Documents\GitHub\eaglep3\Utilities\RefineRTDCRunTimes.py" --tripid 1828-10 --locoid 4032 --swversion DE.1.0.7.0 --startMP 300:58615 --initTime 2016-09-10T19:36:39 --startdatetime 2016-09-10T19:38:34 --delay 1 --endMP 204:682 --enddatetime 2016-09-10T19:56:38 --enforcementcount 0 &gt;&gt;C:\Users\stu\Documents\GitHub\eaglep3-reporting\EC\2016-09-10-refined-times.txt</v>
      </c>
      <c r="AI187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{"issue":{"subject":"","project_id":79,"tracker_id":40,"status_id":1,"priority_id":2,"assigned_to_id":23,"start_date":"2016-09-10","description":"","custom_fields":[{"id":1,"name":"Subdivision","value":"NW"},{"id":4,"name":"Milepost","value":"5.7933"},{"id":17,"name":"Train ID","value":"1828-10"},{"id":16,"name":"Locomotive ID","value":"4032"},{"id":130,"name":"Impact","value":""},{"id":150,"name":"Time of Event (Mountain Time)","value":"19:56:38"},{"id":151,"name":"Denver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584</v>
      </c>
      <c r="B188" s="7">
        <v>4031</v>
      </c>
      <c r="C188" s="24" t="s">
        <v>108</v>
      </c>
      <c r="D188" s="24" t="s">
        <v>585</v>
      </c>
      <c r="E188" s="15">
        <v>42623.842581018522</v>
      </c>
      <c r="F188" s="15">
        <v>42623.84814814815</v>
      </c>
      <c r="G188" s="7">
        <v>1</v>
      </c>
      <c r="H188" s="15" t="s">
        <v>586</v>
      </c>
      <c r="I188" s="15">
        <v>42623.857314814813</v>
      </c>
      <c r="J188" s="7">
        <v>0</v>
      </c>
      <c r="K188" s="122" t="str">
        <f t="shared" si="106"/>
        <v>4031/4032</v>
      </c>
      <c r="L188" s="24" t="str">
        <f>VLOOKUP(A188,'Trips&amp;Operators'!$C$1:$E$10000,3,FALSE)</f>
        <v>ADANE</v>
      </c>
      <c r="M188" s="6">
        <f t="shared" si="107"/>
        <v>9.1666666630771942E-3</v>
      </c>
      <c r="N188" s="7">
        <f t="shared" si="103"/>
        <v>13.19999999483116</v>
      </c>
      <c r="O188" s="7"/>
      <c r="P188" s="7"/>
      <c r="Q188" s="25"/>
      <c r="R188" s="25"/>
      <c r="S188" s="37">
        <f t="shared" si="108"/>
        <v>1</v>
      </c>
      <c r="T188" s="52" t="str">
        <f t="shared" si="104"/>
        <v>NorthBound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https://search-rtdc-monitor-bjffxe2xuh6vdkpspy63sjmuny.us-east-1.es.amazonaws.com/_plugin/kibana/#/discover/Steve-Slow-Train-Analysis-(2080s-and-2083s)?_g=(refreshInterval:(display:Off,section:0,value:0),time:(from:'2016-09-10 19:13:19-0600',mode:absolute,to:'2016-09-10 21:34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8" s="54" t="str">
        <f t="shared" si="110"/>
        <v>N</v>
      </c>
      <c r="X188" s="172">
        <f t="shared" si="99"/>
        <v>1</v>
      </c>
      <c r="Y188" s="69">
        <f t="shared" si="100"/>
        <v>9.7100000000000006E-2</v>
      </c>
      <c r="Z188" s="69">
        <f t="shared" si="111"/>
        <v>5.8912000000000004</v>
      </c>
      <c r="AA188" s="69">
        <f t="shared" si="112"/>
        <v>5.7941000000000003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105"/>
        <v>1829-10</v>
      </c>
      <c r="AE188" s="99" t="str">
        <f t="shared" si="113"/>
        <v>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 &amp; aws s3 cp s3://rtdc.mdm.uploadarchive/RTDC4031/2016-09-11/ "%USERPROFILE%\AppData\Local\Temp\OnboardLogs"\RTDC4031\2016-09-11 --recursive &amp; "%USERPROFILE%\Documents\GitHub\mrs-test-scripts\Headless Mode &amp; Sideloading\WalkAndUnGZ.bat" "%USERPROFILE%\AppData\Local\Temp\OnboardLogs"\RTDC4031\2016-09-11</v>
      </c>
      <c r="AF188" s="96" t="str">
        <f t="shared" si="114"/>
        <v>"C:\Program Files (x86)\AstroGrep\AstroGrep.exe" /spath="%USERPROFILE%\AppData\Local\Temp\OnboardLogs" /stypes="*4031*20160911*" /stext=" 02:.+((SYSTEM_STATE.+slice.+state.+changed )|(ment ac)|(system.+state.+changed )|(\|lc)|(penalty)|(\[timeout)|(PRM\|1\|D)|(kpr)|(kdp))" /e /r /s</v>
      </c>
      <c r="AG188" s="1" t="str">
        <f t="shared" si="98"/>
        <v>NW</v>
      </c>
      <c r="AH188" s="100" t="str">
        <f t="shared" si="85"/>
        <v>"%USERPROFILE%\Documents\GitHub\eaglep3\Utilities\RefineRTDCRunTimes.py" --tripid 1829-10 --locoid 4031 --swversion DE.1.0.7.0 --startMP 204:971 --initTime 2016-09-10T20:13:19 --startdatetime 2016-09-10T20:21:20 --delay 1 --endMP 300:58912 --enddatetime 2016-09-10T20:34:32 --enforcementcount 0 &gt;&gt;C:\Users\stu\Documents\GitHub\eaglep3-reporting\EC\2016-09-10-refined-times.txt</v>
      </c>
      <c r="AI188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{"issue":{"subject":"","project_id":79,"tracker_id":40,"status_id":1,"priority_id":2,"assigned_to_id":23,"start_date":"2016-09-10","description":"","custom_fields":[{"id":1,"name":"Subdivision","value":"NW"},{"id":4,"name":"Milepost","value":"5.7941"},{"id":17,"name":"Train ID","value":"1829-10"},{"id":16,"name":"Locomotive ID","value":"4031"},{"id":130,"name":"Impact","value":""},{"id":150,"name":"Time of Event (Mountain Time)","value":"20:34:32"},{"id":151,"name":"Denver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588</v>
      </c>
      <c r="B189" s="7">
        <v>4032</v>
      </c>
      <c r="C189" s="24" t="s">
        <v>108</v>
      </c>
      <c r="D189" s="24" t="s">
        <v>575</v>
      </c>
      <c r="E189" s="15">
        <v>42623.859131944446</v>
      </c>
      <c r="F189" s="15">
        <v>42623.903796296298</v>
      </c>
      <c r="G189" s="7">
        <v>1</v>
      </c>
      <c r="H189" s="15" t="s">
        <v>589</v>
      </c>
      <c r="I189" s="15">
        <v>42623.91369212963</v>
      </c>
      <c r="J189" s="7">
        <v>0</v>
      </c>
      <c r="K189" s="122" t="str">
        <f t="shared" si="106"/>
        <v>4031/4032</v>
      </c>
      <c r="L189" s="24" t="str">
        <f>VLOOKUP(A189,'Trips&amp;Operators'!$C$1:$E$10000,3,FALSE)</f>
        <v>ADANE</v>
      </c>
      <c r="M189" s="6">
        <f t="shared" si="107"/>
        <v>9.8958333328482695E-3</v>
      </c>
      <c r="N189" s="7"/>
      <c r="O189" s="7"/>
      <c r="P189" s="7">
        <f>24*60*SUM($M189:$M189)</f>
        <v>14.249999999301508</v>
      </c>
      <c r="Q189" s="25"/>
      <c r="R189" s="25" t="s">
        <v>718</v>
      </c>
      <c r="S189" s="37">
        <f t="shared" si="108"/>
        <v>0</v>
      </c>
      <c r="T189" s="52" t="str">
        <f t="shared" si="104"/>
        <v>Southbound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0</v>
      </c>
      <c r="V189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https://search-rtdc-monitor-bjffxe2xuh6vdkpspy63sjmuny.us-east-1.es.amazonaws.com/_plugin/kibana/#/discover/Steve-Slow-Train-Analysis-(2080s-and-2083s)?_g=(refreshInterval:(display:Off,section:0,value:0),time:(from:'2016-09-10 19:37:09-0600',mode:absolute,to:'2016-09-10 22:55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9" s="54" t="str">
        <f t="shared" si="110"/>
        <v>Y</v>
      </c>
      <c r="X189" s="172">
        <f t="shared" si="99"/>
        <v>1</v>
      </c>
      <c r="Y189" s="69">
        <f t="shared" si="100"/>
        <v>5.8590999999999998</v>
      </c>
      <c r="Z189" s="69">
        <f t="shared" si="111"/>
        <v>5.7335000000000003</v>
      </c>
      <c r="AA189" s="69">
        <f t="shared" si="112"/>
        <v>0.12559999999999949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105"/>
        <v>1830-10</v>
      </c>
      <c r="AE189" s="99" t="str">
        <f t="shared" si="113"/>
        <v>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 &amp; aws s3 cp s3://rtdc.mdm.uploadarchive/RTDC4032/2016-09-11/ "%USERPROFILE%\AppData\Local\Temp\OnboardLogs"\RTDC4032\2016-09-11 --recursive &amp; "%USERPROFILE%\Documents\GitHub\mrs-test-scripts\Headless Mode &amp; Sideloading\WalkAndUnGZ.bat" "%USERPROFILE%\AppData\Local\Temp\OnboardLogs"\RTDC4032\2016-09-11</v>
      </c>
      <c r="AF189" s="96" t="str">
        <f t="shared" si="114"/>
        <v>"C:\Program Files (x86)\AstroGrep\AstroGrep.exe" /spath="%USERPROFILE%\AppData\Local\Temp\OnboardLogs" /stypes="*4032*20160911*" /stext=" 03:.+((SYSTEM_STATE.+slice.+state.+changed )|(ment ac)|(system.+state.+changed )|(\|lc)|(penalty)|(\[timeout)|(PRM\|1\|D)|(kpr)|(kdp))" /e /r /s</v>
      </c>
      <c r="AG189" s="1" t="str">
        <f t="shared" ref="AG189:AG202" si="115">IFERROR(IF(VALUE(LEFT(AD189,2))&lt;=2,"EC",IF(OR(VALUE(LEFT(AD189,2))=8,VALUE(LEFT(AD189,2))=18),"NW","Other")),"Other")</f>
        <v>NW</v>
      </c>
      <c r="AH189" s="100" t="str">
        <f t="shared" si="85"/>
        <v>"%USERPROFILE%\Documents\GitHub\eaglep3\Utilities\RefineRTDCRunTimes.py" --tripid 1830-10 --locoid 4032 --swversion DE.1.0.7.0 --startMP 300:58591 --initTime 2016-09-10T20:37:09 --startdatetime 2016-09-10T21:41:28 --delay 1 --endMP 300:57335 --enddatetime 2016-09-10T21:55:43 --enforcementcount 0 &gt;&gt;C:\Users\stu\Documents\GitHub\eaglep3-reporting\EC\2016-09-10-refined-times.txt</v>
      </c>
      <c r="AI189" s="137" t="str">
        <f t="shared" si="86"/>
        <v>echo {"issue":{"subject":"Onboard in-route failure","project_id":79,"tracker_id":40,"status_id":1,"priority_id":2,"assigned_to_id":23,"start_date":"2016-09-10","description":"","custom_fields":[{"id":1,"name":"Subdivision","value":"NW"},{"id":4,"name":"Milepost","value":"0.125599999999999"},{"id":17,"name":"Train ID","value":"1830-10"},{"id":16,"name":"Locomotive ID","value":"4032"},{"id":130,"name":"Impact","value":""},{"id":150,"name":"Time of Event (Mountain Time)","value":"21:55:43"},{"id":151,"name":"Denver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s="23" customFormat="1" x14ac:dyDescent="0.25">
      <c r="A190" s="39" t="s">
        <v>590</v>
      </c>
      <c r="B190" s="7">
        <v>4031</v>
      </c>
      <c r="C190" s="24" t="s">
        <v>108</v>
      </c>
      <c r="D190" s="24" t="s">
        <v>591</v>
      </c>
      <c r="E190" s="15">
        <v>42623.886469907404</v>
      </c>
      <c r="F190" s="15">
        <v>42623.889780092592</v>
      </c>
      <c r="G190" s="7">
        <v>1</v>
      </c>
      <c r="H190" s="15" t="s">
        <v>592</v>
      </c>
      <c r="I190" s="15">
        <v>42623.899398148147</v>
      </c>
      <c r="J190" s="7">
        <v>0</v>
      </c>
      <c r="K190" s="122" t="str">
        <f t="shared" si="106"/>
        <v>4031/4032</v>
      </c>
      <c r="L190" s="24" t="str">
        <f>VLOOKUP(A190,'Trips&amp;Operators'!$C$1:$E$10000,3,FALSE)</f>
        <v>ADANE</v>
      </c>
      <c r="M190" s="6">
        <f t="shared" si="107"/>
        <v>9.6180555556202307E-3</v>
      </c>
      <c r="N190" s="7">
        <f t="shared" ref="N190:N202" si="116">24*60*SUM($M190:$M190)</f>
        <v>13.850000000093132</v>
      </c>
      <c r="O190" s="7"/>
      <c r="P190" s="7"/>
      <c r="Q190" s="25"/>
      <c r="R190" s="25"/>
      <c r="S190" s="37">
        <f t="shared" si="108"/>
        <v>1</v>
      </c>
      <c r="T190" s="52" t="str">
        <f t="shared" si="104"/>
        <v>NorthBound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https://search-rtdc-monitor-bjffxe2xuh6vdkpspy63sjmuny.us-east-1.es.amazonaws.com/_plugin/kibana/#/discover/Steve-Slow-Train-Analysis-(2080s-and-2083s)?_g=(refreshInterval:(display:Off,section:0,value:0),time:(from:'2016-09-10 20:16:31-0600',mode:absolute,to:'2016-09-10 22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90" s="54" t="str">
        <f t="shared" si="110"/>
        <v>N</v>
      </c>
      <c r="X190" s="172">
        <f t="shared" si="99"/>
        <v>1</v>
      </c>
      <c r="Y190" s="69">
        <f t="shared" si="100"/>
        <v>9.06E-2</v>
      </c>
      <c r="Z190" s="69">
        <f t="shared" si="111"/>
        <v>5.8924000000000003</v>
      </c>
      <c r="AA190" s="69">
        <f t="shared" si="112"/>
        <v>5.8018000000000001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105"/>
        <v>1831-10</v>
      </c>
      <c r="AE190" s="99" t="str">
        <f t="shared" si="113"/>
        <v>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 &amp; aws s3 cp s3://rtdc.mdm.uploadarchive/RTDC4031/2016-09-11/ "%USERPROFILE%\AppData\Local\Temp\OnboardLogs"\RTDC4031\2016-09-11 --recursive &amp; "%USERPROFILE%\Documents\GitHub\mrs-test-scripts\Headless Mode &amp; Sideloading\WalkAndUnGZ.bat" "%USERPROFILE%\AppData\Local\Temp\OnboardLogs"\RTDC4031\2016-09-11</v>
      </c>
      <c r="AF190" s="96" t="str">
        <f t="shared" si="114"/>
        <v>"C:\Program Files (x86)\AstroGrep\AstroGrep.exe" /spath="%USERPROFILE%\AppData\Local\Temp\OnboardLogs" /stypes="*4031*20160911*" /stext=" 03:.+((SYSTEM_STATE.+slice.+state.+changed )|(ment ac)|(system.+state.+changed )|(\|lc)|(penalty)|(\[timeout)|(PRM\|1\|D)|(kpr)|(kdp))" /e /r /s</v>
      </c>
      <c r="AG190" s="1" t="str">
        <f t="shared" si="115"/>
        <v>NW</v>
      </c>
      <c r="AH190" s="100" t="str">
        <f t="shared" si="85"/>
        <v>"%USERPROFILE%\Documents\GitHub\eaglep3\Utilities\RefineRTDCRunTimes.py" --tripid 1831-10 --locoid 4031 --swversion DE.1.0.7.0 --startMP 204:906 --initTime 2016-09-10T21:16:31 --startdatetime 2016-09-10T21:21:17 --delay 1 --endMP 300:58924 --enddatetime 2016-09-10T21:35:08 --enforcementcount 0 &gt;&gt;C:\Users\stu\Documents\GitHub\eaglep3-reporting\EC\2016-09-10-refined-times.txt</v>
      </c>
      <c r="AI190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{"issue":{"subject":"","project_id":79,"tracker_id":40,"status_id":1,"priority_id":2,"assigned_to_id":23,"start_date":"2016-09-10","description":"","custom_fields":[{"id":1,"name":"Subdivision","value":"NW"},{"id":4,"name":"Milepost","value":"5.8018"},{"id":17,"name":"Train ID","value":"1831-10"},{"id":16,"name":"Locomotive ID","value":"4031"},{"id":130,"name":"Impact","value":""},{"id":150,"name":"Time of Event (Mountain Time)","value":"21:35:08"},{"id":151,"name":"Denver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s="23" customFormat="1" x14ac:dyDescent="0.25">
      <c r="A191" s="39" t="s">
        <v>593</v>
      </c>
      <c r="B191" s="7">
        <v>4032</v>
      </c>
      <c r="C191" s="24" t="s">
        <v>108</v>
      </c>
      <c r="D191" s="24" t="s">
        <v>594</v>
      </c>
      <c r="E191" s="15">
        <v>42623.901921296296</v>
      </c>
      <c r="F191" s="15">
        <v>42623.903796296298</v>
      </c>
      <c r="G191" s="7">
        <v>1</v>
      </c>
      <c r="H191" s="15" t="s">
        <v>595</v>
      </c>
      <c r="I191" s="15">
        <v>42623.91369212963</v>
      </c>
      <c r="J191" s="7">
        <v>0</v>
      </c>
      <c r="K191" s="122" t="str">
        <f t="shared" si="106"/>
        <v>4031/4032</v>
      </c>
      <c r="L191" s="24" t="str">
        <f>VLOOKUP(A191,'Trips&amp;Operators'!$C$1:$E$10000,3,FALSE)</f>
        <v>ADANE</v>
      </c>
      <c r="M191" s="6">
        <f t="shared" si="107"/>
        <v>9.8958333328482695E-3</v>
      </c>
      <c r="N191" s="7">
        <f t="shared" si="116"/>
        <v>14.249999999301508</v>
      </c>
      <c r="O191" s="7"/>
      <c r="P191" s="7"/>
      <c r="Q191" s="25"/>
      <c r="R191" s="25"/>
      <c r="S191" s="37">
        <f t="shared" si="108"/>
        <v>1</v>
      </c>
      <c r="T191" s="52" t="str">
        <f t="shared" si="104"/>
        <v>Southbound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https://search-rtdc-monitor-bjffxe2xuh6vdkpspy63sjmuny.us-east-1.es.amazonaws.com/_plugin/kibana/#/discover/Steve-Slow-Train-Analysis-(2080s-and-2083s)?_g=(refreshInterval:(display:Off,section:0,value:0),time:(from:'2016-09-10 20:38:46-0600',mode:absolute,to:'2016-09-10 22:55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91" s="54" t="str">
        <f t="shared" si="110"/>
        <v>N</v>
      </c>
      <c r="X191" s="172">
        <f t="shared" si="99"/>
        <v>1</v>
      </c>
      <c r="Y191" s="69">
        <f t="shared" si="100"/>
        <v>5.8604000000000003</v>
      </c>
      <c r="Z191" s="69">
        <f t="shared" si="111"/>
        <v>6.59E-2</v>
      </c>
      <c r="AA191" s="69">
        <f t="shared" si="112"/>
        <v>5.7945000000000002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105"/>
        <v>1832-10</v>
      </c>
      <c r="AE191" s="99" t="str">
        <f t="shared" si="113"/>
        <v>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 &amp; aws s3 cp s3://rtdc.mdm.uploadarchive/RTDC4032/2016-09-11/ "%USERPROFILE%\AppData\Local\Temp\OnboardLogs"\RTDC4032\2016-09-11 --recursive &amp; "%USERPROFILE%\Documents\GitHub\mrs-test-scripts\Headless Mode &amp; Sideloading\WalkAndUnGZ.bat" "%USERPROFILE%\AppData\Local\Temp\OnboardLogs"\RTDC4032\2016-09-11</v>
      </c>
      <c r="AF191" s="96" t="str">
        <f t="shared" si="114"/>
        <v>"C:\Program Files (x86)\AstroGrep\AstroGrep.exe" /spath="%USERPROFILE%\AppData\Local\Temp\OnboardLogs" /stypes="*4032*20160911*" /stext=" 03:.+((SYSTEM_STATE.+slice.+state.+changed )|(ment ac)|(system.+state.+changed )|(\|lc)|(penalty)|(\[timeout)|(PRM\|1\|D)|(kpr)|(kdp))" /e /r /s</v>
      </c>
      <c r="AG191" s="1" t="str">
        <f t="shared" si="115"/>
        <v>NW</v>
      </c>
      <c r="AH191" s="100" t="str">
        <f t="shared" si="85"/>
        <v>"%USERPROFILE%\Documents\GitHub\eaglep3\Utilities\RefineRTDCRunTimes.py" --tripid 1832-10 --locoid 4032 --swversion DE.1.0.7.0 --startMP 300:58604 --initTime 2016-09-10T21:38:46 --startdatetime 2016-09-10T21:41:28 --delay 1 --endMP 204:659 --enddatetime 2016-09-10T21:55:43 --enforcementcount 0 &gt;&gt;C:\Users\stu\Documents\GitHub\eaglep3-reporting\EC\2016-09-10-refined-times.txt</v>
      </c>
      <c r="AI191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{"issue":{"subject":"","project_id":79,"tracker_id":40,"status_id":1,"priority_id":2,"assigned_to_id":23,"start_date":"2016-09-10","description":"","custom_fields":[{"id":1,"name":"Subdivision","value":"NW"},{"id":4,"name":"Milepost","value":"5.7945"},{"id":17,"name":"Train ID","value":"1832-10"},{"id":16,"name":"Locomotive ID","value":"4032"},{"id":130,"name":"Impact","value":""},{"id":150,"name":"Time of Event (Mountain Time)","value":"21:55:43"},{"id":151,"name":"Denver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s="23" customFormat="1" x14ac:dyDescent="0.25">
      <c r="A192" s="39" t="s">
        <v>596</v>
      </c>
      <c r="B192" s="7">
        <v>4031</v>
      </c>
      <c r="C192" s="24" t="s">
        <v>108</v>
      </c>
      <c r="D192" s="24" t="s">
        <v>597</v>
      </c>
      <c r="E192" s="15">
        <v>42623.927048611113</v>
      </c>
      <c r="F192" s="15">
        <v>42623.931458333333</v>
      </c>
      <c r="G192" s="7">
        <v>1</v>
      </c>
      <c r="H192" s="15" t="s">
        <v>598</v>
      </c>
      <c r="I192" s="15">
        <v>42623.939733796295</v>
      </c>
      <c r="J192" s="7">
        <v>0</v>
      </c>
      <c r="K192" s="122" t="str">
        <f t="shared" si="106"/>
        <v>4031/4032</v>
      </c>
      <c r="L192" s="24" t="str">
        <f>VLOOKUP(A192,'Trips&amp;Operators'!$C$1:$E$10000,3,FALSE)</f>
        <v>ADANE</v>
      </c>
      <c r="M192" s="6">
        <f t="shared" si="107"/>
        <v>8.2754629620467313E-3</v>
      </c>
      <c r="N192" s="7">
        <f t="shared" si="116"/>
        <v>11.916666665347293</v>
      </c>
      <c r="O192" s="7"/>
      <c r="P192" s="7"/>
      <c r="Q192" s="25"/>
      <c r="R192" s="25"/>
      <c r="S192" s="37">
        <f t="shared" si="108"/>
        <v>1</v>
      </c>
      <c r="T192" s="52" t="str">
        <f t="shared" si="104"/>
        <v>NorthBound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https://search-rtdc-monitor-bjffxe2xuh6vdkpspy63sjmuny.us-east-1.es.amazonaws.com/_plugin/kibana/#/discover/Steve-Slow-Train-Analysis-(2080s-and-2083s)?_g=(refreshInterval:(display:Off,section:0,value:0),time:(from:'2016-09-10 21:14:57-0600',mode:absolute,to:'2016-09-10 23:33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92" s="54" t="str">
        <f t="shared" si="110"/>
        <v>N</v>
      </c>
      <c r="X192" s="172">
        <f t="shared" si="99"/>
        <v>1</v>
      </c>
      <c r="Y192" s="69">
        <f t="shared" si="100"/>
        <v>9.5000000000000001E-2</v>
      </c>
      <c r="Z192" s="69">
        <f t="shared" si="111"/>
        <v>5.7614000000000001</v>
      </c>
      <c r="AA192" s="69">
        <f t="shared" si="112"/>
        <v>5.6664000000000003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105"/>
        <v>1833-10</v>
      </c>
      <c r="AE192" s="99" t="str">
        <f t="shared" si="113"/>
        <v>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 &amp; aws s3 cp s3://rtdc.mdm.uploadarchive/RTDC4031/2016-09-11/ "%USERPROFILE%\AppData\Local\Temp\OnboardLogs"\RTDC4031\2016-09-11 --recursive &amp; "%USERPROFILE%\Documents\GitHub\mrs-test-scripts\Headless Mode &amp; Sideloading\WalkAndUnGZ.bat" "%USERPROFILE%\AppData\Local\Temp\OnboardLogs"\RTDC4031\2016-09-11</v>
      </c>
      <c r="AF192" s="96" t="str">
        <f t="shared" si="114"/>
        <v>"C:\Program Files (x86)\AstroGrep\AstroGrep.exe" /spath="%USERPROFILE%\AppData\Local\Temp\OnboardLogs" /stypes="*4031*20160911*" /stext=" 04:.+((SYSTEM_STATE.+slice.+state.+changed )|(ment ac)|(system.+state.+changed )|(\|lc)|(penalty)|(\[timeout)|(PRM\|1\|D)|(kpr)|(kdp))" /e /r /s</v>
      </c>
      <c r="AG192" s="1" t="str">
        <f t="shared" si="115"/>
        <v>NW</v>
      </c>
      <c r="AH192" s="100" t="str">
        <f t="shared" si="85"/>
        <v>"%USERPROFILE%\Documents\GitHub\eaglep3\Utilities\RefineRTDCRunTimes.py" --tripid 1833-10 --locoid 4031 --swversion DE.1.0.7.0 --startMP 204:950 --initTime 2016-09-10T22:14:57 --startdatetime 2016-09-10T22:21:18 --delay 1 --endMP 300:57614 --enddatetime 2016-09-10T22:33:13 --enforcementcount 0 &gt;&gt;C:\Users\stu\Documents\GitHub\eaglep3-reporting\EC\2016-09-10-refined-times.txt</v>
      </c>
      <c r="AI192" s="137" t="str">
        <f t="shared" si="86"/>
        <v>echo {"issue":{"subject":"","project_id":79,"tracker_id":40,"status_id":1,"priority_id":2,"assigned_to_id":23,"start_date":"2016-09-10","description":"","custom_fields":[{"id":1,"name":"Subdivision","value":"NW"},{"id":4,"name":"Milepost","value":"5.6664"},{"id":17,"name":"Train ID","value":"1833-10"},{"id":16,"name":"Locomotive ID","value":"4031"},{"id":130,"name":"Impact","value":""},{"id":150,"name":"Time of Event (Mountain Time)","value":"22:33:13"},{"id":151,"name":"Denver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680</v>
      </c>
      <c r="B193" s="7">
        <v>4040</v>
      </c>
      <c r="C193" s="24" t="s">
        <v>108</v>
      </c>
      <c r="D193" s="24" t="s">
        <v>271</v>
      </c>
      <c r="E193" s="15">
        <v>42623.775810185187</v>
      </c>
      <c r="F193" s="15">
        <v>25568.958333333332</v>
      </c>
      <c r="G193" s="7">
        <v>2</v>
      </c>
      <c r="H193" s="15" t="s">
        <v>364</v>
      </c>
      <c r="I193" s="15">
        <v>25568.958333333332</v>
      </c>
      <c r="J193" s="7">
        <v>0</v>
      </c>
      <c r="K193" s="122" t="str">
        <f t="shared" si="106"/>
        <v>4039/4040</v>
      </c>
      <c r="L193" s="24" t="str">
        <f>VLOOKUP(A193,'Trips&amp;Operators'!$C$1:$E$10000,3,FALSE)</f>
        <v>SHOOK</v>
      </c>
      <c r="M193" s="6">
        <f t="shared" si="107"/>
        <v>0</v>
      </c>
      <c r="N193" s="7">
        <f t="shared" si="116"/>
        <v>0</v>
      </c>
      <c r="O193" s="7"/>
      <c r="P193" s="7"/>
      <c r="Q193" s="25"/>
      <c r="R193" s="25"/>
      <c r="S193" s="37">
        <f t="shared" si="108"/>
        <v>1</v>
      </c>
      <c r="T193" s="52" t="str">
        <f t="shared" si="104"/>
        <v>NorthBound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https://search-rtdc-monitor-bjffxe2xuh6vdkpspy63sjmuny.us-east-1.es.amazonaws.com/_plugin/kibana/#/discover/Steve-Slow-Train-Analysis-(2080s-and-2083s)?_g=(refreshInterval:(display:Off,section:0,value:0),time:(from:'2016-09-10 17:37:10-0600',mode:absolute,to:'1970-01-01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93" s="54" t="str">
        <f t="shared" si="110"/>
        <v>Y</v>
      </c>
      <c r="X193" s="172">
        <f t="shared" ref="X193:X202" si="117">VALUE(LEFT(AD193,4))-VALUE(LEFT(AD192,4))</f>
        <v>-1530</v>
      </c>
      <c r="Y193" s="69">
        <f t="shared" ref="Y193:Y202" si="118">RIGHT(D193,LEN(D193)-4)/10000</f>
        <v>4.5499999999999999E-2</v>
      </c>
      <c r="Z193" s="69">
        <f t="shared" si="111"/>
        <v>2.3308</v>
      </c>
      <c r="AA193" s="69">
        <f t="shared" si="112"/>
        <v>2.2852999999999999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105"/>
        <v>0303-10</v>
      </c>
      <c r="AE193" s="99" t="str">
        <f t="shared" si="113"/>
        <v>aws s3 cp s3://rtdc.mdm.uploadarchive/RTDC4040/1969-12-31/ "%USERPROFILE%\AppData\Local\Temp\OnboardLogs"\RTDC4040\1969-12-31 --recursive &amp; "%USERPROFILE%\Documents\GitHub\mrs-test-scripts\Headless Mode &amp; Sideloading\WalkAndUnGZ.bat" "%USERPROFILE%\AppData\Local\Temp\OnboardLogs"\RTDC4040\1969-12-31 &amp; aws s3 cp s3://rtdc.mdm.uploadarchive/RTDC4040/1970-01-01/ "%USERPROFILE%\AppData\Local\Temp\OnboardLogs"\RTDC4040\1970-01-01 --recursive &amp; "%USERPROFILE%\Documents\GitHub\mrs-test-scripts\Headless Mode &amp; Sideloading\WalkAndUnGZ.bat" "%USERPROFILE%\AppData\Local\Temp\OnboardLogs"\RTDC4040\1970-01-01</v>
      </c>
      <c r="AF193" s="96" t="str">
        <f t="shared" si="114"/>
        <v>"C:\Program Files (x86)\AstroGrep\AstroGrep.exe" /spath="%USERPROFILE%\AppData\Local\Temp\OnboardLogs" /stypes="*4040*19700101*" /stext=" 05:.+((SYSTEM_STATE.+slice.+state.+changed )|(ment ac)|(system.+state.+changed )|(\|lc)|(penalty)|(\[timeout)|(PRM\|1\|D)|(kpr)|(kdp))" /e /r /s</v>
      </c>
      <c r="AG193" s="1" t="str">
        <f t="shared" si="115"/>
        <v>Other</v>
      </c>
      <c r="AH193" s="100" t="str">
        <f t="shared" si="85"/>
        <v>"%USERPROFILE%\Documents\GitHub\eaglep3\Utilities\RefineRTDCRunTimes.py" --tripid 303-10 --locoid 4040 --swversion DE.1.0.7.0 --startMP 204:455 --initTime 2016-09-10T18:37:10 --startdatetime 1969-12-31T23:00:00 --delay 2 --endMP 300:23308 --enddatetime 1969-12-31T23:00:00 --enforcementcount 0 &gt;&gt;C:\Users\stu\Documents\GitHub\eaglep3-reporting\EC\2016-09-10-refined-times.txt</v>
      </c>
      <c r="AI193" s="137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{"issue":{"subject":"","project_id":79,"tracker_id":40,"status_id":1,"priority_id":2,"assigned_to_id":23,"start_date":"1969-12-31","description":"","custom_fields":[{"id":1,"name":"Subdivision","value":"Other"},{"id":4,"name":"Milepost","value":"2.2853"},{"id":17,"name":"Train ID","value":"303-10"},{"id":16,"name":"Locomotive ID","value":"4040"},{"id":130,"name":"Impact","value":""},{"id":150,"name":"Time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681</v>
      </c>
      <c r="B194" s="7">
        <v>4009</v>
      </c>
      <c r="C194" s="24" t="s">
        <v>108</v>
      </c>
      <c r="D194" s="24" t="s">
        <v>346</v>
      </c>
      <c r="E194" s="15">
        <v>42623.799710648149</v>
      </c>
      <c r="F194" s="15">
        <v>42623.801678240743</v>
      </c>
      <c r="G194" s="7">
        <v>1</v>
      </c>
      <c r="H194" s="15" t="s">
        <v>364</v>
      </c>
      <c r="I194" s="15">
        <v>42623.807939814818</v>
      </c>
      <c r="J194" s="7">
        <v>0</v>
      </c>
      <c r="K194" s="122" t="str">
        <f t="shared" si="106"/>
        <v>4009/4010</v>
      </c>
      <c r="L194" s="24" t="str">
        <f>VLOOKUP(A194,'Trips&amp;Operators'!$C$1:$E$10000,3,FALSE)</f>
        <v>CLARK</v>
      </c>
      <c r="M194" s="6">
        <f t="shared" si="107"/>
        <v>6.2615740753244609E-3</v>
      </c>
      <c r="N194" s="7">
        <f t="shared" si="116"/>
        <v>9.0166666684672236</v>
      </c>
      <c r="O194" s="7"/>
      <c r="P194" s="7"/>
      <c r="Q194" s="25"/>
      <c r="R194" s="25"/>
      <c r="S194" s="37">
        <f t="shared" si="108"/>
        <v>1</v>
      </c>
      <c r="T194" s="52" t="str">
        <f t="shared" si="104"/>
        <v>NorthBound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https://search-rtdc-monitor-bjffxe2xuh6vdkpspy63sjmuny.us-east-1.es.amazonaws.com/_plugin/kibana/#/discover/Steve-Slow-Train-Analysis-(2080s-and-2083s)?_g=(refreshInterval:(display:Off,section:0,value:0),time:(from:'2016-09-10 18:11:35-0600',mode:absolute,to:'2016-09-10 20:23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94" s="54" t="str">
        <f t="shared" si="110"/>
        <v>Y</v>
      </c>
      <c r="X194" s="172">
        <f t="shared" si="117"/>
        <v>2</v>
      </c>
      <c r="Y194" s="69">
        <f t="shared" si="118"/>
        <v>4.9500000000000002E-2</v>
      </c>
      <c r="Z194" s="69">
        <f t="shared" si="111"/>
        <v>2.3308</v>
      </c>
      <c r="AA194" s="69">
        <f t="shared" si="112"/>
        <v>2.2812999999999999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105"/>
        <v>0305-10</v>
      </c>
      <c r="AE194" s="99" t="str">
        <f t="shared" si="113"/>
        <v>aws s3 cp s3://rtdc.mdm.uploadarchive/RTDC4009/2016-09-10/ "%USERPROFILE%\AppData\Local\Temp\OnboardLogs"\RTDC4009\2016-09-10 --recursive &amp; "%USERPROFILE%\Documents\GitHub\mrs-test-scripts\Headless Mode &amp; Sideloading\WalkAndUnGZ.bat" "%USERPROFILE%\AppData\Local\Temp\OnboardLogs"\RTDC4009\2016-09-10 &amp; aws s3 cp s3://rtdc.mdm.uploadarchive/RTDC4009/2016-09-11/ "%USERPROFILE%\AppData\Local\Temp\OnboardLogs"\RTDC4009\2016-09-11 --recursive &amp; "%USERPROFILE%\Documents\GitHub\mrs-test-scripts\Headless Mode &amp; Sideloading\WalkAndUnGZ.bat" "%USERPROFILE%\AppData\Local\Temp\OnboardLogs"\RTDC4009\2016-09-11</v>
      </c>
      <c r="AF194" s="96" t="str">
        <f t="shared" si="114"/>
        <v>"C:\Program Files (x86)\AstroGrep\AstroGrep.exe" /spath="%USERPROFILE%\AppData\Local\Temp\OnboardLogs" /stypes="*4009*20160911*" /stext=" 01:.+((SYSTEM_STATE.+slice.+state.+changed )|(ment ac)|(system.+state.+changed )|(\|lc)|(penalty)|(\[timeout)|(PRM\|1\|D)|(kpr)|(kdp))" /e /r /s</v>
      </c>
      <c r="AG194" s="1" t="str">
        <f t="shared" si="115"/>
        <v>Other</v>
      </c>
      <c r="AH194" s="100" t="str">
        <f t="shared" si="85"/>
        <v>"%USERPROFILE%\Documents\GitHub\eaglep3\Utilities\RefineRTDCRunTimes.py" --tripid 305-10 --locoid 4009 --swversion DE.1.0.7.0 --startMP 204:495 --initTime 2016-09-10T19:11:35 --startdatetime 2016-09-10T19:14:25 --delay 1 --endMP 300:23308 --enddatetime 2016-09-10T19:23:26 --enforcementcount 0 &gt;&gt;C:\Users\stu\Documents\GitHub\eaglep3-reporting\EC\2016-09-10-refined-times.txt</v>
      </c>
      <c r="AI194" s="137" t="str">
        <f t="shared" si="86"/>
        <v>echo {"issue":{"subject":"","project_id":79,"tracker_id":40,"status_id":1,"priority_id":2,"assigned_to_id":23,"start_date":"2016-09-10","description":"","custom_fields":[{"id":1,"name":"Subdivision","value":"Other"},{"id":4,"name":"Milepost","value":"2.2813"},{"id":17,"name":"Train ID","value":"305-10"},{"id":16,"name":"Locomotive ID","value":"4009"},{"id":130,"name":"Impact","value":""},{"id":150,"name":"Time of Event (Mountain Time)","value":"19:23:26"},{"id":151,"name":"Denver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682</v>
      </c>
      <c r="B195" s="7">
        <v>4002</v>
      </c>
      <c r="C195" s="24" t="s">
        <v>108</v>
      </c>
      <c r="D195" s="24" t="s">
        <v>633</v>
      </c>
      <c r="E195" s="15">
        <v>42623.818206018521</v>
      </c>
      <c r="F195" s="15">
        <v>25568.958333333332</v>
      </c>
      <c r="G195" s="7">
        <v>1</v>
      </c>
      <c r="H195" s="15" t="s">
        <v>364</v>
      </c>
      <c r="I195" s="15">
        <v>25568.958333333332</v>
      </c>
      <c r="J195" s="7">
        <v>0</v>
      </c>
      <c r="K195" s="122" t="str">
        <f t="shared" si="106"/>
        <v>4001/4002</v>
      </c>
      <c r="L195" s="24" t="str">
        <f>VLOOKUP(A195,'Trips&amp;Operators'!$C$1:$E$10000,3,FALSE)</f>
        <v>OUN</v>
      </c>
      <c r="M195" s="6">
        <f t="shared" si="107"/>
        <v>0</v>
      </c>
      <c r="N195" s="7">
        <f t="shared" si="116"/>
        <v>0</v>
      </c>
      <c r="O195" s="7"/>
      <c r="P195" s="7"/>
      <c r="Q195" s="25"/>
      <c r="R195" s="25"/>
      <c r="S195" s="37">
        <f t="shared" si="108"/>
        <v>1</v>
      </c>
      <c r="T195" s="52" t="str">
        <f t="shared" si="104"/>
        <v>NorthBound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https://search-rtdc-monitor-bjffxe2xuh6vdkpspy63sjmuny.us-east-1.es.amazonaws.com/_plugin/kibana/#/discover/Steve-Slow-Train-Analysis-(2080s-and-2083s)?_g=(refreshInterval:(display:Off,section:0,value:0),time:(from:'2016-09-10 18:38:13-0600',mode:absolute,to:'1970-01-01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95" s="54" t="str">
        <f t="shared" si="110"/>
        <v>Y</v>
      </c>
      <c r="X195" s="172">
        <f t="shared" si="117"/>
        <v>2</v>
      </c>
      <c r="Y195" s="69">
        <f t="shared" si="118"/>
        <v>4.4900000000000002E-2</v>
      </c>
      <c r="Z195" s="69">
        <f t="shared" si="111"/>
        <v>2.3308</v>
      </c>
      <c r="AA195" s="69">
        <f t="shared" si="112"/>
        <v>2.2858999999999998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105"/>
        <v>0307-10</v>
      </c>
      <c r="AE195" s="99" t="str">
        <f t="shared" si="113"/>
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</c>
      <c r="AF195" s="96" t="str">
        <f t="shared" si="114"/>
        <v>"C:\Program Files (x86)\AstroGrep\AstroGrep.exe" /spath="%USERPROFILE%\AppData\Local\Temp\OnboardLogs" /stypes="*4002*19700101*" /stext=" 05:.+((SYSTEM_STATE.+slice.+state.+changed )|(ment ac)|(system.+state.+changed )|(\|lc)|(penalty)|(\[timeout)|(PRM\|1\|D)|(kpr)|(kdp))" /e /r /s</v>
      </c>
      <c r="AG195" s="1" t="str">
        <f t="shared" si="115"/>
        <v>Other</v>
      </c>
      <c r="AH195" s="100" t="str">
        <f t="shared" si="85"/>
        <v>"%USERPROFILE%\Documents\GitHub\eaglep3\Utilities\RefineRTDCRunTimes.py" --tripid 307-10 --locoid 4002 --swversion DE.1.0.7.0 --startMP 204:449 --initTime 2016-09-10T19:38:13 --startdatetime 1969-12-31T23:00:00 --delay 1 --endMP 300:23308 --enddatetime 1969-12-31T23:00:00 --enforcementcount 0 &gt;&gt;C:\Users\stu\Documents\GitHub\eaglep3-reporting\EC\2016-09-10-refined-times.txt</v>
      </c>
      <c r="AI195" s="137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{"issue":{"subject":"","project_id":79,"tracker_id":40,"status_id":1,"priority_id":2,"assigned_to_id":23,"start_date":"1969-12-31","description":"","custom_fields":[{"id":1,"name":"Subdivision","value":"Other"},{"id":4,"name":"Milepost","value":"2.2859"},{"id":17,"name":"Train ID","value":"307-10"},{"id":16,"name":"Locomotive ID","value":"4002"},{"id":130,"name":"Impact","value":""},{"id":150,"name":"Time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683</v>
      </c>
      <c r="B196" s="7">
        <v>4046</v>
      </c>
      <c r="C196" s="24" t="s">
        <v>108</v>
      </c>
      <c r="D196" s="24" t="s">
        <v>254</v>
      </c>
      <c r="E196" s="15">
        <v>42624.069282407407</v>
      </c>
      <c r="F196" s="15">
        <v>42624.070787037039</v>
      </c>
      <c r="G196" s="7">
        <v>1</v>
      </c>
      <c r="H196" s="15" t="s">
        <v>684</v>
      </c>
      <c r="I196" s="15">
        <v>42624.076504629629</v>
      </c>
      <c r="J196" s="7">
        <v>0</v>
      </c>
      <c r="K196" s="122" t="str">
        <f t="shared" si="106"/>
        <v>4045/4046</v>
      </c>
      <c r="L196" s="24" t="str">
        <f>VLOOKUP(A196,'Trips&amp;Operators'!$C$1:$E$10000,3,FALSE)</f>
        <v>CHANDLER</v>
      </c>
      <c r="M196" s="6">
        <f t="shared" si="107"/>
        <v>5.7175925903720781E-3</v>
      </c>
      <c r="N196" s="7">
        <f t="shared" si="116"/>
        <v>8.2333333301357925</v>
      </c>
      <c r="O196" s="7"/>
      <c r="P196" s="7"/>
      <c r="Q196" s="25"/>
      <c r="R196" s="25"/>
      <c r="S196" s="37">
        <f t="shared" si="108"/>
        <v>1</v>
      </c>
      <c r="T196" s="52" t="str">
        <f t="shared" si="104"/>
        <v>NorthBound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https://search-rtdc-monitor-bjffxe2xuh6vdkpspy63sjmuny.us-east-1.es.amazonaws.com/_plugin/kibana/#/discover/Steve-Slow-Train-Analysis-(2080s-and-2083s)?_g=(refreshInterval:(display:Off,section:0,value:0),time:(from:'2016-09-11 00:39:46-0600',mode:absolute,to:'2016-09-11 02:50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96" s="54" t="str">
        <f t="shared" si="110"/>
        <v>Y</v>
      </c>
      <c r="X196" s="172">
        <f t="shared" si="117"/>
        <v>4</v>
      </c>
      <c r="Y196" s="69">
        <f t="shared" si="118"/>
        <v>4.6199999999999998E-2</v>
      </c>
      <c r="Z196" s="69">
        <f t="shared" si="111"/>
        <v>2.2843</v>
      </c>
      <c r="AA196" s="69">
        <f t="shared" si="112"/>
        <v>2.2381000000000002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105"/>
        <v>0311-10</v>
      </c>
      <c r="AE196" s="99" t="str">
        <f t="shared" si="113"/>
        <v>aws s3 cp s3://rtdc.mdm.uploadarchive/RTDC4046/2016-09-11/ "%USERPROFILE%\AppData\Local\Temp\OnboardLogs"\RTDC4046\2016-09-11 --recursive &amp; "%USERPROFILE%\Documents\GitHub\mrs-test-scripts\Headless Mode &amp; Sideloading\WalkAndUnGZ.bat" "%USERPROFILE%\AppData\Local\Temp\OnboardLogs"\RTDC4046\2016-09-11 &amp; aws s3 cp s3://rtdc.mdm.uploadarchive/RTDC4046/2016-09-12/ "%USERPROFILE%\AppData\Local\Temp\OnboardLogs"\RTDC4046\2016-09-12 --recursive &amp; "%USERPROFILE%\Documents\GitHub\mrs-test-scripts\Headless Mode &amp; Sideloading\WalkAndUnGZ.bat" "%USERPROFILE%\AppData\Local\Temp\OnboardLogs"\RTDC4046\2016-09-12</v>
      </c>
      <c r="AF196" s="96" t="str">
        <f t="shared" si="114"/>
        <v>"C:\Program Files (x86)\AstroGrep\AstroGrep.exe" /spath="%USERPROFILE%\AppData\Local\Temp\OnboardLogs" /stypes="*4046*20160911*" /stext=" 07:.+((SYSTEM_STATE.+slice.+state.+changed )|(ment ac)|(system.+state.+changed )|(\|lc)|(penalty)|(\[timeout)|(PRM\|1\|D)|(kpr)|(kdp))" /e /r /s</v>
      </c>
      <c r="AG196" s="1" t="str">
        <f t="shared" si="115"/>
        <v>Other</v>
      </c>
      <c r="AH196" s="100" t="str">
        <f t="shared" si="85"/>
        <v>"%USERPROFILE%\Documents\GitHub\eaglep3\Utilities\RefineRTDCRunTimes.py" --tripid 311-10 --locoid 4046 --swversion DE.1.0.7.0 --startMP 204:462 --initTime 2016-09-11T01:39:46 --startdatetime 2016-09-11T01:41:56 --delay 1 --endMP 300:22843 --enddatetime 2016-09-11T01:50:10 --enforcementcount 0 &gt;&gt;C:\Users\stu\Documents\GitHub\eaglep3-reporting\EC\2016-09-10-refined-times.txt</v>
      </c>
      <c r="AI196" s="137" t="str">
        <f t="shared" si="86"/>
        <v>echo {"issue":{"subject":"","project_id":79,"tracker_id":40,"status_id":1,"priority_id":2,"assigned_to_id":23,"start_date":"2016-09-11","description":"","custom_fields":[{"id":1,"name":"Subdivision","value":"Other"},{"id":4,"name":"Milepost","value":"2.2381"},{"id":17,"name":"Train ID","value":"311-10"},{"id":16,"name":"Locomotive ID","value":"4046"},{"id":130,"name":"Impact","value":""},{"id":150,"name":"Time of Event (Mountain Time)","value":"01:50:10"},{"id":151,"name":"Denver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685</v>
      </c>
      <c r="B197" s="7">
        <v>4014</v>
      </c>
      <c r="C197" s="24" t="s">
        <v>108</v>
      </c>
      <c r="D197" s="24" t="s">
        <v>295</v>
      </c>
      <c r="E197" s="15">
        <v>42624.08871527778</v>
      </c>
      <c r="F197" s="15">
        <v>25568.958333333332</v>
      </c>
      <c r="G197" s="7">
        <v>1</v>
      </c>
      <c r="H197" s="15" t="s">
        <v>686</v>
      </c>
      <c r="I197" s="15">
        <v>25568.958333333332</v>
      </c>
      <c r="J197" s="7">
        <v>0</v>
      </c>
      <c r="K197" s="122" t="str">
        <f t="shared" si="106"/>
        <v>4013/4014</v>
      </c>
      <c r="L197" s="24" t="str">
        <f>VLOOKUP(A197,'Trips&amp;Operators'!$C$1:$E$10000,3,FALSE)</f>
        <v>SWANSON</v>
      </c>
      <c r="M197" s="6">
        <f t="shared" si="107"/>
        <v>0</v>
      </c>
      <c r="N197" s="7">
        <f t="shared" si="116"/>
        <v>0</v>
      </c>
      <c r="O197" s="7"/>
      <c r="P197" s="7"/>
      <c r="Q197" s="25"/>
      <c r="R197" s="25"/>
      <c r="S197" s="37">
        <f t="shared" si="108"/>
        <v>1</v>
      </c>
      <c r="T197" s="52" t="str">
        <f t="shared" si="104"/>
        <v>NorthBound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https://search-rtdc-monitor-bjffxe2xuh6vdkpspy63sjmuny.us-east-1.es.amazonaws.com/_plugin/kibana/#/discover/Steve-Slow-Train-Analysis-(2080s-and-2083s)?_g=(refreshInterval:(display:Off,section:0,value:0),time:(from:'2016-09-11 01:07:45-0600',mode:absolute,to:'1970-01-01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7" s="54" t="str">
        <f t="shared" si="110"/>
        <v>Y</v>
      </c>
      <c r="X197" s="172">
        <f t="shared" si="117"/>
        <v>2</v>
      </c>
      <c r="Y197" s="69">
        <f t="shared" si="118"/>
        <v>4.6399999999999997E-2</v>
      </c>
      <c r="Z197" s="69">
        <f t="shared" si="111"/>
        <v>2.3304</v>
      </c>
      <c r="AA197" s="69">
        <f t="shared" si="112"/>
        <v>2.2839999999999998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105"/>
        <v>0313-10</v>
      </c>
      <c r="AE197" s="99" t="str">
        <f t="shared" si="113"/>
        <v>aws s3 cp s3://rtdc.mdm.uploadarchive/RTDC4014/1969-12-31/ "%USERPROFILE%\AppData\Local\Temp\OnboardLogs"\RTDC4014\1969-12-31 --recursive &amp; "%USERPROFILE%\Documents\GitHub\mrs-test-scripts\Headless Mode &amp; Sideloading\WalkAndUnGZ.bat" "%USERPROFILE%\AppData\Local\Temp\OnboardLogs"\RTDC4014\1969-12-31 &amp; aws s3 cp s3://rtdc.mdm.uploadarchive/RTDC4014/1970-01-01/ "%USERPROFILE%\AppData\Local\Temp\OnboardLogs"\RTDC4014\1970-01-01 --recursive &amp; "%USERPROFILE%\Documents\GitHub\mrs-test-scripts\Headless Mode &amp; Sideloading\WalkAndUnGZ.bat" "%USERPROFILE%\AppData\Local\Temp\OnboardLogs"\RTDC4014\1970-01-01</v>
      </c>
      <c r="AF197" s="96" t="str">
        <f t="shared" si="114"/>
        <v>"C:\Program Files (x86)\AstroGrep\AstroGrep.exe" /spath="%USERPROFILE%\AppData\Local\Temp\OnboardLogs" /stypes="*4014*19700101*" /stext=" 05:.+((SYSTEM_STATE.+slice.+state.+changed )|(ment ac)|(system.+state.+changed )|(\|lc)|(penalty)|(\[timeout)|(PRM\|1\|D)|(kpr)|(kdp))" /e /r /s</v>
      </c>
      <c r="AG197" s="1" t="str">
        <f t="shared" si="115"/>
        <v>Other</v>
      </c>
      <c r="AH197" s="100" t="str">
        <f t="shared" si="85"/>
        <v>"%USERPROFILE%\Documents\GitHub\eaglep3\Utilities\RefineRTDCRunTimes.py" --tripid 313-10 --locoid 4014 --swversion DE.1.0.7.0 --startMP 204:464 --initTime 2016-09-11T02:07:45 --startdatetime 1969-12-31T23:00:00 --delay 1 --endMP 300:23304 --enddatetime 1969-12-31T23:00:00 --enforcementcount 0 &gt;&gt;C:\Users\stu\Documents\GitHub\eaglep3-reporting\EC\2016-09-10-refined-times.txt</v>
      </c>
      <c r="AI197" s="137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{"issue":{"subject":"","project_id":79,"tracker_id":40,"status_id":1,"priority_id":2,"assigned_to_id":23,"start_date":"1969-12-31","description":"","custom_fields":[{"id":1,"name":"Subdivision","value":"Other"},{"id":4,"name":"Milepost","value":"2.284"},{"id":17,"name":"Train ID","value":"313-10"},{"id":16,"name":"Locomotive ID","value":"4014"},{"id":130,"name":"Impact","value":""},{"id":150,"name":"Time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406</v>
      </c>
      <c r="B198" s="7">
        <v>4004</v>
      </c>
      <c r="C198" s="24" t="s">
        <v>108</v>
      </c>
      <c r="D198" s="24" t="s">
        <v>687</v>
      </c>
      <c r="E198" s="15">
        <v>42623.435995370368</v>
      </c>
      <c r="F198" s="15">
        <v>42623.438611111109</v>
      </c>
      <c r="G198" s="7">
        <v>3</v>
      </c>
      <c r="H198" s="15" t="s">
        <v>688</v>
      </c>
      <c r="I198" s="15">
        <v>42623.438773148147</v>
      </c>
      <c r="J198" s="7">
        <v>0</v>
      </c>
      <c r="K198" s="122" t="str">
        <f t="shared" si="106"/>
        <v>4003/4004</v>
      </c>
      <c r="L198" s="24" t="str">
        <f>VLOOKUP(A198,'Trips&amp;Operators'!$C$1:$E$10000,3,FALSE)</f>
        <v>BARTLETT</v>
      </c>
      <c r="M198" s="6">
        <f t="shared" si="107"/>
        <v>1.6203703853534535E-4</v>
      </c>
      <c r="N198" s="7">
        <f t="shared" si="116"/>
        <v>0.2333333354908973</v>
      </c>
      <c r="O198" s="7"/>
      <c r="P198" s="7"/>
      <c r="Q198" s="25"/>
      <c r="R198" s="25"/>
      <c r="S198" s="37">
        <f t="shared" si="108"/>
        <v>0</v>
      </c>
      <c r="T198" s="52" t="e">
        <f t="shared" si="104"/>
        <v>#VALUE!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https://search-rtdc-monitor-bjffxe2xuh6vdkpspy63sjmuny.us-east-1.es.amazonaws.com/_plugin/kibana/#/discover/Steve-Slow-Train-Analysis-(2080s-and-2083s)?_g=(refreshInterval:(display:Off,section:0,value:0),time:(from:'2016-09-10 09:27:50-0600',mode:absolute,to:'2016-09-10 11:31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98" s="54" t="str">
        <f t="shared" si="110"/>
        <v>Y</v>
      </c>
      <c r="X198" s="172" t="e">
        <f t="shared" si="117"/>
        <v>#VALUE!</v>
      </c>
      <c r="Y198" s="69">
        <f t="shared" si="118"/>
        <v>2.4546000000000001</v>
      </c>
      <c r="Z198" s="69">
        <f t="shared" si="111"/>
        <v>2.4018999999999999</v>
      </c>
      <c r="AA198" s="69">
        <f t="shared" si="112"/>
        <v>5.2700000000000191E-2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105"/>
        <v>50-10</v>
      </c>
      <c r="AE198" s="99" t="str">
        <f t="shared" si="113"/>
        <v>aws s3 cp s3://rtdc.mdm.uploadarchive/RTDC4004/2016-09-10/ "%USERPROFILE%\AppData\Local\Temp\OnboardLogs"\RTDC4004\2016-09-10 --recursive &amp; "%USERPROFILE%\Documents\GitHub\mrs-test-scripts\Headless Mode &amp; Sideloading\WalkAndUnGZ.bat" "%USERPROFILE%\AppData\Local\Temp\OnboardLogs"\RTDC4004\2016-09-10 &amp; aws s3 cp s3://rtdc.mdm.uploadarchive/RTDC4004/2016-09-11/ "%USERPROFILE%\AppData\Local\Temp\OnboardLogs"\RTDC4004\2016-09-11 --recursive &amp; "%USERPROFILE%\Documents\GitHub\mrs-test-scripts\Headless Mode &amp; Sideloading\WalkAndUnGZ.bat" "%USERPROFILE%\AppData\Local\Temp\OnboardLogs"\RTDC4004\2016-09-11</v>
      </c>
      <c r="AF198" s="96" t="str">
        <f t="shared" si="114"/>
        <v>"C:\Program Files (x86)\AstroGrep\AstroGrep.exe" /spath="%USERPROFILE%\AppData\Local\Temp\OnboardLogs" /stypes="*4004*20160910*" /stext=" 16:.+((SYSTEM_STATE.+slice.+state.+changed )|(ment ac)|(system.+state.+changed )|(\|lc)|(penalty)|(\[timeout)|(PRM\|1\|D)|(kpr)|(kdp))" /e /r /s</v>
      </c>
      <c r="AG198" s="1" t="str">
        <f t="shared" si="115"/>
        <v>Other</v>
      </c>
      <c r="AH198" s="100" t="str">
        <f t="shared" si="85"/>
        <v>"%USERPROFILE%\Documents\GitHub\eaglep3\Utilities\RefineRTDCRunTimes.py" --tripid 50-10 --locoid 4004 --swversion DE.1.0.7.0 --startMP 300:24546 --initTime 2016-09-10T10:27:50 --startdatetime 2016-09-10T10:31:36 --delay 3 --endMP 300:24019 --enddatetime 2016-09-10T10:31:50 --enforcementcount 0 &gt;&gt;C:\Users\stu\Documents\GitHub\eaglep3-reporting\EC\2016-09-10-refined-times.txt</v>
      </c>
      <c r="AI198" s="137" t="str">
        <f t="shared" si="86"/>
        <v>echo {"issue":{"subject":"","project_id":79,"tracker_id":40,"status_id":1,"priority_id":2,"assigned_to_id":23,"start_date":"2016-09-10","description":"","custom_fields":[{"id":1,"name":"Subdivision","value":"Other"},{"id":4,"name":"Milepost","value":"0.0527000000000002"},{"id":17,"name":"Train ID","value":"50-10"},{"id":16,"name":"Locomotive ID","value":"4004"},{"id":130,"name":"Impact","value":""},{"id":150,"name":"Time of Event (Mountain Time)","value":"10:31:50"},{"id":151,"name":"Denver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689</v>
      </c>
      <c r="B199" s="7">
        <v>4030</v>
      </c>
      <c r="C199" s="24" t="s">
        <v>108</v>
      </c>
      <c r="D199" s="24" t="s">
        <v>690</v>
      </c>
      <c r="E199" s="15">
        <v>42623.391435185185</v>
      </c>
      <c r="F199" s="15">
        <v>25568.958333333332</v>
      </c>
      <c r="G199" s="7">
        <v>2</v>
      </c>
      <c r="H199" s="15" t="s">
        <v>690</v>
      </c>
      <c r="I199" s="15">
        <v>25568.958333333332</v>
      </c>
      <c r="J199" s="7">
        <v>0</v>
      </c>
      <c r="K199" s="122" t="str">
        <f t="shared" si="106"/>
        <v>4029/4030</v>
      </c>
      <c r="L199" s="24" t="str">
        <f>VLOOKUP(A199,'Trips&amp;Operators'!$C$1:$E$10000,3,FALSE)</f>
        <v>STORY</v>
      </c>
      <c r="M199" s="6">
        <f t="shared" si="107"/>
        <v>0</v>
      </c>
      <c r="N199" s="7">
        <f t="shared" si="116"/>
        <v>0</v>
      </c>
      <c r="O199" s="7"/>
      <c r="P199" s="7"/>
      <c r="Q199" s="25"/>
      <c r="R199" s="25"/>
      <c r="S199" s="37">
        <f t="shared" si="108"/>
        <v>0</v>
      </c>
      <c r="T199" s="52" t="e">
        <f t="shared" si="104"/>
        <v>#VALUE!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https://search-rtdc-monitor-bjffxe2xuh6vdkpspy63sjmuny.us-east-1.es.amazonaws.com/_plugin/kibana/#/discover/Steve-Slow-Train-Analysis-(2080s-and-2083s)?_g=(refreshInterval:(display:Off,section:0,value:0),time:(from:'2016-09-10 08:23:40-0600',mode:absolute,to:'1970-01-01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99" s="54" t="str">
        <f t="shared" si="110"/>
        <v>Y</v>
      </c>
      <c r="X199" s="172" t="e">
        <f t="shared" si="117"/>
        <v>#VALUE!</v>
      </c>
      <c r="Y199" s="69">
        <f t="shared" si="118"/>
        <v>0.1181</v>
      </c>
      <c r="Z199" s="69">
        <f t="shared" si="111"/>
        <v>0.1181</v>
      </c>
      <c r="AA199" s="69">
        <f t="shared" si="112"/>
        <v>0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105"/>
        <v>51-10</v>
      </c>
      <c r="AE199" s="99" t="str">
        <f t="shared" si="113"/>
        <v>aws s3 cp s3://rtdc.mdm.uploadarchive/RTDC4030/1969-12-31/ "%USERPROFILE%\AppData\Local\Temp\OnboardLogs"\RTDC4030\1969-12-31 --recursive &amp; "%USERPROFILE%\Documents\GitHub\mrs-test-scripts\Headless Mode &amp; Sideloading\WalkAndUnGZ.bat" "%USERPROFILE%\AppData\Local\Temp\OnboardLogs"\RTDC4030\1969-12-31 &amp; aws s3 cp s3://rtdc.mdm.uploadarchive/RTDC4030/1970-01-01/ "%USERPROFILE%\AppData\Local\Temp\OnboardLogs"\RTDC4030\1970-01-01 --recursive &amp; "%USERPROFILE%\Documents\GitHub\mrs-test-scripts\Headless Mode &amp; Sideloading\WalkAndUnGZ.bat" "%USERPROFILE%\AppData\Local\Temp\OnboardLogs"\RTDC4030\1970-01-01</v>
      </c>
      <c r="AF199" s="96" t="str">
        <f t="shared" si="114"/>
        <v>"C:\Program Files (x86)\AstroGrep\AstroGrep.exe" /spath="%USERPROFILE%\AppData\Local\Temp\OnboardLogs" /stypes="*4030*19700101*" /stext=" 05:.+((SYSTEM_STATE.+slice.+state.+changed )|(ment ac)|(system.+state.+changed )|(\|lc)|(penalty)|(\[timeout)|(PRM\|1\|D)|(kpr)|(kdp))" /e /r /s</v>
      </c>
      <c r="AG199" s="1" t="str">
        <f t="shared" si="115"/>
        <v>Other</v>
      </c>
      <c r="AH199" s="100" t="str">
        <f t="shared" si="85"/>
        <v>"%USERPROFILE%\Documents\GitHub\eaglep3\Utilities\RefineRTDCRunTimes.py" --tripid 51-10 --locoid 4030 --swversion DE.1.0.7.0 --startMP 204:1181 --initTime 2016-09-10T09:23:40 --startdatetime 1969-12-31T23:00:00 --delay 2 --endMP 204:1181 --enddatetime 1969-12-31T23:00:00 --enforcementcount 0 &gt;&gt;C:\Users\stu\Documents\GitHub\eaglep3-reporting\EC\2016-09-10-refined-times.txt</v>
      </c>
      <c r="AI199" s="137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{"issue":{"subject":"","project_id":79,"tracker_id":40,"status_id":1,"priority_id":2,"assigned_to_id":23,"start_date":"1969-12-31","description":"","custom_fields":[{"id":1,"name":"Subdivision","value":"Other"},{"id":4,"name":"Milepost","value":"0"},{"id":17,"name":"Train ID","value":"51-10"},{"id":16,"name":"Locomotive ID","value":"4030"},{"id":130,"name":"Impact","value":""},{"id":150,"name":"Time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418</v>
      </c>
      <c r="B200" s="7">
        <v>4004</v>
      </c>
      <c r="C200" s="24" t="s">
        <v>108</v>
      </c>
      <c r="D200" s="24" t="s">
        <v>691</v>
      </c>
      <c r="E200" s="15">
        <v>42623.751712962963</v>
      </c>
      <c r="F200" s="15">
        <v>42623.754004629627</v>
      </c>
      <c r="G200" s="7">
        <v>3</v>
      </c>
      <c r="H200" s="15" t="s">
        <v>692</v>
      </c>
      <c r="I200" s="15">
        <v>42623.75408564815</v>
      </c>
      <c r="J200" s="7">
        <v>0</v>
      </c>
      <c r="K200" s="122" t="str">
        <f t="shared" si="106"/>
        <v>4003/4004</v>
      </c>
      <c r="L200" s="24" t="str">
        <f>VLOOKUP(A200,'Trips&amp;Operators'!$C$1:$E$10000,3,FALSE)</f>
        <v>SWANSON</v>
      </c>
      <c r="M200" s="6">
        <f t="shared" si="107"/>
        <v>8.101852290565148E-5</v>
      </c>
      <c r="N200" s="7">
        <f t="shared" si="116"/>
        <v>0.11666667298413813</v>
      </c>
      <c r="O200" s="7"/>
      <c r="P200" s="7"/>
      <c r="Q200" s="25"/>
      <c r="R200" s="25"/>
      <c r="S200" s="37">
        <f t="shared" si="108"/>
        <v>0</v>
      </c>
      <c r="T200" s="52" t="e">
        <f t="shared" si="104"/>
        <v>#VALUE!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https://search-rtdc-monitor-bjffxe2xuh6vdkpspy63sjmuny.us-east-1.es.amazonaws.com/_plugin/kibana/#/discover/Steve-Slow-Train-Analysis-(2080s-and-2083s)?_g=(refreshInterval:(display:Off,section:0,value:0),time:(from:'2016-09-10 17:02:28-0600',mode:absolute,to:'2016-09-10 19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00" s="54" t="str">
        <f t="shared" si="110"/>
        <v>Y</v>
      </c>
      <c r="X200" s="172" t="e">
        <f t="shared" si="117"/>
        <v>#VALUE!</v>
      </c>
      <c r="Y200" s="69">
        <f t="shared" si="118"/>
        <v>2.4190999999999998</v>
      </c>
      <c r="Z200" s="69">
        <f t="shared" si="111"/>
        <v>2.4163000000000001</v>
      </c>
      <c r="AA200" s="69">
        <f t="shared" si="112"/>
        <v>2.7999999999996916E-3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105"/>
        <v>52-10</v>
      </c>
      <c r="AE200" s="99" t="str">
        <f t="shared" si="113"/>
        <v>aws s3 cp s3://rtdc.mdm.uploadarchive/RTDC4004/2016-09-10/ "%USERPROFILE%\AppData\Local\Temp\OnboardLogs"\RTDC4004\2016-09-10 --recursive &amp; "%USERPROFILE%\Documents\GitHub\mrs-test-scripts\Headless Mode &amp; Sideloading\WalkAndUnGZ.bat" "%USERPROFILE%\AppData\Local\Temp\OnboardLogs"\RTDC4004\2016-09-10 &amp; aws s3 cp s3://rtdc.mdm.uploadarchive/RTDC4004/2016-09-11/ "%USERPROFILE%\AppData\Local\Temp\OnboardLogs"\RTDC4004\2016-09-11 --recursive &amp; "%USERPROFILE%\Documents\GitHub\mrs-test-scripts\Headless Mode &amp; Sideloading\WalkAndUnGZ.bat" "%USERPROFILE%\AppData\Local\Temp\OnboardLogs"\RTDC4004\2016-09-11</v>
      </c>
      <c r="AF200" s="96" t="str">
        <f t="shared" si="114"/>
        <v>"C:\Program Files (x86)\AstroGrep\AstroGrep.exe" /spath="%USERPROFILE%\AppData\Local\Temp\OnboardLogs" /stypes="*4004*20160911*" /stext=" 00:.+((SYSTEM_STATE.+slice.+state.+changed )|(ment ac)|(system.+state.+changed )|(\|lc)|(penalty)|(\[timeout)|(PRM\|1\|D)|(kpr)|(kdp))" /e /r /s</v>
      </c>
      <c r="AG200" s="1" t="str">
        <f t="shared" si="115"/>
        <v>Other</v>
      </c>
      <c r="AH200" s="100" t="str">
        <f t="shared" si="85"/>
        <v>"%USERPROFILE%\Documents\GitHub\eaglep3\Utilities\RefineRTDCRunTimes.py" --tripid 52-10 --locoid 4004 --swversion DE.1.0.7.0 --startMP 300:24191 --initTime 2016-09-10T18:02:28 --startdatetime 2016-09-10T18:05:46 --delay 3 --endMP 300:24163 --enddatetime 2016-09-10T18:05:53 --enforcementcount 0 &gt;&gt;C:\Users\stu\Documents\GitHub\eaglep3-reporting\EC\2016-09-10-refined-times.txt</v>
      </c>
      <c r="AI200" s="137" t="str">
        <f t="shared" si="86"/>
        <v>echo {"issue":{"subject":"","project_id":79,"tracker_id":40,"status_id":1,"priority_id":2,"assigned_to_id":23,"start_date":"2016-09-10","description":"","custom_fields":[{"id":1,"name":"Subdivision","value":"Other"},{"id":4,"name":"Milepost","value":"0.00279999999999969"},{"id":17,"name":"Train ID","value":"52-10"},{"id":16,"name":"Locomotive ID","value":"4004"},{"id":130,"name":"Impact","value":""},{"id":150,"name":"Time of Event (Mountain Time)","value":"18:05:53"},{"id":151,"name":"Denver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421</v>
      </c>
      <c r="B201" s="7">
        <v>4015</v>
      </c>
      <c r="C201" s="24" t="s">
        <v>108</v>
      </c>
      <c r="D201" s="24" t="s">
        <v>365</v>
      </c>
      <c r="E201" s="15">
        <v>42623.747800925928</v>
      </c>
      <c r="F201" s="15">
        <v>42623.749606481484</v>
      </c>
      <c r="G201" s="7">
        <v>2</v>
      </c>
      <c r="H201" s="15" t="s">
        <v>693</v>
      </c>
      <c r="I201" s="15">
        <v>42623.755358796298</v>
      </c>
      <c r="J201" s="7">
        <v>0</v>
      </c>
      <c r="K201" s="122" t="str">
        <f t="shared" si="106"/>
        <v>4015/4016</v>
      </c>
      <c r="L201" s="24" t="str">
        <f>VLOOKUP(A201,'Trips&amp;Operators'!$C$1:$E$10000,3,FALSE)</f>
        <v>HAITHCOX</v>
      </c>
      <c r="M201" s="6">
        <f t="shared" si="107"/>
        <v>5.7523148134350777E-3</v>
      </c>
      <c r="N201" s="7">
        <f t="shared" si="116"/>
        <v>8.2833333313465118</v>
      </c>
      <c r="O201" s="7"/>
      <c r="P201" s="7"/>
      <c r="Q201" s="25"/>
      <c r="R201" s="25"/>
      <c r="S201" s="37">
        <f t="shared" si="108"/>
        <v>0</v>
      </c>
      <c r="T201" s="52" t="e">
        <f t="shared" si="104"/>
        <v>#VALUE!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https://search-rtdc-monitor-bjffxe2xuh6vdkpspy63sjmuny.us-east-1.es.amazonaws.com/_plugin/kibana/#/discover/Steve-Slow-Train-Analysis-(2080s-and-2083s)?_g=(refreshInterval:(display:Off,section:0,value:0),time:(from:'2016-09-10 16:56:50-0600',mode:absolute,to:'2016-09-10 19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201" s="54" t="str">
        <f t="shared" si="110"/>
        <v>Y</v>
      </c>
      <c r="X201" s="172" t="e">
        <f t="shared" si="117"/>
        <v>#VALUE!</v>
      </c>
      <c r="Y201" s="69">
        <f t="shared" si="118"/>
        <v>2.3346</v>
      </c>
      <c r="Z201" s="69">
        <f t="shared" si="111"/>
        <v>8.6499999999999994E-2</v>
      </c>
      <c r="AA201" s="69">
        <f t="shared" si="112"/>
        <v>2.2481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105"/>
        <v>56-10</v>
      </c>
      <c r="AE201" s="99" t="str">
        <f t="shared" si="113"/>
        <v>aws s3 cp s3://rtdc.mdm.uploadarchive/RTDC4015/2016-09-10/ "%USERPROFILE%\AppData\Local\Temp\OnboardLogs"\RTDC4015\2016-09-10 --recursive &amp; "%USERPROFILE%\Documents\GitHub\mrs-test-scripts\Headless Mode &amp; Sideloading\WalkAndUnGZ.bat" "%USERPROFILE%\AppData\Local\Temp\OnboardLogs"\RTDC4015\2016-09-10 &amp; aws s3 cp s3://rtdc.mdm.uploadarchive/RTDC4015/2016-09-11/ "%USERPROFILE%\AppData\Local\Temp\OnboardLogs"\RTDC4015\2016-09-11 --recursive &amp; "%USERPROFILE%\Documents\GitHub\mrs-test-scripts\Headless Mode &amp; Sideloading\WalkAndUnGZ.bat" "%USERPROFILE%\AppData\Local\Temp\OnboardLogs"\RTDC4015\2016-09-11</v>
      </c>
      <c r="AF201" s="96" t="str">
        <f t="shared" si="114"/>
        <v>"C:\Program Files (x86)\AstroGrep\AstroGrep.exe" /spath="%USERPROFILE%\AppData\Local\Temp\OnboardLogs" /stypes="*4015*20160911*" /stext=" 00:.+((SYSTEM_STATE.+slice.+state.+changed )|(ment ac)|(system.+state.+changed )|(\|lc)|(penalty)|(\[timeout)|(PRM\|1\|D)|(kpr)|(kdp))" /e /r /s</v>
      </c>
      <c r="AG201" s="1" t="str">
        <f t="shared" si="115"/>
        <v>Other</v>
      </c>
      <c r="AH201" s="100" t="str">
        <f t="shared" si="85"/>
        <v>"%USERPROFILE%\Documents\GitHub\eaglep3\Utilities\RefineRTDCRunTimes.py" --tripid 56-10 --locoid 4015 --swversion DE.1.0.7.0 --startMP 300:23346 --initTime 2016-09-10T17:56:50 --startdatetime 2016-09-10T17:59:26 --delay 2 --endMP 204:865 --enddatetime 2016-09-10T18:07:43 --enforcementcount 0 &gt;&gt;C:\Users\stu\Documents\GitHub\eaglep3-reporting\EC\2016-09-10-refined-times.txt</v>
      </c>
      <c r="AI201" s="137" t="str">
        <f t="shared" si="86"/>
        <v>echo {"issue":{"subject":"","project_id":79,"tracker_id":40,"status_id":1,"priority_id":2,"assigned_to_id":23,"start_date":"2016-09-10","description":"","custom_fields":[{"id":1,"name":"Subdivision","value":"Other"},{"id":4,"name":"Milepost","value":"2.2481"},{"id":17,"name":"Train ID","value":"56-10"},{"id":16,"name":"Locomotive ID","value":"4015"},{"id":130,"name":"Impact","value":""},{"id":150,"name":"Time of Event (Mountain Time)","value":"18:07:43"},{"id":151,"name":"Denver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694</v>
      </c>
      <c r="B202" s="7">
        <v>4003</v>
      </c>
      <c r="C202" s="24" t="s">
        <v>108</v>
      </c>
      <c r="D202" s="24" t="s">
        <v>695</v>
      </c>
      <c r="E202" s="15">
        <v>42623.772743055553</v>
      </c>
      <c r="F202" s="15">
        <v>25568.958333333332</v>
      </c>
      <c r="G202" s="7">
        <v>2</v>
      </c>
      <c r="H202" s="15" t="s">
        <v>696</v>
      </c>
      <c r="I202" s="15">
        <v>25568.958333333332</v>
      </c>
      <c r="J202" s="7">
        <v>0</v>
      </c>
      <c r="K202" s="122" t="str">
        <f t="shared" si="106"/>
        <v>4003/4004</v>
      </c>
      <c r="L202" s="24" t="str">
        <f>VLOOKUP(A202,'Trips&amp;Operators'!$C$1:$E$10000,3,FALSE)</f>
        <v>MOSES</v>
      </c>
      <c r="M202" s="6">
        <f t="shared" si="107"/>
        <v>0</v>
      </c>
      <c r="N202" s="7">
        <f t="shared" si="116"/>
        <v>0</v>
      </c>
      <c r="O202" s="7"/>
      <c r="P202" s="7"/>
      <c r="Q202" s="25"/>
      <c r="R202" s="25"/>
      <c r="S202" s="37">
        <f t="shared" si="108"/>
        <v>0</v>
      </c>
      <c r="T202" s="52" t="e">
        <f t="shared" si="104"/>
        <v>#VALUE!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06" t="str">
        <f t="shared" si="109"/>
        <v>https://search-rtdc-monitor-bjffxe2xuh6vdkpspy63sjmuny.us-east-1.es.amazonaws.com/_plugin/kibana/#/discover/Steve-Slow-Train-Analysis-(2080s-and-2083s)?_g=(refreshInterval:(display:Off,section:0,value:0),time:(from:'2016-09-10 17:32:45-0600',mode:absolute,to:'1970-01-01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02" s="54" t="str">
        <f t="shared" si="110"/>
        <v>Y</v>
      </c>
      <c r="X202" s="172" t="e">
        <f t="shared" si="117"/>
        <v>#VALUE!</v>
      </c>
      <c r="Y202" s="69">
        <f t="shared" si="118"/>
        <v>3.3700000000000001E-2</v>
      </c>
      <c r="Z202" s="69">
        <f t="shared" si="111"/>
        <v>2.4251999999999998</v>
      </c>
      <c r="AA202" s="69">
        <f t="shared" si="112"/>
        <v>2.3914999999999997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105"/>
        <v>66-10</v>
      </c>
      <c r="AE202" s="99" t="str">
        <f t="shared" si="113"/>
        <v>aws s3 cp s3://rtdc.mdm.uploadarchive/RTDC4003/1969-12-31/ "%USERPROFILE%\AppData\Local\Temp\OnboardLogs"\RTDC4003\1969-12-31 --recursive &amp; "%USERPROFILE%\Documents\GitHub\mrs-test-scripts\Headless Mode &amp; Sideloading\WalkAndUnGZ.bat" "%USERPROFILE%\AppData\Local\Temp\OnboardLogs"\RTDC4003\1969-12-31 &amp; aws s3 cp s3://rtdc.mdm.uploadarchive/RTDC4003/1970-01-01/ "%USERPROFILE%\AppData\Local\Temp\OnboardLogs"\RTDC4003\1970-01-01 --recursive &amp; "%USERPROFILE%\Documents\GitHub\mrs-test-scripts\Headless Mode &amp; Sideloading\WalkAndUnGZ.bat" "%USERPROFILE%\AppData\Local\Temp\OnboardLogs"\RTDC4003\1970-01-01</v>
      </c>
      <c r="AF202" s="96" t="str">
        <f t="shared" si="114"/>
        <v>"C:\Program Files (x86)\AstroGrep\AstroGrep.exe" /spath="%USERPROFILE%\AppData\Local\Temp\OnboardLogs" /stypes="*4003*19700101*" /stext=" 05:.+((SYSTEM_STATE.+slice.+state.+changed )|(ment ac)|(system.+state.+changed )|(\|lc)|(penalty)|(\[timeout)|(PRM\|1\|D)|(kpr)|(kdp))" /e /r /s</v>
      </c>
      <c r="AG202" s="1" t="str">
        <f t="shared" si="115"/>
        <v>Other</v>
      </c>
      <c r="AH202" s="100" t="str">
        <f t="shared" si="85"/>
        <v>"%USERPROFILE%\Documents\GitHub\eaglep3\Utilities\RefineRTDCRunTimes.py" --tripid 66-10 --locoid 4003 --swversion DE.1.0.7.0 --startMP 204:337 --initTime 2016-09-10T18:32:45 --startdatetime 1969-12-31T23:00:00 --delay 2 --endMP 300:24252 --enddatetime 1969-12-31T23:00:00 --enforcementcount 0 &gt;&gt;C:\Users\stu\Documents\GitHub\eaglep3-reporting\EC\2016-09-10-refined-times.txt</v>
      </c>
      <c r="AI202" s="137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{"issue":{"subject":"","project_id":79,"tracker_id":40,"status_id":1,"priority_id":2,"assigned_to_id":23,"start_date":"1969-12-31","description":"","custom_fields":[{"id":1,"name":"Subdivision","value":"Other"},{"id":4,"name":"Milepost","value":"2.3915"},{"id":17,"name":"Train ID","value":"66-10"},{"id":16,"name":"Locomotive ID","value":"4003"},{"id":130,"name":"Impact","value":""},{"id":150,"name":"Time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x14ac:dyDescent="0.25">
      <c r="A203" s="39"/>
      <c r="B203" s="7"/>
      <c r="C203" s="24"/>
      <c r="D203" s="24"/>
      <c r="E203" s="15"/>
      <c r="F203" s="15"/>
      <c r="G203" s="7"/>
      <c r="H203" s="15"/>
      <c r="I203" s="15"/>
      <c r="J203" s="7"/>
      <c r="K203" s="122"/>
      <c r="L203" s="24"/>
      <c r="M203" s="6"/>
      <c r="N203" s="7"/>
      <c r="O203" s="7"/>
      <c r="P203" s="7"/>
      <c r="Q203" s="25"/>
      <c r="R203" s="25"/>
      <c r="S203" s="37"/>
      <c r="T203" s="52"/>
      <c r="U203" s="167"/>
      <c r="V203" s="106"/>
      <c r="W203" s="54"/>
      <c r="X203" s="172"/>
      <c r="Y203" s="69"/>
      <c r="Z203" s="69"/>
      <c r="AA203" s="69"/>
      <c r="AB203" s="66"/>
      <c r="AC203" s="62"/>
      <c r="AD203" s="63"/>
      <c r="AE203" s="99"/>
      <c r="AF203" s="96"/>
      <c r="AG203" s="1"/>
      <c r="AH203" s="100"/>
      <c r="AI203" s="137"/>
      <c r="AJ203" s="55"/>
      <c r="AK203" s="55"/>
      <c r="AL203" s="55"/>
    </row>
    <row r="204" spans="1:38" x14ac:dyDescent="0.25">
      <c r="A204" s="39"/>
      <c r="B204" s="7"/>
      <c r="C204" s="24"/>
      <c r="D204" s="24"/>
      <c r="E204" s="15"/>
      <c r="F204" s="15"/>
      <c r="G204" s="7"/>
      <c r="H204" s="15"/>
      <c r="I204" s="15"/>
      <c r="J204" s="7"/>
      <c r="K204" s="122"/>
      <c r="L204" s="24"/>
      <c r="M204" s="6"/>
      <c r="N204" s="7"/>
      <c r="O204" s="7"/>
      <c r="P204" s="7"/>
      <c r="Q204" s="25"/>
      <c r="R204" s="25"/>
      <c r="S204" s="37"/>
      <c r="T204" s="52"/>
      <c r="U204" s="167"/>
      <c r="V204" s="106"/>
      <c r="W204" s="54"/>
      <c r="X204" s="172"/>
      <c r="Y204" s="69"/>
      <c r="Z204" s="69"/>
      <c r="AA204" s="69"/>
      <c r="AB204" s="66"/>
      <c r="AC204" s="62"/>
      <c r="AD204" s="63"/>
      <c r="AE204" s="99"/>
      <c r="AF204" s="96"/>
      <c r="AG204" s="1"/>
      <c r="AI204" s="137"/>
      <c r="AJ204" s="55"/>
      <c r="AK204" s="55"/>
      <c r="AL204" s="55"/>
    </row>
    <row r="205" spans="1:38" x14ac:dyDescent="0.25">
      <c r="A205" s="39"/>
      <c r="B205" s="7"/>
      <c r="C205" s="24"/>
      <c r="D205" s="24"/>
      <c r="E205" s="15"/>
      <c r="F205" s="15"/>
      <c r="G205" s="7"/>
      <c r="H205" s="15"/>
      <c r="I205" s="15"/>
      <c r="J205" s="7"/>
      <c r="K205" s="122"/>
      <c r="L205" s="24"/>
      <c r="M205" s="6"/>
      <c r="N205" s="7"/>
      <c r="O205" s="7"/>
      <c r="P205" s="7"/>
      <c r="Q205" s="25"/>
      <c r="R205" s="25"/>
      <c r="S205" s="37"/>
      <c r="T205" s="52"/>
      <c r="U205" s="167"/>
      <c r="V205" s="106"/>
      <c r="W205" s="54"/>
      <c r="X205" s="172"/>
      <c r="Y205" s="69"/>
      <c r="Z205" s="69"/>
      <c r="AA205" s="69"/>
      <c r="AB205" s="66"/>
      <c r="AC205" s="62"/>
      <c r="AD205" s="63"/>
      <c r="AE205" s="99"/>
      <c r="AF205" s="96"/>
      <c r="AG205" s="1"/>
      <c r="AI205" s="137"/>
      <c r="AJ205" s="55"/>
      <c r="AK205" s="55"/>
      <c r="AL205" s="55"/>
    </row>
    <row r="206" spans="1:38" x14ac:dyDescent="0.25">
      <c r="A206" s="39"/>
      <c r="B206" s="7"/>
      <c r="C206" s="24"/>
      <c r="D206" s="24"/>
      <c r="E206" s="15"/>
      <c r="F206" s="15"/>
      <c r="G206" s="7"/>
      <c r="H206" s="15"/>
      <c r="I206" s="15"/>
      <c r="J206" s="7"/>
      <c r="K206" s="122"/>
      <c r="L206" s="24"/>
      <c r="M206" s="6"/>
      <c r="N206" s="7"/>
      <c r="O206" s="7"/>
      <c r="P206" s="7"/>
      <c r="Q206" s="25"/>
      <c r="R206" s="25"/>
      <c r="S206" s="37"/>
      <c r="T206" s="52"/>
      <c r="U206" s="167"/>
      <c r="V206" s="106"/>
      <c r="W206" s="54"/>
      <c r="X206" s="172"/>
      <c r="Y206" s="69"/>
      <c r="Z206" s="69"/>
      <c r="AA206" s="69"/>
      <c r="AB206" s="66"/>
      <c r="AC206" s="62"/>
      <c r="AD206" s="63"/>
      <c r="AE206" s="99"/>
      <c r="AF206" s="96"/>
      <c r="AG206" s="1"/>
      <c r="AI206" s="137"/>
      <c r="AJ206" s="55"/>
      <c r="AK206" s="55"/>
      <c r="AL206" s="55"/>
    </row>
    <row r="207" spans="1:38" x14ac:dyDescent="0.25">
      <c r="A207" s="39"/>
      <c r="B207" s="7"/>
      <c r="C207" s="24"/>
      <c r="D207" s="24"/>
      <c r="E207" s="15"/>
      <c r="F207" s="15"/>
      <c r="G207" s="7"/>
      <c r="H207" s="15"/>
      <c r="I207" s="15"/>
      <c r="J207" s="7"/>
      <c r="K207" s="122"/>
      <c r="L207" s="24"/>
      <c r="M207" s="6"/>
      <c r="N207" s="7"/>
      <c r="O207" s="7"/>
      <c r="P207" s="7"/>
      <c r="Q207" s="25"/>
      <c r="R207" s="25"/>
      <c r="S207" s="37"/>
      <c r="T207" s="52"/>
      <c r="U207" s="167"/>
      <c r="V207" s="106"/>
      <c r="W207" s="54"/>
      <c r="X207" s="172"/>
      <c r="Y207" s="69"/>
      <c r="Z207" s="69"/>
      <c r="AA207" s="69"/>
      <c r="AB207" s="66"/>
      <c r="AC207" s="62"/>
      <c r="AD207" s="63"/>
      <c r="AE207" s="99"/>
      <c r="AF207" s="96"/>
      <c r="AG207" s="1"/>
      <c r="AI207" s="137"/>
      <c r="AJ207" s="55"/>
      <c r="AK207" s="55"/>
      <c r="AL207" s="55"/>
    </row>
    <row r="208" spans="1:38" x14ac:dyDescent="0.25">
      <c r="A208" s="39"/>
      <c r="B208" s="7"/>
      <c r="C208" s="24"/>
      <c r="D208" s="24"/>
      <c r="E208" s="15"/>
      <c r="F208" s="15"/>
      <c r="G208" s="7"/>
      <c r="H208" s="15"/>
      <c r="I208" s="15"/>
      <c r="J208" s="7"/>
      <c r="K208" s="122"/>
      <c r="L208" s="24"/>
      <c r="M208" s="6"/>
      <c r="N208" s="7"/>
      <c r="O208" s="7"/>
      <c r="P208" s="7"/>
      <c r="Q208" s="25"/>
      <c r="R208" s="25"/>
      <c r="S208" s="37"/>
      <c r="T208" s="52"/>
      <c r="U208" s="167"/>
      <c r="V208" s="106"/>
      <c r="W208" s="54"/>
      <c r="X208" s="172"/>
      <c r="Y208" s="69"/>
      <c r="Z208" s="69"/>
      <c r="AA208" s="69"/>
      <c r="AB208" s="66"/>
      <c r="AC208" s="62"/>
      <c r="AD208" s="63"/>
      <c r="AE208" s="99"/>
      <c r="AF208" s="96"/>
      <c r="AG208" s="1"/>
      <c r="AI208" s="137"/>
      <c r="AJ208" s="55"/>
      <c r="AK208" s="55"/>
      <c r="AL208" s="55"/>
    </row>
    <row r="209" spans="1:38" x14ac:dyDescent="0.25">
      <c r="A209" s="39"/>
      <c r="B209" s="7"/>
      <c r="C209" s="24"/>
      <c r="D209" s="24"/>
      <c r="E209" s="15"/>
      <c r="F209" s="15"/>
      <c r="G209" s="7"/>
      <c r="H209" s="15"/>
      <c r="I209" s="15"/>
      <c r="J209" s="7"/>
      <c r="K209" s="122"/>
      <c r="L209" s="24"/>
      <c r="M209" s="6"/>
      <c r="N209" s="7"/>
      <c r="O209" s="7"/>
      <c r="P209" s="7"/>
      <c r="Q209" s="25"/>
      <c r="R209" s="25"/>
      <c r="S209" s="37"/>
      <c r="T209" s="52"/>
      <c r="U209" s="167"/>
      <c r="V209" s="106"/>
      <c r="W209" s="54"/>
      <c r="X209" s="172"/>
      <c r="Y209" s="69"/>
      <c r="Z209" s="69"/>
      <c r="AA209" s="69"/>
      <c r="AB209" s="66"/>
      <c r="AC209" s="62"/>
      <c r="AD209" s="63"/>
      <c r="AE209" s="99"/>
      <c r="AF209" s="96"/>
      <c r="AG209" s="1"/>
      <c r="AI209" s="137"/>
      <c r="AJ209" s="55"/>
      <c r="AK209" s="55"/>
      <c r="AL209" s="55"/>
    </row>
    <row r="210" spans="1:38" x14ac:dyDescent="0.25">
      <c r="A210" s="39"/>
      <c r="B210" s="7"/>
      <c r="C210" s="24"/>
      <c r="D210" s="24"/>
      <c r="E210" s="15"/>
      <c r="F210" s="15"/>
      <c r="G210" s="7"/>
      <c r="H210" s="15"/>
      <c r="I210" s="15"/>
      <c r="J210" s="7"/>
      <c r="K210" s="122"/>
      <c r="L210" s="24"/>
      <c r="M210" s="6"/>
      <c r="N210" s="7"/>
      <c r="O210" s="7"/>
      <c r="P210" s="7"/>
      <c r="Q210" s="25"/>
      <c r="R210" s="25"/>
      <c r="S210" s="37"/>
      <c r="T210" s="52"/>
      <c r="U210" s="167"/>
      <c r="V210" s="106"/>
      <c r="W210" s="54"/>
      <c r="X210" s="172"/>
      <c r="Y210" s="69"/>
      <c r="Z210" s="69"/>
      <c r="AA210" s="69"/>
      <c r="AB210" s="66"/>
      <c r="AC210" s="62"/>
      <c r="AD210" s="63"/>
      <c r="AE210" s="99"/>
      <c r="AF210" s="96"/>
      <c r="AG210" s="1"/>
      <c r="AI210" s="137"/>
      <c r="AJ210" s="55"/>
      <c r="AK210" s="55"/>
      <c r="AL210" s="55"/>
    </row>
    <row r="211" spans="1:38" x14ac:dyDescent="0.25">
      <c r="A211" s="39"/>
      <c r="B211" s="7"/>
      <c r="C211" s="24"/>
      <c r="D211" s="24"/>
      <c r="E211" s="15"/>
      <c r="F211" s="15"/>
      <c r="G211" s="7"/>
      <c r="H211" s="15"/>
      <c r="I211" s="15"/>
      <c r="J211" s="7"/>
      <c r="K211" s="122"/>
      <c r="L211" s="24"/>
      <c r="M211" s="6"/>
      <c r="N211" s="7"/>
      <c r="O211" s="7"/>
      <c r="P211" s="7"/>
      <c r="Q211" s="25"/>
      <c r="R211" s="25"/>
      <c r="S211" s="37"/>
      <c r="T211" s="52"/>
      <c r="U211" s="167"/>
      <c r="V211" s="106"/>
      <c r="W211" s="54"/>
      <c r="X211" s="172"/>
      <c r="Y211" s="69"/>
      <c r="Z211" s="69"/>
      <c r="AA211" s="69"/>
      <c r="AB211" s="66"/>
      <c r="AC211" s="62"/>
      <c r="AD211" s="63"/>
      <c r="AE211" s="99"/>
      <c r="AF211" s="96"/>
      <c r="AG211" s="1"/>
      <c r="AI211" s="137"/>
      <c r="AJ211" s="55"/>
      <c r="AK211" s="55"/>
      <c r="AL211" s="55"/>
    </row>
    <row r="212" spans="1:38" x14ac:dyDescent="0.25">
      <c r="A212" s="39"/>
      <c r="B212" s="7"/>
      <c r="C212" s="24"/>
      <c r="D212" s="24"/>
      <c r="E212" s="15"/>
      <c r="F212" s="15"/>
      <c r="G212" s="7"/>
      <c r="H212" s="15"/>
      <c r="I212" s="15"/>
      <c r="J212" s="7"/>
      <c r="K212" s="122"/>
      <c r="L212" s="24"/>
      <c r="M212" s="6"/>
      <c r="N212" s="7"/>
      <c r="O212" s="7"/>
      <c r="P212" s="7"/>
      <c r="Q212" s="25"/>
      <c r="R212" s="25"/>
      <c r="S212" s="37"/>
      <c r="T212" s="52"/>
      <c r="U212" s="167"/>
      <c r="V212" s="106"/>
      <c r="W212" s="54"/>
      <c r="X212" s="172"/>
      <c r="Y212" s="69"/>
      <c r="Z212" s="69"/>
      <c r="AA212" s="69"/>
      <c r="AB212" s="66"/>
      <c r="AC212" s="62"/>
      <c r="AD212" s="63"/>
      <c r="AE212" s="99"/>
      <c r="AF212" s="96"/>
      <c r="AG212" s="1"/>
      <c r="AI212" s="137"/>
      <c r="AJ212" s="55"/>
      <c r="AK212" s="55"/>
      <c r="AL212" s="55"/>
    </row>
    <row r="213" spans="1:38" x14ac:dyDescent="0.25">
      <c r="A213" s="39"/>
      <c r="B213" s="7"/>
      <c r="C213" s="24"/>
      <c r="D213" s="24"/>
      <c r="E213" s="15"/>
      <c r="F213" s="15"/>
      <c r="G213" s="7"/>
      <c r="H213" s="15"/>
      <c r="I213" s="15"/>
      <c r="J213" s="7"/>
      <c r="K213" s="122"/>
      <c r="L213" s="24"/>
      <c r="M213" s="6"/>
      <c r="N213" s="7"/>
      <c r="O213" s="7"/>
      <c r="P213" s="7"/>
      <c r="Q213" s="25"/>
      <c r="R213" s="25"/>
      <c r="S213" s="37"/>
      <c r="T213" s="52"/>
      <c r="U213" s="167"/>
      <c r="V213" s="106"/>
      <c r="W213" s="54"/>
      <c r="X213" s="172"/>
      <c r="Y213" s="69"/>
      <c r="Z213" s="69"/>
      <c r="AA213" s="69"/>
      <c r="AB213" s="66"/>
      <c r="AC213" s="62"/>
      <c r="AD213" s="63"/>
      <c r="AE213" s="99"/>
      <c r="AF213" s="96"/>
      <c r="AG213" s="1"/>
      <c r="AI213" s="137"/>
      <c r="AJ213" s="55"/>
      <c r="AK213" s="55"/>
      <c r="AL213" s="55"/>
    </row>
    <row r="214" spans="1:38" x14ac:dyDescent="0.25">
      <c r="A214" s="39"/>
      <c r="B214" s="7"/>
      <c r="C214" s="24"/>
      <c r="D214" s="24"/>
      <c r="E214" s="15"/>
      <c r="F214" s="15"/>
      <c r="G214" s="7"/>
      <c r="H214" s="15"/>
      <c r="I214" s="15"/>
      <c r="J214" s="7"/>
      <c r="K214" s="122"/>
      <c r="L214" s="24"/>
      <c r="M214" s="6"/>
      <c r="N214" s="7"/>
      <c r="O214" s="7"/>
      <c r="P214" s="7"/>
      <c r="Q214" s="25"/>
      <c r="R214" s="25"/>
      <c r="S214" s="37"/>
      <c r="T214" s="52"/>
      <c r="U214" s="167"/>
      <c r="V214" s="106"/>
      <c r="W214" s="54"/>
      <c r="X214" s="172"/>
      <c r="Y214" s="69"/>
      <c r="Z214" s="69"/>
      <c r="AA214" s="69"/>
      <c r="AB214" s="66"/>
      <c r="AC214" s="62"/>
      <c r="AD214" s="63"/>
      <c r="AE214" s="99"/>
      <c r="AF214" s="96"/>
      <c r="AG214" s="1"/>
      <c r="AI214" s="137"/>
      <c r="AJ214" s="55"/>
      <c r="AK214" s="55"/>
      <c r="AL214" s="55"/>
    </row>
    <row r="215" spans="1:38" s="23" customFormat="1" x14ac:dyDescent="0.25">
      <c r="A215" s="39"/>
      <c r="B215" s="7"/>
      <c r="C215" s="24"/>
      <c r="D215" s="24"/>
      <c r="E215" s="15"/>
      <c r="F215" s="15"/>
      <c r="G215" s="7"/>
      <c r="H215" s="15"/>
      <c r="I215" s="15"/>
      <c r="J215" s="7"/>
      <c r="K215" s="122"/>
      <c r="L215" s="24"/>
      <c r="M215" s="6"/>
      <c r="N215" s="7"/>
      <c r="O215" s="7"/>
      <c r="P215" s="7"/>
      <c r="Q215" s="25"/>
      <c r="R215" s="25"/>
      <c r="S215" s="37"/>
      <c r="T215" s="52"/>
      <c r="U215" s="167"/>
      <c r="V215" s="106"/>
      <c r="W215" s="54"/>
      <c r="X215" s="172"/>
      <c r="Y215" s="69"/>
      <c r="Z215" s="69"/>
      <c r="AA215" s="69"/>
      <c r="AB215" s="66"/>
      <c r="AC215" s="62"/>
      <c r="AD215" s="63"/>
      <c r="AE215" s="99"/>
      <c r="AF215" s="96"/>
      <c r="AG215" s="1"/>
      <c r="AH215" s="100"/>
      <c r="AI215" s="137"/>
      <c r="AJ215" s="55"/>
      <c r="AK215" s="55"/>
      <c r="AL215" s="55"/>
    </row>
    <row r="216" spans="1:38" x14ac:dyDescent="0.25">
      <c r="A216" s="39"/>
      <c r="B216" s="7"/>
      <c r="C216" s="24"/>
      <c r="D216" s="24"/>
      <c r="E216" s="15"/>
      <c r="F216" s="15"/>
      <c r="G216" s="7"/>
      <c r="H216" s="15"/>
      <c r="I216" s="15"/>
      <c r="J216" s="7"/>
      <c r="K216" s="122"/>
      <c r="L216" s="24"/>
      <c r="M216" s="6"/>
      <c r="N216" s="7"/>
      <c r="O216" s="7"/>
      <c r="P216" s="7"/>
      <c r="Q216" s="25"/>
      <c r="R216" s="25"/>
      <c r="S216" s="37"/>
      <c r="T216" s="52"/>
      <c r="U216" s="167"/>
      <c r="V216" s="106"/>
      <c r="W216" s="54"/>
      <c r="X216" s="172"/>
      <c r="Y216" s="69"/>
      <c r="Z216" s="69"/>
      <c r="AA216" s="69"/>
      <c r="AB216" s="66"/>
      <c r="AC216" s="62"/>
      <c r="AD216" s="63"/>
      <c r="AE216" s="99"/>
      <c r="AF216" s="96"/>
      <c r="AG216" s="1"/>
      <c r="AI216" s="137"/>
      <c r="AJ216" s="55"/>
      <c r="AK216" s="55"/>
      <c r="AL216" s="55"/>
    </row>
    <row r="217" spans="1:38" s="23" customFormat="1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22"/>
      <c r="L217" s="24"/>
      <c r="M217" s="6"/>
      <c r="N217" s="7"/>
      <c r="O217" s="7"/>
      <c r="P217" s="7"/>
      <c r="Q217" s="25"/>
      <c r="R217" s="25"/>
      <c r="S217" s="37"/>
      <c r="T217" s="52"/>
      <c r="U217" s="167"/>
      <c r="V217" s="106"/>
      <c r="W217" s="54"/>
      <c r="X217" s="172"/>
      <c r="Y217" s="69"/>
      <c r="Z217" s="69"/>
      <c r="AA217" s="69"/>
      <c r="AB217" s="66"/>
      <c r="AC217" s="62"/>
      <c r="AD217" s="63"/>
      <c r="AE217" s="99"/>
      <c r="AF217" s="96"/>
      <c r="AG217" s="1"/>
      <c r="AH217" s="100"/>
      <c r="AI217" s="137"/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22"/>
      <c r="L218" s="24"/>
      <c r="M218" s="6"/>
      <c r="N218" s="7"/>
      <c r="O218" s="7"/>
      <c r="P218" s="7"/>
      <c r="Q218" s="25"/>
      <c r="R218" s="25"/>
      <c r="S218" s="37"/>
      <c r="T218" s="52"/>
      <c r="U218" s="167"/>
      <c r="V218" s="106"/>
      <c r="W218" s="54"/>
      <c r="X218" s="172"/>
      <c r="Y218" s="69"/>
      <c r="Z218" s="69"/>
      <c r="AA218" s="69"/>
      <c r="AB218" s="66"/>
      <c r="AC218" s="62"/>
      <c r="AD218" s="63"/>
      <c r="AE218" s="99"/>
      <c r="AF218" s="96"/>
      <c r="AG218" s="1"/>
      <c r="AI218" s="137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22"/>
      <c r="L219" s="24"/>
      <c r="M219" s="6"/>
      <c r="N219" s="7"/>
      <c r="O219" s="7"/>
      <c r="P219" s="7"/>
      <c r="Q219" s="25"/>
      <c r="R219" s="25"/>
      <c r="S219" s="37"/>
      <c r="T219" s="52"/>
      <c r="U219" s="167"/>
      <c r="V219" s="106"/>
      <c r="W219" s="54"/>
      <c r="X219" s="172"/>
      <c r="Y219" s="69"/>
      <c r="Z219" s="69"/>
      <c r="AA219" s="69"/>
      <c r="AB219" s="66"/>
      <c r="AC219" s="62"/>
      <c r="AD219" s="63"/>
      <c r="AE219" s="99"/>
      <c r="AF219" s="96"/>
      <c r="AG219" s="1"/>
      <c r="AI219" s="137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22"/>
      <c r="L220" s="24"/>
      <c r="M220" s="6"/>
      <c r="N220" s="7"/>
      <c r="O220" s="7"/>
      <c r="P220" s="7"/>
      <c r="Q220" s="25"/>
      <c r="R220" s="25"/>
      <c r="S220" s="37"/>
      <c r="T220" s="52"/>
      <c r="U220" s="167"/>
      <c r="V220" s="106"/>
      <c r="W220" s="54"/>
      <c r="X220" s="172"/>
      <c r="Y220" s="69"/>
      <c r="Z220" s="69"/>
      <c r="AA220" s="69"/>
      <c r="AB220" s="66"/>
      <c r="AC220" s="62"/>
      <c r="AD220" s="63"/>
      <c r="AE220" s="99"/>
      <c r="AF220" s="96"/>
      <c r="AG220" s="1"/>
      <c r="AI220" s="137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22"/>
      <c r="L221" s="24"/>
      <c r="M221" s="6"/>
      <c r="N221" s="7"/>
      <c r="O221" s="7"/>
      <c r="P221" s="7"/>
      <c r="Q221" s="25"/>
      <c r="R221" s="25"/>
      <c r="S221" s="37"/>
      <c r="T221" s="52"/>
      <c r="U221" s="167"/>
      <c r="V221" s="106"/>
      <c r="W221" s="54"/>
      <c r="X221" s="172"/>
      <c r="Y221" s="69"/>
      <c r="Z221" s="69"/>
      <c r="AA221" s="69"/>
      <c r="AB221" s="66"/>
      <c r="AC221" s="62"/>
      <c r="AD221" s="63"/>
      <c r="AE221" s="99"/>
      <c r="AF221" s="96"/>
      <c r="AG221" s="1"/>
      <c r="AI221" s="137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22"/>
      <c r="L222" s="24"/>
      <c r="M222" s="6"/>
      <c r="N222" s="7"/>
      <c r="O222" s="7"/>
      <c r="P222" s="7"/>
      <c r="Q222" s="25"/>
      <c r="R222" s="25"/>
      <c r="S222" s="37"/>
      <c r="T222" s="52"/>
      <c r="U222" s="167"/>
      <c r="V222" s="106"/>
      <c r="W222" s="54"/>
      <c r="X222" s="172"/>
      <c r="Y222" s="69"/>
      <c r="Z222" s="69"/>
      <c r="AA222" s="69"/>
      <c r="AB222" s="66"/>
      <c r="AC222" s="62"/>
      <c r="AD222" s="63"/>
      <c r="AE222" s="99"/>
      <c r="AF222" s="96"/>
      <c r="AG222" s="1"/>
      <c r="AI222" s="137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2"/>
      <c r="L223" s="24"/>
      <c r="M223" s="6"/>
      <c r="N223" s="7"/>
      <c r="O223" s="7"/>
      <c r="P223" s="7"/>
      <c r="Q223" s="25"/>
      <c r="R223" s="25"/>
      <c r="S223" s="37"/>
      <c r="T223" s="52"/>
      <c r="U223" s="167"/>
      <c r="V223" s="106"/>
      <c r="W223" s="54"/>
      <c r="X223" s="172"/>
      <c r="Y223" s="69"/>
      <c r="Z223" s="69"/>
      <c r="AA223" s="69"/>
      <c r="AB223" s="66"/>
      <c r="AC223" s="62"/>
      <c r="AD223" s="63"/>
      <c r="AE223" s="99"/>
      <c r="AF223" s="96"/>
      <c r="AG223" s="1"/>
      <c r="AI223" s="137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2"/>
      <c r="L224" s="24"/>
      <c r="M224" s="6"/>
      <c r="N224" s="7"/>
      <c r="O224" s="7"/>
      <c r="P224" s="7"/>
      <c r="Q224" s="25"/>
      <c r="R224" s="25"/>
      <c r="S224" s="37"/>
      <c r="T224" s="52"/>
      <c r="U224" s="167"/>
      <c r="V224" s="106"/>
      <c r="W224" s="54"/>
      <c r="X224" s="172"/>
      <c r="Y224" s="69"/>
      <c r="Z224" s="69"/>
      <c r="AA224" s="69"/>
      <c r="AB224" s="66"/>
      <c r="AC224" s="62"/>
      <c r="AD224" s="63"/>
      <c r="AE224" s="99"/>
      <c r="AF224" s="96"/>
      <c r="AG224" s="1"/>
      <c r="AI224" s="137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2"/>
      <c r="L225" s="24"/>
      <c r="M225" s="6"/>
      <c r="N225" s="7"/>
      <c r="O225" s="7"/>
      <c r="P225" s="7"/>
      <c r="Q225" s="25"/>
      <c r="R225" s="25"/>
      <c r="S225" s="37"/>
      <c r="T225" s="52"/>
      <c r="U225" s="167"/>
      <c r="V225" s="106"/>
      <c r="W225" s="54"/>
      <c r="X225" s="172"/>
      <c r="Y225" s="69"/>
      <c r="Z225" s="69"/>
      <c r="AA225" s="69"/>
      <c r="AB225" s="66"/>
      <c r="AC225" s="62"/>
      <c r="AD225" s="63"/>
      <c r="AE225" s="99"/>
      <c r="AF225" s="96"/>
      <c r="AG225" s="1"/>
      <c r="AI225" s="137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2"/>
      <c r="L226" s="24"/>
      <c r="M226" s="6"/>
      <c r="N226" s="7"/>
      <c r="O226" s="7"/>
      <c r="P226" s="7"/>
      <c r="Q226" s="25"/>
      <c r="R226" s="25"/>
      <c r="S226" s="37"/>
      <c r="T226" s="52"/>
      <c r="U226" s="167"/>
      <c r="V226" s="106"/>
      <c r="W226" s="54"/>
      <c r="X226" s="172"/>
      <c r="Y226" s="69"/>
      <c r="Z226" s="69"/>
      <c r="AA226" s="69"/>
      <c r="AB226" s="66"/>
      <c r="AC226" s="62"/>
      <c r="AD226" s="63"/>
      <c r="AE226" s="99"/>
      <c r="AF226" s="96"/>
      <c r="AG226" s="1"/>
      <c r="AI226" s="137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2"/>
      <c r="L227" s="24"/>
      <c r="M227" s="6"/>
      <c r="N227" s="7"/>
      <c r="O227" s="7"/>
      <c r="P227" s="7"/>
      <c r="Q227" s="25"/>
      <c r="R227" s="25"/>
      <c r="S227" s="37"/>
      <c r="T227" s="52"/>
      <c r="U227" s="167"/>
      <c r="V227" s="106"/>
      <c r="W227" s="54"/>
      <c r="X227" s="172"/>
      <c r="Y227" s="69"/>
      <c r="Z227" s="69"/>
      <c r="AA227" s="69"/>
      <c r="AB227" s="66"/>
      <c r="AC227" s="62"/>
      <c r="AD227" s="63"/>
      <c r="AE227" s="99"/>
      <c r="AF227" s="96"/>
      <c r="AG227" s="1"/>
      <c r="AI227" s="137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2"/>
      <c r="L228" s="24"/>
      <c r="M228" s="6"/>
      <c r="N228" s="7"/>
      <c r="O228" s="7"/>
      <c r="P228" s="7"/>
      <c r="Q228" s="25"/>
      <c r="R228" s="25"/>
      <c r="S228" s="37"/>
      <c r="T228" s="52"/>
      <c r="U228" s="167"/>
      <c r="V228" s="106"/>
      <c r="W228" s="54"/>
      <c r="X228" s="172"/>
      <c r="Y228" s="69"/>
      <c r="Z228" s="69"/>
      <c r="AA228" s="69"/>
      <c r="AB228" s="66"/>
      <c r="AC228" s="62"/>
      <c r="AD228" s="63"/>
      <c r="AE228" s="99"/>
      <c r="AF228" s="96"/>
      <c r="AG228" s="1"/>
      <c r="AI228" s="137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2"/>
      <c r="L229" s="24"/>
      <c r="M229" s="6"/>
      <c r="N229" s="7"/>
      <c r="O229" s="7"/>
      <c r="P229" s="7"/>
      <c r="Q229" s="25"/>
      <c r="R229" s="25"/>
      <c r="S229" s="37"/>
      <c r="T229" s="52"/>
      <c r="U229" s="167"/>
      <c r="V229" s="106"/>
      <c r="W229" s="54"/>
      <c r="X229" s="172"/>
      <c r="Y229" s="69"/>
      <c r="Z229" s="69"/>
      <c r="AA229" s="69"/>
      <c r="AB229" s="66"/>
      <c r="AC229" s="62"/>
      <c r="AD229" s="63"/>
      <c r="AE229" s="99"/>
      <c r="AF229" s="96"/>
      <c r="AG229" s="1"/>
      <c r="AI229" s="137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2"/>
      <c r="L230" s="24"/>
      <c r="M230" s="6"/>
      <c r="N230" s="7"/>
      <c r="O230" s="7"/>
      <c r="P230" s="7"/>
      <c r="Q230" s="25"/>
      <c r="R230" s="25"/>
      <c r="S230" s="37"/>
      <c r="T230" s="52"/>
      <c r="U230" s="167"/>
      <c r="V230" s="106"/>
      <c r="W230" s="54"/>
      <c r="X230" s="172"/>
      <c r="Y230" s="69"/>
      <c r="Z230" s="69"/>
      <c r="AA230" s="69"/>
      <c r="AB230" s="66"/>
      <c r="AC230" s="62"/>
      <c r="AD230" s="63"/>
      <c r="AE230" s="99"/>
      <c r="AF230" s="96"/>
      <c r="AG230" s="1"/>
      <c r="AI230" s="137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2"/>
      <c r="L231" s="24"/>
      <c r="M231" s="6"/>
      <c r="N231" s="7"/>
      <c r="O231" s="7"/>
      <c r="P231" s="7"/>
      <c r="Q231" s="25"/>
      <c r="R231" s="25"/>
      <c r="S231" s="37"/>
      <c r="T231" s="52"/>
      <c r="U231" s="167"/>
      <c r="V231" s="106"/>
      <c r="W231" s="54"/>
      <c r="X231" s="172"/>
      <c r="Y231" s="69"/>
      <c r="Z231" s="69"/>
      <c r="AA231" s="69"/>
      <c r="AB231" s="66"/>
      <c r="AC231" s="62"/>
      <c r="AD231" s="63"/>
      <c r="AE231" s="99"/>
      <c r="AF231" s="96"/>
      <c r="AG231" s="1"/>
      <c r="AI231" s="137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2"/>
      <c r="L232" s="24"/>
      <c r="M232" s="6"/>
      <c r="N232" s="7"/>
      <c r="O232" s="7"/>
      <c r="P232" s="7"/>
      <c r="Q232" s="25"/>
      <c r="R232" s="25"/>
      <c r="S232" s="37"/>
      <c r="T232" s="52"/>
      <c r="U232" s="167"/>
      <c r="V232" s="106"/>
      <c r="W232" s="54"/>
      <c r="X232" s="172"/>
      <c r="Y232" s="69"/>
      <c r="Z232" s="69"/>
      <c r="AA232" s="69"/>
      <c r="AB232" s="66"/>
      <c r="AC232" s="62"/>
      <c r="AD232" s="63"/>
      <c r="AE232" s="99"/>
      <c r="AF232" s="96"/>
      <c r="AG232" s="1"/>
      <c r="AI232" s="137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2"/>
      <c r="L233" s="24"/>
      <c r="M233" s="6"/>
      <c r="N233" s="7"/>
      <c r="O233" s="7"/>
      <c r="P233" s="7"/>
      <c r="Q233" s="25"/>
      <c r="R233" s="25"/>
      <c r="S233" s="37"/>
      <c r="T233" s="52"/>
      <c r="U233" s="167"/>
      <c r="V233" s="106"/>
      <c r="W233" s="54"/>
      <c r="X233" s="172"/>
      <c r="Y233" s="69"/>
      <c r="Z233" s="69"/>
      <c r="AA233" s="69"/>
      <c r="AB233" s="66"/>
      <c r="AC233" s="62"/>
      <c r="AD233" s="63"/>
      <c r="AE233" s="99"/>
      <c r="AF233" s="96"/>
      <c r="AG233" s="1"/>
      <c r="AI233" s="137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2"/>
      <c r="L234" s="24"/>
      <c r="M234" s="6"/>
      <c r="N234" s="7"/>
      <c r="O234" s="7"/>
      <c r="P234" s="7"/>
      <c r="Q234" s="25"/>
      <c r="R234" s="25"/>
      <c r="S234" s="37"/>
      <c r="T234" s="52"/>
      <c r="U234" s="167"/>
      <c r="V234" s="106"/>
      <c r="W234" s="54"/>
      <c r="X234" s="172"/>
      <c r="Y234" s="69"/>
      <c r="Z234" s="69"/>
      <c r="AA234" s="69"/>
      <c r="AB234" s="66"/>
      <c r="AC234" s="62"/>
      <c r="AD234" s="63"/>
      <c r="AE234" s="99"/>
      <c r="AF234" s="96"/>
      <c r="AG234" s="1"/>
      <c r="AI234" s="137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2"/>
      <c r="L235" s="24"/>
      <c r="M235" s="6"/>
      <c r="N235" s="7"/>
      <c r="O235" s="7"/>
      <c r="P235" s="7"/>
      <c r="Q235" s="25"/>
      <c r="R235" s="25"/>
      <c r="S235" s="37"/>
      <c r="T235" s="52"/>
      <c r="U235" s="167"/>
      <c r="V235" s="106"/>
      <c r="W235" s="54"/>
      <c r="X235" s="172"/>
      <c r="Y235" s="69"/>
      <c r="Z235" s="69"/>
      <c r="AA235" s="69"/>
      <c r="AB235" s="66"/>
      <c r="AC235" s="62"/>
      <c r="AD235" s="63"/>
      <c r="AE235" s="99"/>
      <c r="AF235" s="96"/>
      <c r="AG235" s="1"/>
      <c r="AI235" s="137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2"/>
      <c r="L236" s="24"/>
      <c r="M236" s="6"/>
      <c r="N236" s="7"/>
      <c r="O236" s="7"/>
      <c r="P236" s="7"/>
      <c r="Q236" s="25"/>
      <c r="R236" s="25"/>
      <c r="S236" s="37"/>
      <c r="T236" s="52"/>
      <c r="U236" s="167"/>
      <c r="V236" s="106"/>
      <c r="W236" s="54"/>
      <c r="X236" s="172"/>
      <c r="Y236" s="69"/>
      <c r="Z236" s="69"/>
      <c r="AA236" s="69"/>
      <c r="AB236" s="66"/>
      <c r="AC236" s="62"/>
      <c r="AD236" s="63"/>
      <c r="AE236" s="99"/>
      <c r="AF236" s="96"/>
      <c r="AG236" s="1"/>
      <c r="AI236" s="137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2"/>
      <c r="L237" s="24"/>
      <c r="M237" s="6"/>
      <c r="N237" s="7"/>
      <c r="O237" s="7"/>
      <c r="P237" s="7"/>
      <c r="Q237" s="25"/>
      <c r="R237" s="25"/>
      <c r="S237" s="37"/>
      <c r="T237" s="52"/>
      <c r="U237" s="167"/>
      <c r="V237" s="106"/>
      <c r="W237" s="54"/>
      <c r="X237" s="172"/>
      <c r="Y237" s="69"/>
      <c r="Z237" s="69"/>
      <c r="AA237" s="69"/>
      <c r="AB237" s="66"/>
      <c r="AC237" s="62"/>
      <c r="AD237" s="63"/>
      <c r="AE237" s="99"/>
      <c r="AF237" s="96"/>
      <c r="AG237" s="1"/>
      <c r="AI237" s="137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2"/>
      <c r="L238" s="24"/>
      <c r="M238" s="6"/>
      <c r="N238" s="7"/>
      <c r="O238" s="7"/>
      <c r="P238" s="7"/>
      <c r="Q238" s="25"/>
      <c r="R238" s="25"/>
      <c r="S238" s="37"/>
      <c r="T238" s="52"/>
      <c r="U238" s="167"/>
      <c r="V238" s="106"/>
      <c r="W238" s="54"/>
      <c r="X238" s="172"/>
      <c r="Y238" s="69"/>
      <c r="Z238" s="69"/>
      <c r="AA238" s="69"/>
      <c r="AB238" s="66"/>
      <c r="AC238" s="62"/>
      <c r="AD238" s="63"/>
      <c r="AE238" s="99"/>
      <c r="AF238" s="96"/>
      <c r="AG238" s="1"/>
      <c r="AI238" s="137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2"/>
      <c r="L239" s="24"/>
      <c r="M239" s="6"/>
      <c r="N239" s="7"/>
      <c r="O239" s="7"/>
      <c r="P239" s="7"/>
      <c r="Q239" s="25"/>
      <c r="R239" s="25"/>
      <c r="S239" s="37"/>
      <c r="T239" s="52"/>
      <c r="U239" s="167"/>
      <c r="V239" s="106"/>
      <c r="W239" s="54"/>
      <c r="X239" s="172"/>
      <c r="Y239" s="69"/>
      <c r="Z239" s="69"/>
      <c r="AA239" s="69"/>
      <c r="AB239" s="66"/>
      <c r="AC239" s="62"/>
      <c r="AD239" s="63"/>
      <c r="AE239" s="99"/>
      <c r="AF239" s="96"/>
      <c r="AG239" s="1"/>
      <c r="AI239" s="137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2"/>
      <c r="L240" s="24"/>
      <c r="M240" s="6"/>
      <c r="N240" s="7"/>
      <c r="O240" s="7"/>
      <c r="P240" s="7"/>
      <c r="Q240" s="25"/>
      <c r="R240" s="25"/>
      <c r="S240" s="37"/>
      <c r="T240" s="52"/>
      <c r="U240" s="167"/>
      <c r="V240" s="106"/>
      <c r="W240" s="54"/>
      <c r="X240" s="172"/>
      <c r="Y240" s="69"/>
      <c r="Z240" s="69"/>
      <c r="AA240" s="69"/>
      <c r="AB240" s="66"/>
      <c r="AC240" s="62"/>
      <c r="AD240" s="63"/>
      <c r="AE240" s="99"/>
      <c r="AF240" s="96"/>
      <c r="AG240" s="1"/>
      <c r="AI240" s="137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2"/>
      <c r="L241" s="24"/>
      <c r="M241" s="6"/>
      <c r="N241" s="7"/>
      <c r="O241" s="7"/>
      <c r="P241" s="7"/>
      <c r="Q241" s="25"/>
      <c r="R241" s="25"/>
      <c r="S241" s="37"/>
      <c r="T241" s="52"/>
      <c r="U241" s="167"/>
      <c r="V241" s="106"/>
      <c r="W241" s="54"/>
      <c r="X241" s="172"/>
      <c r="Y241" s="69"/>
      <c r="Z241" s="69"/>
      <c r="AA241" s="69"/>
      <c r="AB241" s="66"/>
      <c r="AC241" s="62"/>
      <c r="AD241" s="63"/>
      <c r="AE241" s="99"/>
      <c r="AF241" s="96"/>
      <c r="AG241" s="1"/>
      <c r="AI241" s="137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2"/>
      <c r="L242" s="24"/>
      <c r="M242" s="6"/>
      <c r="N242" s="7"/>
      <c r="O242" s="7"/>
      <c r="P242" s="7"/>
      <c r="Q242" s="25"/>
      <c r="R242" s="25"/>
      <c r="S242" s="37"/>
      <c r="T242" s="52"/>
      <c r="U242" s="167"/>
      <c r="V242" s="106"/>
      <c r="W242" s="54"/>
      <c r="X242" s="172"/>
      <c r="Y242" s="69"/>
      <c r="Z242" s="69"/>
      <c r="AA242" s="69"/>
      <c r="AB242" s="66"/>
      <c r="AC242" s="62"/>
      <c r="AD242" s="63"/>
      <c r="AE242" s="99"/>
      <c r="AF242" s="96"/>
      <c r="AG242" s="1"/>
      <c r="AI242" s="137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2"/>
      <c r="L243" s="24"/>
      <c r="M243" s="6"/>
      <c r="N243" s="7"/>
      <c r="O243" s="7"/>
      <c r="P243" s="7"/>
      <c r="Q243" s="25"/>
      <c r="R243" s="25"/>
      <c r="S243" s="37"/>
      <c r="T243" s="52"/>
      <c r="U243" s="167"/>
      <c r="V243" s="106"/>
      <c r="W243" s="54"/>
      <c r="X243" s="172"/>
      <c r="Y243" s="69"/>
      <c r="Z243" s="69"/>
      <c r="AA243" s="69"/>
      <c r="AB243" s="66"/>
      <c r="AC243" s="62"/>
      <c r="AD243" s="63"/>
      <c r="AE243" s="99"/>
      <c r="AF243" s="96"/>
      <c r="AG243" s="1"/>
      <c r="AI243" s="137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2"/>
      <c r="L244" s="24"/>
      <c r="M244" s="6"/>
      <c r="N244" s="7"/>
      <c r="O244" s="7"/>
      <c r="P244" s="7"/>
      <c r="Q244" s="25"/>
      <c r="R244" s="25"/>
      <c r="S244" s="37"/>
      <c r="T244" s="52"/>
      <c r="U244" s="167"/>
      <c r="V244" s="106"/>
      <c r="W244" s="54"/>
      <c r="X244" s="172"/>
      <c r="Y244" s="69"/>
      <c r="Z244" s="69"/>
      <c r="AA244" s="69"/>
      <c r="AB244" s="66"/>
      <c r="AC244" s="62"/>
      <c r="AD244" s="63"/>
      <c r="AE244" s="99"/>
      <c r="AF244" s="96"/>
      <c r="AG244" s="1"/>
      <c r="AI244" s="137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2"/>
      <c r="L245" s="24"/>
      <c r="M245" s="6"/>
      <c r="N245" s="7"/>
      <c r="O245" s="7"/>
      <c r="P245" s="7"/>
      <c r="Q245" s="25"/>
      <c r="R245" s="25"/>
      <c r="S245" s="37"/>
      <c r="T245" s="52"/>
      <c r="U245" s="167"/>
      <c r="V245" s="106"/>
      <c r="W245" s="54"/>
      <c r="X245" s="172"/>
      <c r="Y245" s="69"/>
      <c r="Z245" s="69"/>
      <c r="AA245" s="69"/>
      <c r="AB245" s="66"/>
      <c r="AC245" s="62"/>
      <c r="AD245" s="63"/>
      <c r="AE245" s="99"/>
      <c r="AF245" s="96"/>
      <c r="AG245" s="1"/>
      <c r="AI245" s="137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2"/>
      <c r="L246" s="24"/>
      <c r="M246" s="6"/>
      <c r="N246" s="7"/>
      <c r="O246" s="7"/>
      <c r="P246" s="7"/>
      <c r="Q246" s="25"/>
      <c r="R246" s="25"/>
      <c r="S246" s="37"/>
      <c r="T246" s="52"/>
      <c r="U246" s="167"/>
      <c r="V246" s="106"/>
      <c r="W246" s="54"/>
      <c r="X246" s="172"/>
      <c r="Y246" s="69"/>
      <c r="Z246" s="69"/>
      <c r="AA246" s="69"/>
      <c r="AB246" s="66"/>
      <c r="AC246" s="62"/>
      <c r="AD246" s="63"/>
      <c r="AE246" s="99"/>
      <c r="AF246" s="96"/>
      <c r="AG246" s="1"/>
      <c r="AI246" s="137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2"/>
      <c r="L247" s="24"/>
      <c r="M247" s="6"/>
      <c r="N247" s="7"/>
      <c r="O247" s="7"/>
      <c r="P247" s="7"/>
      <c r="Q247" s="25"/>
      <c r="R247" s="25"/>
      <c r="S247" s="37"/>
      <c r="T247" s="52"/>
      <c r="U247" s="167"/>
      <c r="V247" s="106"/>
      <c r="W247" s="54"/>
      <c r="X247" s="172"/>
      <c r="Y247" s="69"/>
      <c r="Z247" s="69"/>
      <c r="AA247" s="69"/>
      <c r="AB247" s="66"/>
      <c r="AC247" s="62"/>
      <c r="AD247" s="63"/>
      <c r="AE247" s="99"/>
      <c r="AF247" s="96"/>
      <c r="AG247" s="1"/>
      <c r="AI247" s="137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2"/>
      <c r="L248" s="24"/>
      <c r="M248" s="6"/>
      <c r="N248" s="7"/>
      <c r="O248" s="7"/>
      <c r="P248" s="7"/>
      <c r="Q248" s="25"/>
      <c r="R248" s="25"/>
      <c r="S248" s="37"/>
      <c r="T248" s="52"/>
      <c r="U248" s="167"/>
      <c r="V248" s="106"/>
      <c r="W248" s="54"/>
      <c r="X248" s="172"/>
      <c r="Y248" s="69"/>
      <c r="Z248" s="69"/>
      <c r="AA248" s="69"/>
      <c r="AB248" s="66"/>
      <c r="AC248" s="62"/>
      <c r="AD248" s="63"/>
      <c r="AE248" s="99"/>
      <c r="AF248" s="96"/>
      <c r="AG248" s="1"/>
      <c r="AI248" s="137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2"/>
      <c r="L249" s="24"/>
      <c r="M249" s="6"/>
      <c r="N249" s="7"/>
      <c r="O249" s="7"/>
      <c r="P249" s="7"/>
      <c r="Q249" s="25"/>
      <c r="R249" s="25"/>
      <c r="S249" s="37"/>
      <c r="T249" s="52"/>
      <c r="U249" s="167"/>
      <c r="V249" s="106"/>
      <c r="W249" s="54"/>
      <c r="X249" s="172"/>
      <c r="Y249" s="69"/>
      <c r="Z249" s="69"/>
      <c r="AA249" s="69"/>
      <c r="AB249" s="66"/>
      <c r="AC249" s="62"/>
      <c r="AD249" s="63"/>
      <c r="AE249" s="99"/>
      <c r="AF249" s="96"/>
      <c r="AG249" s="1"/>
      <c r="AI249" s="137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2"/>
      <c r="L250" s="24"/>
      <c r="M250" s="6"/>
      <c r="N250" s="7"/>
      <c r="O250" s="7"/>
      <c r="P250" s="7"/>
      <c r="Q250" s="25"/>
      <c r="R250" s="25"/>
      <c r="S250" s="37"/>
      <c r="T250" s="52"/>
      <c r="U250" s="167"/>
      <c r="V250" s="106"/>
      <c r="W250" s="54"/>
      <c r="X250" s="172"/>
      <c r="Y250" s="69"/>
      <c r="Z250" s="69"/>
      <c r="AA250" s="69"/>
      <c r="AB250" s="66"/>
      <c r="AC250" s="62"/>
      <c r="AD250" s="63"/>
      <c r="AE250" s="99"/>
      <c r="AF250" s="96"/>
      <c r="AG250" s="1"/>
      <c r="AI250" s="137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2"/>
      <c r="L251" s="24"/>
      <c r="M251" s="6"/>
      <c r="N251" s="7"/>
      <c r="O251" s="7"/>
      <c r="P251" s="7"/>
      <c r="Q251" s="25"/>
      <c r="R251" s="25"/>
      <c r="S251" s="37"/>
      <c r="T251" s="52"/>
      <c r="U251" s="167"/>
      <c r="V251" s="106"/>
      <c r="W251" s="54"/>
      <c r="X251" s="172"/>
      <c r="Y251" s="69"/>
      <c r="Z251" s="69"/>
      <c r="AA251" s="69"/>
      <c r="AB251" s="66"/>
      <c r="AC251" s="62"/>
      <c r="AD251" s="63"/>
      <c r="AE251" s="99"/>
      <c r="AF251" s="96"/>
      <c r="AG251" s="1"/>
      <c r="AI251" s="137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2"/>
      <c r="L252" s="24"/>
      <c r="M252" s="6"/>
      <c r="N252" s="7"/>
      <c r="O252" s="7"/>
      <c r="P252" s="7"/>
      <c r="Q252" s="25"/>
      <c r="R252" s="25"/>
      <c r="S252" s="37"/>
      <c r="T252" s="52"/>
      <c r="U252" s="167"/>
      <c r="V252" s="106"/>
      <c r="W252" s="54"/>
      <c r="X252" s="172"/>
      <c r="Y252" s="69"/>
      <c r="Z252" s="69"/>
      <c r="AA252" s="69"/>
      <c r="AB252" s="66"/>
      <c r="AC252" s="62"/>
      <c r="AD252" s="63"/>
      <c r="AE252" s="99"/>
      <c r="AF252" s="96"/>
      <c r="AG252" s="1"/>
      <c r="AI252" s="137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22"/>
      <c r="L253" s="24"/>
      <c r="M253" s="6"/>
      <c r="N253" s="7"/>
      <c r="O253" s="7"/>
      <c r="P253" s="7"/>
      <c r="Q253" s="25"/>
      <c r="R253" s="25"/>
      <c r="S253" s="37"/>
      <c r="T253" s="52"/>
      <c r="U253" s="167"/>
      <c r="V253" s="106"/>
      <c r="W253" s="54"/>
      <c r="X253" s="172"/>
      <c r="Y253" s="69"/>
      <c r="Z253" s="69"/>
      <c r="AA253" s="69"/>
      <c r="AB253" s="66"/>
      <c r="AC253" s="62"/>
      <c r="AD253" s="63"/>
      <c r="AE253" s="99"/>
      <c r="AF253" s="96"/>
      <c r="AG253" s="1"/>
      <c r="AI253" s="137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22"/>
      <c r="L254" s="24"/>
      <c r="M254" s="6"/>
      <c r="N254" s="7"/>
      <c r="O254" s="7"/>
      <c r="P254" s="7"/>
      <c r="Q254" s="25"/>
      <c r="R254" s="25"/>
      <c r="S254" s="37"/>
      <c r="T254" s="52"/>
      <c r="U254" s="167"/>
      <c r="V254" s="106"/>
      <c r="W254" s="54"/>
      <c r="X254" s="172"/>
      <c r="Y254" s="69"/>
      <c r="Z254" s="69"/>
      <c r="AA254" s="69"/>
      <c r="AB254" s="66"/>
      <c r="AC254" s="62"/>
      <c r="AD254" s="63"/>
      <c r="AE254" s="99"/>
      <c r="AF254" s="96"/>
      <c r="AG254" s="1"/>
      <c r="AI254" s="137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22"/>
      <c r="L255" s="24"/>
      <c r="M255" s="6"/>
      <c r="N255" s="7"/>
      <c r="O255" s="7"/>
      <c r="P255" s="7"/>
      <c r="Q255" s="25"/>
      <c r="R255" s="25"/>
      <c r="S255" s="37"/>
      <c r="T255" s="52"/>
      <c r="U255" s="167"/>
      <c r="V255" s="106"/>
      <c r="W255" s="54"/>
      <c r="X255" s="172"/>
      <c r="Y255" s="69"/>
      <c r="Z255" s="69"/>
      <c r="AA255" s="69"/>
      <c r="AB255" s="66"/>
      <c r="AC255" s="62"/>
      <c r="AD255" s="63"/>
      <c r="AE255" s="99"/>
      <c r="AF255" s="96"/>
      <c r="AG255" s="1"/>
      <c r="AI255" s="137"/>
      <c r="AJ255" s="55"/>
      <c r="AK255" s="55"/>
      <c r="AL255" s="55"/>
    </row>
    <row r="256" spans="1:38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22"/>
      <c r="L256" s="24"/>
      <c r="M256" s="6"/>
      <c r="N256" s="7"/>
      <c r="O256" s="7"/>
      <c r="P256" s="7"/>
      <c r="Q256" s="25"/>
      <c r="R256" s="25"/>
      <c r="S256" s="37"/>
      <c r="T256" s="52"/>
      <c r="U256" s="167"/>
      <c r="V256" s="106"/>
      <c r="W256" s="54"/>
      <c r="X256" s="172"/>
      <c r="Y256" s="69"/>
      <c r="Z256" s="69"/>
      <c r="AA256" s="69"/>
      <c r="AB256" s="66"/>
      <c r="AC256" s="62"/>
      <c r="AD256" s="63"/>
      <c r="AE256" s="99"/>
      <c r="AF256" s="96"/>
      <c r="AG256" s="1"/>
      <c r="AI256" s="137"/>
      <c r="AJ256" s="55"/>
      <c r="AK256" s="55"/>
      <c r="AL256" s="55"/>
    </row>
    <row r="257" spans="1:38" x14ac:dyDescent="0.25">
      <c r="A257" s="39"/>
      <c r="B257" s="7"/>
      <c r="C257" s="24"/>
      <c r="D257" s="24"/>
      <c r="E257" s="15"/>
      <c r="F257" s="15"/>
      <c r="G257" s="7"/>
      <c r="H257" s="15"/>
      <c r="I257" s="15"/>
      <c r="J257" s="7"/>
      <c r="K257" s="122"/>
      <c r="L257" s="24"/>
      <c r="M257" s="6"/>
      <c r="N257" s="7"/>
      <c r="O257" s="7"/>
      <c r="P257" s="7"/>
      <c r="Q257" s="25"/>
      <c r="R257" s="25"/>
      <c r="S257" s="37"/>
      <c r="T257" s="52"/>
      <c r="U257" s="167"/>
      <c r="V257" s="106"/>
      <c r="W257" s="54"/>
      <c r="X257" s="172"/>
      <c r="Y257" s="69"/>
      <c r="Z257" s="69"/>
      <c r="AA257" s="69"/>
      <c r="AB257" s="66"/>
      <c r="AC257" s="62"/>
      <c r="AD257" s="63"/>
      <c r="AE257" s="99"/>
      <c r="AF257" s="96"/>
      <c r="AG257" s="1"/>
      <c r="AI257" s="137"/>
      <c r="AJ257" s="55"/>
      <c r="AK257" s="55"/>
      <c r="AL257" s="55"/>
    </row>
    <row r="258" spans="1:38" x14ac:dyDescent="0.25">
      <c r="A258" s="39"/>
      <c r="B258" s="7"/>
      <c r="C258" s="24"/>
      <c r="D258" s="24"/>
      <c r="E258" s="15"/>
      <c r="F258" s="15"/>
      <c r="G258" s="7"/>
      <c r="H258" s="15"/>
      <c r="I258" s="15"/>
      <c r="J258" s="7"/>
      <c r="K258" s="122"/>
      <c r="L258" s="24"/>
      <c r="M258" s="6"/>
      <c r="N258" s="7"/>
      <c r="O258" s="7"/>
      <c r="P258" s="7"/>
      <c r="Q258" s="25"/>
      <c r="R258" s="25"/>
      <c r="S258" s="37"/>
      <c r="T258" s="52"/>
      <c r="U258" s="167"/>
      <c r="V258" s="106"/>
      <c r="W258" s="54"/>
      <c r="X258" s="172"/>
      <c r="Y258" s="69"/>
      <c r="Z258" s="69"/>
      <c r="AA258" s="69"/>
      <c r="AB258" s="66"/>
      <c r="AC258" s="62"/>
      <c r="AD258" s="63"/>
      <c r="AE258" s="99"/>
      <c r="AF258" s="96"/>
      <c r="AG258" s="1"/>
      <c r="AI258" s="137"/>
      <c r="AJ258" s="55"/>
      <c r="AK258" s="55"/>
      <c r="AL258" s="55"/>
    </row>
    <row r="259" spans="1:38" x14ac:dyDescent="0.25">
      <c r="A259" s="39"/>
      <c r="B259" s="7"/>
      <c r="C259" s="24"/>
      <c r="D259" s="24"/>
      <c r="E259" s="15"/>
      <c r="F259" s="15"/>
      <c r="G259" s="7"/>
      <c r="H259" s="15"/>
      <c r="I259" s="15"/>
      <c r="J259" s="7"/>
      <c r="K259" s="122"/>
      <c r="L259" s="24"/>
      <c r="M259" s="6"/>
      <c r="N259" s="7"/>
      <c r="O259" s="7"/>
      <c r="P259" s="7"/>
      <c r="Q259" s="25"/>
      <c r="R259" s="25"/>
      <c r="S259" s="37"/>
      <c r="T259" s="52"/>
      <c r="U259" s="167"/>
      <c r="V259" s="106"/>
      <c r="W259" s="54"/>
      <c r="X259" s="172"/>
      <c r="Y259" s="69"/>
      <c r="Z259" s="69"/>
      <c r="AA259" s="69"/>
      <c r="AB259" s="66"/>
      <c r="AC259" s="62"/>
      <c r="AD259" s="63"/>
      <c r="AE259" s="99"/>
      <c r="AF259" s="96"/>
      <c r="AG259" s="1"/>
      <c r="AI259" s="137"/>
      <c r="AJ259" s="55"/>
      <c r="AK259" s="55"/>
      <c r="AL259" s="55"/>
    </row>
  </sheetData>
  <autoFilter ref="A12:AG259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32" priority="283" operator="equal">
      <formula>"Y"</formula>
    </cfRule>
  </conditionalFormatting>
  <conditionalFormatting sqref="X13:X1048576">
    <cfRule type="cellIs" dxfId="31" priority="266" operator="greaterThan">
      <formula>1</formula>
    </cfRule>
  </conditionalFormatting>
  <conditionalFormatting sqref="X12:X1048576">
    <cfRule type="cellIs" dxfId="30" priority="263" operator="equal">
      <formula>0</formula>
    </cfRule>
  </conditionalFormatting>
  <conditionalFormatting sqref="A16:S16 A13:Q15 S13:S15 A18:S18 A17:Q17 A20:S20 A19:O19 A21:O21 A26:O26 S17 S19 S21 S26 A22:S25 A27:S259">
    <cfRule type="expression" dxfId="29" priority="259">
      <formula>$O13&gt;0</formula>
    </cfRule>
  </conditionalFormatting>
  <conditionalFormatting sqref="A16:S16 A13:Q15 S13:S15 A18:S18 A17:Q17 A20:S20 A19:O19 A21:O21 A26:O26 S17 S19 S21 S26 A22:S25 A27:S259">
    <cfRule type="expression" dxfId="28" priority="258">
      <formula>$P13&gt;0</formula>
    </cfRule>
  </conditionalFormatting>
  <conditionalFormatting sqref="R13:R15">
    <cfRule type="expression" dxfId="27" priority="24">
      <formula>$O13&gt;0</formula>
    </cfRule>
  </conditionalFormatting>
  <conditionalFormatting sqref="R13:R15">
    <cfRule type="expression" dxfId="26" priority="23">
      <formula>$P13&gt;0</formula>
    </cfRule>
  </conditionalFormatting>
  <conditionalFormatting sqref="R17">
    <cfRule type="expression" dxfId="25" priority="21">
      <formula>$O17&gt;0</formula>
    </cfRule>
  </conditionalFormatting>
  <conditionalFormatting sqref="R17">
    <cfRule type="expression" dxfId="24" priority="20">
      <formula>$P17&gt;0</formula>
    </cfRule>
  </conditionalFormatting>
  <conditionalFormatting sqref="P19:Q19">
    <cfRule type="expression" dxfId="23" priority="18">
      <formula>$O19&gt;0</formula>
    </cfRule>
  </conditionalFormatting>
  <conditionalFormatting sqref="P19:Q19">
    <cfRule type="expression" dxfId="22" priority="17">
      <formula>$P19&gt;0</formula>
    </cfRule>
  </conditionalFormatting>
  <conditionalFormatting sqref="R19">
    <cfRule type="expression" dxfId="21" priority="15">
      <formula>$O19&gt;0</formula>
    </cfRule>
  </conditionalFormatting>
  <conditionalFormatting sqref="R19">
    <cfRule type="expression" dxfId="20" priority="14">
      <formula>$P19&gt;0</formula>
    </cfRule>
  </conditionalFormatting>
  <conditionalFormatting sqref="P21:Q21">
    <cfRule type="expression" dxfId="19" priority="12">
      <formula>$O21&gt;0</formula>
    </cfRule>
  </conditionalFormatting>
  <conditionalFormatting sqref="P21:Q21">
    <cfRule type="expression" dxfId="18" priority="11">
      <formula>$P21&gt;0</formula>
    </cfRule>
  </conditionalFormatting>
  <conditionalFormatting sqref="R21">
    <cfRule type="expression" dxfId="17" priority="9">
      <formula>$O21&gt;0</formula>
    </cfRule>
  </conditionalFormatting>
  <conditionalFormatting sqref="R21">
    <cfRule type="expression" dxfId="16" priority="8">
      <formula>$P21&gt;0</formula>
    </cfRule>
  </conditionalFormatting>
  <conditionalFormatting sqref="P26:Q26">
    <cfRule type="expression" dxfId="15" priority="6">
      <formula>$O26&gt;0</formula>
    </cfRule>
  </conditionalFormatting>
  <conditionalFormatting sqref="P26:Q26">
    <cfRule type="expression" dxfId="14" priority="5">
      <formula>$P26&gt;0</formula>
    </cfRule>
  </conditionalFormatting>
  <conditionalFormatting sqref="R26">
    <cfRule type="expression" dxfId="13" priority="3">
      <formula>$O26&gt;0</formula>
    </cfRule>
  </conditionalFormatting>
  <conditionalFormatting sqref="R26">
    <cfRule type="expression" dxfId="12" priority="2">
      <formula>$P26&gt;0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7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A16:S16 A13:Q15 S13:S15 A18:S18 A17:Q17 A20:S20 A19:O19 A21:O21 A26:O26 S17 S19 S21 S26 A22:S25 A27:S259</xm:sqref>
        </x14:conditionalFormatting>
        <x14:conditionalFormatting xmlns:xm="http://schemas.microsoft.com/office/excel/2006/main">
          <x14:cfRule type="expression" priority="22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R13:R15</xm:sqref>
        </x14:conditionalFormatting>
        <x14:conditionalFormatting xmlns:xm="http://schemas.microsoft.com/office/excel/2006/main">
          <x14:cfRule type="expression" priority="19" id="{3D815142-2D87-4637-ADC3-D5C496E48A5D}">
            <xm:f>IF($AG17="EC",$N17&gt;'[Train Runs and Enforcements 2016-09-09.xlsm]Variables'!#REF!,$N17&gt;'[Train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R17</xm:sqref>
        </x14:conditionalFormatting>
        <x14:conditionalFormatting xmlns:xm="http://schemas.microsoft.com/office/excel/2006/main">
          <x14:cfRule type="expression" priority="16" id="{3859FF28-6C65-46BA-91EC-59A602867176}">
            <xm:f>IF($AG19="EC",$N19&gt;Variables!$C$2,$N19&gt;Variables!$D$2)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P19:Q19</xm:sqref>
        </x14:conditionalFormatting>
        <x14:conditionalFormatting xmlns:xm="http://schemas.microsoft.com/office/excel/2006/main">
          <x14:cfRule type="expression" priority="13" id="{E62E0D89-F729-4689-A7B3-63694EFA57F6}">
            <xm:f>IF($AG19="EC",$N19&gt;'[Train Runs and Enforcements 2016-09-09.xlsm]Variables'!#REF!,$N19&gt;'[Train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R19</xm:sqref>
        </x14:conditionalFormatting>
        <x14:conditionalFormatting xmlns:xm="http://schemas.microsoft.com/office/excel/2006/main">
          <x14:cfRule type="expression" priority="10" id="{A30F6FC4-19B3-4E7B-BF66-9B693C2A18A9}">
            <xm:f>IF($AG21="EC",$N21&gt;Variables!$C$2,$N21&gt;Variables!$D$2)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P21:Q21</xm:sqref>
        </x14:conditionalFormatting>
        <x14:conditionalFormatting xmlns:xm="http://schemas.microsoft.com/office/excel/2006/main">
          <x14:cfRule type="expression" priority="7" id="{589D5534-EF78-4C31-B20A-4088227A9ECF}">
            <xm:f>IF($AG21="EC",$N21&gt;'[Train Runs and Enforcements 2016-09-09.xlsm]Variables'!#REF!,$N21&gt;'[Train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R21</xm:sqref>
        </x14:conditionalFormatting>
        <x14:conditionalFormatting xmlns:xm="http://schemas.microsoft.com/office/excel/2006/main">
          <x14:cfRule type="expression" priority="4" id="{9AF04042-778B-4020-84C9-DE7D756F2FB5}">
            <xm:f>IF($AG26="EC",$N26&gt;Variables!$C$2,$N26&gt;Variables!$D$2)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P26:Q26</xm:sqref>
        </x14:conditionalFormatting>
        <x14:conditionalFormatting xmlns:xm="http://schemas.microsoft.com/office/excel/2006/main">
          <x14:cfRule type="expression" priority="1" id="{A450BFB3-6598-4107-8553-E78F8909AC10}">
            <xm:f>IF($AG26="EC",$N26&gt;'[Train Runs and Enforcements 2016-09-09.xlsm]Variables'!#REF!,$N26&gt;'[Train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AK13:AK259</xm:sqref>
        </x14:dataValidation>
        <x14:dataValidation type="list" allowBlank="1" showInputMessage="1" showErrorMessage="1">
          <x14:formula1>
            <xm:f>'Redmine List Values'!$C$2:$C$13</xm:f>
          </x14:formula1>
          <xm:sqref>AL13:AL259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72"/>
  <sheetViews>
    <sheetView tabSelected="1" topLeftCell="A2" workbookViewId="0">
      <selection activeCell="P14" sqref="A14:P18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14" customWidth="1"/>
    <col min="16" max="16" width="30.7109375" customWidth="1"/>
    <col min="17" max="17" width="5" hidden="1" customWidth="1"/>
    <col min="18" max="18" width="5.5703125" style="97" customWidth="1"/>
    <col min="19" max="19" width="4.42578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</cols>
  <sheetData>
    <row r="1" spans="1:28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14"/>
      <c r="R1" s="97"/>
      <c r="S1" s="109"/>
      <c r="T1" s="94"/>
      <c r="V1" s="50"/>
    </row>
    <row r="2" spans="1:28" s="23" customFormat="1" x14ac:dyDescent="0.25">
      <c r="A2" s="8"/>
      <c r="F2" s="2"/>
      <c r="G2" s="2"/>
      <c r="H2" s="2"/>
      <c r="I2" s="2"/>
      <c r="K2" s="2"/>
      <c r="L2" s="151" t="s">
        <v>87</v>
      </c>
      <c r="M2" s="155"/>
      <c r="N2" s="123"/>
      <c r="O2" s="124">
        <f>COUNTIF($O$7:$O$401,"=Y")</f>
        <v>1</v>
      </c>
      <c r="P2" s="125"/>
      <c r="R2" s="97"/>
      <c r="S2" s="109"/>
      <c r="T2" s="94"/>
      <c r="V2" s="50"/>
    </row>
    <row r="3" spans="1:28" s="23" customFormat="1" ht="15.75" thickBot="1" x14ac:dyDescent="0.3">
      <c r="A3" s="8"/>
      <c r="F3" s="2"/>
      <c r="G3" s="2"/>
      <c r="H3" s="2"/>
      <c r="I3" s="2"/>
      <c r="K3" s="2"/>
      <c r="L3" s="152" t="s">
        <v>88</v>
      </c>
      <c r="M3" s="156"/>
      <c r="N3" s="126"/>
      <c r="O3" s="127">
        <f>COUNTA($O$7:$O$401)-O2</f>
        <v>29</v>
      </c>
      <c r="P3" s="125"/>
      <c r="R3" s="97"/>
      <c r="S3" s="109"/>
      <c r="T3" s="94"/>
      <c r="V3" s="50"/>
    </row>
    <row r="4" spans="1:28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14"/>
      <c r="R4" s="97"/>
      <c r="S4" s="109"/>
      <c r="T4" s="94"/>
      <c r="V4" s="50"/>
    </row>
    <row r="5" spans="1:28" s="11" customFormat="1" ht="15" customHeight="1" x14ac:dyDescent="0.25">
      <c r="A5" s="175" t="str">
        <f>"Eagle P3 Braking Events - "&amp;TEXT(Variables!$A$2,"YYYY-mm-dd")</f>
        <v>Eagle P3 Braking Events - 2016-09-10</v>
      </c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2"/>
      <c r="R5" s="107"/>
      <c r="S5" s="110"/>
      <c r="T5" s="112"/>
      <c r="V5" s="51"/>
    </row>
    <row r="6" spans="1:28" s="150" customFormat="1" ht="69.75" customHeight="1" x14ac:dyDescent="0.2">
      <c r="A6" s="138" t="s">
        <v>38</v>
      </c>
      <c r="B6" s="139" t="s">
        <v>37</v>
      </c>
      <c r="C6" s="139" t="s">
        <v>36</v>
      </c>
      <c r="D6" s="139" t="s">
        <v>35</v>
      </c>
      <c r="E6" s="139" t="s">
        <v>34</v>
      </c>
      <c r="F6" s="140" t="s">
        <v>33</v>
      </c>
      <c r="G6" s="140" t="s">
        <v>32</v>
      </c>
      <c r="H6" s="140" t="s">
        <v>31</v>
      </c>
      <c r="I6" s="140" t="s">
        <v>191</v>
      </c>
      <c r="J6" s="139" t="s">
        <v>30</v>
      </c>
      <c r="K6" s="140" t="s">
        <v>29</v>
      </c>
      <c r="L6" s="153" t="s">
        <v>28</v>
      </c>
      <c r="M6" s="140" t="s">
        <v>192</v>
      </c>
      <c r="N6" s="141" t="s">
        <v>47</v>
      </c>
      <c r="O6" s="142" t="s">
        <v>27</v>
      </c>
      <c r="P6" s="139" t="s">
        <v>24</v>
      </c>
      <c r="Q6" s="143"/>
      <c r="R6" s="144" t="s">
        <v>97</v>
      </c>
      <c r="S6" s="145" t="s">
        <v>61</v>
      </c>
      <c r="T6" s="146" t="s">
        <v>96</v>
      </c>
      <c r="U6" s="139" t="s">
        <v>91</v>
      </c>
      <c r="V6" s="147" t="s">
        <v>92</v>
      </c>
      <c r="W6" s="143" t="s">
        <v>104</v>
      </c>
      <c r="X6" s="143" t="s">
        <v>105</v>
      </c>
      <c r="Y6" s="148" t="s">
        <v>166</v>
      </c>
      <c r="Z6" s="149" t="s">
        <v>167</v>
      </c>
      <c r="AA6" s="149" t="s">
        <v>139</v>
      </c>
      <c r="AB6" s="149" t="s">
        <v>168</v>
      </c>
    </row>
    <row r="7" spans="1:28" s="1" customFormat="1" x14ac:dyDescent="0.25">
      <c r="A7" s="38">
        <v>42623.450902777775</v>
      </c>
      <c r="B7" s="33" t="s">
        <v>407</v>
      </c>
      <c r="C7" s="33" t="s">
        <v>408</v>
      </c>
      <c r="D7" s="33" t="s">
        <v>177</v>
      </c>
      <c r="E7" s="33" t="s">
        <v>174</v>
      </c>
      <c r="F7" s="49">
        <v>0</v>
      </c>
      <c r="G7" s="49">
        <v>170</v>
      </c>
      <c r="H7" s="49">
        <v>27275</v>
      </c>
      <c r="I7" s="49">
        <v>27147</v>
      </c>
      <c r="J7" s="33" t="s">
        <v>173</v>
      </c>
      <c r="K7" s="49">
        <v>27350</v>
      </c>
      <c r="L7" s="154" t="s">
        <v>53</v>
      </c>
      <c r="M7" s="157">
        <f t="shared" ref="M7:M36" si="0">CONVERT((I7-K7)/10000,"mi","ft")*IF(L7="Increasing Mileposts (1)",-1,1)</f>
        <v>-107.184</v>
      </c>
      <c r="N7" s="92" t="str">
        <f>VLOOKUP(C7,'Trips&amp;Operators'!$C$1:$E$99999,3,FALSE)</f>
        <v>MALAVE</v>
      </c>
      <c r="O7" s="121" t="s">
        <v>86</v>
      </c>
      <c r="P7" s="10" t="s">
        <v>234</v>
      </c>
      <c r="Q7" s="33"/>
      <c r="R7" s="108" t="str">
        <f>VLOOKUP(C7,'Train Runs'!$A$13:$AE$10022,31,0)</f>
        <v>aws s3 cp s3://rtdc.mdm.uploadarchive/RTDC4001/2016-09-10/ "%USERPROFILE%\AppData\Local\Temp\OnboardLogs"\RTDC4001\2016-09-10 --recursive &amp; "%USERPROFILE%\Documents\GitHub\mrs-test-scripts\Headless Mode &amp; Sideloading\WalkAndUnGZ.bat" "%USERPROFILE%\AppData\Local\Temp\OnboardLogs"\RTDC4001\2016-09-10 &amp; 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</v>
      </c>
      <c r="S7" s="111" t="str">
        <f>VLOOKUP(C7,'Train Runs'!$A$13:$AE$10022,22,0)</f>
        <v>https://search-rtdc-monitor-bjffxe2xuh6vdkpspy63sjmuny.us-east-1.es.amazonaws.com/_plugin/kibana/#/discover/Steve-Slow-Train-Analysis-(2080s-and-2083s)?_g=(refreshInterval:(display:Off,section:0,value:0),time:(from:'2016-09-10 09:06:49-0600',mode:absolute,to:'2016-09-10 11:56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7" s="113" t="str">
        <f t="shared" ref="T7:T36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/stypes="*4001*201609101*" /stext=" 16:.+((SYSTEM_STATE.+slice.+state.+changed )|(ment ac)|(system.+state.+changed )|(\|lc)|(penalty)|(\[timeout)|(PRM\|1\|D)|(kpr)|(kdp))" /e /r /s</v>
      </c>
      <c r="U7" s="9" t="str">
        <f t="shared" ref="U7:U36" si="2">MID(B7,13,4)</f>
        <v>4001</v>
      </c>
      <c r="V7" s="38">
        <f t="shared" ref="V7:V36" si="3">A7+6/24</f>
        <v>42623.700902777775</v>
      </c>
      <c r="W7" s="52" t="str">
        <f t="shared" ref="W7:W36" si="4">IF(VALUE(LEFT(IF(LEN(C7)=6,"0"&amp;C7,C7),2))&lt;=2,"EC",IF(OR(VALUE(LEFT(IF(LEN(C7)=6,"0"&amp;C7,C7),2))=8,VALUE(LEFT(IF(LEN(C7)=6,"0"&amp;C7,C7),2))=18),"NW","Other"))</f>
        <v>EC</v>
      </c>
      <c r="X7" s="52" t="str">
        <f t="shared" ref="X7:X36" si="5">IF(AND(E7="TRACK WARRANT AUTHORITY",G7&lt;10),"OMIT","KEEP")</f>
        <v>KEEP</v>
      </c>
      <c r="Y7" s="137" t="str">
        <f t="shared" ref="Y7:Y3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arrival","project_id":79,"tracker_id":40,"status_id":1,"priority_id":2,"assigned_to_id":23,"start_date":"2016-09-10","description":"","custom_fields":[{"id":1,"name":"Subdivision","value":"EC"},{"id":4,"name":"Milepost","value":"2.735"},{"id":17,"name":"Train ID","value":"146-10"},{"id":16,"name":"Locomotive ID","value":"4001"},{"id":130,"name":"Impact","value":""},{"id":150,"name":"Time of Event (Mountain Time)","value":"10:49:18"},{"id":151,"name":"Denver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55"/>
    </row>
    <row r="8" spans="1:28" s="1" customFormat="1" x14ac:dyDescent="0.25">
      <c r="A8" s="38">
        <v>42623.391145833331</v>
      </c>
      <c r="B8" s="33" t="s">
        <v>401</v>
      </c>
      <c r="C8" s="33" t="s">
        <v>403</v>
      </c>
      <c r="D8" s="33" t="s">
        <v>177</v>
      </c>
      <c r="E8" s="33" t="s">
        <v>174</v>
      </c>
      <c r="F8" s="49">
        <v>0</v>
      </c>
      <c r="G8" s="49">
        <v>148</v>
      </c>
      <c r="H8" s="49">
        <v>30895</v>
      </c>
      <c r="I8" s="49">
        <v>30935</v>
      </c>
      <c r="J8" s="33" t="s">
        <v>173</v>
      </c>
      <c r="K8" s="49">
        <v>30830</v>
      </c>
      <c r="L8" s="154" t="s">
        <v>52</v>
      </c>
      <c r="M8" s="157">
        <f t="shared" si="0"/>
        <v>-55.44</v>
      </c>
      <c r="N8" s="92" t="str">
        <f>VLOOKUP(C8,'Trips&amp;Operators'!$C$1:$E$99999,3,FALSE)</f>
        <v>MALAVE</v>
      </c>
      <c r="O8" s="121" t="s">
        <v>86</v>
      </c>
      <c r="P8" s="10" t="s">
        <v>234</v>
      </c>
      <c r="Q8" s="33"/>
      <c r="R8" s="108" t="str">
        <f>VLOOKUP(C8,'Train Runs'!$A$13:$AE$10022,31,0)</f>
        <v>aws s3 cp s3://rtdc.mdm.uploadarchive/RTDC4002/2016-09-10/ "%USERPROFILE%\AppData\Local\Temp\OnboardLogs"\RTDC4002\2016-09-10 --recursive &amp; "%USERPROFILE%\Documents\GitHub\mrs-test-scripts\Headless Mode &amp; Sideloading\WalkAndUnGZ.bat" "%USERPROFILE%\AppData\Local\Temp\OnboardLogs"\RTDC4002\2016-09-10 &amp; 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</v>
      </c>
      <c r="S8" s="111" t="str">
        <f>VLOOKUP(C8,'Train Runs'!$A$13:$AE$10022,22,0)</f>
        <v>https://search-rtdc-monitor-bjffxe2xuh6vdkpspy63sjmuny.us-east-1.es.amazonaws.com/_plugin/kibana/#/discover/Steve-Slow-Train-Analysis-(2080s-and-2083s)?_g=(refreshInterval:(display:Off,section:0,value:0),time:(from:'2016-09-10 08:13:19-0600',mode:absolute,to:'2016-09-10 10:53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8" s="113" t="str">
        <f t="shared" si="1"/>
        <v>"C:\Program Files (x86)\AstroGrep\AstroGrep.exe" /spath="%USERPROFILE%\AppData\Local\Temp\OnboardLogs" /stypes="*4002*201609101*" /stext=" 15:.+((SYSTEM_STATE.+slice.+state.+changed )|(ment ac)|(system.+state.+changed )|(\|lc)|(penalty)|(\[timeout)|(PRM\|1\|D)|(kpr)|(kdp))" /e /r /s</v>
      </c>
      <c r="U8" s="9" t="str">
        <f t="shared" si="2"/>
        <v>4002</v>
      </c>
      <c r="V8" s="38">
        <f t="shared" si="3"/>
        <v>42623.641145833331</v>
      </c>
      <c r="W8" s="52" t="str">
        <f t="shared" si="4"/>
        <v>EC</v>
      </c>
      <c r="X8" s="52" t="str">
        <f t="shared" si="5"/>
        <v>KEEP</v>
      </c>
      <c r="Y8" s="137" t="str">
        <f t="shared" si="6"/>
        <v>echo {"issue":{"subject":"Early arrival","project_id":79,"tracker_id":40,"status_id":1,"priority_id":2,"assigned_to_id":23,"start_date":"2016-09-10","description":"","custom_fields":[{"id":1,"name":"Subdivision","value":"EC"},{"id":4,"name":"Milepost","value":"3.083"},{"id":17,"name":"Train ID","value":"145-10"},{"id":16,"name":"Locomotive ID","value":"4002"},{"id":130,"name":"Impact","value":""},{"id":150,"name":"Time of Event (Mountain Time)","value":"09:23:15"},{"id":151,"name":"Denver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55"/>
    </row>
    <row r="9" spans="1:28" s="1" customFormat="1" x14ac:dyDescent="0.25">
      <c r="A9" s="38">
        <v>42623.818831018521</v>
      </c>
      <c r="B9" s="33" t="s">
        <v>414</v>
      </c>
      <c r="C9" s="33" t="s">
        <v>423</v>
      </c>
      <c r="D9" s="33" t="s">
        <v>49</v>
      </c>
      <c r="E9" s="33" t="s">
        <v>174</v>
      </c>
      <c r="F9" s="49">
        <v>440</v>
      </c>
      <c r="G9" s="49">
        <v>531</v>
      </c>
      <c r="H9" s="49">
        <v>48359</v>
      </c>
      <c r="I9" s="49">
        <v>46733</v>
      </c>
      <c r="J9" s="33" t="s">
        <v>173</v>
      </c>
      <c r="K9" s="49">
        <v>48048</v>
      </c>
      <c r="L9" s="154" t="s">
        <v>53</v>
      </c>
      <c r="M9" s="157">
        <f t="shared" si="0"/>
        <v>-694.32</v>
      </c>
      <c r="N9" s="92" t="str">
        <f>VLOOKUP(C9,'Trips&amp;Operators'!$C$1:$E$99999,3,FALSE)</f>
        <v>CHANDLER</v>
      </c>
      <c r="O9" s="121" t="s">
        <v>86</v>
      </c>
      <c r="P9" s="10" t="s">
        <v>234</v>
      </c>
      <c r="Q9" s="33"/>
      <c r="R9" s="108" t="str">
        <f>VLOOKUP(C9,'Train Runs'!$A$13:$AE$10022,31,0)</f>
        <v>aws s3 cp s3://rtdc.mdm.uploadarchive/RTDC4045/2016-09-10/ "%USERPROFILE%\AppData\Local\Temp\OnboardLogs"\RTDC4045\2016-09-10 --recursive &amp; "%USERPROFILE%\Documents\GitHub\mrs-test-scripts\Headless Mode &amp; Sideloading\WalkAndUnGZ.bat" "%USERPROFILE%\AppData\Local\Temp\OnboardLogs"\RTDC4045\2016-09-10 &amp; aws s3 cp s3://rtdc.mdm.uploadarchive/RTDC4045/2016-09-11/ "%USERPROFILE%\AppData\Local\Temp\OnboardLogs"\RTDC4045\2016-09-11 --recursive &amp; "%USERPROFILE%\Documents\GitHub\mrs-test-scripts\Headless Mode &amp; Sideloading\WalkAndUnGZ.bat" "%USERPROFILE%\AppData\Local\Temp\OnboardLogs"\RTDC4045\2016-09-11</v>
      </c>
      <c r="S9" s="111" t="str">
        <f>VLOOKUP(C9,'Train Runs'!$A$13:$AE$10022,22,0)</f>
        <v>https://search-rtdc-monitor-bjffxe2xuh6vdkpspy63sjmuny.us-east-1.es.amazonaws.com/_plugin/kibana/#/discover/Steve-Slow-Train-Analysis-(2080s-and-2083s)?_g=(refreshInterval:(display:Off,section:0,value:0),time:(from:'2016-09-10 18:06:53-0600',mode:absolute,to:'2016-09-10 20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9" s="113" t="str">
        <f t="shared" si="1"/>
        <v>"C:\Program Files (x86)\AstroGrep\AstroGrep.exe" /spath="%USERPROFILE%\AppData\Local\Temp\OnboardLogs" /stypes="*4045*201609110*" /stext=" 01:.+((SYSTEM_STATE.+slice.+state.+changed )|(ment ac)|(system.+state.+changed )|(\|lc)|(penalty)|(\[timeout)|(PRM\|1\|D)|(kpr)|(kdp))" /e /r /s</v>
      </c>
      <c r="U9" s="9" t="str">
        <f t="shared" si="2"/>
        <v>4045</v>
      </c>
      <c r="V9" s="38">
        <f t="shared" si="3"/>
        <v>42624.068831018521</v>
      </c>
      <c r="W9" s="52" t="str">
        <f t="shared" si="4"/>
        <v>EC</v>
      </c>
      <c r="X9" s="52" t="str">
        <f t="shared" si="5"/>
        <v>KEEP</v>
      </c>
      <c r="Y9" s="137" t="str">
        <f t="shared" si="6"/>
        <v>echo {"issue":{"subject":"Early arrival","project_id":79,"tracker_id":40,"status_id":1,"priority_id":2,"assigned_to_id":23,"start_date":"2016-09-10","description":"","custom_fields":[{"id":1,"name":"Subdivision","value":"EC"},{"id":4,"name":"Milepost","value":"4.8048"},{"id":17,"name":"Train ID","value":"218-10"},{"id":16,"name":"Locomotive ID","value":"4045"},{"id":130,"name":"Impact","value":""},{"id":150,"name":"Time of Event (Mountain Time)","value":"19:39:07"},{"id":151,"name":"Denver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55"/>
    </row>
    <row r="10" spans="1:28" s="1" customFormat="1" x14ac:dyDescent="0.25">
      <c r="A10" s="38">
        <v>42623.445729166669</v>
      </c>
      <c r="B10" s="33" t="s">
        <v>407</v>
      </c>
      <c r="C10" s="33" t="s">
        <v>408</v>
      </c>
      <c r="D10" s="33" t="s">
        <v>49</v>
      </c>
      <c r="E10" s="33" t="s">
        <v>174</v>
      </c>
      <c r="F10" s="49">
        <v>0</v>
      </c>
      <c r="G10" s="49">
        <v>24</v>
      </c>
      <c r="H10" s="49">
        <v>58944</v>
      </c>
      <c r="I10" s="49">
        <v>58924</v>
      </c>
      <c r="J10" s="33" t="s">
        <v>173</v>
      </c>
      <c r="K10" s="49">
        <v>58904</v>
      </c>
      <c r="L10" s="154" t="s">
        <v>53</v>
      </c>
      <c r="M10" s="157">
        <f t="shared" si="0"/>
        <v>10.56</v>
      </c>
      <c r="N10" s="92" t="str">
        <f>VLOOKUP(C10,'Trips&amp;Operators'!$C$1:$E$99999,3,FALSE)</f>
        <v>MALAVE</v>
      </c>
      <c r="O10" s="121" t="s">
        <v>86</v>
      </c>
      <c r="P10" s="10" t="s">
        <v>333</v>
      </c>
      <c r="Q10" s="33"/>
      <c r="R10" s="108" t="str">
        <f>VLOOKUP(C10,'Train Runs'!$A$13:$AE$10022,31,0)</f>
        <v>aws s3 cp s3://rtdc.mdm.uploadarchive/RTDC4001/2016-09-10/ "%USERPROFILE%\AppData\Local\Temp\OnboardLogs"\RTDC4001\2016-09-10 --recursive &amp; "%USERPROFILE%\Documents\GitHub\mrs-test-scripts\Headless Mode &amp; Sideloading\WalkAndUnGZ.bat" "%USERPROFILE%\AppData\Local\Temp\OnboardLogs"\RTDC4001\2016-09-10 &amp; 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</v>
      </c>
      <c r="S10" s="111" t="str">
        <f>VLOOKUP(C10,'Train Runs'!$A$13:$AE$10022,22,0)</f>
        <v>https://search-rtdc-monitor-bjffxe2xuh6vdkpspy63sjmuny.us-east-1.es.amazonaws.com/_plugin/kibana/#/discover/Steve-Slow-Train-Analysis-(2080s-and-2083s)?_g=(refreshInterval:(display:Off,section:0,value:0),time:(from:'2016-09-10 09:06:49-0600',mode:absolute,to:'2016-09-10 11:56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10" s="113" t="str">
        <f t="shared" si="1"/>
        <v>"C:\Program Files (x86)\AstroGrep\AstroGrep.exe" /spath="%USERPROFILE%\AppData\Local\Temp\OnboardLogs" /stypes="*4001*201609101*" /stext=" 16:.+((SYSTEM_STATE.+slice.+state.+changed )|(ment ac)|(system.+state.+changed )|(\|lc)|(penalty)|(\[timeout)|(PRM\|1\|D)|(kpr)|(kdp))" /e /r /s</v>
      </c>
      <c r="U10" s="9" t="str">
        <f t="shared" si="2"/>
        <v>4001</v>
      </c>
      <c r="V10" s="38">
        <f t="shared" si="3"/>
        <v>42623.695729166669</v>
      </c>
      <c r="W10" s="52" t="str">
        <f t="shared" si="4"/>
        <v>EC</v>
      </c>
      <c r="X10" s="52" t="str">
        <f t="shared" si="5"/>
        <v>KEEP</v>
      </c>
      <c r="Y10" s="137" t="str">
        <f t="shared" si="6"/>
        <v>echo {"issue":{"subject":"Form C","project_id":79,"tracker_id":40,"status_id":1,"priority_id":2,"assigned_to_id":23,"start_date":"2016-09-10","description":"","custom_fields":[{"id":1,"name":"Subdivision","value":"EC"},{"id":4,"name":"Milepost","value":"5.8904"},{"id":17,"name":"Train ID","value":"146-10"},{"id":16,"name":"Locomotive ID","value":"4001"},{"id":130,"name":"Impact","value":""},{"id":150,"name":"Time of Event (Mountain Time)","value":"10:41:51"},{"id":151,"name":"Denver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55"/>
    </row>
    <row r="11" spans="1:28" s="1" customFormat="1" x14ac:dyDescent="0.25">
      <c r="A11" s="38">
        <v>42623.333692129629</v>
      </c>
      <c r="B11" s="33" t="s">
        <v>401</v>
      </c>
      <c r="C11" s="33" t="s">
        <v>402</v>
      </c>
      <c r="D11" s="33" t="s">
        <v>106</v>
      </c>
      <c r="E11" s="33" t="s">
        <v>56</v>
      </c>
      <c r="F11" s="49">
        <v>700</v>
      </c>
      <c r="G11" s="49">
        <v>750</v>
      </c>
      <c r="H11" s="49">
        <v>174847</v>
      </c>
      <c r="I11" s="49">
        <v>177800</v>
      </c>
      <c r="J11" s="33" t="s">
        <v>57</v>
      </c>
      <c r="K11" s="49">
        <v>161962</v>
      </c>
      <c r="L11" s="154" t="s">
        <v>52</v>
      </c>
      <c r="M11" s="157">
        <f t="shared" si="0"/>
        <v>-8362.4639999999999</v>
      </c>
      <c r="N11" s="92" t="str">
        <f>VLOOKUP(C11,'Trips&amp;Operators'!$C$1:$E$99999,3,FALSE)</f>
        <v>MALAVE</v>
      </c>
      <c r="O11" s="121" t="s">
        <v>86</v>
      </c>
      <c r="P11" s="10"/>
      <c r="Q11" s="33"/>
      <c r="R11" s="108" t="str">
        <f>VLOOKUP(C11,'Train Runs'!$A$13:$AE$10022,31,0)</f>
        <v>aws s3 cp s3://rtdc.mdm.uploadarchive/RTDC4002/2016-09-10/ "%USERPROFILE%\AppData\Local\Temp\OnboardLogs"\RTDC4002\2016-09-10 --recursive &amp; "%USERPROFILE%\Documents\GitHub\mrs-test-scripts\Headless Mode &amp; Sideloading\WalkAndUnGZ.bat" "%USERPROFILE%\AppData\Local\Temp\OnboardLogs"\RTDC4002\2016-09-10 &amp; 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</v>
      </c>
      <c r="S11" s="111" t="str">
        <f>VLOOKUP(C11,'Train Runs'!$A$13:$AE$10022,22,0)</f>
        <v>https://search-rtdc-monitor-bjffxe2xuh6vdkpspy63sjmuny.us-east-1.es.amazonaws.com/_plugin/kibana/#/discover/Steve-Slow-Train-Analysis-(2080s-and-2083s)?_g=(refreshInterval:(display:Off,section:0,value:0),time:(from:'2016-09-10 06:27:34-0600',mode:absolute,to:'2016-09-10 09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11" s="113" t="str">
        <f t="shared" si="1"/>
        <v>"C:\Program Files (x86)\AstroGrep\AstroGrep.exe" /spath="%USERPROFILE%\AppData\Local\Temp\OnboardLogs" /stypes="*4002*201609101*" /stext=" 14:.+((SYSTEM_STATE.+slice.+state.+changed )|(ment ac)|(system.+state.+changed )|(\|lc)|(penalty)|(\[timeout)|(PRM\|1\|D)|(kpr)|(kdp))" /e /r /s</v>
      </c>
      <c r="U11" s="9" t="str">
        <f t="shared" si="2"/>
        <v>4002</v>
      </c>
      <c r="V11" s="38">
        <f t="shared" si="3"/>
        <v>42623.583692129629</v>
      </c>
      <c r="W11" s="52" t="str">
        <f t="shared" si="4"/>
        <v>EC</v>
      </c>
      <c r="X11" s="52" t="str">
        <f t="shared" si="5"/>
        <v>KEEP</v>
      </c>
      <c r="Y11" s="137" t="str">
        <f t="shared" si="6"/>
        <v>echo {"issue":{"subject":"","project_id":79,"tracker_id":40,"status_id":1,"priority_id":2,"assigned_to_id":23,"start_date":"2016-09-10","description":"","custom_fields":[{"id":1,"name":"Subdivision","value":"EC"},{"id":4,"name":"Milepost","value":"16.1962"},{"id":17,"name":"Train ID","value":"131-10"},{"id":16,"name":"Locomotive ID","value":"4002"},{"id":130,"name":"Impact","value":""},{"id":150,"name":"Time of Event (Mountain Time)","value":"08:00:31"},{"id":151,"name":"Denver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55"/>
    </row>
    <row r="12" spans="1:28" s="1" customFormat="1" x14ac:dyDescent="0.25">
      <c r="A12" s="38">
        <v>42623.31621527778</v>
      </c>
      <c r="B12" s="33" t="s">
        <v>281</v>
      </c>
      <c r="C12" s="33" t="s">
        <v>398</v>
      </c>
      <c r="D12" s="33" t="s">
        <v>106</v>
      </c>
      <c r="E12" s="33" t="s">
        <v>56</v>
      </c>
      <c r="F12" s="49">
        <v>700</v>
      </c>
      <c r="G12" s="49">
        <v>750</v>
      </c>
      <c r="H12" s="49">
        <v>176927</v>
      </c>
      <c r="I12" s="49">
        <v>173612</v>
      </c>
      <c r="J12" s="33" t="s">
        <v>57</v>
      </c>
      <c r="K12" s="49">
        <v>183829</v>
      </c>
      <c r="L12" s="154" t="s">
        <v>53</v>
      </c>
      <c r="M12" s="157">
        <f t="shared" si="0"/>
        <v>-5394.576</v>
      </c>
      <c r="N12" s="92" t="str">
        <f>VLOOKUP(C12,'Trips&amp;Operators'!$C$1:$E$99999,3,FALSE)</f>
        <v>KILLION</v>
      </c>
      <c r="O12" s="121" t="s">
        <v>86</v>
      </c>
      <c r="P12" s="10"/>
      <c r="Q12" s="33"/>
      <c r="R12" s="108" t="str">
        <f>VLOOKUP(C12,'Train Runs'!$A$13:$AE$10022,31,0)</f>
        <v>aws s3 cp s3://rtdc.mdm.uploadarchive/RTDC4039/2016-09-10/ "%USERPROFILE%\AppData\Local\Temp\OnboardLogs"\RTDC4039\2016-09-10 --recursive &amp; "%USERPROFILE%\Documents\GitHub\mrs-test-scripts\Headless Mode &amp; Sideloading\WalkAndUnGZ.bat" "%USERPROFILE%\AppData\Local\Temp\OnboardLogs"\RTDC4039\2016-09-10 &amp; 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</v>
      </c>
      <c r="S12" s="111" t="str">
        <f>VLOOKUP(C12,'Train Runs'!$A$13:$AE$10022,22,0)</f>
        <v>https://search-rtdc-monitor-bjffxe2xuh6vdkpspy63sjmuny.us-east-1.es.amazonaws.com/_plugin/kibana/#/discover/Steve-Slow-Train-Analysis-(2080s-and-2083s)?_g=(refreshInterval:(display:Off,section:0,value:0),time:(from:'2016-09-10 06:19:01-0600',mode:absolute,to:'2016-09-10 09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12" s="113" t="str">
        <f t="shared" si="1"/>
        <v>"C:\Program Files (x86)\AstroGrep\AstroGrep.exe" /spath="%USERPROFILE%\AppData\Local\Temp\OnboardLogs" /stypes="*4039*201609101*" /stext=" 13:.+((SYSTEM_STATE.+slice.+state.+changed )|(ment ac)|(system.+state.+changed )|(\|lc)|(penalty)|(\[timeout)|(PRM\|1\|D)|(kpr)|(kdp))" /e /r /s</v>
      </c>
      <c r="U12" s="9" t="str">
        <f t="shared" si="2"/>
        <v>4039</v>
      </c>
      <c r="V12" s="38">
        <f t="shared" si="3"/>
        <v>42623.56621527778</v>
      </c>
      <c r="W12" s="52" t="str">
        <f t="shared" si="4"/>
        <v>EC</v>
      </c>
      <c r="X12" s="52" t="str">
        <f t="shared" si="5"/>
        <v>KEEP</v>
      </c>
      <c r="Y12" s="137" t="str">
        <f t="shared" si="6"/>
        <v>echo {"issue":{"subject":"","project_id":79,"tracker_id":40,"status_id":1,"priority_id":2,"assigned_to_id":23,"start_date":"2016-09-10","description":"","custom_fields":[{"id":1,"name":"Subdivision","value":"EC"},{"id":4,"name":"Milepost","value":"18.3829"},{"id":17,"name":"Train ID","value":"124-10"},{"id":16,"name":"Locomotive ID","value":"4039"},{"id":130,"name":"Impact","value":""},{"id":150,"name":"Time of Event (Mountain Time)","value":"07:35:21"},{"id":151,"name":"Denver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55"/>
    </row>
    <row r="13" spans="1:28" s="1" customFormat="1" x14ac:dyDescent="0.25">
      <c r="A13" s="38">
        <v>42623.548171296294</v>
      </c>
      <c r="B13" s="33" t="s">
        <v>280</v>
      </c>
      <c r="C13" s="33" t="s">
        <v>410</v>
      </c>
      <c r="D13" s="33" t="s">
        <v>49</v>
      </c>
      <c r="E13" s="33" t="s">
        <v>54</v>
      </c>
      <c r="F13" s="49">
        <v>0</v>
      </c>
      <c r="G13" s="49">
        <v>373</v>
      </c>
      <c r="H13" s="49">
        <v>129121</v>
      </c>
      <c r="I13" s="49">
        <v>128300</v>
      </c>
      <c r="J13" s="33" t="s">
        <v>55</v>
      </c>
      <c r="K13" s="49">
        <v>127587</v>
      </c>
      <c r="L13" s="154" t="s">
        <v>53</v>
      </c>
      <c r="M13" s="157">
        <f t="shared" si="0"/>
        <v>376.464</v>
      </c>
      <c r="N13" s="92" t="str">
        <f>VLOOKUP(C13,'Trips&amp;Operators'!$C$1:$E$99999,3,FALSE)</f>
        <v>BRUDER</v>
      </c>
      <c r="O13" s="121" t="s">
        <v>86</v>
      </c>
      <c r="P13" s="10" t="s">
        <v>233</v>
      </c>
      <c r="Q13" s="33"/>
      <c r="R13" s="108" t="str">
        <f>VLOOKUP(C13,'Train Runs'!$A$13:$AE$10022,31,0)</f>
        <v>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 &amp; aws s3 cp s3://rtdc.mdm.uploadarchive/RTDC4037/2016-09-11/ "%USERPROFILE%\AppData\Local\Temp\OnboardLogs"\RTDC4037\2016-09-11 --recursive &amp; "%USERPROFILE%\Documents\GitHub\mrs-test-scripts\Headless Mode &amp; Sideloading\WalkAndUnGZ.bat" "%USERPROFILE%\AppData\Local\Temp\OnboardLogs"\RTDC4037\2016-09-11</v>
      </c>
      <c r="S13" s="111" t="str">
        <f>VLOOKUP(C13,'Train Runs'!$A$13:$AE$10022,22,0)</f>
        <v>https://search-rtdc-monitor-bjffxe2xuh6vdkpspy63sjmuny.us-east-1.es.amazonaws.com/_plugin/kibana/#/discover/Steve-Slow-Train-Analysis-(2080s-and-2083s)?_g=(refreshInterval:(display:Off,section:0,value:0),time:(from:'2016-09-10 11:48:21-0600',mode:absolute,to:'2016-09-10 14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13" s="113" t="str">
        <f t="shared" si="1"/>
        <v>"C:\Program Files (x86)\AstroGrep\AstroGrep.exe" /spath="%USERPROFILE%\AppData\Local\Temp\OnboardLogs" /stypes="*4037*201609101*" /stext=" 19:.+((SYSTEM_STATE.+slice.+state.+changed )|(ment ac)|(system.+state.+changed )|(\|lc)|(penalty)|(\[timeout)|(PRM\|1\|D)|(kpr)|(kdp))" /e /r /s</v>
      </c>
      <c r="U13" s="9" t="str">
        <f t="shared" si="2"/>
        <v>4037</v>
      </c>
      <c r="V13" s="38">
        <f t="shared" si="3"/>
        <v>42623.798171296294</v>
      </c>
      <c r="W13" s="52" t="str">
        <f t="shared" si="4"/>
        <v>EC</v>
      </c>
      <c r="X13" s="52" t="str">
        <f t="shared" si="5"/>
        <v>KEEP</v>
      </c>
      <c r="Y13" s="137" t="str">
        <f t="shared" si="6"/>
        <v>echo {"issue":{"subject":"40th 4S STOP, cleared shortly","project_id":79,"tracker_id":40,"status_id":1,"priority_id":2,"assigned_to_id":23,"start_date":"2016-09-10","description":"","custom_fields":[{"id":1,"name":"Subdivision","value":"EC"},{"id":4,"name":"Milepost","value":"12.7587"},{"id":17,"name":"Train ID","value":"168-10"},{"id":16,"name":"Locomotive ID","value":"4037"},{"id":130,"name":"Impact","value":""},{"id":150,"name":"Time of Event (Mountain Time)","value":"13:09:22"},{"id":151,"name":"Denver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55"/>
    </row>
    <row r="14" spans="1:28" s="1" customFormat="1" x14ac:dyDescent="0.25">
      <c r="A14" s="38">
        <v>42623.860335648147</v>
      </c>
      <c r="B14" s="33" t="s">
        <v>182</v>
      </c>
      <c r="C14" s="33" t="s">
        <v>425</v>
      </c>
      <c r="D14" s="33" t="s">
        <v>49</v>
      </c>
      <c r="E14" s="33" t="s">
        <v>54</v>
      </c>
      <c r="F14" s="49">
        <v>0</v>
      </c>
      <c r="G14" s="49">
        <v>397</v>
      </c>
      <c r="H14" s="49">
        <v>129163</v>
      </c>
      <c r="I14" s="49">
        <v>128281</v>
      </c>
      <c r="J14" s="33" t="s">
        <v>55</v>
      </c>
      <c r="K14" s="49">
        <v>127587</v>
      </c>
      <c r="L14" s="154" t="s">
        <v>53</v>
      </c>
      <c r="M14" s="157">
        <f t="shared" si="0"/>
        <v>366.43200000000002</v>
      </c>
      <c r="N14" s="92" t="str">
        <f>VLOOKUP(C14,'Trips&amp;Operators'!$C$1:$E$99999,3,FALSE)</f>
        <v>NEWELL</v>
      </c>
      <c r="O14" s="121" t="s">
        <v>86</v>
      </c>
      <c r="P14" s="10" t="s">
        <v>233</v>
      </c>
      <c r="Q14" s="33"/>
      <c r="R14" s="108" t="str">
        <f>VLOOKUP(C14,'Train Runs'!$A$13:$AE$10022,31,0)</f>
        <v>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 &amp; aws s3 cp s3://rtdc.mdm.uploadarchive/RTDC4012/2016-09-11/ "%USERPROFILE%\AppData\Local\Temp\OnboardLogs"\RTDC4012\2016-09-11 --recursive &amp; "%USERPROFILE%\Documents\GitHub\mrs-test-scripts\Headless Mode &amp; Sideloading\WalkAndUnGZ.bat" "%USERPROFILE%\AppData\Local\Temp\OnboardLogs"\RTDC4012\2016-09-11</v>
      </c>
      <c r="S14" s="111" t="str">
        <f>VLOOKUP(C14,'Train Runs'!$A$13:$AE$10022,22,0)</f>
        <v>https://search-rtdc-monitor-bjffxe2xuh6vdkpspy63sjmuny.us-east-1.es.amazonaws.com/_plugin/kibana/#/discover/Steve-Slow-Train-Analysis-(2080s-and-2083s)?_g=(refreshInterval:(display:Off,section:0,value:0),time:(from:'2016-09-10 19:10:42-0600',mode:absolute,to:'2016-09-10 22:08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14" s="113" t="str">
        <f t="shared" si="1"/>
        <v>"C:\Program Files (x86)\AstroGrep\AstroGrep.exe" /spath="%USERPROFILE%\AppData\Local\Temp\OnboardLogs" /stypes="*4012*201609110*" /stext=" 02:.+((SYSTEM_STATE.+slice.+state.+changed )|(ment ac)|(system.+state.+changed )|(\|lc)|(penalty)|(\[timeout)|(PRM\|1\|D)|(kpr)|(kdp))" /e /r /s</v>
      </c>
      <c r="U14" s="9" t="str">
        <f t="shared" si="2"/>
        <v>4012</v>
      </c>
      <c r="V14" s="38">
        <f t="shared" si="3"/>
        <v>42624.110335648147</v>
      </c>
      <c r="W14" s="52" t="str">
        <f t="shared" si="4"/>
        <v>EC</v>
      </c>
      <c r="X14" s="52" t="str">
        <f t="shared" si="5"/>
        <v>KEEP</v>
      </c>
      <c r="Y14" s="137" t="str">
        <f t="shared" si="6"/>
        <v>echo {"issue":{"subject":"40th 4S STOP, cleared shortly","project_id":79,"tracker_id":40,"status_id":1,"priority_id":2,"assigned_to_id":23,"start_date":"2016-09-10","description":"","custom_fields":[{"id":1,"name":"Subdivision","value":"EC"},{"id":4,"name":"Milepost","value":"12.7587"},{"id":17,"name":"Train ID","value":"224-10"},{"id":16,"name":"Locomotive ID","value":"4012"},{"id":130,"name":"Impact","value":""},{"id":150,"name":"Time of Event (Mountain Time)","value":"20:38:53"},{"id":151,"name":"Denver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55"/>
    </row>
    <row r="15" spans="1:28" s="1" customFormat="1" x14ac:dyDescent="0.25">
      <c r="A15" s="38">
        <v>42623.295752314814</v>
      </c>
      <c r="B15" s="33" t="s">
        <v>328</v>
      </c>
      <c r="C15" s="33" t="s">
        <v>397</v>
      </c>
      <c r="D15" s="33" t="s">
        <v>49</v>
      </c>
      <c r="E15" s="33" t="s">
        <v>54</v>
      </c>
      <c r="F15" s="49">
        <v>0</v>
      </c>
      <c r="G15" s="49">
        <v>671</v>
      </c>
      <c r="H15" s="49">
        <v>150499</v>
      </c>
      <c r="I15" s="49">
        <v>153466</v>
      </c>
      <c r="J15" s="33" t="s">
        <v>55</v>
      </c>
      <c r="K15" s="49">
        <v>155600</v>
      </c>
      <c r="L15" s="154" t="s">
        <v>52</v>
      </c>
      <c r="M15" s="157">
        <f t="shared" si="0"/>
        <v>1126.752</v>
      </c>
      <c r="N15" s="92" t="str">
        <f>VLOOKUP(C15,'Trips&amp;Operators'!$C$1:$E$99999,3,FALSE)</f>
        <v>KILLION</v>
      </c>
      <c r="O15" s="121" t="s">
        <v>86</v>
      </c>
      <c r="P15" s="10" t="s">
        <v>720</v>
      </c>
      <c r="Q15" s="33"/>
      <c r="R15" s="108" t="str">
        <f>VLOOKUP(C15,'Train Runs'!$A$13:$AE$10022,31,0)</f>
        <v>aws s3 cp s3://rtdc.mdm.uploadarchive/RTDC4040/2016-09-10/ "%USERPROFILE%\AppData\Local\Temp\OnboardLogs"\RTDC4040\2016-09-10 --recursive &amp; "%USERPROFILE%\Documents\GitHub\mrs-test-scripts\Headless Mode &amp; Sideloading\WalkAndUnGZ.bat" "%USERPROFILE%\AppData\Local\Temp\OnboardLogs"\RTDC4040\2016-09-10 &amp; 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</v>
      </c>
      <c r="S15" s="111" t="str">
        <f>VLOOKUP(C15,'Train Runs'!$A$13:$AE$10022,22,0)</f>
        <v>https://search-rtdc-monitor-bjffxe2xuh6vdkpspy63sjmuny.us-east-1.es.amazonaws.com/_plugin/kibana/#/discover/Steve-Slow-Train-Analysis-(2080s-and-2083s)?_g=(refreshInterval:(display:Off,section:0,value:0),time:(from:'2016-09-10 05:32:08-0600',mode:absolute,to:'2016-09-10 08:16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15" s="113" t="str">
        <f t="shared" si="1"/>
        <v>"C:\Program Files (x86)\AstroGrep\AstroGrep.exe" /spath="%USERPROFILE%\AppData\Local\Temp\OnboardLogs" /stypes="*4040*201609101*" /stext=" 13:.+((SYSTEM_STATE.+slice.+state.+changed )|(ment ac)|(system.+state.+changed )|(\|lc)|(penalty)|(\[timeout)|(PRM\|1\|D)|(kpr)|(kdp))" /e /r /s</v>
      </c>
      <c r="U15" s="9" t="str">
        <f t="shared" si="2"/>
        <v>4040</v>
      </c>
      <c r="V15" s="38">
        <f t="shared" si="3"/>
        <v>42623.545752314814</v>
      </c>
      <c r="W15" s="52" t="str">
        <f t="shared" si="4"/>
        <v>EC</v>
      </c>
      <c r="X15" s="52" t="str">
        <f t="shared" si="5"/>
        <v>KEEP</v>
      </c>
      <c r="Y15" s="137" t="str">
        <f t="shared" si="6"/>
        <v>echo {"issue":{"subject":"61st 2N STOP, cleared shortly","project_id":79,"tracker_id":40,"status_id":1,"priority_id":2,"assigned_to_id":23,"start_date":"2016-09-10","description":"","custom_fields":[{"id":1,"name":"Subdivision","value":"EC"},{"id":4,"name":"Milepost","value":"15.56"},{"id":17,"name":"Train ID","value":"123-10"},{"id":16,"name":"Locomotive ID","value":"4040"},{"id":130,"name":"Impact","value":""},{"id":150,"name":"Time of Event (Mountain Time)","value":"07:05:53"},{"id":151,"name":"Denver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55"/>
    </row>
    <row r="16" spans="1:28" s="1" customFormat="1" x14ac:dyDescent="0.25">
      <c r="A16" s="38">
        <v>42623.974409722221</v>
      </c>
      <c r="B16" s="33" t="s">
        <v>130</v>
      </c>
      <c r="C16" s="33" t="s">
        <v>427</v>
      </c>
      <c r="D16" s="33" t="s">
        <v>49</v>
      </c>
      <c r="E16" s="33" t="s">
        <v>383</v>
      </c>
      <c r="F16" s="49">
        <v>0</v>
      </c>
      <c r="G16" s="49">
        <v>604</v>
      </c>
      <c r="H16" s="49">
        <v>123628</v>
      </c>
      <c r="I16" s="49">
        <v>126369</v>
      </c>
      <c r="J16" s="33" t="s">
        <v>384</v>
      </c>
      <c r="K16" s="49">
        <v>126678</v>
      </c>
      <c r="L16" s="154" t="s">
        <v>52</v>
      </c>
      <c r="M16" s="157">
        <f t="shared" si="0"/>
        <v>163.15199999999999</v>
      </c>
      <c r="N16" s="92" t="str">
        <f>VLOOKUP(C16,'Trips&amp;Operators'!$C$1:$E$99999,3,FALSE)</f>
        <v>LEVIN</v>
      </c>
      <c r="O16" s="121" t="s">
        <v>178</v>
      </c>
      <c r="P16" s="10" t="s">
        <v>185</v>
      </c>
      <c r="Q16" s="33"/>
      <c r="R16" s="108" t="str">
        <f>VLOOKUP(C16,'Train Runs'!$A$13:$AE$10022,31,0)</f>
        <v>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 &amp; aws s3 cp s3://rtdc.mdm.uploadarchive/RTDC4038/2016-09-11/ "%USERPROFILE%\AppData\Local\Temp\OnboardLogs"\RTDC4038\2016-09-11 --recursive &amp; "%USERPROFILE%\Documents\GitHub\mrs-test-scripts\Headless Mode &amp; Sideloading\WalkAndUnGZ.bat" "%USERPROFILE%\AppData\Local\Temp\OnboardLogs"\RTDC4038\2016-09-11</v>
      </c>
      <c r="S16" s="111" t="str">
        <f>VLOOKUP(C16,'Train Runs'!$A$13:$AE$10022,22,0)</f>
        <v>https://search-rtdc-monitor-bjffxe2xuh6vdkpspy63sjmuny.us-east-1.es.amazonaws.com/_plugin/kibana/#/discover/Steve-Slow-Train-Analysis-(2080s-and-2083s)?_g=(refreshInterval:(display:Off,section:0,value:0),time:(from:'2016-09-10 21:54:18-0600',mode:absolute,to:'2016-09-11 00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T16" s="113" t="str">
        <f t="shared" si="1"/>
        <v>"C:\Program Files (x86)\AstroGrep\AstroGrep.exe" /spath="%USERPROFILE%\AppData\Local\Temp\OnboardLogs" /stypes="*4038*201609110*" /stext=" 05:.+((SYSTEM_STATE.+slice.+state.+changed )|(ment ac)|(system.+state.+changed )|(\|lc)|(penalty)|(\[timeout)|(PRM\|1\|D)|(kpr)|(kdp))" /e /r /s</v>
      </c>
      <c r="U16" s="9" t="str">
        <f t="shared" si="2"/>
        <v>4038</v>
      </c>
      <c r="V16" s="38">
        <f t="shared" si="3"/>
        <v>42624.224409722221</v>
      </c>
      <c r="W16" s="52" t="str">
        <f t="shared" si="4"/>
        <v>EC</v>
      </c>
      <c r="X16" s="52" t="str">
        <f t="shared" si="5"/>
        <v>KEEP</v>
      </c>
      <c r="Y16" s="137" t="str">
        <f t="shared" si="6"/>
        <v>echo {"issue":{"subject":"Wi-MAX outage","project_id":79,"tracker_id":40,"status_id":1,"priority_id":2,"assigned_to_id":23,"start_date":"2016-09-10","description":"","custom_fields":[{"id":1,"name":"Subdivision","value":"EC"},{"id":4,"name":"Milepost","value":"12.6678"},{"id":17,"name":"Train ID","value":"237-10"},{"id":16,"name":"Locomotive ID","value":"4038"},{"id":130,"name":"Impact","value":""},{"id":150,"name":"Time of Event (Mountain Time)","value":"23:23:09"},{"id":151,"name":"Denver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55"/>
    </row>
    <row r="17" spans="1:28" s="1" customFormat="1" x14ac:dyDescent="0.25">
      <c r="A17" s="38">
        <v>42623.271041666667</v>
      </c>
      <c r="B17" s="33" t="s">
        <v>281</v>
      </c>
      <c r="C17" s="33" t="s">
        <v>394</v>
      </c>
      <c r="D17" s="33" t="s">
        <v>49</v>
      </c>
      <c r="E17" s="33" t="s">
        <v>50</v>
      </c>
      <c r="F17" s="49">
        <v>0</v>
      </c>
      <c r="G17" s="49">
        <v>63</v>
      </c>
      <c r="H17" s="49">
        <v>211</v>
      </c>
      <c r="I17" s="49">
        <v>139</v>
      </c>
      <c r="J17" s="33" t="s">
        <v>51</v>
      </c>
      <c r="K17" s="49">
        <v>1</v>
      </c>
      <c r="L17" s="154" t="s">
        <v>53</v>
      </c>
      <c r="M17" s="157">
        <f t="shared" si="0"/>
        <v>72.864000000000004</v>
      </c>
      <c r="N17" s="92" t="str">
        <f>VLOOKUP(C17,'Trips&amp;Operators'!$C$1:$E$99999,3,FALSE)</f>
        <v>KILLION</v>
      </c>
      <c r="O17" s="121" t="s">
        <v>86</v>
      </c>
      <c r="P17" s="10"/>
      <c r="Q17" s="33"/>
      <c r="R17" s="108" t="str">
        <f>VLOOKUP(C17,'Train Runs'!$A$13:$AE$10022,31,0)</f>
        <v>aws s3 cp s3://rtdc.mdm.uploadarchive/RTDC4039/2016-09-10/ "%USERPROFILE%\AppData\Local\Temp\OnboardLogs"\RTDC4039\2016-09-10 --recursive &amp; "%USERPROFILE%\Documents\GitHub\mrs-test-scripts\Headless Mode &amp; Sideloading\WalkAndUnGZ.bat" "%USERPROFILE%\AppData\Local\Temp\OnboardLogs"\RTDC4039\2016-09-10 &amp; 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</v>
      </c>
      <c r="S17" s="111" t="str">
        <f>VLOOKUP(C17,'Train Runs'!$A$13:$AE$10022,22,0)</f>
        <v>https://search-rtdc-monitor-bjffxe2xuh6vdkpspy63sjmuny.us-east-1.es.amazonaws.com/_plugin/kibana/#/discover/Steve-Slow-Train-Analysis-(2080s-and-2083s)?_g=(refreshInterval:(display:Off,section:0,value:0),time:(from:'2016-09-10 04:56:01-0600',mode:absolute,to:'2016-09-10 07:30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17" s="113" t="str">
        <f t="shared" si="1"/>
        <v>"C:\Program Files (x86)\AstroGrep\AstroGrep.exe" /spath="%USERPROFILE%\AppData\Local\Temp\OnboardLogs" /stypes="*4039*201609101*" /stext=" 12:.+((SYSTEM_STATE.+slice.+state.+changed )|(ment ac)|(system.+state.+changed )|(\|lc)|(penalty)|(\[timeout)|(PRM\|1\|D)|(kpr)|(kdp))" /e /r /s</v>
      </c>
      <c r="U17" s="9" t="str">
        <f t="shared" si="2"/>
        <v>4039</v>
      </c>
      <c r="V17" s="38">
        <f t="shared" si="3"/>
        <v>42623.521041666667</v>
      </c>
      <c r="W17" s="52" t="str">
        <f t="shared" si="4"/>
        <v>EC</v>
      </c>
      <c r="X17" s="52" t="str">
        <f t="shared" si="5"/>
        <v>KEEP</v>
      </c>
      <c r="Y17" s="137" t="str">
        <f t="shared" si="6"/>
        <v>echo {"issue":{"subject":"","project_id":79,"tracker_id":40,"status_id":1,"priority_id":2,"assigned_to_id":23,"start_date":"2016-09-10","description":"","custom_fields":[{"id":1,"name":"Subdivision","value":"EC"},{"id":4,"name":"Milepost","value":"0.0001"},{"id":17,"name":"Train ID","value":"110-10"},{"id":16,"name":"Locomotive ID","value":"4039"},{"id":130,"name":"Impact","value":""},{"id":150,"name":"Time of Event (Mountain Time)","value":"06:30:18"},{"id":151,"name":"Denver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55"/>
    </row>
    <row r="18" spans="1:28" s="1" customFormat="1" x14ac:dyDescent="0.25">
      <c r="A18" s="38">
        <v>42623.277175925927</v>
      </c>
      <c r="B18" s="33" t="s">
        <v>280</v>
      </c>
      <c r="C18" s="33" t="s">
        <v>395</v>
      </c>
      <c r="D18" s="33" t="s">
        <v>49</v>
      </c>
      <c r="E18" s="33" t="s">
        <v>50</v>
      </c>
      <c r="F18" s="49">
        <v>0</v>
      </c>
      <c r="G18" s="49">
        <v>43</v>
      </c>
      <c r="H18" s="49">
        <v>134</v>
      </c>
      <c r="I18" s="49">
        <v>110</v>
      </c>
      <c r="J18" s="33" t="s">
        <v>51</v>
      </c>
      <c r="K18" s="49">
        <v>1</v>
      </c>
      <c r="L18" s="154" t="s">
        <v>53</v>
      </c>
      <c r="M18" s="157">
        <f t="shared" si="0"/>
        <v>57.552</v>
      </c>
      <c r="N18" s="92" t="str">
        <f>VLOOKUP(C18,'Trips&amp;Operators'!$C$1:$E$99999,3,FALSE)</f>
        <v>GEBRETEKLE</v>
      </c>
      <c r="O18" s="121" t="s">
        <v>86</v>
      </c>
      <c r="P18" s="10"/>
      <c r="Q18" s="33"/>
      <c r="R18" s="108" t="str">
        <f>VLOOKUP(C18,'Train Runs'!$A$13:$AE$10022,31,0)</f>
        <v>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 &amp; aws s3 cp s3://rtdc.mdm.uploadarchive/RTDC4037/2016-09-11/ "%USERPROFILE%\AppData\Local\Temp\OnboardLogs"\RTDC4037\2016-09-11 --recursive &amp; "%USERPROFILE%\Documents\GitHub\mrs-test-scripts\Headless Mode &amp; Sideloading\WalkAndUnGZ.bat" "%USERPROFILE%\AppData\Local\Temp\OnboardLogs"\RTDC4037\2016-09-11</v>
      </c>
      <c r="S18" s="111" t="str">
        <f>VLOOKUP(C18,'Train Runs'!$A$13:$AE$10022,22,0)</f>
        <v>https://search-rtdc-monitor-bjffxe2xuh6vdkpspy63sjmuny.us-east-1.es.amazonaws.com/_plugin/kibana/#/discover/Steve-Slow-Train-Analysis-(2080s-and-2083s)?_g=(refreshInterval:(display:Off,section:0,value:0),time:(from:'2016-09-10 04:51:20-0600',mode:absolute,to:'2016-09-10 07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18" s="113" t="str">
        <f t="shared" si="1"/>
        <v>"C:\Program Files (x86)\AstroGrep\AstroGrep.exe" /spath="%USERPROFILE%\AppData\Local\Temp\OnboardLogs" /stypes="*4037*201609101*" /stext=" 12:.+((SYSTEM_STATE.+slice.+state.+changed )|(ment ac)|(system.+state.+changed )|(\|lc)|(penalty)|(\[timeout)|(PRM\|1\|D)|(kpr)|(kdp))" /e /r /s</v>
      </c>
      <c r="U18" s="9" t="str">
        <f t="shared" si="2"/>
        <v>4037</v>
      </c>
      <c r="V18" s="38">
        <f t="shared" si="3"/>
        <v>42623.527175925927</v>
      </c>
      <c r="W18" s="52" t="str">
        <f t="shared" si="4"/>
        <v>EC</v>
      </c>
      <c r="X18" s="52" t="str">
        <f t="shared" si="5"/>
        <v>KEEP</v>
      </c>
      <c r="Y18" s="137" t="str">
        <f t="shared" si="6"/>
        <v>echo {"issue":{"subject":"","project_id":79,"tracker_id":40,"status_id":1,"priority_id":2,"assigned_to_id":23,"start_date":"2016-09-10","description":"","custom_fields":[{"id":1,"name":"Subdivision","value":"EC"},{"id":4,"name":"Milepost","value":"0.0001"},{"id":17,"name":"Train ID","value":"112-10"},{"id":16,"name":"Locomotive ID","value":"4037"},{"id":130,"name":"Impact","value":""},{"id":150,"name":"Time of Event (Mountain Time)","value":"06:39:08"},{"id":151,"name":"Denver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55"/>
    </row>
    <row r="19" spans="1:28" s="1" customFormat="1" x14ac:dyDescent="0.25">
      <c r="A19" s="38">
        <v>42623.325277777774</v>
      </c>
      <c r="B19" s="33" t="s">
        <v>399</v>
      </c>
      <c r="C19" s="33" t="s">
        <v>400</v>
      </c>
      <c r="D19" s="33" t="s">
        <v>49</v>
      </c>
      <c r="E19" s="33" t="s">
        <v>50</v>
      </c>
      <c r="F19" s="49">
        <v>0</v>
      </c>
      <c r="G19" s="49">
        <v>52</v>
      </c>
      <c r="H19" s="49">
        <v>185</v>
      </c>
      <c r="I19" s="49">
        <v>134</v>
      </c>
      <c r="J19" s="33" t="s">
        <v>51</v>
      </c>
      <c r="K19" s="49">
        <v>1</v>
      </c>
      <c r="L19" s="154" t="s">
        <v>53</v>
      </c>
      <c r="M19" s="157">
        <f t="shared" si="0"/>
        <v>70.224000000000004</v>
      </c>
      <c r="N19" s="92" t="str">
        <f>VLOOKUP(C19,'Trips&amp;Operators'!$C$1:$E$99999,3,FALSE)</f>
        <v>SANTIZO</v>
      </c>
      <c r="O19" s="121" t="s">
        <v>86</v>
      </c>
      <c r="P19" s="10"/>
      <c r="Q19" s="33"/>
      <c r="R19" s="108" t="str">
        <f>VLOOKUP(C19,'Train Runs'!$A$13:$AE$10022,31,0)</f>
        <v>aws s3 cp s3://rtdc.mdm.uploadarchive/RTDC4013/2016-09-10/ "%USERPROFILE%\AppData\Local\Temp\OnboardLogs"\RTDC4013\2016-09-10 --recursive &amp; "%USERPROFILE%\Documents\GitHub\mrs-test-scripts\Headless Mode &amp; Sideloading\WalkAndUnGZ.bat" "%USERPROFILE%\AppData\Local\Temp\OnboardLogs"\RTDC4013\2016-09-10 &amp; aws s3 cp s3://rtdc.mdm.uploadarchive/RTDC4013/2016-09-11/ "%USERPROFILE%\AppData\Local\Temp\OnboardLogs"\RTDC4013\2016-09-11 --recursive &amp; "%USERPROFILE%\Documents\GitHub\mrs-test-scripts\Headless Mode &amp; Sideloading\WalkAndUnGZ.bat" "%USERPROFILE%\AppData\Local\Temp\OnboardLogs"\RTDC4013\2016-09-11</v>
      </c>
      <c r="S19" s="111" t="str">
        <f>VLOOKUP(C19,'Train Runs'!$A$13:$AE$10022,22,0)</f>
        <v>https://search-rtdc-monitor-bjffxe2xuh6vdkpspy63sjmuny.us-east-1.es.amazonaws.com/_plugin/kibana/#/discover/Steve-Slow-Train-Analysis-(2080s-and-2083s)?_g=(refreshInterval:(display:Off,section:0,value:0),time:(from:'2016-09-10 05:52:58-0600',mode:absolute,to:'2016-09-10 08:48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19" s="113" t="str">
        <f t="shared" si="1"/>
        <v>"C:\Program Files (x86)\AstroGrep\AstroGrep.exe" /spath="%USERPROFILE%\AppData\Local\Temp\OnboardLogs" /stypes="*4013*201609101*" /stext=" 13:.+((SYSTEM_STATE.+slice.+state.+changed )|(ment ac)|(system.+state.+changed )|(\|lc)|(penalty)|(\[timeout)|(PRM\|1\|D)|(kpr)|(kdp))" /e /r /s</v>
      </c>
      <c r="U19" s="9" t="str">
        <f t="shared" si="2"/>
        <v>4013</v>
      </c>
      <c r="V19" s="38">
        <f t="shared" si="3"/>
        <v>42623.575277777774</v>
      </c>
      <c r="W19" s="52" t="str">
        <f t="shared" si="4"/>
        <v>EC</v>
      </c>
      <c r="X19" s="52" t="str">
        <f t="shared" si="5"/>
        <v>KEEP</v>
      </c>
      <c r="Y19" s="137" t="str">
        <f t="shared" si="6"/>
        <v>echo {"issue":{"subject":"","project_id":79,"tracker_id":40,"status_id":1,"priority_id":2,"assigned_to_id":23,"start_date":"2016-09-10","description":"","custom_fields":[{"id":1,"name":"Subdivision","value":"EC"},{"id":4,"name":"Milepost","value":"0.0001"},{"id":17,"name":"Train ID","value":"122-10"},{"id":16,"name":"Locomotive ID","value":"4013"},{"id":130,"name":"Impact","value":""},{"id":150,"name":"Time of Event (Mountain Time)","value":"07:48:24"},{"id":151,"name":"Denver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55"/>
    </row>
    <row r="20" spans="1:28" s="1" customFormat="1" x14ac:dyDescent="0.25">
      <c r="A20" s="38">
        <v>42623.545370370368</v>
      </c>
      <c r="B20" s="33" t="s">
        <v>399</v>
      </c>
      <c r="C20" s="33" t="s">
        <v>409</v>
      </c>
      <c r="D20" s="33" t="s">
        <v>49</v>
      </c>
      <c r="E20" s="33" t="s">
        <v>50</v>
      </c>
      <c r="F20" s="49">
        <v>0</v>
      </c>
      <c r="G20" s="49">
        <v>74</v>
      </c>
      <c r="H20" s="49">
        <v>260</v>
      </c>
      <c r="I20" s="49">
        <v>189</v>
      </c>
      <c r="J20" s="33" t="s">
        <v>51</v>
      </c>
      <c r="K20" s="49">
        <v>1</v>
      </c>
      <c r="L20" s="154" t="s">
        <v>53</v>
      </c>
      <c r="M20" s="157">
        <f t="shared" si="0"/>
        <v>99.263999999999996</v>
      </c>
      <c r="N20" s="92" t="str">
        <f>VLOOKUP(C20,'Trips&amp;Operators'!$C$1:$E$99999,3,FALSE)</f>
        <v>MOSES</v>
      </c>
      <c r="O20" s="121" t="s">
        <v>86</v>
      </c>
      <c r="P20" s="10"/>
      <c r="Q20" s="33"/>
      <c r="R20" s="108" t="str">
        <f>VLOOKUP(C20,'Train Runs'!$A$13:$AE$10022,31,0)</f>
        <v>aws s3 cp s3://rtdc.mdm.uploadarchive/RTDC4013/2016-09-10/ "%USERPROFILE%\AppData\Local\Temp\OnboardLogs"\RTDC4013\2016-09-10 --recursive &amp; "%USERPROFILE%\Documents\GitHub\mrs-test-scripts\Headless Mode &amp; Sideloading\WalkAndUnGZ.bat" "%USERPROFILE%\AppData\Local\Temp\OnboardLogs"\RTDC4013\2016-09-10 &amp; aws s3 cp s3://rtdc.mdm.uploadarchive/RTDC4013/2016-09-11/ "%USERPROFILE%\AppData\Local\Temp\OnboardLogs"\RTDC4013\2016-09-11 --recursive &amp; "%USERPROFILE%\Documents\GitHub\mrs-test-scripts\Headless Mode &amp; Sideloading\WalkAndUnGZ.bat" "%USERPROFILE%\AppData\Local\Temp\OnboardLogs"\RTDC4013\2016-09-11</v>
      </c>
      <c r="S20" s="111" t="str">
        <f>VLOOKUP(C20,'Train Runs'!$A$13:$AE$10022,22,0)</f>
        <v>https://search-rtdc-monitor-bjffxe2xuh6vdkpspy63sjmuny.us-east-1.es.amazonaws.com/_plugin/kibana/#/discover/Steve-Slow-Train-Analysis-(2080s-and-2083s)?_g=(refreshInterval:(display:Off,section:0,value:0),time:(from:'2016-09-10 11:22:43-0600',mode:absolute,to:'2016-09-10 14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20" s="113" t="str">
        <f t="shared" si="1"/>
        <v>"C:\Program Files (x86)\AstroGrep\AstroGrep.exe" /spath="%USERPROFILE%\AppData\Local\Temp\OnboardLogs" /stypes="*4013*201609101*" /stext=" 19:.+((SYSTEM_STATE.+slice.+state.+changed )|(ment ac)|(system.+state.+changed )|(\|lc)|(penalty)|(\[timeout)|(PRM\|1\|D)|(kpr)|(kdp))" /e /r /s</v>
      </c>
      <c r="U20" s="9" t="str">
        <f t="shared" si="2"/>
        <v>4013</v>
      </c>
      <c r="V20" s="38">
        <f t="shared" si="3"/>
        <v>42623.795370370368</v>
      </c>
      <c r="W20" s="52" t="str">
        <f t="shared" si="4"/>
        <v>EC</v>
      </c>
      <c r="X20" s="52" t="str">
        <f t="shared" si="5"/>
        <v>KEEP</v>
      </c>
      <c r="Y20" s="137" t="str">
        <f t="shared" si="6"/>
        <v>echo {"issue":{"subject":"","project_id":79,"tracker_id":40,"status_id":1,"priority_id":2,"assigned_to_id":23,"start_date":"2016-09-10","description":"","custom_fields":[{"id":1,"name":"Subdivision","value":"EC"},{"id":4,"name":"Milepost","value":"0.0001"},{"id":17,"name":"Train ID","value":"164-10"},{"id":16,"name":"Locomotive ID","value":"4013"},{"id":130,"name":"Impact","value":""},{"id":150,"name":"Time of Event (Mountain Time)","value":"13:05:20"},{"id":151,"name":"Denver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55"/>
    </row>
    <row r="21" spans="1:28" s="1" customFormat="1" x14ac:dyDescent="0.25">
      <c r="A21" s="38">
        <v>42623.578483796293</v>
      </c>
      <c r="B21" s="33" t="s">
        <v>187</v>
      </c>
      <c r="C21" s="33" t="s">
        <v>411</v>
      </c>
      <c r="D21" s="33" t="s">
        <v>49</v>
      </c>
      <c r="E21" s="33" t="s">
        <v>50</v>
      </c>
      <c r="F21" s="49">
        <v>0</v>
      </c>
      <c r="G21" s="49">
        <v>36</v>
      </c>
      <c r="H21" s="49">
        <v>156</v>
      </c>
      <c r="I21" s="49">
        <v>112</v>
      </c>
      <c r="J21" s="33" t="s">
        <v>51</v>
      </c>
      <c r="K21" s="49">
        <v>1</v>
      </c>
      <c r="L21" s="154" t="s">
        <v>53</v>
      </c>
      <c r="M21" s="157">
        <f t="shared" si="0"/>
        <v>58.607999999999997</v>
      </c>
      <c r="N21" s="92" t="str">
        <f>VLOOKUP(C21,'Trips&amp;Operators'!$C$1:$E$99999,3,FALSE)</f>
        <v>CLARK</v>
      </c>
      <c r="O21" s="121" t="s">
        <v>86</v>
      </c>
      <c r="P21" s="10"/>
      <c r="Q21" s="33"/>
      <c r="R21" s="108" t="str">
        <f>VLOOKUP(C21,'Train Runs'!$A$13:$AE$10022,31,0)</f>
        <v>aws s3 cp s3://rtdc.mdm.uploadarchive/RTDC4010/2016-09-10/ "%USERPROFILE%\AppData\Local\Temp\OnboardLogs"\RTDC4010\2016-09-10 --recursive &amp; "%USERPROFILE%\Documents\GitHub\mrs-test-scripts\Headless Mode &amp; Sideloading\WalkAndUnGZ.bat" "%USERPROFILE%\AppData\Local\Temp\OnboardLogs"\RTDC4010\2016-09-10 &amp; 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</v>
      </c>
      <c r="S21" s="111" t="str">
        <f>VLOOKUP(C21,'Train Runs'!$A$13:$AE$10022,22,0)</f>
        <v>https://search-rtdc-monitor-bjffxe2xuh6vdkpspy63sjmuny.us-east-1.es.amazonaws.com/_plugin/kibana/#/discover/Steve-Slow-Train-Analysis-(2080s-and-2083s)?_g=(refreshInterval:(display:Off,section:0,value:0),time:(from:'2016-09-10 12:06:11-0600',mode:absolute,to:'2016-09-10 14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21" s="113" t="str">
        <f t="shared" si="1"/>
        <v>"C:\Program Files (x86)\AstroGrep\AstroGrep.exe" /spath="%USERPROFILE%\AppData\Local\Temp\OnboardLogs" /stypes="*4010*201609101*" /stext=" 19:.+((SYSTEM_STATE.+slice.+state.+changed )|(ment ac)|(system.+state.+changed )|(\|lc)|(penalty)|(\[timeout)|(PRM\|1\|D)|(kpr)|(kdp))" /e /r /s</v>
      </c>
      <c r="U21" s="9" t="str">
        <f t="shared" si="2"/>
        <v>4010</v>
      </c>
      <c r="V21" s="38">
        <f t="shared" si="3"/>
        <v>42623.828483796293</v>
      </c>
      <c r="W21" s="52" t="str">
        <f t="shared" si="4"/>
        <v>EC</v>
      </c>
      <c r="X21" s="52" t="str">
        <f t="shared" si="5"/>
        <v>KEEP</v>
      </c>
      <c r="Y21" s="137" t="str">
        <f t="shared" si="6"/>
        <v>echo {"issue":{"subject":"","project_id":79,"tracker_id":40,"status_id":1,"priority_id":2,"assigned_to_id":23,"start_date":"2016-09-10","description":"","custom_fields":[{"id":1,"name":"Subdivision","value":"EC"},{"id":4,"name":"Milepost","value":"0.0001"},{"id":17,"name":"Train ID","value":"170-10"},{"id":16,"name":"Locomotive ID","value":"4010"},{"id":130,"name":"Impact","value":""},{"id":150,"name":"Time of Event (Mountain Time)","value":"13:53:01"},{"id":151,"name":"Denver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55"/>
    </row>
    <row r="22" spans="1:28" x14ac:dyDescent="0.25">
      <c r="A22" s="38">
        <v>42623.650243055556</v>
      </c>
      <c r="B22" s="33" t="s">
        <v>187</v>
      </c>
      <c r="C22" s="33" t="s">
        <v>412</v>
      </c>
      <c r="D22" s="33" t="s">
        <v>49</v>
      </c>
      <c r="E22" s="33" t="s">
        <v>50</v>
      </c>
      <c r="F22" s="49">
        <v>0</v>
      </c>
      <c r="G22" s="49">
        <v>65</v>
      </c>
      <c r="H22" s="49">
        <v>252</v>
      </c>
      <c r="I22" s="49">
        <v>198</v>
      </c>
      <c r="J22" s="33" t="s">
        <v>51</v>
      </c>
      <c r="K22" s="49">
        <v>1</v>
      </c>
      <c r="L22" s="154" t="s">
        <v>53</v>
      </c>
      <c r="M22" s="157">
        <f t="shared" si="0"/>
        <v>104.01600000000001</v>
      </c>
      <c r="N22" s="92" t="str">
        <f>VLOOKUP(C22,'Trips&amp;Operators'!$C$1:$E$99999,3,FALSE)</f>
        <v>CLARK</v>
      </c>
      <c r="O22" s="121" t="s">
        <v>86</v>
      </c>
      <c r="P22" s="10"/>
      <c r="Q22" s="33"/>
      <c r="R22" s="108" t="str">
        <f>VLOOKUP(C22,'Train Runs'!$A$13:$AE$10022,31,0)</f>
        <v>aws s3 cp s3://rtdc.mdm.uploadarchive/RTDC4010/2016-09-10/ "%USERPROFILE%\AppData\Local\Temp\OnboardLogs"\RTDC4010\2016-09-10 --recursive &amp; "%USERPROFILE%\Documents\GitHub\mrs-test-scripts\Headless Mode &amp; Sideloading\WalkAndUnGZ.bat" "%USERPROFILE%\AppData\Local\Temp\OnboardLogs"\RTDC4010\2016-09-10 &amp; 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</v>
      </c>
      <c r="S22" s="111" t="str">
        <f>VLOOKUP(C22,'Train Runs'!$A$13:$AE$10022,22,0)</f>
        <v>https://search-rtdc-monitor-bjffxe2xuh6vdkpspy63sjmuny.us-east-1.es.amazonaws.com/_plugin/kibana/#/discover/Steve-Slow-Train-Analysis-(2080s-and-2083s)?_g=(refreshInterval:(display:Off,section:0,value:0),time:(from:'2016-09-10 13:47:22-0600',mode:absolute,to:'2016-09-10 16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22" s="113" t="str">
        <f t="shared" si="1"/>
        <v>"C:\Program Files (x86)\AstroGrep\AstroGrep.exe" /spath="%USERPROFILE%\AppData\Local\Temp\OnboardLogs" /stypes="*4010*201609102*" /stext=" 21:.+((SYSTEM_STATE.+slice.+state.+changed )|(ment ac)|(system.+state.+changed )|(\|lc)|(penalty)|(\[timeout)|(PRM\|1\|D)|(kpr)|(kdp))" /e /r /s</v>
      </c>
      <c r="U22" s="9" t="str">
        <f t="shared" si="2"/>
        <v>4010</v>
      </c>
      <c r="V22" s="38">
        <f t="shared" si="3"/>
        <v>42623.900243055556</v>
      </c>
      <c r="W22" s="52" t="str">
        <f t="shared" si="4"/>
        <v>EC</v>
      </c>
      <c r="X22" s="52" t="str">
        <f t="shared" si="5"/>
        <v>KEEP</v>
      </c>
      <c r="Y22" s="137" t="str">
        <f t="shared" si="6"/>
        <v>echo {"issue":{"subject":"","project_id":79,"tracker_id":40,"status_id":1,"priority_id":2,"assigned_to_id":23,"start_date":"2016-09-10","description":"","custom_fields":[{"id":1,"name":"Subdivision","value":"EC"},{"id":4,"name":"Milepost","value":"0.0001"},{"id":17,"name":"Train ID","value":"184-10"},{"id":16,"name":"Locomotive ID","value":"4010"},{"id":130,"name":"Impact","value":""},{"id":150,"name":"Time of Event (Mountain Time)","value":"15:36:21"},{"id":151,"name":"Denver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55"/>
    </row>
    <row r="23" spans="1:28" x14ac:dyDescent="0.25">
      <c r="A23" s="38">
        <v>42623.680706018517</v>
      </c>
      <c r="B23" s="33" t="s">
        <v>414</v>
      </c>
      <c r="C23" s="33" t="s">
        <v>415</v>
      </c>
      <c r="D23" s="33" t="s">
        <v>49</v>
      </c>
      <c r="E23" s="33" t="s">
        <v>50</v>
      </c>
      <c r="F23" s="49">
        <v>0</v>
      </c>
      <c r="G23" s="49">
        <v>87</v>
      </c>
      <c r="H23" s="49">
        <v>258</v>
      </c>
      <c r="I23" s="49">
        <v>176</v>
      </c>
      <c r="J23" s="33" t="s">
        <v>51</v>
      </c>
      <c r="K23" s="49">
        <v>1</v>
      </c>
      <c r="L23" s="154" t="s">
        <v>53</v>
      </c>
      <c r="M23" s="157">
        <f t="shared" si="0"/>
        <v>92.4</v>
      </c>
      <c r="N23" s="92" t="str">
        <f>VLOOKUP(C23,'Trips&amp;Operators'!$C$1:$E$99999,3,FALSE)</f>
        <v>BARTLETT</v>
      </c>
      <c r="O23" s="121" t="s">
        <v>86</v>
      </c>
      <c r="P23" s="10"/>
      <c r="Q23" s="33"/>
      <c r="R23" s="108" t="str">
        <f>VLOOKUP(C23,'Train Runs'!$A$13:$AE$10022,31,0)</f>
        <v>aws s3 cp s3://rtdc.mdm.uploadarchive/RTDC4045/2016-09-10/ "%USERPROFILE%\AppData\Local\Temp\OnboardLogs"\RTDC4045\2016-09-10 --recursive &amp; "%USERPROFILE%\Documents\GitHub\mrs-test-scripts\Headless Mode &amp; Sideloading\WalkAndUnGZ.bat" "%USERPROFILE%\AppData\Local\Temp\OnboardLogs"\RTDC4045\2016-09-10 &amp; aws s3 cp s3://rtdc.mdm.uploadarchive/RTDC4045/2016-09-11/ "%USERPROFILE%\AppData\Local\Temp\OnboardLogs"\RTDC4045\2016-09-11 --recursive &amp; "%USERPROFILE%\Documents\GitHub\mrs-test-scripts\Headless Mode &amp; Sideloading\WalkAndUnGZ.bat" "%USERPROFILE%\AppData\Local\Temp\OnboardLogs"\RTDC4045\2016-09-11</v>
      </c>
      <c r="S23" s="111" t="str">
        <f>VLOOKUP(C23,'Train Runs'!$A$13:$AE$10022,22,0)</f>
        <v>https://search-rtdc-monitor-bjffxe2xuh6vdkpspy63sjmuny.us-east-1.es.amazonaws.com/_plugin/kibana/#/discover/Steve-Slow-Train-Analysis-(2080s-and-2083s)?_g=(refreshInterval:(display:Off,section:0,value:0),time:(from:'2016-09-10 14:26:30-0600',mode:absolute,to:'2016-09-10 17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23" s="113" t="str">
        <f t="shared" si="1"/>
        <v>"C:\Program Files (x86)\AstroGrep\AstroGrep.exe" /spath="%USERPROFILE%\AppData\Local\Temp\OnboardLogs" /stypes="*4045*201609102*" /stext=" 22:.+((SYSTEM_STATE.+slice.+state.+changed )|(ment ac)|(system.+state.+changed )|(\|lc)|(penalty)|(\[timeout)|(PRM\|1\|D)|(kpr)|(kdp))" /e /r /s</v>
      </c>
      <c r="U23" s="9" t="str">
        <f t="shared" si="2"/>
        <v>4045</v>
      </c>
      <c r="V23" s="38">
        <f t="shared" si="3"/>
        <v>42623.930706018517</v>
      </c>
      <c r="W23" s="52" t="str">
        <f t="shared" si="4"/>
        <v>EC</v>
      </c>
      <c r="X23" s="52" t="str">
        <f t="shared" si="5"/>
        <v>KEEP</v>
      </c>
      <c r="Y23" s="137" t="str">
        <f t="shared" si="6"/>
        <v>echo {"issue":{"subject":"","project_id":79,"tracker_id":40,"status_id":1,"priority_id":2,"assigned_to_id":23,"start_date":"2016-09-10","description":"","custom_fields":[{"id":1,"name":"Subdivision","value":"EC"},{"id":4,"name":"Milepost","value":"0.0001"},{"id":17,"name":"Train ID","value":"190-10"},{"id":16,"name":"Locomotive ID","value":"4045"},{"id":130,"name":"Impact","value":""},{"id":150,"name":"Time of Event (Mountain Time)","value":"16:20:13"},{"id":151,"name":"Denver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55"/>
    </row>
    <row r="24" spans="1:28" x14ac:dyDescent="0.25">
      <c r="A24" s="38">
        <v>42623.754247685189</v>
      </c>
      <c r="B24" s="33" t="s">
        <v>414</v>
      </c>
      <c r="C24" s="33" t="s">
        <v>420</v>
      </c>
      <c r="D24" s="33" t="s">
        <v>49</v>
      </c>
      <c r="E24" s="33" t="s">
        <v>50</v>
      </c>
      <c r="F24" s="49">
        <v>0</v>
      </c>
      <c r="G24" s="49">
        <v>95</v>
      </c>
      <c r="H24" s="49">
        <v>353</v>
      </c>
      <c r="I24" s="49">
        <v>260</v>
      </c>
      <c r="J24" s="33" t="s">
        <v>51</v>
      </c>
      <c r="K24" s="49">
        <v>1</v>
      </c>
      <c r="L24" s="154" t="s">
        <v>53</v>
      </c>
      <c r="M24" s="157">
        <f t="shared" si="0"/>
        <v>136.75200000000001</v>
      </c>
      <c r="N24" s="92" t="str">
        <f>VLOOKUP(C24,'Trips&amp;Operators'!$C$1:$E$99999,3,FALSE)</f>
        <v>BARTLETT</v>
      </c>
      <c r="O24" s="121" t="s">
        <v>86</v>
      </c>
      <c r="P24" s="10"/>
      <c r="Q24" s="33"/>
      <c r="R24" s="108" t="str">
        <f>VLOOKUP(C24,'Train Runs'!$A$13:$AE$10022,31,0)</f>
        <v>aws s3 cp s3://rtdc.mdm.uploadarchive/RTDC4045/2016-09-10/ "%USERPROFILE%\AppData\Local\Temp\OnboardLogs"\RTDC4045\2016-09-10 --recursive &amp; "%USERPROFILE%\Documents\GitHub\mrs-test-scripts\Headless Mode &amp; Sideloading\WalkAndUnGZ.bat" "%USERPROFILE%\AppData\Local\Temp\OnboardLogs"\RTDC4045\2016-09-10 &amp; aws s3 cp s3://rtdc.mdm.uploadarchive/RTDC4045/2016-09-11/ "%USERPROFILE%\AppData\Local\Temp\OnboardLogs"\RTDC4045\2016-09-11 --recursive &amp; "%USERPROFILE%\Documents\GitHub\mrs-test-scripts\Headless Mode &amp; Sideloading\WalkAndUnGZ.bat" "%USERPROFILE%\AppData\Local\Temp\OnboardLogs"\RTDC4045\2016-09-11</v>
      </c>
      <c r="S24" s="111" t="str">
        <f>VLOOKUP(C24,'Train Runs'!$A$13:$AE$10022,22,0)</f>
        <v>https://search-rtdc-monitor-bjffxe2xuh6vdkpspy63sjmuny.us-east-1.es.amazonaws.com/_plugin/kibana/#/discover/Steve-Slow-Train-Analysis-(2080s-and-2083s)?_g=(refreshInterval:(display:Off,section:0,value:0),time:(from:'2016-09-10 16:12:06-0600',mode:absolute,to:'2016-09-10 19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24" s="113" t="str">
        <f t="shared" si="1"/>
        <v>"C:\Program Files (x86)\AstroGrep\AstroGrep.exe" /spath="%USERPROFILE%\AppData\Local\Temp\OnboardLogs" /stypes="*4045*201609110*" /stext=" 00:.+((SYSTEM_STATE.+slice.+state.+changed )|(ment ac)|(system.+state.+changed )|(\|lc)|(penalty)|(\[timeout)|(PRM\|1\|D)|(kpr)|(kdp))" /e /r /s</v>
      </c>
      <c r="U24" s="9" t="str">
        <f t="shared" si="2"/>
        <v>4045</v>
      </c>
      <c r="V24" s="38">
        <f t="shared" si="3"/>
        <v>42624.004247685189</v>
      </c>
      <c r="W24" s="52" t="str">
        <f t="shared" si="4"/>
        <v>EC</v>
      </c>
      <c r="X24" s="52" t="str">
        <f t="shared" si="5"/>
        <v>KEEP</v>
      </c>
      <c r="Y24" s="137" t="str">
        <f t="shared" si="6"/>
        <v>echo {"issue":{"subject":"","project_id":79,"tracker_id":40,"status_id":1,"priority_id":2,"assigned_to_id":23,"start_date":"2016-09-10","description":"","custom_fields":[{"id":1,"name":"Subdivision","value":"EC"},{"id":4,"name":"Milepost","value":"0.0001"},{"id":17,"name":"Train ID","value":"204-10"},{"id":16,"name":"Locomotive ID","value":"4045"},{"id":130,"name":"Impact","value":""},{"id":150,"name":"Time of Event (Mountain Time)","value":"18:06:07"},{"id":151,"name":"Denver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55"/>
    </row>
    <row r="25" spans="1:28" ht="15" customHeight="1" x14ac:dyDescent="0.25">
      <c r="A25" s="38">
        <v>42623.795960648145</v>
      </c>
      <c r="B25" s="33" t="s">
        <v>187</v>
      </c>
      <c r="C25" s="33" t="s">
        <v>422</v>
      </c>
      <c r="D25" s="33" t="s">
        <v>49</v>
      </c>
      <c r="E25" s="33" t="s">
        <v>50</v>
      </c>
      <c r="F25" s="49">
        <v>0</v>
      </c>
      <c r="G25" s="49">
        <v>54</v>
      </c>
      <c r="H25" s="49">
        <v>198</v>
      </c>
      <c r="I25" s="49">
        <v>167</v>
      </c>
      <c r="J25" s="33" t="s">
        <v>51</v>
      </c>
      <c r="K25" s="49">
        <v>1</v>
      </c>
      <c r="L25" s="154" t="s">
        <v>53</v>
      </c>
      <c r="M25" s="157">
        <f t="shared" si="0"/>
        <v>87.647999999999996</v>
      </c>
      <c r="N25" s="92" t="str">
        <f>VLOOKUP(C25,'Trips&amp;Operators'!$C$1:$E$99999,3,FALSE)</f>
        <v>CLARK</v>
      </c>
      <c r="O25" s="121" t="s">
        <v>86</v>
      </c>
      <c r="P25" s="10"/>
      <c r="Q25" s="33"/>
      <c r="R25" s="108" t="str">
        <f>VLOOKUP(C25,'Train Runs'!$A$13:$AE$10022,31,0)</f>
        <v>aws s3 cp s3://rtdc.mdm.uploadarchive/RTDC4010/2016-09-10/ "%USERPROFILE%\AppData\Local\Temp\OnboardLogs"\RTDC4010\2016-09-10 --recursive &amp; "%USERPROFILE%\Documents\GitHub\mrs-test-scripts\Headless Mode &amp; Sideloading\WalkAndUnGZ.bat" "%USERPROFILE%\AppData\Local\Temp\OnboardLogs"\RTDC4010\2016-09-10 &amp; 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</v>
      </c>
      <c r="S25" s="111" t="str">
        <f>VLOOKUP(C25,'Train Runs'!$A$13:$AE$10022,22,0)</f>
        <v>https://search-rtdc-monitor-bjffxe2xuh6vdkpspy63sjmuny.us-east-1.es.amazonaws.com/_plugin/kibana/#/discover/Steve-Slow-Train-Analysis-(2080s-and-2083s)?_g=(refreshInterval:(display:Off,section:0,value:0),time:(from:'2016-09-10 17:19:52-0600',mode:absolute,to:'2016-09-10 20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25" s="113" t="str">
        <f t="shared" si="1"/>
        <v>"C:\Program Files (x86)\AstroGrep\AstroGrep.exe" /spath="%USERPROFILE%\AppData\Local\Temp\OnboardLogs" /stypes="*4010*201609110*" /stext=" 01:.+((SYSTEM_STATE.+slice.+state.+changed )|(ment ac)|(system.+state.+changed )|(\|lc)|(penalty)|(\[timeout)|(PRM\|1\|D)|(kpr)|(kdp))" /e /r /s</v>
      </c>
      <c r="U25" s="9" t="str">
        <f t="shared" si="2"/>
        <v>4010</v>
      </c>
      <c r="V25" s="38">
        <f t="shared" si="3"/>
        <v>42624.045960648145</v>
      </c>
      <c r="W25" s="52" t="str">
        <f t="shared" si="4"/>
        <v>EC</v>
      </c>
      <c r="X25" s="52" t="str">
        <f t="shared" si="5"/>
        <v>KEEP</v>
      </c>
      <c r="Y25" s="137" t="str">
        <f t="shared" si="6"/>
        <v>echo {"issue":{"subject":"","project_id":79,"tracker_id":40,"status_id":1,"priority_id":2,"assigned_to_id":23,"start_date":"2016-09-10","description":"","custom_fields":[{"id":1,"name":"Subdivision","value":"EC"},{"id":4,"name":"Milepost","value":"0.0001"},{"id":17,"name":"Train ID","value":"212-10"},{"id":16,"name":"Locomotive ID","value":"4010"},{"id":130,"name":"Impact","value":""},{"id":150,"name":"Time of Event (Mountain Time)","value":"19:06:11"},{"id":151,"name":"Denver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55"/>
    </row>
    <row r="26" spans="1:28" x14ac:dyDescent="0.25">
      <c r="A26" s="38">
        <v>42623.960902777777</v>
      </c>
      <c r="B26" s="33" t="s">
        <v>182</v>
      </c>
      <c r="C26" s="33" t="s">
        <v>426</v>
      </c>
      <c r="D26" s="33" t="s">
        <v>49</v>
      </c>
      <c r="E26" s="33" t="s">
        <v>50</v>
      </c>
      <c r="F26" s="49">
        <v>0</v>
      </c>
      <c r="G26" s="49">
        <v>68</v>
      </c>
      <c r="H26" s="49">
        <v>249</v>
      </c>
      <c r="I26" s="49">
        <v>116</v>
      </c>
      <c r="J26" s="33" t="s">
        <v>51</v>
      </c>
      <c r="K26" s="49">
        <v>1</v>
      </c>
      <c r="L26" s="154" t="s">
        <v>53</v>
      </c>
      <c r="M26" s="157">
        <f t="shared" si="0"/>
        <v>60.72</v>
      </c>
      <c r="N26" s="92" t="str">
        <f>VLOOKUP(C26,'Trips&amp;Operators'!$C$1:$E$99999,3,FALSE)</f>
        <v>NEWELL</v>
      </c>
      <c r="O26" s="121" t="s">
        <v>86</v>
      </c>
      <c r="P26" s="10"/>
      <c r="Q26" s="33"/>
      <c r="R26" s="108" t="str">
        <f>VLOOKUP(C26,'Train Runs'!$A$13:$AE$10022,31,0)</f>
        <v>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 &amp; aws s3 cp s3://rtdc.mdm.uploadarchive/RTDC4012/2016-09-11/ "%USERPROFILE%\AppData\Local\Temp\OnboardLogs"\RTDC4012\2016-09-11 --recursive &amp; "%USERPROFILE%\Documents\GitHub\mrs-test-scripts\Headless Mode &amp; Sideloading\WalkAndUnGZ.bat" "%USERPROFILE%\AppData\Local\Temp\OnboardLogs"\RTDC4012\2016-09-11</v>
      </c>
      <c r="S26" s="111" t="str">
        <f>VLOOKUP(C26,'Train Runs'!$A$13:$AE$10022,22,0)</f>
        <v>https://search-rtdc-monitor-bjffxe2xuh6vdkpspy63sjmuny.us-east-1.es.amazonaws.com/_plugin/kibana/#/discover/Steve-Slow-Train-Analysis-(2080s-and-2083s)?_g=(refreshInterval:(display:Off,section:0,value:0),time:(from:'2016-09-10 21:08:08-0600',mode:absolute,to:'2016-09-11 00:03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26" s="113" t="str">
        <f t="shared" si="1"/>
        <v>"C:\Program Files (x86)\AstroGrep\AstroGrep.exe" /spath="%USERPROFILE%\AppData\Local\Temp\OnboardLogs" /stypes="*4012*201609110*" /stext=" 05:.+((SYSTEM_STATE.+slice.+state.+changed )|(ment ac)|(system.+state.+changed )|(\|lc)|(penalty)|(\[timeout)|(PRM\|1\|D)|(kpr)|(kdp))" /e /r /s</v>
      </c>
      <c r="U26" s="9" t="str">
        <f t="shared" si="2"/>
        <v>4012</v>
      </c>
      <c r="V26" s="38">
        <f t="shared" si="3"/>
        <v>42624.210902777777</v>
      </c>
      <c r="W26" s="52" t="str">
        <f t="shared" si="4"/>
        <v>EC</v>
      </c>
      <c r="X26" s="52" t="str">
        <f t="shared" si="5"/>
        <v>KEEP</v>
      </c>
      <c r="Y26" s="137" t="str">
        <f t="shared" si="6"/>
        <v>echo {"issue":{"subject":"","project_id":79,"tracker_id":40,"status_id":1,"priority_id":2,"assigned_to_id":23,"start_date":"2016-09-10","description":"","custom_fields":[{"id":1,"name":"Subdivision","value":"EC"},{"id":4,"name":"Milepost","value":"0.0001"},{"id":17,"name":"Train ID","value":"232-10"},{"id":16,"name":"Locomotive ID","value":"4012"},{"id":130,"name":"Impact","value":""},{"id":150,"name":"Time of Event (Mountain Time)","value":"23:03:42"},{"id":151,"name":"Denver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55"/>
    </row>
    <row r="27" spans="1:28" x14ac:dyDescent="0.25">
      <c r="A27" s="38">
        <v>42623.277789351851</v>
      </c>
      <c r="B27" s="33" t="s">
        <v>194</v>
      </c>
      <c r="C27" s="33" t="s">
        <v>396</v>
      </c>
      <c r="D27" s="33" t="s">
        <v>49</v>
      </c>
      <c r="E27" s="33" t="s">
        <v>50</v>
      </c>
      <c r="F27" s="49">
        <v>0</v>
      </c>
      <c r="G27" s="49">
        <v>50</v>
      </c>
      <c r="H27" s="49">
        <v>233320</v>
      </c>
      <c r="I27" s="49">
        <v>233337</v>
      </c>
      <c r="J27" s="33" t="s">
        <v>51</v>
      </c>
      <c r="K27" s="49">
        <v>233491</v>
      </c>
      <c r="L27" s="154" t="s">
        <v>52</v>
      </c>
      <c r="M27" s="157">
        <f t="shared" si="0"/>
        <v>81.311999999999998</v>
      </c>
      <c r="N27" s="92" t="str">
        <f>VLOOKUP(C27,'Trips&amp;Operators'!$C$1:$E$99999,3,FALSE)</f>
        <v>ACKERMAN</v>
      </c>
      <c r="O27" s="121" t="s">
        <v>86</v>
      </c>
      <c r="P27" s="10"/>
      <c r="Q27" s="33"/>
      <c r="R27" s="108" t="str">
        <f>VLOOKUP(C27,'Train Runs'!$A$13:$AE$10022,31,0)</f>
        <v>aws s3 cp s3://rtdc.mdm.uploadarchive/RTDC4046/2016-09-10/ "%USERPROFILE%\AppData\Local\Temp\OnboardLogs"\RTDC4046\2016-09-10 --recursive &amp; "%USERPROFILE%\Documents\GitHub\mrs-test-scripts\Headless Mode &amp; Sideloading\WalkAndUnGZ.bat" "%USERPROFILE%\AppData\Local\Temp\OnboardLogs"\RTDC4046\2016-09-10 &amp; aws s3 cp s3://rtdc.mdm.uploadarchive/RTDC4046/2016-09-11/ "%USERPROFILE%\AppData\Local\Temp\OnboardLogs"\RTDC4046\2016-09-11 --recursive &amp; "%USERPROFILE%\Documents\GitHub\mrs-test-scripts\Headless Mode &amp; Sideloading\WalkAndUnGZ.bat" "%USERPROFILE%\AppData\Local\Temp\OnboardLogs"\RTDC4046\2016-09-11</v>
      </c>
      <c r="S27" s="111" t="str">
        <f>VLOOKUP(C27,'Train Runs'!$A$13:$AE$10022,22,0)</f>
        <v>https://search-rtdc-monitor-bjffxe2xuh6vdkpspy63sjmuny.us-east-1.es.amazonaws.com/_plugin/kibana/#/discover/Steve-Slow-Train-Analysis-(2080s-and-2083s)?_g=(refreshInterval:(display:Off,section:0,value:0),time:(from:'2016-09-10 05:01:26-0600',mode:absolute,to:'2016-09-10 07:40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27" s="113" t="str">
        <f t="shared" si="1"/>
        <v>"C:\Program Files (x86)\AstroGrep\AstroGrep.exe" /spath="%USERPROFILE%\AppData\Local\Temp\OnboardLogs" /stypes="*4046*201609101*" /stext=" 12:.+((SYSTEM_STATE.+slice.+state.+changed )|(ment ac)|(system.+state.+changed )|(\|lc)|(penalty)|(\[timeout)|(PRM\|1\|D)|(kpr)|(kdp))" /e /r /s</v>
      </c>
      <c r="U27" s="9" t="str">
        <f t="shared" si="2"/>
        <v>4046</v>
      </c>
      <c r="V27" s="38">
        <f t="shared" si="3"/>
        <v>42623.527789351851</v>
      </c>
      <c r="W27" s="52" t="str">
        <f t="shared" si="4"/>
        <v>EC</v>
      </c>
      <c r="X27" s="52" t="str">
        <f t="shared" si="5"/>
        <v>KEEP</v>
      </c>
      <c r="Y27" s="137" t="str">
        <f t="shared" si="6"/>
        <v>echo {"issue":{"subject":"","project_id":79,"tracker_id":40,"status_id":1,"priority_id":2,"assigned_to_id":23,"start_date":"2016-09-10","description":"","custom_fields":[{"id":1,"name":"Subdivision","value":"EC"},{"id":4,"name":"Milepost","value":"23.3491"},{"id":17,"name":"Train ID","value":"119-10"},{"id":16,"name":"Locomotive ID","value":"4046"},{"id":130,"name":"Impact","value":""},{"id":150,"name":"Time of Event (Mountain Time)","value":"06:40:01"},{"id":151,"name":"Denver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55"/>
    </row>
    <row r="28" spans="1:28" x14ac:dyDescent="0.25">
      <c r="A28" s="38">
        <v>42623.400046296294</v>
      </c>
      <c r="B28" s="33" t="s">
        <v>176</v>
      </c>
      <c r="C28" s="33" t="s">
        <v>404</v>
      </c>
      <c r="D28" s="33" t="s">
        <v>49</v>
      </c>
      <c r="E28" s="33" t="s">
        <v>50</v>
      </c>
      <c r="F28" s="49">
        <v>0</v>
      </c>
      <c r="G28" s="49">
        <v>74</v>
      </c>
      <c r="H28" s="49">
        <v>233207</v>
      </c>
      <c r="I28" s="49">
        <v>233282</v>
      </c>
      <c r="J28" s="33" t="s">
        <v>51</v>
      </c>
      <c r="K28" s="49">
        <v>233491</v>
      </c>
      <c r="L28" s="154" t="s">
        <v>52</v>
      </c>
      <c r="M28" s="157">
        <f t="shared" si="0"/>
        <v>110.352</v>
      </c>
      <c r="N28" s="92" t="str">
        <f>VLOOKUP(C28,'Trips&amp;Operators'!$C$1:$E$99999,3,FALSE)</f>
        <v>HILLS</v>
      </c>
      <c r="O28" s="121" t="s">
        <v>86</v>
      </c>
      <c r="P28" s="10"/>
      <c r="Q28" s="33"/>
      <c r="R28" s="108" t="str">
        <f>VLOOKUP(C28,'Train Runs'!$A$13:$AE$10022,31,0)</f>
        <v>aws s3 cp s3://rtdc.mdm.uploadarchive/RTDC4011/2016-09-10/ "%USERPROFILE%\AppData\Local\Temp\OnboardLogs"\RTDC4011\2016-09-10 --recursive &amp; "%USERPROFILE%\Documents\GitHub\mrs-test-scripts\Headless Mode &amp; Sideloading\WalkAndUnGZ.bat" "%USERPROFILE%\AppData\Local\Temp\OnboardLogs"\RTDC4011\2016-09-10 &amp; aws s3 cp s3://rtdc.mdm.uploadarchive/RTDC4011/2016-09-11/ "%USERPROFILE%\AppData\Local\Temp\OnboardLogs"\RTDC4011\2016-09-11 --recursive &amp; "%USERPROFILE%\Documents\GitHub\mrs-test-scripts\Headless Mode &amp; Sideloading\WalkAndUnGZ.bat" "%USERPROFILE%\AppData\Local\Temp\OnboardLogs"\RTDC4011\2016-09-11</v>
      </c>
      <c r="S28" s="111" t="str">
        <f>VLOOKUP(C28,'Train Runs'!$A$13:$AE$10022,22,0)</f>
        <v>https://search-rtdc-monitor-bjffxe2xuh6vdkpspy63sjmuny.us-east-1.es.amazonaws.com/_plugin/kibana/#/discover/Steve-Slow-Train-Analysis-(2080s-and-2083s)?_g=(refreshInterval:(display:Off,section:0,value:0),time:(from:'2016-09-10 07:56:21-0600',mode:absolute,to:'2016-09-10 10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28" s="113" t="str">
        <f t="shared" si="1"/>
        <v>"C:\Program Files (x86)\AstroGrep\AstroGrep.exe" /spath="%USERPROFILE%\AppData\Local\Temp\OnboardLogs" /stypes="*4011*201609101*" /stext=" 15:.+((SYSTEM_STATE.+slice.+state.+changed )|(ment ac)|(system.+state.+changed )|(\|lc)|(penalty)|(\[timeout)|(PRM\|1\|D)|(kpr)|(kdp))" /e /r /s</v>
      </c>
      <c r="U28" s="9" t="str">
        <f t="shared" si="2"/>
        <v>4011</v>
      </c>
      <c r="V28" s="38">
        <f t="shared" si="3"/>
        <v>42623.650046296294</v>
      </c>
      <c r="W28" s="52" t="str">
        <f t="shared" si="4"/>
        <v>EC</v>
      </c>
      <c r="X28" s="52" t="str">
        <f t="shared" si="5"/>
        <v>KEEP</v>
      </c>
      <c r="Y28" s="137" t="str">
        <f t="shared" si="6"/>
        <v>echo {"issue":{"subject":"","project_id":79,"tracker_id":40,"status_id":1,"priority_id":2,"assigned_to_id":23,"start_date":"2016-09-10","description":"","custom_fields":[{"id":1,"name":"Subdivision","value":"EC"},{"id":4,"name":"Milepost","value":"23.3491"},{"id":17,"name":"Train ID","value":"143-10"},{"id":16,"name":"Locomotive ID","value":"4011"},{"id":130,"name":"Impact","value":""},{"id":150,"name":"Time of Event (Mountain Time)","value":"09:36:04"},{"id":151,"name":"Denver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55"/>
    </row>
    <row r="29" spans="1:28" x14ac:dyDescent="0.25">
      <c r="A29" s="38">
        <v>42623.858576388891</v>
      </c>
      <c r="B29" s="33" t="s">
        <v>194</v>
      </c>
      <c r="C29" s="33" t="s">
        <v>424</v>
      </c>
      <c r="D29" s="33" t="s">
        <v>49</v>
      </c>
      <c r="E29" s="33" t="s">
        <v>50</v>
      </c>
      <c r="F29" s="49">
        <v>0</v>
      </c>
      <c r="G29" s="49">
        <v>63</v>
      </c>
      <c r="H29" s="49">
        <v>233234</v>
      </c>
      <c r="I29" s="49">
        <v>233297</v>
      </c>
      <c r="J29" s="33" t="s">
        <v>51</v>
      </c>
      <c r="K29" s="49">
        <v>233491</v>
      </c>
      <c r="L29" s="154" t="s">
        <v>52</v>
      </c>
      <c r="M29" s="157">
        <f t="shared" si="0"/>
        <v>102.432</v>
      </c>
      <c r="N29" s="92" t="str">
        <f>VLOOKUP(C29,'Trips&amp;Operators'!$C$1:$E$99999,3,FALSE)</f>
        <v>CHANDLER</v>
      </c>
      <c r="O29" s="121" t="s">
        <v>86</v>
      </c>
      <c r="P29" s="10"/>
      <c r="Q29" s="33"/>
      <c r="R29" s="108" t="str">
        <f>VLOOKUP(C29,'Train Runs'!$A$13:$AE$10022,31,0)</f>
        <v>aws s3 cp s3://rtdc.mdm.uploadarchive/RTDC4046/2016-09-10/ "%USERPROFILE%\AppData\Local\Temp\OnboardLogs"\RTDC4046\2016-09-10 --recursive &amp; "%USERPROFILE%\Documents\GitHub\mrs-test-scripts\Headless Mode &amp; Sideloading\WalkAndUnGZ.bat" "%USERPROFILE%\AppData\Local\Temp\OnboardLogs"\RTDC4046\2016-09-10 &amp; aws s3 cp s3://rtdc.mdm.uploadarchive/RTDC4046/2016-09-11/ "%USERPROFILE%\AppData\Local\Temp\OnboardLogs"\RTDC4046\2016-09-11 --recursive &amp; "%USERPROFILE%\Documents\GitHub\mrs-test-scripts\Headless Mode &amp; Sideloading\WalkAndUnGZ.bat" "%USERPROFILE%\AppData\Local\Temp\OnboardLogs"\RTDC4046\2016-09-11</v>
      </c>
      <c r="S29" s="111" t="str">
        <f>VLOOKUP(C29,'Train Runs'!$A$13:$AE$10022,22,0)</f>
        <v>https://search-rtdc-monitor-bjffxe2xuh6vdkpspy63sjmuny.us-east-1.es.amazonaws.com/_plugin/kibana/#/discover/Steve-Slow-Train-Analysis-(2080s-and-2083s)?_g=(refreshInterval:(display:Off,section:0,value:0),time:(from:'2016-09-10 18:59:18-0600',mode:absolute,to:'2016-09-10 21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29" s="113" t="str">
        <f t="shared" si="1"/>
        <v>"C:\Program Files (x86)\AstroGrep\AstroGrep.exe" /spath="%USERPROFILE%\AppData\Local\Temp\OnboardLogs" /stypes="*4046*201609110*" /stext=" 02:.+((SYSTEM_STATE.+slice.+state.+changed )|(ment ac)|(system.+state.+changed )|(\|lc)|(penalty)|(\[timeout)|(PRM\|1\|D)|(kpr)|(kdp))" /e /r /s</v>
      </c>
      <c r="U29" s="9" t="str">
        <f t="shared" si="2"/>
        <v>4046</v>
      </c>
      <c r="V29" s="38">
        <f t="shared" si="3"/>
        <v>42624.108576388891</v>
      </c>
      <c r="W29" s="52" t="str">
        <f t="shared" si="4"/>
        <v>EC</v>
      </c>
      <c r="X29" s="52" t="str">
        <f t="shared" si="5"/>
        <v>KEEP</v>
      </c>
      <c r="Y29" s="137" t="str">
        <f t="shared" si="6"/>
        <v>echo {"issue":{"subject":"","project_id":79,"tracker_id":40,"status_id":1,"priority_id":2,"assigned_to_id":23,"start_date":"2016-09-10","description":"","custom_fields":[{"id":1,"name":"Subdivision","value":"EC"},{"id":4,"name":"Milepost","value":"23.3491"},{"id":17,"name":"Train ID","value":"225-10"},{"id":16,"name":"Locomotive ID","value":"4046"},{"id":130,"name":"Impact","value":""},{"id":150,"name":"Time of Event (Mountain Time)","value":"20:36:21"},{"id":151,"name":"Denver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55"/>
    </row>
    <row r="30" spans="1:28" x14ac:dyDescent="0.25">
      <c r="A30" s="38">
        <v>42623.724768518521</v>
      </c>
      <c r="B30" s="33" t="s">
        <v>109</v>
      </c>
      <c r="C30" s="33" t="s">
        <v>417</v>
      </c>
      <c r="D30" s="33" t="s">
        <v>106</v>
      </c>
      <c r="E30" s="33" t="s">
        <v>56</v>
      </c>
      <c r="F30" s="49">
        <v>200</v>
      </c>
      <c r="G30" s="49">
        <v>259</v>
      </c>
      <c r="H30" s="49">
        <v>6362</v>
      </c>
      <c r="I30" s="49">
        <v>6865</v>
      </c>
      <c r="J30" s="33" t="s">
        <v>57</v>
      </c>
      <c r="K30" s="49">
        <v>5315</v>
      </c>
      <c r="L30" s="154" t="s">
        <v>52</v>
      </c>
      <c r="M30" s="157">
        <f t="shared" si="0"/>
        <v>-818.4</v>
      </c>
      <c r="N30" s="92" t="str">
        <f>VLOOKUP(C30,'Trips&amp;Operators'!$C$1:$E$99999,3,FALSE)</f>
        <v>ADANE</v>
      </c>
      <c r="O30" s="121" t="s">
        <v>86</v>
      </c>
      <c r="P30" s="10"/>
      <c r="Q30" s="33"/>
      <c r="R30" s="108" t="str">
        <f>VLOOKUP(C30,'Train Runs'!$A$13:$AE$10022,31,0)</f>
        <v>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 &amp; aws s3 cp s3://rtdc.mdm.uploadarchive/RTDC4031/2016-09-11/ "%USERPROFILE%\AppData\Local\Temp\OnboardLogs"\RTDC4031\2016-09-11 --recursive &amp; "%USERPROFILE%\Documents\GitHub\mrs-test-scripts\Headless Mode &amp; Sideloading\WalkAndUnGZ.bat" "%USERPROFILE%\AppData\Local\Temp\OnboardLogs"\RTDC4031\2016-09-11</v>
      </c>
      <c r="S30" s="111" t="str">
        <f>VLOOKUP(C30,'Train Runs'!$A$13:$AE$10022,22,0)</f>
        <v>https://search-rtdc-monitor-bjffxe2xuh6vdkpspy63sjmuny.us-east-1.es.amazonaws.com/_plugin/kibana/#/discover/Steve-Slow-Train-Analysis-(2080s-and-2083s)?_g=(refreshInterval:(display:Off,section:0,value:0),time:(from:'2016-09-10 16:15:20-0600',mode:absolute,to:'2016-09-10 18:54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30" s="113" t="str">
        <f t="shared" si="1"/>
        <v>"C:\Program Files (x86)\AstroGrep\AstroGrep.exe" /spath="%USERPROFILE%\AppData\Local\Temp\OnboardLogs" /stypes="*4031*201609102*" /stext=" 23:.+((SYSTEM_STATE.+slice.+state.+changed )|(ment ac)|(system.+state.+changed )|(\|lc)|(penalty)|(\[timeout)|(PRM\|1\|D)|(kpr)|(kdp))" /e /r /s</v>
      </c>
      <c r="U30" s="9" t="str">
        <f t="shared" si="2"/>
        <v>4031</v>
      </c>
      <c r="V30" s="38">
        <f t="shared" si="3"/>
        <v>42623.974768518521</v>
      </c>
      <c r="W30" s="52" t="str">
        <f t="shared" si="4"/>
        <v>NW</v>
      </c>
      <c r="X30" s="52" t="str">
        <f t="shared" si="5"/>
        <v>KEEP</v>
      </c>
      <c r="Y30" s="137" t="str">
        <f t="shared" si="6"/>
        <v>echo {"issue":{"subject":"","project_id":79,"tracker_id":40,"status_id":1,"priority_id":2,"assigned_to_id":23,"start_date":"2016-09-10","description":"","custom_fields":[{"id":1,"name":"Subdivision","value":"NW"},{"id":4,"name":"Milepost","value":"0.5315"},{"id":17,"name":"Train ID","value":"1823-10"},{"id":16,"name":"Locomotive ID","value":"4031"},{"id":130,"name":"Impact","value":""},{"id":150,"name":"Time of Event (Mountain Time)","value":"17:23:40"},{"id":151,"name":"Denver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55"/>
    </row>
    <row r="31" spans="1:28" x14ac:dyDescent="0.25">
      <c r="A31" s="38">
        <v>42623.688819444447</v>
      </c>
      <c r="B31" s="33" t="s">
        <v>109</v>
      </c>
      <c r="C31" s="33" t="s">
        <v>416</v>
      </c>
      <c r="D31" s="33" t="s">
        <v>49</v>
      </c>
      <c r="E31" s="33" t="s">
        <v>56</v>
      </c>
      <c r="F31" s="49">
        <v>150</v>
      </c>
      <c r="G31" s="49">
        <v>283</v>
      </c>
      <c r="H31" s="49">
        <v>56448</v>
      </c>
      <c r="I31" s="49">
        <v>56944</v>
      </c>
      <c r="J31" s="33" t="s">
        <v>57</v>
      </c>
      <c r="K31" s="49">
        <v>57008</v>
      </c>
      <c r="L31" s="154" t="s">
        <v>52</v>
      </c>
      <c r="M31" s="157">
        <f t="shared" si="0"/>
        <v>33.792000000000002</v>
      </c>
      <c r="N31" s="92" t="str">
        <f>VLOOKUP(C31,'Trips&amp;Operators'!$C$1:$E$99999,3,FALSE)</f>
        <v>ADANE</v>
      </c>
      <c r="O31" s="121" t="s">
        <v>86</v>
      </c>
      <c r="P31" s="10"/>
      <c r="Q31" s="33"/>
      <c r="R31" s="108" t="str">
        <f>VLOOKUP(C31,'Train Runs'!$A$13:$AE$10022,31,0)</f>
        <v>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 &amp; aws s3 cp s3://rtdc.mdm.uploadarchive/RTDC4031/2016-09-11/ "%USERPROFILE%\AppData\Local\Temp\OnboardLogs"\RTDC4031\2016-09-11 --recursive &amp; "%USERPROFILE%\Documents\GitHub\mrs-test-scripts\Headless Mode &amp; Sideloading\WalkAndUnGZ.bat" "%USERPROFILE%\AppData\Local\Temp\OnboardLogs"\RTDC4031\2016-09-11</v>
      </c>
      <c r="S31" s="111" t="str">
        <f>VLOOKUP(C31,'Train Runs'!$A$13:$AE$10022,22,0)</f>
        <v>https://search-rtdc-monitor-bjffxe2xuh6vdkpspy63sjmuny.us-east-1.es.amazonaws.com/_plugin/kibana/#/discover/Steve-Slow-Train-Analysis-(2080s-and-2083s)?_g=(refreshInterval:(display:Off,section:0,value:0),time:(from:'2016-09-10 15:15:24-0600',mode:absolute,to:'2016-09-10 17:31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31" s="113" t="str">
        <f t="shared" si="1"/>
        <v>"C:\Program Files (x86)\AstroGrep\AstroGrep.exe" /spath="%USERPROFILE%\AppData\Local\Temp\OnboardLogs" /stypes="*4031*201609102*" /stext=" 22:.+((SYSTEM_STATE.+slice.+state.+changed )|(ment ac)|(system.+state.+changed )|(\|lc)|(penalty)|(\[timeout)|(PRM\|1\|D)|(kpr)|(kdp))" /e /r /s</v>
      </c>
      <c r="U31" s="9" t="str">
        <f t="shared" si="2"/>
        <v>4031</v>
      </c>
      <c r="V31" s="38">
        <f t="shared" si="3"/>
        <v>42623.938819444447</v>
      </c>
      <c r="W31" s="52" t="str">
        <f t="shared" si="4"/>
        <v>NW</v>
      </c>
      <c r="X31" s="52" t="str">
        <f t="shared" si="5"/>
        <v>KEEP</v>
      </c>
      <c r="Y31" s="137" t="str">
        <f t="shared" si="6"/>
        <v>echo {"issue":{"subject":"","project_id":79,"tracker_id":40,"status_id":1,"priority_id":2,"assigned_to_id":23,"start_date":"2016-09-10","description":"","custom_fields":[{"id":1,"name":"Subdivision","value":"NW"},{"id":4,"name":"Milepost","value":"5.7008"},{"id":17,"name":"Train ID","value":"1821-10"},{"id":16,"name":"Locomotive ID","value":"4031"},{"id":130,"name":"Impact","value":""},{"id":150,"name":"Time of Event (Mountain Time)","value":"16:31:54"},{"id":151,"name":"Denver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55"/>
    </row>
    <row r="32" spans="1:28" ht="15" customHeight="1" x14ac:dyDescent="0.25">
      <c r="A32" s="38">
        <v>42623.73128472222</v>
      </c>
      <c r="B32" s="33" t="s">
        <v>109</v>
      </c>
      <c r="C32" s="33" t="s">
        <v>417</v>
      </c>
      <c r="D32" s="33" t="s">
        <v>49</v>
      </c>
      <c r="E32" s="33" t="s">
        <v>56</v>
      </c>
      <c r="F32" s="49">
        <v>150</v>
      </c>
      <c r="G32" s="49">
        <v>281</v>
      </c>
      <c r="H32" s="49">
        <v>56429</v>
      </c>
      <c r="I32" s="49">
        <v>56989</v>
      </c>
      <c r="J32" s="33" t="s">
        <v>57</v>
      </c>
      <c r="K32" s="49">
        <v>57008</v>
      </c>
      <c r="L32" s="154" t="s">
        <v>52</v>
      </c>
      <c r="M32" s="157">
        <f t="shared" si="0"/>
        <v>10.032</v>
      </c>
      <c r="N32" s="92" t="str">
        <f>VLOOKUP(C32,'Trips&amp;Operators'!$C$1:$E$99999,3,FALSE)</f>
        <v>ADANE</v>
      </c>
      <c r="O32" s="121" t="s">
        <v>86</v>
      </c>
      <c r="P32" s="10"/>
      <c r="Q32" s="33"/>
      <c r="R32" s="108" t="str">
        <f>VLOOKUP(C32,'Train Runs'!$A$13:$AE$10022,31,0)</f>
        <v>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 &amp; aws s3 cp s3://rtdc.mdm.uploadarchive/RTDC4031/2016-09-11/ "%USERPROFILE%\AppData\Local\Temp\OnboardLogs"\RTDC4031\2016-09-11 --recursive &amp; "%USERPROFILE%\Documents\GitHub\mrs-test-scripts\Headless Mode &amp; Sideloading\WalkAndUnGZ.bat" "%USERPROFILE%\AppData\Local\Temp\OnboardLogs"\RTDC4031\2016-09-11</v>
      </c>
      <c r="S32" s="111" t="str">
        <f>VLOOKUP(C32,'Train Runs'!$A$13:$AE$10022,22,0)</f>
        <v>https://search-rtdc-monitor-bjffxe2xuh6vdkpspy63sjmuny.us-east-1.es.amazonaws.com/_plugin/kibana/#/discover/Steve-Slow-Train-Analysis-(2080s-and-2083s)?_g=(refreshInterval:(display:Off,section:0,value:0),time:(from:'2016-09-10 16:15:20-0600',mode:absolute,to:'2016-09-10 18:54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32" s="113" t="str">
        <f t="shared" si="1"/>
        <v>"C:\Program Files (x86)\AstroGrep\AstroGrep.exe" /spath="%USERPROFILE%\AppData\Local\Temp\OnboardLogs" /stypes="*4031*201609102*" /stext=" 23:.+((SYSTEM_STATE.+slice.+state.+changed )|(ment ac)|(system.+state.+changed )|(\|lc)|(penalty)|(\[timeout)|(PRM\|1\|D)|(kpr)|(kdp))" /e /r /s</v>
      </c>
      <c r="U32" s="9" t="str">
        <f t="shared" si="2"/>
        <v>4031</v>
      </c>
      <c r="V32" s="38">
        <f t="shared" si="3"/>
        <v>42623.98128472222</v>
      </c>
      <c r="W32" s="52" t="str">
        <f t="shared" si="4"/>
        <v>NW</v>
      </c>
      <c r="X32" s="52" t="str">
        <f t="shared" si="5"/>
        <v>KEEP</v>
      </c>
      <c r="Y32" s="137" t="str">
        <f t="shared" si="6"/>
        <v>echo {"issue":{"subject":"","project_id":79,"tracker_id":40,"status_id":1,"priority_id":2,"assigned_to_id":23,"start_date":"2016-09-10","description":"","custom_fields":[{"id":1,"name":"Subdivision","value":"NW"},{"id":4,"name":"Milepost","value":"5.7008"},{"id":17,"name":"Train ID","value":"1823-10"},{"id":16,"name":"Locomotive ID","value":"4031"},{"id":130,"name":"Impact","value":""},{"id":150,"name":"Time of Event (Mountain Time)","value":"17:33:03"},{"id":151,"name":"Denver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55"/>
    </row>
    <row r="33" spans="1:28" x14ac:dyDescent="0.25">
      <c r="A33" s="38">
        <v>42623.663344907407</v>
      </c>
      <c r="B33" s="33" t="s">
        <v>110</v>
      </c>
      <c r="C33" s="33" t="s">
        <v>413</v>
      </c>
      <c r="D33" s="33" t="s">
        <v>49</v>
      </c>
      <c r="E33" s="33" t="s">
        <v>50</v>
      </c>
      <c r="F33" s="49">
        <v>0</v>
      </c>
      <c r="G33" s="49">
        <v>28</v>
      </c>
      <c r="H33" s="49">
        <v>673</v>
      </c>
      <c r="I33" s="49">
        <v>640</v>
      </c>
      <c r="J33" s="33" t="s">
        <v>51</v>
      </c>
      <c r="K33" s="49">
        <v>575</v>
      </c>
      <c r="L33" s="154" t="s">
        <v>53</v>
      </c>
      <c r="M33" s="157">
        <f t="shared" si="0"/>
        <v>34.32</v>
      </c>
      <c r="N33" s="92" t="str">
        <f>VLOOKUP(C33,'Trips&amp;Operators'!$C$1:$E$99999,3,FALSE)</f>
        <v>ADANE</v>
      </c>
      <c r="O33" s="121" t="s">
        <v>86</v>
      </c>
      <c r="P33" s="10"/>
      <c r="Q33" s="33"/>
      <c r="R33" s="108" t="str">
        <f>VLOOKUP(C33,'Train Runs'!$A$13:$AE$10022,31,0)</f>
        <v>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 &amp; aws s3 cp s3://rtdc.mdm.uploadarchive/RTDC4032/2016-09-11/ "%USERPROFILE%\AppData\Local\Temp\OnboardLogs"\RTDC4032\2016-09-11 --recursive &amp; "%USERPROFILE%\Documents\GitHub\mrs-test-scripts\Headless Mode &amp; Sideloading\WalkAndUnGZ.bat" "%USERPROFILE%\AppData\Local\Temp\OnboardLogs"\RTDC4032\2016-09-11</v>
      </c>
      <c r="S33" s="111" t="str">
        <f>VLOOKUP(C33,'Train Runs'!$A$13:$AE$10022,22,0)</f>
        <v>https://search-rtdc-monitor-bjffxe2xuh6vdkpspy63sjmuny.us-east-1.es.amazonaws.com/_plugin/kibana/#/discover/Steve-Slow-Train-Analysis-(2080s-and-2083s)?_g=(refreshInterval:(display:Off,section:0,value:0),time:(from:'2016-09-10 14:38:04-0600',mode:absolute,to:'2016-09-10 16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3" s="113" t="str">
        <f t="shared" si="1"/>
        <v>"C:\Program Files (x86)\AstroGrep\AstroGrep.exe" /spath="%USERPROFILE%\AppData\Local\Temp\OnboardLogs" /stypes="*4032*201609102*" /stext=" 21:.+((SYSTEM_STATE.+slice.+state.+changed )|(ment ac)|(system.+state.+changed )|(\|lc)|(penalty)|(\[timeout)|(PRM\|1\|D)|(kpr)|(kdp))" /e /r /s</v>
      </c>
      <c r="U33" s="9" t="str">
        <f t="shared" si="2"/>
        <v>4032</v>
      </c>
      <c r="V33" s="38">
        <f t="shared" si="3"/>
        <v>42623.913344907407</v>
      </c>
      <c r="W33" s="52" t="str">
        <f t="shared" si="4"/>
        <v>NW</v>
      </c>
      <c r="X33" s="52" t="str">
        <f t="shared" si="5"/>
        <v>KEEP</v>
      </c>
      <c r="Y33" s="137" t="str">
        <f t="shared" si="6"/>
        <v>echo {"issue":{"subject":"","project_id":79,"tracker_id":40,"status_id":1,"priority_id":2,"assigned_to_id":23,"start_date":"2016-09-10","description":"","custom_fields":[{"id":1,"name":"Subdivision","value":"NW"},{"id":4,"name":"Milepost","value":"0.0575"},{"id":17,"name":"Train ID","value":"1820-10"},{"id":16,"name":"Locomotive ID","value":"4032"},{"id":130,"name":"Impact","value":""},{"id":150,"name":"Time of Event (Mountain Time)","value":"15:55:13"},{"id":151,"name":"Denver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55"/>
    </row>
    <row r="34" spans="1:28" ht="15" customHeight="1" x14ac:dyDescent="0.25">
      <c r="A34" s="38">
        <v>42623.438761574071</v>
      </c>
      <c r="B34" s="33" t="s">
        <v>405</v>
      </c>
      <c r="C34" s="33" t="s">
        <v>406</v>
      </c>
      <c r="D34" s="33" t="s">
        <v>106</v>
      </c>
      <c r="E34" s="33" t="s">
        <v>54</v>
      </c>
      <c r="F34" s="49">
        <v>0</v>
      </c>
      <c r="G34" s="49">
        <v>101</v>
      </c>
      <c r="H34" s="49">
        <v>24137</v>
      </c>
      <c r="I34" s="49">
        <v>23987</v>
      </c>
      <c r="J34" s="33" t="s">
        <v>55</v>
      </c>
      <c r="K34" s="49">
        <v>24235</v>
      </c>
      <c r="L34" s="154" t="s">
        <v>53</v>
      </c>
      <c r="M34" s="157">
        <f t="shared" si="0"/>
        <v>-130.94399999999999</v>
      </c>
      <c r="N34" s="92" t="str">
        <f>VLOOKUP(C34,'Trips&amp;Operators'!$C$1:$E$99999,3,FALSE)</f>
        <v>BARTLETT</v>
      </c>
      <c r="O34" s="121" t="s">
        <v>86</v>
      </c>
      <c r="P34" s="10"/>
      <c r="Q34" s="33"/>
      <c r="R34" s="108" t="str">
        <f>VLOOKUP(C34,'Train Runs'!$A$13:$AE$10022,31,0)</f>
        <v>aws s3 cp s3://rtdc.mdm.uploadarchive/RTDC4004/2016-09-10/ "%USERPROFILE%\AppData\Local\Temp\OnboardLogs"\RTDC4004\2016-09-10 --recursive &amp; "%USERPROFILE%\Documents\GitHub\mrs-test-scripts\Headless Mode &amp; Sideloading\WalkAndUnGZ.bat" "%USERPROFILE%\AppData\Local\Temp\OnboardLogs"\RTDC4004\2016-09-10 &amp; aws s3 cp s3://rtdc.mdm.uploadarchive/RTDC4004/2016-09-11/ "%USERPROFILE%\AppData\Local\Temp\OnboardLogs"\RTDC4004\2016-09-11 --recursive &amp; "%USERPROFILE%\Documents\GitHub\mrs-test-scripts\Headless Mode &amp; Sideloading\WalkAndUnGZ.bat" "%USERPROFILE%\AppData\Local\Temp\OnboardLogs"\RTDC4004\2016-09-11</v>
      </c>
      <c r="S34" s="111" t="str">
        <f>VLOOKUP(C34,'Train Runs'!$A$13:$AE$10022,22,0)</f>
        <v>https://search-rtdc-monitor-bjffxe2xuh6vdkpspy63sjmuny.us-east-1.es.amazonaws.com/_plugin/kibana/#/discover/Steve-Slow-Train-Analysis-(2080s-and-2083s)?_g=(refreshInterval:(display:Off,section:0,value:0),time:(from:'2016-09-10 09:27:50-0600',mode:absolute,to:'2016-09-10 11:31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34" s="113" t="str">
        <f t="shared" si="1"/>
        <v>"C:\Program Files (x86)\AstroGrep\AstroGrep.exe" /spath="%USERPROFILE%\AppData\Local\Temp\OnboardLogs" /stypes="*4004*201609101*" /stext=" 16:.+((SYSTEM_STATE.+slice.+state.+changed )|(ment ac)|(system.+state.+changed )|(\|lc)|(penalty)|(\[timeout)|(PRM\|1\|D)|(kpr)|(kdp))" /e /r /s</v>
      </c>
      <c r="U34" s="9" t="str">
        <f t="shared" si="2"/>
        <v>4004</v>
      </c>
      <c r="V34" s="38">
        <f t="shared" si="3"/>
        <v>42623.688761574071</v>
      </c>
      <c r="W34" s="52" t="str">
        <f t="shared" si="4"/>
        <v>Other</v>
      </c>
      <c r="X34" s="52" t="str">
        <f t="shared" si="5"/>
        <v>KEEP</v>
      </c>
      <c r="Y34" s="137" t="str">
        <f t="shared" si="6"/>
        <v>echo {"issue":{"subject":"","project_id":79,"tracker_id":40,"status_id":1,"priority_id":2,"assigned_to_id":23,"start_date":"2016-09-10","description":"","custom_fields":[{"id":1,"name":"Subdivision","value":"Other"},{"id":4,"name":"Milepost","value":"2.4235"},{"id":17,"name":"Train ID","value":"50-10"},{"id":16,"name":"Locomotive ID","value":"4004"},{"id":130,"name":"Impact","value":""},{"id":150,"name":"Time of Event (Mountain Time)","value":"10:31:49"},{"id":151,"name":"Denver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55"/>
    </row>
    <row r="35" spans="1:28" x14ac:dyDescent="0.25">
      <c r="A35" s="38">
        <v>42623.754074074073</v>
      </c>
      <c r="B35" s="33" t="s">
        <v>405</v>
      </c>
      <c r="C35" s="33" t="s">
        <v>418</v>
      </c>
      <c r="D35" s="33" t="s">
        <v>106</v>
      </c>
      <c r="E35" s="33" t="s">
        <v>419</v>
      </c>
      <c r="F35" s="49">
        <v>0</v>
      </c>
      <c r="G35" s="49">
        <v>13</v>
      </c>
      <c r="H35" s="49">
        <v>24131</v>
      </c>
      <c r="I35" s="49">
        <v>24131</v>
      </c>
      <c r="J35" s="33" t="s">
        <v>384</v>
      </c>
      <c r="K35" s="49">
        <v>24235</v>
      </c>
      <c r="L35" s="154" t="s">
        <v>53</v>
      </c>
      <c r="M35" s="157">
        <f t="shared" si="0"/>
        <v>-54.911999999999999</v>
      </c>
      <c r="N35" s="92" t="str">
        <f>VLOOKUP(C35,'Trips&amp;Operators'!$C$1:$E$99999,3,FALSE)</f>
        <v>SWANSON</v>
      </c>
      <c r="O35" s="121" t="s">
        <v>86</v>
      </c>
      <c r="P35" s="10"/>
      <c r="Q35" s="33"/>
      <c r="R35" s="108" t="str">
        <f>VLOOKUP(C35,'Train Runs'!$A$13:$AE$10022,31,0)</f>
        <v>aws s3 cp s3://rtdc.mdm.uploadarchive/RTDC4004/2016-09-10/ "%USERPROFILE%\AppData\Local\Temp\OnboardLogs"\RTDC4004\2016-09-10 --recursive &amp; "%USERPROFILE%\Documents\GitHub\mrs-test-scripts\Headless Mode &amp; Sideloading\WalkAndUnGZ.bat" "%USERPROFILE%\AppData\Local\Temp\OnboardLogs"\RTDC4004\2016-09-10 &amp; aws s3 cp s3://rtdc.mdm.uploadarchive/RTDC4004/2016-09-11/ "%USERPROFILE%\AppData\Local\Temp\OnboardLogs"\RTDC4004\2016-09-11 --recursive &amp; "%USERPROFILE%\Documents\GitHub\mrs-test-scripts\Headless Mode &amp; Sideloading\WalkAndUnGZ.bat" "%USERPROFILE%\AppData\Local\Temp\OnboardLogs"\RTDC4004\2016-09-11</v>
      </c>
      <c r="S35" s="111" t="str">
        <f>VLOOKUP(C35,'Train Runs'!$A$13:$AE$10022,22,0)</f>
        <v>https://search-rtdc-monitor-bjffxe2xuh6vdkpspy63sjmuny.us-east-1.es.amazonaws.com/_plugin/kibana/#/discover/Steve-Slow-Train-Analysis-(2080s-and-2083s)?_g=(refreshInterval:(display:Off,section:0,value:0),time:(from:'2016-09-10 17:02:28-0600',mode:absolute,to:'2016-09-10 19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35" s="113" t="str">
        <f t="shared" si="1"/>
        <v>"C:\Program Files (x86)\AstroGrep\AstroGrep.exe" /spath="%USERPROFILE%\AppData\Local\Temp\OnboardLogs" /stypes="*4004*201609110*" /stext=" 00:.+((SYSTEM_STATE.+slice.+state.+changed )|(ment ac)|(system.+state.+changed )|(\|lc)|(penalty)|(\[timeout)|(PRM\|1\|D)|(kpr)|(kdp))" /e /r /s</v>
      </c>
      <c r="U35" s="9" t="str">
        <f t="shared" si="2"/>
        <v>4004</v>
      </c>
      <c r="V35" s="38">
        <f t="shared" si="3"/>
        <v>42624.004074074073</v>
      </c>
      <c r="W35" s="52" t="str">
        <f t="shared" si="4"/>
        <v>Other</v>
      </c>
      <c r="X35" s="52" t="str">
        <f t="shared" si="5"/>
        <v>KEEP</v>
      </c>
      <c r="Y35" s="137" t="str">
        <f t="shared" si="6"/>
        <v>echo {"issue":{"subject":"","project_id":79,"tracker_id":40,"status_id":1,"priority_id":2,"assigned_to_id":23,"start_date":"2016-09-10","description":"","custom_fields":[{"id":1,"name":"Subdivision","value":"Other"},{"id":4,"name":"Milepost","value":"2.4235"},{"id":17,"name":"Train ID","value":"52-10"},{"id":16,"name":"Locomotive ID","value":"4004"},{"id":130,"name":"Impact","value":""},{"id":150,"name":"Time of Event (Mountain Time)","value":"18:05:52"},{"id":151,"name":"Denver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55"/>
    </row>
    <row r="36" spans="1:28" x14ac:dyDescent="0.25">
      <c r="A36" s="38">
        <v>42623.755358796298</v>
      </c>
      <c r="B36" s="33" t="s">
        <v>279</v>
      </c>
      <c r="C36" s="33" t="s">
        <v>421</v>
      </c>
      <c r="D36" s="33" t="s">
        <v>49</v>
      </c>
      <c r="E36" s="33" t="s">
        <v>50</v>
      </c>
      <c r="F36" s="49">
        <v>0</v>
      </c>
      <c r="G36" s="49">
        <v>14</v>
      </c>
      <c r="H36" s="49">
        <v>845</v>
      </c>
      <c r="I36" s="49">
        <v>833</v>
      </c>
      <c r="J36" s="33" t="s">
        <v>51</v>
      </c>
      <c r="K36" s="49">
        <v>826</v>
      </c>
      <c r="L36" s="154" t="s">
        <v>53</v>
      </c>
      <c r="M36" s="157">
        <f t="shared" si="0"/>
        <v>3.6960000000000002</v>
      </c>
      <c r="N36" s="92" t="str">
        <f>VLOOKUP(C36,'Trips&amp;Operators'!$C$1:$E$99999,3,FALSE)</f>
        <v>HAITHCOX</v>
      </c>
      <c r="O36" s="121" t="s">
        <v>86</v>
      </c>
      <c r="P36" s="10"/>
      <c r="Q36" s="33"/>
      <c r="R36" s="108" t="str">
        <f>VLOOKUP(C36,'Train Runs'!$A$13:$AE$10022,31,0)</f>
        <v>aws s3 cp s3://rtdc.mdm.uploadarchive/RTDC4015/2016-09-10/ "%USERPROFILE%\AppData\Local\Temp\OnboardLogs"\RTDC4015\2016-09-10 --recursive &amp; "%USERPROFILE%\Documents\GitHub\mrs-test-scripts\Headless Mode &amp; Sideloading\WalkAndUnGZ.bat" "%USERPROFILE%\AppData\Local\Temp\OnboardLogs"\RTDC4015\2016-09-10 &amp; aws s3 cp s3://rtdc.mdm.uploadarchive/RTDC4015/2016-09-11/ "%USERPROFILE%\AppData\Local\Temp\OnboardLogs"\RTDC4015\2016-09-11 --recursive &amp; "%USERPROFILE%\Documents\GitHub\mrs-test-scripts\Headless Mode &amp; Sideloading\WalkAndUnGZ.bat" "%USERPROFILE%\AppData\Local\Temp\OnboardLogs"\RTDC4015\2016-09-11</v>
      </c>
      <c r="S36" s="111" t="str">
        <f>VLOOKUP(C36,'Train Runs'!$A$13:$AE$10022,22,0)</f>
        <v>https://search-rtdc-monitor-bjffxe2xuh6vdkpspy63sjmuny.us-east-1.es.amazonaws.com/_plugin/kibana/#/discover/Steve-Slow-Train-Analysis-(2080s-and-2083s)?_g=(refreshInterval:(display:Off,section:0,value:0),time:(from:'2016-09-10 16:56:50-0600',mode:absolute,to:'2016-09-10 19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36" s="113" t="str">
        <f t="shared" si="1"/>
        <v>"C:\Program Files (x86)\AstroGrep\AstroGrep.exe" /spath="%USERPROFILE%\AppData\Local\Temp\OnboardLogs" /stypes="*4015*201609110*" /stext=" 00:.+((SYSTEM_STATE.+slice.+state.+changed )|(ment ac)|(system.+state.+changed )|(\|lc)|(penalty)|(\[timeout)|(PRM\|1\|D)|(kpr)|(kdp))" /e /r /s</v>
      </c>
      <c r="U36" s="9" t="str">
        <f t="shared" si="2"/>
        <v>4015</v>
      </c>
      <c r="V36" s="38">
        <f t="shared" si="3"/>
        <v>42624.005358796298</v>
      </c>
      <c r="W36" s="52" t="str">
        <f t="shared" si="4"/>
        <v>Other</v>
      </c>
      <c r="X36" s="52" t="str">
        <f t="shared" si="5"/>
        <v>KEEP</v>
      </c>
      <c r="Y36" s="137" t="str">
        <f t="shared" si="6"/>
        <v>echo {"issue":{"subject":"","project_id":79,"tracker_id":40,"status_id":1,"priority_id":2,"assigned_to_id":23,"start_date":"2016-09-10","description":"","custom_fields":[{"id":1,"name":"Subdivision","value":"Other"},{"id":4,"name":"Milepost","value":"0.0826"},{"id":17,"name":"Train ID","value":"56-10"},{"id":16,"name":"Locomotive ID","value":"4015"},{"id":130,"name":"Impact","value":""},{"id":150,"name":"Time of Event (Mountain Time)","value":"18:07:43"},{"id":151,"name":"Denver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55"/>
    </row>
    <row r="37" spans="1:28" x14ac:dyDescent="0.25">
      <c r="A37" s="38"/>
      <c r="B37" s="33"/>
      <c r="C37" s="33"/>
      <c r="D37" s="33"/>
      <c r="E37" s="33"/>
      <c r="F37" s="49"/>
      <c r="G37" s="49"/>
      <c r="H37" s="49"/>
      <c r="I37" s="49"/>
      <c r="J37" s="33"/>
      <c r="K37" s="49"/>
      <c r="L37" s="154"/>
      <c r="M37" s="157"/>
      <c r="N37" s="92"/>
      <c r="O37" s="121"/>
      <c r="P37" s="10"/>
      <c r="Q37" s="33"/>
      <c r="R37" s="108"/>
      <c r="S37" s="111"/>
      <c r="T37" s="113"/>
      <c r="U37" s="9"/>
      <c r="V37" s="38"/>
      <c r="W37" s="52"/>
      <c r="X37" s="52"/>
      <c r="Y37" s="137"/>
      <c r="Z37" s="55"/>
      <c r="AA37" s="55"/>
      <c r="AB37" s="55"/>
    </row>
    <row r="38" spans="1:28" ht="15" customHeight="1" x14ac:dyDescent="0.25">
      <c r="A38" s="38"/>
      <c r="B38" s="33"/>
      <c r="C38" s="33"/>
      <c r="D38" s="33"/>
      <c r="E38" s="33"/>
      <c r="F38" s="49"/>
      <c r="G38" s="49"/>
      <c r="H38" s="49"/>
      <c r="I38" s="49"/>
      <c r="J38" s="33"/>
      <c r="K38" s="49"/>
      <c r="L38" s="154"/>
      <c r="M38" s="157"/>
      <c r="N38" s="92"/>
      <c r="O38" s="121"/>
      <c r="P38" s="10"/>
      <c r="Q38" s="33"/>
      <c r="R38" s="108"/>
      <c r="S38" s="111"/>
      <c r="T38" s="113"/>
      <c r="U38" s="9"/>
      <c r="V38" s="38"/>
      <c r="W38" s="52"/>
      <c r="X38" s="52"/>
      <c r="Y38" s="137"/>
      <c r="Z38" s="55"/>
      <c r="AA38" s="55"/>
      <c r="AB38" s="55"/>
    </row>
    <row r="39" spans="1:28" x14ac:dyDescent="0.25">
      <c r="A39" s="38"/>
      <c r="B39" s="33"/>
      <c r="C39" s="33"/>
      <c r="D39" s="33"/>
      <c r="E39" s="33"/>
      <c r="F39" s="49"/>
      <c r="G39" s="49"/>
      <c r="H39" s="49"/>
      <c r="I39" s="49"/>
      <c r="J39" s="33"/>
      <c r="K39" s="49"/>
      <c r="L39" s="154"/>
      <c r="M39" s="157"/>
      <c r="N39" s="92"/>
      <c r="O39" s="121"/>
      <c r="P39" s="10"/>
      <c r="Q39" s="33"/>
      <c r="R39" s="108"/>
      <c r="S39" s="111"/>
      <c r="T39" s="113"/>
      <c r="U39" s="9"/>
      <c r="V39" s="38"/>
      <c r="W39" s="52"/>
      <c r="X39" s="52"/>
      <c r="Y39" s="137"/>
      <c r="Z39" s="55"/>
      <c r="AA39" s="55"/>
      <c r="AB39" s="55"/>
    </row>
    <row r="40" spans="1:28" x14ac:dyDescent="0.25">
      <c r="A40" s="38"/>
      <c r="B40" s="33"/>
      <c r="C40" s="33"/>
      <c r="D40" s="33"/>
      <c r="E40" s="33"/>
      <c r="F40" s="49"/>
      <c r="G40" s="49"/>
      <c r="H40" s="49"/>
      <c r="I40" s="49"/>
      <c r="J40" s="33"/>
      <c r="K40" s="49"/>
      <c r="L40" s="154"/>
      <c r="M40" s="157"/>
      <c r="N40" s="92"/>
      <c r="O40" s="121"/>
      <c r="P40" s="10"/>
      <c r="Q40" s="33"/>
      <c r="R40" s="108"/>
      <c r="S40" s="111"/>
      <c r="T40" s="113"/>
      <c r="U40" s="9"/>
      <c r="V40" s="38"/>
      <c r="W40" s="52"/>
      <c r="X40" s="52"/>
      <c r="Y40" s="137"/>
      <c r="Z40" s="55"/>
      <c r="AA40" s="55"/>
      <c r="AB40" s="55"/>
    </row>
    <row r="41" spans="1:28" x14ac:dyDescent="0.25">
      <c r="A41" s="38"/>
      <c r="B41" s="33"/>
      <c r="C41" s="33"/>
      <c r="D41" s="33"/>
      <c r="E41" s="33"/>
      <c r="F41" s="49"/>
      <c r="G41" s="49"/>
      <c r="H41" s="49"/>
      <c r="I41" s="49"/>
      <c r="J41" s="33"/>
      <c r="K41" s="49"/>
      <c r="L41" s="154"/>
      <c r="M41" s="157"/>
      <c r="N41" s="92"/>
      <c r="O41" s="121"/>
      <c r="P41" s="10"/>
      <c r="Q41" s="33"/>
      <c r="R41" s="108"/>
      <c r="S41" s="111"/>
      <c r="T41" s="113"/>
      <c r="U41" s="9"/>
      <c r="V41" s="38"/>
      <c r="W41" s="52"/>
      <c r="X41" s="52"/>
      <c r="Y41" s="137"/>
      <c r="Z41" s="55"/>
      <c r="AA41" s="55"/>
      <c r="AB41" s="55"/>
    </row>
    <row r="42" spans="1:28" x14ac:dyDescent="0.25">
      <c r="A42" s="38"/>
      <c r="B42" s="33"/>
      <c r="C42" s="33"/>
      <c r="D42" s="33"/>
      <c r="E42" s="33"/>
      <c r="F42" s="49"/>
      <c r="G42" s="49"/>
      <c r="H42" s="49"/>
      <c r="I42" s="49"/>
      <c r="J42" s="33"/>
      <c r="K42" s="49"/>
      <c r="L42" s="154"/>
      <c r="M42" s="157"/>
      <c r="N42" s="92"/>
      <c r="O42" s="121"/>
      <c r="P42" s="10"/>
      <c r="Q42" s="33"/>
      <c r="R42" s="108"/>
      <c r="S42" s="111"/>
      <c r="T42" s="113"/>
      <c r="U42" s="9"/>
      <c r="V42" s="38"/>
      <c r="W42" s="52"/>
      <c r="X42" s="52"/>
      <c r="Y42" s="137"/>
      <c r="Z42" s="55"/>
      <c r="AA42" s="55"/>
      <c r="AB42" s="55"/>
    </row>
    <row r="43" spans="1:28" x14ac:dyDescent="0.25">
      <c r="A43" s="38"/>
      <c r="B43" s="33"/>
      <c r="C43" s="33"/>
      <c r="D43" s="33"/>
      <c r="E43" s="33"/>
      <c r="F43" s="49"/>
      <c r="G43" s="49"/>
      <c r="H43" s="49"/>
      <c r="I43" s="49"/>
      <c r="J43" s="33"/>
      <c r="K43" s="49"/>
      <c r="L43" s="154"/>
      <c r="M43" s="157"/>
      <c r="N43" s="92"/>
      <c r="O43" s="121"/>
      <c r="P43" s="10"/>
      <c r="Q43" s="33"/>
      <c r="R43" s="108"/>
      <c r="S43" s="111"/>
      <c r="T43" s="113"/>
      <c r="U43" s="9"/>
      <c r="V43" s="38"/>
      <c r="W43" s="52"/>
      <c r="X43" s="52"/>
      <c r="Y43" s="137"/>
      <c r="Z43" s="55"/>
      <c r="AA43" s="55"/>
      <c r="AB43" s="55"/>
    </row>
    <row r="44" spans="1:28" x14ac:dyDescent="0.25">
      <c r="A44" s="38"/>
      <c r="B44" s="33"/>
      <c r="C44" s="33"/>
      <c r="D44" s="33"/>
      <c r="E44" s="33"/>
      <c r="F44" s="49"/>
      <c r="G44" s="49"/>
      <c r="H44" s="49"/>
      <c r="I44" s="49"/>
      <c r="J44" s="33"/>
      <c r="K44" s="49"/>
      <c r="L44" s="154"/>
      <c r="M44" s="157"/>
      <c r="N44" s="92"/>
      <c r="O44" s="121"/>
      <c r="P44" s="10"/>
      <c r="Q44" s="33"/>
      <c r="R44" s="108"/>
      <c r="S44" s="111"/>
      <c r="T44" s="113"/>
      <c r="U44" s="9"/>
      <c r="V44" s="38"/>
      <c r="W44" s="52"/>
      <c r="X44" s="52"/>
      <c r="Y44" s="137"/>
      <c r="Z44" s="55"/>
      <c r="AA44" s="55"/>
      <c r="AB44" s="55"/>
    </row>
    <row r="45" spans="1:28" x14ac:dyDescent="0.25">
      <c r="A45" s="38"/>
      <c r="B45" s="33"/>
      <c r="C45" s="33"/>
      <c r="D45" s="33"/>
      <c r="E45" s="33"/>
      <c r="F45" s="49"/>
      <c r="G45" s="49"/>
      <c r="H45" s="49"/>
      <c r="I45" s="49"/>
      <c r="J45" s="33"/>
      <c r="K45" s="49"/>
      <c r="L45" s="154"/>
      <c r="M45" s="157"/>
      <c r="N45" s="92"/>
      <c r="O45" s="121"/>
      <c r="P45" s="10"/>
      <c r="Q45" s="33"/>
      <c r="R45" s="108"/>
      <c r="S45" s="111"/>
      <c r="T45" s="113"/>
      <c r="U45" s="9"/>
      <c r="V45" s="38"/>
      <c r="W45" s="52"/>
      <c r="X45" s="52"/>
      <c r="Y45" s="137"/>
      <c r="Z45" s="55"/>
      <c r="AA45" s="55"/>
      <c r="AB45" s="55"/>
    </row>
    <row r="46" spans="1:28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54"/>
      <c r="M46" s="157"/>
      <c r="N46" s="92"/>
      <c r="O46" s="121"/>
      <c r="P46" s="10"/>
      <c r="Q46" s="33"/>
      <c r="R46" s="108"/>
      <c r="S46" s="111"/>
      <c r="T46" s="113"/>
      <c r="U46" s="9"/>
      <c r="V46" s="38"/>
      <c r="W46" s="52"/>
      <c r="X46" s="52"/>
      <c r="Y46" s="137"/>
      <c r="Z46" s="55"/>
      <c r="AA46" s="55"/>
      <c r="AB46" s="55"/>
    </row>
    <row r="47" spans="1:28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54"/>
      <c r="M47" s="157"/>
      <c r="N47" s="92"/>
      <c r="O47" s="121"/>
      <c r="P47" s="10"/>
      <c r="Q47" s="33"/>
      <c r="R47" s="108"/>
      <c r="S47" s="111"/>
      <c r="T47" s="113"/>
      <c r="U47" s="9"/>
      <c r="V47" s="38"/>
      <c r="W47" s="52"/>
      <c r="X47" s="52"/>
      <c r="Y47" s="137"/>
      <c r="Z47" s="55"/>
      <c r="AA47" s="55"/>
      <c r="AB47" s="55"/>
    </row>
    <row r="48" spans="1:28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54"/>
      <c r="M48" s="157"/>
      <c r="N48" s="92"/>
      <c r="O48" s="121"/>
      <c r="P48" s="10"/>
      <c r="Q48" s="33"/>
      <c r="R48" s="108"/>
      <c r="S48" s="111"/>
      <c r="T48" s="113"/>
      <c r="U48" s="9"/>
      <c r="V48" s="38"/>
      <c r="W48" s="52"/>
      <c r="X48" s="52"/>
      <c r="Y48" s="137"/>
      <c r="Z48" s="55"/>
      <c r="AA48" s="55"/>
      <c r="AB48" s="55"/>
    </row>
    <row r="49" spans="1:28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54"/>
      <c r="M49" s="157"/>
      <c r="N49" s="92"/>
      <c r="O49" s="121"/>
      <c r="P49" s="10"/>
      <c r="Q49" s="33"/>
      <c r="R49" s="108"/>
      <c r="S49" s="111"/>
      <c r="T49" s="113"/>
      <c r="U49" s="9"/>
      <c r="V49" s="38"/>
      <c r="W49" s="52"/>
      <c r="X49" s="52"/>
      <c r="Y49" s="137"/>
      <c r="Z49" s="55"/>
      <c r="AA49" s="55"/>
      <c r="AB49" s="55"/>
    </row>
    <row r="50" spans="1:28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54"/>
      <c r="M50" s="157"/>
      <c r="N50" s="92"/>
      <c r="O50" s="121"/>
      <c r="P50" s="10"/>
      <c r="Q50" s="33"/>
      <c r="R50" s="108"/>
      <c r="S50" s="111"/>
      <c r="T50" s="113"/>
      <c r="U50" s="9"/>
      <c r="V50" s="38"/>
      <c r="W50" s="52"/>
      <c r="X50" s="52"/>
      <c r="Y50" s="137"/>
      <c r="Z50" s="55"/>
      <c r="AA50" s="55"/>
      <c r="AB50" s="55"/>
    </row>
    <row r="51" spans="1:28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54"/>
      <c r="M51" s="157"/>
      <c r="N51" s="92"/>
      <c r="O51" s="121"/>
      <c r="P51" s="10"/>
      <c r="Q51" s="33"/>
      <c r="R51" s="108"/>
      <c r="S51" s="111"/>
      <c r="T51" s="113"/>
      <c r="U51" s="9"/>
      <c r="V51" s="38"/>
      <c r="W51" s="52"/>
      <c r="X51" s="52"/>
      <c r="Y51" s="137"/>
      <c r="Z51" s="55"/>
      <c r="AA51" s="55"/>
      <c r="AB51" s="55"/>
    </row>
    <row r="52" spans="1:28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54"/>
      <c r="M52" s="157"/>
      <c r="N52" s="92"/>
      <c r="O52" s="121"/>
      <c r="P52" s="10"/>
      <c r="Q52" s="33"/>
      <c r="R52" s="108"/>
      <c r="S52" s="111"/>
      <c r="T52" s="113"/>
      <c r="U52" s="9"/>
      <c r="V52" s="38"/>
      <c r="W52" s="52"/>
      <c r="X52" s="52"/>
      <c r="Y52" s="137"/>
      <c r="Z52" s="55"/>
      <c r="AA52" s="55"/>
      <c r="AB52" s="55"/>
    </row>
    <row r="53" spans="1:28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54"/>
      <c r="M53" s="157"/>
      <c r="N53" s="92"/>
      <c r="O53" s="121"/>
      <c r="P53" s="10"/>
      <c r="Q53" s="33"/>
      <c r="R53" s="108"/>
      <c r="S53" s="111"/>
      <c r="T53" s="113"/>
      <c r="U53" s="9"/>
      <c r="V53" s="38"/>
      <c r="W53" s="52"/>
      <c r="X53" s="52"/>
      <c r="Y53" s="137"/>
      <c r="Z53" s="55"/>
      <c r="AA53" s="55"/>
      <c r="AB53" s="55"/>
    </row>
    <row r="54" spans="1:28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54"/>
      <c r="M54" s="157"/>
      <c r="N54" s="92"/>
      <c r="O54" s="121"/>
      <c r="P54" s="10"/>
      <c r="Q54" s="33"/>
      <c r="R54" s="108"/>
      <c r="S54" s="111"/>
      <c r="T54" s="113"/>
      <c r="U54" s="9"/>
      <c r="V54" s="38"/>
      <c r="W54" s="52"/>
      <c r="X54" s="52"/>
      <c r="Y54" s="137"/>
      <c r="Z54" s="55"/>
      <c r="AA54" s="55"/>
      <c r="AB54" s="55"/>
    </row>
    <row r="55" spans="1:28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54"/>
      <c r="M55" s="157"/>
      <c r="N55" s="92"/>
      <c r="O55" s="121"/>
      <c r="P55" s="10"/>
      <c r="Q55" s="33"/>
      <c r="R55" s="108"/>
      <c r="S55" s="111"/>
      <c r="T55" s="113"/>
      <c r="U55" s="9"/>
      <c r="V55" s="38"/>
      <c r="W55" s="52"/>
      <c r="X55" s="52"/>
      <c r="Y55" s="137"/>
      <c r="Z55" s="55"/>
      <c r="AA55" s="55"/>
      <c r="AB55" s="55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54"/>
      <c r="M56" s="157"/>
      <c r="N56" s="92"/>
      <c r="O56" s="121"/>
      <c r="P56" s="10"/>
      <c r="Q56" s="33"/>
      <c r="R56" s="108"/>
      <c r="S56" s="111"/>
      <c r="T56" s="113"/>
      <c r="U56" s="9"/>
      <c r="V56" s="38"/>
      <c r="W56" s="52"/>
      <c r="X56" s="52"/>
      <c r="Y56" s="137"/>
      <c r="Z56" s="55"/>
      <c r="AA56" s="55"/>
      <c r="AB56" s="55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54"/>
      <c r="M57" s="157"/>
      <c r="N57" s="92"/>
      <c r="O57" s="121"/>
      <c r="P57" s="10"/>
      <c r="Q57" s="33"/>
      <c r="R57" s="108"/>
      <c r="S57" s="111"/>
      <c r="T57" s="113"/>
      <c r="U57" s="9"/>
      <c r="V57" s="38"/>
      <c r="W57" s="52"/>
      <c r="X57" s="52"/>
      <c r="Y57" s="137"/>
      <c r="Z57" s="55"/>
      <c r="AA57" s="55"/>
      <c r="AB57" s="55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54"/>
      <c r="M58" s="157"/>
      <c r="N58" s="92"/>
      <c r="O58" s="121"/>
      <c r="P58" s="10"/>
      <c r="Q58" s="33"/>
      <c r="R58" s="108"/>
      <c r="S58" s="111"/>
      <c r="T58" s="113"/>
      <c r="U58" s="9"/>
      <c r="V58" s="38"/>
      <c r="W58" s="52"/>
      <c r="X58" s="52"/>
      <c r="Y58" s="137"/>
      <c r="Z58" s="55"/>
      <c r="AA58" s="55"/>
      <c r="AB58" s="55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54"/>
      <c r="M59" s="157"/>
      <c r="N59" s="92"/>
      <c r="O59" s="121"/>
      <c r="P59" s="10"/>
      <c r="Q59" s="33"/>
      <c r="R59" s="108"/>
      <c r="S59" s="111"/>
      <c r="T59" s="113"/>
      <c r="U59" s="9"/>
      <c r="V59" s="38"/>
      <c r="W59" s="52"/>
      <c r="X59" s="52"/>
      <c r="Y59" s="137"/>
      <c r="Z59" s="55"/>
      <c r="AA59" s="55"/>
      <c r="AB59" s="55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4"/>
      <c r="M60" s="157"/>
      <c r="N60" s="92"/>
      <c r="O60" s="121"/>
      <c r="P60" s="10"/>
      <c r="Q60" s="33"/>
      <c r="R60" s="108"/>
      <c r="S60" s="111"/>
      <c r="T60" s="113"/>
      <c r="U60" s="9"/>
      <c r="V60" s="38"/>
      <c r="W60" s="52"/>
      <c r="X60" s="52"/>
      <c r="Y60" s="137"/>
      <c r="Z60" s="55"/>
      <c r="AA60" s="55"/>
      <c r="AB60" s="55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4"/>
      <c r="M61" s="157"/>
      <c r="N61" s="92"/>
      <c r="O61" s="121"/>
      <c r="P61" s="10"/>
      <c r="Q61" s="33"/>
      <c r="R61" s="108"/>
      <c r="S61" s="111"/>
      <c r="T61" s="113"/>
      <c r="U61" s="9"/>
      <c r="V61" s="38"/>
      <c r="W61" s="52"/>
      <c r="X61" s="52"/>
      <c r="Y61" s="137"/>
      <c r="Z61" s="55"/>
      <c r="AA61" s="55"/>
      <c r="AB61" s="55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4"/>
      <c r="M62" s="157"/>
      <c r="N62" s="92"/>
      <c r="O62" s="121"/>
      <c r="P62" s="10"/>
      <c r="Q62" s="33"/>
      <c r="R62" s="108"/>
      <c r="S62" s="111"/>
      <c r="T62" s="113"/>
      <c r="U62" s="9"/>
      <c r="V62" s="38"/>
      <c r="W62" s="52"/>
      <c r="X62" s="52"/>
      <c r="Y62" s="137"/>
      <c r="Z62" s="55"/>
      <c r="AA62" s="55"/>
      <c r="AB62" s="55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4"/>
      <c r="M63" s="157"/>
      <c r="N63" s="92"/>
      <c r="O63" s="121"/>
      <c r="P63" s="10"/>
      <c r="Q63" s="33"/>
      <c r="R63" s="108"/>
      <c r="S63" s="111"/>
      <c r="T63" s="113"/>
      <c r="U63" s="9"/>
      <c r="V63" s="38"/>
      <c r="W63" s="52"/>
      <c r="X63" s="52"/>
      <c r="Y63" s="137"/>
      <c r="Z63" s="55"/>
      <c r="AA63" s="55"/>
      <c r="AB63" s="55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4"/>
      <c r="M64" s="157"/>
      <c r="N64" s="92"/>
      <c r="O64" s="121"/>
      <c r="P64" s="10"/>
      <c r="Q64" s="33"/>
      <c r="R64" s="108"/>
      <c r="S64" s="111"/>
      <c r="T64" s="113"/>
      <c r="U64" s="9"/>
      <c r="V64" s="38"/>
      <c r="W64" s="52"/>
      <c r="X64" s="52"/>
      <c r="Y64" s="137"/>
      <c r="Z64" s="55"/>
      <c r="AA64" s="55"/>
      <c r="AB64" s="55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4"/>
      <c r="M65" s="157"/>
      <c r="N65" s="92"/>
      <c r="O65" s="121"/>
      <c r="P65" s="10"/>
      <c r="Q65" s="33"/>
      <c r="R65" s="108"/>
      <c r="S65" s="111"/>
      <c r="T65" s="113"/>
      <c r="U65" s="9"/>
      <c r="V65" s="38"/>
      <c r="W65" s="52"/>
      <c r="X65" s="52"/>
      <c r="Y65" s="137"/>
      <c r="Z65" s="55"/>
      <c r="AA65" s="55"/>
      <c r="AB65" s="55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4"/>
      <c r="M66" s="157"/>
      <c r="N66" s="92"/>
      <c r="O66" s="121"/>
      <c r="P66" s="10"/>
      <c r="Q66" s="33"/>
      <c r="R66" s="108"/>
      <c r="S66" s="111"/>
      <c r="T66" s="113"/>
      <c r="U66" s="9"/>
      <c r="V66" s="38"/>
      <c r="W66" s="52"/>
      <c r="X66" s="52"/>
      <c r="Y66" s="137"/>
      <c r="Z66" s="55"/>
      <c r="AA66" s="55"/>
      <c r="AB66" s="55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4"/>
      <c r="M67" s="157"/>
      <c r="N67" s="92"/>
      <c r="O67" s="121"/>
      <c r="P67" s="10"/>
      <c r="Q67" s="33"/>
      <c r="R67" s="108"/>
      <c r="S67" s="111"/>
      <c r="T67" s="113"/>
      <c r="U67" s="9"/>
      <c r="V67" s="38"/>
      <c r="W67" s="52"/>
      <c r="X67" s="52"/>
      <c r="Y67" s="137"/>
      <c r="Z67" s="55"/>
      <c r="AA67" s="55"/>
      <c r="AB67" s="55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4"/>
      <c r="M68" s="157"/>
      <c r="N68" s="92"/>
      <c r="O68" s="121"/>
      <c r="P68" s="10"/>
      <c r="Q68" s="33"/>
      <c r="R68" s="108"/>
      <c r="S68" s="111"/>
      <c r="T68" s="113"/>
      <c r="U68" s="9"/>
      <c r="V68" s="38"/>
      <c r="W68" s="52"/>
      <c r="X68" s="52"/>
      <c r="Y68" s="137"/>
      <c r="Z68" s="55"/>
      <c r="AA68" s="55"/>
      <c r="AB68" s="55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4"/>
      <c r="M69" s="157"/>
      <c r="N69" s="92"/>
      <c r="O69" s="121"/>
      <c r="P69" s="10"/>
      <c r="Q69" s="33"/>
      <c r="R69" s="108"/>
      <c r="S69" s="111"/>
      <c r="T69" s="113"/>
      <c r="U69" s="9"/>
      <c r="V69" s="38"/>
      <c r="W69" s="52"/>
      <c r="X69" s="52"/>
      <c r="Y69" s="137"/>
      <c r="Z69" s="55"/>
      <c r="AA69" s="55"/>
      <c r="AB69" s="55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4"/>
      <c r="M70" s="157"/>
      <c r="N70" s="92"/>
      <c r="O70" s="121"/>
      <c r="P70" s="10"/>
      <c r="Q70" s="33"/>
      <c r="R70" s="108"/>
      <c r="S70" s="111"/>
      <c r="T70" s="113"/>
      <c r="U70" s="9"/>
      <c r="V70" s="38"/>
      <c r="W70" s="52"/>
      <c r="X70" s="52"/>
      <c r="Y70" s="137"/>
      <c r="Z70" s="55"/>
      <c r="AA70" s="55"/>
      <c r="AB70" s="55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4"/>
      <c r="M71" s="157"/>
      <c r="N71" s="92"/>
      <c r="O71" s="121"/>
      <c r="P71" s="10"/>
      <c r="Q71" s="33"/>
      <c r="R71" s="108"/>
      <c r="S71" s="111"/>
      <c r="T71" s="113"/>
      <c r="U71" s="9"/>
      <c r="V71" s="38"/>
      <c r="W71" s="52"/>
      <c r="X71" s="52"/>
      <c r="Y71" s="137"/>
      <c r="Z71" s="55"/>
      <c r="AA71" s="55"/>
      <c r="AB71" s="55"/>
    </row>
    <row r="72" spans="1:28" x14ac:dyDescent="0.25">
      <c r="B72" s="23"/>
      <c r="C72" s="23"/>
      <c r="D72" s="23"/>
      <c r="E72" s="23"/>
      <c r="J72" s="23"/>
    </row>
  </sheetData>
  <autoFilter ref="A6:AB67"/>
  <sortState ref="A7:X83">
    <sortCondition ref="W7:W83"/>
    <sortCondition ref="E7:E83"/>
    <sortCondition ref="K7:K83"/>
    <sortCondition ref="C7:C83"/>
    <sortCondition ref="F7:F83"/>
  </sortState>
  <mergeCells count="1">
    <mergeCell ref="A5:O5"/>
  </mergeCells>
  <conditionalFormatting sqref="O6:P6 R6 O7:O1048576">
    <cfRule type="cellIs" dxfId="2" priority="14" operator="equal">
      <formula>"Y"</formula>
    </cfRule>
  </conditionalFormatting>
  <conditionalFormatting sqref="A7:P71">
    <cfRule type="expression" dxfId="1" priority="7">
      <formula>$O7="Y"</formula>
    </cfRule>
  </conditionalFormatting>
  <conditionalFormatting sqref="O2:O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AB7:AB52</xm:sqref>
        </x14:dataValidation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7"/>
  <sheetViews>
    <sheetView workbookViewId="0">
      <selection activeCell="I3" sqref="I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20" bestFit="1" customWidth="1"/>
    <col min="4" max="4" width="9.85546875" style="116" bestFit="1" customWidth="1"/>
    <col min="5" max="5" width="45.140625" bestFit="1" customWidth="1"/>
    <col min="6" max="6" width="18.140625" customWidth="1"/>
    <col min="7" max="7" width="17" customWidth="1"/>
    <col min="8" max="8" width="14.140625" customWidth="1"/>
    <col min="9" max="10" width="9.140625" customWidth="1"/>
  </cols>
  <sheetData>
    <row r="1" spans="1:11" s="23" customFormat="1" x14ac:dyDescent="0.25">
      <c r="A1" s="165"/>
      <c r="B1" s="176" t="str">
        <f>"Trips that did not appear in PTC Data "&amp;TEXT(Variables!$A$2,"YYYY-mm-dd")</f>
        <v>Trips that did not appear in PTC Data 2016-09-10</v>
      </c>
      <c r="C1" s="176"/>
      <c r="D1" s="176"/>
      <c r="E1" s="176"/>
      <c r="F1" s="176"/>
    </row>
    <row r="2" spans="1:11" s="26" customFormat="1" ht="45" x14ac:dyDescent="0.25">
      <c r="A2" s="174" t="s">
        <v>175</v>
      </c>
      <c r="B2" s="128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116</v>
      </c>
    </row>
    <row r="3" spans="1:11" x14ac:dyDescent="0.25">
      <c r="A3" s="165">
        <v>1803</v>
      </c>
      <c r="B3" s="2" t="str">
        <f>A3&amp;"-"&amp;IF(DAY(Variables!$A$2)&lt;10,0,"")&amp;DAY(Variables!$A$2)</f>
        <v>1803-10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221803-10%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-10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-10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-10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-10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7" s="23"/>
      <c r="K7" s="23"/>
    </row>
    <row r="8" spans="1:11" x14ac:dyDescent="0.25">
      <c r="C8" s="114"/>
      <c r="D8" s="114"/>
      <c r="I8" s="23"/>
      <c r="J8" s="23"/>
      <c r="K8" s="23"/>
    </row>
    <row r="9" spans="1:11" x14ac:dyDescent="0.25">
      <c r="C9" s="114"/>
      <c r="D9" s="114"/>
      <c r="I9" s="23"/>
      <c r="J9" s="23"/>
      <c r="K9" s="23"/>
    </row>
    <row r="10" spans="1:11" x14ac:dyDescent="0.25">
      <c r="C10" s="114"/>
      <c r="D10" s="114"/>
      <c r="I10" s="23"/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C35" s="114"/>
      <c r="D35" s="114"/>
      <c r="I35" s="23"/>
      <c r="J35" s="23"/>
      <c r="K35" s="23"/>
    </row>
    <row r="36" spans="3:11" x14ac:dyDescent="0.25">
      <c r="C36" s="114"/>
      <c r="D36" s="114"/>
      <c r="I36" s="23"/>
      <c r="J36" s="23"/>
      <c r="K36" s="23"/>
    </row>
    <row r="37" spans="3:11" x14ac:dyDescent="0.25">
      <c r="C37" s="114"/>
      <c r="D37" s="114"/>
      <c r="I37" s="23"/>
      <c r="J37" s="23"/>
      <c r="K37" s="23"/>
    </row>
    <row r="38" spans="3:11" x14ac:dyDescent="0.25">
      <c r="C38" s="114"/>
      <c r="D38" s="114"/>
      <c r="I38" s="23"/>
      <c r="J38" s="23"/>
      <c r="K38" s="23"/>
    </row>
    <row r="39" spans="3:11" x14ac:dyDescent="0.25">
      <c r="C39" s="114"/>
      <c r="D39" s="114"/>
      <c r="I39" s="23"/>
      <c r="J39" s="23"/>
      <c r="K39" s="23"/>
    </row>
    <row r="40" spans="3:11" x14ac:dyDescent="0.25">
      <c r="C40" s="114"/>
      <c r="D40" s="114"/>
      <c r="I40" s="23"/>
      <c r="J40" s="23"/>
      <c r="K40" s="23"/>
    </row>
    <row r="41" spans="3:11" x14ac:dyDescent="0.25">
      <c r="C41" s="114"/>
      <c r="D41" s="114"/>
      <c r="I41" s="23"/>
      <c r="J41" s="23"/>
      <c r="K41" s="23"/>
    </row>
    <row r="42" spans="3:11" x14ac:dyDescent="0.25">
      <c r="C42" s="114"/>
      <c r="D42" s="114"/>
      <c r="I42" s="23"/>
      <c r="J42" s="23"/>
      <c r="K42" s="23"/>
    </row>
    <row r="43" spans="3:11" x14ac:dyDescent="0.25">
      <c r="C43" s="114"/>
      <c r="D43" s="114"/>
      <c r="I43" s="23"/>
      <c r="J43" s="23"/>
      <c r="K43" s="23"/>
    </row>
    <row r="44" spans="3:11" x14ac:dyDescent="0.25">
      <c r="C44" s="114"/>
      <c r="D44" s="114"/>
      <c r="I44" s="23"/>
      <c r="J44" s="23"/>
      <c r="K44" s="23"/>
    </row>
    <row r="45" spans="3:11" x14ac:dyDescent="0.25">
      <c r="C45" s="114"/>
      <c r="D45" s="114"/>
      <c r="I45" s="23"/>
      <c r="J45" s="23"/>
      <c r="K45" s="23"/>
    </row>
    <row r="46" spans="3:11" x14ac:dyDescent="0.25">
      <c r="C46" s="114"/>
      <c r="D46" s="114"/>
      <c r="I46" s="23"/>
      <c r="J46" s="23"/>
      <c r="K46" s="23"/>
    </row>
    <row r="47" spans="3:11" x14ac:dyDescent="0.25">
      <c r="I47" s="23"/>
      <c r="J47" s="23"/>
      <c r="K47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>
        <v>42623.038472222222</v>
      </c>
      <c r="B1" s="23" t="s">
        <v>279</v>
      </c>
      <c r="C1" s="23" t="s">
        <v>392</v>
      </c>
      <c r="D1" s="23">
        <v>1800000</v>
      </c>
      <c r="E1" s="23" t="s">
        <v>389</v>
      </c>
      <c r="F1" s="23" t="str">
        <f>B1</f>
        <v>rtdc.l.rtdc.4015:itc</v>
      </c>
      <c r="G1" s="8">
        <f>A1</f>
        <v>42623.038472222222</v>
      </c>
    </row>
    <row r="2" spans="1:7" x14ac:dyDescent="0.25">
      <c r="A2" s="8">
        <v>42623.194479166668</v>
      </c>
      <c r="B2" s="23" t="s">
        <v>407</v>
      </c>
      <c r="C2" s="23" t="s">
        <v>428</v>
      </c>
      <c r="D2" s="23">
        <v>1310000</v>
      </c>
      <c r="E2" s="23" t="s">
        <v>325</v>
      </c>
      <c r="F2" s="23" t="str">
        <f t="shared" ref="F2:F65" si="0">B2</f>
        <v>rtdc.l.rtdc.4001:itc</v>
      </c>
      <c r="G2" s="8">
        <f t="shared" ref="G2:G65" si="1">A2</f>
        <v>42623.194479166668</v>
      </c>
    </row>
    <row r="3" spans="1:7" x14ac:dyDescent="0.25">
      <c r="A3" s="8">
        <v>42623.205358796295</v>
      </c>
      <c r="B3" s="23" t="s">
        <v>130</v>
      </c>
      <c r="C3" s="23" t="s">
        <v>437</v>
      </c>
      <c r="D3" s="23">
        <v>1100000</v>
      </c>
      <c r="E3" s="23" t="s">
        <v>698</v>
      </c>
      <c r="F3" s="23" t="str">
        <f t="shared" si="0"/>
        <v>rtdc.l.rtdc.4038:itc</v>
      </c>
      <c r="G3" s="8">
        <f t="shared" si="1"/>
        <v>42623.205358796295</v>
      </c>
    </row>
    <row r="4" spans="1:7" x14ac:dyDescent="0.25">
      <c r="A4" s="8">
        <v>42623.210972222223</v>
      </c>
      <c r="B4" s="23" t="s">
        <v>699</v>
      </c>
      <c r="C4" s="23" t="s">
        <v>440</v>
      </c>
      <c r="D4" s="23">
        <v>2010000</v>
      </c>
      <c r="E4" s="23" t="s">
        <v>193</v>
      </c>
      <c r="F4" s="23" t="str">
        <f t="shared" si="0"/>
        <v>rtdc.l.rtdc.4029:itc</v>
      </c>
      <c r="G4" s="8">
        <f t="shared" si="1"/>
        <v>42623.210972222223</v>
      </c>
    </row>
    <row r="5" spans="1:7" x14ac:dyDescent="0.25">
      <c r="A5" s="8">
        <v>42623.211956018517</v>
      </c>
      <c r="B5" s="23" t="s">
        <v>399</v>
      </c>
      <c r="C5" s="23" t="s">
        <v>430</v>
      </c>
      <c r="D5" s="23">
        <v>1260000</v>
      </c>
      <c r="E5" s="23" t="s">
        <v>700</v>
      </c>
      <c r="F5" s="23" t="str">
        <f t="shared" si="0"/>
        <v>rtdc.l.rtdc.4013:itc</v>
      </c>
      <c r="G5" s="8">
        <f t="shared" si="1"/>
        <v>42623.211956018517</v>
      </c>
    </row>
    <row r="6" spans="1:7" x14ac:dyDescent="0.25">
      <c r="A6" s="8">
        <v>42623.212268518517</v>
      </c>
      <c r="B6" s="23" t="s">
        <v>699</v>
      </c>
      <c r="C6" s="23" t="s">
        <v>440</v>
      </c>
      <c r="D6" s="23">
        <v>2010000</v>
      </c>
      <c r="E6" s="23" t="s">
        <v>193</v>
      </c>
      <c r="F6" s="23" t="str">
        <f t="shared" si="0"/>
        <v>rtdc.l.rtdc.4029:itc</v>
      </c>
      <c r="G6" s="8">
        <f t="shared" si="1"/>
        <v>42623.212268518517</v>
      </c>
    </row>
    <row r="7" spans="1:7" x14ac:dyDescent="0.25">
      <c r="A7" s="8">
        <v>42623.230150462965</v>
      </c>
      <c r="B7" s="23" t="s">
        <v>187</v>
      </c>
      <c r="C7" s="23" t="s">
        <v>433</v>
      </c>
      <c r="D7" s="23">
        <v>1990000</v>
      </c>
      <c r="E7" s="23" t="s">
        <v>385</v>
      </c>
      <c r="F7" s="23" t="str">
        <f t="shared" si="0"/>
        <v>rtdc.l.rtdc.4010:itc</v>
      </c>
      <c r="G7" s="8">
        <f t="shared" si="1"/>
        <v>42623.230150462965</v>
      </c>
    </row>
    <row r="8" spans="1:7" x14ac:dyDescent="0.25">
      <c r="A8" s="8">
        <v>42623.230474537035</v>
      </c>
      <c r="B8" s="23" t="s">
        <v>176</v>
      </c>
      <c r="C8" s="23" t="s">
        <v>441</v>
      </c>
      <c r="D8" s="23">
        <v>1780000</v>
      </c>
      <c r="E8" s="23" t="s">
        <v>701</v>
      </c>
      <c r="F8" s="23" t="str">
        <f t="shared" si="0"/>
        <v>rtdc.l.rtdc.4011:itc</v>
      </c>
      <c r="G8" s="8">
        <f t="shared" si="1"/>
        <v>42623.230474537035</v>
      </c>
    </row>
    <row r="9" spans="1:7" ht="15.75" thickBot="1" x14ac:dyDescent="0.3">
      <c r="A9" s="27">
        <v>42623.235543981478</v>
      </c>
      <c r="B9" s="23" t="s">
        <v>110</v>
      </c>
      <c r="C9" s="23" t="s">
        <v>525</v>
      </c>
      <c r="D9" s="23">
        <v>1830000</v>
      </c>
      <c r="E9" s="23" t="s">
        <v>702</v>
      </c>
      <c r="F9" s="23" t="str">
        <f t="shared" si="0"/>
        <v>rtdc.l.rtdc.4032:itc</v>
      </c>
      <c r="G9" s="8">
        <f t="shared" si="1"/>
        <v>42623.235543981478</v>
      </c>
    </row>
    <row r="10" spans="1:7" x14ac:dyDescent="0.25">
      <c r="A10" s="8">
        <v>42623.237280092595</v>
      </c>
      <c r="B10" s="23" t="s">
        <v>401</v>
      </c>
      <c r="C10" s="23" t="s">
        <v>443</v>
      </c>
      <c r="D10" s="23">
        <v>1310000</v>
      </c>
      <c r="E10" s="23" t="s">
        <v>325</v>
      </c>
      <c r="F10" s="23" t="str">
        <f t="shared" si="0"/>
        <v>rtdc.l.rtdc.4002:itc</v>
      </c>
      <c r="G10" s="8">
        <f t="shared" si="1"/>
        <v>42623.237280092595</v>
      </c>
    </row>
    <row r="11" spans="1:7" x14ac:dyDescent="0.25">
      <c r="A11" s="8">
        <v>42623.238310185188</v>
      </c>
      <c r="B11" s="23" t="s">
        <v>401</v>
      </c>
      <c r="C11" s="23" t="s">
        <v>443</v>
      </c>
      <c r="D11" s="23">
        <v>1310000</v>
      </c>
      <c r="E11" s="23" t="s">
        <v>325</v>
      </c>
      <c r="F11" s="23" t="str">
        <f t="shared" si="0"/>
        <v>rtdc.l.rtdc.4002:itc</v>
      </c>
      <c r="G11" s="8">
        <f t="shared" si="1"/>
        <v>42623.238310185188</v>
      </c>
    </row>
    <row r="12" spans="1:7" x14ac:dyDescent="0.25">
      <c r="A12" s="8">
        <v>42623.244560185187</v>
      </c>
      <c r="B12" s="23" t="s">
        <v>280</v>
      </c>
      <c r="C12" s="23" t="s">
        <v>395</v>
      </c>
      <c r="D12" s="23">
        <v>1100000</v>
      </c>
      <c r="E12" s="23" t="s">
        <v>698</v>
      </c>
      <c r="F12" s="23" t="str">
        <f t="shared" si="0"/>
        <v>rtdc.l.rtdc.4037:itc</v>
      </c>
      <c r="G12" s="8">
        <f t="shared" si="1"/>
        <v>42623.244560185187</v>
      </c>
    </row>
    <row r="13" spans="1:7" x14ac:dyDescent="0.25">
      <c r="A13" s="8">
        <v>42623.247337962966</v>
      </c>
      <c r="B13" s="23" t="s">
        <v>109</v>
      </c>
      <c r="C13" s="23" t="s">
        <v>527</v>
      </c>
      <c r="D13" s="23">
        <v>1830000</v>
      </c>
      <c r="E13" s="23" t="s">
        <v>702</v>
      </c>
      <c r="F13" s="23" t="str">
        <f t="shared" si="0"/>
        <v>rtdc.l.rtdc.4031:itc</v>
      </c>
      <c r="G13" s="8">
        <f t="shared" si="1"/>
        <v>42623.247337962966</v>
      </c>
    </row>
    <row r="14" spans="1:7" x14ac:dyDescent="0.25">
      <c r="A14" s="8">
        <v>42623.247743055559</v>
      </c>
      <c r="B14" s="23" t="s">
        <v>281</v>
      </c>
      <c r="C14" s="23" t="s">
        <v>394</v>
      </c>
      <c r="D14" s="23">
        <v>2030000</v>
      </c>
      <c r="E14" s="23" t="s">
        <v>703</v>
      </c>
      <c r="F14" s="23" t="str">
        <f t="shared" si="0"/>
        <v>rtdc.l.rtdc.4039:itc</v>
      </c>
      <c r="G14" s="8">
        <f t="shared" si="1"/>
        <v>42623.247743055559</v>
      </c>
    </row>
    <row r="15" spans="1:7" x14ac:dyDescent="0.25">
      <c r="A15" s="8">
        <v>42623.249641203707</v>
      </c>
      <c r="B15" s="23" t="s">
        <v>194</v>
      </c>
      <c r="C15" s="23" t="s">
        <v>396</v>
      </c>
      <c r="D15" s="23">
        <v>1260000</v>
      </c>
      <c r="E15" s="23" t="s">
        <v>700</v>
      </c>
      <c r="F15" s="23" t="str">
        <f t="shared" si="0"/>
        <v>rtdc.l.rtdc.4046:itc</v>
      </c>
      <c r="G15" s="8">
        <f t="shared" si="1"/>
        <v>42623.249641203707</v>
      </c>
    </row>
    <row r="16" spans="1:7" x14ac:dyDescent="0.25">
      <c r="A16" s="8">
        <v>42623.250601851854</v>
      </c>
      <c r="B16" s="23" t="s">
        <v>194</v>
      </c>
      <c r="C16" s="23" t="s">
        <v>396</v>
      </c>
      <c r="D16" s="23">
        <v>1260000</v>
      </c>
      <c r="E16" s="23" t="s">
        <v>700</v>
      </c>
      <c r="F16" s="23" t="str">
        <f t="shared" si="0"/>
        <v>rtdc.l.rtdc.4046:itc</v>
      </c>
      <c r="G16" s="8">
        <f t="shared" si="1"/>
        <v>42623.250601851854</v>
      </c>
    </row>
    <row r="17" spans="1:7" x14ac:dyDescent="0.25">
      <c r="A17" s="8">
        <v>42623.251423611109</v>
      </c>
      <c r="B17" s="23" t="s">
        <v>194</v>
      </c>
      <c r="C17" s="23" t="s">
        <v>396</v>
      </c>
      <c r="D17" s="23">
        <v>1260000</v>
      </c>
      <c r="E17" s="23" t="s">
        <v>700</v>
      </c>
      <c r="F17" s="23" t="str">
        <f t="shared" si="0"/>
        <v>rtdc.l.rtdc.4046:itc</v>
      </c>
      <c r="G17" s="8">
        <f t="shared" si="1"/>
        <v>42623.251423611109</v>
      </c>
    </row>
    <row r="18" spans="1:7" x14ac:dyDescent="0.25">
      <c r="A18" s="8">
        <v>42623.253935185188</v>
      </c>
      <c r="B18" s="23" t="s">
        <v>107</v>
      </c>
      <c r="C18" s="23" t="s">
        <v>449</v>
      </c>
      <c r="D18" s="23">
        <v>1360000</v>
      </c>
      <c r="E18" s="23" t="s">
        <v>188</v>
      </c>
      <c r="F18" s="23" t="str">
        <f t="shared" si="0"/>
        <v>rtdc.l.rtdc.4014:itc</v>
      </c>
      <c r="G18" s="8">
        <f t="shared" si="1"/>
        <v>42623.253935185188</v>
      </c>
    </row>
    <row r="19" spans="1:7" x14ac:dyDescent="0.25">
      <c r="A19" s="8">
        <v>42623.254710648151</v>
      </c>
      <c r="B19" s="23" t="s">
        <v>107</v>
      </c>
      <c r="C19" s="23" t="s">
        <v>449</v>
      </c>
      <c r="D19" s="23">
        <v>1360000</v>
      </c>
      <c r="E19" s="23" t="s">
        <v>188</v>
      </c>
      <c r="F19" s="23" t="str">
        <f t="shared" si="0"/>
        <v>rtdc.l.rtdc.4014:itc</v>
      </c>
      <c r="G19" s="8">
        <f t="shared" si="1"/>
        <v>42623.254710648151</v>
      </c>
    </row>
    <row r="20" spans="1:7" x14ac:dyDescent="0.25">
      <c r="A20" s="8">
        <v>42623.256620370368</v>
      </c>
      <c r="B20" s="23" t="s">
        <v>107</v>
      </c>
      <c r="C20" s="23" t="s">
        <v>449</v>
      </c>
      <c r="D20" s="23">
        <v>1360000</v>
      </c>
      <c r="E20" s="23" t="s">
        <v>188</v>
      </c>
      <c r="F20" s="23" t="str">
        <f t="shared" si="0"/>
        <v>rtdc.l.rtdc.4014:itc</v>
      </c>
      <c r="G20" s="8">
        <f t="shared" si="1"/>
        <v>42623.256620370368</v>
      </c>
    </row>
    <row r="21" spans="1:7" x14ac:dyDescent="0.25">
      <c r="A21" s="8">
        <v>42623.262789351851</v>
      </c>
      <c r="B21" s="23" t="s">
        <v>182</v>
      </c>
      <c r="C21" s="23" t="s">
        <v>442</v>
      </c>
      <c r="D21" s="23">
        <v>1780000</v>
      </c>
      <c r="E21" s="23" t="s">
        <v>701</v>
      </c>
      <c r="F21" s="23" t="str">
        <f t="shared" si="0"/>
        <v>rtdc.l.rtdc.4012:itc</v>
      </c>
      <c r="G21" s="8">
        <f t="shared" si="1"/>
        <v>42623.262789351851</v>
      </c>
    </row>
    <row r="22" spans="1:7" x14ac:dyDescent="0.25">
      <c r="A22" s="29">
        <v>42623.27306712963</v>
      </c>
      <c r="B22" s="23" t="s">
        <v>328</v>
      </c>
      <c r="C22" s="23" t="s">
        <v>397</v>
      </c>
      <c r="D22" s="23">
        <v>2030000</v>
      </c>
      <c r="E22" s="23" t="s">
        <v>703</v>
      </c>
      <c r="F22" s="23" t="str">
        <f t="shared" si="0"/>
        <v>rtdc.l.rtdc.4040:itc</v>
      </c>
      <c r="G22" s="8">
        <f t="shared" si="1"/>
        <v>42623.27306712963</v>
      </c>
    </row>
    <row r="23" spans="1:7" x14ac:dyDescent="0.25">
      <c r="A23" s="8">
        <v>42623.275937500002</v>
      </c>
      <c r="B23" s="23" t="s">
        <v>110</v>
      </c>
      <c r="C23" s="23" t="s">
        <v>529</v>
      </c>
      <c r="D23" s="23">
        <v>1830000</v>
      </c>
      <c r="E23" s="23" t="s">
        <v>702</v>
      </c>
      <c r="F23" s="23" t="str">
        <f t="shared" si="0"/>
        <v>rtdc.l.rtdc.4032:itc</v>
      </c>
      <c r="G23" s="8">
        <f t="shared" si="1"/>
        <v>42623.275937500002</v>
      </c>
    </row>
    <row r="24" spans="1:7" x14ac:dyDescent="0.25">
      <c r="A24" s="8">
        <v>42623.278495370374</v>
      </c>
      <c r="B24" s="23" t="s">
        <v>407</v>
      </c>
      <c r="C24" s="23" t="s">
        <v>444</v>
      </c>
      <c r="D24" s="23">
        <v>1310000</v>
      </c>
      <c r="E24" s="23" t="s">
        <v>325</v>
      </c>
      <c r="F24" s="23" t="str">
        <f t="shared" si="0"/>
        <v>rtdc.l.rtdc.4001:itc</v>
      </c>
      <c r="G24" s="8">
        <f t="shared" si="1"/>
        <v>42623.278495370374</v>
      </c>
    </row>
    <row r="25" spans="1:7" x14ac:dyDescent="0.25">
      <c r="A25" s="8">
        <v>42623.279745370368</v>
      </c>
      <c r="B25" s="23" t="s">
        <v>130</v>
      </c>
      <c r="C25" s="23" t="s">
        <v>453</v>
      </c>
      <c r="D25" s="23">
        <v>1100000</v>
      </c>
      <c r="E25" s="23" t="s">
        <v>698</v>
      </c>
      <c r="F25" s="23" t="str">
        <f t="shared" si="0"/>
        <v>rtdc.l.rtdc.4038:itc</v>
      </c>
      <c r="G25" s="8">
        <f t="shared" si="1"/>
        <v>42623.279745370368</v>
      </c>
    </row>
    <row r="26" spans="1:7" x14ac:dyDescent="0.25">
      <c r="A26" s="8">
        <v>42623.284166666665</v>
      </c>
      <c r="B26" s="23" t="s">
        <v>414</v>
      </c>
      <c r="C26" s="23" t="s">
        <v>447</v>
      </c>
      <c r="D26" s="23">
        <v>1260000</v>
      </c>
      <c r="E26" s="23" t="s">
        <v>700</v>
      </c>
      <c r="F26" s="23" t="str">
        <f t="shared" si="0"/>
        <v>rtdc.l.rtdc.4045:itc</v>
      </c>
      <c r="G26" s="8">
        <f t="shared" si="1"/>
        <v>42623.284166666665</v>
      </c>
    </row>
    <row r="27" spans="1:7" x14ac:dyDescent="0.25">
      <c r="A27" s="8">
        <v>42623.287233796298</v>
      </c>
      <c r="B27" s="23" t="s">
        <v>399</v>
      </c>
      <c r="C27" s="23" t="s">
        <v>400</v>
      </c>
      <c r="D27" s="23">
        <v>1360000</v>
      </c>
      <c r="E27" s="23" t="s">
        <v>188</v>
      </c>
      <c r="F27" s="23" t="str">
        <f t="shared" si="0"/>
        <v>rtdc.l.rtdc.4013:itc</v>
      </c>
      <c r="G27" s="8">
        <f t="shared" si="1"/>
        <v>42623.287233796298</v>
      </c>
    </row>
    <row r="28" spans="1:7" x14ac:dyDescent="0.25">
      <c r="A28" s="8">
        <v>42623.291655092595</v>
      </c>
      <c r="B28" s="23" t="s">
        <v>132</v>
      </c>
      <c r="C28" s="23" t="s">
        <v>456</v>
      </c>
      <c r="D28" s="23">
        <v>2010000</v>
      </c>
      <c r="E28" s="23" t="s">
        <v>193</v>
      </c>
      <c r="F28" s="23" t="str">
        <f t="shared" si="0"/>
        <v>rtdc.l.rtdc.4009:itc</v>
      </c>
      <c r="G28" s="8">
        <f t="shared" si="1"/>
        <v>42623.291655092595</v>
      </c>
    </row>
    <row r="29" spans="1:7" x14ac:dyDescent="0.25">
      <c r="A29" s="8">
        <v>42623.299733796295</v>
      </c>
      <c r="B29" s="23" t="s">
        <v>176</v>
      </c>
      <c r="C29" s="23" t="s">
        <v>459</v>
      </c>
      <c r="D29" s="23">
        <v>1780000</v>
      </c>
      <c r="E29" s="23" t="s">
        <v>701</v>
      </c>
      <c r="F29" s="23" t="str">
        <f t="shared" si="0"/>
        <v>rtdc.l.rtdc.4011:itc</v>
      </c>
      <c r="G29" s="8">
        <f t="shared" si="1"/>
        <v>42623.299733796295</v>
      </c>
    </row>
    <row r="30" spans="1:7" x14ac:dyDescent="0.25">
      <c r="A30" s="8">
        <v>42623.305925925924</v>
      </c>
      <c r="B30" s="23" t="s">
        <v>281</v>
      </c>
      <c r="C30" s="23" t="s">
        <v>398</v>
      </c>
      <c r="D30" s="23">
        <v>2030000</v>
      </c>
      <c r="E30" s="23" t="s">
        <v>703</v>
      </c>
      <c r="F30" s="23" t="str">
        <f t="shared" si="0"/>
        <v>rtdc.l.rtdc.4039:itc</v>
      </c>
      <c r="G30" s="8">
        <f t="shared" si="1"/>
        <v>42623.305925925924</v>
      </c>
    </row>
    <row r="31" spans="1:7" x14ac:dyDescent="0.25">
      <c r="A31" s="8">
        <v>42623.31113425926</v>
      </c>
      <c r="B31" s="23" t="s">
        <v>401</v>
      </c>
      <c r="C31" s="23" t="s">
        <v>402</v>
      </c>
      <c r="D31" s="23">
        <v>1310000</v>
      </c>
      <c r="E31" s="23" t="s">
        <v>325</v>
      </c>
      <c r="F31" s="23" t="str">
        <f t="shared" si="0"/>
        <v>rtdc.l.rtdc.4002:itc</v>
      </c>
      <c r="G31" s="8">
        <f t="shared" si="1"/>
        <v>42623.31113425926</v>
      </c>
    </row>
    <row r="32" spans="1:7" x14ac:dyDescent="0.25">
      <c r="A32" s="8">
        <v>42623.316006944442</v>
      </c>
      <c r="B32" s="23" t="s">
        <v>280</v>
      </c>
      <c r="C32" s="23" t="s">
        <v>454</v>
      </c>
      <c r="D32" s="23">
        <v>1100000</v>
      </c>
      <c r="E32" s="23" t="s">
        <v>698</v>
      </c>
      <c r="F32" s="23" t="str">
        <f t="shared" si="0"/>
        <v>rtdc.l.rtdc.4037:itc</v>
      </c>
      <c r="G32" s="8">
        <f t="shared" si="1"/>
        <v>42623.316006944442</v>
      </c>
    </row>
    <row r="33" spans="1:7" x14ac:dyDescent="0.25">
      <c r="A33" s="8">
        <v>42623.318090277775</v>
      </c>
      <c r="B33" s="23" t="s">
        <v>110</v>
      </c>
      <c r="C33" s="23" t="s">
        <v>531</v>
      </c>
      <c r="D33" s="23">
        <v>1830000</v>
      </c>
      <c r="E33" s="23" t="s">
        <v>702</v>
      </c>
      <c r="F33" s="23" t="str">
        <f t="shared" si="0"/>
        <v>rtdc.l.rtdc.4032:itc</v>
      </c>
      <c r="G33" s="8">
        <f t="shared" si="1"/>
        <v>42623.318090277775</v>
      </c>
    </row>
    <row r="34" spans="1:7" x14ac:dyDescent="0.25">
      <c r="A34" s="8">
        <v>42623.318749999999</v>
      </c>
      <c r="B34" s="23" t="s">
        <v>194</v>
      </c>
      <c r="C34" s="23" t="s">
        <v>463</v>
      </c>
      <c r="D34" s="23">
        <v>1260000</v>
      </c>
      <c r="E34" s="23" t="s">
        <v>700</v>
      </c>
      <c r="F34" s="23" t="str">
        <f t="shared" si="0"/>
        <v>rtdc.l.rtdc.4046:itc</v>
      </c>
      <c r="G34" s="8">
        <f t="shared" si="1"/>
        <v>42623.318749999999</v>
      </c>
    </row>
    <row r="35" spans="1:7" x14ac:dyDescent="0.25">
      <c r="A35" s="8">
        <v>42623.324236111112</v>
      </c>
      <c r="B35" s="23" t="s">
        <v>187</v>
      </c>
      <c r="C35" s="23" t="s">
        <v>458</v>
      </c>
      <c r="D35" s="23">
        <v>2010000</v>
      </c>
      <c r="E35" s="23" t="s">
        <v>193</v>
      </c>
      <c r="F35" s="23" t="str">
        <f t="shared" si="0"/>
        <v>rtdc.l.rtdc.4010:itc</v>
      </c>
      <c r="G35" s="8">
        <f t="shared" si="1"/>
        <v>42623.324236111112</v>
      </c>
    </row>
    <row r="36" spans="1:7" x14ac:dyDescent="0.25">
      <c r="A36" s="8">
        <v>42623.328784722224</v>
      </c>
      <c r="B36" s="23" t="s">
        <v>107</v>
      </c>
      <c r="C36" s="23" t="s">
        <v>465</v>
      </c>
      <c r="D36" s="23">
        <v>1990000</v>
      </c>
      <c r="E36" s="23" t="s">
        <v>385</v>
      </c>
      <c r="F36" s="23" t="str">
        <f t="shared" si="0"/>
        <v>rtdc.l.rtdc.4014:itc</v>
      </c>
      <c r="G36" s="8">
        <f t="shared" si="1"/>
        <v>42623.328784722224</v>
      </c>
    </row>
    <row r="37" spans="1:7" x14ac:dyDescent="0.25">
      <c r="A37" s="8">
        <v>42623.33803240741</v>
      </c>
      <c r="B37" s="23" t="s">
        <v>182</v>
      </c>
      <c r="C37" s="23" t="s">
        <v>460</v>
      </c>
      <c r="D37" s="23">
        <v>1780000</v>
      </c>
      <c r="E37" s="23" t="s">
        <v>701</v>
      </c>
      <c r="F37" s="23" t="str">
        <f t="shared" si="0"/>
        <v>rtdc.l.rtdc.4012:itc</v>
      </c>
      <c r="G37" s="8">
        <f t="shared" si="1"/>
        <v>42623.33803240741</v>
      </c>
    </row>
    <row r="38" spans="1:7" x14ac:dyDescent="0.25">
      <c r="A38" s="8">
        <v>42623.338993055557</v>
      </c>
      <c r="B38" s="23" t="s">
        <v>328</v>
      </c>
      <c r="C38" s="23" t="s">
        <v>467</v>
      </c>
      <c r="D38" s="23">
        <v>2030000</v>
      </c>
      <c r="E38" s="23" t="s">
        <v>703</v>
      </c>
      <c r="F38" s="23" t="str">
        <f t="shared" si="0"/>
        <v>rtdc.l.rtdc.4040:itc</v>
      </c>
      <c r="G38" s="8">
        <f t="shared" si="1"/>
        <v>42623.338993055557</v>
      </c>
    </row>
    <row r="39" spans="1:7" x14ac:dyDescent="0.25">
      <c r="A39" s="8">
        <v>42623.347939814812</v>
      </c>
      <c r="B39" s="23" t="s">
        <v>109</v>
      </c>
      <c r="C39" s="23" t="s">
        <v>534</v>
      </c>
      <c r="D39" s="23">
        <v>1830000</v>
      </c>
      <c r="E39" s="23" t="s">
        <v>702</v>
      </c>
      <c r="F39" s="23" t="str">
        <f t="shared" si="0"/>
        <v>rtdc.l.rtdc.4031:itc</v>
      </c>
      <c r="G39" s="8">
        <f t="shared" si="1"/>
        <v>42623.347939814812</v>
      </c>
    </row>
    <row r="40" spans="1:7" x14ac:dyDescent="0.25">
      <c r="A40" s="8">
        <v>42623.348090277781</v>
      </c>
      <c r="B40" s="28" t="s">
        <v>407</v>
      </c>
      <c r="C40" s="23" t="s">
        <v>462</v>
      </c>
      <c r="D40" s="23">
        <v>1310000</v>
      </c>
      <c r="E40" s="23" t="s">
        <v>325</v>
      </c>
      <c r="F40" s="23" t="str">
        <f t="shared" si="0"/>
        <v>rtdc.l.rtdc.4001:itc</v>
      </c>
      <c r="G40" s="8">
        <f t="shared" si="1"/>
        <v>42623.348090277781</v>
      </c>
    </row>
    <row r="41" spans="1:7" x14ac:dyDescent="0.25">
      <c r="A41" s="8">
        <v>42623.349166666667</v>
      </c>
      <c r="B41" s="23" t="s">
        <v>130</v>
      </c>
      <c r="C41" s="23" t="s">
        <v>471</v>
      </c>
      <c r="D41" s="23">
        <v>1100000</v>
      </c>
      <c r="E41" s="23" t="s">
        <v>698</v>
      </c>
      <c r="F41" s="23" t="str">
        <f t="shared" si="0"/>
        <v>rtdc.l.rtdc.4038:itc</v>
      </c>
      <c r="G41" s="8">
        <f t="shared" si="1"/>
        <v>42623.349166666667</v>
      </c>
    </row>
    <row r="42" spans="1:7" x14ac:dyDescent="0.25">
      <c r="A42" s="8">
        <v>42623.356678240743</v>
      </c>
      <c r="B42" s="23" t="s">
        <v>414</v>
      </c>
      <c r="C42" s="23" t="s">
        <v>464</v>
      </c>
      <c r="D42" s="23">
        <v>1260000</v>
      </c>
      <c r="E42" s="23" t="s">
        <v>700</v>
      </c>
      <c r="F42" s="23" t="str">
        <f t="shared" si="0"/>
        <v>rtdc.l.rtdc.4045:itc</v>
      </c>
      <c r="G42" s="8">
        <f t="shared" si="1"/>
        <v>42623.356678240743</v>
      </c>
    </row>
    <row r="43" spans="1:7" x14ac:dyDescent="0.25">
      <c r="A43" s="8">
        <v>42623.359351851854</v>
      </c>
      <c r="B43" s="23" t="s">
        <v>110</v>
      </c>
      <c r="C43" s="23" t="s">
        <v>536</v>
      </c>
      <c r="D43" s="23">
        <v>1830000</v>
      </c>
      <c r="E43" s="23" t="s">
        <v>702</v>
      </c>
      <c r="F43" s="23" t="str">
        <f t="shared" si="0"/>
        <v>rtdc.l.rtdc.4032:itc</v>
      </c>
      <c r="G43" s="8">
        <f t="shared" si="1"/>
        <v>42623.359351851854</v>
      </c>
    </row>
    <row r="44" spans="1:7" x14ac:dyDescent="0.25">
      <c r="A44" s="8">
        <v>42623.361875000002</v>
      </c>
      <c r="B44" s="23" t="s">
        <v>132</v>
      </c>
      <c r="C44" s="23" t="s">
        <v>473</v>
      </c>
      <c r="D44" s="23">
        <v>2010000</v>
      </c>
      <c r="E44" s="23" t="s">
        <v>193</v>
      </c>
      <c r="F44" s="23" t="str">
        <f t="shared" si="0"/>
        <v>rtdc.l.rtdc.4009:itc</v>
      </c>
      <c r="G44" s="8">
        <f t="shared" si="1"/>
        <v>42623.361875000002</v>
      </c>
    </row>
    <row r="45" spans="1:7" x14ac:dyDescent="0.25">
      <c r="A45" s="8">
        <v>42623.368101851855</v>
      </c>
      <c r="B45" s="23" t="s">
        <v>399</v>
      </c>
      <c r="C45" s="23" t="s">
        <v>466</v>
      </c>
      <c r="D45" s="23">
        <v>1990000</v>
      </c>
      <c r="E45" s="23" t="s">
        <v>385</v>
      </c>
      <c r="F45" s="23" t="str">
        <f t="shared" si="0"/>
        <v>rtdc.l.rtdc.4013:itc</v>
      </c>
      <c r="G45" s="8">
        <f t="shared" si="1"/>
        <v>42623.368101851855</v>
      </c>
    </row>
    <row r="46" spans="1:7" x14ac:dyDescent="0.25">
      <c r="A46" s="8">
        <v>42623.37395833333</v>
      </c>
      <c r="B46" s="23" t="s">
        <v>176</v>
      </c>
      <c r="C46" s="23" t="s">
        <v>404</v>
      </c>
      <c r="D46" s="23">
        <v>2220000</v>
      </c>
      <c r="E46" s="23" t="s">
        <v>386</v>
      </c>
      <c r="F46" s="23" t="str">
        <f t="shared" si="0"/>
        <v>rtdc.l.rtdc.4011:itc</v>
      </c>
      <c r="G46" s="8">
        <f t="shared" si="1"/>
        <v>42623.37395833333</v>
      </c>
    </row>
    <row r="47" spans="1:7" x14ac:dyDescent="0.25">
      <c r="A47" s="8">
        <v>42623.375185185185</v>
      </c>
      <c r="B47" s="23" t="s">
        <v>281</v>
      </c>
      <c r="C47" s="23" t="s">
        <v>469</v>
      </c>
      <c r="D47" s="23">
        <v>2030000</v>
      </c>
      <c r="E47" s="23" t="s">
        <v>703</v>
      </c>
      <c r="F47" s="23" t="str">
        <f t="shared" si="0"/>
        <v>rtdc.l.rtdc.4039:itc</v>
      </c>
      <c r="G47" s="8">
        <f t="shared" si="1"/>
        <v>42623.375185185185</v>
      </c>
    </row>
    <row r="48" spans="1:7" x14ac:dyDescent="0.25">
      <c r="A48" s="8">
        <v>42623.384513888886</v>
      </c>
      <c r="B48" s="23" t="s">
        <v>401</v>
      </c>
      <c r="C48" s="23" t="s">
        <v>403</v>
      </c>
      <c r="D48" s="23">
        <v>1310000</v>
      </c>
      <c r="E48" s="23" t="s">
        <v>325</v>
      </c>
      <c r="F48" s="23" t="str">
        <f t="shared" si="0"/>
        <v>rtdc.l.rtdc.4002:itc</v>
      </c>
      <c r="G48" s="8">
        <f t="shared" si="1"/>
        <v>42623.384513888886</v>
      </c>
    </row>
    <row r="49" spans="1:7" x14ac:dyDescent="0.25">
      <c r="A49" s="8">
        <v>42623.387824074074</v>
      </c>
      <c r="B49" s="23" t="s">
        <v>109</v>
      </c>
      <c r="C49" s="23" t="s">
        <v>538</v>
      </c>
      <c r="D49" s="23">
        <v>1830000</v>
      </c>
      <c r="E49" s="23" t="s">
        <v>702</v>
      </c>
      <c r="F49" s="23" t="str">
        <f t="shared" si="0"/>
        <v>rtdc.l.rtdc.4031:itc</v>
      </c>
      <c r="G49" s="8">
        <f t="shared" si="1"/>
        <v>42623.387824074074</v>
      </c>
    </row>
    <row r="50" spans="1:7" x14ac:dyDescent="0.25">
      <c r="A50" s="8">
        <v>42623.389421296299</v>
      </c>
      <c r="B50" s="23" t="s">
        <v>280</v>
      </c>
      <c r="C50" s="23" t="s">
        <v>472</v>
      </c>
      <c r="D50" s="23">
        <v>1100000</v>
      </c>
      <c r="E50" s="23" t="s">
        <v>698</v>
      </c>
      <c r="F50" s="23" t="str">
        <f t="shared" si="0"/>
        <v>rtdc.l.rtdc.4037:itc</v>
      </c>
      <c r="G50" s="8">
        <f t="shared" si="1"/>
        <v>42623.389421296299</v>
      </c>
    </row>
    <row r="51" spans="1:7" x14ac:dyDescent="0.25">
      <c r="A51" s="8">
        <v>42623.391759259262</v>
      </c>
      <c r="B51" s="23" t="s">
        <v>194</v>
      </c>
      <c r="C51" s="23" t="s">
        <v>480</v>
      </c>
      <c r="D51" s="23">
        <v>1260000</v>
      </c>
      <c r="E51" s="23" t="s">
        <v>700</v>
      </c>
      <c r="F51" s="23" t="str">
        <f t="shared" si="0"/>
        <v>rtdc.l.rtdc.4046:itc</v>
      </c>
      <c r="G51" s="8">
        <f t="shared" si="1"/>
        <v>42623.391759259262</v>
      </c>
    </row>
    <row r="52" spans="1:7" x14ac:dyDescent="0.25">
      <c r="A52" s="8">
        <v>42623.393090277779</v>
      </c>
      <c r="B52" s="23" t="s">
        <v>89</v>
      </c>
      <c r="C52" s="23" t="s">
        <v>689</v>
      </c>
      <c r="D52" s="23">
        <v>1740000</v>
      </c>
      <c r="E52" s="23" t="s">
        <v>704</v>
      </c>
      <c r="F52" s="23" t="str">
        <f t="shared" si="0"/>
        <v>rtdc.l.rtdc.4030:itc</v>
      </c>
      <c r="G52" s="8">
        <f t="shared" si="1"/>
        <v>42623.393090277779</v>
      </c>
    </row>
    <row r="53" spans="1:7" x14ac:dyDescent="0.25">
      <c r="A53" s="8">
        <v>42623.397696759261</v>
      </c>
      <c r="B53" s="23" t="s">
        <v>187</v>
      </c>
      <c r="C53" s="23" t="s">
        <v>474</v>
      </c>
      <c r="D53" s="23">
        <v>2010000</v>
      </c>
      <c r="E53" s="23" t="s">
        <v>193</v>
      </c>
      <c r="F53" s="23" t="str">
        <f t="shared" si="0"/>
        <v>rtdc.l.rtdc.4010:itc</v>
      </c>
      <c r="G53" s="8">
        <f t="shared" si="1"/>
        <v>42623.397696759261</v>
      </c>
    </row>
    <row r="54" spans="1:7" x14ac:dyDescent="0.25">
      <c r="A54" s="8">
        <v>42623.401053240741</v>
      </c>
      <c r="B54" s="23" t="s">
        <v>110</v>
      </c>
      <c r="C54" s="23" t="s">
        <v>541</v>
      </c>
      <c r="D54" s="23">
        <v>1830000</v>
      </c>
      <c r="E54" s="23" t="s">
        <v>702</v>
      </c>
      <c r="F54" s="23" t="str">
        <f t="shared" si="0"/>
        <v>rtdc.l.rtdc.4032:itc</v>
      </c>
      <c r="G54" s="8">
        <f t="shared" si="1"/>
        <v>42623.401053240741</v>
      </c>
    </row>
    <row r="55" spans="1:7" x14ac:dyDescent="0.25">
      <c r="A55" s="8">
        <v>42623.40320601852</v>
      </c>
      <c r="B55" s="23" t="s">
        <v>107</v>
      </c>
      <c r="C55" s="23" t="s">
        <v>484</v>
      </c>
      <c r="D55" s="23">
        <v>1990000</v>
      </c>
      <c r="E55" s="23" t="s">
        <v>385</v>
      </c>
      <c r="F55" s="23" t="str">
        <f t="shared" si="0"/>
        <v>rtdc.l.rtdc.4014:itc</v>
      </c>
      <c r="G55" s="8">
        <f t="shared" si="1"/>
        <v>42623.40320601852</v>
      </c>
    </row>
    <row r="56" spans="1:7" x14ac:dyDescent="0.25">
      <c r="A56" s="8">
        <v>42623.405173611114</v>
      </c>
      <c r="B56" s="23" t="s">
        <v>182</v>
      </c>
      <c r="C56" s="23" t="s">
        <v>476</v>
      </c>
      <c r="D56" s="23">
        <v>2220000</v>
      </c>
      <c r="E56" s="23" t="s">
        <v>386</v>
      </c>
      <c r="F56" s="23" t="str">
        <f t="shared" si="0"/>
        <v>rtdc.l.rtdc.4012:itc</v>
      </c>
      <c r="G56" s="8">
        <f t="shared" si="1"/>
        <v>42623.405173611114</v>
      </c>
    </row>
    <row r="57" spans="1:7" x14ac:dyDescent="0.25">
      <c r="A57" s="8">
        <v>42623.411574074074</v>
      </c>
      <c r="B57" s="23" t="s">
        <v>328</v>
      </c>
      <c r="C57" s="23" t="s">
        <v>486</v>
      </c>
      <c r="D57" s="23">
        <v>2030000</v>
      </c>
      <c r="E57" s="23" t="s">
        <v>703</v>
      </c>
      <c r="F57" s="23" t="str">
        <f t="shared" si="0"/>
        <v>rtdc.l.rtdc.4040:itc</v>
      </c>
      <c r="G57" s="8">
        <f t="shared" si="1"/>
        <v>42623.411574074074</v>
      </c>
    </row>
    <row r="58" spans="1:7" x14ac:dyDescent="0.25">
      <c r="A58" s="8">
        <v>42623.421678240738</v>
      </c>
      <c r="B58" s="23" t="s">
        <v>407</v>
      </c>
      <c r="C58" s="23" t="s">
        <v>408</v>
      </c>
      <c r="D58" s="23">
        <v>1310000</v>
      </c>
      <c r="E58" s="23" t="s">
        <v>325</v>
      </c>
      <c r="F58" s="23" t="str">
        <f t="shared" si="0"/>
        <v>rtdc.l.rtdc.4001:itc</v>
      </c>
      <c r="G58" s="8">
        <f t="shared" si="1"/>
        <v>42623.421678240738</v>
      </c>
    </row>
    <row r="59" spans="1:7" x14ac:dyDescent="0.25">
      <c r="A59" s="8">
        <v>42623.4221412037</v>
      </c>
      <c r="B59" s="23" t="s">
        <v>130</v>
      </c>
      <c r="C59" s="23" t="s">
        <v>489</v>
      </c>
      <c r="D59" s="23">
        <v>1100000</v>
      </c>
      <c r="E59" s="23" t="s">
        <v>698</v>
      </c>
      <c r="F59" s="23" t="str">
        <f t="shared" si="0"/>
        <v>rtdc.l.rtdc.4038:itc</v>
      </c>
      <c r="G59" s="8">
        <f t="shared" si="1"/>
        <v>42623.4221412037</v>
      </c>
    </row>
    <row r="60" spans="1:7" x14ac:dyDescent="0.25">
      <c r="A60" s="8">
        <v>42623.428749999999</v>
      </c>
      <c r="B60" s="23" t="s">
        <v>414</v>
      </c>
      <c r="C60" s="23" t="s">
        <v>481</v>
      </c>
      <c r="D60" s="23">
        <v>1260000</v>
      </c>
      <c r="E60" s="23" t="s">
        <v>700</v>
      </c>
      <c r="F60" s="23" t="str">
        <f t="shared" si="0"/>
        <v>rtdc.l.rtdc.4045:itc</v>
      </c>
      <c r="G60" s="8">
        <f t="shared" si="1"/>
        <v>42623.428749999999</v>
      </c>
    </row>
    <row r="61" spans="1:7" x14ac:dyDescent="0.25">
      <c r="A61" s="8">
        <v>42623.430856481478</v>
      </c>
      <c r="B61" s="23" t="s">
        <v>109</v>
      </c>
      <c r="C61" s="23" t="s">
        <v>542</v>
      </c>
      <c r="D61" s="23">
        <v>1830000</v>
      </c>
      <c r="E61" s="23" t="s">
        <v>702</v>
      </c>
      <c r="F61" s="23" t="str">
        <f t="shared" si="0"/>
        <v>rtdc.l.rtdc.4031:itc</v>
      </c>
      <c r="G61" s="8">
        <f t="shared" si="1"/>
        <v>42623.430856481478</v>
      </c>
    </row>
    <row r="62" spans="1:7" x14ac:dyDescent="0.25">
      <c r="A62" s="8">
        <v>42623.434756944444</v>
      </c>
      <c r="B62" s="23" t="s">
        <v>132</v>
      </c>
      <c r="C62" s="23" t="s">
        <v>491</v>
      </c>
      <c r="D62" s="23">
        <v>930000</v>
      </c>
      <c r="E62" s="23" t="s">
        <v>388</v>
      </c>
      <c r="F62" s="23" t="str">
        <f t="shared" si="0"/>
        <v>rtdc.l.rtdc.4009:itc</v>
      </c>
      <c r="G62" s="8">
        <f t="shared" si="1"/>
        <v>42623.434756944444</v>
      </c>
    </row>
    <row r="63" spans="1:7" x14ac:dyDescent="0.25">
      <c r="A63" s="8">
        <v>42623.436550925922</v>
      </c>
      <c r="B63" s="23" t="s">
        <v>405</v>
      </c>
      <c r="C63" s="23" t="s">
        <v>406</v>
      </c>
      <c r="D63" s="23">
        <v>1280000</v>
      </c>
      <c r="E63" s="23" t="s">
        <v>705</v>
      </c>
      <c r="F63" s="23" t="str">
        <f t="shared" si="0"/>
        <v>rtdc.l.rtdc.4004:itc</v>
      </c>
      <c r="G63" s="8">
        <f t="shared" si="1"/>
        <v>42623.436550925922</v>
      </c>
    </row>
    <row r="64" spans="1:7" x14ac:dyDescent="0.25">
      <c r="A64" s="29">
        <v>42623.442499999997</v>
      </c>
      <c r="B64" s="23" t="s">
        <v>399</v>
      </c>
      <c r="C64" s="23" t="s">
        <v>485</v>
      </c>
      <c r="D64" s="23">
        <v>1990000</v>
      </c>
      <c r="E64" s="23" t="s">
        <v>385</v>
      </c>
      <c r="F64" s="23" t="str">
        <f t="shared" si="0"/>
        <v>rtdc.l.rtdc.4013:itc</v>
      </c>
      <c r="G64" s="8">
        <f t="shared" si="1"/>
        <v>42623.442499999997</v>
      </c>
    </row>
    <row r="65" spans="1:7" x14ac:dyDescent="0.25">
      <c r="A65" s="8">
        <v>42623.442511574074</v>
      </c>
      <c r="B65" s="23" t="s">
        <v>110</v>
      </c>
      <c r="C65" s="23" t="s">
        <v>546</v>
      </c>
      <c r="D65" s="23">
        <v>1830000</v>
      </c>
      <c r="E65" s="23" t="s">
        <v>702</v>
      </c>
      <c r="F65" s="23" t="str">
        <f t="shared" si="0"/>
        <v>rtdc.l.rtdc.4032:itc</v>
      </c>
      <c r="G65" s="8">
        <f t="shared" si="1"/>
        <v>42623.442511574074</v>
      </c>
    </row>
    <row r="66" spans="1:7" x14ac:dyDescent="0.25">
      <c r="A66" s="8">
        <v>42623.444386574076</v>
      </c>
      <c r="B66" s="23" t="s">
        <v>176</v>
      </c>
      <c r="C66" s="23" t="s">
        <v>494</v>
      </c>
      <c r="D66" s="23">
        <v>1780000</v>
      </c>
      <c r="E66" s="23" t="s">
        <v>701</v>
      </c>
      <c r="F66" s="23" t="str">
        <f t="shared" ref="F66:F129" si="2">B66</f>
        <v>rtdc.l.rtdc.4011:itc</v>
      </c>
      <c r="G66" s="8">
        <f t="shared" ref="G66:G129" si="3">A66</f>
        <v>42623.444386574076</v>
      </c>
    </row>
    <row r="67" spans="1:7" x14ac:dyDescent="0.25">
      <c r="A67" s="8">
        <v>42623.44771990741</v>
      </c>
      <c r="B67" s="23" t="s">
        <v>281</v>
      </c>
      <c r="C67" s="23" t="s">
        <v>488</v>
      </c>
      <c r="D67" s="23">
        <v>2030000</v>
      </c>
      <c r="E67" s="23" t="s">
        <v>703</v>
      </c>
      <c r="F67" s="23" t="str">
        <f t="shared" si="2"/>
        <v>rtdc.l.rtdc.4039:itc</v>
      </c>
      <c r="G67" s="8">
        <f t="shared" si="3"/>
        <v>42623.44771990741</v>
      </c>
    </row>
    <row r="68" spans="1:7" x14ac:dyDescent="0.25">
      <c r="A68" s="8">
        <v>42623.459560185183</v>
      </c>
      <c r="B68" s="23" t="s">
        <v>401</v>
      </c>
      <c r="C68" s="23" t="s">
        <v>496</v>
      </c>
      <c r="D68" s="23">
        <v>880000</v>
      </c>
      <c r="E68" s="23" t="s">
        <v>387</v>
      </c>
      <c r="F68" s="23" t="str">
        <f t="shared" si="2"/>
        <v>rtdc.l.rtdc.4002:itc</v>
      </c>
      <c r="G68" s="8">
        <f t="shared" si="3"/>
        <v>42623.459560185183</v>
      </c>
    </row>
    <row r="69" spans="1:7" x14ac:dyDescent="0.25">
      <c r="A69" s="8">
        <v>42623.464363425926</v>
      </c>
      <c r="B69" s="23" t="s">
        <v>280</v>
      </c>
      <c r="C69" s="23" t="s">
        <v>490</v>
      </c>
      <c r="D69" s="23">
        <v>1100000</v>
      </c>
      <c r="E69" s="23" t="s">
        <v>698</v>
      </c>
      <c r="F69" s="23" t="str">
        <f t="shared" si="2"/>
        <v>rtdc.l.rtdc.4037:itc</v>
      </c>
      <c r="G69" s="8">
        <f t="shared" si="3"/>
        <v>42623.464363425926</v>
      </c>
    </row>
    <row r="70" spans="1:7" x14ac:dyDescent="0.25">
      <c r="A70" s="8">
        <v>42623.46675925926</v>
      </c>
      <c r="B70" s="23" t="s">
        <v>194</v>
      </c>
      <c r="C70" s="23" t="s">
        <v>498</v>
      </c>
      <c r="D70" s="23">
        <v>1280000</v>
      </c>
      <c r="E70" s="23" t="s">
        <v>705</v>
      </c>
      <c r="F70" s="23" t="str">
        <f t="shared" si="2"/>
        <v>rtdc.l.rtdc.4046:itc</v>
      </c>
      <c r="G70" s="8">
        <f t="shared" si="3"/>
        <v>42623.46675925926</v>
      </c>
    </row>
    <row r="71" spans="1:7" x14ac:dyDescent="0.25">
      <c r="A71" s="8">
        <v>42623.470752314817</v>
      </c>
      <c r="B71" s="23" t="s">
        <v>109</v>
      </c>
      <c r="C71" s="23" t="s">
        <v>548</v>
      </c>
      <c r="D71" s="23">
        <v>1830000</v>
      </c>
      <c r="E71" s="23" t="s">
        <v>702</v>
      </c>
      <c r="F71" s="23" t="str">
        <f t="shared" si="2"/>
        <v>rtdc.l.rtdc.4031:itc</v>
      </c>
      <c r="G71" s="8">
        <f t="shared" si="3"/>
        <v>42623.470752314817</v>
      </c>
    </row>
    <row r="72" spans="1:7" x14ac:dyDescent="0.25">
      <c r="A72" s="8">
        <v>42623.475243055553</v>
      </c>
      <c r="B72" s="23" t="s">
        <v>187</v>
      </c>
      <c r="C72" s="23" t="s">
        <v>493</v>
      </c>
      <c r="D72" s="23">
        <v>930000</v>
      </c>
      <c r="E72" s="23" t="s">
        <v>388</v>
      </c>
      <c r="F72" s="23" t="str">
        <f t="shared" si="2"/>
        <v>rtdc.l.rtdc.4010:itc</v>
      </c>
      <c r="G72" s="8">
        <f t="shared" si="3"/>
        <v>42623.475243055553</v>
      </c>
    </row>
    <row r="73" spans="1:7" x14ac:dyDescent="0.25">
      <c r="A73" s="8">
        <v>42623.483252314814</v>
      </c>
      <c r="B73" s="23" t="s">
        <v>107</v>
      </c>
      <c r="C73" s="23" t="s">
        <v>501</v>
      </c>
      <c r="D73" s="23">
        <v>2040000</v>
      </c>
      <c r="E73" s="23" t="s">
        <v>196</v>
      </c>
      <c r="F73" s="23" t="str">
        <f t="shared" si="2"/>
        <v>rtdc.l.rtdc.4014:itc</v>
      </c>
      <c r="G73" s="8">
        <f t="shared" si="3"/>
        <v>42623.483252314814</v>
      </c>
    </row>
    <row r="74" spans="1:7" x14ac:dyDescent="0.25">
      <c r="A74" s="8">
        <v>42623.483807870369</v>
      </c>
      <c r="B74" s="23" t="s">
        <v>110</v>
      </c>
      <c r="C74" s="23" t="s">
        <v>550</v>
      </c>
      <c r="D74" s="23">
        <v>1830000</v>
      </c>
      <c r="E74" s="23" t="s">
        <v>702</v>
      </c>
      <c r="F74" s="23" t="str">
        <f t="shared" si="2"/>
        <v>rtdc.l.rtdc.4032:itc</v>
      </c>
      <c r="G74" s="8">
        <f t="shared" si="3"/>
        <v>42623.483807870369</v>
      </c>
    </row>
    <row r="75" spans="1:7" x14ac:dyDescent="0.25">
      <c r="A75" s="8">
        <v>42623.484270833331</v>
      </c>
      <c r="B75" s="23" t="s">
        <v>182</v>
      </c>
      <c r="C75" s="23" t="s">
        <v>495</v>
      </c>
      <c r="D75" s="23">
        <v>1780000</v>
      </c>
      <c r="E75" s="23" t="s">
        <v>701</v>
      </c>
      <c r="F75" s="23" t="str">
        <f t="shared" si="2"/>
        <v>rtdc.l.rtdc.4012:itc</v>
      </c>
      <c r="G75" s="8">
        <f t="shared" si="3"/>
        <v>42623.484270833331</v>
      </c>
    </row>
    <row r="76" spans="1:7" x14ac:dyDescent="0.25">
      <c r="A76" s="8">
        <v>42623.486192129632</v>
      </c>
      <c r="B76" s="23" t="s">
        <v>328</v>
      </c>
      <c r="C76" s="23" t="s">
        <v>503</v>
      </c>
      <c r="D76" s="23">
        <v>2020000</v>
      </c>
      <c r="E76" s="23" t="s">
        <v>326</v>
      </c>
      <c r="F76" s="23" t="str">
        <f t="shared" si="2"/>
        <v>rtdc.l.rtdc.4040:itc</v>
      </c>
      <c r="G76" s="8">
        <f t="shared" si="3"/>
        <v>42623.486192129632</v>
      </c>
    </row>
    <row r="77" spans="1:7" x14ac:dyDescent="0.25">
      <c r="A77" s="8">
        <v>42623.493969907409</v>
      </c>
      <c r="B77" s="23" t="s">
        <v>407</v>
      </c>
      <c r="C77" s="23" t="s">
        <v>497</v>
      </c>
      <c r="D77" s="23">
        <v>880000</v>
      </c>
      <c r="E77" s="23" t="s">
        <v>387</v>
      </c>
      <c r="F77" s="23" t="str">
        <f t="shared" si="2"/>
        <v>rtdc.l.rtdc.4001:itc</v>
      </c>
      <c r="G77" s="8">
        <f t="shared" si="3"/>
        <v>42623.493969907409</v>
      </c>
    </row>
    <row r="78" spans="1:7" x14ac:dyDescent="0.25">
      <c r="A78" s="8">
        <v>42623.497395833336</v>
      </c>
      <c r="B78" s="23" t="s">
        <v>414</v>
      </c>
      <c r="C78" s="23" t="s">
        <v>500</v>
      </c>
      <c r="D78" s="23">
        <v>1280000</v>
      </c>
      <c r="E78" s="23" t="s">
        <v>705</v>
      </c>
      <c r="F78" s="23" t="str">
        <f t="shared" si="2"/>
        <v>rtdc.l.rtdc.4045:itc</v>
      </c>
      <c r="G78" s="8">
        <f t="shared" si="3"/>
        <v>42623.497395833336</v>
      </c>
    </row>
    <row r="79" spans="1:7" x14ac:dyDescent="0.25">
      <c r="A79" s="8">
        <v>42623.497662037036</v>
      </c>
      <c r="B79" s="23" t="s">
        <v>130</v>
      </c>
      <c r="C79" s="23" t="s">
        <v>508</v>
      </c>
      <c r="D79" s="23">
        <v>1770000</v>
      </c>
      <c r="E79" s="23" t="s">
        <v>706</v>
      </c>
      <c r="F79" s="23" t="str">
        <f t="shared" si="2"/>
        <v>rtdc.l.rtdc.4038:itc</v>
      </c>
      <c r="G79" s="8">
        <f t="shared" si="3"/>
        <v>42623.497662037036</v>
      </c>
    </row>
    <row r="80" spans="1:7" x14ac:dyDescent="0.25">
      <c r="A80" s="8">
        <v>42623.505694444444</v>
      </c>
      <c r="B80" s="23" t="s">
        <v>132</v>
      </c>
      <c r="C80" s="23" t="s">
        <v>509</v>
      </c>
      <c r="D80" s="23">
        <v>930000</v>
      </c>
      <c r="E80" s="23" t="s">
        <v>388</v>
      </c>
      <c r="F80" s="23" t="str">
        <f t="shared" si="2"/>
        <v>rtdc.l.rtdc.4009:itc</v>
      </c>
      <c r="G80" s="8">
        <f t="shared" si="3"/>
        <v>42623.505694444444</v>
      </c>
    </row>
    <row r="81" spans="1:7" x14ac:dyDescent="0.25">
      <c r="A81" s="8">
        <v>42623.507256944446</v>
      </c>
      <c r="B81" s="23" t="s">
        <v>109</v>
      </c>
      <c r="C81" s="23" t="s">
        <v>551</v>
      </c>
      <c r="D81" s="23">
        <v>2220000</v>
      </c>
      <c r="E81" s="23" t="s">
        <v>386</v>
      </c>
      <c r="F81" s="23" t="str">
        <f t="shared" si="2"/>
        <v>rtdc.l.rtdc.4031:itc</v>
      </c>
      <c r="G81" s="8">
        <f t="shared" si="3"/>
        <v>42623.507256944446</v>
      </c>
    </row>
    <row r="82" spans="1:7" x14ac:dyDescent="0.25">
      <c r="A82" s="8">
        <v>42623.516342592593</v>
      </c>
      <c r="B82" s="23" t="s">
        <v>399</v>
      </c>
      <c r="C82" s="23" t="s">
        <v>409</v>
      </c>
      <c r="D82" s="23">
        <v>2040000</v>
      </c>
      <c r="E82" s="23" t="s">
        <v>196</v>
      </c>
      <c r="F82" s="23" t="str">
        <f t="shared" si="2"/>
        <v>rtdc.l.rtdc.4013:itc</v>
      </c>
      <c r="G82" s="8">
        <f t="shared" si="3"/>
        <v>42623.516342592593</v>
      </c>
    </row>
    <row r="83" spans="1:7" x14ac:dyDescent="0.25">
      <c r="A83" s="8">
        <v>42623.516956018517</v>
      </c>
      <c r="B83" s="23" t="s">
        <v>176</v>
      </c>
      <c r="C83" s="23" t="s">
        <v>510</v>
      </c>
      <c r="D83" s="23">
        <v>2110000</v>
      </c>
      <c r="E83" s="23" t="s">
        <v>330</v>
      </c>
      <c r="F83" s="23" t="str">
        <f t="shared" si="2"/>
        <v>rtdc.l.rtdc.4011:itc</v>
      </c>
      <c r="G83" s="8">
        <f t="shared" si="3"/>
        <v>42623.516956018517</v>
      </c>
    </row>
    <row r="84" spans="1:7" x14ac:dyDescent="0.25">
      <c r="A84" s="8">
        <v>42623.523958333331</v>
      </c>
      <c r="B84" s="23" t="s">
        <v>281</v>
      </c>
      <c r="C84" s="23" t="s">
        <v>505</v>
      </c>
      <c r="D84" s="23">
        <v>2020000</v>
      </c>
      <c r="E84" s="23" t="s">
        <v>326</v>
      </c>
      <c r="F84" s="23" t="str">
        <f t="shared" si="2"/>
        <v>rtdc.l.rtdc.4039:itc</v>
      </c>
      <c r="G84" s="8">
        <f t="shared" si="3"/>
        <v>42623.523958333331</v>
      </c>
    </row>
    <row r="85" spans="1:7" x14ac:dyDescent="0.25">
      <c r="A85" s="8">
        <v>42623.527650462966</v>
      </c>
      <c r="B85" s="23" t="s">
        <v>110</v>
      </c>
      <c r="C85" s="23" t="s">
        <v>553</v>
      </c>
      <c r="D85" s="23">
        <v>2220000</v>
      </c>
      <c r="E85" s="23" t="s">
        <v>386</v>
      </c>
      <c r="F85" s="23" t="str">
        <f t="shared" si="2"/>
        <v>rtdc.l.rtdc.4032:itc</v>
      </c>
      <c r="G85" s="8">
        <f t="shared" si="3"/>
        <v>42623.527650462966</v>
      </c>
    </row>
    <row r="86" spans="1:7" x14ac:dyDescent="0.25">
      <c r="A86" s="8">
        <v>42623.528506944444</v>
      </c>
      <c r="B86" s="23" t="s">
        <v>401</v>
      </c>
      <c r="C86" s="23" t="s">
        <v>512</v>
      </c>
      <c r="D86" s="23">
        <v>880000</v>
      </c>
      <c r="E86" s="23" t="s">
        <v>387</v>
      </c>
      <c r="F86" s="23" t="str">
        <f t="shared" si="2"/>
        <v>rtdc.l.rtdc.4002:itc</v>
      </c>
      <c r="G86" s="8">
        <f t="shared" si="3"/>
        <v>42623.528506944444</v>
      </c>
    </row>
    <row r="87" spans="1:7" x14ac:dyDescent="0.25">
      <c r="A87" s="8">
        <v>42623.534131944441</v>
      </c>
      <c r="B87" s="23" t="s">
        <v>280</v>
      </c>
      <c r="C87" s="23" t="s">
        <v>410</v>
      </c>
      <c r="D87" s="23">
        <v>1770000</v>
      </c>
      <c r="E87" s="23" t="s">
        <v>706</v>
      </c>
      <c r="F87" s="23" t="str">
        <f t="shared" si="2"/>
        <v>rtdc.l.rtdc.4037:itc</v>
      </c>
      <c r="G87" s="8">
        <f t="shared" si="3"/>
        <v>42623.534131944441</v>
      </c>
    </row>
    <row r="88" spans="1:7" x14ac:dyDescent="0.25">
      <c r="A88" s="8">
        <v>42623.537893518522</v>
      </c>
      <c r="B88" s="23" t="s">
        <v>194</v>
      </c>
      <c r="C88" s="23" t="s">
        <v>515</v>
      </c>
      <c r="D88" s="23">
        <v>1280000</v>
      </c>
      <c r="E88" s="23" t="s">
        <v>705</v>
      </c>
      <c r="F88" s="23" t="str">
        <f t="shared" si="2"/>
        <v>rtdc.l.rtdc.4046:itc</v>
      </c>
      <c r="G88" s="8">
        <f t="shared" si="3"/>
        <v>42623.537893518522</v>
      </c>
    </row>
    <row r="89" spans="1:7" x14ac:dyDescent="0.25">
      <c r="A89" s="8">
        <v>42623.546331018515</v>
      </c>
      <c r="B89" s="23" t="s">
        <v>187</v>
      </c>
      <c r="C89" s="23" t="s">
        <v>411</v>
      </c>
      <c r="D89" s="23">
        <v>930000</v>
      </c>
      <c r="E89" s="23" t="s">
        <v>388</v>
      </c>
      <c r="F89" s="23" t="str">
        <f t="shared" si="2"/>
        <v>rtdc.l.rtdc.4010:itc</v>
      </c>
      <c r="G89" s="8">
        <f t="shared" si="3"/>
        <v>42623.546331018515</v>
      </c>
    </row>
    <row r="90" spans="1:7" x14ac:dyDescent="0.25">
      <c r="A90" s="8">
        <v>42623.549756944441</v>
      </c>
      <c r="B90" s="23" t="s">
        <v>109</v>
      </c>
      <c r="C90" s="23" t="s">
        <v>555</v>
      </c>
      <c r="D90" s="23">
        <v>1830000</v>
      </c>
      <c r="E90" s="23" t="s">
        <v>702</v>
      </c>
      <c r="F90" s="23" t="str">
        <f t="shared" si="2"/>
        <v>rtdc.l.rtdc.4031:itc</v>
      </c>
      <c r="G90" s="8">
        <f t="shared" si="3"/>
        <v>42623.549756944441</v>
      </c>
    </row>
    <row r="91" spans="1:7" x14ac:dyDescent="0.25">
      <c r="A91" s="8">
        <v>42623.549953703703</v>
      </c>
      <c r="B91" s="23" t="s">
        <v>107</v>
      </c>
      <c r="C91" s="23" t="s">
        <v>517</v>
      </c>
      <c r="D91" s="23">
        <v>2040000</v>
      </c>
      <c r="E91" s="23" t="s">
        <v>196</v>
      </c>
      <c r="F91" s="23" t="str">
        <f t="shared" si="2"/>
        <v>rtdc.l.rtdc.4014:itc</v>
      </c>
      <c r="G91" s="8">
        <f t="shared" si="3"/>
        <v>42623.549953703703</v>
      </c>
    </row>
    <row r="92" spans="1:7" x14ac:dyDescent="0.25">
      <c r="A92" s="8">
        <v>42623.554664351854</v>
      </c>
      <c r="B92" s="23" t="s">
        <v>182</v>
      </c>
      <c r="C92" s="23" t="s">
        <v>511</v>
      </c>
      <c r="D92" s="23">
        <v>2110000</v>
      </c>
      <c r="E92" s="23" t="s">
        <v>330</v>
      </c>
      <c r="F92" s="23" t="str">
        <f t="shared" si="2"/>
        <v>rtdc.l.rtdc.4012:itc</v>
      </c>
      <c r="G92" s="8">
        <f t="shared" si="3"/>
        <v>42623.554664351854</v>
      </c>
    </row>
    <row r="93" spans="1:7" x14ac:dyDescent="0.25">
      <c r="A93" s="8">
        <v>42623.557511574072</v>
      </c>
      <c r="B93" s="23" t="s">
        <v>328</v>
      </c>
      <c r="C93" s="23" t="s">
        <v>520</v>
      </c>
      <c r="D93" s="23">
        <v>2020000</v>
      </c>
      <c r="E93" s="23" t="s">
        <v>326</v>
      </c>
      <c r="F93" s="23" t="str">
        <f t="shared" si="2"/>
        <v>rtdc.l.rtdc.4040:itc</v>
      </c>
      <c r="G93" s="8">
        <f t="shared" si="3"/>
        <v>42623.557511574072</v>
      </c>
    </row>
    <row r="94" spans="1:7" x14ac:dyDescent="0.25">
      <c r="A94" s="8">
        <v>42623.567106481481</v>
      </c>
      <c r="B94" s="23" t="s">
        <v>110</v>
      </c>
      <c r="C94" s="23" t="s">
        <v>557</v>
      </c>
      <c r="D94" s="23">
        <v>1830000</v>
      </c>
      <c r="E94" s="23" t="s">
        <v>702</v>
      </c>
      <c r="F94" s="23" t="str">
        <f t="shared" si="2"/>
        <v>rtdc.l.rtdc.4032:itc</v>
      </c>
      <c r="G94" s="8">
        <f t="shared" si="3"/>
        <v>42623.567106481481</v>
      </c>
    </row>
    <row r="95" spans="1:7" x14ac:dyDescent="0.25">
      <c r="A95" s="8">
        <v>42623.56795138889</v>
      </c>
      <c r="B95" s="23" t="s">
        <v>407</v>
      </c>
      <c r="C95" s="23" t="s">
        <v>513</v>
      </c>
      <c r="D95" s="23">
        <v>880000</v>
      </c>
      <c r="E95" s="23" t="s">
        <v>387</v>
      </c>
      <c r="F95" s="23" t="str">
        <f t="shared" si="2"/>
        <v>rtdc.l.rtdc.4001:itc</v>
      </c>
      <c r="G95" s="8">
        <f t="shared" si="3"/>
        <v>42623.56795138889</v>
      </c>
    </row>
    <row r="96" spans="1:7" x14ac:dyDescent="0.25">
      <c r="A96" s="8">
        <v>42623.568182870367</v>
      </c>
      <c r="B96" s="23" t="s">
        <v>130</v>
      </c>
      <c r="C96" s="23" t="s">
        <v>545</v>
      </c>
      <c r="D96" s="23">
        <v>1770000</v>
      </c>
      <c r="E96" s="23" t="s">
        <v>706</v>
      </c>
      <c r="F96" s="23" t="str">
        <f t="shared" si="2"/>
        <v>rtdc.l.rtdc.4038:itc</v>
      </c>
      <c r="G96" s="8">
        <f t="shared" si="3"/>
        <v>42623.568182870367</v>
      </c>
    </row>
    <row r="97" spans="1:7" x14ac:dyDescent="0.25">
      <c r="A97" s="8">
        <v>42623.569687499999</v>
      </c>
      <c r="B97" s="23" t="s">
        <v>414</v>
      </c>
      <c r="C97" s="23" t="s">
        <v>516</v>
      </c>
      <c r="D97" s="23">
        <v>1280000</v>
      </c>
      <c r="E97" s="23" t="s">
        <v>705</v>
      </c>
      <c r="F97" s="23" t="str">
        <f t="shared" si="2"/>
        <v>rtdc.l.rtdc.4045:itc</v>
      </c>
      <c r="G97" s="8">
        <f t="shared" si="3"/>
        <v>42623.569687499999</v>
      </c>
    </row>
    <row r="98" spans="1:7" x14ac:dyDescent="0.25">
      <c r="A98" s="8">
        <v>42623.580451388887</v>
      </c>
      <c r="B98" s="23" t="s">
        <v>132</v>
      </c>
      <c r="C98" s="23" t="s">
        <v>587</v>
      </c>
      <c r="D98" s="23">
        <v>930000</v>
      </c>
      <c r="E98" s="23" t="s">
        <v>388</v>
      </c>
      <c r="F98" s="23" t="str">
        <f t="shared" si="2"/>
        <v>rtdc.l.rtdc.4009:itc</v>
      </c>
      <c r="G98" s="8">
        <f t="shared" si="3"/>
        <v>42623.580451388887</v>
      </c>
    </row>
    <row r="99" spans="1:7" x14ac:dyDescent="0.25">
      <c r="A99" s="8">
        <v>42623.587939814817</v>
      </c>
      <c r="B99" s="23" t="s">
        <v>399</v>
      </c>
      <c r="C99" s="23" t="s">
        <v>519</v>
      </c>
      <c r="D99" s="23">
        <v>2040000</v>
      </c>
      <c r="E99" s="23" t="s">
        <v>196</v>
      </c>
      <c r="F99" s="23" t="str">
        <f t="shared" si="2"/>
        <v>rtdc.l.rtdc.4013:itc</v>
      </c>
      <c r="G99" s="8">
        <f t="shared" si="3"/>
        <v>42623.587939814817</v>
      </c>
    </row>
    <row r="100" spans="1:7" x14ac:dyDescent="0.25">
      <c r="A100" s="8">
        <v>42623.588993055557</v>
      </c>
      <c r="B100" s="23" t="s">
        <v>176</v>
      </c>
      <c r="C100" s="23" t="s">
        <v>600</v>
      </c>
      <c r="D100" s="23">
        <v>2110000</v>
      </c>
      <c r="E100" s="23" t="s">
        <v>330</v>
      </c>
      <c r="F100" s="23" t="str">
        <f t="shared" si="2"/>
        <v>rtdc.l.rtdc.4011:itc</v>
      </c>
      <c r="G100" s="8">
        <f t="shared" si="3"/>
        <v>42623.588993055557</v>
      </c>
    </row>
    <row r="101" spans="1:7" x14ac:dyDescent="0.25">
      <c r="A101" s="8">
        <v>42623.596377314818</v>
      </c>
      <c r="B101" s="23" t="s">
        <v>281</v>
      </c>
      <c r="C101" s="23" t="s">
        <v>523</v>
      </c>
      <c r="D101" s="23">
        <v>2020000</v>
      </c>
      <c r="E101" s="23" t="s">
        <v>326</v>
      </c>
      <c r="F101" s="23" t="str">
        <f t="shared" si="2"/>
        <v>rtdc.l.rtdc.4039:itc</v>
      </c>
      <c r="G101" s="8">
        <f t="shared" si="3"/>
        <v>42623.596377314818</v>
      </c>
    </row>
    <row r="102" spans="1:7" x14ac:dyDescent="0.25">
      <c r="A102" s="8">
        <v>42623.596388888887</v>
      </c>
      <c r="B102" s="23" t="s">
        <v>109</v>
      </c>
      <c r="C102" s="23" t="s">
        <v>560</v>
      </c>
      <c r="D102" s="23">
        <v>1820000</v>
      </c>
      <c r="E102" s="23" t="s">
        <v>327</v>
      </c>
      <c r="F102" s="23" t="str">
        <f t="shared" si="2"/>
        <v>rtdc.l.rtdc.4031:itc</v>
      </c>
      <c r="G102" s="8">
        <f t="shared" si="3"/>
        <v>42623.596388888887</v>
      </c>
    </row>
    <row r="103" spans="1:7" x14ac:dyDescent="0.25">
      <c r="A103" s="8">
        <v>42623.600914351853</v>
      </c>
      <c r="B103" s="23" t="s">
        <v>401</v>
      </c>
      <c r="C103" s="23" t="s">
        <v>602</v>
      </c>
      <c r="D103" s="23">
        <v>880000</v>
      </c>
      <c r="E103" s="23" t="s">
        <v>387</v>
      </c>
      <c r="F103" s="23" t="str">
        <f t="shared" si="2"/>
        <v>rtdc.l.rtdc.4002:itc</v>
      </c>
      <c r="G103" s="8">
        <f t="shared" si="3"/>
        <v>42623.600914351853</v>
      </c>
    </row>
    <row r="104" spans="1:7" x14ac:dyDescent="0.25">
      <c r="A104" s="8">
        <v>42623.608078703706</v>
      </c>
      <c r="B104" s="23" t="s">
        <v>280</v>
      </c>
      <c r="C104" s="23" t="s">
        <v>567</v>
      </c>
      <c r="D104" s="23">
        <v>1770000</v>
      </c>
      <c r="E104" s="23" t="s">
        <v>706</v>
      </c>
      <c r="F104" s="23" t="str">
        <f t="shared" si="2"/>
        <v>rtdc.l.rtdc.4037:itc</v>
      </c>
      <c r="G104" s="8">
        <f t="shared" si="3"/>
        <v>42623.608078703706</v>
      </c>
    </row>
    <row r="105" spans="1:7" x14ac:dyDescent="0.25">
      <c r="A105" s="8">
        <v>42623.611145833333</v>
      </c>
      <c r="B105" s="23" t="s">
        <v>110</v>
      </c>
      <c r="C105" s="23" t="s">
        <v>562</v>
      </c>
      <c r="D105" s="23">
        <v>1820000</v>
      </c>
      <c r="E105" s="23" t="s">
        <v>327</v>
      </c>
      <c r="F105" s="23" t="str">
        <f t="shared" si="2"/>
        <v>rtdc.l.rtdc.4032:itc</v>
      </c>
      <c r="G105" s="8">
        <f t="shared" si="3"/>
        <v>42623.611145833333</v>
      </c>
    </row>
    <row r="106" spans="1:7" x14ac:dyDescent="0.25">
      <c r="A106" s="8">
        <v>42623.61209490741</v>
      </c>
      <c r="B106" s="23" t="s">
        <v>194</v>
      </c>
      <c r="C106" s="23" t="s">
        <v>605</v>
      </c>
      <c r="D106" s="23">
        <v>1280000</v>
      </c>
      <c r="E106" s="23" t="s">
        <v>705</v>
      </c>
      <c r="F106" s="23" t="str">
        <f t="shared" si="2"/>
        <v>rtdc.l.rtdc.4046:itc</v>
      </c>
      <c r="G106" s="8">
        <f t="shared" si="3"/>
        <v>42623.61209490741</v>
      </c>
    </row>
    <row r="107" spans="1:7" x14ac:dyDescent="0.25">
      <c r="A107" s="8">
        <v>42623.613865740743</v>
      </c>
      <c r="B107" s="23" t="s">
        <v>194</v>
      </c>
      <c r="C107" s="23" t="s">
        <v>605</v>
      </c>
      <c r="D107" s="23">
        <v>1280000</v>
      </c>
      <c r="E107" s="23" t="s">
        <v>705</v>
      </c>
      <c r="F107" s="23" t="str">
        <f t="shared" si="2"/>
        <v>rtdc.l.rtdc.4046:itc</v>
      </c>
      <c r="G107" s="8">
        <f t="shared" si="3"/>
        <v>42623.613865740743</v>
      </c>
    </row>
    <row r="108" spans="1:7" x14ac:dyDescent="0.25">
      <c r="A108" s="8">
        <v>42623.616643518515</v>
      </c>
      <c r="B108" s="23" t="s">
        <v>187</v>
      </c>
      <c r="C108" s="23" t="s">
        <v>412</v>
      </c>
      <c r="D108" s="23">
        <v>930000</v>
      </c>
      <c r="E108" s="23" t="s">
        <v>388</v>
      </c>
      <c r="F108" s="23" t="str">
        <f t="shared" si="2"/>
        <v>rtdc.l.rtdc.4010:itc</v>
      </c>
      <c r="G108" s="8">
        <f t="shared" si="3"/>
        <v>42623.616643518515</v>
      </c>
    </row>
    <row r="109" spans="1:7" x14ac:dyDescent="0.25">
      <c r="A109" s="8">
        <v>42623.62222222222</v>
      </c>
      <c r="B109" s="23" t="s">
        <v>107</v>
      </c>
      <c r="C109" s="23" t="s">
        <v>606</v>
      </c>
      <c r="D109" s="23">
        <v>2040000</v>
      </c>
      <c r="E109" s="23" t="s">
        <v>196</v>
      </c>
      <c r="F109" s="23" t="str">
        <f t="shared" si="2"/>
        <v>rtdc.l.rtdc.4014:itc</v>
      </c>
      <c r="G109" s="8">
        <f t="shared" si="3"/>
        <v>42623.62222222222</v>
      </c>
    </row>
    <row r="110" spans="1:7" x14ac:dyDescent="0.25">
      <c r="A110" s="8">
        <v>42623.630243055559</v>
      </c>
      <c r="B110" s="23" t="s">
        <v>182</v>
      </c>
      <c r="C110" s="23" t="s">
        <v>601</v>
      </c>
      <c r="D110" s="23">
        <v>2110000</v>
      </c>
      <c r="E110" s="23" t="s">
        <v>330</v>
      </c>
      <c r="F110" s="23" t="str">
        <f t="shared" si="2"/>
        <v>rtdc.l.rtdc.4012:itc</v>
      </c>
      <c r="G110" s="8">
        <f t="shared" si="3"/>
        <v>42623.630243055559</v>
      </c>
    </row>
    <row r="111" spans="1:7" x14ac:dyDescent="0.25">
      <c r="A111" s="8">
        <v>42623.631006944444</v>
      </c>
      <c r="B111" s="23" t="s">
        <v>328</v>
      </c>
      <c r="C111" s="23" t="s">
        <v>609</v>
      </c>
      <c r="D111" s="23">
        <v>2020000</v>
      </c>
      <c r="E111" s="23" t="s">
        <v>326</v>
      </c>
      <c r="F111" s="23" t="str">
        <f t="shared" si="2"/>
        <v>rtdc.l.rtdc.4040:itc</v>
      </c>
      <c r="G111" s="8">
        <f t="shared" si="3"/>
        <v>42623.631006944444</v>
      </c>
    </row>
    <row r="112" spans="1:7" x14ac:dyDescent="0.25">
      <c r="A112" s="8">
        <v>42623.631203703706</v>
      </c>
      <c r="B112" s="23" t="s">
        <v>182</v>
      </c>
      <c r="C112" s="23" t="s">
        <v>601</v>
      </c>
      <c r="D112" s="23">
        <v>2110000</v>
      </c>
      <c r="E112" s="23" t="s">
        <v>330</v>
      </c>
      <c r="F112" s="23" t="str">
        <f t="shared" si="2"/>
        <v>rtdc.l.rtdc.4012:itc</v>
      </c>
      <c r="G112" s="8">
        <f t="shared" si="3"/>
        <v>42623.631203703706</v>
      </c>
    </row>
    <row r="113" spans="1:7" x14ac:dyDescent="0.25">
      <c r="A113" s="8">
        <v>42623.636863425927</v>
      </c>
      <c r="B113" s="23" t="s">
        <v>109</v>
      </c>
      <c r="C113" s="23" t="s">
        <v>564</v>
      </c>
      <c r="D113" s="23">
        <v>1820000</v>
      </c>
      <c r="E113" s="23" t="s">
        <v>327</v>
      </c>
      <c r="F113" s="23" t="str">
        <f t="shared" si="2"/>
        <v>rtdc.l.rtdc.4031:itc</v>
      </c>
      <c r="G113" s="8">
        <f t="shared" si="3"/>
        <v>42623.636863425927</v>
      </c>
    </row>
    <row r="114" spans="1:7" x14ac:dyDescent="0.25">
      <c r="A114" s="8">
        <v>42623.642488425925</v>
      </c>
      <c r="B114" s="23" t="s">
        <v>130</v>
      </c>
      <c r="C114" s="23" t="s">
        <v>613</v>
      </c>
      <c r="D114" s="23">
        <v>1770000</v>
      </c>
      <c r="E114" s="23" t="s">
        <v>706</v>
      </c>
      <c r="F114" s="23" t="str">
        <f t="shared" si="2"/>
        <v>rtdc.l.rtdc.4038:itc</v>
      </c>
      <c r="G114" s="8">
        <f t="shared" si="3"/>
        <v>42623.642488425925</v>
      </c>
    </row>
    <row r="115" spans="1:7" x14ac:dyDescent="0.25">
      <c r="A115" s="8">
        <v>42623.642511574071</v>
      </c>
      <c r="B115" s="23" t="s">
        <v>407</v>
      </c>
      <c r="C115" s="23" t="s">
        <v>603</v>
      </c>
      <c r="D115" s="23">
        <v>880000</v>
      </c>
      <c r="E115" s="23" t="s">
        <v>387</v>
      </c>
      <c r="F115" s="23" t="str">
        <f t="shared" si="2"/>
        <v>rtdc.l.rtdc.4001:itc</v>
      </c>
      <c r="G115" s="8">
        <f t="shared" si="3"/>
        <v>42623.642511574071</v>
      </c>
    </row>
    <row r="116" spans="1:7" x14ac:dyDescent="0.25">
      <c r="A116" s="8">
        <v>42623.643738425926</v>
      </c>
      <c r="B116" s="23" t="s">
        <v>414</v>
      </c>
      <c r="C116" s="23" t="s">
        <v>415</v>
      </c>
      <c r="D116" s="23">
        <v>1280000</v>
      </c>
      <c r="E116" s="23" t="s">
        <v>705</v>
      </c>
      <c r="F116" s="23" t="str">
        <f t="shared" si="2"/>
        <v>rtdc.l.rtdc.4045:itc</v>
      </c>
      <c r="G116" s="8">
        <f t="shared" si="3"/>
        <v>42623.643738425926</v>
      </c>
    </row>
    <row r="117" spans="1:7" x14ac:dyDescent="0.25">
      <c r="A117" s="8">
        <v>42623.651817129627</v>
      </c>
      <c r="B117" s="23" t="s">
        <v>110</v>
      </c>
      <c r="C117" s="23" t="s">
        <v>413</v>
      </c>
      <c r="D117" s="23">
        <v>1820000</v>
      </c>
      <c r="E117" s="23" t="s">
        <v>327</v>
      </c>
      <c r="F117" s="23" t="str">
        <f t="shared" si="2"/>
        <v>rtdc.l.rtdc.4032:itc</v>
      </c>
      <c r="G117" s="8">
        <f t="shared" si="3"/>
        <v>42623.651817129627</v>
      </c>
    </row>
    <row r="118" spans="1:7" x14ac:dyDescent="0.25">
      <c r="A118" s="8">
        <v>42623.653553240743</v>
      </c>
      <c r="B118" s="23" t="s">
        <v>132</v>
      </c>
      <c r="C118" s="23" t="s">
        <v>616</v>
      </c>
      <c r="D118" s="23">
        <v>930000</v>
      </c>
      <c r="E118" s="23" t="s">
        <v>388</v>
      </c>
      <c r="F118" s="23" t="str">
        <f t="shared" si="2"/>
        <v>rtdc.l.rtdc.4009:itc</v>
      </c>
      <c r="G118" s="8">
        <f t="shared" si="3"/>
        <v>42623.653553240743</v>
      </c>
    </row>
    <row r="119" spans="1:7" x14ac:dyDescent="0.25">
      <c r="A119" s="8">
        <v>42623.660844907405</v>
      </c>
      <c r="B119" s="23" t="s">
        <v>399</v>
      </c>
      <c r="C119" s="23" t="s">
        <v>607</v>
      </c>
      <c r="D119" s="23">
        <v>2040000</v>
      </c>
      <c r="E119" s="23" t="s">
        <v>196</v>
      </c>
      <c r="F119" s="23" t="str">
        <f t="shared" si="2"/>
        <v>rtdc.l.rtdc.4013:itc</v>
      </c>
      <c r="G119" s="8">
        <f t="shared" si="3"/>
        <v>42623.660844907405</v>
      </c>
    </row>
    <row r="120" spans="1:7" x14ac:dyDescent="0.25">
      <c r="A120" s="8">
        <v>42623.66265046296</v>
      </c>
      <c r="B120" s="23" t="s">
        <v>176</v>
      </c>
      <c r="C120" s="23" t="s">
        <v>619</v>
      </c>
      <c r="D120" s="23">
        <v>2110000</v>
      </c>
      <c r="E120" s="23" t="s">
        <v>330</v>
      </c>
      <c r="F120" s="23" t="str">
        <f t="shared" si="2"/>
        <v>rtdc.l.rtdc.4011:itc</v>
      </c>
      <c r="G120" s="8">
        <f t="shared" si="3"/>
        <v>42623.66265046296</v>
      </c>
    </row>
    <row r="121" spans="1:7" x14ac:dyDescent="0.25">
      <c r="A121" s="8">
        <v>42623.669421296298</v>
      </c>
      <c r="B121" s="23" t="s">
        <v>281</v>
      </c>
      <c r="C121" s="23" t="s">
        <v>611</v>
      </c>
      <c r="D121" s="23">
        <v>2020000</v>
      </c>
      <c r="E121" s="23" t="s">
        <v>326</v>
      </c>
      <c r="F121" s="23" t="str">
        <f t="shared" si="2"/>
        <v>rtdc.l.rtdc.4039:itc</v>
      </c>
      <c r="G121" s="8">
        <f t="shared" si="3"/>
        <v>42623.669421296298</v>
      </c>
    </row>
    <row r="122" spans="1:7" x14ac:dyDescent="0.25">
      <c r="A122" s="8">
        <v>42623.673483796294</v>
      </c>
      <c r="B122" s="28" t="s">
        <v>401</v>
      </c>
      <c r="C122" s="23" t="s">
        <v>621</v>
      </c>
      <c r="D122" s="23">
        <v>880000</v>
      </c>
      <c r="E122" s="23" t="s">
        <v>387</v>
      </c>
      <c r="F122" s="23" t="str">
        <f t="shared" si="2"/>
        <v>rtdc.l.rtdc.4002:itc</v>
      </c>
      <c r="G122" s="8">
        <f t="shared" si="3"/>
        <v>42623.673483796294</v>
      </c>
    </row>
    <row r="123" spans="1:7" x14ac:dyDescent="0.25">
      <c r="A123" s="8">
        <v>42623.67769675926</v>
      </c>
      <c r="B123" s="23" t="s">
        <v>109</v>
      </c>
      <c r="C123" s="23" t="s">
        <v>416</v>
      </c>
      <c r="D123" s="23">
        <v>1820000</v>
      </c>
      <c r="E123" s="23" t="s">
        <v>327</v>
      </c>
      <c r="F123" s="23" t="str">
        <f t="shared" si="2"/>
        <v>rtdc.l.rtdc.4031:itc</v>
      </c>
      <c r="G123" s="8">
        <f t="shared" si="3"/>
        <v>42623.67769675926</v>
      </c>
    </row>
    <row r="124" spans="1:7" x14ac:dyDescent="0.25">
      <c r="A124" s="8">
        <v>42623.679606481484</v>
      </c>
      <c r="B124" s="23" t="s">
        <v>280</v>
      </c>
      <c r="C124" s="23" t="s">
        <v>615</v>
      </c>
      <c r="D124" s="23">
        <v>1770000</v>
      </c>
      <c r="E124" s="23" t="s">
        <v>706</v>
      </c>
      <c r="F124" s="23" t="str">
        <f t="shared" si="2"/>
        <v>rtdc.l.rtdc.4037:itc</v>
      </c>
      <c r="G124" s="8">
        <f t="shared" si="3"/>
        <v>42623.679606481484</v>
      </c>
    </row>
    <row r="125" spans="1:7" x14ac:dyDescent="0.25">
      <c r="A125" s="8">
        <v>42623.683657407404</v>
      </c>
      <c r="B125" s="23" t="s">
        <v>194</v>
      </c>
      <c r="C125" s="23" t="s">
        <v>624</v>
      </c>
      <c r="D125" s="23">
        <v>1280000</v>
      </c>
      <c r="E125" s="23" t="s">
        <v>705</v>
      </c>
      <c r="F125" s="23" t="str">
        <f t="shared" si="2"/>
        <v>rtdc.l.rtdc.4046:itc</v>
      </c>
      <c r="G125" s="8">
        <f t="shared" si="3"/>
        <v>42623.683657407404</v>
      </c>
    </row>
    <row r="126" spans="1:7" x14ac:dyDescent="0.25">
      <c r="A126" s="8">
        <v>42623.690960648149</v>
      </c>
      <c r="B126" s="23" t="s">
        <v>187</v>
      </c>
      <c r="C126" s="23" t="s">
        <v>618</v>
      </c>
      <c r="D126" s="23">
        <v>930000</v>
      </c>
      <c r="E126" s="23" t="s">
        <v>388</v>
      </c>
      <c r="F126" s="23" t="str">
        <f t="shared" si="2"/>
        <v>rtdc.l.rtdc.4010:itc</v>
      </c>
      <c r="G126" s="8">
        <f t="shared" si="3"/>
        <v>42623.690960648149</v>
      </c>
    </row>
    <row r="127" spans="1:7" x14ac:dyDescent="0.25">
      <c r="A127" s="8">
        <v>42623.694178240738</v>
      </c>
      <c r="B127" s="23" t="s">
        <v>110</v>
      </c>
      <c r="C127" s="23" t="s">
        <v>570</v>
      </c>
      <c r="D127" s="23">
        <v>1820000</v>
      </c>
      <c r="E127" s="23" t="s">
        <v>327</v>
      </c>
      <c r="F127" s="23" t="str">
        <f t="shared" si="2"/>
        <v>rtdc.l.rtdc.4032:itc</v>
      </c>
      <c r="G127" s="8">
        <f t="shared" si="3"/>
        <v>42623.694178240738</v>
      </c>
    </row>
    <row r="128" spans="1:7" x14ac:dyDescent="0.25">
      <c r="A128" s="8">
        <v>42623.696423611109</v>
      </c>
      <c r="B128" s="23" t="s">
        <v>107</v>
      </c>
      <c r="C128" s="23" t="s">
        <v>629</v>
      </c>
      <c r="D128" s="23">
        <v>2040000</v>
      </c>
      <c r="E128" s="23" t="s">
        <v>196</v>
      </c>
      <c r="F128" s="23" t="str">
        <f t="shared" si="2"/>
        <v>rtdc.l.rtdc.4014:itc</v>
      </c>
      <c r="G128" s="8">
        <f t="shared" si="3"/>
        <v>42623.696423611109</v>
      </c>
    </row>
    <row r="129" spans="1:7" x14ac:dyDescent="0.25">
      <c r="A129" s="8">
        <v>42623.700150462966</v>
      </c>
      <c r="B129" s="23" t="s">
        <v>182</v>
      </c>
      <c r="C129" s="23" t="s">
        <v>620</v>
      </c>
      <c r="D129" s="23">
        <v>2110000</v>
      </c>
      <c r="E129" s="23" t="s">
        <v>330</v>
      </c>
      <c r="F129" s="23" t="str">
        <f t="shared" si="2"/>
        <v>rtdc.l.rtdc.4012:itc</v>
      </c>
      <c r="G129" s="8">
        <f t="shared" si="3"/>
        <v>42623.700150462966</v>
      </c>
    </row>
    <row r="130" spans="1:7" x14ac:dyDescent="0.25">
      <c r="A130" s="8">
        <v>42623.703622685185</v>
      </c>
      <c r="B130" s="23" t="s">
        <v>328</v>
      </c>
      <c r="C130" s="23" t="s">
        <v>632</v>
      </c>
      <c r="D130" s="23">
        <v>2020000</v>
      </c>
      <c r="E130" s="23" t="s">
        <v>326</v>
      </c>
      <c r="F130" s="23" t="str">
        <f t="shared" ref="F130:F193" si="4">B130</f>
        <v>rtdc.l.rtdc.4040:itc</v>
      </c>
      <c r="G130" s="8">
        <f t="shared" ref="G130:G193" si="5">A130</f>
        <v>42623.703622685185</v>
      </c>
    </row>
    <row r="131" spans="1:7" x14ac:dyDescent="0.25">
      <c r="A131" s="8">
        <v>42623.714178240742</v>
      </c>
      <c r="B131" s="23" t="s">
        <v>130</v>
      </c>
      <c r="C131" s="23" t="s">
        <v>637</v>
      </c>
      <c r="D131" s="23">
        <v>1770000</v>
      </c>
      <c r="E131" s="23" t="s">
        <v>706</v>
      </c>
      <c r="F131" s="23" t="str">
        <f t="shared" si="4"/>
        <v>rtdc.l.rtdc.4038:itc</v>
      </c>
      <c r="G131" s="8">
        <f t="shared" si="5"/>
        <v>42623.714178240742</v>
      </c>
    </row>
    <row r="132" spans="1:7" x14ac:dyDescent="0.25">
      <c r="A132" s="8">
        <v>42623.714895833335</v>
      </c>
      <c r="B132" s="23" t="s">
        <v>407</v>
      </c>
      <c r="C132" s="23" t="s">
        <v>622</v>
      </c>
      <c r="D132" s="23">
        <v>880000</v>
      </c>
      <c r="E132" s="23" t="s">
        <v>387</v>
      </c>
      <c r="F132" s="23" t="str">
        <f t="shared" si="4"/>
        <v>rtdc.l.rtdc.4001:itc</v>
      </c>
      <c r="G132" s="8">
        <f t="shared" si="5"/>
        <v>42623.714895833335</v>
      </c>
    </row>
    <row r="133" spans="1:7" x14ac:dyDescent="0.25">
      <c r="A133" s="8">
        <v>42623.717523148145</v>
      </c>
      <c r="B133" s="23" t="s">
        <v>414</v>
      </c>
      <c r="C133" s="23" t="s">
        <v>420</v>
      </c>
      <c r="D133" s="23">
        <v>1280000</v>
      </c>
      <c r="E133" s="23" t="s">
        <v>705</v>
      </c>
      <c r="F133" s="23" t="str">
        <f t="shared" si="4"/>
        <v>rtdc.l.rtdc.4045:itc</v>
      </c>
      <c r="G133" s="8">
        <f t="shared" si="5"/>
        <v>42623.717523148145</v>
      </c>
    </row>
    <row r="134" spans="1:7" x14ac:dyDescent="0.25">
      <c r="A134" s="8">
        <v>42623.719467592593</v>
      </c>
      <c r="B134" s="23" t="s">
        <v>109</v>
      </c>
      <c r="C134" s="23" t="s">
        <v>417</v>
      </c>
      <c r="D134" s="23">
        <v>1820000</v>
      </c>
      <c r="E134" s="23" t="s">
        <v>327</v>
      </c>
      <c r="F134" s="23" t="str">
        <f t="shared" si="4"/>
        <v>rtdc.l.rtdc.4031:itc</v>
      </c>
      <c r="G134" s="8">
        <f t="shared" si="5"/>
        <v>42623.719467592593</v>
      </c>
    </row>
    <row r="135" spans="1:7" x14ac:dyDescent="0.25">
      <c r="A135" s="8">
        <v>42623.727256944447</v>
      </c>
      <c r="B135" s="23" t="s">
        <v>132</v>
      </c>
      <c r="C135" s="23" t="s">
        <v>639</v>
      </c>
      <c r="D135" s="23">
        <v>930000</v>
      </c>
      <c r="E135" s="23" t="s">
        <v>388</v>
      </c>
      <c r="F135" s="23" t="str">
        <f t="shared" si="4"/>
        <v>rtdc.l.rtdc.4009:itc</v>
      </c>
      <c r="G135" s="8">
        <f t="shared" si="5"/>
        <v>42623.727256944447</v>
      </c>
    </row>
    <row r="136" spans="1:7" x14ac:dyDescent="0.25">
      <c r="A136" s="8">
        <v>42623.733912037038</v>
      </c>
      <c r="B136" s="23" t="s">
        <v>399</v>
      </c>
      <c r="C136" s="23" t="s">
        <v>631</v>
      </c>
      <c r="D136" s="23">
        <v>2040000</v>
      </c>
      <c r="E136" s="23" t="s">
        <v>196</v>
      </c>
      <c r="F136" s="23" t="str">
        <f t="shared" si="4"/>
        <v>rtdc.l.rtdc.4013:itc</v>
      </c>
      <c r="G136" s="8">
        <f t="shared" si="5"/>
        <v>42623.733912037038</v>
      </c>
    </row>
    <row r="137" spans="1:7" x14ac:dyDescent="0.25">
      <c r="A137" s="8">
        <v>42623.7344212963</v>
      </c>
      <c r="B137" s="23" t="s">
        <v>110</v>
      </c>
      <c r="C137" s="23" t="s">
        <v>417</v>
      </c>
      <c r="D137" s="23">
        <v>1820000</v>
      </c>
      <c r="E137" s="23" t="s">
        <v>327</v>
      </c>
      <c r="F137" s="23" t="str">
        <f t="shared" si="4"/>
        <v>rtdc.l.rtdc.4032:itc</v>
      </c>
      <c r="G137" s="8">
        <f t="shared" si="5"/>
        <v>42623.7344212963</v>
      </c>
    </row>
    <row r="138" spans="1:7" x14ac:dyDescent="0.25">
      <c r="A138" s="8">
        <v>42623.735034722224</v>
      </c>
      <c r="B138" s="23" t="s">
        <v>110</v>
      </c>
      <c r="C138" s="23" t="s">
        <v>574</v>
      </c>
      <c r="D138" s="23">
        <v>1820000</v>
      </c>
      <c r="E138" s="23" t="s">
        <v>327</v>
      </c>
      <c r="F138" s="23" t="str">
        <f t="shared" si="4"/>
        <v>rtdc.l.rtdc.4032:itc</v>
      </c>
      <c r="G138" s="8">
        <f t="shared" si="5"/>
        <v>42623.735034722224</v>
      </c>
    </row>
    <row r="139" spans="1:7" x14ac:dyDescent="0.25">
      <c r="A139" s="8">
        <v>42623.735949074071</v>
      </c>
      <c r="B139" s="23" t="s">
        <v>176</v>
      </c>
      <c r="C139" s="23" t="s">
        <v>642</v>
      </c>
      <c r="D139" s="23">
        <v>1810000</v>
      </c>
      <c r="E139" s="23" t="s">
        <v>707</v>
      </c>
      <c r="F139" s="23" t="str">
        <f t="shared" si="4"/>
        <v>rtdc.l.rtdc.4011:itc</v>
      </c>
      <c r="G139" s="8">
        <f t="shared" si="5"/>
        <v>42623.735949074071</v>
      </c>
    </row>
    <row r="140" spans="1:7" x14ac:dyDescent="0.25">
      <c r="A140" s="8">
        <v>42623.743668981479</v>
      </c>
      <c r="B140" s="23" t="s">
        <v>281</v>
      </c>
      <c r="C140" s="23" t="s">
        <v>635</v>
      </c>
      <c r="D140" s="23">
        <v>2020000</v>
      </c>
      <c r="E140" s="23" t="s">
        <v>326</v>
      </c>
      <c r="F140" s="23" t="str">
        <f t="shared" si="4"/>
        <v>rtdc.l.rtdc.4039:itc</v>
      </c>
      <c r="G140" s="8">
        <f t="shared" si="5"/>
        <v>42623.743668981479</v>
      </c>
    </row>
    <row r="141" spans="1:7" x14ac:dyDescent="0.25">
      <c r="A141" s="8">
        <v>42623.746365740742</v>
      </c>
      <c r="B141" s="23" t="s">
        <v>401</v>
      </c>
      <c r="C141" s="23" t="s">
        <v>646</v>
      </c>
      <c r="D141" s="23">
        <v>2110000</v>
      </c>
      <c r="E141" s="23" t="s">
        <v>330</v>
      </c>
      <c r="F141" s="23" t="str">
        <f t="shared" si="4"/>
        <v>rtdc.l.rtdc.4002:itc</v>
      </c>
      <c r="G141" s="8">
        <f t="shared" si="5"/>
        <v>42623.746365740742</v>
      </c>
    </row>
    <row r="142" spans="1:7" x14ac:dyDescent="0.25">
      <c r="A142" s="8">
        <v>42623.748344907406</v>
      </c>
      <c r="B142" s="23" t="s">
        <v>279</v>
      </c>
      <c r="C142" s="23" t="s">
        <v>421</v>
      </c>
      <c r="D142" s="23">
        <v>2090000</v>
      </c>
      <c r="E142" s="23" t="s">
        <v>708</v>
      </c>
      <c r="F142" s="23" t="str">
        <f t="shared" si="4"/>
        <v>rtdc.l.rtdc.4015:itc</v>
      </c>
      <c r="G142" s="8">
        <f t="shared" si="5"/>
        <v>42623.748344907406</v>
      </c>
    </row>
    <row r="143" spans="1:7" x14ac:dyDescent="0.25">
      <c r="A143" s="8">
        <v>42623.752303240741</v>
      </c>
      <c r="B143" s="23" t="s">
        <v>405</v>
      </c>
      <c r="C143" s="23" t="s">
        <v>418</v>
      </c>
      <c r="D143" s="23">
        <v>2150000</v>
      </c>
      <c r="E143" s="23" t="s">
        <v>709</v>
      </c>
      <c r="F143" s="23" t="str">
        <f t="shared" si="4"/>
        <v>rtdc.l.rtdc.4004:itc</v>
      </c>
      <c r="G143" s="8">
        <f t="shared" si="5"/>
        <v>42623.752303240741</v>
      </c>
    </row>
    <row r="144" spans="1:7" x14ac:dyDescent="0.25">
      <c r="A144" s="8">
        <v>42623.752488425926</v>
      </c>
      <c r="B144" s="23" t="s">
        <v>280</v>
      </c>
      <c r="C144" s="23" t="s">
        <v>638</v>
      </c>
      <c r="D144" s="23">
        <v>1770000</v>
      </c>
      <c r="E144" s="23" t="s">
        <v>706</v>
      </c>
      <c r="F144" s="23" t="str">
        <f t="shared" si="4"/>
        <v>rtdc.l.rtdc.4037:itc</v>
      </c>
      <c r="G144" s="8">
        <f t="shared" si="5"/>
        <v>42623.752488425926</v>
      </c>
    </row>
    <row r="145" spans="1:7" x14ac:dyDescent="0.25">
      <c r="A145" s="8">
        <v>42623.760358796295</v>
      </c>
      <c r="B145" s="23" t="s">
        <v>194</v>
      </c>
      <c r="C145" s="23" t="s">
        <v>648</v>
      </c>
      <c r="D145" s="23">
        <v>1800000</v>
      </c>
      <c r="E145" s="23" t="s">
        <v>389</v>
      </c>
      <c r="F145" s="23" t="str">
        <f t="shared" si="4"/>
        <v>rtdc.l.rtdc.4046:itc</v>
      </c>
      <c r="G145" s="8">
        <f t="shared" si="5"/>
        <v>42623.760358796295</v>
      </c>
    </row>
    <row r="146" spans="1:7" x14ac:dyDescent="0.25">
      <c r="A146" s="8">
        <v>42623.761782407404</v>
      </c>
      <c r="B146" s="23" t="s">
        <v>109</v>
      </c>
      <c r="C146" s="23" t="s">
        <v>576</v>
      </c>
      <c r="D146" s="23">
        <v>1820000</v>
      </c>
      <c r="E146" s="23" t="s">
        <v>327</v>
      </c>
      <c r="F146" s="23" t="str">
        <f t="shared" si="4"/>
        <v>rtdc.l.rtdc.4031:itc</v>
      </c>
      <c r="G146" s="8">
        <f t="shared" si="5"/>
        <v>42623.761782407404</v>
      </c>
    </row>
    <row r="147" spans="1:7" x14ac:dyDescent="0.25">
      <c r="A147" s="8">
        <v>42623.764317129629</v>
      </c>
      <c r="B147" s="23" t="s">
        <v>187</v>
      </c>
      <c r="C147" s="23" t="s">
        <v>422</v>
      </c>
      <c r="D147" s="23">
        <v>930000</v>
      </c>
      <c r="E147" s="23" t="s">
        <v>388</v>
      </c>
      <c r="F147" s="23" t="str">
        <f t="shared" si="4"/>
        <v>rtdc.l.rtdc.4010:itc</v>
      </c>
      <c r="G147" s="8">
        <f t="shared" si="5"/>
        <v>42623.764317129629</v>
      </c>
    </row>
    <row r="148" spans="1:7" x14ac:dyDescent="0.25">
      <c r="A148" s="8">
        <v>42623.76761574074</v>
      </c>
      <c r="B148" s="23" t="s">
        <v>182</v>
      </c>
      <c r="C148" s="23" t="s">
        <v>644</v>
      </c>
      <c r="D148" s="23">
        <v>1810000</v>
      </c>
      <c r="E148" s="23" t="s">
        <v>707</v>
      </c>
      <c r="F148" s="23" t="str">
        <f t="shared" si="4"/>
        <v>rtdc.l.rtdc.4012:itc</v>
      </c>
      <c r="G148" s="8">
        <f t="shared" si="5"/>
        <v>42623.76761574074</v>
      </c>
    </row>
    <row r="149" spans="1:7" x14ac:dyDescent="0.25">
      <c r="A149" s="8">
        <v>42623.769201388888</v>
      </c>
      <c r="B149" s="23" t="s">
        <v>107</v>
      </c>
      <c r="C149" s="23" t="s">
        <v>650</v>
      </c>
      <c r="D149" s="23">
        <v>2150000</v>
      </c>
      <c r="E149" s="23" t="s">
        <v>709</v>
      </c>
      <c r="F149" s="23" t="str">
        <f t="shared" si="4"/>
        <v>rtdc.l.rtdc.4014:itc</v>
      </c>
      <c r="G149" s="8">
        <f t="shared" si="5"/>
        <v>42623.769201388888</v>
      </c>
    </row>
    <row r="150" spans="1:7" x14ac:dyDescent="0.25">
      <c r="A150" s="8">
        <v>42623.773344907408</v>
      </c>
      <c r="B150" s="23" t="s">
        <v>198</v>
      </c>
      <c r="C150" s="23" t="s">
        <v>694</v>
      </c>
      <c r="D150" s="23">
        <v>2040000</v>
      </c>
      <c r="E150" s="23" t="s">
        <v>196</v>
      </c>
      <c r="F150" s="23" t="str">
        <f t="shared" si="4"/>
        <v>rtdc.l.rtdc.4003:itc</v>
      </c>
      <c r="G150" s="8">
        <f t="shared" si="5"/>
        <v>42623.773344907408</v>
      </c>
    </row>
    <row r="151" spans="1:7" x14ac:dyDescent="0.25">
      <c r="A151" s="8">
        <v>42623.775185185186</v>
      </c>
      <c r="B151" s="23" t="s">
        <v>110</v>
      </c>
      <c r="C151" s="23" t="s">
        <v>578</v>
      </c>
      <c r="D151" s="23">
        <v>1820000</v>
      </c>
      <c r="E151" s="23" t="s">
        <v>327</v>
      </c>
      <c r="F151" s="23" t="str">
        <f t="shared" si="4"/>
        <v>rtdc.l.rtdc.4032:itc</v>
      </c>
      <c r="G151" s="8">
        <f t="shared" si="5"/>
        <v>42623.775185185186</v>
      </c>
    </row>
    <row r="152" spans="1:7" x14ac:dyDescent="0.25">
      <c r="A152" s="8">
        <v>42623.776145833333</v>
      </c>
      <c r="B152" s="23" t="s">
        <v>328</v>
      </c>
      <c r="C152" s="23" t="s">
        <v>680</v>
      </c>
      <c r="D152" s="23">
        <v>2020000</v>
      </c>
      <c r="E152" s="23" t="s">
        <v>326</v>
      </c>
      <c r="F152" s="23" t="str">
        <f t="shared" si="4"/>
        <v>rtdc.l.rtdc.4040:itc</v>
      </c>
      <c r="G152" s="8">
        <f t="shared" si="5"/>
        <v>42623.776145833333</v>
      </c>
    </row>
    <row r="153" spans="1:7" x14ac:dyDescent="0.25">
      <c r="A153" s="8">
        <v>42623.784942129627</v>
      </c>
      <c r="B153" s="23" t="s">
        <v>407</v>
      </c>
      <c r="C153" s="23" t="s">
        <v>647</v>
      </c>
      <c r="D153" s="23">
        <v>2110000</v>
      </c>
      <c r="E153" s="23" t="s">
        <v>330</v>
      </c>
      <c r="F153" s="23" t="str">
        <f t="shared" si="4"/>
        <v>rtdc.l.rtdc.4001:itc</v>
      </c>
      <c r="G153" s="8">
        <f t="shared" si="5"/>
        <v>42623.784942129627</v>
      </c>
    </row>
    <row r="154" spans="1:7" x14ac:dyDescent="0.25">
      <c r="A154" s="8">
        <v>42623.78707175926</v>
      </c>
      <c r="B154" s="23" t="s">
        <v>130</v>
      </c>
      <c r="C154" s="23" t="s">
        <v>652</v>
      </c>
      <c r="D154" s="23">
        <v>1300000</v>
      </c>
      <c r="E154" s="23" t="s">
        <v>125</v>
      </c>
      <c r="F154" s="23" t="str">
        <f t="shared" si="4"/>
        <v>rtdc.l.rtdc.4038:itc</v>
      </c>
      <c r="G154" s="8">
        <f t="shared" si="5"/>
        <v>42623.78707175926</v>
      </c>
    </row>
    <row r="155" spans="1:7" x14ac:dyDescent="0.25">
      <c r="A155" s="8">
        <v>42623.796944444446</v>
      </c>
      <c r="B155" s="23" t="s">
        <v>414</v>
      </c>
      <c r="C155" s="23" t="s">
        <v>423</v>
      </c>
      <c r="D155" s="23">
        <v>1800000</v>
      </c>
      <c r="E155" s="23" t="s">
        <v>389</v>
      </c>
      <c r="F155" s="23" t="str">
        <f t="shared" si="4"/>
        <v>rtdc.l.rtdc.4045:itc</v>
      </c>
      <c r="G155" s="8">
        <f t="shared" si="5"/>
        <v>42623.796944444446</v>
      </c>
    </row>
    <row r="156" spans="1:7" x14ac:dyDescent="0.25">
      <c r="A156" s="8">
        <v>42623.799456018518</v>
      </c>
      <c r="B156" s="23" t="s">
        <v>399</v>
      </c>
      <c r="C156" s="23" t="s">
        <v>651</v>
      </c>
      <c r="D156" s="23">
        <v>2150000</v>
      </c>
      <c r="E156" s="23" t="s">
        <v>709</v>
      </c>
      <c r="F156" s="23" t="str">
        <f t="shared" si="4"/>
        <v>rtdc.l.rtdc.4013:itc</v>
      </c>
      <c r="G156" s="8">
        <f t="shared" si="5"/>
        <v>42623.799456018518</v>
      </c>
    </row>
    <row r="157" spans="1:7" x14ac:dyDescent="0.25">
      <c r="A157" s="8">
        <v>42623.800104166665</v>
      </c>
      <c r="B157" s="23" t="s">
        <v>132</v>
      </c>
      <c r="C157" s="23" t="s">
        <v>681</v>
      </c>
      <c r="D157" s="23">
        <v>930000</v>
      </c>
      <c r="E157" s="23" t="s">
        <v>388</v>
      </c>
      <c r="F157" s="23" t="str">
        <f t="shared" si="4"/>
        <v>rtdc.l.rtdc.4009:itc</v>
      </c>
      <c r="G157" s="8">
        <f t="shared" si="5"/>
        <v>42623.800104166665</v>
      </c>
    </row>
    <row r="158" spans="1:7" x14ac:dyDescent="0.25">
      <c r="A158" s="8">
        <v>42623.804143518515</v>
      </c>
      <c r="B158" s="23" t="s">
        <v>109</v>
      </c>
      <c r="C158" s="23" t="s">
        <v>581</v>
      </c>
      <c r="D158" s="23">
        <v>1820000</v>
      </c>
      <c r="E158" s="23" t="s">
        <v>327</v>
      </c>
      <c r="F158" s="23" t="str">
        <f t="shared" si="4"/>
        <v>rtdc.l.rtdc.4031:itc</v>
      </c>
      <c r="G158" s="8">
        <f t="shared" si="5"/>
        <v>42623.804143518515</v>
      </c>
    </row>
    <row r="159" spans="1:7" x14ac:dyDescent="0.25">
      <c r="A159" s="8">
        <v>42623.80804398148</v>
      </c>
      <c r="B159" s="23" t="s">
        <v>176</v>
      </c>
      <c r="C159" s="23" t="s">
        <v>654</v>
      </c>
      <c r="D159" s="23">
        <v>1810000</v>
      </c>
      <c r="E159" s="23" t="s">
        <v>707</v>
      </c>
      <c r="F159" s="23" t="str">
        <f t="shared" si="4"/>
        <v>rtdc.l.rtdc.4011:itc</v>
      </c>
      <c r="G159" s="8">
        <f t="shared" si="5"/>
        <v>42623.80804398148</v>
      </c>
    </row>
    <row r="160" spans="1:7" x14ac:dyDescent="0.25">
      <c r="A160" s="8">
        <v>42623.81753472222</v>
      </c>
      <c r="B160" s="23" t="s">
        <v>110</v>
      </c>
      <c r="C160" s="23" t="s">
        <v>583</v>
      </c>
      <c r="D160" s="23">
        <v>1820000</v>
      </c>
      <c r="E160" s="23" t="s">
        <v>327</v>
      </c>
      <c r="F160" s="23" t="str">
        <f t="shared" si="4"/>
        <v>rtdc.l.rtdc.4032:itc</v>
      </c>
      <c r="G160" s="8">
        <f t="shared" si="5"/>
        <v>42623.81753472222</v>
      </c>
    </row>
    <row r="161" spans="1:7" x14ac:dyDescent="0.25">
      <c r="A161" s="8">
        <v>42623.818553240744</v>
      </c>
      <c r="B161" s="23" t="s">
        <v>401</v>
      </c>
      <c r="C161" s="23" t="s">
        <v>682</v>
      </c>
      <c r="D161" s="23">
        <v>2110000</v>
      </c>
      <c r="E161" s="23" t="s">
        <v>330</v>
      </c>
      <c r="F161" s="23" t="str">
        <f t="shared" si="4"/>
        <v>rtdc.l.rtdc.4002:itc</v>
      </c>
      <c r="G161" s="8">
        <f t="shared" si="5"/>
        <v>42623.818553240744</v>
      </c>
    </row>
    <row r="162" spans="1:7" x14ac:dyDescent="0.25">
      <c r="A162" s="8">
        <v>42623.826284722221</v>
      </c>
      <c r="B162" s="23" t="s">
        <v>280</v>
      </c>
      <c r="C162" s="23" t="s">
        <v>653</v>
      </c>
      <c r="D162" s="23">
        <v>1300000</v>
      </c>
      <c r="E162" s="23" t="s">
        <v>125</v>
      </c>
      <c r="F162" s="23" t="str">
        <f t="shared" si="4"/>
        <v>rtdc.l.rtdc.4037:itc</v>
      </c>
      <c r="G162" s="8">
        <f t="shared" si="5"/>
        <v>42623.826284722221</v>
      </c>
    </row>
    <row r="163" spans="1:7" x14ac:dyDescent="0.25">
      <c r="A163" s="8">
        <v>42623.83321759259</v>
      </c>
      <c r="B163" s="23" t="s">
        <v>194</v>
      </c>
      <c r="C163" s="23" t="s">
        <v>424</v>
      </c>
      <c r="D163" s="23">
        <v>1800000</v>
      </c>
      <c r="E163" s="23" t="s">
        <v>389</v>
      </c>
      <c r="F163" s="23" t="str">
        <f t="shared" si="4"/>
        <v>rtdc.l.rtdc.4046:itc</v>
      </c>
      <c r="G163" s="8">
        <f t="shared" si="5"/>
        <v>42623.83321759259</v>
      </c>
    </row>
    <row r="164" spans="1:7" x14ac:dyDescent="0.25">
      <c r="A164" s="8">
        <v>42623.841111111113</v>
      </c>
      <c r="B164" s="23" t="s">
        <v>182</v>
      </c>
      <c r="C164" s="23" t="s">
        <v>425</v>
      </c>
      <c r="D164" s="23">
        <v>1810000</v>
      </c>
      <c r="E164" s="23" t="s">
        <v>707</v>
      </c>
      <c r="F164" s="23" t="str">
        <f t="shared" si="4"/>
        <v>rtdc.l.rtdc.4012:itc</v>
      </c>
      <c r="G164" s="8">
        <f t="shared" si="5"/>
        <v>42623.841111111113</v>
      </c>
    </row>
    <row r="165" spans="1:7" x14ac:dyDescent="0.25">
      <c r="A165" s="8">
        <v>42623.842962962961</v>
      </c>
      <c r="B165" s="23" t="s">
        <v>109</v>
      </c>
      <c r="C165" s="23" t="s">
        <v>584</v>
      </c>
      <c r="D165" s="23">
        <v>1820000</v>
      </c>
      <c r="E165" s="23" t="s">
        <v>327</v>
      </c>
      <c r="F165" s="23" t="str">
        <f t="shared" si="4"/>
        <v>rtdc.l.rtdc.4031:itc</v>
      </c>
      <c r="G165" s="8">
        <f t="shared" si="5"/>
        <v>42623.842962962961</v>
      </c>
    </row>
    <row r="166" spans="1:7" x14ac:dyDescent="0.25">
      <c r="A166" s="8">
        <v>42623.844270833331</v>
      </c>
      <c r="B166" s="23" t="s">
        <v>107</v>
      </c>
      <c r="C166" s="23" t="s">
        <v>658</v>
      </c>
      <c r="D166" s="23">
        <v>2150000</v>
      </c>
      <c r="E166" s="23" t="s">
        <v>709</v>
      </c>
      <c r="F166" s="23" t="str">
        <f t="shared" si="4"/>
        <v>rtdc.l.rtdc.4014:itc</v>
      </c>
      <c r="G166" s="8">
        <f t="shared" si="5"/>
        <v>42623.844270833331</v>
      </c>
    </row>
    <row r="167" spans="1:7" x14ac:dyDescent="0.25">
      <c r="A167" s="8">
        <v>42623.859513888892</v>
      </c>
      <c r="B167" s="23" t="s">
        <v>110</v>
      </c>
      <c r="C167" s="23" t="s">
        <v>588</v>
      </c>
      <c r="D167" s="23">
        <v>1820000</v>
      </c>
      <c r="E167" s="23" t="s">
        <v>327</v>
      </c>
      <c r="F167" s="23" t="str">
        <f t="shared" si="4"/>
        <v>rtdc.l.rtdc.4032:itc</v>
      </c>
      <c r="G167" s="8">
        <f t="shared" si="5"/>
        <v>42623.859513888892</v>
      </c>
    </row>
    <row r="168" spans="1:7" x14ac:dyDescent="0.25">
      <c r="A168" s="8">
        <v>42623.866168981483</v>
      </c>
      <c r="B168" s="23" t="s">
        <v>110</v>
      </c>
      <c r="C168" s="23" t="s">
        <v>588</v>
      </c>
      <c r="D168" s="23">
        <v>1820000</v>
      </c>
      <c r="E168" s="23" t="s">
        <v>327</v>
      </c>
      <c r="F168" s="23" t="str">
        <f t="shared" si="4"/>
        <v>rtdc.l.rtdc.4032:itc</v>
      </c>
      <c r="G168" s="8">
        <f t="shared" si="5"/>
        <v>42623.866168981483</v>
      </c>
    </row>
    <row r="169" spans="1:7" x14ac:dyDescent="0.25">
      <c r="A169" s="8">
        <v>42623.869629629633</v>
      </c>
      <c r="B169" s="23" t="s">
        <v>130</v>
      </c>
      <c r="C169" s="23" t="s">
        <v>660</v>
      </c>
      <c r="D169" s="23">
        <v>1300000</v>
      </c>
      <c r="E169" s="23" t="s">
        <v>125</v>
      </c>
      <c r="F169" s="23" t="str">
        <f t="shared" si="4"/>
        <v>rtdc.l.rtdc.4038:itc</v>
      </c>
      <c r="G169" s="8">
        <f t="shared" si="5"/>
        <v>42623.869629629633</v>
      </c>
    </row>
    <row r="170" spans="1:7" x14ac:dyDescent="0.25">
      <c r="A170" s="8">
        <v>42623.870671296296</v>
      </c>
      <c r="B170" s="23" t="s">
        <v>414</v>
      </c>
      <c r="C170" s="23" t="s">
        <v>656</v>
      </c>
      <c r="D170" s="23">
        <v>1800000</v>
      </c>
      <c r="E170" s="23" t="s">
        <v>389</v>
      </c>
      <c r="F170" s="23" t="str">
        <f t="shared" si="4"/>
        <v>rtdc.l.rtdc.4045:itc</v>
      </c>
      <c r="G170" s="8">
        <f t="shared" si="5"/>
        <v>42623.870671296296</v>
      </c>
    </row>
    <row r="171" spans="1:7" x14ac:dyDescent="0.25">
      <c r="A171" s="8">
        <v>42623.886863425927</v>
      </c>
      <c r="B171" s="23" t="s">
        <v>109</v>
      </c>
      <c r="C171" s="23" t="s">
        <v>590</v>
      </c>
      <c r="D171" s="23">
        <v>1820000</v>
      </c>
      <c r="E171" s="23" t="s">
        <v>327</v>
      </c>
      <c r="F171" s="23" t="str">
        <f t="shared" si="4"/>
        <v>rtdc.l.rtdc.4031:itc</v>
      </c>
      <c r="G171" s="8">
        <f t="shared" si="5"/>
        <v>42623.886863425927</v>
      </c>
    </row>
    <row r="172" spans="1:7" x14ac:dyDescent="0.25">
      <c r="A172" s="8">
        <v>42623.887986111113</v>
      </c>
      <c r="B172" s="23" t="s">
        <v>399</v>
      </c>
      <c r="C172" s="23" t="s">
        <v>659</v>
      </c>
      <c r="D172" s="23">
        <v>2150000</v>
      </c>
      <c r="E172" s="23" t="s">
        <v>709</v>
      </c>
      <c r="F172" s="23" t="str">
        <f t="shared" si="4"/>
        <v>rtdc.l.rtdc.4013:itc</v>
      </c>
      <c r="G172" s="8">
        <f t="shared" si="5"/>
        <v>42623.887986111113</v>
      </c>
    </row>
    <row r="173" spans="1:7" x14ac:dyDescent="0.25">
      <c r="A173" s="8">
        <v>42623.891504629632</v>
      </c>
      <c r="B173" s="23" t="s">
        <v>176</v>
      </c>
      <c r="C173" s="23" t="s">
        <v>662</v>
      </c>
      <c r="D173" s="23">
        <v>1810000</v>
      </c>
      <c r="E173" s="23" t="s">
        <v>707</v>
      </c>
      <c r="F173" s="23" t="str">
        <f t="shared" si="4"/>
        <v>rtdc.l.rtdc.4011:itc</v>
      </c>
      <c r="G173" s="8">
        <f t="shared" si="5"/>
        <v>42623.891504629632</v>
      </c>
    </row>
    <row r="174" spans="1:7" x14ac:dyDescent="0.25">
      <c r="A174" s="8">
        <v>42623.90116898148</v>
      </c>
      <c r="B174" s="23" t="s">
        <v>110</v>
      </c>
      <c r="C174" s="23" t="s">
        <v>593</v>
      </c>
      <c r="D174" s="23">
        <v>1820000</v>
      </c>
      <c r="E174" s="23" t="s">
        <v>327</v>
      </c>
      <c r="F174" s="23" t="str">
        <f t="shared" si="4"/>
        <v>rtdc.l.rtdc.4032:itc</v>
      </c>
      <c r="G174" s="8">
        <f t="shared" si="5"/>
        <v>42623.90116898148</v>
      </c>
    </row>
    <row r="175" spans="1:7" x14ac:dyDescent="0.25">
      <c r="A175" s="8">
        <v>42623.902303240742</v>
      </c>
      <c r="B175" s="23" t="s">
        <v>110</v>
      </c>
      <c r="C175" s="23" t="s">
        <v>593</v>
      </c>
      <c r="D175" s="23">
        <v>1820000</v>
      </c>
      <c r="E175" s="23" t="s">
        <v>327</v>
      </c>
      <c r="F175" s="23" t="str">
        <f t="shared" si="4"/>
        <v>rtdc.l.rtdc.4032:itc</v>
      </c>
      <c r="G175" s="8">
        <f t="shared" si="5"/>
        <v>42623.902303240742</v>
      </c>
    </row>
    <row r="176" spans="1:7" x14ac:dyDescent="0.25">
      <c r="A176" s="8">
        <v>42623.91065972222</v>
      </c>
      <c r="B176" s="23" t="s">
        <v>280</v>
      </c>
      <c r="C176" s="23" t="s">
        <v>661</v>
      </c>
      <c r="D176" s="23">
        <v>1300000</v>
      </c>
      <c r="E176" s="23" t="s">
        <v>125</v>
      </c>
      <c r="F176" s="23" t="str">
        <f t="shared" si="4"/>
        <v>rtdc.l.rtdc.4037:itc</v>
      </c>
      <c r="G176" s="8">
        <f t="shared" si="5"/>
        <v>42623.91065972222</v>
      </c>
    </row>
    <row r="177" spans="1:7" x14ac:dyDescent="0.25">
      <c r="A177" s="8">
        <v>42623.914178240739</v>
      </c>
      <c r="B177" s="23" t="s">
        <v>194</v>
      </c>
      <c r="C177" s="23" t="s">
        <v>664</v>
      </c>
      <c r="D177" s="23">
        <v>1800000</v>
      </c>
      <c r="E177" s="23" t="s">
        <v>389</v>
      </c>
      <c r="F177" s="23" t="str">
        <f t="shared" si="4"/>
        <v>rtdc.l.rtdc.4046:itc</v>
      </c>
      <c r="G177" s="8">
        <f t="shared" si="5"/>
        <v>42623.914178240739</v>
      </c>
    </row>
    <row r="178" spans="1:7" x14ac:dyDescent="0.25">
      <c r="A178" s="8">
        <v>42623.922847222224</v>
      </c>
      <c r="B178" s="23" t="s">
        <v>182</v>
      </c>
      <c r="C178" s="23" t="s">
        <v>426</v>
      </c>
      <c r="D178" s="23">
        <v>1810000</v>
      </c>
      <c r="E178" s="23" t="s">
        <v>707</v>
      </c>
      <c r="F178" s="23" t="str">
        <f t="shared" si="4"/>
        <v>rtdc.l.rtdc.4012:itc</v>
      </c>
      <c r="G178" s="8">
        <f t="shared" si="5"/>
        <v>42623.922847222224</v>
      </c>
    </row>
    <row r="179" spans="1:7" x14ac:dyDescent="0.25">
      <c r="A179" s="8">
        <v>42623.927499999998</v>
      </c>
      <c r="B179" s="23" t="s">
        <v>109</v>
      </c>
      <c r="C179" s="23" t="s">
        <v>596</v>
      </c>
      <c r="D179" s="23">
        <v>1820000</v>
      </c>
      <c r="E179" s="23" t="s">
        <v>327</v>
      </c>
      <c r="F179" s="23" t="str">
        <f t="shared" si="4"/>
        <v>rtdc.l.rtdc.4031:itc</v>
      </c>
      <c r="G179" s="8">
        <f t="shared" si="5"/>
        <v>42623.927499999998</v>
      </c>
    </row>
    <row r="180" spans="1:7" x14ac:dyDescent="0.25">
      <c r="A180" s="8">
        <v>42623.927673611113</v>
      </c>
      <c r="B180" s="23" t="s">
        <v>107</v>
      </c>
      <c r="C180" s="23" t="s">
        <v>666</v>
      </c>
      <c r="D180" s="23">
        <v>2150000</v>
      </c>
      <c r="E180" s="23" t="s">
        <v>709</v>
      </c>
      <c r="F180" s="23" t="str">
        <f t="shared" si="4"/>
        <v>rtdc.l.rtdc.4014:itc</v>
      </c>
      <c r="G180" s="8">
        <f t="shared" si="5"/>
        <v>42623.927673611113</v>
      </c>
    </row>
    <row r="181" spans="1:7" x14ac:dyDescent="0.25">
      <c r="A181" s="8">
        <v>42623.953796296293</v>
      </c>
      <c r="B181" s="23" t="s">
        <v>414</v>
      </c>
      <c r="C181" s="23" t="s">
        <v>665</v>
      </c>
      <c r="D181" s="23">
        <v>1800000</v>
      </c>
      <c r="E181" s="23" t="s">
        <v>389</v>
      </c>
      <c r="F181" s="23" t="str">
        <f t="shared" si="4"/>
        <v>rtdc.l.rtdc.4045:itc</v>
      </c>
      <c r="G181" s="8">
        <f t="shared" si="5"/>
        <v>42623.953796296293</v>
      </c>
    </row>
    <row r="182" spans="1:7" x14ac:dyDescent="0.25">
      <c r="A182" s="8">
        <v>42623.954756944448</v>
      </c>
      <c r="B182" s="23" t="s">
        <v>130</v>
      </c>
      <c r="C182" s="23" t="s">
        <v>427</v>
      </c>
      <c r="D182" s="23">
        <v>1300000</v>
      </c>
      <c r="E182" s="23" t="s">
        <v>125</v>
      </c>
      <c r="F182" s="23" t="str">
        <f t="shared" si="4"/>
        <v>rtdc.l.rtdc.4038:itc</v>
      </c>
      <c r="G182" s="8">
        <f t="shared" si="5"/>
        <v>42623.954756944448</v>
      </c>
    </row>
    <row r="183" spans="1:7" x14ac:dyDescent="0.25">
      <c r="A183" s="8">
        <v>42623.96261574074</v>
      </c>
      <c r="B183" s="23" t="s">
        <v>176</v>
      </c>
      <c r="C183" s="23" t="s">
        <v>669</v>
      </c>
      <c r="D183" s="23">
        <v>1810000</v>
      </c>
      <c r="E183" s="23" t="s">
        <v>707</v>
      </c>
      <c r="F183" s="23" t="str">
        <f t="shared" si="4"/>
        <v>rtdc.l.rtdc.4011:itc</v>
      </c>
      <c r="G183" s="8">
        <f t="shared" si="5"/>
        <v>42623.96261574074</v>
      </c>
    </row>
    <row r="184" spans="1:7" x14ac:dyDescent="0.25">
      <c r="A184" s="8">
        <v>42623.967013888891</v>
      </c>
      <c r="B184" s="23" t="s">
        <v>399</v>
      </c>
      <c r="C184" s="23" t="s">
        <v>667</v>
      </c>
      <c r="D184" s="23">
        <v>2150000</v>
      </c>
      <c r="E184" s="23" t="s">
        <v>709</v>
      </c>
      <c r="F184" s="23" t="str">
        <f t="shared" si="4"/>
        <v>rtdc.l.rtdc.4013:itc</v>
      </c>
      <c r="G184" s="8">
        <f t="shared" si="5"/>
        <v>42623.967013888891</v>
      </c>
    </row>
    <row r="185" spans="1:7" x14ac:dyDescent="0.25">
      <c r="A185" s="8">
        <v>42623.993703703702</v>
      </c>
      <c r="B185" s="23" t="s">
        <v>280</v>
      </c>
      <c r="C185" s="23" t="s">
        <v>668</v>
      </c>
      <c r="D185" s="23">
        <v>1300000</v>
      </c>
      <c r="E185" s="23" t="s">
        <v>125</v>
      </c>
      <c r="F185" s="23" t="str">
        <f t="shared" si="4"/>
        <v>rtdc.l.rtdc.4037:itc</v>
      </c>
      <c r="G185" s="8">
        <f t="shared" si="5"/>
        <v>42623.993703703702</v>
      </c>
    </row>
    <row r="186" spans="1:7" x14ac:dyDescent="0.25">
      <c r="A186" s="8">
        <v>42623.998206018521</v>
      </c>
      <c r="B186" s="23" t="s">
        <v>194</v>
      </c>
      <c r="C186" s="23" t="s">
        <v>671</v>
      </c>
      <c r="D186" s="23">
        <v>1800000</v>
      </c>
      <c r="E186" s="23" t="s">
        <v>389</v>
      </c>
      <c r="F186" s="23" t="str">
        <f t="shared" si="4"/>
        <v>rtdc.l.rtdc.4046:itc</v>
      </c>
      <c r="G186" s="8">
        <f t="shared" si="5"/>
        <v>42623.998206018521</v>
      </c>
    </row>
    <row r="187" spans="1:7" x14ac:dyDescent="0.25">
      <c r="A187" s="8">
        <v>42624.005312499998</v>
      </c>
      <c r="B187" s="23" t="s">
        <v>182</v>
      </c>
      <c r="C187" s="23" t="s">
        <v>670</v>
      </c>
      <c r="D187" s="23">
        <v>1810000</v>
      </c>
      <c r="E187" s="23" t="s">
        <v>707</v>
      </c>
      <c r="F187" s="23" t="str">
        <f t="shared" si="4"/>
        <v>rtdc.l.rtdc.4012:itc</v>
      </c>
      <c r="G187" s="8">
        <f t="shared" si="5"/>
        <v>42624.005312499998</v>
      </c>
    </row>
    <row r="188" spans="1:7" x14ac:dyDescent="0.25">
      <c r="A188" s="8">
        <v>42624.006516203706</v>
      </c>
      <c r="B188" s="23" t="s">
        <v>107</v>
      </c>
      <c r="C188" s="23" t="s">
        <v>675</v>
      </c>
      <c r="D188" s="23">
        <v>2150000</v>
      </c>
      <c r="E188" s="23" t="s">
        <v>709</v>
      </c>
      <c r="F188" s="23" t="str">
        <f t="shared" si="4"/>
        <v>rtdc.l.rtdc.4014:itc</v>
      </c>
      <c r="G188" s="8">
        <f t="shared" si="5"/>
        <v>42624.006516203706</v>
      </c>
    </row>
    <row r="189" spans="1:7" x14ac:dyDescent="0.25">
      <c r="A189" s="8">
        <v>42624.036134259259</v>
      </c>
      <c r="B189" s="23" t="s">
        <v>130</v>
      </c>
      <c r="C189" s="23" t="s">
        <v>677</v>
      </c>
      <c r="D189" s="23">
        <v>1300000</v>
      </c>
      <c r="E189" s="23" t="s">
        <v>125</v>
      </c>
      <c r="F189" s="23" t="str">
        <f t="shared" si="4"/>
        <v>rtdc.l.rtdc.4038:itc</v>
      </c>
      <c r="G189" s="8">
        <f t="shared" si="5"/>
        <v>42624.036134259259</v>
      </c>
    </row>
    <row r="190" spans="1:7" x14ac:dyDescent="0.25">
      <c r="A190" s="8">
        <v>42624.038310185184</v>
      </c>
      <c r="B190" s="23" t="s">
        <v>414</v>
      </c>
      <c r="C190" s="23" t="s">
        <v>673</v>
      </c>
      <c r="D190" s="23">
        <v>1800000</v>
      </c>
      <c r="E190" s="23" t="s">
        <v>389</v>
      </c>
      <c r="F190" s="23" t="str">
        <f t="shared" si="4"/>
        <v>rtdc.l.rtdc.4045:itc</v>
      </c>
      <c r="G190" s="8">
        <f t="shared" si="5"/>
        <v>42624.038310185184</v>
      </c>
    </row>
    <row r="191" spans="1:7" x14ac:dyDescent="0.25">
      <c r="A191" s="8">
        <v>42624.047337962962</v>
      </c>
      <c r="B191" s="23" t="s">
        <v>176</v>
      </c>
      <c r="C191" s="23" t="s">
        <v>710</v>
      </c>
      <c r="D191" s="23">
        <v>1810000</v>
      </c>
      <c r="E191" s="23" t="s">
        <v>707</v>
      </c>
      <c r="F191" s="23" t="str">
        <f t="shared" si="4"/>
        <v>rtdc.l.rtdc.4011:itc</v>
      </c>
      <c r="G191" s="8">
        <f t="shared" si="5"/>
        <v>42624.047337962962</v>
      </c>
    </row>
    <row r="192" spans="1:7" x14ac:dyDescent="0.25">
      <c r="A192" s="8">
        <v>42624.059050925927</v>
      </c>
      <c r="B192" s="23" t="s">
        <v>399</v>
      </c>
      <c r="C192" s="23" t="s">
        <v>676</v>
      </c>
      <c r="D192" s="23">
        <v>2150000</v>
      </c>
      <c r="E192" s="23" t="s">
        <v>709</v>
      </c>
      <c r="F192" s="23" t="str">
        <f t="shared" si="4"/>
        <v>rtdc.l.rtdc.4013:itc</v>
      </c>
      <c r="G192" s="8">
        <f t="shared" si="5"/>
        <v>42624.059050925927</v>
      </c>
    </row>
    <row r="193" spans="1:7" x14ac:dyDescent="0.25">
      <c r="A193" s="8">
        <v>42624.069606481484</v>
      </c>
      <c r="B193" s="23" t="s">
        <v>194</v>
      </c>
      <c r="C193" s="23" t="s">
        <v>683</v>
      </c>
      <c r="D193" s="23">
        <v>1800000</v>
      </c>
      <c r="E193" s="23" t="s">
        <v>389</v>
      </c>
      <c r="F193" s="23" t="str">
        <f t="shared" si="4"/>
        <v>rtdc.l.rtdc.4046:itc</v>
      </c>
      <c r="G193" s="8">
        <f t="shared" si="5"/>
        <v>42624.069606481484</v>
      </c>
    </row>
    <row r="194" spans="1:7" x14ac:dyDescent="0.25">
      <c r="A194" s="8">
        <v>42624.076608796298</v>
      </c>
      <c r="B194" s="23" t="s">
        <v>280</v>
      </c>
      <c r="C194" s="23" t="s">
        <v>679</v>
      </c>
      <c r="D194" s="23">
        <v>1300000</v>
      </c>
      <c r="E194" s="23" t="s">
        <v>125</v>
      </c>
      <c r="F194" s="23" t="str">
        <f t="shared" ref="F194:F235" si="6">B194</f>
        <v>rtdc.l.rtdc.4037:itc</v>
      </c>
      <c r="G194" s="8">
        <f t="shared" ref="G194:G235" si="7">A194</f>
        <v>42624.076608796298</v>
      </c>
    </row>
    <row r="195" spans="1:7" x14ac:dyDescent="0.25">
      <c r="A195" s="8">
        <v>42624.089143518519</v>
      </c>
      <c r="B195" s="23" t="s">
        <v>107</v>
      </c>
      <c r="C195" s="23" t="s">
        <v>685</v>
      </c>
      <c r="D195" s="23">
        <v>2150000</v>
      </c>
      <c r="E195" s="23" t="s">
        <v>709</v>
      </c>
      <c r="F195" s="23" t="str">
        <f t="shared" si="6"/>
        <v>rtdc.l.rtdc.4014:itc</v>
      </c>
      <c r="G195" s="8">
        <f t="shared" si="7"/>
        <v>42624.089143518519</v>
      </c>
    </row>
    <row r="196" spans="1:7" x14ac:dyDescent="0.25">
      <c r="B196" s="23"/>
      <c r="C196" s="23"/>
      <c r="D196" s="23"/>
      <c r="E196" s="23"/>
      <c r="F196" s="23">
        <f t="shared" si="6"/>
        <v>0</v>
      </c>
      <c r="G196" s="8">
        <f t="shared" si="7"/>
        <v>0</v>
      </c>
    </row>
    <row r="197" spans="1:7" x14ac:dyDescent="0.25">
      <c r="A197" s="8">
        <v>42622.887037037035</v>
      </c>
      <c r="B197" s="23" t="s">
        <v>180</v>
      </c>
      <c r="C197" s="23" t="s">
        <v>350</v>
      </c>
      <c r="D197" s="23">
        <v>2370000</v>
      </c>
      <c r="E197" s="23" t="s">
        <v>329</v>
      </c>
      <c r="F197" s="23" t="str">
        <f t="shared" si="6"/>
        <v>rtdc.l.rtdc.4026:itc</v>
      </c>
      <c r="G197" s="8">
        <f t="shared" si="7"/>
        <v>42622.887037037035</v>
      </c>
    </row>
    <row r="198" spans="1:7" x14ac:dyDescent="0.25">
      <c r="A198" s="8">
        <v>42622.891805555555</v>
      </c>
      <c r="B198" s="23" t="s">
        <v>189</v>
      </c>
      <c r="C198" s="23" t="s">
        <v>380</v>
      </c>
      <c r="D198" s="23">
        <v>2280000</v>
      </c>
      <c r="E198" s="23" t="s">
        <v>195</v>
      </c>
      <c r="F198" s="23" t="str">
        <f t="shared" si="6"/>
        <v>rtdc.l.rtdc.4042:itc</v>
      </c>
      <c r="G198" s="8">
        <f t="shared" si="7"/>
        <v>42622.891805555555</v>
      </c>
    </row>
    <row r="199" spans="1:7" x14ac:dyDescent="0.25">
      <c r="A199" s="8">
        <v>42622.891898148147</v>
      </c>
      <c r="B199" s="23" t="s">
        <v>170</v>
      </c>
      <c r="C199" s="23" t="s">
        <v>353</v>
      </c>
      <c r="D199" s="23">
        <v>2000000</v>
      </c>
      <c r="E199" s="23" t="s">
        <v>126</v>
      </c>
      <c r="F199" s="23" t="str">
        <f t="shared" si="6"/>
        <v>rtdc.l.rtdc.4020:itc</v>
      </c>
      <c r="G199" s="8">
        <f t="shared" si="7"/>
        <v>42622.891898148147</v>
      </c>
    </row>
    <row r="200" spans="1:7" x14ac:dyDescent="0.25">
      <c r="A200" s="8">
        <v>42622.906597222223</v>
      </c>
      <c r="B200" s="23" t="s">
        <v>278</v>
      </c>
      <c r="C200" s="23" t="s">
        <v>352</v>
      </c>
      <c r="D200" s="23">
        <v>1300000</v>
      </c>
      <c r="E200" s="23" t="s">
        <v>125</v>
      </c>
      <c r="F200" s="23" t="str">
        <f t="shared" si="6"/>
        <v>rtdc.l.rtdc.4017:itc</v>
      </c>
      <c r="G200" s="8">
        <f t="shared" si="7"/>
        <v>42622.906597222223</v>
      </c>
    </row>
    <row r="201" spans="1:7" x14ac:dyDescent="0.25">
      <c r="A201" s="8">
        <v>42622.906944444447</v>
      </c>
      <c r="B201" s="23" t="s">
        <v>186</v>
      </c>
      <c r="C201" s="23" t="s">
        <v>378</v>
      </c>
      <c r="D201" s="23">
        <v>2280000</v>
      </c>
      <c r="E201" s="23" t="s">
        <v>195</v>
      </c>
      <c r="F201" s="23" t="str">
        <f t="shared" si="6"/>
        <v>rtdc.l.rtdc.4041:itc</v>
      </c>
      <c r="G201" s="8">
        <f t="shared" si="7"/>
        <v>42622.906944444447</v>
      </c>
    </row>
    <row r="202" spans="1:7" x14ac:dyDescent="0.25">
      <c r="A202" s="29">
        <v>42622.916006944448</v>
      </c>
      <c r="B202" s="23" t="s">
        <v>276</v>
      </c>
      <c r="C202" s="23" t="s">
        <v>356</v>
      </c>
      <c r="D202" s="23">
        <v>1800000</v>
      </c>
      <c r="E202" s="23" t="s">
        <v>389</v>
      </c>
      <c r="F202" s="23" t="str">
        <f t="shared" si="6"/>
        <v>rtdc.l.rtdc.4016:itc</v>
      </c>
      <c r="G202" s="8">
        <f t="shared" si="7"/>
        <v>42622.916006944448</v>
      </c>
    </row>
    <row r="203" spans="1:7" x14ac:dyDescent="0.25">
      <c r="A203" s="8">
        <v>42622.924305555556</v>
      </c>
      <c r="B203" s="23" t="s">
        <v>189</v>
      </c>
      <c r="C203" s="23" t="s">
        <v>381</v>
      </c>
      <c r="D203" s="23">
        <v>2280000</v>
      </c>
      <c r="E203" s="23" t="s">
        <v>195</v>
      </c>
      <c r="F203" s="23" t="str">
        <f t="shared" si="6"/>
        <v>rtdc.l.rtdc.4042:itc</v>
      </c>
      <c r="G203" s="8">
        <f t="shared" si="7"/>
        <v>42622.924305555556</v>
      </c>
    </row>
    <row r="204" spans="1:7" x14ac:dyDescent="0.25">
      <c r="A204" s="8">
        <v>42622.925057870372</v>
      </c>
      <c r="B204" s="23" t="s">
        <v>179</v>
      </c>
      <c r="C204" s="23" t="s">
        <v>358</v>
      </c>
      <c r="D204" s="23">
        <v>2370000</v>
      </c>
      <c r="E204" s="23" t="s">
        <v>329</v>
      </c>
      <c r="F204" s="23" t="str">
        <f t="shared" si="6"/>
        <v>rtdc.l.rtdc.4025:itc</v>
      </c>
      <c r="G204" s="8">
        <f t="shared" si="7"/>
        <v>42622.925057870372</v>
      </c>
    </row>
    <row r="205" spans="1:7" x14ac:dyDescent="0.25">
      <c r="A205" s="8">
        <v>42622.930868055555</v>
      </c>
      <c r="B205" s="23" t="s">
        <v>169</v>
      </c>
      <c r="C205" s="23" t="s">
        <v>355</v>
      </c>
      <c r="D205" s="23">
        <v>2000000</v>
      </c>
      <c r="E205" s="23" t="s">
        <v>126</v>
      </c>
      <c r="F205" s="23" t="str">
        <f t="shared" si="6"/>
        <v>rtdc.l.rtdc.4019:itc</v>
      </c>
      <c r="G205" s="8">
        <f t="shared" si="7"/>
        <v>42622.930868055555</v>
      </c>
    </row>
    <row r="206" spans="1:7" x14ac:dyDescent="0.25">
      <c r="A206" s="8">
        <v>42622.946087962962</v>
      </c>
      <c r="B206" s="23" t="s">
        <v>186</v>
      </c>
      <c r="C206" s="23" t="s">
        <v>382</v>
      </c>
      <c r="D206" s="23">
        <v>2280000</v>
      </c>
      <c r="E206" s="23" t="s">
        <v>195</v>
      </c>
      <c r="F206" s="23" t="str">
        <f t="shared" si="6"/>
        <v>rtdc.l.rtdc.4041:itc</v>
      </c>
      <c r="G206" s="8">
        <f t="shared" si="7"/>
        <v>42622.946087962962</v>
      </c>
    </row>
    <row r="207" spans="1:7" x14ac:dyDescent="0.25">
      <c r="A207" s="8">
        <v>42622.952951388892</v>
      </c>
      <c r="B207" s="23" t="s">
        <v>277</v>
      </c>
      <c r="C207" s="23" t="s">
        <v>360</v>
      </c>
      <c r="D207" s="23">
        <v>1300000</v>
      </c>
      <c r="E207" s="23" t="s">
        <v>125</v>
      </c>
      <c r="F207" s="23" t="str">
        <f t="shared" si="6"/>
        <v>rtdc.l.rtdc.4018:itc</v>
      </c>
      <c r="G207" s="8">
        <f t="shared" si="7"/>
        <v>42622.952951388892</v>
      </c>
    </row>
    <row r="208" spans="1:7" x14ac:dyDescent="0.25">
      <c r="A208" s="8">
        <v>42622.953692129631</v>
      </c>
      <c r="B208" s="23" t="s">
        <v>279</v>
      </c>
      <c r="C208" s="23" t="s">
        <v>357</v>
      </c>
      <c r="D208" s="23">
        <v>1800000</v>
      </c>
      <c r="E208" s="23" t="s">
        <v>389</v>
      </c>
      <c r="F208" s="23" t="str">
        <f t="shared" si="6"/>
        <v>rtdc.l.rtdc.4015:itc</v>
      </c>
      <c r="G208" s="8">
        <f t="shared" si="7"/>
        <v>42622.953692129631</v>
      </c>
    </row>
    <row r="209" spans="1:7" x14ac:dyDescent="0.25">
      <c r="A209" s="8">
        <v>42622.968159722222</v>
      </c>
      <c r="B209" s="23" t="s">
        <v>180</v>
      </c>
      <c r="C209" s="23" t="s">
        <v>359</v>
      </c>
      <c r="D209" s="23">
        <v>2370000</v>
      </c>
      <c r="E209" s="23" t="s">
        <v>329</v>
      </c>
      <c r="F209" s="23" t="str">
        <f t="shared" si="6"/>
        <v>rtdc.l.rtdc.4026:itc</v>
      </c>
      <c r="G209" s="8">
        <f t="shared" si="7"/>
        <v>42622.968159722222</v>
      </c>
    </row>
    <row r="210" spans="1:7" x14ac:dyDescent="0.25">
      <c r="A210" s="8">
        <v>42622.975787037038</v>
      </c>
      <c r="B210" s="23" t="s">
        <v>170</v>
      </c>
      <c r="C210" s="23" t="s">
        <v>362</v>
      </c>
      <c r="D210" s="23">
        <v>2000000</v>
      </c>
      <c r="E210" s="23" t="s">
        <v>126</v>
      </c>
      <c r="F210" s="23" t="str">
        <f t="shared" si="6"/>
        <v>rtdc.l.rtdc.4020:itc</v>
      </c>
      <c r="G210" s="8">
        <f t="shared" si="7"/>
        <v>42622.975787037038</v>
      </c>
    </row>
    <row r="211" spans="1:7" x14ac:dyDescent="0.25">
      <c r="A211" s="8">
        <v>42622.991574074076</v>
      </c>
      <c r="B211" s="23" t="s">
        <v>278</v>
      </c>
      <c r="C211" s="23" t="s">
        <v>361</v>
      </c>
      <c r="D211" s="23">
        <v>1300000</v>
      </c>
      <c r="E211" s="23" t="s">
        <v>125</v>
      </c>
      <c r="F211" s="23" t="str">
        <f t="shared" si="6"/>
        <v>rtdc.l.rtdc.4017:itc</v>
      </c>
      <c r="G211" s="8">
        <f t="shared" si="7"/>
        <v>42622.991574074076</v>
      </c>
    </row>
    <row r="212" spans="1:7" x14ac:dyDescent="0.25">
      <c r="A212" s="8">
        <v>42622.999363425923</v>
      </c>
      <c r="B212" s="23" t="s">
        <v>276</v>
      </c>
      <c r="C212" s="23" t="s">
        <v>363</v>
      </c>
      <c r="D212" s="23">
        <v>1800000</v>
      </c>
      <c r="E212" s="23" t="s">
        <v>389</v>
      </c>
      <c r="F212" s="23" t="str">
        <f t="shared" si="6"/>
        <v>rtdc.l.rtdc.4016:itc</v>
      </c>
      <c r="G212" s="8">
        <f t="shared" si="7"/>
        <v>42622.999363425923</v>
      </c>
    </row>
    <row r="213" spans="1:7" x14ac:dyDescent="0.25">
      <c r="A213" s="8">
        <v>42622.999432870369</v>
      </c>
      <c r="B213" s="23" t="s">
        <v>183</v>
      </c>
      <c r="C213" s="23" t="s">
        <v>366</v>
      </c>
      <c r="D213" s="23">
        <v>630000</v>
      </c>
      <c r="E213" s="23" t="b">
        <v>1</v>
      </c>
      <c r="F213" s="23" t="str">
        <f t="shared" si="6"/>
        <v>rtdc.l.rtdc.4051:itc</v>
      </c>
      <c r="G213" s="8">
        <f t="shared" si="7"/>
        <v>42622.999432870369</v>
      </c>
    </row>
    <row r="214" spans="1:7" x14ac:dyDescent="0.25">
      <c r="A214" s="8">
        <v>42623.002916666665</v>
      </c>
      <c r="B214" s="23" t="s">
        <v>183</v>
      </c>
      <c r="C214" s="23" t="s">
        <v>366</v>
      </c>
      <c r="D214" s="23">
        <v>630000</v>
      </c>
      <c r="E214" s="23" t="b">
        <v>1</v>
      </c>
      <c r="F214" s="23" t="str">
        <f t="shared" si="6"/>
        <v>rtdc.l.rtdc.4051:itc</v>
      </c>
      <c r="G214" s="8">
        <f t="shared" si="7"/>
        <v>42623.002916666665</v>
      </c>
    </row>
    <row r="215" spans="1:7" x14ac:dyDescent="0.25">
      <c r="A215" s="8">
        <v>42623.009953703702</v>
      </c>
      <c r="B215" s="23" t="s">
        <v>179</v>
      </c>
      <c r="C215" s="23" t="s">
        <v>390</v>
      </c>
      <c r="D215" s="23">
        <v>2370000</v>
      </c>
      <c r="E215" s="23" t="s">
        <v>329</v>
      </c>
      <c r="F215" s="23" t="str">
        <f t="shared" si="6"/>
        <v>rtdc.l.rtdc.4025:itc</v>
      </c>
      <c r="G215" s="8">
        <f t="shared" si="7"/>
        <v>42623.009953703702</v>
      </c>
    </row>
    <row r="216" spans="1:7" x14ac:dyDescent="0.25">
      <c r="A216" s="8">
        <v>42623.015023148146</v>
      </c>
      <c r="B216" s="23" t="s">
        <v>169</v>
      </c>
      <c r="C216" s="23" t="s">
        <v>391</v>
      </c>
      <c r="D216" s="23">
        <v>2000000</v>
      </c>
      <c r="E216" s="23" t="s">
        <v>126</v>
      </c>
      <c r="F216" s="23" t="str">
        <f t="shared" si="6"/>
        <v>rtdc.l.rtdc.4019:itc</v>
      </c>
      <c r="G216" s="8">
        <f t="shared" si="7"/>
        <v>42623.015023148146</v>
      </c>
    </row>
    <row r="217" spans="1:7" x14ac:dyDescent="0.25">
      <c r="A217" s="8">
        <v>42623.038472222222</v>
      </c>
      <c r="B217" s="23" t="s">
        <v>279</v>
      </c>
      <c r="C217" s="23" t="s">
        <v>392</v>
      </c>
      <c r="D217" s="23">
        <v>1800000</v>
      </c>
      <c r="E217" s="23" t="s">
        <v>389</v>
      </c>
      <c r="F217" s="23" t="str">
        <f t="shared" si="6"/>
        <v>rtdc.l.rtdc.4015:itc</v>
      </c>
      <c r="G217" s="8">
        <f t="shared" si="7"/>
        <v>42623.038472222222</v>
      </c>
    </row>
    <row r="218" spans="1:7" x14ac:dyDescent="0.25">
      <c r="B218" s="23"/>
      <c r="C218" s="23"/>
      <c r="D218" s="23"/>
      <c r="E218" s="23"/>
      <c r="F218" s="23">
        <f t="shared" si="6"/>
        <v>0</v>
      </c>
      <c r="G218" s="8">
        <f t="shared" si="7"/>
        <v>0</v>
      </c>
    </row>
    <row r="219" spans="1:7" x14ac:dyDescent="0.25">
      <c r="A219" s="8">
        <v>42621.947094907409</v>
      </c>
      <c r="B219" s="23" t="s">
        <v>277</v>
      </c>
      <c r="C219" s="23" t="s">
        <v>282</v>
      </c>
      <c r="D219" s="23">
        <v>2370000</v>
      </c>
      <c r="E219" s="23" t="s">
        <v>329</v>
      </c>
      <c r="F219" s="23" t="str">
        <f t="shared" si="6"/>
        <v>rtdc.l.rtdc.4018:itc</v>
      </c>
      <c r="G219" s="8">
        <f t="shared" si="7"/>
        <v>42621.947094907409</v>
      </c>
    </row>
    <row r="220" spans="1:7" x14ac:dyDescent="0.25">
      <c r="A220" s="8">
        <v>42621.951493055552</v>
      </c>
      <c r="B220" s="23" t="s">
        <v>331</v>
      </c>
      <c r="C220" s="23" t="s">
        <v>306</v>
      </c>
      <c r="D220" s="23">
        <v>2110000</v>
      </c>
      <c r="E220" s="23" t="s">
        <v>330</v>
      </c>
      <c r="F220" s="23" t="str">
        <f t="shared" si="6"/>
        <v>rtdc.l.rtdc.4028:itc</v>
      </c>
      <c r="G220" s="8">
        <f t="shared" si="7"/>
        <v>42621.951493055552</v>
      </c>
    </row>
    <row r="221" spans="1:7" x14ac:dyDescent="0.25">
      <c r="A221" s="8">
        <v>42621.952326388891</v>
      </c>
      <c r="B221" s="23" t="s">
        <v>331</v>
      </c>
      <c r="C221" s="23" t="s">
        <v>306</v>
      </c>
      <c r="D221" s="23">
        <v>2110000</v>
      </c>
      <c r="E221" s="23" t="s">
        <v>330</v>
      </c>
      <c r="F221" s="23" t="str">
        <f t="shared" si="6"/>
        <v>rtdc.l.rtdc.4028:itc</v>
      </c>
      <c r="G221" s="8">
        <f t="shared" si="7"/>
        <v>42621.952326388891</v>
      </c>
    </row>
    <row r="222" spans="1:7" x14ac:dyDescent="0.25">
      <c r="A222" s="8">
        <v>42621.953634259262</v>
      </c>
      <c r="B222" s="23" t="s">
        <v>331</v>
      </c>
      <c r="C222" s="23" t="s">
        <v>306</v>
      </c>
      <c r="D222" s="23">
        <v>2110000</v>
      </c>
      <c r="E222" s="23" t="s">
        <v>330</v>
      </c>
      <c r="F222" s="23" t="str">
        <f t="shared" si="6"/>
        <v>rtdc.l.rtdc.4028:itc</v>
      </c>
      <c r="G222" s="8">
        <f t="shared" si="7"/>
        <v>42621.953634259262</v>
      </c>
    </row>
    <row r="223" spans="1:7" x14ac:dyDescent="0.25">
      <c r="A223" s="8">
        <v>42621.966249999998</v>
      </c>
      <c r="B223" s="23" t="s">
        <v>276</v>
      </c>
      <c r="C223" s="23" t="s">
        <v>309</v>
      </c>
      <c r="D223" s="23">
        <v>2000000</v>
      </c>
      <c r="E223" s="23" t="s">
        <v>126</v>
      </c>
      <c r="F223" s="23" t="str">
        <f t="shared" si="6"/>
        <v>rtdc.l.rtdc.4016:itc</v>
      </c>
      <c r="G223" s="8">
        <f t="shared" si="7"/>
        <v>42621.966249999998</v>
      </c>
    </row>
    <row r="224" spans="1:7" x14ac:dyDescent="0.25">
      <c r="A224" s="8">
        <v>42621.971550925926</v>
      </c>
      <c r="B224" t="s">
        <v>89</v>
      </c>
      <c r="C224" t="s">
        <v>307</v>
      </c>
      <c r="D224">
        <v>1480000</v>
      </c>
      <c r="E224" t="s">
        <v>190</v>
      </c>
      <c r="F224" s="23" t="str">
        <f t="shared" si="6"/>
        <v>rtdc.l.rtdc.4030:itc</v>
      </c>
      <c r="G224" s="8">
        <f t="shared" si="7"/>
        <v>42621.971550925926</v>
      </c>
    </row>
    <row r="225" spans="1:7" x14ac:dyDescent="0.25">
      <c r="A225" s="8">
        <v>42621.991898148146</v>
      </c>
      <c r="B225" t="s">
        <v>109</v>
      </c>
      <c r="C225" t="s">
        <v>312</v>
      </c>
      <c r="D225">
        <v>2110000</v>
      </c>
      <c r="E225" t="s">
        <v>330</v>
      </c>
      <c r="F225" s="23" t="str">
        <f t="shared" si="6"/>
        <v>rtdc.l.rtdc.4031:itc</v>
      </c>
      <c r="G225" s="8">
        <f t="shared" si="7"/>
        <v>42621.991898148146</v>
      </c>
    </row>
    <row r="226" spans="1:7" x14ac:dyDescent="0.25">
      <c r="A226" s="8">
        <v>42621.992511574077</v>
      </c>
      <c r="B226" t="s">
        <v>109</v>
      </c>
      <c r="C226" t="s">
        <v>312</v>
      </c>
      <c r="D226">
        <v>2110000</v>
      </c>
      <c r="E226" t="s">
        <v>330</v>
      </c>
      <c r="F226" s="23" t="str">
        <f t="shared" si="6"/>
        <v>rtdc.l.rtdc.4031:itc</v>
      </c>
      <c r="G226" s="8">
        <f t="shared" si="7"/>
        <v>42621.992511574077</v>
      </c>
    </row>
    <row r="227" spans="1:7" x14ac:dyDescent="0.25">
      <c r="A227" s="8">
        <v>42621.993402777778</v>
      </c>
      <c r="B227" t="s">
        <v>169</v>
      </c>
      <c r="C227" t="s">
        <v>308</v>
      </c>
      <c r="D227">
        <v>2370000</v>
      </c>
      <c r="E227" t="s">
        <v>329</v>
      </c>
      <c r="F227" s="23" t="str">
        <f t="shared" si="6"/>
        <v>rtdc.l.rtdc.4019:itc</v>
      </c>
      <c r="G227" s="8">
        <f t="shared" si="7"/>
        <v>42621.993402777778</v>
      </c>
    </row>
    <row r="228" spans="1:7" x14ac:dyDescent="0.25">
      <c r="A228" s="8">
        <v>42621.993483796294</v>
      </c>
      <c r="B228" t="s">
        <v>109</v>
      </c>
      <c r="C228" t="s">
        <v>312</v>
      </c>
      <c r="D228">
        <v>2110000</v>
      </c>
      <c r="E228" t="s">
        <v>330</v>
      </c>
      <c r="F228" s="23" t="str">
        <f t="shared" si="6"/>
        <v>rtdc.l.rtdc.4031:itc</v>
      </c>
      <c r="G228" s="8">
        <f t="shared" si="7"/>
        <v>42621.993483796294</v>
      </c>
    </row>
    <row r="229" spans="1:7" x14ac:dyDescent="0.25">
      <c r="A229" s="8">
        <v>42622.014363425929</v>
      </c>
      <c r="B229" t="s">
        <v>180</v>
      </c>
      <c r="C229" t="s">
        <v>310</v>
      </c>
      <c r="D229">
        <v>2000000</v>
      </c>
      <c r="E229" t="s">
        <v>126</v>
      </c>
      <c r="F229" s="23" t="str">
        <f t="shared" si="6"/>
        <v>rtdc.l.rtdc.4026:itc</v>
      </c>
      <c r="G229" s="8">
        <f t="shared" si="7"/>
        <v>42622.014363425929</v>
      </c>
    </row>
    <row r="230" spans="1:7" x14ac:dyDescent="0.25">
      <c r="A230" s="8">
        <v>42622.016435185185</v>
      </c>
      <c r="B230" t="s">
        <v>107</v>
      </c>
      <c r="C230" t="s">
        <v>315</v>
      </c>
      <c r="D230">
        <v>2260000</v>
      </c>
      <c r="E230" t="s">
        <v>134</v>
      </c>
      <c r="F230" s="23" t="str">
        <f t="shared" si="6"/>
        <v>rtdc.l.rtdc.4014:itc</v>
      </c>
      <c r="G230" s="8">
        <f t="shared" si="7"/>
        <v>42622.016435185185</v>
      </c>
    </row>
    <row r="231" spans="1:7" x14ac:dyDescent="0.25">
      <c r="A231" s="8">
        <v>42622.033784722225</v>
      </c>
      <c r="B231" t="s">
        <v>277</v>
      </c>
      <c r="C231" t="s">
        <v>319</v>
      </c>
      <c r="D231">
        <v>2370000</v>
      </c>
      <c r="E231" t="s">
        <v>329</v>
      </c>
      <c r="F231" s="23" t="str">
        <f t="shared" si="6"/>
        <v>rtdc.l.rtdc.4018:itc</v>
      </c>
      <c r="G231" s="8">
        <f t="shared" si="7"/>
        <v>42622.033784722225</v>
      </c>
    </row>
    <row r="232" spans="1:7" x14ac:dyDescent="0.25">
      <c r="A232" s="8">
        <v>42622.036238425928</v>
      </c>
      <c r="B232" t="s">
        <v>331</v>
      </c>
      <c r="C232" t="s">
        <v>314</v>
      </c>
      <c r="D232">
        <v>2110000</v>
      </c>
      <c r="E232" t="s">
        <v>330</v>
      </c>
      <c r="F232" s="23" t="str">
        <f t="shared" si="6"/>
        <v>rtdc.l.rtdc.4028:itc</v>
      </c>
      <c r="G232" s="8">
        <f t="shared" si="7"/>
        <v>42622.036238425928</v>
      </c>
    </row>
    <row r="233" spans="1:7" x14ac:dyDescent="0.25">
      <c r="A233" s="8">
        <v>42622.037129629629</v>
      </c>
      <c r="B233" t="s">
        <v>331</v>
      </c>
      <c r="C233" t="s">
        <v>314</v>
      </c>
      <c r="D233">
        <v>2110000</v>
      </c>
      <c r="E233" t="s">
        <v>330</v>
      </c>
      <c r="F233" s="23" t="str">
        <f t="shared" si="6"/>
        <v>rtdc.l.rtdc.4028:itc</v>
      </c>
      <c r="G233" s="8">
        <f t="shared" si="7"/>
        <v>42622.037129629629</v>
      </c>
    </row>
    <row r="234" spans="1:7" x14ac:dyDescent="0.25">
      <c r="A234" s="8">
        <v>42622.049895833334</v>
      </c>
      <c r="B234" t="s">
        <v>276</v>
      </c>
      <c r="C234" t="s">
        <v>320</v>
      </c>
      <c r="D234">
        <v>2000000</v>
      </c>
      <c r="E234" t="s">
        <v>126</v>
      </c>
      <c r="F234" s="23" t="str">
        <f t="shared" si="6"/>
        <v>rtdc.l.rtdc.4016:itc</v>
      </c>
      <c r="G234" s="8">
        <f t="shared" si="7"/>
        <v>42622.049895833334</v>
      </c>
    </row>
    <row r="235" spans="1:7" x14ac:dyDescent="0.25">
      <c r="A235" s="8">
        <v>42622.057581018518</v>
      </c>
      <c r="B235" t="s">
        <v>89</v>
      </c>
      <c r="C235" t="s">
        <v>317</v>
      </c>
      <c r="D235">
        <v>2260000</v>
      </c>
      <c r="E235" t="s">
        <v>134</v>
      </c>
      <c r="F235" s="23" t="str">
        <f t="shared" si="6"/>
        <v>rtdc.l.rtdc.4030:itc</v>
      </c>
      <c r="G235" s="8">
        <f t="shared" si="7"/>
        <v>42622.057581018518</v>
      </c>
    </row>
    <row r="236" spans="1:7" x14ac:dyDescent="0.25">
      <c r="A236" s="8">
        <v>42622.071087962962</v>
      </c>
      <c r="B236" t="s">
        <v>109</v>
      </c>
      <c r="C236" t="s">
        <v>321</v>
      </c>
      <c r="D236">
        <v>2110000</v>
      </c>
      <c r="E236" t="s">
        <v>330</v>
      </c>
      <c r="F236" s="23" t="str">
        <f t="shared" ref="F236:F265" si="8">B236</f>
        <v>rtdc.l.rtdc.4031:itc</v>
      </c>
      <c r="G236" s="8">
        <f t="shared" ref="G236:G265" si="9">A236</f>
        <v>42622.071087962962</v>
      </c>
    </row>
    <row r="237" spans="1:7" x14ac:dyDescent="0.25">
      <c r="A237" s="8">
        <v>42622.072187500002</v>
      </c>
      <c r="B237" t="s">
        <v>109</v>
      </c>
      <c r="C237" t="s">
        <v>321</v>
      </c>
      <c r="D237">
        <v>2110000</v>
      </c>
      <c r="E237" t="s">
        <v>330</v>
      </c>
      <c r="F237" s="23" t="str">
        <f t="shared" si="8"/>
        <v>rtdc.l.rtdc.4031:itc</v>
      </c>
      <c r="G237" s="8">
        <f t="shared" si="9"/>
        <v>42622.072187500002</v>
      </c>
    </row>
    <row r="238" spans="1:7" x14ac:dyDescent="0.25">
      <c r="A238" s="8">
        <v>42622.09233796296</v>
      </c>
      <c r="B238" t="s">
        <v>107</v>
      </c>
      <c r="C238" t="s">
        <v>322</v>
      </c>
      <c r="D238">
        <v>2260000</v>
      </c>
      <c r="E238" t="s">
        <v>134</v>
      </c>
      <c r="F238" s="23" t="str">
        <f t="shared" si="8"/>
        <v>rtdc.l.rtdc.4014:itc</v>
      </c>
      <c r="G238" s="8">
        <f t="shared" si="9"/>
        <v>42622.09233796296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169</v>
      </c>
      <c r="C240" t="s">
        <v>199</v>
      </c>
      <c r="D240">
        <v>1300000</v>
      </c>
      <c r="E240" t="s">
        <v>125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132</v>
      </c>
      <c r="C241" t="s">
        <v>200</v>
      </c>
      <c r="D241">
        <v>2260000</v>
      </c>
      <c r="E241" t="s">
        <v>134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186</v>
      </c>
      <c r="C242" t="s">
        <v>201</v>
      </c>
      <c r="D242">
        <v>1200000</v>
      </c>
      <c r="E242" t="s">
        <v>197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179</v>
      </c>
      <c r="C243" t="s">
        <v>202</v>
      </c>
      <c r="D243">
        <v>2000000</v>
      </c>
      <c r="E243" t="s">
        <v>126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170</v>
      </c>
      <c r="C244" t="s">
        <v>203</v>
      </c>
      <c r="D244">
        <v>1300000</v>
      </c>
      <c r="E244" t="s">
        <v>125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187</v>
      </c>
      <c r="C245" t="s">
        <v>204</v>
      </c>
      <c r="D245">
        <v>2260000</v>
      </c>
      <c r="E245" t="s">
        <v>134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180</v>
      </c>
      <c r="C246" t="s">
        <v>205</v>
      </c>
      <c r="D246">
        <v>2000000</v>
      </c>
      <c r="E246" t="s">
        <v>126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189</v>
      </c>
      <c r="C247" t="s">
        <v>206</v>
      </c>
      <c r="D247">
        <v>1290000</v>
      </c>
      <c r="E247" t="s">
        <v>181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132</v>
      </c>
      <c r="C248" t="s">
        <v>207</v>
      </c>
      <c r="D248">
        <v>2260000</v>
      </c>
      <c r="E248" t="s">
        <v>134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132</v>
      </c>
      <c r="C249" t="s">
        <v>207</v>
      </c>
      <c r="D249">
        <v>2260000</v>
      </c>
      <c r="E249" t="s">
        <v>134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169</v>
      </c>
      <c r="C250" t="s">
        <v>208</v>
      </c>
      <c r="D250">
        <v>1300000</v>
      </c>
      <c r="E250" t="s">
        <v>125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132</v>
      </c>
      <c r="C251" t="s">
        <v>207</v>
      </c>
      <c r="D251">
        <v>2260000</v>
      </c>
      <c r="E251" t="s">
        <v>134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183</v>
      </c>
      <c r="C252" t="s">
        <v>209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179</v>
      </c>
      <c r="C253" t="s">
        <v>205</v>
      </c>
      <c r="D253">
        <v>2000000</v>
      </c>
      <c r="E253" t="s">
        <v>126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186</v>
      </c>
      <c r="C254" t="s">
        <v>210</v>
      </c>
      <c r="D254">
        <v>1290000</v>
      </c>
      <c r="E254" t="s">
        <v>181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184</v>
      </c>
      <c r="C255" t="s">
        <v>211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183</v>
      </c>
      <c r="C256" t="s">
        <v>209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194</v>
      </c>
      <c r="C257" t="s">
        <v>212</v>
      </c>
      <c r="D257">
        <v>1290000</v>
      </c>
      <c r="E257" t="s">
        <v>181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184</v>
      </c>
      <c r="C258" t="s">
        <v>211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1:Q33"/>
  <sheetViews>
    <sheetView workbookViewId="0"/>
  </sheetViews>
  <sheetFormatPr defaultRowHeight="15" x14ac:dyDescent="0.25"/>
  <cols>
    <col min="1" max="1" width="22.5703125" style="158" customWidth="1"/>
    <col min="2" max="2" width="8.140625" style="158" bestFit="1" customWidth="1"/>
    <col min="3" max="3" width="12.28515625" style="158" bestFit="1" customWidth="1"/>
    <col min="4" max="4" width="18.28515625" style="158" bestFit="1" customWidth="1"/>
    <col min="5" max="5" width="9.5703125" style="158" bestFit="1" customWidth="1"/>
    <col min="6" max="6" width="9" style="158" bestFit="1" customWidth="1"/>
    <col min="7" max="7" width="8.5703125" style="158" bestFit="1" customWidth="1"/>
    <col min="8" max="8" width="13.7109375" style="158" bestFit="1" customWidth="1"/>
    <col min="9" max="9" width="20.85546875" style="158" bestFit="1" customWidth="1"/>
    <col min="10" max="10" width="8.7109375" style="158" bestFit="1" customWidth="1"/>
    <col min="11" max="13" width="11" style="158" bestFit="1" customWidth="1"/>
    <col min="14" max="14" width="12.140625" style="158" bestFit="1" customWidth="1"/>
    <col min="15" max="15" width="14.5703125" style="158" bestFit="1" customWidth="1"/>
    <col min="16" max="16" width="16.42578125" style="158" bestFit="1" customWidth="1"/>
    <col min="17" max="17" width="9.140625" style="158"/>
    <col min="18" max="16384" width="9.140625" style="115"/>
  </cols>
  <sheetData>
    <row r="1" spans="1:17" s="160" customFormat="1" x14ac:dyDescent="0.25">
      <c r="A1" s="159" t="s">
        <v>221</v>
      </c>
      <c r="B1" s="159" t="s">
        <v>224</v>
      </c>
      <c r="C1" s="159" t="s">
        <v>217</v>
      </c>
      <c r="D1" s="159" t="s">
        <v>323</v>
      </c>
      <c r="E1" s="159" t="s">
        <v>218</v>
      </c>
      <c r="F1" s="159" t="s">
        <v>216</v>
      </c>
      <c r="G1" s="159" t="s">
        <v>214</v>
      </c>
      <c r="H1" s="159" t="s">
        <v>227</v>
      </c>
      <c r="I1" s="159" t="s">
        <v>228</v>
      </c>
      <c r="J1" s="159" t="s">
        <v>222</v>
      </c>
      <c r="K1" s="159" t="s">
        <v>220</v>
      </c>
      <c r="L1" s="159" t="s">
        <v>215</v>
      </c>
      <c r="M1" s="159" t="s">
        <v>225</v>
      </c>
      <c r="N1" s="159" t="s">
        <v>219</v>
      </c>
      <c r="O1" s="159" t="s">
        <v>226</v>
      </c>
      <c r="P1" s="159" t="s">
        <v>223</v>
      </c>
      <c r="Q1" s="159"/>
    </row>
    <row r="2" spans="1:17" x14ac:dyDescent="0.25">
      <c r="A2" s="158">
        <v>52.68</v>
      </c>
      <c r="B2" s="158">
        <v>0</v>
      </c>
      <c r="C2" s="158">
        <v>38.32</v>
      </c>
      <c r="D2" s="173">
        <v>42623</v>
      </c>
      <c r="E2" s="158">
        <v>0.57999999999999996</v>
      </c>
      <c r="F2" s="158" t="s">
        <v>230</v>
      </c>
      <c r="G2" s="158">
        <v>286.98</v>
      </c>
      <c r="H2" s="158">
        <v>0</v>
      </c>
      <c r="I2" s="158">
        <v>0</v>
      </c>
      <c r="J2" s="158">
        <v>1026.83</v>
      </c>
      <c r="K2" s="158" t="s">
        <v>231</v>
      </c>
      <c r="L2" s="158">
        <v>52.68</v>
      </c>
      <c r="M2" s="158">
        <v>1473487200</v>
      </c>
      <c r="N2" s="158">
        <v>8.06</v>
      </c>
      <c r="O2" s="158">
        <v>36</v>
      </c>
      <c r="P2" s="158">
        <v>0.41</v>
      </c>
    </row>
    <row r="3" spans="1:17" x14ac:dyDescent="0.25">
      <c r="A3" s="158">
        <v>50.04</v>
      </c>
      <c r="B3" s="158">
        <v>0</v>
      </c>
      <c r="C3" s="158">
        <v>36.75</v>
      </c>
      <c r="D3" s="173">
        <v>42623.041666666664</v>
      </c>
      <c r="E3" s="158">
        <v>0.6</v>
      </c>
      <c r="F3" s="158" t="s">
        <v>230</v>
      </c>
      <c r="G3" s="158">
        <v>287.02999999999997</v>
      </c>
      <c r="H3" s="158">
        <v>0</v>
      </c>
      <c r="I3" s="158">
        <v>0</v>
      </c>
      <c r="J3" s="158">
        <v>1027.0999999999999</v>
      </c>
      <c r="K3" s="158" t="s">
        <v>231</v>
      </c>
      <c r="L3" s="158">
        <v>50.04</v>
      </c>
      <c r="M3" s="158">
        <v>1473490800</v>
      </c>
      <c r="N3" s="158">
        <v>8.34</v>
      </c>
      <c r="O3" s="158">
        <v>179</v>
      </c>
      <c r="P3" s="158">
        <v>1.59</v>
      </c>
    </row>
    <row r="4" spans="1:17" x14ac:dyDescent="0.25">
      <c r="A4" s="158">
        <v>48.67</v>
      </c>
      <c r="B4" s="158">
        <v>0</v>
      </c>
      <c r="C4" s="158">
        <v>36.130000000000003</v>
      </c>
      <c r="D4" s="173">
        <v>42623.083333333336</v>
      </c>
      <c r="E4" s="158">
        <v>0.62</v>
      </c>
      <c r="F4" s="158" t="s">
        <v>230</v>
      </c>
      <c r="G4" s="158">
        <v>287.07</v>
      </c>
      <c r="H4" s="158">
        <v>0</v>
      </c>
      <c r="I4" s="158">
        <v>0</v>
      </c>
      <c r="J4" s="158">
        <v>1027.3499999999999</v>
      </c>
      <c r="K4" s="158" t="s">
        <v>231</v>
      </c>
      <c r="L4" s="158">
        <v>48.67</v>
      </c>
      <c r="M4" s="158">
        <v>1473494400</v>
      </c>
      <c r="N4" s="158">
        <v>8.31</v>
      </c>
      <c r="O4" s="158">
        <v>176</v>
      </c>
      <c r="P4" s="158">
        <v>1.7</v>
      </c>
    </row>
    <row r="5" spans="1:17" x14ac:dyDescent="0.25">
      <c r="A5" s="158">
        <v>47.67</v>
      </c>
      <c r="B5" s="158">
        <v>0</v>
      </c>
      <c r="C5" s="158">
        <v>35.840000000000003</v>
      </c>
      <c r="D5" s="173">
        <v>42623.125</v>
      </c>
      <c r="E5" s="158">
        <v>0.63</v>
      </c>
      <c r="F5" s="158" t="s">
        <v>230</v>
      </c>
      <c r="G5" s="158">
        <v>287.12</v>
      </c>
      <c r="H5" s="158">
        <v>0</v>
      </c>
      <c r="I5" s="158">
        <v>0</v>
      </c>
      <c r="J5" s="158">
        <v>1027.58</v>
      </c>
      <c r="K5" s="158" t="s">
        <v>231</v>
      </c>
      <c r="L5" s="158">
        <v>47.67</v>
      </c>
      <c r="M5" s="158">
        <v>1473498000</v>
      </c>
      <c r="N5" s="158">
        <v>8.2100000000000009</v>
      </c>
      <c r="O5" s="158">
        <v>166</v>
      </c>
      <c r="P5" s="158">
        <v>2.46</v>
      </c>
    </row>
    <row r="6" spans="1:17" x14ac:dyDescent="0.25">
      <c r="A6" s="158">
        <v>46.39</v>
      </c>
      <c r="B6" s="158">
        <v>0</v>
      </c>
      <c r="C6" s="158">
        <v>35.06</v>
      </c>
      <c r="D6" s="173">
        <v>42623.166666666664</v>
      </c>
      <c r="E6" s="158">
        <v>0.64</v>
      </c>
      <c r="F6" s="158" t="s">
        <v>230</v>
      </c>
      <c r="G6" s="158">
        <v>287.58</v>
      </c>
      <c r="H6" s="158">
        <v>0</v>
      </c>
      <c r="I6" s="158">
        <v>0</v>
      </c>
      <c r="J6" s="158">
        <v>1027.5999999999999</v>
      </c>
      <c r="K6" s="158" t="s">
        <v>231</v>
      </c>
      <c r="L6" s="158">
        <v>46.39</v>
      </c>
      <c r="M6" s="158">
        <v>1473501600</v>
      </c>
      <c r="N6" s="158">
        <v>8.5</v>
      </c>
      <c r="O6" s="158">
        <v>176</v>
      </c>
      <c r="P6" s="158">
        <v>2.2200000000000002</v>
      </c>
    </row>
    <row r="7" spans="1:17" x14ac:dyDescent="0.25">
      <c r="A7" s="158">
        <v>45.35</v>
      </c>
      <c r="B7" s="158">
        <v>0.02</v>
      </c>
      <c r="C7" s="158">
        <v>34.39</v>
      </c>
      <c r="D7" s="173">
        <v>42623.208333333336</v>
      </c>
      <c r="E7" s="158">
        <v>0.65</v>
      </c>
      <c r="F7" s="158" t="s">
        <v>230</v>
      </c>
      <c r="G7" s="158">
        <v>288.17</v>
      </c>
      <c r="H7" s="158">
        <v>0</v>
      </c>
      <c r="I7" s="158">
        <v>0</v>
      </c>
      <c r="J7" s="158">
        <v>1027.49</v>
      </c>
      <c r="K7" s="158" t="s">
        <v>231</v>
      </c>
      <c r="L7" s="158">
        <v>45.35</v>
      </c>
      <c r="M7" s="158">
        <v>1473505200</v>
      </c>
      <c r="N7" s="158">
        <v>8.0500000000000007</v>
      </c>
      <c r="O7" s="158">
        <v>178</v>
      </c>
      <c r="P7" s="158">
        <v>1.87</v>
      </c>
    </row>
    <row r="8" spans="1:17" x14ac:dyDescent="0.25">
      <c r="A8" s="158">
        <v>45.39</v>
      </c>
      <c r="B8" s="158">
        <v>0.02</v>
      </c>
      <c r="C8" s="158">
        <v>34.1</v>
      </c>
      <c r="D8" s="173">
        <v>42623.25</v>
      </c>
      <c r="E8" s="158">
        <v>0.64</v>
      </c>
      <c r="F8" s="158" t="s">
        <v>230</v>
      </c>
      <c r="G8" s="158">
        <v>288.47000000000003</v>
      </c>
      <c r="H8" s="158">
        <v>0</v>
      </c>
      <c r="I8" s="158">
        <v>0</v>
      </c>
      <c r="J8" s="158">
        <v>1027.1300000000001</v>
      </c>
      <c r="K8" s="158" t="s">
        <v>231</v>
      </c>
      <c r="L8" s="158">
        <v>45.39</v>
      </c>
      <c r="M8" s="158">
        <v>1473508800</v>
      </c>
      <c r="N8" s="158">
        <v>7.25</v>
      </c>
      <c r="O8" s="158">
        <v>150</v>
      </c>
      <c r="P8" s="158">
        <v>1.75</v>
      </c>
    </row>
    <row r="9" spans="1:17" x14ac:dyDescent="0.25">
      <c r="A9" s="158">
        <v>46.69</v>
      </c>
      <c r="B9" s="158">
        <v>0.05</v>
      </c>
      <c r="C9" s="158">
        <v>34.31</v>
      </c>
      <c r="D9" s="173">
        <v>42623.291666666664</v>
      </c>
      <c r="E9" s="158">
        <v>0.62</v>
      </c>
      <c r="F9" s="158" t="s">
        <v>324</v>
      </c>
      <c r="G9" s="158">
        <v>288.17</v>
      </c>
      <c r="H9" s="158">
        <v>0</v>
      </c>
      <c r="I9" s="158">
        <v>0</v>
      </c>
      <c r="J9" s="158">
        <v>1026.3900000000001</v>
      </c>
      <c r="K9" s="158" t="s">
        <v>231</v>
      </c>
      <c r="L9" s="158">
        <v>46.69</v>
      </c>
      <c r="M9" s="158">
        <v>1473512400</v>
      </c>
      <c r="N9" s="158">
        <v>6.42</v>
      </c>
      <c r="O9" s="158">
        <v>150</v>
      </c>
      <c r="P9" s="158">
        <v>1.52</v>
      </c>
    </row>
    <row r="10" spans="1:17" x14ac:dyDescent="0.25">
      <c r="A10" s="158">
        <v>51.32</v>
      </c>
      <c r="B10" s="158">
        <v>0.05</v>
      </c>
      <c r="C10" s="158">
        <v>34.81</v>
      </c>
      <c r="D10" s="173">
        <v>42623.333333333336</v>
      </c>
      <c r="E10" s="158">
        <v>0.53</v>
      </c>
      <c r="F10" s="158" t="s">
        <v>324</v>
      </c>
      <c r="G10" s="158">
        <v>287.58</v>
      </c>
      <c r="H10" s="158">
        <v>0</v>
      </c>
      <c r="I10" s="158">
        <v>0</v>
      </c>
      <c r="J10" s="158">
        <v>1025.3599999999999</v>
      </c>
      <c r="K10" s="158" t="s">
        <v>231</v>
      </c>
      <c r="L10" s="158">
        <v>51.32</v>
      </c>
      <c r="M10" s="158">
        <v>1473516000</v>
      </c>
      <c r="N10" s="158">
        <v>6.14</v>
      </c>
      <c r="O10" s="158">
        <v>164</v>
      </c>
      <c r="P10" s="158">
        <v>1.06</v>
      </c>
    </row>
    <row r="11" spans="1:17" x14ac:dyDescent="0.25">
      <c r="A11" s="158">
        <v>56.82</v>
      </c>
      <c r="B11" s="158">
        <v>0.05</v>
      </c>
      <c r="C11" s="158">
        <v>35.54</v>
      </c>
      <c r="D11" s="173">
        <v>42623.375</v>
      </c>
      <c r="E11" s="158">
        <v>0.45</v>
      </c>
      <c r="F11" s="158" t="s">
        <v>324</v>
      </c>
      <c r="G11" s="158">
        <v>287.11</v>
      </c>
      <c r="H11" s="158">
        <v>0</v>
      </c>
      <c r="I11" s="158">
        <v>0</v>
      </c>
      <c r="J11" s="158">
        <v>1024.06</v>
      </c>
      <c r="K11" s="158" t="s">
        <v>231</v>
      </c>
      <c r="L11" s="158">
        <v>56.82</v>
      </c>
      <c r="M11" s="158">
        <v>1473519600</v>
      </c>
      <c r="N11" s="158">
        <v>6.09</v>
      </c>
      <c r="O11" s="158">
        <v>157</v>
      </c>
      <c r="P11" s="158">
        <v>2.2200000000000002</v>
      </c>
    </row>
    <row r="12" spans="1:17" x14ac:dyDescent="0.25">
      <c r="A12" s="158">
        <v>61.49</v>
      </c>
      <c r="B12" s="158">
        <v>0.05</v>
      </c>
      <c r="C12" s="158">
        <v>35.380000000000003</v>
      </c>
      <c r="D12" s="173">
        <v>42623.416666666664</v>
      </c>
      <c r="E12" s="158">
        <v>0.38</v>
      </c>
      <c r="F12" s="158" t="s">
        <v>324</v>
      </c>
      <c r="G12" s="158">
        <v>286.95999999999998</v>
      </c>
      <c r="H12" s="158">
        <v>0</v>
      </c>
      <c r="I12" s="158">
        <v>0</v>
      </c>
      <c r="J12" s="158">
        <v>1022.4</v>
      </c>
      <c r="K12" s="158" t="s">
        <v>231</v>
      </c>
      <c r="L12" s="158">
        <v>61.49</v>
      </c>
      <c r="M12" s="158">
        <v>1473523200</v>
      </c>
      <c r="N12" s="158">
        <v>6.11</v>
      </c>
      <c r="O12" s="158">
        <v>166</v>
      </c>
      <c r="P12" s="158">
        <v>2.82</v>
      </c>
    </row>
    <row r="13" spans="1:17" x14ac:dyDescent="0.25">
      <c r="A13" s="158">
        <v>66.16</v>
      </c>
      <c r="B13" s="158">
        <v>0.08</v>
      </c>
      <c r="C13" s="158">
        <v>39.020000000000003</v>
      </c>
      <c r="D13" s="173">
        <v>42623.458333333336</v>
      </c>
      <c r="E13" s="158">
        <v>0.37</v>
      </c>
      <c r="F13" s="158" t="s">
        <v>324</v>
      </c>
      <c r="G13" s="158">
        <v>286.95</v>
      </c>
      <c r="H13" s="158">
        <v>0</v>
      </c>
      <c r="I13" s="158">
        <v>0</v>
      </c>
      <c r="J13" s="158">
        <v>1020.85</v>
      </c>
      <c r="K13" s="158" t="s">
        <v>231</v>
      </c>
      <c r="L13" s="158">
        <v>66.16</v>
      </c>
      <c r="M13" s="158">
        <v>1473526800</v>
      </c>
      <c r="N13" s="158">
        <v>6.33</v>
      </c>
      <c r="O13" s="158">
        <v>166</v>
      </c>
      <c r="P13" s="158">
        <v>2.73</v>
      </c>
    </row>
    <row r="14" spans="1:17" x14ac:dyDescent="0.25">
      <c r="A14" s="158">
        <v>71.25</v>
      </c>
      <c r="B14" s="158">
        <v>0.1</v>
      </c>
      <c r="C14" s="158">
        <v>39.68</v>
      </c>
      <c r="D14" s="173">
        <v>42623.5</v>
      </c>
      <c r="E14" s="158">
        <v>0.32</v>
      </c>
      <c r="F14" s="158" t="s">
        <v>324</v>
      </c>
      <c r="G14" s="158">
        <v>286.86</v>
      </c>
      <c r="H14" s="158">
        <v>0</v>
      </c>
      <c r="I14" s="158">
        <v>0</v>
      </c>
      <c r="J14" s="158">
        <v>1019.44</v>
      </c>
      <c r="K14" s="158" t="s">
        <v>231</v>
      </c>
      <c r="L14" s="158">
        <v>71.25</v>
      </c>
      <c r="M14" s="158">
        <v>1473530400</v>
      </c>
      <c r="N14" s="158">
        <v>6.58</v>
      </c>
      <c r="O14" s="158">
        <v>124</v>
      </c>
      <c r="P14" s="158">
        <v>3.53</v>
      </c>
    </row>
    <row r="15" spans="1:17" x14ac:dyDescent="0.25">
      <c r="A15" s="158">
        <v>75.94</v>
      </c>
      <c r="B15" s="158">
        <v>0.16</v>
      </c>
      <c r="C15" s="158">
        <v>39.130000000000003</v>
      </c>
      <c r="D15" s="173">
        <v>42623.541666666664</v>
      </c>
      <c r="E15" s="158">
        <v>0.27</v>
      </c>
      <c r="F15" s="158" t="s">
        <v>324</v>
      </c>
      <c r="G15" s="158">
        <v>286.74</v>
      </c>
      <c r="H15" s="158">
        <v>0</v>
      </c>
      <c r="I15" s="158">
        <v>0</v>
      </c>
      <c r="J15" s="158">
        <v>1018.22</v>
      </c>
      <c r="K15" s="158" t="s">
        <v>231</v>
      </c>
      <c r="L15" s="158">
        <v>75.94</v>
      </c>
      <c r="M15" s="158">
        <v>1473534000</v>
      </c>
      <c r="N15" s="158">
        <v>6.73</v>
      </c>
      <c r="O15" s="158">
        <v>108</v>
      </c>
      <c r="P15" s="158">
        <v>2.38</v>
      </c>
    </row>
    <row r="16" spans="1:17" x14ac:dyDescent="0.25">
      <c r="A16" s="158">
        <v>79.239999999999995</v>
      </c>
      <c r="B16" s="158">
        <v>0.19</v>
      </c>
      <c r="C16" s="158">
        <v>38.17</v>
      </c>
      <c r="D16" s="173">
        <v>42623.583333333336</v>
      </c>
      <c r="E16" s="158">
        <v>0.23</v>
      </c>
      <c r="F16" s="158" t="s">
        <v>324</v>
      </c>
      <c r="G16" s="158">
        <v>286.56</v>
      </c>
      <c r="H16" s="158">
        <v>0</v>
      </c>
      <c r="I16" s="158">
        <v>0</v>
      </c>
      <c r="J16" s="158">
        <v>1017.09</v>
      </c>
      <c r="K16" s="158" t="s">
        <v>231</v>
      </c>
      <c r="L16" s="158">
        <v>79.239999999999995</v>
      </c>
      <c r="M16" s="158">
        <v>1473537600</v>
      </c>
      <c r="N16" s="158">
        <v>6.78</v>
      </c>
      <c r="O16" s="158">
        <v>101</v>
      </c>
      <c r="P16" s="158">
        <v>2.66</v>
      </c>
    </row>
    <row r="17" spans="1:16" x14ac:dyDescent="0.25">
      <c r="A17" s="158">
        <v>79.38</v>
      </c>
      <c r="B17" s="158">
        <v>0.24</v>
      </c>
      <c r="C17" s="158">
        <v>36.58</v>
      </c>
      <c r="D17" s="173">
        <v>42623.625</v>
      </c>
      <c r="E17" s="158">
        <v>0.2</v>
      </c>
      <c r="F17" s="158" t="s">
        <v>324</v>
      </c>
      <c r="G17" s="158">
        <v>285.95999999999998</v>
      </c>
      <c r="H17" s="158">
        <v>0</v>
      </c>
      <c r="I17" s="158">
        <v>0</v>
      </c>
      <c r="J17" s="158">
        <v>1016.04</v>
      </c>
      <c r="K17" s="158" t="s">
        <v>231</v>
      </c>
      <c r="L17" s="158">
        <v>81.25</v>
      </c>
      <c r="M17" s="158">
        <v>1473541200</v>
      </c>
      <c r="N17" s="158">
        <v>6.83</v>
      </c>
      <c r="O17" s="158">
        <v>91</v>
      </c>
      <c r="P17" s="158">
        <v>3.18</v>
      </c>
    </row>
    <row r="18" spans="1:16" x14ac:dyDescent="0.25">
      <c r="A18" s="158">
        <v>79.98</v>
      </c>
      <c r="B18" s="158">
        <v>0.32</v>
      </c>
      <c r="C18" s="158">
        <v>36.74</v>
      </c>
      <c r="D18" s="173">
        <v>42623.666666666664</v>
      </c>
      <c r="E18" s="158">
        <v>0.2</v>
      </c>
      <c r="F18" s="158" t="s">
        <v>229</v>
      </c>
      <c r="G18" s="158">
        <v>284.58</v>
      </c>
      <c r="H18" s="158">
        <v>0</v>
      </c>
      <c r="I18" s="158">
        <v>0</v>
      </c>
      <c r="J18" s="158">
        <v>1014.92</v>
      </c>
      <c r="K18" s="158" t="s">
        <v>213</v>
      </c>
      <c r="L18" s="158">
        <v>82.19</v>
      </c>
      <c r="M18" s="158">
        <v>1473544800</v>
      </c>
      <c r="N18" s="158">
        <v>6.91</v>
      </c>
      <c r="O18" s="158">
        <v>122</v>
      </c>
      <c r="P18" s="158">
        <v>3.8</v>
      </c>
    </row>
    <row r="19" spans="1:16" x14ac:dyDescent="0.25">
      <c r="A19" s="158">
        <v>80.31</v>
      </c>
      <c r="B19" s="158">
        <v>0.4</v>
      </c>
      <c r="C19" s="158">
        <v>36.64</v>
      </c>
      <c r="D19" s="173">
        <v>42623.708333333336</v>
      </c>
      <c r="E19" s="158">
        <v>0.19</v>
      </c>
      <c r="F19" s="158" t="s">
        <v>229</v>
      </c>
      <c r="G19" s="158">
        <v>282.8</v>
      </c>
      <c r="H19" s="158">
        <v>0</v>
      </c>
      <c r="I19" s="158">
        <v>0</v>
      </c>
      <c r="J19" s="158">
        <v>1013.94</v>
      </c>
      <c r="K19" s="158" t="s">
        <v>213</v>
      </c>
      <c r="L19" s="158">
        <v>82.69</v>
      </c>
      <c r="M19" s="158">
        <v>1473548400</v>
      </c>
      <c r="N19" s="158">
        <v>8.76</v>
      </c>
      <c r="O19" s="158">
        <v>123</v>
      </c>
      <c r="P19" s="158">
        <v>2.95</v>
      </c>
    </row>
    <row r="20" spans="1:16" x14ac:dyDescent="0.25">
      <c r="A20" s="158">
        <v>79.709999999999994</v>
      </c>
      <c r="B20" s="158">
        <v>0.45</v>
      </c>
      <c r="C20" s="158">
        <v>35.78</v>
      </c>
      <c r="D20" s="173">
        <v>42623.75</v>
      </c>
      <c r="E20" s="158">
        <v>0.21</v>
      </c>
      <c r="F20" s="158" t="s">
        <v>229</v>
      </c>
      <c r="G20" s="158">
        <v>281.36</v>
      </c>
      <c r="H20" s="158">
        <v>0</v>
      </c>
      <c r="I20" s="158">
        <v>0</v>
      </c>
      <c r="J20" s="158">
        <v>1013.51</v>
      </c>
      <c r="K20" s="158" t="s">
        <v>213</v>
      </c>
      <c r="L20" s="158">
        <v>79.709999999999994</v>
      </c>
      <c r="M20" s="158">
        <v>1473552000</v>
      </c>
      <c r="N20" s="158">
        <v>8.8800000000000008</v>
      </c>
      <c r="O20" s="158">
        <v>145</v>
      </c>
      <c r="P20" s="158">
        <v>3.3</v>
      </c>
    </row>
    <row r="21" spans="1:16" x14ac:dyDescent="0.25">
      <c r="A21" s="158">
        <v>74.33</v>
      </c>
      <c r="B21" s="158">
        <v>0.16</v>
      </c>
      <c r="C21" s="158">
        <v>36.450000000000003</v>
      </c>
      <c r="D21" s="173">
        <v>42623.791666666664</v>
      </c>
      <c r="E21" s="158">
        <v>0.25</v>
      </c>
      <c r="F21" s="158" t="s">
        <v>324</v>
      </c>
      <c r="G21" s="158">
        <v>280.60000000000002</v>
      </c>
      <c r="H21" s="158">
        <v>0</v>
      </c>
      <c r="I21" s="158">
        <v>0</v>
      </c>
      <c r="J21" s="158">
        <v>1014.14</v>
      </c>
      <c r="K21" s="158" t="s">
        <v>231</v>
      </c>
      <c r="L21" s="158">
        <v>74.33</v>
      </c>
      <c r="M21" s="158">
        <v>1473555600</v>
      </c>
      <c r="N21" s="158">
        <v>9.0500000000000007</v>
      </c>
      <c r="O21" s="158">
        <v>169</v>
      </c>
      <c r="P21" s="158">
        <v>2.27</v>
      </c>
    </row>
    <row r="22" spans="1:16" x14ac:dyDescent="0.25">
      <c r="A22" s="158">
        <v>69.400000000000006</v>
      </c>
      <c r="B22" s="158">
        <v>7.0000000000000007E-2</v>
      </c>
      <c r="C22" s="158">
        <v>37.659999999999997</v>
      </c>
      <c r="D22" s="173">
        <v>42623.833333333336</v>
      </c>
      <c r="E22" s="158">
        <v>0.31</v>
      </c>
      <c r="F22" s="158" t="s">
        <v>230</v>
      </c>
      <c r="G22" s="158">
        <v>280.18</v>
      </c>
      <c r="H22" s="158">
        <v>0</v>
      </c>
      <c r="I22" s="158">
        <v>0</v>
      </c>
      <c r="J22" s="158">
        <v>1015.27</v>
      </c>
      <c r="K22" s="158" t="s">
        <v>231</v>
      </c>
      <c r="L22" s="158">
        <v>69.400000000000006</v>
      </c>
      <c r="M22" s="158">
        <v>1473559200</v>
      </c>
      <c r="N22" s="158">
        <v>9.26</v>
      </c>
      <c r="O22" s="158">
        <v>184</v>
      </c>
      <c r="P22" s="158">
        <v>2.2799999999999998</v>
      </c>
    </row>
    <row r="23" spans="1:16" x14ac:dyDescent="0.25">
      <c r="A23" s="158">
        <v>64.989999999999995</v>
      </c>
      <c r="B23" s="158">
        <v>0.03</v>
      </c>
      <c r="C23" s="158">
        <v>37.15</v>
      </c>
      <c r="D23" s="173">
        <v>42623.875</v>
      </c>
      <c r="E23" s="158">
        <v>0.36</v>
      </c>
      <c r="F23" s="158" t="s">
        <v>230</v>
      </c>
      <c r="G23" s="158">
        <v>279.91000000000003</v>
      </c>
      <c r="H23" s="158">
        <v>0</v>
      </c>
      <c r="I23" s="158">
        <v>0</v>
      </c>
      <c r="J23" s="158">
        <v>1016.33</v>
      </c>
      <c r="K23" s="158" t="s">
        <v>231</v>
      </c>
      <c r="L23" s="158">
        <v>64.989999999999995</v>
      </c>
      <c r="M23" s="158">
        <v>1473562800</v>
      </c>
      <c r="N23" s="158">
        <v>9.49</v>
      </c>
      <c r="O23" s="158">
        <v>226</v>
      </c>
      <c r="P23" s="158">
        <v>2.27</v>
      </c>
    </row>
    <row r="24" spans="1:16" x14ac:dyDescent="0.25">
      <c r="A24" s="158">
        <v>61.7</v>
      </c>
      <c r="B24" s="158">
        <v>0</v>
      </c>
      <c r="C24" s="158">
        <v>36.299999999999997</v>
      </c>
      <c r="D24" s="173">
        <v>42623.916666666664</v>
      </c>
      <c r="E24" s="158">
        <v>0.39</v>
      </c>
      <c r="F24" s="158" t="s">
        <v>230</v>
      </c>
      <c r="G24" s="158">
        <v>279.74</v>
      </c>
      <c r="H24" s="158">
        <v>0</v>
      </c>
      <c r="I24" s="158">
        <v>0</v>
      </c>
      <c r="J24" s="158">
        <v>1016.8</v>
      </c>
      <c r="K24" s="158" t="s">
        <v>231</v>
      </c>
      <c r="L24" s="158">
        <v>61.7</v>
      </c>
      <c r="M24" s="158">
        <v>1473566400</v>
      </c>
      <c r="N24" s="158">
        <v>9.59</v>
      </c>
      <c r="O24" s="158">
        <v>218</v>
      </c>
      <c r="P24" s="158">
        <v>3.45</v>
      </c>
    </row>
    <row r="25" spans="1:16" x14ac:dyDescent="0.25">
      <c r="A25" s="158">
        <v>59.32</v>
      </c>
      <c r="B25" s="158">
        <v>0</v>
      </c>
      <c r="C25" s="158">
        <v>35.71</v>
      </c>
      <c r="D25" s="173">
        <v>42623.958333333336</v>
      </c>
      <c r="E25" s="158">
        <v>0.41</v>
      </c>
      <c r="F25" s="158" t="s">
        <v>230</v>
      </c>
      <c r="G25" s="158">
        <v>279.70999999999998</v>
      </c>
      <c r="H25" s="158">
        <v>0</v>
      </c>
      <c r="I25" s="158">
        <v>0</v>
      </c>
      <c r="J25" s="158">
        <v>1016.92</v>
      </c>
      <c r="K25" s="158" t="s">
        <v>231</v>
      </c>
      <c r="L25" s="158">
        <v>59.32</v>
      </c>
      <c r="M25" s="158">
        <v>1473570000</v>
      </c>
      <c r="N25" s="158">
        <v>9.6199999999999992</v>
      </c>
      <c r="O25" s="158">
        <v>233</v>
      </c>
      <c r="P25" s="158">
        <v>3.28</v>
      </c>
    </row>
    <row r="26" spans="1:16" x14ac:dyDescent="0.25">
      <c r="A26" s="158">
        <v>57.48</v>
      </c>
      <c r="B26" s="158">
        <v>0.01</v>
      </c>
      <c r="C26" s="158">
        <v>34.86</v>
      </c>
      <c r="D26" s="173">
        <v>42624</v>
      </c>
      <c r="E26" s="158">
        <v>0.42</v>
      </c>
      <c r="F26" s="158" t="s">
        <v>230</v>
      </c>
      <c r="G26" s="158">
        <v>279.76</v>
      </c>
      <c r="H26" s="158">
        <v>0</v>
      </c>
      <c r="I26" s="158">
        <v>0</v>
      </c>
      <c r="J26" s="158">
        <v>1017.13</v>
      </c>
      <c r="K26" s="158" t="s">
        <v>231</v>
      </c>
      <c r="L26" s="158">
        <v>57.48</v>
      </c>
      <c r="M26" s="158">
        <v>1473573600</v>
      </c>
      <c r="N26" s="158">
        <v>9.61</v>
      </c>
      <c r="O26" s="158">
        <v>233</v>
      </c>
      <c r="P26" s="158">
        <v>4.18</v>
      </c>
    </row>
    <row r="27" spans="1:16" x14ac:dyDescent="0.25">
      <c r="A27" s="158">
        <v>55.3</v>
      </c>
      <c r="B27" s="158">
        <v>0.02</v>
      </c>
      <c r="C27" s="158">
        <v>33.43</v>
      </c>
      <c r="D27" s="173">
        <v>42624.041666666664</v>
      </c>
      <c r="E27" s="158">
        <v>0.43</v>
      </c>
      <c r="F27" s="158" t="s">
        <v>230</v>
      </c>
      <c r="G27" s="158">
        <v>279.98</v>
      </c>
      <c r="H27" s="158">
        <v>0</v>
      </c>
      <c r="I27" s="158">
        <v>0</v>
      </c>
      <c r="J27" s="158">
        <v>1017.56</v>
      </c>
      <c r="K27" s="158" t="s">
        <v>231</v>
      </c>
      <c r="L27" s="158">
        <v>55.3</v>
      </c>
      <c r="M27" s="158">
        <v>1473577200</v>
      </c>
      <c r="N27" s="158">
        <v>9.64</v>
      </c>
      <c r="O27" s="158">
        <v>225</v>
      </c>
      <c r="P27" s="158">
        <v>4</v>
      </c>
    </row>
    <row r="28" spans="1:16" x14ac:dyDescent="0.25">
      <c r="A28" s="158">
        <v>54.31</v>
      </c>
      <c r="B28" s="158">
        <v>0</v>
      </c>
      <c r="C28" s="158">
        <v>32</v>
      </c>
      <c r="D28" s="173">
        <v>42624.083333333336</v>
      </c>
      <c r="E28" s="158">
        <v>0.42</v>
      </c>
      <c r="F28" s="158" t="s">
        <v>230</v>
      </c>
      <c r="G28" s="158">
        <v>280.19</v>
      </c>
      <c r="H28" s="158">
        <v>0</v>
      </c>
      <c r="I28" s="158">
        <v>0</v>
      </c>
      <c r="J28" s="158">
        <v>1017.94</v>
      </c>
      <c r="K28" s="158" t="s">
        <v>231</v>
      </c>
      <c r="L28" s="158">
        <v>54.31</v>
      </c>
      <c r="M28" s="158">
        <v>1473580800</v>
      </c>
      <c r="N28" s="158">
        <v>9.6300000000000008</v>
      </c>
      <c r="O28" s="158">
        <v>230</v>
      </c>
      <c r="P28" s="158">
        <v>3.52</v>
      </c>
    </row>
    <row r="29" spans="1:16" x14ac:dyDescent="0.25">
      <c r="A29" s="158">
        <v>52.85</v>
      </c>
      <c r="B29" s="158">
        <v>0</v>
      </c>
      <c r="C29" s="158">
        <v>30.19</v>
      </c>
      <c r="D29" s="173">
        <v>42624.125</v>
      </c>
      <c r="E29" s="158">
        <v>0.42</v>
      </c>
      <c r="F29" s="158" t="s">
        <v>230</v>
      </c>
      <c r="G29" s="158">
        <v>280.39999999999998</v>
      </c>
      <c r="H29" s="158">
        <v>0</v>
      </c>
      <c r="I29" s="158">
        <v>0</v>
      </c>
      <c r="J29" s="158">
        <v>1018.28</v>
      </c>
      <c r="K29" s="158" t="s">
        <v>231</v>
      </c>
      <c r="L29" s="158">
        <v>52.85</v>
      </c>
      <c r="M29" s="158">
        <v>1473584400</v>
      </c>
      <c r="N29" s="158">
        <v>9.59</v>
      </c>
      <c r="O29" s="158">
        <v>230</v>
      </c>
      <c r="P29" s="158">
        <v>3.65</v>
      </c>
    </row>
    <row r="31" spans="1:16" x14ac:dyDescent="0.25">
      <c r="A31" s="158" t="s">
        <v>697</v>
      </c>
    </row>
    <row r="33" spans="1:1" x14ac:dyDescent="0.25">
      <c r="A33" s="158" t="s">
        <v>232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F18" sqref="F18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111</v>
      </c>
      <c r="D1" s="74" t="s">
        <v>112</v>
      </c>
      <c r="J1" s="34" t="s">
        <v>113</v>
      </c>
      <c r="K1" s="34" t="s">
        <v>72</v>
      </c>
      <c r="L1" s="34" t="s">
        <v>73</v>
      </c>
      <c r="O1" s="77" t="s">
        <v>114</v>
      </c>
    </row>
    <row r="2" spans="1:16" ht="15.75" thickBot="1" x14ac:dyDescent="0.3">
      <c r="A2" s="14">
        <v>42623</v>
      </c>
      <c r="B2" s="4"/>
      <c r="C2" s="75">
        <v>50</v>
      </c>
      <c r="D2" s="76">
        <v>25</v>
      </c>
      <c r="F2" t="s">
        <v>127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115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128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129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721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93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94</v>
      </c>
      <c r="K19" s="36"/>
      <c r="L19" s="36"/>
      <c r="M19" s="70" t="s">
        <v>124</v>
      </c>
    </row>
    <row r="20" spans="10:13" x14ac:dyDescent="0.25">
      <c r="J20" t="s">
        <v>95</v>
      </c>
      <c r="M20" s="70" t="s">
        <v>133</v>
      </c>
    </row>
    <row r="21" spans="10:13" x14ac:dyDescent="0.25">
      <c r="J21" s="23" t="s">
        <v>98</v>
      </c>
      <c r="K21" s="23" t="s">
        <v>99</v>
      </c>
      <c r="M21" s="70" t="s">
        <v>99</v>
      </c>
    </row>
    <row r="22" spans="10:13" x14ac:dyDescent="0.25">
      <c r="J22" s="23" t="s">
        <v>100</v>
      </c>
      <c r="K22" s="23" t="s">
        <v>101</v>
      </c>
      <c r="M22" s="70" t="s">
        <v>123</v>
      </c>
    </row>
    <row r="23" spans="10:13" x14ac:dyDescent="0.25">
      <c r="J23" s="31" t="s">
        <v>103</v>
      </c>
      <c r="K23" s="23"/>
      <c r="M23" s="114">
        <v>-6</v>
      </c>
    </row>
    <row r="24" spans="10:13" x14ac:dyDescent="0.25">
      <c r="J24" s="23" t="s">
        <v>120</v>
      </c>
      <c r="K24" s="23"/>
      <c r="M24" s="70" t="s">
        <v>122</v>
      </c>
    </row>
    <row r="25" spans="10:13" x14ac:dyDescent="0.25">
      <c r="J25" t="s">
        <v>171</v>
      </c>
      <c r="M25" s="70" t="b">
        <v>1</v>
      </c>
    </row>
    <row r="26" spans="10:13" x14ac:dyDescent="0.25">
      <c r="J26" t="s">
        <v>172</v>
      </c>
      <c r="M26" s="70" t="str">
        <f>"C:\Users\stu\Documents\GitHub\eaglep3-reporting\EC\"&amp;TEXT(A2,"yyyy-mm-dd")&amp;"-refined-times.txt"</f>
        <v>C:\Users\stu\Documents\GitHub\eaglep3-reporting\EC\2016-09-10-refined-times.txt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31" bestFit="1" customWidth="1"/>
    <col min="2" max="7" width="9.140625" style="131"/>
    <col min="8" max="8" width="17.7109375" style="131" bestFit="1" customWidth="1"/>
    <col min="9" max="9" width="9.140625" style="133"/>
    <col min="10" max="16384" width="9.140625" style="131"/>
  </cols>
  <sheetData>
    <row r="1" spans="1:11" x14ac:dyDescent="0.25">
      <c r="A1" s="130" t="s">
        <v>139</v>
      </c>
      <c r="B1" s="130" t="s">
        <v>140</v>
      </c>
      <c r="C1" s="131" t="s">
        <v>141</v>
      </c>
      <c r="H1" t="s">
        <v>135</v>
      </c>
      <c r="I1" s="132" t="s">
        <v>137</v>
      </c>
      <c r="J1"/>
    </row>
    <row r="2" spans="1:11" x14ac:dyDescent="0.25">
      <c r="A2" s="131" t="s">
        <v>142</v>
      </c>
      <c r="B2" s="131" t="s">
        <v>143</v>
      </c>
      <c r="C2" s="131" t="s">
        <v>144</v>
      </c>
      <c r="H2" t="s">
        <v>136</v>
      </c>
      <c r="I2" s="114" t="s">
        <v>138</v>
      </c>
      <c r="J2"/>
    </row>
    <row r="3" spans="1:11" x14ac:dyDescent="0.25">
      <c r="A3" s="131" t="s">
        <v>145</v>
      </c>
      <c r="B3" s="131" t="s">
        <v>146</v>
      </c>
      <c r="C3" s="131" t="s">
        <v>147</v>
      </c>
      <c r="H3" t="s">
        <v>162</v>
      </c>
      <c r="I3" s="114">
        <v>1</v>
      </c>
      <c r="J3"/>
      <c r="K3" s="70"/>
    </row>
    <row r="4" spans="1:11" x14ac:dyDescent="0.25">
      <c r="A4" s="131" t="s">
        <v>148</v>
      </c>
      <c r="C4" s="131" t="s">
        <v>149</v>
      </c>
      <c r="H4" t="s">
        <v>163</v>
      </c>
      <c r="I4" s="114">
        <v>2</v>
      </c>
      <c r="J4"/>
      <c r="K4" s="70"/>
    </row>
    <row r="5" spans="1:11" x14ac:dyDescent="0.25">
      <c r="A5" s="131" t="s">
        <v>150</v>
      </c>
      <c r="C5" s="131" t="s">
        <v>151</v>
      </c>
      <c r="H5" t="s">
        <v>164</v>
      </c>
      <c r="I5" s="114">
        <v>23</v>
      </c>
      <c r="J5"/>
      <c r="K5" s="70"/>
    </row>
    <row r="6" spans="1:11" x14ac:dyDescent="0.25">
      <c r="A6" s="131" t="s">
        <v>152</v>
      </c>
      <c r="C6" s="131" t="s">
        <v>153</v>
      </c>
      <c r="H6" s="134" t="s">
        <v>165</v>
      </c>
      <c r="I6" s="135" t="s">
        <v>143</v>
      </c>
    </row>
    <row r="7" spans="1:11" x14ac:dyDescent="0.25">
      <c r="A7" s="131" t="s">
        <v>154</v>
      </c>
      <c r="C7" s="131" t="s">
        <v>155</v>
      </c>
    </row>
    <row r="8" spans="1:11" x14ac:dyDescent="0.25">
      <c r="C8" s="131" t="s">
        <v>156</v>
      </c>
    </row>
    <row r="9" spans="1:11" x14ac:dyDescent="0.25">
      <c r="C9" s="131" t="s">
        <v>157</v>
      </c>
    </row>
    <row r="10" spans="1:11" x14ac:dyDescent="0.25">
      <c r="C10" s="131" t="s">
        <v>158</v>
      </c>
    </row>
    <row r="11" spans="1:11" x14ac:dyDescent="0.25">
      <c r="C11" s="131" t="s">
        <v>159</v>
      </c>
    </row>
    <row r="12" spans="1:11" x14ac:dyDescent="0.25">
      <c r="C12" s="131" t="s">
        <v>160</v>
      </c>
    </row>
    <row r="13" spans="1:11" x14ac:dyDescent="0.25">
      <c r="C13" s="131" t="s">
        <v>161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2016-09-12T18:38:59Z</dcterms:modified>
</cp:coreProperties>
</file>