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Trips'!$A$2:$J$40</definedName>
    <definedName name="_xlnm._FilterDatabase" localSheetId="0" hidden="1">'Train Runs'!$A$12:$AG$273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X175" i="1"/>
  <c r="X176" i="1"/>
  <c r="X177" i="1"/>
  <c r="X178" i="1"/>
  <c r="X179" i="1"/>
  <c r="P4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R24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T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19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T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AA85" i="1" s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S26" i="3" s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R29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R9" i="3" s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R20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R32" i="3" s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X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18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A118" i="1" s="1"/>
  <c r="AB118" i="1"/>
  <c r="AC118" i="1"/>
  <c r="AD118" i="1"/>
  <c r="X118" i="1" s="1"/>
  <c r="AE118" i="1"/>
  <c r="R33" i="3" s="1"/>
  <c r="AF118" i="1"/>
  <c r="AH118" i="1"/>
  <c r="AM118" i="1"/>
  <c r="AN118" i="1"/>
  <c r="K119" i="1"/>
  <c r="L119" i="1"/>
  <c r="M119" i="1"/>
  <c r="N119" i="1" s="1"/>
  <c r="T119" i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R21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S27" i="3" s="1"/>
  <c r="Y129" i="1"/>
  <c r="Z129" i="1"/>
  <c r="AB129" i="1"/>
  <c r="AC129" i="1"/>
  <c r="AD129" i="1"/>
  <c r="T129" i="1" s="1"/>
  <c r="AE129" i="1"/>
  <c r="R27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28" i="3" s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R7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R8" i="3" s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R23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AB152" i="1"/>
  <c r="AC152" i="1"/>
  <c r="AD152" i="1"/>
  <c r="X152" i="1" s="1"/>
  <c r="AE152" i="1"/>
  <c r="AF152" i="1"/>
  <c r="AH152" i="1"/>
  <c r="AM152" i="1"/>
  <c r="AN152" i="1"/>
  <c r="K153" i="1"/>
  <c r="L153" i="1"/>
  <c r="M153" i="1"/>
  <c r="N153" i="1" s="1"/>
  <c r="T153" i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S10" i="3" s="1"/>
  <c r="Y155" i="1"/>
  <c r="Z155" i="1"/>
  <c r="AA155" i="1" s="1"/>
  <c r="AB155" i="1"/>
  <c r="AC155" i="1"/>
  <c r="AD155" i="1"/>
  <c r="AE155" i="1"/>
  <c r="R10" i="3" s="1"/>
  <c r="AF155" i="1"/>
  <c r="AH155" i="1"/>
  <c r="AM155" i="1"/>
  <c r="AN155" i="1"/>
  <c r="K156" i="1"/>
  <c r="L156" i="1"/>
  <c r="M156" i="1"/>
  <c r="N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L205" i="1"/>
  <c r="M205" i="1"/>
  <c r="N205" i="1" s="1"/>
  <c r="V205" i="1"/>
  <c r="Y205" i="1"/>
  <c r="AA205" i="1" s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S53" i="3" s="1"/>
  <c r="Y211" i="1"/>
  <c r="Z211" i="1"/>
  <c r="AB211" i="1"/>
  <c r="AC211" i="1"/>
  <c r="AD211" i="1"/>
  <c r="T211" i="1" s="1"/>
  <c r="AE211" i="1"/>
  <c r="R53" i="3" s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9" i="1"/>
  <c r="AM179" i="1"/>
  <c r="AN179" i="1"/>
  <c r="K159" i="1"/>
  <c r="L159" i="1"/>
  <c r="M159" i="1"/>
  <c r="N159" i="1" s="1"/>
  <c r="V159" i="1"/>
  <c r="S44" i="3" s="1"/>
  <c r="Y159" i="1"/>
  <c r="Z159" i="1"/>
  <c r="AB159" i="1"/>
  <c r="AC159" i="1"/>
  <c r="AD159" i="1"/>
  <c r="T159" i="1" s="1"/>
  <c r="AE159" i="1"/>
  <c r="R44" i="3" s="1"/>
  <c r="AF159" i="1"/>
  <c r="AH180" i="1"/>
  <c r="AM180" i="1"/>
  <c r="AN180" i="1"/>
  <c r="K160" i="1"/>
  <c r="L160" i="1"/>
  <c r="M160" i="1"/>
  <c r="N160" i="1" s="1"/>
  <c r="V160" i="1"/>
  <c r="S40" i="3" s="1"/>
  <c r="Y160" i="1"/>
  <c r="Z160" i="1"/>
  <c r="AB160" i="1"/>
  <c r="AC160" i="1"/>
  <c r="AD160" i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3" i="1"/>
  <c r="AM183" i="1"/>
  <c r="AN183" i="1"/>
  <c r="K163" i="1"/>
  <c r="L163" i="1"/>
  <c r="M163" i="1"/>
  <c r="N163" i="1" s="1"/>
  <c r="V163" i="1"/>
  <c r="Y163" i="1"/>
  <c r="AA163" i="1" s="1"/>
  <c r="Z163" i="1"/>
  <c r="AB163" i="1"/>
  <c r="AC163" i="1"/>
  <c r="AD163" i="1"/>
  <c r="T163" i="1" s="1"/>
  <c r="AE163" i="1"/>
  <c r="AF163" i="1"/>
  <c r="AH184" i="1"/>
  <c r="AM184" i="1"/>
  <c r="AN184" i="1"/>
  <c r="K164" i="1"/>
  <c r="L164" i="1"/>
  <c r="M164" i="1"/>
  <c r="N164" i="1" s="1"/>
  <c r="V164" i="1"/>
  <c r="S36" i="3" s="1"/>
  <c r="Y164" i="1"/>
  <c r="Z164" i="1"/>
  <c r="AB164" i="1"/>
  <c r="AC164" i="1"/>
  <c r="AD164" i="1"/>
  <c r="T164" i="1" s="1"/>
  <c r="AE164" i="1"/>
  <c r="R36" i="3" s="1"/>
  <c r="AF164" i="1"/>
  <c r="AH185" i="1"/>
  <c r="AM185" i="1"/>
  <c r="AN18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6" i="1"/>
  <c r="AM186" i="1"/>
  <c r="AN186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7" i="1"/>
  <c r="AM187" i="1"/>
  <c r="AN18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R46" i="3" s="1"/>
  <c r="AF167" i="1"/>
  <c r="AH188" i="1"/>
  <c r="AM188" i="1"/>
  <c r="AN18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9" i="1"/>
  <c r="AM189" i="1"/>
  <c r="AN18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0" i="1"/>
  <c r="AM190" i="1"/>
  <c r="AN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AM191" i="1"/>
  <c r="AN19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2" i="1"/>
  <c r="AM192" i="1"/>
  <c r="AN19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3" i="1"/>
  <c r="AM193" i="1"/>
  <c r="AN19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4" i="1"/>
  <c r="AM194" i="1"/>
  <c r="AN1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5" i="1"/>
  <c r="AM195" i="1"/>
  <c r="AN195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1" i="1"/>
  <c r="AM201" i="1"/>
  <c r="AN201" i="1"/>
  <c r="K180" i="1"/>
  <c r="L180" i="1"/>
  <c r="M180" i="1"/>
  <c r="N180" i="1" s="1"/>
  <c r="V180" i="1"/>
  <c r="S42" i="3" s="1"/>
  <c r="Y180" i="1"/>
  <c r="Z180" i="1"/>
  <c r="AB180" i="1"/>
  <c r="AC180" i="1"/>
  <c r="AD180" i="1"/>
  <c r="T180" i="1" s="1"/>
  <c r="AE180" i="1"/>
  <c r="R42" i="3" s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AE181" i="1"/>
  <c r="R39" i="3" s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6" i="1"/>
  <c r="AM206" i="1"/>
  <c r="AN206" i="1"/>
  <c r="K185" i="1"/>
  <c r="L185" i="1"/>
  <c r="M185" i="1"/>
  <c r="N185" i="1"/>
  <c r="V185" i="1"/>
  <c r="Y185" i="1"/>
  <c r="Z185" i="1"/>
  <c r="AB185" i="1"/>
  <c r="AC185" i="1"/>
  <c r="AD185" i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8" i="1"/>
  <c r="AM208" i="1"/>
  <c r="AN208" i="1"/>
  <c r="K187" i="1"/>
  <c r="L187" i="1"/>
  <c r="M187" i="1"/>
  <c r="N187" i="1" s="1"/>
  <c r="V187" i="1"/>
  <c r="S38" i="3" s="1"/>
  <c r="Y187" i="1"/>
  <c r="Z187" i="1"/>
  <c r="AB187" i="1"/>
  <c r="AC187" i="1"/>
  <c r="AD187" i="1"/>
  <c r="AE187" i="1"/>
  <c r="R38" i="3" s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R43" i="3" s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R37" i="3" s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V193" i="1"/>
  <c r="S47" i="3" s="1"/>
  <c r="Y193" i="1"/>
  <c r="Z193" i="1"/>
  <c r="AB193" i="1"/>
  <c r="AC193" i="1"/>
  <c r="AD193" i="1"/>
  <c r="AE193" i="1"/>
  <c r="R47" i="3" s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T195" i="1"/>
  <c r="V195" i="1"/>
  <c r="Y195" i="1"/>
  <c r="Z195" i="1"/>
  <c r="AB195" i="1"/>
  <c r="AC195" i="1"/>
  <c r="AD195" i="1"/>
  <c r="X195" i="1" s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S48" i="3" s="1"/>
  <c r="Y201" i="1"/>
  <c r="Z201" i="1"/>
  <c r="AB201" i="1"/>
  <c r="AC201" i="1"/>
  <c r="AD201" i="1"/>
  <c r="AE201" i="1"/>
  <c r="R48" i="3" s="1"/>
  <c r="AF201" i="1"/>
  <c r="AH223" i="1"/>
  <c r="AM223" i="1"/>
  <c r="AN223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4" i="1"/>
  <c r="AM224" i="1"/>
  <c r="AN224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H225" i="1"/>
  <c r="AM225" i="1"/>
  <c r="AN225" i="1"/>
  <c r="K204" i="1"/>
  <c r="L204" i="1"/>
  <c r="M204" i="1"/>
  <c r="N204" i="1" s="1"/>
  <c r="V204" i="1"/>
  <c r="S49" i="3" s="1"/>
  <c r="Y204" i="1"/>
  <c r="Z204" i="1"/>
  <c r="AB204" i="1"/>
  <c r="AC204" i="1"/>
  <c r="AD204" i="1"/>
  <c r="AE204" i="1"/>
  <c r="R49" i="3" s="1"/>
  <c r="AF204" i="1"/>
  <c r="AH226" i="1"/>
  <c r="AM226" i="1"/>
  <c r="AN22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28" i="1"/>
  <c r="AM228" i="1"/>
  <c r="AN228" i="1"/>
  <c r="K220" i="1"/>
  <c r="L220" i="1"/>
  <c r="M220" i="1"/>
  <c r="N220" i="1" s="1"/>
  <c r="V220" i="1"/>
  <c r="S54" i="3" s="1"/>
  <c r="Y220" i="1"/>
  <c r="Z220" i="1"/>
  <c r="AB220" i="1"/>
  <c r="AC220" i="1"/>
  <c r="AD220" i="1"/>
  <c r="T220" i="1" s="1"/>
  <c r="AE220" i="1"/>
  <c r="R54" i="3" s="1"/>
  <c r="AF220" i="1"/>
  <c r="AH229" i="1"/>
  <c r="AM229" i="1"/>
  <c r="AN229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0" i="1"/>
  <c r="AM230" i="1"/>
  <c r="AN230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AM231" i="1"/>
  <c r="AN231" i="1"/>
  <c r="K223" i="1"/>
  <c r="L223" i="1"/>
  <c r="M223" i="1"/>
  <c r="N223" i="1" s="1"/>
  <c r="V223" i="1"/>
  <c r="S52" i="3" s="1"/>
  <c r="Y223" i="1"/>
  <c r="Z223" i="1"/>
  <c r="AB223" i="1"/>
  <c r="AC223" i="1"/>
  <c r="AD223" i="1"/>
  <c r="T223" i="1" s="1"/>
  <c r="AE223" i="1"/>
  <c r="AF223" i="1"/>
  <c r="AH232" i="1"/>
  <c r="AM232" i="1"/>
  <c r="AN232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3" i="1"/>
  <c r="AM233" i="1"/>
  <c r="AN23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4" i="1"/>
  <c r="AM234" i="1"/>
  <c r="AN234" i="1"/>
  <c r="M53" i="3"/>
  <c r="U53" i="3"/>
  <c r="T53" i="3" s="1"/>
  <c r="V53" i="3"/>
  <c r="X53" i="3"/>
  <c r="M54" i="3"/>
  <c r="U54" i="3"/>
  <c r="V54" i="3"/>
  <c r="X54" i="3"/>
  <c r="M14" i="3"/>
  <c r="R14" i="3"/>
  <c r="S14" i="3"/>
  <c r="U14" i="3"/>
  <c r="AC14" i="3" s="1"/>
  <c r="V14" i="3"/>
  <c r="X14" i="3"/>
  <c r="M44" i="3"/>
  <c r="U44" i="3"/>
  <c r="AC44" i="3" s="1"/>
  <c r="V44" i="3"/>
  <c r="X44" i="3"/>
  <c r="M40" i="3"/>
  <c r="R40" i="3"/>
  <c r="U40" i="3"/>
  <c r="T40" i="3" s="1"/>
  <c r="V40" i="3"/>
  <c r="X40" i="3"/>
  <c r="M11" i="3"/>
  <c r="R11" i="3"/>
  <c r="S11" i="3"/>
  <c r="U11" i="3"/>
  <c r="V11" i="3"/>
  <c r="X11" i="3"/>
  <c r="M45" i="3"/>
  <c r="R45" i="3"/>
  <c r="S45" i="3"/>
  <c r="U45" i="3"/>
  <c r="AC45" i="3" s="1"/>
  <c r="V45" i="3"/>
  <c r="X45" i="3"/>
  <c r="M36" i="3"/>
  <c r="U36" i="3"/>
  <c r="AC36" i="3" s="1"/>
  <c r="V36" i="3"/>
  <c r="X36" i="3"/>
  <c r="M41" i="3"/>
  <c r="R41" i="3"/>
  <c r="S41" i="3"/>
  <c r="U41" i="3"/>
  <c r="T41" i="3" s="1"/>
  <c r="V41" i="3"/>
  <c r="X41" i="3"/>
  <c r="M46" i="3"/>
  <c r="S46" i="3"/>
  <c r="U46" i="3"/>
  <c r="V46" i="3"/>
  <c r="X46" i="3"/>
  <c r="M24" i="3"/>
  <c r="S24" i="3"/>
  <c r="U24" i="3"/>
  <c r="AD24" i="3" s="1"/>
  <c r="V24" i="3"/>
  <c r="X24" i="3"/>
  <c r="M17" i="3"/>
  <c r="R17" i="3"/>
  <c r="S17" i="3"/>
  <c r="U17" i="3"/>
  <c r="AC17" i="3" s="1"/>
  <c r="V17" i="3"/>
  <c r="X17" i="3"/>
  <c r="M19" i="3"/>
  <c r="S19" i="3"/>
  <c r="U19" i="3"/>
  <c r="AC19" i="3" s="1"/>
  <c r="V19" i="3"/>
  <c r="X19" i="3"/>
  <c r="M12" i="3"/>
  <c r="R12" i="3"/>
  <c r="S12" i="3"/>
  <c r="U12" i="3"/>
  <c r="T12" i="3" s="1"/>
  <c r="V12" i="3"/>
  <c r="X12" i="3"/>
  <c r="M25" i="3"/>
  <c r="R25" i="3"/>
  <c r="S25" i="3"/>
  <c r="U25" i="3"/>
  <c r="AC25" i="3" s="1"/>
  <c r="V25" i="3"/>
  <c r="X25" i="3"/>
  <c r="M42" i="3"/>
  <c r="U42" i="3"/>
  <c r="AC42" i="3" s="1"/>
  <c r="V42" i="3"/>
  <c r="X42" i="3"/>
  <c r="M29" i="3"/>
  <c r="S29" i="3"/>
  <c r="U29" i="3"/>
  <c r="V29" i="3"/>
  <c r="X29" i="3"/>
  <c r="M26" i="3"/>
  <c r="R26" i="3"/>
  <c r="U26" i="3"/>
  <c r="T26" i="3" s="1"/>
  <c r="V26" i="3"/>
  <c r="X26" i="3"/>
  <c r="M39" i="3"/>
  <c r="S39" i="3"/>
  <c r="U39" i="3"/>
  <c r="V39" i="3"/>
  <c r="X39" i="3"/>
  <c r="M20" i="3"/>
  <c r="S20" i="3"/>
  <c r="U20" i="3"/>
  <c r="AC20" i="3" s="1"/>
  <c r="V20" i="3"/>
  <c r="X20" i="3"/>
  <c r="M9" i="3"/>
  <c r="S9" i="3"/>
  <c r="U9" i="3"/>
  <c r="V9" i="3"/>
  <c r="X9" i="3"/>
  <c r="M30" i="3"/>
  <c r="R30" i="3"/>
  <c r="S30" i="3"/>
  <c r="U30" i="3"/>
  <c r="T30" i="3" s="1"/>
  <c r="V30" i="3"/>
  <c r="X30" i="3"/>
  <c r="M51" i="3"/>
  <c r="U51" i="3"/>
  <c r="V51" i="3"/>
  <c r="X51" i="3"/>
  <c r="M52" i="3"/>
  <c r="U52" i="3"/>
  <c r="AC52" i="3" s="1"/>
  <c r="V52" i="3"/>
  <c r="X52" i="3"/>
  <c r="M31" i="3"/>
  <c r="R31" i="3"/>
  <c r="S31" i="3"/>
  <c r="U31" i="3"/>
  <c r="T31" i="3" s="1"/>
  <c r="V31" i="3"/>
  <c r="X31" i="3"/>
  <c r="M32" i="3"/>
  <c r="S32" i="3"/>
  <c r="U32" i="3"/>
  <c r="T32" i="3" s="1"/>
  <c r="V32" i="3"/>
  <c r="X32" i="3"/>
  <c r="M38" i="3"/>
  <c r="U38" i="3"/>
  <c r="V38" i="3"/>
  <c r="X38" i="3"/>
  <c r="M43" i="3"/>
  <c r="S43" i="3"/>
  <c r="U43" i="3"/>
  <c r="AC43" i="3" s="1"/>
  <c r="V43" i="3"/>
  <c r="X43" i="3"/>
  <c r="M18" i="3"/>
  <c r="S18" i="3"/>
  <c r="U18" i="3"/>
  <c r="T18" i="3" s="1"/>
  <c r="V18" i="3"/>
  <c r="X18" i="3"/>
  <c r="M37" i="3"/>
  <c r="S37" i="3"/>
  <c r="U37" i="3"/>
  <c r="T37" i="3" s="1"/>
  <c r="V37" i="3"/>
  <c r="X37" i="3"/>
  <c r="M33" i="3"/>
  <c r="S33" i="3"/>
  <c r="U33" i="3"/>
  <c r="AD33" i="3" s="1"/>
  <c r="V33" i="3"/>
  <c r="X33" i="3"/>
  <c r="M34" i="3"/>
  <c r="R34" i="3"/>
  <c r="S34" i="3"/>
  <c r="U34" i="3"/>
  <c r="AC34" i="3" s="1"/>
  <c r="V34" i="3"/>
  <c r="X34" i="3"/>
  <c r="M47" i="3"/>
  <c r="U47" i="3"/>
  <c r="V47" i="3"/>
  <c r="X47" i="3"/>
  <c r="AD40" i="3"/>
  <c r="M13" i="3"/>
  <c r="R13" i="3"/>
  <c r="S13" i="3"/>
  <c r="U13" i="3"/>
  <c r="T13" i="3" s="1"/>
  <c r="V13" i="3"/>
  <c r="X13" i="3"/>
  <c r="AD41" i="3"/>
  <c r="M21" i="3"/>
  <c r="S21" i="3"/>
  <c r="U21" i="3"/>
  <c r="AD42" i="3" s="1"/>
  <c r="V21" i="3"/>
  <c r="X21" i="3"/>
  <c r="M27" i="3"/>
  <c r="U27" i="3"/>
  <c r="AC27" i="3" s="1"/>
  <c r="V27" i="3"/>
  <c r="X27" i="3"/>
  <c r="M16" i="3"/>
  <c r="R16" i="3"/>
  <c r="S16" i="3"/>
  <c r="U16" i="3"/>
  <c r="V16" i="3"/>
  <c r="X16" i="3"/>
  <c r="M48" i="3"/>
  <c r="U48" i="3"/>
  <c r="T48" i="3" s="1"/>
  <c r="V48" i="3"/>
  <c r="X48" i="3"/>
  <c r="M15" i="3"/>
  <c r="R15" i="3"/>
  <c r="S15" i="3"/>
  <c r="U15" i="3"/>
  <c r="V15" i="3"/>
  <c r="X15" i="3"/>
  <c r="M28" i="3"/>
  <c r="R28" i="3"/>
  <c r="U28" i="3"/>
  <c r="AC28" i="3" s="1"/>
  <c r="V28" i="3"/>
  <c r="X28" i="3"/>
  <c r="M7" i="3"/>
  <c r="S7" i="3"/>
  <c r="U7" i="3"/>
  <c r="T7" i="3" s="1"/>
  <c r="V7" i="3"/>
  <c r="X7" i="3"/>
  <c r="M8" i="3"/>
  <c r="S8" i="3"/>
  <c r="U8" i="3"/>
  <c r="T8" i="3" s="1"/>
  <c r="V8" i="3"/>
  <c r="X8" i="3"/>
  <c r="M49" i="3"/>
  <c r="U49" i="3"/>
  <c r="AC49" i="3" s="1"/>
  <c r="V49" i="3"/>
  <c r="X49" i="3"/>
  <c r="M35" i="3"/>
  <c r="R35" i="3"/>
  <c r="S35" i="3"/>
  <c r="U35" i="3"/>
  <c r="AC35" i="3" s="1"/>
  <c r="V35" i="3"/>
  <c r="X35" i="3"/>
  <c r="M23" i="3"/>
  <c r="S23" i="3"/>
  <c r="U23" i="3"/>
  <c r="T23" i="3" s="1"/>
  <c r="V23" i="3"/>
  <c r="X23" i="3"/>
  <c r="M10" i="3"/>
  <c r="U10" i="3"/>
  <c r="T10" i="3" s="1"/>
  <c r="V10" i="3"/>
  <c r="X10" i="3"/>
  <c r="M50" i="3"/>
  <c r="R50" i="3"/>
  <c r="S50" i="3"/>
  <c r="U50" i="3"/>
  <c r="V50" i="3"/>
  <c r="X50" i="3"/>
  <c r="AG28" i="1"/>
  <c r="AG43" i="1"/>
  <c r="AG23" i="1"/>
  <c r="AG39" i="1"/>
  <c r="AG14" i="1"/>
  <c r="AG30" i="1"/>
  <c r="AG45" i="1"/>
  <c r="AG25" i="1"/>
  <c r="AG41" i="1"/>
  <c r="AG56" i="1"/>
  <c r="AG72" i="1"/>
  <c r="AG55" i="1"/>
  <c r="AG71" i="1"/>
  <c r="AG54" i="1"/>
  <c r="AG70" i="1"/>
  <c r="AG51" i="1"/>
  <c r="AG65" i="1"/>
  <c r="AG81" i="1"/>
  <c r="AG96" i="1"/>
  <c r="AG112" i="1"/>
  <c r="AG86" i="1"/>
  <c r="AG99" i="1"/>
  <c r="AG115" i="1"/>
  <c r="AG102" i="1"/>
  <c r="AG118" i="1"/>
  <c r="AG97" i="1"/>
  <c r="AG113" i="1"/>
  <c r="AG126" i="1"/>
  <c r="AG142" i="1"/>
  <c r="AG129" i="1"/>
  <c r="AG145" i="1"/>
  <c r="AG128" i="1"/>
  <c r="AG144" i="1"/>
  <c r="AG122" i="1"/>
  <c r="AG139" i="1"/>
  <c r="AG206" i="1"/>
  <c r="AG228" i="1"/>
  <c r="AG169" i="1"/>
  <c r="AG184" i="1"/>
  <c r="AG205" i="1"/>
  <c r="AG227" i="1"/>
  <c r="AG168" i="1"/>
  <c r="AG183" i="1"/>
  <c r="AG199" i="1"/>
  <c r="AG212" i="1"/>
  <c r="AG159" i="1"/>
  <c r="AG190" i="1"/>
  <c r="AG154" i="1"/>
  <c r="AG215" i="1"/>
  <c r="AG162" i="1"/>
  <c r="AG177" i="1"/>
  <c r="AG193" i="1"/>
  <c r="AG224" i="1"/>
  <c r="AG203" i="1"/>
  <c r="AG221" i="1"/>
  <c r="AG20" i="1"/>
  <c r="AG36" i="1"/>
  <c r="AG15" i="1"/>
  <c r="AG31" i="1"/>
  <c r="AG46" i="1"/>
  <c r="AG22" i="1"/>
  <c r="AG38" i="1"/>
  <c r="AG17" i="1"/>
  <c r="AG33" i="1"/>
  <c r="AG48" i="1"/>
  <c r="AG64" i="1"/>
  <c r="AG80" i="1"/>
  <c r="AG63" i="1"/>
  <c r="AG79" i="1"/>
  <c r="AG62" i="1"/>
  <c r="AG78" i="1"/>
  <c r="AG57" i="1"/>
  <c r="AG73" i="1"/>
  <c r="AG88" i="1"/>
  <c r="AG104" i="1"/>
  <c r="AG120" i="1"/>
  <c r="AG91" i="1"/>
  <c r="AG107" i="1"/>
  <c r="AG94" i="1"/>
  <c r="AG110" i="1"/>
  <c r="AG89" i="1"/>
  <c r="AG105" i="1"/>
  <c r="AG134" i="1"/>
  <c r="AG150" i="1"/>
  <c r="AG137" i="1"/>
  <c r="AG152" i="1"/>
  <c r="AG136" i="1"/>
  <c r="AG151" i="1"/>
  <c r="AG131" i="1"/>
  <c r="AG147" i="1"/>
  <c r="AG214" i="1"/>
  <c r="AG161" i="1"/>
  <c r="AG176" i="1"/>
  <c r="AG192" i="1"/>
  <c r="AG213" i="1"/>
  <c r="AG160" i="1"/>
  <c r="AG175" i="1"/>
  <c r="AG191" i="1"/>
  <c r="AG157" i="1"/>
  <c r="AG226" i="1"/>
  <c r="AG167" i="1"/>
  <c r="AG182" i="1"/>
  <c r="AG198" i="1"/>
  <c r="AG207" i="1"/>
  <c r="AG229" i="1"/>
  <c r="AG170" i="1"/>
  <c r="AG185" i="1"/>
  <c r="AG201" i="1"/>
  <c r="AG234" i="1"/>
  <c r="AG233" i="1"/>
  <c r="AG24" i="1"/>
  <c r="AG40" i="1"/>
  <c r="AG19" i="1"/>
  <c r="AG35" i="1"/>
  <c r="AG50" i="1"/>
  <c r="AG26" i="1"/>
  <c r="AG42" i="1"/>
  <c r="AG37" i="1"/>
  <c r="AG49" i="1"/>
  <c r="AG52" i="1"/>
  <c r="AG83" i="1"/>
  <c r="AG77" i="1"/>
  <c r="AG95" i="1"/>
  <c r="AG93" i="1"/>
  <c r="AG125" i="1"/>
  <c r="AG155" i="1"/>
  <c r="AG165" i="1"/>
  <c r="AG164" i="1"/>
  <c r="AG230" i="1"/>
  <c r="AG211" i="1"/>
  <c r="AG220" i="1"/>
  <c r="AG16" i="1"/>
  <c r="AG21" i="1"/>
  <c r="AG60" i="1"/>
  <c r="AG59" i="1"/>
  <c r="AG58" i="1"/>
  <c r="AG53" i="1"/>
  <c r="AG85" i="1"/>
  <c r="AG116" i="1"/>
  <c r="AG103" i="1"/>
  <c r="AG106" i="1"/>
  <c r="AG101" i="1"/>
  <c r="AG130" i="1"/>
  <c r="AG133" i="1"/>
  <c r="AG132" i="1"/>
  <c r="AG127" i="1"/>
  <c r="AG210" i="1"/>
  <c r="AG173" i="1"/>
  <c r="AG209" i="1"/>
  <c r="AG172" i="1"/>
  <c r="AG153" i="1"/>
  <c r="AG163" i="1"/>
  <c r="AG194" i="1"/>
  <c r="AG219" i="1"/>
  <c r="AG181" i="1"/>
  <c r="AG200" i="1"/>
  <c r="AG225" i="1"/>
  <c r="AG32" i="1"/>
  <c r="AG18" i="1"/>
  <c r="AG29" i="1"/>
  <c r="AG68" i="1"/>
  <c r="AG67" i="1"/>
  <c r="AG66" i="1"/>
  <c r="AG61" i="1"/>
  <c r="AG92" i="1"/>
  <c r="AG123" i="1"/>
  <c r="AG111" i="1"/>
  <c r="AG114" i="1"/>
  <c r="AG109" i="1"/>
  <c r="AG138" i="1"/>
  <c r="AG141" i="1"/>
  <c r="AG140" i="1"/>
  <c r="AG135" i="1"/>
  <c r="AG218" i="1"/>
  <c r="AG180" i="1"/>
  <c r="AG217" i="1"/>
  <c r="AG179" i="1"/>
  <c r="AG208" i="1"/>
  <c r="AG171" i="1"/>
  <c r="AG202" i="1"/>
  <c r="AG158" i="1"/>
  <c r="AG189" i="1"/>
  <c r="AG223" i="1"/>
  <c r="AG27" i="1"/>
  <c r="AG84" i="1"/>
  <c r="AG82" i="1"/>
  <c r="AG108" i="1"/>
  <c r="AG98" i="1"/>
  <c r="AG119" i="1"/>
  <c r="AG124" i="1"/>
  <c r="AG196" i="1"/>
  <c r="AG195" i="1"/>
  <c r="AG186" i="1"/>
  <c r="AG174" i="1"/>
  <c r="AG222" i="1"/>
  <c r="AG47" i="1"/>
  <c r="AG34" i="1"/>
  <c r="AG44" i="1"/>
  <c r="AG76" i="1"/>
  <c r="AG75" i="1"/>
  <c r="AG74" i="1"/>
  <c r="AG69" i="1"/>
  <c r="AG100" i="1"/>
  <c r="AG87" i="1"/>
  <c r="AG90" i="1"/>
  <c r="AG121" i="1"/>
  <c r="AG117" i="1"/>
  <c r="AG146" i="1"/>
  <c r="AG149" i="1"/>
  <c r="AG148" i="1"/>
  <c r="AG143" i="1"/>
  <c r="AG232" i="1"/>
  <c r="AG188" i="1"/>
  <c r="AG231" i="1"/>
  <c r="AG187" i="1"/>
  <c r="AG216" i="1"/>
  <c r="AG178" i="1"/>
  <c r="AG156" i="1"/>
  <c r="AG166" i="1"/>
  <c r="AG197" i="1"/>
  <c r="AG204" i="1"/>
  <c r="W11" i="3"/>
  <c r="W14" i="3"/>
  <c r="W39" i="3"/>
  <c r="W21" i="3"/>
  <c r="W16" i="3"/>
  <c r="W44" i="3"/>
  <c r="W20" i="3"/>
  <c r="W27" i="3"/>
  <c r="W32" i="3"/>
  <c r="W40" i="3"/>
  <c r="W9" i="3"/>
  <c r="W30" i="3"/>
  <c r="W12" i="3"/>
  <c r="W24" i="3"/>
  <c r="W38" i="3"/>
  <c r="W49" i="3"/>
  <c r="W37" i="3"/>
  <c r="W17" i="3"/>
  <c r="W43" i="3"/>
  <c r="W35" i="3"/>
  <c r="W10" i="3"/>
  <c r="W19" i="3"/>
  <c r="W47" i="3"/>
  <c r="W46" i="3"/>
  <c r="W45" i="3"/>
  <c r="W51" i="3"/>
  <c r="W15" i="3"/>
  <c r="W23" i="3"/>
  <c r="W36" i="3"/>
  <c r="W52" i="3"/>
  <c r="W28" i="3"/>
  <c r="W8" i="3"/>
  <c r="W41" i="3"/>
  <c r="W31" i="3"/>
  <c r="W13" i="3"/>
  <c r="W54" i="3"/>
  <c r="W26" i="3"/>
  <c r="W25" i="3"/>
  <c r="W33" i="3"/>
  <c r="W50" i="3"/>
  <c r="W48" i="3"/>
  <c r="W42" i="3"/>
  <c r="W34" i="3"/>
  <c r="W18" i="3"/>
  <c r="W53" i="3"/>
  <c r="W29" i="3"/>
  <c r="W7" i="3"/>
  <c r="AD49" i="3" l="1"/>
  <c r="AA196" i="1"/>
  <c r="AA131" i="1"/>
  <c r="AA129" i="1"/>
  <c r="AD54" i="3"/>
  <c r="AD53" i="3"/>
  <c r="AE40" i="3"/>
  <c r="AA200" i="1"/>
  <c r="AA216" i="1"/>
  <c r="X157" i="1"/>
  <c r="X138" i="1"/>
  <c r="AA132" i="1"/>
  <c r="X104" i="1"/>
  <c r="AE32" i="3"/>
  <c r="T199" i="1"/>
  <c r="T183" i="1"/>
  <c r="AA178" i="1"/>
  <c r="AA122" i="1"/>
  <c r="AA114" i="1"/>
  <c r="X102" i="1"/>
  <c r="X92" i="1"/>
  <c r="AA86" i="1"/>
  <c r="AA80" i="1"/>
  <c r="AA57" i="1"/>
  <c r="AA45" i="1"/>
  <c r="AA39" i="1"/>
  <c r="AA19" i="1"/>
  <c r="AA17" i="1"/>
  <c r="X151" i="1"/>
  <c r="AA171" i="1"/>
  <c r="AA230" i="1"/>
  <c r="AA212" i="1"/>
  <c r="AA208" i="1"/>
  <c r="AA154" i="1"/>
  <c r="AA147" i="1"/>
  <c r="AA145" i="1"/>
  <c r="AA136" i="1"/>
  <c r="AA127" i="1"/>
  <c r="X97" i="1"/>
  <c r="X96" i="1"/>
  <c r="AA94" i="1"/>
  <c r="AA92" i="1"/>
  <c r="AA64" i="1"/>
  <c r="T21" i="1"/>
  <c r="AC30" i="3"/>
  <c r="AA190" i="1"/>
  <c r="X155" i="1"/>
  <c r="AA148" i="1"/>
  <c r="AA143" i="1"/>
  <c r="AA141" i="1"/>
  <c r="AA128" i="1"/>
  <c r="AA96" i="1"/>
  <c r="AA95" i="1"/>
  <c r="AA90" i="1"/>
  <c r="AA65" i="1"/>
  <c r="X54" i="1"/>
  <c r="X122" i="1"/>
  <c r="AD36" i="3"/>
  <c r="AD37" i="3"/>
  <c r="AC32" i="3"/>
  <c r="S51" i="3"/>
  <c r="AA223" i="1"/>
  <c r="X182" i="1"/>
  <c r="X227" i="1"/>
  <c r="X213" i="1"/>
  <c r="X209" i="1"/>
  <c r="AA151" i="1"/>
  <c r="X146" i="1"/>
  <c r="X93" i="1"/>
  <c r="T92" i="1"/>
  <c r="AA27" i="1"/>
  <c r="AA23" i="1"/>
  <c r="X121" i="1"/>
  <c r="AE44" i="3"/>
  <c r="AC47" i="3"/>
  <c r="T47" i="3"/>
  <c r="AC33" i="3"/>
  <c r="AD32" i="3"/>
  <c r="AE24" i="3"/>
  <c r="AA225" i="1"/>
  <c r="X221" i="1"/>
  <c r="X220" i="1"/>
  <c r="AA233" i="1"/>
  <c r="T179" i="1"/>
  <c r="AA169" i="1"/>
  <c r="X168" i="1"/>
  <c r="AA165" i="1"/>
  <c r="X164" i="1"/>
  <c r="AA159" i="1"/>
  <c r="AA228" i="1"/>
  <c r="AA226" i="1"/>
  <c r="T209" i="1"/>
  <c r="AA207" i="1"/>
  <c r="T152" i="1"/>
  <c r="AA149" i="1"/>
  <c r="AA139" i="1"/>
  <c r="AA137" i="1"/>
  <c r="AA105" i="1"/>
  <c r="AA75" i="1"/>
  <c r="X74" i="1"/>
  <c r="AA69" i="1"/>
  <c r="AA62" i="1"/>
  <c r="T58" i="1"/>
  <c r="AA52" i="1"/>
  <c r="AA48" i="1"/>
  <c r="AA46" i="1"/>
  <c r="AA43" i="1"/>
  <c r="X36" i="1"/>
  <c r="AA16" i="1"/>
  <c r="X42" i="1"/>
  <c r="X191" i="1"/>
  <c r="T213" i="1"/>
  <c r="X100" i="1"/>
  <c r="X37" i="1"/>
  <c r="X23" i="1"/>
  <c r="AD44" i="3"/>
  <c r="X187" i="1"/>
  <c r="X126" i="1"/>
  <c r="AD52" i="3"/>
  <c r="AD46" i="3"/>
  <c r="AD45" i="3"/>
  <c r="AE36" i="3"/>
  <c r="AD34" i="3"/>
  <c r="AD30" i="3"/>
  <c r="AD26" i="3"/>
  <c r="AD25" i="3"/>
  <c r="AA220" i="1"/>
  <c r="AA234" i="1"/>
  <c r="X203" i="1"/>
  <c r="AA194" i="1"/>
  <c r="AA186" i="1"/>
  <c r="AA180" i="1"/>
  <c r="X167" i="1"/>
  <c r="X160" i="1"/>
  <c r="X231" i="1"/>
  <c r="AA210" i="1"/>
  <c r="T155" i="1"/>
  <c r="AA140" i="1"/>
  <c r="AA135" i="1"/>
  <c r="AA133" i="1"/>
  <c r="X130" i="1"/>
  <c r="AA113" i="1"/>
  <c r="X112" i="1"/>
  <c r="AA104" i="1"/>
  <c r="AA101" i="1"/>
  <c r="X89" i="1"/>
  <c r="X78" i="1"/>
  <c r="AA78" i="1"/>
  <c r="AA59" i="1"/>
  <c r="X53" i="1"/>
  <c r="AA49" i="1"/>
  <c r="AA36" i="1"/>
  <c r="AA33" i="1"/>
  <c r="X32" i="1"/>
  <c r="X29" i="1"/>
  <c r="AA29" i="1"/>
  <c r="AA20" i="1"/>
  <c r="X44" i="1"/>
  <c r="X212" i="1"/>
  <c r="T93" i="1"/>
  <c r="X62" i="1"/>
  <c r="X39" i="1"/>
  <c r="AA35" i="1"/>
  <c r="AA26" i="1"/>
  <c r="X25" i="1"/>
  <c r="X20" i="1"/>
  <c r="X19" i="1"/>
  <c r="X16" i="1"/>
  <c r="X15" i="1"/>
  <c r="X171" i="1"/>
  <c r="X204" i="1"/>
  <c r="AA198" i="1"/>
  <c r="X194" i="1"/>
  <c r="T191" i="1"/>
  <c r="X190" i="1"/>
  <c r="T187" i="1"/>
  <c r="AA176" i="1"/>
  <c r="AA173" i="1"/>
  <c r="X172" i="1"/>
  <c r="AA167" i="1"/>
  <c r="X163" i="1"/>
  <c r="T160" i="1"/>
  <c r="X159" i="1"/>
  <c r="T231" i="1"/>
  <c r="U231" i="1" s="1"/>
  <c r="S231" i="1" s="1"/>
  <c r="AA229" i="1"/>
  <c r="AA218" i="1"/>
  <c r="X217" i="1"/>
  <c r="X216" i="1"/>
  <c r="AA157" i="1"/>
  <c r="T157" i="1"/>
  <c r="X150" i="1"/>
  <c r="AA150" i="1"/>
  <c r="W150" i="1" s="1"/>
  <c r="X142" i="1"/>
  <c r="AA142" i="1"/>
  <c r="X134" i="1"/>
  <c r="AA126" i="1"/>
  <c r="AA124" i="1"/>
  <c r="X115" i="1"/>
  <c r="X108" i="1"/>
  <c r="T104" i="1"/>
  <c r="AA102" i="1"/>
  <c r="T102" i="1"/>
  <c r="AA91" i="1"/>
  <c r="W91" i="1" s="1"/>
  <c r="AA89" i="1"/>
  <c r="AA87" i="1"/>
  <c r="X85" i="1"/>
  <c r="AA81" i="1"/>
  <c r="AA67" i="1"/>
  <c r="X66" i="1"/>
  <c r="AA61" i="1"/>
  <c r="T54" i="1"/>
  <c r="U54" i="1" s="1"/>
  <c r="S54" i="1" s="1"/>
  <c r="AA53" i="1"/>
  <c r="T53" i="1"/>
  <c r="X51" i="1"/>
  <c r="AA51" i="1"/>
  <c r="AA31" i="1"/>
  <c r="AA18" i="1"/>
  <c r="X186" i="1"/>
  <c r="X33" i="1"/>
  <c r="AA15" i="1"/>
  <c r="AA192" i="1"/>
  <c r="AA188" i="1"/>
  <c r="AA182" i="1"/>
  <c r="AA161" i="1"/>
  <c r="AA232" i="1"/>
  <c r="AA227" i="1"/>
  <c r="AA215" i="1"/>
  <c r="AA146" i="1"/>
  <c r="AA138" i="1"/>
  <c r="AA125" i="1"/>
  <c r="AA123" i="1"/>
  <c r="AA121" i="1"/>
  <c r="AA111" i="1"/>
  <c r="AA108" i="1"/>
  <c r="AA107" i="1"/>
  <c r="X106" i="1"/>
  <c r="AA103" i="1"/>
  <c r="X101" i="1"/>
  <c r="AA99" i="1"/>
  <c r="W99" i="1" s="1"/>
  <c r="X88" i="1"/>
  <c r="X82" i="1"/>
  <c r="X81" i="1"/>
  <c r="AA77" i="1"/>
  <c r="AA70" i="1"/>
  <c r="AA55" i="1"/>
  <c r="X52" i="1"/>
  <c r="AA47" i="1"/>
  <c r="W47" i="1" s="1"/>
  <c r="T41" i="1"/>
  <c r="X224" i="1"/>
  <c r="T224" i="1"/>
  <c r="U224" i="1" s="1"/>
  <c r="S224" i="1" s="1"/>
  <c r="X225" i="1"/>
  <c r="T225" i="1"/>
  <c r="U225" i="1" s="1"/>
  <c r="S225" i="1" s="1"/>
  <c r="R51" i="3"/>
  <c r="R52" i="3"/>
  <c r="X226" i="1"/>
  <c r="AA213" i="1"/>
  <c r="X153" i="1"/>
  <c r="AA153" i="1"/>
  <c r="AA224" i="1"/>
  <c r="W224" i="1" s="1"/>
  <c r="AA222" i="1"/>
  <c r="AA221" i="1"/>
  <c r="AA199" i="1"/>
  <c r="AA197" i="1"/>
  <c r="AA191" i="1"/>
  <c r="AA189" i="1"/>
  <c r="AA183" i="1"/>
  <c r="AA181" i="1"/>
  <c r="AA175" i="1"/>
  <c r="AA174" i="1"/>
  <c r="AA168" i="1"/>
  <c r="AA166" i="1"/>
  <c r="AA160" i="1"/>
  <c r="AA158" i="1"/>
  <c r="X230" i="1"/>
  <c r="T227" i="1"/>
  <c r="U227" i="1" s="1"/>
  <c r="S227" i="1" s="1"/>
  <c r="AA217" i="1"/>
  <c r="AA214" i="1"/>
  <c r="AA211" i="1"/>
  <c r="X208" i="1"/>
  <c r="AA156" i="1"/>
  <c r="AA203" i="1"/>
  <c r="AA201" i="1"/>
  <c r="AA195" i="1"/>
  <c r="AA193" i="1"/>
  <c r="AA187" i="1"/>
  <c r="AA185" i="1"/>
  <c r="AA179" i="1"/>
  <c r="AA177" i="1"/>
  <c r="AA172" i="1"/>
  <c r="AA170" i="1"/>
  <c r="AA164" i="1"/>
  <c r="AA162" i="1"/>
  <c r="AA231" i="1"/>
  <c r="AA219" i="1"/>
  <c r="AA209" i="1"/>
  <c r="W209" i="1" s="1"/>
  <c r="AA206" i="1"/>
  <c r="X205" i="1"/>
  <c r="X149" i="1"/>
  <c r="X145" i="1"/>
  <c r="X141" i="1"/>
  <c r="X137" i="1"/>
  <c r="X133" i="1"/>
  <c r="X129" i="1"/>
  <c r="AA120" i="1"/>
  <c r="AA119" i="1"/>
  <c r="AA116" i="1"/>
  <c r="AA115" i="1"/>
  <c r="W115" i="1" s="1"/>
  <c r="X114" i="1"/>
  <c r="AA112" i="1"/>
  <c r="AA106" i="1"/>
  <c r="X105" i="1"/>
  <c r="X103" i="1"/>
  <c r="AA100" i="1"/>
  <c r="AA98" i="1"/>
  <c r="AA97" i="1"/>
  <c r="X87" i="1"/>
  <c r="AA83" i="1"/>
  <c r="T78" i="1"/>
  <c r="AA76" i="1"/>
  <c r="AA71" i="1"/>
  <c r="X70" i="1"/>
  <c r="AA66" i="1"/>
  <c r="X65" i="1"/>
  <c r="T62" i="1"/>
  <c r="AA60" i="1"/>
  <c r="AA54" i="1"/>
  <c r="X50" i="1"/>
  <c r="X46" i="1"/>
  <c r="AA38" i="1"/>
  <c r="AA37" i="1"/>
  <c r="X31" i="1"/>
  <c r="X28" i="1"/>
  <c r="AA22" i="1"/>
  <c r="AA21" i="1"/>
  <c r="T20" i="1"/>
  <c r="T16" i="1"/>
  <c r="T150" i="1"/>
  <c r="T146" i="1"/>
  <c r="T142" i="1"/>
  <c r="U142" i="1" s="1"/>
  <c r="S142" i="1" s="1"/>
  <c r="T138" i="1"/>
  <c r="AA134" i="1"/>
  <c r="T134" i="1"/>
  <c r="AA130" i="1"/>
  <c r="W130" i="1" s="1"/>
  <c r="T130" i="1"/>
  <c r="X117" i="1"/>
  <c r="AA110" i="1"/>
  <c r="X109" i="1"/>
  <c r="X107" i="1"/>
  <c r="T89" i="1"/>
  <c r="AA88" i="1"/>
  <c r="T88" i="1"/>
  <c r="U88" i="1" s="1"/>
  <c r="S88" i="1" s="1"/>
  <c r="X86" i="1"/>
  <c r="AA84" i="1"/>
  <c r="X77" i="1"/>
  <c r="AA72" i="1"/>
  <c r="X61" i="1"/>
  <c r="T51" i="1"/>
  <c r="T47" i="1"/>
  <c r="T43" i="1"/>
  <c r="X40" i="1"/>
  <c r="AA34" i="1"/>
  <c r="T29" i="1"/>
  <c r="X27" i="1"/>
  <c r="X24" i="1"/>
  <c r="AA14" i="1"/>
  <c r="X111" i="1"/>
  <c r="AA79" i="1"/>
  <c r="W79" i="1" s="1"/>
  <c r="AA74" i="1"/>
  <c r="X73" i="1"/>
  <c r="AA68" i="1"/>
  <c r="AA63" i="1"/>
  <c r="W63" i="1" s="1"/>
  <c r="AA58" i="1"/>
  <c r="AA56" i="1"/>
  <c r="T31" i="1"/>
  <c r="X125" i="1"/>
  <c r="X123" i="1"/>
  <c r="X110" i="1"/>
  <c r="AA93" i="1"/>
  <c r="AA82" i="1"/>
  <c r="W82" i="1" s="1"/>
  <c r="X69" i="1"/>
  <c r="X57" i="1"/>
  <c r="AA41" i="1"/>
  <c r="X35" i="1"/>
  <c r="AA25" i="1"/>
  <c r="AI234" i="1"/>
  <c r="AI230" i="1"/>
  <c r="U221" i="1"/>
  <c r="S221" i="1" s="1"/>
  <c r="AI231" i="1"/>
  <c r="U222" i="1"/>
  <c r="S222" i="1" s="1"/>
  <c r="AI227" i="1"/>
  <c r="AI226" i="1"/>
  <c r="U203" i="1"/>
  <c r="S203" i="1" s="1"/>
  <c r="AI225" i="1"/>
  <c r="U223" i="1"/>
  <c r="S223" i="1" s="1"/>
  <c r="AI232" i="1"/>
  <c r="U234" i="1"/>
  <c r="S234" i="1" s="1"/>
  <c r="AI228" i="1"/>
  <c r="AI222" i="1"/>
  <c r="U200" i="1"/>
  <c r="S200" i="1" s="1"/>
  <c r="AI233" i="1"/>
  <c r="U220" i="1"/>
  <c r="S220" i="1" s="1"/>
  <c r="AI229" i="1"/>
  <c r="AI223" i="1"/>
  <c r="AI219" i="1"/>
  <c r="AI215" i="1"/>
  <c r="AI211" i="1"/>
  <c r="AI207" i="1"/>
  <c r="AI203" i="1"/>
  <c r="AI199" i="1"/>
  <c r="AI195" i="1"/>
  <c r="AI191" i="1"/>
  <c r="AI187" i="1"/>
  <c r="AI183" i="1"/>
  <c r="AI179" i="1"/>
  <c r="AI175" i="1"/>
  <c r="U229" i="1"/>
  <c r="S229" i="1" s="1"/>
  <c r="AI172" i="1"/>
  <c r="U219" i="1"/>
  <c r="S219" i="1" s="1"/>
  <c r="AI168" i="1"/>
  <c r="U215" i="1"/>
  <c r="S215" i="1" s="1"/>
  <c r="AI164" i="1"/>
  <c r="U211" i="1"/>
  <c r="S211" i="1" s="1"/>
  <c r="AI160" i="1"/>
  <c r="U207" i="1"/>
  <c r="S207" i="1" s="1"/>
  <c r="AI156" i="1"/>
  <c r="U156" i="1"/>
  <c r="S156" i="1" s="1"/>
  <c r="AI154" i="1"/>
  <c r="U202" i="1"/>
  <c r="S202" i="1" s="1"/>
  <c r="AI224" i="1"/>
  <c r="W202" i="1"/>
  <c r="U198" i="1"/>
  <c r="S198" i="1" s="1"/>
  <c r="AI220" i="1"/>
  <c r="AI216" i="1"/>
  <c r="U194" i="1"/>
  <c r="S194" i="1" s="1"/>
  <c r="AI212" i="1"/>
  <c r="U190" i="1"/>
  <c r="S190" i="1" s="1"/>
  <c r="AI208" i="1"/>
  <c r="U186" i="1"/>
  <c r="S186" i="1" s="1"/>
  <c r="AI204" i="1"/>
  <c r="U182" i="1"/>
  <c r="S182" i="1" s="1"/>
  <c r="AI200" i="1"/>
  <c r="U178" i="1"/>
  <c r="S178" i="1" s="1"/>
  <c r="AI196" i="1"/>
  <c r="AI192" i="1"/>
  <c r="U171" i="1"/>
  <c r="S171" i="1" s="1"/>
  <c r="AI188" i="1"/>
  <c r="U167" i="1"/>
  <c r="S167" i="1" s="1"/>
  <c r="AI184" i="1"/>
  <c r="U163" i="1"/>
  <c r="S163" i="1" s="1"/>
  <c r="AI180" i="1"/>
  <c r="U159" i="1"/>
  <c r="S159" i="1" s="1"/>
  <c r="AI176" i="1"/>
  <c r="U230" i="1"/>
  <c r="S230" i="1" s="1"/>
  <c r="AI173" i="1"/>
  <c r="U226" i="1"/>
  <c r="S226" i="1" s="1"/>
  <c r="AI169" i="1"/>
  <c r="U216" i="1"/>
  <c r="S216" i="1" s="1"/>
  <c r="AI165" i="1"/>
  <c r="U212" i="1"/>
  <c r="S212" i="1" s="1"/>
  <c r="AI161" i="1"/>
  <c r="U208" i="1"/>
  <c r="S208" i="1" s="1"/>
  <c r="AI157" i="1"/>
  <c r="U157" i="1"/>
  <c r="S157" i="1" s="1"/>
  <c r="AI153" i="1"/>
  <c r="U153" i="1"/>
  <c r="S153" i="1" s="1"/>
  <c r="U199" i="1"/>
  <c r="S199" i="1" s="1"/>
  <c r="AI221" i="1"/>
  <c r="U195" i="1"/>
  <c r="S195" i="1" s="1"/>
  <c r="AI217" i="1"/>
  <c r="U191" i="1"/>
  <c r="S191" i="1" s="1"/>
  <c r="AI213" i="1"/>
  <c r="U187" i="1"/>
  <c r="S187" i="1" s="1"/>
  <c r="AI209" i="1"/>
  <c r="U183" i="1"/>
  <c r="S183" i="1" s="1"/>
  <c r="AI205" i="1"/>
  <c r="U179" i="1"/>
  <c r="S179" i="1" s="1"/>
  <c r="AI201" i="1"/>
  <c r="U175" i="1"/>
  <c r="S175" i="1" s="1"/>
  <c r="AI197" i="1"/>
  <c r="U172" i="1"/>
  <c r="S172" i="1" s="1"/>
  <c r="AI193" i="1"/>
  <c r="U168" i="1"/>
  <c r="S168" i="1" s="1"/>
  <c r="AI189" i="1"/>
  <c r="U164" i="1"/>
  <c r="S164" i="1" s="1"/>
  <c r="AI185" i="1"/>
  <c r="U160" i="1"/>
  <c r="S160" i="1" s="1"/>
  <c r="AI181" i="1"/>
  <c r="AI177" i="1"/>
  <c r="AI174" i="1"/>
  <c r="U217" i="1"/>
  <c r="S217" i="1" s="1"/>
  <c r="AI170" i="1"/>
  <c r="U213" i="1"/>
  <c r="S213" i="1" s="1"/>
  <c r="AI166" i="1"/>
  <c r="U209" i="1"/>
  <c r="S209" i="1" s="1"/>
  <c r="AI162" i="1"/>
  <c r="U205" i="1"/>
  <c r="S205" i="1" s="1"/>
  <c r="AI158" i="1"/>
  <c r="U196" i="1"/>
  <c r="S196" i="1"/>
  <c r="AI218" i="1"/>
  <c r="U192" i="1"/>
  <c r="S192" i="1" s="1"/>
  <c r="AI214" i="1"/>
  <c r="U188" i="1"/>
  <c r="S188" i="1" s="1"/>
  <c r="AI210" i="1"/>
  <c r="U184" i="1"/>
  <c r="S184" i="1" s="1"/>
  <c r="AI206" i="1"/>
  <c r="U180" i="1"/>
  <c r="S180" i="1" s="1"/>
  <c r="AI202" i="1"/>
  <c r="U176" i="1"/>
  <c r="S176" i="1" s="1"/>
  <c r="AI198" i="1"/>
  <c r="U173" i="1"/>
  <c r="S173" i="1" s="1"/>
  <c r="AI194" i="1"/>
  <c r="U169" i="1"/>
  <c r="S169" i="1" s="1"/>
  <c r="AI190" i="1"/>
  <c r="U165" i="1"/>
  <c r="S165" i="1" s="1"/>
  <c r="AI186" i="1"/>
  <c r="U161" i="1"/>
  <c r="S161" i="1" s="1"/>
  <c r="AI182" i="1"/>
  <c r="U232" i="1"/>
  <c r="S232" i="1" s="1"/>
  <c r="AI178" i="1"/>
  <c r="U228" i="1"/>
  <c r="S228" i="1" s="1"/>
  <c r="U218" i="1"/>
  <c r="S218" i="1" s="1"/>
  <c r="AI171" i="1"/>
  <c r="U214" i="1"/>
  <c r="S214" i="1" s="1"/>
  <c r="AI167" i="1"/>
  <c r="U210" i="1"/>
  <c r="S210" i="1" s="1"/>
  <c r="AI163" i="1"/>
  <c r="U206" i="1"/>
  <c r="S206" i="1" s="1"/>
  <c r="AI159" i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U127" i="1"/>
  <c r="S127" i="1" s="1"/>
  <c r="AI122" i="1"/>
  <c r="U122" i="1"/>
  <c r="S122" i="1" s="1"/>
  <c r="U155" i="1"/>
  <c r="S155" i="1" s="1"/>
  <c r="AI155" i="1"/>
  <c r="U151" i="1"/>
  <c r="S151" i="1" s="1"/>
  <c r="AI151" i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U152" i="1"/>
  <c r="S152" i="1" s="1"/>
  <c r="AI152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U125" i="1"/>
  <c r="S125" i="1" s="1"/>
  <c r="AI125" i="1"/>
  <c r="U150" i="1"/>
  <c r="S150" i="1" s="1"/>
  <c r="AI150" i="1"/>
  <c r="U146" i="1"/>
  <c r="S146" i="1" s="1"/>
  <c r="AI146" i="1"/>
  <c r="AI142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AI119" i="1"/>
  <c r="U119" i="1"/>
  <c r="S119" i="1" s="1"/>
  <c r="U117" i="1"/>
  <c r="S117" i="1" s="1"/>
  <c r="AI117" i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93" i="1"/>
  <c r="U93" i="1"/>
  <c r="S93" i="1" s="1"/>
  <c r="AI89" i="1"/>
  <c r="U89" i="1"/>
  <c r="S89" i="1" s="1"/>
  <c r="AI121" i="1"/>
  <c r="U121" i="1"/>
  <c r="S121" i="1" s="1"/>
  <c r="AI118" i="1"/>
  <c r="U118" i="1"/>
  <c r="S118" i="1" s="1"/>
  <c r="AI114" i="1"/>
  <c r="U114" i="1"/>
  <c r="S114" i="1" s="1"/>
  <c r="AI110" i="1"/>
  <c r="U110" i="1"/>
  <c r="S110" i="1" s="1"/>
  <c r="AI106" i="1"/>
  <c r="U106" i="1"/>
  <c r="S106" i="1" s="1"/>
  <c r="AI102" i="1"/>
  <c r="U102" i="1"/>
  <c r="S102" i="1" s="1"/>
  <c r="AI98" i="1"/>
  <c r="U98" i="1"/>
  <c r="S98" i="1" s="1"/>
  <c r="AI94" i="1"/>
  <c r="U94" i="1"/>
  <c r="S94" i="1" s="1"/>
  <c r="AI90" i="1"/>
  <c r="U90" i="1"/>
  <c r="S90" i="1" s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U91" i="1"/>
  <c r="S91" i="1" s="1"/>
  <c r="AI91" i="1"/>
  <c r="U87" i="1"/>
  <c r="S87" i="1" s="1"/>
  <c r="AI87" i="1"/>
  <c r="U86" i="1"/>
  <c r="S86" i="1" s="1"/>
  <c r="AI86" i="1"/>
  <c r="U123" i="1"/>
  <c r="S123" i="1" s="1"/>
  <c r="AI123" i="1"/>
  <c r="AI120" i="1"/>
  <c r="AI116" i="1"/>
  <c r="U112" i="1"/>
  <c r="S112" i="1" s="1"/>
  <c r="AI112" i="1"/>
  <c r="U108" i="1"/>
  <c r="S108" i="1" s="1"/>
  <c r="AI108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AI88" i="1"/>
  <c r="U85" i="1"/>
  <c r="S85" i="1" s="1"/>
  <c r="AI85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AI53" i="1"/>
  <c r="U53" i="1"/>
  <c r="S53" i="1" s="1"/>
  <c r="U51" i="1"/>
  <c r="S51" i="1" s="1"/>
  <c r="AI51" i="1"/>
  <c r="AI82" i="1"/>
  <c r="U82" i="1"/>
  <c r="S82" i="1" s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84" i="1"/>
  <c r="U80" i="1"/>
  <c r="S80" i="1" s="1"/>
  <c r="AI80" i="1"/>
  <c r="AI76" i="1"/>
  <c r="AI72" i="1"/>
  <c r="AI68" i="1"/>
  <c r="AI64" i="1"/>
  <c r="AI60" i="1"/>
  <c r="AI56" i="1"/>
  <c r="U52" i="1"/>
  <c r="S52" i="1" s="1"/>
  <c r="AI52" i="1"/>
  <c r="AI48" i="1"/>
  <c r="U48" i="1"/>
  <c r="S48" i="1" s="1"/>
  <c r="AI44" i="1"/>
  <c r="U44" i="1"/>
  <c r="S44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U49" i="1"/>
  <c r="S49" i="1" s="1"/>
  <c r="AI49" i="1"/>
  <c r="AI45" i="1"/>
  <c r="U45" i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0" i="1"/>
  <c r="S50" i="1" s="1"/>
  <c r="AI50" i="1"/>
  <c r="U46" i="1"/>
  <c r="AI46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7" i="1"/>
  <c r="S47" i="1" s="1"/>
  <c r="AI47" i="1"/>
  <c r="U43" i="1"/>
  <c r="S43" i="1" s="1"/>
  <c r="AI43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5" i="1"/>
  <c r="W223" i="1"/>
  <c r="W198" i="1"/>
  <c r="W220" i="1"/>
  <c r="W233" i="1"/>
  <c r="W222" i="1"/>
  <c r="W221" i="1"/>
  <c r="W234" i="1"/>
  <c r="T233" i="1"/>
  <c r="U233" i="1" s="1"/>
  <c r="S233" i="1" s="1"/>
  <c r="X233" i="1"/>
  <c r="T204" i="1"/>
  <c r="U204" i="1" s="1"/>
  <c r="S204" i="1" s="1"/>
  <c r="W203" i="1"/>
  <c r="W201" i="1"/>
  <c r="W200" i="1"/>
  <c r="W199" i="1"/>
  <c r="X198" i="1"/>
  <c r="T197" i="1"/>
  <c r="U197" i="1" s="1"/>
  <c r="S197" i="1" s="1"/>
  <c r="X197" i="1"/>
  <c r="W194" i="1"/>
  <c r="W192" i="1"/>
  <c r="W186" i="1"/>
  <c r="W184" i="1"/>
  <c r="W178" i="1"/>
  <c r="W176" i="1"/>
  <c r="W171" i="1"/>
  <c r="W169" i="1"/>
  <c r="W163" i="1"/>
  <c r="W161" i="1"/>
  <c r="W230" i="1"/>
  <c r="W227" i="1"/>
  <c r="W218" i="1"/>
  <c r="W215" i="1"/>
  <c r="W208" i="1"/>
  <c r="W205" i="1"/>
  <c r="W155" i="1"/>
  <c r="X202" i="1"/>
  <c r="T201" i="1"/>
  <c r="U201" i="1" s="1"/>
  <c r="S201" i="1" s="1"/>
  <c r="X201" i="1"/>
  <c r="W195" i="1"/>
  <c r="W193" i="1"/>
  <c r="W187" i="1"/>
  <c r="W185" i="1"/>
  <c r="W179" i="1"/>
  <c r="W177" i="1"/>
  <c r="W172" i="1"/>
  <c r="W170" i="1"/>
  <c r="W164" i="1"/>
  <c r="W162" i="1"/>
  <c r="W231" i="1"/>
  <c r="W228" i="1"/>
  <c r="W219" i="1"/>
  <c r="W212" i="1"/>
  <c r="W206" i="1"/>
  <c r="W156" i="1"/>
  <c r="X222" i="1"/>
  <c r="W196" i="1"/>
  <c r="W190" i="1"/>
  <c r="W188" i="1"/>
  <c r="W182" i="1"/>
  <c r="W180" i="1"/>
  <c r="W173" i="1"/>
  <c r="W167" i="1"/>
  <c r="W165" i="1"/>
  <c r="W159" i="1"/>
  <c r="W232" i="1"/>
  <c r="W229" i="1"/>
  <c r="W216" i="1"/>
  <c r="W213" i="1"/>
  <c r="W210" i="1"/>
  <c r="W207" i="1"/>
  <c r="X223" i="1"/>
  <c r="X234" i="1"/>
  <c r="AA204" i="1"/>
  <c r="W204" i="1" s="1"/>
  <c r="W197" i="1"/>
  <c r="W191" i="1"/>
  <c r="W189" i="1"/>
  <c r="W183" i="1"/>
  <c r="W181" i="1"/>
  <c r="W175" i="1"/>
  <c r="W174" i="1"/>
  <c r="W168" i="1"/>
  <c r="W166" i="1"/>
  <c r="W160" i="1"/>
  <c r="W158" i="1"/>
  <c r="W226" i="1"/>
  <c r="W217" i="1"/>
  <c r="W214" i="1"/>
  <c r="W211" i="1"/>
  <c r="W157" i="1"/>
  <c r="X200" i="1"/>
  <c r="X196" i="1"/>
  <c r="X192" i="1"/>
  <c r="X188" i="1"/>
  <c r="X184" i="1"/>
  <c r="X180" i="1"/>
  <c r="X173" i="1"/>
  <c r="X169" i="1"/>
  <c r="X165" i="1"/>
  <c r="X161" i="1"/>
  <c r="X232" i="1"/>
  <c r="X228" i="1"/>
  <c r="X218" i="1"/>
  <c r="X214" i="1"/>
  <c r="X210" i="1"/>
  <c r="X206" i="1"/>
  <c r="W153" i="1"/>
  <c r="W152" i="1"/>
  <c r="W125" i="1"/>
  <c r="W123" i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T177" i="1"/>
  <c r="U177" i="1" s="1"/>
  <c r="S177" i="1" s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X162" i="1"/>
  <c r="T162" i="1"/>
  <c r="U162" i="1" s="1"/>
  <c r="S162" i="1" s="1"/>
  <c r="X158" i="1"/>
  <c r="T158" i="1"/>
  <c r="U158" i="1" s="1"/>
  <c r="S158" i="1" s="1"/>
  <c r="X229" i="1"/>
  <c r="X219" i="1"/>
  <c r="X215" i="1"/>
  <c r="X211" i="1"/>
  <c r="X207" i="1"/>
  <c r="X156" i="1"/>
  <c r="W149" i="1"/>
  <c r="W145" i="1"/>
  <c r="W141" i="1"/>
  <c r="W137" i="1"/>
  <c r="W134" i="1"/>
  <c r="W133" i="1"/>
  <c r="W129" i="1"/>
  <c r="W126" i="1"/>
  <c r="W124" i="1"/>
  <c r="W154" i="1"/>
  <c r="W151" i="1"/>
  <c r="W148" i="1"/>
  <c r="W147" i="1"/>
  <c r="W146" i="1"/>
  <c r="W144" i="1"/>
  <c r="W143" i="1"/>
  <c r="W142" i="1"/>
  <c r="W140" i="1"/>
  <c r="W139" i="1"/>
  <c r="W138" i="1"/>
  <c r="W136" i="1"/>
  <c r="W135" i="1"/>
  <c r="W132" i="1"/>
  <c r="W131" i="1"/>
  <c r="W128" i="1"/>
  <c r="W127" i="1"/>
  <c r="T154" i="1"/>
  <c r="U154" i="1" s="1"/>
  <c r="S154" i="1" s="1"/>
  <c r="X154" i="1"/>
  <c r="W117" i="1"/>
  <c r="W116" i="1"/>
  <c r="W112" i="1"/>
  <c r="W107" i="1"/>
  <c r="W106" i="1"/>
  <c r="W100" i="1"/>
  <c r="W98" i="1"/>
  <c r="W97" i="1"/>
  <c r="W95" i="1"/>
  <c r="X147" i="1"/>
  <c r="X143" i="1"/>
  <c r="X139" i="1"/>
  <c r="X135" i="1"/>
  <c r="X131" i="1"/>
  <c r="X127" i="1"/>
  <c r="W121" i="1"/>
  <c r="W120" i="1"/>
  <c r="W111" i="1"/>
  <c r="W110" i="1"/>
  <c r="W105" i="1"/>
  <c r="W101" i="1"/>
  <c r="W88" i="1"/>
  <c r="W84" i="1"/>
  <c r="X148" i="1"/>
  <c r="X144" i="1"/>
  <c r="X140" i="1"/>
  <c r="X136" i="1"/>
  <c r="X132" i="1"/>
  <c r="X128" i="1"/>
  <c r="X124" i="1"/>
  <c r="T120" i="1"/>
  <c r="U120" i="1" s="1"/>
  <c r="S120" i="1" s="1"/>
  <c r="X120" i="1"/>
  <c r="W119" i="1"/>
  <c r="W118" i="1"/>
  <c r="W114" i="1"/>
  <c r="W109" i="1"/>
  <c r="W104" i="1"/>
  <c r="W92" i="1"/>
  <c r="W90" i="1"/>
  <c r="W89" i="1"/>
  <c r="W86" i="1"/>
  <c r="W122" i="1"/>
  <c r="W113" i="1"/>
  <c r="W108" i="1"/>
  <c r="W103" i="1"/>
  <c r="W102" i="1"/>
  <c r="W96" i="1"/>
  <c r="W94" i="1"/>
  <c r="W93" i="1"/>
  <c r="W85" i="1"/>
  <c r="X116" i="1"/>
  <c r="T116" i="1"/>
  <c r="U116" i="1" s="1"/>
  <c r="S116" i="1" s="1"/>
  <c r="W87" i="1"/>
  <c r="W83" i="1"/>
  <c r="W77" i="1"/>
  <c r="W76" i="1"/>
  <c r="W71" i="1"/>
  <c r="W66" i="1"/>
  <c r="W61" i="1"/>
  <c r="W60" i="1"/>
  <c r="W54" i="1"/>
  <c r="W78" i="1"/>
  <c r="W73" i="1"/>
  <c r="W72" i="1"/>
  <c r="W67" i="1"/>
  <c r="W62" i="1"/>
  <c r="W57" i="1"/>
  <c r="W55" i="1"/>
  <c r="X98" i="1"/>
  <c r="X94" i="1"/>
  <c r="X90" i="1"/>
  <c r="W81" i="1"/>
  <c r="W74" i="1"/>
  <c r="W69" i="1"/>
  <c r="W68" i="1"/>
  <c r="W58" i="1"/>
  <c r="W56" i="1"/>
  <c r="X99" i="1"/>
  <c r="X95" i="1"/>
  <c r="X91" i="1"/>
  <c r="T84" i="1"/>
  <c r="U84" i="1" s="1"/>
  <c r="S84" i="1" s="1"/>
  <c r="X84" i="1"/>
  <c r="W80" i="1"/>
  <c r="W75" i="1"/>
  <c r="W70" i="1"/>
  <c r="W65" i="1"/>
  <c r="W64" i="1"/>
  <c r="W59" i="1"/>
  <c r="W53" i="1"/>
  <c r="X80" i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W50" i="1"/>
  <c r="W38" i="1"/>
  <c r="W37" i="1"/>
  <c r="W35" i="1"/>
  <c r="W32" i="1"/>
  <c r="W22" i="1"/>
  <c r="W21" i="1"/>
  <c r="W19" i="1"/>
  <c r="W15" i="1"/>
  <c r="W52" i="1"/>
  <c r="W46" i="1"/>
  <c r="W34" i="1"/>
  <c r="W33" i="1"/>
  <c r="W31" i="1"/>
  <c r="W28" i="1"/>
  <c r="W18" i="1"/>
  <c r="W14" i="1"/>
  <c r="W49" i="1"/>
  <c r="W48" i="1"/>
  <c r="W45" i="1"/>
  <c r="W44" i="1"/>
  <c r="W43" i="1"/>
  <c r="W42" i="1"/>
  <c r="W40" i="1"/>
  <c r="W30" i="1"/>
  <c r="W29" i="1"/>
  <c r="W27" i="1"/>
  <c r="W24" i="1"/>
  <c r="X83" i="1"/>
  <c r="X79" i="1"/>
  <c r="X75" i="1"/>
  <c r="X71" i="1"/>
  <c r="X67" i="1"/>
  <c r="X63" i="1"/>
  <c r="X59" i="1"/>
  <c r="X55" i="1"/>
  <c r="W51" i="1"/>
  <c r="W41" i="1"/>
  <c r="W39" i="1"/>
  <c r="W36" i="1"/>
  <c r="W26" i="1"/>
  <c r="W25" i="1"/>
  <c r="W23" i="1"/>
  <c r="W20" i="1"/>
  <c r="W17" i="1"/>
  <c r="W16" i="1"/>
  <c r="X48" i="1"/>
  <c r="X49" i="1"/>
  <c r="X45" i="1"/>
  <c r="X38" i="1"/>
  <c r="X34" i="1"/>
  <c r="X30" i="1"/>
  <c r="X26" i="1"/>
  <c r="X22" i="1"/>
  <c r="X18" i="1"/>
  <c r="AC48" i="3"/>
  <c r="AD48" i="3"/>
  <c r="AC18" i="3"/>
  <c r="AC38" i="3"/>
  <c r="AD29" i="3"/>
  <c r="AE28" i="3"/>
  <c r="AC29" i="3"/>
  <c r="T29" i="3"/>
  <c r="AD21" i="3"/>
  <c r="AD17" i="3"/>
  <c r="AD13" i="3"/>
  <c r="AD9" i="3"/>
  <c r="AC50" i="3"/>
  <c r="AD50" i="3"/>
  <c r="AD38" i="3"/>
  <c r="AD28" i="3"/>
  <c r="AE20" i="3"/>
  <c r="AD18" i="3"/>
  <c r="AC24" i="3"/>
  <c r="AC8" i="3"/>
  <c r="AE48" i="3"/>
  <c r="AC10" i="3"/>
  <c r="AE52" i="3"/>
  <c r="AC16" i="3"/>
  <c r="T16" i="3"/>
  <c r="AC21" i="3"/>
  <c r="AC37" i="3"/>
  <c r="AC9" i="3"/>
  <c r="T9" i="3"/>
  <c r="AC39" i="3"/>
  <c r="AC12" i="3"/>
  <c r="AC7" i="3"/>
  <c r="AC15" i="3"/>
  <c r="AC13" i="3"/>
  <c r="AC31" i="3"/>
  <c r="AC51" i="3"/>
  <c r="AC26" i="3"/>
  <c r="AD20" i="3"/>
  <c r="T19" i="3"/>
  <c r="AC23" i="3"/>
  <c r="Y13" i="3"/>
  <c r="Y30" i="3"/>
  <c r="Y7" i="3"/>
  <c r="Y47" i="3"/>
  <c r="Y31" i="3"/>
  <c r="Y9" i="3"/>
  <c r="Y29" i="3"/>
  <c r="Y19" i="3"/>
  <c r="Y41" i="3"/>
  <c r="Y40" i="3"/>
  <c r="Y53" i="3"/>
  <c r="Y10" i="3"/>
  <c r="Y8" i="3"/>
  <c r="Y32" i="3"/>
  <c r="Y18" i="3"/>
  <c r="Y35" i="3"/>
  <c r="Y28" i="3"/>
  <c r="Y27" i="3"/>
  <c r="Y34" i="3"/>
  <c r="Y43" i="3"/>
  <c r="Y52" i="3"/>
  <c r="Y20" i="3"/>
  <c r="Y42" i="3"/>
  <c r="Y17" i="3"/>
  <c r="Y36" i="3"/>
  <c r="Y44" i="3"/>
  <c r="Y48" i="3"/>
  <c r="Y37" i="3"/>
  <c r="Y23" i="3"/>
  <c r="Y16" i="3"/>
  <c r="Y50" i="3"/>
  <c r="Y49" i="3"/>
  <c r="Y15" i="3"/>
  <c r="Y21" i="3"/>
  <c r="Y33" i="3"/>
  <c r="Y38" i="3"/>
  <c r="Y51" i="3"/>
  <c r="Y39" i="3"/>
  <c r="Y25" i="3"/>
  <c r="Y24" i="3"/>
  <c r="Y45" i="3"/>
  <c r="Y14" i="3"/>
  <c r="Y26" i="3"/>
  <c r="Y12" i="3"/>
  <c r="Y46" i="3"/>
  <c r="Y11" i="3"/>
  <c r="Y54" i="3"/>
  <c r="T28" i="3"/>
  <c r="AE35" i="3"/>
  <c r="T43" i="3"/>
  <c r="AE31" i="3"/>
  <c r="T52" i="3"/>
  <c r="AE27" i="3"/>
  <c r="T20" i="3"/>
  <c r="AE23" i="3"/>
  <c r="T42" i="3"/>
  <c r="AE19" i="3"/>
  <c r="T17" i="3"/>
  <c r="AC46" i="3"/>
  <c r="AD16" i="3"/>
  <c r="AE15" i="3"/>
  <c r="T36" i="3"/>
  <c r="AC11" i="3"/>
  <c r="AD12" i="3"/>
  <c r="AE11" i="3"/>
  <c r="T44" i="3"/>
  <c r="AC54" i="3"/>
  <c r="AD8" i="3"/>
  <c r="AE51" i="3"/>
  <c r="T35" i="3"/>
  <c r="AE43" i="3"/>
  <c r="AE54" i="3"/>
  <c r="T50" i="3"/>
  <c r="AD51" i="3"/>
  <c r="AD47" i="3"/>
  <c r="AE46" i="3"/>
  <c r="AD43" i="3"/>
  <c r="AE42" i="3"/>
  <c r="T21" i="3"/>
  <c r="AD39" i="3"/>
  <c r="AE38" i="3"/>
  <c r="T33" i="3"/>
  <c r="AD35" i="3"/>
  <c r="AE34" i="3"/>
  <c r="T38" i="3"/>
  <c r="AD31" i="3"/>
  <c r="AE30" i="3"/>
  <c r="T51" i="3"/>
  <c r="AD27" i="3"/>
  <c r="AE26" i="3"/>
  <c r="T39" i="3"/>
  <c r="AD23" i="3"/>
  <c r="T25" i="3"/>
  <c r="AD19" i="3"/>
  <c r="AE18" i="3"/>
  <c r="T24" i="3"/>
  <c r="AC41" i="3"/>
  <c r="AD15" i="3"/>
  <c r="AE14" i="3"/>
  <c r="T45" i="3"/>
  <c r="AC40" i="3"/>
  <c r="AD11" i="3"/>
  <c r="AE10" i="3"/>
  <c r="T14" i="3"/>
  <c r="AC53" i="3"/>
  <c r="AE47" i="3"/>
  <c r="T27" i="3"/>
  <c r="AE39" i="3"/>
  <c r="T34" i="3"/>
  <c r="AE50" i="3"/>
  <c r="T49" i="3"/>
  <c r="T15" i="3"/>
  <c r="AE53" i="3"/>
  <c r="AE49" i="3"/>
  <c r="AE45" i="3"/>
  <c r="AE41" i="3"/>
  <c r="AE37" i="3"/>
  <c r="AE33" i="3"/>
  <c r="AE29" i="3"/>
  <c r="AE25" i="3"/>
  <c r="AE21" i="3"/>
  <c r="AE17" i="3"/>
  <c r="T46" i="3"/>
  <c r="AD14" i="3"/>
  <c r="AE13" i="3"/>
  <c r="T11" i="3"/>
  <c r="AD10" i="3"/>
  <c r="AE9" i="3"/>
  <c r="T54" i="3"/>
  <c r="AE16" i="3"/>
  <c r="AE12" i="3"/>
  <c r="AE8" i="3"/>
  <c r="M22" i="3"/>
  <c r="U22" i="3"/>
  <c r="T22" i="3" s="1"/>
  <c r="V22" i="3"/>
  <c r="X22" i="3"/>
  <c r="W22" i="3"/>
  <c r="S45" i="1" l="1"/>
  <c r="AE22" i="3"/>
  <c r="AD22" i="3"/>
  <c r="Y22" i="3"/>
  <c r="AC22" i="3"/>
  <c r="K13" i="1" l="1"/>
  <c r="L13" i="1"/>
  <c r="M13" i="1"/>
  <c r="N13" i="1" s="1"/>
  <c r="V13" i="1"/>
  <c r="S22" i="3" s="1"/>
  <c r="Y13" i="1"/>
  <c r="Z13" i="1"/>
  <c r="AB13" i="1"/>
  <c r="AC13" i="1"/>
  <c r="AD13" i="1"/>
  <c r="X14" i="1" s="1"/>
  <c r="AE13" i="1"/>
  <c r="R22" i="3" s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N53" i="3" s="1"/>
  <c r="G18" i="4"/>
  <c r="G19" i="4"/>
  <c r="G20" i="4"/>
  <c r="G21" i="4"/>
  <c r="G22" i="4"/>
  <c r="G23" i="4"/>
  <c r="G24" i="4"/>
  <c r="G25" i="4"/>
  <c r="N54" i="3" s="1"/>
  <c r="G26" i="4"/>
  <c r="G27" i="4"/>
  <c r="N14" i="3" s="1"/>
  <c r="G28" i="4"/>
  <c r="G29" i="4"/>
  <c r="G30" i="4"/>
  <c r="G31" i="4"/>
  <c r="G32" i="4"/>
  <c r="G33" i="4"/>
  <c r="G34" i="4"/>
  <c r="G35" i="4"/>
  <c r="G36" i="4"/>
  <c r="N44" i="3" s="1"/>
  <c r="G37" i="4"/>
  <c r="G38" i="4"/>
  <c r="G39" i="4"/>
  <c r="G40" i="4"/>
  <c r="N40" i="3" s="1"/>
  <c r="G41" i="4"/>
  <c r="G42" i="4"/>
  <c r="G43" i="4"/>
  <c r="G44" i="4"/>
  <c r="G45" i="4"/>
  <c r="G46" i="4"/>
  <c r="G47" i="4"/>
  <c r="G48" i="4"/>
  <c r="N11" i="3" s="1"/>
  <c r="G49" i="4"/>
  <c r="N45" i="3" s="1"/>
  <c r="G50" i="4"/>
  <c r="G51" i="4"/>
  <c r="G52" i="4"/>
  <c r="G53" i="4"/>
  <c r="G54" i="4"/>
  <c r="G55" i="4"/>
  <c r="G56" i="4"/>
  <c r="G57" i="4"/>
  <c r="G58" i="4"/>
  <c r="G59" i="4"/>
  <c r="G60" i="4"/>
  <c r="G61" i="4"/>
  <c r="N46" i="3" s="1"/>
  <c r="G62" i="4"/>
  <c r="N24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N17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9" i="3" s="1"/>
  <c r="G115" i="4"/>
  <c r="G116" i="4"/>
  <c r="G117" i="4"/>
  <c r="G118" i="4"/>
  <c r="G119" i="4"/>
  <c r="G120" i="4"/>
  <c r="N12" i="3" s="1"/>
  <c r="G121" i="4"/>
  <c r="G122" i="4"/>
  <c r="G123" i="4"/>
  <c r="G124" i="4"/>
  <c r="N25" i="3" s="1"/>
  <c r="G125" i="4"/>
  <c r="G126" i="4"/>
  <c r="G127" i="4"/>
  <c r="N29" i="3" s="1"/>
  <c r="G128" i="4"/>
  <c r="N26" i="3" s="1"/>
  <c r="G129" i="4"/>
  <c r="N42" i="3" s="1"/>
  <c r="G130" i="4"/>
  <c r="G131" i="4"/>
  <c r="G132" i="4"/>
  <c r="G133" i="4"/>
  <c r="G134" i="4"/>
  <c r="N30" i="3" s="1"/>
  <c r="G135" i="4"/>
  <c r="N39" i="3" s="1"/>
  <c r="G136" i="4"/>
  <c r="N9" i="3" s="1"/>
  <c r="G137" i="4"/>
  <c r="N20" i="3" s="1"/>
  <c r="G138" i="4"/>
  <c r="G139" i="4"/>
  <c r="G140" i="4"/>
  <c r="G141" i="4"/>
  <c r="G142" i="4"/>
  <c r="N31" i="3" s="1"/>
  <c r="G143" i="4"/>
  <c r="G144" i="4"/>
  <c r="G145" i="4"/>
  <c r="G146" i="4"/>
  <c r="G147" i="4"/>
  <c r="N32" i="3" s="1"/>
  <c r="G148" i="4"/>
  <c r="G149" i="4"/>
  <c r="G150" i="4"/>
  <c r="G151" i="4"/>
  <c r="G152" i="4"/>
  <c r="G153" i="4"/>
  <c r="G154" i="4"/>
  <c r="G155" i="4"/>
  <c r="G156" i="4"/>
  <c r="G157" i="4"/>
  <c r="G158" i="4"/>
  <c r="N38" i="3" s="1"/>
  <c r="G159" i="4"/>
  <c r="G160" i="4"/>
  <c r="G161" i="4"/>
  <c r="G162" i="4"/>
  <c r="N43" i="3" s="1"/>
  <c r="G163" i="4"/>
  <c r="N33" i="3" s="1"/>
  <c r="G164" i="4"/>
  <c r="G165" i="4"/>
  <c r="G166" i="4"/>
  <c r="G167" i="4"/>
  <c r="N18" i="3" s="1"/>
  <c r="G168" i="4"/>
  <c r="G169" i="4"/>
  <c r="G170" i="4"/>
  <c r="G171" i="4"/>
  <c r="N37" i="3" s="1"/>
  <c r="G172" i="4"/>
  <c r="G173" i="4"/>
  <c r="N34" i="3" s="1"/>
  <c r="G174" i="4"/>
  <c r="G175" i="4"/>
  <c r="G176" i="4"/>
  <c r="N13" i="3" s="1"/>
  <c r="G177" i="4"/>
  <c r="G178" i="4"/>
  <c r="G179" i="4"/>
  <c r="N47" i="3" s="1"/>
  <c r="G180" i="4"/>
  <c r="G181" i="4"/>
  <c r="G182" i="4"/>
  <c r="G183" i="4"/>
  <c r="G184" i="4"/>
  <c r="G185" i="4"/>
  <c r="G186" i="4"/>
  <c r="G187" i="4"/>
  <c r="N21" i="3" s="1"/>
  <c r="G188" i="4"/>
  <c r="G189" i="4"/>
  <c r="G190" i="4"/>
  <c r="G191" i="4"/>
  <c r="G192" i="4"/>
  <c r="G193" i="4"/>
  <c r="N27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N48" i="3" s="1"/>
  <c r="G206" i="4"/>
  <c r="G207" i="4"/>
  <c r="G208" i="4"/>
  <c r="G209" i="4"/>
  <c r="G210" i="4"/>
  <c r="G211" i="4"/>
  <c r="G212" i="4"/>
  <c r="N7" i="3" s="1"/>
  <c r="G213" i="4"/>
  <c r="G214" i="4"/>
  <c r="G215" i="4"/>
  <c r="N8" i="3" s="1"/>
  <c r="G216" i="4"/>
  <c r="N35" i="3" s="1"/>
  <c r="G217" i="4"/>
  <c r="G218" i="4"/>
  <c r="G219" i="4"/>
  <c r="N49" i="3" s="1"/>
  <c r="G220" i="4"/>
  <c r="G221" i="4"/>
  <c r="G222" i="4"/>
  <c r="G223" i="4"/>
  <c r="N23" i="3" s="1"/>
  <c r="G224" i="4"/>
  <c r="G225" i="4"/>
  <c r="G226" i="4"/>
  <c r="G227" i="4"/>
  <c r="G228" i="4"/>
  <c r="G229" i="4"/>
  <c r="G230" i="4"/>
  <c r="G231" i="4"/>
  <c r="N10" i="3" s="1"/>
  <c r="G232" i="4"/>
  <c r="G233" i="4"/>
  <c r="G234" i="4"/>
  <c r="G235" i="4"/>
  <c r="G236" i="4"/>
  <c r="G237" i="4"/>
  <c r="N50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15" i="3"/>
  <c r="N41" i="3"/>
  <c r="N36" i="3"/>
  <c r="N22" i="3"/>
  <c r="N16" i="3"/>
  <c r="N52" i="3"/>
  <c r="N51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<sst xmlns="http://schemas.openxmlformats.org/spreadsheetml/2006/main" count="2942" uniqueCount="1046">
  <si>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</si>
  <si>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</si>
  <si>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</si>
  <si>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</si>
  <si>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</si>
  <si>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</si>
  <si>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</si>
  <si>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</si>
  <si>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</si>
  <si>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</si>
  <si>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</si>
  <si>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</si>
  <si>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</si>
  <si>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</si>
  <si>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</si>
  <si>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</si>
  <si>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</si>
  <si>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</si>
  <si>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</si>
  <si>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</si>
  <si>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</si>
  <si>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</si>
  <si>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</si>
  <si>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</si>
  <si>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</si>
  <si>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</si>
  <si>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</si>
  <si>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</si>
  <si>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</si>
  <si>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</si>
  <si>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</si>
  <si>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</si>
  <si>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</si>
  <si>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</si>
  <si>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</si>
  <si>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</si>
  <si>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</si>
  <si>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</si>
  <si>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</si>
  <si>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</si>
  <si>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</si>
  <si>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</si>
  <si>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</si>
  <si>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</si>
  <si>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</si>
  <si>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</si>
  <si>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</si>
  <si>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</si>
  <si>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</si>
  <si>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</si>
  <si>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</si>
  <si>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</si>
  <si>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</si>
  <si>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</si>
  <si>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</si>
  <si>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</si>
  <si>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</si>
  <si>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</si>
  <si>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</si>
  <si>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</si>
  <si>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</si>
  <si>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</si>
  <si>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</si>
  <si>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</si>
  <si>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</si>
  <si>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</si>
  <si>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</si>
  <si>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</si>
  <si>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</si>
  <si>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</si>
  <si>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</si>
  <si>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</si>
  <si>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</si>
  <si>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</si>
  <si>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</si>
  <si>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</si>
  <si>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</si>
  <si>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</si>
  <si>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</si>
  <si>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</si>
  <si>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</si>
  <si>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</si>
  <si>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</si>
  <si>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</si>
  <si>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</si>
  <si>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</si>
  <si>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</si>
  <si>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</si>
  <si>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</si>
  <si>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</si>
  <si>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</si>
  <si>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</si>
  <si>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</si>
  <si>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</si>
  <si>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</si>
  <si>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</si>
  <si>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</si>
  <si>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</si>
  <si>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</si>
  <si>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</si>
  <si>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</si>
  <si>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</si>
  <si>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</si>
  <si>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</si>
  <si>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</si>
  <si>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</si>
  <si>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</si>
  <si>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</si>
  <si>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</si>
  <si>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</si>
  <si>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</si>
  <si>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</si>
  <si>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</si>
  <si>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</si>
  <si>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</si>
  <si>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</si>
  <si>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</si>
  <si>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</si>
  <si>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</si>
  <si>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</si>
  <si>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</si>
  <si>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</si>
  <si>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</si>
  <si>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</si>
  <si>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</si>
  <si>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</si>
  <si>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</si>
  <si>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</si>
  <si>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</si>
  <si>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</si>
  <si>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</si>
  <si>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</si>
  <si>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</si>
  <si>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</si>
  <si>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</si>
  <si>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</si>
  <si>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</si>
  <si>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</si>
  <si>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</si>
  <si>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</si>
  <si>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</si>
  <si>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</si>
  <si>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</si>
  <si>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</si>
  <si>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</si>
  <si>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</si>
  <si>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</si>
  <si>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</si>
  <si>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</si>
  <si>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</si>
  <si>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</si>
  <si>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</si>
  <si>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</si>
  <si>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</si>
  <si>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</si>
  <si>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</si>
  <si>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</si>
  <si>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</si>
  <si>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</si>
  <si>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</si>
  <si>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</si>
  <si>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</si>
  <si>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</si>
  <si>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</si>
  <si>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</si>
  <si>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</si>
  <si>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</si>
  <si>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</si>
  <si>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</si>
  <si>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</si>
  <si>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</si>
  <si>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</si>
  <si>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</si>
  <si>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</si>
  <si>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</si>
  <si>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</si>
  <si>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</si>
  <si>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</si>
  <si>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</si>
  <si>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</si>
  <si>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</si>
  <si>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</si>
  <si>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</si>
  <si>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</si>
  <si>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</si>
  <si>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</si>
  <si>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</si>
  <si>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</si>
  <si>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</si>
  <si>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</si>
  <si>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</si>
  <si>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</si>
  <si>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</si>
  <si>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</si>
  <si>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</si>
  <si>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</si>
  <si>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</si>
  <si>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</si>
  <si>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</si>
  <si>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</si>
  <si>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</si>
  <si>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</si>
  <si>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</si>
  <si>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</si>
  <si>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</si>
  <si>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</si>
  <si>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</si>
  <si>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</si>
  <si>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</si>
  <si>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</si>
  <si>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</si>
  <si>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</si>
  <si>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</si>
  <si>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</si>
  <si>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</si>
  <si>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</si>
  <si>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</si>
  <si>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</si>
  <si>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</si>
  <si>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</si>
  <si>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</si>
  <si>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</si>
  <si>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</si>
  <si>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</si>
  <si>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</si>
  <si>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</si>
  <si>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</si>
  <si>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</si>
  <si>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</si>
  <si>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</si>
  <si>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</si>
  <si>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</si>
  <si>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</si>
  <si>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</si>
  <si>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</si>
  <si>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</si>
  <si>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</si>
  <si>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</si>
  <si>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</si>
  <si>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</si>
  <si>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</si>
  <si>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</si>
  <si>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</si>
  <si>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</si>
  <si>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</si>
  <si>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</si>
  <si>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</si>
  <si>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</si>
  <si>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</si>
  <si>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</si>
  <si>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</si>
  <si>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</si>
  <si>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</si>
  <si>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</si>
  <si>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</si>
  <si>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</si>
  <si>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</si>
  <si>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</si>
  <si>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</si>
  <si>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</si>
  <si>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</si>
  <si>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</si>
  <si>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</si>
  <si>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</si>
  <si>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</si>
  <si>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</si>
  <si>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</si>
  <si>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</si>
  <si>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</si>
  <si>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</si>
  <si>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</si>
  <si>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</si>
  <si>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</si>
  <si>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</si>
  <si>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</si>
  <si>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</si>
  <si>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</si>
  <si>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</si>
  <si>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</si>
  <si>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</si>
  <si>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</si>
  <si>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</si>
  <si>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</si>
  <si>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</si>
  <si>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</si>
  <si>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</si>
  <si>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</si>
  <si>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</si>
  <si>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</si>
  <si>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</si>
  <si>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</si>
  <si>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</si>
  <si>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</si>
  <si>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</si>
  <si>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</si>
  <si>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</si>
  <si>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</si>
  <si>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</si>
  <si>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</si>
  <si>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</si>
  <si>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</si>
  <si>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</si>
  <si>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</si>
  <si>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</si>
  <si>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</si>
  <si>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</si>
  <si>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</si>
  <si>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</si>
  <si>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</si>
  <si>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</si>
  <si>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</si>
  <si>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</si>
  <si>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</si>
  <si>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</si>
  <si>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</si>
  <si>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</si>
  <si>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</si>
  <si>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</si>
  <si>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</si>
  <si>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</si>
  <si>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</si>
  <si>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</si>
  <si>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</si>
  <si>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</si>
  <si>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</si>
  <si>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</si>
  <si>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</si>
  <si>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</si>
  <si>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</si>
  <si>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</si>
  <si>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</si>
  <si>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</si>
  <si>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</si>
  <si>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</si>
  <si>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</si>
  <si>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</si>
  <si>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</si>
  <si>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</si>
  <si>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</si>
  <si>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</si>
  <si>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</si>
  <si>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</si>
  <si>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</si>
  <si>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</si>
  <si>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</si>
  <si>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</si>
  <si>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</si>
  <si>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</si>
  <si>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</si>
  <si>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</si>
  <si>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</si>
  <si>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</si>
  <si>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</si>
  <si>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</si>
  <si>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</si>
  <si>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</si>
  <si>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</si>
  <si>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</si>
  <si>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</si>
  <si>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</si>
  <si>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</si>
  <si>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</si>
  <si>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</si>
  <si>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</si>
  <si>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</si>
  <si>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</si>
  <si>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</si>
  <si>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</si>
  <si>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</si>
  <si>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</si>
  <si>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</si>
  <si>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</si>
  <si>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</si>
  <si>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</si>
  <si>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</si>
  <si>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</si>
  <si>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</si>
  <si>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</si>
  <si>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</si>
  <si>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</si>
  <si>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</si>
  <si>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</si>
  <si>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</si>
  <si>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</si>
  <si>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</si>
  <si>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</si>
  <si>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</si>
  <si>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</si>
  <si>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</si>
  <si>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</si>
  <si>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</si>
  <si>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</si>
  <si>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</si>
  <si>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</si>
  <si>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</si>
  <si>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</si>
  <si>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</si>
  <si>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</si>
  <si>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</si>
  <si>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</si>
  <si>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</si>
  <si>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</si>
  <si>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</si>
  <si>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</si>
  <si>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</si>
  <si>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</si>
  <si>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</si>
  <si>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</si>
  <si>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</si>
  <si>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</si>
  <si>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</si>
  <si>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</si>
  <si>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</si>
  <si>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</si>
  <si>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</si>
  <si>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</si>
  <si>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</si>
  <si>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</si>
  <si>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</si>
  <si>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</si>
  <si>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</si>
  <si>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</si>
  <si>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</si>
  <si>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</si>
  <si>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</si>
  <si>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YANG</t>
  </si>
  <si>
    <t>JAN</t>
  </si>
  <si>
    <t>204:233297</t>
  </si>
  <si>
    <t>204:435</t>
  </si>
  <si>
    <t>204:233295</t>
  </si>
  <si>
    <t>204:160</t>
  </si>
  <si>
    <t>204:471</t>
  </si>
  <si>
    <t>204:983</t>
  </si>
  <si>
    <t>204:232969</t>
  </si>
  <si>
    <t>204:132</t>
  </si>
  <si>
    <t>204:433</t>
  </si>
  <si>
    <t>rtdc.l.rtdc.4006:itc</t>
  </si>
  <si>
    <t>STARKS</t>
  </si>
  <si>
    <t>ANGELINA</t>
  </si>
  <si>
    <t>MOSES</t>
  </si>
  <si>
    <t>BRADLEY</t>
  </si>
  <si>
    <t>204:232973</t>
  </si>
  <si>
    <t>204:233289</t>
  </si>
  <si>
    <t>204:233301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</si>
  <si>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</si>
  <si>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</si>
  <si>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</si>
  <si>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</si>
  <si>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</si>
  <si>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</si>
  <si>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</si>
  <si>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</si>
  <si>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</si>
  <si>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</si>
  <si>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</si>
  <si>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</si>
  <si>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</si>
  <si>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</si>
  <si>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</si>
  <si>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</si>
  <si>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</si>
  <si>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</si>
  <si>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</si>
  <si>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</si>
  <si>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</si>
  <si>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</si>
  <si>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</si>
  <si>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</si>
  <si>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</si>
  <si>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</si>
  <si>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</si>
  <si>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</si>
  <si>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</si>
  <si>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</si>
  <si>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</si>
  <si>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</si>
  <si>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</si>
  <si>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</si>
  <si>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</si>
  <si>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</si>
  <si>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204:161</t>
  </si>
  <si>
    <t>rtdc.l.rtdc.4030:itc</t>
  </si>
  <si>
    <t>rtdc.l.rtdc.4016:itc</t>
  </si>
  <si>
    <t>rtdc.l.rtdc.4027:itc</t>
  </si>
  <si>
    <t>313-06</t>
  </si>
  <si>
    <t>BRANDON</t>
  </si>
  <si>
    <t>NICHOLSON</t>
  </si>
  <si>
    <t>WESLEY</t>
  </si>
  <si>
    <t>BIRKHOLZ</t>
  </si>
  <si>
    <t>NADINE</t>
  </si>
  <si>
    <t>ELBAUM</t>
  </si>
  <si>
    <t>MIKE</t>
  </si>
  <si>
    <t>rtdc.l.rtdc.4031:itc</t>
  </si>
  <si>
    <t>300-07</t>
  </si>
  <si>
    <t>204:232978</t>
  </si>
  <si>
    <t>204:464</t>
  </si>
  <si>
    <t>rtdc.l.rtdc.4023:itc</t>
  </si>
  <si>
    <t>SWITCH UNKNOWN</t>
  </si>
  <si>
    <t>Track device (7)</t>
  </si>
  <si>
    <t>rtdc.l.rtdc.4032:itc</t>
  </si>
  <si>
    <t>204:158</t>
  </si>
  <si>
    <t>204:475</t>
  </si>
  <si>
    <t>204:992</t>
  </si>
  <si>
    <t>204:990</t>
  </si>
  <si>
    <t>300:58624</t>
  </si>
  <si>
    <t>300:58941</t>
  </si>
  <si>
    <t>rtdc.l.rtdc.4015:itc</t>
  </si>
  <si>
    <t>GONZALEZ</t>
  </si>
  <si>
    <t>ARMANDO</t>
  </si>
  <si>
    <t>HELVIE</t>
  </si>
  <si>
    <t>ADAM</t>
  </si>
  <si>
    <t>LOZA</t>
  </si>
  <si>
    <t>FIDEL</t>
  </si>
  <si>
    <t>ANDERS</t>
  </si>
  <si>
    <t>STEVEN</t>
  </si>
  <si>
    <t>MILLER</t>
  </si>
  <si>
    <t>KEVIN</t>
  </si>
  <si>
    <t>LEVIN</t>
  </si>
  <si>
    <t>SCOTT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</si>
  <si>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</si>
  <si>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</si>
  <si>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</si>
  <si>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</si>
  <si>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</si>
  <si>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</si>
  <si>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</si>
  <si>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</si>
  <si>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</si>
  <si>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Mostly Cloudy</t>
  </si>
  <si>
    <t>rain</t>
  </si>
  <si>
    <t>Drizzle</t>
  </si>
  <si>
    <t>204:232974</t>
  </si>
  <si>
    <t>204:233302</t>
  </si>
  <si>
    <t>204:442</t>
  </si>
  <si>
    <t>204:232984</t>
  </si>
  <si>
    <t>204:232989</t>
  </si>
  <si>
    <t>204:233314</t>
  </si>
  <si>
    <t>204:232994</t>
  </si>
  <si>
    <t>204:467</t>
  </si>
  <si>
    <t>204:174</t>
  </si>
  <si>
    <t>204:233008</t>
  </si>
  <si>
    <t>204:233305</t>
  </si>
  <si>
    <t>204:1165</t>
  </si>
  <si>
    <t>300:58617</t>
  </si>
  <si>
    <t>300:58615</t>
  </si>
  <si>
    <t>204:692</t>
  </si>
  <si>
    <t>300:58929</t>
  </si>
  <si>
    <t>204:691</t>
  </si>
  <si>
    <t>238-12</t>
  </si>
  <si>
    <t>244-12</t>
  </si>
  <si>
    <t>WENDY</t>
  </si>
  <si>
    <t>PAGE</t>
  </si>
  <si>
    <t>MARCUS</t>
  </si>
  <si>
    <t>LANGERAK</t>
  </si>
  <si>
    <t>WILLIAM</t>
  </si>
  <si>
    <t>ROMERO</t>
  </si>
  <si>
    <t>CHAD</t>
  </si>
  <si>
    <t>DELGADO</t>
  </si>
  <si>
    <t>DIANAH</t>
  </si>
  <si>
    <t>BERLING</t>
  </si>
  <si>
    <t>GARY</t>
  </si>
  <si>
    <t>SAFIEF</t>
  </si>
  <si>
    <t>AEIMEN</t>
  </si>
  <si>
    <t>243-12</t>
  </si>
  <si>
    <t>240-12</t>
  </si>
  <si>
    <t>307-12</t>
  </si>
  <si>
    <t>242-12</t>
  </si>
  <si>
    <t>309-12</t>
  </si>
  <si>
    <t>311-12</t>
  </si>
  <si>
    <t>313-12</t>
  </si>
  <si>
    <t>300-13</t>
  </si>
  <si>
    <t>204:232965</t>
  </si>
  <si>
    <t>204:167</t>
  </si>
  <si>
    <t>204:232998</t>
  </si>
  <si>
    <t>204:233298</t>
  </si>
  <si>
    <t>204:152</t>
  </si>
  <si>
    <t>204:232987</t>
  </si>
  <si>
    <t>204:233286</t>
  </si>
  <si>
    <t>204:232975</t>
  </si>
  <si>
    <t>204:233336</t>
  </si>
  <si>
    <t>204:233303</t>
  </si>
  <si>
    <t>204:233000</t>
  </si>
  <si>
    <t>204:127</t>
  </si>
  <si>
    <t>204:233007</t>
  </si>
  <si>
    <t>204:232990</t>
  </si>
  <si>
    <t>204:233088</t>
  </si>
  <si>
    <t>204:232985</t>
  </si>
  <si>
    <t>204:440</t>
  </si>
  <si>
    <t>204:233282</t>
  </si>
  <si>
    <t>204:232955</t>
  </si>
  <si>
    <t>204:116</t>
  </si>
  <si>
    <t>204:232992</t>
  </si>
  <si>
    <t>204:233013</t>
  </si>
  <si>
    <t>204:233318</t>
  </si>
  <si>
    <t>300:21791</t>
  </si>
  <si>
    <t>204:1016</t>
  </si>
  <si>
    <t>204:129</t>
  </si>
  <si>
    <t>204:740</t>
  </si>
  <si>
    <t>300:58619</t>
  </si>
  <si>
    <t>204:708</t>
  </si>
  <si>
    <t>204:974</t>
  </si>
  <si>
    <t>300:58963</t>
  </si>
  <si>
    <t>204:673</t>
  </si>
  <si>
    <t>300:58967</t>
  </si>
  <si>
    <t>300:58638</t>
  </si>
  <si>
    <t>204:712</t>
  </si>
  <si>
    <t>204:657</t>
  </si>
  <si>
    <t>204:724</t>
  </si>
  <si>
    <t>300:58958</t>
  </si>
  <si>
    <t>204:971</t>
  </si>
  <si>
    <t>300:58596</t>
  </si>
  <si>
    <t>start /low /b %USERPROFILE%\Documents\GitHub\eaglep3\Utilities\DownloadLogsFromS3.py --loco 4014 --day 2017-07-13</t>
  </si>
  <si>
    <t>start /low /b %USERPROFILE%\Documents\GitHub\eaglep3\Utilities\DownloadLogsFromS3.py --loco 4013 --day 2017-07-13</t>
  </si>
  <si>
    <t>Wi-MAX data drop</t>
  </si>
  <si>
    <t>101-13</t>
  </si>
  <si>
    <t>306-13</t>
  </si>
  <si>
    <t>901-13</t>
  </si>
  <si>
    <t>111-13</t>
  </si>
  <si>
    <t>801-13</t>
  </si>
  <si>
    <t>802-13</t>
  </si>
  <si>
    <t>125-13</t>
  </si>
  <si>
    <t>805-13</t>
  </si>
  <si>
    <t>806-13</t>
  </si>
  <si>
    <t>809-13</t>
  </si>
  <si>
    <t>130-13</t>
  </si>
  <si>
    <t>149-13</t>
  </si>
  <si>
    <t>164-13</t>
  </si>
  <si>
    <t>173-13</t>
  </si>
  <si>
    <t>rtdc.l.rtdc.4021:itc</t>
  </si>
  <si>
    <t>170-13</t>
  </si>
  <si>
    <t>rtdc.l.rtdc.4043:itc</t>
  </si>
  <si>
    <t>822-13</t>
  </si>
  <si>
    <t>rtdc.l.rtdc.4012:itc</t>
  </si>
  <si>
    <t>179-13</t>
  </si>
  <si>
    <t>174-13</t>
  </si>
  <si>
    <t>rtdc.l.rtdc.4044:itc</t>
  </si>
  <si>
    <t>823-13</t>
  </si>
  <si>
    <t>187-13</t>
  </si>
  <si>
    <t>rtdc.l.rtdc.4011:itc</t>
  </si>
  <si>
    <t>180-13</t>
  </si>
  <si>
    <t>185-13</t>
  </si>
  <si>
    <t>904-13</t>
  </si>
  <si>
    <t>191-13</t>
  </si>
  <si>
    <t>195-13</t>
  </si>
  <si>
    <t>829-13</t>
  </si>
  <si>
    <t>830-13</t>
  </si>
  <si>
    <t>202-13</t>
  </si>
  <si>
    <t>832-13</t>
  </si>
  <si>
    <t>205-13</t>
  </si>
  <si>
    <t>209-13</t>
  </si>
  <si>
    <t>835-13</t>
  </si>
  <si>
    <t>206-13</t>
  </si>
  <si>
    <t>212-13</t>
  </si>
  <si>
    <t>216-13</t>
  </si>
  <si>
    <t>225-13</t>
  </si>
  <si>
    <t>843-13</t>
  </si>
  <si>
    <t>224-13</t>
  </si>
  <si>
    <t>228-13</t>
  </si>
  <si>
    <t>230-13</t>
  </si>
  <si>
    <t>847-13</t>
  </si>
  <si>
    <t>233-13</t>
  </si>
  <si>
    <t>237-13</t>
  </si>
  <si>
    <t>242-13</t>
  </si>
  <si>
    <t>313-13</t>
  </si>
  <si>
    <t>302-13</t>
  </si>
  <si>
    <t>YANAI</t>
  </si>
  <si>
    <t>IAN</t>
  </si>
  <si>
    <t>rtdc.l.rtdc.4024:itc</t>
  </si>
  <si>
    <t>51-13</t>
  </si>
  <si>
    <t>CUSHING</t>
  </si>
  <si>
    <t>HARRY</t>
  </si>
  <si>
    <t>52-13</t>
  </si>
  <si>
    <t>103-13</t>
  </si>
  <si>
    <t>304-13</t>
  </si>
  <si>
    <t>105-13</t>
  </si>
  <si>
    <t>308-13</t>
  </si>
  <si>
    <t>102-13</t>
  </si>
  <si>
    <t>107-13</t>
  </si>
  <si>
    <t>104-13</t>
  </si>
  <si>
    <t>109-13</t>
  </si>
  <si>
    <t>310-13</t>
  </si>
  <si>
    <t>106-13</t>
  </si>
  <si>
    <t>800-13</t>
  </si>
  <si>
    <t>108-13</t>
  </si>
  <si>
    <t>113-13</t>
  </si>
  <si>
    <t>312-13</t>
  </si>
  <si>
    <t>115-13</t>
  </si>
  <si>
    <t>110-13</t>
  </si>
  <si>
    <t>117-13</t>
  </si>
  <si>
    <t>902-13</t>
  </si>
  <si>
    <t>112-13</t>
  </si>
  <si>
    <t>119-13</t>
  </si>
  <si>
    <t>114-13</t>
  </si>
  <si>
    <t>803-13</t>
  </si>
  <si>
    <t>121-13</t>
  </si>
  <si>
    <t>116-13</t>
  </si>
  <si>
    <t>123-13</t>
  </si>
  <si>
    <t>804-13</t>
  </si>
  <si>
    <t>118-13</t>
  </si>
  <si>
    <t>122-13</t>
  </si>
  <si>
    <t>120-13</t>
  </si>
  <si>
    <t>127-13</t>
  </si>
  <si>
    <t>129-13</t>
  </si>
  <si>
    <t>807-13</t>
  </si>
  <si>
    <t>124-13</t>
  </si>
  <si>
    <t>131-13</t>
  </si>
  <si>
    <t>PELLITIER</t>
  </si>
  <si>
    <t>GEORGE</t>
  </si>
  <si>
    <t>126-13</t>
  </si>
  <si>
    <t>808-13</t>
  </si>
  <si>
    <t>133-13</t>
  </si>
  <si>
    <t>128-13</t>
  </si>
  <si>
    <t>135-13</t>
  </si>
  <si>
    <t>810-13</t>
  </si>
  <si>
    <t>137-13</t>
  </si>
  <si>
    <t>811-13</t>
  </si>
  <si>
    <t>132-13</t>
  </si>
  <si>
    <t>903-13</t>
  </si>
  <si>
    <t>139-13</t>
  </si>
  <si>
    <t>812-13</t>
  </si>
  <si>
    <t>134-13</t>
  </si>
  <si>
    <t>136-13</t>
  </si>
  <si>
    <t>141-13</t>
  </si>
  <si>
    <t>138-13</t>
  </si>
  <si>
    <t>143-13</t>
  </si>
  <si>
    <t>813-13</t>
  </si>
  <si>
    <t>140-13</t>
  </si>
  <si>
    <t>145-13</t>
  </si>
  <si>
    <t>147-13</t>
  </si>
  <si>
    <t>814-13</t>
  </si>
  <si>
    <t>144-13</t>
  </si>
  <si>
    <t>142-13</t>
  </si>
  <si>
    <t>151-13</t>
  </si>
  <si>
    <t>146-13</t>
  </si>
  <si>
    <t>815-13</t>
  </si>
  <si>
    <t>153-13</t>
  </si>
  <si>
    <t>148-13</t>
  </si>
  <si>
    <t>150-13</t>
  </si>
  <si>
    <t>155-13</t>
  </si>
  <si>
    <t>816-13</t>
  </si>
  <si>
    <t>157-13</t>
  </si>
  <si>
    <t>SULLIVAN</t>
  </si>
  <si>
    <t>152-13</t>
  </si>
  <si>
    <t>rtdc.l.rtdc.4063:itc</t>
  </si>
  <si>
    <t>50-13</t>
  </si>
  <si>
    <t>159-13</t>
  </si>
  <si>
    <t>154-13</t>
  </si>
  <si>
    <t>156-13</t>
  </si>
  <si>
    <t>161-13</t>
  </si>
  <si>
    <t>817-13</t>
  </si>
  <si>
    <t>rtdc.l.rtdc.4064:itc</t>
  </si>
  <si>
    <t>53-13</t>
  </si>
  <si>
    <t>BONDS</t>
  </si>
  <si>
    <t>REYNALDO</t>
  </si>
  <si>
    <t>163-13</t>
  </si>
  <si>
    <t>158-13</t>
  </si>
  <si>
    <t>818-13</t>
  </si>
  <si>
    <t>165-13</t>
  </si>
  <si>
    <t>160-13</t>
  </si>
  <si>
    <t>54-13</t>
  </si>
  <si>
    <t>HOLCOMB</t>
  </si>
  <si>
    <t>KAMDEN</t>
  </si>
  <si>
    <t>167-13</t>
  </si>
  <si>
    <t>819-13</t>
  </si>
  <si>
    <t>162-13</t>
  </si>
  <si>
    <t>169-13</t>
  </si>
  <si>
    <t>171-13</t>
  </si>
  <si>
    <t>820-13</t>
  </si>
  <si>
    <t>166-13</t>
  </si>
  <si>
    <t>55-13</t>
  </si>
  <si>
    <t>168-13</t>
  </si>
  <si>
    <t>175-13</t>
  </si>
  <si>
    <t>821-13</t>
  </si>
  <si>
    <t>177-13</t>
  </si>
  <si>
    <t>172-13</t>
  </si>
  <si>
    <t>181-13</t>
  </si>
  <si>
    <t>178-13</t>
  </si>
  <si>
    <t>176-13</t>
  </si>
  <si>
    <t>183-13</t>
  </si>
  <si>
    <t>189-13</t>
  </si>
  <si>
    <t>182-13</t>
  </si>
  <si>
    <t>824-13</t>
  </si>
  <si>
    <t>184-13</t>
  </si>
  <si>
    <t>186-13</t>
  </si>
  <si>
    <t>825-13</t>
  </si>
  <si>
    <t>193-13</t>
  </si>
  <si>
    <t>188-13</t>
  </si>
  <si>
    <t>826-13</t>
  </si>
  <si>
    <t>190-13</t>
  </si>
  <si>
    <t>192-13</t>
  </si>
  <si>
    <t>197-13</t>
  </si>
  <si>
    <t>827-13</t>
  </si>
  <si>
    <t>199-13</t>
  </si>
  <si>
    <t>828-13</t>
  </si>
  <si>
    <t>201-13</t>
  </si>
  <si>
    <t>194-13</t>
  </si>
  <si>
    <t>196-13</t>
  </si>
  <si>
    <t>203-13</t>
  </si>
  <si>
    <t>198-13</t>
  </si>
  <si>
    <t>200-13</t>
  </si>
  <si>
    <t>831-13</t>
  </si>
  <si>
    <t>207-13</t>
  </si>
  <si>
    <t>85-13</t>
  </si>
  <si>
    <t>87-13</t>
  </si>
  <si>
    <t>833-13</t>
  </si>
  <si>
    <t>204-13</t>
  </si>
  <si>
    <t>211-13</t>
  </si>
  <si>
    <t>834-13</t>
  </si>
  <si>
    <t>213-13</t>
  </si>
  <si>
    <t>rtdc.l.rtdc.4053:itc</t>
  </si>
  <si>
    <t>56-13</t>
  </si>
  <si>
    <t>HUFFSMITH</t>
  </si>
  <si>
    <t>MONTY</t>
  </si>
  <si>
    <t>208-13</t>
  </si>
  <si>
    <t>215-13</t>
  </si>
  <si>
    <t>210-13</t>
  </si>
  <si>
    <t>836-13</t>
  </si>
  <si>
    <t>217-13</t>
  </si>
  <si>
    <t>PERKINS</t>
  </si>
  <si>
    <t>DARREN</t>
  </si>
  <si>
    <t>837-13</t>
  </si>
  <si>
    <t>219-13</t>
  </si>
  <si>
    <t>214-13</t>
  </si>
  <si>
    <t>838-13</t>
  </si>
  <si>
    <t>301-13</t>
  </si>
  <si>
    <t>839-13</t>
  </si>
  <si>
    <t>221-13</t>
  </si>
  <si>
    <t>906-13</t>
  </si>
  <si>
    <t>218-13</t>
  </si>
  <si>
    <t>841-13</t>
  </si>
  <si>
    <t>303-13</t>
  </si>
  <si>
    <t>220-13</t>
  </si>
  <si>
    <t>223-13</t>
  </si>
  <si>
    <t>840-13</t>
  </si>
  <si>
    <t>305-13</t>
  </si>
  <si>
    <t>222-13</t>
  </si>
  <si>
    <t>227-13</t>
  </si>
  <si>
    <t>842-13</t>
  </si>
  <si>
    <t>226-13</t>
  </si>
  <si>
    <t>229-13</t>
  </si>
  <si>
    <t>845-13</t>
  </si>
  <si>
    <t>231-13</t>
  </si>
  <si>
    <t>844-13</t>
  </si>
  <si>
    <t>235-13</t>
  </si>
  <si>
    <t>232-13</t>
  </si>
  <si>
    <t>908-13</t>
  </si>
  <si>
    <t>234-13</t>
  </si>
  <si>
    <t>236-13</t>
  </si>
  <si>
    <t>239-13</t>
  </si>
  <si>
    <t>241-13</t>
  </si>
  <si>
    <t>238-13</t>
  </si>
  <si>
    <t>243-13</t>
  </si>
  <si>
    <t>240-13</t>
  </si>
  <si>
    <t>307-13</t>
  </si>
  <si>
    <t>309-13</t>
  </si>
  <si>
    <t>244-13</t>
  </si>
  <si>
    <t>311-13</t>
  </si>
  <si>
    <t>clear-night</t>
  </si>
  <si>
    <t>Clear</t>
  </si>
  <si>
    <t>clear-day</t>
  </si>
  <si>
    <t>204:763</t>
  </si>
  <si>
    <t>204:112</t>
  </si>
  <si>
    <t>204:498</t>
  </si>
  <si>
    <t>204:233291</t>
  </si>
  <si>
    <t>204:500</t>
  </si>
  <si>
    <t>204:233310</t>
  </si>
  <si>
    <t>204:233023</t>
  </si>
  <si>
    <t>204:233293</t>
  </si>
  <si>
    <t>204:382</t>
  </si>
  <si>
    <t>204:233272</t>
  </si>
  <si>
    <t>204:232964</t>
  </si>
  <si>
    <t>204:233324</t>
  </si>
  <si>
    <t>204:233009</t>
  </si>
  <si>
    <t>204:233284</t>
  </si>
  <si>
    <t>204:233331</t>
  </si>
  <si>
    <t>204:37188</t>
  </si>
  <si>
    <t>204:27061</t>
  </si>
  <si>
    <t>204:232991</t>
  </si>
  <si>
    <t>204:478</t>
  </si>
  <si>
    <t>204:232957</t>
  </si>
  <si>
    <t>204:233332</t>
  </si>
  <si>
    <t>204:233030</t>
  </si>
  <si>
    <t>204:409</t>
  </si>
  <si>
    <t>204:233378</t>
  </si>
  <si>
    <t>204:233100</t>
  </si>
  <si>
    <t>204:123</t>
  </si>
  <si>
    <t>204:233420</t>
  </si>
  <si>
    <t>204:233130</t>
  </si>
  <si>
    <t>204:233389</t>
  </si>
  <si>
    <t>204:233068</t>
  </si>
  <si>
    <t>204:172</t>
  </si>
  <si>
    <t>204:218</t>
  </si>
  <si>
    <t>204:233370</t>
  </si>
  <si>
    <t>204:233070</t>
  </si>
  <si>
    <t>204:233344</t>
  </si>
  <si>
    <t>204:233038</t>
  </si>
  <si>
    <t>204:233424</t>
  </si>
  <si>
    <t>204:233115</t>
  </si>
  <si>
    <t>204:233466</t>
  </si>
  <si>
    <t>204:233157</t>
  </si>
  <si>
    <t>204:460</t>
  </si>
  <si>
    <t>204:233447</t>
  </si>
  <si>
    <t>204:233165</t>
  </si>
  <si>
    <t>204:535</t>
  </si>
  <si>
    <t>204:233346</t>
  </si>
  <si>
    <t>204:233051</t>
  </si>
  <si>
    <t>204:233360</t>
  </si>
  <si>
    <t>204:233011</t>
  </si>
  <si>
    <t>204:233032</t>
  </si>
  <si>
    <t>204:233431</t>
  </si>
  <si>
    <t>204:233402</t>
  </si>
  <si>
    <t>204:233098</t>
  </si>
  <si>
    <t>204:438</t>
  </si>
  <si>
    <t>204:232959</t>
  </si>
  <si>
    <t>204:233353</t>
  </si>
  <si>
    <t>204:233036</t>
  </si>
  <si>
    <t>204:233025</t>
  </si>
  <si>
    <t>204:233458</t>
  </si>
  <si>
    <t>204:233151</t>
  </si>
  <si>
    <t>204:233387</t>
  </si>
  <si>
    <t>204:233106</t>
  </si>
  <si>
    <t>204:233397</t>
  </si>
  <si>
    <t>204:233069</t>
  </si>
  <si>
    <t>204:180</t>
  </si>
  <si>
    <t>204:233315</t>
  </si>
  <si>
    <t>204:424</t>
  </si>
  <si>
    <t>204:233311</t>
  </si>
  <si>
    <t>204:233368</t>
  </si>
  <si>
    <t>204:227620</t>
  </si>
  <si>
    <t>204:233341</t>
  </si>
  <si>
    <t>204:232952</t>
  </si>
  <si>
    <t>204:233159</t>
  </si>
  <si>
    <t>204:232836</t>
  </si>
  <si>
    <t>204:233307</t>
  </si>
  <si>
    <t>204:1390</t>
  </si>
  <si>
    <t>204:233263</t>
  </si>
  <si>
    <t>300:23312</t>
  </si>
  <si>
    <t>300:23620</t>
  </si>
  <si>
    <t>300:23242</t>
  </si>
  <si>
    <t>300:23478</t>
  </si>
  <si>
    <t>300:23304</t>
  </si>
  <si>
    <t>300:23747</t>
  </si>
  <si>
    <t>204:185</t>
  </si>
  <si>
    <t>300:23455</t>
  </si>
  <si>
    <t>300:23287</t>
  </si>
  <si>
    <t>300:23561</t>
  </si>
  <si>
    <t>300:23299</t>
  </si>
  <si>
    <t>300:23550</t>
  </si>
  <si>
    <t>204:1612</t>
  </si>
  <si>
    <t>300:6799</t>
  </si>
  <si>
    <t>300:23209</t>
  </si>
  <si>
    <t>204:3812</t>
  </si>
  <si>
    <t>204:3522</t>
  </si>
  <si>
    <t>204:347</t>
  </si>
  <si>
    <t>300:24248</t>
  </si>
  <si>
    <t>300:23483</t>
  </si>
  <si>
    <t>204:303</t>
  </si>
  <si>
    <t>300:24281</t>
  </si>
  <si>
    <t>300:23116</t>
  </si>
  <si>
    <t>204:1889</t>
  </si>
  <si>
    <t>300:58698</t>
  </si>
  <si>
    <t>204:612</t>
  </si>
  <si>
    <t>204:902</t>
  </si>
  <si>
    <t>300:59012</t>
  </si>
  <si>
    <t>300:58694</t>
  </si>
  <si>
    <t>300:58937</t>
  </si>
  <si>
    <t>300:58630</t>
  </si>
  <si>
    <t>204:929</t>
  </si>
  <si>
    <t>300:58711</t>
  </si>
  <si>
    <t>204:635</t>
  </si>
  <si>
    <t>204:964</t>
  </si>
  <si>
    <t>204:909</t>
  </si>
  <si>
    <t>300:58993</t>
  </si>
  <si>
    <t>300:58704</t>
  </si>
  <si>
    <t>300:58928</t>
  </si>
  <si>
    <t>300:58604</t>
  </si>
  <si>
    <t>204:978</t>
  </si>
  <si>
    <t>300:58933</t>
  </si>
  <si>
    <t>204:687</t>
  </si>
  <si>
    <t>204:967</t>
  </si>
  <si>
    <t>300:58931</t>
  </si>
  <si>
    <t>204:986</t>
  </si>
  <si>
    <t>300:58926</t>
  </si>
  <si>
    <t>300:58609</t>
  </si>
  <si>
    <t>204:1021</t>
  </si>
  <si>
    <t>300:58632</t>
  </si>
  <si>
    <t>204:1009</t>
  </si>
  <si>
    <t>300:58916</t>
  </si>
  <si>
    <t>300:58647</t>
  </si>
  <si>
    <t>204:675</t>
  </si>
  <si>
    <t>204:747</t>
  </si>
  <si>
    <t>300:58611</t>
  </si>
  <si>
    <t>204:1058</t>
  </si>
  <si>
    <t>300:58696</t>
  </si>
  <si>
    <t>204:965</t>
  </si>
  <si>
    <t>300:58939</t>
  </si>
  <si>
    <t>204:701</t>
  </si>
  <si>
    <t>204:1041</t>
  </si>
  <si>
    <t>204:713</t>
  </si>
  <si>
    <t>300:58613</t>
  </si>
  <si>
    <t>204:682</t>
  </si>
  <si>
    <t>204:995</t>
  </si>
  <si>
    <t>204:790</t>
  </si>
  <si>
    <t>300:58961</t>
  </si>
  <si>
    <t>204:1879</t>
  </si>
  <si>
    <t>204:1486</t>
  </si>
  <si>
    <t>300:23187</t>
  </si>
  <si>
    <t>204:1154</t>
  </si>
  <si>
    <t>300:30190</t>
  </si>
  <si>
    <t>300:59014</t>
  </si>
  <si>
    <t>300:23419</t>
  </si>
  <si>
    <t>300:24244</t>
  </si>
  <si>
    <t>300:19288</t>
  </si>
  <si>
    <t>300:58640</t>
  </si>
  <si>
    <t>300:28786</t>
  </si>
  <si>
    <t>300:28803</t>
  </si>
  <si>
    <t>start /low /b %USERPROFILE%\Documents\GitHub\eaglep3\Utilities\DownloadLogsFromS3.py --loco 4042 --day 2017-07-13</t>
  </si>
  <si>
    <t>start /low /b %USERPROFILE%\Documents\GitHub\eaglep3\Utilities\DownloadLogsFromS3.py --loco 4062 --day 2017-07-13</t>
  </si>
  <si>
    <t>start /low /b %USERPROFILE%\Documents\GitHub\eaglep3\Utilities\DownloadLogsFromS3.py --loco 4013 --day 2017-07-14</t>
  </si>
  <si>
    <t>start /low /b %USERPROFILE%\Documents\GitHub\eaglep3\Utilities\DownloadLogsFromS3.py --loco 4061 --day 2017-07-14</t>
  </si>
  <si>
    <t>start /low /b %USERPROFILE%\Documents\GitHub\eaglep3\Utilities\DownloadLogsFromS3.py --loco 4011 --day 2017-07-13</t>
  </si>
  <si>
    <t>start /low /b %USERPROFILE%\Documents\GitHub\eaglep3\Utilities\DownloadLogsFromS3.py --loco 4041 --day 2017-07-14</t>
  </si>
  <si>
    <t>start /low /b %USERPROFILE%\Documents\GitHub\eaglep3\Utilities\DownloadLogsFromS3.py --loco 4008 --day 2017-07-13</t>
  </si>
  <si>
    <t>start /low /b %USERPROFILE%\Documents\GitHub\eaglep3\Utilities\DownloadLogsFromS3.py --loco 4027 --day 2017-07-14</t>
  </si>
  <si>
    <t>start /low /b %USERPROFILE%\Documents\GitHub\eaglep3\Utilities\DownloadLogsFromS3.py --loco 4042 --day 2017-07-14</t>
  </si>
  <si>
    <t>start /low /b %USERPROFILE%\Documents\GitHub\eaglep3\Utilities\DownloadLogsFromS3.py --loco 4007 --day 2017-07-13</t>
  </si>
  <si>
    <t>start /low /b %USERPROFILE%\Documents\GitHub\eaglep3\Utilities\DownloadLogsFromS3.py --loco 4021 --day 2017-07-14</t>
  </si>
  <si>
    <t>start /low /b %USERPROFILE%\Documents\GitHub\eaglep3\Utilities\DownloadLogsFromS3.py --loco 4062 --day 2017-07-14</t>
  </si>
  <si>
    <t>start /low /b %USERPROFILE%\Documents\GitHub\eaglep3\Utilities\DownloadLogsFromS3.py --loco 4027 --day 2017-07-13</t>
  </si>
  <si>
    <t>start /low /b %USERPROFILE%\Documents\GitHub\eaglep3\Utilities\DownloadLogsFromS3.py --loco 4021 --day 2017-07-13</t>
  </si>
  <si>
    <t>start /low /b %USERPROFILE%\Documents\GitHub\eaglep3\Utilities\DownloadLogsFromS3.py --loco 4007 --day 2017-07-14</t>
  </si>
  <si>
    <t>start /low /b %USERPROFILE%\Documents\GitHub\eaglep3\Utilities\DownloadLogsFromS3.py --loco 4012 --day 2017-07-13</t>
  </si>
  <si>
    <t>start /low /b %USERPROFILE%\Documents\GitHub\eaglep3\Utilities\DownloadLogsFromS3.py --loco 4028 --day 2017-07-13</t>
  </si>
  <si>
    <t>start /low /b %USERPROFILE%\Documents\GitHub\eaglep3\Utilities\DownloadLogsFromS3.py --loco 4015 --day 2017-07-13</t>
  </si>
  <si>
    <t>start /low /b %USERPROFILE%\Documents\GitHub\eaglep3\Utilities\DownloadLogsFromS3.py --loco 4044 --day 2017-07-13</t>
  </si>
  <si>
    <t>start /low /b %USERPROFILE%\Documents\GitHub\eaglep3\Utilities\DownloadLogsFromS3.py --loco 4043 --day 2017-07-13</t>
  </si>
  <si>
    <t>start /low /b %USERPROFILE%\Documents\GitHub\eaglep3\Utilities\DownloadLogsFromS3.py --loco 4016 --day 2017-07-13</t>
  </si>
  <si>
    <t>start /low /b %USERPROFILE%\Documents\GitHub\eaglep3\Utilities\DownloadLogsFromS3.py --loco 4016 --day 2017-07-14</t>
  </si>
  <si>
    <t>start /low /b %USERPROFILE%\Documents\GitHub\eaglep3\Utilities\DownloadLogsFromS3.py --loco 4044 --day 2017-07-14</t>
  </si>
  <si>
    <t>Delayed due to comm hardware failure at Havana</t>
  </si>
  <si>
    <t>Minor onboard in-route failure caused unknown signal status</t>
  </si>
  <si>
    <t>DTO efficiency test</t>
  </si>
  <si>
    <t>Comm hardware failure at Havana</t>
  </si>
  <si>
    <t>Westminster 2N STOP, cleared after</t>
  </si>
  <si>
    <t>Brief Wi-MAX data drop caused unhealthy banner</t>
  </si>
  <si>
    <t>Consist spam caused by error in finaled trains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</si>
</sst>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COUNTIFS($N$13:$N$9321,"&gt;0",$AG$13:$AG$9321,I1)</f>
        <v>143</v>
      </c>
      <c r="K5" s="39"/>
      <c r="L5" s="39"/>
      <c r="M5" s="40">
        <f>AVERAGEIFS($N$13:$N$9321,$AG$13:$AG$9321,I1)</f>
        <v>37.986946387087819</v>
      </c>
      <c r="N5" s="38">
        <f t="array" ref="N5">MIN(IF($AG$13:$AG$9321=I1,IF(ISNUMBER($N$13:$N$9321),IF($N$13:$N$9321&gt;0,$N$13:$N$9321))))</f>
        <v>33.433333332650363</v>
      </c>
      <c r="O5" s="3">
        <f t="array" ref="O5">MAX(IF($AG$13:$AG$9321=I1,IF(ISNUMBER($N$13:$N$9321),IF($N$13:$N$9321&gt;0,$N$13:$N$9321))))</f>
        <v>52.3833333409857</v>
      </c>
      <c r="P5" s="2"/>
      <c r="R5" s="166" t="s">
        <v>17</v>
      </c>
      <c r="S5" s="186">
        <f>COUNTIFS($N$13:$N$9321,"&gt;0",$AG$13:$AG$9321,R1)</f>
        <v>47</v>
      </c>
      <c r="T5" s="187"/>
      <c r="U5" s="187"/>
      <c r="V5" s="183">
        <f>AVERAGEIFS($N$13:$N$9321,$AG$13:$AG$9321,R1)</f>
        <v>14.373404254933741</v>
      </c>
      <c r="W5" s="184">
        <f t="array" ref="W5">MIN(IF($AG$13:$AG$9321=R1,IF(ISNUMBER($N$13:$N$9321),IF($N$13:$N$9321&gt;0,$N$13:$N$9321))))</f>
        <v>12.633333331905305</v>
      </c>
      <c r="X5" s="185">
        <f t="array" ref="X5">MAX(IF($AG$13:$AG$9321=R1,IF(ISNUMBER($N$13:$N$9321),IF($N$13:$N$9321&gt;0,$N$13:$N$9321))))</f>
        <v>18.116666658315808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67" t="s">
        <v>43</v>
      </c>
      <c r="S6" s="186">
        <f>COUNT($O$13:$O$119)</f>
        <v>0</v>
      </c>
      <c r="T6" s="187"/>
      <c r="U6" s="187"/>
      <c r="V6" s="183">
        <f>IFERROR(AVERAGE($O$13:$O$119),0)</f>
        <v>0</v>
      </c>
      <c r="W6" s="184">
        <f>MIN($O$13:$O$119)</f>
        <v>0</v>
      </c>
      <c r="X6" s="185">
        <f>MAX($O$13:$O$119)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COUNTIFS($P$13:$P$9321,"&gt;0",$AG$13:$AG$9321,I1)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COUNTIFS($P$13:$P$9321,"&gt;0",$AG$13:$AG$9321,R1)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37.986946387087819</v>
      </c>
      <c r="N8" s="38">
        <f>N5</f>
        <v>33.433333332650363</v>
      </c>
      <c r="O8" s="3">
        <f>O5</f>
        <v>52.3833333409857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14.373404254933741</v>
      </c>
      <c r="W8" s="184">
        <f>W5</f>
        <v>12.633333331905305</v>
      </c>
      <c r="X8" s="185">
        <f>X5</f>
        <v>18.116666658315808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0.99691358024691357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339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614</v>
      </c>
      <c r="B13" s="7">
        <v>4062</v>
      </c>
      <c r="C13" s="21" t="s">
        <v>199</v>
      </c>
      <c r="D13" s="21" t="s">
        <v>860</v>
      </c>
      <c r="E13" s="13">
        <v>42929.125613425924</v>
      </c>
      <c r="F13" s="13">
        <v>42929.136377314811</v>
      </c>
      <c r="G13" s="7">
        <v>2</v>
      </c>
      <c r="H13" s="21" t="s">
        <v>429</v>
      </c>
      <c r="I13" s="13">
        <v>42929.172754629632</v>
      </c>
      <c r="J13" s="7">
        <v>1</v>
      </c>
      <c r="K13" s="89" t="str">
        <f>IF(ISEVEN(B13),(B13-1)&amp;"/"&amp;B13,B13&amp;"/"&amp;(B13+1))</f>
        <v>4061/4062</v>
      </c>
      <c r="L13" s="21" t="str">
        <f>VLOOKUP(A13,'Trips&amp;Operators'!$C$1:$G$99999,5,FALSE)</f>
        <v>STARKS ANGELINA</v>
      </c>
      <c r="M13" s="6">
        <f>I13-F13</f>
        <v>3.6377314820128959E-2</v>
      </c>
      <c r="N13" s="7">
        <f>24*60*SUM($M13:$M13)</f>
        <v>52.3833333409857</v>
      </c>
      <c r="O13" s="7"/>
      <c r="P13" s="7"/>
      <c r="Q13" s="22"/>
      <c r="R13" s="170" t="s">
        <v>1039</v>
      </c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-13T02:00:53-0600',mode:absolute,to:'2017-07-13T05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7.6300000000000007E-2</v>
      </c>
      <c r="Z13" s="197">
        <f>RIGHT(H13,LEN(H13)-4)/10000</f>
        <v>23.329499999999999</v>
      </c>
      <c r="AA13" s="197">
        <f>ABS(Z13-Y13)</f>
        <v>23.2532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/stypes="app*4062*20170713*" /stext=" 10:.+((SYSTEM_STATE.+slice.+state.+changed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101-13 --locoid 4062 --swversion DE.1.0.9.0 --startMP 204:763 --initTime 2017-07-13T03:00:53 --startdatetime 2017-07-13T03:16:23 --delay 2 --endMP 204:233295 --enddatetime 2017-07-13T04:08:46 --enforcementcount 1 &gt;&gt;C:\Users\stu\Documents\GitHub\eaglep3-reporting\EC\2017-07-13-refined-times.txt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{"issue":{"subject":"Delayed due to comm hardware failure at Havana","project_id":79,"tracker_id":40,"status_id":1,"priority_id":2,"assigned_to_id":23,"start_date":"2017-07-13","description":"","custom_fields":[{"id":1,"name":"Subdivision","value":"EC"},{"id":4,"name":"Milepost","value":"23.3295"},{"id":17,"name":"Train ID","value":"101-13"},{"id":16,"name":"Locomotive ID","value":"4062"},{"id":130,"name":"Impact","value":""},{"id":150,"name":"Time of Event (Mountain Time)","value":"04:08:46"},{"id":151,"name":"Denver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4062 --day 2017-07-13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due to comm hardware failure at Havana","project_id":30,"tracker_id":4,"status_id":1,"priority_id":1,"assigned_to_id":10,"start_date":"2017-07-13","description":"","custom_fields":[{"id":30,"name":"Category","value":"Issue"},{"id":3,"name":"Functional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676</v>
      </c>
      <c r="B14" s="7">
        <v>4061</v>
      </c>
      <c r="C14" s="21" t="s">
        <v>199</v>
      </c>
      <c r="D14" s="21" t="s">
        <v>573</v>
      </c>
      <c r="E14" s="13">
        <v>42929.174953703703</v>
      </c>
      <c r="F14" s="13">
        <v>42929.177037037036</v>
      </c>
      <c r="G14" s="7">
        <v>1</v>
      </c>
      <c r="H14" s="21" t="s">
        <v>861</v>
      </c>
      <c r="I14" s="13">
        <v>42929.207314814812</v>
      </c>
      <c r="J14" s="7">
        <v>1</v>
      </c>
      <c r="K14" s="89" t="str">
        <f>IF(ISEVEN(B14),(B14-1)&amp;"/"&amp;B14,B14&amp;"/"&amp;(B14+1))</f>
        <v>4061/4062</v>
      </c>
      <c r="L14" s="21" t="str">
        <f>VLOOKUP(A14,'Trips&amp;Operators'!$C$1:$G$99999,5,FALSE)</f>
        <v>STARKS ANGELINA</v>
      </c>
      <c r="M14" s="6">
        <f>I14-F14</f>
        <v>3.0277777776063886E-2</v>
      </c>
      <c r="N14" s="7">
        <f>24*60*SUM($M14:$M14)</f>
        <v>43.599999997531995</v>
      </c>
      <c r="O14" s="7"/>
      <c r="P14" s="7"/>
      <c r="Q14" s="22"/>
      <c r="R14" s="170"/>
      <c r="S14" s="213">
        <f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-13T03:11:56-0600',mode:absolute,to:'2017-07-13T05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23.299800000000001</v>
      </c>
      <c r="Z14" s="197">
        <f>RIGHT(H14,LEN(H14)-4)/10000</f>
        <v>1.12E-2</v>
      </c>
      <c r="AA14" s="197">
        <f>ABS(Z14-Y14)</f>
        <v>23.288600000000002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/stypes="app*4061*20170713*"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102-13 --locoid 4061 --swversion DE.1.0.9.0 --startMP 204:232998 --initTime 2017-07-13T04:11:56 --startdatetime 2017-07-13T04:14:56 --delay 1 --endMP 204:112 --enddatetime 2017-07-13T04:58:32 --enforcementcount 1 &gt;&gt;C:\Users\stu\Documents\GitHub\eaglep3-reporting\EC\2017-07-13-refined-times.txt</v>
      </c>
      <c r="AI14" s="96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{"issue":{"subject":"","project_id":79,"tracker_id":40,"status_id":1,"priority_id":2,"assigned_to_id":23,"start_date":"2017-07-13","description":"","custom_fields":[{"id":1,"name":"Subdivision","value":"EC"},{"id":4,"name":"Milepost","value":"0.0112"},{"id":17,"name":"Train ID","value":"102-13"},{"id":16,"name":"Locomotive ID","value":"4061"},{"id":130,"name":"Impact","value":""},{"id":150,"name":"Time of Event (Mountain Time)","value":"04:58:32"},{"id":151,"name":"Denver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6">"start /low /b "&amp;dls3logs&amp;" --loco "&amp;B14&amp;" --day "&amp;TEXT(F14,"YYYY-MM-DD")</f>
        <v>start /low /b %USERPROFILE%\Documents\GitHub\eaglep3\Utilities\DownloadLogsFromS3.py --loco 4061 --day 2017-07-13</v>
      </c>
      <c r="AN14" s="151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10:58:32"},{"id":29,"name":"Sharepoint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672</v>
      </c>
      <c r="B15" s="7">
        <v>4028</v>
      </c>
      <c r="C15" s="21" t="s">
        <v>199</v>
      </c>
      <c r="D15" s="21" t="s">
        <v>862</v>
      </c>
      <c r="E15" s="13">
        <v>42929.146493055552</v>
      </c>
      <c r="F15" s="13">
        <v>42929.156747685185</v>
      </c>
      <c r="G15" s="7">
        <v>1</v>
      </c>
      <c r="H15" s="21" t="s">
        <v>863</v>
      </c>
      <c r="I15" s="13">
        <v>42929.183437500003</v>
      </c>
      <c r="J15" s="7">
        <v>1</v>
      </c>
      <c r="K15" s="89" t="str">
        <f>IF(ISEVEN(B15),(B15-1)&amp;"/"&amp;B15,B15&amp;"/"&amp;(B15+1))</f>
        <v>4027/4028</v>
      </c>
      <c r="L15" s="21" t="str">
        <f>VLOOKUP(A15,'Trips&amp;Operators'!$C$1:$G$99999,5,FALSE)</f>
        <v>YANAI IAN</v>
      </c>
      <c r="M15" s="6">
        <f>I15-F15</f>
        <v>2.6689814818382729E-2</v>
      </c>
      <c r="N15" s="7">
        <f>24*60*SUM($M15:$M15)</f>
        <v>38.43333333847113</v>
      </c>
      <c r="O15" s="7"/>
      <c r="P15" s="7"/>
      <c r="Q15" s="22"/>
      <c r="R15" s="170"/>
      <c r="S15" s="213">
        <f>1/IF(AG15="EC",12,1)*SUM(U15:U15)</f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-13T02:30:57-0600',mode:absolute,to:'2017-07-13T05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4.9799999999999997E-2</v>
      </c>
      <c r="Z15" s="197">
        <f>RIGHT(H15,LEN(H15)-4)/10000</f>
        <v>23.3291</v>
      </c>
      <c r="AA15" s="197">
        <f>ABS(Z15-Y15)</f>
        <v>23.279299999999999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/stypes="app*4028*20170713*"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4"/>
        <v>"%USERPROFILE%\Documents\GitHub\eaglep3\Utilities\RefineRTDCRunTimes.py" --tripid 103-13 --locoid 4028 --swversion DE.1.0.9.0 --startMP 204:498 --initTime 2017-07-13T03:30:57 --startdatetime 2017-07-13T03:45:43 --delay 1 --endMP 204:233291 --enddatetime 2017-07-13T04:24:09 --enforcementcount 1 &gt;&gt;C:\Users\stu\Documents\GitHub\eaglep3-reporting\EC\2017-07-13-refined-times.txt</v>
      </c>
      <c r="AI1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{"issue":{"subject":"","project_id":79,"tracker_id":40,"status_id":1,"priority_id":2,"assigned_to_id":23,"start_date":"2017-07-13","description":"","custom_fields":[{"id":1,"name":"Subdivision","value":"EC"},{"id":4,"name":"Milepost","value":"23.3291"},{"id":17,"name":"Train ID","value":"103-13"},{"id":16,"name":"Locomotive ID","value":"4028"},{"id":130,"name":"Impact","value":""},{"id":150,"name":"Time of Event (Mountain Time)","value":"04:24:09"},{"id":151,"name":"Denver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4028 --day 2017-07-13</v>
      </c>
      <c r="AN1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678</v>
      </c>
      <c r="B16" s="7">
        <v>4027</v>
      </c>
      <c r="C16" s="21" t="s">
        <v>199</v>
      </c>
      <c r="D16" s="21" t="s">
        <v>531</v>
      </c>
      <c r="E16" s="13">
        <v>42929.187048611115</v>
      </c>
      <c r="F16" s="13">
        <v>42929.196018518516</v>
      </c>
      <c r="G16" s="7">
        <v>1</v>
      </c>
      <c r="H16" s="21" t="s">
        <v>344</v>
      </c>
      <c r="I16" s="13">
        <v>42929.224166666667</v>
      </c>
      <c r="J16" s="7">
        <v>1</v>
      </c>
      <c r="K16" s="89" t="str">
        <f>IF(ISEVEN(B16),(B16-1)&amp;"/"&amp;B16,B16&amp;"/"&amp;(B16+1))</f>
        <v>4027/4028</v>
      </c>
      <c r="L16" s="21" t="str">
        <f>VLOOKUP(A16,'Trips&amp;Operators'!$C$1:$G$99999,5,FALSE)</f>
        <v>YANAI IAN</v>
      </c>
      <c r="M16" s="6">
        <f>I16-F16</f>
        <v>2.8148148150648922E-2</v>
      </c>
      <c r="N16" s="7">
        <f>24*60*SUM($M16:$M16)</f>
        <v>40.533333336934447</v>
      </c>
      <c r="O16" s="7"/>
      <c r="P16" s="7"/>
      <c r="Q16" s="22"/>
      <c r="R16" s="170"/>
      <c r="S16" s="213">
        <f>1/IF(AG16="EC",12,1)*SUM(U16:U16)</f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-13T03:29:21-0600',mode:absolute,to:'2017-07-13T06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23.2974</v>
      </c>
      <c r="Z16" s="197">
        <f>RIGHT(H16,LEN(H16)-4)/10000</f>
        <v>1.49E-2</v>
      </c>
      <c r="AA16" s="197">
        <f>ABS(Z16-Y16)</f>
        <v>23.282499999999999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/stypes="app*4027*20170713*"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4"/>
        <v>"%USERPROFILE%\Documents\GitHub\eaglep3\Utilities\RefineRTDCRunTimes.py" --tripid 104-13 --locoid 4027 --swversion DE.1.0.9.0 --startMP 204:232974 --initTime 2017-07-13T04:29:21 --startdatetime 2017-07-13T04:42:16 --delay 1 --endMP 204:149 --enddatetime 2017-07-13T05:22:48 --enforcementcount 1 &gt;&gt;C:\Users\stu\Documents\GitHub\eaglep3-reporting\EC\2017-07-13-refined-times.txt</v>
      </c>
      <c r="AI1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ID","value":"104-13"},{"id":16,"name":"Locomotive ID","value":"4027"},{"id":130,"name":"Impact","value":""},{"id":150,"name":"Time of Event (Mountain Time)","value":"05:22:48"},{"id":151,"name":"Denver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4027 --day 2017-07-13</v>
      </c>
      <c r="AN1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674</v>
      </c>
      <c r="B17" s="7">
        <v>4042</v>
      </c>
      <c r="C17" s="21" t="s">
        <v>199</v>
      </c>
      <c r="D17" s="21" t="s">
        <v>587</v>
      </c>
      <c r="E17" s="13">
        <v>42929.172129629631</v>
      </c>
      <c r="F17" s="13">
        <v>42929.177800925929</v>
      </c>
      <c r="G17" s="7">
        <v>1</v>
      </c>
      <c r="H17" s="21" t="s">
        <v>588</v>
      </c>
      <c r="I17" s="13">
        <v>42929.204699074071</v>
      </c>
      <c r="J17" s="7">
        <v>1</v>
      </c>
      <c r="K17" s="89" t="str">
        <f>IF(ISEVEN(B17),(B17-1)&amp;"/"&amp;B17,B17&amp;"/"&amp;(B17+1))</f>
        <v>4041/4042</v>
      </c>
      <c r="L17" s="21" t="str">
        <f>VLOOKUP(A17,'Trips&amp;Operators'!$C$1:$G$99999,5,FALSE)</f>
        <v>GONZALEZ ARMANDO</v>
      </c>
      <c r="M17" s="6">
        <f>I17-F17</f>
        <v>2.6898148142208811E-2</v>
      </c>
      <c r="N17" s="7">
        <f>24*60*SUM($M17:$M17)</f>
        <v>38.733333324780688</v>
      </c>
      <c r="O17" s="7"/>
      <c r="P17" s="7"/>
      <c r="Q17" s="22"/>
      <c r="R17" s="170"/>
      <c r="S17" s="213">
        <f>1/IF(AG17="EC",12,1)*SUM(U17:U17)</f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-13T03:07:52-0600',mode:absolute,to:'2017-07-13T05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4.3999999999999997E-2</v>
      </c>
      <c r="Z17" s="197">
        <f>RIGHT(H17,LEN(H17)-4)/10000</f>
        <v>23.328199999999999</v>
      </c>
      <c r="AA17" s="197">
        <f>ABS(Z17-Y17)</f>
        <v>23.284199999999998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/stypes="app*4042*20170713*"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4"/>
        <v>"%USERPROFILE%\Documents\GitHub\eaglep3\Utilities\RefineRTDCRunTimes.py" --tripid 105-13 --locoid 4042 --swversion DE.1.0.9.0 --startMP 204:440 --initTime 2017-07-13T04:07:52 --startdatetime 2017-07-13T04:16:02 --delay 1 --endMP 204:233282 --enddatetime 2017-07-13T04:54:46 --enforcementcount 1 &gt;&gt;C:\Users\stu\Documents\GitHub\eaglep3-reporting\EC\2017-07-13-refined-times.txt</v>
      </c>
      <c r="AI1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{"issue":{"subject":"","project_id":79,"tracker_id":40,"status_id":1,"priority_id":2,"assigned_to_id":23,"start_date":"2017-07-13","description":"","custom_fields":[{"id":1,"name":"Subdivision","value":"EC"},{"id":4,"name":"Milepost","value":"23.3282"},{"id":17,"name":"Train ID","value":"105-13"},{"id":16,"name":"Locomotive ID","value":"4042"},{"id":130,"name":"Impact","value":""},{"id":150,"name":"Time of Event (Mountain Time)","value":"04:54:46"},{"id":151,"name":"Denver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4042 --day 2017-07-13</v>
      </c>
      <c r="AN1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681</v>
      </c>
      <c r="B18" s="7">
        <v>4041</v>
      </c>
      <c r="C18" s="21" t="s">
        <v>199</v>
      </c>
      <c r="D18" s="21" t="s">
        <v>578</v>
      </c>
      <c r="E18" s="13">
        <v>42929.213310185187</v>
      </c>
      <c r="F18" s="13">
        <v>42929.216921296298</v>
      </c>
      <c r="G18" s="7">
        <v>1</v>
      </c>
      <c r="H18" s="21" t="s">
        <v>381</v>
      </c>
      <c r="I18" s="13">
        <v>42929.245335648149</v>
      </c>
      <c r="J18" s="7">
        <v>1</v>
      </c>
      <c r="K18" s="89" t="str">
        <f>IF(ISEVEN(B18),(B18-1)&amp;"/"&amp;B18,B18&amp;"/"&amp;(B18+1))</f>
        <v>4041/4042</v>
      </c>
      <c r="L18" s="21" t="str">
        <f>VLOOKUP(A18,'Trips&amp;Operators'!$C$1:$G$99999,5,FALSE)</f>
        <v>GONZALEZ ARMANDO</v>
      </c>
      <c r="M18" s="6">
        <f>I18-F18</f>
        <v>2.8414351851097308E-2</v>
      </c>
      <c r="N18" s="7">
        <f>24*60*SUM($M18:$M18)</f>
        <v>40.916666665580124</v>
      </c>
      <c r="O18" s="7"/>
      <c r="P18" s="7"/>
      <c r="Q18" s="22"/>
      <c r="R18" s="170"/>
      <c r="S18" s="213">
        <f>1/IF(AG18="EC",12,1)*SUM(U18:U18)</f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-13T04:07:10-0600',mode:absolute,to:'2017-07-13T06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23.297499999999999</v>
      </c>
      <c r="Z18" s="197">
        <f>RIGHT(H18,LEN(H18)-4)/10000</f>
        <v>1.54E-2</v>
      </c>
      <c r="AA18" s="197">
        <f>ABS(Z18-Y18)</f>
        <v>23.2821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/stypes="app*4041*20170713*"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4"/>
        <v>"%USERPROFILE%\Documents\GitHub\eaglep3\Utilities\RefineRTDCRunTimes.py" --tripid 106-13 --locoid 4041 --swversion DE.1.0.9.0 --startMP 204:232975 --initTime 2017-07-13T05:07:10 --startdatetime 2017-07-13T05:12:22 --delay 1 --endMP 204:154 --enddatetime 2017-07-13T05:53:17 --enforcementcount 1 &gt;&gt;C:\Users\stu\Documents\GitHub\eaglep3-reporting\EC\2017-07-13-refined-times.txt</v>
      </c>
      <c r="AI1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{"issue":{"subject":"","project_id":79,"tracker_id":40,"status_id":1,"priority_id":2,"assigned_to_id":23,"start_date":"2017-07-13","description":"","custom_fields":[{"id":1,"name":"Subdivision","value":"EC"},{"id":4,"name":"Milepost","value":"0.0154"},{"id":17,"name":"Train ID","value":"106-13"},{"id":16,"name":"Locomotive ID","value":"4041"},{"id":130,"name":"Impact","value":""},{"id":150,"name":"Time of Event (Mountain Time)","value":"05:53:17"},{"id":151,"name":"Denver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4041 --day 2017-07-13</v>
      </c>
      <c r="AN1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677</v>
      </c>
      <c r="B19" s="7">
        <v>4014</v>
      </c>
      <c r="C19" s="21" t="s">
        <v>199</v>
      </c>
      <c r="D19" s="21" t="s">
        <v>864</v>
      </c>
      <c r="E19" s="13">
        <v>42929.18378472222</v>
      </c>
      <c r="F19" s="13">
        <v>42929.188020833331</v>
      </c>
      <c r="G19" s="7">
        <v>1</v>
      </c>
      <c r="H19" s="21" t="s">
        <v>865</v>
      </c>
      <c r="I19" s="13">
        <v>42929.213923611111</v>
      </c>
      <c r="J19" s="7">
        <v>1</v>
      </c>
      <c r="K19" s="89" t="str">
        <f>IF(ISEVEN(B19),(B19-1)&amp;"/"&amp;B19,B19&amp;"/"&amp;(B19+1))</f>
        <v>4013/4014</v>
      </c>
      <c r="L19" s="21" t="str">
        <f>VLOOKUP(A19,'Trips&amp;Operators'!$C$1:$G$99999,5,FALSE)</f>
        <v>LANGERAK WILLIAM</v>
      </c>
      <c r="M19" s="6">
        <f>I19-F19</f>
        <v>2.5902777779265307E-2</v>
      </c>
      <c r="N19" s="7">
        <f>24*60*SUM($M19:$M19)</f>
        <v>37.300000002142042</v>
      </c>
      <c r="O19" s="7"/>
      <c r="P19" s="7"/>
      <c r="Q19" s="22"/>
      <c r="R19" s="170"/>
      <c r="S19" s="213">
        <f>1/IF(AG19="EC",12,1)*SUM(U19:U19)</f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-13T03:24:39-0600',mode:absolute,to:'2017-07-13T06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0.05</v>
      </c>
      <c r="Z19" s="197">
        <f>RIGHT(H19,LEN(H19)-4)/10000</f>
        <v>23.331</v>
      </c>
      <c r="AA19" s="197">
        <f>ABS(Z19-Y19)</f>
        <v>23.280999999999999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/stypes="app*4014*20170713*"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4"/>
        <v>"%USERPROFILE%\Documents\GitHub\eaglep3\Utilities\RefineRTDCRunTimes.py" --tripid 107-13 --locoid 4014 --swversion DE.1.0.9.0 --startMP 204:500 --initTime 2017-07-13T04:24:39 --startdatetime 2017-07-13T04:30:45 --delay 1 --endMP 204:233310 --enddatetime 2017-07-13T05:08:03 --enforcementcount 1 &gt;&gt;C:\Users\stu\Documents\GitHub\eaglep3-reporting\EC\2017-07-13-refined-times.txt</v>
      </c>
      <c r="AI1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{"issue":{"subject":"","project_id":79,"tracker_id":40,"status_id":1,"priority_id":2,"assigned_to_id":23,"start_date":"2017-07-13","description":"","custom_fields":[{"id":1,"name":"Subdivision","value":"EC"},{"id":4,"name":"Milepost","value":"23.331"},{"id":17,"name":"Train ID","value":"107-13"},{"id":16,"name":"Locomotive ID","value":"4014"},{"id":130,"name":"Impact","value":""},{"id":150,"name":"Time of Event (Mountain Time)","value":"05:08:03"},{"id":151,"name":"Denver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4014 --day 2017-07-13</v>
      </c>
      <c r="AN1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683</v>
      </c>
      <c r="B20" s="7">
        <v>4013</v>
      </c>
      <c r="C20" s="21" t="s">
        <v>199</v>
      </c>
      <c r="D20" s="21" t="s">
        <v>866</v>
      </c>
      <c r="E20" s="13">
        <v>42929.215451388889</v>
      </c>
      <c r="F20" s="13">
        <v>42929.227268518516</v>
      </c>
      <c r="G20" s="7">
        <v>1</v>
      </c>
      <c r="H20" s="21" t="s">
        <v>344</v>
      </c>
      <c r="I20" s="13">
        <v>42929.255474537036</v>
      </c>
      <c r="J20" s="7">
        <v>1</v>
      </c>
      <c r="K20" s="89" t="str">
        <f>IF(ISEVEN(B20),(B20-1)&amp;"/"&amp;B20,B20&amp;"/"&amp;(B20+1))</f>
        <v>4013/4014</v>
      </c>
      <c r="L20" s="21" t="str">
        <f>VLOOKUP(A20,'Trips&amp;Operators'!$C$1:$G$99999,5,FALSE)</f>
        <v>LANGERAK WILLIAM</v>
      </c>
      <c r="M20" s="6">
        <f>I20-F20</f>
        <v>2.8206018519995268E-2</v>
      </c>
      <c r="N20" s="7">
        <f>24*60*SUM($M20:$M20)</f>
        <v>40.616666668793187</v>
      </c>
      <c r="O20" s="7"/>
      <c r="P20" s="7"/>
      <c r="Q20" s="22"/>
      <c r="R20" s="170"/>
      <c r="S20" s="213">
        <f>1/IF(AG20="EC",12,1)*SUM(U20:U20)</f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-13T04:10:15-0600',mode:absolute,to:'2017-07-13T07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23.302299999999999</v>
      </c>
      <c r="Z20" s="197">
        <f>RIGHT(H20,LEN(H20)-4)/10000</f>
        <v>1.49E-2</v>
      </c>
      <c r="AA20" s="197">
        <f>ABS(Z20-Y20)</f>
        <v>23.287399999999998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/stypes="app*4013*20170713*"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4"/>
        <v>"%USERPROFILE%\Documents\GitHub\eaglep3\Utilities\RefineRTDCRunTimes.py" --tripid 108-13 --locoid 4013 --swversion DE.1.0.9.0 --startMP 204:233023 --initTime 2017-07-13T05:10:15 --startdatetime 2017-07-13T05:27:16 --delay 1 --endMP 204:149 --enddatetime 2017-07-13T06:07:53 --enforcementcount 1 &gt;&gt;C:\Users\stu\Documents\GitHub\eaglep3-reporting\EC\2017-07-13-refined-times.txt</v>
      </c>
      <c r="AI2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ID","value":"108-13"},{"id":16,"name":"Locomotive ID","value":"4013"},{"id":130,"name":"Impact","value":""},{"id":150,"name":"Time of Event (Mountain Time)","value":"06:07:53"},{"id":151,"name":"Denver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4013 --day 2017-07-13</v>
      </c>
      <c r="AN2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679</v>
      </c>
      <c r="B21" s="7">
        <v>4012</v>
      </c>
      <c r="C21" s="21" t="s">
        <v>199</v>
      </c>
      <c r="D21" s="21" t="s">
        <v>380</v>
      </c>
      <c r="E21" s="13">
        <v>42929.192974537036</v>
      </c>
      <c r="F21" s="13">
        <v>42929.198425925926</v>
      </c>
      <c r="G21" s="7">
        <v>1</v>
      </c>
      <c r="H21" s="21" t="s">
        <v>867</v>
      </c>
      <c r="I21" s="13">
        <v>42929.225057870368</v>
      </c>
      <c r="J21" s="7">
        <v>1</v>
      </c>
      <c r="K21" s="89" t="str">
        <f>IF(ISEVEN(B21),(B21-1)&amp;"/"&amp;B21,B21&amp;"/"&amp;(B21+1))</f>
        <v>4011/4012</v>
      </c>
      <c r="L21" s="21" t="str">
        <f>VLOOKUP(A21,'Trips&amp;Operators'!$C$1:$G$99999,5,FALSE)</f>
        <v>GUZMAN DANNY</v>
      </c>
      <c r="M21" s="6">
        <f>I21-F21</f>
        <v>2.6631944441760425E-2</v>
      </c>
      <c r="N21" s="7">
        <f>24*60*SUM($M21:$M21)</f>
        <v>38.349999996135011</v>
      </c>
      <c r="O21" s="7"/>
      <c r="P21" s="7"/>
      <c r="Q21" s="22"/>
      <c r="R21" s="170"/>
      <c r="S21" s="213">
        <f>1/IF(AG21="EC",12,1)*SUM(U21:U21)</f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-13T03:37:53-0600',mode:absolute,to:'2017-07-13T06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4.6199999999999998E-2</v>
      </c>
      <c r="Z21" s="197">
        <f>RIGHT(H21,LEN(H21)-4)/10000</f>
        <v>23.3293</v>
      </c>
      <c r="AA21" s="197">
        <f>ABS(Z21-Y21)</f>
        <v>23.283100000000001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/stypes="app*4012*20170713*"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4"/>
        <v>"%USERPROFILE%\Documents\GitHub\eaglep3\Utilities\RefineRTDCRunTimes.py" --tripid 109-13 --locoid 4012 --swversion DE.1.0.9.0 --startMP 204:462 --initTime 2017-07-13T04:37:53 --startdatetime 2017-07-13T04:45:44 --delay 1 --endMP 204:233293 --enddatetime 2017-07-13T05:24:05 --enforcementcount 1 &gt;&gt;C:\Users\stu\Documents\GitHub\eaglep3-reporting\EC\2017-07-13-refined-times.txt</v>
      </c>
      <c r="AI2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{"issue":{"subject":"","project_id":79,"tracker_id":40,"status_id":1,"priority_id":2,"assigned_to_id":23,"start_date":"2017-07-13","description":"","custom_fields":[{"id":1,"name":"Subdivision","value":"EC"},{"id":4,"name":"Milepost","value":"23.3293"},{"id":17,"name":"Train ID","value":"109-13"},{"id":16,"name":"Locomotive ID","value":"4012"},{"id":130,"name":"Impact","value":""},{"id":150,"name":"Time of Event (Mountain Time)","value":"05:24:05"},{"id":151,"name":"Denver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4012 --day 2017-07-13</v>
      </c>
      <c r="AN2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687</v>
      </c>
      <c r="B22" s="7">
        <v>4011</v>
      </c>
      <c r="C22" s="21" t="s">
        <v>199</v>
      </c>
      <c r="D22" s="21" t="s">
        <v>444</v>
      </c>
      <c r="E22" s="13">
        <v>42929.227488425924</v>
      </c>
      <c r="F22" s="13">
        <v>42929.238136574073</v>
      </c>
      <c r="G22" s="7">
        <v>1</v>
      </c>
      <c r="H22" s="21" t="s">
        <v>381</v>
      </c>
      <c r="I22" s="13">
        <v>42929.265011574076</v>
      </c>
      <c r="J22" s="7">
        <v>1</v>
      </c>
      <c r="K22" s="89" t="str">
        <f>IF(ISEVEN(B22),(B22-1)&amp;"/"&amp;B22,B22&amp;"/"&amp;(B22+1))</f>
        <v>4011/4012</v>
      </c>
      <c r="L22" s="21" t="str">
        <f>VLOOKUP(A22,'Trips&amp;Operators'!$C$1:$G$99999,5,FALSE)</f>
        <v>GUZMAN DANNY</v>
      </c>
      <c r="M22" s="6">
        <f>I22-F22</f>
        <v>2.6875000003201421E-2</v>
      </c>
      <c r="N22" s="7">
        <f>24*60*SUM($M22:$M22)</f>
        <v>38.700000004610047</v>
      </c>
      <c r="O22" s="7"/>
      <c r="P22" s="7"/>
      <c r="Q22" s="22"/>
      <c r="R22" s="170"/>
      <c r="S22" s="213">
        <f>1/IF(AG22="EC",12,1)*SUM(U22:U22)</f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-13T04:27:35-0600',mode:absolute,to:'2017-07-13T07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23.2971</v>
      </c>
      <c r="Z22" s="197">
        <f>RIGHT(H22,LEN(H22)-4)/10000</f>
        <v>1.54E-2</v>
      </c>
      <c r="AA22" s="197">
        <f>ABS(Z22-Y22)</f>
        <v>23.281700000000001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/stypes="app*4011*20170713*"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4"/>
        <v>"%USERPROFILE%\Documents\GitHub\eaglep3\Utilities\RefineRTDCRunTimes.py" --tripid 110-13 --locoid 4011 --swversion DE.1.0.9.0 --startMP 204:232971 --initTime 2017-07-13T05:27:35 --startdatetime 2017-07-13T05:42:55 --delay 1 --endMP 204:154 --enddatetime 2017-07-13T06:21:37 --enforcementcount 1 &gt;&gt;C:\Users\stu\Documents\GitHub\eaglep3-reporting\EC\2017-07-13-refined-times.txt</v>
      </c>
      <c r="AI2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{"issue":{"subject":"","project_id":79,"tracker_id":40,"status_id":1,"priority_id":2,"assigned_to_id":23,"start_date":"2017-07-13","description":"","custom_fields":[{"id":1,"name":"Subdivision","value":"EC"},{"id":4,"name":"Milepost","value":"0.0154"},{"id":17,"name":"Train ID","value":"110-13"},{"id":16,"name":"Locomotive ID","value":"4011"},{"id":130,"name":"Impact","value":""},{"id":150,"name":"Time of Event (Mountain Time)","value":"06:21:37"},{"id":151,"name":"Denver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4011 --day 2017-07-13</v>
      </c>
      <c r="AN2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617</v>
      </c>
      <c r="B23" s="7">
        <v>4062</v>
      </c>
      <c r="C23" s="21" t="s">
        <v>199</v>
      </c>
      <c r="D23" s="21" t="s">
        <v>868</v>
      </c>
      <c r="E23" s="13">
        <v>42929.20884259259</v>
      </c>
      <c r="F23" s="13">
        <v>42929.210173611114</v>
      </c>
      <c r="G23" s="7">
        <v>1</v>
      </c>
      <c r="H23" s="21" t="s">
        <v>536</v>
      </c>
      <c r="I23" s="13">
        <v>42929.238159722219</v>
      </c>
      <c r="J23" s="7">
        <v>1</v>
      </c>
      <c r="K23" s="89" t="str">
        <f>IF(ISEVEN(B23),(B23-1)&amp;"/"&amp;B23,B23&amp;"/"&amp;(B23+1))</f>
        <v>4061/4062</v>
      </c>
      <c r="L23" s="21" t="str">
        <f>VLOOKUP(A23,'Trips&amp;Operators'!$C$1:$G$99999,5,FALSE)</f>
        <v>STARKS ANGELINA</v>
      </c>
      <c r="M23" s="6">
        <f>I23-F23</f>
        <v>2.7986111104837619E-2</v>
      </c>
      <c r="N23" s="7">
        <f>24*60*SUM($M23:$M23)</f>
        <v>40.299999990966171</v>
      </c>
      <c r="O23" s="7"/>
      <c r="P23" s="7"/>
      <c r="Q23" s="22"/>
      <c r="R23" s="170"/>
      <c r="S23" s="213">
        <f>1/IF(AG23="EC",12,1)*SUM(U23:U23)</f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-13T04:00:44-0600',mode:absolute,to:'2017-07-13T06:42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3.8199999999999998E-2</v>
      </c>
      <c r="Z23" s="197">
        <f>RIGHT(H23,LEN(H23)-4)/10000</f>
        <v>23.331399999999999</v>
      </c>
      <c r="AA23" s="197">
        <f>ABS(Z23-Y23)</f>
        <v>23.293199999999999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/stypes="app*4062*20170713*"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4"/>
        <v>"%USERPROFILE%\Documents\GitHub\eaglep3\Utilities\RefineRTDCRunTimes.py" --tripid 111-13 --locoid 4062 --swversion DE.1.0.9.0 --startMP 204:382 --initTime 2017-07-13T05:00:44 --startdatetime 2017-07-13T05:02:39 --delay 1 --endMP 204:233314 --enddatetime 2017-07-13T05:42:57 --enforcementcount 1 &gt;&gt;C:\Users\stu\Documents\GitHub\eaglep3-reporting\EC\2017-07-13-refined-times.txt</v>
      </c>
      <c r="AI2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{"issue":{"subject":"","project_id":79,"tracker_id":40,"status_id":1,"priority_id":2,"assigned_to_id":23,"start_date":"2017-07-13","description":"","custom_fields":[{"id":1,"name":"Subdivision","value":"EC"},{"id":4,"name":"Milepost","value":"23.3314"},{"id":17,"name":"Train ID","value":"111-13"},{"id":16,"name":"Locomotive ID","value":"4062"},{"id":130,"name":"Impact","value":""},{"id":150,"name":"Time of Event (Mountain Time)","value":"05:42:57"},{"id":151,"name":"Denver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4062 --day 2017-07-13</v>
      </c>
      <c r="AN2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690</v>
      </c>
      <c r="B24" s="7">
        <v>4061</v>
      </c>
      <c r="C24" s="21" t="s">
        <v>199</v>
      </c>
      <c r="D24" s="21" t="s">
        <v>531</v>
      </c>
      <c r="E24" s="13">
        <v>42929.246770833335</v>
      </c>
      <c r="F24" s="13">
        <v>42929.248078703706</v>
      </c>
      <c r="G24" s="7">
        <v>1</v>
      </c>
      <c r="H24" s="21" t="s">
        <v>430</v>
      </c>
      <c r="I24" s="13">
        <v>42929.27547453704</v>
      </c>
      <c r="J24" s="7">
        <v>1</v>
      </c>
      <c r="K24" s="89" t="str">
        <f>IF(ISEVEN(B24),(B24-1)&amp;"/"&amp;B24,B24&amp;"/"&amp;(B24+1))</f>
        <v>4061/4062</v>
      </c>
      <c r="L24" s="21" t="str">
        <f>VLOOKUP(A24,'Trips&amp;Operators'!$C$1:$G$99999,5,FALSE)</f>
        <v>STARKS ANGELINA</v>
      </c>
      <c r="M24" s="6">
        <f>I24-F24</f>
        <v>2.7395833334594499E-2</v>
      </c>
      <c r="N24" s="7">
        <f>24*60*SUM($M24:$M24)</f>
        <v>39.450000001816079</v>
      </c>
      <c r="O24" s="7"/>
      <c r="P24" s="7"/>
      <c r="Q24" s="22"/>
      <c r="R24" s="170"/>
      <c r="S24" s="213">
        <f>1/IF(AG24="EC",12,1)*SUM(U24:U24)</f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-13T04:55:21-0600',mode:absolute,to:'2017-07-13T07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23.2974</v>
      </c>
      <c r="Z24" s="197">
        <f>RIGHT(H24,LEN(H24)-4)/10000</f>
        <v>1.6E-2</v>
      </c>
      <c r="AA24" s="197">
        <f>ABS(Z24-Y24)</f>
        <v>23.281400000000001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/stypes="app*4061*20170713*"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4"/>
        <v>"%USERPROFILE%\Documents\GitHub\eaglep3\Utilities\RefineRTDCRunTimes.py" --tripid 112-13 --locoid 4061 --swversion DE.1.0.9.0 --startMP 204:232974 --initTime 2017-07-13T05:55:21 --startdatetime 2017-07-13T05:57:14 --delay 1 --endMP 204:160 --enddatetime 2017-07-13T06:36:41 --enforcementcount 1 &gt;&gt;C:\Users\stu\Documents\GitHub\eaglep3-reporting\EC\2017-07-13-refined-times.txt</v>
      </c>
      <c r="AI24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{"issue":{"subject":"","project_id":79,"tracker_id":40,"status_id":1,"priority_id":2,"assigned_to_id":23,"start_date":"2017-07-13","description":"","custom_fields":[{"id":1,"name":"Subdivision","value":"EC"},{"id":4,"name":"Milepost","value":"0.016"},{"id":17,"name":"Train ID","value":"112-13"},{"id":16,"name":"Locomotive ID","value":"4061"},{"id":130,"name":"Impact","value":""},{"id":150,"name":"Time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4061 --day 2017-07-13</v>
      </c>
      <c r="AN24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684</v>
      </c>
      <c r="B25" s="7">
        <v>4022</v>
      </c>
      <c r="C25" s="21" t="s">
        <v>199</v>
      </c>
      <c r="D25" s="21" t="s">
        <v>349</v>
      </c>
      <c r="E25" s="13">
        <v>42929.217048611114</v>
      </c>
      <c r="F25" s="13">
        <v>42929.219571759262</v>
      </c>
      <c r="G25" s="7">
        <v>1</v>
      </c>
      <c r="H25" s="21" t="s">
        <v>479</v>
      </c>
      <c r="I25" s="13">
        <v>42929.244143518517</v>
      </c>
      <c r="J25" s="7">
        <v>1</v>
      </c>
      <c r="K25" s="89" t="str">
        <f>IF(ISEVEN(B25),(B25-1)&amp;"/"&amp;B25,B25&amp;"/"&amp;(B25+1))</f>
        <v>4021/4022</v>
      </c>
      <c r="L25" s="21" t="str">
        <f>VLOOKUP(A25,'Trips&amp;Operators'!$C$1:$G$99999,5,FALSE)</f>
        <v>LOZA FIDEL</v>
      </c>
      <c r="M25" s="6">
        <f>I25-F25</f>
        <v>2.4571759255195502E-2</v>
      </c>
      <c r="N25" s="7">
        <f>24*60*SUM($M25:$M25)</f>
        <v>35.383333327481523</v>
      </c>
      <c r="O25" s="7"/>
      <c r="P25" s="7"/>
      <c r="Q25" s="22"/>
      <c r="R25" s="170"/>
      <c r="S25" s="213">
        <f>1/IF(AG25="EC",12,1)*SUM(U25:U25)</f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-13T04:12:33-0600',mode:absolute,to:'2017-07-13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4.53E-2</v>
      </c>
      <c r="Z25" s="197">
        <f>RIGHT(H25,LEN(H25)-4)/10000</f>
        <v>23.329899999999999</v>
      </c>
      <c r="AA25" s="197">
        <f>ABS(Z25-Y25)</f>
        <v>23.284599999999998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/stypes="app*4022*20170713*"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4"/>
        <v>"%USERPROFILE%\Documents\GitHub\eaglep3\Utilities\RefineRTDCRunTimes.py" --tripid 113-13 --locoid 4022 --swversion DE.1.0.9.0 --startMP 204:453 --initTime 2017-07-13T05:12:33 --startdatetime 2017-07-13T05:16:11 --delay 1 --endMP 204:233299 --enddatetime 2017-07-13T05:51:34 --enforcementcount 1 &gt;&gt;C:\Users\stu\Documents\GitHub\eaglep3-reporting\EC\2017-07-13-refined-times.txt</v>
      </c>
      <c r="AI2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{"issue":{"subject":"","project_id":79,"tracker_id":40,"status_id":1,"priority_id":2,"assigned_to_id":23,"start_date":"2017-07-13","description":"","custom_fields":[{"id":1,"name":"Subdivision","value":"EC"},{"id":4,"name":"Milepost","value":"23.3299"},{"id":17,"name":"Train ID","value":"113-13"},{"id":16,"name":"Locomotive ID","value":"4022"},{"id":130,"name":"Impact","value":""},{"id":150,"name":"Time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4022 --day 2017-07-13</v>
      </c>
      <c r="AN2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692</v>
      </c>
      <c r="B26" s="7">
        <v>4021</v>
      </c>
      <c r="C26" s="21" t="s">
        <v>199</v>
      </c>
      <c r="D26" s="21" t="s">
        <v>578</v>
      </c>
      <c r="E26" s="13">
        <v>42929.255069444444</v>
      </c>
      <c r="F26" s="13">
        <v>42929.258634259262</v>
      </c>
      <c r="G26" s="7">
        <v>1</v>
      </c>
      <c r="H26" s="21" t="s">
        <v>434</v>
      </c>
      <c r="I26" s="13">
        <v>42929.285474537035</v>
      </c>
      <c r="J26" s="7">
        <v>1</v>
      </c>
      <c r="K26" s="89" t="str">
        <f>IF(ISEVEN(B26),(B26-1)&amp;"/"&amp;B26,B26&amp;"/"&amp;(B26+1))</f>
        <v>4021/4022</v>
      </c>
      <c r="L26" s="21" t="str">
        <f>VLOOKUP(A26,'Trips&amp;Operators'!$C$1:$G$99999,5,FALSE)</f>
        <v>LOZA FIDEL</v>
      </c>
      <c r="M26" s="6">
        <f>I26-F26</f>
        <v>2.6840277772862464E-2</v>
      </c>
      <c r="N26" s="7">
        <f>24*60*SUM($M26:$M26)</f>
        <v>38.649999992921948</v>
      </c>
      <c r="O26" s="7"/>
      <c r="P26" s="7"/>
      <c r="Q26" s="22"/>
      <c r="R26" s="170"/>
      <c r="S26" s="213">
        <f>1/IF(AG26="EC",12,1)*SUM(U26:U26)</f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-13T05:07:18-0600',mode:absolute,to:'2017-07-13T07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23.297499999999999</v>
      </c>
      <c r="Z26" s="197">
        <f>RIGHT(H26,LEN(H26)-4)/10000</f>
        <v>1.32E-2</v>
      </c>
      <c r="AA26" s="197">
        <f>ABS(Z26-Y26)</f>
        <v>23.284299999999998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/stypes="app*4021*20170713*"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4"/>
        <v>"%USERPROFILE%\Documents\GitHub\eaglep3\Utilities\RefineRTDCRunTimes.py" --tripid 114-13 --locoid 4021 --swversion DE.1.0.9.0 --startMP 204:232975 --initTime 2017-07-13T06:07:18 --startdatetime 2017-07-13T06:12:26 --delay 1 --endMP 204:132 --enddatetime 2017-07-13T06:51:05 --enforcementcount 1 &gt;&gt;C:\Users\stu\Documents\GitHub\eaglep3-reporting\EC\2017-07-13-refined-times.txt</v>
      </c>
      <c r="AI2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{"issue":{"subject":"","project_id":79,"tracker_id":40,"status_id":1,"priority_id":2,"assigned_to_id":23,"start_date":"2017-07-13","description":"","custom_fields":[{"id":1,"name":"Subdivision","value":"EC"},{"id":4,"name":"Milepost","value":"0.0132"},{"id":17,"name":"Train ID","value":"114-13"},{"id":16,"name":"Locomotive ID","value":"4021"},{"id":130,"name":"Impact","value":""},{"id":150,"name":"Time of Event (Mountain Time)","value":"06:51:05"},{"id":151,"name":"Denver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4021 --day 2017-07-13</v>
      </c>
      <c r="AN2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686</v>
      </c>
      <c r="B27" s="7">
        <v>4028</v>
      </c>
      <c r="C27" s="21" t="s">
        <v>199</v>
      </c>
      <c r="D27" s="21" t="s">
        <v>349</v>
      </c>
      <c r="E27" s="13">
        <v>42929.22619212963</v>
      </c>
      <c r="F27" s="13">
        <v>42929.229664351849</v>
      </c>
      <c r="G27" s="7">
        <v>1</v>
      </c>
      <c r="H27" s="21" t="s">
        <v>536</v>
      </c>
      <c r="I27" s="13">
        <v>42929.255613425928</v>
      </c>
      <c r="J27" s="7">
        <v>1</v>
      </c>
      <c r="K27" s="89" t="str">
        <f>IF(ISEVEN(B27),(B27-1)&amp;"/"&amp;B27,B27&amp;"/"&amp;(B27+1))</f>
        <v>4027/4028</v>
      </c>
      <c r="L27" s="21" t="str">
        <f>VLOOKUP(A27,'Trips&amp;Operators'!$C$1:$G$99999,5,FALSE)</f>
        <v>YANAI IAN</v>
      </c>
      <c r="M27" s="6">
        <f>I27-F27</f>
        <v>2.5949074079107959E-2</v>
      </c>
      <c r="N27" s="7">
        <f>24*60*SUM($M27:$M27)</f>
        <v>37.366666673915461</v>
      </c>
      <c r="O27" s="7"/>
      <c r="P27" s="7"/>
      <c r="Q27" s="22"/>
      <c r="R27" s="170"/>
      <c r="S27" s="213">
        <f>1/IF(AG27="EC",12,1)*SUM(U27:U27)</f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-13T04:25:43-0600',mode:absolute,to:'2017-07-13T07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4.53E-2</v>
      </c>
      <c r="Z27" s="197">
        <f>RIGHT(H27,LEN(H27)-4)/10000</f>
        <v>23.331399999999999</v>
      </c>
      <c r="AA27" s="197">
        <f>ABS(Z27-Y27)</f>
        <v>23.286099999999998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/stypes="app*4028*20170713*"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4"/>
        <v>"%USERPROFILE%\Documents\GitHub\eaglep3\Utilities\RefineRTDCRunTimes.py" --tripid 115-13 --locoid 4028 --swversion DE.1.0.9.0 --startMP 204:453 --initTime 2017-07-13T05:25:43 --startdatetime 2017-07-13T05:30:43 --delay 1 --endMP 204:233314 --enddatetime 2017-07-13T06:08:05 --enforcementcount 1 &gt;&gt;C:\Users\stu\Documents\GitHub\eaglep3-reporting\EC\2017-07-13-refined-times.txt</v>
      </c>
      <c r="AI2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{"issue":{"subject":"","project_id":79,"tracker_id":40,"status_id":1,"priority_id":2,"assigned_to_id":23,"start_date":"2017-07-13","description":"","custom_fields":[{"id":1,"name":"Subdivision","value":"EC"},{"id":4,"name":"Milepost","value":"23.3314"},{"id":17,"name":"Train ID","value":"115-13"},{"id":16,"name":"Locomotive ID","value":"4028"},{"id":130,"name":"Impact","value":""},{"id":150,"name":"Time of Event (Mountain Time)","value":"06:08:05"},{"id":151,"name":"Denver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4028 --day 2017-07-13</v>
      </c>
      <c r="AN2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695</v>
      </c>
      <c r="B28" s="7">
        <v>4027</v>
      </c>
      <c r="C28" s="21" t="s">
        <v>199</v>
      </c>
      <c r="D28" s="21" t="s">
        <v>576</v>
      </c>
      <c r="E28" s="13">
        <v>42929.257986111108</v>
      </c>
      <c r="F28" s="13">
        <v>42929.268935185188</v>
      </c>
      <c r="G28" s="7">
        <v>1</v>
      </c>
      <c r="H28" s="21" t="s">
        <v>354</v>
      </c>
      <c r="I28" s="13">
        <v>42929.295057870368</v>
      </c>
      <c r="J28" s="7">
        <v>1</v>
      </c>
      <c r="K28" s="89" t="str">
        <f>IF(ISEVEN(B28),(B28-1)&amp;"/"&amp;B28,B28&amp;"/"&amp;(B28+1))</f>
        <v>4027/4028</v>
      </c>
      <c r="L28" s="21" t="str">
        <f>VLOOKUP(A28,'Trips&amp;Operators'!$C$1:$G$99999,5,FALSE)</f>
        <v>YANAI IAN</v>
      </c>
      <c r="M28" s="6">
        <f>I28-F28</f>
        <v>2.6122685179871041E-2</v>
      </c>
      <c r="N28" s="7">
        <f>24*60*SUM($M28:$M28)</f>
        <v>37.6166666590143</v>
      </c>
      <c r="O28" s="7"/>
      <c r="P28" s="7"/>
      <c r="Q28" s="22"/>
      <c r="R28" s="170"/>
      <c r="S28" s="213">
        <f>1/IF(AG28="EC",12,1)*SUM(U28:U28)</f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-13T05:11:30-0600',mode:absolute,to:'2017-07-13T08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23.2987</v>
      </c>
      <c r="Z28" s="197">
        <f>RIGHT(H28,LEN(H28)-4)/10000</f>
        <v>1.47E-2</v>
      </c>
      <c r="AA28" s="197">
        <f>ABS(Z28-Y28)</f>
        <v>23.283999999999999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/stypes="app*4027*20170713*"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4"/>
        <v>"%USERPROFILE%\Documents\GitHub\eaglep3\Utilities\RefineRTDCRunTimes.py" --tripid 116-13 --locoid 4027 --swversion DE.1.0.9.0 --startMP 204:232987 --initTime 2017-07-13T06:11:30 --startdatetime 2017-07-13T06:27:16 --delay 1 --endMP 204:147 --enddatetime 2017-07-13T07:04:53 --enforcementcount 1 &gt;&gt;C:\Users\stu\Documents\GitHub\eaglep3-reporting\EC\2017-07-13-refined-times.txt</v>
      </c>
      <c r="AI2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{"issue":{"subject":"","project_id":79,"tracker_id":40,"status_id":1,"priority_id":2,"assigned_to_id":23,"start_date":"2017-07-13","description":"","custom_fields":[{"id":1,"name":"Subdivision","value":"EC"},{"id":4,"name":"Milepost","value":"0.0147"},{"id":17,"name":"Train ID","value":"116-13"},{"id":16,"name":"Locomotive ID","value":"4027"},{"id":130,"name":"Impact","value":""},{"id":150,"name":"Time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4027 --day 2017-07-13</v>
      </c>
      <c r="AN2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688</v>
      </c>
      <c r="B29" s="7">
        <v>4008</v>
      </c>
      <c r="C29" s="21" t="s">
        <v>199</v>
      </c>
      <c r="D29" s="21" t="s">
        <v>420</v>
      </c>
      <c r="E29" s="13">
        <v>42929.235451388886</v>
      </c>
      <c r="F29" s="13">
        <v>42929.240185185183</v>
      </c>
      <c r="G29" s="7">
        <v>1</v>
      </c>
      <c r="H29" s="21" t="s">
        <v>429</v>
      </c>
      <c r="I29" s="13">
        <v>42929.264456018522</v>
      </c>
      <c r="J29" s="7">
        <v>1</v>
      </c>
      <c r="K29" s="89" t="str">
        <f>IF(ISEVEN(B29),(B29-1)&amp;"/"&amp;B29,B29&amp;"/"&amp;(B29+1))</f>
        <v>4007/4008</v>
      </c>
      <c r="L29" s="21" t="str">
        <f>VLOOKUP(A29,'Trips&amp;Operators'!$C$1:$G$99999,5,FALSE)</f>
        <v>HELVIE ADAM</v>
      </c>
      <c r="M29" s="6">
        <f>I29-F29</f>
        <v>2.4270833338960074E-2</v>
      </c>
      <c r="N29" s="7">
        <f>24*60*SUM($M29:$M29)</f>
        <v>34.950000008102506</v>
      </c>
      <c r="O29" s="7"/>
      <c r="P29" s="7"/>
      <c r="Q29" s="22"/>
      <c r="R29" s="170"/>
      <c r="S29" s="213">
        <f>1/IF(AG29="EC",12,1)*SUM(U29:U29)</f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-13T04:39:03-0600',mode:absolute,to:'2017-07-13T07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4.4400000000000002E-2</v>
      </c>
      <c r="Z29" s="197">
        <f>RIGHT(H29,LEN(H29)-4)/10000</f>
        <v>23.329499999999999</v>
      </c>
      <c r="AA29" s="197">
        <f>ABS(Z29-Y29)</f>
        <v>23.2851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/stypes="app*4008*20170713*"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4"/>
        <v>"%USERPROFILE%\Documents\GitHub\eaglep3\Utilities\RefineRTDCRunTimes.py" --tripid 117-13 --locoid 4008 --swversion DE.1.0.9.0 --startMP 204:444 --initTime 2017-07-13T05:39:03 --startdatetime 2017-07-13T05:45:52 --delay 1 --endMP 204:233295 --enddatetime 2017-07-13T06:20:49 --enforcementcount 1 &gt;&gt;C:\Users\stu\Documents\GitHub\eaglep3-reporting\EC\2017-07-13-refined-times.txt</v>
      </c>
      <c r="AI2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{"issue":{"subject":"","project_id":79,"tracker_id":40,"status_id":1,"priority_id":2,"assigned_to_id":23,"start_date":"2017-07-13","description":"","custom_fields":[{"id":1,"name":"Subdivision","value":"EC"},{"id":4,"name":"Milepost","value":"23.3295"},{"id":17,"name":"Train ID","value":"117-13"},{"id":16,"name":"Locomotive ID","value":"4008"},{"id":130,"name":"Impact","value":""},{"id":150,"name":"Time of Event (Mountain Time)","value":"06:20:49"},{"id":151,"name":"Denver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4008 --day 2017-07-13</v>
      </c>
      <c r="AN2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4007</v>
      </c>
      <c r="C30" s="21" t="s">
        <v>199</v>
      </c>
      <c r="D30" s="21" t="s">
        <v>578</v>
      </c>
      <c r="E30" s="13">
        <v>42929.275902777779</v>
      </c>
      <c r="F30" s="13">
        <v>42929.279456018521</v>
      </c>
      <c r="G30" s="7">
        <v>1</v>
      </c>
      <c r="H30" s="21" t="s">
        <v>575</v>
      </c>
      <c r="I30" s="13">
        <v>42929.306030092594</v>
      </c>
      <c r="J30" s="7">
        <v>1</v>
      </c>
      <c r="K30" s="89" t="str">
        <f>IF(ISEVEN(B30),(B30-1)&amp;"/"&amp;B30,B30&amp;"/"&amp;(B30+1))</f>
        <v>4007/4008</v>
      </c>
      <c r="L30" s="21" t="str">
        <f>VLOOKUP(A30,'Trips&amp;Operators'!$C$1:$G$99999,5,FALSE)</f>
        <v>HELVIE ADAM</v>
      </c>
      <c r="M30" s="6">
        <f>I30-F30</f>
        <v>2.6574074072414078E-2</v>
      </c>
      <c r="N30" s="7">
        <f>24*60*SUM($M30:$M30)</f>
        <v>38.266666664276272</v>
      </c>
      <c r="O30" s="7"/>
      <c r="P30" s="7"/>
      <c r="Q30" s="22"/>
      <c r="R30" s="170"/>
      <c r="S30" s="213">
        <f>1/IF(AG30="EC",12,1)*SUM(U30:U30)</f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-13T05:37:18-0600',mode:absolute,to:'2017-07-13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23.297499999999999</v>
      </c>
      <c r="Z30" s="197">
        <f>RIGHT(H30,LEN(H30)-4)/10000</f>
        <v>1.52E-2</v>
      </c>
      <c r="AA30" s="197">
        <f>ABS(Z30-Y30)</f>
        <v>23.282299999999999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/stypes="app*4007*20170713*"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4"/>
        <v>"%USERPROFILE%\Documents\GitHub\eaglep3\Utilities\RefineRTDCRunTimes.py" --tripid 118-13 --locoid 4007 --swversion DE.1.0.9.0 --startMP 204:232975 --initTime 2017-07-13T06:37:18 --startdatetime 2017-07-13T06:42:25 --delay 1 --endMP 204:152 --enddatetime 2017-07-13T07:20:41 --enforcementcount 1 &gt;&gt;C:\Users\stu\Documents\GitHub\eaglep3-reporting\EC\2017-07-13-refined-times.txt</v>
      </c>
      <c r="AI3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ID","value":"118-13"},{"id":16,"name":"Locomotive ID","value":"4007"},{"id":130,"name":"Impact","value":""},{"id":150,"name":"Time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4007 --day 2017-07-13</v>
      </c>
      <c r="AN3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691</v>
      </c>
      <c r="B31" s="7">
        <v>4042</v>
      </c>
      <c r="C31" s="21" t="s">
        <v>199</v>
      </c>
      <c r="D31" s="21" t="s">
        <v>538</v>
      </c>
      <c r="E31" s="13">
        <v>42929.246863425928</v>
      </c>
      <c r="F31" s="13">
        <v>42929.250578703701</v>
      </c>
      <c r="G31" s="7">
        <v>1</v>
      </c>
      <c r="H31" s="21" t="s">
        <v>869</v>
      </c>
      <c r="I31" s="13">
        <v>42929.276284722226</v>
      </c>
      <c r="J31" s="7">
        <v>1</v>
      </c>
      <c r="K31" s="89" t="str">
        <f>IF(ISEVEN(B31),(B31-1)&amp;"/"&amp;B31,B31&amp;"/"&amp;(B31+1))</f>
        <v>4041/4042</v>
      </c>
      <c r="L31" s="21" t="str">
        <f>VLOOKUP(A31,'Trips&amp;Operators'!$C$1:$G$99999,5,FALSE)</f>
        <v>GONZALEZ ARMANDO</v>
      </c>
      <c r="M31" s="6">
        <f>I31-F31</f>
        <v>2.570601852494292E-2</v>
      </c>
      <c r="N31" s="7">
        <f>24*60*SUM($M31:$M31)</f>
        <v>37.016666675917804</v>
      </c>
      <c r="O31" s="7"/>
      <c r="P31" s="7"/>
      <c r="Q31" s="22"/>
      <c r="R31" s="170"/>
      <c r="S31" s="213">
        <f>1/IF(AG31="EC",12,1)*SUM(U31:U31)</f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-13T04:55:29-0600',mode:absolute,to:'2017-07-13T07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4.6699999999999998E-2</v>
      </c>
      <c r="Z31" s="197">
        <f>RIGHT(H31,LEN(H31)-4)/10000</f>
        <v>23.327200000000001</v>
      </c>
      <c r="AA31" s="197">
        <f>ABS(Z31-Y31)</f>
        <v>23.2805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/stypes="app*4042*20170713*"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4"/>
        <v>"%USERPROFILE%\Documents\GitHub\eaglep3\Utilities\RefineRTDCRunTimes.py" --tripid 119-13 --locoid 4042 --swversion DE.1.0.9.0 --startMP 204:467 --initTime 2017-07-13T05:55:29 --startdatetime 2017-07-13T06:00:50 --delay 1 --endMP 204:233272 --enddatetime 2017-07-13T06:37:51 --enforcementcount 1 &gt;&gt;C:\Users\stu\Documents\GitHub\eaglep3-reporting\EC\2017-07-13-refined-times.txt</v>
      </c>
      <c r="AI3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{"issue":{"subject":"","project_id":79,"tracker_id":40,"status_id":1,"priority_id":2,"assigned_to_id":23,"start_date":"2017-07-13","description":"","custom_fields":[{"id":1,"name":"Subdivision","value":"EC"},{"id":4,"name":"Milepost","value":"23.3272"},{"id":17,"name":"Train ID","value":"119-13"},{"id":16,"name":"Locomotive ID","value":"4042"},{"id":130,"name":"Impact","value":""},{"id":150,"name":"Time of Event (Mountain Time)","value":"06:37:51"},{"id":151,"name":"Denver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4042 --day 2017-07-13</v>
      </c>
      <c r="AN3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700</v>
      </c>
      <c r="B32" s="7">
        <v>4041</v>
      </c>
      <c r="C32" s="21" t="s">
        <v>199</v>
      </c>
      <c r="D32" s="21" t="s">
        <v>870</v>
      </c>
      <c r="E32" s="13">
        <v>42929.287789351853</v>
      </c>
      <c r="F32" s="13">
        <v>42929.290150462963</v>
      </c>
      <c r="G32" s="7">
        <v>1</v>
      </c>
      <c r="H32" s="21" t="s">
        <v>343</v>
      </c>
      <c r="I32" s="13">
        <v>42929.317453703705</v>
      </c>
      <c r="J32" s="7">
        <v>1</v>
      </c>
      <c r="K32" s="89" t="str">
        <f>IF(ISEVEN(B32),(B32-1)&amp;"/"&amp;B32,B32&amp;"/"&amp;(B32+1))</f>
        <v>4041/4042</v>
      </c>
      <c r="L32" s="21" t="str">
        <f>VLOOKUP(A32,'Trips&amp;Operators'!$C$1:$G$99999,5,FALSE)</f>
        <v>GONZALEZ ARMANDO</v>
      </c>
      <c r="M32" s="6">
        <f>I32-F32</f>
        <v>2.7303240742185153E-2</v>
      </c>
      <c r="N32" s="7">
        <f>24*60*SUM($M32:$M32)</f>
        <v>39.31666666874662</v>
      </c>
      <c r="O32" s="7"/>
      <c r="P32" s="7"/>
      <c r="Q32" s="22"/>
      <c r="R32" s="170"/>
      <c r="S32" s="213">
        <f>1/IF(AG32="EC",12,1)*SUM(U32:U32)</f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-13T05:54:25-0600',mode:absolute,to:'2017-07-13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23.296399999999998</v>
      </c>
      <c r="Z32" s="197">
        <f>RIGHT(H32,LEN(H32)-4)/10000</f>
        <v>1.4999999999999999E-2</v>
      </c>
      <c r="AA32" s="197">
        <f>ABS(Z32-Y32)</f>
        <v>23.281399999999998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/stypes="app*4041*20170713*"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4"/>
        <v>"%USERPROFILE%\Documents\GitHub\eaglep3\Utilities\RefineRTDCRunTimes.py" --tripid 120-13 --locoid 4041 --swversion DE.1.0.9.0 --startMP 204:232964 --initTime 2017-07-13T06:54:25 --startdatetime 2017-07-13T06:57:49 --delay 1 --endMP 204:150 --enddatetime 2017-07-13T07:37:08 --enforcementcount 1 &gt;&gt;C:\Users\stu\Documents\GitHub\eaglep3-reporting\EC\2017-07-13-refined-times.txt</v>
      </c>
      <c r="AI3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ID","value":"120-13"},{"id":16,"name":"Locomotive ID","value":"4041"},{"id":130,"name":"Impact","value":""},{"id":150,"name":"Time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4041 --day 2017-07-13</v>
      </c>
      <c r="AN3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694</v>
      </c>
      <c r="B33" s="7">
        <v>4014</v>
      </c>
      <c r="C33" s="21" t="s">
        <v>199</v>
      </c>
      <c r="D33" s="21" t="s">
        <v>349</v>
      </c>
      <c r="E33" s="13">
        <v>42929.257569444446</v>
      </c>
      <c r="F33" s="13">
        <v>42929.260914351849</v>
      </c>
      <c r="G33" s="7">
        <v>1</v>
      </c>
      <c r="H33" s="21" t="s">
        <v>871</v>
      </c>
      <c r="I33" s="13">
        <v>42929.285092592596</v>
      </c>
      <c r="J33" s="7">
        <v>1</v>
      </c>
      <c r="K33" s="89" t="str">
        <f>IF(ISEVEN(B33),(B33-1)&amp;"/"&amp;B33,B33&amp;"/"&amp;(B33+1))</f>
        <v>4013/4014</v>
      </c>
      <c r="L33" s="21" t="str">
        <f>VLOOKUP(A33,'Trips&amp;Operators'!$C$1:$G$99999,5,FALSE)</f>
        <v>LANGERAK WILLIAM</v>
      </c>
      <c r="M33" s="6">
        <f>I33-F33</f>
        <v>2.4178240746550728E-2</v>
      </c>
      <c r="N33" s="7">
        <f>24*60*SUM($M33:$M33)</f>
        <v>34.816666675033048</v>
      </c>
      <c r="O33" s="7"/>
      <c r="P33" s="7"/>
      <c r="Q33" s="22"/>
      <c r="R33" s="170"/>
      <c r="S33" s="213">
        <f>1/IF(AG33="EC",12,1)*SUM(U33:U33)</f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-13T05:10:54-0600',mode:absolute,to:'2017-07-13T07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4.53E-2</v>
      </c>
      <c r="Z33" s="197">
        <f>RIGHT(H33,LEN(H33)-4)/10000</f>
        <v>23.3324</v>
      </c>
      <c r="AA33" s="197">
        <f>ABS(Z33-Y33)</f>
        <v>23.287099999999999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/stypes="app*4014*20170713*"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4"/>
        <v>"%USERPROFILE%\Documents\GitHub\eaglep3\Utilities\RefineRTDCRunTimes.py" --tripid 121-13 --locoid 4014 --swversion DE.1.0.9.0 --startMP 204:453 --initTime 2017-07-13T06:10:54 --startdatetime 2017-07-13T06:15:43 --delay 1 --endMP 204:233324 --enddatetime 2017-07-13T06:50:32 --enforcementcount 1 &gt;&gt;C:\Users\stu\Documents\GitHub\eaglep3-reporting\EC\2017-07-13-refined-times.txt</v>
      </c>
      <c r="AI3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{"issue":{"subject":"","project_id":79,"tracker_id":40,"status_id":1,"priority_id":2,"assigned_to_id":23,"start_date":"2017-07-13","description":"","custom_fields":[{"id":1,"name":"Subdivision","value":"EC"},{"id":4,"name":"Milepost","value":"23.3324"},{"id":17,"name":"Train ID","value":"121-13"},{"id":16,"name":"Locomotive ID","value":"4014"},{"id":130,"name":"Impact","value":""},{"id":150,"name":"Time of Event (Mountain Time)","value":"06:50:32"},{"id":151,"name":"Denver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4014 --day 2017-07-13</v>
      </c>
      <c r="AN3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699</v>
      </c>
      <c r="B34" s="7">
        <v>4013</v>
      </c>
      <c r="C34" s="21" t="s">
        <v>199</v>
      </c>
      <c r="D34" s="21" t="s">
        <v>872</v>
      </c>
      <c r="E34" s="13">
        <v>42929.286377314813</v>
      </c>
      <c r="F34" s="13">
        <v>42929.300173611111</v>
      </c>
      <c r="G34" s="7">
        <v>1</v>
      </c>
      <c r="H34" s="21" t="s">
        <v>480</v>
      </c>
      <c r="I34" s="13">
        <v>42929.327488425923</v>
      </c>
      <c r="J34" s="7">
        <v>1</v>
      </c>
      <c r="K34" s="89" t="str">
        <f>IF(ISEVEN(B34),(B34-1)&amp;"/"&amp;B34,B34&amp;"/"&amp;(B34+1))</f>
        <v>4013/4014</v>
      </c>
      <c r="L34" s="21" t="str">
        <f>VLOOKUP(A34,'Trips&amp;Operators'!$C$1:$G$99999,5,FALSE)</f>
        <v>LANGERAK WILLIAM</v>
      </c>
      <c r="M34" s="6">
        <f>I34-F34</f>
        <v>2.7314814811688848E-2</v>
      </c>
      <c r="N34" s="7">
        <f>24*60*SUM($M34:$M34)</f>
        <v>39.333333328831941</v>
      </c>
      <c r="O34" s="7"/>
      <c r="P34" s="7"/>
      <c r="Q34" s="22"/>
      <c r="R34" s="170" t="s">
        <v>1044</v>
      </c>
      <c r="S34" s="213">
        <f>1/IF(AG34="EC",12,1)*SUM(U34:U34)</f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-13T05:52:23-0600',mode:absolute,to:'2017-07-13T08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23.300899999999999</v>
      </c>
      <c r="Z34" s="197">
        <f>RIGHT(H34,LEN(H34)-4)/10000</f>
        <v>1.61E-2</v>
      </c>
      <c r="AA34" s="197">
        <f>ABS(Z34-Y34)</f>
        <v>23.284799999999997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/stypes="app*4013*20170713*"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4"/>
        <v>"%USERPROFILE%\Documents\GitHub\eaglep3\Utilities\RefineRTDCRunTimes.py" --tripid 122-13 --locoid 4013 --swversion DE.1.0.9.0 --startMP 204:233009 --initTime 2017-07-13T06:52:23 --startdatetime 2017-07-13T07:12:15 --delay 1 --endMP 204:161 --enddatetime 2017-07-13T07:51:35 --enforcementcount 1 &gt;&gt;C:\Users\stu\Documents\GitHub\eaglep3-reporting\EC\2017-07-13-refined-times.txt</v>
      </c>
      <c r="AI34" s="96" t="str">
        <f t="shared" si="5"/>
        <v>echo {"issue":{"subject":"Brief Wi-MAX data drop caused unhealthy banner","project_id":79,"tracker_id":40,"status_id":1,"priority_id":2,"assigned_to_id":23,"start_date":"2017-07-13","description":"","custom_fields":[{"id":1,"name":"Subdivision","value":"EC"},{"id":4,"name":"Milepost","value":"0.0161"},{"id":17,"name":"Train ID","value":"122-13"},{"id":16,"name":"Locomotive ID","value":"4013"},{"id":130,"name":"Impact","value":""},{"id":150,"name":"Time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4013 --day 2017-07-13</v>
      </c>
      <c r="AN34" s="151" t="str">
        <f t="shared" si="7"/>
        <v>echo {"issue":{"subject":"Brief Wi-MAX data drop caused unhealthy banner","project_id":30,"tracker_id":4,"status_id":1,"priority_id":1,"assigned_to_id":10,"start_date":"2017-07-13","description":"","custom_fields":[{"id":30,"name":"Category","value":"Issue"},{"id":3,"name":"Functional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696</v>
      </c>
      <c r="B35" s="7">
        <v>4012</v>
      </c>
      <c r="C35" s="21" t="s">
        <v>199</v>
      </c>
      <c r="D35" s="21" t="s">
        <v>533</v>
      </c>
      <c r="E35" s="13">
        <v>42929.266909722224</v>
      </c>
      <c r="F35" s="13">
        <v>42929.271354166667</v>
      </c>
      <c r="G35" s="7">
        <v>1</v>
      </c>
      <c r="H35" s="21" t="s">
        <v>429</v>
      </c>
      <c r="I35" s="13">
        <v>42929.296157407407</v>
      </c>
      <c r="J35" s="7">
        <v>1</v>
      </c>
      <c r="K35" s="89" t="str">
        <f>IF(ISEVEN(B35),(B35-1)&amp;"/"&amp;B35,B35&amp;"/"&amp;(B35+1))</f>
        <v>4011/4012</v>
      </c>
      <c r="L35" s="21" t="str">
        <f>VLOOKUP(A35,'Trips&amp;Operators'!$C$1:$G$99999,5,FALSE)</f>
        <v>GUZMAN DANNY</v>
      </c>
      <c r="M35" s="6">
        <f>I35-F35</f>
        <v>2.4803240739856847E-2</v>
      </c>
      <c r="N35" s="7">
        <f>24*60*SUM($M35:$M35)</f>
        <v>35.716666665393859</v>
      </c>
      <c r="O35" s="7"/>
      <c r="P35" s="7"/>
      <c r="Q35" s="22"/>
      <c r="R35" s="170"/>
      <c r="S35" s="213">
        <f>1/IF(AG35="EC",12,1)*SUM(U35:U35)</f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-13T05:24:21-0600',mode:absolute,to:'2017-07-13T08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4.4200000000000003E-2</v>
      </c>
      <c r="Z35" s="197">
        <f>RIGHT(H35,LEN(H35)-4)/10000</f>
        <v>23.329499999999999</v>
      </c>
      <c r="AA35" s="197">
        <f>ABS(Z35-Y35)</f>
        <v>23.285299999999999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/stypes="app*4012*20170713*"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4"/>
        <v>"%USERPROFILE%\Documents\GitHub\eaglep3\Utilities\RefineRTDCRunTimes.py" --tripid 123-13 --locoid 4012 --swversion DE.1.0.9.0 --startMP 204:442 --initTime 2017-07-13T06:24:21 --startdatetime 2017-07-13T06:30:45 --delay 1 --endMP 204:233295 --enddatetime 2017-07-13T07:06:28 --enforcementcount 1 &gt;&gt;C:\Users\stu\Documents\GitHub\eaglep3-reporting\EC\2017-07-13-refined-times.txt</v>
      </c>
      <c r="AI3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{"issue":{"subject":"","project_id":79,"tracker_id":40,"status_id":1,"priority_id":2,"assigned_to_id":23,"start_date":"2017-07-13","description":"","custom_fields":[{"id":1,"name":"Subdivision","value":"EC"},{"id":4,"name":"Milepost","value":"23.3295"},{"id":17,"name":"Train ID","value":"123-13"},{"id":16,"name":"Locomotive ID","value":"4012"},{"id":130,"name":"Impact","value":""},{"id":150,"name":"Time of Event (Mountain Time)","value":"07:06:28"},{"id":151,"name":"Denver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4012 --day 2017-07-13</v>
      </c>
      <c r="AN3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704</v>
      </c>
      <c r="B36" s="7">
        <v>4011</v>
      </c>
      <c r="C36" s="21" t="s">
        <v>199</v>
      </c>
      <c r="D36" s="21" t="s">
        <v>531</v>
      </c>
      <c r="E36" s="13">
        <v>42929.298530092594</v>
      </c>
      <c r="F36" s="13">
        <v>42929.310590277775</v>
      </c>
      <c r="G36" s="7">
        <v>0</v>
      </c>
      <c r="H36" s="21" t="s">
        <v>345</v>
      </c>
      <c r="I36" s="13">
        <v>42929.337199074071</v>
      </c>
      <c r="J36" s="7">
        <v>1</v>
      </c>
      <c r="K36" s="89" t="str">
        <f>IF(ISEVEN(B36),(B36-1)&amp;"/"&amp;B36,B36&amp;"/"&amp;(B36+1))</f>
        <v>4011/4012</v>
      </c>
      <c r="L36" s="21" t="str">
        <f>VLOOKUP(A36,'Trips&amp;Operators'!$C$1:$G$99999,5,FALSE)</f>
        <v>GUZMAN DANNY</v>
      </c>
      <c r="M36" s="6">
        <f>I36-F36</f>
        <v>2.6608796295477077E-2</v>
      </c>
      <c r="N36" s="7">
        <f>24*60*SUM($M36:$M36)</f>
        <v>38.316666665486991</v>
      </c>
      <c r="O36" s="7"/>
      <c r="P36" s="7"/>
      <c r="Q36" s="22"/>
      <c r="R36" s="170"/>
      <c r="S36" s="213">
        <f>1/IF(AG36="EC",12,1)*SUM(U36:U36)</f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-13T06:09:53-0600',mode:absolute,to:'2017-07-13T09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23.2974</v>
      </c>
      <c r="Z36" s="197">
        <f>RIGHT(H36,LEN(H36)-4)/10000</f>
        <v>1.43E-2</v>
      </c>
      <c r="AA36" s="197">
        <f>ABS(Z36-Y36)</f>
        <v>23.283100000000001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/stypes="app*4011*20170713*"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4"/>
        <v>"%USERPROFILE%\Documents\GitHub\eaglep3\Utilities\RefineRTDCRunTimes.py" --tripid 124-13 --locoid 4011 --swversion DE.1.0.9.0 --startMP 204:232974 --initTime 2017-07-13T07:09:53 --startdatetime 2017-07-13T07:27:15 --delay 0 --endMP 204:143 --enddatetime 2017-07-13T08:05:34 --enforcementcount 1 &gt;&gt;C:\Users\stu\Documents\GitHub\eaglep3-reporting\EC\2017-07-13-refined-times.txt</v>
      </c>
      <c r="AI3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{"issue":{"subject":"","project_id":79,"tracker_id":40,"status_id":1,"priority_id":2,"assigned_to_id":23,"start_date":"2017-07-13","description":"","custom_fields":[{"id":1,"name":"Subdivision","value":"EC"},{"id":4,"name":"Milepost","value":"0.0143"},{"id":17,"name":"Train ID","value":"124-13"},{"id":16,"name":"Locomotive ID","value":"4011"},{"id":130,"name":"Impact","value":""},{"id":150,"name":"Time of Event (Mountain Time)","value":"08:05:34"},{"id":151,"name":"Denver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4011 --day 2017-07-13</v>
      </c>
      <c r="AN3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620</v>
      </c>
      <c r="B37" s="7">
        <v>4062</v>
      </c>
      <c r="C37" s="21" t="s">
        <v>199</v>
      </c>
      <c r="D37" s="21" t="s">
        <v>347</v>
      </c>
      <c r="E37" s="13">
        <v>42929.277083333334</v>
      </c>
      <c r="F37" s="13">
        <v>42929.281770833331</v>
      </c>
      <c r="G37" s="7">
        <v>1</v>
      </c>
      <c r="H37" s="21" t="s">
        <v>873</v>
      </c>
      <c r="I37" s="13">
        <v>42929.306620370371</v>
      </c>
      <c r="J37" s="7">
        <v>1</v>
      </c>
      <c r="K37" s="89" t="str">
        <f>IF(ISEVEN(B37),(B37-1)&amp;"/"&amp;B37,B37&amp;"/"&amp;(B37+1))</f>
        <v>4061/4062</v>
      </c>
      <c r="L37" s="21" t="str">
        <f>VLOOKUP(A37,'Trips&amp;Operators'!$C$1:$G$99999,5,FALSE)</f>
        <v>STARKS ANGELINA</v>
      </c>
      <c r="M37" s="6">
        <f>I37-F37</f>
        <v>2.4849537039699499E-2</v>
      </c>
      <c r="N37" s="7">
        <f>24*60*SUM($M37:$M37)</f>
        <v>35.783333337167278</v>
      </c>
      <c r="O37" s="7"/>
      <c r="P37" s="7"/>
      <c r="Q37" s="22"/>
      <c r="R37" s="170"/>
      <c r="S37" s="213">
        <f>1/IF(AG37="EC",12,1)*SUM(U37:U37)</f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-13T05:39:00-0600',mode:absolute,to:'2017-07-13T08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4.5100000000000001E-2</v>
      </c>
      <c r="Z37" s="197">
        <f>RIGHT(H37,LEN(H37)-4)/10000</f>
        <v>23.328399999999998</v>
      </c>
      <c r="AA37" s="197">
        <f>ABS(Z37-Y37)</f>
        <v>23.283299999999997</v>
      </c>
      <c r="AB37" s="54" t="str">
        <f>VLOOKUP(A37,Enforcements!$C$7:$K$13,8,0)</f>
        <v>Speed (6)</v>
      </c>
      <c r="AC37" s="51" t="str">
        <f>VLOOKUP(A37,Enforcements!$C$7:$E$13,3,0)</f>
        <v>PERMANENT SPEED RESTRICTION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/stypes="app*4062*20170713*"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4"/>
        <v>"%USERPROFILE%\Documents\GitHub\eaglep3\Utilities\RefineRTDCRunTimes.py" --tripid 125-13 --locoid 4062 --swversion DE.1.0.9.0 --startMP 204:451 --initTime 2017-07-13T06:39:00 --startdatetime 2017-07-13T06:45:45 --delay 1 --endMP 204:233284 --enddatetime 2017-07-13T07:21:32 --enforcementcount 1 &gt;&gt;C:\Users\stu\Documents\GitHub\eaglep3-reporting\EC\2017-07-13-refined-times.txt</v>
      </c>
      <c r="AI3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{"issue":{"subject":"","project_id":79,"tracker_id":40,"status_id":1,"priority_id":2,"assigned_to_id":23,"start_date":"2017-07-13","description":"","custom_fields":[{"id":1,"name":"Subdivision","value":"EC"},{"id":4,"name":"Milepost","value":"23.3284"},{"id":17,"name":"Train ID","value":"125-13"},{"id":16,"name":"Locomotive ID","value":"4062"},{"id":130,"name":"Impact","value":""},{"id":150,"name":"Time of Event (Mountain Time)","value":"07:21:32"},{"id":151,"name":"Denver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4062 --day 2017-07-13</v>
      </c>
      <c r="AN3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708</v>
      </c>
      <c r="B38" s="7">
        <v>4061</v>
      </c>
      <c r="C38" s="21" t="s">
        <v>199</v>
      </c>
      <c r="D38" s="21" t="s">
        <v>441</v>
      </c>
      <c r="E38" s="13">
        <v>42929.315486111111</v>
      </c>
      <c r="F38" s="13">
        <v>42929.32099537037</v>
      </c>
      <c r="G38" s="7">
        <v>1</v>
      </c>
      <c r="H38" s="21" t="s">
        <v>500</v>
      </c>
      <c r="I38" s="13">
        <v>42929.348460648151</v>
      </c>
      <c r="J38" s="7">
        <v>1</v>
      </c>
      <c r="K38" s="89" t="str">
        <f>IF(ISEVEN(B38),(B38-1)&amp;"/"&amp;B38,B38&amp;"/"&amp;(B38+1))</f>
        <v>4061/4062</v>
      </c>
      <c r="L38" s="21" t="str">
        <f>VLOOKUP(A38,'Trips&amp;Operators'!$C$1:$G$99999,5,FALSE)</f>
        <v>STARKS ANGELINA</v>
      </c>
      <c r="M38" s="6">
        <f>I38-F38</f>
        <v>2.7465277780720498E-2</v>
      </c>
      <c r="N38" s="7">
        <f>24*60*SUM($M38:$M38)</f>
        <v>39.550000004237518</v>
      </c>
      <c r="O38" s="7"/>
      <c r="P38" s="7"/>
      <c r="Q38" s="22"/>
      <c r="R38" s="170"/>
      <c r="S38" s="213">
        <f>1/IF(AG38="EC",12,1)*SUM(U38:U38)</f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-13T06:34:18-0600',mode:absolute,to:'2017-07-13T09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23.2973</v>
      </c>
      <c r="Z38" s="197">
        <f>RIGHT(H38,LEN(H38)-4)/10000</f>
        <v>1.5800000000000002E-2</v>
      </c>
      <c r="AA38" s="197">
        <f>ABS(Z38-Y38)</f>
        <v>23.281500000000001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/stypes="app*4061*20170713*"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4"/>
        <v>"%USERPROFILE%\Documents\GitHub\eaglep3\Utilities\RefineRTDCRunTimes.py" --tripid 126-13 --locoid 4061 --swversion DE.1.0.9.0 --startMP 204:232973 --initTime 2017-07-13T07:34:18 --startdatetime 2017-07-13T07:42:14 --delay 1 --endMP 204:158 --enddatetime 2017-07-13T08:21:47 --enforcementcount 1 &gt;&gt;C:\Users\stu\Documents\GitHub\eaglep3-reporting\EC\2017-07-13-refined-times.txt</v>
      </c>
      <c r="AI3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{"issue":{"subject":"","project_id":79,"tracker_id":40,"status_id":1,"priority_id":2,"assigned_to_id":23,"start_date":"2017-07-13","description":"","custom_fields":[{"id":1,"name":"Subdivision","value":"EC"},{"id":4,"name":"Milepost","value":"0.0158"},{"id":17,"name":"Train ID","value":"126-13"},{"id":16,"name":"Locomotive ID","value":"4061"},{"id":130,"name":"Impact","value":""},{"id":150,"name":"Time of Event (Mountain Time)","value":"08:21:47"},{"id":151,"name":"Denver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4061 --day 2017-07-13</v>
      </c>
      <c r="AN3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701</v>
      </c>
      <c r="B39" s="7">
        <v>4022</v>
      </c>
      <c r="C39" s="21" t="s">
        <v>199</v>
      </c>
      <c r="D39" s="21" t="s">
        <v>587</v>
      </c>
      <c r="E39" s="13">
        <v>42929.288993055554</v>
      </c>
      <c r="F39" s="13">
        <v>42929.292233796295</v>
      </c>
      <c r="G39" s="7">
        <v>1</v>
      </c>
      <c r="H39" s="21" t="s">
        <v>427</v>
      </c>
      <c r="I39" s="13">
        <v>42929.317453703705</v>
      </c>
      <c r="J39" s="7">
        <v>1</v>
      </c>
      <c r="K39" s="89" t="str">
        <f>IF(ISEVEN(B39),(B39-1)&amp;"/"&amp;B39,B39&amp;"/"&amp;(B39+1))</f>
        <v>4021/4022</v>
      </c>
      <c r="L39" s="21" t="str">
        <f>VLOOKUP(A39,'Trips&amp;Operators'!$C$1:$G$99999,5,FALSE)</f>
        <v>LOZA FIDEL</v>
      </c>
      <c r="M39" s="6">
        <f>I39-F39</f>
        <v>2.5219907409336884E-2</v>
      </c>
      <c r="N39" s="7">
        <f>24*60*SUM($M39:$M39)</f>
        <v>36.316666669445112</v>
      </c>
      <c r="O39" s="7"/>
      <c r="P39" s="7"/>
      <c r="Q39" s="22"/>
      <c r="R39" s="170"/>
      <c r="S39" s="213">
        <f>1/IF(AG39="EC",12,1)*SUM(U39:U39)</f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-13T05:56:09-0600',mode:absolute,to:'2017-07-13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4.3999999999999997E-2</v>
      </c>
      <c r="Z39" s="197">
        <f>RIGHT(H39,LEN(H39)-4)/10000</f>
        <v>23.329699999999999</v>
      </c>
      <c r="AA39" s="197">
        <f>ABS(Z39-Y39)</f>
        <v>23.285699999999999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/stypes="app*4022*20170713*"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4"/>
        <v>"%USERPROFILE%\Documents\GitHub\eaglep3\Utilities\RefineRTDCRunTimes.py" --tripid 127-13 --locoid 4022 --swversion DE.1.0.9.0 --startMP 204:440 --initTime 2017-07-13T06:56:09 --startdatetime 2017-07-13T07:00:49 --delay 1 --endMP 204:233297 --enddatetime 2017-07-13T07:37:08 --enforcementcount 1 &gt;&gt;C:\Users\stu\Documents\GitHub\eaglep3-reporting\EC\2017-07-13-refined-times.txt</v>
      </c>
      <c r="AI3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{"issue":{"subject":"","project_id":79,"tracker_id":40,"status_id":1,"priority_id":2,"assigned_to_id":23,"start_date":"2017-07-13","description":"","custom_fields":[{"id":1,"name":"Subdivision","value":"EC"},{"id":4,"name":"Milepost","value":"23.3297"},{"id":17,"name":"Train ID","value":"127-13"},{"id":16,"name":"Locomotive ID","value":"4022"},{"id":130,"name":"Impact","value":""},{"id":150,"name":"Time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4022 --day 2017-07-13</v>
      </c>
      <c r="AN3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711</v>
      </c>
      <c r="B40" s="7">
        <v>4021</v>
      </c>
      <c r="C40" s="21" t="s">
        <v>199</v>
      </c>
      <c r="D40" s="21" t="s">
        <v>586</v>
      </c>
      <c r="E40" s="13">
        <v>42929.327986111108</v>
      </c>
      <c r="F40" s="13">
        <v>42929.331446759257</v>
      </c>
      <c r="G40" s="7">
        <v>1</v>
      </c>
      <c r="H40" s="21" t="s">
        <v>351</v>
      </c>
      <c r="I40" s="13">
        <v>42929.360196759262</v>
      </c>
      <c r="J40" s="7">
        <v>1</v>
      </c>
      <c r="K40" s="89" t="str">
        <f>IF(ISEVEN(B40),(B40-1)&amp;"/"&amp;B40,B40&amp;"/"&amp;(B40+1))</f>
        <v>4021/4022</v>
      </c>
      <c r="L40" s="21" t="str">
        <f>VLOOKUP(A40,'Trips&amp;Operators'!$C$1:$G$99999,5,FALSE)</f>
        <v>LOZA FIDEL</v>
      </c>
      <c r="M40" s="6">
        <f>I40-F40</f>
        <v>2.8750000004947651E-2</v>
      </c>
      <c r="N40" s="7">
        <f>24*60*SUM($M40:$M40)</f>
        <v>41.400000007124618</v>
      </c>
      <c r="O40" s="7"/>
      <c r="P40" s="7"/>
      <c r="Q40" s="22"/>
      <c r="R40" s="170"/>
      <c r="S40" s="213">
        <f>1/IF(AG40="EC",12,1)*SUM(U40:U40)</f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-13T06:52:18-0600',mode:absolute,to:'2017-07-13T09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23.298500000000001</v>
      </c>
      <c r="Z40" s="197">
        <f>RIGHT(H40,LEN(H40)-4)/10000</f>
        <v>1.3899999999999999E-2</v>
      </c>
      <c r="AA40" s="197">
        <f>ABS(Z40-Y40)</f>
        <v>23.284600000000001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/stypes="app*4021*20170713*"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4"/>
        <v>"%USERPROFILE%\Documents\GitHub\eaglep3\Utilities\RefineRTDCRunTimes.py" --tripid 128-13 --locoid 4021 --swversion DE.1.0.9.0 --startMP 204:232985 --initTime 2017-07-13T07:52:18 --startdatetime 2017-07-13T07:57:17 --delay 1 --endMP 204:139 --enddatetime 2017-07-13T08:38:41 --enforcementcount 1 &gt;&gt;C:\Users\stu\Documents\GitHub\eaglep3-reporting\EC\2017-07-13-refined-times.txt</v>
      </c>
      <c r="AI4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{"issue":{"subject":"","project_id":79,"tracker_id":40,"status_id":1,"priority_id":2,"assigned_to_id":23,"start_date":"2017-07-13","description":"","custom_fields":[{"id":1,"name":"Subdivision","value":"EC"},{"id":4,"name":"Milepost","value":"0.0139"},{"id":17,"name":"Train ID","value":"128-13"},{"id":16,"name":"Locomotive ID","value":"4021"},{"id":130,"name":"Impact","value":""},{"id":150,"name":"Time of Event (Mountain Time)","value":"08:38:41"},{"id":151,"name":"Denver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4021 --day 2017-07-13</v>
      </c>
      <c r="AN4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702</v>
      </c>
      <c r="B41" s="7">
        <v>4028</v>
      </c>
      <c r="C41" s="21" t="s">
        <v>199</v>
      </c>
      <c r="D41" s="21" t="s">
        <v>495</v>
      </c>
      <c r="E41" s="13">
        <v>42929.296273148146</v>
      </c>
      <c r="F41" s="13">
        <v>42929.30265046296</v>
      </c>
      <c r="G41" s="7">
        <v>1</v>
      </c>
      <c r="H41" s="21" t="s">
        <v>863</v>
      </c>
      <c r="I41" s="13">
        <v>42929.326863425929</v>
      </c>
      <c r="J41" s="7">
        <v>1</v>
      </c>
      <c r="K41" s="89" t="str">
        <f>IF(ISEVEN(B41),(B41-1)&amp;"/"&amp;B41,B41&amp;"/"&amp;(B41+1))</f>
        <v>4027/4028</v>
      </c>
      <c r="L41" s="21" t="str">
        <f>VLOOKUP(A41,'Trips&amp;Operators'!$C$1:$G$99999,5,FALSE)</f>
        <v>YANAI IAN</v>
      </c>
      <c r="M41" s="6">
        <f>I41-F41</f>
        <v>2.4212962969613727E-2</v>
      </c>
      <c r="N41" s="7">
        <f>24*60*SUM($M41:$M41)</f>
        <v>34.866666676243767</v>
      </c>
      <c r="O41" s="7"/>
      <c r="P41" s="7"/>
      <c r="Q41" s="22"/>
      <c r="R41" s="170"/>
      <c r="S41" s="213">
        <f>1/IF(AG41="EC",12,1)*SUM(U41:U41)</f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-13T06:06:38-0600',mode:absolute,to:'2017-07-13T08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4.6399999999999997E-2</v>
      </c>
      <c r="Z41" s="197">
        <f>RIGHT(H41,LEN(H41)-4)/10000</f>
        <v>23.3291</v>
      </c>
      <c r="AA41" s="197">
        <f>ABS(Z41-Y41)</f>
        <v>23.282700000000002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/stypes="app*4028*20170713*"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4"/>
        <v>"%USERPROFILE%\Documents\GitHub\eaglep3\Utilities\RefineRTDCRunTimes.py" --tripid 129-13 --locoid 4028 --swversion DE.1.0.9.0 --startMP 204:464 --initTime 2017-07-13T07:06:38 --startdatetime 2017-07-13T07:15:49 --delay 1 --endMP 204:233291 --enddatetime 2017-07-13T07:50:41 --enforcementcount 1 &gt;&gt;C:\Users\stu\Documents\GitHub\eaglep3-reporting\EC\2017-07-13-refined-times.txt</v>
      </c>
      <c r="AI4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{"issue":{"subject":"","project_id":79,"tracker_id":40,"status_id":1,"priority_id":2,"assigned_to_id":23,"start_date":"2017-07-13","description":"","custom_fields":[{"id":1,"name":"Subdivision","value":"EC"},{"id":4,"name":"Milepost","value":"23.3291"},{"id":17,"name":"Train ID","value":"129-13"},{"id":16,"name":"Locomotive ID","value":"4028"},{"id":130,"name":"Impact","value":""},{"id":150,"name":"Time of Event (Mountain Time)","value":"07:50:41"},{"id":151,"name":"Denver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4028 --day 2017-07-13</v>
      </c>
      <c r="AN4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624</v>
      </c>
      <c r="B42" s="7">
        <v>4027</v>
      </c>
      <c r="C42" s="21" t="s">
        <v>199</v>
      </c>
      <c r="D42" s="21" t="s">
        <v>589</v>
      </c>
      <c r="E42" s="13">
        <v>42929.334606481483</v>
      </c>
      <c r="F42" s="13">
        <v>42929.341921296298</v>
      </c>
      <c r="G42" s="7">
        <v>1</v>
      </c>
      <c r="H42" s="21" t="s">
        <v>388</v>
      </c>
      <c r="I42" s="13">
        <v>42929.370104166665</v>
      </c>
      <c r="J42" s="7">
        <v>1</v>
      </c>
      <c r="K42" s="89" t="str">
        <f>IF(ISEVEN(B42),(B42-1)&amp;"/"&amp;B42,B42&amp;"/"&amp;(B42+1))</f>
        <v>4027/4028</v>
      </c>
      <c r="L42" s="21" t="str">
        <f>VLOOKUP(A42,'Trips&amp;Operators'!$C$1:$G$99999,5,FALSE)</f>
        <v>YANAI IAN</v>
      </c>
      <c r="M42" s="6">
        <f>I42-F42</f>
        <v>2.8182870366435964E-2</v>
      </c>
      <c r="N42" s="7">
        <f>24*60*SUM($M42:$M42)</f>
        <v>40.583333327667788</v>
      </c>
      <c r="O42" s="7"/>
      <c r="P42" s="7"/>
      <c r="Q42" s="22"/>
      <c r="R42" s="170"/>
      <c r="S42" s="213">
        <f>1/IF(AG42="EC",12,1)*SUM(U42:U42)</f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-13T07:01:50-0600',mode:absolute,to:'2017-07-13T09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197" t="str">
        <f>IF(AA42&lt;VLOOKUP(AG42,Variables!$AC$3:$AD$8,2,FALSE),"Y","N")</f>
        <v>N</v>
      </c>
      <c r="X42" s="197">
        <f t="shared" ref="X42:X44" si="8">VALUE(LEFT(AD42,4))-VALUE(LEFT(AD41,4))</f>
        <v>1</v>
      </c>
      <c r="Y42" s="197">
        <f>RIGHT(D42,LEN(D42)-4)/10000</f>
        <v>23.295500000000001</v>
      </c>
      <c r="Z42" s="197">
        <f>RIGHT(H42,LEN(H42)-4)/10000</f>
        <v>1.4500000000000001E-2</v>
      </c>
      <c r="AA42" s="197">
        <f>ABS(Z42-Y42)</f>
        <v>23.280999999999999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/stypes="app*4027*20170713*"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4"/>
        <v>"%USERPROFILE%\Documents\GitHub\eaglep3\Utilities\RefineRTDCRunTimes.py" --tripid 130-13 --locoid 4027 --swversion DE.1.0.9.0 --startMP 204:232955 --initTime 2017-07-13T08:01:50 --startdatetime 2017-07-13T08:12:22 --delay 1 --endMP 204:145 --enddatetime 2017-07-13T08:52:57 --enforcementcount 1 &gt;&gt;C:\Users\stu\Documents\GitHub\eaglep3-reporting\EC\2017-07-13-refined-times.txt</v>
      </c>
      <c r="AI4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ID","value":"130-13"},{"id":16,"name":"Locomotive ID","value":"4027"},{"id":130,"name":"Impact","value":""},{"id":150,"name":"Time of Event (Mountain Time)","value":"08:52:57"},{"id":151,"name":"Denver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4027 --day 2017-07-13</v>
      </c>
      <c r="AN4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705</v>
      </c>
      <c r="B43" s="7">
        <v>4008</v>
      </c>
      <c r="C43" s="21" t="s">
        <v>199</v>
      </c>
      <c r="D43" s="21" t="s">
        <v>349</v>
      </c>
      <c r="E43" s="13">
        <v>42929.310196759259</v>
      </c>
      <c r="F43" s="13">
        <v>42929.313125000001</v>
      </c>
      <c r="G43" s="7">
        <v>1</v>
      </c>
      <c r="H43" s="21" t="s">
        <v>874</v>
      </c>
      <c r="I43" s="13">
        <v>42929.342777777776</v>
      </c>
      <c r="J43" s="7">
        <v>1</v>
      </c>
      <c r="K43" s="89" t="str">
        <f>IF(ISEVEN(B43),(B43-1)&amp;"/"&amp;B43,B43&amp;"/"&amp;(B43+1))</f>
        <v>4007/4008</v>
      </c>
      <c r="L43" s="21" t="str">
        <f>VLOOKUP(A43,'Trips&amp;Operators'!$C$1:$G$99999,5,FALSE)</f>
        <v>PELLITIER GEORGE</v>
      </c>
      <c r="M43" s="6">
        <f>I43-F43</f>
        <v>2.9652777775481809E-2</v>
      </c>
      <c r="N43" s="7">
        <f>24*60*SUM($M43:$M43)</f>
        <v>42.699999996693805</v>
      </c>
      <c r="O43" s="7"/>
      <c r="P43" s="7"/>
      <c r="Q43" s="22"/>
      <c r="R43" s="170"/>
      <c r="S43" s="213">
        <f>1/IF(AG43="EC",12,1)*SUM(U43:U43)</f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-13T06:26:41-0600',mode:absolute,to:'2017-07-13T09:13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7" t="str">
        <f>IF(AA43&lt;VLOOKUP(AG43,Variables!$AC$3:$AD$8,2,FALSE),"Y","N")</f>
        <v>N</v>
      </c>
      <c r="X43" s="197">
        <f t="shared" si="8"/>
        <v>1</v>
      </c>
      <c r="Y43" s="197">
        <f>RIGHT(D43,LEN(D43)-4)/10000</f>
        <v>4.53E-2</v>
      </c>
      <c r="Z43" s="197">
        <f>RIGHT(H43,LEN(H43)-4)/10000</f>
        <v>23.333100000000002</v>
      </c>
      <c r="AA43" s="197">
        <f>ABS(Z43-Y43)</f>
        <v>23.287800000000001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/stypes="app*4008*20170713*"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4"/>
        <v>"%USERPROFILE%\Documents\GitHub\eaglep3\Utilities\RefineRTDCRunTimes.py" --tripid 131-13 --locoid 4008 --swversion DE.1.0.9.0 --startMP 204:453 --initTime 2017-07-13T07:26:41 --startdatetime 2017-07-13T07:30:54 --delay 1 --endMP 204:233331 --enddatetime 2017-07-13T08:13:36 --enforcementcount 1 &gt;&gt;C:\Users\stu\Documents\GitHub\eaglep3-reporting\EC\2017-07-13-refined-times.txt</v>
      </c>
      <c r="AI4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{"issue":{"subject":"","project_id":79,"tracker_id":40,"status_id":1,"priority_id":2,"assigned_to_id":23,"start_date":"2017-07-13","description":"","custom_fields":[{"id":1,"name":"Subdivision","value":"EC"},{"id":4,"name":"Milepost","value":"23.3331"},{"id":17,"name":"Train ID","value":"131-13"},{"id":16,"name":"Locomotive ID","value":"4008"},{"id":130,"name":"Impact","value":""},{"id":150,"name":"Time of Event (Mountain Time)","value":"08:13:36"},{"id":151,"name":"Denver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4008 --day 2017-07-13</v>
      </c>
      <c r="AN4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14:13:36"},{"id":29,"name":"Sharepoint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716</v>
      </c>
      <c r="B44" s="7">
        <v>4007</v>
      </c>
      <c r="C44" s="21" t="s">
        <v>199</v>
      </c>
      <c r="D44" s="21" t="s">
        <v>586</v>
      </c>
      <c r="E44" s="13">
        <v>42929.345243055555</v>
      </c>
      <c r="F44" s="13">
        <v>42929.352337962962</v>
      </c>
      <c r="G44" s="7">
        <v>2</v>
      </c>
      <c r="H44" s="21" t="s">
        <v>388</v>
      </c>
      <c r="I44" s="13">
        <v>42929.379606481481</v>
      </c>
      <c r="J44" s="7">
        <v>1</v>
      </c>
      <c r="K44" s="89" t="str">
        <f>IF(ISEVEN(B44),(B44-1)&amp;"/"&amp;B44,B44&amp;"/"&amp;(B44+1))</f>
        <v>4007/4008</v>
      </c>
      <c r="L44" s="21" t="str">
        <f>VLOOKUP(A44,'Trips&amp;Operators'!$C$1:$G$99999,5,FALSE)</f>
        <v>PELLITIER GEORGE</v>
      </c>
      <c r="M44" s="6">
        <f>I44-F44</f>
        <v>2.7268518519122154E-2</v>
      </c>
      <c r="N44" s="7">
        <f>24*60*SUM($M44:$M44)</f>
        <v>39.266666667535901</v>
      </c>
      <c r="O44" s="7"/>
      <c r="P44" s="7"/>
      <c r="Q44" s="22"/>
      <c r="R44" s="170"/>
      <c r="S44" s="213">
        <f>1/IF(AG44="EC",12,1)*SUM(U44:U44)</f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-13T07:17:09-0600',mode:absolute,to:'2017-07-13T10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7" t="str">
        <f>IF(AA44&lt;VLOOKUP(AG44,Variables!$AC$3:$AD$8,2,FALSE),"Y","N")</f>
        <v>N</v>
      </c>
      <c r="X44" s="197">
        <f t="shared" si="8"/>
        <v>1</v>
      </c>
      <c r="Y44" s="197">
        <f>RIGHT(D44,LEN(D44)-4)/10000</f>
        <v>23.298500000000001</v>
      </c>
      <c r="Z44" s="197">
        <f>RIGHT(H44,LEN(H44)-4)/10000</f>
        <v>1.4500000000000001E-2</v>
      </c>
      <c r="AA44" s="197">
        <f>ABS(Z44-Y44)</f>
        <v>23.283999999999999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/stypes="app*4007*20170713*"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4"/>
        <v>"%USERPROFILE%\Documents\GitHub\eaglep3\Utilities\RefineRTDCRunTimes.py" --tripid 132-13 --locoid 4007 --swversion DE.1.0.9.0 --startMP 204:232985 --initTime 2017-07-13T08:17:09 --startdatetime 2017-07-13T08:27:22 --delay 2 --endMP 204:145 --enddatetime 2017-07-13T09:06:38 --enforcementcount 1 &gt;&gt;C:\Users\stu\Documents\GitHub\eaglep3-reporting\EC\2017-07-13-refined-times.txt</v>
      </c>
      <c r="AI44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ID","value":"132-13"},{"id":16,"name":"Locomotive ID","value":"4007"},{"id":130,"name":"Impact","value":""},{"id":150,"name":"Time of Event (Mountain Time)","value":"09:06:38"},{"id":151,"name":"Denver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4007 --day 2017-07-13</v>
      </c>
      <c r="AN44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710</v>
      </c>
      <c r="B45" s="7">
        <v>4042</v>
      </c>
      <c r="C45" s="21" t="s">
        <v>199</v>
      </c>
      <c r="D45" s="21" t="s">
        <v>875</v>
      </c>
      <c r="E45" s="13">
        <v>42929.332280092596</v>
      </c>
      <c r="F45" s="13">
        <v>42929.33315972222</v>
      </c>
      <c r="G45" s="7">
        <v>1</v>
      </c>
      <c r="H45" s="21" t="s">
        <v>863</v>
      </c>
      <c r="I45" s="13">
        <v>42929.352071759262</v>
      </c>
      <c r="J45" s="7">
        <v>1</v>
      </c>
      <c r="K45" s="89" t="str">
        <f>IF(ISEVEN(B45),(B45-1)&amp;"/"&amp;B45,B45&amp;"/"&amp;(B45+1))</f>
        <v>4041/4042</v>
      </c>
      <c r="L45" s="21" t="str">
        <f>VLOOKUP(A45,'Trips&amp;Operators'!$C$1:$G$99999,5,FALSE)</f>
        <v>GONZALEZ ARMANDO</v>
      </c>
      <c r="M45" s="6">
        <f>I45-F45</f>
        <v>1.8912037041445728E-2</v>
      </c>
      <c r="N45" s="7"/>
      <c r="O45" s="7"/>
      <c r="P45" s="7">
        <f>24*60*SUM($M45:$M45)</f>
        <v>27.233333339681849</v>
      </c>
      <c r="Q45" s="22"/>
      <c r="R45" s="170" t="s">
        <v>1040</v>
      </c>
      <c r="S45" s="213">
        <f>1/IF(AG45="EC",12,1)*SUM(U45:U46)</f>
        <v>0.75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9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-13T06:58:29-0600',mode:absolute,to:'2017-07-13T09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197" t="str">
        <f>IF(AA45&lt;VLOOKUP(AG45,Variables!$AC$3:$AD$8,2,FALSE),"Y","N")</f>
        <v>Y</v>
      </c>
      <c r="X45" s="197">
        <f>VALUE(LEFT(AD45,4))-VALUE(LEFT(AD44,4))</f>
        <v>1</v>
      </c>
      <c r="Y45" s="197">
        <f>RIGHT(D45,LEN(D45)-4)/10000</f>
        <v>3.7187999999999999</v>
      </c>
      <c r="Z45" s="197">
        <f>RIGHT(H45,LEN(H45)-4)/10000</f>
        <v>23.3291</v>
      </c>
      <c r="AA45" s="197">
        <f>ABS(Z45-Y45)</f>
        <v>19.610300000000002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/stypes="app*4042*20170713*"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4"/>
        <v>"%USERPROFILE%\Documents\GitHub\eaglep3\Utilities\RefineRTDCRunTimes.py" --tripid 133-13 --locoid 4042 --swversion DE.1.0.9.0 --startMP 204:37188 --initTime 2017-07-13T07:58:29 --startdatetime 2017-07-13T07:59:45 --delay 1 --endMP 204:233291 --enddatetime 2017-07-13T08:26:59 --enforcementcount 1 &gt;&gt;C:\Users\stu\Documents\GitHub\eaglep3-reporting\EC\2017-07-13-refined-times.txt</v>
      </c>
      <c r="AI45" s="96" t="str">
        <f t="shared" si="5"/>
        <v>echo {"issue":{"subject":"Minor onboard in-route failure caused unknown signal status","project_id":79,"tracker_id":40,"status_id":1,"priority_id":2,"assigned_to_id":23,"start_date":"2017-07-13","description":"","custom_fields":[{"id":1,"name":"Subdivision","value":"EC"},{"id":4,"name":"Milepost","value":"23.3291"},{"id":17,"name":"Train ID","value":"133-13"},{"id":16,"name":"Locomotive ID","value":"4042"},{"id":130,"name":"Impact","value":""},{"id":150,"name":"Time of Event (Mountain Time)","value":"08:26:59"},{"id":151,"name":"Denver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4042 --day 2017-07-13</v>
      </c>
      <c r="AN45" s="151" t="str">
        <f t="shared" si="7"/>
        <v>echo {"issue":{"subject":"Minor onboard in-route failure caused unknown signal status","project_id":30,"tracker_id":4,"status_id":1,"priority_id":1,"assigned_to_id":10,"start_date":"2017-07-13","description":"","custom_fields":[{"id":30,"name":"Category","value":"Issue"},{"id":3,"name":"Functional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710</v>
      </c>
      <c r="B46" s="7">
        <v>4042</v>
      </c>
      <c r="C46" s="21" t="s">
        <v>199</v>
      </c>
      <c r="D46" s="21" t="s">
        <v>347</v>
      </c>
      <c r="E46" s="13">
        <v>42929.319490740738</v>
      </c>
      <c r="F46" s="13">
        <v>42929.33315972222</v>
      </c>
      <c r="G46" s="7">
        <v>1</v>
      </c>
      <c r="H46" s="21" t="s">
        <v>876</v>
      </c>
      <c r="I46" s="13">
        <v>42929.352071759262</v>
      </c>
      <c r="J46" s="7">
        <v>1</v>
      </c>
      <c r="K46" s="89" t="str">
        <f>IF(ISEVEN(B46),(B46-1)&amp;"/"&amp;B46,B46&amp;"/"&amp;(B46+1))</f>
        <v>4041/4042</v>
      </c>
      <c r="L46" s="21" t="str">
        <f>VLOOKUP(A46,'Trips&amp;Operators'!$C$1:$G$99999,5,FALSE)</f>
        <v>GONZALEZ ARMANDO</v>
      </c>
      <c r="M46" s="6">
        <f>I46-F46</f>
        <v>1.8912037041445728E-2</v>
      </c>
      <c r="N46" s="7"/>
      <c r="O46" s="7"/>
      <c r="P46" s="7"/>
      <c r="Q46" s="22"/>
      <c r="R46" s="170"/>
      <c r="S46" s="213"/>
      <c r="T46" s="195" t="str">
        <f>IF(ISEVEN(LEFT(AD46,4)),"Southbound","NorthBound")</f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-13T06:40:04-0600',mode:absolute,to:'2017-07-13T09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97" t="str">
        <f>IF(AA46&lt;VLOOKUP(AG46,Variables!$AC$3:$AD$8,2,FALSE),"Y","N")</f>
        <v>Y</v>
      </c>
      <c r="X46" s="197">
        <f>VALUE(LEFT(AD46,4))-VALUE(LEFT(AD45,4))</f>
        <v>0</v>
      </c>
      <c r="Y46" s="197">
        <f>RIGHT(D46,LEN(D46)-4)/10000</f>
        <v>4.5100000000000001E-2</v>
      </c>
      <c r="Z46" s="197">
        <f>RIGHT(H46,LEN(H46)-4)/10000</f>
        <v>2.7061000000000002</v>
      </c>
      <c r="AA46" s="197">
        <f>ABS(Z46-Y46)</f>
        <v>2.661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/stypes="app*4042*20170713*" /stext=" 14:.+((SYSTEM_STATE.+slice.+state.+changed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4"/>
        <v>"%USERPROFILE%\Documents\GitHub\eaglep3\Utilities\RefineRTDCRunTimes.py" --tripid 133-13 --locoid 4042 --swversion DE.1.0.9.0 --startMP 204:451 --initTime 2017-07-13T07:40:04 --startdatetime 2017-07-13T07:59:45 --delay 1 --endMP 204:27061 --enddatetime 2017-07-13T08:26:59 --enforcementcount 1 &gt;&gt;C:\Users\stu\Documents\GitHub\eaglep3-reporting\EC\2017-07-13-refined-times.txt</v>
      </c>
      <c r="AI4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{"issue":{"subject":"","project_id":79,"tracker_id":40,"status_id":1,"priority_id":2,"assigned_to_id":23,"start_date":"2017-07-13","description":"","custom_fields":[{"id":1,"name":"Subdivision","value":"EC"},{"id":4,"name":"Milepost","value":"2.7061"},{"id":17,"name":"Train ID","value":"133-13"},{"id":16,"name":"Locomotive ID","value":"4042"},{"id":130,"name":"Impact","value":""},{"id":150,"name":"Time of Event (Mountain Time)","value":"08:26:59"},{"id":151,"name":"Denver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4042 --day 2017-07-13</v>
      </c>
      <c r="AN4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720</v>
      </c>
      <c r="B47" s="7">
        <v>4041</v>
      </c>
      <c r="C47" s="21" t="s">
        <v>199</v>
      </c>
      <c r="D47" s="21" t="s">
        <v>444</v>
      </c>
      <c r="E47" s="13">
        <v>42929.360162037039</v>
      </c>
      <c r="F47" s="13">
        <v>42929.362800925926</v>
      </c>
      <c r="G47" s="7">
        <v>1</v>
      </c>
      <c r="H47" s="21" t="s">
        <v>575</v>
      </c>
      <c r="I47" s="13">
        <v>42929.390740740739</v>
      </c>
      <c r="J47" s="7">
        <v>1</v>
      </c>
      <c r="K47" s="89" t="str">
        <f>IF(ISEVEN(B47),(B47-1)&amp;"/"&amp;B47,B47&amp;"/"&amp;(B47+1))</f>
        <v>4041/4042</v>
      </c>
      <c r="L47" s="21" t="str">
        <f>VLOOKUP(A47,'Trips&amp;Operators'!$C$1:$G$99999,5,FALSE)</f>
        <v>GONZALEZ ARMANDO</v>
      </c>
      <c r="M47" s="6">
        <f>I47-F47</f>
        <v>2.7939814812270924E-2</v>
      </c>
      <c r="N47" s="7">
        <f>24*60*SUM($M47:$M47)</f>
        <v>40.233333329670131</v>
      </c>
      <c r="O47" s="7"/>
      <c r="P47" s="7"/>
      <c r="Q47" s="22"/>
      <c r="R47" s="170"/>
      <c r="S47" s="213">
        <f>1/IF(AG47="EC",12,1)*SUM(U47:U47)</f>
        <v>1</v>
      </c>
      <c r="T47" s="195" t="str">
        <f>IF(ISEVEN(LEFT(AD47,4)),"Southbound","NorthBound")</f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-13T07:38:38-0600',mode:absolute,to:'2017-07-13T10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23.2971</v>
      </c>
      <c r="Z47" s="197">
        <f>RIGHT(H47,LEN(H47)-4)/10000</f>
        <v>1.52E-2</v>
      </c>
      <c r="AA47" s="197">
        <f>ABS(Z47-Y47)</f>
        <v>23.2819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/stypes="app*4041*20170713*" /stext=" 15:.+((SYSTEM_STATE.+slice.+state.+changed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4"/>
        <v>"%USERPROFILE%\Documents\GitHub\eaglep3\Utilities\RefineRTDCRunTimes.py" --tripid 134-13 --locoid 4041 --swversion DE.1.0.9.0 --startMP 204:232971 --initTime 2017-07-13T08:38:38 --startdatetime 2017-07-13T08:42:26 --delay 1 --endMP 204:152 --enddatetime 2017-07-13T09:22:40 --enforcementcount 1 &gt;&gt;C:\Users\stu\Documents\GitHub\eaglep3-reporting\EC\2017-07-13-refined-times.txt</v>
      </c>
      <c r="AI4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ID","value":"134-13"},{"id":16,"name":"Locomotive ID","value":"4041"},{"id":130,"name":"Impact","value":""},{"id":150,"name":"Time of Event (Mountain Time)","value":"09:22:40"},{"id":151,"name":"Denver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4041 --day 2017-07-13</v>
      </c>
      <c r="AN4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712</v>
      </c>
      <c r="B48" s="7">
        <v>4014</v>
      </c>
      <c r="C48" s="21" t="s">
        <v>199</v>
      </c>
      <c r="D48" s="21" t="s">
        <v>196</v>
      </c>
      <c r="E48" s="13">
        <v>42929.329652777778</v>
      </c>
      <c r="F48" s="13">
        <v>42929.33384259259</v>
      </c>
      <c r="G48" s="7">
        <v>1</v>
      </c>
      <c r="H48" s="21" t="s">
        <v>574</v>
      </c>
      <c r="I48" s="13">
        <v>42929.359270833331</v>
      </c>
      <c r="J48" s="7">
        <v>1</v>
      </c>
      <c r="K48" s="89" t="str">
        <f>IF(ISEVEN(B48),(B48-1)&amp;"/"&amp;B48,B48&amp;"/"&amp;(B48+1))</f>
        <v>4013/4014</v>
      </c>
      <c r="L48" s="21" t="str">
        <f>VLOOKUP(A48,'Trips&amp;Operators'!$C$1:$G$99999,5,FALSE)</f>
        <v>LANGERAK WILLIAM</v>
      </c>
      <c r="M48" s="6">
        <f>I48-F48</f>
        <v>2.5428240740438923E-2</v>
      </c>
      <c r="N48" s="7">
        <f>24*60*SUM($M48:$M48)</f>
        <v>36.616666666232049</v>
      </c>
      <c r="O48" s="7"/>
      <c r="P48" s="7"/>
      <c r="Q48" s="22"/>
      <c r="R48" s="170"/>
      <c r="S48" s="213">
        <f>1/IF(AG48="EC",12,1)*SUM(U48:U48)</f>
        <v>1</v>
      </c>
      <c r="T48" s="195" t="str">
        <f>IF(ISEVEN(LEFT(AD48,4)),"Southbound","NorthBound")</f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-13T06:54:42-0600',mode:absolute,to:'2017-07-13T09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4.5699999999999998E-2</v>
      </c>
      <c r="Z48" s="197">
        <f>RIGHT(H48,LEN(H48)-4)/10000</f>
        <v>23.329799999999999</v>
      </c>
      <c r="AA48" s="197">
        <f>ABS(Z48-Y48)</f>
        <v>23.284099999999999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/stypes="app*4014*20170713*" /stext=" 14:.+((SYSTEM_STATE.+slice.+state.+changed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4"/>
        <v>"%USERPROFILE%\Documents\GitHub\eaglep3\Utilities\RefineRTDCRunTimes.py" --tripid 135-13 --locoid 4014 --swversion DE.1.0.9.0 --startMP 204:457 --initTime 2017-07-13T07:54:42 --startdatetime 2017-07-13T08:00:44 --delay 1 --endMP 204:233298 --enddatetime 2017-07-13T08:37:21 --enforcementcount 1 &gt;&gt;C:\Users\stu\Documents\GitHub\eaglep3-reporting\EC\2017-07-13-refined-times.txt</v>
      </c>
      <c r="AI4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{"issue":{"subject":"","project_id":79,"tracker_id":40,"status_id":1,"priority_id":2,"assigned_to_id":23,"start_date":"2017-07-13","description":"","custom_fields":[{"id":1,"name":"Subdivision","value":"EC"},{"id":4,"name":"Milepost","value":"23.3298"},{"id":17,"name":"Train ID","value":"135-13"},{"id":16,"name":"Locomotive ID","value":"4014"},{"id":130,"name":"Impact","value":""},{"id":150,"name":"Time of Event (Mountain Time)","value":"08:37:21"},{"id":151,"name":"Denver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4014 --day 2017-07-13</v>
      </c>
      <c r="AN4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721</v>
      </c>
      <c r="B49" s="7">
        <v>4013</v>
      </c>
      <c r="C49" s="21" t="s">
        <v>199</v>
      </c>
      <c r="D49" s="21" t="s">
        <v>576</v>
      </c>
      <c r="E49" s="13">
        <v>42929.360937500001</v>
      </c>
      <c r="F49" s="13">
        <v>42929.373090277775</v>
      </c>
      <c r="G49" s="7">
        <v>1</v>
      </c>
      <c r="H49" s="21" t="s">
        <v>423</v>
      </c>
      <c r="I49" s="13">
        <v>42929.399513888886</v>
      </c>
      <c r="J49" s="7">
        <v>1</v>
      </c>
      <c r="K49" s="89" t="str">
        <f>IF(ISEVEN(B49),(B49-1)&amp;"/"&amp;B49,B49&amp;"/"&amp;(B49+1))</f>
        <v>4013/4014</v>
      </c>
      <c r="L49" s="21" t="str">
        <f>VLOOKUP(A49,'Trips&amp;Operators'!$C$1:$G$99999,5,FALSE)</f>
        <v>LANGERAK WILLIAM</v>
      </c>
      <c r="M49" s="6">
        <f>I49-F49</f>
        <v>2.6423611110658385E-2</v>
      </c>
      <c r="N49" s="7">
        <f>24*60*SUM($M49:$M49)</f>
        <v>38.049999999348074</v>
      </c>
      <c r="O49" s="7"/>
      <c r="P49" s="7"/>
      <c r="Q49" s="22"/>
      <c r="R49" s="170"/>
      <c r="S49" s="213">
        <f>1/IF(AG49="EC",12,1)*SUM(U49:U49)</f>
        <v>1</v>
      </c>
      <c r="T49" s="195" t="str">
        <f>IF(ISEVEN(LEFT(AD49,4)),"Southbound","NorthBound")</f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-13T07:39:45-0600',mode:absolute,to:'2017-07-13T10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23.2987</v>
      </c>
      <c r="Z49" s="197">
        <f>RIGHT(H49,LEN(H49)-4)/10000</f>
        <v>1.6299999999999999E-2</v>
      </c>
      <c r="AA49" s="197">
        <f>ABS(Z49-Y49)</f>
        <v>23.282399999999999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/stypes="app*4013*20170713*" /stext=" 15:.+((SYSTEM_STATE.+slice.+state.+changed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4"/>
        <v>"%USERPROFILE%\Documents\GitHub\eaglep3\Utilities\RefineRTDCRunTimes.py" --tripid 136-13 --locoid 4013 --swversion DE.1.0.9.0 --startMP 204:232987 --initTime 2017-07-13T08:39:45 --startdatetime 2017-07-13T08:57:15 --delay 1 --endMP 204:163 --enddatetime 2017-07-13T09:35:18 --enforcementcount 1 &gt;&gt;C:\Users\stu\Documents\GitHub\eaglep3-reporting\EC\2017-07-13-refined-times.txt</v>
      </c>
      <c r="AI4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{"issue":{"subject":"","project_id":79,"tracker_id":40,"status_id":1,"priority_id":2,"assigned_to_id":23,"start_date":"2017-07-13","description":"","custom_fields":[{"id":1,"name":"Subdivision","value":"EC"},{"id":4,"name":"Milepost","value":"0.0163"},{"id":17,"name":"Train ID","value":"136-13"},{"id":16,"name":"Locomotive ID","value":"4013"},{"id":130,"name":"Impact","value":""},{"id":150,"name":"Time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4013 --day 2017-07-13</v>
      </c>
      <c r="AN4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714</v>
      </c>
      <c r="B50" s="7">
        <v>4012</v>
      </c>
      <c r="C50" s="21" t="s">
        <v>199</v>
      </c>
      <c r="D50" s="21" t="s">
        <v>196</v>
      </c>
      <c r="E50" s="13">
        <v>42929.338750000003</v>
      </c>
      <c r="F50" s="13">
        <v>42929.344259259262</v>
      </c>
      <c r="G50" s="7">
        <v>1</v>
      </c>
      <c r="H50" s="21" t="s">
        <v>873</v>
      </c>
      <c r="I50" s="13">
        <v>42929.368831018517</v>
      </c>
      <c r="J50" s="7">
        <v>1</v>
      </c>
      <c r="K50" s="89" t="str">
        <f>IF(ISEVEN(B50),(B50-1)&amp;"/"&amp;B50,B50&amp;"/"&amp;(B50+1))</f>
        <v>4011/4012</v>
      </c>
      <c r="L50" s="21" t="str">
        <f>VLOOKUP(A50,'Trips&amp;Operators'!$C$1:$G$99999,5,FALSE)</f>
        <v>GUZMAN DANNY</v>
      </c>
      <c r="M50" s="6">
        <f>I50-F50</f>
        <v>2.4571759255195502E-2</v>
      </c>
      <c r="N50" s="7">
        <f>24*60*SUM($M50:$M50)</f>
        <v>35.383333327481523</v>
      </c>
      <c r="O50" s="7"/>
      <c r="P50" s="7"/>
      <c r="Q50" s="22"/>
      <c r="R50" s="170"/>
      <c r="S50" s="213">
        <f>1/IF(AG50="EC",12,1)*SUM(U50:U50)</f>
        <v>1</v>
      </c>
      <c r="T50" s="195" t="str">
        <f>IF(ISEVEN(LEFT(AD50,4)),"Southbound","NorthBound")</f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-13T07:07:48-0600',mode:absolute,to:'2017-07-13T09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4.5699999999999998E-2</v>
      </c>
      <c r="Z50" s="197">
        <f>RIGHT(H50,LEN(H50)-4)/10000</f>
        <v>23.328399999999998</v>
      </c>
      <c r="AA50" s="197">
        <f>ABS(Z50-Y50)</f>
        <v>23.282699999999998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/stypes="app*4012*20170713*" /stext=" 14:.+((SYSTEM_STATE.+slice.+state.+changed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4"/>
        <v>"%USERPROFILE%\Documents\GitHub\eaglep3\Utilities\RefineRTDCRunTimes.py" --tripid 137-13 --locoid 4012 --swversion DE.1.0.9.0 --startMP 204:457 --initTime 2017-07-13T08:07:48 --startdatetime 2017-07-13T08:15:44 --delay 1 --endMP 204:233284 --enddatetime 2017-07-13T08:51:07 --enforcementcount 1 &gt;&gt;C:\Users\stu\Documents\GitHub\eaglep3-reporting\EC\2017-07-13-refined-times.txt</v>
      </c>
      <c r="AI5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{"issue":{"subject":"","project_id":79,"tracker_id":40,"status_id":1,"priority_id":2,"assigned_to_id":23,"start_date":"2017-07-13","description":"","custom_fields":[{"id":1,"name":"Subdivision","value":"EC"},{"id":4,"name":"Milepost","value":"23.3284"},{"id":17,"name":"Train ID","value":"137-13"},{"id":16,"name":"Locomotive ID","value":"4012"},{"id":130,"name":"Impact","value":""},{"id":150,"name":"Time of Event (Mountain Time)","value":"08:51:07"},{"id":151,"name":"Denver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4012 --day 2017-07-13</v>
      </c>
      <c r="AN5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4011</v>
      </c>
      <c r="C51" s="21" t="s">
        <v>199</v>
      </c>
      <c r="D51" s="21" t="s">
        <v>444</v>
      </c>
      <c r="E51" s="13">
        <v>42929.37127314815</v>
      </c>
      <c r="F51" s="13">
        <v>42929.383506944447</v>
      </c>
      <c r="G51" s="7">
        <v>1</v>
      </c>
      <c r="H51" s="21" t="s">
        <v>539</v>
      </c>
      <c r="I51" s="13">
        <v>42929.410798611112</v>
      </c>
      <c r="J51" s="7">
        <v>1</v>
      </c>
      <c r="K51" s="89" t="str">
        <f>IF(ISEVEN(B51),(B51-1)&amp;"/"&amp;B51,B51&amp;"/"&amp;(B51+1))</f>
        <v>4011/4012</v>
      </c>
      <c r="L51" s="21" t="str">
        <f>VLOOKUP(A51,'Trips&amp;Operators'!$C$1:$G$99999,5,FALSE)</f>
        <v>GUZMAN DANNY</v>
      </c>
      <c r="M51" s="6">
        <f>I51-F51</f>
        <v>2.7291666665405501E-2</v>
      </c>
      <c r="N51" s="7">
        <f>24*60*SUM($M51:$M51)</f>
        <v>39.299999998183921</v>
      </c>
      <c r="O51" s="7"/>
      <c r="P51" s="7"/>
      <c r="Q51" s="22"/>
      <c r="R51" s="170"/>
      <c r="S51" s="213">
        <f>1/IF(AG51="EC",12,1)*SUM(U51:U51)</f>
        <v>1</v>
      </c>
      <c r="T51" s="195" t="str">
        <f>IF(ISEVEN(LEFT(AD51,4)),"Southbound","NorthBound")</f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-13T07:54:38-0600',mode:absolute,to:'2017-07-13T10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23.2971</v>
      </c>
      <c r="Z51" s="197">
        <f>RIGHT(H51,LEN(H51)-4)/10000</f>
        <v>1.7399999999999999E-2</v>
      </c>
      <c r="AA51" s="197">
        <f>ABS(Z51-Y51)</f>
        <v>23.279700000000002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/stypes="app*4011*20170713*"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4"/>
        <v>"%USERPROFILE%\Documents\GitHub\eaglep3\Utilities\RefineRTDCRunTimes.py" --tripid 138-13 --locoid 4011 --swversion DE.1.0.9.0 --startMP 204:232971 --initTime 2017-07-13T08:54:38 --startdatetime 2017-07-13T09:12:15 --delay 1 --endMP 204:174 --enddatetime 2017-07-13T09:51:33 --enforcementcount 1 &gt;&gt;C:\Users\stu\Documents\GitHub\eaglep3-reporting\EC\2017-07-13-refined-times.txt</v>
      </c>
      <c r="AI5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{"issue":{"subject":"","project_id":79,"tracker_id":40,"status_id":1,"priority_id":2,"assigned_to_id":23,"start_date":"2017-07-13","description":"","custom_fields":[{"id":1,"name":"Subdivision","value":"EC"},{"id":4,"name":"Milepost","value":"0.0174"},{"id":17,"name":"Train ID","value":"138-13"},{"id":16,"name":"Locomotive ID","value":"4011"},{"id":130,"name":"Impact","value":""},{"id":150,"name":"Time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4011 --day 2017-07-13</v>
      </c>
      <c r="AN5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718</v>
      </c>
      <c r="B52" s="7">
        <v>4062</v>
      </c>
      <c r="C52" s="21" t="s">
        <v>199</v>
      </c>
      <c r="D52" s="21" t="s">
        <v>347</v>
      </c>
      <c r="E52" s="13">
        <v>42929.352766203701</v>
      </c>
      <c r="F52" s="13">
        <v>42929.355532407404</v>
      </c>
      <c r="G52" s="7">
        <v>1</v>
      </c>
      <c r="H52" s="21" t="s">
        <v>427</v>
      </c>
      <c r="I52" s="13">
        <v>42929.380543981482</v>
      </c>
      <c r="J52" s="7">
        <v>1</v>
      </c>
      <c r="K52" s="89" t="str">
        <f>IF(ISEVEN(B52),(B52-1)&amp;"/"&amp;B52,B52&amp;"/"&amp;(B52+1))</f>
        <v>4061/4062</v>
      </c>
      <c r="L52" s="21" t="str">
        <f>VLOOKUP(A52,'Trips&amp;Operators'!$C$1:$G$99999,5,FALSE)</f>
        <v>MILLER KEVIN</v>
      </c>
      <c r="M52" s="6">
        <f>I52-F52</f>
        <v>2.5011574078234844E-2</v>
      </c>
      <c r="N52" s="7">
        <f>24*60*SUM($M52:$M52)</f>
        <v>36.016666672658175</v>
      </c>
      <c r="O52" s="7"/>
      <c r="P52" s="7"/>
      <c r="Q52" s="22"/>
      <c r="R52" s="170"/>
      <c r="S52" s="213">
        <f>1/IF(AG52="EC",12,1)*SUM(U52:U52)</f>
        <v>1</v>
      </c>
      <c r="T52" s="195" t="str">
        <f>IF(ISEVEN(LEFT(AD52,4)),"Southbound","NorthBound")</f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-13T07:27:59-0600',mode:absolute,to:'2017-07-13T10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4.5100000000000001E-2</v>
      </c>
      <c r="Z52" s="197">
        <f>RIGHT(H52,LEN(H52)-4)/10000</f>
        <v>23.329699999999999</v>
      </c>
      <c r="AA52" s="197">
        <f>ABS(Z52-Y52)</f>
        <v>23.284599999999998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/stypes="app*4062*20170713*" /stext=" 15:.+((SYSTEM_STATE.+slice.+state.+changed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4"/>
        <v>"%USERPROFILE%\Documents\GitHub\eaglep3\Utilities\RefineRTDCRunTimes.py" --tripid 139-13 --locoid 4062 --swversion DE.1.0.9.0 --startMP 204:451 --initTime 2017-07-13T08:27:59 --startdatetime 2017-07-13T08:31:58 --delay 1 --endMP 204:233297 --enddatetime 2017-07-13T09:07:59 --enforcementcount 1 &gt;&gt;C:\Users\stu\Documents\GitHub\eaglep3-reporting\EC\2017-07-13-refined-times.txt</v>
      </c>
      <c r="AI5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{"issue":{"subject":"","project_id":79,"tracker_id":40,"status_id":1,"priority_id":2,"assigned_to_id":23,"start_date":"2017-07-13","description":"","custom_fields":[{"id":1,"name":"Subdivision","value":"EC"},{"id":4,"name":"Milepost","value":"23.3297"},{"id":17,"name":"Train ID","value":"139-13"},{"id":16,"name":"Locomotive ID","value":"4062"},{"id":130,"name":"Impact","value":""},{"id":150,"name":"Time of Event (Mountain Time)","value":"09:07:59"},{"id":151,"name":"Denver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4062 --day 2017-07-13</v>
      </c>
      <c r="AN5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726</v>
      </c>
      <c r="B53" s="7">
        <v>4061</v>
      </c>
      <c r="C53" s="21" t="s">
        <v>199</v>
      </c>
      <c r="D53" s="21" t="s">
        <v>576</v>
      </c>
      <c r="E53" s="13">
        <v>42929.382928240739</v>
      </c>
      <c r="F53" s="13">
        <v>42929.393958333334</v>
      </c>
      <c r="G53" s="7">
        <v>1</v>
      </c>
      <c r="H53" s="21" t="s">
        <v>500</v>
      </c>
      <c r="I53" s="13">
        <v>42929.421377314815</v>
      </c>
      <c r="J53" s="7">
        <v>1</v>
      </c>
      <c r="K53" s="89" t="str">
        <f>IF(ISEVEN(B53),(B53-1)&amp;"/"&amp;B53,B53&amp;"/"&amp;(B53+1))</f>
        <v>4061/4062</v>
      </c>
      <c r="L53" s="21" t="str">
        <f>VLOOKUP(A53,'Trips&amp;Operators'!$C$1:$G$99999,5,FALSE)</f>
        <v>MILLER KEVIN</v>
      </c>
      <c r="M53" s="6">
        <f>I53-F53</f>
        <v>2.7418981480877846E-2</v>
      </c>
      <c r="N53" s="7">
        <f>24*60*SUM($M53:$M53)</f>
        <v>39.483333332464099</v>
      </c>
      <c r="O53" s="7"/>
      <c r="P53" s="7"/>
      <c r="Q53" s="22"/>
      <c r="R53" s="170"/>
      <c r="S53" s="213">
        <f>1/IF(AG53="EC",12,1)*SUM(U53:U53)</f>
        <v>1</v>
      </c>
      <c r="T53" s="195" t="str">
        <f>IF(ISEVEN(LEFT(AD53,4)),"Southbound","NorthBound")</f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-13T08:11:25-0600',mode:absolute,to:'2017-07-13T11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23.2987</v>
      </c>
      <c r="Z53" s="197">
        <f>RIGHT(H53,LEN(H53)-4)/10000</f>
        <v>1.5800000000000002E-2</v>
      </c>
      <c r="AA53" s="197">
        <f>ABS(Z53-Y53)</f>
        <v>23.282900000000001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/stypes="app*4061*20170713*" /stext=" 16:.+((SYSTEM_STATE.+slice.+state.+changed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4"/>
        <v>"%USERPROFILE%\Documents\GitHub\eaglep3\Utilities\RefineRTDCRunTimes.py" --tripid 140-13 --locoid 4061 --swversion DE.1.0.9.0 --startMP 204:232987 --initTime 2017-07-13T09:11:25 --startdatetime 2017-07-13T09:27:18 --delay 1 --endMP 204:158 --enddatetime 2017-07-13T10:06:47 --enforcementcount 1 &gt;&gt;C:\Users\stu\Documents\GitHub\eaglep3-reporting\EC\2017-07-13-refined-times.txt</v>
      </c>
      <c r="AI5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{"issue":{"subject":"","project_id":79,"tracker_id":40,"status_id":1,"priority_id":2,"assigned_to_id":23,"start_date":"2017-07-13","description":"","custom_fields":[{"id":1,"name":"Subdivision","value":"EC"},{"id":4,"name":"Milepost","value":"0.0158"},{"id":17,"name":"Train ID","value":"140-13"},{"id":16,"name":"Locomotive ID","value":"4061"},{"id":130,"name":"Impact","value":""},{"id":150,"name":"Time of Event (Mountain Time)","value":"10:06:47"},{"id":151,"name":"Denver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4061 --day 2017-07-13</v>
      </c>
      <c r="AN5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722</v>
      </c>
      <c r="B54" s="7">
        <v>4022</v>
      </c>
      <c r="C54" s="21" t="s">
        <v>199</v>
      </c>
      <c r="D54" s="21" t="s">
        <v>349</v>
      </c>
      <c r="E54" s="13">
        <v>42929.363807870373</v>
      </c>
      <c r="F54" s="13">
        <v>42929.365254629629</v>
      </c>
      <c r="G54" s="7">
        <v>1</v>
      </c>
      <c r="H54" s="21" t="s">
        <v>873</v>
      </c>
      <c r="I54" s="13">
        <v>42929.389421296299</v>
      </c>
      <c r="J54" s="7">
        <v>1</v>
      </c>
      <c r="K54" s="89" t="str">
        <f>IF(ISEVEN(B54),(B54-1)&amp;"/"&amp;B54,B54&amp;"/"&amp;(B54+1))</f>
        <v>4021/4022</v>
      </c>
      <c r="L54" s="21" t="str">
        <f>VLOOKUP(A54,'Trips&amp;Operators'!$C$1:$G$99999,5,FALSE)</f>
        <v>LOZA FIDEL</v>
      </c>
      <c r="M54" s="6">
        <f>I54-F54</f>
        <v>2.4166666669771075E-2</v>
      </c>
      <c r="N54" s="7">
        <f>24*60*SUM($M54:$M54)</f>
        <v>34.800000004470348</v>
      </c>
      <c r="O54" s="7"/>
      <c r="P54" s="7"/>
      <c r="Q54" s="22"/>
      <c r="R54" s="170"/>
      <c r="S54" s="213">
        <f>1/IF(AG54="EC",12,1)*SUM(U54:U54)</f>
        <v>1</v>
      </c>
      <c r="T54" s="195" t="str">
        <f>IF(ISEVEN(LEFT(AD54,4)),"Southbound","NorthBound")</f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-13T07:43:53-0600',mode:absolute,to:'2017-07-13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4.53E-2</v>
      </c>
      <c r="Z54" s="197">
        <f>RIGHT(H54,LEN(H54)-4)/10000</f>
        <v>23.328399999999998</v>
      </c>
      <c r="AA54" s="197">
        <f>ABS(Z54-Y54)</f>
        <v>23.283099999999997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/stypes="app*4022*20170713*" /stext=" 15:.+((SYSTEM_STATE.+slice.+state.+changed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4"/>
        <v>"%USERPROFILE%\Documents\GitHub\eaglep3\Utilities\RefineRTDCRunTimes.py" --tripid 141-13 --locoid 4022 --swversion DE.1.0.9.0 --startMP 204:453 --initTime 2017-07-13T08:43:53 --startdatetime 2017-07-13T08:45:58 --delay 1 --endMP 204:233284 --enddatetime 2017-07-13T09:20:46 --enforcementcount 1 &gt;&gt;C:\Users\stu\Documents\GitHub\eaglep3-reporting\EC\2017-07-13-refined-times.txt</v>
      </c>
      <c r="AI54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{"issue":{"subject":"","project_id":79,"tracker_id":40,"status_id":1,"priority_id":2,"assigned_to_id":23,"start_date":"2017-07-13","description":"","custom_fields":[{"id":1,"name":"Subdivision","value":"EC"},{"id":4,"name":"Milepost","value":"23.3284"},{"id":17,"name":"Train ID","value":"141-13"},{"id":16,"name":"Locomotive ID","value":"4022"},{"id":130,"name":"Impact","value":""},{"id":150,"name":"Time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4022 --day 2017-07-13</v>
      </c>
      <c r="AN54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731</v>
      </c>
      <c r="B55" s="7">
        <v>4021</v>
      </c>
      <c r="C55" s="21" t="s">
        <v>199</v>
      </c>
      <c r="D55" s="21" t="s">
        <v>584</v>
      </c>
      <c r="E55" s="13">
        <v>42929.403078703705</v>
      </c>
      <c r="F55" s="13">
        <v>42929.404652777775</v>
      </c>
      <c r="G55" s="7">
        <v>0</v>
      </c>
      <c r="H55" s="21" t="s">
        <v>343</v>
      </c>
      <c r="I55" s="13">
        <v>42929.431284722225</v>
      </c>
      <c r="J55" s="7">
        <v>1</v>
      </c>
      <c r="K55" s="89" t="str">
        <f>IF(ISEVEN(B55),(B55-1)&amp;"/"&amp;B55,B55&amp;"/"&amp;(B55+1))</f>
        <v>4021/4022</v>
      </c>
      <c r="L55" s="21" t="str">
        <f>VLOOKUP(A55,'Trips&amp;Operators'!$C$1:$G$99999,5,FALSE)</f>
        <v>LOZA FIDEL</v>
      </c>
      <c r="M55" s="6">
        <f>I55-F55</f>
        <v>2.6631944449036382E-2</v>
      </c>
      <c r="N55" s="7">
        <f>24*60*SUM($M55:$M55)</f>
        <v>38.35000000661239</v>
      </c>
      <c r="O55" s="7"/>
      <c r="P55" s="7"/>
      <c r="Q55" s="22"/>
      <c r="R55" s="170"/>
      <c r="S55" s="213">
        <f>1/IF(AG55="EC",12,1)*SUM(U55:U55)</f>
        <v>1</v>
      </c>
      <c r="T55" s="195" t="str">
        <f>IF(ISEVEN(LEFT(AD55,4)),"Southbound","NorthBound")</f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-13T08:40:26-0600',mode:absolute,to:'2017-07-13T11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23.298999999999999</v>
      </c>
      <c r="Z55" s="197">
        <f>RIGHT(H55,LEN(H55)-4)/10000</f>
        <v>1.4999999999999999E-2</v>
      </c>
      <c r="AA55" s="197">
        <f>ABS(Z55-Y55)</f>
        <v>23.283999999999999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/stypes="app*4021*20170713*" /stext=" 16:.+((SYSTEM_STATE.+slice.+state.+changed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4"/>
        <v>"%USERPROFILE%\Documents\GitHub\eaglep3\Utilities\RefineRTDCRunTimes.py" --tripid 142-13 --locoid 4021 --swversion DE.1.0.9.0 --startMP 204:232990 --initTime 2017-07-13T09:40:26 --startdatetime 2017-07-13T09:42:42 --delay 0 --endMP 204:150 --enddatetime 2017-07-13T10:21:03 --enforcementcount 1 &gt;&gt;C:\Users\stu\Documents\GitHub\eaglep3-reporting\EC\2017-07-13-refined-times.txt</v>
      </c>
      <c r="AI5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ID","value":"142-13"},{"id":16,"name":"Locomotive ID","value":"4021"},{"id":130,"name":"Impact","value":""},{"id":150,"name":"Time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4021 --day 2017-07-13</v>
      </c>
      <c r="AN5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724</v>
      </c>
      <c r="B56" s="7">
        <v>4028</v>
      </c>
      <c r="C56" s="21" t="s">
        <v>199</v>
      </c>
      <c r="D56" s="21" t="s">
        <v>435</v>
      </c>
      <c r="E56" s="13">
        <v>42929.371666666666</v>
      </c>
      <c r="F56" s="13">
        <v>42929.375486111108</v>
      </c>
      <c r="G56" s="7">
        <v>1</v>
      </c>
      <c r="H56" s="21" t="s">
        <v>867</v>
      </c>
      <c r="I56" s="13">
        <v>42929.400196759256</v>
      </c>
      <c r="J56" s="7">
        <v>1</v>
      </c>
      <c r="K56" s="89" t="str">
        <f>IF(ISEVEN(B56),(B56-1)&amp;"/"&amp;B56,B56&amp;"/"&amp;(B56+1))</f>
        <v>4027/4028</v>
      </c>
      <c r="L56" s="21" t="str">
        <f>VLOOKUP(A56,'Trips&amp;Operators'!$C$1:$G$99999,5,FALSE)</f>
        <v>YANAI IAN</v>
      </c>
      <c r="M56" s="6">
        <f>I56-F56</f>
        <v>2.47106481474475E-2</v>
      </c>
      <c r="N56" s="7">
        <f>24*60*SUM($M56:$M56)</f>
        <v>35.583333332324401</v>
      </c>
      <c r="O56" s="7"/>
      <c r="P56" s="7"/>
      <c r="Q56" s="22"/>
      <c r="R56" s="170"/>
      <c r="S56" s="213">
        <f>1/IF(AG56="EC",12,1)*SUM(U56:U56)</f>
        <v>1</v>
      </c>
      <c r="T56" s="195" t="str">
        <f>IF(ISEVEN(LEFT(AD56,4)),"Southbound","NorthBound")</f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-13T07:55:12-0600',mode:absolute,to:'2017-07-13T10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4.3299999999999998E-2</v>
      </c>
      <c r="Z56" s="197">
        <f>RIGHT(H56,LEN(H56)-4)/10000</f>
        <v>23.3293</v>
      </c>
      <c r="AA56" s="197">
        <f>ABS(Z56-Y56)</f>
        <v>23.286000000000001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/stypes="app*4028*20170713*" /stext=" 15:.+((SYSTEM_STATE.+slice.+state.+changed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4"/>
        <v>"%USERPROFILE%\Documents\GitHub\eaglep3\Utilities\RefineRTDCRunTimes.py" --tripid 143-13 --locoid 4028 --swversion DE.1.0.9.0 --startMP 204:433 --initTime 2017-07-13T08:55:12 --startdatetime 2017-07-13T09:00:42 --delay 1 --endMP 204:233293 --enddatetime 2017-07-13T09:36:17 --enforcementcount 1 &gt;&gt;C:\Users\stu\Documents\GitHub\eaglep3-reporting\EC\2017-07-13-refined-times.txt</v>
      </c>
      <c r="AI5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{"issue":{"subject":"","project_id":79,"tracker_id":40,"status_id":1,"priority_id":2,"assigned_to_id":23,"start_date":"2017-07-13","description":"","custom_fields":[{"id":1,"name":"Subdivision","value":"EC"},{"id":4,"name":"Milepost","value":"23.3293"},{"id":17,"name":"Train ID","value":"143-13"},{"id":16,"name":"Locomotive ID","value":"4028"},{"id":130,"name":"Impact","value":""},{"id":150,"name":"Time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4028 --day 2017-07-13</v>
      </c>
      <c r="AN5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730</v>
      </c>
      <c r="B57" s="7">
        <v>4027</v>
      </c>
      <c r="C57" s="21" t="s">
        <v>199</v>
      </c>
      <c r="D57" s="21" t="s">
        <v>877</v>
      </c>
      <c r="E57" s="13">
        <v>42929.401296296295</v>
      </c>
      <c r="F57" s="13">
        <v>42929.414756944447</v>
      </c>
      <c r="G57" s="7">
        <v>1</v>
      </c>
      <c r="H57" s="21" t="s">
        <v>575</v>
      </c>
      <c r="I57" s="13">
        <v>42929.440810185188</v>
      </c>
      <c r="J57" s="7">
        <v>1</v>
      </c>
      <c r="K57" s="89" t="str">
        <f>IF(ISEVEN(B57),(B57-1)&amp;"/"&amp;B57,B57&amp;"/"&amp;(B57+1))</f>
        <v>4027/4028</v>
      </c>
      <c r="L57" s="21" t="str">
        <f>VLOOKUP(A57,'Trips&amp;Operators'!$C$1:$G$99999,5,FALSE)</f>
        <v>YANAI IAN</v>
      </c>
      <c r="M57" s="6">
        <f>I57-F57</f>
        <v>2.6053240741021E-2</v>
      </c>
      <c r="N57" s="7">
        <f>24*60*SUM($M57:$M57)</f>
        <v>37.51666666707024</v>
      </c>
      <c r="O57" s="7"/>
      <c r="P57" s="7"/>
      <c r="Q57" s="22"/>
      <c r="R57" s="170"/>
      <c r="S57" s="213">
        <f>1/IF(AG57="EC",12,1)*SUM(U57:U57)</f>
        <v>1</v>
      </c>
      <c r="T57" s="195" t="str">
        <f>IF(ISEVEN(LEFT(AD57,4)),"Southbound","NorthBound")</f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-13T08:37:52-0600',mode:absolute,to:'2017-07-13T11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23.299099999999999</v>
      </c>
      <c r="Z57" s="197">
        <f>RIGHT(H57,LEN(H57)-4)/10000</f>
        <v>1.52E-2</v>
      </c>
      <c r="AA57" s="197">
        <f>ABS(Z57-Y57)</f>
        <v>23.283899999999999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/stypes="app*4027*20170713*" /stext=" 16:.+((SYSTEM_STATE.+slice.+state.+changed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4"/>
        <v>"%USERPROFILE%\Documents\GitHub\eaglep3\Utilities\RefineRTDCRunTimes.py" --tripid 144-13 --locoid 4027 --swversion DE.1.0.9.0 --startMP 204:232991 --initTime 2017-07-13T09:37:52 --startdatetime 2017-07-13T09:57:15 --delay 1 --endMP 204:152 --enddatetime 2017-07-13T10:34:46 --enforcementcount 1 &gt;&gt;C:\Users\stu\Documents\GitHub\eaglep3-reporting\EC\2017-07-13-refined-times.txt</v>
      </c>
      <c r="AI5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ID","value":"144-13"},{"id":16,"name":"Locomotive ID","value":"4027"},{"id":130,"name":"Impact","value":""},{"id":150,"name":"Time of Event (Mountain Time)","value":"10:34:46"},{"id":151,"name":"Denver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4027 --day 2017-07-13</v>
      </c>
      <c r="AN5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727</v>
      </c>
      <c r="B58" s="7">
        <v>4008</v>
      </c>
      <c r="C58" s="21" t="s">
        <v>199</v>
      </c>
      <c r="D58" s="21" t="s">
        <v>878</v>
      </c>
      <c r="E58" s="13">
        <v>42929.385196759256</v>
      </c>
      <c r="F58" s="13">
        <v>42929.386863425927</v>
      </c>
      <c r="G58" s="7">
        <v>1</v>
      </c>
      <c r="H58" s="21" t="s">
        <v>577</v>
      </c>
      <c r="I58" s="13">
        <v>42929.410081018519</v>
      </c>
      <c r="J58" s="7">
        <v>1</v>
      </c>
      <c r="K58" s="89" t="str">
        <f>IF(ISEVEN(B58),(B58-1)&amp;"/"&amp;B58,B58&amp;"/"&amp;(B58+1))</f>
        <v>4007/4008</v>
      </c>
      <c r="L58" s="21" t="str">
        <f>VLOOKUP(A58,'Trips&amp;Operators'!$C$1:$G$99999,5,FALSE)</f>
        <v>HELVIE ADAM</v>
      </c>
      <c r="M58" s="6">
        <f>I58-F58</f>
        <v>2.3217592592118308E-2</v>
      </c>
      <c r="N58" s="7">
        <f>24*60*SUM($M58:$M58)</f>
        <v>33.433333332650363</v>
      </c>
      <c r="O58" s="7"/>
      <c r="P58" s="7"/>
      <c r="Q58" s="22"/>
      <c r="R58" s="170"/>
      <c r="S58" s="213">
        <f>1/IF(AG58="EC",12,1)*SUM(U58:U58)</f>
        <v>1</v>
      </c>
      <c r="T58" s="195" t="str">
        <f>IF(ISEVEN(LEFT(AD58,4)),"Southbound","NorthBound")</f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-13T08:14:41-0600',mode:absolute,to:'2017-07-13T10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4.7800000000000002E-2</v>
      </c>
      <c r="Z58" s="197">
        <f>RIGHT(H58,LEN(H58)-4)/10000</f>
        <v>23.328600000000002</v>
      </c>
      <c r="AA58" s="197">
        <f>ABS(Z58-Y58)</f>
        <v>23.280800000000003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/stypes="app*4008*20170713*" /stext=" 15:.+((SYSTEM_STATE.+slice.+state.+changed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4"/>
        <v>"%USERPROFILE%\Documents\GitHub\eaglep3\Utilities\RefineRTDCRunTimes.py" --tripid 145-13 --locoid 4008 --swversion DE.1.0.9.0 --startMP 204:478 --initTime 2017-07-13T09:14:41 --startdatetime 2017-07-13T09:17:05 --delay 1 --endMP 204:233286 --enddatetime 2017-07-13T09:50:31 --enforcementcount 1 &gt;&gt;C:\Users\stu\Documents\GitHub\eaglep3-reporting\EC\2017-07-13-refined-times.txt</v>
      </c>
      <c r="AI5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{"issue":{"subject":"","project_id":79,"tracker_id":40,"status_id":1,"priority_id":2,"assigned_to_id":23,"start_date":"2017-07-13","description":"","custom_fields":[{"id":1,"name":"Subdivision","value":"EC"},{"id":4,"name":"Milepost","value":"23.3286"},{"id":17,"name":"Train ID","value":"145-13"},{"id":16,"name":"Locomotive ID","value":"4008"},{"id":130,"name":"Impact","value":""},{"id":150,"name":"Time of Event (Mountain Time)","value":"09:50:31"},{"id":151,"name":"Denver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4008 --day 2017-07-13</v>
      </c>
      <c r="AN5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733</v>
      </c>
      <c r="B59" s="7">
        <v>4007</v>
      </c>
      <c r="C59" s="21" t="s">
        <v>199</v>
      </c>
      <c r="D59" s="21" t="s">
        <v>879</v>
      </c>
      <c r="E59" s="13">
        <v>42929.421747685185</v>
      </c>
      <c r="F59" s="13">
        <v>42929.425162037034</v>
      </c>
      <c r="G59" s="7">
        <v>1</v>
      </c>
      <c r="H59" s="21" t="s">
        <v>388</v>
      </c>
      <c r="I59" s="13">
        <v>42929.451516203706</v>
      </c>
      <c r="J59" s="7">
        <v>1</v>
      </c>
      <c r="K59" s="89" t="str">
        <f>IF(ISEVEN(B59),(B59-1)&amp;"/"&amp;B59,B59&amp;"/"&amp;(B59+1))</f>
        <v>4007/4008</v>
      </c>
      <c r="L59" s="21" t="str">
        <f>VLOOKUP(A59,'Trips&amp;Operators'!$C$1:$G$99999,5,FALSE)</f>
        <v>HELVIE ADAM</v>
      </c>
      <c r="M59" s="6">
        <f>I59-F59</f>
        <v>2.6354166671808343E-2</v>
      </c>
      <c r="N59" s="7">
        <f>24*60*SUM($M59:$M59)</f>
        <v>37.950000007404014</v>
      </c>
      <c r="O59" s="7"/>
      <c r="P59" s="7"/>
      <c r="Q59" s="22"/>
      <c r="R59" s="170"/>
      <c r="S59" s="213">
        <f>1/IF(AG59="EC",12,1)*SUM(U59:U59)</f>
        <v>1</v>
      </c>
      <c r="T59" s="195" t="str">
        <f>IF(ISEVEN(LEFT(AD59,4)),"Southbound","NorthBound")</f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-13T09:07:19-0600',mode:absolute,to:'2017-07-13T11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23.2957</v>
      </c>
      <c r="Z59" s="197">
        <f>RIGHT(H59,LEN(H59)-4)/10000</f>
        <v>1.4500000000000001E-2</v>
      </c>
      <c r="AA59" s="197">
        <f>ABS(Z59-Y59)</f>
        <v>23.281199999999998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/stypes="app*4007*20170713*"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4"/>
        <v>"%USERPROFILE%\Documents\GitHub\eaglep3\Utilities\RefineRTDCRunTimes.py" --tripid 146-13 --locoid 4007 --swversion DE.1.0.9.0 --startMP 204:232957 --initTime 2017-07-13T10:07:19 --startdatetime 2017-07-13T10:12:14 --delay 1 --endMP 204:145 --enddatetime 2017-07-13T10:50:11 --enforcementcount 1 &gt;&gt;C:\Users\stu\Documents\GitHub\eaglep3-reporting\EC\2017-07-13-refined-times.txt</v>
      </c>
      <c r="AI5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ID","value":"146-13"},{"id":16,"name":"Locomotive ID","value":"4007"},{"id":130,"name":"Impact","value":""},{"id":150,"name":"Time of Event (Mountain Time)","value":"10:50:11"},{"id":151,"name":"Denver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4007 --day 2017-07-13</v>
      </c>
      <c r="AN5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728</v>
      </c>
      <c r="B60" s="7">
        <v>4042</v>
      </c>
      <c r="C60" s="21" t="s">
        <v>199</v>
      </c>
      <c r="D60" s="21" t="s">
        <v>417</v>
      </c>
      <c r="E60" s="13">
        <v>42929.392627314817</v>
      </c>
      <c r="F60" s="13">
        <v>42929.396412037036</v>
      </c>
      <c r="G60" s="7">
        <v>1</v>
      </c>
      <c r="H60" s="21" t="s">
        <v>532</v>
      </c>
      <c r="I60" s="13">
        <v>42929.422395833331</v>
      </c>
      <c r="J60" s="7">
        <v>1</v>
      </c>
      <c r="K60" s="89" t="str">
        <f>IF(ISEVEN(B60),(B60-1)&amp;"/"&amp;B60,B60&amp;"/"&amp;(B60+1))</f>
        <v>4041/4042</v>
      </c>
      <c r="L60" s="21" t="str">
        <f>VLOOKUP(A60,'Trips&amp;Operators'!$C$1:$G$99999,5,FALSE)</f>
        <v>GONZALEZ ARMANDO</v>
      </c>
      <c r="M60" s="6">
        <f>I60-F60</f>
        <v>2.5983796294895001E-2</v>
      </c>
      <c r="N60" s="7">
        <f>24*60*SUM($M60:$M60)</f>
        <v>37.416666664648801</v>
      </c>
      <c r="O60" s="7"/>
      <c r="P60" s="7"/>
      <c r="Q60" s="22"/>
      <c r="R60" s="170"/>
      <c r="S60" s="213">
        <f>1/IF(AG60="EC",12,1)*SUM(U60:U60)</f>
        <v>1</v>
      </c>
      <c r="T60" s="195" t="str">
        <f>IF(ISEVEN(LEFT(AD60,4)),"Southbound","NorthBound")</f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-13T08:25:23-0600',mode:absolute,to:'2017-07-13T11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4.58E-2</v>
      </c>
      <c r="Z60" s="197">
        <f>RIGHT(H60,LEN(H60)-4)/10000</f>
        <v>23.330200000000001</v>
      </c>
      <c r="AA60" s="197">
        <f>ABS(Z60-Y60)</f>
        <v>23.284400000000002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/stypes="app*4042*20170713*" /stext=" 16:.+((SYSTEM_STATE.+slice.+state.+changed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4"/>
        <v>"%USERPROFILE%\Documents\GitHub\eaglep3\Utilities\RefineRTDCRunTimes.py" --tripid 147-13 --locoid 4042 --swversion DE.1.0.9.0 --startMP 204:458 --initTime 2017-07-13T09:25:23 --startdatetime 2017-07-13T09:30:50 --delay 1 --endMP 204:233302 --enddatetime 2017-07-13T10:08:15 --enforcementcount 1 &gt;&gt;C:\Users\stu\Documents\GitHub\eaglep3-reporting\EC\2017-07-13-refined-times.txt</v>
      </c>
      <c r="AI6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{"issue":{"subject":"","project_id":79,"tracker_id":40,"status_id":1,"priority_id":2,"assigned_to_id":23,"start_date":"2017-07-13","description":"","custom_fields":[{"id":1,"name":"Subdivision","value":"EC"},{"id":4,"name":"Milepost","value":"23.3302"},{"id":17,"name":"Train ID","value":"147-13"},{"id":16,"name":"Locomotive ID","value":"4042"},{"id":130,"name":"Impact","value":""},{"id":150,"name":"Time of Event (Mountain Time)","value":"10:08:15"},{"id":151,"name":"Denver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4042 --day 2017-07-13</v>
      </c>
      <c r="AN6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736</v>
      </c>
      <c r="B61" s="7">
        <v>4041</v>
      </c>
      <c r="C61" s="21" t="s">
        <v>199</v>
      </c>
      <c r="D61" s="21" t="s">
        <v>478</v>
      </c>
      <c r="E61" s="13">
        <v>42929.433020833334</v>
      </c>
      <c r="F61" s="13">
        <v>42929.435578703706</v>
      </c>
      <c r="G61" s="7">
        <v>0</v>
      </c>
      <c r="H61" s="21" t="s">
        <v>393</v>
      </c>
      <c r="I61" s="13">
        <v>42929.462754629632</v>
      </c>
      <c r="J61" s="7">
        <v>1</v>
      </c>
      <c r="K61" s="89" t="str">
        <f>IF(ISEVEN(B61),(B61-1)&amp;"/"&amp;B61,B61&amp;"/"&amp;(B61+1))</f>
        <v>4041/4042</v>
      </c>
      <c r="L61" s="21" t="str">
        <f>VLOOKUP(A61,'Trips&amp;Operators'!$C$1:$G$99999,5,FALSE)</f>
        <v>GONZALEZ ARMANDO</v>
      </c>
      <c r="M61" s="6">
        <f>I61-F61</f>
        <v>2.7175925926712807E-2</v>
      </c>
      <c r="N61" s="7">
        <f>24*60*SUM($M61:$M61)</f>
        <v>39.133333334466442</v>
      </c>
      <c r="O61" s="7"/>
      <c r="P61" s="7"/>
      <c r="Q61" s="22"/>
      <c r="R61" s="170"/>
      <c r="S61" s="213">
        <f>1/IF(AG61="EC",12,1)*SUM(U61:U61)</f>
        <v>1</v>
      </c>
      <c r="T61" s="195" t="str">
        <f>IF(ISEVEN(LEFT(AD61,4)),"Southbound","NorthBound")</f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-13T09:23:33-0600',mode:absolute,to:'2017-07-13T12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23.298100000000002</v>
      </c>
      <c r="Z61" s="197">
        <f>RIGHT(H61,LEN(H61)-4)/10000</f>
        <v>1.5599999999999999E-2</v>
      </c>
      <c r="AA61" s="197">
        <f>ABS(Z61-Y61)</f>
        <v>23.282500000000002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/stypes="app*4041*20170713*" /stext=" 17:.+((SYSTEM_STATE.+slice.+state.+changed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4"/>
        <v>"%USERPROFILE%\Documents\GitHub\eaglep3\Utilities\RefineRTDCRunTimes.py" --tripid 148-13 --locoid 4041 --swversion DE.1.0.9.0 --startMP 204:232981 --initTime 2017-07-13T10:23:33 --startdatetime 2017-07-13T10:27:14 --delay 0 --endMP 204:156 --enddatetime 2017-07-13T11:06:22 --enforcementcount 1 &gt;&gt;C:\Users\stu\Documents\GitHub\eaglep3-reporting\EC\2017-07-13-refined-times.txt</v>
      </c>
      <c r="AI6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{"issue":{"subject":"","project_id":79,"tracker_id":40,"status_id":1,"priority_id":2,"assigned_to_id":23,"start_date":"2017-07-13","description":"","custom_fields":[{"id":1,"name":"Subdivision","value":"EC"},{"id":4,"name":"Milepost","value":"0.0156"},{"id":17,"name":"Train ID","value":"148-13"},{"id":16,"name":"Locomotive ID","value":"4041"},{"id":130,"name":"Impact","value":""},{"id":150,"name":"Time of Event (Mountain Time)","value":"11:06:22"},{"id":151,"name":"Denver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4041 --day 2017-07-13</v>
      </c>
      <c r="AN6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625</v>
      </c>
      <c r="B62" s="7">
        <v>4014</v>
      </c>
      <c r="C62" s="21" t="s">
        <v>199</v>
      </c>
      <c r="D62" s="21" t="s">
        <v>538</v>
      </c>
      <c r="E62" s="13">
        <v>42929.40221064815</v>
      </c>
      <c r="F62" s="13">
        <v>42929.406840277778</v>
      </c>
      <c r="G62" s="7">
        <v>1</v>
      </c>
      <c r="H62" s="21" t="s">
        <v>419</v>
      </c>
      <c r="I62" s="13">
        <v>42929.431400462963</v>
      </c>
      <c r="J62" s="7">
        <v>1</v>
      </c>
      <c r="K62" s="89" t="str">
        <f>IF(ISEVEN(B62),(B62-1)&amp;"/"&amp;B62,B62&amp;"/"&amp;(B62+1))</f>
        <v>4013/4014</v>
      </c>
      <c r="L62" s="21" t="str">
        <f>VLOOKUP(A62,'Trips&amp;Operators'!$C$1:$G$99999,5,FALSE)</f>
        <v>LANGERAK WILLIAM</v>
      </c>
      <c r="M62" s="6">
        <f>I62-F62</f>
        <v>2.4560185185691807E-2</v>
      </c>
      <c r="N62" s="7">
        <f>24*60*SUM($M62:$M62)</f>
        <v>35.366666667396203</v>
      </c>
      <c r="O62" s="7"/>
      <c r="P62" s="7"/>
      <c r="Q62" s="22"/>
      <c r="R62" s="170"/>
      <c r="S62" s="213">
        <f>1/IF(AG62="EC",12,1)*SUM(U62:U62)</f>
        <v>1</v>
      </c>
      <c r="T62" s="195" t="str">
        <f>IF(ISEVEN(LEFT(AD62,4)),"Southbound","NorthBound")</f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-13T08:39:11-0600',mode:absolute,to:'2017-07-13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4.6699999999999998E-2</v>
      </c>
      <c r="Z62" s="197">
        <f>RIGHT(H62,LEN(H62)-4)/10000</f>
        <v>23.331199999999999</v>
      </c>
      <c r="AA62" s="197">
        <f>ABS(Z62-Y62)</f>
        <v>23.284499999999998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/stypes="app*4014*20170713*" /stext=" 16:.+((SYSTEM_STATE.+slice.+state.+changed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4"/>
        <v>"%USERPROFILE%\Documents\GitHub\eaglep3\Utilities\RefineRTDCRunTimes.py" --tripid 149-13 --locoid 4014 --swversion DE.1.0.9.0 --startMP 204:467 --initTime 2017-07-13T09:39:11 --startdatetime 2017-07-13T09:45:51 --delay 1 --endMP 204:233312 --enddatetime 2017-07-13T10:21:13 --enforcementcount 1 &gt;&gt;C:\Users\stu\Documents\GitHub\eaglep3-reporting\EC\2017-07-13-refined-times.txt</v>
      </c>
      <c r="AI6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{"issue":{"subject":"","project_id":79,"tracker_id":40,"status_id":1,"priority_id":2,"assigned_to_id":23,"start_date":"2017-07-13","description":"","custom_fields":[{"id":1,"name":"Subdivision","value":"EC"},{"id":4,"name":"Milepost","value":"23.3312"},{"id":17,"name":"Train ID","value":"149-13"},{"id":16,"name":"Locomotive ID","value":"4014"},{"id":130,"name":"Impact","value":""},{"id":150,"name":"Time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4014 --day 2017-07-13</v>
      </c>
      <c r="AN6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737</v>
      </c>
      <c r="B63" s="7">
        <v>4013</v>
      </c>
      <c r="C63" s="21" t="s">
        <v>199</v>
      </c>
      <c r="D63" s="21" t="s">
        <v>583</v>
      </c>
      <c r="E63" s="13">
        <v>42929.433333333334</v>
      </c>
      <c r="F63" s="13">
        <v>42929.446215277778</v>
      </c>
      <c r="G63" s="7">
        <v>0</v>
      </c>
      <c r="H63" s="21" t="s">
        <v>861</v>
      </c>
      <c r="I63" s="13">
        <v>42929.473055555558</v>
      </c>
      <c r="J63" s="7">
        <v>1</v>
      </c>
      <c r="K63" s="89" t="str">
        <f>IF(ISEVEN(B63),(B63-1)&amp;"/"&amp;B63,B63&amp;"/"&amp;(B63+1))</f>
        <v>4013/4014</v>
      </c>
      <c r="L63" s="21" t="str">
        <f>VLOOKUP(A63,'Trips&amp;Operators'!$C$1:$G$99999,5,FALSE)</f>
        <v>LANGERAK WILLIAM</v>
      </c>
      <c r="M63" s="6">
        <f>I63-F63</f>
        <v>2.6840277780138422E-2</v>
      </c>
      <c r="N63" s="7">
        <f>24*60*SUM($M63:$M63)</f>
        <v>38.650000003399327</v>
      </c>
      <c r="O63" s="7"/>
      <c r="P63" s="7"/>
      <c r="Q63" s="22"/>
      <c r="R63" s="170"/>
      <c r="S63" s="213">
        <f>1/IF(AG63="EC",12,1)*SUM(U63:U63)</f>
        <v>1</v>
      </c>
      <c r="T63" s="195" t="str">
        <f>IF(ISEVEN(LEFT(AD63,4)),"Southbound","NorthBound")</f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-13T09:24:00-0600',mode:absolute,to:'2017-07-13T12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23.300699999999999</v>
      </c>
      <c r="Z63" s="197">
        <f>RIGHT(H63,LEN(H63)-4)/10000</f>
        <v>1.12E-2</v>
      </c>
      <c r="AA63" s="197">
        <f>ABS(Z63-Y63)</f>
        <v>23.2895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/stypes="app*4013*20170713*" /stext=" 17:.+((SYSTEM_STATE.+slice.+state.+changed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4"/>
        <v>"%USERPROFILE%\Documents\GitHub\eaglep3\Utilities\RefineRTDCRunTimes.py" --tripid 150-13 --locoid 4013 --swversion DE.1.0.9.0 --startMP 204:233007 --initTime 2017-07-13T10:24:00 --startdatetime 2017-07-13T10:42:33 --delay 0 --endMP 204:112 --enddatetime 2017-07-13T11:21:12 --enforcementcount 1 &gt;&gt;C:\Users\stu\Documents\GitHub\eaglep3-reporting\EC\2017-07-13-refined-times.txt</v>
      </c>
      <c r="AI6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{"issue":{"subject":"","project_id":79,"tracker_id":40,"status_id":1,"priority_id":2,"assigned_to_id":23,"start_date":"2017-07-13","description":"","custom_fields":[{"id":1,"name":"Subdivision","value":"EC"},{"id":4,"name":"Milepost","value":"0.0112"},{"id":17,"name":"Train ID","value":"150-13"},{"id":16,"name":"Locomotive ID","value":"4013"},{"id":130,"name":"Impact","value":""},{"id":150,"name":"Time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4013 --day 2017-07-13</v>
      </c>
      <c r="AN6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732</v>
      </c>
      <c r="B64" s="7">
        <v>4012</v>
      </c>
      <c r="C64" s="21" t="s">
        <v>199</v>
      </c>
      <c r="D64" s="21" t="s">
        <v>878</v>
      </c>
      <c r="E64" s="13">
        <v>42929.412685185183</v>
      </c>
      <c r="F64" s="13">
        <v>42929.417187500003</v>
      </c>
      <c r="G64" s="7">
        <v>1</v>
      </c>
      <c r="H64" s="21" t="s">
        <v>865</v>
      </c>
      <c r="I64" s="13">
        <v>42929.442627314813</v>
      </c>
      <c r="J64" s="7">
        <v>1</v>
      </c>
      <c r="K64" s="89" t="str">
        <f>IF(ISEVEN(B64),(B64-1)&amp;"/"&amp;B64,B64&amp;"/"&amp;(B64+1))</f>
        <v>4011/4012</v>
      </c>
      <c r="L64" s="21" t="str">
        <f>VLOOKUP(A64,'Trips&amp;Operators'!$C$1:$G$99999,5,FALSE)</f>
        <v>GUZMAN DANNY</v>
      </c>
      <c r="M64" s="6">
        <f>I64-F64</f>
        <v>2.5439814809942618E-2</v>
      </c>
      <c r="N64" s="7">
        <f>24*60*SUM($M64:$M64)</f>
        <v>36.63333332631737</v>
      </c>
      <c r="O64" s="7"/>
      <c r="P64" s="7"/>
      <c r="Q64" s="22"/>
      <c r="R64" s="170"/>
      <c r="S64" s="213">
        <f>1/IF(AG64="EC",12,1)*SUM(U64:U64)</f>
        <v>1</v>
      </c>
      <c r="T64" s="195" t="str">
        <f>IF(ISEVEN(LEFT(AD64,4)),"Southbound","NorthBound")</f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-13T08:54:16-0600',mode:absolute,to:'2017-07-13T11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4.7800000000000002E-2</v>
      </c>
      <c r="Z64" s="197">
        <f>RIGHT(H64,LEN(H64)-4)/10000</f>
        <v>23.331</v>
      </c>
      <c r="AA64" s="197">
        <f>ABS(Z64-Y64)</f>
        <v>23.283200000000001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/stypes="app*4012*20170713*" /stext=" 16:.+((SYSTEM_STATE.+slice.+state.+changed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4"/>
        <v>"%USERPROFILE%\Documents\GitHub\eaglep3\Utilities\RefineRTDCRunTimes.py" --tripid 151-13 --locoid 4012 --swversion DE.1.0.9.0 --startMP 204:478 --initTime 2017-07-13T09:54:16 --startdatetime 2017-07-13T10:00:45 --delay 1 --endMP 204:233310 --enddatetime 2017-07-13T10:37:23 --enforcementcount 1 &gt;&gt;C:\Users\stu\Documents\GitHub\eaglep3-reporting\EC\2017-07-13-refined-times.txt</v>
      </c>
      <c r="AI64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{"issue":{"subject":"","project_id":79,"tracker_id":40,"status_id":1,"priority_id":2,"assigned_to_id":23,"start_date":"2017-07-13","description":"","custom_fields":[{"id":1,"name":"Subdivision","value":"EC"},{"id":4,"name":"Milepost","value":"23.331"},{"id":17,"name":"Train ID","value":"151-13"},{"id":16,"name":"Locomotive ID","value":"4012"},{"id":130,"name":"Impact","value":""},{"id":150,"name":"Time of Event (Mountain Time)","value":"10:37:23"},{"id":151,"name":"Denver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4012 --day 2017-07-13</v>
      </c>
      <c r="AN64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742</v>
      </c>
      <c r="B65" s="7">
        <v>4011</v>
      </c>
      <c r="C65" s="21" t="s">
        <v>199</v>
      </c>
      <c r="D65" s="21" t="s">
        <v>535</v>
      </c>
      <c r="E65" s="13">
        <v>42929.444189814814</v>
      </c>
      <c r="F65" s="13">
        <v>42929.456423611111</v>
      </c>
      <c r="G65" s="7">
        <v>1</v>
      </c>
      <c r="H65" s="21" t="s">
        <v>345</v>
      </c>
      <c r="I65" s="13">
        <v>42929.48332175926</v>
      </c>
      <c r="J65" s="7">
        <v>1</v>
      </c>
      <c r="K65" s="89" t="str">
        <f>IF(ISEVEN(B65),(B65-1)&amp;"/"&amp;B65,B65&amp;"/"&amp;(B65+1))</f>
        <v>4011/4012</v>
      </c>
      <c r="L65" s="21" t="str">
        <f>VLOOKUP(A65,'Trips&amp;Operators'!$C$1:$G$99999,5,FALSE)</f>
        <v>GUZMAN DANNY</v>
      </c>
      <c r="M65" s="6">
        <f>I65-F65</f>
        <v>2.6898148149484769E-2</v>
      </c>
      <c r="N65" s="7">
        <f>24*60*SUM($M65:$M65)</f>
        <v>38.733333335258067</v>
      </c>
      <c r="O65" s="7"/>
      <c r="P65" s="7"/>
      <c r="Q65" s="22"/>
      <c r="R65" s="170"/>
      <c r="S65" s="213">
        <f>1/IF(AG65="EC",12,1)*SUM(U65:U65)</f>
        <v>1</v>
      </c>
      <c r="T65" s="195" t="str">
        <f>IF(ISEVEN(LEFT(AD65,4)),"Southbound","NorthBound")</f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-13T09:39:38-0600',mode:absolute,to:'2017-07-13T12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23.2989</v>
      </c>
      <c r="Z65" s="197">
        <f>RIGHT(H65,LEN(H65)-4)/10000</f>
        <v>1.43E-2</v>
      </c>
      <c r="AA65" s="197">
        <f>ABS(Z65-Y65)</f>
        <v>23.284600000000001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/stypes="app*4011*20170713*" /stext=" 17:.+((SYSTEM_STATE.+slice.+state.+changed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4"/>
        <v>"%USERPROFILE%\Documents\GitHub\eaglep3\Utilities\RefineRTDCRunTimes.py" --tripid 152-13 --locoid 4011 --swversion DE.1.0.9.0 --startMP 204:232989 --initTime 2017-07-13T10:39:38 --startdatetime 2017-07-13T10:57:15 --delay 1 --endMP 204:143 --enddatetime 2017-07-13T11:35:59 --enforcementcount 1 &gt;&gt;C:\Users\stu\Documents\GitHub\eaglep3-reporting\EC\2017-07-13-refined-times.txt</v>
      </c>
      <c r="AI6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{"issue":{"subject":"","project_id":79,"tracker_id":40,"status_id":1,"priority_id":2,"assigned_to_id":23,"start_date":"2017-07-13","description":"","custom_fields":[{"id":1,"name":"Subdivision","value":"EC"},{"id":4,"name":"Milepost","value":"0.0143"},{"id":17,"name":"Train ID","value":"152-13"},{"id":16,"name":"Locomotive ID","value":"4011"},{"id":130,"name":"Impact","value":""},{"id":150,"name":"Time of Event (Mountain Time)","value":"11:35:59"},{"id":151,"name":"Denver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4011 --day 2017-07-13</v>
      </c>
      <c r="AN6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735</v>
      </c>
      <c r="B66" s="7">
        <v>4062</v>
      </c>
      <c r="C66" s="21" t="s">
        <v>199</v>
      </c>
      <c r="D66" s="21" t="s">
        <v>380</v>
      </c>
      <c r="E66" s="13">
        <v>42929.42392361111</v>
      </c>
      <c r="F66" s="13">
        <v>42929.427743055552</v>
      </c>
      <c r="G66" s="7">
        <v>1</v>
      </c>
      <c r="H66" s="21" t="s">
        <v>479</v>
      </c>
      <c r="I66" s="13">
        <v>42929.452870370369</v>
      </c>
      <c r="J66" s="7">
        <v>1</v>
      </c>
      <c r="K66" s="89" t="str">
        <f>IF(ISEVEN(B66),(B66-1)&amp;"/"&amp;B66,B66&amp;"/"&amp;(B66+1))</f>
        <v>4061/4062</v>
      </c>
      <c r="L66" s="21" t="str">
        <f>VLOOKUP(A66,'Trips&amp;Operators'!$C$1:$G$99999,5,FALSE)</f>
        <v>DAVIS WENDY</v>
      </c>
      <c r="M66" s="6">
        <f>I66-F66</f>
        <v>2.5127314816927537E-2</v>
      </c>
      <c r="N66" s="7">
        <f>24*60*SUM($M66:$M66)</f>
        <v>36.183333336375654</v>
      </c>
      <c r="O66" s="7"/>
      <c r="P66" s="7"/>
      <c r="Q66" s="22"/>
      <c r="R66" s="170"/>
      <c r="S66" s="213">
        <f>1/IF(AG66="EC",12,1)*SUM(U66:U66)</f>
        <v>1</v>
      </c>
      <c r="T66" s="195" t="str">
        <f>IF(ISEVEN(LEFT(AD66,4)),"Southbound","NorthBound")</f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-13T09:10:27-0600',mode:absolute,to:'2017-07-13T11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4.6199999999999998E-2</v>
      </c>
      <c r="Z66" s="197">
        <f>RIGHT(H66,LEN(H66)-4)/10000</f>
        <v>23.329899999999999</v>
      </c>
      <c r="AA66" s="197">
        <f>ABS(Z66-Y66)</f>
        <v>23.2837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/stypes="app*4062*20170713*" /stext=" 16:.+((SYSTEM_STATE.+slice.+state.+changed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4"/>
        <v>"%USERPROFILE%\Documents\GitHub\eaglep3\Utilities\RefineRTDCRunTimes.py" --tripid 153-13 --locoid 4062 --swversion DE.1.0.9.0 --startMP 204:462 --initTime 2017-07-13T10:10:27 --startdatetime 2017-07-13T10:15:57 --delay 1 --endMP 204:233299 --enddatetime 2017-07-13T10:52:08 --enforcementcount 1 &gt;&gt;C:\Users\stu\Documents\GitHub\eaglep3-reporting\EC\2017-07-13-refined-times.txt</v>
      </c>
      <c r="AI6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{"issue":{"subject":"","project_id":79,"tracker_id":40,"status_id":1,"priority_id":2,"assigned_to_id":23,"start_date":"2017-07-13","description":"","custom_fields":[{"id":1,"name":"Subdivision","value":"EC"},{"id":4,"name":"Milepost","value":"23.3299"},{"id":17,"name":"Train ID","value":"153-13"},{"id":16,"name":"Locomotive ID","value":"4062"},{"id":130,"name":"Impact","value":""},{"id":150,"name":"Time of Event (Mountain Time)","value":"10:52:08"},{"id":151,"name":"Denver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4062 --day 2017-07-13</v>
      </c>
      <c r="AN6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746</v>
      </c>
      <c r="B67" s="7">
        <v>4061</v>
      </c>
      <c r="C67" s="21" t="s">
        <v>199</v>
      </c>
      <c r="D67" s="21" t="s">
        <v>534</v>
      </c>
      <c r="E67" s="13">
        <v>42929.46502314815</v>
      </c>
      <c r="F67" s="13">
        <v>42929.466874999998</v>
      </c>
      <c r="G67" s="7">
        <v>1</v>
      </c>
      <c r="H67" s="21" t="s">
        <v>500</v>
      </c>
      <c r="I67" s="13">
        <v>42929.494074074071</v>
      </c>
      <c r="J67" s="7">
        <v>1</v>
      </c>
      <c r="K67" s="89" t="str">
        <f>IF(ISEVEN(B67),(B67-1)&amp;"/"&amp;B67,B67&amp;"/"&amp;(B67+1))</f>
        <v>4061/4062</v>
      </c>
      <c r="L67" s="21" t="str">
        <f>VLOOKUP(A67,'Trips&amp;Operators'!$C$1:$G$99999,5,FALSE)</f>
        <v>DAVIS WENDY</v>
      </c>
      <c r="M67" s="6">
        <f>I67-F67</f>
        <v>2.7199074072996154E-2</v>
      </c>
      <c r="N67" s="7">
        <f>24*60*SUM($M67:$M67)</f>
        <v>39.166666665114462</v>
      </c>
      <c r="O67" s="7"/>
      <c r="P67" s="7"/>
      <c r="Q67" s="22"/>
      <c r="R67" s="170"/>
      <c r="S67" s="213">
        <f>1/IF(AG67="EC",12,1)*SUM(U67:U67)</f>
        <v>1</v>
      </c>
      <c r="T67" s="195" t="str">
        <f>IF(ISEVEN(LEFT(AD67,4)),"Southbound","NorthBound")</f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-13T10:09:38-0600',mode:absolute,to:'2017-07-13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23.298400000000001</v>
      </c>
      <c r="Z67" s="197">
        <f>RIGHT(H67,LEN(H67)-4)/10000</f>
        <v>1.5800000000000002E-2</v>
      </c>
      <c r="AA67" s="197">
        <f>ABS(Z67-Y67)</f>
        <v>23.282600000000002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/stypes="app*4061*20170713*"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4"/>
        <v>"%USERPROFILE%\Documents\GitHub\eaglep3\Utilities\RefineRTDCRunTimes.py" --tripid 154-13 --locoid 4061 --swversion DE.1.0.9.0 --startMP 204:232984 --initTime 2017-07-13T11:09:38 --startdatetime 2017-07-13T11:12:18 --delay 1 --endMP 204:158 --enddatetime 2017-07-13T11:51:28 --enforcementcount 1 &gt;&gt;C:\Users\stu\Documents\GitHub\eaglep3-reporting\EC\2017-07-13-refined-times.txt</v>
      </c>
      <c r="AI67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{"issue":{"subject":"","project_id":79,"tracker_id":40,"status_id":1,"priority_id":2,"assigned_to_id":23,"start_date":"2017-07-13","description":"","custom_fields":[{"id":1,"name":"Subdivision","value":"EC"},{"id":4,"name":"Milepost","value":"0.0158"},{"id":17,"name":"Train ID","value":"154-13"},{"id":16,"name":"Locomotive ID","value":"4061"},{"id":130,"name":"Impact","value":""},{"id":150,"name":"Time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4061 --day 2017-07-13</v>
      </c>
      <c r="AN67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738</v>
      </c>
      <c r="B68" s="7">
        <v>4022</v>
      </c>
      <c r="C68" s="21" t="s">
        <v>199</v>
      </c>
      <c r="D68" s="21" t="s">
        <v>399</v>
      </c>
      <c r="E68" s="13">
        <v>42929.433495370373</v>
      </c>
      <c r="F68" s="13">
        <v>42929.438055555554</v>
      </c>
      <c r="G68" s="7">
        <v>1</v>
      </c>
      <c r="H68" s="21" t="s">
        <v>419</v>
      </c>
      <c r="I68" s="13">
        <v>42929.462731481479</v>
      </c>
      <c r="J68" s="7">
        <v>1</v>
      </c>
      <c r="K68" s="89" t="str">
        <f>IF(ISEVEN(B68),(B68-1)&amp;"/"&amp;B68,B68&amp;"/"&amp;(B68+1))</f>
        <v>4021/4022</v>
      </c>
      <c r="L68" s="21" t="str">
        <f>VLOOKUP(A68,'Trips&amp;Operators'!$C$1:$G$99999,5,FALSE)</f>
        <v>LOZA FIDEL</v>
      </c>
      <c r="M68" s="6">
        <f>I68-F68</f>
        <v>2.4675925924384501E-2</v>
      </c>
      <c r="N68" s="7">
        <f>24*60*SUM($M68:$M68)</f>
        <v>35.533333331113681</v>
      </c>
      <c r="O68" s="7"/>
      <c r="P68" s="7"/>
      <c r="Q68" s="22"/>
      <c r="R68" s="170"/>
      <c r="S68" s="213">
        <f>1/IF(AG68="EC",12,1)*SUM(U68:U68)</f>
        <v>1</v>
      </c>
      <c r="T68" s="195" t="str">
        <f>IF(ISEVEN(LEFT(AD68,4)),"Southbound","NorthBound")</f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-13T09:24:14-0600',mode:absolute,to:'2017-07-13T12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4.6899999999999997E-2</v>
      </c>
      <c r="Z68" s="197">
        <f>RIGHT(H68,LEN(H68)-4)/10000</f>
        <v>23.331199999999999</v>
      </c>
      <c r="AA68" s="197">
        <f>ABS(Z68-Y68)</f>
        <v>23.284299999999998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/stypes="app*4022*20170713*" /stext=" 17:.+((SYSTEM_STATE.+slice.+state.+changed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4"/>
        <v>"%USERPROFILE%\Documents\GitHub\eaglep3\Utilities\RefineRTDCRunTimes.py" --tripid 155-13 --locoid 4022 --swversion DE.1.0.9.0 --startMP 204:469 --initTime 2017-07-13T10:24:14 --startdatetime 2017-07-13T10:30:48 --delay 1 --endMP 204:233312 --enddatetime 2017-07-13T11:06:20 --enforcementcount 1 &gt;&gt;C:\Users\stu\Documents\GitHub\eaglep3-reporting\EC\2017-07-13-refined-times.txt</v>
      </c>
      <c r="AI68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{"issue":{"subject":"","project_id":79,"tracker_id":40,"status_id":1,"priority_id":2,"assigned_to_id":23,"start_date":"2017-07-13","description":"","custom_fields":[{"id":1,"name":"Subdivision","value":"EC"},{"id":4,"name":"Milepost","value":"23.3312"},{"id":17,"name":"Train ID","value":"155-13"},{"id":16,"name":"Locomotive ID","value":"4022"},{"id":130,"name":"Impact","value":""},{"id":150,"name":"Time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4022 --day 2017-07-13</v>
      </c>
      <c r="AN68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747</v>
      </c>
      <c r="B69" s="7">
        <v>4021</v>
      </c>
      <c r="C69" s="21" t="s">
        <v>199</v>
      </c>
      <c r="D69" s="21" t="s">
        <v>576</v>
      </c>
      <c r="E69" s="13">
        <v>42929.466064814813</v>
      </c>
      <c r="F69" s="13">
        <v>42929.477349537039</v>
      </c>
      <c r="G69" s="7">
        <v>0</v>
      </c>
      <c r="H69" s="21" t="s">
        <v>344</v>
      </c>
      <c r="I69" s="13">
        <v>42929.504074074073</v>
      </c>
      <c r="J69" s="7">
        <v>1</v>
      </c>
      <c r="K69" s="89" t="str">
        <f>IF(ISEVEN(B69),(B69-1)&amp;"/"&amp;B69,B69&amp;"/"&amp;(B69+1))</f>
        <v>4021/4022</v>
      </c>
      <c r="L69" s="21" t="str">
        <f>VLOOKUP(A69,'Trips&amp;Operators'!$C$1:$G$99999,5,FALSE)</f>
        <v>LOZA FIDEL</v>
      </c>
      <c r="M69" s="6">
        <f>I69-F69</f>
        <v>2.6724537034169771E-2</v>
      </c>
      <c r="N69" s="7">
        <f>24*60*SUM($M69:$M69)</f>
        <v>38.48333332920447</v>
      </c>
      <c r="O69" s="7"/>
      <c r="P69" s="7"/>
      <c r="Q69" s="22"/>
      <c r="R69" s="170"/>
      <c r="S69" s="213">
        <f>1/IF(AG69="EC",12,1)*SUM(U69:U69)</f>
        <v>1</v>
      </c>
      <c r="T69" s="195" t="str">
        <f>IF(ISEVEN(LEFT(AD69,4)),"Southbound","NorthBound")</f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-13T10:11:08-0600',mode:absolute,to:'2017-07-13T13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23.2987</v>
      </c>
      <c r="Z69" s="197">
        <f>RIGHT(H69,LEN(H69)-4)/10000</f>
        <v>1.49E-2</v>
      </c>
      <c r="AA69" s="197">
        <f>ABS(Z69-Y69)</f>
        <v>23.283799999999999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/stypes="app*4021*20170713*" /stext=" 18:.+((SYSTEM_STATE.+slice.+state.+changed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4"/>
        <v>"%USERPROFILE%\Documents\GitHub\eaglep3\Utilities\RefineRTDCRunTimes.py" --tripid 156-13 --locoid 4021 --swversion DE.1.0.9.0 --startMP 204:232987 --initTime 2017-07-13T11:11:08 --startdatetime 2017-07-13T11:27:23 --delay 0 --endMP 204:149 --enddatetime 2017-07-13T12:05:52 --enforcementcount 1 &gt;&gt;C:\Users\stu\Documents\GitHub\eaglep3-reporting\EC\2017-07-13-refined-times.txt</v>
      </c>
      <c r="AI69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ID","value":"156-13"},{"id":16,"name":"Locomotive ID","value":"4021"},{"id":130,"name":"Impact","value":""},{"id":150,"name":"Time of Event (Mountain Time)","value":"12:05:52"},{"id":151,"name":"Denver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4021 --day 2017-07-13</v>
      </c>
      <c r="AN69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740</v>
      </c>
      <c r="B70" s="7">
        <v>4028</v>
      </c>
      <c r="C70" s="21" t="s">
        <v>199</v>
      </c>
      <c r="D70" s="21" t="s">
        <v>495</v>
      </c>
      <c r="E70" s="13">
        <v>42929.443240740744</v>
      </c>
      <c r="F70" s="13">
        <v>42929.448541666665</v>
      </c>
      <c r="G70" s="7">
        <v>1</v>
      </c>
      <c r="H70" s="21" t="s">
        <v>880</v>
      </c>
      <c r="I70" s="13">
        <v>42929.473101851851</v>
      </c>
      <c r="J70" s="7">
        <v>1</v>
      </c>
      <c r="K70" s="89" t="str">
        <f>IF(ISEVEN(B70),(B70-1)&amp;"/"&amp;B70,B70&amp;"/"&amp;(B70+1))</f>
        <v>4027/4028</v>
      </c>
      <c r="L70" s="21" t="str">
        <f>VLOOKUP(A70,'Trips&amp;Operators'!$C$1:$G$99999,5,FALSE)</f>
        <v>SULLIVAN BRANDON</v>
      </c>
      <c r="M70" s="6">
        <f>I70-F70</f>
        <v>2.4560185185691807E-2</v>
      </c>
      <c r="N70" s="7">
        <f>24*60*SUM($M70:$M70)</f>
        <v>35.366666667396203</v>
      </c>
      <c r="O70" s="7"/>
      <c r="P70" s="7"/>
      <c r="Q70" s="22"/>
      <c r="R70" s="170"/>
      <c r="S70" s="213">
        <f>1/IF(AG70="EC",12,1)*SUM(U70:U70)</f>
        <v>1</v>
      </c>
      <c r="T70" s="195" t="str">
        <f>IF(ISEVEN(LEFT(AD70,4)),"Southbound","NorthBound")</f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-13T09:38:16-0600',mode:absolute,to:'2017-07-13T12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4.6399999999999997E-2</v>
      </c>
      <c r="Z70" s="197">
        <f>RIGHT(H70,LEN(H70)-4)/10000</f>
        <v>23.333200000000001</v>
      </c>
      <c r="AA70" s="197">
        <f>ABS(Z70-Y70)</f>
        <v>23.286800000000003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/stypes="app*4028*20170713*" /stext=" 17:.+((SYSTEM_STATE.+slice.+state.+changed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4"/>
        <v>"%USERPROFILE%\Documents\GitHub\eaglep3\Utilities\RefineRTDCRunTimes.py" --tripid 157-13 --locoid 4028 --swversion DE.1.0.9.0 --startMP 204:464 --initTime 2017-07-13T10:38:16 --startdatetime 2017-07-13T10:45:54 --delay 1 --endMP 204:233332 --enddatetime 2017-07-13T11:21:16 --enforcementcount 1 &gt;&gt;C:\Users\stu\Documents\GitHub\eaglep3-reporting\EC\2017-07-13-refined-times.txt</v>
      </c>
      <c r="AI70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{"issue":{"subject":"","project_id":79,"tracker_id":40,"status_id":1,"priority_id":2,"assigned_to_id":23,"start_date":"2017-07-13","description":"","custom_fields":[{"id":1,"name":"Subdivision","value":"EC"},{"id":4,"name":"Milepost","value":"23.3332"},{"id":17,"name":"Train ID","value":"157-13"},{"id":16,"name":"Locomotive ID","value":"4028"},{"id":130,"name":"Impact","value":""},{"id":150,"name":"Time of Event (Mountain Time)","value":"11:21:16"},{"id":151,"name":"Denver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4028 --day 2017-07-13</v>
      </c>
      <c r="AN70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755</v>
      </c>
      <c r="B71" s="7">
        <v>4027</v>
      </c>
      <c r="C71" s="21" t="s">
        <v>199</v>
      </c>
      <c r="D71" s="21" t="s">
        <v>881</v>
      </c>
      <c r="E71" s="13">
        <v>42929.48232638889</v>
      </c>
      <c r="F71" s="13">
        <v>42929.48773148148</v>
      </c>
      <c r="G71" s="7">
        <v>2</v>
      </c>
      <c r="H71" s="21" t="s">
        <v>430</v>
      </c>
      <c r="I71" s="13">
        <v>42929.514409722222</v>
      </c>
      <c r="J71" s="7">
        <v>1</v>
      </c>
      <c r="K71" s="89" t="str">
        <f>IF(ISEVEN(B71),(B71-1)&amp;"/"&amp;B71,B71&amp;"/"&amp;(B71+1))</f>
        <v>4027/4028</v>
      </c>
      <c r="L71" s="21" t="str">
        <f>VLOOKUP(A71,'Trips&amp;Operators'!$C$1:$G$99999,5,FALSE)</f>
        <v>SULLIVAN BRANDON</v>
      </c>
      <c r="M71" s="6">
        <f>I71-F71</f>
        <v>2.6678240741603076E-2</v>
      </c>
      <c r="N71" s="7">
        <f>24*60*SUM($M71:$M71)</f>
        <v>38.41666666790843</v>
      </c>
      <c r="O71" s="7"/>
      <c r="P71" s="7"/>
      <c r="Q71" s="22"/>
      <c r="R71" s="170"/>
      <c r="S71" s="213">
        <f>1/IF(AG71="EC",12,1)*SUM(U71:U71)</f>
        <v>1</v>
      </c>
      <c r="T71" s="195" t="str">
        <f>IF(ISEVEN(LEFT(AD71,4)),"Southbound","NorthBound")</f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-13T10:34:33-0600',mode:absolute,to:'2017-07-13T13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23.303000000000001</v>
      </c>
      <c r="Z71" s="197">
        <f>RIGHT(H71,LEN(H71)-4)/10000</f>
        <v>1.6E-2</v>
      </c>
      <c r="AA71" s="197">
        <f>ABS(Z71-Y71)</f>
        <v>23.287000000000003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/stypes="app*4027*20170713*" /stext=" 18:.+((SYSTEM_STATE.+slice.+state.+changed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4"/>
        <v>"%USERPROFILE%\Documents\GitHub\eaglep3\Utilities\RefineRTDCRunTimes.py" --tripid 158-13 --locoid 4027 --swversion DE.1.0.9.0 --startMP 204:233030 --initTime 2017-07-13T11:34:33 --startdatetime 2017-07-13T11:42:20 --delay 2 --endMP 204:160 --enddatetime 2017-07-13T12:20:45 --enforcementcount 1 &gt;&gt;C:\Users\stu\Documents\GitHub\eaglep3-reporting\EC\2017-07-13-refined-times.txt</v>
      </c>
      <c r="AI71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{"issue":{"subject":"","project_id":79,"tracker_id":40,"status_id":1,"priority_id":2,"assigned_to_id":23,"start_date":"2017-07-13","description":"","custom_fields":[{"id":1,"name":"Subdivision","value":"EC"},{"id":4,"name":"Milepost","value":"0.016"},{"id":17,"name":"Train ID","value":"158-13"},{"id":16,"name":"Locomotive ID","value":"4027"},{"id":130,"name":"Impact","value":""},{"id":150,"name":"Time of Event (Mountain Time)","value":"12:20:45"},{"id":151,"name":"Denver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4027 --day 2017-07-13</v>
      </c>
      <c r="AN71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745</v>
      </c>
      <c r="B72" s="7">
        <v>4008</v>
      </c>
      <c r="C72" s="21" t="s">
        <v>199</v>
      </c>
      <c r="D72" s="21" t="s">
        <v>346</v>
      </c>
      <c r="E72" s="13">
        <v>42929.456365740742</v>
      </c>
      <c r="F72" s="13">
        <v>42929.458819444444</v>
      </c>
      <c r="G72" s="7">
        <v>1</v>
      </c>
      <c r="H72" s="21" t="s">
        <v>442</v>
      </c>
      <c r="I72" s="13">
        <v>42929.483275462961</v>
      </c>
      <c r="J72" s="7">
        <v>1</v>
      </c>
      <c r="K72" s="89" t="str">
        <f>IF(ISEVEN(B72),(B72-1)&amp;"/"&amp;B72,B72&amp;"/"&amp;(B72+1))</f>
        <v>4007/4008</v>
      </c>
      <c r="L72" s="21" t="str">
        <f>VLOOKUP(A72,'Trips&amp;Operators'!$C$1:$G$99999,5,FALSE)</f>
        <v>HELVIE ADAM</v>
      </c>
      <c r="M72" s="6">
        <f>I72-F72</f>
        <v>2.4456018516502809E-2</v>
      </c>
      <c r="N72" s="7">
        <f>24*60*SUM($M72:$M72)</f>
        <v>35.216666663764045</v>
      </c>
      <c r="O72" s="7"/>
      <c r="P72" s="7"/>
      <c r="Q72" s="22"/>
      <c r="R72" s="170"/>
      <c r="S72" s="213">
        <f>1/IF(AG72="EC",12,1)*SUM(U72:U72)</f>
        <v>1</v>
      </c>
      <c r="T72" s="195" t="str">
        <f>IF(ISEVEN(LEFT(AD72,4)),"Southbound","NorthBound")</f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-13T09:57:10-0600',mode:absolute,to:'2017-07-13T12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197" t="str">
        <f>IF(AA72&lt;VLOOKUP(AG72,Variables!$AC$3:$AD$8,2,FALSE),"Y","N")</f>
        <v>N</v>
      </c>
      <c r="X72" s="197">
        <f>VALUE(LEFT(AD72,4))-VALUE(LEFT(AD71,4))</f>
        <v>1</v>
      </c>
      <c r="Y72" s="197">
        <f>RIGHT(D72,LEN(D72)-4)/10000</f>
        <v>4.6600000000000003E-2</v>
      </c>
      <c r="Z72" s="197">
        <f>RIGHT(H72,LEN(H72)-4)/10000</f>
        <v>23.328900000000001</v>
      </c>
      <c r="AA72" s="197">
        <f>ABS(Z72-Y72)</f>
        <v>23.282299999999999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/stypes="app*4008*20170713*"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si="4"/>
        <v>"%USERPROFILE%\Documents\GitHub\eaglep3\Utilities\RefineRTDCRunTimes.py" --tripid 159-13 --locoid 4008 --swversion DE.1.0.9.0 --startMP 204:466 --initTime 2017-07-13T10:57:10 --startdatetime 2017-07-13T11:00:42 --delay 1 --endMP 204:233289 --enddatetime 2017-07-13T11:35:55 --enforcementcount 1 &gt;&gt;C:\Users\stu\Documents\GitHub\eaglep3-reporting\EC\2017-07-13-refined-times.txt</v>
      </c>
      <c r="AI72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{"issue":{"subject":"","project_id":79,"tracker_id":40,"status_id":1,"priority_id":2,"assigned_to_id":23,"start_date":"2017-07-13","description":"","custom_fields":[{"id":1,"name":"Subdivision","value":"EC"},{"id":4,"name":"Milepost","value":"23.3289"},{"id":17,"name":"Train ID","value":"159-13"},{"id":16,"name":"Locomotive ID","value":"4008"},{"id":130,"name":"Impact","value":""},{"id":150,"name":"Time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4008 --day 2017-07-13</v>
      </c>
      <c r="AN72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758</v>
      </c>
      <c r="B73" s="7">
        <v>4007</v>
      </c>
      <c r="C73" s="21" t="s">
        <v>199</v>
      </c>
      <c r="D73" s="21" t="s">
        <v>531</v>
      </c>
      <c r="E73" s="13">
        <v>42929.495810185188</v>
      </c>
      <c r="F73" s="13">
        <v>42929.49832175926</v>
      </c>
      <c r="G73" s="7">
        <v>1</v>
      </c>
      <c r="H73" s="21" t="s">
        <v>430</v>
      </c>
      <c r="I73" s="13">
        <v>42929.523865740739</v>
      </c>
      <c r="J73" s="7">
        <v>1</v>
      </c>
      <c r="K73" s="89" t="str">
        <f>IF(ISEVEN(B73),(B73-1)&amp;"/"&amp;B73,B73&amp;"/"&amp;(B73+1))</f>
        <v>4007/4008</v>
      </c>
      <c r="L73" s="21" t="str">
        <f>VLOOKUP(A73,'Trips&amp;Operators'!$C$1:$G$99999,5,FALSE)</f>
        <v>HELVIE ADAM</v>
      </c>
      <c r="M73" s="6">
        <f>I73-F73</f>
        <v>2.5543981479131617E-2</v>
      </c>
      <c r="N73" s="7">
        <f>24*60*SUM($M73:$M73)</f>
        <v>36.783333329949528</v>
      </c>
      <c r="O73" s="7"/>
      <c r="P73" s="7"/>
      <c r="Q73" s="22"/>
      <c r="R73" s="170"/>
      <c r="S73" s="213">
        <f>1/IF(AG73="EC",12,1)*SUM(U73:U73)</f>
        <v>1</v>
      </c>
      <c r="T73" s="195" t="str">
        <f>IF(ISEVEN(LEFT(AD73,4)),"Southbound","NorthBound")</f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-13T10:53:58-0600',mode:absolute,to:'2017-07-13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3" s="197" t="str">
        <f>IF(AA73&lt;VLOOKUP(AG73,Variables!$AC$3:$AD$8,2,FALSE),"Y","N")</f>
        <v>N</v>
      </c>
      <c r="X73" s="197">
        <f>VALUE(LEFT(AD73,4))-VALUE(LEFT(AD72,4))</f>
        <v>1</v>
      </c>
      <c r="Y73" s="197">
        <f>RIGHT(D73,LEN(D73)-4)/10000</f>
        <v>23.2974</v>
      </c>
      <c r="Z73" s="197">
        <f>RIGHT(H73,LEN(H73)-4)/10000</f>
        <v>1.6E-2</v>
      </c>
      <c r="AA73" s="197">
        <f>ABS(Z73-Y73)</f>
        <v>23.281400000000001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/stypes="app*4007*20170713*" /stext=" 18:.+((SYSTEM_STATE.+slice.+state.+changed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4"/>
        <v>"%USERPROFILE%\Documents\GitHub\eaglep3\Utilities\RefineRTDCRunTimes.py" --tripid 160-13 --locoid 4007 --swversion DE.1.0.9.0 --startMP 204:232974 --initTime 2017-07-13T11:53:58 --startdatetime 2017-07-13T11:57:35 --delay 1 --endMP 204:160 --enddatetime 2017-07-13T12:34:22 --enforcementcount 1 &gt;&gt;C:\Users\stu\Documents\GitHub\eaglep3-reporting\EC\2017-07-13-refined-times.txt</v>
      </c>
      <c r="AI73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{"issue":{"subject":"","project_id":79,"tracker_id":40,"status_id":1,"priority_id":2,"assigned_to_id":23,"start_date":"2017-07-13","description":"","custom_fields":[{"id":1,"name":"Subdivision","value":"EC"},{"id":4,"name":"Milepost","value":"0.016"},{"id":17,"name":"Train ID","value":"160-13"},{"id":16,"name":"Locomotive ID","value":"4007"},{"id":130,"name":"Impact","value":""},{"id":150,"name":"Time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4007 --day 2017-07-13</v>
      </c>
      <c r="AN73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748</v>
      </c>
      <c r="B74" s="7">
        <v>4042</v>
      </c>
      <c r="C74" s="21" t="s">
        <v>199</v>
      </c>
      <c r="D74" s="21" t="s">
        <v>380</v>
      </c>
      <c r="E74" s="13">
        <v>42929.464826388888</v>
      </c>
      <c r="F74" s="13">
        <v>42929.469282407408</v>
      </c>
      <c r="G74" s="7">
        <v>4</v>
      </c>
      <c r="H74" s="21" t="s">
        <v>580</v>
      </c>
      <c r="I74" s="13">
        <v>42929.494317129633</v>
      </c>
      <c r="J74" s="7">
        <v>1</v>
      </c>
      <c r="K74" s="89" t="str">
        <f>IF(ISEVEN(B74),(B74-1)&amp;"/"&amp;B74,B74&amp;"/"&amp;(B74+1))</f>
        <v>4041/4042</v>
      </c>
      <c r="L74" s="21" t="str">
        <f>VLOOKUP(A74,'Trips&amp;Operators'!$C$1:$G$99999,5,FALSE)</f>
        <v>ROBINSON KADDIBA</v>
      </c>
      <c r="M74" s="6">
        <f>I74-F74</f>
        <v>2.5034722224518191E-2</v>
      </c>
      <c r="N74" s="7">
        <f>24*60*SUM($M74:$M74)</f>
        <v>36.050000003306195</v>
      </c>
      <c r="O74" s="7"/>
      <c r="P74" s="7"/>
      <c r="Q74" s="22"/>
      <c r="R74" s="170"/>
      <c r="S74" s="213">
        <f>1/IF(AG74="EC",12,1)*SUM(U74:U74)</f>
        <v>1</v>
      </c>
      <c r="T74" s="195" t="str">
        <f>IF(ISEVEN(LEFT(AD74,4)),"Southbound","NorthBound")</f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-13T10:09:21-0600',mode:absolute,to:'2017-07-13T12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4.6199999999999998E-2</v>
      </c>
      <c r="Z74" s="197">
        <f>RIGHT(H74,LEN(H74)-4)/10000</f>
        <v>23.330300000000001</v>
      </c>
      <c r="AA74" s="197">
        <f>ABS(Z74-Y74)</f>
        <v>23.284100000000002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/stypes="app*4042*20170713*" /stext=" 17:.+((SYSTEM_STATE.+slice.+state.+changed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4"/>
        <v>"%USERPROFILE%\Documents\GitHub\eaglep3\Utilities\RefineRTDCRunTimes.py" --tripid 161-13 --locoid 4042 --swversion DE.1.0.9.0 --startMP 204:462 --initTime 2017-07-13T11:09:21 --startdatetime 2017-07-13T11:15:46 --delay 4 --endMP 204:233303 --enddatetime 2017-07-13T11:51:49 --enforcementcount 1 &gt;&gt;C:\Users\stu\Documents\GitHub\eaglep3-reporting\EC\2017-07-13-refined-times.txt</v>
      </c>
      <c r="AI74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{"issue":{"subject":"","project_id":79,"tracker_id":40,"status_id":1,"priority_id":2,"assigned_to_id":23,"start_date":"2017-07-13","description":"","custom_fields":[{"id":1,"name":"Subdivision","value":"EC"},{"id":4,"name":"Milepost","value":"23.3303"},{"id":17,"name":"Train ID","value":"161-13"},{"id":16,"name":"Locomotive ID","value":"4042"},{"id":130,"name":"Impact","value":""},{"id":150,"name":"Time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4042 --day 2017-07-13</v>
      </c>
      <c r="AN74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764</v>
      </c>
      <c r="B75" s="7">
        <v>4041</v>
      </c>
      <c r="C75" s="21" t="s">
        <v>199</v>
      </c>
      <c r="D75" s="21" t="s">
        <v>398</v>
      </c>
      <c r="E75" s="13">
        <v>42929.506493055553</v>
      </c>
      <c r="F75" s="13">
        <v>42929.508506944447</v>
      </c>
      <c r="G75" s="7">
        <v>1</v>
      </c>
      <c r="H75" s="21" t="s">
        <v>388</v>
      </c>
      <c r="I75" s="13">
        <v>42929.535428240742</v>
      </c>
      <c r="J75" s="7">
        <v>1</v>
      </c>
      <c r="K75" s="89" t="str">
        <f>IF(ISEVEN(B75),(B75-1)&amp;"/"&amp;B75,B75&amp;"/"&amp;(B75+1))</f>
        <v>4041/4042</v>
      </c>
      <c r="L75" s="21" t="str">
        <f>VLOOKUP(A75,'Trips&amp;Operators'!$C$1:$G$99999,5,FALSE)</f>
        <v>ROBINSON KADDIBA</v>
      </c>
      <c r="M75" s="6">
        <f>I75-F75</f>
        <v>2.6921296295768116E-2</v>
      </c>
      <c r="N75" s="7">
        <f>24*60*SUM($M75:$M75)</f>
        <v>38.766666665906087</v>
      </c>
      <c r="O75" s="7"/>
      <c r="P75" s="7"/>
      <c r="Q75" s="22"/>
      <c r="R75" s="170"/>
      <c r="S75" s="213">
        <f>1/IF(AG75="EC",12,1)*SUM(U75:U75)</f>
        <v>1</v>
      </c>
      <c r="T75" s="195" t="str">
        <f>IF(ISEVEN(LEFT(AD75,4)),"Southbound","NorthBound")</f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-13T11:09:21-0600',mode:absolute,to:'2017-07-13T13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23.299600000000002</v>
      </c>
      <c r="Z75" s="197">
        <f>RIGHT(H75,LEN(H75)-4)/10000</f>
        <v>1.4500000000000001E-2</v>
      </c>
      <c r="AA75" s="197">
        <f>ABS(Z75-Y75)</f>
        <v>23.2851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/stypes="app*4041*20170713*"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4"/>
        <v>"%USERPROFILE%\Documents\GitHub\eaglep3\Utilities\RefineRTDCRunTimes.py" --tripid 162-13 --locoid 4041 --swversion DE.1.0.9.0 --startMP 204:232996 --initTime 2017-07-13T12:09:21 --startdatetime 2017-07-13T12:12:15 --delay 1 --endMP 204:145 --enddatetime 2017-07-13T12:51:01 --enforcementcount 1 &gt;&gt;C:\Users\stu\Documents\GitHub\eaglep3-reporting\EC\2017-07-13-refined-times.txt</v>
      </c>
      <c r="AI75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ID","value":"162-13"},{"id":16,"name":"Locomotive ID","value":"4041"},{"id":130,"name":"Impact","value":""},{"id":150,"name":"Time of Event (Mountain Time)","value":"12:51:01"},{"id":151,"name":"Denver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4041 --day 2017-07-13</v>
      </c>
      <c r="AN75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754</v>
      </c>
      <c r="B76" s="7">
        <v>4014</v>
      </c>
      <c r="C76" s="21" t="s">
        <v>199</v>
      </c>
      <c r="D76" s="21" t="s">
        <v>882</v>
      </c>
      <c r="E76" s="13">
        <v>42929.476284722223</v>
      </c>
      <c r="F76" s="13">
        <v>42929.479675925926</v>
      </c>
      <c r="G76" s="7">
        <v>1</v>
      </c>
      <c r="H76" s="21" t="s">
        <v>883</v>
      </c>
      <c r="I76" s="13">
        <v>42929.504999999997</v>
      </c>
      <c r="J76" s="7">
        <v>1</v>
      </c>
      <c r="K76" s="89" t="str">
        <f>IF(ISEVEN(B76),(B76-1)&amp;"/"&amp;B76,B76&amp;"/"&amp;(B76+1))</f>
        <v>4013/4014</v>
      </c>
      <c r="L76" s="21" t="str">
        <f>VLOOKUP(A76,'Trips&amp;Operators'!$C$1:$G$99999,5,FALSE)</f>
        <v>ROMERO CHAD</v>
      </c>
      <c r="M76" s="6">
        <f>I76-F76</f>
        <v>2.5324074071249925E-2</v>
      </c>
      <c r="N76" s="7">
        <f>24*60*SUM($M76:$M76)</f>
        <v>36.466666662599891</v>
      </c>
      <c r="O76" s="7"/>
      <c r="P76" s="7"/>
      <c r="Q76" s="22"/>
      <c r="R76" s="170"/>
      <c r="S76" s="213">
        <f>1/IF(AG76="EC",12,1)*SUM(U76:U76)</f>
        <v>1</v>
      </c>
      <c r="T76" s="195" t="str">
        <f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-13T10:25:51-0600',mode:absolute,to:'2017-07-13T13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4.0899999999999999E-2</v>
      </c>
      <c r="Z76" s="197">
        <f>RIGHT(H76,LEN(H76)-4)/10000</f>
        <v>23.337800000000001</v>
      </c>
      <c r="AA76" s="197">
        <f>ABS(Z76-Y76)</f>
        <v>23.296900000000001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/stypes="app*4014*20170713*" /stext=" 18:.+((SYSTEM_STATE.+slice.+state.+changed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4"/>
        <v>"%USERPROFILE%\Documents\GitHub\eaglep3\Utilities\RefineRTDCRunTimes.py" --tripid 163-13 --locoid 4014 --swversion DE.1.0.9.0 --startMP 204:409 --initTime 2017-07-13T11:25:51 --startdatetime 2017-07-13T11:30:44 --delay 1 --endMP 204:233378 --enddatetime 2017-07-13T12:07:12 --enforcementcount 1 &gt;&gt;C:\Users\stu\Documents\GitHub\eaglep3-reporting\EC\2017-07-13-refined-times.txt</v>
      </c>
      <c r="AI76" s="96" t="str">
        <f t="shared" si="5"/>
        <v>echo {"issue":{"subject":"","project_id":79,"tracker_id":40,"status_id":1,"priority_id":2,"assigned_to_id":23,"start_date":"2017-07-13","description":"","custom_fields":[{"id":1,"name":"Subdivision","value":"EC"},{"id":4,"name":"Milepost","value":"23.3378"},{"id":17,"name":"Train ID","value":"163-13"},{"id":16,"name":"Locomotive ID","value":"4014"},{"id":130,"name":"Impact","value":""},{"id":150,"name":"Time of Event (Mountain Time)","value":"12:07:12"},{"id":151,"name":"Denver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4014 --day 2017-07-13</v>
      </c>
      <c r="AN76" s="151" t="str">
        <f t="shared" si="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626</v>
      </c>
      <c r="B77" s="7">
        <v>4013</v>
      </c>
      <c r="C77" s="21" t="s">
        <v>199</v>
      </c>
      <c r="D77" s="21" t="s">
        <v>884</v>
      </c>
      <c r="E77" s="13">
        <v>42929.507164351853</v>
      </c>
      <c r="F77" s="13">
        <v>42929.518923611111</v>
      </c>
      <c r="G77" s="7">
        <v>1</v>
      </c>
      <c r="H77" s="21" t="s">
        <v>885</v>
      </c>
      <c r="I77" s="13">
        <v>42929.545648148145</v>
      </c>
      <c r="J77" s="7">
        <v>1</v>
      </c>
      <c r="K77" s="89" t="str">
        <f>IF(ISEVEN(B77),(B77-1)&amp;"/"&amp;B77,B77&amp;"/"&amp;(B77+1))</f>
        <v>4013/4014</v>
      </c>
      <c r="L77" s="21" t="str">
        <f>VLOOKUP(A77,'Trips&amp;Operators'!$C$1:$G$99999,5,FALSE)</f>
        <v>ROMERO CHAD</v>
      </c>
      <c r="M77" s="6">
        <f>I77-F77</f>
        <v>2.6724537034169771E-2</v>
      </c>
      <c r="N77" s="7">
        <f>24*60*SUM($M77:$M77)</f>
        <v>38.48333332920447</v>
      </c>
      <c r="O77" s="7"/>
      <c r="P77" s="7"/>
      <c r="Q77" s="22"/>
      <c r="R77" s="170"/>
      <c r="S77" s="213">
        <f>1/IF(AG77="EC",12,1)*SUM(U77:U77)</f>
        <v>1</v>
      </c>
      <c r="T77" s="195" t="str">
        <f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-13T11:10:19-0600',mode:absolute,to:'2017-07-13T14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23.31</v>
      </c>
      <c r="Z77" s="197">
        <f>RIGHT(H77,LEN(H77)-4)/10000</f>
        <v>1.23E-2</v>
      </c>
      <c r="AA77" s="197">
        <f>ABS(Z77-Y77)</f>
        <v>23.297699999999999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/stypes="app*4013*20170713*" /stext=" 19:.+((SYSTEM_STATE.+slice.+state.+changed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ref="AH77:AH139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164-13 --locoid 4013 --swversion DE.1.0.9.0 --startMP 204:233100 --initTime 2017-07-13T12:10:19 --startdatetime 2017-07-13T12:27:15 --delay 1 --endMP 204:123 --enddatetime 2017-07-13T13:05:44 --enforcementcount 1 &gt;&gt;C:\Users\stu\Documents\GitHub\eaglep3-reporting\EC\2017-07-13-refined-times.txt</v>
      </c>
      <c r="AI77" s="96" t="str">
        <f t="shared" ref="AI77:AI139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{"issue":{"subject":"","project_id":79,"tracker_id":40,"status_id":1,"priority_id":2,"assigned_to_id":23,"start_date":"2017-07-13","description":"","custom_fields":[{"id":1,"name":"Subdivision","value":"EC"},{"id":4,"name":"Milepost","value":"0.0123"},{"id":17,"name":"Train ID","value":"164-13"},{"id":16,"name":"Locomotive ID","value":"4013"},{"id":130,"name":"Impact","value":""},{"id":150,"name":"Time of Event (Mountain Time)","value":"13:05:44"},{"id":151,"name":"Denver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11">"start /low /b "&amp;dls3logs&amp;" --loco "&amp;B77&amp;" --day "&amp;TEXT(F77,"YYYY-MM-DD")</f>
        <v>start /low /b %USERPROFILE%\Documents\GitHub\eaglep3\Utilities\DownloadLogsFromS3.py --loco 4013 --day 2017-07-13</v>
      </c>
      <c r="AN77" s="151" t="str">
        <f t="shared" ref="AN77:AN139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757</v>
      </c>
      <c r="B78" s="7">
        <v>4012</v>
      </c>
      <c r="C78" s="21" t="s">
        <v>199</v>
      </c>
      <c r="D78" s="21" t="s">
        <v>420</v>
      </c>
      <c r="E78" s="13">
        <v>42929.485717592594</v>
      </c>
      <c r="F78" s="13">
        <v>42929.490277777775</v>
      </c>
      <c r="G78" s="7">
        <v>1</v>
      </c>
      <c r="H78" s="21" t="s">
        <v>886</v>
      </c>
      <c r="I78" s="13">
        <v>42929.514155092591</v>
      </c>
      <c r="J78" s="7">
        <v>1</v>
      </c>
      <c r="K78" s="89" t="str">
        <f>IF(ISEVEN(B78),(B78-1)&amp;"/"&amp;B78,B78&amp;"/"&amp;(B78+1))</f>
        <v>4011/4012</v>
      </c>
      <c r="L78" s="21" t="str">
        <f>VLOOKUP(A78,'Trips&amp;Operators'!$C$1:$G$99999,5,FALSE)</f>
        <v>LEVIN SCOTT</v>
      </c>
      <c r="M78" s="6">
        <f>I78-F78</f>
        <v>2.3877314815763384E-2</v>
      </c>
      <c r="N78" s="7">
        <f>24*60*SUM($M78:$M78)</f>
        <v>34.383333334699273</v>
      </c>
      <c r="O78" s="7"/>
      <c r="P78" s="7"/>
      <c r="Q78" s="22"/>
      <c r="R78" s="170"/>
      <c r="S78" s="213">
        <f>1/IF(AG78="EC",12,1)*SUM(U78:U78)</f>
        <v>1</v>
      </c>
      <c r="T78" s="195" t="str">
        <f>IF(ISEVEN(LEFT(AD78,4)),"Southbound","NorthBound")</f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-13T10:39:26-0600',mode:absolute,to:'2017-07-13T13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4.4400000000000002E-2</v>
      </c>
      <c r="Z78" s="197">
        <f>RIGHT(H78,LEN(H78)-4)/10000</f>
        <v>23.341999999999999</v>
      </c>
      <c r="AA78" s="197">
        <f>ABS(Z78-Y78)</f>
        <v>23.297599999999999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/stypes="app*4012*20170713*" /stext=" 18:.+((SYSTEM_STATE.+slice.+state.+changed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9"/>
        <v>"%USERPROFILE%\Documents\GitHub\eaglep3\Utilities\RefineRTDCRunTimes.py" --tripid 165-13 --locoid 4012 --swversion DE.1.0.9.0 --startMP 204:444 --initTime 2017-07-13T11:39:26 --startdatetime 2017-07-13T11:46:00 --delay 1 --endMP 204:233420 --enddatetime 2017-07-13T12:20:23 --enforcementcount 1 &gt;&gt;C:\Users\stu\Documents\GitHub\eaglep3-reporting\EC\2017-07-13-refined-times.txt</v>
      </c>
      <c r="AI7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{"issue":{"subject":"","project_id":79,"tracker_id":40,"status_id":1,"priority_id":2,"assigned_to_id":23,"start_date":"2017-07-13","description":"","custom_fields":[{"id":1,"name":"Subdivision","value":"EC"},{"id":4,"name":"Milepost","value":"23.342"},{"id":17,"name":"Train ID","value":"165-13"},{"id":16,"name":"Locomotive ID","value":"4012"},{"id":130,"name":"Impact","value":""},{"id":150,"name":"Time of Event (Mountain Time)","value":"12:20:23"},{"id":151,"name":"Denver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1"/>
        <v>start /low /b %USERPROFILE%\Documents\GitHub\eaglep3\Utilities\DownloadLogsFromS3.py --loco 4012 --day 2017-07-13</v>
      </c>
      <c r="AN78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768</v>
      </c>
      <c r="B79" s="7">
        <v>4011</v>
      </c>
      <c r="C79" s="21" t="s">
        <v>199</v>
      </c>
      <c r="D79" s="21" t="s">
        <v>887</v>
      </c>
      <c r="E79" s="13">
        <v>42929.526597222219</v>
      </c>
      <c r="F79" s="13">
        <v>42929.529398148145</v>
      </c>
      <c r="G79" s="7">
        <v>1</v>
      </c>
      <c r="H79" s="21" t="s">
        <v>354</v>
      </c>
      <c r="I79" s="13">
        <v>42929.555543981478</v>
      </c>
      <c r="J79" s="7">
        <v>1</v>
      </c>
      <c r="K79" s="89" t="str">
        <f>IF(ISEVEN(B79),(B79-1)&amp;"/"&amp;B79,B79&amp;"/"&amp;(B79+1))</f>
        <v>4011/4012</v>
      </c>
      <c r="L79" s="21" t="str">
        <f>VLOOKUP(A79,'Trips&amp;Operators'!$C$1:$G$99999,5,FALSE)</f>
        <v>LEVIN SCOTT</v>
      </c>
      <c r="M79" s="6">
        <f>I79-F79</f>
        <v>2.6145833333430346E-2</v>
      </c>
      <c r="N79" s="7">
        <f>24*60*SUM($M79:$M79)</f>
        <v>37.650000000139698</v>
      </c>
      <c r="O79" s="7"/>
      <c r="P79" s="7"/>
      <c r="Q79" s="22"/>
      <c r="R79" s="170"/>
      <c r="S79" s="213">
        <f>1/IF(AG79="EC",12,1)*SUM(U79:U79)</f>
        <v>1</v>
      </c>
      <c r="T79" s="195" t="str">
        <f>IF(ISEVEN(LEFT(AD79,4)),"Southbound","NorthBound")</f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-13T11:38:18-0600',mode:absolute,to:'2017-07-13T14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23.312999999999999</v>
      </c>
      <c r="Z79" s="197">
        <f>RIGHT(H79,LEN(H79)-4)/10000</f>
        <v>1.47E-2</v>
      </c>
      <c r="AA79" s="197">
        <f>ABS(Z79-Y79)</f>
        <v>23.298299999999998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/stypes="app*4011*20170713*" /stext=" 19:.+((SYSTEM_STATE.+slice.+state.+changed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si="9"/>
        <v>"%USERPROFILE%\Documents\GitHub\eaglep3\Utilities\RefineRTDCRunTimes.py" --tripid 166-13 --locoid 4011 --swversion DE.1.0.9.0 --startMP 204:233130 --initTime 2017-07-13T12:38:18 --startdatetime 2017-07-13T12:42:20 --delay 1 --endMP 204:147 --enddatetime 2017-07-13T13:19:59 --enforcementcount 1 &gt;&gt;C:\Users\stu\Documents\GitHub\eaglep3-reporting\EC\2017-07-13-refined-times.txt</v>
      </c>
      <c r="AI7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{"issue":{"subject":"","project_id":79,"tracker_id":40,"status_id":1,"priority_id":2,"assigned_to_id":23,"start_date":"2017-07-13","description":"","custom_fields":[{"id":1,"name":"Subdivision","value":"EC"},{"id":4,"name":"Milepost","value":"0.0147"},{"id":17,"name":"Train ID","value":"166-13"},{"id":16,"name":"Locomotive ID","value":"4011"},{"id":130,"name":"Impact","value":""},{"id":150,"name":"Time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1"/>
        <v>start /low /b %USERPROFILE%\Documents\GitHub\eaglep3\Utilities\DownloadLogsFromS3.py --loco 4011 --day 2017-07-13</v>
      </c>
      <c r="AN79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762</v>
      </c>
      <c r="B80" s="7">
        <v>4062</v>
      </c>
      <c r="C80" s="21" t="s">
        <v>199</v>
      </c>
      <c r="D80" s="21" t="s">
        <v>347</v>
      </c>
      <c r="E80" s="13">
        <v>42929.496458333335</v>
      </c>
      <c r="F80" s="13">
        <v>42929.500497685185</v>
      </c>
      <c r="G80" s="7">
        <v>1</v>
      </c>
      <c r="H80" s="21" t="s">
        <v>888</v>
      </c>
      <c r="I80" s="13">
        <v>42929.52511574074</v>
      </c>
      <c r="J80" s="7">
        <v>1</v>
      </c>
      <c r="K80" s="89" t="str">
        <f>IF(ISEVEN(B80),(B80-1)&amp;"/"&amp;B80,B80&amp;"/"&amp;(B80+1))</f>
        <v>4061/4062</v>
      </c>
      <c r="L80" s="21" t="str">
        <f>VLOOKUP(A80,'Trips&amp;Operators'!$C$1:$G$99999,5,FALSE)</f>
        <v>DELGADO DIANAH</v>
      </c>
      <c r="M80" s="6">
        <f>I80-F80</f>
        <v>2.4618055555038154E-2</v>
      </c>
      <c r="N80" s="7">
        <f>24*60*SUM($M80:$M80)</f>
        <v>35.449999999254942</v>
      </c>
      <c r="O80" s="7"/>
      <c r="P80" s="7"/>
      <c r="Q80" s="22"/>
      <c r="R80" s="170"/>
      <c r="S80" s="213">
        <f>1/IF(AG80="EC",12,1)*SUM(U80:U80)</f>
        <v>1</v>
      </c>
      <c r="T80" s="195" t="str">
        <f>IF(ISEVEN(LEFT(AD80,4)),"Southbound","NorthBound")</f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-13T10:54:54-0600',mode:absolute,to:'2017-07-13T13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0" s="197" t="str">
        <f>IF(AA80&lt;VLOOKUP(AG80,Variables!$AC$3:$AD$8,2,FALSE),"Y","N")</f>
        <v>N</v>
      </c>
      <c r="X80" s="197">
        <f>VALUE(LEFT(AD80,4))-VALUE(LEFT(AD79,4))</f>
        <v>1</v>
      </c>
      <c r="Y80" s="197">
        <f>RIGHT(D80,LEN(D80)-4)/10000</f>
        <v>4.5100000000000001E-2</v>
      </c>
      <c r="Z80" s="197">
        <f>RIGHT(H80,LEN(H80)-4)/10000</f>
        <v>23.338899999999999</v>
      </c>
      <c r="AA80" s="197">
        <f>ABS(Z80-Y80)</f>
        <v>23.293799999999997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/stypes="app*4062*20170713*" /stext=" 18:.+((SYSTEM_STATE.+slice.+state.+changed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9"/>
        <v>"%USERPROFILE%\Documents\GitHub\eaglep3\Utilities\RefineRTDCRunTimes.py" --tripid 167-13 --locoid 4062 --swversion DE.1.0.9.0 --startMP 204:451 --initTime 2017-07-13T11:54:54 --startdatetime 2017-07-13T12:00:43 --delay 1 --endMP 204:233389 --enddatetime 2017-07-13T12:36:10 --enforcementcount 1 &gt;&gt;C:\Users\stu\Documents\GitHub\eaglep3-reporting\EC\2017-07-13-refined-times.txt</v>
      </c>
      <c r="AI8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{"issue":{"subject":"","project_id":79,"tracker_id":40,"status_id":1,"priority_id":2,"assigned_to_id":23,"start_date":"2017-07-13","description":"","custom_fields":[{"id":1,"name":"Subdivision","value":"EC"},{"id":4,"name":"Milepost","value":"23.3389"},{"id":17,"name":"Train ID","value":"167-13"},{"id":16,"name":"Locomotive ID","value":"4062"},{"id":130,"name":"Impact","value":""},{"id":150,"name":"Time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1"/>
        <v>start /low /b %USERPROFILE%\Documents\GitHub\eaglep3\Utilities\DownloadLogsFromS3.py --loco 4062 --day 2017-07-13</v>
      </c>
      <c r="AN80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770</v>
      </c>
      <c r="B81" s="7">
        <v>4061</v>
      </c>
      <c r="C81" s="21" t="s">
        <v>199</v>
      </c>
      <c r="D81" s="21" t="s">
        <v>889</v>
      </c>
      <c r="E81" s="13">
        <v>42929.531469907408</v>
      </c>
      <c r="F81" s="13">
        <v>42929.539780092593</v>
      </c>
      <c r="G81" s="7">
        <v>1</v>
      </c>
      <c r="H81" s="21" t="s">
        <v>890</v>
      </c>
      <c r="I81" s="13">
        <v>42929.566504629627</v>
      </c>
      <c r="J81" s="7">
        <v>1</v>
      </c>
      <c r="K81" s="89" t="str">
        <f>IF(ISEVEN(B81),(B81-1)&amp;"/"&amp;B81,B81&amp;"/"&amp;(B81+1))</f>
        <v>4061/4062</v>
      </c>
      <c r="L81" s="21" t="str">
        <f>VLOOKUP(A81,'Trips&amp;Operators'!$C$1:$G$99999,5,FALSE)</f>
        <v>MILLER KEVIN</v>
      </c>
      <c r="M81" s="6">
        <f>I81-F81</f>
        <v>2.6724537034169771E-2</v>
      </c>
      <c r="N81" s="7">
        <f>24*60*SUM($M81:$M81)</f>
        <v>38.48333332920447</v>
      </c>
      <c r="O81" s="7"/>
      <c r="P81" s="7"/>
      <c r="Q81" s="22"/>
      <c r="R81" s="170"/>
      <c r="S81" s="213">
        <f>1/IF(AG81="EC",12,1)*SUM(U81:U81)</f>
        <v>1</v>
      </c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-13T11:45:19-0600',mode:absolute,to:'2017-07-13T14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1" s="197" t="str">
        <f>IF(AA81&lt;VLOOKUP(AG81,Variables!$AC$3:$AD$8,2,FALSE),"Y","N")</f>
        <v>N</v>
      </c>
      <c r="X81" s="197">
        <f>VALUE(LEFT(AD81,4))-VALUE(LEFT(AD80,4))</f>
        <v>1</v>
      </c>
      <c r="Y81" s="197">
        <f>RIGHT(D81,LEN(D81)-4)/10000</f>
        <v>23.306799999999999</v>
      </c>
      <c r="Z81" s="197">
        <f>RIGHT(H81,LEN(H81)-4)/10000</f>
        <v>1.72E-2</v>
      </c>
      <c r="AA81" s="197">
        <f>ABS(Z81-Y81)</f>
        <v>23.2896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/stypes="app*4061*20170713*"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9"/>
        <v>"%USERPROFILE%\Documents\GitHub\eaglep3\Utilities\RefineRTDCRunTimes.py" --tripid 168-13 --locoid 4061 --swversion DE.1.0.9.0 --startMP 204:233068 --initTime 2017-07-13T12:45:19 --startdatetime 2017-07-13T12:57:17 --delay 1 --endMP 204:172 --enddatetime 2017-07-13T13:35:46 --enforcementcount 1 &gt;&gt;C:\Users\stu\Documents\GitHub\eaglep3-reporting\EC\2017-07-13-refined-times.txt</v>
      </c>
      <c r="AI8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{"issue":{"subject":"","project_id":79,"tracker_id":40,"status_id":1,"priority_id":2,"assigned_to_id":23,"start_date":"2017-07-13","description":"","custom_fields":[{"id":1,"name":"Subdivision","value":"EC"},{"id":4,"name":"Milepost","value":"0.0172"},{"id":17,"name":"Train ID","value":"168-13"},{"id":16,"name":"Locomotive ID","value":"4061"},{"id":130,"name":"Impact","value":""},{"id":150,"name":"Time of Event (Mountain Time)","value":"13:35:46"},{"id":151,"name":"Denver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1"/>
        <v>start /low /b %USERPROFILE%\Documents\GitHub\eaglep3\Utilities\DownloadLogsFromS3.py --loco 4061 --day 2017-07-13</v>
      </c>
      <c r="AN81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765</v>
      </c>
      <c r="B82" s="7">
        <v>4022</v>
      </c>
      <c r="C82" s="21" t="s">
        <v>199</v>
      </c>
      <c r="D82" s="21" t="s">
        <v>538</v>
      </c>
      <c r="E82" s="13">
        <v>42929.507939814815</v>
      </c>
      <c r="F82" s="13">
        <v>42929.510983796295</v>
      </c>
      <c r="G82" s="7">
        <v>2</v>
      </c>
      <c r="H82" s="21" t="s">
        <v>580</v>
      </c>
      <c r="I82" s="13">
        <v>42929.537951388891</v>
      </c>
      <c r="J82" s="7">
        <v>1</v>
      </c>
      <c r="K82" s="89" t="str">
        <f>IF(ISEVEN(B82),(B82-1)&amp;"/"&amp;B82,B82&amp;"/"&amp;(B82+1))</f>
        <v>4021/4022</v>
      </c>
      <c r="L82" s="21" t="str">
        <f>VLOOKUP(A82,'Trips&amp;Operators'!$C$1:$G$99999,5,FALSE)</f>
        <v>NICHOLSON WESLEY</v>
      </c>
      <c r="M82" s="6">
        <f>I82-F82</f>
        <v>2.6967592595610768E-2</v>
      </c>
      <c r="N82" s="7">
        <f>24*60*SUM($M82:$M82)</f>
        <v>38.833333337679505</v>
      </c>
      <c r="O82" s="7"/>
      <c r="P82" s="7"/>
      <c r="Q82" s="22"/>
      <c r="R82" s="170"/>
      <c r="S82" s="213">
        <f>1/IF(AG82="EC",12,1)*SUM(U82:U82)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-13T11:11:26-0600',mode:absolute,to:'2017-07-13T13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4.6699999999999998E-2</v>
      </c>
      <c r="Z82" s="197">
        <f>RIGHT(H82,LEN(H82)-4)/10000</f>
        <v>23.330300000000001</v>
      </c>
      <c r="AA82" s="197">
        <f>ABS(Z82-Y82)</f>
        <v>23.2836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/stypes="app*4022*20170713*"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9"/>
        <v>"%USERPROFILE%\Documents\GitHub\eaglep3\Utilities\RefineRTDCRunTimes.py" --tripid 169-13 --locoid 4022 --swversion DE.1.0.9.0 --startMP 204:467 --initTime 2017-07-13T12:11:26 --startdatetime 2017-07-13T12:15:49 --delay 2 --endMP 204:233303 --enddatetime 2017-07-13T12:54:39 --enforcementcount 1 &gt;&gt;C:\Users\stu\Documents\GitHub\eaglep3-reporting\EC\2017-07-13-refined-times.txt</v>
      </c>
      <c r="AI8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{"issue":{"subject":"","project_id":79,"tracker_id":40,"status_id":1,"priority_id":2,"assigned_to_id":23,"start_date":"2017-07-13","description":"","custom_fields":[{"id":1,"name":"Subdivision","value":"EC"},{"id":4,"name":"Milepost","value":"23.3303"},{"id":17,"name":"Train ID","value":"169-13"},{"id":16,"name":"Locomotive ID","value":"4022"},{"id":130,"name":"Impact","value":""},{"id":150,"name":"Time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1"/>
        <v>start /low /b %USERPROFILE%\Documents\GitHub\eaglep3\Utilities\DownloadLogsFromS3.py --loco 4022 --day 2017-07-13</v>
      </c>
      <c r="AN82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629</v>
      </c>
      <c r="B83" s="7">
        <v>4021</v>
      </c>
      <c r="C83" s="21" t="s">
        <v>199</v>
      </c>
      <c r="D83" s="21" t="s">
        <v>444</v>
      </c>
      <c r="E83" s="13">
        <v>42929.545057870368</v>
      </c>
      <c r="F83" s="13">
        <v>42929.550520833334</v>
      </c>
      <c r="G83" s="7">
        <v>2</v>
      </c>
      <c r="H83" s="21" t="s">
        <v>891</v>
      </c>
      <c r="I83" s="13">
        <v>42929.578356481485</v>
      </c>
      <c r="J83" s="7">
        <v>1</v>
      </c>
      <c r="K83" s="89" t="str">
        <f>IF(ISEVEN(B83),(B83-1)&amp;"/"&amp;B83,B83&amp;"/"&amp;(B83+1))</f>
        <v>4021/4022</v>
      </c>
      <c r="L83" s="21" t="str">
        <f>VLOOKUP(A83,'Trips&amp;Operators'!$C$1:$G$99999,5,FALSE)</f>
        <v>NICHOLSON WESLEY</v>
      </c>
      <c r="M83" s="6">
        <f>I83-F83</f>
        <v>2.7835648150357883E-2</v>
      </c>
      <c r="N83" s="7">
        <f>24*60*SUM($M83:$M83)</f>
        <v>40.083333336515352</v>
      </c>
      <c r="O83" s="7"/>
      <c r="P83" s="7"/>
      <c r="Q83" s="22"/>
      <c r="R83" s="170"/>
      <c r="S83" s="213">
        <f>1/IF(AG83="EC",12,1)*SUM(U83:U83)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-13T12:04:53-0600',mode:absolute,to:'2017-07-13T14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23.2971</v>
      </c>
      <c r="Z83" s="197">
        <f>RIGHT(H83,LEN(H83)-4)/10000</f>
        <v>2.18E-2</v>
      </c>
      <c r="AA83" s="197">
        <f>ABS(Z83-Y83)</f>
        <v>23.275300000000001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/stypes="app*4021*20170713*"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9"/>
        <v>"%USERPROFILE%\Documents\GitHub\eaglep3\Utilities\RefineRTDCRunTimes.py" --tripid 170-13 --locoid 4021 --swversion DE.1.0.9.0 --startMP 204:232971 --initTime 2017-07-13T13:04:53 --startdatetime 2017-07-13T13:12:45 --delay 2 --endMP 204:218 --enddatetime 2017-07-13T13:52:50 --enforcementcount 1 &gt;&gt;C:\Users\stu\Documents\GitHub\eaglep3-reporting\EC\2017-07-13-refined-times.txt</v>
      </c>
      <c r="AI8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{"issue":{"subject":"","project_id":79,"tracker_id":40,"status_id":1,"priority_id":2,"assigned_to_id":23,"start_date":"2017-07-13","description":"","custom_fields":[{"id":1,"name":"Subdivision","value":"EC"},{"id":4,"name":"Milepost","value":"0.0218"},{"id":17,"name":"Train ID","value":"170-13"},{"id":16,"name":"Locomotive ID","value":"4021"},{"id":130,"name":"Impact","value":""},{"id":150,"name":"Time of Event (Mountain Time)","value":"13:52:50"},{"id":151,"name":"Denver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1"/>
        <v>start /low /b %USERPROFILE%\Documents\GitHub\eaglep3\Utilities\DownloadLogsFromS3.py --loco 4021 --day 2017-07-13</v>
      </c>
      <c r="AN83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766</v>
      </c>
      <c r="B84" s="7">
        <v>4028</v>
      </c>
      <c r="C84" s="21" t="s">
        <v>199</v>
      </c>
      <c r="D84" s="21" t="s">
        <v>196</v>
      </c>
      <c r="E84" s="13">
        <v>42929.516469907408</v>
      </c>
      <c r="F84" s="13">
        <v>42929.521435185183</v>
      </c>
      <c r="G84" s="7">
        <v>1</v>
      </c>
      <c r="H84" s="21" t="s">
        <v>892</v>
      </c>
      <c r="I84" s="13">
        <v>42929.546423611115</v>
      </c>
      <c r="J84" s="7">
        <v>1</v>
      </c>
      <c r="K84" s="89" t="str">
        <f>IF(ISEVEN(B84),(B84-1)&amp;"/"&amp;B84,B84&amp;"/"&amp;(B84+1))</f>
        <v>4027/4028</v>
      </c>
      <c r="L84" s="21" t="str">
        <f>VLOOKUP(A84,'Trips&amp;Operators'!$C$1:$G$99999,5,FALSE)</f>
        <v>SULLIVAN BRANDON</v>
      </c>
      <c r="M84" s="6">
        <f>I84-F84</f>
        <v>2.4988425931951497E-2</v>
      </c>
      <c r="N84" s="7">
        <f>24*60*SUM($M84:$M84)</f>
        <v>35.983333342010155</v>
      </c>
      <c r="O84" s="7"/>
      <c r="P84" s="7"/>
      <c r="Q84" s="22"/>
      <c r="R84" s="170"/>
      <c r="S84" s="213">
        <f>1/IF(AG84="EC",12,1)*SUM(U84:U84)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-13T11:23:43-0600',mode:absolute,to:'2017-07-13T14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4.5699999999999998E-2</v>
      </c>
      <c r="Z84" s="197">
        <f>RIGHT(H84,LEN(H84)-4)/10000</f>
        <v>23.337</v>
      </c>
      <c r="AA84" s="197">
        <f>ABS(Z84-Y84)</f>
        <v>23.2913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/stypes="app*4028*20170713*"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9"/>
        <v>"%USERPROFILE%\Documents\GitHub\eaglep3\Utilities\RefineRTDCRunTimes.py" --tripid 171-13 --locoid 4028 --swversion DE.1.0.9.0 --startMP 204:457 --initTime 2017-07-13T12:23:43 --startdatetime 2017-07-13T12:30:52 --delay 1 --endMP 204:233370 --enddatetime 2017-07-13T13:06:51 --enforcementcount 1 &gt;&gt;C:\Users\stu\Documents\GitHub\eaglep3-reporting\EC\2017-07-13-refined-times.txt</v>
      </c>
      <c r="AI84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{"issue":{"subject":"","project_id":79,"tracker_id":40,"status_id":1,"priority_id":2,"assigned_to_id":23,"start_date":"2017-07-13","description":"","custom_fields":[{"id":1,"name":"Subdivision","value":"EC"},{"id":4,"name":"Milepost","value":"23.337"},{"id":17,"name":"Train ID","value":"171-13"},{"id":16,"name":"Locomotive ID","value":"4028"},{"id":130,"name":"Impact","value":""},{"id":150,"name":"Time of Event (Mountain Time)","value":"13:06:51"},{"id":151,"name":"Denver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1"/>
        <v>start /low /b %USERPROFILE%\Documents\GitHub\eaglep3\Utilities\DownloadLogsFromS3.py --loco 4028 --day 2017-07-13</v>
      </c>
      <c r="AN84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774</v>
      </c>
      <c r="B85" s="7">
        <v>4027</v>
      </c>
      <c r="C85" s="21" t="s">
        <v>199</v>
      </c>
      <c r="D85" s="21" t="s">
        <v>893</v>
      </c>
      <c r="E85" s="13">
        <v>42929.554120370369</v>
      </c>
      <c r="F85" s="13">
        <v>42929.560590277775</v>
      </c>
      <c r="G85" s="7">
        <v>1</v>
      </c>
      <c r="H85" s="21" t="s">
        <v>343</v>
      </c>
      <c r="I85" s="13">
        <v>42929.588067129633</v>
      </c>
      <c r="J85" s="7">
        <v>1</v>
      </c>
      <c r="K85" s="89" t="str">
        <f>IF(ISEVEN(B85),(B85-1)&amp;"/"&amp;B85,B85&amp;"/"&amp;(B85+1))</f>
        <v>4027/4028</v>
      </c>
      <c r="L85" s="21" t="str">
        <f>VLOOKUP(A85,'Trips&amp;Operators'!$C$1:$G$99999,5,FALSE)</f>
        <v>SULLIVAN BRANDON</v>
      </c>
      <c r="M85" s="6">
        <f>I85-F85</f>
        <v>2.7476851857500151E-2</v>
      </c>
      <c r="N85" s="7">
        <f>24*60*SUM($M85:$M85)</f>
        <v>39.566666674800217</v>
      </c>
      <c r="O85" s="7"/>
      <c r="P85" s="7"/>
      <c r="Q85" s="22"/>
      <c r="R85" s="170"/>
      <c r="S85" s="213">
        <f>1/IF(AG85="EC",12,1)*SUM(U85:U85)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-13T12:17:56-0600',mode:absolute,to:'2017-07-13T15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23.306999999999999</v>
      </c>
      <c r="Z85" s="197">
        <f>RIGHT(H85,LEN(H85)-4)/10000</f>
        <v>1.4999999999999999E-2</v>
      </c>
      <c r="AA85" s="197">
        <f>ABS(Z85-Y85)</f>
        <v>23.291999999999998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/stypes="app*4027*20170713*"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9"/>
        <v>"%USERPROFILE%\Documents\GitHub\eaglep3\Utilities\RefineRTDCRunTimes.py" --tripid 172-13 --locoid 4027 --swversion DE.1.0.9.0 --startMP 204:233070 --initTime 2017-07-13T13:17:56 --startdatetime 2017-07-13T13:27:15 --delay 1 --endMP 204:150 --enddatetime 2017-07-13T14:06:49 --enforcementcount 1 &gt;&gt;C:\Users\stu\Documents\GitHub\eaglep3-reporting\EC\2017-07-13-refined-times.txt</v>
      </c>
      <c r="AI8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ID","value":"172-13"},{"id":16,"name":"Locomotive ID","value":"4027"},{"id":130,"name":"Impact","value":""},{"id":150,"name":"Time of Event (Mountain Time)","value":"14:06:49"},{"id":151,"name":"Denver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1"/>
        <v>start /low /b %USERPROFILE%\Documents\GitHub\eaglep3\Utilities\DownloadLogsFromS3.py --loco 4027 --day 2017-07-13</v>
      </c>
      <c r="AN85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627</v>
      </c>
      <c r="B86" s="7">
        <v>4008</v>
      </c>
      <c r="C86" s="21" t="s">
        <v>199</v>
      </c>
      <c r="D86" s="21" t="s">
        <v>538</v>
      </c>
      <c r="E86" s="13">
        <v>42929.527337962965</v>
      </c>
      <c r="F86" s="13">
        <v>42929.531782407408</v>
      </c>
      <c r="G86" s="7">
        <v>1</v>
      </c>
      <c r="H86" s="21" t="s">
        <v>593</v>
      </c>
      <c r="I86" s="13">
        <v>42929.556979166664</v>
      </c>
      <c r="J86" s="7">
        <v>1</v>
      </c>
      <c r="K86" s="89" t="str">
        <f>IF(ISEVEN(B86),(B86-1)&amp;"/"&amp;B86,B86&amp;"/"&amp;(B86+1))</f>
        <v>4007/4008</v>
      </c>
      <c r="L86" s="21" t="str">
        <f>VLOOKUP(A86,'Trips&amp;Operators'!$C$1:$G$99999,5,FALSE)</f>
        <v>ANDERS STEVEN</v>
      </c>
      <c r="M86" s="6">
        <f>I86-F86</f>
        <v>2.5196759255777579E-2</v>
      </c>
      <c r="N86" s="7">
        <f>24*60*SUM($M86:$M86)</f>
        <v>36.283333328319713</v>
      </c>
      <c r="O86" s="7"/>
      <c r="P86" s="7"/>
      <c r="Q86" s="22"/>
      <c r="R86" s="170"/>
      <c r="S86" s="213">
        <f>1/IF(AG86="EC",12,1)*SUM(U86:U86)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-13T11:39:22-0600',mode:absolute,to:'2017-07-13T14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4.6699999999999998E-2</v>
      </c>
      <c r="Z86" s="197">
        <f>RIGHT(H86,LEN(H86)-4)/10000</f>
        <v>23.331800000000001</v>
      </c>
      <c r="AA86" s="197">
        <f>ABS(Z86-Y86)</f>
        <v>23.2851</v>
      </c>
      <c r="AB86" s="54" t="str">
        <f>VLOOKUP(A86,Enforcements!$C$7:$K$13,8,0)</f>
        <v>Speed (6)</v>
      </c>
      <c r="AC86" s="51" t="str">
        <f>VLOOKUP(A86,Enforcements!$C$7:$E$13,3,0)</f>
        <v>PERMANENT SPEED RESTRICTION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/stypes="app*4008*20170713*"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9"/>
        <v>"%USERPROFILE%\Documents\GitHub\eaglep3\Utilities\RefineRTDCRunTimes.py" --tripid 173-13 --locoid 4008 --swversion DE.1.0.9.0 --startMP 204:467 --initTime 2017-07-13T12:39:22 --startdatetime 2017-07-13T12:45:46 --delay 1 --endMP 204:233318 --enddatetime 2017-07-13T13:22:03 --enforcementcount 1 &gt;&gt;C:\Users\stu\Documents\GitHub\eaglep3-reporting\EC\2017-07-13-refined-times.txt</v>
      </c>
      <c r="AI8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{"issue":{"subject":"","project_id":79,"tracker_id":40,"status_id":1,"priority_id":2,"assigned_to_id":23,"start_date":"2017-07-13","description":"","custom_fields":[{"id":1,"name":"Subdivision","value":"EC"},{"id":4,"name":"Milepost","value":"23.3318"},{"id":17,"name":"Train ID","value":"173-13"},{"id":16,"name":"Locomotive ID","value":"4008"},{"id":130,"name":"Impact","value":""},{"id":150,"name":"Time of Event (Mountain Time)","value":"13:22:03"},{"id":151,"name":"Denver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1"/>
        <v>start /low /b %USERPROFILE%\Documents\GitHub\eaglep3\Utilities\DownloadLogsFromS3.py --loco 4008 --day 2017-07-13</v>
      </c>
      <c r="AN86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634</v>
      </c>
      <c r="B87" s="7">
        <v>4007</v>
      </c>
      <c r="C87" s="21" t="s">
        <v>199</v>
      </c>
      <c r="D87" s="21" t="s">
        <v>537</v>
      </c>
      <c r="E87" s="13">
        <v>42929.558206018519</v>
      </c>
      <c r="F87" s="13">
        <v>42929.571608796294</v>
      </c>
      <c r="G87" s="7">
        <v>1</v>
      </c>
      <c r="H87" s="21" t="s">
        <v>344</v>
      </c>
      <c r="I87" s="13">
        <v>42929.598483796297</v>
      </c>
      <c r="J87" s="7">
        <v>1</v>
      </c>
      <c r="K87" s="89" t="str">
        <f>IF(ISEVEN(B87),(B87-1)&amp;"/"&amp;B87,B87&amp;"/"&amp;(B87+1))</f>
        <v>4007/4008</v>
      </c>
      <c r="L87" s="21" t="str">
        <f>VLOOKUP(A87,'Trips&amp;Operators'!$C$1:$G$99999,5,FALSE)</f>
        <v>ANDERS STEVEN</v>
      </c>
      <c r="M87" s="6">
        <f>I87-F87</f>
        <v>2.6875000003201421E-2</v>
      </c>
      <c r="N87" s="7">
        <f>24*60*SUM($M87:$M87)</f>
        <v>38.700000004610047</v>
      </c>
      <c r="O87" s="7"/>
      <c r="P87" s="7"/>
      <c r="Q87" s="22"/>
      <c r="R87" s="170"/>
      <c r="S87" s="213">
        <f>1/IF(AG87="EC",12,1)*SUM(U87:U87)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-13T12:23:49-0600',mode:absolute,to:'2017-07-13T15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23.299399999999999</v>
      </c>
      <c r="Z87" s="197">
        <f>RIGHT(H87,LEN(H87)-4)/10000</f>
        <v>1.49E-2</v>
      </c>
      <c r="AA87" s="197">
        <f>ABS(Z87-Y87)</f>
        <v>23.284499999999998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/stypes="app*4007*20170713*"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9"/>
        <v>"%USERPROFILE%\Documents\GitHub\eaglep3\Utilities\RefineRTDCRunTimes.py" --tripid 174-13 --locoid 4007 --swversion DE.1.0.9.0 --startMP 204:232994 --initTime 2017-07-13T13:23:49 --startdatetime 2017-07-13T13:43:07 --delay 1 --endMP 204:149 --enddatetime 2017-07-13T14:21:49 --enforcementcount 1 &gt;&gt;C:\Users\stu\Documents\GitHub\eaglep3-reporting\EC\2017-07-13-refined-times.txt</v>
      </c>
      <c r="AI8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ID","value":"174-13"},{"id":16,"name":"Locomotive ID","value":"4007"},{"id":130,"name":"Impact","value":""},{"id":150,"name":"Time of Event (Mountain Time)","value":"14:21:49"},{"id":151,"name":"Denver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1"/>
        <v>start /low /b %USERPROFILE%\Documents\GitHub\eaglep3\Utilities\DownloadLogsFromS3.py --loco 4007 --day 2017-07-13</v>
      </c>
      <c r="AN87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771</v>
      </c>
      <c r="B88" s="7">
        <v>4042</v>
      </c>
      <c r="C88" s="21" t="s">
        <v>199</v>
      </c>
      <c r="D88" s="21" t="s">
        <v>538</v>
      </c>
      <c r="E88" s="13">
        <v>42929.53665509259</v>
      </c>
      <c r="F88" s="13">
        <v>42929.542164351849</v>
      </c>
      <c r="G88" s="7">
        <v>1</v>
      </c>
      <c r="H88" s="21" t="s">
        <v>894</v>
      </c>
      <c r="I88" s="13">
        <v>42929.56726851852</v>
      </c>
      <c r="J88" s="7">
        <v>1</v>
      </c>
      <c r="K88" s="89" t="str">
        <f>IF(ISEVEN(B88),(B88-1)&amp;"/"&amp;B88,B88&amp;"/"&amp;(B88+1))</f>
        <v>4041/4042</v>
      </c>
      <c r="L88" s="21" t="str">
        <f>VLOOKUP(A88,'Trips&amp;Operators'!$C$1:$G$99999,5,FALSE)</f>
        <v>ROBINSON KADDIBA</v>
      </c>
      <c r="M88" s="6">
        <f>I88-F88</f>
        <v>2.510416667064419E-2</v>
      </c>
      <c r="N88" s="7">
        <f>24*60*SUM($M88:$M88)</f>
        <v>36.150000005727634</v>
      </c>
      <c r="O88" s="7"/>
      <c r="P88" s="7"/>
      <c r="Q88" s="22"/>
      <c r="R88" s="170"/>
      <c r="S88" s="213">
        <f>1/IF(AG88="EC",12,1)*SUM(U88:U88)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-13T11:52:47-0600',mode:absolute,to:'2017-07-13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4.6699999999999998E-2</v>
      </c>
      <c r="Z88" s="197">
        <f>RIGHT(H88,LEN(H88)-4)/10000</f>
        <v>23.334399999999999</v>
      </c>
      <c r="AA88" s="197">
        <f>ABS(Z88-Y88)</f>
        <v>23.287699999999997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/stypes="app*4042*20170713*"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9"/>
        <v>"%USERPROFILE%\Documents\GitHub\eaglep3\Utilities\RefineRTDCRunTimes.py" --tripid 175-13 --locoid 4042 --swversion DE.1.0.9.0 --startMP 204:467 --initTime 2017-07-13T12:52:47 --startdatetime 2017-07-13T13:00:43 --delay 1 --endMP 204:233344 --enddatetime 2017-07-13T13:36:52 --enforcementcount 1 &gt;&gt;C:\Users\stu\Documents\GitHub\eaglep3-reporting\EC\2017-07-13-refined-times.txt</v>
      </c>
      <c r="AI8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{"issue":{"subject":"","project_id":79,"tracker_id":40,"status_id":1,"priority_id":2,"assigned_to_id":23,"start_date":"2017-07-13","description":"","custom_fields":[{"id":1,"name":"Subdivision","value":"EC"},{"id":4,"name":"Milepost","value":"23.3344"},{"id":17,"name":"Train ID","value":"175-13"},{"id":16,"name":"Locomotive ID","value":"4042"},{"id":130,"name":"Impact","value":""},{"id":150,"name":"Time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1"/>
        <v>start /low /b %USERPROFILE%\Documents\GitHub\eaglep3\Utilities\DownloadLogsFromS3.py --loco 4042 --day 2017-07-13</v>
      </c>
      <c r="AN88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777</v>
      </c>
      <c r="B89" s="7">
        <v>4041</v>
      </c>
      <c r="C89" s="21" t="s">
        <v>199</v>
      </c>
      <c r="D89" s="21" t="s">
        <v>895</v>
      </c>
      <c r="E89" s="13">
        <v>42929.579201388886</v>
      </c>
      <c r="F89" s="13">
        <v>42929.581412037034</v>
      </c>
      <c r="G89" s="7">
        <v>1</v>
      </c>
      <c r="H89" s="21" t="s">
        <v>344</v>
      </c>
      <c r="I89" s="13">
        <v>42929.60833333333</v>
      </c>
      <c r="J89" s="7">
        <v>1</v>
      </c>
      <c r="K89" s="89" t="str">
        <f>IF(ISEVEN(B89),(B89-1)&amp;"/"&amp;B89,B89&amp;"/"&amp;(B89+1))</f>
        <v>4041/4042</v>
      </c>
      <c r="L89" s="21" t="str">
        <f>VLOOKUP(A89,'Trips&amp;Operators'!$C$1:$G$99999,5,FALSE)</f>
        <v>ROBINSON KADDIBA</v>
      </c>
      <c r="M89" s="6">
        <f>I89-F89</f>
        <v>2.6921296295768116E-2</v>
      </c>
      <c r="N89" s="7">
        <f>24*60*SUM($M89:$M89)</f>
        <v>38.766666665906087</v>
      </c>
      <c r="O89" s="7"/>
      <c r="P89" s="7"/>
      <c r="Q89" s="22"/>
      <c r="R89" s="170"/>
      <c r="S89" s="213">
        <f>1/IF(AG89="EC",12,1)*SUM(U89:U89)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-13T12:54:03-0600',mode:absolute,to:'2017-07-13T15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23.303799999999999</v>
      </c>
      <c r="Z89" s="197">
        <f>RIGHT(H89,LEN(H89)-4)/10000</f>
        <v>1.49E-2</v>
      </c>
      <c r="AA89" s="197">
        <f>ABS(Z89-Y89)</f>
        <v>23.288899999999998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/stypes="app*4041*20170713*"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9"/>
        <v>"%USERPROFILE%\Documents\GitHub\eaglep3\Utilities\RefineRTDCRunTimes.py" --tripid 176-13 --locoid 4041 --swversion DE.1.0.9.0 --startMP 204:233038 --initTime 2017-07-13T13:54:03 --startdatetime 2017-07-13T13:57:14 --delay 1 --endMP 204:149 --enddatetime 2017-07-13T14:36:00 --enforcementcount 1 &gt;&gt;C:\Users\stu\Documents\GitHub\eaglep3-reporting\EC\2017-07-13-refined-times.txt</v>
      </c>
      <c r="AI8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ID","value":"176-13"},{"id":16,"name":"Locomotive ID","value":"4041"},{"id":130,"name":"Impact","value":""},{"id":150,"name":"Time of Event (Mountain Time)","value":"14:36:00"},{"id":151,"name":"Denver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1"/>
        <v>start /low /b %USERPROFILE%\Documents\GitHub\eaglep3\Utilities\DownloadLogsFromS3.py --loco 4041 --day 2017-07-13</v>
      </c>
      <c r="AN89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773</v>
      </c>
      <c r="B90" s="7">
        <v>4014</v>
      </c>
      <c r="C90" s="21" t="s">
        <v>199</v>
      </c>
      <c r="D90" s="21" t="s">
        <v>428</v>
      </c>
      <c r="E90" s="13">
        <v>42929.547615740739</v>
      </c>
      <c r="F90" s="13">
        <v>42929.552581018521</v>
      </c>
      <c r="G90" s="7">
        <v>1</v>
      </c>
      <c r="H90" s="21" t="s">
        <v>896</v>
      </c>
      <c r="I90" s="13">
        <v>42929.576817129629</v>
      </c>
      <c r="J90" s="7">
        <v>1</v>
      </c>
      <c r="K90" s="89" t="str">
        <f>IF(ISEVEN(B90),(B90-1)&amp;"/"&amp;B90,B90&amp;"/"&amp;(B90+1))</f>
        <v>4013/4014</v>
      </c>
      <c r="L90" s="21" t="str">
        <f>VLOOKUP(A90,'Trips&amp;Operators'!$C$1:$G$99999,5,FALSE)</f>
        <v>ROMERO CHAD</v>
      </c>
      <c r="M90" s="6">
        <f>I90-F90</f>
        <v>2.4236111108621117E-2</v>
      </c>
      <c r="N90" s="7">
        <f>24*60*SUM($M90:$M90)</f>
        <v>34.899999996414408</v>
      </c>
      <c r="O90" s="7"/>
      <c r="P90" s="7"/>
      <c r="Q90" s="22"/>
      <c r="R90" s="170"/>
      <c r="S90" s="213">
        <f>1/IF(AG90="EC",12,1)*SUM(U90:U90)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-13T12:08:34-0600',mode:absolute,to:'2017-07-13T14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4.3499999999999997E-2</v>
      </c>
      <c r="Z90" s="197">
        <f>RIGHT(H90,LEN(H90)-4)/10000</f>
        <v>23.342400000000001</v>
      </c>
      <c r="AA90" s="197">
        <f>ABS(Z90-Y90)</f>
        <v>23.2989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/stypes="app*4014*20170713*" /stext=" 19:.+((SYSTEM_STATE.+slice.+state.+changed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9"/>
        <v>"%USERPROFILE%\Documents\GitHub\eaglep3\Utilities\RefineRTDCRunTimes.py" --tripid 177-13 --locoid 4014 --swversion DE.1.0.9.0 --startMP 204:435 --initTime 2017-07-13T13:08:34 --startdatetime 2017-07-13T13:15:43 --delay 1 --endMP 204:233424 --enddatetime 2017-07-13T13:50:37 --enforcementcount 1 &gt;&gt;C:\Users\stu\Documents\GitHub\eaglep3-reporting\EC\2017-07-13-refined-times.txt</v>
      </c>
      <c r="AI9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{"issue":{"subject":"","project_id":79,"tracker_id":40,"status_id":1,"priority_id":2,"assigned_to_id":23,"start_date":"2017-07-13","description":"","custom_fields":[{"id":1,"name":"Subdivision","value":"EC"},{"id":4,"name":"Milepost","value":"23.3424"},{"id":17,"name":"Train ID","value":"177-13"},{"id":16,"name":"Locomotive ID","value":"4014"},{"id":130,"name":"Impact","value":""},{"id":150,"name":"Time of Event (Mountain Time)","value":"13:50:37"},{"id":151,"name":"Denver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1"/>
        <v>start /low /b %USERPROFILE%\Documents\GitHub\eaglep3\Utilities\DownloadLogsFromS3.py --loco 4014 --day 2017-07-13</v>
      </c>
      <c r="AN90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776</v>
      </c>
      <c r="B91" s="7">
        <v>4013</v>
      </c>
      <c r="C91" s="21" t="s">
        <v>199</v>
      </c>
      <c r="D91" s="21" t="s">
        <v>897</v>
      </c>
      <c r="E91" s="13">
        <v>42929.578692129631</v>
      </c>
      <c r="F91" s="13">
        <v>42929.591828703706</v>
      </c>
      <c r="G91" s="7">
        <v>1</v>
      </c>
      <c r="H91" s="21" t="s">
        <v>575</v>
      </c>
      <c r="I91" s="13">
        <v>42929.617314814815</v>
      </c>
      <c r="J91" s="7">
        <v>1</v>
      </c>
      <c r="K91" s="89" t="str">
        <f>IF(ISEVEN(B91),(B91-1)&amp;"/"&amp;B91,B91&amp;"/"&amp;(B91+1))</f>
        <v>4013/4014</v>
      </c>
      <c r="L91" s="21" t="str">
        <f>VLOOKUP(A91,'Trips&amp;Operators'!$C$1:$G$99999,5,FALSE)</f>
        <v>ROMERO CHAD</v>
      </c>
      <c r="M91" s="6">
        <f>I91-F91</f>
        <v>2.548611110978527E-2</v>
      </c>
      <c r="N91" s="7">
        <f>24*60*SUM($M91:$M91)</f>
        <v>36.699999998090789</v>
      </c>
      <c r="O91" s="7"/>
      <c r="P91" s="7"/>
      <c r="Q91" s="22"/>
      <c r="R91" s="170"/>
      <c r="S91" s="213">
        <f>1/IF(AG91="EC",12,1)*SUM(U91:U91)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-13T12:53:19-0600',mode:absolute,to:'2017-07-13T15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23.311499999999999</v>
      </c>
      <c r="Z91" s="197">
        <f>RIGHT(H91,LEN(H91)-4)/10000</f>
        <v>1.52E-2</v>
      </c>
      <c r="AA91" s="197">
        <f>ABS(Z91-Y91)</f>
        <v>23.296299999999999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/stypes="app*4013*20170713*"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9"/>
        <v>"%USERPROFILE%\Documents\GitHub\eaglep3\Utilities\RefineRTDCRunTimes.py" --tripid 178-13 --locoid 4013 --swversion DE.1.0.9.0 --startMP 204:233115 --initTime 2017-07-13T13:53:19 --startdatetime 2017-07-13T14:12:14 --delay 1 --endMP 204:152 --enddatetime 2017-07-13T14:48:56 --enforcementcount 1 &gt;&gt;C:\Users\stu\Documents\GitHub\eaglep3-reporting\EC\2017-07-13-refined-times.txt</v>
      </c>
      <c r="AI9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ID","value":"178-13"},{"id":16,"name":"Locomotive ID","value":"4013"},{"id":130,"name":"Impact","value":""},{"id":150,"name":"Time of Event (Mountain Time)","value":"14:48:56"},{"id":151,"name":"Denver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11"/>
        <v>start /low /b %USERPROFILE%\Documents\GitHub\eaglep3\Utilities\DownloadLogsFromS3.py --loco 4013 --day 2017-07-13</v>
      </c>
      <c r="AN91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20:48:56"},{"id":29,"name":"Sharepoint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633</v>
      </c>
      <c r="B92" s="7">
        <v>4012</v>
      </c>
      <c r="C92" s="21" t="s">
        <v>199</v>
      </c>
      <c r="D92" s="21" t="s">
        <v>350</v>
      </c>
      <c r="E92" s="13">
        <v>42929.557326388887</v>
      </c>
      <c r="F92" s="13">
        <v>42929.56318287037</v>
      </c>
      <c r="G92" s="7">
        <v>1</v>
      </c>
      <c r="H92" s="21" t="s">
        <v>898</v>
      </c>
      <c r="I92" s="13">
        <v>42929.58798611111</v>
      </c>
      <c r="J92" s="7">
        <v>1</v>
      </c>
      <c r="K92" s="89" t="str">
        <f>IF(ISEVEN(B92),(B92-1)&amp;"/"&amp;B92,B92&amp;"/"&amp;(B92+1))</f>
        <v>4011/4012</v>
      </c>
      <c r="L92" s="21" t="str">
        <f>VLOOKUP(A92,'Trips&amp;Operators'!$C$1:$G$99999,5,FALSE)</f>
        <v>LEVIN SCOTT</v>
      </c>
      <c r="M92" s="6">
        <f>I92-F92</f>
        <v>2.4803240739856847E-2</v>
      </c>
      <c r="N92" s="7">
        <f>24*60*SUM($M92:$M92)</f>
        <v>35.716666665393859</v>
      </c>
      <c r="O92" s="7"/>
      <c r="P92" s="7"/>
      <c r="Q92" s="22"/>
      <c r="R92" s="170"/>
      <c r="S92" s="213">
        <f>1/IF(AG92="EC",12,1)*SUM(U92:U92)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-13T12:22:33-0600',mode:absolute,to:'2017-07-13T15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4.4699999999999997E-2</v>
      </c>
      <c r="Z92" s="197">
        <f>RIGHT(H92,LEN(H92)-4)/10000</f>
        <v>23.346599999999999</v>
      </c>
      <c r="AA92" s="197">
        <f>ABS(Z92-Y92)</f>
        <v>23.3019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/stypes="app*4012*20170713*"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9"/>
        <v>"%USERPROFILE%\Documents\GitHub\eaglep3\Utilities\RefineRTDCRunTimes.py" --tripid 179-13 --locoid 4012 --swversion DE.1.0.9.0 --startMP 204:447 --initTime 2017-07-13T13:22:33 --startdatetime 2017-07-13T13:30:59 --delay 1 --endMP 204:233466 --enddatetime 2017-07-13T14:06:42 --enforcementcount 1 &gt;&gt;C:\Users\stu\Documents\GitHub\eaglep3-reporting\EC\2017-07-13-refined-times.txt</v>
      </c>
      <c r="AI9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{"issue":{"subject":"","project_id":79,"tracker_id":40,"status_id":1,"priority_id":2,"assigned_to_id":23,"start_date":"2017-07-13","description":"","custom_fields":[{"id":1,"name":"Subdivision","value":"EC"},{"id":4,"name":"Milepost","value":"23.3466"},{"id":17,"name":"Train ID","value":"179-13"},{"id":16,"name":"Locomotive ID","value":"4012"},{"id":130,"name":"Impact","value":""},{"id":150,"name":"Time of Event (Mountain Time)","value":"14:06:42"},{"id":151,"name":"Denver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11"/>
        <v>start /low /b %USERPROFILE%\Documents\GitHub\eaglep3\Utilities\DownloadLogsFromS3.py --loco 4012 --day 2017-07-13</v>
      </c>
      <c r="AN92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639</v>
      </c>
      <c r="B93" s="7">
        <v>4011</v>
      </c>
      <c r="C93" s="21" t="s">
        <v>199</v>
      </c>
      <c r="D93" s="21" t="s">
        <v>899</v>
      </c>
      <c r="E93" s="13">
        <v>42929.597175925926</v>
      </c>
      <c r="F93" s="13">
        <v>42929.602303240739</v>
      </c>
      <c r="G93" s="7">
        <v>1</v>
      </c>
      <c r="H93" s="21" t="s">
        <v>596</v>
      </c>
      <c r="I93" s="13">
        <v>42929.628923611112</v>
      </c>
      <c r="J93" s="7">
        <v>1</v>
      </c>
      <c r="K93" s="89" t="str">
        <f>IF(ISEVEN(B93),(B93-1)&amp;"/"&amp;B93,B93&amp;"/"&amp;(B93+1))</f>
        <v>4011/4012</v>
      </c>
      <c r="L93" s="21" t="str">
        <f>VLOOKUP(A93,'Trips&amp;Operators'!$C$1:$G$99999,5,FALSE)</f>
        <v>LEVIN SCOTT</v>
      </c>
      <c r="M93" s="6">
        <f>I93-F93</f>
        <v>2.662037037225673E-2</v>
      </c>
      <c r="N93" s="7">
        <f>24*60*SUM($M93:$M93)</f>
        <v>38.333333336049691</v>
      </c>
      <c r="O93" s="7"/>
      <c r="P93" s="7"/>
      <c r="Q93" s="22"/>
      <c r="R93" s="170"/>
      <c r="S93" s="213">
        <f>1/IF(AG93="EC",12,1)*SUM(U93:U93)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-13T13:19:56-0600',mode:absolute,to:'2017-07-13T16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23.3157</v>
      </c>
      <c r="Z93" s="197">
        <f>RIGHT(H93,LEN(H93)-4)/10000</f>
        <v>1.29E-2</v>
      </c>
      <c r="AA93" s="197">
        <f>ABS(Z93-Y93)</f>
        <v>23.302800000000001</v>
      </c>
      <c r="AB93" s="54" t="str">
        <f>VLOOKUP(A93,Enforcements!$C$7:$K$13,8,0)</f>
        <v>Bulletin (2)</v>
      </c>
      <c r="AC93" s="51" t="str">
        <f>VLOOKUP(A93,Enforcements!$C$7:$E$13,3,0)</f>
        <v>GRADE CROSSING</v>
      </c>
      <c r="AD93" s="206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/stypes="app*4011*20170713*" /stext=" 21:.+((SYSTEM_STATE.+slice.+state.+changed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9"/>
        <v>"%USERPROFILE%\Documents\GitHub\eaglep3\Utilities\RefineRTDCRunTimes.py" --tripid 180-13 --locoid 4011 --swversion DE.1.0.9.0 --startMP 204:233157 --initTime 2017-07-13T14:19:56 --startdatetime 2017-07-13T14:27:19 --delay 1 --endMP 204:129 --enddatetime 2017-07-13T15:05:39 --enforcementcount 1 &gt;&gt;C:\Users\stu\Documents\GitHub\eaglep3-reporting\EC\2017-07-13-refined-times.txt</v>
      </c>
      <c r="AI9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{"issue":{"subject":"","project_id":79,"tracker_id":40,"status_id":1,"priority_id":2,"assigned_to_id":23,"start_date":"2017-07-13","description":"","custom_fields":[{"id":1,"name":"Subdivision","value":"EC"},{"id":4,"name":"Milepost","value":"0.0129"},{"id":17,"name":"Train ID","value":"180-13"},{"id":16,"name":"Locomotive ID","value":"4011"},{"id":130,"name":"Impact","value":""},{"id":150,"name":"Time of Event (Mountain Time)","value":"15:05:39"},{"id":151,"name":"Denver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1"/>
        <v>start /low /b %USERPROFILE%\Documents\GitHub\eaglep3\Utilities\DownloadLogsFromS3.py --loco 4011 --day 2017-07-13</v>
      </c>
      <c r="AN93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775</v>
      </c>
      <c r="B94" s="7">
        <v>4062</v>
      </c>
      <c r="C94" s="21" t="s">
        <v>199</v>
      </c>
      <c r="D94" s="21" t="s">
        <v>900</v>
      </c>
      <c r="E94" s="13">
        <v>42929.569155092591</v>
      </c>
      <c r="F94" s="13">
        <v>42929.573414351849</v>
      </c>
      <c r="G94" s="7">
        <v>1</v>
      </c>
      <c r="H94" s="21" t="s">
        <v>901</v>
      </c>
      <c r="I94" s="13">
        <v>42929.597986111112</v>
      </c>
      <c r="J94" s="7">
        <v>1</v>
      </c>
      <c r="K94" s="89" t="str">
        <f>IF(ISEVEN(B94),(B94-1)&amp;"/"&amp;B94,B94&amp;"/"&amp;(B94+1))</f>
        <v>4061/4062</v>
      </c>
      <c r="L94" s="21" t="str">
        <f>VLOOKUP(A94,'Trips&amp;Operators'!$C$1:$G$99999,5,FALSE)</f>
        <v>DELGADO DIANAH</v>
      </c>
      <c r="M94" s="6">
        <f>I94-F94</f>
        <v>2.457175926247146E-2</v>
      </c>
      <c r="N94" s="7">
        <f>24*60*SUM($M94:$M94)</f>
        <v>35.383333337958902</v>
      </c>
      <c r="O94" s="7"/>
      <c r="P94" s="7"/>
      <c r="Q94" s="22"/>
      <c r="R94" s="170"/>
      <c r="S94" s="213">
        <f>1/IF(AG94="EC",12,1)*SUM(U94:U94)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-13T12:39:35-0600',mode:absolute,to:'2017-07-13T15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4.5999999999999999E-2</v>
      </c>
      <c r="Z94" s="197">
        <f>RIGHT(H94,LEN(H94)-4)/10000</f>
        <v>23.3447</v>
      </c>
      <c r="AA94" s="197">
        <f>ABS(Z94-Y94)</f>
        <v>23.2987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/stypes="app*4062*20170713*" /stext=" 20:.+((SYSTEM_STATE.+slice.+state.+changed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9"/>
        <v>"%USERPROFILE%\Documents\GitHub\eaglep3\Utilities\RefineRTDCRunTimes.py" --tripid 181-13 --locoid 4062 --swversion DE.1.0.9.0 --startMP 204:460 --initTime 2017-07-13T13:39:35 --startdatetime 2017-07-13T13:45:43 --delay 1 --endMP 204:233447 --enddatetime 2017-07-13T14:21:06 --enforcementcount 1 &gt;&gt;C:\Users\stu\Documents\GitHub\eaglep3-reporting\EC\2017-07-13-refined-times.txt</v>
      </c>
      <c r="AI94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{"issue":{"subject":"","project_id":79,"tracker_id":40,"status_id":1,"priority_id":2,"assigned_to_id":23,"start_date":"2017-07-13","description":"","custom_fields":[{"id":1,"name":"Subdivision","value":"EC"},{"id":4,"name":"Milepost","value":"23.3447"},{"id":17,"name":"Train ID","value":"181-13"},{"id":16,"name":"Locomotive ID","value":"4062"},{"id":130,"name":"Impact","value":""},{"id":150,"name":"Time of Event (Mountain Time)","value":"14:21:06"},{"id":151,"name":"Denver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1"/>
        <v>start /low /b %USERPROFILE%\Documents\GitHub\eaglep3\Utilities\DownloadLogsFromS3.py --loco 4062 --day 2017-07-13</v>
      </c>
      <c r="AN94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780</v>
      </c>
      <c r="B95" s="7">
        <v>4061</v>
      </c>
      <c r="C95" s="21" t="s">
        <v>199</v>
      </c>
      <c r="D95" s="21" t="s">
        <v>902</v>
      </c>
      <c r="E95" s="13">
        <v>42929.600023148145</v>
      </c>
      <c r="F95" s="13">
        <v>42929.612662037034</v>
      </c>
      <c r="G95" s="7">
        <v>15</v>
      </c>
      <c r="H95" s="21" t="s">
        <v>572</v>
      </c>
      <c r="I95" s="13">
        <v>42929.638067129628</v>
      </c>
      <c r="J95" s="7">
        <v>1</v>
      </c>
      <c r="K95" s="89" t="str">
        <f>IF(ISEVEN(B95),(B95-1)&amp;"/"&amp;B95,B95&amp;"/"&amp;(B95+1))</f>
        <v>4061/4062</v>
      </c>
      <c r="L95" s="21" t="str">
        <f>VLOOKUP(A95,'Trips&amp;Operators'!$C$1:$G$99999,5,FALSE)</f>
        <v>DELGADO DIANAH</v>
      </c>
      <c r="M95" s="6">
        <f>I95-F95</f>
        <v>2.5405092594155576E-2</v>
      </c>
      <c r="N95" s="7">
        <f>24*60*SUM($M95:$M95)</f>
        <v>36.58333333558403</v>
      </c>
      <c r="O95" s="7"/>
      <c r="P95" s="7"/>
      <c r="Q95" s="22"/>
      <c r="R95" s="170"/>
      <c r="S95" s="213">
        <f>1/IF(AG95="EC",12,1)*SUM(U95:U95)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-13T13:24:02-0600',mode:absolute,to:'2017-07-13T16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23.316500000000001</v>
      </c>
      <c r="Z95" s="197">
        <f>RIGHT(H95,LEN(H95)-4)/10000</f>
        <v>1.67E-2</v>
      </c>
      <c r="AA95" s="197">
        <f>ABS(Z95-Y95)</f>
        <v>23.299800000000001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/stypes="app*4061*20170713*" /stext=" 21:.+((SYSTEM_STATE.+slice.+state.+changed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9"/>
        <v>"%USERPROFILE%\Documents\GitHub\eaglep3\Utilities\RefineRTDCRunTimes.py" --tripid 182-13 --locoid 4061 --swversion DE.1.0.9.0 --startMP 204:233165 --initTime 2017-07-13T14:24:02 --startdatetime 2017-07-13T14:42:14 --delay 15 --endMP 204:167 --enddatetime 2017-07-13T15:18:49 --enforcementcount 1 &gt;&gt;C:\Users\stu\Documents\GitHub\eaglep3-reporting\EC\2017-07-13-refined-times.txt</v>
      </c>
      <c r="AI9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{"issue":{"subject":"","project_id":79,"tracker_id":40,"status_id":1,"priority_id":2,"assigned_to_id":23,"start_date":"2017-07-13","description":"","custom_fields":[{"id":1,"name":"Subdivision","value":"EC"},{"id":4,"name":"Milepost","value":"0.0167"},{"id":17,"name":"Train ID","value":"182-13"},{"id":16,"name":"Locomotive ID","value":"4061"},{"id":130,"name":"Impact","value":""},{"id":150,"name":"Time of Event (Mountain Time)","value":"15:18:49"},{"id":151,"name":"Denver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1"/>
        <v>start /low /b %USERPROFILE%\Documents\GitHub\eaglep3\Utilities\DownloadLogsFromS3.py --loco 4061 --day 2017-07-13</v>
      </c>
      <c r="AN95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778</v>
      </c>
      <c r="B96" s="7">
        <v>4022</v>
      </c>
      <c r="C96" s="21" t="s">
        <v>199</v>
      </c>
      <c r="D96" s="21" t="s">
        <v>903</v>
      </c>
      <c r="E96" s="13">
        <v>42929.580023148148</v>
      </c>
      <c r="F96" s="13">
        <v>42929.583854166667</v>
      </c>
      <c r="G96" s="7">
        <v>1</v>
      </c>
      <c r="H96" s="21" t="s">
        <v>904</v>
      </c>
      <c r="I96" s="13">
        <v>42929.608912037038</v>
      </c>
      <c r="J96" s="7">
        <v>1</v>
      </c>
      <c r="K96" s="89" t="str">
        <f>IF(ISEVEN(B96),(B96-1)&amp;"/"&amp;B96,B96&amp;"/"&amp;(B96+1))</f>
        <v>4021/4022</v>
      </c>
      <c r="L96" s="21" t="str">
        <f>VLOOKUP(A96,'Trips&amp;Operators'!$C$1:$G$99999,5,FALSE)</f>
        <v>NICHOLSON WESLEY</v>
      </c>
      <c r="M96" s="6">
        <f>I96-F96</f>
        <v>2.5057870370801538E-2</v>
      </c>
      <c r="N96" s="7">
        <f>24*60*SUM($M96:$M96)</f>
        <v>36.083333333954215</v>
      </c>
      <c r="O96" s="7"/>
      <c r="P96" s="7"/>
      <c r="Q96" s="22"/>
      <c r="R96" s="170"/>
      <c r="S96" s="213">
        <f>1/IF(AG96="EC",12,1)*SUM(U96:U96)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-13T12:55:14-0600',mode:absolute,to:'2017-07-13T15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5.3499999999999999E-2</v>
      </c>
      <c r="Z96" s="197">
        <f>RIGHT(H96,LEN(H96)-4)/10000</f>
        <v>23.334599999999998</v>
      </c>
      <c r="AA96" s="197">
        <f>ABS(Z96-Y96)</f>
        <v>23.281099999999999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/stypes="app*4022*20170713*" /stext=" 20:.+((SYSTEM_STATE.+slice.+state.+changed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9"/>
        <v>"%USERPROFILE%\Documents\GitHub\eaglep3\Utilities\RefineRTDCRunTimes.py" --tripid 183-13 --locoid 4022 --swversion DE.1.0.9.0 --startMP 204:535 --initTime 2017-07-13T13:55:14 --startdatetime 2017-07-13T14:00:45 --delay 1 --endMP 204:233346 --enddatetime 2017-07-13T14:36:50 --enforcementcount 1 &gt;&gt;C:\Users\stu\Documents\GitHub\eaglep3-reporting\EC\2017-07-13-refined-times.txt</v>
      </c>
      <c r="AI9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{"issue":{"subject":"","project_id":79,"tracker_id":40,"status_id":1,"priority_id":2,"assigned_to_id":23,"start_date":"2017-07-13","description":"","custom_fields":[{"id":1,"name":"Subdivision","value":"EC"},{"id":4,"name":"Milepost","value":"23.3346"},{"id":17,"name":"Train ID","value":"183-13"},{"id":16,"name":"Locomotive ID","value":"4022"},{"id":130,"name":"Impact","value":""},{"id":150,"name":"Time of Event (Mountain Time)","value":"14:36:50"},{"id":151,"name":"Denver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1"/>
        <v>start /low /b %USERPROFILE%\Documents\GitHub\eaglep3\Utilities\DownloadLogsFromS3.py --loco 4022 --day 2017-07-13</v>
      </c>
      <c r="AN96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782</v>
      </c>
      <c r="B97" s="7">
        <v>4021</v>
      </c>
      <c r="C97" s="21" t="s">
        <v>199</v>
      </c>
      <c r="D97" s="21" t="s">
        <v>905</v>
      </c>
      <c r="E97" s="13">
        <v>42929.618854166663</v>
      </c>
      <c r="F97" s="13">
        <v>42929.623344907406</v>
      </c>
      <c r="G97" s="7">
        <v>1</v>
      </c>
      <c r="H97" s="21" t="s">
        <v>343</v>
      </c>
      <c r="I97" s="13">
        <v>42929.650057870371</v>
      </c>
      <c r="J97" s="7">
        <v>1</v>
      </c>
      <c r="K97" s="89" t="str">
        <f>IF(ISEVEN(B97),(B97-1)&amp;"/"&amp;B97,B97&amp;"/"&amp;(B97+1))</f>
        <v>4021/4022</v>
      </c>
      <c r="L97" s="21" t="str">
        <f>VLOOKUP(A97,'Trips&amp;Operators'!$C$1:$G$99999,5,FALSE)</f>
        <v>NICHOLSON WESLEY</v>
      </c>
      <c r="M97" s="6">
        <f>I97-F97</f>
        <v>2.6712962964666076E-2</v>
      </c>
      <c r="N97" s="7">
        <f>24*60*SUM($M97:$M97)</f>
        <v>38.466666669119149</v>
      </c>
      <c r="O97" s="7"/>
      <c r="P97" s="7"/>
      <c r="Q97" s="22"/>
      <c r="R97" s="170"/>
      <c r="S97" s="213">
        <f>1/IF(AG97="EC",12,1)*SUM(U97:U97)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-13T13:51:09-0600',mode:absolute,to:'2017-07-13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23.305099999999999</v>
      </c>
      <c r="Z97" s="197">
        <f>RIGHT(H97,LEN(H97)-4)/10000</f>
        <v>1.4999999999999999E-2</v>
      </c>
      <c r="AA97" s="197">
        <f>ABS(Z97-Y97)</f>
        <v>23.290099999999999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/stypes="app*4021*20170713*" /stext=" 21:.+((SYSTEM_STATE.+slice.+state.+changed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9"/>
        <v>"%USERPROFILE%\Documents\GitHub\eaglep3\Utilities\RefineRTDCRunTimes.py" --tripid 184-13 --locoid 4021 --swversion DE.1.0.9.0 --startMP 204:233051 --initTime 2017-07-13T14:51:09 --startdatetime 2017-07-13T14:57:37 --delay 1 --endMP 204:150 --enddatetime 2017-07-13T15:36:05 --enforcementcount 1 &gt;&gt;C:\Users\stu\Documents\GitHub\eaglep3-reporting\EC\2017-07-13-refined-times.txt</v>
      </c>
      <c r="AI9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ID","value":"184-13"},{"id":16,"name":"Locomotive ID","value":"4021"},{"id":130,"name":"Impact","value":""},{"id":150,"name":"Time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1"/>
        <v>start /low /b %USERPROFILE%\Documents\GitHub\eaglep3\Utilities\DownloadLogsFromS3.py --loco 4021 --day 2017-07-13</v>
      </c>
      <c r="AN97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640</v>
      </c>
      <c r="B98" s="7">
        <v>4028</v>
      </c>
      <c r="C98" s="21" t="s">
        <v>199</v>
      </c>
      <c r="D98" s="21" t="s">
        <v>420</v>
      </c>
      <c r="E98" s="13">
        <v>42929.590532407405</v>
      </c>
      <c r="F98" s="13">
        <v>42929.594259259262</v>
      </c>
      <c r="G98" s="7">
        <v>2</v>
      </c>
      <c r="H98" s="21" t="s">
        <v>906</v>
      </c>
      <c r="I98" s="13">
        <v>42929.619837962964</v>
      </c>
      <c r="J98" s="7">
        <v>1</v>
      </c>
      <c r="K98" s="89" t="str">
        <f>IF(ISEVEN(B98),(B98-1)&amp;"/"&amp;B98,B98&amp;"/"&amp;(B98+1))</f>
        <v>4027/4028</v>
      </c>
      <c r="L98" s="21" t="str">
        <f>VLOOKUP(A98,'Trips&amp;Operators'!$C$1:$G$99999,5,FALSE)</f>
        <v>SULLIVAN BRANDON</v>
      </c>
      <c r="M98" s="6">
        <f>I98-F98</f>
        <v>2.5578703702194616E-2</v>
      </c>
      <c r="N98" s="7">
        <f>24*60*SUM($M98:$M98)</f>
        <v>36.833333331160247</v>
      </c>
      <c r="O98" s="7"/>
      <c r="P98" s="7"/>
      <c r="Q98" s="22"/>
      <c r="R98" s="170"/>
      <c r="S98" s="213">
        <f>1/IF(AG98="EC",12,1)*SUM(U98:U98)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-13T13:10:22-0600',mode:absolute,to:'2017-07-13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4.4400000000000002E-2</v>
      </c>
      <c r="Z98" s="197">
        <f>RIGHT(H98,LEN(H98)-4)/10000</f>
        <v>23.335999999999999</v>
      </c>
      <c r="AA98" s="197">
        <f>ABS(Z98-Y98)</f>
        <v>23.291599999999999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/stypes="app*4028*20170713*" /stext=" 20:.+((SYSTEM_STATE.+slice.+state.+changed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9"/>
        <v>"%USERPROFILE%\Documents\GitHub\eaglep3\Utilities\RefineRTDCRunTimes.py" --tripid 185-13 --locoid 4028 --swversion DE.1.0.9.0 --startMP 204:444 --initTime 2017-07-13T14:10:22 --startdatetime 2017-07-13T14:15:44 --delay 2 --endMP 204:233360 --enddatetime 2017-07-13T14:52:34 --enforcementcount 1 &gt;&gt;C:\Users\stu\Documents\GitHub\eaglep3-reporting\EC\2017-07-13-refined-times.txt</v>
      </c>
      <c r="AI9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{"issue":{"subject":"","project_id":79,"tracker_id":40,"status_id":1,"priority_id":2,"assigned_to_id":23,"start_date":"2017-07-13","description":"","custom_fields":[{"id":1,"name":"Subdivision","value":"EC"},{"id":4,"name":"Milepost","value":"23.336"},{"id":17,"name":"Train ID","value":"185-13"},{"id":16,"name":"Locomotive ID","value":"4028"},{"id":130,"name":"Impact","value":""},{"id":150,"name":"Time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1"/>
        <v>start /low /b %USERPROFILE%\Documents\GitHub\eaglep3\Utilities\DownloadLogsFromS3.py --loco 4028 --day 2017-07-13</v>
      </c>
      <c r="AN98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783</v>
      </c>
      <c r="B99" s="7">
        <v>4027</v>
      </c>
      <c r="C99" s="21" t="s">
        <v>199</v>
      </c>
      <c r="D99" s="21" t="s">
        <v>907</v>
      </c>
      <c r="E99" s="13">
        <v>42929.624918981484</v>
      </c>
      <c r="F99" s="13">
        <v>42929.633680555555</v>
      </c>
      <c r="G99" s="7">
        <v>1</v>
      </c>
      <c r="H99" s="21" t="s">
        <v>343</v>
      </c>
      <c r="I99" s="13">
        <v>42929.660763888889</v>
      </c>
      <c r="J99" s="7">
        <v>1</v>
      </c>
      <c r="K99" s="89" t="str">
        <f>IF(ISEVEN(B99),(B99-1)&amp;"/"&amp;B99,B99&amp;"/"&amp;(B99+1))</f>
        <v>4027/4028</v>
      </c>
      <c r="L99" s="21" t="str">
        <f>VLOOKUP(A99,'Trips&amp;Operators'!$C$1:$G$99999,5,FALSE)</f>
        <v>SULLIVAN BRANDON</v>
      </c>
      <c r="M99" s="6">
        <f>I99-F99</f>
        <v>2.7083333334303461E-2</v>
      </c>
      <c r="N99" s="7">
        <f>24*60*SUM($M99:$M99)</f>
        <v>39.000000001396984</v>
      </c>
      <c r="O99" s="7"/>
      <c r="P99" s="7"/>
      <c r="Q99" s="22"/>
      <c r="R99" s="170"/>
      <c r="S99" s="213">
        <f>1/IF(AG99="EC",12,1)*SUM(U99:U99)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-13T13:59:53-0600',mode:absolute,to:'2017-07-13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23.301100000000002</v>
      </c>
      <c r="Z99" s="197">
        <f>RIGHT(H99,LEN(H99)-4)/10000</f>
        <v>1.4999999999999999E-2</v>
      </c>
      <c r="AA99" s="197">
        <f>ABS(Z99-Y99)</f>
        <v>23.286100000000001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/stypes="app*4027*20170713*"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9"/>
        <v>"%USERPROFILE%\Documents\GitHub\eaglep3\Utilities\RefineRTDCRunTimes.py" --tripid 186-13 --locoid 4027 --swversion DE.1.0.9.0 --startMP 204:233011 --initTime 2017-07-13T14:59:53 --startdatetime 2017-07-13T15:12:30 --delay 1 --endMP 204:150 --enddatetime 2017-07-13T15:51:30 --enforcementcount 1 &gt;&gt;C:\Users\stu\Documents\GitHub\eaglep3-reporting\EC\2017-07-13-refined-times.txt</v>
      </c>
      <c r="AI9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ID","value":"186-13"},{"id":16,"name":"Locomotive ID","value":"4027"},{"id":130,"name":"Impact","value":""},{"id":150,"name":"Time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1"/>
        <v>start /low /b %USERPROFILE%\Documents\GitHub\eaglep3\Utilities\DownloadLogsFromS3.py --loco 4027 --day 2017-07-13</v>
      </c>
      <c r="AN99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637</v>
      </c>
      <c r="B100" s="7">
        <v>4008</v>
      </c>
      <c r="C100" s="21" t="s">
        <v>199</v>
      </c>
      <c r="D100" s="21" t="s">
        <v>431</v>
      </c>
      <c r="E100" s="13">
        <v>42929.600370370368</v>
      </c>
      <c r="F100" s="13">
        <v>42929.604675925926</v>
      </c>
      <c r="G100" s="7">
        <v>1</v>
      </c>
      <c r="H100" s="21" t="s">
        <v>532</v>
      </c>
      <c r="I100" s="13">
        <v>42929.630312499998</v>
      </c>
      <c r="J100" s="7">
        <v>1</v>
      </c>
      <c r="K100" s="89" t="str">
        <f>IF(ISEVEN(B100),(B100-1)&amp;"/"&amp;B100,B100&amp;"/"&amp;(B100+1))</f>
        <v>4007/4008</v>
      </c>
      <c r="L100" s="21" t="str">
        <f>VLOOKUP(A100,'Trips&amp;Operators'!$C$1:$G$99999,5,FALSE)</f>
        <v>ANDERS STEVEN</v>
      </c>
      <c r="M100" s="6">
        <f>I100-F100</f>
        <v>2.5636574071540963E-2</v>
      </c>
      <c r="N100" s="7">
        <f>24*60*SUM($M100:$M100)</f>
        <v>36.916666663018987</v>
      </c>
      <c r="O100" s="7"/>
      <c r="P100" s="7"/>
      <c r="Q100" s="22"/>
      <c r="R100" s="170"/>
      <c r="S100" s="213">
        <f>1/IF(AG100="EC",12,1)*SUM(U100:U100)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-13T13:24:32-0600',mode:absolute,to:'2017-07-13T16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4.7100000000000003E-2</v>
      </c>
      <c r="Z100" s="197">
        <f>RIGHT(H100,LEN(H100)-4)/10000</f>
        <v>23.330200000000001</v>
      </c>
      <c r="AA100" s="197">
        <f>ABS(Z100-Y100)</f>
        <v>23.283100000000001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/stypes="app*4008*20170713*"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9"/>
        <v>"%USERPROFILE%\Documents\GitHub\eaglep3\Utilities\RefineRTDCRunTimes.py" --tripid 187-13 --locoid 4008 --swversion DE.1.0.9.0 --startMP 204:471 --initTime 2017-07-13T14:24:32 --startdatetime 2017-07-13T14:30:44 --delay 1 --endMP 204:233302 --enddatetime 2017-07-13T15:07:39 --enforcementcount 1 &gt;&gt;C:\Users\stu\Documents\GitHub\eaglep3-reporting\EC\2017-07-13-refined-times.txt</v>
      </c>
      <c r="AI10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{"issue":{"subject":"","project_id":79,"tracker_id":40,"status_id":1,"priority_id":2,"assigned_to_id":23,"start_date":"2017-07-13","description":"","custom_fields":[{"id":1,"name":"Subdivision","value":"EC"},{"id":4,"name":"Milepost","value":"23.3302"},{"id":17,"name":"Train ID","value":"187-13"},{"id":16,"name":"Locomotive ID","value":"4008"},{"id":130,"name":"Impact","value":""},{"id":150,"name":"Time of Event (Mountain Time)","value":"15:07:39"},{"id":151,"name":"Denver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1"/>
        <v>start /low /b %USERPROFILE%\Documents\GitHub\eaglep3\Utilities\DownloadLogsFromS3.py --loco 4008 --day 2017-07-13</v>
      </c>
      <c r="AN100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786</v>
      </c>
      <c r="B101" s="7">
        <v>4007</v>
      </c>
      <c r="C101" s="21" t="s">
        <v>199</v>
      </c>
      <c r="D101" s="21" t="s">
        <v>478</v>
      </c>
      <c r="E101" s="13">
        <v>42929.640601851854</v>
      </c>
      <c r="F101" s="13">
        <v>42929.64398148148</v>
      </c>
      <c r="G101" s="7">
        <v>1</v>
      </c>
      <c r="H101" s="21" t="s">
        <v>423</v>
      </c>
      <c r="I101" s="13">
        <v>42929.670960648145</v>
      </c>
      <c r="J101" s="7">
        <v>1</v>
      </c>
      <c r="K101" s="89" t="str">
        <f>IF(ISEVEN(B101),(B101-1)&amp;"/"&amp;B101,B101&amp;"/"&amp;(B101+1))</f>
        <v>4007/4008</v>
      </c>
      <c r="L101" s="21" t="str">
        <f>VLOOKUP(A101,'Trips&amp;Operators'!$C$1:$G$99999,5,FALSE)</f>
        <v>ANDERS STEVEN</v>
      </c>
      <c r="M101" s="6">
        <f>I101-F101</f>
        <v>2.6979166665114462E-2</v>
      </c>
      <c r="N101" s="7">
        <f>24*60*SUM($M101:$M101)</f>
        <v>38.849999997764826</v>
      </c>
      <c r="O101" s="7"/>
      <c r="P101" s="7"/>
      <c r="Q101" s="22"/>
      <c r="R101" s="170"/>
      <c r="S101" s="213">
        <f>1/IF(AG101="EC",12,1)*SUM(U101:U101)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-13T14:22:28-0600',mode:absolute,to:'2017-07-13T17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23.298100000000002</v>
      </c>
      <c r="Z101" s="197">
        <f>RIGHT(H101,LEN(H101)-4)/10000</f>
        <v>1.6299999999999999E-2</v>
      </c>
      <c r="AA101" s="197">
        <f>ABS(Z101-Y101)</f>
        <v>23.2818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/stypes="app*4007*20170713*" /stext=" 22:.+((SYSTEM_STATE.+slice.+state.+changed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9"/>
        <v>"%USERPROFILE%\Documents\GitHub\eaglep3\Utilities\RefineRTDCRunTimes.py" --tripid 188-13 --locoid 4007 --swversion DE.1.0.9.0 --startMP 204:232981 --initTime 2017-07-13T15:22:28 --startdatetime 2017-07-13T15:27:20 --delay 1 --endMP 204:163 --enddatetime 2017-07-13T16:06:11 --enforcementcount 1 &gt;&gt;C:\Users\stu\Documents\GitHub\eaglep3-reporting\EC\2017-07-13-refined-times.txt</v>
      </c>
      <c r="AI10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{"issue":{"subject":"","project_id":79,"tracker_id":40,"status_id":1,"priority_id":2,"assigned_to_id":23,"start_date":"2017-07-13","description":"","custom_fields":[{"id":1,"name":"Subdivision","value":"EC"},{"id":4,"name":"Milepost","value":"0.0163"},{"id":17,"name":"Train ID","value":"188-13"},{"id":16,"name":"Locomotive ID","value":"4007"},{"id":130,"name":"Impact","value":""},{"id":150,"name":"Time of Event (Mountain Time)","value":"16:06:11"},{"id":151,"name":"Denver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1"/>
        <v>start /low /b %USERPROFILE%\Documents\GitHub\eaglep3\Utilities\DownloadLogsFromS3.py --loco 4007 --day 2017-07-13</v>
      </c>
      <c r="AN101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779</v>
      </c>
      <c r="B102" s="7">
        <v>4042</v>
      </c>
      <c r="C102" s="21" t="s">
        <v>199</v>
      </c>
      <c r="D102" s="21" t="s">
        <v>347</v>
      </c>
      <c r="E102" s="13">
        <v>42929.609756944446</v>
      </c>
      <c r="F102" s="13">
        <v>42929.61509259259</v>
      </c>
      <c r="G102" s="7">
        <v>1</v>
      </c>
      <c r="H102" s="21" t="s">
        <v>873</v>
      </c>
      <c r="I102" s="13">
        <v>42929.640787037039</v>
      </c>
      <c r="J102" s="7">
        <v>1</v>
      </c>
      <c r="K102" s="89" t="str">
        <f>IF(ISEVEN(B102),(B102-1)&amp;"/"&amp;B102,B102&amp;"/"&amp;(B102+1))</f>
        <v>4041/4042</v>
      </c>
      <c r="L102" s="21" t="str">
        <f>VLOOKUP(A102,'Trips&amp;Operators'!$C$1:$G$99999,5,FALSE)</f>
        <v>ROBINSON KADDIBA</v>
      </c>
      <c r="M102" s="6">
        <f>I102-F102</f>
        <v>2.5694444448163267E-2</v>
      </c>
      <c r="N102" s="7">
        <f>24*60*SUM($M102:$M102)</f>
        <v>37.000000005355105</v>
      </c>
      <c r="O102" s="7"/>
      <c r="P102" s="7"/>
      <c r="Q102" s="22"/>
      <c r="R102" s="170"/>
      <c r="S102" s="213">
        <f>1/IF(AG102="EC",12,1)*SUM(U102:U102)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-13T13:38:03-0600',mode:absolute,to:'2017-07-13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4.5100000000000001E-2</v>
      </c>
      <c r="Z102" s="197">
        <f>RIGHT(H102,LEN(H102)-4)/10000</f>
        <v>23.328399999999998</v>
      </c>
      <c r="AA102" s="197">
        <f>ABS(Z102-Y102)</f>
        <v>23.283299999999997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/stypes="app*4042*20170713*" /stext=" 21:.+((SYSTEM_STATE.+slice.+state.+changed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9"/>
        <v>"%USERPROFILE%\Documents\GitHub\eaglep3\Utilities\RefineRTDCRunTimes.py" --tripid 189-13 --locoid 4042 --swversion DE.1.0.9.0 --startMP 204:451 --initTime 2017-07-13T14:38:03 --startdatetime 2017-07-13T14:45:44 --delay 1 --endMP 204:233284 --enddatetime 2017-07-13T15:22:44 --enforcementcount 1 &gt;&gt;C:\Users\stu\Documents\GitHub\eaglep3-reporting\EC\2017-07-13-refined-times.txt</v>
      </c>
      <c r="AI10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{"issue":{"subject":"","project_id":79,"tracker_id":40,"status_id":1,"priority_id":2,"assigned_to_id":23,"start_date":"2017-07-13","description":"","custom_fields":[{"id":1,"name":"Subdivision","value":"EC"},{"id":4,"name":"Milepost","value":"23.3284"},{"id":17,"name":"Train ID","value":"189-13"},{"id":16,"name":"Locomotive ID","value":"4042"},{"id":130,"name":"Impact","value":""},{"id":150,"name":"Time of Event (Mountain Time)","value":"15:22:44"},{"id":151,"name":"Denver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1"/>
        <v>start /low /b %USERPROFILE%\Documents\GitHub\eaglep3\Utilities\DownloadLogsFromS3.py --loco 4042 --day 2017-07-13</v>
      </c>
      <c r="AN102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788</v>
      </c>
      <c r="B103" s="7">
        <v>4041</v>
      </c>
      <c r="C103" s="21" t="s">
        <v>199</v>
      </c>
      <c r="D103" s="21" t="s">
        <v>494</v>
      </c>
      <c r="E103" s="13">
        <v>42929.65016203704</v>
      </c>
      <c r="F103" s="13">
        <v>42929.654340277775</v>
      </c>
      <c r="G103" s="7">
        <v>1</v>
      </c>
      <c r="H103" s="21" t="s">
        <v>388</v>
      </c>
      <c r="I103" s="13">
        <v>42929.681608796294</v>
      </c>
      <c r="J103" s="7">
        <v>1</v>
      </c>
      <c r="K103" s="89" t="str">
        <f>IF(ISEVEN(B103),(B103-1)&amp;"/"&amp;B103,B103&amp;"/"&amp;(B103+1))</f>
        <v>4041/4042</v>
      </c>
      <c r="L103" s="21" t="str">
        <f>VLOOKUP(A103,'Trips&amp;Operators'!$C$1:$G$99999,5,FALSE)</f>
        <v>ROBINSON KADDIBA</v>
      </c>
      <c r="M103" s="6">
        <f>I103-F103</f>
        <v>2.7268518519122154E-2</v>
      </c>
      <c r="N103" s="7">
        <f>24*60*SUM($M103:$M103)</f>
        <v>39.266666667535901</v>
      </c>
      <c r="O103" s="7"/>
      <c r="P103" s="7"/>
      <c r="Q103" s="22"/>
      <c r="R103" s="170"/>
      <c r="S103" s="213">
        <f>1/IF(AG103="EC",12,1)*SUM(U103:U103)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-13T14:36:14-0600',mode:absolute,to:'2017-07-13T17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3" s="197" t="str">
        <f>IF(AA103&lt;VLOOKUP(AG103,Variables!$AC$3:$AD$8,2,FALSE),"Y","N")</f>
        <v>N</v>
      </c>
      <c r="X103" s="197">
        <f>VALUE(LEFT(AD103,4))-VALUE(LEFT(AD102,4))</f>
        <v>1</v>
      </c>
      <c r="Y103" s="197">
        <f>RIGHT(D103,LEN(D103)-4)/10000</f>
        <v>23.297799999999999</v>
      </c>
      <c r="Z103" s="197">
        <f>RIGHT(H103,LEN(H103)-4)/10000</f>
        <v>1.4500000000000001E-2</v>
      </c>
      <c r="AA103" s="197">
        <f>ABS(Z103-Y103)</f>
        <v>23.283299999999997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/stypes="app*4041*20170713*" /stext=" 22:.+((SYSTEM_STATE.+slice.+state.+changed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9"/>
        <v>"%USERPROFILE%\Documents\GitHub\eaglep3\Utilities\RefineRTDCRunTimes.py" --tripid 190-13 --locoid 4041 --swversion DE.1.0.9.0 --startMP 204:232978 --initTime 2017-07-13T15:36:14 --startdatetime 2017-07-13T15:42:15 --delay 1 --endMP 204:145 --enddatetime 2017-07-13T16:21:31 --enforcementcount 1 &gt;&gt;C:\Users\stu\Documents\GitHub\eaglep3-reporting\EC\2017-07-13-refined-times.txt</v>
      </c>
      <c r="AI10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ID","value":"190-13"},{"id":16,"name":"Locomotive ID","value":"4041"},{"id":130,"name":"Impact","value":""},{"id":150,"name":"Time of Event (Mountain Time)","value":"16:21:31"},{"id":151,"name":"Denver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1"/>
        <v>start /low /b %USERPROFILE%\Documents\GitHub\eaglep3\Utilities\DownloadLogsFromS3.py --loco 4041 --day 2017-07-13</v>
      </c>
      <c r="AN103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642</v>
      </c>
      <c r="B104" s="7">
        <v>4014</v>
      </c>
      <c r="C104" s="21" t="s">
        <v>199</v>
      </c>
      <c r="D104" s="21" t="s">
        <v>420</v>
      </c>
      <c r="E104" s="13">
        <v>42929.619085648148</v>
      </c>
      <c r="F104" s="13">
        <v>42929.625509259262</v>
      </c>
      <c r="G104" s="7">
        <v>1</v>
      </c>
      <c r="H104" s="21" t="s">
        <v>579</v>
      </c>
      <c r="I104" s="13">
        <v>42929.650266203702</v>
      </c>
      <c r="J104" s="7">
        <v>1</v>
      </c>
      <c r="K104" s="89" t="str">
        <f>IF(ISEVEN(B104),(B104-1)&amp;"/"&amp;B104,B104&amp;"/"&amp;(B104+1))</f>
        <v>4013/4014</v>
      </c>
      <c r="L104" s="21" t="str">
        <f>VLOOKUP(A104,'Trips&amp;Operators'!$C$1:$G$99999,5,FALSE)</f>
        <v>ROMERO CHAD</v>
      </c>
      <c r="M104" s="6">
        <f>I104-F104</f>
        <v>2.4756944440014195E-2</v>
      </c>
      <c r="N104" s="7">
        <f>24*60*SUM($M104:$M104)</f>
        <v>35.64999999362044</v>
      </c>
      <c r="O104" s="7"/>
      <c r="P104" s="7"/>
      <c r="Q104" s="22"/>
      <c r="R104" s="170"/>
      <c r="S104" s="213">
        <f>1/IF(AG104="EC",12,1)*SUM(U104:U104)</f>
        <v>1</v>
      </c>
      <c r="T104" s="195" t="str">
        <f>IF(ISEVEN(LEFT(AD104,4)),"Southbound","NorthBound")</f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-13T13:51:29-0600',mode:absolute,to:'2017-07-13T16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4" s="197" t="str">
        <f>IF(AA104&lt;VLOOKUP(AG104,Variables!$AC$3:$AD$8,2,FALSE),"Y","N")</f>
        <v>N</v>
      </c>
      <c r="X104" s="197">
        <f>VALUE(LEFT(AD104,4))-VALUE(LEFT(AD103,4))</f>
        <v>1</v>
      </c>
      <c r="Y104" s="197">
        <f>RIGHT(D104,LEN(D104)-4)/10000</f>
        <v>4.4400000000000002E-2</v>
      </c>
      <c r="Z104" s="197">
        <f>RIGHT(H104,LEN(H104)-4)/10000</f>
        <v>23.333600000000001</v>
      </c>
      <c r="AA104" s="197">
        <f>ABS(Z104-Y104)</f>
        <v>23.289200000000001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/stypes="app*4014*20170713*" /stext=" 21:.+((SYSTEM_STATE.+slice.+state.+changed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9"/>
        <v>"%USERPROFILE%\Documents\GitHub\eaglep3\Utilities\RefineRTDCRunTimes.py" --tripid 191-13 --locoid 4014 --swversion DE.1.0.9.0 --startMP 204:444 --initTime 2017-07-13T14:51:29 --startdatetime 2017-07-13T15:00:44 --delay 1 --endMP 204:233336 --enddatetime 2017-07-13T15:36:23 --enforcementcount 1 &gt;&gt;C:\Users\stu\Documents\GitHub\eaglep3-reporting\EC\2017-07-13-refined-times.txt</v>
      </c>
      <c r="AI104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{"issue":{"subject":"","project_id":79,"tracker_id":40,"status_id":1,"priority_id":2,"assigned_to_id":23,"start_date":"2017-07-13","description":"","custom_fields":[{"id":1,"name":"Subdivision","value":"EC"},{"id":4,"name":"Milepost","value":"23.3336"},{"id":17,"name":"Train ID","value":"191-13"},{"id":16,"name":"Locomotive ID","value":"4014"},{"id":130,"name":"Impact","value":""},{"id":150,"name":"Time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1"/>
        <v>start /low /b %USERPROFILE%\Documents\GitHub\eaglep3\Utilities\DownloadLogsFromS3.py --loco 4014 --day 2017-07-13</v>
      </c>
      <c r="AN104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789</v>
      </c>
      <c r="B105" s="7">
        <v>4013</v>
      </c>
      <c r="C105" s="21" t="s">
        <v>199</v>
      </c>
      <c r="D105" s="21" t="s">
        <v>908</v>
      </c>
      <c r="E105" s="13">
        <v>42929.651736111111</v>
      </c>
      <c r="F105" s="13">
        <v>42929.664895833332</v>
      </c>
      <c r="G105" s="7">
        <v>1</v>
      </c>
      <c r="H105" s="21" t="s">
        <v>575</v>
      </c>
      <c r="I105" s="13">
        <v>42929.691354166665</v>
      </c>
      <c r="J105" s="7">
        <v>1</v>
      </c>
      <c r="K105" s="89" t="str">
        <f>IF(ISEVEN(B105),(B105-1)&amp;"/"&amp;B105,B105&amp;"/"&amp;(B105+1))</f>
        <v>4013/4014</v>
      </c>
      <c r="L105" s="21" t="str">
        <f>VLOOKUP(A105,'Trips&amp;Operators'!$C$1:$G$99999,5,FALSE)</f>
        <v>ROMERO CHAD</v>
      </c>
      <c r="M105" s="6">
        <f>I105-F105</f>
        <v>2.6458333333721384E-2</v>
      </c>
      <c r="N105" s="7">
        <f>24*60*SUM($M105:$M105)</f>
        <v>38.100000000558794</v>
      </c>
      <c r="O105" s="7"/>
      <c r="P105" s="7"/>
      <c r="Q105" s="22"/>
      <c r="R105" s="170"/>
      <c r="S105" s="213">
        <f>1/IF(AG105="EC",12,1)*SUM(U105:U105)</f>
        <v>1</v>
      </c>
      <c r="T105" s="195" t="str">
        <f>IF(ISEVEN(LEFT(AD105,4)),"Southbound","NorthBound")</f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-13T14:38:30-0600',mode:absolute,to:'2017-07-13T17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23.3032</v>
      </c>
      <c r="Z105" s="197">
        <f>RIGHT(H105,LEN(H105)-4)/10000</f>
        <v>1.52E-2</v>
      </c>
      <c r="AA105" s="197">
        <f>ABS(Z105-Y105)</f>
        <v>23.288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/stypes="app*4013*20170713*" /stext=" 22:.+((SYSTEM_STATE.+slice.+state.+changed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9"/>
        <v>"%USERPROFILE%\Documents\GitHub\eaglep3\Utilities\RefineRTDCRunTimes.py" --tripid 192-13 --locoid 4013 --swversion DE.1.0.9.0 --startMP 204:233032 --initTime 2017-07-13T15:38:30 --startdatetime 2017-07-13T15:57:27 --delay 1 --endMP 204:152 --enddatetime 2017-07-13T16:35:33 --enforcementcount 1 &gt;&gt;C:\Users\stu\Documents\GitHub\eaglep3-reporting\EC\2017-07-13-refined-times.txt</v>
      </c>
      <c r="AI10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ID","value":"192-13"},{"id":16,"name":"Locomotive ID","value":"4013"},{"id":130,"name":"Impact","value":""},{"id":150,"name":"Time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1"/>
        <v>start /low /b %USERPROFILE%\Documents\GitHub\eaglep3\Utilities\DownloadLogsFromS3.py --loco 4013 --day 2017-07-13</v>
      </c>
      <c r="AN105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785</v>
      </c>
      <c r="B106" s="7">
        <v>4012</v>
      </c>
      <c r="C106" s="21" t="s">
        <v>199</v>
      </c>
      <c r="D106" s="21" t="s">
        <v>349</v>
      </c>
      <c r="E106" s="13">
        <v>42929.63181712963</v>
      </c>
      <c r="F106" s="13">
        <v>42929.635914351849</v>
      </c>
      <c r="G106" s="7">
        <v>1</v>
      </c>
      <c r="H106" s="21" t="s">
        <v>909</v>
      </c>
      <c r="I106" s="13">
        <v>42929.660798611112</v>
      </c>
      <c r="J106" s="7">
        <v>1</v>
      </c>
      <c r="K106" s="89" t="str">
        <f>IF(ISEVEN(B106),(B106-1)&amp;"/"&amp;B106,B106&amp;"/"&amp;(B106+1))</f>
        <v>4011/4012</v>
      </c>
      <c r="L106" s="21" t="str">
        <f>VLOOKUP(A106,'Trips&amp;Operators'!$C$1:$G$99999,5,FALSE)</f>
        <v>LEVIN SCOTT</v>
      </c>
      <c r="M106" s="6">
        <f>I106-F106</f>
        <v>2.4884259262762498E-2</v>
      </c>
      <c r="N106" s="7">
        <f>24*60*SUM($M106:$M106)</f>
        <v>35.833333338377997</v>
      </c>
      <c r="O106" s="7"/>
      <c r="P106" s="7"/>
      <c r="Q106" s="22"/>
      <c r="R106" s="170"/>
      <c r="S106" s="213">
        <f>1/IF(AG106="EC",12,1)*SUM(U106:U106)</f>
        <v>1</v>
      </c>
      <c r="T106" s="195" t="str">
        <f>IF(ISEVEN(LEFT(AD106,4)),"Southbound","NorthBound")</f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-13T14:09:49-0600',mode:absolute,to:'2017-07-13T16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4.53E-2</v>
      </c>
      <c r="Z106" s="197">
        <f>RIGHT(H106,LEN(H106)-4)/10000</f>
        <v>23.3431</v>
      </c>
      <c r="AA106" s="197">
        <f>ABS(Z106-Y106)</f>
        <v>23.297799999999999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/stypes="app*4012*20170713*" /stext=" 21:.+((SYSTEM_STATE.+slice.+state.+changed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9"/>
        <v>"%USERPROFILE%\Documents\GitHub\eaglep3\Utilities\RefineRTDCRunTimes.py" --tripid 193-13 --locoid 4012 --swversion DE.1.0.9.0 --startMP 204:453 --initTime 2017-07-13T15:09:49 --startdatetime 2017-07-13T15:15:43 --delay 1 --endMP 204:233431 --enddatetime 2017-07-13T15:51:33 --enforcementcount 1 &gt;&gt;C:\Users\stu\Documents\GitHub\eaglep3-reporting\EC\2017-07-13-refined-times.txt</v>
      </c>
      <c r="AI10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{"issue":{"subject":"","project_id":79,"tracker_id":40,"status_id":1,"priority_id":2,"assigned_to_id":23,"start_date":"2017-07-13","description":"","custom_fields":[{"id":1,"name":"Subdivision","value":"EC"},{"id":4,"name":"Milepost","value":"23.3431"},{"id":17,"name":"Train ID","value":"193-13"},{"id":16,"name":"Locomotive ID","value":"4012"},{"id":130,"name":"Impact","value":""},{"id":150,"name":"Time of Event (Mountain Time)","value":"15:51:33"},{"id":151,"name":"Denver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1"/>
        <v>start /low /b %USERPROFILE%\Documents\GitHub\eaglep3\Utilities\DownloadLogsFromS3.py --loco 4012 --day 2017-07-13</v>
      </c>
      <c r="AN106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795</v>
      </c>
      <c r="B107" s="7">
        <v>4011</v>
      </c>
      <c r="C107" s="21" t="s">
        <v>199</v>
      </c>
      <c r="D107" s="21" t="s">
        <v>585</v>
      </c>
      <c r="E107" s="13">
        <v>42929.672442129631</v>
      </c>
      <c r="F107" s="13">
        <v>42929.67523148148</v>
      </c>
      <c r="G107" s="7">
        <v>1</v>
      </c>
      <c r="H107" s="21" t="s">
        <v>345</v>
      </c>
      <c r="I107" s="13">
        <v>42929.702037037037</v>
      </c>
      <c r="J107" s="7">
        <v>1</v>
      </c>
      <c r="K107" s="89" t="str">
        <f>IF(ISEVEN(B107),(B107-1)&amp;"/"&amp;B107,B107&amp;"/"&amp;(B107+1))</f>
        <v>4011/4012</v>
      </c>
      <c r="L107" s="21" t="str">
        <f>VLOOKUP(A107,'Trips&amp;Operators'!$C$1:$G$99999,5,FALSE)</f>
        <v>LEVIN SCOTT</v>
      </c>
      <c r="M107" s="6">
        <f>I107-F107</f>
        <v>2.6805555557075422E-2</v>
      </c>
      <c r="N107" s="7">
        <f>24*60*SUM($M107:$M107)</f>
        <v>38.600000002188608</v>
      </c>
      <c r="O107" s="7"/>
      <c r="P107" s="7"/>
      <c r="Q107" s="22"/>
      <c r="R107" s="170"/>
      <c r="S107" s="213">
        <f>1/IF(AG107="EC",12,1)*SUM(U107:U107)</f>
        <v>1</v>
      </c>
      <c r="T107" s="195" t="str">
        <f>IF(ISEVEN(LEFT(AD107,4)),"Southbound","NorthBound")</f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-13T15:08:19-0600',mode:absolute,to:'2017-07-13T17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23.308800000000002</v>
      </c>
      <c r="Z107" s="197">
        <f>RIGHT(H107,LEN(H107)-4)/10000</f>
        <v>1.43E-2</v>
      </c>
      <c r="AA107" s="197">
        <f>ABS(Z107-Y107)</f>
        <v>23.294500000000003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/stypes="app*4011*20170713*" /stext=" 22:.+((SYSTEM_STATE.+slice.+state.+changed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9"/>
        <v>"%USERPROFILE%\Documents\GitHub\eaglep3\Utilities\RefineRTDCRunTimes.py" --tripid 194-13 --locoid 4011 --swversion DE.1.0.9.0 --startMP 204:233088 --initTime 2017-07-13T16:08:19 --startdatetime 2017-07-13T16:12:20 --delay 1 --endMP 204:143 --enddatetime 2017-07-13T16:50:56 --enforcementcount 1 &gt;&gt;C:\Users\stu\Documents\GitHub\eaglep3-reporting\EC\2017-07-13-refined-times.txt</v>
      </c>
      <c r="AI10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{"issue":{"subject":"","project_id":79,"tracker_id":40,"status_id":1,"priority_id":2,"assigned_to_id":23,"start_date":"2017-07-13","description":"","custom_fields":[{"id":1,"name":"Subdivision","value":"EC"},{"id":4,"name":"Milepost","value":"0.0143"},{"id":17,"name":"Train ID","value":"194-13"},{"id":16,"name":"Locomotive ID","value":"4011"},{"id":130,"name":"Impact","value":""},{"id":150,"name":"Time of Event (Mountain Time)","value":"16:50:56"},{"id":151,"name":"Denver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1"/>
        <v>start /low /b %USERPROFILE%\Documents\GitHub\eaglep3\Utilities\DownloadLogsFromS3.py --loco 4011 --day 2017-07-13</v>
      </c>
      <c r="AN107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643</v>
      </c>
      <c r="B108" s="7">
        <v>4062</v>
      </c>
      <c r="C108" s="21" t="s">
        <v>199</v>
      </c>
      <c r="D108" s="21" t="s">
        <v>878</v>
      </c>
      <c r="E108" s="13">
        <v>42929.641967592594</v>
      </c>
      <c r="F108" s="13">
        <v>42929.646331018521</v>
      </c>
      <c r="G108" s="7">
        <v>1</v>
      </c>
      <c r="H108" s="21" t="s">
        <v>910</v>
      </c>
      <c r="I108" s="13">
        <v>42929.670706018522</v>
      </c>
      <c r="J108" s="7">
        <v>1</v>
      </c>
      <c r="K108" s="89" t="str">
        <f>IF(ISEVEN(B108),(B108-1)&amp;"/"&amp;B108,B108&amp;"/"&amp;(B108+1))</f>
        <v>4061/4062</v>
      </c>
      <c r="L108" s="21" t="str">
        <f>VLOOKUP(A108,'Trips&amp;Operators'!$C$1:$G$99999,5,FALSE)</f>
        <v>DELGADO DIANAH</v>
      </c>
      <c r="M108" s="6">
        <f>I108-F108</f>
        <v>2.4375000000873115E-2</v>
      </c>
      <c r="N108" s="7">
        <f>24*60*SUM($M108:$M108)</f>
        <v>35.100000001257285</v>
      </c>
      <c r="O108" s="7"/>
      <c r="P108" s="7"/>
      <c r="Q108" s="22"/>
      <c r="R108" s="170"/>
      <c r="S108" s="213">
        <f>1/IF(AG108="EC",12,1)*SUM(U108:U108)</f>
        <v>1</v>
      </c>
      <c r="T108" s="195" t="str">
        <f>IF(ISEVEN(LEFT(AD108,4)),"Southbound","NorthBound")</f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-13T14:24:26-0600',mode:absolute,to:'2017-07-13T17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4.7800000000000002E-2</v>
      </c>
      <c r="Z108" s="197">
        <f>RIGHT(H108,LEN(H108)-4)/10000</f>
        <v>23.340199999999999</v>
      </c>
      <c r="AA108" s="197">
        <f>ABS(Z108-Y108)</f>
        <v>23.292400000000001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/stypes="app*4062*20170713*"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9"/>
        <v>"%USERPROFILE%\Documents\GitHub\eaglep3\Utilities\RefineRTDCRunTimes.py" --tripid 195-13 --locoid 4062 --swversion DE.1.0.9.0 --startMP 204:478 --initTime 2017-07-13T15:24:26 --startdatetime 2017-07-13T15:30:43 --delay 1 --endMP 204:233402 --enddatetime 2017-07-13T16:05:49 --enforcementcount 1 &gt;&gt;C:\Users\stu\Documents\GitHub\eaglep3-reporting\EC\2017-07-13-refined-times.txt</v>
      </c>
      <c r="AI10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{"issue":{"subject":"","project_id":79,"tracker_id":40,"status_id":1,"priority_id":2,"assigned_to_id":23,"start_date":"2017-07-13","description":"","custom_fields":[{"id":1,"name":"Subdivision","value":"EC"},{"id":4,"name":"Milepost","value":"23.3402"},{"id":17,"name":"Train ID","value":"195-13"},{"id":16,"name":"Locomotive ID","value":"4062"},{"id":130,"name":"Impact","value":""},{"id":150,"name":"Time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1"/>
        <v>start /low /b %USERPROFILE%\Documents\GitHub\eaglep3\Utilities\DownloadLogsFromS3.py --loco 4062 --day 2017-07-13</v>
      </c>
      <c r="AN108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796</v>
      </c>
      <c r="B109" s="7">
        <v>4061</v>
      </c>
      <c r="C109" s="21" t="s">
        <v>199</v>
      </c>
      <c r="D109" s="21" t="s">
        <v>911</v>
      </c>
      <c r="E109" s="13">
        <v>42929.682349537034</v>
      </c>
      <c r="F109" s="13">
        <v>42929.685590277775</v>
      </c>
      <c r="G109" s="7">
        <v>1</v>
      </c>
      <c r="H109" s="21" t="s">
        <v>582</v>
      </c>
      <c r="I109" s="13">
        <v>42929.711064814815</v>
      </c>
      <c r="J109" s="7">
        <v>1</v>
      </c>
      <c r="K109" s="89" t="str">
        <f>IF(ISEVEN(B109),(B109-1)&amp;"/"&amp;B109,B109&amp;"/"&amp;(B109+1))</f>
        <v>4061/4062</v>
      </c>
      <c r="L109" s="21" t="str">
        <f>VLOOKUP(A109,'Trips&amp;Operators'!$C$1:$G$99999,5,FALSE)</f>
        <v>DELGADO DIANAH</v>
      </c>
      <c r="M109" s="6">
        <f>I109-F109</f>
        <v>2.5474537040281575E-2</v>
      </c>
      <c r="N109" s="7">
        <f>24*60*SUM($M109:$M109)</f>
        <v>36.683333338005468</v>
      </c>
      <c r="O109" s="7"/>
      <c r="P109" s="7"/>
      <c r="Q109" s="22"/>
      <c r="R109" s="170"/>
      <c r="S109" s="213">
        <f>1/IF(AG109="EC",12,1)*SUM(U109:U109)</f>
        <v>1</v>
      </c>
      <c r="T109" s="195" t="str">
        <f>IF(ISEVEN(LEFT(AD109,4)),"Southbound","NorthBound")</f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-13T15:22:35-0600',mode:absolute,to:'2017-07-13T18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23.309799999999999</v>
      </c>
      <c r="Z109" s="197">
        <f>RIGHT(H109,LEN(H109)-4)/10000</f>
        <v>1.2699999999999999E-2</v>
      </c>
      <c r="AA109" s="197">
        <f>ABS(Z109-Y109)</f>
        <v>23.2971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/stypes="app*4061*20170713*" /stext=" 23:.+((SYSTEM_STATE.+slice.+state.+changed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9"/>
        <v>"%USERPROFILE%\Documents\GitHub\eaglep3\Utilities\RefineRTDCRunTimes.py" --tripid 196-13 --locoid 4061 --swversion DE.1.0.9.0 --startMP 204:233098 --initTime 2017-07-13T16:22:35 --startdatetime 2017-07-13T16:27:15 --delay 1 --endMP 204:127 --enddatetime 2017-07-13T17:03:56 --enforcementcount 1 &gt;&gt;C:\Users\stu\Documents\GitHub\eaglep3-reporting\EC\2017-07-13-refined-times.txt</v>
      </c>
      <c r="AI10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{"issue":{"subject":"","project_id":79,"tracker_id":40,"status_id":1,"priority_id":2,"assigned_to_id":23,"start_date":"2017-07-13","description":"","custom_fields":[{"id":1,"name":"Subdivision","value":"EC"},{"id":4,"name":"Milepost","value":"0.0127"},{"id":17,"name":"Train ID","value":"196-13"},{"id":16,"name":"Locomotive ID","value":"4061"},{"id":130,"name":"Impact","value":""},{"id":150,"name":"Time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1"/>
        <v>start /low /b %USERPROFILE%\Documents\GitHub\eaglep3\Utilities\DownloadLogsFromS3.py --loco 4061 --day 2017-07-13</v>
      </c>
      <c r="AN109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790</v>
      </c>
      <c r="B110" s="7">
        <v>4022</v>
      </c>
      <c r="C110" s="21" t="s">
        <v>199</v>
      </c>
      <c r="D110" s="21" t="s">
        <v>912</v>
      </c>
      <c r="E110" s="13">
        <v>42929.652581018519</v>
      </c>
      <c r="F110" s="13">
        <v>42929.656990740739</v>
      </c>
      <c r="G110" s="7">
        <v>2</v>
      </c>
      <c r="H110" s="21" t="s">
        <v>873</v>
      </c>
      <c r="I110" s="13">
        <v>42929.684965277775</v>
      </c>
      <c r="J110" s="7">
        <v>1</v>
      </c>
      <c r="K110" s="89" t="str">
        <f>IF(ISEVEN(B110),(B110-1)&amp;"/"&amp;B110,B110&amp;"/"&amp;(B110+1))</f>
        <v>4021/4022</v>
      </c>
      <c r="L110" s="21" t="str">
        <f>VLOOKUP(A110,'Trips&amp;Operators'!$C$1:$G$99999,5,FALSE)</f>
        <v>NICHOLSON WESLEY</v>
      </c>
      <c r="M110" s="6">
        <f>I110-F110</f>
        <v>2.7974537035333924E-2</v>
      </c>
      <c r="N110" s="7">
        <f>24*60*SUM($M110:$M110)</f>
        <v>40.283333330880851</v>
      </c>
      <c r="O110" s="7"/>
      <c r="P110" s="7"/>
      <c r="Q110" s="22"/>
      <c r="R110" s="170"/>
      <c r="S110" s="213">
        <f>1/IF(AG110="EC",12,1)*SUM(U110:U110)</f>
        <v>1</v>
      </c>
      <c r="T110" s="195" t="str">
        <f>IF(ISEVEN(LEFT(AD110,4)),"Southbound","NorthBound")</f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-13T14:39:43-0600',mode:absolute,to:'2017-07-13T17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4.3799999999999999E-2</v>
      </c>
      <c r="Z110" s="197">
        <f>RIGHT(H110,LEN(H110)-4)/10000</f>
        <v>23.328399999999998</v>
      </c>
      <c r="AA110" s="197">
        <f>ABS(Z110-Y110)</f>
        <v>23.284599999999998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/stypes="app*4022*20170713*" /stext=" 22:.+((SYSTEM_STATE.+slice.+state.+changed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9"/>
        <v>"%USERPROFILE%\Documents\GitHub\eaglep3\Utilities\RefineRTDCRunTimes.py" --tripid 197-13 --locoid 4022 --swversion DE.1.0.9.0 --startMP 204:438 --initTime 2017-07-13T15:39:43 --startdatetime 2017-07-13T15:46:04 --delay 2 --endMP 204:233284 --enddatetime 2017-07-13T16:26:21 --enforcementcount 1 &gt;&gt;C:\Users\stu\Documents\GitHub\eaglep3-reporting\EC\2017-07-13-refined-times.txt</v>
      </c>
      <c r="AI11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{"issue":{"subject":"","project_id":79,"tracker_id":40,"status_id":1,"priority_id":2,"assigned_to_id":23,"start_date":"2017-07-13","description":"","custom_fields":[{"id":1,"name":"Subdivision","value":"EC"},{"id":4,"name":"Milepost","value":"23.3284"},{"id":17,"name":"Train ID","value":"197-13"},{"id":16,"name":"Locomotive ID","value":"4022"},{"id":130,"name":"Impact","value":""},{"id":150,"name":"Time of Event (Mountain Time)","value":"16:26:21"},{"id":151,"name":"Denver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1"/>
        <v>start /low /b %USERPROFILE%\Documents\GitHub\eaglep3\Utilities\DownloadLogsFromS3.py --loco 4022 --day 2017-07-13</v>
      </c>
      <c r="AN110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798</v>
      </c>
      <c r="B111" s="7">
        <v>4021</v>
      </c>
      <c r="C111" s="21" t="s">
        <v>199</v>
      </c>
      <c r="D111" s="21" t="s">
        <v>913</v>
      </c>
      <c r="E111" s="13">
        <v>42929.691006944442</v>
      </c>
      <c r="F111" s="13">
        <v>42929.696192129632</v>
      </c>
      <c r="G111" s="7">
        <v>1</v>
      </c>
      <c r="H111" s="21" t="s">
        <v>351</v>
      </c>
      <c r="I111" s="13">
        <v>42929.724652777775</v>
      </c>
      <c r="J111" s="7">
        <v>1</v>
      </c>
      <c r="K111" s="89" t="str">
        <f>IF(ISEVEN(B111),(B111-1)&amp;"/"&amp;B111,B111&amp;"/"&amp;(B111+1))</f>
        <v>4021/4022</v>
      </c>
      <c r="L111" s="21" t="str">
        <f>VLOOKUP(A111,'Trips&amp;Operators'!$C$1:$G$99999,5,FALSE)</f>
        <v>NICHOLSON WESLEY</v>
      </c>
      <c r="M111" s="6">
        <f>I111-F111</f>
        <v>2.8460648143664002E-2</v>
      </c>
      <c r="N111" s="7">
        <f>24*60*SUM($M111:$M111)</f>
        <v>40.983333326876163</v>
      </c>
      <c r="O111" s="7"/>
      <c r="P111" s="7"/>
      <c r="Q111" s="22"/>
      <c r="R111" s="170"/>
      <c r="S111" s="213">
        <f>1/IF(AG111="EC",12,1)*SUM(U111:U111)</f>
        <v>1</v>
      </c>
      <c r="T111" s="195" t="str">
        <f>IF(ISEVEN(LEFT(AD111,4)),"Southbound","NorthBound")</f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-13T15:35:03-0600',mode:absolute,to:'2017-07-13T18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23.2959</v>
      </c>
      <c r="Z111" s="197">
        <f>RIGHT(H111,LEN(H111)-4)/10000</f>
        <v>1.3899999999999999E-2</v>
      </c>
      <c r="AA111" s="197">
        <f>ABS(Z111-Y111)</f>
        <v>23.282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/stypes="app*4021*20170713*" /stext=" 23:.+((SYSTEM_STATE.+slice.+state.+changed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9"/>
        <v>"%USERPROFILE%\Documents\GitHub\eaglep3\Utilities\RefineRTDCRunTimes.py" --tripid 198-13 --locoid 4021 --swversion DE.1.0.9.0 --startMP 204:232959 --initTime 2017-07-13T16:35:03 --startdatetime 2017-07-13T16:42:31 --delay 1 --endMP 204:139 --enddatetime 2017-07-13T17:23:30 --enforcementcount 1 &gt;&gt;C:\Users\stu\Documents\GitHub\eaglep3-reporting\EC\2017-07-13-refined-times.txt</v>
      </c>
      <c r="AI11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{"issue":{"subject":"","project_id":79,"tracker_id":40,"status_id":1,"priority_id":2,"assigned_to_id":23,"start_date":"2017-07-13","description":"","custom_fields":[{"id":1,"name":"Subdivision","value":"EC"},{"id":4,"name":"Milepost","value":"0.0139"},{"id":17,"name":"Train ID","value":"198-13"},{"id":16,"name":"Locomotive ID","value":"4021"},{"id":130,"name":"Impact","value":""},{"id":150,"name":"Time of Event (Mountain Time)","value":"17:23:30"},{"id":151,"name":"Denver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1"/>
        <v>start /low /b %USERPROFILE%\Documents\GitHub\eaglep3\Utilities\DownloadLogsFromS3.py --loco 4021 --day 2017-07-13</v>
      </c>
      <c r="AN111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792</v>
      </c>
      <c r="B112" s="7">
        <v>4028</v>
      </c>
      <c r="C112" s="21" t="s">
        <v>199</v>
      </c>
      <c r="D112" s="21" t="s">
        <v>435</v>
      </c>
      <c r="E112" s="13">
        <v>42929.663657407407</v>
      </c>
      <c r="F112" s="13">
        <v>42929.667546296296</v>
      </c>
      <c r="G112" s="7">
        <v>2</v>
      </c>
      <c r="H112" s="21" t="s">
        <v>914</v>
      </c>
      <c r="I112" s="13">
        <v>42929.692037037035</v>
      </c>
      <c r="J112" s="7">
        <v>1</v>
      </c>
      <c r="K112" s="89" t="str">
        <f>IF(ISEVEN(B112),(B112-1)&amp;"/"&amp;B112,B112&amp;"/"&amp;(B112+1))</f>
        <v>4027/4028</v>
      </c>
      <c r="L112" s="21" t="str">
        <f>VLOOKUP(A112,'Trips&amp;Operators'!$C$1:$G$99999,5,FALSE)</f>
        <v>SULLIVAN BRANDON</v>
      </c>
      <c r="M112" s="6">
        <f>I112-F112</f>
        <v>2.4490740739565808E-2</v>
      </c>
      <c r="N112" s="7">
        <f>24*60*SUM($M112:$M112)</f>
        <v>35.266666664974764</v>
      </c>
      <c r="O112" s="7"/>
      <c r="P112" s="7"/>
      <c r="Q112" s="22"/>
      <c r="R112" s="170"/>
      <c r="S112" s="213">
        <f>1/IF(AG112="EC",12,1)*SUM(U112:U112)</f>
        <v>1</v>
      </c>
      <c r="T112" s="195" t="str">
        <f>IF(ISEVEN(LEFT(AD112,4)),"Southbound","NorthBound")</f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-13T14:55:40-0600',mode:absolute,to:'2017-07-13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4.3299999999999998E-2</v>
      </c>
      <c r="Z112" s="197">
        <f>RIGHT(H112,LEN(H112)-4)/10000</f>
        <v>23.3353</v>
      </c>
      <c r="AA112" s="197">
        <f>ABS(Z112-Y112)</f>
        <v>23.292000000000002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/stypes="app*4028*20170713*" /stext=" 22:.+((SYSTEM_STATE.+slice.+state.+changed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9"/>
        <v>"%USERPROFILE%\Documents\GitHub\eaglep3\Utilities\RefineRTDCRunTimes.py" --tripid 199-13 --locoid 4028 --swversion DE.1.0.9.0 --startMP 204:433 --initTime 2017-07-13T15:55:40 --startdatetime 2017-07-13T16:01:16 --delay 2 --endMP 204:233353 --enddatetime 2017-07-13T16:36:32 --enforcementcount 1 &gt;&gt;C:\Users\stu\Documents\GitHub\eaglep3-reporting\EC\2017-07-13-refined-times.txt</v>
      </c>
      <c r="AI11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{"issue":{"subject":"","project_id":79,"tracker_id":40,"status_id":1,"priority_id":2,"assigned_to_id":23,"start_date":"2017-07-13","description":"","custom_fields":[{"id":1,"name":"Subdivision","value":"EC"},{"id":4,"name":"Milepost","value":"23.3353"},{"id":17,"name":"Train ID","value":"199-13"},{"id":16,"name":"Locomotive ID","value":"4028"},{"id":130,"name":"Impact","value":""},{"id":150,"name":"Time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1"/>
        <v>start /low /b %USERPROFILE%\Documents\GitHub\eaglep3\Utilities\DownloadLogsFromS3.py --loco 4028 --day 2017-07-13</v>
      </c>
      <c r="AN112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799</v>
      </c>
      <c r="B113" s="7">
        <v>4027</v>
      </c>
      <c r="C113" s="21" t="s">
        <v>199</v>
      </c>
      <c r="D113" s="21" t="s">
        <v>915</v>
      </c>
      <c r="E113" s="13">
        <v>42929.698912037034</v>
      </c>
      <c r="F113" s="13">
        <v>42929.706412037034</v>
      </c>
      <c r="G113" s="7">
        <v>1</v>
      </c>
      <c r="H113" s="21" t="s">
        <v>885</v>
      </c>
      <c r="I113" s="13">
        <v>42929.733252314814</v>
      </c>
      <c r="J113" s="7">
        <v>1</v>
      </c>
      <c r="K113" s="89" t="str">
        <f>IF(ISEVEN(B113),(B113-1)&amp;"/"&amp;B113,B113&amp;"/"&amp;(B113+1))</f>
        <v>4027/4028</v>
      </c>
      <c r="L113" s="21" t="str">
        <f>VLOOKUP(A113,'Trips&amp;Operators'!$C$1:$G$99999,5,FALSE)</f>
        <v>SULLIVAN BRANDON</v>
      </c>
      <c r="M113" s="6">
        <f>I113-F113</f>
        <v>2.6840277780138422E-2</v>
      </c>
      <c r="N113" s="7">
        <f>24*60*SUM($M113:$M113)</f>
        <v>38.650000003399327</v>
      </c>
      <c r="O113" s="7"/>
      <c r="P113" s="7"/>
      <c r="Q113" s="22"/>
      <c r="R113" s="170"/>
      <c r="S113" s="213">
        <f>1/IF(AG113="EC",12,1)*SUM(U113:U113)</f>
        <v>1</v>
      </c>
      <c r="T113" s="195" t="str">
        <f>IF(ISEVEN(LEFT(AD113,4)),"Southbound","NorthBound")</f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-13T15:46:26-0600',mode:absolute,to:'2017-07-13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23.303599999999999</v>
      </c>
      <c r="Z113" s="197">
        <f>RIGHT(H113,LEN(H113)-4)/10000</f>
        <v>1.23E-2</v>
      </c>
      <c r="AA113" s="197">
        <f>ABS(Z113-Y113)</f>
        <v>23.2913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/stypes="app*4027*20170713*" /stext=" 23:.+((SYSTEM_STATE.+slice.+state.+changed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9"/>
        <v>"%USERPROFILE%\Documents\GitHub\eaglep3\Utilities\RefineRTDCRunTimes.py" --tripid 200-13 --locoid 4027 --swversion DE.1.0.9.0 --startMP 204:233036 --initTime 2017-07-13T16:46:26 --startdatetime 2017-07-13T16:57:14 --delay 1 --endMP 204:123 --enddatetime 2017-07-13T17:35:53 --enforcementcount 1 &gt;&gt;C:\Users\stu\Documents\GitHub\eaglep3-reporting\EC\2017-07-13-refined-times.txt</v>
      </c>
      <c r="AI11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{"issue":{"subject":"","project_id":79,"tracker_id":40,"status_id":1,"priority_id":2,"assigned_to_id":23,"start_date":"2017-07-13","description":"","custom_fields":[{"id":1,"name":"Subdivision","value":"EC"},{"id":4,"name":"Milepost","value":"0.0123"},{"id":17,"name":"Train ID","value":"200-13"},{"id":16,"name":"Locomotive ID","value":"4027"},{"id":130,"name":"Impact","value":""},{"id":150,"name":"Time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1"/>
        <v>start /low /b %USERPROFILE%\Documents\GitHub\eaglep3\Utilities\DownloadLogsFromS3.py --loco 4027 --day 2017-07-13</v>
      </c>
      <c r="AN113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794</v>
      </c>
      <c r="B114" s="7">
        <v>4008</v>
      </c>
      <c r="C114" s="21" t="s">
        <v>199</v>
      </c>
      <c r="D114" s="21" t="s">
        <v>380</v>
      </c>
      <c r="E114" s="13">
        <v>42929.672546296293</v>
      </c>
      <c r="F114" s="13">
        <v>42929.677615740744</v>
      </c>
      <c r="G114" s="7">
        <v>1</v>
      </c>
      <c r="H114" s="21" t="s">
        <v>593</v>
      </c>
      <c r="I114" s="13">
        <v>42929.704004629632</v>
      </c>
      <c r="J114" s="7">
        <v>1</v>
      </c>
      <c r="K114" s="89" t="str">
        <f>IF(ISEVEN(B114),(B114-1)&amp;"/"&amp;B114,B114&amp;"/"&amp;(B114+1))</f>
        <v>4007/4008</v>
      </c>
      <c r="L114" s="21" t="str">
        <f>VLOOKUP(A114,'Trips&amp;Operators'!$C$1:$G$99999,5,FALSE)</f>
        <v>ANDERS STEVEN</v>
      </c>
      <c r="M114" s="6">
        <f>I114-F114</f>
        <v>2.6388888887595385E-2</v>
      </c>
      <c r="N114" s="7">
        <f>24*60*SUM($M114:$M114)</f>
        <v>37.999999998137355</v>
      </c>
      <c r="O114" s="7"/>
      <c r="P114" s="7"/>
      <c r="Q114" s="22"/>
      <c r="R114" s="170"/>
      <c r="S114" s="213">
        <f>1/IF(AG114="EC",12,1)*SUM(U114:U114)</f>
        <v>1</v>
      </c>
      <c r="T114" s="195" t="str">
        <f>IF(ISEVEN(LEFT(AD114,4)),"Southbound","NorthBound")</f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-13T15:08:28-0600',mode:absolute,to:'2017-07-13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4.6199999999999998E-2</v>
      </c>
      <c r="Z114" s="197">
        <f>RIGHT(H114,LEN(H114)-4)/10000</f>
        <v>23.331800000000001</v>
      </c>
      <c r="AA114" s="197">
        <f>ABS(Z114-Y114)</f>
        <v>23.285600000000002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/stypes="app*4008*20170713*" /stext=" 22:.+((SYSTEM_STATE.+slice.+state.+changed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9"/>
        <v>"%USERPROFILE%\Documents\GitHub\eaglep3\Utilities\RefineRTDCRunTimes.py" --tripid 201-13 --locoid 4008 --swversion DE.1.0.9.0 --startMP 204:462 --initTime 2017-07-13T16:08:28 --startdatetime 2017-07-13T16:15:46 --delay 1 --endMP 204:233318 --enddatetime 2017-07-13T16:53:46 --enforcementcount 1 &gt;&gt;C:\Users\stu\Documents\GitHub\eaglep3-reporting\EC\2017-07-13-refined-times.txt</v>
      </c>
      <c r="AI114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{"issue":{"subject":"","project_id":79,"tracker_id":40,"status_id":1,"priority_id":2,"assigned_to_id":23,"start_date":"2017-07-13","description":"","custom_fields":[{"id":1,"name":"Subdivision","value":"EC"},{"id":4,"name":"Milepost","value":"23.3318"},{"id":17,"name":"Train ID","value":"201-13"},{"id":16,"name":"Locomotive ID","value":"4008"},{"id":130,"name":"Impact","value":""},{"id":150,"name":"Time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1"/>
        <v>start /low /b %USERPROFILE%\Documents\GitHub\eaglep3\Utilities\DownloadLogsFromS3.py --loco 4008 --day 2017-07-13</v>
      </c>
      <c r="AN114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646</v>
      </c>
      <c r="B115" s="7">
        <v>4007</v>
      </c>
      <c r="C115" s="21" t="s">
        <v>199</v>
      </c>
      <c r="D115" s="21" t="s">
        <v>398</v>
      </c>
      <c r="E115" s="13">
        <v>42929.705312500002</v>
      </c>
      <c r="F115" s="13">
        <v>42929.716956018521</v>
      </c>
      <c r="G115" s="7">
        <v>1</v>
      </c>
      <c r="H115" s="21" t="s">
        <v>344</v>
      </c>
      <c r="I115" s="13">
        <v>42929.744502314818</v>
      </c>
      <c r="J115" s="7">
        <v>1</v>
      </c>
      <c r="K115" s="89" t="str">
        <f>IF(ISEVEN(B115),(B115-1)&amp;"/"&amp;B115,B115&amp;"/"&amp;(B115+1))</f>
        <v>4007/4008</v>
      </c>
      <c r="L115" s="21" t="str">
        <f>VLOOKUP(A115,'Trips&amp;Operators'!$C$1:$G$99999,5,FALSE)</f>
        <v>ANDERS STEVEN</v>
      </c>
      <c r="M115" s="6">
        <f>I115-F115</f>
        <v>2.7546296296350192E-2</v>
      </c>
      <c r="N115" s="7">
        <f>24*60*SUM($M115:$M115)</f>
        <v>39.666666666744277</v>
      </c>
      <c r="O115" s="7"/>
      <c r="P115" s="7"/>
      <c r="Q115" s="22"/>
      <c r="R115" s="170"/>
      <c r="S115" s="213">
        <f>1/IF(AG115="EC",12,1)*SUM(U115:U115)</f>
        <v>1</v>
      </c>
      <c r="T115" s="195" t="str">
        <f>IF(ISEVEN(LEFT(AD115,4)),"Southbound","NorthBound")</f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-13T15:55:39-0600',mode:absolute,to:'2017-07-13T18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23.299600000000002</v>
      </c>
      <c r="Z115" s="197">
        <f>RIGHT(H115,LEN(H115)-4)/10000</f>
        <v>1.49E-2</v>
      </c>
      <c r="AA115" s="197">
        <f>ABS(Z115-Y115)</f>
        <v>23.284700000000001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/stypes="app*4007*20170713*" /stext=" 23:.+((SYSTEM_STATE.+slice.+state.+changed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9"/>
        <v>"%USERPROFILE%\Documents\GitHub\eaglep3\Utilities\RefineRTDCRunTimes.py" --tripid 202-13 --locoid 4007 --swversion DE.1.0.9.0 --startMP 204:232996 --initTime 2017-07-13T16:55:39 --startdatetime 2017-07-13T17:12:25 --delay 1 --endMP 204:149 --enddatetime 2017-07-13T17:52:05 --enforcementcount 1 &gt;&gt;C:\Users\stu\Documents\GitHub\eaglep3-reporting\EC\2017-07-13-refined-times.txt</v>
      </c>
      <c r="AI11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ID","value":"202-13"},{"id":16,"name":"Locomotive ID","value":"4007"},{"id":130,"name":"Impact","value":""},{"id":150,"name":"Time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1"/>
        <v>start /low /b %USERPROFILE%\Documents\GitHub\eaglep3\Utilities\DownloadLogsFromS3.py --loco 4007 --day 2017-07-13</v>
      </c>
      <c r="AN115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797</v>
      </c>
      <c r="B116" s="7">
        <v>4042</v>
      </c>
      <c r="C116" s="21" t="s">
        <v>199</v>
      </c>
      <c r="D116" s="21" t="s">
        <v>533</v>
      </c>
      <c r="E116" s="13">
        <v>42929.683287037034</v>
      </c>
      <c r="F116" s="13">
        <v>42929.687986111108</v>
      </c>
      <c r="G116" s="7">
        <v>1</v>
      </c>
      <c r="H116" s="21" t="s">
        <v>914</v>
      </c>
      <c r="I116" s="13">
        <v>42929.713460648149</v>
      </c>
      <c r="J116" s="7">
        <v>1</v>
      </c>
      <c r="K116" s="89" t="str">
        <f>IF(ISEVEN(B116),(B116-1)&amp;"/"&amp;B116,B116&amp;"/"&amp;(B116+1))</f>
        <v>4041/4042</v>
      </c>
      <c r="L116" s="21" t="str">
        <f>VLOOKUP(A116,'Trips&amp;Operators'!$C$1:$G$99999,5,FALSE)</f>
        <v>ROBINSON KADDIBA</v>
      </c>
      <c r="M116" s="6">
        <f>I116-F116</f>
        <v>2.5474537040281575E-2</v>
      </c>
      <c r="N116" s="7">
        <f>24*60*SUM($M116:$M116)</f>
        <v>36.683333338005468</v>
      </c>
      <c r="O116" s="7"/>
      <c r="P116" s="7"/>
      <c r="Q116" s="22"/>
      <c r="R116" s="170"/>
      <c r="S116" s="213">
        <f>1/IF(AG116="EC",12,1)*SUM(U116:U116)</f>
        <v>1</v>
      </c>
      <c r="T116" s="195" t="str">
        <f>IF(ISEVEN(LEFT(AD116,4)),"Southbound","NorthBound")</f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-13T15:23:56-0600',mode:absolute,to:'2017-07-13T18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4.4200000000000003E-2</v>
      </c>
      <c r="Z116" s="197">
        <f>RIGHT(H116,LEN(H116)-4)/10000</f>
        <v>23.3353</v>
      </c>
      <c r="AA116" s="197">
        <f>ABS(Z116-Y116)</f>
        <v>23.2911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/stypes="app*4042*20170713*"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9"/>
        <v>"%USERPROFILE%\Documents\GitHub\eaglep3\Utilities\RefineRTDCRunTimes.py" --tripid 203-13 --locoid 4042 --swversion DE.1.0.9.0 --startMP 204:442 --initTime 2017-07-13T16:23:56 --startdatetime 2017-07-13T16:30:42 --delay 1 --endMP 204:233353 --enddatetime 2017-07-13T17:07:23 --enforcementcount 1 &gt;&gt;C:\Users\stu\Documents\GitHub\eaglep3-reporting\EC\2017-07-13-refined-times.txt</v>
      </c>
      <c r="AI11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{"issue":{"subject":"","project_id":79,"tracker_id":40,"status_id":1,"priority_id":2,"assigned_to_id":23,"start_date":"2017-07-13","description":"","custom_fields":[{"id":1,"name":"Subdivision","value":"EC"},{"id":4,"name":"Milepost","value":"23.3353"},{"id":17,"name":"Train ID","value":"203-13"},{"id":16,"name":"Locomotive ID","value":"4042"},{"id":130,"name":"Impact","value":""},{"id":150,"name":"Time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1"/>
        <v>start /low /b %USERPROFILE%\Documents\GitHub\eaglep3\Utilities\DownloadLogsFromS3.py --loco 4042 --day 2017-07-13</v>
      </c>
      <c r="AN116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805</v>
      </c>
      <c r="B117" s="7">
        <v>4041</v>
      </c>
      <c r="C117" s="21" t="s">
        <v>199</v>
      </c>
      <c r="D117" s="21" t="s">
        <v>916</v>
      </c>
      <c r="E117" s="13">
        <v>42929.724618055552</v>
      </c>
      <c r="F117" s="13">
        <v>42929.727233796293</v>
      </c>
      <c r="G117" s="7">
        <v>1</v>
      </c>
      <c r="H117" s="21" t="s">
        <v>353</v>
      </c>
      <c r="I117" s="13">
        <v>42929.754386574074</v>
      </c>
      <c r="J117" s="7">
        <v>1</v>
      </c>
      <c r="K117" s="89" t="str">
        <f>IF(ISEVEN(B117),(B117-1)&amp;"/"&amp;B117,B117&amp;"/"&amp;(B117+1))</f>
        <v>4041/4042</v>
      </c>
      <c r="L117" s="21" t="str">
        <f>VLOOKUP(A117,'Trips&amp;Operators'!$C$1:$G$99999,5,FALSE)</f>
        <v>ROBINSON KADDIBA</v>
      </c>
      <c r="M117" s="6">
        <f>I117-F117</f>
        <v>2.715277778042946E-2</v>
      </c>
      <c r="N117" s="7">
        <f>24*60*SUM($M117:$M117)</f>
        <v>39.100000003818423</v>
      </c>
      <c r="O117" s="7"/>
      <c r="P117" s="7"/>
      <c r="Q117" s="22"/>
      <c r="R117" s="170"/>
      <c r="S117" s="213">
        <f>1/IF(AG117="EC",12,1)*SUM(U117:U117)</f>
        <v>1</v>
      </c>
      <c r="T117" s="195" t="str">
        <f>IF(ISEVEN(LEFT(AD117,4)),"Southbound","NorthBound")</f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-13T16:23:27-0600',mode:absolute,to:'2017-07-13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23.302499999999998</v>
      </c>
      <c r="Z117" s="197">
        <f>RIGHT(H117,LEN(H117)-4)/10000</f>
        <v>1.41E-2</v>
      </c>
      <c r="AA117" s="197">
        <f>ABS(Z117-Y117)</f>
        <v>23.288399999999999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/stypes="app*4041*20170714*" /stext=" 00:.+((SYSTEM_STATE.+slice.+state.+changed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9"/>
        <v>"%USERPROFILE%\Documents\GitHub\eaglep3\Utilities\RefineRTDCRunTimes.py" --tripid 204-13 --locoid 4041 --swversion DE.1.0.9.0 --startMP 204:233025 --initTime 2017-07-13T17:23:27 --startdatetime 2017-07-13T17:27:13 --delay 1 --endMP 204:141 --enddatetime 2017-07-13T18:06:19 --enforcementcount 1 &gt;&gt;C:\Users\stu\Documents\GitHub\eaglep3-reporting\EC\2017-07-13-refined-times.txt</v>
      </c>
      <c r="AI11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{"issue":{"subject":"","project_id":79,"tracker_id":40,"status_id":1,"priority_id":2,"assigned_to_id":23,"start_date":"2017-07-13","description":"","custom_fields":[{"id":1,"name":"Subdivision","value":"EC"},{"id":4,"name":"Milepost","value":"0.0141"},{"id":17,"name":"Train ID","value":"204-13"},{"id":16,"name":"Locomotive ID","value":"4041"},{"id":130,"name":"Impact","value":""},{"id":150,"name":"Time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1"/>
        <v>start /low /b %USERPROFILE%\Documents\GitHub\eaglep3\Utilities\DownloadLogsFromS3.py --loco 4041 --day 2017-07-13</v>
      </c>
      <c r="AN117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648</v>
      </c>
      <c r="B118" s="7">
        <v>4014</v>
      </c>
      <c r="C118" s="21" t="s">
        <v>199</v>
      </c>
      <c r="D118" s="21" t="s">
        <v>350</v>
      </c>
      <c r="E118" s="13">
        <v>42929.693287037036</v>
      </c>
      <c r="F118" s="13">
        <v>42929.698414351849</v>
      </c>
      <c r="G118" s="7">
        <v>1</v>
      </c>
      <c r="H118" s="21" t="s">
        <v>917</v>
      </c>
      <c r="I118" s="13">
        <v>42929.724166666667</v>
      </c>
      <c r="J118" s="7">
        <v>1</v>
      </c>
      <c r="K118" s="89" t="str">
        <f>IF(ISEVEN(B118),(B118-1)&amp;"/"&amp;B118,B118&amp;"/"&amp;(B118+1))</f>
        <v>4013/4014</v>
      </c>
      <c r="L118" s="21" t="str">
        <f>VLOOKUP(A118,'Trips&amp;Operators'!$C$1:$G$99999,5,FALSE)</f>
        <v>ROMERO CHAD</v>
      </c>
      <c r="M118" s="6">
        <f>I118-F118</f>
        <v>2.5752314817509614E-2</v>
      </c>
      <c r="N118" s="7">
        <f>24*60*SUM($M118:$M118)</f>
        <v>37.083333337213844</v>
      </c>
      <c r="O118" s="7"/>
      <c r="P118" s="7"/>
      <c r="Q118" s="22"/>
      <c r="R118" s="170"/>
      <c r="S118" s="213">
        <f>1/IF(AG118="EC",12,1)*SUM(U118:U118)</f>
        <v>1</v>
      </c>
      <c r="T118" s="195" t="str">
        <f>IF(ISEVEN(LEFT(AD118,4)),"Southbound","NorthBound")</f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-13T15:38:20-0600',mode:absolute,to:'2017-07-13T18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4.4699999999999997E-2</v>
      </c>
      <c r="Z118" s="197">
        <f>RIGHT(H118,LEN(H118)-4)/10000</f>
        <v>23.345800000000001</v>
      </c>
      <c r="AA118" s="197">
        <f>ABS(Z118-Y118)</f>
        <v>23.301100000000002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/stypes="app*4014*20170713*" /stext=" 23:.+((SYSTEM_STATE.+slice.+state.+changed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9"/>
        <v>"%USERPROFILE%\Documents\GitHub\eaglep3\Utilities\RefineRTDCRunTimes.py" --tripid 205-13 --locoid 4014 --swversion DE.1.0.9.0 --startMP 204:447 --initTime 2017-07-13T16:38:20 --startdatetime 2017-07-13T16:45:43 --delay 1 --endMP 204:233458 --enddatetime 2017-07-13T17:22:48 --enforcementcount 1 &gt;&gt;C:\Users\stu\Documents\GitHub\eaglep3-reporting\EC\2017-07-13-refined-times.txt</v>
      </c>
      <c r="AI11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{"issue":{"subject":"","project_id":79,"tracker_id":40,"status_id":1,"priority_id":2,"assigned_to_id":23,"start_date":"2017-07-13","description":"","custom_fields":[{"id":1,"name":"Subdivision","value":"EC"},{"id":4,"name":"Milepost","value":"23.3458"},{"id":17,"name":"Train ID","value":"205-13"},{"id":16,"name":"Locomotive ID","value":"4014"},{"id":130,"name":"Impact","value":""},{"id":150,"name":"Time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1"/>
        <v>start /low /b %USERPROFILE%\Documents\GitHub\eaglep3\Utilities\DownloadLogsFromS3.py --loco 4014 --day 2017-07-13</v>
      </c>
      <c r="AN118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651</v>
      </c>
      <c r="B119" s="7">
        <v>4013</v>
      </c>
      <c r="C119" s="21" t="s">
        <v>199</v>
      </c>
      <c r="D119" s="21" t="s">
        <v>918</v>
      </c>
      <c r="E119" s="13">
        <v>42929.726805555554</v>
      </c>
      <c r="F119" s="13">
        <v>42929.737673611111</v>
      </c>
      <c r="G119" s="7">
        <v>1</v>
      </c>
      <c r="H119" s="21" t="s">
        <v>343</v>
      </c>
      <c r="I119" s="13">
        <v>42929.763715277775</v>
      </c>
      <c r="J119" s="7">
        <v>1</v>
      </c>
      <c r="K119" s="89" t="str">
        <f>IF(ISEVEN(B119),(B119-1)&amp;"/"&amp;B119,B119&amp;"/"&amp;(B119+1))</f>
        <v>4013/4014</v>
      </c>
      <c r="L119" s="21" t="str">
        <f>VLOOKUP(A119,'Trips&amp;Operators'!$C$1:$G$99999,5,FALSE)</f>
        <v>ROMERO CHAD</v>
      </c>
      <c r="M119" s="6">
        <f>I119-F119</f>
        <v>2.6041666664241347E-2</v>
      </c>
      <c r="N119" s="7">
        <f>24*60*SUM($M119:$M119)</f>
        <v>37.49999999650754</v>
      </c>
      <c r="O119" s="7"/>
      <c r="P119" s="7"/>
      <c r="Q119" s="22"/>
      <c r="R119" s="170"/>
      <c r="S119" s="213">
        <f>1/IF(AG119="EC",12,1)*SUM(U119:U119)</f>
        <v>1</v>
      </c>
      <c r="T119" s="195" t="str">
        <f>IF(ISEVEN(LEFT(AD119,4)),"Southbound","NorthBound")</f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-13T16:26:36-0600',mode:absolute,to:'2017-07-13T19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23.315100000000001</v>
      </c>
      <c r="Z119" s="197">
        <f>RIGHT(H119,LEN(H119)-4)/10000</f>
        <v>1.4999999999999999E-2</v>
      </c>
      <c r="AA119" s="197">
        <f>ABS(Z119-Y119)</f>
        <v>23.3001</v>
      </c>
      <c r="AB119" s="54" t="str">
        <f>VLOOKUP(A119,Enforcements!$C$7:$K$13,8,0)</f>
        <v>Speed (6)</v>
      </c>
      <c r="AC119" s="51" t="str">
        <f>VLOOKUP(A119,Enforcements!$C$7:$E$13,3,0)</f>
        <v>PERMANENT SPEED RESTRICTION</v>
      </c>
      <c r="AD119" s="206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/stypes="app*4013*20170714*" /stext=" 00:.+((SYSTEM_STATE.+slice.+state.+changed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9"/>
        <v>"%USERPROFILE%\Documents\GitHub\eaglep3\Utilities\RefineRTDCRunTimes.py" --tripid 206-13 --locoid 4013 --swversion DE.1.0.9.0 --startMP 204:233151 --initTime 2017-07-13T17:26:36 --startdatetime 2017-07-13T17:42:15 --delay 1 --endMP 204:150 --enddatetime 2017-07-13T18:19:45 --enforcementcount 1 &gt;&gt;C:\Users\stu\Documents\GitHub\eaglep3-reporting\EC\2017-07-13-refined-times.txt</v>
      </c>
      <c r="AI11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ID","value":"206-13"},{"id":16,"name":"Locomotive ID","value":"4013"},{"id":130,"name":"Impact","value":""},{"id":150,"name":"Time of Event (Mountain Time)","value":"18:19:45"},{"id":151,"name":"Denver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1"/>
        <v>start /low /b %USERPROFILE%\Documents\GitHub\eaglep3\Utilities\DownloadLogsFromS3.py --loco 4013 --day 2017-07-13</v>
      </c>
      <c r="AN119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801</v>
      </c>
      <c r="B120" s="7">
        <v>4012</v>
      </c>
      <c r="C120" s="21" t="s">
        <v>199</v>
      </c>
      <c r="D120" s="21" t="s">
        <v>900</v>
      </c>
      <c r="E120" s="13">
        <v>42929.707442129627</v>
      </c>
      <c r="F120" s="13">
        <v>42929.708935185183</v>
      </c>
      <c r="G120" s="7">
        <v>1</v>
      </c>
      <c r="H120" s="21" t="s">
        <v>919</v>
      </c>
      <c r="I120" s="13">
        <v>42929.733541666668</v>
      </c>
      <c r="J120" s="7">
        <v>1</v>
      </c>
      <c r="K120" s="89" t="str">
        <f>IF(ISEVEN(B120),(B120-1)&amp;"/"&amp;B120,B120&amp;"/"&amp;(B120+1))</f>
        <v>4011/4012</v>
      </c>
      <c r="L120" s="21" t="str">
        <f>VLOOKUP(A120,'Trips&amp;Operators'!$C$1:$G$99999,5,FALSE)</f>
        <v>LEVIN SCOTT</v>
      </c>
      <c r="M120" s="6">
        <f>I120-F120</f>
        <v>2.4606481485534459E-2</v>
      </c>
      <c r="N120" s="7">
        <f>24*60*SUM($M120:$M120)</f>
        <v>35.433333339169621</v>
      </c>
      <c r="O120" s="7"/>
      <c r="P120" s="7"/>
      <c r="Q120" s="22"/>
      <c r="R120" s="170"/>
      <c r="S120" s="213">
        <f>1/IF(AG120="EC",12,1)*SUM(U120:U120)</f>
        <v>1</v>
      </c>
      <c r="T120" s="195" t="str">
        <f>IF(ISEVEN(LEFT(AD120,4)),"Southbound","NorthBound")</f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-13T15:58:43-0600',mode:absolute,to:'2017-07-13T18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4.5999999999999999E-2</v>
      </c>
      <c r="Z120" s="197">
        <f>RIGHT(H120,LEN(H120)-4)/10000</f>
        <v>23.338699999999999</v>
      </c>
      <c r="AA120" s="197">
        <f>ABS(Z120-Y120)</f>
        <v>23.2927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/stypes="app*4012*20170713*" /stext=" 23:.+((SYSTEM_STATE.+slice.+state.+changed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9"/>
        <v>"%USERPROFILE%\Documents\GitHub\eaglep3\Utilities\RefineRTDCRunTimes.py" --tripid 207-13 --locoid 4012 --swversion DE.1.0.9.0 --startMP 204:460 --initTime 2017-07-13T16:58:43 --startdatetime 2017-07-13T17:00:52 --delay 1 --endMP 204:233387 --enddatetime 2017-07-13T17:36:18 --enforcementcount 1 &gt;&gt;C:\Users\stu\Documents\GitHub\eaglep3-reporting\EC\2017-07-13-refined-times.txt</v>
      </c>
      <c r="AI12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{"issue":{"subject":"","project_id":79,"tracker_id":40,"status_id":1,"priority_id":2,"assigned_to_id":23,"start_date":"2017-07-13","description":"","custom_fields":[{"id":1,"name":"Subdivision","value":"EC"},{"id":4,"name":"Milepost","value":"23.3387"},{"id":17,"name":"Train ID","value":"207-13"},{"id":16,"name":"Locomotive ID","value":"4012"},{"id":130,"name":"Impact","value":""},{"id":150,"name":"Time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1"/>
        <v>start /low /b %USERPROFILE%\Documents\GitHub\eaglep3\Utilities\DownloadLogsFromS3.py --loco 4012 --day 2017-07-13</v>
      </c>
      <c r="AN120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813</v>
      </c>
      <c r="B121" s="7">
        <v>4011</v>
      </c>
      <c r="C121" s="21" t="s">
        <v>199</v>
      </c>
      <c r="D121" s="21" t="s">
        <v>920</v>
      </c>
      <c r="E121" s="13">
        <v>42929.745821759258</v>
      </c>
      <c r="F121" s="13">
        <v>42929.748194444444</v>
      </c>
      <c r="G121" s="7">
        <v>1</v>
      </c>
      <c r="H121" s="21" t="s">
        <v>353</v>
      </c>
      <c r="I121" s="13">
        <v>42929.774918981479</v>
      </c>
      <c r="J121" s="7">
        <v>1</v>
      </c>
      <c r="K121" s="89" t="str">
        <f>IF(ISEVEN(B121),(B121-1)&amp;"/"&amp;B121,B121&amp;"/"&amp;(B121+1))</f>
        <v>4011/4012</v>
      </c>
      <c r="L121" s="21" t="str">
        <f>VLOOKUP(A121,'Trips&amp;Operators'!$C$1:$G$99999,5,FALSE)</f>
        <v>LEVIN SCOTT</v>
      </c>
      <c r="M121" s="6">
        <f>I121-F121</f>
        <v>2.6724537034169771E-2</v>
      </c>
      <c r="N121" s="7">
        <f>24*60*SUM($M121:$M121)</f>
        <v>38.48333332920447</v>
      </c>
      <c r="O121" s="7"/>
      <c r="P121" s="7"/>
      <c r="Q121" s="22"/>
      <c r="R121" s="170"/>
      <c r="S121" s="213">
        <f>1/IF(AG121="EC",12,1)*SUM(U121:U121)</f>
        <v>1</v>
      </c>
      <c r="T121" s="195" t="str">
        <f>IF(ISEVEN(LEFT(AD121,4)),"Southbound","NorthBound")</f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-13T16:53:59-0600',mode:absolute,to:'2017-07-13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197" t="str">
        <f>IF(AA121&lt;VLOOKUP(AG121,Variables!$AC$3:$AD$8,2,FALSE),"Y","N")</f>
        <v>N</v>
      </c>
      <c r="X121" s="197">
        <f t="shared" ref="X121:X122" si="13">VALUE(LEFT(AD121,4))-VALUE(LEFT(AD120,4))</f>
        <v>1</v>
      </c>
      <c r="Y121" s="197">
        <f>RIGHT(D121,LEN(D121)-4)/10000</f>
        <v>23.310600000000001</v>
      </c>
      <c r="Z121" s="197">
        <f>RIGHT(H121,LEN(H121)-4)/10000</f>
        <v>1.41E-2</v>
      </c>
      <c r="AA121" s="197">
        <f>ABS(Z121-Y121)</f>
        <v>23.296500000000002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/stypes="app*4011*20170714*" /stext=" 00:.+((SYSTEM_STATE.+slice.+state.+changed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9"/>
        <v>"%USERPROFILE%\Documents\GitHub\eaglep3\Utilities\RefineRTDCRunTimes.py" --tripid 208-13 --locoid 4011 --swversion DE.1.0.9.0 --startMP 204:233106 --initTime 2017-07-13T17:53:59 --startdatetime 2017-07-13T17:57:24 --delay 1 --endMP 204:141 --enddatetime 2017-07-13T18:35:53 --enforcementcount 1 &gt;&gt;C:\Users\stu\Documents\GitHub\eaglep3-reporting\EC\2017-07-13-refined-times.txt</v>
      </c>
      <c r="AI12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{"issue":{"subject":"","project_id":79,"tracker_id":40,"status_id":1,"priority_id":2,"assigned_to_id":23,"start_date":"2017-07-13","description":"","custom_fields":[{"id":1,"name":"Subdivision","value":"EC"},{"id":4,"name":"Milepost","value":"0.0141"},{"id":17,"name":"Train ID","value":"208-13"},{"id":16,"name":"Locomotive ID","value":"4011"},{"id":130,"name":"Impact","value":""},{"id":150,"name":"Time of Event (Mountain Time)","value":"18:35:53"},{"id":151,"name":"Denver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1"/>
        <v>start /low /b %USERPROFILE%\Documents\GitHub\eaglep3\Utilities\DownloadLogsFromS3.py --loco 4011 --day 2017-07-13</v>
      </c>
      <c r="AN121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649</v>
      </c>
      <c r="B122" s="7">
        <v>4062</v>
      </c>
      <c r="C122" s="21" t="s">
        <v>199</v>
      </c>
      <c r="D122" s="21" t="s">
        <v>538</v>
      </c>
      <c r="E122" s="13">
        <v>42929.714756944442</v>
      </c>
      <c r="F122" s="13">
        <v>42929.719328703701</v>
      </c>
      <c r="G122" s="7">
        <v>2</v>
      </c>
      <c r="H122" s="21" t="s">
        <v>921</v>
      </c>
      <c r="I122" s="13">
        <v>42929.743900462963</v>
      </c>
      <c r="J122" s="7">
        <v>1</v>
      </c>
      <c r="K122" s="89" t="str">
        <f>IF(ISEVEN(B122),(B122-1)&amp;"/"&amp;B122,B122&amp;"/"&amp;(B122+1))</f>
        <v>4061/4062</v>
      </c>
      <c r="L122" s="21" t="str">
        <f>VLOOKUP(A122,'Trips&amp;Operators'!$C$1:$G$99999,5,FALSE)</f>
        <v>DELGADO DIANAH</v>
      </c>
      <c r="M122" s="6">
        <f>I122-F122</f>
        <v>2.457175926247146E-2</v>
      </c>
      <c r="N122" s="7">
        <f>24*60*SUM($M122:$M122)</f>
        <v>35.383333337958902</v>
      </c>
      <c r="O122" s="7"/>
      <c r="P122" s="7"/>
      <c r="Q122" s="22"/>
      <c r="R122" s="170"/>
      <c r="S122" s="213">
        <f>1/IF(AG122="EC",12,1)*SUM(U122:U122)</f>
        <v>1</v>
      </c>
      <c r="T122" s="195" t="str">
        <f>IF(ISEVEN(LEFT(AD122,4)),"Southbound","NorthBound")</f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-13T16:09:15-0600',mode:absolute,to:'2017-07-13T18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2" s="197" t="str">
        <f>IF(AA122&lt;VLOOKUP(AG122,Variables!$AC$3:$AD$8,2,FALSE),"Y","N")</f>
        <v>N</v>
      </c>
      <c r="X122" s="197">
        <f t="shared" si="13"/>
        <v>1</v>
      </c>
      <c r="Y122" s="197">
        <f>RIGHT(D122,LEN(D122)-4)/10000</f>
        <v>4.6699999999999998E-2</v>
      </c>
      <c r="Z122" s="197">
        <f>RIGHT(H122,LEN(H122)-4)/10000</f>
        <v>23.339700000000001</v>
      </c>
      <c r="AA122" s="197">
        <f>ABS(Z122-Y122)</f>
        <v>23.292999999999999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/stypes="app*4062*20170713*" /stext=" 23:.+((SYSTEM_STATE.+slice.+state.+changed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9"/>
        <v>"%USERPROFILE%\Documents\GitHub\eaglep3\Utilities\RefineRTDCRunTimes.py" --tripid 209-13 --locoid 4062 --swversion DE.1.0.9.0 --startMP 204:467 --initTime 2017-07-13T17:09:15 --startdatetime 2017-07-13T17:15:50 --delay 2 --endMP 204:233397 --enddatetime 2017-07-13T17:51:13 --enforcementcount 1 &gt;&gt;C:\Users\stu\Documents\GitHub\eaglep3-reporting\EC\2017-07-13-refined-times.txt</v>
      </c>
      <c r="AI12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{"issue":{"subject":"","project_id":79,"tracker_id":40,"status_id":1,"priority_id":2,"assigned_to_id":23,"start_date":"2017-07-13","description":"","custom_fields":[{"id":1,"name":"Subdivision","value":"EC"},{"id":4,"name":"Milepost","value":"23.3397"},{"id":17,"name":"Train ID","value":"209-13"},{"id":16,"name":"Locomotive ID","value":"4062"},{"id":130,"name":"Impact","value":""},{"id":150,"name":"Time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1"/>
        <v>start /low /b %USERPROFILE%\Documents\GitHub\eaglep3\Utilities\DownloadLogsFromS3.py --loco 4062 --day 2017-07-13</v>
      </c>
      <c r="AN122" s="151" t="str">
        <f t="shared" si="1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815</v>
      </c>
      <c r="B123" s="7">
        <v>4061</v>
      </c>
      <c r="C123" s="21" t="s">
        <v>199</v>
      </c>
      <c r="D123" s="21" t="s">
        <v>922</v>
      </c>
      <c r="E123" s="13">
        <v>42929.752222222225</v>
      </c>
      <c r="F123" s="13">
        <v>42929.75849537037</v>
      </c>
      <c r="G123" s="7">
        <v>1</v>
      </c>
      <c r="H123" s="21" t="s">
        <v>923</v>
      </c>
      <c r="I123" s="13">
        <v>42929.785266203704</v>
      </c>
      <c r="J123" s="7">
        <v>1</v>
      </c>
      <c r="K123" s="89" t="str">
        <f>IF(ISEVEN(B123),(B123-1)&amp;"/"&amp;B123,B123&amp;"/"&amp;(B123+1))</f>
        <v>4061/4062</v>
      </c>
      <c r="L123" s="21" t="str">
        <f>VLOOKUP(A123,'Trips&amp;Operators'!$C$1:$G$99999,5,FALSE)</f>
        <v>DELGADO DIANAH</v>
      </c>
      <c r="M123" s="6">
        <f>I123-F123</f>
        <v>2.6770833334012423E-2</v>
      </c>
      <c r="N123" s="7">
        <f>24*60*SUM($M123:$M123)</f>
        <v>38.550000000977889</v>
      </c>
      <c r="O123" s="7"/>
      <c r="P123" s="7"/>
      <c r="Q123" s="22"/>
      <c r="R123" s="170"/>
      <c r="S123" s="213">
        <f>1/IF(AG123="EC",12,1)*SUM(U123:U123)</f>
        <v>1</v>
      </c>
      <c r="T123" s="195" t="str">
        <f>IF(ISEVEN(LEFT(AD123,4)),"Southbound","NorthBound")</f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-13T17:03:12-0600',mode:absolute,to:'2017-07-13T19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23.306899999999999</v>
      </c>
      <c r="Z123" s="197">
        <f>RIGHT(H123,LEN(H123)-4)/10000</f>
        <v>1.7999999999999999E-2</v>
      </c>
      <c r="AA123" s="197">
        <f>ABS(Z123-Y123)</f>
        <v>23.288899999999998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/stypes="app*4061*20170714*" /stext=" 00:.+((SYSTEM_STATE.+slice.+state.+changed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9"/>
        <v>"%USERPROFILE%\Documents\GitHub\eaglep3\Utilities\RefineRTDCRunTimes.py" --tripid 210-13 --locoid 4061 --swversion DE.1.0.9.0 --startMP 204:233069 --initTime 2017-07-13T18:03:12 --startdatetime 2017-07-13T18:12:14 --delay 1 --endMP 204:180 --enddatetime 2017-07-13T18:50:47 --enforcementcount 1 &gt;&gt;C:\Users\stu\Documents\GitHub\eaglep3-reporting\EC\2017-07-13-refined-times.txt</v>
      </c>
      <c r="AI12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{"issue":{"subject":"","project_id":79,"tracker_id":40,"status_id":1,"priority_id":2,"assigned_to_id":23,"start_date":"2017-07-13","description":"","custom_fields":[{"id":1,"name":"Subdivision","value":"EC"},{"id":4,"name":"Milepost","value":"0.018"},{"id":17,"name":"Train ID","value":"210-13"},{"id":16,"name":"Locomotive ID","value":"4061"},{"id":130,"name":"Impact","value":""},{"id":150,"name":"Time of Event (Mountain Time)","value":"18:50:47"},{"id":151,"name":"Denver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1"/>
        <v>start /low /b %USERPROFILE%\Documents\GitHub\eaglep3\Utilities\DownloadLogsFromS3.py --loco 4061 --day 2017-07-13</v>
      </c>
      <c r="AN123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806</v>
      </c>
      <c r="B124" s="7">
        <v>4022</v>
      </c>
      <c r="C124" s="21" t="s">
        <v>199</v>
      </c>
      <c r="D124" s="21" t="s">
        <v>428</v>
      </c>
      <c r="E124" s="13">
        <v>42929.726168981484</v>
      </c>
      <c r="F124" s="13">
        <v>42929.729837962965</v>
      </c>
      <c r="G124" s="7">
        <v>1</v>
      </c>
      <c r="H124" s="21" t="s">
        <v>442</v>
      </c>
      <c r="I124" s="13">
        <v>42929.756342592591</v>
      </c>
      <c r="J124" s="7">
        <v>1</v>
      </c>
      <c r="K124" s="89" t="str">
        <f>IF(ISEVEN(B124),(B124-1)&amp;"/"&amp;B124,B124&amp;"/"&amp;(B124+1))</f>
        <v>4021/4022</v>
      </c>
      <c r="L124" s="21" t="str">
        <f>VLOOKUP(A124,'Trips&amp;Operators'!$C$1:$G$99999,5,FALSE)</f>
        <v>NICHOLSON WESLEY</v>
      </c>
      <c r="M124" s="6">
        <f>I124-F124</f>
        <v>2.6504629626288079E-2</v>
      </c>
      <c r="N124" s="7">
        <f>24*60*SUM($M124:$M124)</f>
        <v>38.166666661854833</v>
      </c>
      <c r="O124" s="7"/>
      <c r="P124" s="7"/>
      <c r="Q124" s="22"/>
      <c r="R124" s="170"/>
      <c r="S124" s="213">
        <f>1/IF(AG124="EC",12,1)*SUM(U124:U124)</f>
        <v>1</v>
      </c>
      <c r="T124" s="195" t="str">
        <f>IF(ISEVEN(LEFT(AD124,4)),"Southbound","NorthBound")</f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-13T16:25:41-0600',mode:absolute,to:'2017-07-13T19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4.3499999999999997E-2</v>
      </c>
      <c r="Z124" s="197">
        <f>RIGHT(H124,LEN(H124)-4)/10000</f>
        <v>23.328900000000001</v>
      </c>
      <c r="AA124" s="197">
        <f>ABS(Z124-Y124)</f>
        <v>23.285399999999999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/stypes="app*4022*20170714*"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9"/>
        <v>"%USERPROFILE%\Documents\GitHub\eaglep3\Utilities\RefineRTDCRunTimes.py" --tripid 211-13 --locoid 4022 --swversion DE.1.0.9.0 --startMP 204:435 --initTime 2017-07-13T17:25:41 --startdatetime 2017-07-13T17:30:58 --delay 1 --endMP 204:233289 --enddatetime 2017-07-13T18:09:08 --enforcementcount 1 &gt;&gt;C:\Users\stu\Documents\GitHub\eaglep3-reporting\EC\2017-07-13-refined-times.txt</v>
      </c>
      <c r="AI124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{"issue":{"subject":"","project_id":79,"tracker_id":40,"status_id":1,"priority_id":2,"assigned_to_id":23,"start_date":"2017-07-13","description":"","custom_fields":[{"id":1,"name":"Subdivision","value":"EC"},{"id":4,"name":"Milepost","value":"23.3289"},{"id":17,"name":"Train ID","value":"211-13"},{"id":16,"name":"Locomotive ID","value":"4022"},{"id":130,"name":"Impact","value":""},{"id":150,"name":"Time of Event (Mountain Time)","value":"18:09:08"},{"id":151,"name":"Denver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1"/>
        <v>start /low /b %USERPROFILE%\Documents\GitHub\eaglep3\Utilities\DownloadLogsFromS3.py --loco 4022 --day 2017-07-13</v>
      </c>
      <c r="AN124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652</v>
      </c>
      <c r="B125" s="7">
        <v>4021</v>
      </c>
      <c r="C125" s="21" t="s">
        <v>199</v>
      </c>
      <c r="D125" s="21" t="s">
        <v>531</v>
      </c>
      <c r="E125" s="13">
        <v>42929.763541666667</v>
      </c>
      <c r="F125" s="13">
        <v>42929.768946759257</v>
      </c>
      <c r="G125" s="7">
        <v>1</v>
      </c>
      <c r="H125" s="21" t="s">
        <v>344</v>
      </c>
      <c r="I125" s="13">
        <v>42929.79755787037</v>
      </c>
      <c r="J125" s="7">
        <v>1</v>
      </c>
      <c r="K125" s="89" t="str">
        <f>IF(ISEVEN(B125),(B125-1)&amp;"/"&amp;B125,B125&amp;"/"&amp;(B125+1))</f>
        <v>4021/4022</v>
      </c>
      <c r="L125" s="21" t="str">
        <f>VLOOKUP(A125,'Trips&amp;Operators'!$C$1:$G$99999,5,FALSE)</f>
        <v>NICHOLSON WESLEY</v>
      </c>
      <c r="M125" s="6">
        <f>I125-F125</f>
        <v>2.8611111112695653E-2</v>
      </c>
      <c r="N125" s="7">
        <f>24*60*SUM($M125:$M125)</f>
        <v>41.20000000228174</v>
      </c>
      <c r="O125" s="7"/>
      <c r="P125" s="7"/>
      <c r="Q125" s="22"/>
      <c r="R125" s="170"/>
      <c r="S125" s="213">
        <f>1/IF(AG125="EC",12,1)*SUM(U125:U125)</f>
        <v>1</v>
      </c>
      <c r="T125" s="195" t="str">
        <f>IF(ISEVEN(LEFT(AD125,4)),"Southbound","NorthBound")</f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-13T17:19:30-0600',mode:absolute,to:'2017-07-13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23.2974</v>
      </c>
      <c r="Z125" s="197">
        <f>RIGHT(H125,LEN(H125)-4)/10000</f>
        <v>1.49E-2</v>
      </c>
      <c r="AA125" s="197">
        <f>ABS(Z125-Y125)</f>
        <v>23.282499999999999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/stypes="app*4021*20170714*" /stext=" 01:.+((SYSTEM_STATE.+slice.+state.+changed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9"/>
        <v>"%USERPROFILE%\Documents\GitHub\eaglep3\Utilities\RefineRTDCRunTimes.py" --tripid 212-13 --locoid 4021 --swversion DE.1.0.9.0 --startMP 204:232974 --initTime 2017-07-13T18:19:30 --startdatetime 2017-07-13T18:27:17 --delay 1 --endMP 204:149 --enddatetime 2017-07-13T19:08:29 --enforcementcount 1 &gt;&gt;C:\Users\stu\Documents\GitHub\eaglep3-reporting\EC\2017-07-13-refined-times.txt</v>
      </c>
      <c r="AI12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ID","value":"212-13"},{"id":16,"name":"Locomotive ID","value":"4021"},{"id":130,"name":"Impact","value":""},{"id":150,"name":"Time of Event (Mountain Time)","value":"19:08:29"},{"id":151,"name":"Denver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1"/>
        <v>start /low /b %USERPROFILE%\Documents\GitHub\eaglep3\Utilities\DownloadLogsFromS3.py --loco 4021 --day 2017-07-13</v>
      </c>
      <c r="AN125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808</v>
      </c>
      <c r="B126" s="7">
        <v>4028</v>
      </c>
      <c r="C126" s="21" t="s">
        <v>199</v>
      </c>
      <c r="D126" s="21" t="s">
        <v>342</v>
      </c>
      <c r="E126" s="13">
        <v>42929.73578703704</v>
      </c>
      <c r="F126" s="13">
        <v>42929.74013888889</v>
      </c>
      <c r="G126" s="7">
        <v>2</v>
      </c>
      <c r="H126" s="21" t="s">
        <v>541</v>
      </c>
      <c r="I126" s="13">
        <v>42929.767604166664</v>
      </c>
      <c r="J126" s="7">
        <v>1</v>
      </c>
      <c r="K126" s="89" t="str">
        <f>IF(ISEVEN(B126),(B126-1)&amp;"/"&amp;B126,B126&amp;"/"&amp;(B126+1))</f>
        <v>4027/4028</v>
      </c>
      <c r="L126" s="21" t="str">
        <f>VLOOKUP(A126,'Trips&amp;Operators'!$C$1:$G$99999,5,FALSE)</f>
        <v>ELBAUM MIKE</v>
      </c>
      <c r="M126" s="6">
        <f>I126-F126</f>
        <v>2.7465277773444541E-2</v>
      </c>
      <c r="N126" s="7">
        <f>24*60*SUM($M126:$M126)</f>
        <v>39.549999993760139</v>
      </c>
      <c r="O126" s="7"/>
      <c r="P126" s="7"/>
      <c r="Q126" s="22"/>
      <c r="R126" s="170"/>
      <c r="S126" s="213">
        <f>1/IF(AG126="EC",12,1)*SUM(U126:U126)</f>
        <v>1</v>
      </c>
      <c r="T126" s="195" t="str">
        <f>IF(ISEVEN(LEFT(AD126,4)),"Southbound","NorthBound")</f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-13T16:39:32-0600',mode:absolute,to:'2017-07-13T19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4.4600000000000001E-2</v>
      </c>
      <c r="Z126" s="197">
        <f>RIGHT(H126,LEN(H126)-4)/10000</f>
        <v>23.330500000000001</v>
      </c>
      <c r="AA126" s="197">
        <f>ABS(Z126-Y126)</f>
        <v>23.285900000000002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/stypes="app*4028*20170714*" /stext=" 00:.+((SYSTEM_STATE.+slice.+state.+changed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9"/>
        <v>"%USERPROFILE%\Documents\GitHub\eaglep3\Utilities\RefineRTDCRunTimes.py" --tripid 213-13 --locoid 4028 --swversion DE.1.0.9.0 --startMP 204:446 --initTime 2017-07-13T17:39:32 --startdatetime 2017-07-13T17:45:48 --delay 2 --endMP 204:233305 --enddatetime 2017-07-13T18:25:21 --enforcementcount 1 &gt;&gt;C:\Users\stu\Documents\GitHub\eaglep3-reporting\EC\2017-07-13-refined-times.txt</v>
      </c>
      <c r="AI12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{"issue":{"subject":"","project_id":79,"tracker_id":40,"status_id":1,"priority_id":2,"assigned_to_id":23,"start_date":"2017-07-13","description":"","custom_fields":[{"id":1,"name":"Subdivision","value":"EC"},{"id":4,"name":"Milepost","value":"23.3305"},{"id":17,"name":"Train ID","value":"213-13"},{"id":16,"name":"Locomotive ID","value":"4028"},{"id":130,"name":"Impact","value":""},{"id":150,"name":"Time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1"/>
        <v>start /low /b %USERPROFILE%\Documents\GitHub\eaglep3\Utilities\DownloadLogsFromS3.py --loco 4028 --day 2017-07-13</v>
      </c>
      <c r="AN126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822</v>
      </c>
      <c r="B127" s="7">
        <v>4027</v>
      </c>
      <c r="C127" s="21" t="s">
        <v>199</v>
      </c>
      <c r="D127" s="21" t="s">
        <v>571</v>
      </c>
      <c r="E127" s="13">
        <v>42929.772800925923</v>
      </c>
      <c r="F127" s="13">
        <v>42929.779363425929</v>
      </c>
      <c r="G127" s="7">
        <v>1</v>
      </c>
      <c r="H127" s="21" t="s">
        <v>353</v>
      </c>
      <c r="I127" s="13">
        <v>42929.808020833334</v>
      </c>
      <c r="J127" s="7">
        <v>1</v>
      </c>
      <c r="K127" s="89" t="str">
        <f>IF(ISEVEN(B127),(B127-1)&amp;"/"&amp;B127,B127&amp;"/"&amp;(B127+1))</f>
        <v>4027/4028</v>
      </c>
      <c r="L127" s="21" t="str">
        <f>VLOOKUP(A127,'Trips&amp;Operators'!$C$1:$G$99999,5,FALSE)</f>
        <v>ELBAUM MIKE</v>
      </c>
      <c r="M127" s="6">
        <f>I127-F127</f>
        <v>2.8657407405262347E-2</v>
      </c>
      <c r="N127" s="7">
        <f>24*60*SUM($M127:$M127)</f>
        <v>41.26666666357778</v>
      </c>
      <c r="O127" s="7"/>
      <c r="P127" s="7"/>
      <c r="Q127" s="22"/>
      <c r="R127" s="170"/>
      <c r="S127" s="213">
        <f>1/IF(AG127="EC",12,1)*SUM(U127:U127)</f>
        <v>1</v>
      </c>
      <c r="T127" s="195" t="str">
        <f>IF(ISEVEN(LEFT(AD127,4)),"Southbound","NorthBound")</f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-13T17:32:50-0600',mode:absolute,to:'2017-07-13T20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23.296500000000002</v>
      </c>
      <c r="Z127" s="197">
        <f>RIGHT(H127,LEN(H127)-4)/10000</f>
        <v>1.41E-2</v>
      </c>
      <c r="AA127" s="197">
        <f>ABS(Z127-Y127)</f>
        <v>23.282400000000003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/stypes="app*4027*20170714*" /stext=" 01:.+((SYSTEM_STATE.+slice.+state.+changed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9"/>
        <v>"%USERPROFILE%\Documents\GitHub\eaglep3\Utilities\RefineRTDCRunTimes.py" --tripid 214-13 --locoid 4027 --swversion DE.1.0.9.0 --startMP 204:232965 --initTime 2017-07-13T18:32:50 --startdatetime 2017-07-13T18:42:17 --delay 1 --endMP 204:141 --enddatetime 2017-07-13T19:23:33 --enforcementcount 1 &gt;&gt;C:\Users\stu\Documents\GitHub\eaglep3-reporting\EC\2017-07-13-refined-times.txt</v>
      </c>
      <c r="AI12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{"issue":{"subject":"","project_id":79,"tracker_id":40,"status_id":1,"priority_id":2,"assigned_to_id":23,"start_date":"2017-07-13","description":"","custom_fields":[{"id":1,"name":"Subdivision","value":"EC"},{"id":4,"name":"Milepost","value":"0.0141"},{"id":17,"name":"Train ID","value":"214-13"},{"id":16,"name":"Locomotive ID","value":"4027"},{"id":130,"name":"Impact","value":""},{"id":150,"name":"Time of Event (Mountain Time)","value":"19:23:33"},{"id":151,"name":"Denver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1"/>
        <v>start /low /b %USERPROFILE%\Documents\GitHub\eaglep3\Utilities\DownloadLogsFromS3.py --loco 4027 --day 2017-07-13</v>
      </c>
      <c r="AN127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814</v>
      </c>
      <c r="B128" s="7">
        <v>4008</v>
      </c>
      <c r="C128" s="21" t="s">
        <v>199</v>
      </c>
      <c r="D128" s="21" t="s">
        <v>420</v>
      </c>
      <c r="E128" s="13">
        <v>42929.746192129627</v>
      </c>
      <c r="F128" s="13">
        <v>42929.750740740739</v>
      </c>
      <c r="G128" s="7">
        <v>1</v>
      </c>
      <c r="H128" s="21" t="s">
        <v>924</v>
      </c>
      <c r="I128" s="13">
        <v>42929.776331018518</v>
      </c>
      <c r="J128" s="7">
        <v>1</v>
      </c>
      <c r="K128" s="89" t="str">
        <f>IF(ISEVEN(B128),(B128-1)&amp;"/"&amp;B128,B128&amp;"/"&amp;(B128+1))</f>
        <v>4007/4008</v>
      </c>
      <c r="L128" s="21" t="str">
        <f>VLOOKUP(A128,'Trips&amp;Operators'!$C$1:$G$99999,5,FALSE)</f>
        <v>ANDERS STEVEN</v>
      </c>
      <c r="M128" s="6">
        <f>I128-F128</f>
        <v>2.5590277778974269E-2</v>
      </c>
      <c r="N128" s="7">
        <f>24*60*SUM($M128:$M128)</f>
        <v>36.850000001722947</v>
      </c>
      <c r="O128" s="7"/>
      <c r="P128" s="7"/>
      <c r="Q128" s="22"/>
      <c r="R128" s="170"/>
      <c r="S128" s="213">
        <f>1/IF(AG128="EC",12,1)*SUM(U128:U128)</f>
        <v>1</v>
      </c>
      <c r="T128" s="195" t="str">
        <f>IF(ISEVEN(LEFT(AD128,4)),"Southbound","NorthBound")</f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-13T16:54:31-0600',mode:absolute,to:'2017-07-13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4.4400000000000002E-2</v>
      </c>
      <c r="Z128" s="197">
        <f>RIGHT(H128,LEN(H128)-4)/10000</f>
        <v>23.331499999999998</v>
      </c>
      <c r="AA128" s="197">
        <f>ABS(Z128-Y128)</f>
        <v>23.287099999999999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/stypes="app*4008*20170714*" /stext=" 00:.+((SYSTEM_STATE.+slice.+state.+changed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9"/>
        <v>"%USERPROFILE%\Documents\GitHub\eaglep3\Utilities\RefineRTDCRunTimes.py" --tripid 215-13 --locoid 4008 --swversion DE.1.0.9.0 --startMP 204:444 --initTime 2017-07-13T17:54:31 --startdatetime 2017-07-13T18:01:04 --delay 1 --endMP 204:233315 --enddatetime 2017-07-13T18:37:55 --enforcementcount 1 &gt;&gt;C:\Users\stu\Documents\GitHub\eaglep3-reporting\EC\2017-07-13-refined-times.txt</v>
      </c>
      <c r="AI12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{"issue":{"subject":"","project_id":79,"tracker_id":40,"status_id":1,"priority_id":2,"assigned_to_id":23,"start_date":"2017-07-13","description":"","custom_fields":[{"id":1,"name":"Subdivision","value":"EC"},{"id":4,"name":"Milepost","value":"23.3315"},{"id":17,"name":"Train ID","value":"215-13"},{"id":16,"name":"Locomotive ID","value":"4008"},{"id":130,"name":"Impact","value":""},{"id":150,"name":"Time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1"/>
        <v>start /low /b %USERPROFILE%\Documents\GitHub\eaglep3\Utilities\DownloadLogsFromS3.py --loco 4008 --day 2017-07-13</v>
      </c>
      <c r="AN128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653</v>
      </c>
      <c r="B129" s="7">
        <v>4007</v>
      </c>
      <c r="C129" s="21" t="s">
        <v>199</v>
      </c>
      <c r="D129" s="21" t="s">
        <v>877</v>
      </c>
      <c r="E129" s="13">
        <v>42929.786539351851</v>
      </c>
      <c r="F129" s="13">
        <v>42929.789872685185</v>
      </c>
      <c r="G129" s="7">
        <v>1</v>
      </c>
      <c r="H129" s="21" t="s">
        <v>430</v>
      </c>
      <c r="I129" s="13">
        <v>42929.817372685182</v>
      </c>
      <c r="J129" s="7">
        <v>1</v>
      </c>
      <c r="K129" s="89" t="str">
        <f>IF(ISEVEN(B129),(B129-1)&amp;"/"&amp;B129,B129&amp;"/"&amp;(B129+1))</f>
        <v>4007/4008</v>
      </c>
      <c r="L129" s="21" t="str">
        <f>VLOOKUP(A129,'Trips&amp;Operators'!$C$1:$G$99999,5,FALSE)</f>
        <v>ANDERS STEVEN</v>
      </c>
      <c r="M129" s="6">
        <f>I129-F129</f>
        <v>2.749999999650754E-2</v>
      </c>
      <c r="N129" s="7">
        <f>24*60*SUM($M129:$M129)</f>
        <v>39.599999994970858</v>
      </c>
      <c r="O129" s="7"/>
      <c r="P129" s="7"/>
      <c r="Q129" s="22"/>
      <c r="R129" s="170"/>
      <c r="S129" s="213">
        <f>1/IF(AG129="EC",12,1)*SUM(U129:U129)</f>
        <v>1</v>
      </c>
      <c r="T129" s="195" t="str">
        <f>IF(ISEVEN(LEFT(AD129,4)),"Southbound","NorthBound")</f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-13T17:52:37-0600',mode:absolute,to:'2017-07-13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23.299099999999999</v>
      </c>
      <c r="Z129" s="197">
        <f>RIGHT(H129,LEN(H129)-4)/10000</f>
        <v>1.6E-2</v>
      </c>
      <c r="AA129" s="197">
        <f>ABS(Z129-Y129)</f>
        <v>23.283100000000001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/stypes="app*4007*20170714*" /stext=" 01:.+((SYSTEM_STATE.+slice.+state.+changed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9"/>
        <v>"%USERPROFILE%\Documents\GitHub\eaglep3\Utilities\RefineRTDCRunTimes.py" --tripid 216-13 --locoid 4007 --swversion DE.1.0.9.0 --startMP 204:232991 --initTime 2017-07-13T18:52:37 --startdatetime 2017-07-13T18:57:25 --delay 1 --endMP 204:160 --enddatetime 2017-07-13T19:37:01 --enforcementcount 1 &gt;&gt;C:\Users\stu\Documents\GitHub\eaglep3-reporting\EC\2017-07-13-refined-times.txt</v>
      </c>
      <c r="AI12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{"issue":{"subject":"","project_id":79,"tracker_id":40,"status_id":1,"priority_id":2,"assigned_to_id":23,"start_date":"2017-07-13","description":"","custom_fields":[{"id":1,"name":"Subdivision","value":"EC"},{"id":4,"name":"Milepost","value":"0.016"},{"id":17,"name":"Train ID","value":"216-13"},{"id":16,"name":"Locomotive ID","value":"4007"},{"id":130,"name":"Impact","value":""},{"id":150,"name":"Time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1"/>
        <v>start /low /b %USERPROFILE%\Documents\GitHub\eaglep3\Utilities\DownloadLogsFromS3.py --loco 4007 --day 2017-07-13</v>
      </c>
      <c r="AN129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817</v>
      </c>
      <c r="B130" s="7">
        <v>4042</v>
      </c>
      <c r="C130" s="21" t="s">
        <v>199</v>
      </c>
      <c r="D130" s="21" t="s">
        <v>925</v>
      </c>
      <c r="E130" s="13">
        <v>42929.756562499999</v>
      </c>
      <c r="F130" s="13">
        <v>42929.761111111111</v>
      </c>
      <c r="G130" s="7">
        <v>2</v>
      </c>
      <c r="H130" s="21" t="s">
        <v>926</v>
      </c>
      <c r="I130" s="13">
        <v>42929.787152777775</v>
      </c>
      <c r="J130" s="7">
        <v>1</v>
      </c>
      <c r="K130" s="89" t="str">
        <f>IF(ISEVEN(B130),(B130-1)&amp;"/"&amp;B130,B130&amp;"/"&amp;(B130+1))</f>
        <v>4041/4042</v>
      </c>
      <c r="L130" s="21" t="str">
        <f>VLOOKUP(A130,'Trips&amp;Operators'!$C$1:$G$99999,5,FALSE)</f>
        <v>PERKINS DARREN</v>
      </c>
      <c r="M130" s="6">
        <f>I130-F130</f>
        <v>2.6041666664241347E-2</v>
      </c>
      <c r="N130" s="7">
        <f>24*60*SUM($M130:$M130)</f>
        <v>37.49999999650754</v>
      </c>
      <c r="O130" s="7"/>
      <c r="P130" s="7"/>
      <c r="Q130" s="22"/>
      <c r="R130" s="170"/>
      <c r="S130" s="213">
        <f>1/IF(AG130="EC",12,1)*SUM(U130:U130)</f>
        <v>1</v>
      </c>
      <c r="T130" s="195" t="str">
        <f>IF(ISEVEN(LEFT(AD130,4)),"Southbound","NorthBound")</f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-13T17:09:27-0600',mode:absolute,to:'2017-07-13T19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4.24E-2</v>
      </c>
      <c r="Z130" s="197">
        <f>RIGHT(H130,LEN(H130)-4)/10000</f>
        <v>23.331099999999999</v>
      </c>
      <c r="AA130" s="197">
        <f>ABS(Z130-Y130)</f>
        <v>23.288699999999999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/stypes="app*4042*20170714*" /stext=" 00:.+((SYSTEM_STATE.+slice.+state.+changed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9"/>
        <v>"%USERPROFILE%\Documents\GitHub\eaglep3\Utilities\RefineRTDCRunTimes.py" --tripid 217-13 --locoid 4042 --swversion DE.1.0.9.0 --startMP 204:424 --initTime 2017-07-13T18:09:27 --startdatetime 2017-07-13T18:16:00 --delay 2 --endMP 204:233311 --enddatetime 2017-07-13T18:53:30 --enforcementcount 1 &gt;&gt;C:\Users\stu\Documents\GitHub\eaglep3-reporting\EC\2017-07-13-refined-times.txt</v>
      </c>
      <c r="AI130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{"issue":{"subject":"","project_id":79,"tracker_id":40,"status_id":1,"priority_id":2,"assigned_to_id":23,"start_date":"2017-07-13","description":"","custom_fields":[{"id":1,"name":"Subdivision","value":"EC"},{"id":4,"name":"Milepost","value":"23.3311"},{"id":17,"name":"Train ID","value":"217-13"},{"id":16,"name":"Locomotive ID","value":"4042"},{"id":130,"name":"Impact","value":""},{"id":150,"name":"Time of Event (Mountain Time)","value":"18:53:30"},{"id":151,"name":"Denver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1"/>
        <v>start /low /b %USERPROFILE%\Documents\GitHub\eaglep3\Utilities\DownloadLogsFromS3.py --loco 4042 --day 2017-07-13</v>
      </c>
      <c r="AN130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828</v>
      </c>
      <c r="B131" s="7">
        <v>4041</v>
      </c>
      <c r="C131" s="21" t="s">
        <v>199</v>
      </c>
      <c r="D131" s="21" t="s">
        <v>534</v>
      </c>
      <c r="E131" s="13">
        <v>42929.797118055554</v>
      </c>
      <c r="F131" s="13">
        <v>42929.800196759257</v>
      </c>
      <c r="G131" s="7">
        <v>1</v>
      </c>
      <c r="H131" s="21" t="s">
        <v>590</v>
      </c>
      <c r="I131" s="13">
        <v>42929.82712962963</v>
      </c>
      <c r="J131" s="7">
        <v>1</v>
      </c>
      <c r="K131" s="89" t="str">
        <f>IF(ISEVEN(B131),(B131-1)&amp;"/"&amp;B131,B131&amp;"/"&amp;(B131+1))</f>
        <v>4041/4042</v>
      </c>
      <c r="L131" s="21" t="str">
        <f>VLOOKUP(A131,'Trips&amp;Operators'!$C$1:$G$99999,5,FALSE)</f>
        <v>PERKINS DARREN</v>
      </c>
      <c r="M131" s="6">
        <f>I131-F131</f>
        <v>2.6932870372547768E-2</v>
      </c>
      <c r="N131" s="7">
        <f>24*60*SUM($M131:$M131)</f>
        <v>38.783333336468786</v>
      </c>
      <c r="O131" s="7"/>
      <c r="P131" s="7"/>
      <c r="Q131" s="22"/>
      <c r="R131" s="170"/>
      <c r="S131" s="213">
        <f>1/IF(AG131="EC",12,1)*SUM(U131:U131)</f>
        <v>1</v>
      </c>
      <c r="T131" s="195" t="str">
        <f>IF(ISEVEN(LEFT(AD131,4)),"Southbound","NorthBound")</f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-13T18:07:51-0600',mode:absolute,to:'2017-07-13T20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23.298400000000001</v>
      </c>
      <c r="Z131" s="197">
        <f>RIGHT(H131,LEN(H131)-4)/10000</f>
        <v>1.1599999999999999E-2</v>
      </c>
      <c r="AA131" s="197">
        <f>ABS(Z131-Y131)</f>
        <v>23.286799999999999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/stypes="app*4041*20170714*" /stext=" 01:.+((SYSTEM_STATE.+slice.+state.+changed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9"/>
        <v>"%USERPROFILE%\Documents\GitHub\eaglep3\Utilities\RefineRTDCRunTimes.py" --tripid 218-13 --locoid 4041 --swversion DE.1.0.9.0 --startMP 204:232984 --initTime 2017-07-13T19:07:51 --startdatetime 2017-07-13T19:12:17 --delay 1 --endMP 204:116 --enddatetime 2017-07-13T19:51:04 --enforcementcount 1 &gt;&gt;C:\Users\stu\Documents\GitHub\eaglep3-reporting\EC\2017-07-13-refined-times.txt</v>
      </c>
      <c r="AI131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{"issue":{"subject":"","project_id":79,"tracker_id":40,"status_id":1,"priority_id":2,"assigned_to_id":23,"start_date":"2017-07-13","description":"","custom_fields":[{"id":1,"name":"Subdivision","value":"EC"},{"id":4,"name":"Milepost","value":"0.0116"},{"id":17,"name":"Train ID","value":"218-13"},{"id":16,"name":"Locomotive ID","value":"4041"},{"id":130,"name":"Impact","value":""},{"id":150,"name":"Time of Event (Mountain Time)","value":"19:51:04"},{"id":151,"name":"Denver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1"/>
        <v>start /low /b %USERPROFILE%\Documents\GitHub\eaglep3\Utilities\DownloadLogsFromS3.py --loco 4041 --day 2017-07-13</v>
      </c>
      <c r="AN131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4014</v>
      </c>
      <c r="C132" s="21" t="s">
        <v>199</v>
      </c>
      <c r="D132" s="21" t="s">
        <v>405</v>
      </c>
      <c r="E132" s="13">
        <v>42929.765393518515</v>
      </c>
      <c r="F132" s="13">
        <v>42929.771331018521</v>
      </c>
      <c r="G132" s="7">
        <v>1</v>
      </c>
      <c r="H132" s="21" t="s">
        <v>927</v>
      </c>
      <c r="I132" s="13">
        <v>42929.797071759262</v>
      </c>
      <c r="J132" s="7">
        <v>1</v>
      </c>
      <c r="K132" s="89" t="str">
        <f>IF(ISEVEN(B132),(B132-1)&amp;"/"&amp;B132,B132&amp;"/"&amp;(B132+1))</f>
        <v>4013/4014</v>
      </c>
      <c r="L132" s="21" t="str">
        <f>VLOOKUP(A132,'Trips&amp;Operators'!$C$1:$G$99999,5,FALSE)</f>
        <v>FORTUNATO FRANK</v>
      </c>
      <c r="M132" s="6">
        <f>I132-F132</f>
        <v>2.5740740740729962E-2</v>
      </c>
      <c r="N132" s="7">
        <f>24*60*SUM($M132:$M132)</f>
        <v>37.066666666651145</v>
      </c>
      <c r="O132" s="7"/>
      <c r="P132" s="7"/>
      <c r="Q132" s="22"/>
      <c r="R132" s="170"/>
      <c r="S132" s="213">
        <f>1/IF(AG132="EC",12,1)*SUM(U132:U132)</f>
        <v>1</v>
      </c>
      <c r="T132" s="195" t="str">
        <f>IF(ISEVEN(LEFT(AD132,4)),"Southbound","NorthBound")</f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-13T17:22:10-0600',mode:absolute,to:'2017-07-13T20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4.5499999999999999E-2</v>
      </c>
      <c r="Z132" s="197">
        <f>RIGHT(H132,LEN(H132)-4)/10000</f>
        <v>23.3368</v>
      </c>
      <c r="AA132" s="197">
        <f>ABS(Z132-Y132)</f>
        <v>23.2913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/stypes="app*4014*20170714*"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9"/>
        <v>"%USERPROFILE%\Documents\GitHub\eaglep3\Utilities\RefineRTDCRunTimes.py" --tripid 219-13 --locoid 4014 --swversion DE.1.0.9.0 --startMP 204:455 --initTime 2017-07-13T18:22:10 --startdatetime 2017-07-13T18:30:43 --delay 1 --endMP 204:233368 --enddatetime 2017-07-13T19:07:47 --enforcementcount 1 &gt;&gt;C:\Users\stu\Documents\GitHub\eaglep3-reporting\EC\2017-07-13-refined-times.txt</v>
      </c>
      <c r="AI132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{"issue":{"subject":"","project_id":79,"tracker_id":40,"status_id":1,"priority_id":2,"assigned_to_id":23,"start_date":"2017-07-13","description":"","custom_fields":[{"id":1,"name":"Subdivision","value":"EC"},{"id":4,"name":"Milepost","value":"23.3368"},{"id":17,"name":"Train ID","value":"219-13"},{"id":16,"name":"Locomotive ID","value":"4014"},{"id":130,"name":"Impact","value":""},{"id":150,"name":"Time of Event (Mountain Time)","value":"19:07:47"},{"id":151,"name":"Denver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1"/>
        <v>start /low /b %USERPROFILE%\Documents\GitHub\eaglep3\Utilities\DownloadLogsFromS3.py --loco 4014 --day 2017-07-13</v>
      </c>
      <c r="AN132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831</v>
      </c>
      <c r="B133" s="7">
        <v>4013</v>
      </c>
      <c r="C133" s="21" t="s">
        <v>199</v>
      </c>
      <c r="D133" s="21" t="s">
        <v>540</v>
      </c>
      <c r="E133" s="13">
        <v>42929.801192129627</v>
      </c>
      <c r="F133" s="13">
        <v>42929.810671296298</v>
      </c>
      <c r="G133" s="7">
        <v>1</v>
      </c>
      <c r="H133" s="21" t="s">
        <v>885</v>
      </c>
      <c r="I133" s="13">
        <v>42929.837465277778</v>
      </c>
      <c r="J133" s="7">
        <v>1</v>
      </c>
      <c r="K133" s="89" t="str">
        <f>IF(ISEVEN(B133),(B133-1)&amp;"/"&amp;B133,B133&amp;"/"&amp;(B133+1))</f>
        <v>4013/4014</v>
      </c>
      <c r="L133" s="21" t="str">
        <f>VLOOKUP(A133,'Trips&amp;Operators'!$C$1:$G$99999,5,FALSE)</f>
        <v>FORTUNATO FRANK</v>
      </c>
      <c r="M133" s="6">
        <f>I133-F133</f>
        <v>2.679398148029577E-2</v>
      </c>
      <c r="N133" s="7">
        <f>24*60*SUM($M133:$M133)</f>
        <v>38.583333331625909</v>
      </c>
      <c r="O133" s="7"/>
      <c r="P133" s="7"/>
      <c r="Q133" s="22"/>
      <c r="R133" s="170"/>
      <c r="S133" s="213">
        <f>1/IF(AG133="EC",12,1)*SUM(U133:U133)</f>
        <v>1</v>
      </c>
      <c r="T133" s="195" t="str">
        <f>IF(ISEVEN(LEFT(AD133,4)),"Southbound","NorthBound")</f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-13T18:13:43-0600',mode:absolute,to:'2017-07-13T21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23.300799999999999</v>
      </c>
      <c r="Z133" s="197">
        <f>RIGHT(H133,LEN(H133)-4)/10000</f>
        <v>1.23E-2</v>
      </c>
      <c r="AA133" s="197">
        <f>ABS(Z133-Y133)</f>
        <v>23.288499999999999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/stypes="app*4013*20170714*" /stext=" 02:.+((SYSTEM_STATE.+slice.+state.+changed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9"/>
        <v>"%USERPROFILE%\Documents\GitHub\eaglep3\Utilities\RefineRTDCRunTimes.py" --tripid 220-13 --locoid 4013 --swversion DE.1.0.9.0 --startMP 204:233008 --initTime 2017-07-13T19:13:43 --startdatetime 2017-07-13T19:27:22 --delay 1 --endMP 204:123 --enddatetime 2017-07-13T20:05:57 --enforcementcount 1 &gt;&gt;C:\Users\stu\Documents\GitHub\eaglep3-reporting\EC\2017-07-13-refined-times.txt</v>
      </c>
      <c r="AI133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{"issue":{"subject":"","project_id":79,"tracker_id":40,"status_id":1,"priority_id":2,"assigned_to_id":23,"start_date":"2017-07-13","description":"","custom_fields":[{"id":1,"name":"Subdivision","value":"EC"},{"id":4,"name":"Milepost","value":"0.0123"},{"id":17,"name":"Train ID","value":"220-13"},{"id":16,"name":"Locomotive ID","value":"4013"},{"id":130,"name":"Impact","value":""},{"id":150,"name":"Time of Event (Mountain Time)","value":"20:05:57"},{"id":151,"name":"Denver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1"/>
        <v>start /low /b %USERPROFILE%\Documents\GitHub\eaglep3\Utilities\DownloadLogsFromS3.py --loco 4013 --day 2017-07-13</v>
      </c>
      <c r="AN133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826</v>
      </c>
      <c r="B134" s="7">
        <v>4062</v>
      </c>
      <c r="C134" s="21" t="s">
        <v>199</v>
      </c>
      <c r="D134" s="21" t="s">
        <v>350</v>
      </c>
      <c r="E134" s="13">
        <v>42929.788344907407</v>
      </c>
      <c r="F134" s="13">
        <v>42929.792233796295</v>
      </c>
      <c r="G134" s="7">
        <v>2</v>
      </c>
      <c r="H134" s="21" t="s">
        <v>928</v>
      </c>
      <c r="I134" s="13">
        <v>42929.817361111112</v>
      </c>
      <c r="J134" s="7">
        <v>1</v>
      </c>
      <c r="K134" s="89" t="str">
        <f>IF(ISEVEN(B134),(B134-1)&amp;"/"&amp;B134,B134&amp;"/"&amp;(B134+1))</f>
        <v>4061/4062</v>
      </c>
      <c r="L134" s="21" t="str">
        <f>VLOOKUP(A134,'Trips&amp;Operators'!$C$1:$G$99999,5,FALSE)</f>
        <v>ZEWDU DEREJE</v>
      </c>
      <c r="M134" s="6">
        <f>I134-F134</f>
        <v>2.5127314816927537E-2</v>
      </c>
      <c r="N134" s="7">
        <f>24*60*SUM($M134:$M134)</f>
        <v>36.183333336375654</v>
      </c>
      <c r="O134" s="7"/>
      <c r="P134" s="7"/>
      <c r="Q134" s="22"/>
      <c r="R134" s="170" t="s">
        <v>1041</v>
      </c>
      <c r="S134" s="213">
        <f>1/IF(AG134="EC",12,1)*SUM(U134:U134)</f>
        <v>1</v>
      </c>
      <c r="T134" s="195" t="str">
        <f>IF(ISEVEN(LEFT(AD134,4)),"Southbound","NorthBound")</f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-13T17:55:13-0600',mode:absolute,to:'2017-07-13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4" s="197" t="str">
        <f>IF(AA134&lt;VLOOKUP(AG134,Variables!$AC$3:$AD$8,2,FALSE),"Y","N")</f>
        <v>Y</v>
      </c>
      <c r="X134" s="197">
        <f>VALUE(LEFT(AD134,4))-VALUE(LEFT(AD133,4))</f>
        <v>1</v>
      </c>
      <c r="Y134" s="197">
        <f>RIGHT(D134,LEN(D134)-4)/10000</f>
        <v>4.4699999999999997E-2</v>
      </c>
      <c r="Z134" s="197">
        <f>RIGHT(H134,LEN(H134)-4)/10000</f>
        <v>22.762</v>
      </c>
      <c r="AA134" s="197">
        <f>ABS(Z134-Y134)</f>
        <v>22.717300000000002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/stypes="app*4062*20170714*" /stext=" 01:.+((SYSTEM_STATE.+slice.+state.+changed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9"/>
        <v>"%USERPROFILE%\Documents\GitHub\eaglep3\Utilities\RefineRTDCRunTimes.py" --tripid 221-13 --locoid 4062 --swversion DE.1.0.9.0 --startMP 204:447 --initTime 2017-07-13T18:55:13 --startdatetime 2017-07-13T19:00:49 --delay 2 --endMP 204:227620 --enddatetime 2017-07-13T19:37:00 --enforcementcount 1 &gt;&gt;C:\Users\stu\Documents\GitHub\eaglep3-reporting\EC\2017-07-13-refined-times.txt</v>
      </c>
      <c r="AI134" s="96" t="str">
        <f t="shared" si="10"/>
        <v>echo {"issue":{"subject":"DTO efficiency test","project_id":79,"tracker_id":40,"status_id":1,"priority_id":2,"assigned_to_id":23,"start_date":"2017-07-13","description":"","custom_fields":[{"id":1,"name":"Subdivision","value":"EC"},{"id":4,"name":"Milepost","value":"22.762"},{"id":17,"name":"Train ID","value":"221-13"},{"id":16,"name":"Locomotive ID","value":"4062"},{"id":130,"name":"Impact","value":""},{"id":150,"name":"Time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1"/>
        <v>start /low /b %USERPROFILE%\Documents\GitHub\eaglep3\Utilities\DownloadLogsFromS3.py --loco 4062 --day 2017-07-13</v>
      </c>
      <c r="AN134" s="151" t="str">
        <f t="shared" si="12"/>
        <v>echo {"issue":{"subject":"DTO efficiency test","project_id":30,"tracker_id":4,"status_id":1,"priority_id":1,"assigned_to_id":10,"start_date":"2017-07-14","description":"","custom_fields":[{"id":30,"name":"Category","value":"Issue"},{"id":3,"name":"Functional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835</v>
      </c>
      <c r="B135" s="7">
        <v>4061</v>
      </c>
      <c r="C135" s="21" t="s">
        <v>199</v>
      </c>
      <c r="D135" s="21" t="s">
        <v>444</v>
      </c>
      <c r="E135" s="13">
        <v>42929.826817129629</v>
      </c>
      <c r="F135" s="13">
        <v>42929.831759259258</v>
      </c>
      <c r="G135" s="7">
        <v>2</v>
      </c>
      <c r="H135" s="21" t="s">
        <v>354</v>
      </c>
      <c r="I135" s="13">
        <v>42929.85837962963</v>
      </c>
      <c r="J135" s="7">
        <v>1</v>
      </c>
      <c r="K135" s="89" t="str">
        <f>IF(ISEVEN(B135),(B135-1)&amp;"/"&amp;B135,B135&amp;"/"&amp;(B135+1))</f>
        <v>4061/4062</v>
      </c>
      <c r="L135" s="21" t="str">
        <f>VLOOKUP(A135,'Trips&amp;Operators'!$C$1:$G$99999,5,FALSE)</f>
        <v>ZEWDU DEREJE</v>
      </c>
      <c r="M135" s="6">
        <f>I135-F135</f>
        <v>2.662037037225673E-2</v>
      </c>
      <c r="N135" s="7">
        <f>24*60*SUM($M135:$M135)</f>
        <v>38.333333336049691</v>
      </c>
      <c r="O135" s="7"/>
      <c r="P135" s="7"/>
      <c r="Q135" s="22"/>
      <c r="R135" s="170"/>
      <c r="S135" s="213">
        <f>1/IF(AG135="EC",12,1)*SUM(U135:U135)</f>
        <v>1</v>
      </c>
      <c r="T135" s="195" t="str">
        <f>IF(ISEVEN(LEFT(AD135,4)),"Southbound","NorthBound")</f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-13T18:50:37-0600',mode:absolute,to:'2017-07-13T21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23.2971</v>
      </c>
      <c r="Z135" s="197">
        <f>RIGHT(H135,LEN(H135)-4)/10000</f>
        <v>1.47E-2</v>
      </c>
      <c r="AA135" s="197">
        <f>ABS(Z135-Y135)</f>
        <v>23.282399999999999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/stypes="app*4061*20170714*" /stext=" 02:.+((SYSTEM_STATE.+slice.+state.+changed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9"/>
        <v>"%USERPROFILE%\Documents\GitHub\eaglep3\Utilities\RefineRTDCRunTimes.py" --tripid 222-13 --locoid 4061 --swversion DE.1.0.9.0 --startMP 204:232971 --initTime 2017-07-13T19:50:37 --startdatetime 2017-07-13T19:57:44 --delay 2 --endMP 204:147 --enddatetime 2017-07-13T20:36:04 --enforcementcount 1 &gt;&gt;C:\Users\stu\Documents\GitHub\eaglep3-reporting\EC\2017-07-13-refined-times.txt</v>
      </c>
      <c r="AI135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{"issue":{"subject":"","project_id":79,"tracker_id":40,"status_id":1,"priority_id":2,"assigned_to_id":23,"start_date":"2017-07-13","description":"","custom_fields":[{"id":1,"name":"Subdivision","value":"EC"},{"id":4,"name":"Milepost","value":"0.0147"},{"id":17,"name":"Train ID","value":"222-13"},{"id":16,"name":"Locomotive ID","value":"4061"},{"id":130,"name":"Impact","value":""},{"id":150,"name":"Time of Event (Mountain Time)","value":"20:36:04"},{"id":151,"name":"Denver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1"/>
        <v>start /low /b %USERPROFILE%\Documents\GitHub\eaglep3\Utilities\DownloadLogsFromS3.py --loco 4061 --day 2017-07-13</v>
      </c>
      <c r="AN135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4028</v>
      </c>
      <c r="C136" s="21" t="s">
        <v>199</v>
      </c>
      <c r="D136" s="21" t="s">
        <v>405</v>
      </c>
      <c r="E136" s="13">
        <v>42929.809293981481</v>
      </c>
      <c r="F136" s="13">
        <v>42929.813032407408</v>
      </c>
      <c r="G136" s="7">
        <v>1</v>
      </c>
      <c r="H136" s="21" t="s">
        <v>867</v>
      </c>
      <c r="I136" s="13">
        <v>42929.839108796295</v>
      </c>
      <c r="J136" s="7">
        <v>1</v>
      </c>
      <c r="K136" s="89" t="str">
        <f>IF(ISEVEN(B136),(B136-1)&amp;"/"&amp;B136,B136&amp;"/"&amp;(B136+1))</f>
        <v>4027/4028</v>
      </c>
      <c r="L136" s="21" t="str">
        <f>VLOOKUP(A136,'Trips&amp;Operators'!$C$1:$G$99999,5,FALSE)</f>
        <v>ELBAUM MIKE</v>
      </c>
      <c r="M136" s="6">
        <f>I136-F136</f>
        <v>2.6076388887304347E-2</v>
      </c>
      <c r="N136" s="7">
        <f>24*60*SUM($M136:$M136)</f>
        <v>37.54999999771826</v>
      </c>
      <c r="O136" s="7"/>
      <c r="P136" s="7"/>
      <c r="Q136" s="22"/>
      <c r="R136" s="170"/>
      <c r="S136" s="213">
        <f>1/IF(AG136="EC",12,1)*SUM(U136:U136)</f>
        <v>1</v>
      </c>
      <c r="T136" s="195" t="str">
        <f>IF(ISEVEN(LEFT(AD136,4)),"Southbound","NorthBound")</f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-13T18:25:23-0600',mode:absolute,to:'2017-07-13T21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4.5499999999999999E-2</v>
      </c>
      <c r="Z136" s="197">
        <f>RIGHT(H136,LEN(H136)-4)/10000</f>
        <v>23.3293</v>
      </c>
      <c r="AA136" s="197">
        <f>ABS(Z136-Y136)</f>
        <v>23.283799999999999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/stypes="app*4028*20170714*"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9"/>
        <v>"%USERPROFILE%\Documents\GitHub\eaglep3\Utilities\RefineRTDCRunTimes.py" --tripid 223-13 --locoid 4028 --swversion DE.1.0.9.0 --startMP 204:455 --initTime 2017-07-13T19:25:23 --startdatetime 2017-07-13T19:30:46 --delay 1 --endMP 204:233293 --enddatetime 2017-07-13T20:08:19 --enforcementcount 1 &gt;&gt;C:\Users\stu\Documents\GitHub\eaglep3-reporting\EC\2017-07-13-refined-times.txt</v>
      </c>
      <c r="AI136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{"issue":{"subject":"","project_id":79,"tracker_id":40,"status_id":1,"priority_id":2,"assigned_to_id":23,"start_date":"2017-07-13","description":"","custom_fields":[{"id":1,"name":"Subdivision","value":"EC"},{"id":4,"name":"Milepost","value":"23.3293"},{"id":17,"name":"Train ID","value":"223-13"},{"id":16,"name":"Locomotive ID","value":"4028"},{"id":130,"name":"Impact","value":""},{"id":150,"name":"Time of Event (Mountain Time)","value":"20:08:19"},{"id":151,"name":"Denver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1"/>
        <v>start /low /b %USERPROFILE%\Documents\GitHub\eaglep3\Utilities\DownloadLogsFromS3.py --loco 4028 --day 2017-07-13</v>
      </c>
      <c r="AN136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656</v>
      </c>
      <c r="B137" s="7">
        <v>4027</v>
      </c>
      <c r="C137" s="21" t="s">
        <v>199</v>
      </c>
      <c r="D137" s="21" t="s">
        <v>578</v>
      </c>
      <c r="E137" s="13">
        <v>42929.84070601852</v>
      </c>
      <c r="F137" s="13">
        <v>42929.85255787037</v>
      </c>
      <c r="G137" s="7">
        <v>1</v>
      </c>
      <c r="H137" s="21" t="s">
        <v>539</v>
      </c>
      <c r="I137" s="13">
        <v>42929.88071759259</v>
      </c>
      <c r="J137" s="7">
        <v>1</v>
      </c>
      <c r="K137" s="89" t="str">
        <f>IF(ISEVEN(B137),(B137-1)&amp;"/"&amp;B137,B137&amp;"/"&amp;(B137+1))</f>
        <v>4027/4028</v>
      </c>
      <c r="L137" s="21" t="str">
        <f>VLOOKUP(A137,'Trips&amp;Operators'!$C$1:$G$99999,5,FALSE)</f>
        <v>ELBAUM MIKE</v>
      </c>
      <c r="M137" s="6">
        <f>I137-F137</f>
        <v>2.8159722220152617E-2</v>
      </c>
      <c r="N137" s="7">
        <f>24*60*SUM($M137:$M137)</f>
        <v>40.549999997019768</v>
      </c>
      <c r="O137" s="7"/>
      <c r="P137" s="7"/>
      <c r="Q137" s="22"/>
      <c r="R137" s="170"/>
      <c r="S137" s="213">
        <f>1/IF(AG137="EC",12,1)*SUM(U137:U137)</f>
        <v>1</v>
      </c>
      <c r="T137" s="195" t="str">
        <f>IF(ISEVEN(LEFT(AD137,4)),"Southbound","NorthBound")</f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-13T19:10:37-0600',mode:absolute,to:'2017-07-13T22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23.297499999999999</v>
      </c>
      <c r="Z137" s="197">
        <f>RIGHT(H137,LEN(H137)-4)/10000</f>
        <v>1.7399999999999999E-2</v>
      </c>
      <c r="AA137" s="197">
        <f>ABS(Z137-Y137)</f>
        <v>23.280100000000001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/stypes="app*4027*20170714*" /stext=" 03:.+((SYSTEM_STATE.+slice.+state.+changed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9"/>
        <v>"%USERPROFILE%\Documents\GitHub\eaglep3\Utilities\RefineRTDCRunTimes.py" --tripid 224-13 --locoid 4027 --swversion DE.1.0.9.0 --startMP 204:232975 --initTime 2017-07-13T20:10:37 --startdatetime 2017-07-13T20:27:41 --delay 1 --endMP 204:174 --enddatetime 2017-07-13T21:08:14 --enforcementcount 1 &gt;&gt;C:\Users\stu\Documents\GitHub\eaglep3-reporting\EC\2017-07-13-refined-times.txt</v>
      </c>
      <c r="AI137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{"issue":{"subject":"","project_id":79,"tracker_id":40,"status_id":1,"priority_id":2,"assigned_to_id":23,"start_date":"2017-07-13","description":"","custom_fields":[{"id":1,"name":"Subdivision","value":"EC"},{"id":4,"name":"Milepost","value":"0.0174"},{"id":17,"name":"Train ID","value":"224-13"},{"id":16,"name":"Locomotive ID","value":"4027"},{"id":130,"name":"Impact","value":""},{"id":150,"name":"Time of Event (Mountain Time)","value":"21:08:14"},{"id":151,"name":"Denver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1"/>
        <v>start /low /b %USERPROFILE%\Documents\GitHub\eaglep3\Utilities\DownloadLogsFromS3.py --loco 4027 --day 2017-07-13</v>
      </c>
      <c r="AN137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654</v>
      </c>
      <c r="B138" s="7">
        <v>4042</v>
      </c>
      <c r="C138" s="21" t="s">
        <v>199</v>
      </c>
      <c r="D138" s="21" t="s">
        <v>347</v>
      </c>
      <c r="E138" s="13">
        <v>42929.829027777778</v>
      </c>
      <c r="F138" s="13">
        <v>42929.83390046296</v>
      </c>
      <c r="G138" s="7">
        <v>1</v>
      </c>
      <c r="H138" s="21" t="s">
        <v>929</v>
      </c>
      <c r="I138" s="13">
        <v>42929.859780092593</v>
      </c>
      <c r="J138" s="7">
        <v>1</v>
      </c>
      <c r="K138" s="89" t="str">
        <f>IF(ISEVEN(B138),(B138-1)&amp;"/"&amp;B138,B138&amp;"/"&amp;(B138+1))</f>
        <v>4041/4042</v>
      </c>
      <c r="L138" s="21" t="str">
        <f>VLOOKUP(A138,'Trips&amp;Operators'!$C$1:$G$99999,5,FALSE)</f>
        <v>PERKINS DARREN</v>
      </c>
      <c r="M138" s="6">
        <f>I138-F138</f>
        <v>2.587962963298196E-2</v>
      </c>
      <c r="N138" s="7">
        <f>24*60*SUM($M138:$M138)</f>
        <v>37.266666671494022</v>
      </c>
      <c r="O138" s="7"/>
      <c r="P138" s="7"/>
      <c r="Q138" s="22"/>
      <c r="R138" s="170"/>
      <c r="S138" s="213">
        <f>1/IF(AG138="EC",12,1)*SUM(U138:U138)</f>
        <v>1</v>
      </c>
      <c r="T138" s="195" t="str">
        <f>IF(ISEVEN(LEFT(AD138,4)),"Southbound","NorthBound")</f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-13T18:53:48-0600',mode:absolute,to:'2017-07-13T21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4.5100000000000001E-2</v>
      </c>
      <c r="Z138" s="197">
        <f>RIGHT(H138,LEN(H138)-4)/10000</f>
        <v>23.334099999999999</v>
      </c>
      <c r="AA138" s="197">
        <f>ABS(Z138-Y138)</f>
        <v>23.288999999999998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/stypes="app*4042*20170714*" /stext=" 02:.+((SYSTEM_STATE.+slice.+state.+changed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9"/>
        <v>"%USERPROFILE%\Documents\GitHub\eaglep3\Utilities\RefineRTDCRunTimes.py" --tripid 225-13 --locoid 4042 --swversion DE.1.0.9.0 --startMP 204:451 --initTime 2017-07-13T19:53:48 --startdatetime 2017-07-13T20:00:49 --delay 1 --endMP 204:233341 --enddatetime 2017-07-13T20:38:05 --enforcementcount 1 &gt;&gt;C:\Users\stu\Documents\GitHub\eaglep3-reporting\EC\2017-07-13-refined-times.txt</v>
      </c>
      <c r="AI138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{"issue":{"subject":"","project_id":79,"tracker_id":40,"status_id":1,"priority_id":2,"assigned_to_id":23,"start_date":"2017-07-13","description":"","custom_fields":[{"id":1,"name":"Subdivision","value":"EC"},{"id":4,"name":"Milepost","value":"23.3341"},{"id":17,"name":"Train ID","value":"225-13"},{"id":16,"name":"Locomotive ID","value":"4042"},{"id":130,"name":"Impact","value":""},{"id":150,"name":"Time of Event (Mountain Time)","value":"20:38:05"},{"id":151,"name":"Denver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1"/>
        <v>start /low /b %USERPROFILE%\Documents\GitHub\eaglep3\Utilities\DownloadLogsFromS3.py --loco 4042 --day 2017-07-13</v>
      </c>
      <c r="AN138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838</v>
      </c>
      <c r="B139" s="7">
        <v>4041</v>
      </c>
      <c r="C139" s="21" t="s">
        <v>199</v>
      </c>
      <c r="D139" s="21" t="s">
        <v>592</v>
      </c>
      <c r="E139" s="13">
        <v>42929.867662037039</v>
      </c>
      <c r="F139" s="13">
        <v>42929.873113425929</v>
      </c>
      <c r="G139" s="7">
        <v>1</v>
      </c>
      <c r="H139" s="21" t="s">
        <v>582</v>
      </c>
      <c r="I139" s="13">
        <v>42929.900046296294</v>
      </c>
      <c r="J139" s="7">
        <v>1</v>
      </c>
      <c r="K139" s="89" t="str">
        <f>IF(ISEVEN(B139),(B139-1)&amp;"/"&amp;B139,B139&amp;"/"&amp;(B139+1))</f>
        <v>4041/4042</v>
      </c>
      <c r="L139" s="21" t="str">
        <f>VLOOKUP(A139,'Trips&amp;Operators'!$C$1:$G$99999,5,FALSE)</f>
        <v>PERKINS DARREN</v>
      </c>
      <c r="M139" s="6">
        <f>I139-F139</f>
        <v>2.693287036527181E-2</v>
      </c>
      <c r="N139" s="7">
        <f>24*60*SUM($M139:$M139)</f>
        <v>38.783333325991407</v>
      </c>
      <c r="O139" s="7"/>
      <c r="P139" s="7"/>
      <c r="Q139" s="22"/>
      <c r="R139" s="170"/>
      <c r="S139" s="213">
        <f>1/IF(AG139="EC",12,1)*SUM(U139:U139)</f>
        <v>1</v>
      </c>
      <c r="T139" s="195" t="str">
        <f>IF(ISEVEN(LEFT(AD139,4)),"Southbound","NorthBound")</f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-13T19:49:26-0600',mode:absolute,to:'2017-07-13T22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23.301300000000001</v>
      </c>
      <c r="Z139" s="197">
        <f>RIGHT(H139,LEN(H139)-4)/10000</f>
        <v>1.2699999999999999E-2</v>
      </c>
      <c r="AA139" s="197">
        <f>ABS(Z139-Y139)</f>
        <v>23.288600000000002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/stypes="app*4041*20170714*" /stext=" 03:.+((SYSTEM_STATE.+slice.+state.+changed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9"/>
        <v>"%USERPROFILE%\Documents\GitHub\eaglep3\Utilities\RefineRTDCRunTimes.py" --tripid 226-13 --locoid 4041 --swversion DE.1.0.9.0 --startMP 204:233013 --initTime 2017-07-13T20:49:26 --startdatetime 2017-07-13T20:57:17 --delay 1 --endMP 204:127 --enddatetime 2017-07-13T21:36:04 --enforcementcount 1 &gt;&gt;C:\Users\stu\Documents\GitHub\eaglep3-reporting\EC\2017-07-13-refined-times.txt</v>
      </c>
      <c r="AI139" s="96" t="str">
        <f t="shared" si="10"/>
        <v>echo {"issue":{"subject":"","project_id":79,"tracker_id":40,"status_id":1,"priority_id":2,"assigned_to_id":23,"start_date":"2017-07-13","description":"","custom_fields":[{"id":1,"name":"Subdivision","value":"EC"},{"id":4,"name":"Milepost","value":"0.0127"},{"id":17,"name":"Train ID","value":"226-13"},{"id":16,"name":"Locomotive ID","value":"4041"},{"id":130,"name":"Impact","value":""},{"id":150,"name":"Time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1"/>
        <v>start /low /b %USERPROFILE%\Documents\GitHub\eaglep3\Utilities\DownloadLogsFromS3.py --loco 4041 --day 2017-07-13</v>
      </c>
      <c r="AN139" s="151" t="str">
        <f t="shared" si="12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836</v>
      </c>
      <c r="B140" s="7">
        <v>4014</v>
      </c>
      <c r="C140" s="21" t="s">
        <v>199</v>
      </c>
      <c r="D140" s="21" t="s">
        <v>417</v>
      </c>
      <c r="E140" s="13">
        <v>42929.843981481485</v>
      </c>
      <c r="F140" s="13">
        <v>42929.855138888888</v>
      </c>
      <c r="G140" s="7">
        <v>1</v>
      </c>
      <c r="H140" s="21" t="s">
        <v>443</v>
      </c>
      <c r="I140" s="13">
        <v>42929.881273148145</v>
      </c>
      <c r="J140" s="7">
        <v>1</v>
      </c>
      <c r="K140" s="89" t="str">
        <f>IF(ISEVEN(B140),(B140-1)&amp;"/"&amp;B140,B140&amp;"/"&amp;(B140+1))</f>
        <v>4013/4014</v>
      </c>
      <c r="L140" s="21" t="str">
        <f>VLOOKUP(A140,'Trips&amp;Operators'!$C$1:$G$99999,5,FALSE)</f>
        <v>FORTUNATO FRANK</v>
      </c>
      <c r="M140" s="6">
        <f>I140-F140</f>
        <v>2.6134259256650694E-2</v>
      </c>
      <c r="N140" s="7">
        <f>24*60*SUM($M140:$M140)</f>
        <v>37.633333329576999</v>
      </c>
      <c r="O140" s="7"/>
      <c r="P140" s="7"/>
      <c r="Q140" s="22"/>
      <c r="R140" s="170"/>
      <c r="S140" s="213">
        <f>1/IF(AG140="EC",12,1)*SUM(U140:U140)</f>
        <v>1</v>
      </c>
      <c r="T140" s="195" t="str">
        <f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-13T19:15:20-0600',mode:absolute,to:'2017-07-13T22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4.58E-2</v>
      </c>
      <c r="Z140" s="197">
        <f>RIGHT(H140,LEN(H140)-4)/10000</f>
        <v>23.330100000000002</v>
      </c>
      <c r="AA140" s="197">
        <f>ABS(Z140-Y140)</f>
        <v>23.284300000000002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/stypes="app*4014*20170714*"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ref="AH140:AH201" si="1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227-13 --locoid 4014 --swversion DE.1.0.9.0 --startMP 204:458 --initTime 2017-07-13T20:15:20 --startdatetime 2017-07-13T20:31:24 --delay 1 --endMP 204:233301 --enddatetime 2017-07-13T21:09:02 --enforcementcount 1 &gt;&gt;C:\Users\stu\Documents\GitHub\eaglep3-reporting\EC\2017-07-13-refined-times.txt</v>
      </c>
      <c r="AI140" s="96" t="str">
        <f t="shared" ref="AI140:AI201" si="1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{"issue":{"subject":"","project_id":79,"tracker_id":40,"status_id":1,"priority_id":2,"assigned_to_id":23,"start_date":"2017-07-13","description":"","custom_fields":[{"id":1,"name":"Subdivision","value":"EC"},{"id":4,"name":"Milepost","value":"23.3301"},{"id":17,"name":"Train ID","value":"227-13"},{"id":16,"name":"Locomotive ID","value":"4014"},{"id":130,"name":"Impact","value":""},{"id":150,"name":"Time of Event (Mountain Time)","value":"21:09:02"},{"id":151,"name":"Denver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1" si="16">"start /low /b "&amp;dls3logs&amp;" --loco "&amp;B140&amp;" --day "&amp;TEXT(F140,"YYYY-MM-DD")</f>
        <v>start /low /b %USERPROFILE%\Documents\GitHub\eaglep3\Utilities\DownloadLogsFromS3.py --loco 4014 --day 2017-07-13</v>
      </c>
      <c r="AN140" s="151" t="str">
        <f t="shared" ref="AN140:AN201" si="1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657</v>
      </c>
      <c r="B141" s="7">
        <v>4013</v>
      </c>
      <c r="C141" s="21" t="s">
        <v>199</v>
      </c>
      <c r="D141" s="21" t="s">
        <v>581</v>
      </c>
      <c r="E141" s="13">
        <v>42929.887685185182</v>
      </c>
      <c r="F141" s="13">
        <v>42929.893900462965</v>
      </c>
      <c r="G141" s="7">
        <v>1</v>
      </c>
      <c r="H141" s="21" t="s">
        <v>388</v>
      </c>
      <c r="I141" s="13">
        <v>42929.920682870368</v>
      </c>
      <c r="J141" s="7">
        <v>1</v>
      </c>
      <c r="K141" s="89" t="str">
        <f>IF(ISEVEN(B141),(B141-1)&amp;"/"&amp;B141,B141&amp;"/"&amp;(B141+1))</f>
        <v>4013/4014</v>
      </c>
      <c r="L141" s="21" t="str">
        <f>VLOOKUP(A141,'Trips&amp;Operators'!$C$1:$G$99999,5,FALSE)</f>
        <v>FORTUNATO FRANK</v>
      </c>
      <c r="M141" s="6">
        <f>I141-F141</f>
        <v>2.6782407403516117E-2</v>
      </c>
      <c r="N141" s="7">
        <f>24*60*SUM($M141:$M141)</f>
        <v>38.566666661063209</v>
      </c>
      <c r="O141" s="7"/>
      <c r="P141" s="7"/>
      <c r="Q141" s="22"/>
      <c r="R141" s="170"/>
      <c r="S141" s="213">
        <f>1/IF(AG141="EC",12,1)*SUM(U141:U141)</f>
        <v>1</v>
      </c>
      <c r="T141" s="195" t="str">
        <f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-13T20:18:16-0600',mode:absolute,to:'2017-07-13T23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23.3</v>
      </c>
      <c r="Z141" s="197">
        <f>RIGHT(H141,LEN(H141)-4)/10000</f>
        <v>1.4500000000000001E-2</v>
      </c>
      <c r="AA141" s="197">
        <f>ABS(Z141-Y141)</f>
        <v>23.285499999999999</v>
      </c>
      <c r="AB141" s="54" t="str">
        <f>VLOOKUP(A141,Enforcements!$C$7:$K$13,8,0)</f>
        <v>Bulletin (2)</v>
      </c>
      <c r="AC141" s="51" t="str">
        <f>VLOOKUP(A141,Enforcements!$C$7:$E$13,3,0)</f>
        <v>GRADE CROSSING</v>
      </c>
      <c r="AD141" s="206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/stypes="app*4013*20170714*" /stext=" 04:.+((SYSTEM_STATE.+slice.+state.+changed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4"/>
        <v>"%USERPROFILE%\Documents\GitHub\eaglep3\Utilities\RefineRTDCRunTimes.py" --tripid 228-13 --locoid 4013 --swversion DE.1.0.9.0 --startMP 204:233000 --initTime 2017-07-13T21:18:16 --startdatetime 2017-07-13T21:27:13 --delay 1 --endMP 204:145 --enddatetime 2017-07-13T22:05:47 --enforcementcount 1 &gt;&gt;C:\Users\stu\Documents\GitHub\eaglep3-reporting\EC\2017-07-13-refined-times.txt</v>
      </c>
      <c r="AI141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{"issue":{"subject":"","project_id":79,"tracker_id":40,"status_id":1,"priority_id":2,"assigned_to_id":23,"start_date":"2017-07-13","description":"","custom_fields":[{"id":1,"name":"Subdivision","value":"EC"},{"id":4,"name":"Milepost","value":"0.0145"},{"id":17,"name":"Train ID","value":"228-13"},{"id":16,"name":"Locomotive ID","value":"4013"},{"id":130,"name":"Impact","value":""},{"id":150,"name":"Time of Event (Mountain Time)","value":"22:05:47"},{"id":151,"name":"Denver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6"/>
        <v>start /low /b %USERPROFILE%\Documents\GitHub\eaglep3\Utilities\DownloadLogsFromS3.py --loco 4013 --day 2017-07-13</v>
      </c>
      <c r="AN141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839</v>
      </c>
      <c r="B142" s="7">
        <v>4062</v>
      </c>
      <c r="C142" s="21" t="s">
        <v>199</v>
      </c>
      <c r="D142" s="21" t="s">
        <v>417</v>
      </c>
      <c r="E142" s="13">
        <v>42929.868969907409</v>
      </c>
      <c r="F142" s="13">
        <v>42929.875543981485</v>
      </c>
      <c r="G142" s="7">
        <v>1</v>
      </c>
      <c r="H142" s="21" t="s">
        <v>593</v>
      </c>
      <c r="I142" s="13">
        <v>42929.900763888887</v>
      </c>
      <c r="J142" s="7">
        <v>1</v>
      </c>
      <c r="K142" s="89" t="str">
        <f>IF(ISEVEN(B142),(B142-1)&amp;"/"&amp;B142,B142&amp;"/"&amp;(B142+1))</f>
        <v>4061/4062</v>
      </c>
      <c r="L142" s="21" t="str">
        <f>VLOOKUP(A142,'Trips&amp;Operators'!$C$1:$G$99999,5,FALSE)</f>
        <v>LAMAR NEKESHA</v>
      </c>
      <c r="M142" s="6">
        <f>I142-F142</f>
        <v>2.5219907402060926E-2</v>
      </c>
      <c r="N142" s="7">
        <f>24*60*SUM($M142:$M142)</f>
        <v>36.316666658967733</v>
      </c>
      <c r="O142" s="7"/>
      <c r="P142" s="7"/>
      <c r="Q142" s="22"/>
      <c r="R142" s="170"/>
      <c r="S142" s="213">
        <f>1/IF(AG142="EC",12,1)*SUM(U142:U142)</f>
        <v>1</v>
      </c>
      <c r="T142" s="195" t="str">
        <f>IF(ISEVEN(LEFT(AD142,4)),"Southbound","NorthBound")</f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-13T19:51:19-0600',mode:absolute,to:'2017-07-13T22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4.58E-2</v>
      </c>
      <c r="Z142" s="197">
        <f>RIGHT(H142,LEN(H142)-4)/10000</f>
        <v>23.331800000000001</v>
      </c>
      <c r="AA142" s="197">
        <f>ABS(Z142-Y142)</f>
        <v>23.286000000000001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/stypes="app*4062*20170714*" /stext=" 03:.+((SYSTEM_STATE.+slice.+state.+changed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4"/>
        <v>"%USERPROFILE%\Documents\GitHub\eaglep3\Utilities\RefineRTDCRunTimes.py" --tripid 229-13 --locoid 4062 --swversion DE.1.0.9.0 --startMP 204:458 --initTime 2017-07-13T20:51:19 --startdatetime 2017-07-13T21:00:47 --delay 1 --endMP 204:233318 --enddatetime 2017-07-13T21:37:06 --enforcementcount 1 &gt;&gt;C:\Users\stu\Documents\GitHub\eaglep3-reporting\EC\2017-07-13-refined-times.txt</v>
      </c>
      <c r="AI142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{"issue":{"subject":"","project_id":79,"tracker_id":40,"status_id":1,"priority_id":2,"assigned_to_id":23,"start_date":"2017-07-13","description":"","custom_fields":[{"id":1,"name":"Subdivision","value":"EC"},{"id":4,"name":"Milepost","value":"23.3318"},{"id":17,"name":"Train ID","value":"229-13"},{"id":16,"name":"Locomotive ID","value":"4062"},{"id":130,"name":"Impact","value":""},{"id":150,"name":"Time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6"/>
        <v>start /low /b %USERPROFILE%\Documents\GitHub\eaglep3\Utilities\DownloadLogsFromS3.py --loco 4062 --day 2017-07-13</v>
      </c>
      <c r="AN142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658</v>
      </c>
      <c r="B143" s="7">
        <v>4061</v>
      </c>
      <c r="C143" s="21" t="s">
        <v>199</v>
      </c>
      <c r="D143" s="21" t="s">
        <v>930</v>
      </c>
      <c r="E143" s="13">
        <v>42929.910509259258</v>
      </c>
      <c r="F143" s="13">
        <v>42929.914722222224</v>
      </c>
      <c r="G143" s="7">
        <v>1</v>
      </c>
      <c r="H143" s="21" t="s">
        <v>575</v>
      </c>
      <c r="I143" s="13">
        <v>42929.942048611112</v>
      </c>
      <c r="J143" s="7">
        <v>1</v>
      </c>
      <c r="K143" s="89" t="str">
        <f>IF(ISEVEN(B143),(B143-1)&amp;"/"&amp;B143,B143&amp;"/"&amp;(B143+1))</f>
        <v>4061/4062</v>
      </c>
      <c r="L143" s="21" t="str">
        <f>VLOOKUP(A143,'Trips&amp;Operators'!$C$1:$G$99999,5,FALSE)</f>
        <v>LAMAR NEKESHA</v>
      </c>
      <c r="M143" s="6">
        <f>I143-F143</f>
        <v>2.73263888884685E-2</v>
      </c>
      <c r="N143" s="7">
        <f>24*60*SUM($M143:$M143)</f>
        <v>39.34999999939464</v>
      </c>
      <c r="O143" s="7"/>
      <c r="P143" s="7"/>
      <c r="Q143" s="22"/>
      <c r="R143" s="170"/>
      <c r="S143" s="213">
        <f>1/IF(AG143="EC",12,1)*SUM(U143:U143)</f>
        <v>1</v>
      </c>
      <c r="T143" s="195" t="str">
        <f>IF(ISEVEN(LEFT(AD143,4)),"Southbound","NorthBound")</f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-13T20:51:08-0600',mode:absolute,to:'2017-07-13T23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23.295200000000001</v>
      </c>
      <c r="Z143" s="197">
        <f>RIGHT(H143,LEN(H143)-4)/10000</f>
        <v>1.52E-2</v>
      </c>
      <c r="AA143" s="197">
        <f>ABS(Z143-Y143)</f>
        <v>23.28</v>
      </c>
      <c r="AB143" s="54" t="str">
        <f>VLOOKUP(A143,Enforcements!$C$7:$K$13,8,0)</f>
        <v>Bulletin (2)</v>
      </c>
      <c r="AC143" s="51" t="str">
        <f>VLOOKUP(A143,Enforcements!$C$7:$E$13,3,0)</f>
        <v>GRADE CROSSING</v>
      </c>
      <c r="AD143" s="206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/stypes="app*4061*20170714*" /stext=" 04:.+((SYSTEM_STATE.+slice.+state.+changed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si="14"/>
        <v>"%USERPROFILE%\Documents\GitHub\eaglep3\Utilities\RefineRTDCRunTimes.py" --tripid 230-13 --locoid 4061 --swversion DE.1.0.9.0 --startMP 204:232952 --initTime 2017-07-13T21:51:08 --startdatetime 2017-07-13T21:57:12 --delay 1 --endMP 204:152 --enddatetime 2017-07-13T22:36:33 --enforcementcount 1 &gt;&gt;C:\Users\stu\Documents\GitHub\eaglep3-reporting\EC\2017-07-13-refined-times.txt</v>
      </c>
      <c r="AI143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ID","value":"230-13"},{"id":16,"name":"Locomotive ID","value":"4061"},{"id":130,"name":"Impact","value":""},{"id":150,"name":"Time of Event (Mountain Time)","value":"22:36:33"},{"id":151,"name":"Denver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6"/>
        <v>start /low /b %USERPROFILE%\Documents\GitHub\eaglep3\Utilities\DownloadLogsFromS3.py --loco 4061 --day 2017-07-13</v>
      </c>
      <c r="AN143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841</v>
      </c>
      <c r="B144" s="7">
        <v>4028</v>
      </c>
      <c r="C144" s="21" t="s">
        <v>199</v>
      </c>
      <c r="D144" s="21" t="s">
        <v>431</v>
      </c>
      <c r="E144" s="13">
        <v>42929.891134259262</v>
      </c>
      <c r="F144" s="13">
        <v>42929.896689814814</v>
      </c>
      <c r="G144" s="7">
        <v>3</v>
      </c>
      <c r="H144" s="21" t="s">
        <v>869</v>
      </c>
      <c r="I144" s="13">
        <v>42929.923541666663</v>
      </c>
      <c r="J144" s="7">
        <v>1</v>
      </c>
      <c r="K144" s="89" t="str">
        <f>IF(ISEVEN(B144),(B144-1)&amp;"/"&amp;B144,B144&amp;"/"&amp;(B144+1))</f>
        <v>4027/4028</v>
      </c>
      <c r="L144" s="21" t="str">
        <f>VLOOKUP(A144,'Trips&amp;Operators'!$C$1:$G$99999,5,FALSE)</f>
        <v>ELBAUM MIKE</v>
      </c>
      <c r="M144" s="6">
        <f>I144-F144</f>
        <v>2.6851851849642117E-2</v>
      </c>
      <c r="N144" s="7">
        <f>24*60*SUM($M144:$M144)</f>
        <v>38.666666663484648</v>
      </c>
      <c r="O144" s="7"/>
      <c r="P144" s="7"/>
      <c r="Q144" s="22"/>
      <c r="R144" s="170" t="s">
        <v>1045</v>
      </c>
      <c r="S144" s="213">
        <f>1/IF(AG144="EC",12,1)*SUM(U144:U144)</f>
        <v>1</v>
      </c>
      <c r="T144" s="195" t="str">
        <f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-13T20:23:14-0600',mode:absolute,to:'2017-07-13T23:09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7" t="str">
        <f>IF(AA144&lt;VLOOKUP(AG144,Variables!$AC$3:$AD$8,2,FALSE),"Y","N")</f>
        <v>N</v>
      </c>
      <c r="X144" s="197">
        <f>VALUE(LEFT(AD144,4))-VALUE(LEFT(AD143,4))</f>
        <v>1</v>
      </c>
      <c r="Y144" s="197">
        <f>RIGHT(D144,LEN(D144)-4)/10000</f>
        <v>4.7100000000000003E-2</v>
      </c>
      <c r="Z144" s="197">
        <f>RIGHT(H144,LEN(H144)-4)/10000</f>
        <v>23.327200000000001</v>
      </c>
      <c r="AA144" s="197">
        <f>ABS(Z144-Y144)</f>
        <v>23.280100000000001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/stypes="app*4028*20170714*"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4"/>
        <v>"%USERPROFILE%\Documents\GitHub\eaglep3\Utilities\RefineRTDCRunTimes.py" --tripid 231-13 --locoid 4028 --swversion DE.1.0.9.0 --startMP 204:471 --initTime 2017-07-13T21:23:14 --startdatetime 2017-07-13T21:31:14 --delay 3 --endMP 204:233272 --enddatetime 2017-07-13T22:09:54 --enforcementcount 1 &gt;&gt;C:\Users\stu\Documents\GitHub\eaglep3-reporting\EC\2017-07-13-refined-times.txt</v>
      </c>
      <c r="AI144" s="96" t="str">
        <f t="shared" si="15"/>
        <v>echo {"issue":{"subject":"Consist spam caused by error in finaled trains table","project_id":79,"tracker_id":40,"status_id":1,"priority_id":2,"assigned_to_id":23,"start_date":"2017-07-13","description":"","custom_fields":[{"id":1,"name":"Subdivision","value":"EC"},{"id":4,"name":"Milepost","value":"23.3272"},{"id":17,"name":"Train ID","value":"231-13"},{"id":16,"name":"Locomotive ID","value":"4028"},{"id":130,"name":"Impact","value":""},{"id":150,"name":"Time of Event (Mountain Time)","value":"22:09:54"},{"id":151,"name":"Denver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6"/>
        <v>start /low /b %USERPROFILE%\Documents\GitHub\eaglep3\Utilities\DownloadLogsFromS3.py --loco 4028 --day 2017-07-13</v>
      </c>
      <c r="AN144" s="151" t="str">
        <f t="shared" si="17"/>
        <v>echo {"issue":{"subject":"Consist spam caused by error in finaled trains table","project_id":30,"tracker_id":4,"status_id":1,"priority_id":1,"assigned_to_id":10,"start_date":"2017-07-14","description":"","custom_fields":[{"id":30,"name":"Category","value":"Issue"},{"id":3,"name":"Functional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04:09:54"},{"id":29,"name":"Sharepoint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844</v>
      </c>
      <c r="B145" s="7">
        <v>4027</v>
      </c>
      <c r="C145" s="21" t="s">
        <v>199</v>
      </c>
      <c r="D145" s="21" t="s">
        <v>433</v>
      </c>
      <c r="E145" s="13">
        <v>42929.931192129632</v>
      </c>
      <c r="F145" s="13">
        <v>42929.935624999998</v>
      </c>
      <c r="G145" s="7">
        <v>1</v>
      </c>
      <c r="H145" s="21" t="s">
        <v>575</v>
      </c>
      <c r="I145" s="13">
        <v>42929.963460648149</v>
      </c>
      <c r="J145" s="7">
        <v>1</v>
      </c>
      <c r="K145" s="89" t="str">
        <f>IF(ISEVEN(B145),(B145-1)&amp;"/"&amp;B145,B145&amp;"/"&amp;(B145+1))</f>
        <v>4027/4028</v>
      </c>
      <c r="L145" s="21" t="str">
        <f>VLOOKUP(A145,'Trips&amp;Operators'!$C$1:$G$99999,5,FALSE)</f>
        <v>ELBAUM MIKE</v>
      </c>
      <c r="M145" s="6">
        <f>I145-F145</f>
        <v>2.7835648150357883E-2</v>
      </c>
      <c r="N145" s="7">
        <f>24*60*SUM($M145:$M145)</f>
        <v>40.083333336515352</v>
      </c>
      <c r="O145" s="7"/>
      <c r="P145" s="7"/>
      <c r="Q145" s="22"/>
      <c r="R145" s="170"/>
      <c r="S145" s="213">
        <f>1/IF(AG145="EC",12,1)*SUM(U145:U145)</f>
        <v>1</v>
      </c>
      <c r="T145" s="195" t="str">
        <f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-13T21:20:55-0600',mode:absolute,to:'2017-07-14T00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7" t="str">
        <f>IF(AA145&lt;VLOOKUP(AG145,Variables!$AC$3:$AD$8,2,FALSE),"Y","N")</f>
        <v>N</v>
      </c>
      <c r="X145" s="197">
        <f>VALUE(LEFT(AD145,4))-VALUE(LEFT(AD144,4))</f>
        <v>1</v>
      </c>
      <c r="Y145" s="197">
        <f>RIGHT(D145,LEN(D145)-4)/10000</f>
        <v>23.296900000000001</v>
      </c>
      <c r="Z145" s="197">
        <f>RIGHT(H145,LEN(H145)-4)/10000</f>
        <v>1.52E-2</v>
      </c>
      <c r="AA145" s="197">
        <f>ABS(Z145-Y145)</f>
        <v>23.281700000000001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/stypes="app*4027*20170714*" /stext=" 05:.+((SYSTEM_STATE.+slice.+state.+changed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4"/>
        <v>"%USERPROFILE%\Documents\GitHub\eaglep3\Utilities\RefineRTDCRunTimes.py" --tripid 232-13 --locoid 4027 --swversion DE.1.0.9.0 --startMP 204:232969 --initTime 2017-07-13T22:20:55 --startdatetime 2017-07-13T22:27:18 --delay 1 --endMP 204:152 --enddatetime 2017-07-13T23:07:23 --enforcementcount 1 &gt;&gt;C:\Users\stu\Documents\GitHub\eaglep3-reporting\EC\2017-07-13-refined-times.txt</v>
      </c>
      <c r="AI145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ID","value":"232-13"},{"id":16,"name":"Locomotive ID","value":"4027"},{"id":130,"name":"Impact","value":""},{"id":150,"name":"Time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6"/>
        <v>start /low /b %USERPROFILE%\Documents\GitHub\eaglep3\Utilities\DownloadLogsFromS3.py --loco 4027 --day 2017-07-13</v>
      </c>
      <c r="AN145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05:07:23"},{"id":29,"name":"Sharepoint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660</v>
      </c>
      <c r="B146" s="7">
        <v>4042</v>
      </c>
      <c r="C146" s="21" t="s">
        <v>199</v>
      </c>
      <c r="D146" s="21" t="s">
        <v>912</v>
      </c>
      <c r="E146" s="13">
        <v>42929.9141087963</v>
      </c>
      <c r="F146" s="13">
        <v>42929.917337962965</v>
      </c>
      <c r="G146" s="7">
        <v>1</v>
      </c>
      <c r="H146" s="21" t="s">
        <v>931</v>
      </c>
      <c r="I146" s="13">
        <v>42929.942372685182</v>
      </c>
      <c r="J146" s="7">
        <v>1</v>
      </c>
      <c r="K146" s="89" t="str">
        <f>IF(ISEVEN(B146),(B146-1)&amp;"/"&amp;B146,B146&amp;"/"&amp;(B146+1))</f>
        <v>4041/4042</v>
      </c>
      <c r="L146" s="21" t="str">
        <f>VLOOKUP(A146,'Trips&amp;Operators'!$C$1:$G$99999,5,FALSE)</f>
        <v>PERKINS DARREN</v>
      </c>
      <c r="M146" s="6">
        <f>I146-F146</f>
        <v>2.5034722217242233E-2</v>
      </c>
      <c r="N146" s="7">
        <f>24*60*SUM($M146:$M146)</f>
        <v>36.049999992828816</v>
      </c>
      <c r="O146" s="7"/>
      <c r="P146" s="7"/>
      <c r="Q146" s="22"/>
      <c r="R146" s="170"/>
      <c r="S146" s="213">
        <f>1/IF(AG146="EC",12,1)*SUM(U146:U146)</f>
        <v>1</v>
      </c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-13T20:56:19-0600',mode:absolute,to:'2017-07-13T23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4.3799999999999999E-2</v>
      </c>
      <c r="Z146" s="197">
        <f>RIGHT(H146,LEN(H146)-4)/10000</f>
        <v>23.315899999999999</v>
      </c>
      <c r="AA146" s="197">
        <f>ABS(Z146-Y146)</f>
        <v>23.272099999999998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/stypes="app*4042*20170714*"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4"/>
        <v>"%USERPROFILE%\Documents\GitHub\eaglep3\Utilities\RefineRTDCRunTimes.py" --tripid 233-13 --locoid 4042 --swversion DE.1.0.9.0 --startMP 204:438 --initTime 2017-07-13T21:56:19 --startdatetime 2017-07-13T22:00:58 --delay 1 --endMP 204:233159 --enddatetime 2017-07-13T22:37:01 --enforcementcount 1 &gt;&gt;C:\Users\stu\Documents\GitHub\eaglep3-reporting\EC\2017-07-13-refined-times.txt</v>
      </c>
      <c r="AI146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{"issue":{"subject":"","project_id":79,"tracker_id":40,"status_id":1,"priority_id":2,"assigned_to_id":23,"start_date":"2017-07-13","description":"","custom_fields":[{"id":1,"name":"Subdivision","value":"EC"},{"id":4,"name":"Milepost","value":"23.3159"},{"id":17,"name":"Train ID","value":"233-13"},{"id":16,"name":"Locomotive ID","value":"4042"},{"id":130,"name":"Impact","value":""},{"id":150,"name":"Time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6"/>
        <v>start /low /b %USERPROFILE%\Documents\GitHub\eaglep3\Utilities\DownloadLogsFromS3.py --loco 4042 --day 2017-07-13</v>
      </c>
      <c r="AN146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846</v>
      </c>
      <c r="B147" s="7">
        <v>4041</v>
      </c>
      <c r="C147" s="21" t="s">
        <v>199</v>
      </c>
      <c r="D147" s="21" t="s">
        <v>932</v>
      </c>
      <c r="E147" s="13">
        <v>42929.951284722221</v>
      </c>
      <c r="F147" s="13">
        <v>42929.956423611111</v>
      </c>
      <c r="G147" s="7">
        <v>1</v>
      </c>
      <c r="H147" s="21" t="s">
        <v>500</v>
      </c>
      <c r="I147" s="13">
        <v>42929.983877314815</v>
      </c>
      <c r="J147" s="7">
        <v>1</v>
      </c>
      <c r="K147" s="89" t="str">
        <f>IF(ISEVEN(B147),(B147-1)&amp;"/"&amp;B147,B147&amp;"/"&amp;(B147+1))</f>
        <v>4041/4042</v>
      </c>
      <c r="L147" s="21" t="str">
        <f>VLOOKUP(A147,'Trips&amp;Operators'!$C$1:$G$99999,5,FALSE)</f>
        <v>PERKINS DARREN</v>
      </c>
      <c r="M147" s="6">
        <f>I147-F147</f>
        <v>2.7453703703940846E-2</v>
      </c>
      <c r="N147" s="7">
        <f>24*60*SUM($M147:$M147)</f>
        <v>39.533333333674818</v>
      </c>
      <c r="O147" s="7"/>
      <c r="P147" s="7"/>
      <c r="Q147" s="22"/>
      <c r="R147" s="170"/>
      <c r="S147" s="213">
        <f>1/IF(AG147="EC",12,1)*SUM(U147:U147)</f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-13T21:49:51-0600',mode:absolute,to:'2017-07-14T00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23.2836</v>
      </c>
      <c r="Z147" s="197">
        <f>RIGHT(H147,LEN(H147)-4)/10000</f>
        <v>1.5800000000000002E-2</v>
      </c>
      <c r="AA147" s="197">
        <f>ABS(Z147-Y147)</f>
        <v>23.267800000000001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/stypes="app*4041*20170714*"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4"/>
        <v>"%USERPROFILE%\Documents\GitHub\eaglep3\Utilities\RefineRTDCRunTimes.py" --tripid 234-13 --locoid 4041 --swversion DE.1.0.9.0 --startMP 204:232836 --initTime 2017-07-13T22:49:51 --startdatetime 2017-07-13T22:57:15 --delay 1 --endMP 204:158 --enddatetime 2017-07-13T23:36:47 --enforcementcount 1 &gt;&gt;C:\Users\stu\Documents\GitHub\eaglep3-reporting\EC\2017-07-13-refined-times.txt</v>
      </c>
      <c r="AI147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{"issue":{"subject":"","project_id":79,"tracker_id":40,"status_id":1,"priority_id":2,"assigned_to_id":23,"start_date":"2017-07-13","description":"","custom_fields":[{"id":1,"name":"Subdivision","value":"EC"},{"id":4,"name":"Milepost","value":"0.0158"},{"id":17,"name":"Train ID","value":"234-13"},{"id":16,"name":"Locomotive ID","value":"4041"},{"id":130,"name":"Impact","value":""},{"id":150,"name":"Time of Event (Mountain Time)","value":"23:36:47"},{"id":151,"name":"Denver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6"/>
        <v>start /low /b %USERPROFILE%\Documents\GitHub\eaglep3\Utilities\DownloadLogsFromS3.py --loco 4041 --day 2017-07-13</v>
      </c>
      <c r="AN147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843</v>
      </c>
      <c r="B148" s="7">
        <v>4014</v>
      </c>
      <c r="C148" s="21" t="s">
        <v>199</v>
      </c>
      <c r="D148" s="21" t="s">
        <v>533</v>
      </c>
      <c r="E148" s="13">
        <v>42929.922835648147</v>
      </c>
      <c r="F148" s="13">
        <v>42929.938020833331</v>
      </c>
      <c r="G148" s="7">
        <v>1</v>
      </c>
      <c r="H148" s="21" t="s">
        <v>933</v>
      </c>
      <c r="I148" s="13">
        <v>42929.964097222219</v>
      </c>
      <c r="J148" s="7">
        <v>1</v>
      </c>
      <c r="K148" s="89" t="str">
        <f>IF(ISEVEN(B148),(B148-1)&amp;"/"&amp;B148,B148&amp;"/"&amp;(B148+1))</f>
        <v>4013/4014</v>
      </c>
      <c r="L148" s="21" t="str">
        <f>VLOOKUP(A148,'Trips&amp;Operators'!$C$1:$G$99999,5,FALSE)</f>
        <v>FORTUNATO FRANK</v>
      </c>
      <c r="M148" s="6">
        <f>I148-F148</f>
        <v>2.6076388887304347E-2</v>
      </c>
      <c r="N148" s="7">
        <f>24*60*SUM($M148:$M148)</f>
        <v>37.54999999771826</v>
      </c>
      <c r="O148" s="7"/>
      <c r="P148" s="7"/>
      <c r="Q148" s="22"/>
      <c r="R148" s="170"/>
      <c r="S148" s="213">
        <f>1/IF(AG148="EC",12,1)*SUM(U148:U148)</f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-13T21:08:53-0600',mode:absolute,to:'2017-07-14T00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4.4200000000000003E-2</v>
      </c>
      <c r="Z148" s="197">
        <f>RIGHT(H148,LEN(H148)-4)/10000</f>
        <v>23.3307</v>
      </c>
      <c r="AA148" s="197">
        <f>ABS(Z148-Y148)</f>
        <v>23.2865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/stypes="app*4014*20170714*" /stext=" 05:.+((SYSTEM_STATE.+slice.+state.+changed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4"/>
        <v>"%USERPROFILE%\Documents\GitHub\eaglep3\Utilities\RefineRTDCRunTimes.py" --tripid 235-13 --locoid 4014 --swversion DE.1.0.9.0 --startMP 204:442 --initTime 2017-07-13T22:08:53 --startdatetime 2017-07-13T22:30:45 --delay 1 --endMP 204:233307 --enddatetime 2017-07-13T23:08:18 --enforcementcount 1 &gt;&gt;C:\Users\stu\Documents\GitHub\eaglep3-reporting\EC\2017-07-13-refined-times.txt</v>
      </c>
      <c r="AI148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{"issue":{"subject":"","project_id":79,"tracker_id":40,"status_id":1,"priority_id":2,"assigned_to_id":23,"start_date":"2017-07-13","description":"","custom_fields":[{"id":1,"name":"Subdivision","value":"EC"},{"id":4,"name":"Milepost","value":"23.3307"},{"id":17,"name":"Train ID","value":"235-13"},{"id":16,"name":"Locomotive ID","value":"4014"},{"id":130,"name":"Impact","value":""},{"id":150,"name":"Time of Event (Mountain Time)","value":"23:08:18"},{"id":151,"name":"Denver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6"/>
        <v>start /low /b %USERPROFILE%\Documents\GitHub\eaglep3\Utilities\DownloadLogsFromS3.py --loco 4014 --day 2017-07-13</v>
      </c>
      <c r="AN148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05:08:18"},{"id":29,"name":"Sharepoint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847</v>
      </c>
      <c r="B149" s="7">
        <v>4013</v>
      </c>
      <c r="C149" s="21" t="s">
        <v>199</v>
      </c>
      <c r="D149" s="21" t="s">
        <v>591</v>
      </c>
      <c r="E149" s="13">
        <v>42929.965509259258</v>
      </c>
      <c r="F149" s="13">
        <v>42929.97724537037</v>
      </c>
      <c r="G149" s="7">
        <v>1</v>
      </c>
      <c r="H149" s="21" t="s">
        <v>354</v>
      </c>
      <c r="I149" s="13">
        <v>42930.005219907405</v>
      </c>
      <c r="J149" s="7">
        <v>1</v>
      </c>
      <c r="K149" s="89" t="str">
        <f>IF(ISEVEN(B149),(B149-1)&amp;"/"&amp;B149,B149&amp;"/"&amp;(B149+1))</f>
        <v>4013/4014</v>
      </c>
      <c r="L149" s="21" t="str">
        <f>VLOOKUP(A149,'Trips&amp;Operators'!$C$1:$G$99999,5,FALSE)</f>
        <v>FORTUNATO FRANK</v>
      </c>
      <c r="M149" s="6">
        <f>I149-F149</f>
        <v>2.7974537035333924E-2</v>
      </c>
      <c r="N149" s="7">
        <f>24*60*SUM($M149:$M149)</f>
        <v>40.283333330880851</v>
      </c>
      <c r="O149" s="7"/>
      <c r="P149" s="7"/>
      <c r="Q149" s="22"/>
      <c r="R149" s="170"/>
      <c r="S149" s="213">
        <f>1/IF(AG149="EC",12,1)*SUM(U149:U149)</f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-13T22:10:20-0600',mode:absolute,to:'2017-07-14T01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23.299199999999999</v>
      </c>
      <c r="Z149" s="197">
        <f>RIGHT(H149,LEN(H149)-4)/10000</f>
        <v>1.47E-2</v>
      </c>
      <c r="AA149" s="197">
        <f>ABS(Z149-Y149)</f>
        <v>23.284499999999998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/stypes="app*4013*20170714*" /stext=" 06:.+((SYSTEM_STATE.+slice.+state.+changed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4"/>
        <v>"%USERPROFILE%\Documents\GitHub\eaglep3\Utilities\RefineRTDCRunTimes.py" --tripid 236-13 --locoid 4013 --swversion DE.1.0.9.0 --startMP 204:232992 --initTime 2017-07-13T23:10:20 --startdatetime 2017-07-13T23:27:14 --delay 1 --endMP 204:147 --enddatetime 2017-07-14T00:07:31 --enforcementcount 1 &gt;&gt;C:\Users\stu\Documents\GitHub\eaglep3-reporting\EC\2017-07-13-refined-times.txt</v>
      </c>
      <c r="AI149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ID","value":"236-13"},{"id":16,"name":"Locomotive ID","value":"4013"},{"id":130,"name":"Impact","value":""},{"id":150,"name":"Time of Event (Mountain Time)","value":"00:07:31"},{"id":151,"name":"Denver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6"/>
        <v>start /low /b %USERPROFILE%\Documents\GitHub\eaglep3\Utilities\DownloadLogsFromS3.py --loco 4013 --day 2017-07-13</v>
      </c>
      <c r="AN149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06:07:31"},{"id":29,"name":"Sharepoint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661</v>
      </c>
      <c r="B150" s="7">
        <v>4062</v>
      </c>
      <c r="C150" s="21" t="s">
        <v>199</v>
      </c>
      <c r="D150" s="21" t="s">
        <v>934</v>
      </c>
      <c r="E150" s="13">
        <v>42929.953483796293</v>
      </c>
      <c r="F150" s="13">
        <v>42929.95894675926</v>
      </c>
      <c r="G150" s="7">
        <v>8</v>
      </c>
      <c r="H150" s="21" t="s">
        <v>593</v>
      </c>
      <c r="I150" s="13">
        <v>42929.984965277778</v>
      </c>
      <c r="J150" s="7">
        <v>1</v>
      </c>
      <c r="K150" s="89" t="str">
        <f>IF(ISEVEN(B150),(B150-1)&amp;"/"&amp;B150,B150&amp;"/"&amp;(B150+1))</f>
        <v>4061/4062</v>
      </c>
      <c r="L150" s="21" t="str">
        <f>VLOOKUP(A150,'Trips&amp;Operators'!$C$1:$G$99999,5,FALSE)</f>
        <v>BIRENBAUM THOMAS</v>
      </c>
      <c r="M150" s="6">
        <f>I150-F150</f>
        <v>2.6018518517958E-2</v>
      </c>
      <c r="N150" s="7">
        <f>24*60*SUM($M150:$M150)</f>
        <v>37.46666666585952</v>
      </c>
      <c r="O150" s="7"/>
      <c r="P150" s="7"/>
      <c r="Q150" s="22"/>
      <c r="R150" s="170"/>
      <c r="S150" s="213">
        <f>1/IF(AG150="EC",12,1)*SUM(U150:U150)</f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-13T21:53:01-0600',mode:absolute,to:'2017-07-14T00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0.13900000000000001</v>
      </c>
      <c r="Z150" s="197">
        <f>RIGHT(H150,LEN(H150)-4)/10000</f>
        <v>23.331800000000001</v>
      </c>
      <c r="AA150" s="197">
        <f>ABS(Z150-Y150)</f>
        <v>23.192800000000002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/stypes="app*4062*20170714*"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4"/>
        <v>"%USERPROFILE%\Documents\GitHub\eaglep3\Utilities\RefineRTDCRunTimes.py" --tripid 237-13 --locoid 4062 --swversion DE.1.0.9.0 --startMP 204:1390 --initTime 2017-07-13T22:53:01 --startdatetime 2017-07-13T23:00:53 --delay 8 --endMP 204:233318 --enddatetime 2017-07-13T23:38:21 --enforcementcount 1 &gt;&gt;C:\Users\stu\Documents\GitHub\eaglep3-reporting\EC\2017-07-13-refined-times.txt</v>
      </c>
      <c r="AI150" s="96" t="str">
        <f t="shared" si="15"/>
        <v>echo {"issue":{"subject":"","project_id":79,"tracker_id":40,"status_id":1,"priority_id":2,"assigned_to_id":23,"start_date":"2017-07-13","description":"","custom_fields":[{"id":1,"name":"Subdivision","value":"EC"},{"id":4,"name":"Milepost","value":"23.3318"},{"id":17,"name":"Train ID","value":"237-13"},{"id":16,"name":"Locomotive ID","value":"4062"},{"id":130,"name":"Impact","value":""},{"id":150,"name":"Time of Event (Mountain Time)","value":"23:38:21"},{"id":151,"name":"Denver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6"/>
        <v>start /low /b %USERPROFILE%\Documents\GitHub\eaglep3\Utilities\DownloadLogsFromS3.py --loco 4062 --day 2017-07-13</v>
      </c>
      <c r="AN150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05:38:21"},{"id":29,"name":"Sharepoint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850</v>
      </c>
      <c r="B151" s="7">
        <v>4061</v>
      </c>
      <c r="C151" s="21" t="s">
        <v>199</v>
      </c>
      <c r="D151" s="21" t="s">
        <v>534</v>
      </c>
      <c r="E151" s="13">
        <v>42929.994131944448</v>
      </c>
      <c r="F151" s="13">
        <v>42929.998067129629</v>
      </c>
      <c r="G151" s="7">
        <v>2</v>
      </c>
      <c r="H151" s="21" t="s">
        <v>345</v>
      </c>
      <c r="I151" s="13">
        <v>42930.024062500001</v>
      </c>
      <c r="J151" s="7">
        <v>1</v>
      </c>
      <c r="K151" s="89" t="str">
        <f>IF(ISEVEN(B151),(B151-1)&amp;"/"&amp;B151,B151&amp;"/"&amp;(B151+1))</f>
        <v>4061/4062</v>
      </c>
      <c r="L151" s="21" t="str">
        <f>VLOOKUP(A151,'Trips&amp;Operators'!$C$1:$G$99999,5,FALSE)</f>
        <v>BIRENBAUM THOMAS</v>
      </c>
      <c r="M151" s="6">
        <f>I151-F151</f>
        <v>2.5995370371674653E-2</v>
      </c>
      <c r="N151" s="7">
        <f>24*60*SUM($M151:$M151)</f>
        <v>37.433333335211501</v>
      </c>
      <c r="O151" s="7"/>
      <c r="P151" s="7"/>
      <c r="Q151" s="22"/>
      <c r="R151" s="170"/>
      <c r="S151" s="213">
        <f>1/IF(AG151="EC",12,1)*SUM(U151:U151)</f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-13T22:51:33-0600',mode:absolute,to:'2017-07-14T01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1" s="197" t="str">
        <f>IF(AA151&lt;VLOOKUP(AG151,Variables!$AC$3:$AD$8,2,FALSE),"Y","N")</f>
        <v>N</v>
      </c>
      <c r="X151" s="197">
        <f t="shared" ref="X151:X152" si="18">VALUE(LEFT(AD151,4))-VALUE(LEFT(AD150,4))</f>
        <v>1</v>
      </c>
      <c r="Y151" s="197">
        <f>RIGHT(D151,LEN(D151)-4)/10000</f>
        <v>23.298400000000001</v>
      </c>
      <c r="Z151" s="197">
        <f>RIGHT(H151,LEN(H151)-4)/10000</f>
        <v>1.43E-2</v>
      </c>
      <c r="AA151" s="197">
        <f>ABS(Z151-Y151)</f>
        <v>23.284100000000002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/stypes="app*4061*20170714*"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4"/>
        <v>"%USERPROFILE%\Documents\GitHub\eaglep3\Utilities\RefineRTDCRunTimes.py" --tripid 238-13 --locoid 4061 --swversion DE.1.0.9.0 --startMP 204:232984 --initTime 2017-07-13T23:51:33 --startdatetime 2017-07-13T23:57:13 --delay 2 --endMP 204:143 --enddatetime 2017-07-14T00:34:39 --enforcementcount 1 &gt;&gt;C:\Users\stu\Documents\GitHub\eaglep3-reporting\EC\2017-07-13-refined-times.txt</v>
      </c>
      <c r="AI151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{"issue":{"subject":"","project_id":79,"tracker_id":40,"status_id":1,"priority_id":2,"assigned_to_id":23,"start_date":"2017-07-14","description":"","custom_fields":[{"id":1,"name":"Subdivision","value":"EC"},{"id":4,"name":"Milepost","value":"0.0143"},{"id":17,"name":"Train ID","value":"238-13"},{"id":16,"name":"Locomotive ID","value":"4061"},{"id":130,"name":"Impact","value":""},{"id":150,"name":"Time of Event (Mountain Time)","value":"00:34:39"},{"id":151,"name":"Denver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6"/>
        <v>start /low /b %USERPROFILE%\Documents\GitHub\eaglep3\Utilities\DownloadLogsFromS3.py --loco 4061 --day 2017-07-13</v>
      </c>
      <c r="AN151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848</v>
      </c>
      <c r="B152" s="7">
        <v>4028</v>
      </c>
      <c r="C152" s="21" t="s">
        <v>199</v>
      </c>
      <c r="D152" s="21" t="s">
        <v>925</v>
      </c>
      <c r="E152" s="13">
        <v>42929.970092592594</v>
      </c>
      <c r="F152" s="13">
        <v>42929.979699074072</v>
      </c>
      <c r="G152" s="7">
        <v>1</v>
      </c>
      <c r="H152" s="21" t="s">
        <v>935</v>
      </c>
      <c r="I152" s="13">
        <v>42930.005648148152</v>
      </c>
      <c r="J152" s="7">
        <v>1</v>
      </c>
      <c r="K152" s="89" t="str">
        <f>IF(ISEVEN(B152),(B152-1)&amp;"/"&amp;B152,B152&amp;"/"&amp;(B152+1))</f>
        <v>4027/4028</v>
      </c>
      <c r="L152" s="21" t="str">
        <f>VLOOKUP(A152,'Trips&amp;Operators'!$C$1:$G$99999,5,FALSE)</f>
        <v>ELBAUM MIKE</v>
      </c>
      <c r="M152" s="6">
        <f>I152-F152</f>
        <v>2.5949074079107959E-2</v>
      </c>
      <c r="N152" s="7">
        <f>24*60*SUM($M152:$M152)</f>
        <v>37.366666673915461</v>
      </c>
      <c r="O152" s="7"/>
      <c r="P152" s="7"/>
      <c r="Q152" s="22"/>
      <c r="R152" s="170"/>
      <c r="S152" s="213">
        <f>1/IF(AG152="EC",12,1)*SUM(U152:U152)</f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-13T22:16:56-0600',mode:absolute,to:'2017-07-14T01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7" t="str">
        <f>IF(AA152&lt;VLOOKUP(AG152,Variables!$AC$3:$AD$8,2,FALSE),"Y","N")</f>
        <v>N</v>
      </c>
      <c r="X152" s="197">
        <f t="shared" si="18"/>
        <v>1</v>
      </c>
      <c r="Y152" s="197">
        <f>RIGHT(D152,LEN(D152)-4)/10000</f>
        <v>4.24E-2</v>
      </c>
      <c r="Z152" s="197">
        <f>RIGHT(H152,LEN(H152)-4)/10000</f>
        <v>23.3263</v>
      </c>
      <c r="AA152" s="197">
        <f>ABS(Z152-Y152)</f>
        <v>23.283899999999999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/stypes="app*4028*20170714*" /stext=" 06:.+((SYSTEM_STATE.+slice.+state.+changed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4"/>
        <v>"%USERPROFILE%\Documents\GitHub\eaglep3\Utilities\RefineRTDCRunTimes.py" --tripid 239-13 --locoid 4028 --swversion DE.1.0.9.0 --startMP 204:424 --initTime 2017-07-13T23:16:56 --startdatetime 2017-07-13T23:30:46 --delay 1 --endMP 204:233263 --enddatetime 2017-07-14T00:08:08 --enforcementcount 1 &gt;&gt;C:\Users\stu\Documents\GitHub\eaglep3-reporting\EC\2017-07-13-refined-times.txt</v>
      </c>
      <c r="AI152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{"issue":{"subject":"","project_id":79,"tracker_id":40,"status_id":1,"priority_id":2,"assigned_to_id":23,"start_date":"2017-07-14","description":"","custom_fields":[{"id":1,"name":"Subdivision","value":"EC"},{"id":4,"name":"Milepost","value":"23.3263"},{"id":17,"name":"Train ID","value":"239-13"},{"id":16,"name":"Locomotive ID","value":"4028"},{"id":130,"name":"Impact","value":""},{"id":150,"name":"Time of Event (Mountain Time)","value":"00:08:08"},{"id":151,"name":"Denver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6"/>
        <v>start /low /b %USERPROFILE%\Documents\GitHub\eaglep3\Utilities\DownloadLogsFromS3.py --loco 4028 --day 2017-07-13</v>
      </c>
      <c r="AN152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06:08:08"},{"id":29,"name":"Sharepoint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852</v>
      </c>
      <c r="B153" s="7">
        <v>4027</v>
      </c>
      <c r="C153" s="21" t="s">
        <v>199</v>
      </c>
      <c r="D153" s="21" t="s">
        <v>444</v>
      </c>
      <c r="E153" s="13">
        <v>42930.008229166669</v>
      </c>
      <c r="F153" s="13">
        <v>42930.019050925926</v>
      </c>
      <c r="G153" s="7">
        <v>1</v>
      </c>
      <c r="H153" s="21" t="s">
        <v>354</v>
      </c>
      <c r="I153" s="13">
        <v>42930.0469212963</v>
      </c>
      <c r="J153" s="7">
        <v>1</v>
      </c>
      <c r="K153" s="89" t="str">
        <f>IF(ISEVEN(B153),(B153-1)&amp;"/"&amp;B153,B153&amp;"/"&amp;(B153+1))</f>
        <v>4027/4028</v>
      </c>
      <c r="L153" s="21" t="str">
        <f>VLOOKUP(A153,'Trips&amp;Operators'!$C$1:$G$99999,5,FALSE)</f>
        <v>ELBAUM MIKE</v>
      </c>
      <c r="M153" s="6">
        <f>I153-F153</f>
        <v>2.7870370373420883E-2</v>
      </c>
      <c r="N153" s="7">
        <f>24*60*SUM($M153:$M153)</f>
        <v>40.133333337726071</v>
      </c>
      <c r="O153" s="7"/>
      <c r="P153" s="7"/>
      <c r="Q153" s="22"/>
      <c r="R153" s="170"/>
      <c r="S153" s="213">
        <f>1/IF(AG153="EC",12,1)*SUM(U153:U153)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-13T23:11:51-0600',mode:absolute,to:'2017-07-14T02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23.2971</v>
      </c>
      <c r="Z153" s="197">
        <f>RIGHT(H153,LEN(H153)-4)/10000</f>
        <v>1.47E-2</v>
      </c>
      <c r="AA153" s="197">
        <f>ABS(Z153-Y153)</f>
        <v>23.282399999999999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 &amp; aws s3 cp s3://rtdc.mdm.uploadarchive.raw/RTDC4027/ "%USERPROFILE%\AppData\Local\Temp\OnboardLogs"\RTDC4027\2017-07-15 --exclude "*" --recursive --include "*20170715*" &amp; "%USERPROFILE%\Documents\GitHub\mrs-test-scripts\Headless Mode &amp; Sideloading\WalkAndUnGZ.bat" "%USERPROFILE%\AppData\Local\Temp\OnboardLogs"\RTDC4027\2017-07-15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/stypes="app*4027*20170714*" /stext=" 07:.+((SYSTEM_STATE.+slice.+state.+changed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4"/>
        <v>"%USERPROFILE%\Documents\GitHub\eaglep3\Utilities\RefineRTDCRunTimes.py" --tripid 240-13 --locoid 4027 --swversion DE.1.0.9.0 --startMP 204:232971 --initTime 2017-07-14T00:11:51 --startdatetime 2017-07-14T00:27:26 --delay 1 --endMP 204:147 --enddatetime 2017-07-14T01:07:34 --enforcementcount 1 &gt;&gt;C:\Users\stu\Documents\GitHub\eaglep3-reporting\EC\2017-07-13-refined-times.txt</v>
      </c>
      <c r="AI153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{"issue":{"subject":"","project_id":79,"tracker_id":40,"status_id":1,"priority_id":2,"assigned_to_id":23,"start_date":"2017-07-14","description":"","custom_fields":[{"id":1,"name":"Subdivision","value":"EC"},{"id":4,"name":"Milepost","value":"0.0147"},{"id":17,"name":"Train ID","value":"240-13"},{"id":16,"name":"Locomotive ID","value":"4027"},{"id":130,"name":"Impact","value":""},{"id":150,"name":"Time of Event (Mountain Time)","value":"01:07:34"},{"id":151,"name":"Denver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16"/>
        <v>start /low /b %USERPROFILE%\Documents\GitHub\eaglep3\Utilities\DownloadLogsFromS3.py --loco 4027 --day 2017-07-14</v>
      </c>
      <c r="AN153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07:07:34"},{"id":29,"name":"Sharepoint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849</v>
      </c>
      <c r="B154" s="7">
        <v>4042</v>
      </c>
      <c r="C154" s="21" t="s">
        <v>199</v>
      </c>
      <c r="D154" s="21" t="s">
        <v>495</v>
      </c>
      <c r="E154" s="13">
        <v>42929.985717592594</v>
      </c>
      <c r="F154" s="13">
        <v>42930.000601851854</v>
      </c>
      <c r="G154" s="7">
        <v>1</v>
      </c>
      <c r="H154" s="21" t="s">
        <v>443</v>
      </c>
      <c r="I154" s="13">
        <v>42930.028067129628</v>
      </c>
      <c r="J154" s="7">
        <v>1</v>
      </c>
      <c r="K154" s="89" t="str">
        <f>IF(ISEVEN(B154),(B154-1)&amp;"/"&amp;B154,B154&amp;"/"&amp;(B154+1))</f>
        <v>4041/4042</v>
      </c>
      <c r="L154" s="21" t="str">
        <f>VLOOKUP(A154,'Trips&amp;Operators'!$C$1:$G$99999,5,FALSE)</f>
        <v>PERKINS DARREN</v>
      </c>
      <c r="M154" s="6">
        <f>I154-F154</f>
        <v>2.7465277773444541E-2</v>
      </c>
      <c r="N154" s="7">
        <f>24*60*SUM($M154:$M154)</f>
        <v>39.549999993760139</v>
      </c>
      <c r="O154" s="7"/>
      <c r="P154" s="7"/>
      <c r="Q154" s="22"/>
      <c r="R154" s="170"/>
      <c r="S154" s="213">
        <f>1/IF(AG154="EC",12,1)*SUM(U154:U154)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-13T22:39:26-0600',mode:absolute,to:'2017-07-14T01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4.6399999999999997E-2</v>
      </c>
      <c r="Z154" s="197">
        <f>RIGHT(H154,LEN(H154)-4)/10000</f>
        <v>23.330100000000002</v>
      </c>
      <c r="AA154" s="197">
        <f>ABS(Z154-Y154)</f>
        <v>23.283700000000003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 &amp; aws s3 cp s3://rtdc.mdm.uploadarchive.raw/RTDC4042/ "%USERPROFILE%\AppData\Local\Temp\OnboardLogs"\RTDC4042\2017-07-15 --exclude "*" --recursive --include "*20170715*" &amp; "%USERPROFILE%\Documents\GitHub\mrs-test-scripts\Headless Mode &amp; Sideloading\WalkAndUnGZ.bat" "%USERPROFILE%\AppData\Local\Temp\OnboardLogs"\RTDC4042\2017-07-15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/stypes="app*4042*20170714*"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4"/>
        <v>"%USERPROFILE%\Documents\GitHub\eaglep3\Utilities\RefineRTDCRunTimes.py" --tripid 241-13 --locoid 4042 --swversion DE.1.0.9.0 --startMP 204:464 --initTime 2017-07-13T23:39:26 --startdatetime 2017-07-14T00:00:52 --delay 1 --endMP 204:233301 --enddatetime 2017-07-14T00:40:25 --enforcementcount 1 &gt;&gt;C:\Users\stu\Documents\GitHub\eaglep3-reporting\EC\2017-07-13-refined-times.txt</v>
      </c>
      <c r="AI154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{"issue":{"subject":"","project_id":79,"tracker_id":40,"status_id":1,"priority_id":2,"assigned_to_id":23,"start_date":"2017-07-14","description":"","custom_fields":[{"id":1,"name":"Subdivision","value":"EC"},{"id":4,"name":"Milepost","value":"23.3301"},{"id":17,"name":"Train ID","value":"241-13"},{"id":16,"name":"Locomotive ID","value":"4042"},{"id":130,"name":"Impact","value":""},{"id":150,"name":"Time of Event (Mountain Time)","value":"00:40:25"},{"id":151,"name":"Denver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16"/>
        <v>start /low /b %USERPROFILE%\Documents\GitHub\eaglep3\Utilities\DownloadLogsFromS3.py --loco 4042 --day 2017-07-14</v>
      </c>
      <c r="AN154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06:40:25"},{"id":29,"name":"Sharepoint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662</v>
      </c>
      <c r="B155" s="7">
        <v>4041</v>
      </c>
      <c r="C155" s="21" t="s">
        <v>199</v>
      </c>
      <c r="D155" s="21" t="s">
        <v>591</v>
      </c>
      <c r="E155" s="13">
        <v>42930.035081018519</v>
      </c>
      <c r="F155" s="13">
        <v>42930.03979166667</v>
      </c>
      <c r="G155" s="7">
        <v>1</v>
      </c>
      <c r="H155" s="21" t="s">
        <v>401</v>
      </c>
      <c r="I155" s="13">
        <v>42930.068437499998</v>
      </c>
      <c r="J155" s="7">
        <v>1</v>
      </c>
      <c r="K155" s="89" t="str">
        <f>IF(ISEVEN(B155),(B155-1)&amp;"/"&amp;B155,B155&amp;"/"&amp;(B155+1))</f>
        <v>4041/4042</v>
      </c>
      <c r="L155" s="21" t="str">
        <f>VLOOKUP(A155,'Trips&amp;Operators'!$C$1:$G$99999,5,FALSE)</f>
        <v>PERKINS DARREN</v>
      </c>
      <c r="M155" s="6">
        <f>I155-F155</f>
        <v>2.8645833328482695E-2</v>
      </c>
      <c r="N155" s="7">
        <f>24*60*SUM($M155:$M155)</f>
        <v>41.249999993015081</v>
      </c>
      <c r="O155" s="7"/>
      <c r="P155" s="7"/>
      <c r="Q155" s="22"/>
      <c r="R155" s="170"/>
      <c r="S155" s="213">
        <f>1/IF(AG155="EC",12,1)*SUM(U155:U155)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-13T23:50:31-0600',mode:absolute,to:'2017-07-14T02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23.299199999999999</v>
      </c>
      <c r="Z155" s="197">
        <f>RIGHT(H155,LEN(H155)-4)/10000</f>
        <v>1.38E-2</v>
      </c>
      <c r="AA155" s="197">
        <f>ABS(Z155-Y155)</f>
        <v>23.285399999999999</v>
      </c>
      <c r="AB155" s="54" t="str">
        <f>VLOOKUP(A155,Enforcements!$C$7:$K$13,8,0)</f>
        <v>Bulletin (2)</v>
      </c>
      <c r="AC155" s="51" t="str">
        <f>VLOOKUP(A155,Enforcements!$C$7:$E$13,3,0)</f>
        <v>GRADE CROSSING</v>
      </c>
      <c r="AD155" s="206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 &amp; aws s3 cp s3://rtdc.mdm.uploadarchive.raw/RTDC4041/ "%USERPROFILE%\AppData\Local\Temp\OnboardLogs"\RTDC4041\2017-07-15 --exclude "*" --recursive --include "*20170715*" &amp; "%USERPROFILE%\Documents\GitHub\mrs-test-scripts\Headless Mode &amp; Sideloading\WalkAndUnGZ.bat" "%USERPROFILE%\AppData\Local\Temp\OnboardLogs"\RTDC4041\2017-07-15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/stypes="app*4041*20170714*"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4"/>
        <v>"%USERPROFILE%\Documents\GitHub\eaglep3\Utilities\RefineRTDCRunTimes.py" --tripid 242-13 --locoid 4041 --swversion DE.1.0.9.0 --startMP 204:232992 --initTime 2017-07-14T00:50:31 --startdatetime 2017-07-14T00:57:18 --delay 1 --endMP 204:138 --enddatetime 2017-07-14T01:38:33 --enforcementcount 1 &gt;&gt;C:\Users\stu\Documents\GitHub\eaglep3-reporting\EC\2017-07-13-refined-times.txt</v>
      </c>
      <c r="AI155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{"issue":{"subject":"","project_id":79,"tracker_id":40,"status_id":1,"priority_id":2,"assigned_to_id":23,"start_date":"2017-07-14","description":"","custom_fields":[{"id":1,"name":"Subdivision","value":"EC"},{"id":4,"name":"Milepost","value":"0.0138"},{"id":17,"name":"Train ID","value":"242-13"},{"id":16,"name":"Locomotive ID","value":"4041"},{"id":130,"name":"Impact","value":""},{"id":150,"name":"Time of Event (Mountain Time)","value":"01:38:33"},{"id":151,"name":"Denver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6"/>
        <v>start /low /b %USERPROFILE%\Documents\GitHub\eaglep3\Utilities\DownloadLogsFromS3.py --loco 4041 --day 2017-07-14</v>
      </c>
      <c r="AN155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07:38:33"},{"id":29,"name":"Sharepoint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851</v>
      </c>
      <c r="B156" s="7">
        <v>4014</v>
      </c>
      <c r="C156" s="21" t="s">
        <v>199</v>
      </c>
      <c r="D156" s="21" t="s">
        <v>342</v>
      </c>
      <c r="E156" s="13">
        <v>42930.006747685184</v>
      </c>
      <c r="F156" s="13">
        <v>42930.021481481483</v>
      </c>
      <c r="G156" s="7">
        <v>1</v>
      </c>
      <c r="H156" s="21" t="s">
        <v>580</v>
      </c>
      <c r="I156" s="13">
        <v>42930.047696759262</v>
      </c>
      <c r="J156" s="7">
        <v>1</v>
      </c>
      <c r="K156" s="89" t="str">
        <f>IF(ISEVEN(B156),(B156-1)&amp;"/"&amp;B156,B156&amp;"/"&amp;(B156+1))</f>
        <v>4013/4014</v>
      </c>
      <c r="L156" s="21" t="str">
        <f>VLOOKUP(A156,'Trips&amp;Operators'!$C$1:$G$99999,5,FALSE)</f>
        <v>FORTUNATO FRANK</v>
      </c>
      <c r="M156" s="6">
        <f>I156-F156</f>
        <v>2.6215277779556345E-2</v>
      </c>
      <c r="N156" s="7">
        <f>24*60*SUM($M156:$M156)</f>
        <v>37.750000002561137</v>
      </c>
      <c r="O156" s="7"/>
      <c r="P156" s="7"/>
      <c r="Q156" s="22"/>
      <c r="R156" s="170"/>
      <c r="S156" s="213">
        <f>1/IF(AG156="EC",12,1)*SUM(U156:U156)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-13T23:09:43-0600',mode:absolute,to:'2017-07-14T02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4.4600000000000001E-2</v>
      </c>
      <c r="Z156" s="197">
        <f>RIGHT(H156,LEN(H156)-4)/10000</f>
        <v>23.330300000000001</v>
      </c>
      <c r="AA156" s="197">
        <f>ABS(Z156-Y156)</f>
        <v>23.285700000000002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/stypes="app*4014*20170714*" /stext=" 07:.+((SYSTEM_STATE.+slice.+state.+changed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4"/>
        <v>"%USERPROFILE%\Documents\GitHub\eaglep3\Utilities\RefineRTDCRunTimes.py" --tripid 243-13 --locoid 4014 --swversion DE.1.0.9.0 --startMP 204:446 --initTime 2017-07-14T00:09:43 --startdatetime 2017-07-14T00:30:56 --delay 1 --endMP 204:233303 --enddatetime 2017-07-14T01:08:41 --enforcementcount 1 &gt;&gt;C:\Users\stu\Documents\GitHub\eaglep3-reporting\EC\2017-07-13-refined-times.txt</v>
      </c>
      <c r="AI156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{"issue":{"subject":"","project_id":79,"tracker_id":40,"status_id":1,"priority_id":2,"assigned_to_id":23,"start_date":"2017-07-14","description":"","custom_fields":[{"id":1,"name":"Subdivision","value":"EC"},{"id":4,"name":"Milepost","value":"23.3303"},{"id":17,"name":"Train ID","value":"243-13"},{"id":16,"name":"Locomotive ID","value":"4014"},{"id":130,"name":"Impact","value":""},{"id":150,"name":"Time of Event (Mountain Time)","value":"01:08:41"},{"id":151,"name":"Denver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16"/>
        <v>start /low /b %USERPROFILE%\Documents\GitHub\eaglep3\Utilities\DownloadLogsFromS3.py --loco 4014 --day 2017-07-14</v>
      </c>
      <c r="AN156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07:08:41"},{"id":29,"name":"Sharepoint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855</v>
      </c>
      <c r="B157" s="7">
        <v>4013</v>
      </c>
      <c r="C157" s="21" t="s">
        <v>199</v>
      </c>
      <c r="D157" s="21" t="s">
        <v>584</v>
      </c>
      <c r="E157" s="13">
        <v>42930.049351851849</v>
      </c>
      <c r="F157" s="13">
        <v>42930.060590277775</v>
      </c>
      <c r="G157" s="7">
        <v>1</v>
      </c>
      <c r="H157" s="21" t="s">
        <v>430</v>
      </c>
      <c r="I157" s="13">
        <v>42930.087268518517</v>
      </c>
      <c r="J157" s="7">
        <v>1</v>
      </c>
      <c r="K157" s="89" t="str">
        <f>IF(ISEVEN(B157),(B157-1)&amp;"/"&amp;B157,B157&amp;"/"&amp;(B157+1))</f>
        <v>4013/4014</v>
      </c>
      <c r="L157" s="21" t="str">
        <f>VLOOKUP(A157,'Trips&amp;Operators'!$C$1:$G$99999,5,FALSE)</f>
        <v>FORTUNATO FRANK</v>
      </c>
      <c r="M157" s="6">
        <f>I157-F157</f>
        <v>2.6678240741603076E-2</v>
      </c>
      <c r="N157" s="7">
        <f>24*60*SUM($M157:$M157)</f>
        <v>38.41666666790843</v>
      </c>
      <c r="O157" s="7"/>
      <c r="P157" s="7"/>
      <c r="Q157" s="22"/>
      <c r="R157" s="170"/>
      <c r="S157" s="213">
        <f>1/IF(AG157="EC",12,1)*SUM(U157:U157)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-14T00:11:04-0600',mode:absolute,to:'2017-07-14T03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23.298999999999999</v>
      </c>
      <c r="Z157" s="197">
        <f>RIGHT(H157,LEN(H157)-4)/10000</f>
        <v>1.6E-2</v>
      </c>
      <c r="AA157" s="197">
        <f>ABS(Z157-Y157)</f>
        <v>23.283000000000001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 &amp; aws s3 cp s3://rtdc.mdm.uploadarchive.raw/RTDC4013/ "%USERPROFILE%\AppData\Local\Temp\OnboardLogs"\RTDC4013\2017-07-15 --exclude "*" --recursive --include "*20170715*" &amp; "%USERPROFILE%\Documents\GitHub\mrs-test-scripts\Headless Mode &amp; Sideloading\WalkAndUnGZ.bat" "%USERPROFILE%\AppData\Local\Temp\OnboardLogs"\RTDC4013\2017-07-15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/stypes="app*4013*20170714*" /stext=" 08:.+((SYSTEM_STATE.+slice.+state.+changed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4"/>
        <v>"%USERPROFILE%\Documents\GitHub\eaglep3\Utilities\RefineRTDCRunTimes.py" --tripid 244-13 --locoid 4013 --swversion DE.1.0.9.0 --startMP 204:232990 --initTime 2017-07-14T01:11:04 --startdatetime 2017-07-14T01:27:15 --delay 1 --endMP 204:160 --enddatetime 2017-07-14T02:05:40 --enforcementcount 1 &gt;&gt;C:\Users\stu\Documents\GitHub\eaglep3-reporting\EC\2017-07-13-refined-times.txt</v>
      </c>
      <c r="AI157" s="96" t="str">
        <f t="shared" si="15"/>
        <v>echo {"issue":{"subject":"","project_id":79,"tracker_id":40,"status_id":1,"priority_id":2,"assigned_to_id":23,"start_date":"2017-07-14","description":"","custom_fields":[{"id":1,"name":"Subdivision","value":"EC"},{"id":4,"name":"Milepost","value":"0.016"},{"id":17,"name":"Train ID","value":"244-13"},{"id":16,"name":"Locomotive ID","value":"4013"},{"id":130,"name":"Impact","value":""},{"id":150,"name":"Time of Event (Mountain Time)","value":"02:05:40"},{"id":151,"name":"Denver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16"/>
        <v>start /low /b %USERPROFILE%\Documents\GitHub\eaglep3\Utilities\DownloadLogsFromS3.py --loco 4013 --day 2017-07-14</v>
      </c>
      <c r="AN157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682</v>
      </c>
      <c r="B158" s="7">
        <v>4015</v>
      </c>
      <c r="C158" s="21" t="s">
        <v>199</v>
      </c>
      <c r="D158" s="21" t="s">
        <v>960</v>
      </c>
      <c r="E158" s="13">
        <v>42929.213935185187</v>
      </c>
      <c r="F158" s="13">
        <v>42929.215231481481</v>
      </c>
      <c r="G158" s="7">
        <v>1</v>
      </c>
      <c r="H158" s="21" t="s">
        <v>961</v>
      </c>
      <c r="I158" s="13">
        <v>42929.226087962961</v>
      </c>
      <c r="J158" s="7">
        <v>1</v>
      </c>
      <c r="K158" s="89" t="str">
        <f>IF(ISEVEN(B158),(B158-1)&amp;"/"&amp;B158,B158&amp;"/"&amp;(B158+1))</f>
        <v>4015/4016</v>
      </c>
      <c r="L158" s="21" t="str">
        <f>VLOOKUP(A158,'Trips&amp;Operators'!$C$1:$G$99999,5,FALSE)</f>
        <v>DAVIS WENDY</v>
      </c>
      <c r="M158" s="6">
        <f>I158-F158</f>
        <v>1.0856481480004732E-2</v>
      </c>
      <c r="N158" s="7">
        <f>24*60*SUM($M158:$M158)</f>
        <v>15.633333331206813</v>
      </c>
      <c r="O158" s="7"/>
      <c r="P158" s="7"/>
      <c r="Q158" s="22"/>
      <c r="R158" s="170"/>
      <c r="S158" s="213">
        <f>1/IF(AG158="EC",12,1)*SUM(U158:U158)</f>
        <v>1</v>
      </c>
      <c r="T158" s="195" t="str">
        <f>IF(ISEVEN(LEFT(AD158,4)),"Southbound","NorthBound")</f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-13T04:08:04-0600',mode:absolute,to:'2017-07-13T06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556</v>
      </c>
      <c r="Y158" s="197">
        <f>RIGHT(D158,LEN(D158)-4)/10000</f>
        <v>5.8697999999999997</v>
      </c>
      <c r="Z158" s="197">
        <f>RIGHT(H158,LEN(H158)-4)/10000</f>
        <v>6.1199999999999997E-2</v>
      </c>
      <c r="AA158" s="197">
        <f>ABS(Z158-Y158)</f>
        <v>5.8085999999999993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/stypes="app*4015*20170713*" /stext=" 11:.+((SYSTEM_STATE.+slice.+state.+changed )|(ment ac)|(multiple cpu faults)|(system.+state.+changed )|(\[timeout)|(PRM\|1\|D)|(kpr)|(kdp)|(train st.+moving)|(\|lc)|(penalty))"</v>
      </c>
      <c r="AG158" s="209" t="str">
        <f>DetSubdiv(A158)</f>
        <v>NW</v>
      </c>
      <c r="AH158" s="78" t="str">
        <f t="shared" si="14"/>
        <v>"%USERPROFILE%\Documents\GitHub\eaglep3\Utilities\RefineRTDCRunTimes.py" --tripid 800-13 --locoid 4015 --swversion DE.1.0.9.0 --startMP 300:58698 --initTime 2017-07-13T05:08:04 --startdatetime 2017-07-13T05:09:56 --delay 1 --endMP 204:612 --enddatetime 2017-07-13T05:25:34 --enforcementcount 1 &gt;&gt;C:\Users\stu\Documents\GitHub\eaglep3-reporting\EC\2017-07-13-refined-times.txt</v>
      </c>
      <c r="AI158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{"issue":{"subject":"","project_id":79,"tracker_id":40,"status_id":1,"priority_id":2,"assigned_to_id":23,"start_date":"2017-07-13","description":"","custom_fields":[{"id":1,"name":"Subdivision","value":"NW"},{"id":4,"name":"Milepost","value":"0.0612"},{"id":17,"name":"Train ID","value":"800-13"},{"id":16,"name":"Locomotive ID","value":"4015"},{"id":130,"name":"Impact","value":""},{"id":150,"name":"Time of Event (Mountain Time)","value":"05:25:34"},{"id":151,"name":"Denver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6"/>
        <v>start /low /b %USERPROFILE%\Documents\GitHub\eaglep3\Utilities\DownloadLogsFromS3.py --loco 4015 --day 2017-07-13</v>
      </c>
      <c r="AN15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618</v>
      </c>
      <c r="B159" s="7">
        <v>4016</v>
      </c>
      <c r="C159" s="21" t="s">
        <v>199</v>
      </c>
      <c r="D159" s="21" t="s">
        <v>962</v>
      </c>
      <c r="E159" s="13">
        <v>42929.241319444445</v>
      </c>
      <c r="F159" s="13">
        <v>42929.24391203704</v>
      </c>
      <c r="G159" s="7">
        <v>1</v>
      </c>
      <c r="H159" s="21" t="s">
        <v>963</v>
      </c>
      <c r="I159" s="13">
        <v>42929.253877314812</v>
      </c>
      <c r="J159" s="7">
        <v>1</v>
      </c>
      <c r="K159" s="89" t="str">
        <f>IF(ISEVEN(B159),(B159-1)&amp;"/"&amp;B159,B159&amp;"/"&amp;(B159+1))</f>
        <v>4015/4016</v>
      </c>
      <c r="L159" s="21" t="str">
        <f>VLOOKUP(A159,'Trips&amp;Operators'!$C$1:$G$99999,5,FALSE)</f>
        <v>DAVIS WENDY</v>
      </c>
      <c r="M159" s="6">
        <f>I159-F159</f>
        <v>9.965277771698311E-3</v>
      </c>
      <c r="N159" s="7">
        <f>24*60*SUM($M159:$M159)</f>
        <v>14.349999991245568</v>
      </c>
      <c r="O159" s="7"/>
      <c r="P159" s="7"/>
      <c r="Q159" s="22"/>
      <c r="R159" s="170"/>
      <c r="S159" s="213">
        <f>1/IF(AG159="EC",12,1)*SUM(U159:U159)</f>
        <v>1</v>
      </c>
      <c r="T159" s="195" t="str">
        <f>IF(ISEVEN(LEFT(AD159,4)),"Southbound","NorthBound")</f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-13T04:47:30-0600',mode:absolute,to:'2017-07-13T07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9.0200000000000002E-2</v>
      </c>
      <c r="Z159" s="197">
        <f>RIGHT(H159,LEN(H159)-4)/10000</f>
        <v>5.9012000000000002</v>
      </c>
      <c r="AA159" s="197">
        <f>ABS(Z159-Y159)</f>
        <v>5.8109999999999999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/stypes="app*4016*20170713*" /stext=" 12:.+((SYSTEM_STATE.+slice.+state.+changed )|(ment ac)|(multiple cpu faults)|(system.+state.+changed )|(\[timeout)|(PRM\|1\|D)|(kpr)|(kdp)|(train st.+moving)|(\|lc)|(penalty))"</v>
      </c>
      <c r="AG159" s="209" t="str">
        <f>DetSubdiv(A159)</f>
        <v>NW</v>
      </c>
      <c r="AH159" s="78" t="str">
        <f t="shared" si="14"/>
        <v>"%USERPROFILE%\Documents\GitHub\eaglep3\Utilities\RefineRTDCRunTimes.py" --tripid 801-13 --locoid 4016 --swversion DE.1.0.9.0 --startMP 204:902 --initTime 2017-07-13T05:47:30 --startdatetime 2017-07-13T05:51:14 --delay 1 --endMP 300:59012 --enddatetime 2017-07-13T06:05:35 --enforcementcount 1 &gt;&gt;C:\Users\stu\Documents\GitHub\eaglep3-reporting\EC\2017-07-13-refined-times.txt</v>
      </c>
      <c r="AI159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{"issue":{"subject":"","project_id":79,"tracker_id":40,"status_id":1,"priority_id":2,"assigned_to_id":23,"start_date":"2017-07-13","description":"","custom_fields":[{"id":1,"name":"Subdivision","value":"NW"},{"id":4,"name":"Milepost","value":"5.9012"},{"id":17,"name":"Train ID","value":"801-13"},{"id":16,"name":"Locomotive ID","value":"4016"},{"id":130,"name":"Impact","value":""},{"id":150,"name":"Time of Event (Mountain Time)","value":"06:05:35"},{"id":151,"name":"Denver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16"/>
        <v>start /low /b %USERPROFILE%\Documents\GitHub\eaglep3\Utilities\DownloadLogsFromS3.py --loco 4016 --day 2017-07-13</v>
      </c>
      <c r="AN15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619</v>
      </c>
      <c r="B160" s="7">
        <v>4015</v>
      </c>
      <c r="C160" s="21" t="s">
        <v>199</v>
      </c>
      <c r="D160" s="21" t="s">
        <v>964</v>
      </c>
      <c r="E160" s="13">
        <v>42929.255150462966</v>
      </c>
      <c r="F160" s="13">
        <v>42929.256597222222</v>
      </c>
      <c r="G160" s="7">
        <v>1</v>
      </c>
      <c r="H160" s="21" t="s">
        <v>606</v>
      </c>
      <c r="I160" s="13">
        <v>42929.26761574074</v>
      </c>
      <c r="J160" s="7">
        <v>1</v>
      </c>
      <c r="K160" s="89" t="str">
        <f>IF(ISEVEN(B160),(B160-1)&amp;"/"&amp;B160,B160&amp;"/"&amp;(B160+1))</f>
        <v>4015/4016</v>
      </c>
      <c r="L160" s="21" t="str">
        <f>VLOOKUP(A160,'Trips&amp;Operators'!$C$1:$G$99999,5,FALSE)</f>
        <v>DAVIS WENDY</v>
      </c>
      <c r="M160" s="6">
        <f>I160-F160</f>
        <v>1.1018518518540077E-2</v>
      </c>
      <c r="N160" s="7">
        <f>24*60*SUM($M160:$M160)</f>
        <v>15.866666666697711</v>
      </c>
      <c r="O160" s="7"/>
      <c r="P160" s="7"/>
      <c r="Q160" s="22"/>
      <c r="R160" s="170"/>
      <c r="S160" s="213">
        <f>1/IF(AG160="EC",12,1)*SUM(U160:U160)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-13T05:07:25-0600',mode:absolute,to:'2017-07-13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1</v>
      </c>
      <c r="Y160" s="197">
        <f>RIGHT(D160,LEN(D160)-4)/10000</f>
        <v>5.8693999999999997</v>
      </c>
      <c r="Z160" s="197">
        <f>RIGHT(H160,LEN(H160)-4)/10000</f>
        <v>6.5699999999999995E-2</v>
      </c>
      <c r="AA160" s="197">
        <f>ABS(Z160-Y160)</f>
        <v>5.8037000000000001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/stypes="app*4015*20170713*" /stext=" 12:.+((SYSTEM_STATE.+slice.+state.+changed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4"/>
        <v>"%USERPROFILE%\Documents\GitHub\eaglep3\Utilities\RefineRTDCRunTimes.py" --tripid 802-13 --locoid 4015 --swversion DE.1.0.9.0 --startMP 300:58694 --initTime 2017-07-13T06:07:25 --startdatetime 2017-07-13T06:09:30 --delay 1 --endMP 204:657 --enddatetime 2017-07-13T06:25:22 --enforcementcount 1 &gt;&gt;C:\Users\stu\Documents\GitHub\eaglep3-reporting\EC\2017-07-13-refined-times.txt</v>
      </c>
      <c r="AI160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{"issue":{"subject":"","project_id":79,"tracker_id":40,"status_id":1,"priority_id":2,"assigned_to_id":23,"start_date":"2017-07-13","description":"","custom_fields":[{"id":1,"name":"Subdivision","value":"NW"},{"id":4,"name":"Milepost","value":"0.0657"},{"id":17,"name":"Train ID","value":"802-13"},{"id":16,"name":"Locomotive ID","value":"4015"},{"id":130,"name":"Impact","value":""},{"id":150,"name":"Time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6"/>
        <v>start /low /b %USERPROFILE%\Documents\GitHub\eaglep3\Utilities\DownloadLogsFromS3.py --loco 4015 --day 2017-07-13</v>
      </c>
      <c r="AN16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693</v>
      </c>
      <c r="B161" s="7">
        <v>4044</v>
      </c>
      <c r="C161" s="21" t="s">
        <v>199</v>
      </c>
      <c r="D161" s="21" t="s">
        <v>503</v>
      </c>
      <c r="E161" s="13">
        <v>42929.256574074076</v>
      </c>
      <c r="F161" s="13">
        <v>42929.264814814815</v>
      </c>
      <c r="G161" s="7">
        <v>1</v>
      </c>
      <c r="H161" s="21" t="s">
        <v>965</v>
      </c>
      <c r="I161" s="13">
        <v>42929.274050925924</v>
      </c>
      <c r="J161" s="7">
        <v>1</v>
      </c>
      <c r="K161" s="89" t="str">
        <f>IF(ISEVEN(B161),(B161-1)&amp;"/"&amp;B161,B161&amp;"/"&amp;(B161+1))</f>
        <v>4043/4044</v>
      </c>
      <c r="L161" s="21" t="str">
        <f>VLOOKUP(A161,'Trips&amp;Operators'!$C$1:$G$99999,5,FALSE)</f>
        <v>YANG JAN</v>
      </c>
      <c r="M161" s="6">
        <f>I161-F161</f>
        <v>9.2361111092031933E-3</v>
      </c>
      <c r="N161" s="7">
        <f>24*60*SUM($M161:$M161)</f>
        <v>13.299999997252598</v>
      </c>
      <c r="O161" s="7"/>
      <c r="P161" s="7"/>
      <c r="Q161" s="22"/>
      <c r="R161" s="170"/>
      <c r="S161" s="213">
        <f>1/IF(AG161="EC",12,1)*SUM(U161:U161)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-13T05:09:28-0600',mode:absolute,to:'2017-07-13T07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9.9000000000000005E-2</v>
      </c>
      <c r="Z161" s="197">
        <f>RIGHT(H161,LEN(H161)-4)/10000</f>
        <v>5.8936999999999999</v>
      </c>
      <c r="AA161" s="197">
        <f>ABS(Z161-Y161)</f>
        <v>5.7946999999999997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/stypes="app*4044*20170713*"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4"/>
        <v>"%USERPROFILE%\Documents\GitHub\eaglep3\Utilities\RefineRTDCRunTimes.py" --tripid 803-13 --locoid 4044 --swversion DE.1.0.9.0 --startMP 204:990 --initTime 2017-07-13T06:09:28 --startdatetime 2017-07-13T06:21:20 --delay 1 --endMP 300:58937 --enddatetime 2017-07-13T06:34:38 --enforcementcount 1 &gt;&gt;C:\Users\stu\Documents\GitHub\eaglep3-reporting\EC\2017-07-13-refined-times.txt</v>
      </c>
      <c r="AI161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{"issue":{"subject":"","project_id":79,"tracker_id":40,"status_id":1,"priority_id":2,"assigned_to_id":23,"start_date":"2017-07-13","description":"","custom_fields":[{"id":1,"name":"Subdivision","value":"NW"},{"id":4,"name":"Milepost","value":"5.8937"},{"id":17,"name":"Train ID","value":"803-13"},{"id":16,"name":"Locomotive ID","value":"4044"},{"id":130,"name":"Impact","value":""},{"id":150,"name":"Time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6"/>
        <v>start /low /b %USERPROFILE%\Documents\GitHub\eaglep3\Utilities\DownloadLogsFromS3.py --loco 4044 --day 2017-07-13</v>
      </c>
      <c r="AN16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697</v>
      </c>
      <c r="B162" s="7">
        <v>4043</v>
      </c>
      <c r="C162" s="21" t="s">
        <v>199</v>
      </c>
      <c r="D162" s="21" t="s">
        <v>966</v>
      </c>
      <c r="E162" s="13">
        <v>42929.275960648149</v>
      </c>
      <c r="F162" s="13">
        <v>42929.278032407405</v>
      </c>
      <c r="G162" s="7">
        <v>1</v>
      </c>
      <c r="H162" s="21" t="s">
        <v>545</v>
      </c>
      <c r="I162" s="13">
        <v>42929.288449074076</v>
      </c>
      <c r="J162" s="7">
        <v>1</v>
      </c>
      <c r="K162" s="89" t="str">
        <f>IF(ISEVEN(B162),(B162-1)&amp;"/"&amp;B162,B162&amp;"/"&amp;(B162+1))</f>
        <v>4043/4044</v>
      </c>
      <c r="L162" s="21" t="str">
        <f>VLOOKUP(A162,'Trips&amp;Operators'!$C$1:$G$99999,5,FALSE)</f>
        <v>YANG JAN</v>
      </c>
      <c r="M162" s="6">
        <f>I162-F162</f>
        <v>1.0416666671517305E-2</v>
      </c>
      <c r="N162" s="7">
        <f>24*60*SUM($M162:$M162)</f>
        <v>15.000000006984919</v>
      </c>
      <c r="O162" s="7"/>
      <c r="P162" s="7"/>
      <c r="Q162" s="22"/>
      <c r="R162" s="170"/>
      <c r="S162" s="213">
        <f>1/IF(AG162="EC",12,1)*SUM(U162:U162)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-13T05:37:23-0600',mode:absolute,to:'2017-07-13T07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5.8630000000000004</v>
      </c>
      <c r="Z162" s="197">
        <f>RIGHT(H162,LEN(H162)-4)/10000</f>
        <v>6.9199999999999998E-2</v>
      </c>
      <c r="AA162" s="197">
        <f>ABS(Z162-Y162)</f>
        <v>5.7938000000000001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/stypes="app*4043*20170713*"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4"/>
        <v>"%USERPROFILE%\Documents\GitHub\eaglep3\Utilities\RefineRTDCRunTimes.py" --tripid 804-13 --locoid 4043 --swversion DE.1.0.9.0 --startMP 300:58630 --initTime 2017-07-13T06:37:23 --startdatetime 2017-07-13T06:40:22 --delay 1 --endMP 204:692 --enddatetime 2017-07-13T06:55:22 --enforcementcount 1 &gt;&gt;C:\Users\stu\Documents\GitHub\eaglep3-reporting\EC\2017-07-13-refined-times.txt</v>
      </c>
      <c r="AI162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{"issue":{"subject":"","project_id":79,"tracker_id":40,"status_id":1,"priority_id":2,"assigned_to_id":23,"start_date":"2017-07-13","description":"","custom_fields":[{"id":1,"name":"Subdivision","value":"NW"},{"id":4,"name":"Milepost","value":"0.0692"},{"id":17,"name":"Train ID","value":"804-13"},{"id":16,"name":"Locomotive ID","value":"4043"},{"id":130,"name":"Impact","value":""},{"id":150,"name":"Time of Event (Mountain Time)","value":"06:55:22"},{"id":151,"name":"Denver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6"/>
        <v>start /low /b %USERPROFILE%\Documents\GitHub\eaglep3\Utilities\DownloadLogsFromS3.py --loco 4043 --day 2017-07-13</v>
      </c>
      <c r="AN16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621</v>
      </c>
      <c r="B163" s="7">
        <v>4016</v>
      </c>
      <c r="C163" s="21" t="s">
        <v>199</v>
      </c>
      <c r="D163" s="21" t="s">
        <v>967</v>
      </c>
      <c r="E163" s="13">
        <v>42929.283055555556</v>
      </c>
      <c r="F163" s="13">
        <v>42929.285567129627</v>
      </c>
      <c r="G163" s="7">
        <v>1</v>
      </c>
      <c r="H163" s="21" t="s">
        <v>603</v>
      </c>
      <c r="I163" s="13">
        <v>42929.295729166668</v>
      </c>
      <c r="J163" s="7">
        <v>1</v>
      </c>
      <c r="K163" s="89" t="str">
        <f>IF(ISEVEN(B163),(B163-1)&amp;"/"&amp;B163,B163&amp;"/"&amp;(B163+1))</f>
        <v>4015/4016</v>
      </c>
      <c r="L163" s="21" t="str">
        <f>VLOOKUP(A163,'Trips&amp;Operators'!$C$1:$G$99999,5,FALSE)</f>
        <v>DAVIS WENDY</v>
      </c>
      <c r="M163" s="6">
        <f>I163-F163</f>
        <v>1.0162037040572613E-2</v>
      </c>
      <c r="N163" s="7">
        <f>24*60*SUM($M163:$M163)</f>
        <v>14.633333338424563</v>
      </c>
      <c r="O163" s="7"/>
      <c r="P163" s="7"/>
      <c r="Q163" s="22"/>
      <c r="R163" s="170"/>
      <c r="S163" s="213">
        <f>1/IF(AG163="EC",12,1)*SUM(U163:U163)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-13T05:47:36-0600',mode:absolute,to:'2017-07-13T08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9.2899999999999996E-2</v>
      </c>
      <c r="Z163" s="197">
        <f>RIGHT(H163,LEN(H163)-4)/10000</f>
        <v>5.8967000000000001</v>
      </c>
      <c r="AA163" s="197">
        <f>ABS(Z163-Y163)</f>
        <v>5.8037999999999998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/stypes="app*4016*20170713*" /stext=" 13:.+((SYSTEM_STATE.+slice.+state.+changed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4"/>
        <v>"%USERPROFILE%\Documents\GitHub\eaglep3\Utilities\RefineRTDCRunTimes.py" --tripid 805-13 --locoid 4016 --swversion DE.1.0.9.0 --startMP 204:929 --initTime 2017-07-13T06:47:36 --startdatetime 2017-07-13T06:51:13 --delay 1 --endMP 300:58967 --enddatetime 2017-07-13T07:05:51 --enforcementcount 1 &gt;&gt;C:\Users\stu\Documents\GitHub\eaglep3-reporting\EC\2017-07-13-refined-times.txt</v>
      </c>
      <c r="AI163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{"issue":{"subject":"","project_id":79,"tracker_id":40,"status_id":1,"priority_id":2,"assigned_to_id":23,"start_date":"2017-07-13","description":"","custom_fields":[{"id":1,"name":"Subdivision","value":"NW"},{"id":4,"name":"Milepost","value":"5.8967"},{"id":17,"name":"Train ID","value":"805-13"},{"id":16,"name":"Locomotive ID","value":"4016"},{"id":130,"name":"Impact","value":""},{"id":150,"name":"Time of Event (Mountain Time)","value":"07:05:51"},{"id":151,"name":"Denver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6"/>
        <v>start /low /b %USERPROFILE%\Documents\GitHub\eaglep3\Utilities\DownloadLogsFromS3.py --loco 4016 --day 2017-07-13</v>
      </c>
      <c r="AN163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622</v>
      </c>
      <c r="B164" s="7">
        <v>4015</v>
      </c>
      <c r="C164" s="21" t="s">
        <v>199</v>
      </c>
      <c r="D164" s="21" t="s">
        <v>968</v>
      </c>
      <c r="E164" s="13">
        <v>42929.2966087963</v>
      </c>
      <c r="F164" s="13">
        <v>42929.297743055555</v>
      </c>
      <c r="G164" s="7">
        <v>1</v>
      </c>
      <c r="H164" s="21" t="s">
        <v>969</v>
      </c>
      <c r="I164" s="13">
        <v>42929.309930555559</v>
      </c>
      <c r="J164" s="7">
        <v>1</v>
      </c>
      <c r="K164" s="89" t="str">
        <f>IF(ISEVEN(B164),(B164-1)&amp;"/"&amp;B164,B164&amp;"/"&amp;(B164+1))</f>
        <v>4015/4016</v>
      </c>
      <c r="L164" s="21" t="str">
        <f>VLOOKUP(A164,'Trips&amp;Operators'!$C$1:$G$99999,5,FALSE)</f>
        <v>DAVIS WENDY</v>
      </c>
      <c r="M164" s="6">
        <f>I164-F164</f>
        <v>1.2187500004074536E-2</v>
      </c>
      <c r="N164" s="7">
        <f>24*60*SUM($M164:$M164)</f>
        <v>17.550000005867332</v>
      </c>
      <c r="O164" s="7"/>
      <c r="P164" s="7"/>
      <c r="Q164" s="22"/>
      <c r="R164" s="170"/>
      <c r="S164" s="213">
        <f>1/IF(AG164="EC",12,1)*SUM(U164:U164)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-13T06:07:07-0600',mode:absolute,to:'2017-07-13T08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5.8711000000000002</v>
      </c>
      <c r="Z164" s="197">
        <f>RIGHT(H164,LEN(H164)-4)/10000</f>
        <v>6.3500000000000001E-2</v>
      </c>
      <c r="AA164" s="197">
        <f>ABS(Z164-Y164)</f>
        <v>5.8075999999999999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/stypes="app*4015*20170713*" /stext=" 13:.+((SYSTEM_STATE.+slice.+state.+changed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4"/>
        <v>"%USERPROFILE%\Documents\GitHub\eaglep3\Utilities\RefineRTDCRunTimes.py" --tripid 806-13 --locoid 4015 --swversion DE.1.0.9.0 --startMP 300:58711 --initTime 2017-07-13T07:07:07 --startdatetime 2017-07-13T07:08:45 --delay 1 --endMP 204:635 --enddatetime 2017-07-13T07:26:18 --enforcementcount 1 &gt;&gt;C:\Users\stu\Documents\GitHub\eaglep3-reporting\EC\2017-07-13-refined-times.txt</v>
      </c>
      <c r="AI164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{"issue":{"subject":"","project_id":79,"tracker_id":40,"status_id":1,"priority_id":2,"assigned_to_id":23,"start_date":"2017-07-13","description":"","custom_fields":[{"id":1,"name":"Subdivision","value":"NW"},{"id":4,"name":"Milepost","value":"0.0635"},{"id":17,"name":"Train ID","value":"806-13"},{"id":16,"name":"Locomotive ID","value":"4015"},{"id":130,"name":"Impact","value":""},{"id":150,"name":"Time of Event (Mountain Time)","value":"07:26:18"},{"id":151,"name":"Denver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6"/>
        <v>start /low /b %USERPROFILE%\Documents\GitHub\eaglep3\Utilities\DownloadLogsFromS3.py --loco 4015 --day 2017-07-13</v>
      </c>
      <c r="AN164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703</v>
      </c>
      <c r="B165" s="7">
        <v>4044</v>
      </c>
      <c r="C165" s="21" t="s">
        <v>199</v>
      </c>
      <c r="D165" s="21" t="s">
        <v>970</v>
      </c>
      <c r="E165" s="13">
        <v>42929.296701388892</v>
      </c>
      <c r="F165" s="13">
        <v>42929.306516203702</v>
      </c>
      <c r="G165" s="7">
        <v>1</v>
      </c>
      <c r="H165" s="21" t="s">
        <v>965</v>
      </c>
      <c r="I165" s="13">
        <v>42929.31591435185</v>
      </c>
      <c r="J165" s="7">
        <v>1</v>
      </c>
      <c r="K165" s="89" t="str">
        <f>IF(ISEVEN(B165),(B165-1)&amp;"/"&amp;B165,B165&amp;"/"&amp;(B165+1))</f>
        <v>4043/4044</v>
      </c>
      <c r="L165" s="21" t="str">
        <f>VLOOKUP(A165,'Trips&amp;Operators'!$C$1:$G$99999,5,FALSE)</f>
        <v>YANG JAN</v>
      </c>
      <c r="M165" s="6">
        <f>I165-F165</f>
        <v>9.3981481477385387E-3</v>
      </c>
      <c r="N165" s="7">
        <f>24*60*SUM($M165:$M165)</f>
        <v>13.533333332743496</v>
      </c>
      <c r="O165" s="7"/>
      <c r="P165" s="7"/>
      <c r="Q165" s="22"/>
      <c r="R165" s="170"/>
      <c r="S165" s="213">
        <f>1/IF(AG165="EC",12,1)*SUM(U165:U165)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-13T06:07:15-0600',mode:absolute,to:'2017-07-13T08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9.64E-2</v>
      </c>
      <c r="Z165" s="197">
        <f>RIGHT(H165,LEN(H165)-4)/10000</f>
        <v>5.8936999999999999</v>
      </c>
      <c r="AA165" s="197">
        <f>ABS(Z165-Y165)</f>
        <v>5.7972999999999999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/stypes="app*4044*20170713*"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4"/>
        <v>"%USERPROFILE%\Documents\GitHub\eaglep3\Utilities\RefineRTDCRunTimes.py" --tripid 807-13 --locoid 4044 --swversion DE.1.0.9.0 --startMP 204:964 --initTime 2017-07-13T07:07:15 --startdatetime 2017-07-13T07:21:23 --delay 1 --endMP 300:58937 --enddatetime 2017-07-13T07:34:55 --enforcementcount 1 &gt;&gt;C:\Users\stu\Documents\GitHub\eaglep3-reporting\EC\2017-07-13-refined-times.txt</v>
      </c>
      <c r="AI165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{"issue":{"subject":"","project_id":79,"tracker_id":40,"status_id":1,"priority_id":2,"assigned_to_id":23,"start_date":"2017-07-13","description":"","custom_fields":[{"id":1,"name":"Subdivision","value":"NW"},{"id":4,"name":"Milepost","value":"5.8937"},{"id":17,"name":"Train ID","value":"807-13"},{"id":16,"name":"Locomotive ID","value":"4044"},{"id":130,"name":"Impact","value":""},{"id":150,"name":"Time of Event (Mountain Time)","value":"07:34:55"},{"id":151,"name":"Denver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6"/>
        <v>start /low /b %USERPROFILE%\Documents\GitHub\eaglep3\Utilities\DownloadLogsFromS3.py --loco 4044 --day 2017-07-13</v>
      </c>
      <c r="AN165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709</v>
      </c>
      <c r="B166" s="7">
        <v>4043</v>
      </c>
      <c r="C166" s="21" t="s">
        <v>199</v>
      </c>
      <c r="D166" s="21" t="s">
        <v>966</v>
      </c>
      <c r="E166" s="13">
        <v>42929.317928240744</v>
      </c>
      <c r="F166" s="13">
        <v>42929.319826388892</v>
      </c>
      <c r="G166" s="7">
        <v>1</v>
      </c>
      <c r="H166" s="21" t="s">
        <v>547</v>
      </c>
      <c r="I166" s="13">
        <v>42929.330185185187</v>
      </c>
      <c r="J166" s="7">
        <v>1</v>
      </c>
      <c r="K166" s="89" t="str">
        <f>IF(ISEVEN(B166),(B166-1)&amp;"/"&amp;B166,B166&amp;"/"&amp;(B166+1))</f>
        <v>4043/4044</v>
      </c>
      <c r="L166" s="21" t="str">
        <f>VLOOKUP(A166,'Trips&amp;Operators'!$C$1:$G$99999,5,FALSE)</f>
        <v>YANG JAN</v>
      </c>
      <c r="M166" s="6">
        <f>I166-F166</f>
        <v>1.0358796294895001E-2</v>
      </c>
      <c r="N166" s="7">
        <f>24*60*SUM($M166:$M166)</f>
        <v>14.916666664648801</v>
      </c>
      <c r="O166" s="7"/>
      <c r="P166" s="7"/>
      <c r="Q166" s="22"/>
      <c r="R166" s="170"/>
      <c r="S166" s="213">
        <f>1/IF(AG166="EC",12,1)*SUM(U166:U166)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-13T06:37:49-0600',mode:absolute,to:'2017-07-13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5.8630000000000004</v>
      </c>
      <c r="Z166" s="197">
        <f>RIGHT(H166,LEN(H166)-4)/10000</f>
        <v>6.9099999999999995E-2</v>
      </c>
      <c r="AA166" s="197">
        <f>ABS(Z166-Y166)</f>
        <v>5.7939000000000007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/stypes="app*4043*20170713*"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4"/>
        <v>"%USERPROFILE%\Documents\GitHub\eaglep3\Utilities\RefineRTDCRunTimes.py" --tripid 808-13 --locoid 4043 --swversion DE.1.0.9.0 --startMP 300:58630 --initTime 2017-07-13T07:37:49 --startdatetime 2017-07-13T07:40:33 --delay 1 --endMP 204:691 --enddatetime 2017-07-13T07:55:28 --enforcementcount 1 &gt;&gt;C:\Users\stu\Documents\GitHub\eaglep3-reporting\EC\2017-07-13-refined-times.txt</v>
      </c>
      <c r="AI166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{"issue":{"subject":"","project_id":79,"tracker_id":40,"status_id":1,"priority_id":2,"assigned_to_id":23,"start_date":"2017-07-13","description":"","custom_fields":[{"id":1,"name":"Subdivision","value":"NW"},{"id":4,"name":"Milepost","value":"0.0691"},{"id":17,"name":"Train ID","value":"808-13"},{"id":16,"name":"Locomotive ID","value":"4043"},{"id":130,"name":"Impact","value":""},{"id":150,"name":"Time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16"/>
        <v>start /low /b %USERPROFILE%\Documents\GitHub\eaglep3\Utilities\DownloadLogsFromS3.py --loco 4043 --day 2017-07-13</v>
      </c>
      <c r="AN166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623</v>
      </c>
      <c r="B167" s="7">
        <v>4016</v>
      </c>
      <c r="C167" s="21" t="s">
        <v>199</v>
      </c>
      <c r="D167" s="21" t="s">
        <v>971</v>
      </c>
      <c r="E167" s="13">
        <v>42929.324976851851</v>
      </c>
      <c r="F167" s="13">
        <v>42929.327245370368</v>
      </c>
      <c r="G167" s="7">
        <v>1</v>
      </c>
      <c r="H167" s="21" t="s">
        <v>972</v>
      </c>
      <c r="I167" s="13">
        <v>42929.336828703701</v>
      </c>
      <c r="J167" s="7">
        <v>1</v>
      </c>
      <c r="K167" s="89" t="str">
        <f>IF(ISEVEN(B167),(B167-1)&amp;"/"&amp;B167,B167&amp;"/"&amp;(B167+1))</f>
        <v>4015/4016</v>
      </c>
      <c r="L167" s="21" t="str">
        <f>VLOOKUP(A167,'Trips&amp;Operators'!$C$1:$G$99999,5,FALSE)</f>
        <v>DAVIS WENDY</v>
      </c>
      <c r="M167" s="6">
        <f>I167-F167</f>
        <v>9.5833333325572312E-3</v>
      </c>
      <c r="N167" s="7">
        <f>24*60*SUM($M167:$M167)</f>
        <v>13.799999998882413</v>
      </c>
      <c r="O167" s="7"/>
      <c r="P167" s="7"/>
      <c r="Q167" s="22"/>
      <c r="R167" s="170"/>
      <c r="S167" s="213">
        <f>1/IF(AG167="EC",12,1)*SUM(U167:U167)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-13T06:47:58-0600',mode:absolute,to:'2017-07-13T09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9.0899999999999995E-2</v>
      </c>
      <c r="Z167" s="197">
        <f>RIGHT(H167,LEN(H167)-4)/10000</f>
        <v>5.8993000000000002</v>
      </c>
      <c r="AA167" s="197">
        <f>ABS(Z167-Y167)</f>
        <v>5.8083999999999998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/stypes="app*4016*20170713*" /stext=" 14:.+((SYSTEM_STATE.+slice.+state.+changed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4"/>
        <v>"%USERPROFILE%\Documents\GitHub\eaglep3\Utilities\RefineRTDCRunTimes.py" --tripid 809-13 --locoid 4016 --swversion DE.1.0.9.0 --startMP 204:909 --initTime 2017-07-13T07:47:58 --startdatetime 2017-07-13T07:51:14 --delay 1 --endMP 300:58993 --enddatetime 2017-07-13T08:05:02 --enforcementcount 1 &gt;&gt;C:\Users\stu\Documents\GitHub\eaglep3-reporting\EC\2017-07-13-refined-times.txt</v>
      </c>
      <c r="AI167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{"issue":{"subject":"","project_id":79,"tracker_id":40,"status_id":1,"priority_id":2,"assigned_to_id":23,"start_date":"2017-07-13","description":"","custom_fields":[{"id":1,"name":"Subdivision","value":"NW"},{"id":4,"name":"Milepost","value":"5.8993"},{"id":17,"name":"Train ID","value":"809-13"},{"id":16,"name":"Locomotive ID","value":"4016"},{"id":130,"name":"Impact","value":""},{"id":150,"name":"Time of Event (Mountain Time)","value":"08:05:02"},{"id":151,"name":"Denver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16"/>
        <v>start /low /b %USERPROFILE%\Documents\GitHub\eaglep3\Utilities\DownloadLogsFromS3.py --loco 4016 --day 2017-07-13</v>
      </c>
      <c r="AN167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713</v>
      </c>
      <c r="B168" s="7">
        <v>4015</v>
      </c>
      <c r="C168" s="21" t="s">
        <v>199</v>
      </c>
      <c r="D168" s="21" t="s">
        <v>973</v>
      </c>
      <c r="E168" s="13">
        <v>42929.337638888886</v>
      </c>
      <c r="F168" s="13">
        <v>42929.33865740741</v>
      </c>
      <c r="G168" s="7">
        <v>1</v>
      </c>
      <c r="H168" s="21" t="s">
        <v>923</v>
      </c>
      <c r="I168" s="13">
        <v>42929.351238425923</v>
      </c>
      <c r="J168" s="7">
        <v>1</v>
      </c>
      <c r="K168" s="89" t="str">
        <f>IF(ISEVEN(B168),(B168-1)&amp;"/"&amp;B168,B168&amp;"/"&amp;(B168+1))</f>
        <v>4015/4016</v>
      </c>
      <c r="L168" s="21" t="str">
        <f>VLOOKUP(A168,'Trips&amp;Operators'!$C$1:$G$99999,5,FALSE)</f>
        <v>DAVIS WENDY</v>
      </c>
      <c r="M168" s="6">
        <f>I168-F168</f>
        <v>1.2581018512719311E-2</v>
      </c>
      <c r="N168" s="7">
        <f>24*60*SUM($M168:$M168)</f>
        <v>18.116666658315808</v>
      </c>
      <c r="O168" s="7"/>
      <c r="P168" s="7"/>
      <c r="Q168" s="22"/>
      <c r="R168" s="170"/>
      <c r="S168" s="213">
        <f>1/IF(AG168="EC",12,1)*SUM(U168:U168)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-13T07:06:12-0600',mode:absolute,to:'2017-07-13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5.8704000000000001</v>
      </c>
      <c r="Z168" s="197">
        <f>RIGHT(H168,LEN(H168)-4)/10000</f>
        <v>1.7999999999999999E-2</v>
      </c>
      <c r="AA168" s="197">
        <f>ABS(Z168-Y168)</f>
        <v>5.8524000000000003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/stypes="app*4015*20170713*" /stext=" 14:.+((SYSTEM_STATE.+slice.+state.+changed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4"/>
        <v>"%USERPROFILE%\Documents\GitHub\eaglep3\Utilities\RefineRTDCRunTimes.py" --tripid 810-13 --locoid 4015 --swversion DE.1.0.9.0 --startMP 300:58704 --initTime 2017-07-13T08:06:12 --startdatetime 2017-07-13T08:07:40 --delay 1 --endMP 204:180 --enddatetime 2017-07-13T08:25:47 --enforcementcount 1 &gt;&gt;C:\Users\stu\Documents\GitHub\eaglep3-reporting\EC\2017-07-13-refined-times.txt</v>
      </c>
      <c r="AI168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{"issue":{"subject":"","project_id":79,"tracker_id":40,"status_id":1,"priority_id":2,"assigned_to_id":23,"start_date":"2017-07-13","description":"","custom_fields":[{"id":1,"name":"Subdivision","value":"NW"},{"id":4,"name":"Milepost","value":"0.018"},{"id":17,"name":"Train ID","value":"810-13"},{"id":16,"name":"Locomotive ID","value":"4015"},{"id":130,"name":"Impact","value":""},{"id":150,"name":"Time of Event (Mountain Time)","value":"08:25:47"},{"id":151,"name":"Denver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16"/>
        <v>start /low /b %USERPROFILE%\Documents\GitHub\eaglep3\Utilities\DownloadLogsFromS3.py --loco 4015 --day 2017-07-13</v>
      </c>
      <c r="AN16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715</v>
      </c>
      <c r="B169" s="7">
        <v>4044</v>
      </c>
      <c r="C169" s="21" t="s">
        <v>199</v>
      </c>
      <c r="D169" s="21" t="s">
        <v>432</v>
      </c>
      <c r="E169" s="13">
        <v>42929.343726851854</v>
      </c>
      <c r="F169" s="13">
        <v>42929.34815972222</v>
      </c>
      <c r="G169" s="7">
        <v>1</v>
      </c>
      <c r="H169" s="21" t="s">
        <v>974</v>
      </c>
      <c r="I169" s="13">
        <v>42929.357430555552</v>
      </c>
      <c r="J169" s="7">
        <v>1</v>
      </c>
      <c r="K169" s="89" t="str">
        <f>IF(ISEVEN(B169),(B169-1)&amp;"/"&amp;B169,B169&amp;"/"&amp;(B169+1))</f>
        <v>4043/4044</v>
      </c>
      <c r="L169" s="21" t="str">
        <f>VLOOKUP(A169,'Trips&amp;Operators'!$C$1:$G$99999,5,FALSE)</f>
        <v>YANG JAN</v>
      </c>
      <c r="M169" s="6">
        <f>I169-F169</f>
        <v>9.2708333322661929E-3</v>
      </c>
      <c r="N169" s="7">
        <f>24*60*SUM($M169:$M169)</f>
        <v>13.349999998463318</v>
      </c>
      <c r="O169" s="7"/>
      <c r="P169" s="7"/>
      <c r="Q169" s="22"/>
      <c r="R169" s="170"/>
      <c r="S169" s="213">
        <f>1/IF(AG169="EC",12,1)*SUM(U169:U169)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-13T07:14:58-0600',mode:absolute,to:'2017-07-13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9.8299999999999998E-2</v>
      </c>
      <c r="Z169" s="197">
        <f>RIGHT(H169,LEN(H169)-4)/10000</f>
        <v>5.8928000000000003</v>
      </c>
      <c r="AA169" s="197">
        <f>ABS(Z169-Y169)</f>
        <v>5.7945000000000002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/stypes="app*4044*20170713*"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4"/>
        <v>"%USERPROFILE%\Documents\GitHub\eaglep3\Utilities\RefineRTDCRunTimes.py" --tripid 811-13 --locoid 4044 --swversion DE.1.0.9.0 --startMP 204:983 --initTime 2017-07-13T08:14:58 --startdatetime 2017-07-13T08:21:21 --delay 1 --endMP 300:58928 --enddatetime 2017-07-13T08:34:42 --enforcementcount 1 &gt;&gt;C:\Users\stu\Documents\GitHub\eaglep3-reporting\EC\2017-07-13-refined-times.txt</v>
      </c>
      <c r="AI169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{"issue":{"subject":"","project_id":79,"tracker_id":40,"status_id":1,"priority_id":2,"assigned_to_id":23,"start_date":"2017-07-13","description":"","custom_fields":[{"id":1,"name":"Subdivision","value":"NW"},{"id":4,"name":"Milepost","value":"5.8928"},{"id":17,"name":"Train ID","value":"811-13"},{"id":16,"name":"Locomotive ID","value":"4044"},{"id":130,"name":"Impact","value":""},{"id":150,"name":"Time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16"/>
        <v>start /low /b %USERPROFILE%\Documents\GitHub\eaglep3\Utilities\DownloadLogsFromS3.py --loco 4044 --day 2017-07-13</v>
      </c>
      <c r="AN16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719</v>
      </c>
      <c r="B170" s="7">
        <v>4043</v>
      </c>
      <c r="C170" s="21" t="s">
        <v>199</v>
      </c>
      <c r="D170" s="21" t="s">
        <v>975</v>
      </c>
      <c r="E170" s="13">
        <v>42929.359166666669</v>
      </c>
      <c r="F170" s="13">
        <v>42929.361273148148</v>
      </c>
      <c r="G170" s="7">
        <v>1</v>
      </c>
      <c r="H170" s="21" t="s">
        <v>547</v>
      </c>
      <c r="I170" s="13">
        <v>42929.371388888889</v>
      </c>
      <c r="J170" s="7">
        <v>1</v>
      </c>
      <c r="K170" s="89" t="str">
        <f>IF(ISEVEN(B170),(B170-1)&amp;"/"&amp;B170,B170&amp;"/"&amp;(B170+1))</f>
        <v>4043/4044</v>
      </c>
      <c r="L170" s="21" t="str">
        <f>VLOOKUP(A170,'Trips&amp;Operators'!$C$1:$G$99999,5,FALSE)</f>
        <v>YANG JAN</v>
      </c>
      <c r="M170" s="6">
        <f>I170-F170</f>
        <v>1.0115740740729962E-2</v>
      </c>
      <c r="N170" s="7">
        <f>24*60*SUM($M170:$M170)</f>
        <v>14.566666666651145</v>
      </c>
      <c r="O170" s="7"/>
      <c r="P170" s="7"/>
      <c r="Q170" s="22"/>
      <c r="R170" s="170"/>
      <c r="S170" s="213">
        <f>1/IF(AG170="EC",12,1)*SUM(U170:U170)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-13T07:37:12-0600',mode:absolute,to:'2017-07-13T09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5.8604000000000003</v>
      </c>
      <c r="Z170" s="197">
        <f>RIGHT(H170,LEN(H170)-4)/10000</f>
        <v>6.9099999999999995E-2</v>
      </c>
      <c r="AA170" s="197">
        <f>ABS(Z170-Y170)</f>
        <v>5.7913000000000006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/stypes="app*4043*20170713*"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4"/>
        <v>"%USERPROFILE%\Documents\GitHub\eaglep3\Utilities\RefineRTDCRunTimes.py" --tripid 812-13 --locoid 4043 --swversion DE.1.0.9.0 --startMP 300:58604 --initTime 2017-07-13T08:37:12 --startdatetime 2017-07-13T08:40:14 --delay 1 --endMP 204:691 --enddatetime 2017-07-13T08:54:48 --enforcementcount 1 &gt;&gt;C:\Users\stu\Documents\GitHub\eaglep3-reporting\EC\2017-07-13-refined-times.txt</v>
      </c>
      <c r="AI170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{"issue":{"subject":"","project_id":79,"tracker_id":40,"status_id":1,"priority_id":2,"assigned_to_id":23,"start_date":"2017-07-13","description":"","custom_fields":[{"id":1,"name":"Subdivision","value":"NW"},{"id":4,"name":"Milepost","value":"0.0691"},{"id":17,"name":"Train ID","value":"812-13"},{"id":16,"name":"Locomotive ID","value":"4043"},{"id":130,"name":"Impact","value":""},{"id":150,"name":"Time of Event (Mountain Time)","value":"08:54:48"},{"id":151,"name":"Denver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16"/>
        <v>start /low /b %USERPROFILE%\Documents\GitHub\eaglep3\Utilities\DownloadLogsFromS3.py --loco 4043 --day 2017-07-13</v>
      </c>
      <c r="AN17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725</v>
      </c>
      <c r="B171" s="7">
        <v>4044</v>
      </c>
      <c r="C171" s="21" t="s">
        <v>199</v>
      </c>
      <c r="D171" s="21" t="s">
        <v>976</v>
      </c>
      <c r="E171" s="13">
        <v>42929.37400462963</v>
      </c>
      <c r="F171" s="13">
        <v>42929.389826388891</v>
      </c>
      <c r="G171" s="7">
        <v>1</v>
      </c>
      <c r="H171" s="21" t="s">
        <v>977</v>
      </c>
      <c r="I171" s="13">
        <v>42929.399039351854</v>
      </c>
      <c r="J171" s="7">
        <v>1</v>
      </c>
      <c r="K171" s="89" t="str">
        <f>IF(ISEVEN(B171),(B171-1)&amp;"/"&amp;B171,B171&amp;"/"&amp;(B171+1))</f>
        <v>4043/4044</v>
      </c>
      <c r="L171" s="21" t="str">
        <f>VLOOKUP(A171,'Trips&amp;Operators'!$C$1:$G$99999,5,FALSE)</f>
        <v>YANG JAN</v>
      </c>
      <c r="M171" s="6">
        <f>I171-F171</f>
        <v>9.2129629629198462E-3</v>
      </c>
      <c r="N171" s="7">
        <f>24*60*SUM($M171:$M171)</f>
        <v>13.266666666604578</v>
      </c>
      <c r="O171" s="7"/>
      <c r="P171" s="7"/>
      <c r="Q171" s="22"/>
      <c r="R171" s="170"/>
      <c r="S171" s="213">
        <f>1/IF(AG171="EC",12,1)*SUM(U171:U171)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-13T07:58:34-0600',mode:absolute,to:'2017-07-13T10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9.7799999999999998E-2</v>
      </c>
      <c r="Z171" s="197">
        <f>RIGHT(H171,LEN(H171)-4)/10000</f>
        <v>5.8933</v>
      </c>
      <c r="AA171" s="197">
        <f>ABS(Z171-Y171)</f>
        <v>5.7954999999999997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/stypes="app*4044*20170713*" /stext=" 15:.+((SYSTEM_STATE.+slice.+state.+changed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4"/>
        <v>"%USERPROFILE%\Documents\GitHub\eaglep3\Utilities\RefineRTDCRunTimes.py" --tripid 813-13 --locoid 4044 --swversion DE.1.0.9.0 --startMP 204:978 --initTime 2017-07-13T08:58:34 --startdatetime 2017-07-13T09:21:21 --delay 1 --endMP 300:58933 --enddatetime 2017-07-13T09:34:37 --enforcementcount 1 &gt;&gt;C:\Users\stu\Documents\GitHub\eaglep3-reporting\EC\2017-07-13-refined-times.txt</v>
      </c>
      <c r="AI171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{"issue":{"subject":"","project_id":79,"tracker_id":40,"status_id":1,"priority_id":2,"assigned_to_id":23,"start_date":"2017-07-13","description":"","custom_fields":[{"id":1,"name":"Subdivision","value":"NW"},{"id":4,"name":"Milepost","value":"5.8933"},{"id":17,"name":"Train ID","value":"813-13"},{"id":16,"name":"Locomotive ID","value":"4044"},{"id":130,"name":"Impact","value":""},{"id":150,"name":"Time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6"/>
        <v>start /low /b %USERPROFILE%\Documents\GitHub\eaglep3\Utilities\DownloadLogsFromS3.py --loco 4044 --day 2017-07-13</v>
      </c>
      <c r="AN17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729</v>
      </c>
      <c r="B172" s="7">
        <v>4043</v>
      </c>
      <c r="C172" s="21" t="s">
        <v>199</v>
      </c>
      <c r="D172" s="21" t="s">
        <v>598</v>
      </c>
      <c r="E172" s="13">
        <v>42929.400879629633</v>
      </c>
      <c r="F172" s="13">
        <v>42929.403020833335</v>
      </c>
      <c r="G172" s="7">
        <v>1</v>
      </c>
      <c r="H172" s="21" t="s">
        <v>445</v>
      </c>
      <c r="I172" s="13">
        <v>42929.412870370368</v>
      </c>
      <c r="J172" s="7">
        <v>1</v>
      </c>
      <c r="K172" s="89" t="str">
        <f>IF(ISEVEN(B172),(B172-1)&amp;"/"&amp;B172,B172&amp;"/"&amp;(B172+1))</f>
        <v>4043/4044</v>
      </c>
      <c r="L172" s="21" t="str">
        <f>VLOOKUP(A172,'Trips&amp;Operators'!$C$1:$G$99999,5,FALSE)</f>
        <v>YANG JAN</v>
      </c>
      <c r="M172" s="6">
        <f>I172-F172</f>
        <v>9.8495370330056176E-3</v>
      </c>
      <c r="N172" s="7">
        <f>24*60*SUM($M172:$M172)</f>
        <v>14.183333327528089</v>
      </c>
      <c r="O172" s="7"/>
      <c r="P172" s="7"/>
      <c r="Q172" s="22"/>
      <c r="R172" s="170"/>
      <c r="S172" s="213">
        <f>1/IF(AG172="EC",12,1)*SUM(U172:U172)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-13T08:37:16-0600',mode:absolute,to:'2017-07-13T10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5.8619000000000003</v>
      </c>
      <c r="Z172" s="197">
        <f>RIGHT(H172,LEN(H172)-4)/10000</f>
        <v>6.9400000000000003E-2</v>
      </c>
      <c r="AA172" s="197">
        <f>ABS(Z172-Y172)</f>
        <v>5.7925000000000004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/stypes="app*4043*20170713*" /stext=" 15:.+((SYSTEM_STATE.+slice.+state.+changed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4"/>
        <v>"%USERPROFILE%\Documents\GitHub\eaglep3\Utilities\RefineRTDCRunTimes.py" --tripid 814-13 --locoid 4043 --swversion DE.1.0.9.0 --startMP 300:58619 --initTime 2017-07-13T09:37:16 --startdatetime 2017-07-13T09:40:21 --delay 1 --endMP 204:694 --enddatetime 2017-07-13T09:54:32 --enforcementcount 1 &gt;&gt;C:\Users\stu\Documents\GitHub\eaglep3-reporting\EC\2017-07-13-refined-times.txt</v>
      </c>
      <c r="AI172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{"issue":{"subject":"","project_id":79,"tracker_id":40,"status_id":1,"priority_id":2,"assigned_to_id":23,"start_date":"2017-07-13","description":"","custom_fields":[{"id":1,"name":"Subdivision","value":"NW"},{"id":4,"name":"Milepost","value":"0.0694"},{"id":17,"name":"Train ID","value":"814-13"},{"id":16,"name":"Locomotive ID","value":"4043"},{"id":130,"name":"Impact","value":""},{"id":150,"name":"Time of Event (Mountain Time)","value":"09:54:32"},{"id":151,"name":"Denver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16"/>
        <v>start /low /b %USERPROFILE%\Documents\GitHub\eaglep3\Utilities\DownloadLogsFromS3.py --loco 4043 --day 2017-07-13</v>
      </c>
      <c r="AN17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15:54:32"},{"id":29,"name":"Sharepoint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734</v>
      </c>
      <c r="B173" s="7">
        <v>4044</v>
      </c>
      <c r="C173" s="21" t="s">
        <v>199</v>
      </c>
      <c r="D173" s="21" t="s">
        <v>600</v>
      </c>
      <c r="E173" s="13">
        <v>42929.423356481479</v>
      </c>
      <c r="F173" s="13">
        <v>42929.431481481479</v>
      </c>
      <c r="G173" s="7">
        <v>1</v>
      </c>
      <c r="H173" s="21" t="s">
        <v>546</v>
      </c>
      <c r="I173" s="13">
        <v>42929.440972222219</v>
      </c>
      <c r="J173" s="7">
        <v>1</v>
      </c>
      <c r="K173" s="89" t="str">
        <f>IF(ISEVEN(B173),(B173-1)&amp;"/"&amp;B173,B173&amp;"/"&amp;(B173+1))</f>
        <v>4043/4044</v>
      </c>
      <c r="L173" s="21" t="str">
        <f>VLOOKUP(A173,'Trips&amp;Operators'!$C$1:$G$99999,5,FALSE)</f>
        <v>YANG JAN</v>
      </c>
      <c r="M173" s="6">
        <f>I173-F173</f>
        <v>9.4907407401478849E-3</v>
      </c>
      <c r="N173" s="7">
        <f>24*60*SUM($M173:$M173)</f>
        <v>13.666666665812954</v>
      </c>
      <c r="O173" s="7"/>
      <c r="P173" s="7"/>
      <c r="Q173" s="22"/>
      <c r="R173" s="170"/>
      <c r="S173" s="213">
        <f>1/IF(AG173="EC",12,1)*SUM(U173:U173)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-13T09:09:38-0600',mode:absolute,to:'2017-07-13T11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9.74E-2</v>
      </c>
      <c r="Z173" s="197">
        <f>RIGHT(H173,LEN(H173)-4)/10000</f>
        <v>5.8929</v>
      </c>
      <c r="AA173" s="197">
        <f>ABS(Z173-Y173)</f>
        <v>5.7954999999999997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/stypes="app*4044*20170713*" /stext=" 16:.+((SYSTEM_STATE.+slice.+state.+changed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4"/>
        <v>"%USERPROFILE%\Documents\GitHub\eaglep3\Utilities\RefineRTDCRunTimes.py" --tripid 815-13 --locoid 4044 --swversion DE.1.0.9.0 --startMP 204:974 --initTime 2017-07-13T10:09:38 --startdatetime 2017-07-13T10:21:20 --delay 1 --endMP 300:58929 --enddatetime 2017-07-13T10:35:00 --enforcementcount 1 &gt;&gt;C:\Users\stu\Documents\GitHub\eaglep3-reporting\EC\2017-07-13-refined-times.txt</v>
      </c>
      <c r="AI173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{"issue":{"subject":"","project_id":79,"tracker_id":40,"status_id":1,"priority_id":2,"assigned_to_id":23,"start_date":"2017-07-13","description":"","custom_fields":[{"id":1,"name":"Subdivision","value":"NW"},{"id":4,"name":"Milepost","value":"5.8929"},{"id":17,"name":"Train ID","value":"815-13"},{"id":16,"name":"Locomotive ID","value":"4044"},{"id":130,"name":"Impact","value":""},{"id":150,"name":"Time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6"/>
        <v>start /low /b %USERPROFILE%\Documents\GitHub\eaglep3\Utilities\DownloadLogsFromS3.py --loco 4044 --day 2017-07-13</v>
      </c>
      <c r="AN173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739</v>
      </c>
      <c r="B174" s="7">
        <v>4043</v>
      </c>
      <c r="C174" s="21" t="s">
        <v>199</v>
      </c>
      <c r="D174" s="21" t="s">
        <v>543</v>
      </c>
      <c r="E174" s="13">
        <v>42929.442650462966</v>
      </c>
      <c r="F174" s="13">
        <v>42929.44462962963</v>
      </c>
      <c r="G174" s="7">
        <v>1</v>
      </c>
      <c r="H174" s="21" t="s">
        <v>978</v>
      </c>
      <c r="I174" s="13">
        <v>42929.45590277778</v>
      </c>
      <c r="J174" s="7">
        <v>1</v>
      </c>
      <c r="K174" s="89" t="str">
        <f>IF(ISEVEN(B174),(B174-1)&amp;"/"&amp;B174,B174&amp;"/"&amp;(B174+1))</f>
        <v>4043/4044</v>
      </c>
      <c r="L174" s="21" t="str">
        <f>VLOOKUP(A174,'Trips&amp;Operators'!$C$1:$G$99999,5,FALSE)</f>
        <v>YANG JAN</v>
      </c>
      <c r="M174" s="6">
        <f>I174-F174</f>
        <v>1.1273148149484769E-2</v>
      </c>
      <c r="N174" s="7">
        <f>24*60*SUM($M174:$M174)</f>
        <v>16.233333335258067</v>
      </c>
      <c r="O174" s="7"/>
      <c r="P174" s="7"/>
      <c r="Q174" s="22"/>
      <c r="R174" s="170"/>
      <c r="S174" s="213">
        <f>1/IF(AG174="EC",12,1)*SUM(U174:U174)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-13T09:37:25-0600',mode:absolute,to:'2017-07-13T11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97" t="str">
        <f>IF(AA174&lt;VLOOKUP(AG174,Variables!$AC$3:$AD$8,2,FALSE),"Y","N")</f>
        <v>N</v>
      </c>
      <c r="X174" s="197">
        <f t="shared" ref="X174:X179" si="19">VALUE(LEFT(AD174,4))-VALUE(LEFT(AD173,4))</f>
        <v>1</v>
      </c>
      <c r="Y174" s="197">
        <f>RIGHT(D174,LEN(D174)-4)/10000</f>
        <v>5.8616999999999999</v>
      </c>
      <c r="Z174" s="197">
        <f>RIGHT(H174,LEN(H174)-4)/10000</f>
        <v>6.8699999999999997E-2</v>
      </c>
      <c r="AA174" s="197">
        <f>ABS(Z174-Y174)</f>
        <v>5.7930000000000001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/stypes="app*4043*20170713*" /stext=" 16:.+((SYSTEM_STATE.+slice.+state.+changed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4"/>
        <v>"%USERPROFILE%\Documents\GitHub\eaglep3\Utilities\RefineRTDCRunTimes.py" --tripid 816-13 --locoid 4043 --swversion DE.1.0.9.0 --startMP 300:58617 --initTime 2017-07-13T10:37:25 --startdatetime 2017-07-13T10:40:16 --delay 1 --endMP 204:687 --enddatetime 2017-07-13T10:56:30 --enforcementcount 1 &gt;&gt;C:\Users\stu\Documents\GitHub\eaglep3-reporting\EC\2017-07-13-refined-times.txt</v>
      </c>
      <c r="AI174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{"issue":{"subject":"","project_id":79,"tracker_id":40,"status_id":1,"priority_id":2,"assigned_to_id":23,"start_date":"2017-07-13","description":"","custom_fields":[{"id":1,"name":"Subdivision","value":"NW"},{"id":4,"name":"Milepost","value":"0.0687"},{"id":17,"name":"Train ID","value":"816-13"},{"id":16,"name":"Locomotive ID","value":"4043"},{"id":130,"name":"Impact","value":""},{"id":150,"name":"Time of Event (Mountain Time)","value":"10:56:30"},{"id":151,"name":"Denver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16"/>
        <v>start /low /b %USERPROFILE%\Documents\GitHub\eaglep3\Utilities\DownloadLogsFromS3.py --loco 4043 --day 2017-07-13</v>
      </c>
      <c r="AN174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16:56:30"},{"id":29,"name":"Sharepoint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749</v>
      </c>
      <c r="B175" s="7">
        <v>4044</v>
      </c>
      <c r="C175" s="21" t="s">
        <v>199</v>
      </c>
      <c r="D175" s="21" t="s">
        <v>979</v>
      </c>
      <c r="E175" s="13">
        <v>42929.466840277775</v>
      </c>
      <c r="F175" s="13">
        <v>42929.473182870373</v>
      </c>
      <c r="G175" s="7">
        <v>1</v>
      </c>
      <c r="H175" s="21" t="s">
        <v>980</v>
      </c>
      <c r="I175" s="13">
        <v>42929.482430555552</v>
      </c>
      <c r="J175" s="7">
        <v>1</v>
      </c>
      <c r="K175" s="89" t="str">
        <f>IF(ISEVEN(B175),(B175-1)&amp;"/"&amp;B175,B175&amp;"/"&amp;(B175+1))</f>
        <v>4043/4044</v>
      </c>
      <c r="L175" s="21" t="str">
        <f>VLOOKUP(A175,'Trips&amp;Operators'!$C$1:$G$99999,5,FALSE)</f>
        <v>YANG JAN</v>
      </c>
      <c r="M175" s="6">
        <f>I175-F175</f>
        <v>9.2476851787068881E-3</v>
      </c>
      <c r="N175" s="7">
        <f>24*60*SUM($M175:$M175)</f>
        <v>13.316666657337919</v>
      </c>
      <c r="O175" s="7"/>
      <c r="P175" s="7"/>
      <c r="Q175" s="22"/>
      <c r="R175" s="170"/>
      <c r="S175" s="213">
        <f>1/IF(AG175="EC",12,1)*SUM(U175:U175)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-13T10:12:15-0600',mode:absolute,to:'2017-07-13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97" t="str">
        <f>IF(AA175&lt;VLOOKUP(AG175,Variables!$AC$3:$AD$8,2,FALSE),"Y","N")</f>
        <v>N</v>
      </c>
      <c r="X175" s="197">
        <f t="shared" si="19"/>
        <v>1</v>
      </c>
      <c r="Y175" s="197">
        <f>RIGHT(D175,LEN(D175)-4)/10000</f>
        <v>9.6699999999999994E-2</v>
      </c>
      <c r="Z175" s="197">
        <f>RIGHT(H175,LEN(H175)-4)/10000</f>
        <v>5.8930999999999996</v>
      </c>
      <c r="AA175" s="197">
        <f>ABS(Z175-Y175)</f>
        <v>5.7963999999999993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/stypes="app*4044*20170713*" /stext=" 17:.+((SYSTEM_STATE.+slice.+state.+changed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4"/>
        <v>"%USERPROFILE%\Documents\GitHub\eaglep3\Utilities\RefineRTDCRunTimes.py" --tripid 817-13 --locoid 4044 --swversion DE.1.0.9.0 --startMP 204:967 --initTime 2017-07-13T11:12:15 --startdatetime 2017-07-13T11:21:23 --delay 1 --endMP 300:58931 --enddatetime 2017-07-13T11:34:42 --enforcementcount 1 &gt;&gt;C:\Users\stu\Documents\GitHub\eaglep3-reporting\EC\2017-07-13-refined-times.txt</v>
      </c>
      <c r="AI175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{"issue":{"subject":"","project_id":79,"tracker_id":40,"status_id":1,"priority_id":2,"assigned_to_id":23,"start_date":"2017-07-13","description":"","custom_fields":[{"id":1,"name":"Subdivision","value":"NW"},{"id":4,"name":"Milepost","value":"5.8931"},{"id":17,"name":"Train ID","value":"817-13"},{"id":16,"name":"Locomotive ID","value":"4044"},{"id":130,"name":"Impact","value":""},{"id":150,"name":"Time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6"/>
        <v>start /low /b %USERPROFILE%\Documents\GitHub\eaglep3\Utilities\DownloadLogsFromS3.py --loco 4044 --day 2017-07-13</v>
      </c>
      <c r="AN175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756</v>
      </c>
      <c r="B176" s="7">
        <v>4043</v>
      </c>
      <c r="C176" s="21" t="s">
        <v>199</v>
      </c>
      <c r="D176" s="21" t="s">
        <v>504</v>
      </c>
      <c r="E176" s="13">
        <v>42929.484027777777</v>
      </c>
      <c r="F176" s="13">
        <v>42929.486226851855</v>
      </c>
      <c r="G176" s="7">
        <v>2</v>
      </c>
      <c r="H176" s="21" t="s">
        <v>602</v>
      </c>
      <c r="I176" s="13">
        <v>42929.496249999997</v>
      </c>
      <c r="J176" s="7">
        <v>1</v>
      </c>
      <c r="K176" s="89" t="str">
        <f>IF(ISEVEN(B176),(B176-1)&amp;"/"&amp;B176,B176&amp;"/"&amp;(B176+1))</f>
        <v>4043/4044</v>
      </c>
      <c r="L176" s="21" t="str">
        <f>VLOOKUP(A176,'Trips&amp;Operators'!$C$1:$G$99999,5,FALSE)</f>
        <v>YANG JAN</v>
      </c>
      <c r="M176" s="6">
        <f>I176-F176</f>
        <v>1.0023148141044658E-2</v>
      </c>
      <c r="N176" s="7">
        <f>24*60*SUM($M176:$M176)</f>
        <v>14.433333323104307</v>
      </c>
      <c r="O176" s="7"/>
      <c r="P176" s="7"/>
      <c r="Q176" s="22"/>
      <c r="R176" s="170"/>
      <c r="S176" s="213">
        <f>1/IF(AG176="EC",12,1)*SUM(U176:U176)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-13T10:37:00-0600',mode:absolute,to:'2017-07-13T12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97" t="str">
        <f>IF(AA176&lt;VLOOKUP(AG176,Variables!$AC$3:$AD$8,2,FALSE),"Y","N")</f>
        <v>N</v>
      </c>
      <c r="X176" s="197">
        <f t="shared" si="19"/>
        <v>1</v>
      </c>
      <c r="Y176" s="197">
        <f>RIGHT(D176,LEN(D176)-4)/10000</f>
        <v>5.8624000000000001</v>
      </c>
      <c r="Z176" s="197">
        <f>RIGHT(H176,LEN(H176)-4)/10000</f>
        <v>6.7299999999999999E-2</v>
      </c>
      <c r="AA176" s="197">
        <f>ABS(Z176-Y176)</f>
        <v>5.7950999999999997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/stypes="app*4043*20170713*" /stext=" 17:.+((SYSTEM_STATE.+slice.+state.+changed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4"/>
        <v>"%USERPROFILE%\Documents\GitHub\eaglep3\Utilities\RefineRTDCRunTimes.py" --tripid 818-13 --locoid 4043 --swversion DE.1.0.9.0 --startMP 300:58624 --initTime 2017-07-13T11:37:00 --startdatetime 2017-07-13T11:40:10 --delay 2 --endMP 204:673 --enddatetime 2017-07-13T11:54:36 --enforcementcount 1 &gt;&gt;C:\Users\stu\Documents\GitHub\eaglep3-reporting\EC\2017-07-13-refined-times.txt</v>
      </c>
      <c r="AI176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{"issue":{"subject":"","project_id":79,"tracker_id":40,"status_id":1,"priority_id":2,"assigned_to_id":23,"start_date":"2017-07-13","description":"","custom_fields":[{"id":1,"name":"Subdivision","value":"NW"},{"id":4,"name":"Milepost","value":"0.0673"},{"id":17,"name":"Train ID","value":"818-13"},{"id":16,"name":"Locomotive ID","value":"4043"},{"id":130,"name":"Impact","value":""},{"id":150,"name":"Time of Event (Mountain Time)","value":"11:54:36"},{"id":151,"name":"Denver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6"/>
        <v>start /low /b %USERPROFILE%\Documents\GitHub\eaglep3\Utilities\DownloadLogsFromS3.py --loco 4043 --day 2017-07-13</v>
      </c>
      <c r="AN176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763</v>
      </c>
      <c r="B177" s="7">
        <v>4044</v>
      </c>
      <c r="C177" s="21" t="s">
        <v>199</v>
      </c>
      <c r="D177" s="21" t="s">
        <v>981</v>
      </c>
      <c r="E177" s="13">
        <v>42929.505462962959</v>
      </c>
      <c r="F177" s="13">
        <v>42929.514837962961</v>
      </c>
      <c r="G177" s="7">
        <v>1</v>
      </c>
      <c r="H177" s="21" t="s">
        <v>982</v>
      </c>
      <c r="I177" s="13">
        <v>42929.524305555555</v>
      </c>
      <c r="J177" s="7">
        <v>1</v>
      </c>
      <c r="K177" s="89" t="str">
        <f>IF(ISEVEN(B177),(B177-1)&amp;"/"&amp;B177,B177&amp;"/"&amp;(B177+1))</f>
        <v>4043/4044</v>
      </c>
      <c r="L177" s="21" t="str">
        <f>VLOOKUP(A177,'Trips&amp;Operators'!$C$1:$G$99999,5,FALSE)</f>
        <v>YANG JAN</v>
      </c>
      <c r="M177" s="6">
        <f>I177-F177</f>
        <v>9.4675925938645378E-3</v>
      </c>
      <c r="N177" s="7">
        <f>24*60*SUM($M177:$M177)</f>
        <v>13.633333335164934</v>
      </c>
      <c r="O177" s="7"/>
      <c r="P177" s="7"/>
      <c r="Q177" s="22"/>
      <c r="R177" s="170"/>
      <c r="S177" s="213">
        <f>1/IF(AG177="EC",12,1)*SUM(U177:U177)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-13T11:07:52-0600',mode:absolute,to:'2017-07-13T13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97" t="str">
        <f>IF(AA177&lt;VLOOKUP(AG177,Variables!$AC$3:$AD$8,2,FALSE),"Y","N")</f>
        <v>N</v>
      </c>
      <c r="X177" s="197">
        <f t="shared" si="19"/>
        <v>1</v>
      </c>
      <c r="Y177" s="197">
        <f>RIGHT(D177,LEN(D177)-4)/10000</f>
        <v>9.8599999999999993E-2</v>
      </c>
      <c r="Z177" s="197">
        <f>RIGHT(H177,LEN(H177)-4)/10000</f>
        <v>5.8925999999999998</v>
      </c>
      <c r="AA177" s="197">
        <f>ABS(Z177-Y177)</f>
        <v>5.7939999999999996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/stypes="app*4044*20170713*" /stext=" 18:.+((SYSTEM_STATE.+slice.+state.+changed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4"/>
        <v>"%USERPROFILE%\Documents\GitHub\eaglep3\Utilities\RefineRTDCRunTimes.py" --tripid 819-13 --locoid 4044 --swversion DE.1.0.9.0 --startMP 204:986 --initTime 2017-07-13T12:07:52 --startdatetime 2017-07-13T12:21:22 --delay 1 --endMP 300:58926 --enddatetime 2017-07-13T12:35:00 --enforcementcount 1 &gt;&gt;C:\Users\stu\Documents\GitHub\eaglep3-reporting\EC\2017-07-13-refined-times.txt</v>
      </c>
      <c r="AI177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{"issue":{"subject":"","project_id":79,"tracker_id":40,"status_id":1,"priority_id":2,"assigned_to_id":23,"start_date":"2017-07-13","description":"","custom_fields":[{"id":1,"name":"Subdivision","value":"NW"},{"id":4,"name":"Milepost","value":"5.8926"},{"id":17,"name":"Train ID","value":"819-13"},{"id":16,"name":"Locomotive ID","value":"4044"},{"id":130,"name":"Impact","value":""},{"id":150,"name":"Time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16"/>
        <v>start /low /b %USERPROFILE%\Documents\GitHub\eaglep3\Utilities\DownloadLogsFromS3.py --loco 4044 --day 2017-07-13</v>
      </c>
      <c r="AN177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767</v>
      </c>
      <c r="B178" s="7">
        <v>4043</v>
      </c>
      <c r="C178" s="21" t="s">
        <v>199</v>
      </c>
      <c r="D178" s="21" t="s">
        <v>983</v>
      </c>
      <c r="E178" s="13">
        <v>42929.526203703703</v>
      </c>
      <c r="F178" s="13">
        <v>42929.528055555558</v>
      </c>
      <c r="G178" s="7">
        <v>1</v>
      </c>
      <c r="H178" s="21" t="s">
        <v>597</v>
      </c>
      <c r="I178" s="13">
        <v>42929.538043981483</v>
      </c>
      <c r="J178" s="7">
        <v>1</v>
      </c>
      <c r="K178" s="89" t="str">
        <f>IF(ISEVEN(B178),(B178-1)&amp;"/"&amp;B178,B178&amp;"/"&amp;(B178+1))</f>
        <v>4043/4044</v>
      </c>
      <c r="L178" s="21" t="str">
        <f>VLOOKUP(A178,'Trips&amp;Operators'!$C$1:$G$99999,5,FALSE)</f>
        <v>YANG JAN</v>
      </c>
      <c r="M178" s="6">
        <f>I178-F178</f>
        <v>9.9884259252576157E-3</v>
      </c>
      <c r="N178" s="7">
        <f>24*60*SUM($M178:$M178)</f>
        <v>14.383333332370967</v>
      </c>
      <c r="O178" s="7"/>
      <c r="P178" s="7"/>
      <c r="Q178" s="22"/>
      <c r="R178" s="170"/>
      <c r="S178" s="213">
        <f>1/IF(AG178="EC",12,1)*SUM(U178:U178)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-13T11:37:44-0600',mode:absolute,to:'2017-07-13T13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97" t="str">
        <f>IF(AA178&lt;VLOOKUP(AG178,Variables!$AC$3:$AD$8,2,FALSE),"Y","N")</f>
        <v>N</v>
      </c>
      <c r="X178" s="197">
        <f t="shared" si="19"/>
        <v>1</v>
      </c>
      <c r="Y178" s="197">
        <f>RIGHT(D178,LEN(D178)-4)/10000</f>
        <v>5.8609</v>
      </c>
      <c r="Z178" s="197">
        <f>RIGHT(H178,LEN(H178)-4)/10000</f>
        <v>7.3999999999999996E-2</v>
      </c>
      <c r="AA178" s="197">
        <f>ABS(Z178-Y178)</f>
        <v>5.7869000000000002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/stypes="app*4043*20170713*" /stext=" 18:.+((SYSTEM_STATE.+slice.+state.+changed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4"/>
        <v>"%USERPROFILE%\Documents\GitHub\eaglep3\Utilities\RefineRTDCRunTimes.py" --tripid 820-13 --locoid 4043 --swversion DE.1.0.9.0 --startMP 300:58609 --initTime 2017-07-13T12:37:44 --startdatetime 2017-07-13T12:40:24 --delay 1 --endMP 204:740 --enddatetime 2017-07-13T12:54:47 --enforcementcount 1 &gt;&gt;C:\Users\stu\Documents\GitHub\eaglep3-reporting\EC\2017-07-13-refined-times.txt</v>
      </c>
      <c r="AI178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{"issue":{"subject":"","project_id":79,"tracker_id":40,"status_id":1,"priority_id":2,"assigned_to_id":23,"start_date":"2017-07-13","description":"","custom_fields":[{"id":1,"name":"Subdivision","value":"NW"},{"id":4,"name":"Milepost","value":"0.074"},{"id":17,"name":"Train ID","value":"820-13"},{"id":16,"name":"Locomotive ID","value":"4043"},{"id":130,"name":"Impact","value":""},{"id":150,"name":"Time of Event (Mountain Time)","value":"12:54:47"},{"id":151,"name":"Denver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16"/>
        <v>start /low /b %USERPROFILE%\Documents\GitHub\eaglep3\Utilities\DownloadLogsFromS3.py --loco 4043 --day 2017-07-13</v>
      </c>
      <c r="AN17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772</v>
      </c>
      <c r="B179" s="7">
        <v>4044</v>
      </c>
      <c r="C179" s="21" t="s">
        <v>199</v>
      </c>
      <c r="D179" s="21" t="s">
        <v>984</v>
      </c>
      <c r="E179" s="13">
        <v>42929.54179398148</v>
      </c>
      <c r="F179" s="13">
        <v>42929.556550925925</v>
      </c>
      <c r="G179" s="7">
        <v>1</v>
      </c>
      <c r="H179" s="21" t="s">
        <v>505</v>
      </c>
      <c r="I179" s="13">
        <v>42929.566874999997</v>
      </c>
      <c r="J179" s="7">
        <v>1</v>
      </c>
      <c r="K179" s="89" t="str">
        <f>IF(ISEVEN(B179),(B179-1)&amp;"/"&amp;B179,B179&amp;"/"&amp;(B179+1))</f>
        <v>4043/4044</v>
      </c>
      <c r="L179" s="21" t="str">
        <f>VLOOKUP(A179,'Trips&amp;Operators'!$C$1:$G$99999,5,FALSE)</f>
        <v>BIRKHOLZ NADINE</v>
      </c>
      <c r="M179" s="6">
        <f>I179-F179</f>
        <v>1.0324074071832001E-2</v>
      </c>
      <c r="N179" s="7">
        <f>24*60*SUM($M179:$M179)</f>
        <v>14.866666663438082</v>
      </c>
      <c r="O179" s="7"/>
      <c r="P179" s="7"/>
      <c r="Q179" s="22"/>
      <c r="R179" s="170"/>
      <c r="S179" s="213">
        <f>1/IF(AG179="EC",12,1)*SUM(U179:U179)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-13T12:00:11-0600',mode:absolute,to:'2017-07-13T14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97" t="str">
        <f>IF(AA179&lt;VLOOKUP(AG179,Variables!$AC$3:$AD$8,2,FALSE),"Y","N")</f>
        <v>N</v>
      </c>
      <c r="X179" s="197">
        <f t="shared" si="19"/>
        <v>1</v>
      </c>
      <c r="Y179" s="197">
        <f>RIGHT(D179,LEN(D179)-4)/10000</f>
        <v>0.1021</v>
      </c>
      <c r="Z179" s="197">
        <f>RIGHT(H179,LEN(H179)-4)/10000</f>
        <v>5.8940999999999999</v>
      </c>
      <c r="AA179" s="197">
        <f>ABS(Z179-Y179)</f>
        <v>5.7919999999999998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/stypes="app*4044*20170713*" /stext=" 19:.+((SYSTEM_STATE.+slice.+state.+changed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4"/>
        <v>"%USERPROFILE%\Documents\GitHub\eaglep3\Utilities\RefineRTDCRunTimes.py" --tripid 821-13 --locoid 4044 --swversion DE.1.0.9.0 --startMP 204:1021 --initTime 2017-07-13T13:00:11 --startdatetime 2017-07-13T13:21:26 --delay 1 --endMP 300:58941 --enddatetime 2017-07-13T13:36:18 --enforcementcount 1 &gt;&gt;C:\Users\stu\Documents\GitHub\eaglep3-reporting\EC\2017-07-13-refined-times.txt</v>
      </c>
      <c r="AI179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{"issue":{"subject":"","project_id":79,"tracker_id":40,"status_id":1,"priority_id":2,"assigned_to_id":23,"start_date":"2017-07-13","description":"","custom_fields":[{"id":1,"name":"Subdivision","value":"NW"},{"id":4,"name":"Milepost","value":"5.8941"},{"id":17,"name":"Train ID","value":"821-13"},{"id":16,"name":"Locomotive ID","value":"4044"},{"id":130,"name":"Impact","value":""},{"id":150,"name":"Time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16"/>
        <v>start /low /b %USERPROFILE%\Documents\GitHub\eaglep3\Utilities\DownloadLogsFromS3.py --loco 4044 --day 2017-07-13</v>
      </c>
      <c r="AN17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631</v>
      </c>
      <c r="B180" s="7">
        <v>4043</v>
      </c>
      <c r="C180" s="21" t="s">
        <v>199</v>
      </c>
      <c r="D180" s="21" t="s">
        <v>985</v>
      </c>
      <c r="E180" s="13">
        <v>42929.568101851852</v>
      </c>
      <c r="F180" s="13">
        <v>42929.570451388892</v>
      </c>
      <c r="G180" s="7">
        <v>1</v>
      </c>
      <c r="H180" s="21" t="s">
        <v>607</v>
      </c>
      <c r="I180" s="13">
        <v>42929.580428240741</v>
      </c>
      <c r="J180" s="7">
        <v>1</v>
      </c>
      <c r="K180" s="89" t="str">
        <f>IF(ISEVEN(B180),(B180-1)&amp;"/"&amp;B180,B180&amp;"/"&amp;(B180+1))</f>
        <v>4043/4044</v>
      </c>
      <c r="L180" s="21" t="str">
        <f>VLOOKUP(A180,'Trips&amp;Operators'!$C$1:$G$99999,5,FALSE)</f>
        <v>BIRKHOLZ NADINE</v>
      </c>
      <c r="M180" s="6">
        <f>I180-F180</f>
        <v>9.9768518484779634E-3</v>
      </c>
      <c r="N180" s="7">
        <f>24*60*SUM($M180:$M180)</f>
        <v>14.366666661808267</v>
      </c>
      <c r="O180" s="7"/>
      <c r="P180" s="7"/>
      <c r="Q180" s="22"/>
      <c r="R180" s="170"/>
      <c r="S180" s="213">
        <f>1/IF(AG180="EC",12,1)*SUM(U180:U180)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-13T12:38:04-0600',mode:absolute,to:'2017-07-13T14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5.8632</v>
      </c>
      <c r="Z180" s="197">
        <f>RIGHT(H180,LEN(H180)-4)/10000</f>
        <v>7.2400000000000006E-2</v>
      </c>
      <c r="AA180" s="197">
        <f>ABS(Z180-Y180)</f>
        <v>5.7907999999999999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/stypes="app*4043*20170713*" /stext=" 19:.+((SYSTEM_STATE.+slice.+state.+changed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4"/>
        <v>"%USERPROFILE%\Documents\GitHub\eaglep3\Utilities\RefineRTDCRunTimes.py" --tripid 822-13 --locoid 4043 --swversion DE.1.0.9.0 --startMP 300:58632 --initTime 2017-07-13T13:38:04 --startdatetime 2017-07-13T13:41:27 --delay 1 --endMP 204:724 --enddatetime 2017-07-13T13:55:49 --enforcementcount 1 &gt;&gt;C:\Users\stu\Documents\GitHub\eaglep3-reporting\EC\2017-07-13-refined-times.txt</v>
      </c>
      <c r="AI180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{"issue":{"subject":"","project_id":79,"tracker_id":40,"status_id":1,"priority_id":2,"assigned_to_id":23,"start_date":"2017-07-13","description":"","custom_fields":[{"id":1,"name":"Subdivision","value":"NW"},{"id":4,"name":"Milepost","value":"0.0724"},{"id":17,"name":"Train ID","value":"822-13"},{"id":16,"name":"Locomotive ID","value":"4043"},{"id":130,"name":"Impact","value":""},{"id":150,"name":"Time of Event (Mountain Time)","value":"13:55:49"},{"id":151,"name":"Denver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16"/>
        <v>start /low /b %USERPROFILE%\Documents\GitHub\eaglep3\Utilities\DownloadLogsFromS3.py --loco 4043 --day 2017-07-13</v>
      </c>
      <c r="AN18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19:55:49"},{"id":29,"name":"Sharepoint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636</v>
      </c>
      <c r="B181" s="7">
        <v>4044</v>
      </c>
      <c r="C181" s="21" t="s">
        <v>199</v>
      </c>
      <c r="D181" s="21" t="s">
        <v>986</v>
      </c>
      <c r="E181" s="13">
        <v>42929.594988425924</v>
      </c>
      <c r="F181" s="13">
        <v>42929.598263888889</v>
      </c>
      <c r="G181" s="7">
        <v>1</v>
      </c>
      <c r="H181" s="21" t="s">
        <v>987</v>
      </c>
      <c r="I181" s="13">
        <v>42929.609351851854</v>
      </c>
      <c r="J181" s="7">
        <v>1</v>
      </c>
      <c r="K181" s="89" t="str">
        <f>IF(ISEVEN(B181),(B181-1)&amp;"/"&amp;B181,B181&amp;"/"&amp;(B181+1))</f>
        <v>4043/4044</v>
      </c>
      <c r="L181" s="21" t="str">
        <f>VLOOKUP(A181,'Trips&amp;Operators'!$C$1:$G$99999,5,FALSE)</f>
        <v>BIRKHOLZ NADINE</v>
      </c>
      <c r="M181" s="6">
        <f>I181-F181</f>
        <v>1.1087962964666076E-2</v>
      </c>
      <c r="N181" s="7">
        <f>24*60*SUM($M181:$M181)</f>
        <v>15.966666669119149</v>
      </c>
      <c r="O181" s="7"/>
      <c r="P181" s="7"/>
      <c r="Q181" s="22"/>
      <c r="R181" s="170"/>
      <c r="S181" s="213">
        <f>1/IF(AG181="EC",12,1)*SUM(U181:U181)</f>
        <v>1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-13T13:16:47-0600',mode:absolute,to:'2017-07-13T15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0.1009</v>
      </c>
      <c r="Z181" s="197">
        <f>RIGHT(H181,LEN(H181)-4)/10000</f>
        <v>5.8916000000000004</v>
      </c>
      <c r="AA181" s="197">
        <f>ABS(Z181-Y181)</f>
        <v>5.7907000000000002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/stypes="app*4044*20170713*" /stext=" 20:.+((SYSTEM_STATE.+slice.+state.+changed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4"/>
        <v>"%USERPROFILE%\Documents\GitHub\eaglep3\Utilities\RefineRTDCRunTimes.py" --tripid 823-13 --locoid 4044 --swversion DE.1.0.9.0 --startMP 204:1009 --initTime 2017-07-13T14:16:47 --startdatetime 2017-07-13T14:21:30 --delay 1 --endMP 300:58916 --enddatetime 2017-07-13T14:37:28 --enforcementcount 1 &gt;&gt;C:\Users\stu\Documents\GitHub\eaglep3-reporting\EC\2017-07-13-refined-times.txt</v>
      </c>
      <c r="AI181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{"issue":{"subject":"","project_id":79,"tracker_id":40,"status_id":1,"priority_id":2,"assigned_to_id":23,"start_date":"2017-07-13","description":"","custom_fields":[{"id":1,"name":"Subdivision","value":"NW"},{"id":4,"name":"Milepost","value":"5.8916"},{"id":17,"name":"Train ID","value":"823-13"},{"id":16,"name":"Locomotive ID","value":"4044"},{"id":130,"name":"Impact","value":""},{"id":150,"name":"Time of Event (Mountain Time)","value":"14:37:28"},{"id":151,"name":"Denver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16"/>
        <v>start /low /b %USERPROFILE%\Documents\GitHub\eaglep3\Utilities\DownloadLogsFromS3.py --loco 4044 --day 2017-07-13</v>
      </c>
      <c r="AN18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781</v>
      </c>
      <c r="B182" s="7">
        <v>4043</v>
      </c>
      <c r="C182" s="21" t="s">
        <v>199</v>
      </c>
      <c r="D182" s="21" t="s">
        <v>610</v>
      </c>
      <c r="E182" s="13">
        <v>42929.611157407409</v>
      </c>
      <c r="F182" s="13">
        <v>42929.612870370373</v>
      </c>
      <c r="G182" s="7">
        <v>1</v>
      </c>
      <c r="H182" s="21" t="s">
        <v>605</v>
      </c>
      <c r="I182" s="13">
        <v>42929.622997685183</v>
      </c>
      <c r="J182" s="7">
        <v>1</v>
      </c>
      <c r="K182" s="89" t="str">
        <f>IF(ISEVEN(B182),(B182-1)&amp;"/"&amp;B182,B182&amp;"/"&amp;(B182+1))</f>
        <v>4043/4044</v>
      </c>
      <c r="L182" s="21" t="str">
        <f>VLOOKUP(A182,'Trips&amp;Operators'!$C$1:$G$99999,5,FALSE)</f>
        <v>BIRKHOLZ NADINE</v>
      </c>
      <c r="M182" s="6">
        <f>I182-F182</f>
        <v>1.0127314810233656E-2</v>
      </c>
      <c r="N182" s="7">
        <f>24*60*SUM($M182:$M182)</f>
        <v>14.583333326736465</v>
      </c>
      <c r="O182" s="7"/>
      <c r="P182" s="7"/>
      <c r="Q182" s="22"/>
      <c r="R182" s="170"/>
      <c r="S182" s="213">
        <f>1/IF(AG182="EC",12,1)*SUM(U182:U182)</f>
        <v>1</v>
      </c>
      <c r="T182" s="195" t="str">
        <f>IF(ISEVEN(LEFT(AD182,4)),"Southbound","NorthBound")</f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-13T13:40:04-0600',mode:absolute,to:'2017-07-13T15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5.8596000000000004</v>
      </c>
      <c r="Z182" s="197">
        <f>RIGHT(H182,LEN(H182)-4)/10000</f>
        <v>7.1199999999999999E-2</v>
      </c>
      <c r="AA182" s="197">
        <f>ABS(Z182-Y182)</f>
        <v>5.7884000000000002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/stypes="app*4043*20170713*" /stext=" 20:.+((SYSTEM_STATE.+slice.+state.+changed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4"/>
        <v>"%USERPROFILE%\Documents\GitHub\eaglep3\Utilities\RefineRTDCRunTimes.py" --tripid 824-13 --locoid 4043 --swversion DE.1.0.9.0 --startMP 300:58596 --initTime 2017-07-13T14:40:04 --startdatetime 2017-07-13T14:42:32 --delay 1 --endMP 204:712 --enddatetime 2017-07-13T14:57:07 --enforcementcount 1 &gt;&gt;C:\Users\stu\Documents\GitHub\eaglep3-reporting\EC\2017-07-13-refined-times.txt</v>
      </c>
      <c r="AI182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{"issue":{"subject":"","project_id":79,"tracker_id":40,"status_id":1,"priority_id":2,"assigned_to_id":23,"start_date":"2017-07-13","description":"","custom_fields":[{"id":1,"name":"Subdivision","value":"NW"},{"id":4,"name":"Milepost","value":"0.0712"},{"id":17,"name":"Train ID","value":"824-13"},{"id":16,"name":"Locomotive ID","value":"4043"},{"id":130,"name":"Impact","value":""},{"id":150,"name":"Time of Event (Mountain Time)","value":"14:57:07"},{"id":151,"name":"Denver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6"/>
        <v>start /low /b %USERPROFILE%\Documents\GitHub\eaglep3\Utilities\DownloadLogsFromS3.py --loco 4043 --day 2017-07-13</v>
      </c>
      <c r="AN18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20:57:07"},{"id":29,"name":"Sharepoint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784</v>
      </c>
      <c r="B183" s="7">
        <v>4044</v>
      </c>
      <c r="C183" s="21" t="s">
        <v>199</v>
      </c>
      <c r="D183" s="21" t="s">
        <v>503</v>
      </c>
      <c r="E183" s="13">
        <v>42929.63040509259</v>
      </c>
      <c r="F183" s="13">
        <v>42929.640034722222</v>
      </c>
      <c r="G183" s="7">
        <v>1</v>
      </c>
      <c r="H183" s="21" t="s">
        <v>987</v>
      </c>
      <c r="I183" s="13">
        <v>42929.648865740739</v>
      </c>
      <c r="J183" s="7">
        <v>1</v>
      </c>
      <c r="K183" s="89" t="str">
        <f>IF(ISEVEN(B183),(B183-1)&amp;"/"&amp;B183,B183&amp;"/"&amp;(B183+1))</f>
        <v>4043/4044</v>
      </c>
      <c r="L183" s="21" t="str">
        <f>VLOOKUP(A183,'Trips&amp;Operators'!$C$1:$G$99999,5,FALSE)</f>
        <v>BIRKHOLZ NADINE</v>
      </c>
      <c r="M183" s="6">
        <f>I183-F183</f>
        <v>8.8310185165028088E-3</v>
      </c>
      <c r="N183" s="7">
        <f>24*60*SUM($M183:$M183)</f>
        <v>12.716666663764045</v>
      </c>
      <c r="O183" s="7"/>
      <c r="P183" s="7"/>
      <c r="Q183" s="22"/>
      <c r="R183" s="170"/>
      <c r="S183" s="213">
        <f>1/IF(AG183="EC",12,1)*SUM(U183:U183)</f>
        <v>1</v>
      </c>
      <c r="T183" s="195" t="str">
        <f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-13T14:07:47-0600',mode:absolute,to:'2017-07-13T16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9.9000000000000005E-2</v>
      </c>
      <c r="Z183" s="197">
        <f>RIGHT(H183,LEN(H183)-4)/10000</f>
        <v>5.8916000000000004</v>
      </c>
      <c r="AA183" s="197">
        <f>ABS(Z183-Y183)</f>
        <v>5.7926000000000002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/stypes="app*4044*20170713*" /stext=" 21:.+((SYSTEM_STATE.+slice.+state.+changed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4"/>
        <v>"%USERPROFILE%\Documents\GitHub\eaglep3\Utilities\RefineRTDCRunTimes.py" --tripid 825-13 --locoid 4044 --swversion DE.1.0.9.0 --startMP 204:990 --initTime 2017-07-13T15:07:47 --startdatetime 2017-07-13T15:21:39 --delay 1 --endMP 300:58916 --enddatetime 2017-07-13T15:34:22 --enforcementcount 1 &gt;&gt;C:\Users\stu\Documents\GitHub\eaglep3-reporting\EC\2017-07-13-refined-times.txt</v>
      </c>
      <c r="AI183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{"issue":{"subject":"","project_id":79,"tracker_id":40,"status_id":1,"priority_id":2,"assigned_to_id":23,"start_date":"2017-07-13","description":"","custom_fields":[{"id":1,"name":"Subdivision","value":"NW"},{"id":4,"name":"Milepost","value":"5.8916"},{"id":17,"name":"Train ID","value":"825-13"},{"id":16,"name":"Locomotive ID","value":"4044"},{"id":130,"name":"Impact","value":""},{"id":150,"name":"Time of Event (Mountain Time)","value":"15:34:22"},{"id":151,"name":"Denver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6"/>
        <v>start /low /b %USERPROFILE%\Documents\GitHub\eaglep3\Utilities\DownloadLogsFromS3.py --loco 4044 --day 2017-07-13</v>
      </c>
      <c r="AN183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787</v>
      </c>
      <c r="B184" s="7">
        <v>4043</v>
      </c>
      <c r="C184" s="21" t="s">
        <v>199</v>
      </c>
      <c r="D184" s="21" t="s">
        <v>983</v>
      </c>
      <c r="E184" s="13">
        <v>42929.650150462963</v>
      </c>
      <c r="F184" s="13">
        <v>42929.653726851851</v>
      </c>
      <c r="G184" s="7">
        <v>1</v>
      </c>
      <c r="H184" s="21" t="s">
        <v>547</v>
      </c>
      <c r="I184" s="13">
        <v>42929.663472222222</v>
      </c>
      <c r="J184" s="7">
        <v>1</v>
      </c>
      <c r="K184" s="89" t="str">
        <f>IF(ISEVEN(B184),(B184-1)&amp;"/"&amp;B184,B184&amp;"/"&amp;(B184+1))</f>
        <v>4043/4044</v>
      </c>
      <c r="L184" s="21" t="str">
        <f>VLOOKUP(A184,'Trips&amp;Operators'!$C$1:$G$99999,5,FALSE)</f>
        <v>BIRKHOLZ NADINE</v>
      </c>
      <c r="M184" s="6">
        <f>I184-F184</f>
        <v>9.7453703710925765E-3</v>
      </c>
      <c r="N184" s="7">
        <f>24*60*SUM($M184:$M184)</f>
        <v>14.03333333437331</v>
      </c>
      <c r="O184" s="7"/>
      <c r="P184" s="7"/>
      <c r="Q184" s="22"/>
      <c r="R184" s="170"/>
      <c r="S184" s="213">
        <f>1/IF(AG184="EC",12,1)*SUM(U184:U184)</f>
        <v>1</v>
      </c>
      <c r="T184" s="195" t="str">
        <f>IF(ISEVEN(LEFT(AD184,4)),"Southbound","NorthBound")</f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-13T14:36:13-0600',mode:absolute,to:'2017-07-13T16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5.8609</v>
      </c>
      <c r="Z184" s="197">
        <f>RIGHT(H184,LEN(H184)-4)/10000</f>
        <v>6.9099999999999995E-2</v>
      </c>
      <c r="AA184" s="197">
        <f>ABS(Z184-Y184)</f>
        <v>5.7918000000000003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/stypes="app*4043*20170713*" /stext=" 21:.+((SYSTEM_STATE.+slice.+state.+changed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4"/>
        <v>"%USERPROFILE%\Documents\GitHub\eaglep3\Utilities\RefineRTDCRunTimes.py" --tripid 826-13 --locoid 4043 --swversion DE.1.0.9.0 --startMP 300:58609 --initTime 2017-07-13T15:36:13 --startdatetime 2017-07-13T15:41:22 --delay 1 --endMP 204:691 --enddatetime 2017-07-13T15:55:24 --enforcementcount 1 &gt;&gt;C:\Users\stu\Documents\GitHub\eaglep3-reporting\EC\2017-07-13-refined-times.txt</v>
      </c>
      <c r="AI184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{"issue":{"subject":"","project_id":79,"tracker_id":40,"status_id":1,"priority_id":2,"assigned_to_id":23,"start_date":"2017-07-13","description":"","custom_fields":[{"id":1,"name":"Subdivision","value":"NW"},{"id":4,"name":"Milepost","value":"0.0691"},{"id":17,"name":"Train ID","value":"826-13"},{"id":16,"name":"Locomotive ID","value":"4043"},{"id":130,"name":"Impact","value":""},{"id":150,"name":"Time of Event (Mountain Time)","value":"15:55:24"},{"id":151,"name":"Denver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16"/>
        <v>start /low /b %USERPROFILE%\Documents\GitHub\eaglep3\Utilities\DownloadLogsFromS3.py --loco 4043 --day 2017-07-13</v>
      </c>
      <c r="AN184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791</v>
      </c>
      <c r="B185" s="7">
        <v>4016</v>
      </c>
      <c r="C185" s="21" t="s">
        <v>199</v>
      </c>
      <c r="D185" s="21" t="s">
        <v>432</v>
      </c>
      <c r="E185" s="13">
        <v>42929.653240740743</v>
      </c>
      <c r="F185" s="13">
        <v>42929.660787037035</v>
      </c>
      <c r="G185" s="7">
        <v>8</v>
      </c>
      <c r="H185" s="21" t="s">
        <v>601</v>
      </c>
      <c r="I185" s="13">
        <v>42929.670162037037</v>
      </c>
      <c r="J185" s="7">
        <v>1</v>
      </c>
      <c r="K185" s="89" t="str">
        <f>IF(ISEVEN(B185),(B185-1)&amp;"/"&amp;B185,B185&amp;"/"&amp;(B185+1))</f>
        <v>4015/4016</v>
      </c>
      <c r="L185" s="21" t="str">
        <f>VLOOKUP(A185,'Trips&amp;Operators'!$C$1:$G$99999,5,FALSE)</f>
        <v>MAGEE KENYA</v>
      </c>
      <c r="M185" s="6">
        <f>I185-F185</f>
        <v>9.3750000014551915E-3</v>
      </c>
      <c r="N185" s="7">
        <f>24*60*SUM($M185:$M185)</f>
        <v>13.500000002095476</v>
      </c>
      <c r="O185" s="7"/>
      <c r="P185" s="7"/>
      <c r="Q185" s="22"/>
      <c r="R185" s="170"/>
      <c r="S185" s="213">
        <f>1/IF(AG185="EC",12,1)*SUM(U185:U185)</f>
        <v>1</v>
      </c>
      <c r="T185" s="195" t="str">
        <f>IF(ISEVEN(LEFT(AD185,4)),"Southbound","NorthBound")</f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-13T14:40:40-0600',mode:absolute,to:'2017-07-13T17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9.8299999999999998E-2</v>
      </c>
      <c r="Z185" s="197">
        <f>RIGHT(H185,LEN(H185)-4)/10000</f>
        <v>5.8963000000000001</v>
      </c>
      <c r="AA185" s="197">
        <f>ABS(Z185-Y185)</f>
        <v>5.798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/stypes="app*4016*20170713*" /stext=" 22:.+((SYSTEM_STATE.+slice.+state.+changed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4"/>
        <v>"%USERPROFILE%\Documents\GitHub\eaglep3\Utilities\RefineRTDCRunTimes.py" --tripid 827-13 --locoid 4016 --swversion DE.1.0.9.0 --startMP 204:983 --initTime 2017-07-13T15:40:40 --startdatetime 2017-07-13T15:51:32 --delay 8 --endMP 300:58963 --enddatetime 2017-07-13T16:05:02 --enforcementcount 1 &gt;&gt;C:\Users\stu\Documents\GitHub\eaglep3-reporting\EC\2017-07-13-refined-times.txt</v>
      </c>
      <c r="AI185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{"issue":{"subject":"","project_id":79,"tracker_id":40,"status_id":1,"priority_id":2,"assigned_to_id":23,"start_date":"2017-07-13","description":"","custom_fields":[{"id":1,"name":"Subdivision","value":"NW"},{"id":4,"name":"Milepost","value":"5.8963"},{"id":17,"name":"Train ID","value":"827-13"},{"id":16,"name":"Locomotive ID","value":"4016"},{"id":130,"name":"Impact","value":""},{"id":150,"name":"Time of Event (Mountain Time)","value":"16:05:02"},{"id":151,"name":"Denver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6"/>
        <v>start /low /b %USERPROFILE%\Documents\GitHub\eaglep3\Utilities\DownloadLogsFromS3.py --loco 4016 --day 2017-07-13</v>
      </c>
      <c r="AN185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793</v>
      </c>
      <c r="B186" s="7">
        <v>4015</v>
      </c>
      <c r="C186" s="21" t="s">
        <v>199</v>
      </c>
      <c r="D186" s="21" t="s">
        <v>988</v>
      </c>
      <c r="E186" s="13">
        <v>42929.671018518522</v>
      </c>
      <c r="F186" s="13">
        <v>42929.672592592593</v>
      </c>
      <c r="G186" s="7">
        <v>1</v>
      </c>
      <c r="H186" s="21" t="s">
        <v>599</v>
      </c>
      <c r="I186" s="13">
        <v>42929.684363425928</v>
      </c>
      <c r="J186" s="7">
        <v>1</v>
      </c>
      <c r="K186" s="89" t="str">
        <f>IF(ISEVEN(B186),(B186-1)&amp;"/"&amp;B186,B186&amp;"/"&amp;(B186+1))</f>
        <v>4015/4016</v>
      </c>
      <c r="L186" s="21" t="str">
        <f>VLOOKUP(A186,'Trips&amp;Operators'!$C$1:$G$99999,5,FALSE)</f>
        <v>MAGEE KENYA</v>
      </c>
      <c r="M186" s="6">
        <f>I186-F186</f>
        <v>1.1770833334594499E-2</v>
      </c>
      <c r="N186" s="7">
        <f>24*60*SUM($M186:$M186)</f>
        <v>16.950000001816079</v>
      </c>
      <c r="O186" s="7"/>
      <c r="P186" s="7"/>
      <c r="Q186" s="22"/>
      <c r="R186" s="170"/>
      <c r="S186" s="213">
        <f>1/IF(AG186="EC",12,1)*SUM(U186:U186)</f>
        <v>1</v>
      </c>
      <c r="T186" s="195" t="str">
        <f>IF(ISEVEN(LEFT(AD186,4)),"Southbound","NorthBound")</f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-13T15:06:16-0600',mode:absolute,to:'2017-07-13T17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5.8647</v>
      </c>
      <c r="Z186" s="197">
        <f>RIGHT(H186,LEN(H186)-4)/10000</f>
        <v>7.0800000000000002E-2</v>
      </c>
      <c r="AA186" s="197">
        <f>ABS(Z186-Y186)</f>
        <v>5.7938999999999998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/stypes="app*4015*20170713*" /stext=" 22:.+((SYSTEM_STATE.+slice.+state.+changed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4"/>
        <v>"%USERPROFILE%\Documents\GitHub\eaglep3\Utilities\RefineRTDCRunTimes.py" --tripid 828-13 --locoid 4015 --swversion DE.1.0.9.0 --startMP 300:58647 --initTime 2017-07-13T16:06:16 --startdatetime 2017-07-13T16:08:32 --delay 1 --endMP 204:708 --enddatetime 2017-07-13T16:25:29 --enforcementcount 1 &gt;&gt;C:\Users\stu\Documents\GitHub\eaglep3-reporting\EC\2017-07-13-refined-times.txt</v>
      </c>
      <c r="AI186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{"issue":{"subject":"","project_id":79,"tracker_id":40,"status_id":1,"priority_id":2,"assigned_to_id":23,"start_date":"2017-07-13","description":"","custom_fields":[{"id":1,"name":"Subdivision","value":"NW"},{"id":4,"name":"Milepost","value":"0.0708"},{"id":17,"name":"Train ID","value":"828-13"},{"id":16,"name":"Locomotive ID","value":"4015"},{"id":130,"name":"Impact","value":""},{"id":150,"name":"Time of Event (Mountain Time)","value":"16:25:29"},{"id":151,"name":"Denver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6"/>
        <v>start /low /b %USERPROFILE%\Documents\GitHub\eaglep3\Utilities\DownloadLogsFromS3.py --loco 4015 --day 2017-07-13</v>
      </c>
      <c r="AN186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644</v>
      </c>
      <c r="B187" s="7">
        <v>4044</v>
      </c>
      <c r="C187" s="21" t="s">
        <v>199</v>
      </c>
      <c r="D187" s="21" t="s">
        <v>979</v>
      </c>
      <c r="E187" s="13">
        <v>42929.672650462962</v>
      </c>
      <c r="F187" s="13">
        <v>42929.681666666664</v>
      </c>
      <c r="G187" s="7">
        <v>1</v>
      </c>
      <c r="H187" s="21" t="s">
        <v>974</v>
      </c>
      <c r="I187" s="13">
        <v>42929.692013888889</v>
      </c>
      <c r="J187" s="7">
        <v>1</v>
      </c>
      <c r="K187" s="89" t="str">
        <f>IF(ISEVEN(B187),(B187-1)&amp;"/"&amp;B187,B187&amp;"/"&amp;(B187+1))</f>
        <v>4043/4044</v>
      </c>
      <c r="L187" s="21" t="str">
        <f>VLOOKUP(A187,'Trips&amp;Operators'!$C$1:$G$99999,5,FALSE)</f>
        <v>BIRKHOLZ NADINE</v>
      </c>
      <c r="M187" s="6">
        <f>I187-F187</f>
        <v>1.0347222225391306E-2</v>
      </c>
      <c r="N187" s="7">
        <f>24*60*SUM($M187:$M187)</f>
        <v>14.900000004563481</v>
      </c>
      <c r="O187" s="7"/>
      <c r="P187" s="7"/>
      <c r="Q187" s="22"/>
      <c r="R187" s="170"/>
      <c r="S187" s="213">
        <f>1/IF(AG187="EC",12,1)*SUM(U187:U187)</f>
        <v>1</v>
      </c>
      <c r="T187" s="195" t="str">
        <f>IF(ISEVEN(LEFT(AD187,4)),"Southbound","NorthBound")</f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-13T15:08:37-0600',mode:absolute,to:'2017-07-13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9.6699999999999994E-2</v>
      </c>
      <c r="Z187" s="197">
        <f>RIGHT(H187,LEN(H187)-4)/10000</f>
        <v>5.8928000000000003</v>
      </c>
      <c r="AA187" s="197">
        <f>ABS(Z187-Y187)</f>
        <v>5.7961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/stypes="app*4044*20170713*"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4"/>
        <v>"%USERPROFILE%\Documents\GitHub\eaglep3\Utilities\RefineRTDCRunTimes.py" --tripid 829-13 --locoid 4044 --swversion DE.1.0.9.0 --startMP 204:967 --initTime 2017-07-13T16:08:37 --startdatetime 2017-07-13T16:21:36 --delay 1 --endMP 300:58928 --enddatetime 2017-07-13T16:36:30 --enforcementcount 1 &gt;&gt;C:\Users\stu\Documents\GitHub\eaglep3-reporting\EC\2017-07-13-refined-times.txt</v>
      </c>
      <c r="AI187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{"issue":{"subject":"","project_id":79,"tracker_id":40,"status_id":1,"priority_id":2,"assigned_to_id":23,"start_date":"2017-07-13","description":"","custom_fields":[{"id":1,"name":"Subdivision","value":"NW"},{"id":4,"name":"Milepost","value":"5.8928"},{"id":17,"name":"Train ID","value":"829-13"},{"id":16,"name":"Locomotive ID","value":"4044"},{"id":130,"name":"Impact","value":""},{"id":150,"name":"Time of Event (Mountain Time)","value":"16:36:30"},{"id":151,"name":"Denver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16"/>
        <v>start /low /b %USERPROFILE%\Documents\GitHub\eaglep3\Utilities\DownloadLogsFromS3.py --loco 4044 --day 2017-07-13</v>
      </c>
      <c r="AN187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645</v>
      </c>
      <c r="B188" s="7">
        <v>4043</v>
      </c>
      <c r="C188" s="21" t="s">
        <v>199</v>
      </c>
      <c r="D188" s="21" t="s">
        <v>544</v>
      </c>
      <c r="E188" s="13">
        <v>42929.693032407406</v>
      </c>
      <c r="F188" s="13">
        <v>42929.694826388892</v>
      </c>
      <c r="G188" s="7">
        <v>1</v>
      </c>
      <c r="H188" s="21" t="s">
        <v>989</v>
      </c>
      <c r="I188" s="13">
        <v>42929.705659722225</v>
      </c>
      <c r="J188" s="7">
        <v>1</v>
      </c>
      <c r="K188" s="89" t="str">
        <f>IF(ISEVEN(B188),(B188-1)&amp;"/"&amp;B188,B188&amp;"/"&amp;(B188+1))</f>
        <v>4043/4044</v>
      </c>
      <c r="L188" s="21" t="str">
        <f>VLOOKUP(A188,'Trips&amp;Operators'!$C$1:$G$99999,5,FALSE)</f>
        <v>BIRKHOLZ NADINE</v>
      </c>
      <c r="M188" s="6">
        <f>I188-F188</f>
        <v>1.0833333333721384E-2</v>
      </c>
      <c r="N188" s="7">
        <f>24*60*SUM($M188:$M188)</f>
        <v>15.600000000558794</v>
      </c>
      <c r="O188" s="7"/>
      <c r="P188" s="7"/>
      <c r="Q188" s="22"/>
      <c r="R188" s="170"/>
      <c r="S188" s="213">
        <f>1/IF(AG188="EC",12,1)*SUM(U188:U188)</f>
        <v>1</v>
      </c>
      <c r="T188" s="195" t="str">
        <f>IF(ISEVEN(LEFT(AD188,4)),"Southbound","NorthBound")</f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-13T15:37:58-0600',mode:absolute,to:'2017-07-13T17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5.8615000000000004</v>
      </c>
      <c r="Z188" s="197">
        <f>RIGHT(H188,LEN(H188)-4)/10000</f>
        <v>6.7500000000000004E-2</v>
      </c>
      <c r="AA188" s="197">
        <f>ABS(Z188-Y188)</f>
        <v>5.7940000000000005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/stypes="app*4043*20170713*"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4"/>
        <v>"%USERPROFILE%\Documents\GitHub\eaglep3\Utilities\RefineRTDCRunTimes.py" --tripid 830-13 --locoid 4043 --swversion DE.1.0.9.0 --startMP 300:58615 --initTime 2017-07-13T16:37:58 --startdatetime 2017-07-13T16:40:33 --delay 1 --endMP 204:675 --enddatetime 2017-07-13T16:56:09 --enforcementcount 1 &gt;&gt;C:\Users\stu\Documents\GitHub\eaglep3-reporting\EC\2017-07-13-refined-times.txt</v>
      </c>
      <c r="AI188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{"issue":{"subject":"","project_id":79,"tracker_id":40,"status_id":1,"priority_id":2,"assigned_to_id":23,"start_date":"2017-07-13","description":"","custom_fields":[{"id":1,"name":"Subdivision","value":"NW"},{"id":4,"name":"Milepost","value":"0.0675"},{"id":17,"name":"Train ID","value":"830-13"},{"id":16,"name":"Locomotive ID","value":"4043"},{"id":130,"name":"Impact","value":""},{"id":150,"name":"Time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16"/>
        <v>start /low /b %USERPROFILE%\Documents\GitHub\eaglep3\Utilities\DownloadLogsFromS3.py --loco 4043 --day 2017-07-13</v>
      </c>
      <c r="AN18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22:56:09"},{"id":29,"name":"Sharepoint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800</v>
      </c>
      <c r="B189" s="7">
        <v>4016</v>
      </c>
      <c r="C189" s="21" t="s">
        <v>199</v>
      </c>
      <c r="D189" s="21" t="s">
        <v>595</v>
      </c>
      <c r="E189" s="13">
        <v>42929.699050925927</v>
      </c>
      <c r="F189" s="13">
        <v>42929.702349537038</v>
      </c>
      <c r="G189" s="7">
        <v>1</v>
      </c>
      <c r="H189" s="21" t="s">
        <v>608</v>
      </c>
      <c r="I189" s="13">
        <v>42929.711956018517</v>
      </c>
      <c r="J189" s="7">
        <v>1</v>
      </c>
      <c r="K189" s="89" t="str">
        <f>IF(ISEVEN(B189),(B189-1)&amp;"/"&amp;B189,B189&amp;"/"&amp;(B189+1))</f>
        <v>4015/4016</v>
      </c>
      <c r="L189" s="21" t="str">
        <f>VLOOKUP(A189,'Trips&amp;Operators'!$C$1:$G$99999,5,FALSE)</f>
        <v>MAGEE KENYA</v>
      </c>
      <c r="M189" s="6">
        <f>I189-F189</f>
        <v>9.6064814788405783E-3</v>
      </c>
      <c r="N189" s="7">
        <f>24*60*SUM($M189:$M189)</f>
        <v>13.833333329530433</v>
      </c>
      <c r="O189" s="7"/>
      <c r="P189" s="7"/>
      <c r="Q189" s="22"/>
      <c r="R189" s="170"/>
      <c r="S189" s="213">
        <f>1/IF(AG189="EC",12,1)*SUM(U189:U189)</f>
        <v>1</v>
      </c>
      <c r="T189" s="195" t="str">
        <f>IF(ISEVEN(LEFT(AD189,4)),"Southbound","NorthBound")</f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-13T15:46:38-0600',mode:absolute,to:'2017-07-13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0.1016</v>
      </c>
      <c r="Z189" s="197">
        <f>RIGHT(H189,LEN(H189)-4)/10000</f>
        <v>5.8958000000000004</v>
      </c>
      <c r="AA189" s="197">
        <f>ABS(Z189-Y189)</f>
        <v>5.7942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/stypes="app*4016*20170713*" /stext=" 23:.+((SYSTEM_STATE.+slice.+state.+changed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4"/>
        <v>"%USERPROFILE%\Documents\GitHub\eaglep3\Utilities\RefineRTDCRunTimes.py" --tripid 831-13 --locoid 4016 --swversion DE.1.0.9.0 --startMP 204:1016 --initTime 2017-07-13T16:46:38 --startdatetime 2017-07-13T16:51:23 --delay 1 --endMP 300:58958 --enddatetime 2017-07-13T17:05:13 --enforcementcount 1 &gt;&gt;C:\Users\stu\Documents\GitHub\eaglep3-reporting\EC\2017-07-13-refined-times.txt</v>
      </c>
      <c r="AI189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{"issue":{"subject":"","project_id":79,"tracker_id":40,"status_id":1,"priority_id":2,"assigned_to_id":23,"start_date":"2017-07-13","description":"","custom_fields":[{"id":1,"name":"Subdivision","value":"NW"},{"id":4,"name":"Milepost","value":"5.8958"},{"id":17,"name":"Train ID","value":"831-13"},{"id":16,"name":"Locomotive ID","value":"4016"},{"id":130,"name":"Impact","value":""},{"id":150,"name":"Time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16"/>
        <v>start /low /b %USERPROFILE%\Documents\GitHub\eaglep3\Utilities\DownloadLogsFromS3.py --loco 4016 --day 2017-07-13</v>
      </c>
      <c r="AN18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647</v>
      </c>
      <c r="B190" s="7">
        <v>4015</v>
      </c>
      <c r="C190" s="21" t="s">
        <v>199</v>
      </c>
      <c r="D190" s="21" t="s">
        <v>604</v>
      </c>
      <c r="E190" s="13">
        <v>42929.713587962964</v>
      </c>
      <c r="F190" s="13">
        <v>42929.716539351852</v>
      </c>
      <c r="G190" s="7">
        <v>1</v>
      </c>
      <c r="H190" s="21" t="s">
        <v>990</v>
      </c>
      <c r="I190" s="13">
        <v>42929.726284722223</v>
      </c>
      <c r="J190" s="7">
        <v>1</v>
      </c>
      <c r="K190" s="89" t="str">
        <f>IF(ISEVEN(B190),(B190-1)&amp;"/"&amp;B190,B190&amp;"/"&amp;(B190+1))</f>
        <v>4015/4016</v>
      </c>
      <c r="L190" s="21" t="str">
        <f>VLOOKUP(A190,'Trips&amp;Operators'!$C$1:$G$99999,5,FALSE)</f>
        <v>MAGEE KENYA</v>
      </c>
      <c r="M190" s="6">
        <f>I190-F190</f>
        <v>9.7453703710925765E-3</v>
      </c>
      <c r="N190" s="7">
        <f>24*60*SUM($M190:$M190)</f>
        <v>14.03333333437331</v>
      </c>
      <c r="O190" s="7"/>
      <c r="P190" s="7"/>
      <c r="Q190" s="22"/>
      <c r="R190" s="170"/>
      <c r="S190" s="213">
        <f>1/IF(AG190="EC",12,1)*SUM(U190:U190)</f>
        <v>1</v>
      </c>
      <c r="T190" s="195" t="str">
        <f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-13T16:07:34-0600',mode:absolute,to:'2017-07-13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5.8638000000000003</v>
      </c>
      <c r="Z190" s="197">
        <f>RIGHT(H190,LEN(H190)-4)/10000</f>
        <v>7.4700000000000003E-2</v>
      </c>
      <c r="AA190" s="197">
        <f>ABS(Z190-Y190)</f>
        <v>5.7891000000000004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/stypes="app*4015*20170713*" /stext=" 23:.+((SYSTEM_STATE.+slice.+state.+changed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4"/>
        <v>"%USERPROFILE%\Documents\GitHub\eaglep3\Utilities\RefineRTDCRunTimes.py" --tripid 832-13 --locoid 4015 --swversion DE.1.0.9.0 --startMP 300:58638 --initTime 2017-07-13T17:07:34 --startdatetime 2017-07-13T17:11:49 --delay 1 --endMP 204:747 --enddatetime 2017-07-13T17:25:51 --enforcementcount 1 &gt;&gt;C:\Users\stu\Documents\GitHub\eaglep3-reporting\EC\2017-07-13-refined-times.txt</v>
      </c>
      <c r="AI190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{"issue":{"subject":"","project_id":79,"tracker_id":40,"status_id":1,"priority_id":2,"assigned_to_id":23,"start_date":"2017-07-13","description":"","custom_fields":[{"id":1,"name":"Subdivision","value":"NW"},{"id":4,"name":"Milepost","value":"0.0747"},{"id":17,"name":"Train ID","value":"832-13"},{"id":16,"name":"Locomotive ID","value":"4015"},{"id":130,"name":"Impact","value":""},{"id":150,"name":"Time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16"/>
        <v>start /low /b %USERPROFILE%\Documents\GitHub\eaglep3\Utilities\DownloadLogsFromS3.py --loco 4015 --day 2017-07-13</v>
      </c>
      <c r="AN19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804</v>
      </c>
      <c r="B191" s="7">
        <v>4044</v>
      </c>
      <c r="C191" s="21" t="s">
        <v>199</v>
      </c>
      <c r="D191" s="21" t="s">
        <v>502</v>
      </c>
      <c r="E191" s="13">
        <v>42929.714699074073</v>
      </c>
      <c r="F191" s="13">
        <v>42929.723391203705</v>
      </c>
      <c r="G191" s="7">
        <v>1</v>
      </c>
      <c r="H191" s="21" t="s">
        <v>982</v>
      </c>
      <c r="I191" s="13">
        <v>42929.733437499999</v>
      </c>
      <c r="J191" s="7">
        <v>1</v>
      </c>
      <c r="K191" s="89" t="str">
        <f>IF(ISEVEN(B191),(B191-1)&amp;"/"&amp;B191,B191&amp;"/"&amp;(B191+1))</f>
        <v>4043/4044</v>
      </c>
      <c r="L191" s="21" t="str">
        <f>VLOOKUP(A191,'Trips&amp;Operators'!$C$1:$G$99999,5,FALSE)</f>
        <v>BIRKHOLZ NADINE</v>
      </c>
      <c r="M191" s="6">
        <f>I191-F191</f>
        <v>1.0046296294603962E-2</v>
      </c>
      <c r="N191" s="7">
        <f>24*60*SUM($M191:$M191)</f>
        <v>14.466666664229706</v>
      </c>
      <c r="O191" s="7"/>
      <c r="P191" s="7"/>
      <c r="Q191" s="22"/>
      <c r="R191" s="170"/>
      <c r="S191" s="213">
        <f>1/IF(AG191="EC",12,1)*SUM(U191:U191)</f>
        <v>1</v>
      </c>
      <c r="T191" s="195" t="str">
        <f>IF(ISEVEN(LEFT(AD191,4)),"Southbound","NorthBound")</f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-13T16:09:10-0600',mode:absolute,to:'2017-07-13T18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9.9199999999999997E-2</v>
      </c>
      <c r="Z191" s="197">
        <f>RIGHT(H191,LEN(H191)-4)/10000</f>
        <v>5.8925999999999998</v>
      </c>
      <c r="AA191" s="197">
        <f>ABS(Z191-Y191)</f>
        <v>5.7934000000000001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/stypes="app*4044*20170713*"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4"/>
        <v>"%USERPROFILE%\Documents\GitHub\eaglep3\Utilities\RefineRTDCRunTimes.py" --tripid 833-13 --locoid 4044 --swversion DE.1.0.9.0 --startMP 204:992 --initTime 2017-07-13T17:09:10 --startdatetime 2017-07-13T17:21:41 --delay 1 --endMP 300:58926 --enddatetime 2017-07-13T17:36:09 --enforcementcount 1 &gt;&gt;C:\Users\stu\Documents\GitHub\eaglep3-reporting\EC\2017-07-13-refined-times.txt</v>
      </c>
      <c r="AI191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{"issue":{"subject":"","project_id":79,"tracker_id":40,"status_id":1,"priority_id":2,"assigned_to_id":23,"start_date":"2017-07-13","description":"","custom_fields":[{"id":1,"name":"Subdivision","value":"NW"},{"id":4,"name":"Milepost","value":"5.8926"},{"id":17,"name":"Train ID","value":"833-13"},{"id":16,"name":"Locomotive ID","value":"4044"},{"id":130,"name":"Impact","value":""},{"id":150,"name":"Time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6"/>
        <v>start /low /b %USERPROFILE%\Documents\GitHub\eaglep3\Utilities\DownloadLogsFromS3.py --loco 4044 --day 2017-07-13</v>
      </c>
      <c r="AN19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807</v>
      </c>
      <c r="B192" s="7">
        <v>4043</v>
      </c>
      <c r="C192" s="21" t="s">
        <v>199</v>
      </c>
      <c r="D192" s="21" t="s">
        <v>991</v>
      </c>
      <c r="E192" s="13">
        <v>42929.736192129632</v>
      </c>
      <c r="F192" s="13">
        <v>42929.737974537034</v>
      </c>
      <c r="G192" s="7">
        <v>0</v>
      </c>
      <c r="H192" s="21" t="s">
        <v>545</v>
      </c>
      <c r="I192" s="13">
        <v>42929.747372685182</v>
      </c>
      <c r="J192" s="7">
        <v>1</v>
      </c>
      <c r="K192" s="89" t="str">
        <f>IF(ISEVEN(B192),(B192-1)&amp;"/"&amp;B192,B192&amp;"/"&amp;(B192+1))</f>
        <v>4043/4044</v>
      </c>
      <c r="L192" s="21" t="str">
        <f>VLOOKUP(A192,'Trips&amp;Operators'!$C$1:$G$99999,5,FALSE)</f>
        <v>BIRKHOLZ NADINE</v>
      </c>
      <c r="M192" s="6">
        <f>I192-F192</f>
        <v>9.3981481477385387E-3</v>
      </c>
      <c r="N192" s="7">
        <f>24*60*SUM($M192:$M192)</f>
        <v>13.533333332743496</v>
      </c>
      <c r="O192" s="7"/>
      <c r="P192" s="7"/>
      <c r="Q192" s="22"/>
      <c r="R192" s="170"/>
      <c r="S192" s="213">
        <f>1/IF(AG192="EC",12,1)*SUM(U192:U192)</f>
        <v>1</v>
      </c>
      <c r="T192" s="195" t="str">
        <f>IF(ISEVEN(LEFT(AD192,4)),"Southbound","NorthBound")</f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-13T16:40:07-0600',mode:absolute,to:'2017-07-13T18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5.8611000000000004</v>
      </c>
      <c r="Z192" s="197">
        <f>RIGHT(H192,LEN(H192)-4)/10000</f>
        <v>6.9199999999999998E-2</v>
      </c>
      <c r="AA192" s="197">
        <f>ABS(Z192-Y192)</f>
        <v>5.7919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/stypes="app*4043*20170713*"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4"/>
        <v>"%USERPROFILE%\Documents\GitHub\eaglep3\Utilities\RefineRTDCRunTimes.py" --tripid 834-13 --locoid 4043 --swversion DE.1.0.9.0 --startMP 300:58611 --initTime 2017-07-13T17:40:07 --startdatetime 2017-07-13T17:42:41 --delay 0 --endMP 204:692 --enddatetime 2017-07-13T17:56:13 --enforcementcount 1 &gt;&gt;C:\Users\stu\Documents\GitHub\eaglep3-reporting\EC\2017-07-13-refined-times.txt</v>
      </c>
      <c r="AI192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{"issue":{"subject":"","project_id":79,"tracker_id":40,"status_id":1,"priority_id":2,"assigned_to_id":23,"start_date":"2017-07-13","description":"","custom_fields":[{"id":1,"name":"Subdivision","value":"NW"},{"id":4,"name":"Milepost","value":"0.0692"},{"id":17,"name":"Train ID","value":"834-13"},{"id":16,"name":"Locomotive ID","value":"4043"},{"id":130,"name":"Impact","value":""},{"id":150,"name":"Time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16"/>
        <v>start /low /b %USERPROFILE%\Documents\GitHub\eaglep3\Utilities\DownloadLogsFromS3.py --loco 4043 --day 2017-07-13</v>
      </c>
      <c r="AN19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650</v>
      </c>
      <c r="B193" s="7">
        <v>4016</v>
      </c>
      <c r="C193" s="21" t="s">
        <v>199</v>
      </c>
      <c r="D193" s="21" t="s">
        <v>992</v>
      </c>
      <c r="E193" s="13">
        <v>42929.741712962961</v>
      </c>
      <c r="F193" s="13">
        <v>42929.744120370371</v>
      </c>
      <c r="G193" s="7">
        <v>1</v>
      </c>
      <c r="H193" s="21" t="s">
        <v>963</v>
      </c>
      <c r="I193" s="13">
        <v>42929.753576388888</v>
      </c>
      <c r="J193" s="7">
        <v>1</v>
      </c>
      <c r="K193" s="89" t="str">
        <f>IF(ISEVEN(B193),(B193-1)&amp;"/"&amp;B193,B193&amp;"/"&amp;(B193+1))</f>
        <v>4015/4016</v>
      </c>
      <c r="L193" s="21" t="str">
        <f>VLOOKUP(A193,'Trips&amp;Operators'!$C$1:$G$99999,5,FALSE)</f>
        <v>MAGEE KENYA</v>
      </c>
      <c r="M193" s="6">
        <f>I193-F193</f>
        <v>9.4560185170848854E-3</v>
      </c>
      <c r="N193" s="7">
        <f>24*60*SUM($M193:$M193)</f>
        <v>13.616666664602235</v>
      </c>
      <c r="O193" s="7"/>
      <c r="P193" s="7"/>
      <c r="Q193" s="22"/>
      <c r="R193" s="170"/>
      <c r="S193" s="213">
        <f>1/IF(AG193="EC",12,1)*SUM(U193:U193)</f>
        <v>1</v>
      </c>
      <c r="T193" s="195" t="str">
        <f>IF(ISEVEN(LEFT(AD193,4)),"Southbound","NorthBound")</f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-13T16:48:04-0600',mode:absolute,to:'2017-07-13T19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0.10580000000000001</v>
      </c>
      <c r="Z193" s="197">
        <f>RIGHT(H193,LEN(H193)-4)/10000</f>
        <v>5.9012000000000002</v>
      </c>
      <c r="AA193" s="197">
        <f>ABS(Z193-Y193)</f>
        <v>5.7953999999999999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/stypes="app*4016*20170714*" /stext=" 00:.+((SYSTEM_STATE.+slice.+state.+changed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4"/>
        <v>"%USERPROFILE%\Documents\GitHub\eaglep3\Utilities\RefineRTDCRunTimes.py" --tripid 835-13 --locoid 4016 --swversion DE.1.0.9.0 --startMP 204:1058 --initTime 2017-07-13T17:48:04 --startdatetime 2017-07-13T17:51:32 --delay 1 --endMP 300:59012 --enddatetime 2017-07-13T18:05:09 --enforcementcount 1 &gt;&gt;C:\Users\stu\Documents\GitHub\eaglep3-reporting\EC\2017-07-13-refined-times.txt</v>
      </c>
      <c r="AI193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{"issue":{"subject":"","project_id":79,"tracker_id":40,"status_id":1,"priority_id":2,"assigned_to_id":23,"start_date":"2017-07-13","description":"","custom_fields":[{"id":1,"name":"Subdivision","value":"NW"},{"id":4,"name":"Milepost","value":"5.9012"},{"id":17,"name":"Train ID","value":"835-13"},{"id":16,"name":"Locomotive ID","value":"4016"},{"id":130,"name":"Impact","value":""},{"id":150,"name":"Time of Event (Mountain Time)","value":"18:05:09"},{"id":151,"name":"Denver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16"/>
        <v>start /low /b %USERPROFILE%\Documents\GitHub\eaglep3\Utilities\DownloadLogsFromS3.py --loco 4016 --day 2017-07-13</v>
      </c>
      <c r="AN193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816</v>
      </c>
      <c r="B194" s="7">
        <v>4015</v>
      </c>
      <c r="C194" s="21" t="s">
        <v>199</v>
      </c>
      <c r="D194" s="21" t="s">
        <v>993</v>
      </c>
      <c r="E194" s="13">
        <v>42929.755185185182</v>
      </c>
      <c r="F194" s="13">
        <v>42929.758738425924</v>
      </c>
      <c r="G194" s="7">
        <v>1</v>
      </c>
      <c r="H194" s="21" t="s">
        <v>990</v>
      </c>
      <c r="I194" s="13">
        <v>42929.767997685187</v>
      </c>
      <c r="J194" s="7">
        <v>1</v>
      </c>
      <c r="K194" s="89" t="str">
        <f>IF(ISEVEN(B194),(B194-1)&amp;"/"&amp;B194,B194&amp;"/"&amp;(B194+1))</f>
        <v>4015/4016</v>
      </c>
      <c r="L194" s="21" t="str">
        <f>VLOOKUP(A194,'Trips&amp;Operators'!$C$1:$G$99999,5,FALSE)</f>
        <v>MAGEE KENYA</v>
      </c>
      <c r="M194" s="6">
        <f>I194-F194</f>
        <v>9.2592592627624981E-3</v>
      </c>
      <c r="N194" s="7">
        <f>24*60*SUM($M194:$M194)</f>
        <v>13.333333338377997</v>
      </c>
      <c r="O194" s="7"/>
      <c r="P194" s="7"/>
      <c r="Q194" s="22"/>
      <c r="R194" s="170"/>
      <c r="S194" s="213">
        <f>1/IF(AG194="EC",12,1)*SUM(U194:U194)</f>
        <v>1</v>
      </c>
      <c r="T194" s="195" t="str">
        <f>IF(ISEVEN(LEFT(AD194,4)),"Southbound","NorthBound")</f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-13T17:07:28-0600',mode:absolute,to:'2017-07-13T19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5.8696000000000002</v>
      </c>
      <c r="Z194" s="197">
        <f>RIGHT(H194,LEN(H194)-4)/10000</f>
        <v>7.4700000000000003E-2</v>
      </c>
      <c r="AA194" s="197">
        <f>ABS(Z194-Y194)</f>
        <v>5.7949000000000002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/stypes="app*4015*20170714*" /stext=" 00:.+((SYSTEM_STATE.+slice.+state.+changed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4"/>
        <v>"%USERPROFILE%\Documents\GitHub\eaglep3\Utilities\RefineRTDCRunTimes.py" --tripid 836-13 --locoid 4015 --swversion DE.1.0.9.0 --startMP 300:58696 --initTime 2017-07-13T18:07:28 --startdatetime 2017-07-13T18:12:35 --delay 1 --endMP 204:747 --enddatetime 2017-07-13T18:25:55 --enforcementcount 1 &gt;&gt;C:\Users\stu\Documents\GitHub\eaglep3-reporting\EC\2017-07-13-refined-times.txt</v>
      </c>
      <c r="AI194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{"issue":{"subject":"","project_id":79,"tracker_id":40,"status_id":1,"priority_id":2,"assigned_to_id":23,"start_date":"2017-07-13","description":"","custom_fields":[{"id":1,"name":"Subdivision","value":"NW"},{"id":4,"name":"Milepost","value":"0.0747"},{"id":17,"name":"Train ID","value":"836-13"},{"id":16,"name":"Locomotive ID","value":"4015"},{"id":130,"name":"Impact","value":""},{"id":150,"name":"Time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16"/>
        <v>start /low /b %USERPROFILE%\Documents\GitHub\eaglep3\Utilities\DownloadLogsFromS3.py --loco 4015 --day 2017-07-13</v>
      </c>
      <c r="AN194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820</v>
      </c>
      <c r="B195" s="7">
        <v>4044</v>
      </c>
      <c r="C195" s="21" t="s">
        <v>199</v>
      </c>
      <c r="D195" s="21" t="s">
        <v>994</v>
      </c>
      <c r="E195" s="13">
        <v>42929.760289351849</v>
      </c>
      <c r="F195" s="13">
        <v>42929.764849537038</v>
      </c>
      <c r="G195" s="7">
        <v>1</v>
      </c>
      <c r="H195" s="21" t="s">
        <v>995</v>
      </c>
      <c r="I195" s="13">
        <v>42929.773622685185</v>
      </c>
      <c r="J195" s="7">
        <v>1</v>
      </c>
      <c r="K195" s="89" t="str">
        <f>IF(ISEVEN(B195),(B195-1)&amp;"/"&amp;B195,B195&amp;"/"&amp;(B195+1))</f>
        <v>4043/4044</v>
      </c>
      <c r="L195" s="21" t="str">
        <f>VLOOKUP(A195,'Trips&amp;Operators'!$C$1:$G$99999,5,FALSE)</f>
        <v>BIRKHOLZ NADINE</v>
      </c>
      <c r="M195" s="6">
        <f>I195-F195</f>
        <v>8.7731481471564621E-3</v>
      </c>
      <c r="N195" s="7">
        <f>24*60*SUM($M195:$M195)</f>
        <v>12.633333331905305</v>
      </c>
      <c r="O195" s="7"/>
      <c r="P195" s="7"/>
      <c r="Q195" s="22"/>
      <c r="R195" s="170"/>
      <c r="S195" s="213">
        <f>1/IF(AG195="EC",12,1)*SUM(U195:U195)</f>
        <v>1</v>
      </c>
      <c r="T195" s="195" t="str">
        <f>IF(ISEVEN(LEFT(AD195,4)),"Southbound","NorthBound")</f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-13T17:14:49-0600',mode:absolute,to:'2017-07-13T19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9.6500000000000002E-2</v>
      </c>
      <c r="Z195" s="197">
        <f>RIGHT(H195,LEN(H195)-4)/10000</f>
        <v>5.8939000000000004</v>
      </c>
      <c r="AA195" s="197">
        <f>ABS(Z195-Y195)</f>
        <v>5.7974000000000006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/stypes="app*4044*20170714*"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4"/>
        <v>"%USERPROFILE%\Documents\GitHub\eaglep3\Utilities\RefineRTDCRunTimes.py" --tripid 837-13 --locoid 4044 --swversion DE.1.0.9.0 --startMP 204:965 --initTime 2017-07-13T18:14:49 --startdatetime 2017-07-13T18:21:23 --delay 1 --endMP 300:58939 --enddatetime 2017-07-13T18:34:01 --enforcementcount 1 &gt;&gt;C:\Users\stu\Documents\GitHub\eaglep3-reporting\EC\2017-07-13-refined-times.txt</v>
      </c>
      <c r="AI195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{"issue":{"subject":"","project_id":79,"tracker_id":40,"status_id":1,"priority_id":2,"assigned_to_id":23,"start_date":"2017-07-13","description":"","custom_fields":[{"id":1,"name":"Subdivision","value":"NW"},{"id":4,"name":"Milepost","value":"5.8939"},{"id":17,"name":"Train ID","value":"837-13"},{"id":16,"name":"Locomotive ID","value":"4044"},{"id":130,"name":"Impact","value":""},{"id":150,"name":"Time of Event (Mountain Time)","value":"18:34:01"},{"id":151,"name":"Denver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16"/>
        <v>start /low /b %USERPROFILE%\Documents\GitHub\eaglep3\Utilities\DownloadLogsFromS3.py --loco 4044 --day 2017-07-13</v>
      </c>
      <c r="AN195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823</v>
      </c>
      <c r="B196" s="7">
        <v>4043</v>
      </c>
      <c r="C196" s="21" t="s">
        <v>199</v>
      </c>
      <c r="D196" s="21" t="s">
        <v>985</v>
      </c>
      <c r="E196" s="13">
        <v>42929.774895833332</v>
      </c>
      <c r="F196" s="13">
        <v>42929.778460648151</v>
      </c>
      <c r="G196" s="7">
        <v>1</v>
      </c>
      <c r="H196" s="21" t="s">
        <v>996</v>
      </c>
      <c r="I196" s="13">
        <v>42929.788229166668</v>
      </c>
      <c r="J196" s="7">
        <v>1</v>
      </c>
      <c r="K196" s="89" t="str">
        <f>IF(ISEVEN(B196),(B196-1)&amp;"/"&amp;B196,B196&amp;"/"&amp;(B196+1))</f>
        <v>4043/4044</v>
      </c>
      <c r="L196" s="21" t="str">
        <f>VLOOKUP(A196,'Trips&amp;Operators'!$C$1:$G$99999,5,FALSE)</f>
        <v>BIRKHOLZ NADINE</v>
      </c>
      <c r="M196" s="6">
        <f>I196-F196</f>
        <v>9.7685185173759237E-3</v>
      </c>
      <c r="N196" s="7">
        <f>24*60*SUM($M196:$M196)</f>
        <v>14.06666666502133</v>
      </c>
      <c r="O196" s="7"/>
      <c r="P196" s="7"/>
      <c r="Q196" s="22"/>
      <c r="R196" s="170"/>
      <c r="S196" s="213">
        <f>1/IF(AG196="EC",12,1)*SUM(U196:U196)</f>
        <v>1</v>
      </c>
      <c r="T196" s="195" t="str">
        <f>IF(ISEVEN(LEFT(AD196,4)),"Southbound","NorthBound")</f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-13T17:35:51-0600',mode:absolute,to:'2017-07-13T19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5.8632</v>
      </c>
      <c r="Z196" s="197">
        <f>RIGHT(H196,LEN(H196)-4)/10000</f>
        <v>7.0099999999999996E-2</v>
      </c>
      <c r="AA196" s="197">
        <f>ABS(Z196-Y196)</f>
        <v>5.7930999999999999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/stypes="app*4043*20170714*"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4"/>
        <v>"%USERPROFILE%\Documents\GitHub\eaglep3\Utilities\RefineRTDCRunTimes.py" --tripid 838-13 --locoid 4043 --swversion DE.1.0.9.0 --startMP 300:58632 --initTime 2017-07-13T18:35:51 --startdatetime 2017-07-13T18:40:59 --delay 1 --endMP 204:701 --enddatetime 2017-07-13T18:55:03 --enforcementcount 1 &gt;&gt;C:\Users\stu\Documents\GitHub\eaglep3-reporting\EC\2017-07-13-refined-times.txt</v>
      </c>
      <c r="AI196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{"issue":{"subject":"","project_id":79,"tracker_id":40,"status_id":1,"priority_id":2,"assigned_to_id":23,"start_date":"2017-07-13","description":"","custom_fields":[{"id":1,"name":"Subdivision","value":"NW"},{"id":4,"name":"Milepost","value":"0.0701"},{"id":17,"name":"Train ID","value":"838-13"},{"id":16,"name":"Locomotive ID","value":"4043"},{"id":130,"name":"Impact","value":""},{"id":150,"name":"Time of Event (Mountain Time)","value":"18:55:03"},{"id":151,"name":"Denver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16"/>
        <v>start /low /b %USERPROFILE%\Documents\GitHub\eaglep3\Utilities\DownloadLogsFromS3.py --loco 4043 --day 2017-07-13</v>
      </c>
      <c r="AN196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825</v>
      </c>
      <c r="B197" s="7">
        <v>4016</v>
      </c>
      <c r="C197" s="21" t="s">
        <v>199</v>
      </c>
      <c r="D197" s="21" t="s">
        <v>997</v>
      </c>
      <c r="E197" s="13">
        <v>42929.783125000002</v>
      </c>
      <c r="F197" s="13">
        <v>42929.785682870373</v>
      </c>
      <c r="G197" s="7">
        <v>1</v>
      </c>
      <c r="H197" s="21" t="s">
        <v>603</v>
      </c>
      <c r="I197" s="13">
        <v>42929.79488425926</v>
      </c>
      <c r="J197" s="7">
        <v>1</v>
      </c>
      <c r="K197" s="89" t="str">
        <f>IF(ISEVEN(B197),(B197-1)&amp;"/"&amp;B197,B197&amp;"/"&amp;(B197+1))</f>
        <v>4015/4016</v>
      </c>
      <c r="L197" s="21" t="str">
        <f>VLOOKUP(A197,'Trips&amp;Operators'!$C$1:$G$99999,5,FALSE)</f>
        <v>MAGEE KENYA</v>
      </c>
      <c r="M197" s="6">
        <f>I197-F197</f>
        <v>9.2013888861401938E-3</v>
      </c>
      <c r="N197" s="7">
        <f>24*60*SUM($M197:$M197)</f>
        <v>13.249999996041879</v>
      </c>
      <c r="O197" s="7"/>
      <c r="P197" s="7"/>
      <c r="Q197" s="22"/>
      <c r="R197" s="170"/>
      <c r="S197" s="213">
        <f>1/IF(AG197="EC",12,1)*SUM(U197:U197)</f>
        <v>1</v>
      </c>
      <c r="T197" s="195" t="str">
        <f>IF(ISEVEN(LEFT(AD197,4)),"Southbound","NorthBound")</f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-13T17:47:42-0600',mode:absolute,to:'2017-07-13T20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0.1041</v>
      </c>
      <c r="Z197" s="197">
        <f>RIGHT(H197,LEN(H197)-4)/10000</f>
        <v>5.8967000000000001</v>
      </c>
      <c r="AA197" s="197">
        <f>ABS(Z197-Y197)</f>
        <v>5.7926000000000002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/stypes="app*4016*20170714*" /stext=" 01:.+((SYSTEM_STATE.+slice.+state.+changed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4"/>
        <v>"%USERPROFILE%\Documents\GitHub\eaglep3\Utilities\RefineRTDCRunTimes.py" --tripid 839-13 --locoid 4016 --swversion DE.1.0.9.0 --startMP 204:1041 --initTime 2017-07-13T18:47:42 --startdatetime 2017-07-13T18:51:23 --delay 1 --endMP 300:58967 --enddatetime 2017-07-13T19:04:38 --enforcementcount 1 &gt;&gt;C:\Users\stu\Documents\GitHub\eaglep3-reporting\EC\2017-07-13-refined-times.txt</v>
      </c>
      <c r="AI197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{"issue":{"subject":"","project_id":79,"tracker_id":40,"status_id":1,"priority_id":2,"assigned_to_id":23,"start_date":"2017-07-13","description":"","custom_fields":[{"id":1,"name":"Subdivision","value":"NW"},{"id":4,"name":"Milepost","value":"5.8967"},{"id":17,"name":"Train ID","value":"839-13"},{"id":16,"name":"Locomotive ID","value":"4016"},{"id":130,"name":"Impact","value":""},{"id":150,"name":"Time of Event (Mountain Time)","value":"19:04:38"},{"id":151,"name":"Denver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16"/>
        <v>start /low /b %USERPROFILE%\Documents\GitHub\eaglep3\Utilities\DownloadLogsFromS3.py --loco 4016 --day 2017-07-13</v>
      </c>
      <c r="AN197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833</v>
      </c>
      <c r="B198" s="7">
        <v>4043</v>
      </c>
      <c r="C198" s="21" t="s">
        <v>199</v>
      </c>
      <c r="D198" s="21" t="s">
        <v>991</v>
      </c>
      <c r="E198" s="13">
        <v>42929.816990740743</v>
      </c>
      <c r="F198" s="13">
        <v>42929.820173611108</v>
      </c>
      <c r="G198" s="7">
        <v>1</v>
      </c>
      <c r="H198" s="21" t="s">
        <v>998</v>
      </c>
      <c r="I198" s="13">
        <v>42929.829664351855</v>
      </c>
      <c r="J198" s="7">
        <v>1</v>
      </c>
      <c r="K198" s="89" t="str">
        <f>IF(ISEVEN(B198),(B198-1)&amp;"/"&amp;B198,B198&amp;"/"&amp;(B198+1))</f>
        <v>4043/4044</v>
      </c>
      <c r="L198" s="21" t="str">
        <f>VLOOKUP(A198,'Trips&amp;Operators'!$C$1:$G$99999,5,FALSE)</f>
        <v>BIRKHOLZ NADINE</v>
      </c>
      <c r="M198" s="6">
        <f>I198-F198</f>
        <v>9.4907407474238425E-3</v>
      </c>
      <c r="N198" s="7">
        <f>24*60*SUM($M198:$M198)</f>
        <v>13.666666676290333</v>
      </c>
      <c r="O198" s="7"/>
      <c r="P198" s="7"/>
      <c r="Q198" s="22"/>
      <c r="R198" s="170"/>
      <c r="S198" s="213">
        <f>1/IF(AG198="EC",12,1)*SUM(U198:U198)</f>
        <v>1</v>
      </c>
      <c r="T198" s="195" t="str">
        <f>IF(ISEVEN(LEFT(AD198,4)),"Southbound","NorthBound")</f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-13T18:36:28-0600',mode:absolute,to:'2017-07-13T20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5.8611000000000004</v>
      </c>
      <c r="Z198" s="197">
        <f>RIGHT(H198,LEN(H198)-4)/10000</f>
        <v>7.1300000000000002E-2</v>
      </c>
      <c r="AA198" s="197">
        <f>ABS(Z198-Y198)</f>
        <v>5.7898000000000005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/stypes="app*4043*20170714*" /stext=" 01:.+((SYSTEM_STATE.+slice.+state.+changed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4"/>
        <v>"%USERPROFILE%\Documents\GitHub\eaglep3\Utilities\RefineRTDCRunTimes.py" --tripid 840-13 --locoid 4043 --swversion DE.1.0.9.0 --startMP 300:58611 --initTime 2017-07-13T19:36:28 --startdatetime 2017-07-13T19:41:03 --delay 1 --endMP 204:713 --enddatetime 2017-07-13T19:54:43 --enforcementcount 1 &gt;&gt;C:\Users\stu\Documents\GitHub\eaglep3-reporting\EC\2017-07-13-refined-times.txt</v>
      </c>
      <c r="AI198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{"issue":{"subject":"","project_id":79,"tracker_id":40,"status_id":1,"priority_id":2,"assigned_to_id":23,"start_date":"2017-07-13","description":"","custom_fields":[{"id":1,"name":"Subdivision","value":"NW"},{"id":4,"name":"Milepost","value":"0.0713"},{"id":17,"name":"Train ID","value":"840-13"},{"id":16,"name":"Locomotive ID","value":"4043"},{"id":130,"name":"Impact","value":""},{"id":150,"name":"Time of Event (Mountain Time)","value":"19:54:43"},{"id":151,"name":"Denver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16"/>
        <v>start /low /b %USERPROFILE%\Documents\GitHub\eaglep3\Utilities\DownloadLogsFromS3.py --loco 4043 --day 2017-07-13</v>
      </c>
      <c r="AN198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829</v>
      </c>
      <c r="B199" s="7">
        <v>4044</v>
      </c>
      <c r="C199" s="21" t="s">
        <v>199</v>
      </c>
      <c r="D199" s="21" t="s">
        <v>609</v>
      </c>
      <c r="E199" s="13">
        <v>42929.798935185187</v>
      </c>
      <c r="F199" s="13">
        <v>42929.806446759256</v>
      </c>
      <c r="G199" s="7">
        <v>1</v>
      </c>
      <c r="H199" s="21" t="s">
        <v>980</v>
      </c>
      <c r="I199" s="13">
        <v>42929.81590277778</v>
      </c>
      <c r="J199" s="7">
        <v>1</v>
      </c>
      <c r="K199" s="89" t="str">
        <f>IF(ISEVEN(B199),(B199-1)&amp;"/"&amp;B199,B199&amp;"/"&amp;(B199+1))</f>
        <v>4043/4044</v>
      </c>
      <c r="L199" s="21" t="str">
        <f>VLOOKUP(A199,'Trips&amp;Operators'!$C$1:$G$99999,5,FALSE)</f>
        <v>BIRKHOLZ NADINE</v>
      </c>
      <c r="M199" s="6">
        <f>I199-F199</f>
        <v>9.456018524360843E-3</v>
      </c>
      <c r="N199" s="7">
        <f>24*60*SUM($M199:$M199)</f>
        <v>13.616666675079614</v>
      </c>
      <c r="O199" s="7"/>
      <c r="P199" s="7"/>
      <c r="Q199" s="22"/>
      <c r="R199" s="170"/>
      <c r="S199" s="213">
        <f>1/IF(AG199="EC",12,1)*SUM(U199:U199)</f>
        <v>1</v>
      </c>
      <c r="T199" s="195" t="str">
        <f>IF(ISEVEN(LEFT(AD199,4)),"Southbound","NorthBound")</f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-13T18:10:28-0600',mode:absolute,to:'2017-07-13T20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9" s="197" t="str">
        <f>IF(AA199&lt;VLOOKUP(AG199,Variables!$AC$3:$AD$8,2,FALSE),"Y","N")</f>
        <v>N</v>
      </c>
      <c r="X199" s="197">
        <f>VALUE(LEFT(AD199,4))-VALUE(LEFT(AD198,4))</f>
        <v>1</v>
      </c>
      <c r="Y199" s="197">
        <f>RIGHT(D199,LEN(D199)-4)/10000</f>
        <v>9.7100000000000006E-2</v>
      </c>
      <c r="Z199" s="197">
        <f>RIGHT(H199,LEN(H199)-4)/10000</f>
        <v>5.8930999999999996</v>
      </c>
      <c r="AA199" s="197">
        <f>ABS(Z199-Y199)</f>
        <v>5.7959999999999994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/stypes="app*4044*20170714*" /stext=" 01:.+((SYSTEM_STATE.+slice.+state.+changed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4"/>
        <v>"%USERPROFILE%\Documents\GitHub\eaglep3\Utilities\RefineRTDCRunTimes.py" --tripid 841-13 --locoid 4044 --swversion DE.1.0.9.0 --startMP 204:971 --initTime 2017-07-13T19:10:28 --startdatetime 2017-07-13T19:21:17 --delay 1 --endMP 300:58931 --enddatetime 2017-07-13T19:34:54 --enforcementcount 1 &gt;&gt;C:\Users\stu\Documents\GitHub\eaglep3-reporting\EC\2017-07-13-refined-times.txt</v>
      </c>
      <c r="AI199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{"issue":{"subject":"","project_id":79,"tracker_id":40,"status_id":1,"priority_id":2,"assigned_to_id":23,"start_date":"2017-07-13","description":"","custom_fields":[{"id":1,"name":"Subdivision","value":"NW"},{"id":4,"name":"Milepost","value":"5.8931"},{"id":17,"name":"Train ID","value":"841-13"},{"id":16,"name":"Locomotive ID","value":"4044"},{"id":130,"name":"Impact","value":""},{"id":150,"name":"Time of Event (Mountain Time)","value":"19:34:54"},{"id":151,"name":"Denver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16"/>
        <v>start /low /b %USERPROFILE%\Documents\GitHub\eaglep3\Utilities\DownloadLogsFromS3.py --loco 4044 --day 2017-07-13</v>
      </c>
      <c r="AN199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837</v>
      </c>
      <c r="B200" s="7">
        <v>4043</v>
      </c>
      <c r="C200" s="21" t="s">
        <v>199</v>
      </c>
      <c r="D200" s="21" t="s">
        <v>999</v>
      </c>
      <c r="E200" s="13">
        <v>42929.859606481485</v>
      </c>
      <c r="F200" s="13">
        <v>42929.861342592594</v>
      </c>
      <c r="G200" s="7">
        <v>1</v>
      </c>
      <c r="H200" s="21" t="s">
        <v>1000</v>
      </c>
      <c r="I200" s="13">
        <v>42929.871678240743</v>
      </c>
      <c r="J200" s="7">
        <v>1</v>
      </c>
      <c r="K200" s="89" t="str">
        <f>IF(ISEVEN(B200),(B200-1)&amp;"/"&amp;B200,B200&amp;"/"&amp;(B200+1))</f>
        <v>4043/4044</v>
      </c>
      <c r="L200" s="21" t="str">
        <f>VLOOKUP(A200,'Trips&amp;Operators'!$C$1:$G$99999,5,FALSE)</f>
        <v>BIRKHOLZ NADINE</v>
      </c>
      <c r="M200" s="6">
        <f>I200-F200</f>
        <v>1.0335648148611654E-2</v>
      </c>
      <c r="N200" s="7">
        <f>24*60*SUM($M200:$M200)</f>
        <v>14.883333334000781</v>
      </c>
      <c r="O200" s="7"/>
      <c r="P200" s="7"/>
      <c r="Q200" s="22"/>
      <c r="R200" s="170"/>
      <c r="S200" s="213">
        <f>1/IF(AG200="EC",12,1)*SUM(U200:U200)</f>
        <v>1</v>
      </c>
      <c r="T200" s="195" t="str">
        <f>IF(ISEVEN(LEFT(AD200,4)),"Southbound","NorthBound")</f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-13T19:37:50-0600',mode:absolute,to:'2017-07-13T21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>IF(AA200&lt;VLOOKUP(AG200,Variables!$AC$3:$AD$8,2,FALSE),"Y","N")</f>
        <v>N</v>
      </c>
      <c r="X200" s="197">
        <f>VALUE(LEFT(AD200,4))-VALUE(LEFT(AD199,4))</f>
        <v>1</v>
      </c>
      <c r="Y200" s="197">
        <f>RIGHT(D200,LEN(D200)-4)/10000</f>
        <v>5.8613</v>
      </c>
      <c r="Z200" s="197">
        <f>RIGHT(H200,LEN(H200)-4)/10000</f>
        <v>6.8199999999999997E-2</v>
      </c>
      <c r="AA200" s="197">
        <f>ABS(Z200-Y200)</f>
        <v>5.7930999999999999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/stypes="app*4043*20170714*" /stext=" 02:.+((SYSTEM_STATE.+slice.+state.+changed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4"/>
        <v>"%USERPROFILE%\Documents\GitHub\eaglep3\Utilities\RefineRTDCRunTimes.py" --tripid 842-13 --locoid 4043 --swversion DE.1.0.9.0 --startMP 300:58613 --initTime 2017-07-13T20:37:50 --startdatetime 2017-07-13T20:40:20 --delay 1 --endMP 204:682 --enddatetime 2017-07-13T20:55:13 --enforcementcount 1 &gt;&gt;C:\Users\stu\Documents\GitHub\eaglep3-reporting\EC\2017-07-13-refined-times.txt</v>
      </c>
      <c r="AI200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{"issue":{"subject":"","project_id":79,"tracker_id":40,"status_id":1,"priority_id":2,"assigned_to_id":23,"start_date":"2017-07-13","description":"","custom_fields":[{"id":1,"name":"Subdivision","value":"NW"},{"id":4,"name":"Milepost","value":"0.0682"},{"id":17,"name":"Train ID","value":"842-13"},{"id":16,"name":"Locomotive ID","value":"4043"},{"id":130,"name":"Impact","value":""},{"id":150,"name":"Time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16"/>
        <v>start /low /b %USERPROFILE%\Documents\GitHub\eaglep3\Utilities\DownloadLogsFromS3.py --loco 4043 --day 2017-07-13</v>
      </c>
      <c r="AN200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655</v>
      </c>
      <c r="B201" s="7">
        <v>4044</v>
      </c>
      <c r="C201" s="21" t="s">
        <v>199</v>
      </c>
      <c r="D201" s="21" t="s">
        <v>1001</v>
      </c>
      <c r="E201" s="13">
        <v>42929.837685185186</v>
      </c>
      <c r="F201" s="13">
        <v>42929.848136574074</v>
      </c>
      <c r="G201" s="7">
        <v>1</v>
      </c>
      <c r="H201" s="21" t="s">
        <v>974</v>
      </c>
      <c r="I201" s="13">
        <v>42929.858506944445</v>
      </c>
      <c r="J201" s="7">
        <v>1</v>
      </c>
      <c r="K201" s="89" t="str">
        <f>IF(ISEVEN(B201),(B201-1)&amp;"/"&amp;B201,B201&amp;"/"&amp;(B201+1))</f>
        <v>4043/4044</v>
      </c>
      <c r="L201" s="21" t="str">
        <f>VLOOKUP(A201,'Trips&amp;Operators'!$C$1:$G$99999,5,FALSE)</f>
        <v>BIRKHOLZ NADINE</v>
      </c>
      <c r="M201" s="6">
        <f>I201-F201</f>
        <v>1.0370370371674653E-2</v>
      </c>
      <c r="N201" s="7">
        <f>24*60*SUM($M201:$M201)</f>
        <v>14.933333335211501</v>
      </c>
      <c r="O201" s="7"/>
      <c r="P201" s="7"/>
      <c r="Q201" s="22"/>
      <c r="R201" s="170"/>
      <c r="S201" s="213">
        <f>1/IF(AG201="EC",12,1)*SUM(U201:U201)</f>
        <v>1</v>
      </c>
      <c r="T201" s="195" t="str">
        <f>IF(ISEVEN(LEFT(AD201,4)),"Southbound","NorthBound")</f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-13T19:06:16-0600',mode:absolute,to:'2017-07-13T21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97" t="str">
        <f>IF(AA201&lt;VLOOKUP(AG201,Variables!$AC$3:$AD$8,2,FALSE),"Y","N")</f>
        <v>N</v>
      </c>
      <c r="X201" s="197">
        <f>VALUE(LEFT(AD201,4))-VALUE(LEFT(AD200,4))</f>
        <v>1</v>
      </c>
      <c r="Y201" s="197">
        <f>RIGHT(D201,LEN(D201)-4)/10000</f>
        <v>9.9500000000000005E-2</v>
      </c>
      <c r="Z201" s="197">
        <f>RIGHT(H201,LEN(H201)-4)/10000</f>
        <v>5.8928000000000003</v>
      </c>
      <c r="AA201" s="197">
        <f>ABS(Z201-Y201)</f>
        <v>5.7933000000000003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/stypes="app*4044*20170714*" /stext=" 02:.+((SYSTEM_STATE.+slice.+state.+changed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4"/>
        <v>"%USERPROFILE%\Documents\GitHub\eaglep3\Utilities\RefineRTDCRunTimes.py" --tripid 843-13 --locoid 4044 --swversion DE.1.0.9.0 --startMP 204:995 --initTime 2017-07-13T20:06:16 --startdatetime 2017-07-13T20:21:19 --delay 1 --endMP 300:58928 --enddatetime 2017-07-13T20:36:15 --enforcementcount 1 &gt;&gt;C:\Users\stu\Documents\GitHub\eaglep3-reporting\EC\2017-07-13-refined-times.txt</v>
      </c>
      <c r="AI201" s="96" t="str">
        <f t="shared" si="15"/>
        <v>echo {"issue":{"subject":"","project_id":79,"tracker_id":40,"status_id":1,"priority_id":2,"assigned_to_id":23,"start_date":"2017-07-13","description":"","custom_fields":[{"id":1,"name":"Subdivision","value":"NW"},{"id":4,"name":"Milepost","value":"5.8928"},{"id":17,"name":"Train ID","value":"843-13"},{"id":16,"name":"Locomotive ID","value":"4044"},{"id":130,"name":"Impact","value":""},{"id":150,"name":"Time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16"/>
        <v>start /low /b %USERPROFILE%\Documents\GitHub\eaglep3\Utilities\DownloadLogsFromS3.py --loco 4044 --day 2017-07-13</v>
      </c>
      <c r="AN201" s="151" t="str">
        <f t="shared" si="17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842</v>
      </c>
      <c r="B202" s="7">
        <v>4043</v>
      </c>
      <c r="C202" s="21" t="s">
        <v>199</v>
      </c>
      <c r="D202" s="21" t="s">
        <v>988</v>
      </c>
      <c r="E202" s="13">
        <v>42929.90047453704</v>
      </c>
      <c r="F202" s="13">
        <v>42929.904189814813</v>
      </c>
      <c r="G202" s="7">
        <v>1</v>
      </c>
      <c r="H202" s="21" t="s">
        <v>1002</v>
      </c>
      <c r="I202" s="13">
        <v>42929.913171296299</v>
      </c>
      <c r="J202" s="7">
        <v>1</v>
      </c>
      <c r="K202" s="89" t="str">
        <f>IF(ISEVEN(B202),(B202-1)&amp;"/"&amp;B202,B202&amp;"/"&amp;(B202+1))</f>
        <v>4043/4044</v>
      </c>
      <c r="L202" s="21" t="str">
        <f>VLOOKUP(A202,'Trips&amp;Operators'!$C$1:$G$99999,5,FALSE)</f>
        <v>MAGEE KENYA</v>
      </c>
      <c r="M202" s="6">
        <f>I202-F202</f>
        <v>8.9814814855344594E-3</v>
      </c>
      <c r="N202" s="7">
        <f>24*60*SUM($M202:$M202)</f>
        <v>12.933333339169621</v>
      </c>
      <c r="O202" s="7"/>
      <c r="P202" s="7"/>
      <c r="Q202" s="22"/>
      <c r="R202" s="170"/>
      <c r="S202" s="213">
        <f>1/IF(AG202="EC",12,1)*SUM(U202:U202)</f>
        <v>1</v>
      </c>
      <c r="T202" s="195" t="str">
        <f>IF(ISEVEN(LEFT(AD202,4)),"Southbound","NorthBound")</f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-13T20:36:41-0600',mode:absolute,to:'2017-07-13T22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5.8647</v>
      </c>
      <c r="Z202" s="197">
        <f>RIGHT(H202,LEN(H202)-4)/10000</f>
        <v>7.9000000000000001E-2</v>
      </c>
      <c r="AA202" s="197">
        <f>ABS(Z202-Y202)</f>
        <v>5.7857000000000003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/stypes="app*4043*20170714*" /stext=" 03:.+((SYSTEM_STATE.+slice.+state.+changed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ref="AH202:AH234" si="2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844-13 --locoid 4043 --swversion DE.1.0.9.0 --startMP 300:58647 --initTime 2017-07-13T21:36:41 --startdatetime 2017-07-13T21:42:02 --delay 1 --endMP 204:790 --enddatetime 2017-07-13T21:54:58 --enforcementcount 1 &gt;&gt;C:\Users\stu\Documents\GitHub\eaglep3-reporting\EC\2017-07-13-refined-times.txt</v>
      </c>
      <c r="AI202" s="96" t="str">
        <f t="shared" ref="AI202:AI234" si="21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{"issue":{"subject":"","project_id":79,"tracker_id":40,"status_id":1,"priority_id":2,"assigned_to_id":23,"start_date":"2017-07-13","description":"","custom_fields":[{"id":1,"name":"Subdivision","value":"NW"},{"id":4,"name":"Milepost","value":"0.079"},{"id":17,"name":"Train ID","value":"844-13"},{"id":16,"name":"Locomotive ID","value":"4043"},{"id":130,"name":"Impact","value":""},{"id":150,"name":"Time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ref="AM202:AM234" si="22">"start /low /b "&amp;dls3logs&amp;" --loco "&amp;B202&amp;" --day "&amp;TEXT(F202,"YYYY-MM-DD")</f>
        <v>start /low /b %USERPROFILE%\Documents\GitHub\eaglep3\Utilities\DownloadLogsFromS3.py --loco 4043 --day 2017-07-13</v>
      </c>
      <c r="AN202" s="151" t="str">
        <f t="shared" ref="AN202:AN234" si="23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840</v>
      </c>
      <c r="B203" s="7">
        <v>4044</v>
      </c>
      <c r="C203" s="21" t="s">
        <v>199</v>
      </c>
      <c r="D203" s="21" t="s">
        <v>609</v>
      </c>
      <c r="E203" s="13">
        <v>42929.873784722222</v>
      </c>
      <c r="F203" s="13">
        <v>42929.889791666668</v>
      </c>
      <c r="G203" s="7">
        <v>1</v>
      </c>
      <c r="H203" s="21" t="s">
        <v>1003</v>
      </c>
      <c r="I203" s="13">
        <v>42929.899409722224</v>
      </c>
      <c r="J203" s="7">
        <v>1</v>
      </c>
      <c r="K203" s="89" t="str">
        <f>IF(ISEVEN(B203),(B203-1)&amp;"/"&amp;B203,B203&amp;"/"&amp;(B203+1))</f>
        <v>4043/4044</v>
      </c>
      <c r="L203" s="21" t="str">
        <f>VLOOKUP(A203,'Trips&amp;Operators'!$C$1:$G$99999,5,FALSE)</f>
        <v>MAGEE KENYA</v>
      </c>
      <c r="M203" s="6">
        <f>I203-F203</f>
        <v>9.6180555556202307E-3</v>
      </c>
      <c r="N203" s="7">
        <f>24*60*SUM($M203:$M203)</f>
        <v>13.850000000093132</v>
      </c>
      <c r="O203" s="7"/>
      <c r="P203" s="7"/>
      <c r="Q203" s="22"/>
      <c r="R203" s="170"/>
      <c r="S203" s="213">
        <f>1/IF(AG203="EC",12,1)*SUM(U203:U203)</f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-13T19:58:15-0600',mode:absolute,to:'2017-07-13T22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9.7100000000000006E-2</v>
      </c>
      <c r="Z203" s="197">
        <f>RIGHT(H203,LEN(H203)-4)/10000</f>
        <v>5.8960999999999997</v>
      </c>
      <c r="AA203" s="197">
        <f>ABS(Z203-Y203)</f>
        <v>5.7989999999999995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/stypes="app*4044*20170714*" /stext=" 03:.+((SYSTEM_STATE.+slice.+state.+changed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20"/>
        <v>"%USERPROFILE%\Documents\GitHub\eaglep3\Utilities\RefineRTDCRunTimes.py" --tripid 845-13 --locoid 4044 --swversion DE.1.0.9.0 --startMP 204:971 --initTime 2017-07-13T20:58:15 --startdatetime 2017-07-13T21:21:18 --delay 1 --endMP 300:58961 --enddatetime 2017-07-13T21:35:09 --enforcementcount 1 &gt;&gt;C:\Users\stu\Documents\GitHub\eaglep3-reporting\EC\2017-07-13-refined-times.txt</v>
      </c>
      <c r="AI203" s="96" t="str">
        <f t="shared" si="21"/>
        <v>echo {"issue":{"subject":"","project_id":79,"tracker_id":40,"status_id":1,"priority_id":2,"assigned_to_id":23,"start_date":"2017-07-13","description":"","custom_fields":[{"id":1,"name":"Subdivision","value":"NW"},{"id":4,"name":"Milepost","value":"5.8961"},{"id":17,"name":"Train ID","value":"845-13"},{"id":16,"name":"Locomotive ID","value":"4044"},{"id":130,"name":"Impact","value":""},{"id":150,"name":"Time of Event (Mountain Time)","value":"21:35:09"},{"id":151,"name":"Denver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22"/>
        <v>start /low /b %USERPROFILE%\Documents\GitHub\eaglep3\Utilities\DownloadLogsFromS3.py --loco 4044 --day 2017-07-13</v>
      </c>
      <c r="AN203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659</v>
      </c>
      <c r="B204" s="7">
        <v>4044</v>
      </c>
      <c r="C204" s="21" t="s">
        <v>199</v>
      </c>
      <c r="D204" s="21" t="s">
        <v>1004</v>
      </c>
      <c r="E204" s="13">
        <v>42929.923518518517</v>
      </c>
      <c r="F204" s="13">
        <v>42929.931585648148</v>
      </c>
      <c r="G204" s="7">
        <v>11</v>
      </c>
      <c r="H204" s="21" t="s">
        <v>977</v>
      </c>
      <c r="I204" s="13">
        <v>42929.941087962965</v>
      </c>
      <c r="J204" s="7">
        <v>1</v>
      </c>
      <c r="K204" s="89" t="str">
        <f>IF(ISEVEN(B204),(B204-1)&amp;"/"&amp;B204,B204&amp;"/"&amp;(B204+1))</f>
        <v>4043/4044</v>
      </c>
      <c r="L204" s="21" t="str">
        <f>VLOOKUP(A204,'Trips&amp;Operators'!$C$1:$G$99999,5,FALSE)</f>
        <v>MAGEE KENYA</v>
      </c>
      <c r="M204" s="6">
        <f>I204-F204</f>
        <v>9.5023148169275373E-3</v>
      </c>
      <c r="N204" s="7">
        <f>24*60*SUM($M204:$M204)</f>
        <v>13.683333336375654</v>
      </c>
      <c r="O204" s="7"/>
      <c r="P204" s="7"/>
      <c r="Q204" s="22"/>
      <c r="R204" s="170"/>
      <c r="S204" s="213">
        <f>1/IF(AG204="EC",12,1)*SUM(U204:U204)</f>
        <v>1</v>
      </c>
      <c r="T204" s="195" t="str">
        <f>IF(ISEVEN(LEFT(AD204,4)),"Southbound","NorthBound")</f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-13T21:09:52-0600',mode:absolute,to:'2017-07-13T23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2</v>
      </c>
      <c r="Y204" s="197">
        <f>RIGHT(D204,LEN(D204)-4)/10000</f>
        <v>0.18790000000000001</v>
      </c>
      <c r="Z204" s="197">
        <f>RIGHT(H204,LEN(H204)-4)/10000</f>
        <v>5.8933</v>
      </c>
      <c r="AA204" s="197">
        <f>ABS(Z204-Y204)</f>
        <v>5.7054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/stypes="app*4044*20170714*" /stext=" 04:.+((SYSTEM_STATE.+slice.+state.+changed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20"/>
        <v>"%USERPROFILE%\Documents\GitHub\eaglep3\Utilities\RefineRTDCRunTimes.py" --tripid 847-13 --locoid 4044 --swversion DE.1.0.9.0 --startMP 204:1879 --initTime 2017-07-13T22:09:52 --startdatetime 2017-07-13T22:21:29 --delay 11 --endMP 300:58933 --enddatetime 2017-07-13T22:35:10 --enforcementcount 1 &gt;&gt;C:\Users\stu\Documents\GitHub\eaglep3-reporting\EC\2017-07-13-refined-times.txt</v>
      </c>
      <c r="AI204" s="96" t="str">
        <f t="shared" si="21"/>
        <v>echo {"issue":{"subject":"","project_id":79,"tracker_id":40,"status_id":1,"priority_id":2,"assigned_to_id":23,"start_date":"2017-07-13","description":"","custom_fields":[{"id":1,"name":"Subdivision","value":"NW"},{"id":4,"name":"Milepost","value":"5.8933"},{"id":17,"name":"Train ID","value":"847-13"},{"id":16,"name":"Locomotive ID","value":"4044"},{"id":130,"name":"Impact","value":""},{"id":150,"name":"Time of Event (Mountain Time)","value":"22:35:10"},{"id":151,"name":"Denver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2"/>
        <v>start /low /b %USERPROFILE%\Documents\GitHub\eaglep3\Utilities\DownloadLogsFromS3.py --loco 4044 --day 2017-07-13</v>
      </c>
      <c r="AN204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570</v>
      </c>
      <c r="B205" s="7">
        <v>4023</v>
      </c>
      <c r="C205" s="21" t="s">
        <v>199</v>
      </c>
      <c r="D205" s="21" t="s">
        <v>594</v>
      </c>
      <c r="E205" s="13">
        <v>42929.113518518519</v>
      </c>
      <c r="F205" s="13">
        <v>42929.117349537039</v>
      </c>
      <c r="G205" s="7">
        <v>5</v>
      </c>
      <c r="H205" s="21" t="s">
        <v>393</v>
      </c>
      <c r="I205" s="13">
        <v>42929.122789351852</v>
      </c>
      <c r="J205" s="7">
        <v>1</v>
      </c>
      <c r="K205" s="89" t="str">
        <f>IF(ISEVEN(B205),(B205-1)&amp;"/"&amp;B205,B205&amp;"/"&amp;(B205+1))</f>
        <v>4023/4024</v>
      </c>
      <c r="L205" s="21" t="str">
        <f>VLOOKUP(A205,'Trips&amp;Operators'!$C$1:$G$99999,5,FALSE)</f>
        <v>STARKS ANGELINA</v>
      </c>
      <c r="M205" s="6">
        <f>I205-F205</f>
        <v>5.4398148131440394E-3</v>
      </c>
      <c r="N205" s="7">
        <f>24*60*SUM($M205:$M205)</f>
        <v>7.8333333309274167</v>
      </c>
      <c r="O205" s="7"/>
      <c r="P205" s="7"/>
      <c r="Q205" s="22"/>
      <c r="R205" s="170"/>
      <c r="S205" s="213">
        <f>1/IF(AG205="EC",12,1)*SUM(U205:U205)</f>
        <v>1</v>
      </c>
      <c r="T205" s="195" t="str">
        <f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-13T01:43:28-0600',mode:absolute,to:'2017-07-13T03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5" s="197" t="str">
        <f>IF(AA205&lt;VLOOKUP(AG205,Variables!$AC$3:$AD$8,2,FALSE),"Y","N")</f>
        <v>Y</v>
      </c>
      <c r="X205" s="197">
        <f>VALUE(LEFT(AD205,4))-VALUE(LEFT(AD204,4))</f>
        <v>-547</v>
      </c>
      <c r="Y205" s="197">
        <f>RIGHT(D205,LEN(D205)-4)/10000</f>
        <v>2.1791</v>
      </c>
      <c r="Z205" s="197">
        <f>RIGHT(H205,LEN(H205)-4)/10000</f>
        <v>1.5599999999999999E-2</v>
      </c>
      <c r="AA205" s="197">
        <f>ABS(Z205-Y205)</f>
        <v>2.1635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300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s3://rtdc.mdm.uploadarchive.raw/RTDC4023/ "%USERPROFILE%\AppData\Local\Temp\OnboardLogs"\RTDC4023\2017-07-13 --exclude "*" --recursive --include "*20170713*" &amp; "%USERPROFILE%\Documents\GitHub\mrs-test-scripts\Headless Mode &amp; Sideloading\WalkAndUnGZ.bat" "%USERPROFILE%\AppData\Local\Temp\OnboardLogs"\RTDC4023\2017-07-13 &amp; 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/stypes="app*4023*20170713*" /stext=" 08:.+((SYSTEM_STATE.+slice.+state.+changed )|(ment ac)|(multiple cpu faults)|(system.+state.+changed )|(\[timeout)|(PRM\|1\|D)|(kpr)|(kdp)|(train st.+moving)|(\|lc)|(penalty))"</v>
      </c>
      <c r="AG205" s="209" t="str">
        <f>DetSubdiv(A205)</f>
        <v>Other</v>
      </c>
      <c r="AH205" s="78" t="str">
        <f t="shared" si="20"/>
        <v>"%USERPROFILE%\Documents\GitHub\eaglep3\Utilities\RefineRTDCRunTimes.py" --tripid 300-13 --locoid 4023 --swversion DE.1.0.9.0 --startMP 300:21791 --initTime 2017-07-13T02:43:28 --startdatetime 2017-07-13T02:48:59 --delay 5 --endMP 204:156 --enddatetime 2017-07-13T02:56:49 --enforcementcount 1 &gt;&gt;C:\Users\stu\Documents\GitHub\eaglep3-reporting\EC\2017-07-13-refined-times.txt</v>
      </c>
      <c r="AI205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{"issue":{"subject":"","project_id":79,"tracker_id":40,"status_id":1,"priority_id":2,"assigned_to_id":23,"start_date":"2017-07-13","description":"","custom_fields":[{"id":1,"name":"Subdivision","value":"Other"},{"id":4,"name":"Milepost","value":"0.0156"},{"id":17,"name":"Train ID","value":"300-13"},{"id":16,"name":"Locomotive ID","value":"4023"},{"id":130,"name":"Impact","value":""},{"id":150,"name":"Time of Event (Mountain Time)","value":"02:56:49"},{"id":151,"name":"Denver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2"/>
        <v>start /low /b %USERPROFILE%\Documents\GitHub\eaglep3\Utilities\DownloadLogsFromS3.py --loco 4023 --day 2017-07-13</v>
      </c>
      <c r="AN205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08:56:49"},{"id":29,"name":"Sharepoint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824</v>
      </c>
      <c r="B206" s="7">
        <v>4012</v>
      </c>
      <c r="C206" s="21" t="s">
        <v>199</v>
      </c>
      <c r="D206" s="21" t="s">
        <v>533</v>
      </c>
      <c r="E206" s="13">
        <v>42929.776631944442</v>
      </c>
      <c r="F206" s="13">
        <v>42929.778043981481</v>
      </c>
      <c r="G206" s="7">
        <v>1</v>
      </c>
      <c r="H206" s="21" t="s">
        <v>936</v>
      </c>
      <c r="I206" s="13">
        <v>42929.783946759257</v>
      </c>
      <c r="J206" s="7">
        <v>1</v>
      </c>
      <c r="K206" s="89" t="str">
        <f>IF(ISEVEN(B206),(B206-1)&amp;"/"&amp;B206,B206&amp;"/"&amp;(B206+1))</f>
        <v>4011/4012</v>
      </c>
      <c r="L206" s="21" t="str">
        <f>VLOOKUP(A206,'Trips&amp;Operators'!$C$1:$G$99999,5,FALSE)</f>
        <v>LEVIN SCOTT</v>
      </c>
      <c r="M206" s="6">
        <f>I206-F206</f>
        <v>5.9027777751907706E-3</v>
      </c>
      <c r="N206" s="7">
        <f>24*60*SUM($M206:$M206)</f>
        <v>8.4999999962747097</v>
      </c>
      <c r="O206" s="7"/>
      <c r="P206" s="7"/>
      <c r="Q206" s="22"/>
      <c r="R206" s="170"/>
      <c r="S206" s="213">
        <f>1/IF(AG206="EC",12,1)*SUM(U206:U206)</f>
        <v>1</v>
      </c>
      <c r="T206" s="195" t="str">
        <f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-13T17:38:21-0600',mode:absolute,to:'2017-07-13T19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97" t="str">
        <f>IF(AA206&lt;VLOOKUP(AG206,Variables!$AC$3:$AD$8,2,FALSE),"Y","N")</f>
        <v>Y</v>
      </c>
      <c r="X206" s="197">
        <f>VALUE(LEFT(AD206,4))-VALUE(LEFT(AD205,4))</f>
        <v>1</v>
      </c>
      <c r="Y206" s="197">
        <f>RIGHT(D206,LEN(D206)-4)/10000</f>
        <v>4.4200000000000003E-2</v>
      </c>
      <c r="Z206" s="197">
        <f>RIGHT(H206,LEN(H206)-4)/10000</f>
        <v>2.3311999999999999</v>
      </c>
      <c r="AA206" s="197">
        <f>ABS(Z206-Y206)</f>
        <v>2.2869999999999999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301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/stypes="app*4012*20170714*" /stext=" 00:.+((SYSTEM_STATE.+slice.+state.+changed )|(ment ac)|(multiple cpu faults)|(system.+state.+changed )|(\[timeout)|(PRM\|1\|D)|(kpr)|(kdp)|(train st.+moving)|(\|lc)|(penalty))"</v>
      </c>
      <c r="AG206" s="209" t="str">
        <f>DetSubdiv(A206)</f>
        <v>Other</v>
      </c>
      <c r="AH206" s="78" t="str">
        <f t="shared" si="20"/>
        <v>"%USERPROFILE%\Documents\GitHub\eaglep3\Utilities\RefineRTDCRunTimes.py" --tripid 301-13 --locoid 4012 --swversion DE.1.0.9.0 --startMP 204:442 --initTime 2017-07-13T18:38:21 --startdatetime 2017-07-13T18:40:23 --delay 1 --endMP 300:23312 --enddatetime 2017-07-13T18:48:53 --enforcementcount 1 &gt;&gt;C:\Users\stu\Documents\GitHub\eaglep3-reporting\EC\2017-07-13-refined-times.txt</v>
      </c>
      <c r="AI206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{"issue":{"subject":"","project_id":79,"tracker_id":40,"status_id":1,"priority_id":2,"assigned_to_id":23,"start_date":"2017-07-13","description":"","custom_fields":[{"id":1,"name":"Subdivision","value":"Other"},{"id":4,"name":"Milepost","value":"2.3312"},{"id":17,"name":"Train ID","value":"301-13"},{"id":16,"name":"Locomotive ID","value":"4012"},{"id":130,"name":"Impact","value":""},{"id":150,"name":"Time of Event (Mountain Time)","value":"18:48:53"},{"id":151,"name":"Denver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2"/>
        <v>start /low /b %USERPROFILE%\Documents\GitHub\eaglep3\Utilities\DownloadLogsFromS3.py --loco 4012 --day 2017-07-13</v>
      </c>
      <c r="AN206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664</v>
      </c>
      <c r="B207" s="7">
        <v>4027</v>
      </c>
      <c r="C207" s="21" t="s">
        <v>199</v>
      </c>
      <c r="D207" s="21" t="s">
        <v>937</v>
      </c>
      <c r="E207" s="13">
        <v>42929.134502314817</v>
      </c>
      <c r="F207" s="13">
        <v>42929.136921296296</v>
      </c>
      <c r="G207" s="7">
        <v>3</v>
      </c>
      <c r="H207" s="21" t="s">
        <v>572</v>
      </c>
      <c r="I207" s="13">
        <v>42929.142534722225</v>
      </c>
      <c r="J207" s="7">
        <v>1</v>
      </c>
      <c r="K207" s="89" t="str">
        <f>IF(ISEVEN(B207),(B207-1)&amp;"/"&amp;B207,B207&amp;"/"&amp;(B207+1))</f>
        <v>4027/4028</v>
      </c>
      <c r="L207" s="21" t="str">
        <f>VLOOKUP(A207,'Trips&amp;Operators'!$C$1:$G$99999,5,FALSE)</f>
        <v>YANAI IAN</v>
      </c>
      <c r="M207" s="6">
        <f>I207-F207</f>
        <v>5.6134259284590371E-3</v>
      </c>
      <c r="N207" s="7">
        <f>24*60*SUM($M207:$M207)</f>
        <v>8.0833333369810134</v>
      </c>
      <c r="O207" s="7"/>
      <c r="P207" s="7"/>
      <c r="Q207" s="22"/>
      <c r="R207" s="170"/>
      <c r="S207" s="213">
        <f>1/IF(AG207="EC",12,1)*SUM(U207:U207)</f>
        <v>1</v>
      </c>
      <c r="T207" s="195" t="str">
        <f>IF(ISEVEN(LEFT(AD207,4)),"Southbound","NorthBound")</f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-13T02:13:41-0600',mode:absolute,to:'2017-07-13T04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197" t="str">
        <f>IF(AA207&lt;VLOOKUP(AG207,Variables!$AC$3:$AD$8,2,FALSE),"Y","N")</f>
        <v>Y</v>
      </c>
      <c r="X207" s="197">
        <f>VALUE(LEFT(AD207,4))-VALUE(LEFT(AD206,4))</f>
        <v>1</v>
      </c>
      <c r="Y207" s="197">
        <f>RIGHT(D207,LEN(D207)-4)/10000</f>
        <v>2.3620000000000001</v>
      </c>
      <c r="Z207" s="197">
        <f>RIGHT(H207,LEN(H207)-4)/10000</f>
        <v>1.67E-2</v>
      </c>
      <c r="AA207" s="197">
        <f>ABS(Z207-Y207)</f>
        <v>2.3452999999999999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302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/stypes="app*4027*20170713*" /stext=" 09:.+((SYSTEM_STATE.+slice.+state.+changed )|(ment ac)|(multiple cpu faults)|(system.+state.+changed )|(\[timeout)|(PRM\|1\|D)|(kpr)|(kdp)|(train st.+moving)|(\|lc)|(penalty))"</v>
      </c>
      <c r="AG207" s="209" t="str">
        <f>DetSubdiv(A207)</f>
        <v>Other</v>
      </c>
      <c r="AH207" s="78" t="str">
        <f t="shared" si="20"/>
        <v>"%USERPROFILE%\Documents\GitHub\eaglep3\Utilities\RefineRTDCRunTimes.py" --tripid 302-13 --locoid 4027 --swversion DE.1.0.9.0 --startMP 300:23620 --initTime 2017-07-13T03:13:41 --startdatetime 2017-07-13T03:17:10 --delay 3 --endMP 204:167 --enddatetime 2017-07-13T03:25:15 --enforcementcount 1 &gt;&gt;C:\Users\stu\Documents\GitHub\eaglep3-reporting\EC\2017-07-13-refined-times.txt</v>
      </c>
      <c r="AI207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{"issue":{"subject":"","project_id":79,"tracker_id":40,"status_id":1,"priority_id":2,"assigned_to_id":23,"start_date":"2017-07-13","description":"","custom_fields":[{"id":1,"name":"Subdivision","value":"Other"},{"id":4,"name":"Milepost","value":"0.0167"},{"id":17,"name":"Train ID","value":"302-13"},{"id":16,"name":"Locomotive ID","value":"4027"},{"id":130,"name":"Impact","value":""},{"id":150,"name":"Time of Event (Mountain Time)","value":"03:25:15"},{"id":151,"name":"Denver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22"/>
        <v>start /low /b %USERPROFILE%\Documents\GitHub\eaglep3\Utilities\DownloadLogsFromS3.py --loco 4027 --day 2017-07-13</v>
      </c>
      <c r="AN207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09:25:15"},{"id":29,"name":"Sharepoint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830</v>
      </c>
      <c r="B208" s="7">
        <v>4022</v>
      </c>
      <c r="C208" s="21" t="s">
        <v>199</v>
      </c>
      <c r="D208" s="21" t="s">
        <v>538</v>
      </c>
      <c r="E208" s="13">
        <v>42929.799988425926</v>
      </c>
      <c r="F208" s="13">
        <v>42929.801979166667</v>
      </c>
      <c r="G208" s="7">
        <v>2</v>
      </c>
      <c r="H208" s="21" t="s">
        <v>938</v>
      </c>
      <c r="I208" s="13">
        <v>42929.807951388888</v>
      </c>
      <c r="J208" s="7">
        <v>1</v>
      </c>
      <c r="K208" s="89" t="str">
        <f>IF(ISEVEN(B208),(B208-1)&amp;"/"&amp;B208,B208&amp;"/"&amp;(B208+1))</f>
        <v>4021/4022</v>
      </c>
      <c r="L208" s="21" t="str">
        <f>VLOOKUP(A208,'Trips&amp;Operators'!$C$1:$G$99999,5,FALSE)</f>
        <v>NICHOLSON WESLEY</v>
      </c>
      <c r="M208" s="6">
        <f>I208-F208</f>
        <v>5.9722222213167697E-3</v>
      </c>
      <c r="N208" s="7">
        <f>24*60*SUM($M208:$M208)</f>
        <v>8.5999999986961484</v>
      </c>
      <c r="O208" s="7"/>
      <c r="P208" s="7"/>
      <c r="Q208" s="22"/>
      <c r="R208" s="170"/>
      <c r="S208" s="213">
        <f>1/IF(AG208="EC",12,1)*SUM(U208:U208)</f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-13T18:11:59-0600',mode:absolute,to:'2017-07-13T20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197" t="str">
        <f>IF(AA208&lt;VLOOKUP(AG208,Variables!$AC$3:$AD$8,2,FALSE),"Y","N")</f>
        <v>Y</v>
      </c>
      <c r="X208" s="197">
        <f>VALUE(LEFT(AD208,4))-VALUE(LEFT(AD207,4))</f>
        <v>1</v>
      </c>
      <c r="Y208" s="197">
        <f>RIGHT(D208,LEN(D208)-4)/10000</f>
        <v>4.6699999999999998E-2</v>
      </c>
      <c r="Z208" s="197">
        <f>RIGHT(H208,LEN(H208)-4)/10000</f>
        <v>2.3241999999999998</v>
      </c>
      <c r="AA208" s="197">
        <f>ABS(Z208-Y208)</f>
        <v>2.2774999999999999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303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s3://rtdc.mdm.uploadarchive.raw/RTDC4022/ "%USERPROFILE%\AppData\Local\Temp\OnboardLogs"\RTDC4022\2017-07-13 --exclude "*" --recursive --include "*20170713*" &amp; "%USERPROFILE%\Documents\GitHub\mrs-test-scripts\Headless Mode &amp; Sideloading\WalkAndUnGZ.bat" "%USERPROFILE%\AppData\Local\Temp\OnboardLogs"\RTDC4022\2017-07-13 &amp; aws s3 cp s3://rtdc.mdm.uploadarchive.raw/RTDC4022/ "%USERPROFILE%\AppData\Local\Temp\OnboardLogs"\RTDC4022\2017-07-14 --exclude "*" --recursive --include "*20170714*" &amp; "%USERPROFILE%\Documents\GitHub\mrs-test-scripts\Headless Mode &amp; Sideloading\WalkAndUnGZ.bat" "%USERPROFILE%\AppData\Local\Temp\OnboardLogs"\RTDC4022\2017-07-14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/stypes="app*4022*20170714*" /stext=" 01:.+((SYSTEM_STATE.+slice.+state.+changed )|(ment ac)|(multiple cpu faults)|(system.+state.+changed )|(\[timeout)|(PRM\|1\|D)|(kpr)|(kdp)|(train st.+moving)|(\|lc)|(penalty))"</v>
      </c>
      <c r="AG208" s="209" t="str">
        <f>DetSubdiv(A208)</f>
        <v>Other</v>
      </c>
      <c r="AH208" s="78" t="str">
        <f t="shared" si="20"/>
        <v>"%USERPROFILE%\Documents\GitHub\eaglep3\Utilities\RefineRTDCRunTimes.py" --tripid 303-13 --locoid 4022 --swversion DE.1.0.9.0 --startMP 204:467 --initTime 2017-07-13T19:11:59 --startdatetime 2017-07-13T19:14:51 --delay 2 --endMP 300:23242 --enddatetime 2017-07-13T19:23:27 --enforcementcount 1 &gt;&gt;C:\Users\stu\Documents\GitHub\eaglep3-reporting\EC\2017-07-13-refined-times.txt</v>
      </c>
      <c r="AI208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{"issue":{"subject":"","project_id":79,"tracker_id":40,"status_id":1,"priority_id":2,"assigned_to_id":23,"start_date":"2017-07-13","description":"","custom_fields":[{"id":1,"name":"Subdivision","value":"Other"},{"id":4,"name":"Milepost","value":"2.3242"},{"id":17,"name":"Train ID","value":"303-13"},{"id":16,"name":"Locomotive ID","value":"4022"},{"id":130,"name":"Impact","value":""},{"id":150,"name":"Time of Event (Mountain Time)","value":"19:23:27"},{"id":151,"name":"Denver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22"/>
        <v>start /low /b %USERPROFILE%\Documents\GitHub\eaglep3\Utilities\DownloadLogsFromS3.py --loco 4022 --day 2017-07-13</v>
      </c>
      <c r="AN208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673</v>
      </c>
      <c r="B209" s="7">
        <v>4041</v>
      </c>
      <c r="C209" s="21" t="s">
        <v>199</v>
      </c>
      <c r="D209" s="21" t="s">
        <v>939</v>
      </c>
      <c r="E209" s="13">
        <v>42929.161238425928</v>
      </c>
      <c r="F209" s="13">
        <v>42929.164826388886</v>
      </c>
      <c r="G209" s="7">
        <v>5</v>
      </c>
      <c r="H209" s="21" t="s">
        <v>351</v>
      </c>
      <c r="I209" s="13">
        <v>42929.170624999999</v>
      </c>
      <c r="J209" s="7">
        <v>1</v>
      </c>
      <c r="K209" s="89" t="str">
        <f>IF(ISEVEN(B209),(B209-1)&amp;"/"&amp;B209,B209&amp;"/"&amp;(B209+1))</f>
        <v>4041/4042</v>
      </c>
      <c r="L209" s="21" t="str">
        <f>VLOOKUP(A209,'Trips&amp;Operators'!$C$1:$G$99999,5,FALSE)</f>
        <v>GONZALEZ ARMANDO</v>
      </c>
      <c r="M209" s="6">
        <f>I209-F209</f>
        <v>5.7986111132777296E-3</v>
      </c>
      <c r="N209" s="7">
        <f>24*60*SUM($M209:$M209)</f>
        <v>8.3500000031199306</v>
      </c>
      <c r="O209" s="7"/>
      <c r="P209" s="7"/>
      <c r="Q209" s="22"/>
      <c r="R209" s="170"/>
      <c r="S209" s="213">
        <f>1/IF(AG209="EC",12,1)*SUM(U209:U209)</f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-13T02:52:11-0600',mode:absolute,to:'2017-07-13T05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1</v>
      </c>
      <c r="Y209" s="197">
        <f>RIGHT(D209,LEN(D209)-4)/10000</f>
        <v>2.3477999999999999</v>
      </c>
      <c r="Z209" s="197">
        <f>RIGHT(H209,LEN(H209)-4)/10000</f>
        <v>1.3899999999999999E-2</v>
      </c>
      <c r="AA209" s="197">
        <f>ABS(Z209-Y209)</f>
        <v>2.3338999999999999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s3://rtdc.mdm.uploadarchive.raw/RTDC4041/ "%USERPROFILE%\AppData\Local\Temp\OnboardLogs"\RTDC4041\2017-07-13 --exclude "*" --recursive --include "*20170713*" &amp; "%USERPROFILE%\Documents\GitHub\mrs-test-scripts\Headless Mode &amp; Sideloading\WalkAndUnGZ.bat" "%USERPROFILE%\AppData\Local\Temp\OnboardLogs"\RTDC4041\2017-07-13 &amp; 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/stypes="app*4041*20170713*" /stext=" 10:.+((SYSTEM_STATE.+slice.+state.+changed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20"/>
        <v>"%USERPROFILE%\Documents\GitHub\eaglep3\Utilities\RefineRTDCRunTimes.py" --tripid 304-13 --locoid 4041 --swversion DE.1.0.9.0 --startMP 300:23478 --initTime 2017-07-13T03:52:11 --startdatetime 2017-07-13T03:57:21 --delay 5 --endMP 204:139 --enddatetime 2017-07-13T04:05:42 --enforcementcount 1 &gt;&gt;C:\Users\stu\Documents\GitHub\eaglep3-reporting\EC\2017-07-13-refined-times.txt</v>
      </c>
      <c r="AI209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{"issue":{"subject":"","project_id":79,"tracker_id":40,"status_id":1,"priority_id":2,"assigned_to_id":23,"start_date":"2017-07-13","description":"","custom_fields":[{"id":1,"name":"Subdivision","value":"Other"},{"id":4,"name":"Milepost","value":"0.0139"},{"id":17,"name":"Train ID","value":"304-13"},{"id":16,"name":"Locomotive ID","value":"4041"},{"id":130,"name":"Impact","value":""},{"id":150,"name":"Time of Event (Mountain Time)","value":"04:05:42"},{"id":151,"name":"Denver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22"/>
        <v>start /low /b %USERPROFILE%\Documents\GitHub\eaglep3\Utilities\DownloadLogsFromS3.py --loco 4041 --day 2017-07-13</v>
      </c>
      <c r="AN209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834</v>
      </c>
      <c r="B210" s="7">
        <v>4008</v>
      </c>
      <c r="C210" s="21" t="s">
        <v>199</v>
      </c>
      <c r="D210" s="21" t="s">
        <v>196</v>
      </c>
      <c r="E210" s="13">
        <v>42929.8202662037</v>
      </c>
      <c r="F210" s="13">
        <v>42929.830023148148</v>
      </c>
      <c r="G210" s="7">
        <v>2</v>
      </c>
      <c r="H210" s="21" t="s">
        <v>940</v>
      </c>
      <c r="I210" s="13">
        <v>42929.836284722223</v>
      </c>
      <c r="J210" s="7">
        <v>1</v>
      </c>
      <c r="K210" s="89" t="str">
        <f>IF(ISEVEN(B210),(B210-1)&amp;"/"&amp;B210,B210&amp;"/"&amp;(B210+1))</f>
        <v>4007/4008</v>
      </c>
      <c r="L210" s="21" t="str">
        <f>VLOOKUP(A210,'Trips&amp;Operators'!$C$1:$G$99999,5,FALSE)</f>
        <v>ANDERS STEVEN</v>
      </c>
      <c r="M210" s="6">
        <f>I210-F210</f>
        <v>6.2615740753244609E-3</v>
      </c>
      <c r="N210" s="7">
        <f>24*60*SUM($M210:$M210)</f>
        <v>9.0166666684672236</v>
      </c>
      <c r="O210" s="7"/>
      <c r="P210" s="7"/>
      <c r="Q210" s="22"/>
      <c r="R210" s="170"/>
      <c r="S210" s="213">
        <f>1/IF(AG210="EC",12,1)*SUM(U210:U210)</f>
        <v>1</v>
      </c>
      <c r="T210" s="195" t="str">
        <f>IF(ISEVEN(LEFT(AD210,4)),"Southbound","NorthBound")</f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-13T18:41:11-0600',mode:absolute,to:'2017-07-13T21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1</v>
      </c>
      <c r="Y210" s="197">
        <f>RIGHT(D210,LEN(D210)-4)/10000</f>
        <v>4.5699999999999998E-2</v>
      </c>
      <c r="Z210" s="197">
        <f>RIGHT(H210,LEN(H210)-4)/10000</f>
        <v>2.3304</v>
      </c>
      <c r="AA210" s="197">
        <f>ABS(Z210-Y210)</f>
        <v>2.2847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/stypes="app*4008*20170714*" /stext=" 02:.+((SYSTEM_STATE.+slice.+state.+changed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20"/>
        <v>"%USERPROFILE%\Documents\GitHub\eaglep3\Utilities\RefineRTDCRunTimes.py" --tripid 305-13 --locoid 4008 --swversion DE.1.0.9.0 --startMP 204:457 --initTime 2017-07-13T19:41:11 --startdatetime 2017-07-13T19:55:14 --delay 2 --endMP 300:23304 --enddatetime 2017-07-13T20:04:15 --enforcementcount 1 &gt;&gt;C:\Users\stu\Documents\GitHub\eaglep3-reporting\EC\2017-07-13-refined-times.txt</v>
      </c>
      <c r="AI210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{"issue":{"subject":"","project_id":79,"tracker_id":40,"status_id":1,"priority_id":2,"assigned_to_id":23,"start_date":"2017-07-13","description":"","custom_fields":[{"id":1,"name":"Subdivision","value":"Other"},{"id":4,"name":"Milepost","value":"2.3304"},{"id":17,"name":"Train ID","value":"305-13"},{"id":16,"name":"Locomotive ID","value":"4008"},{"id":130,"name":"Impact","value":""},{"id":150,"name":"Time of Event (Mountain Time)","value":"20:04:15"},{"id":151,"name":"Denver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22"/>
        <v>start /low /b %USERPROFILE%\Documents\GitHub\eaglep3\Utilities\DownloadLogsFromS3.py --loco 4008 --day 2017-07-13</v>
      </c>
      <c r="AN210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02:04:15"},{"id":29,"name":"Sharepoint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615</v>
      </c>
      <c r="B211" s="7">
        <v>4013</v>
      </c>
      <c r="C211" s="21" t="s">
        <v>199</v>
      </c>
      <c r="D211" s="21" t="s">
        <v>941</v>
      </c>
      <c r="E211" s="13">
        <v>42929.171099537038</v>
      </c>
      <c r="F211" s="13">
        <v>42929.175983796296</v>
      </c>
      <c r="G211" s="7">
        <v>6</v>
      </c>
      <c r="H211" s="21" t="s">
        <v>942</v>
      </c>
      <c r="I211" s="13">
        <v>42929.181296296294</v>
      </c>
      <c r="J211" s="7">
        <v>1</v>
      </c>
      <c r="K211" s="89" t="str">
        <f>IF(ISEVEN(B211),(B211-1)&amp;"/"&amp;B211,B211&amp;"/"&amp;(B211+1))</f>
        <v>4013/4014</v>
      </c>
      <c r="L211" s="21" t="str">
        <f>VLOOKUP(A211,'Trips&amp;Operators'!$C$1:$G$99999,5,FALSE)</f>
        <v>LANGERAK WILLIAM</v>
      </c>
      <c r="M211" s="6">
        <f>I211-F211</f>
        <v>5.3124999976716936E-3</v>
      </c>
      <c r="N211" s="7">
        <f>24*60*SUM($M211:$M211)</f>
        <v>7.6499999966472387</v>
      </c>
      <c r="O211" s="7"/>
      <c r="P211" s="7"/>
      <c r="Q211" s="22"/>
      <c r="R211" s="170"/>
      <c r="S211" s="213">
        <f>1/IF(AG211="EC",12,1)*SUM(U211:U211)</f>
        <v>1</v>
      </c>
      <c r="T211" s="195" t="str">
        <f>IF(ISEVEN(LEFT(AD211,4)),"Southbound","NorthBound")</f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-13T03:06:23-0600',mode:absolute,to:'2017-07-13T05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2.3746999999999998</v>
      </c>
      <c r="Z211" s="197">
        <f>RIGHT(H211,LEN(H211)-4)/10000</f>
        <v>1.8499999999999999E-2</v>
      </c>
      <c r="AA211" s="197">
        <f>ABS(Z211-Y211)</f>
        <v>2.3561999999999999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/stypes="app*4013*20170713*" /stext=" 10:.+((SYSTEM_STATE.+slice.+state.+changed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20"/>
        <v>"%USERPROFILE%\Documents\GitHub\eaglep3\Utilities\RefineRTDCRunTimes.py" --tripid 306-13 --locoid 4013 --swversion DE.1.0.9.0 --startMP 300:23747 --initTime 2017-07-13T04:06:23 --startdatetime 2017-07-13T04:13:25 --delay 6 --endMP 204:185 --enddatetime 2017-07-13T04:21:04 --enforcementcount 1 &gt;&gt;C:\Users\stu\Documents\GitHub\eaglep3-reporting\EC\2017-07-13-refined-times.txt</v>
      </c>
      <c r="AI211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{"issue":{"subject":"","project_id":79,"tracker_id":40,"status_id":1,"priority_id":2,"assigned_to_id":23,"start_date":"2017-07-13","description":"","custom_fields":[{"id":1,"name":"Subdivision","value":"Other"},{"id":4,"name":"Milepost","value":"0.0185"},{"id":17,"name":"Train ID","value":"306-13"},{"id":16,"name":"Locomotive ID","value":"4013"},{"id":130,"name":"Impact","value":""},{"id":150,"name":"Time of Event (Mountain Time)","value":"04:21:04"},{"id":151,"name":"Denver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22"/>
        <v>start /low /b %USERPROFILE%\Documents\GitHub\eaglep3\Utilities\DownloadLogsFromS3.py --loco 4013 --day 2017-07-13</v>
      </c>
      <c r="AN211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675</v>
      </c>
      <c r="B212" s="7">
        <v>4011</v>
      </c>
      <c r="C212" s="21" t="s">
        <v>199</v>
      </c>
      <c r="D212" s="21" t="s">
        <v>943</v>
      </c>
      <c r="E212" s="13">
        <v>42929.173194444447</v>
      </c>
      <c r="F212" s="13">
        <v>42929.182824074072</v>
      </c>
      <c r="G212" s="7">
        <v>13</v>
      </c>
      <c r="H212" s="21" t="s">
        <v>424</v>
      </c>
      <c r="I212" s="13">
        <v>42929.191435185188</v>
      </c>
      <c r="J212" s="7">
        <v>1</v>
      </c>
      <c r="K212" s="89" t="str">
        <f>IF(ISEVEN(B212),(B212-1)&amp;"/"&amp;B212,B212&amp;"/"&amp;(B212+1))</f>
        <v>4011/4012</v>
      </c>
      <c r="L212" s="21" t="str">
        <f>VLOOKUP(A212,'Trips&amp;Operators'!$C$1:$G$99999,5,FALSE)</f>
        <v>GUZMAN DANNY</v>
      </c>
      <c r="M212" s="6">
        <f>I212-F212</f>
        <v>8.6111111158970743E-3</v>
      </c>
      <c r="N212" s="7">
        <f>24*60*SUM($M212:$M212)</f>
        <v>12.400000006891787</v>
      </c>
      <c r="O212" s="7"/>
      <c r="P212" s="7"/>
      <c r="Q212" s="22"/>
      <c r="R212" s="170"/>
      <c r="S212" s="213">
        <f>1/IF(AG212="EC",12,1)*SUM(U212:U212)</f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-13T03:09:24-0600',mode:absolute,to:'2017-07-13T05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2</v>
      </c>
      <c r="Y212" s="197">
        <f>RIGHT(D212,LEN(D212)-4)/10000</f>
        <v>2.3454999999999999</v>
      </c>
      <c r="Z212" s="197">
        <f>RIGHT(H212,LEN(H212)-4)/10000</f>
        <v>1.3599999999999999E-2</v>
      </c>
      <c r="AA212" s="197">
        <f>ABS(Z212-Y212)</f>
        <v>2.3319000000000001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308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/stypes="app*4011*20170713*" /stext=" 10:.+((SYSTEM_STATE.+slice.+state.+changed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20"/>
        <v>"%USERPROFILE%\Documents\GitHub\eaglep3\Utilities\RefineRTDCRunTimes.py" --tripid 308-13 --locoid 4011 --swversion DE.1.0.9.0 --startMP 300:23455 --initTime 2017-07-13T04:09:24 --startdatetime 2017-07-13T04:23:16 --delay 13 --endMP 204:136 --enddatetime 2017-07-13T04:35:40 --enforcementcount 1 &gt;&gt;C:\Users\stu\Documents\GitHub\eaglep3-reporting\EC\2017-07-13-refined-times.txt</v>
      </c>
      <c r="AI212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{"issue":{"subject":"","project_id":79,"tracker_id":40,"status_id":1,"priority_id":2,"assigned_to_id":23,"start_date":"2017-07-13","description":"","custom_fields":[{"id":1,"name":"Subdivision","value":"Other"},{"id":4,"name":"Milepost","value":"0.0136"},{"id":17,"name":"Train ID","value":"308-13"},{"id":16,"name":"Locomotive ID","value":"4011"},{"id":130,"name":"Impact","value":""},{"id":150,"name":"Time of Event (Mountain Time)","value":"04:35:40"},{"id":151,"name":"Denver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22"/>
        <v>start /low /b %USERPROFILE%\Documents\GitHub\eaglep3\Utilities\DownloadLogsFromS3.py --loco 4011 --day 2017-07-13</v>
      </c>
      <c r="AN212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854</v>
      </c>
      <c r="B213" s="7">
        <v>4028</v>
      </c>
      <c r="C213" s="21" t="s">
        <v>199</v>
      </c>
      <c r="D213" s="21" t="s">
        <v>417</v>
      </c>
      <c r="E213" s="13">
        <v>42930.050393518519</v>
      </c>
      <c r="F213" s="13">
        <v>42930.052037037036</v>
      </c>
      <c r="G213" s="7">
        <v>1</v>
      </c>
      <c r="H213" s="21" t="s">
        <v>944</v>
      </c>
      <c r="I213" s="13">
        <v>42930.061874999999</v>
      </c>
      <c r="J213" s="7">
        <v>1</v>
      </c>
      <c r="K213" s="89" t="str">
        <f>IF(ISEVEN(B213),(B213-1)&amp;"/"&amp;B213,B213&amp;"/"&amp;(B213+1))</f>
        <v>4027/4028</v>
      </c>
      <c r="L213" s="21" t="str">
        <f>VLOOKUP(A213,'Trips&amp;Operators'!$C$1:$G$99999,5,FALSE)</f>
        <v>ELBAUM MIKE</v>
      </c>
      <c r="M213" s="6">
        <f>I213-F213</f>
        <v>9.8379629635019228E-3</v>
      </c>
      <c r="N213" s="7">
        <f>24*60*SUM($M213:$M213)</f>
        <v>14.166666667442769</v>
      </c>
      <c r="O213" s="7"/>
      <c r="P213" s="7"/>
      <c r="Q213" s="22"/>
      <c r="R213" s="170"/>
      <c r="S213" s="213">
        <f>1/IF(AG213="EC",12,1)*SUM(U213:U213)</f>
        <v>1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-14T00:12:34-0600',mode:absolute,to:'2017-07-14T02:29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4.58E-2</v>
      </c>
      <c r="Z213" s="197">
        <f>RIGHT(H213,LEN(H213)-4)/10000</f>
        <v>2.3287</v>
      </c>
      <c r="AA213" s="197">
        <f>ABS(Z213-Y213)</f>
        <v>2.2829000000000002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309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 &amp; aws s3 cp s3://rtdc.mdm.uploadarchive.raw/RTDC4028/ "%USERPROFILE%\AppData\Local\Temp\OnboardLogs"\RTDC4028\2017-07-15 --exclude "*" --recursive --include "*20170715*" &amp; "%USERPROFILE%\Documents\GitHub\mrs-test-scripts\Headless Mode &amp; Sideloading\WalkAndUnGZ.bat" "%USERPROFILE%\AppData\Local\Temp\OnboardLogs"\RTDC4028\2017-07-15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/stypes="app*4028*20170714*" /stext=" 07:.+((SYSTEM_STATE.+slice.+state.+changed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20"/>
        <v>"%USERPROFILE%\Documents\GitHub\eaglep3\Utilities\RefineRTDCRunTimes.py" --tripid 309-13 --locoid 4028 --swversion DE.1.0.9.0 --startMP 204:458 --initTime 2017-07-14T01:12:34 --startdatetime 2017-07-14T01:14:56 --delay 1 --endMP 300:23287 --enddatetime 2017-07-14T01:29:06 --enforcementcount 1 &gt;&gt;C:\Users\stu\Documents\GitHub\eaglep3-reporting\EC\2017-07-13-refined-times.txt</v>
      </c>
      <c r="AI213" s="96" t="str">
        <f t="shared" si="21"/>
        <v>echo {"issue":{"subject":"","project_id":79,"tracker_id":40,"status_id":1,"priority_id":2,"assigned_to_id":23,"start_date":"2017-07-14","description":"","custom_fields":[{"id":1,"name":"Subdivision","value":"Other"},{"id":4,"name":"Milepost","value":"2.3287"},{"id":17,"name":"Train ID","value":"309-13"},{"id":16,"name":"Locomotive ID","value":"4028"},{"id":130,"name":"Impact","value":""},{"id":150,"name":"Time of Event (Mountain Time)","value":"01:29:06"},{"id":151,"name":"Denver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22"/>
        <v>start /low /b %USERPROFILE%\Documents\GitHub\eaglep3\Utilities\DownloadLogsFromS3.py --loco 4028 --day 2017-07-14</v>
      </c>
      <c r="AN213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07:29:06"},{"id":29,"name":"Sharepoint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680</v>
      </c>
      <c r="B214" s="7">
        <v>4021</v>
      </c>
      <c r="C214" s="21" t="s">
        <v>199</v>
      </c>
      <c r="D214" s="21" t="s">
        <v>945</v>
      </c>
      <c r="E214" s="13">
        <v>42929.20584490741</v>
      </c>
      <c r="F214" s="13">
        <v>42929.208668981482</v>
      </c>
      <c r="G214" s="7">
        <v>3</v>
      </c>
      <c r="H214" s="21" t="s">
        <v>381</v>
      </c>
      <c r="I214" s="13">
        <v>42929.21398148148</v>
      </c>
      <c r="J214" s="7">
        <v>1</v>
      </c>
      <c r="K214" s="89" t="str">
        <f>IF(ISEVEN(B214),(B214-1)&amp;"/"&amp;B214,B214&amp;"/"&amp;(B214+1))</f>
        <v>4021/4022</v>
      </c>
      <c r="L214" s="21" t="str">
        <f>VLOOKUP(A214,'Trips&amp;Operators'!$C$1:$G$99999,5,FALSE)</f>
        <v>PAGE MARCUS</v>
      </c>
      <c r="M214" s="6">
        <f>I214-F214</f>
        <v>5.3124999976716936E-3</v>
      </c>
      <c r="N214" s="7">
        <f>24*60*SUM($M214:$M214)</f>
        <v>7.6499999966472387</v>
      </c>
      <c r="O214" s="7"/>
      <c r="P214" s="7"/>
      <c r="Q214" s="22"/>
      <c r="R214" s="170"/>
      <c r="S214" s="213">
        <f>1/IF(AG214="EC",12,1)*SUM(U214:U214)</f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-13T03:56:25-0600',mode:absolute,to:'2017-07-13T06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2.3561000000000001</v>
      </c>
      <c r="Z214" s="197">
        <f>RIGHT(H214,LEN(H214)-4)/10000</f>
        <v>1.54E-2</v>
      </c>
      <c r="AA214" s="197">
        <f>ABS(Z214-Y214)</f>
        <v>2.3407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310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/stypes="app*4021*20170713*" /stext=" 11:.+((SYSTEM_STATE.+slice.+state.+changed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20"/>
        <v>"%USERPROFILE%\Documents\GitHub\eaglep3\Utilities\RefineRTDCRunTimes.py" --tripid 310-13 --locoid 4021 --swversion DE.1.0.9.0 --startMP 300:23561 --initTime 2017-07-13T04:56:25 --startdatetime 2017-07-13T05:00:29 --delay 3 --endMP 204:154 --enddatetime 2017-07-13T05:08:08 --enforcementcount 1 &gt;&gt;C:\Users\stu\Documents\GitHub\eaglep3-reporting\EC\2017-07-13-refined-times.txt</v>
      </c>
      <c r="AI214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{"issue":{"subject":"","project_id":79,"tracker_id":40,"status_id":1,"priority_id":2,"assigned_to_id":23,"start_date":"2017-07-13","description":"","custom_fields":[{"id":1,"name":"Subdivision","value":"Other"},{"id":4,"name":"Milepost","value":"0.0154"},{"id":17,"name":"Train ID","value":"310-13"},{"id":16,"name":"Locomotive ID","value":"4021"},{"id":130,"name":"Impact","value":""},{"id":150,"name":"Time of Event (Mountain Time)","value":"05:08:08"},{"id":151,"name":"Denver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22"/>
        <v>start /low /b %USERPROFILE%\Documents\GitHub\eaglep3\Utilities\DownloadLogsFromS3.py --loco 4021 --day 2017-07-13</v>
      </c>
      <c r="AN214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856</v>
      </c>
      <c r="B215" s="7">
        <v>4042</v>
      </c>
      <c r="C215" s="21" t="s">
        <v>199</v>
      </c>
      <c r="D215" s="21" t="s">
        <v>350</v>
      </c>
      <c r="E215" s="13">
        <v>42930.071331018517</v>
      </c>
      <c r="F215" s="13">
        <v>42930.072789351849</v>
      </c>
      <c r="G215" s="7">
        <v>1</v>
      </c>
      <c r="H215" s="21" t="s">
        <v>946</v>
      </c>
      <c r="I215" s="13">
        <v>42930.081400462965</v>
      </c>
      <c r="J215" s="7">
        <v>1</v>
      </c>
      <c r="K215" s="89" t="str">
        <f>IF(ISEVEN(B215),(B215-1)&amp;"/"&amp;B215,B215&amp;"/"&amp;(B215+1))</f>
        <v>4041/4042</v>
      </c>
      <c r="L215" s="21" t="str">
        <f>VLOOKUP(A215,'Trips&amp;Operators'!$C$1:$G$99999,5,FALSE)</f>
        <v>PERKINS DARREN</v>
      </c>
      <c r="M215" s="6">
        <f>I215-F215</f>
        <v>8.6111111158970743E-3</v>
      </c>
      <c r="N215" s="7">
        <f>24*60*SUM($M215:$M215)</f>
        <v>12.400000006891787</v>
      </c>
      <c r="O215" s="7"/>
      <c r="P215" s="7"/>
      <c r="Q215" s="22"/>
      <c r="R215" s="170"/>
      <c r="S215" s="213">
        <f>1/IF(AG215="EC",12,1)*SUM(U215:U215)</f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-14T00:42:43-0600',mode:absolute,to:'2017-07-14T02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4.4699999999999997E-2</v>
      </c>
      <c r="Z215" s="197">
        <f>RIGHT(H215,LEN(H215)-4)/10000</f>
        <v>2.3298999999999999</v>
      </c>
      <c r="AA215" s="197">
        <f>ABS(Z215-Y215)</f>
        <v>2.2851999999999997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311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 &amp; aws s3 cp s3://rtdc.mdm.uploadarchive.raw/RTDC4042/ "%USERPROFILE%\AppData\Local\Temp\OnboardLogs"\RTDC4042\2017-07-15 --exclude "*" --recursive --include "*20170715*" &amp; "%USERPROFILE%\Documents\GitHub\mrs-test-scripts\Headless Mode &amp; Sideloading\WalkAndUnGZ.bat" "%USERPROFILE%\AppData\Local\Temp\OnboardLogs"\RTDC4042\2017-07-15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/stypes="app*4042*20170714*" /stext=" 07:.+((SYSTEM_STATE.+slice.+state.+changed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20"/>
        <v>"%USERPROFILE%\Documents\GitHub\eaglep3\Utilities\RefineRTDCRunTimes.py" --tripid 311-13 --locoid 4042 --swversion DE.1.0.9.0 --startMP 204:447 --initTime 2017-07-14T01:42:43 --startdatetime 2017-07-14T01:44:49 --delay 1 --endMP 300:23299 --enddatetime 2017-07-14T01:57:13 --enforcementcount 1 &gt;&gt;C:\Users\stu\Documents\GitHub\eaglep3-reporting\EC\2017-07-13-refined-times.txt</v>
      </c>
      <c r="AI215" s="96" t="str">
        <f t="shared" si="21"/>
        <v>echo {"issue":{"subject":"","project_id":79,"tracker_id":40,"status_id":1,"priority_id":2,"assigned_to_id":23,"start_date":"2017-07-14","description":"","custom_fields":[{"id":1,"name":"Subdivision","value":"Other"},{"id":4,"name":"Milepost","value":"2.3299"},{"id":17,"name":"Train ID","value":"311-13"},{"id":16,"name":"Locomotive ID","value":"4042"},{"id":130,"name":"Impact","value":""},{"id":150,"name":"Time of Event (Mountain Time)","value":"01:57:13"},{"id":151,"name":"Denver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22"/>
        <v>start /low /b %USERPROFILE%\Documents\GitHub\eaglep3\Utilities\DownloadLogsFromS3.py --loco 4042 --day 2017-07-14</v>
      </c>
      <c r="AN215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07:57:13"},{"id":29,"name":"Sharepoint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685</v>
      </c>
      <c r="B216" s="7">
        <v>4007</v>
      </c>
      <c r="C216" s="21" t="s">
        <v>199</v>
      </c>
      <c r="D216" s="21" t="s">
        <v>947</v>
      </c>
      <c r="E216" s="13">
        <v>42929.220937500002</v>
      </c>
      <c r="F216" s="13">
        <v>42929.223067129627</v>
      </c>
      <c r="G216" s="7">
        <v>2</v>
      </c>
      <c r="H216" s="21" t="s">
        <v>344</v>
      </c>
      <c r="I216" s="13">
        <v>42929.23233796296</v>
      </c>
      <c r="J216" s="7">
        <v>1</v>
      </c>
      <c r="K216" s="89" t="str">
        <f>IF(ISEVEN(B216),(B216-1)&amp;"/"&amp;B216,B216&amp;"/"&amp;(B216+1))</f>
        <v>4007/4008</v>
      </c>
      <c r="L216" s="21" t="str">
        <f>VLOOKUP(A216,'Trips&amp;Operators'!$C$1:$G$99999,5,FALSE)</f>
        <v>HELVIE ADAM</v>
      </c>
      <c r="M216" s="6">
        <f>I216-F216</f>
        <v>9.2708333322661929E-3</v>
      </c>
      <c r="N216" s="7">
        <f>24*60*SUM($M216:$M216)</f>
        <v>13.349999998463318</v>
      </c>
      <c r="O216" s="7"/>
      <c r="P216" s="7"/>
      <c r="Q216" s="22"/>
      <c r="R216" s="170"/>
      <c r="S216" s="213">
        <f>1/IF(AG216="EC",12,1)*SUM(U216:U216)</f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-13T04:18:09-0600',mode:absolute,to:'2017-07-13T06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2.355</v>
      </c>
      <c r="Z216" s="197">
        <f>RIGHT(H216,LEN(H216)-4)/10000</f>
        <v>1.49E-2</v>
      </c>
      <c r="AA216" s="197">
        <f>ABS(Z216-Y216)</f>
        <v>2.3401000000000001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312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/stypes="app*4007*20170713*" /stext=" 11:.+((SYSTEM_STATE.+slice.+state.+changed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20"/>
        <v>"%USERPROFILE%\Documents\GitHub\eaglep3\Utilities\RefineRTDCRunTimes.py" --tripid 312-13 --locoid 4007 --swversion DE.1.0.9.0 --startMP 300:23550 --initTime 2017-07-13T05:18:09 --startdatetime 2017-07-13T05:21:13 --delay 2 --endMP 204:149 --enddatetime 2017-07-13T05:34:34 --enforcementcount 1 &gt;&gt;C:\Users\stu\Documents\GitHub\eaglep3-reporting\EC\2017-07-13-refined-times.txt</v>
      </c>
      <c r="AI216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{"issue":{"subject":"","project_id":79,"tracker_id":40,"status_id":1,"priority_id":2,"assigned_to_id":23,"start_date":"2017-07-13","description":"","custom_fields":[{"id":1,"name":"Subdivision","value":"Other"},{"id":4,"name":"Milepost","value":"0.0149"},{"id":17,"name":"Train ID","value":"312-13"},{"id":16,"name":"Locomotive ID","value":"4007"},{"id":130,"name":"Impact","value":""},{"id":150,"name":"Time of Event (Mountain Time)","value":"05:34:34"},{"id":151,"name":"Denver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22"/>
        <v>start /low /b %USERPROFILE%\Documents\GitHub\eaglep3\Utilities\DownloadLogsFromS3.py --loco 4007 --day 2017-07-13</v>
      </c>
      <c r="AN216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569</v>
      </c>
      <c r="B217" s="7">
        <v>4002</v>
      </c>
      <c r="C217" s="21" t="s">
        <v>199</v>
      </c>
      <c r="D217" s="21" t="s">
        <v>501</v>
      </c>
      <c r="E217" s="13">
        <v>42929.092604166668</v>
      </c>
      <c r="F217" s="13">
        <v>42929.093645833331</v>
      </c>
      <c r="G217" s="7">
        <v>1</v>
      </c>
      <c r="H217" s="21" t="s">
        <v>348</v>
      </c>
      <c r="I217" s="13">
        <v>42929.101134259261</v>
      </c>
      <c r="J217" s="7">
        <v>1</v>
      </c>
      <c r="K217" s="89" t="str">
        <f>IF(ISEVEN(B217),(B217-1)&amp;"/"&amp;B217,B217&amp;"/"&amp;(B217+1))</f>
        <v>4001/4002</v>
      </c>
      <c r="L217" s="21" t="str">
        <f>VLOOKUP(A217,'Trips&amp;Operators'!$C$1:$G$99999,5,FALSE)</f>
        <v>LAMAR NEKESHA</v>
      </c>
      <c r="M217" s="6">
        <f>I217-F217</f>
        <v>7.4884259302052669E-3</v>
      </c>
      <c r="N217" s="7">
        <f>24*60*SUM($M217:$M217)</f>
        <v>10.783333339495584</v>
      </c>
      <c r="O217" s="7"/>
      <c r="P217" s="7"/>
      <c r="Q217" s="22"/>
      <c r="R217" s="170"/>
      <c r="S217" s="213">
        <f>1/IF(AG217="EC",12,1)*SUM(U217:U217)</f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-13T01:13:21-0600',mode:absolute,to:'2017-07-13T03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4.7500000000000001E-2</v>
      </c>
      <c r="Z217" s="197">
        <f>RIGHT(H217,LEN(H217)-4)/10000</f>
        <v>2.3346</v>
      </c>
      <c r="AA217" s="197">
        <f>ABS(Z217-Y217)</f>
        <v>2.2871000000000001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 &amp; 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/stypes="app*4002*20170713*" /stext=" 08:.+((SYSTEM_STATE.+slice.+state.+changed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20"/>
        <v>"%USERPROFILE%\Documents\GitHub\eaglep3\Utilities\RefineRTDCRunTimes.py" --tripid 313-12 --locoid 4002 --swversion DE.1.0.9.0 --startMP 204:475 --initTime 2017-07-13T02:13:21 --startdatetime 2017-07-13T02:14:51 --delay 1 --endMP 300:23346 --enddatetime 2017-07-13T02:25:38 --enforcementcount 1 &gt;&gt;C:\Users\stu\Documents\GitHub\eaglep3-reporting\EC\2017-07-13-refined-times.txt</v>
      </c>
      <c r="AI217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{"issue":{"subject":"","project_id":79,"tracker_id":40,"status_id":1,"priority_id":2,"assigned_to_id":23,"start_date":"2017-07-13","description":"","custom_fields":[{"id":1,"name":"Subdivision","value":"Other"},{"id":4,"name":"Milepost","value":"2.3346"},{"id":17,"name":"Train ID","value":"313-12"},{"id":16,"name":"Locomotive ID","value":"4002"},{"id":130,"name":"Impact","value":""},{"id":150,"name":"Time of Event (Mountain Time)","value":"02:25:38"},{"id":151,"name":"Denver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22"/>
        <v>start /low /b %USERPROFILE%\Documents\GitHub\eaglep3\Utilities\DownloadLogsFromS3.py --loco 4002 --day 2017-07-13</v>
      </c>
      <c r="AN217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08:25:38"},{"id":29,"name":"Sharepoint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663</v>
      </c>
      <c r="B218" s="7">
        <v>4014</v>
      </c>
      <c r="C218" s="21" t="s">
        <v>199</v>
      </c>
      <c r="D218" s="21" t="s">
        <v>342</v>
      </c>
      <c r="E218" s="13">
        <v>42930.088854166665</v>
      </c>
      <c r="F218" s="13">
        <v>42930.096620370372</v>
      </c>
      <c r="G218" s="7">
        <v>1</v>
      </c>
      <c r="H218" s="21" t="s">
        <v>948</v>
      </c>
      <c r="I218" s="13">
        <v>42930.103750000002</v>
      </c>
      <c r="J218" s="7">
        <v>1</v>
      </c>
      <c r="K218" s="89" t="str">
        <f>IF(ISEVEN(B218),(B218-1)&amp;"/"&amp;B218,B218&amp;"/"&amp;(B218+1))</f>
        <v>4013/4014</v>
      </c>
      <c r="L218" s="21" t="str">
        <f>VLOOKUP(A218,'Trips&amp;Operators'!$C$1:$G$99999,5,FALSE)</f>
        <v>FORTUNATO FRANK</v>
      </c>
      <c r="M218" s="6">
        <f>I218-F218</f>
        <v>7.1296296300715767E-3</v>
      </c>
      <c r="N218" s="7">
        <f>24*60*SUM($M218:$M218)</f>
        <v>10.26666666730307</v>
      </c>
      <c r="O218" s="7"/>
      <c r="P218" s="7"/>
      <c r="Q218" s="22"/>
      <c r="R218" s="170"/>
      <c r="S218" s="213">
        <f>1/IF(AG218="EC",12,1)*SUM(U218:U218)</f>
        <v>0</v>
      </c>
      <c r="T218" s="195" t="str">
        <f>IF(ISEVEN(LEFT(AD218,4)),"Southbound","NorthBound")</f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-14T01:07:57-0600',mode:absolute,to:'2017-07-14T03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0</v>
      </c>
      <c r="Y218" s="197">
        <f>RIGHT(D218,LEN(D218)-4)/10000</f>
        <v>4.4600000000000001E-2</v>
      </c>
      <c r="Z218" s="197">
        <f>RIGHT(H218,LEN(H218)-4)/10000</f>
        <v>0.16120000000000001</v>
      </c>
      <c r="AA218" s="197">
        <f>ABS(Z218-Y218)</f>
        <v>0.11660000000000001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/stypes="app*4014*20170714*" /stext=" 08:.+((SYSTEM_STATE.+slice.+state.+changed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20"/>
        <v>"%USERPROFILE%\Documents\GitHub\eaglep3\Utilities\RefineRTDCRunTimes.py" --tripid 313-13 --locoid 4014 --swversion DE.1.0.9.0 --startMP 204:446 --initTime 2017-07-14T02:07:57 --startdatetime 2017-07-14T02:19:08 --delay 1 --endMP 204:1612 --enddatetime 2017-07-14T02:29:24 --enforcementcount 1 &gt;&gt;C:\Users\stu\Documents\GitHub\eaglep3-reporting\EC\2017-07-13-refined-times.txt</v>
      </c>
      <c r="AI218" s="96" t="str">
        <f t="shared" si="21"/>
        <v>echo {"issue":{"subject":"","project_id":79,"tracker_id":40,"status_id":1,"priority_id":2,"assigned_to_id":23,"start_date":"2017-07-14","description":"","custom_fields":[{"id":1,"name":"Subdivision","value":"Other"},{"id":4,"name":"Milepost","value":"0.1612"},{"id":17,"name":"Train ID","value":"313-13"},{"id":16,"name":"Locomotive ID","value":"4014"},{"id":130,"name":"Impact","value":""},{"id":150,"name":"Time of Event (Mountain Time)","value":"02:29:24"},{"id":151,"name":"Denver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22"/>
        <v>start /low /b %USERPROFILE%\Documents\GitHub\eaglep3\Utilities\DownloadLogsFromS3.py --loco 4014 --day 2017-07-14</v>
      </c>
      <c r="AN218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08:29:24"},{"id":29,"name":"Sharepoint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663</v>
      </c>
      <c r="B219" s="7">
        <v>4014</v>
      </c>
      <c r="C219" s="21" t="s">
        <v>199</v>
      </c>
      <c r="D219" s="21" t="s">
        <v>949</v>
      </c>
      <c r="E219" s="13">
        <v>42930.095752314817</v>
      </c>
      <c r="F219" s="13">
        <v>42930.096620370372</v>
      </c>
      <c r="G219" s="7">
        <v>0</v>
      </c>
      <c r="H219" s="21" t="s">
        <v>348</v>
      </c>
      <c r="I219" s="13">
        <v>42930.103750000002</v>
      </c>
      <c r="J219" s="7">
        <v>1</v>
      </c>
      <c r="K219" s="89" t="str">
        <f>IF(ISEVEN(B219),(B219-1)&amp;"/"&amp;B219,B219&amp;"/"&amp;(B219+1))</f>
        <v>4013/4014</v>
      </c>
      <c r="L219" s="21" t="str">
        <f>VLOOKUP(A219,'Trips&amp;Operators'!$C$1:$G$99999,5,FALSE)</f>
        <v>FORTUNATO FRANK</v>
      </c>
      <c r="M219" s="6">
        <f>I219-F219</f>
        <v>7.1296296300715767E-3</v>
      </c>
      <c r="N219" s="7">
        <f>24*60*SUM($M219:$M219)</f>
        <v>10.26666666730307</v>
      </c>
      <c r="O219" s="7"/>
      <c r="P219" s="7"/>
      <c r="Q219" s="22"/>
      <c r="R219" s="170"/>
      <c r="S219" s="213">
        <f>1/IF(AG219="EC",12,1)*SUM(U219:U219)</f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-14T01:17:53-0600',mode:absolute,to:'2017-07-14T03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0</v>
      </c>
      <c r="Y219" s="197">
        <f>RIGHT(D219,LEN(D219)-4)/10000</f>
        <v>0.67989999999999995</v>
      </c>
      <c r="Z219" s="197">
        <f>RIGHT(H219,LEN(H219)-4)/10000</f>
        <v>2.3346</v>
      </c>
      <c r="AA219" s="197">
        <f>ABS(Z219-Y219)</f>
        <v>1.6547000000000001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/stypes="app*4014*20170714*" /stext=" 08:.+((SYSTEM_STATE.+slice.+state.+changed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20"/>
        <v>"%USERPROFILE%\Documents\GitHub\eaglep3\Utilities\RefineRTDCRunTimes.py" --tripid 313-13 --locoid 4014 --swversion DE.1.0.9.0 --startMP 300:6799 --initTime 2017-07-14T02:17:53 --startdatetime 2017-07-14T02:19:08 --delay 0 --endMP 300:23346 --enddatetime 2017-07-14T02:29:24 --enforcementcount 1 &gt;&gt;C:\Users\stu\Documents\GitHub\eaglep3-reporting\EC\2017-07-13-refined-times.txt</v>
      </c>
      <c r="AI219" s="96" t="str">
        <f t="shared" si="21"/>
        <v>echo {"issue":{"subject":"","project_id":79,"tracker_id":40,"status_id":1,"priority_id":2,"assigned_to_id":23,"start_date":"2017-07-14","description":"","custom_fields":[{"id":1,"name":"Subdivision","value":"Other"},{"id":4,"name":"Milepost","value":"2.3346"},{"id":17,"name":"Train ID","value":"313-13"},{"id":16,"name":"Locomotive ID","value":"4014"},{"id":130,"name":"Impact","value":""},{"id":150,"name":"Time of Event (Mountain Time)","value":"02:29:24"},{"id":151,"name":"Denver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22"/>
        <v>start /low /b %USERPROFILE%\Documents\GitHub\eaglep3\Utilities\DownloadLogsFromS3.py --loco 4014 --day 2017-07-14</v>
      </c>
      <c r="AN219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08:29:24"},{"id":29,"name":"Sharepoint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616</v>
      </c>
      <c r="B220" s="7">
        <v>4016</v>
      </c>
      <c r="C220" s="21" t="s">
        <v>199</v>
      </c>
      <c r="D220" s="21" t="s">
        <v>1008</v>
      </c>
      <c r="E220" s="13">
        <v>42929.20275462963</v>
      </c>
      <c r="F220" s="13">
        <v>42929.206388888888</v>
      </c>
      <c r="G220" s="7">
        <v>5</v>
      </c>
      <c r="H220" s="21" t="s">
        <v>1009</v>
      </c>
      <c r="I220" s="13">
        <v>42929.212604166663</v>
      </c>
      <c r="J220" s="7">
        <v>1</v>
      </c>
      <c r="K220" s="89" t="str">
        <f>IF(ISEVEN(B220),(B220-1)&amp;"/"&amp;B220,B220&amp;"/"&amp;(B220+1))</f>
        <v>4015/4016</v>
      </c>
      <c r="L220" s="21" t="str">
        <f>VLOOKUP(A220,'Trips&amp;Operators'!$C$1:$G$99999,5,FALSE)</f>
        <v>DAVIS WENDY</v>
      </c>
      <c r="M220" s="6">
        <f>I220-F220</f>
        <v>6.2152777754818089E-3</v>
      </c>
      <c r="N220" s="7">
        <f>24*60*SUM($M220:$M220)</f>
        <v>8.9499999966938049</v>
      </c>
      <c r="O220" s="7"/>
      <c r="P220" s="7"/>
      <c r="Q220" s="22"/>
      <c r="R220" s="170"/>
      <c r="S220" s="213">
        <f>1/IF(AG220="EC",12,1)*SUM(U220:U220)</f>
        <v>0</v>
      </c>
      <c r="T220" s="195" t="str">
        <f>IF(ISEVEN(LEFT(AD220,4)),"Southbound","NorthBound")</f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-13T03:51:58-0600',mode:absolute,to:'2017-07-13T06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588</v>
      </c>
      <c r="Y220" s="197">
        <f>RIGHT(D220,LEN(D220)-4)/10000</f>
        <v>3.0190000000000001</v>
      </c>
      <c r="Z220" s="197">
        <f>RIGHT(H220,LEN(H220)-4)/10000</f>
        <v>5.9013999999999998</v>
      </c>
      <c r="AA220" s="197">
        <f>ABS(Z220-Y220)</f>
        <v>2.8823999999999996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/stypes="app*4016*20170713*"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20"/>
        <v>"%USERPROFILE%\Documents\GitHub\eaglep3\Utilities\RefineRTDCRunTimes.py" --tripid 901-13 --locoid 4016 --swversion DE.1.0.9.0 --startMP 300:30190 --initTime 2017-07-13T04:51:58 --startdatetime 2017-07-13T04:57:12 --delay 5 --endMP 300:59014 --enddatetime 2017-07-13T05:06:09 --enforcementcount 1 &gt;&gt;C:\Users\stu\Documents\GitHub\eaglep3-reporting\EC\2017-07-13-refined-times.txt</v>
      </c>
      <c r="AI220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{"issue":{"subject":"","project_id":79,"tracker_id":40,"status_id":1,"priority_id":2,"assigned_to_id":23,"start_date":"2017-07-13","description":"","custom_fields":[{"id":1,"name":"Subdivision","value":"Other"},{"id":4,"name":"Milepost","value":"5.9014"},{"id":17,"name":"Train ID","value":"901-13"},{"id":16,"name":"Locomotive ID","value":"4016"},{"id":130,"name":"Impact","value":""},{"id":150,"name":"Time of Event (Mountain Time)","value":"05:06:09"},{"id":151,"name":"Denver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22"/>
        <v>start /low /b %USERPROFILE%\Documents\GitHub\eaglep3\Utilities\DownloadLogsFromS3.py --loco 4016 --day 2017-07-13</v>
      </c>
      <c r="AN220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689</v>
      </c>
      <c r="B221" s="7">
        <v>4043</v>
      </c>
      <c r="C221" s="21" t="s">
        <v>199</v>
      </c>
      <c r="D221" s="21" t="s">
        <v>1010</v>
      </c>
      <c r="E221" s="13">
        <v>42929.245000000003</v>
      </c>
      <c r="F221" s="13">
        <v>42929.248043981483</v>
      </c>
      <c r="G221" s="7">
        <v>4</v>
      </c>
      <c r="H221" s="21" t="s">
        <v>996</v>
      </c>
      <c r="I221" s="13">
        <v>42929.253599537034</v>
      </c>
      <c r="J221" s="7">
        <v>1</v>
      </c>
      <c r="K221" s="89" t="str">
        <f>IF(ISEVEN(B221),(B221-1)&amp;"/"&amp;B221,B221&amp;"/"&amp;(B221+1))</f>
        <v>4043/4044</v>
      </c>
      <c r="L221" s="21" t="str">
        <f>VLOOKUP(A221,'Trips&amp;Operators'!$C$1:$G$99999,5,FALSE)</f>
        <v>YANG JAN</v>
      </c>
      <c r="M221" s="6">
        <f>I221-F221</f>
        <v>5.5555555518367328E-3</v>
      </c>
      <c r="N221" s="7">
        <f>24*60*SUM($M221:$M221)</f>
        <v>7.9999999946448952</v>
      </c>
      <c r="O221" s="7"/>
      <c r="P221" s="7"/>
      <c r="Q221" s="22"/>
      <c r="R221" s="170"/>
      <c r="S221" s="213">
        <f>1/IF(AG221="EC",12,1)*SUM(U221:U221)</f>
        <v>1</v>
      </c>
      <c r="T221" s="195" t="str">
        <f>IF(ISEVEN(LEFT(AD221,4)),"Southbound","NorthBound")</f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-13T04:52:48-0600',mode:absolute,to:'2017-07-13T07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2.3418999999999999</v>
      </c>
      <c r="Z221" s="197">
        <f>RIGHT(H221,LEN(H221)-4)/10000</f>
        <v>7.0099999999999996E-2</v>
      </c>
      <c r="AA221" s="197">
        <f>ABS(Z221-Y221)</f>
        <v>2.2717999999999998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/stypes="app*4043*20170713*" /stext=" 12:.+((SYSTEM_STATE.+slice.+state.+changed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20"/>
        <v>"%USERPROFILE%\Documents\GitHub\eaglep3\Utilities\RefineRTDCRunTimes.py" --tripid 902-13 --locoid 4043 --swversion DE.1.0.9.0 --startMP 300:23419 --initTime 2017-07-13T05:52:48 --startdatetime 2017-07-13T05:57:11 --delay 4 --endMP 204:701 --enddatetime 2017-07-13T06:05:11 --enforcementcount 1 &gt;&gt;C:\Users\stu\Documents\GitHub\eaglep3-reporting\EC\2017-07-13-refined-times.txt</v>
      </c>
      <c r="AI221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{"issue":{"subject":"","project_id":79,"tracker_id":40,"status_id":1,"priority_id":2,"assigned_to_id":23,"start_date":"2017-07-13","description":"","custom_fields":[{"id":1,"name":"Subdivision","value":"Other"},{"id":4,"name":"Milepost","value":"0.0701"},{"id":17,"name":"Train ID","value":"902-13"},{"id":16,"name":"Locomotive ID","value":"4043"},{"id":130,"name":"Impact","value":""},{"id":150,"name":"Time of Event (Mountain Time)","value":"06:05:11"},{"id":151,"name":"Denver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22"/>
        <v>start /low /b %USERPROFILE%\Documents\GitHub\eaglep3\Utilities\DownloadLogsFromS3.py --loco 4043 --day 2017-07-13</v>
      </c>
      <c r="AN221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717</v>
      </c>
      <c r="B222" s="7">
        <v>4016</v>
      </c>
      <c r="C222" s="21" t="s">
        <v>199</v>
      </c>
      <c r="D222" s="21" t="s">
        <v>501</v>
      </c>
      <c r="E222" s="13">
        <v>42929.352453703701</v>
      </c>
      <c r="F222" s="13">
        <v>42929.353703703702</v>
      </c>
      <c r="G222" s="7">
        <v>1</v>
      </c>
      <c r="H222" s="21" t="s">
        <v>1011</v>
      </c>
      <c r="I222" s="13">
        <v>42929.360497685186</v>
      </c>
      <c r="J222" s="7">
        <v>1</v>
      </c>
      <c r="K222" s="89" t="str">
        <f>IF(ISEVEN(B222),(B222-1)&amp;"/"&amp;B222,B222&amp;"/"&amp;(B222+1))</f>
        <v>4015/4016</v>
      </c>
      <c r="L222" s="21" t="str">
        <f>VLOOKUP(A222,'Trips&amp;Operators'!$C$1:$G$99999,5,FALSE)</f>
        <v>DAVIS WENDY</v>
      </c>
      <c r="M222" s="6">
        <f>I222-F222</f>
        <v>6.7939814834971912E-3</v>
      </c>
      <c r="N222" s="7">
        <f>24*60*SUM($M222:$M222)</f>
        <v>9.7833333362359554</v>
      </c>
      <c r="O222" s="7"/>
      <c r="P222" s="7"/>
      <c r="Q222" s="22"/>
      <c r="R222" s="170"/>
      <c r="S222" s="213">
        <f>1/IF(AG222="EC",12,1)*SUM(U222:U222)</f>
        <v>1</v>
      </c>
      <c r="T222" s="195" t="str">
        <f>IF(ISEVEN(LEFT(AD222,4)),"Southbound","NorthBound")</f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-13T07:27:32-0600',mode:absolute,to:'2017-07-13T09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4.7500000000000001E-2</v>
      </c>
      <c r="Z222" s="197">
        <f>RIGHT(H222,LEN(H222)-4)/10000</f>
        <v>2.4243999999999999</v>
      </c>
      <c r="AA222" s="197">
        <f>ABS(Z222-Y222)</f>
        <v>2.3769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/stypes="app*4016*20170713*" /stext=" 14:.+((SYSTEM_STATE.+slice.+state.+changed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20"/>
        <v>"%USERPROFILE%\Documents\GitHub\eaglep3\Utilities\RefineRTDCRunTimes.py" --tripid 903-13 --locoid 4016 --swversion DE.1.0.9.0 --startMP 204:475 --initTime 2017-07-13T08:27:32 --startdatetime 2017-07-13T08:29:20 --delay 1 --endMP 300:24244 --enddatetime 2017-07-13T08:39:07 --enforcementcount 1 &gt;&gt;C:\Users\stu\Documents\GitHub\eaglep3-reporting\EC\2017-07-13-refined-times.txt</v>
      </c>
      <c r="AI222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{"issue":{"subject":"","project_id":79,"tracker_id":40,"status_id":1,"priority_id":2,"assigned_to_id":23,"start_date":"2017-07-13","description":"","custom_fields":[{"id":1,"name":"Subdivision","value":"Other"},{"id":4,"name":"Milepost","value":"2.4244"},{"id":17,"name":"Train ID","value":"903-13"},{"id":16,"name":"Locomotive ID","value":"4016"},{"id":130,"name":"Impact","value":""},{"id":150,"name":"Time of Event (Mountain Time)","value":"08:39:07"},{"id":151,"name":"Denver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22"/>
        <v>start /low /b %USERPROFILE%\Documents\GitHub\eaglep3\Utilities\DownloadLogsFromS3.py --loco 4016 --day 2017-07-13</v>
      </c>
      <c r="AN222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14:39:07"},{"id":29,"name":"Sharepoint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641</v>
      </c>
      <c r="B223" s="7">
        <v>4015</v>
      </c>
      <c r="C223" s="21" t="s">
        <v>199</v>
      </c>
      <c r="D223" s="21" t="s">
        <v>1012</v>
      </c>
      <c r="E223" s="13">
        <v>42929.643379629626</v>
      </c>
      <c r="F223" s="13">
        <v>42929.646469907406</v>
      </c>
      <c r="G223" s="7">
        <v>4</v>
      </c>
      <c r="H223" s="21" t="s">
        <v>599</v>
      </c>
      <c r="I223" s="13">
        <v>42929.651585648149</v>
      </c>
      <c r="J223" s="7">
        <v>1</v>
      </c>
      <c r="K223" s="89" t="str">
        <f>IF(ISEVEN(B223),(B223-1)&amp;"/"&amp;B223,B223&amp;"/"&amp;(B223+1))</f>
        <v>4015/4016</v>
      </c>
      <c r="L223" s="21" t="str">
        <f>VLOOKUP(A223,'Trips&amp;Operators'!$C$1:$G$99999,5,FALSE)</f>
        <v>MAGEE KENYA</v>
      </c>
      <c r="M223" s="6">
        <f>I223-F223</f>
        <v>5.1157407433493063E-3</v>
      </c>
      <c r="N223" s="7">
        <f>24*60*SUM($M223:$M223)</f>
        <v>7.3666666704230011</v>
      </c>
      <c r="O223" s="7"/>
      <c r="P223" s="7"/>
      <c r="Q223" s="22"/>
      <c r="R223" s="170"/>
      <c r="S223" s="213">
        <f>1/IF(AG223="EC",12,1)*SUM(U223:U223)</f>
        <v>1</v>
      </c>
      <c r="T223" s="195" t="str">
        <f>IF(ISEVEN(LEFT(AD223,4)),"Southbound","NorthBound")</f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-13T14:26:28-0600',mode:absolute,to:'2017-07-13T16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1.9288000000000001</v>
      </c>
      <c r="Z223" s="197">
        <f>RIGHT(H223,LEN(H223)-4)/10000</f>
        <v>7.0800000000000002E-2</v>
      </c>
      <c r="AA223" s="197">
        <f>ABS(Z223-Y223)</f>
        <v>1.8580000000000001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/stypes="app*4015*20170713*" /stext=" 21:.+((SYSTEM_STATE.+slice.+state.+changed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20"/>
        <v>"%USERPROFILE%\Documents\GitHub\eaglep3\Utilities\RefineRTDCRunTimes.py" --tripid 904-13 --locoid 4015 --swversion DE.1.0.9.0 --startMP 300:19288 --initTime 2017-07-13T15:26:28 --startdatetime 2017-07-13T15:30:55 --delay 4 --endMP 204:708 --enddatetime 2017-07-13T15:38:17 --enforcementcount 1 &gt;&gt;C:\Users\stu\Documents\GitHub\eaglep3-reporting\EC\2017-07-13-refined-times.txt</v>
      </c>
      <c r="AI223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{"issue":{"subject":"","project_id":79,"tracker_id":40,"status_id":1,"priority_id":2,"assigned_to_id":23,"start_date":"2017-07-13","description":"","custom_fields":[{"id":1,"name":"Subdivision","value":"Other"},{"id":4,"name":"Milepost","value":"0.0708"},{"id":17,"name":"Train ID","value":"904-13"},{"id":16,"name":"Locomotive ID","value":"4015"},{"id":130,"name":"Impact","value":""},{"id":150,"name":"Time of Event (Mountain Time)","value":"15:38:17"},{"id":151,"name":"Denver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22"/>
        <v>start /low /b %USERPROFILE%\Documents\GitHub\eaglep3\Utilities\DownloadLogsFromS3.py --loco 4015 --day 2017-07-13</v>
      </c>
      <c r="AN223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21:38:17"},{"id":29,"name":"Sharepoint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827</v>
      </c>
      <c r="B224" s="7">
        <v>4015</v>
      </c>
      <c r="C224" s="21" t="s">
        <v>199</v>
      </c>
      <c r="D224" s="21" t="s">
        <v>1013</v>
      </c>
      <c r="E224" s="13">
        <v>42929.795787037037</v>
      </c>
      <c r="F224" s="13">
        <v>42929.796863425923</v>
      </c>
      <c r="G224" s="7">
        <v>0</v>
      </c>
      <c r="H224" s="21" t="s">
        <v>1014</v>
      </c>
      <c r="I224" s="13">
        <v>42929.803217592591</v>
      </c>
      <c r="J224" s="7">
        <v>1</v>
      </c>
      <c r="K224" s="89" t="str">
        <f>IF(ISEVEN(B224),(B224-1)&amp;"/"&amp;B224,B224&amp;"/"&amp;(B224+1))</f>
        <v>4015/4016</v>
      </c>
      <c r="L224" s="21" t="str">
        <f>VLOOKUP(A224,'Trips&amp;Operators'!$C$1:$G$99999,5,FALSE)</f>
        <v>MAGEE KENYA</v>
      </c>
      <c r="M224" s="6">
        <f>I224-F224</f>
        <v>6.3541666677338071E-3</v>
      </c>
      <c r="N224" s="7">
        <f>24*60*SUM($M224:$M224)</f>
        <v>9.1500000015366822</v>
      </c>
      <c r="O224" s="7"/>
      <c r="P224" s="7"/>
      <c r="Q224" s="22"/>
      <c r="R224" s="170"/>
      <c r="S224" s="213">
        <f>1/IF(AG224="EC",12,1)*SUM(U224:U224)</f>
        <v>0</v>
      </c>
      <c r="T224" s="195" t="str">
        <f>IF(ISEVEN(LEFT(AD224,4)),"Southbound","NorthBound")</f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-13T18:05:56-0600',mode:absolute,to:'2017-07-13T20:16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2</v>
      </c>
      <c r="Y224" s="197">
        <f>RIGHT(D224,LEN(D224)-4)/10000</f>
        <v>5.8639999999999999</v>
      </c>
      <c r="Z224" s="197">
        <f>RIGHT(H224,LEN(H224)-4)/10000</f>
        <v>2.8786</v>
      </c>
      <c r="AA224" s="197">
        <f>ABS(Z224-Y224)</f>
        <v>2.9853999999999998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/stypes="app*4015*20170714*" /stext=" 01:.+((SYSTEM_STATE.+slice.+state.+changed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20"/>
        <v>"%USERPROFILE%\Documents\GitHub\eaglep3\Utilities\RefineRTDCRunTimes.py" --tripid 906-13 --locoid 4015 --swversion DE.1.0.9.0 --startMP 300:58640 --initTime 2017-07-13T19:05:56 --startdatetime 2017-07-13T19:07:29 --delay 0 --endMP 300:28786 --enddatetime 2017-07-13T19:16:38 --enforcementcount 1 &gt;&gt;C:\Users\stu\Documents\GitHub\eaglep3-reporting\EC\2017-07-13-refined-times.txt</v>
      </c>
      <c r="AI224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{"issue":{"subject":"","project_id":79,"tracker_id":40,"status_id":1,"priority_id":2,"assigned_to_id":23,"start_date":"2017-07-13","description":"","custom_fields":[{"id":1,"name":"Subdivision","value":"Other"},{"id":4,"name":"Milepost","value":"2.8786"},{"id":17,"name":"Train ID","value":"906-13"},{"id":16,"name":"Locomotive ID","value":"4015"},{"id":130,"name":"Impact","value":""},{"id":150,"name":"Time of Event (Mountain Time)","value":"19:16:38"},{"id":151,"name":"Denver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22"/>
        <v>start /low /b %USERPROFILE%\Documents\GitHub\eaglep3\Utilities\DownloadLogsFromS3.py --loco 4015 --day 2017-07-13</v>
      </c>
      <c r="AN224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01:16:38"},{"id":29,"name":"Sharepoint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845</v>
      </c>
      <c r="B225" s="7">
        <v>4043</v>
      </c>
      <c r="C225" s="21" t="s">
        <v>199</v>
      </c>
      <c r="D225" s="21" t="s">
        <v>504</v>
      </c>
      <c r="E225" s="13">
        <v>42929.942349537036</v>
      </c>
      <c r="F225" s="13">
        <v>42929.943877314814</v>
      </c>
      <c r="G225" s="7">
        <v>1</v>
      </c>
      <c r="H225" s="21" t="s">
        <v>1015</v>
      </c>
      <c r="I225" s="13">
        <v>42929.954652777778</v>
      </c>
      <c r="J225" s="7">
        <v>1</v>
      </c>
      <c r="K225" s="89" t="str">
        <f>IF(ISEVEN(B225),(B225-1)&amp;"/"&amp;B225,B225&amp;"/"&amp;(B225+1))</f>
        <v>4043/4044</v>
      </c>
      <c r="L225" s="21" t="str">
        <f>VLOOKUP(A225,'Trips&amp;Operators'!$C$1:$G$99999,5,FALSE)</f>
        <v>MAGEE KENYA</v>
      </c>
      <c r="M225" s="6">
        <f>I225-F225</f>
        <v>1.0775462964375038E-2</v>
      </c>
      <c r="N225" s="7">
        <f>24*60*SUM($M225:$M225)</f>
        <v>15.516666668700054</v>
      </c>
      <c r="O225" s="7"/>
      <c r="P225" s="7"/>
      <c r="Q225" s="22"/>
      <c r="R225" s="170"/>
      <c r="S225" s="213">
        <f>1/IF(AG225="EC",12,1)*SUM(U225:U225)</f>
        <v>0</v>
      </c>
      <c r="T225" s="195" t="str">
        <f>IF(ISEVEN(LEFT(AD225,4)),"Southbound","NorthBound")</f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-13T21:36:59-0600',mode:absolute,to:'2017-07-13T23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2</v>
      </c>
      <c r="Y225" s="197">
        <f>RIGHT(D225,LEN(D225)-4)/10000</f>
        <v>5.8624000000000001</v>
      </c>
      <c r="Z225" s="197">
        <f>RIGHT(H225,LEN(H225)-4)/10000</f>
        <v>2.8803000000000001</v>
      </c>
      <c r="AA225" s="197">
        <f>ABS(Z225-Y225)</f>
        <v>2.9821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908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/stypes="app*4043*20170714*" /stext=" 04:.+((SYSTEM_STATE.+slice.+state.+changed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20"/>
        <v>"%USERPROFILE%\Documents\GitHub\eaglep3\Utilities\RefineRTDCRunTimes.py" --tripid 908-13 --locoid 4043 --swversion DE.1.0.9.0 --startMP 300:58624 --initTime 2017-07-13T22:36:59 --startdatetime 2017-07-13T22:39:11 --delay 1 --endMP 300:28803 --enddatetime 2017-07-13T22:54:42 --enforcementcount 1 &gt;&gt;C:\Users\stu\Documents\GitHub\eaglep3-reporting\EC\2017-07-13-refined-times.txt</v>
      </c>
      <c r="AI225" s="96" t="str">
        <f t="shared" si="21"/>
        <v>echo {"issue":{"subject":"","project_id":79,"tracker_id":40,"status_id":1,"priority_id":2,"assigned_to_id":23,"start_date":"2017-07-13","description":"","custom_fields":[{"id":1,"name":"Subdivision","value":"Other"},{"id":4,"name":"Milepost","value":"2.8803"},{"id":17,"name":"Train ID","value":"908-13"},{"id":16,"name":"Locomotive ID","value":"4043"},{"id":130,"name":"Impact","value":""},{"id":150,"name":"Time of Event (Mountain Time)","value":"22:54:42"},{"id":151,"name":"Denver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22"/>
        <v>start /low /b %USERPROFILE%\Documents\GitHub\eaglep3\Utilities\DownloadLogsFromS3.py --loco 4043 --day 2017-07-13</v>
      </c>
      <c r="AN225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744</v>
      </c>
      <c r="B226" s="7">
        <v>4063</v>
      </c>
      <c r="C226" s="21" t="s">
        <v>199</v>
      </c>
      <c r="D226" s="21" t="s">
        <v>950</v>
      </c>
      <c r="E226" s="13">
        <v>42929.449178240742</v>
      </c>
      <c r="F226" s="13">
        <v>42929.453287037039</v>
      </c>
      <c r="G226" s="7">
        <v>5</v>
      </c>
      <c r="H226" s="21">
        <v>8.531944444444445</v>
      </c>
      <c r="I226" s="13">
        <v>42929.459189814814</v>
      </c>
      <c r="J226" s="7">
        <v>1</v>
      </c>
      <c r="K226" s="89" t="str">
        <f>IF(ISEVEN(B226),(B226-1)&amp;"/"&amp;B226,B226&amp;"/"&amp;(B226+1))</f>
        <v>4063/4064</v>
      </c>
      <c r="L226" s="21" t="str">
        <f>VLOOKUP(A226,'Trips&amp;Operators'!$C$1:$G$99999,5,FALSE)</f>
        <v>ROBINSON KADDIBA</v>
      </c>
      <c r="M226" s="6">
        <f>I226-F226</f>
        <v>5.9027777751907706E-3</v>
      </c>
      <c r="N226" s="7">
        <f>24*60*SUM($M226:$M226)</f>
        <v>8.4999999962747097</v>
      </c>
      <c r="O226" s="7"/>
      <c r="P226" s="7"/>
      <c r="Q226" s="22"/>
      <c r="R226" s="170"/>
      <c r="S226" s="213">
        <f>1/IF(AG226="EC",12,1)*SUM(U226:U226)</f>
        <v>0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-13T09:46:49-0600',mode:absolute,to:'2017-07-13T12:01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197" t="str">
        <f>IF(AA226&lt;VLOOKUP(AG226,Variables!$AC$3:$AD$8,2,FALSE),"Y","N")</f>
        <v>N</v>
      </c>
      <c r="X226" s="197">
        <f>VALUE(LEFT(AD226,4))-VALUE(LEFT(AD225,4))</f>
        <v>-858</v>
      </c>
      <c r="Y226" s="197">
        <f>RIGHT(D226,LEN(D226)-4)/10000</f>
        <v>2.3209</v>
      </c>
      <c r="Z226" s="197">
        <f>RIGHT(H226,LEN(H226)-4)/10000</f>
        <v>19444444.444400001</v>
      </c>
      <c r="AA226" s="197">
        <f>ABS(Z226-Y226)</f>
        <v>19444442.123500001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50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s3://rtdc.mdm.uploadarchive.raw/RTDC4063/ "%USERPROFILE%\AppData\Local\Temp\OnboardLogs"\RTDC4063\2017-07-13 --exclude "*" --recursive --include "*20170713*" &amp; "%USERPROFILE%\Documents\GitHub\mrs-test-scripts\Headless Mode &amp; Sideloading\WalkAndUnGZ.bat" "%USERPROFILE%\AppData\Local\Temp\OnboardLogs"\RTDC4063\2017-07-13 &amp; aws s3 cp s3://rtdc.mdm.uploadarchive.raw/RTDC4063/ "%USERPROFILE%\AppData\Local\Temp\OnboardLogs"\RTDC4063\2017-07-14 --exclude "*" --recursive --include "*20170714*" &amp; "%USERPROFILE%\Documents\GitHub\mrs-test-scripts\Headless Mode &amp; Sideloading\WalkAndUnGZ.bat" "%USERPROFILE%\AppData\Local\Temp\OnboardLogs"\RTDC4063\2017-07-14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/stypes="app*4063*20170713*" /stext=" 17:.+((SYSTEM_STATE.+slice.+state.+changed )|(ment ac)|(multiple cpu faults)|(system.+state.+changed )|(\[timeout)|(PRM\|1\|D)|(kpr)|(kdp)|(train st.+moving)|(\|lc)|(penalty))"</v>
      </c>
      <c r="AG226" s="209" t="str">
        <f>DetSubdiv(A226)</f>
        <v>Shuttle/Test</v>
      </c>
      <c r="AH226" s="78" t="str">
        <f t="shared" si="20"/>
        <v>"%USERPROFILE%\Documents\GitHub\eaglep3\Utilities\RefineRTDCRunTimes.py" --tripid 50-13 --locoid 4063 --swversion DE.1.0.9.0 --startMP 300:23209 --initTime 2017-07-13T10:46:49 --startdatetime 2017-07-13T10:52:44 --delay 5 --endMP 8.53194444444444 --enddatetime 2017-07-13T11:01:14 --enforcementcount 1 &gt;&gt;C:\Users\stu\Documents\GitHub\eaglep3-reporting\EC\2017-07-13-refined-times.txt</v>
      </c>
      <c r="AI226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19444444.4444"},{"id":17,"name":"Train ID","value":"50-13"},{"id":16,"name":"Locomotive ID","value":"4063"},{"id":130,"name":"Impact","value":""},{"id":150,"name":"Time of Event (Mountain Time)","value":"11:01:14"},{"id":151,"name":"Denver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22"/>
        <v>start /low /b %USERPROFILE%\Documents\GitHub\eaglep3\Utilities\DownloadLogsFromS3.py --loco 4063 --day 2017-07-13</v>
      </c>
      <c r="AN226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17:01:14"},{"id":29,"name":"Sharepoint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668</v>
      </c>
      <c r="B227" s="7">
        <v>4024</v>
      </c>
      <c r="C227" s="21" t="s">
        <v>199</v>
      </c>
      <c r="D227" s="21" t="s">
        <v>495</v>
      </c>
      <c r="E227" s="13">
        <v>42929.136342592596</v>
      </c>
      <c r="F227" s="13">
        <v>42929.137789351851</v>
      </c>
      <c r="G227" s="7">
        <v>1</v>
      </c>
      <c r="H227" s="21" t="s">
        <v>951</v>
      </c>
      <c r="I227" s="13">
        <v>42929.139560185184</v>
      </c>
      <c r="J227" s="7">
        <v>1</v>
      </c>
      <c r="K227" s="89" t="str">
        <f>IF(ISEVEN(B227),(B227-1)&amp;"/"&amp;B227,B227&amp;"/"&amp;(B227+1))</f>
        <v>4023/4024</v>
      </c>
      <c r="L227" s="21" t="str">
        <f>VLOOKUP(A227,'Trips&amp;Operators'!$C$1:$G$99999,5,FALSE)</f>
        <v>CUSHING HARRY</v>
      </c>
      <c r="M227" s="6">
        <f>I227-F227</f>
        <v>1.7708333325572312E-3</v>
      </c>
      <c r="N227" s="7">
        <f>24*60*SUM($M227:$M227)</f>
        <v>2.5499999988824129</v>
      </c>
      <c r="O227" s="7"/>
      <c r="P227" s="7"/>
      <c r="Q227" s="22"/>
      <c r="R227" s="170"/>
      <c r="S227" s="213">
        <f>1/IF(AG227="EC",12,1)*SUM(U227:U227)</f>
        <v>0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-13T02:16:20-0600',mode:absolute,to:'2017-07-13T04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4.6399999999999997E-2</v>
      </c>
      <c r="Z227" s="197">
        <f>RIGHT(H227,LEN(H227)-4)/10000</f>
        <v>0.38119999999999998</v>
      </c>
      <c r="AA227" s="197">
        <f>ABS(Z227-Y227)</f>
        <v>0.33479999999999999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51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s3://rtdc.mdm.uploadarchive.raw/RTDC4024/ "%USERPROFILE%\AppData\Local\Temp\OnboardLogs"\RTDC4024\2017-07-13 --exclude "*" --recursive --include "*20170713*" &amp; "%USERPROFILE%\Documents\GitHub\mrs-test-scripts\Headless Mode &amp; Sideloading\WalkAndUnGZ.bat" "%USERPROFILE%\AppData\Local\Temp\OnboardLogs"\RTDC4024\2017-07-13 &amp; 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/stypes="app*4024*20170713*" /stext=" 09:.+((SYSTEM_STATE.+slice.+state.+changed )|(ment ac)|(multiple cpu faults)|(system.+state.+changed )|(\[timeout)|(PRM\|1\|D)|(kpr)|(kdp)|(train st.+moving)|(\|lc)|(penalty))"</v>
      </c>
      <c r="AG227" s="209" t="str">
        <f>DetSubdiv(A227)</f>
        <v>Shuttle/Test</v>
      </c>
      <c r="AH227" s="78" t="str">
        <f t="shared" si="20"/>
        <v>"%USERPROFILE%\Documents\GitHub\eaglep3\Utilities\RefineRTDCRunTimes.py" --tripid 51-13 --locoid 4024 --swversion DE.1.0.9.0 --startMP 204:464 --initTime 2017-07-13T03:16:20 --startdatetime 2017-07-13T03:18:25 --delay 1 --endMP 204:3812 --enddatetime 2017-07-13T03:20:58 --enforcementcount 1 &gt;&gt;C:\Users\stu\Documents\GitHub\eaglep3-reporting\EC\2017-07-13-refined-times.txt</v>
      </c>
      <c r="AI227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0.3812"},{"id":17,"name":"Train ID","value":"51-13"},{"id":16,"name":"Locomotive ID","value":"4024"},{"id":130,"name":"Impact","value":""},{"id":150,"name":"Time of Event (Mountain Time)","value":"03:20:58"},{"id":151,"name":"Denver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22"/>
        <v>start /low /b %USERPROFILE%\Documents\GitHub\eaglep3\Utilities\DownloadLogsFromS3.py --loco 4024 --day 2017-07-13</v>
      </c>
      <c r="AN227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671</v>
      </c>
      <c r="B228" s="7">
        <v>4023</v>
      </c>
      <c r="C228" s="21" t="s">
        <v>199</v>
      </c>
      <c r="D228" s="21" t="s">
        <v>952</v>
      </c>
      <c r="E228" s="13">
        <v>42929.141516203701</v>
      </c>
      <c r="F228" s="13">
        <v>42929.143287037034</v>
      </c>
      <c r="G228" s="7">
        <v>1</v>
      </c>
      <c r="H228" s="21" t="s">
        <v>542</v>
      </c>
      <c r="I228" s="13">
        <v>42929.144675925927</v>
      </c>
      <c r="J228" s="7">
        <v>1</v>
      </c>
      <c r="K228" s="89" t="str">
        <f>IF(ISEVEN(B228),(B228-1)&amp;"/"&amp;B228,B228&amp;"/"&amp;(B228+1))</f>
        <v>4023/4024</v>
      </c>
      <c r="L228" s="21" t="str">
        <f>VLOOKUP(A228,'Trips&amp;Operators'!$C$1:$G$99999,5,FALSE)</f>
        <v>CUSHING HARRY</v>
      </c>
      <c r="M228" s="6">
        <f>I228-F228</f>
        <v>1.3888888934161514E-3</v>
      </c>
      <c r="N228" s="7">
        <f>24*60*SUM($M228:$M228)</f>
        <v>2.000000006519258</v>
      </c>
      <c r="O228" s="7"/>
      <c r="P228" s="7"/>
      <c r="Q228" s="22"/>
      <c r="R228" s="170"/>
      <c r="S228" s="213">
        <f>1/IF(AG228="EC",12,1)*SUM(U228:U228)</f>
        <v>0</v>
      </c>
      <c r="T228" s="195" t="str">
        <f>IF(ISEVEN(LEFT(AD228,4)),"Southbound","NorthBound")</f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-13T02:23:47-0600',mode:absolute,to:'2017-07-13T04:28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1</v>
      </c>
      <c r="Y228" s="197">
        <f>RIGHT(D228,LEN(D228)-4)/10000</f>
        <v>0.35220000000000001</v>
      </c>
      <c r="Z228" s="197">
        <f>RIGHT(H228,LEN(H228)-4)/10000</f>
        <v>0.11650000000000001</v>
      </c>
      <c r="AA228" s="197">
        <f>ABS(Z228-Y228)</f>
        <v>0.23570000000000002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52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s3://rtdc.mdm.uploadarchive.raw/RTDC4023/ "%USERPROFILE%\AppData\Local\Temp\OnboardLogs"\RTDC4023\2017-07-13 --exclude "*" --recursive --include "*20170713*" &amp; "%USERPROFILE%\Documents\GitHub\mrs-test-scripts\Headless Mode &amp; Sideloading\WalkAndUnGZ.bat" "%USERPROFILE%\AppData\Local\Temp\OnboardLogs"\RTDC4023\2017-07-13 &amp; 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/stypes="app*4023*20170713*" /stext=" 09:.+((SYSTEM_STATE.+slice.+state.+changed )|(ment ac)|(multiple cpu faults)|(system.+state.+changed )|(\[timeout)|(PRM\|1\|D)|(kpr)|(kdp)|(train st.+moving)|(\|lc)|(penalty))"</v>
      </c>
      <c r="AG228" s="209" t="str">
        <f>DetSubdiv(A228)</f>
        <v>Shuttle/Test</v>
      </c>
      <c r="AH228" s="78" t="str">
        <f t="shared" si="20"/>
        <v>"%USERPROFILE%\Documents\GitHub\eaglep3\Utilities\RefineRTDCRunTimes.py" --tripid 52-13 --locoid 4023 --swversion DE.1.0.9.0 --startMP 204:3522 --initTime 2017-07-13T03:23:47 --startdatetime 2017-07-13T03:26:20 --delay 1 --endMP 204:1165 --enddatetime 2017-07-13T03:28:20 --enforcementcount 1 &gt;&gt;C:\Users\stu\Documents\GitHub\eaglep3-reporting\EC\2017-07-13-refined-times.txt</v>
      </c>
      <c r="AI228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0.1165"},{"id":17,"name":"Train ID","value":"52-13"},{"id":16,"name":"Locomotive ID","value":"4023"},{"id":130,"name":"Impact","value":""},{"id":150,"name":"Time of Event (Mountain Time)","value":"03:28:20"},{"id":151,"name":"Denver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22"/>
        <v>start /low /b %USERPROFILE%\Documents\GitHub\eaglep3\Utilities\DownloadLogsFromS3.py --loco 4023 --day 2017-07-13</v>
      </c>
      <c r="AN228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09:28:20"},{"id":29,"name":"Sharepoint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751</v>
      </c>
      <c r="B229" s="7">
        <v>4064</v>
      </c>
      <c r="C229" s="21" t="s">
        <v>199</v>
      </c>
      <c r="D229" s="21" t="s">
        <v>953</v>
      </c>
      <c r="E229" s="13">
        <v>42929.472500000003</v>
      </c>
      <c r="F229" s="13">
        <v>42929.475717592592</v>
      </c>
      <c r="G229" s="7">
        <v>1</v>
      </c>
      <c r="H229" s="21" t="s">
        <v>954</v>
      </c>
      <c r="I229" s="13">
        <v>42929.482893518521</v>
      </c>
      <c r="J229" s="7">
        <v>1</v>
      </c>
      <c r="K229" s="89" t="str">
        <f>IF(ISEVEN(B229),(B229-1)&amp;"/"&amp;B229,B229&amp;"/"&amp;(B229+1))</f>
        <v>4063/4064</v>
      </c>
      <c r="L229" s="21" t="str">
        <f>VLOOKUP(A229,'Trips&amp;Operators'!$C$1:$G$99999,5,FALSE)</f>
        <v>BONDS REYNALDO</v>
      </c>
      <c r="M229" s="6">
        <f>I229-F229</f>
        <v>7.1759259299142286E-3</v>
      </c>
      <c r="N229" s="7">
        <f>24*60*SUM($M229:$M229)</f>
        <v>10.333333339076489</v>
      </c>
      <c r="O229" s="7"/>
      <c r="P229" s="7"/>
      <c r="Q229" s="22"/>
      <c r="R229" s="170"/>
      <c r="S229" s="213">
        <f>1/IF(AG229="EC",12,1)*SUM(U229:U229)</f>
        <v>1</v>
      </c>
      <c r="T229" s="195" t="str">
        <f>IF(ISEVEN(LEFT(AD229,4)),"Southbound","NorthBound")</f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-13T10:20:24-0600',mode:absolute,to:'2017-07-13T12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3.4700000000000002E-2</v>
      </c>
      <c r="Z229" s="197">
        <f>RIGHT(H229,LEN(H229)-4)/10000</f>
        <v>2.4247999999999998</v>
      </c>
      <c r="AA229" s="197">
        <f>ABS(Z229-Y229)</f>
        <v>2.3900999999999999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s3://rtdc.mdm.uploadarchive.raw/RTDC4064/ "%USERPROFILE%\AppData\Local\Temp\OnboardLogs"\RTDC4064\2017-07-13 --exclude "*" --recursive --include "*20170713*" &amp; "%USERPROFILE%\Documents\GitHub\mrs-test-scripts\Headless Mode &amp; Sideloading\WalkAndUnGZ.bat" "%USERPROFILE%\AppData\Local\Temp\OnboardLogs"\RTDC4064\2017-07-13 &amp; aws s3 cp s3://rtdc.mdm.uploadarchive.raw/RTDC4064/ "%USERPROFILE%\AppData\Local\Temp\OnboardLogs"\RTDC4064\2017-07-14 --exclude "*" --recursive --include "*20170714*" &amp; "%USERPROFILE%\Documents\GitHub\mrs-test-scripts\Headless Mode &amp; Sideloading\WalkAndUnGZ.bat" "%USERPROFILE%\AppData\Local\Temp\OnboardLogs"\RTDC4064\2017-07-14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/stypes="app*4064*20170713*" /stext=" 17:.+((SYSTEM_STATE.+slice.+state.+changed )|(ment ac)|(multiple cpu faults)|(system.+state.+changed )|(\[timeout)|(PRM\|1\|D)|(kpr)|(kdp)|(train st.+moving)|(\|lc)|(penalty))"</v>
      </c>
      <c r="AG229" s="209" t="str">
        <f>DetSubdiv(A229)</f>
        <v>Shuttle/Test</v>
      </c>
      <c r="AH229" s="78" t="str">
        <f t="shared" si="20"/>
        <v>"%USERPROFILE%\Documents\GitHub\eaglep3\Utilities\RefineRTDCRunTimes.py" --tripid 53-13 --locoid 4064 --swversion DE.1.0.9.0 --startMP 204:347 --initTime 2017-07-13T11:20:24 --startdatetime 2017-07-13T11:25:02 --delay 1 --endMP 300:24248 --enddatetime 2017-07-13T11:35:22 --enforcementcount 1 &gt;&gt;C:\Users\stu\Documents\GitHub\eaglep3-reporting\EC\2017-07-13-refined-times.txt</v>
      </c>
      <c r="AI229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2.4248"},{"id":17,"name":"Train ID","value":"53-13"},{"id":16,"name":"Locomotive ID","value":"4064"},{"id":130,"name":"Impact","value":""},{"id":150,"name":"Time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22"/>
        <v>start /low /b %USERPROFILE%\Documents\GitHub\eaglep3\Utilities\DownloadLogsFromS3.py --loco 4064 --day 2017-07-13</v>
      </c>
      <c r="AN229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17:35:22"},{"id":29,"name":"Sharepoint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759</v>
      </c>
      <c r="B230" s="7">
        <v>4063</v>
      </c>
      <c r="C230" s="21" t="s">
        <v>199</v>
      </c>
      <c r="D230" s="21" t="s">
        <v>955</v>
      </c>
      <c r="E230" s="13">
        <v>42929.495578703703</v>
      </c>
      <c r="F230" s="13">
        <v>42929.498969907407</v>
      </c>
      <c r="G230" s="7">
        <v>4</v>
      </c>
      <c r="H230" s="21" t="s">
        <v>495</v>
      </c>
      <c r="I230" s="13">
        <v>42929.50408564815</v>
      </c>
      <c r="J230" s="7">
        <v>1</v>
      </c>
      <c r="K230" s="89" t="str">
        <f>IF(ISEVEN(B230),(B230-1)&amp;"/"&amp;B230,B230&amp;"/"&amp;(B230+1))</f>
        <v>4063/4064</v>
      </c>
      <c r="L230" s="21" t="str">
        <f>VLOOKUP(A230,'Trips&amp;Operators'!$C$1:$G$99999,5,FALSE)</f>
        <v>HOLCOMB KAMDEN</v>
      </c>
      <c r="M230" s="6">
        <f>I230-F230</f>
        <v>5.1157407433493063E-3</v>
      </c>
      <c r="N230" s="7">
        <f>24*60*SUM($M230:$M230)</f>
        <v>7.3666666704230011</v>
      </c>
      <c r="O230" s="7"/>
      <c r="P230" s="7"/>
      <c r="Q230" s="22"/>
      <c r="R230" s="170"/>
      <c r="S230" s="213">
        <f>1/IF(AG230="EC",12,1)*SUM(U230:U230)</f>
        <v>1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-13T10:53:38-0600',mode:absolute,to:'2017-07-13T13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1</v>
      </c>
      <c r="Y230" s="197">
        <f>RIGHT(D230,LEN(D230)-4)/10000</f>
        <v>2.3483000000000001</v>
      </c>
      <c r="Z230" s="197">
        <f>RIGHT(H230,LEN(H230)-4)/10000</f>
        <v>4.6399999999999997E-2</v>
      </c>
      <c r="AA230" s="197">
        <f>ABS(Z230-Y230)</f>
        <v>2.3018999999999998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54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s3://rtdc.mdm.uploadarchive.raw/RTDC4063/ "%USERPROFILE%\AppData\Local\Temp\OnboardLogs"\RTDC4063\2017-07-13 --exclude "*" --recursive --include "*20170713*" &amp; "%USERPROFILE%\Documents\GitHub\mrs-test-scripts\Headless Mode &amp; Sideloading\WalkAndUnGZ.bat" "%USERPROFILE%\AppData\Local\Temp\OnboardLogs"\RTDC4063\2017-07-13 &amp; aws s3 cp s3://rtdc.mdm.uploadarchive.raw/RTDC4063/ "%USERPROFILE%\AppData\Local\Temp\OnboardLogs"\RTDC4063\2017-07-14 --exclude "*" --recursive --include "*20170714*" &amp; "%USERPROFILE%\Documents\GitHub\mrs-test-scripts\Headless Mode &amp; Sideloading\WalkAndUnGZ.bat" "%USERPROFILE%\AppData\Local\Temp\OnboardLogs"\RTDC4063\2017-07-14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/stypes="app*4063*20170713*" /stext=" 18:.+((SYSTEM_STATE.+slice.+state.+changed )|(ment ac)|(multiple cpu faults)|(system.+state.+changed )|(\[timeout)|(PRM\|1\|D)|(kpr)|(kdp)|(train st.+moving)|(\|lc)|(penalty))"</v>
      </c>
      <c r="AG230" s="209" t="str">
        <f>DetSubdiv(A230)</f>
        <v>Shuttle/Test</v>
      </c>
      <c r="AH230" s="78" t="str">
        <f t="shared" si="20"/>
        <v>"%USERPROFILE%\Documents\GitHub\eaglep3\Utilities\RefineRTDCRunTimes.py" --tripid 54-13 --locoid 4063 --swversion DE.1.0.9.0 --startMP 300:23483 --initTime 2017-07-13T11:53:38 --startdatetime 2017-07-13T11:58:31 --delay 4 --endMP 204:464 --enddatetime 2017-07-13T12:05:53 --enforcementcount 1 &gt;&gt;C:\Users\stu\Documents\GitHub\eaglep3-reporting\EC\2017-07-13-refined-times.txt</v>
      </c>
      <c r="AI230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0.0464"},{"id":17,"name":"Train ID","value":"54-13"},{"id":16,"name":"Locomotive ID","value":"4063"},{"id":130,"name":"Impact","value":""},{"id":150,"name":"Time of Event (Mountain Time)","value":"12:05:53"},{"id":151,"name":"Denver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22"/>
        <v>start /low /b %USERPROFILE%\Documents\GitHub\eaglep3\Utilities\DownloadLogsFromS3.py --loco 4063 --day 2017-07-13</v>
      </c>
      <c r="AN230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769</v>
      </c>
      <c r="B231" s="7">
        <v>4064</v>
      </c>
      <c r="C231" s="21" t="s">
        <v>199</v>
      </c>
      <c r="D231" s="21" t="s">
        <v>956</v>
      </c>
      <c r="E231" s="13">
        <v>42929.52716435185</v>
      </c>
      <c r="F231" s="13">
        <v>42929.528506944444</v>
      </c>
      <c r="G231" s="7">
        <v>1</v>
      </c>
      <c r="H231" s="21" t="s">
        <v>957</v>
      </c>
      <c r="I231" s="13">
        <v>42929.533333333333</v>
      </c>
      <c r="J231" s="7">
        <v>1</v>
      </c>
      <c r="K231" s="89" t="str">
        <f>IF(ISEVEN(B231),(B231-1)&amp;"/"&amp;B231,B231&amp;"/"&amp;(B231+1))</f>
        <v>4063/4064</v>
      </c>
      <c r="L231" s="21" t="str">
        <f>VLOOKUP(A231,'Trips&amp;Operators'!$C$1:$G$99999,5,FALSE)</f>
        <v>HELVIE ADAM</v>
      </c>
      <c r="M231" s="6">
        <f>I231-F231</f>
        <v>4.8263888893416151E-3</v>
      </c>
      <c r="N231" s="7">
        <f>24*60*SUM($M231:$M231)</f>
        <v>6.9500000006519258</v>
      </c>
      <c r="O231" s="7"/>
      <c r="P231" s="7"/>
      <c r="Q231" s="22"/>
      <c r="R231" s="170"/>
      <c r="S231" s="213">
        <f>1/IF(AG231="EC",12,1)*SUM(U231:U231)</f>
        <v>1</v>
      </c>
      <c r="T231" s="195" t="str">
        <f>IF(ISEVEN(LEFT(AD231,4)),"Southbound","NorthBound")</f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-13T11:39:07-0600',mode:absolute,to:'2017-07-13T13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1</v>
      </c>
      <c r="Y231" s="197">
        <f>RIGHT(D231,LEN(D231)-4)/10000</f>
        <v>3.0300000000000001E-2</v>
      </c>
      <c r="Z231" s="197">
        <f>RIGHT(H231,LEN(H231)-4)/10000</f>
        <v>2.4281000000000001</v>
      </c>
      <c r="AA231" s="197">
        <f>ABS(Z231-Y231)</f>
        <v>2.3978000000000002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55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s3://rtdc.mdm.uploadarchive.raw/RTDC4064/ "%USERPROFILE%\AppData\Local\Temp\OnboardLogs"\RTDC4064\2017-07-13 --exclude "*" --recursive --include "*20170713*" &amp; "%USERPROFILE%\Documents\GitHub\mrs-test-scripts\Headless Mode &amp; Sideloading\WalkAndUnGZ.bat" "%USERPROFILE%\AppData\Local\Temp\OnboardLogs"\RTDC4064\2017-07-13 &amp; aws s3 cp s3://rtdc.mdm.uploadarchive.raw/RTDC4064/ "%USERPROFILE%\AppData\Local\Temp\OnboardLogs"\RTDC4064\2017-07-14 --exclude "*" --recursive --include "*20170714*" &amp; "%USERPROFILE%\Documents\GitHub\mrs-test-scripts\Headless Mode &amp; Sideloading\WalkAndUnGZ.bat" "%USERPROFILE%\AppData\Local\Temp\OnboardLogs"\RTDC4064\2017-07-14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/stypes="app*4064*20170713*" /stext=" 18:.+((SYSTEM_STATE.+slice.+state.+changed )|(ment ac)|(multiple cpu faults)|(system.+state.+changed )|(\[timeout)|(PRM\|1\|D)|(kpr)|(kdp)|(train st.+moving)|(\|lc)|(penalty))"</v>
      </c>
      <c r="AG231" s="209" t="str">
        <f>DetSubdiv(A231)</f>
        <v>Shuttle/Test</v>
      </c>
      <c r="AH231" s="78" t="str">
        <f t="shared" si="20"/>
        <v>"%USERPROFILE%\Documents\GitHub\eaglep3\Utilities\RefineRTDCRunTimes.py" --tripid 55-13 --locoid 4064 --swversion DE.1.0.9.0 --startMP 204:303 --initTime 2017-07-13T12:39:07 --startdatetime 2017-07-13T12:41:03 --delay 1 --endMP 300:24281 --enddatetime 2017-07-13T12:48:00 --enforcementcount 1 &gt;&gt;C:\Users\stu\Documents\GitHub\eaglep3-reporting\EC\2017-07-13-refined-times.txt</v>
      </c>
      <c r="AI231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2.4281"},{"id":17,"name":"Train ID","value":"55-13"},{"id":16,"name":"Locomotive ID","value":"4064"},{"id":130,"name":"Impact","value":""},{"id":150,"name":"Time of Event (Mountain Time)","value":"12:48:00"},{"id":151,"name":"Denver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22"/>
        <v>start /low /b %USERPROFILE%\Documents\GitHub\eaglep3\Utilities\DownloadLogsFromS3.py --loco 4064 --day 2017-07-13</v>
      </c>
      <c r="AN231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18:48:00"},{"id":29,"name":"Sharepoint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810</v>
      </c>
      <c r="B232" s="7">
        <v>4053</v>
      </c>
      <c r="C232" s="21" t="s">
        <v>199</v>
      </c>
      <c r="D232" s="21" t="s">
        <v>958</v>
      </c>
      <c r="E232" s="13">
        <v>42929.742569444446</v>
      </c>
      <c r="F232" s="13">
        <v>42929.746689814812</v>
      </c>
      <c r="G232" s="7">
        <v>5</v>
      </c>
      <c r="H232" s="21" t="s">
        <v>959</v>
      </c>
      <c r="I232" s="13">
        <v>42929.756111111114</v>
      </c>
      <c r="J232" s="7">
        <v>1</v>
      </c>
      <c r="K232" s="89" t="str">
        <f>IF(ISEVEN(B232),(B232-1)&amp;"/"&amp;B232,B232&amp;"/"&amp;(B232+1))</f>
        <v>4053/4054</v>
      </c>
      <c r="L232" s="21" t="str">
        <f>VLOOKUP(A232,'Trips&amp;Operators'!$C$1:$G$99999,5,FALSE)</f>
        <v>HUFFSMITH MONTY</v>
      </c>
      <c r="M232" s="6">
        <f>I232-F232</f>
        <v>9.4212963012978435E-3</v>
      </c>
      <c r="N232" s="7">
        <f>24*60*SUM($M232:$M232)</f>
        <v>13.566666673868895</v>
      </c>
      <c r="O232" s="7"/>
      <c r="P232" s="7"/>
      <c r="Q232" s="22"/>
      <c r="R232" s="170"/>
      <c r="S232" s="213">
        <f>1/IF(AG232="EC",12,1)*SUM(U232:U232)</f>
        <v>1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-13T16:49:18-0600',mode:absolute,to:'2017-07-13T19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1</v>
      </c>
      <c r="Y232" s="197">
        <f>RIGHT(D232,LEN(D232)-4)/10000</f>
        <v>2.3115999999999999</v>
      </c>
      <c r="Z232" s="197">
        <f>RIGHT(H232,LEN(H232)-4)/10000</f>
        <v>0.18890000000000001</v>
      </c>
      <c r="AA232" s="197">
        <f>ABS(Z232-Y232)</f>
        <v>2.1227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56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s3://rtdc.mdm.uploadarchive.raw/RTDC4053/ "%USERPROFILE%\AppData\Local\Temp\OnboardLogs"\RTDC4053\2017-07-13 --exclude "*" --recursive --include "*20170713*" &amp; "%USERPROFILE%\Documents\GitHub\mrs-test-scripts\Headless Mode &amp; Sideloading\WalkAndUnGZ.bat" "%USERPROFILE%\AppData\Local\Temp\OnboardLogs"\RTDC4053\2017-07-13 &amp; aws s3 cp s3://rtdc.mdm.uploadarchive.raw/RTDC4053/ "%USERPROFILE%\AppData\Local\Temp\OnboardLogs"\RTDC4053\2017-07-14 --exclude "*" --recursive --include "*20170714*" &amp; "%USERPROFILE%\Documents\GitHub\mrs-test-scripts\Headless Mode &amp; Sideloading\WalkAndUnGZ.bat" "%USERPROFILE%\AppData\Local\Temp\OnboardLogs"\RTDC4053\2017-07-14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/stypes="app*4053*20170714*" /stext=" 00:.+((SYSTEM_STATE.+slice.+state.+changed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20"/>
        <v>"%USERPROFILE%\Documents\GitHub\eaglep3\Utilities\RefineRTDCRunTimes.py" --tripid 56-13 --locoid 4053 --swversion DE.1.0.9.0 --startMP 300:23116 --initTime 2017-07-13T17:49:18 --startdatetime 2017-07-13T17:55:14 --delay 5 --endMP 204:1889 --enddatetime 2017-07-13T18:08:48 --enforcementcount 1 &gt;&gt;C:\Users\stu\Documents\GitHub\eaglep3-reporting\EC\2017-07-13-refined-times.txt</v>
      </c>
      <c r="AI232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0.1889"},{"id":17,"name":"Train ID","value":"56-13"},{"id":16,"name":"Locomotive ID","value":"4053"},{"id":130,"name":"Impact","value":""},{"id":150,"name":"Time of Event (Mountain Time)","value":"18:08:48"},{"id":151,"name":"Denver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22"/>
        <v>start /low /b %USERPROFILE%\Documents\GitHub\eaglep3\Utilities\DownloadLogsFromS3.py --loco 4053 --day 2017-07-13</v>
      </c>
      <c r="AN232" s="151" t="str">
        <f t="shared" si="23"/>
        <v>echo {"issue":{"subject":"","project_id":30,"tracker_id":4,"status_id":1,"priority_id":1,"assigned_to_id":10,"start_date":"2017-07-14","description":"","custom_fields":[{"id":30,"name":"Category","value":"Issue"},{"id":3,"name":"Functional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UTC","value":"2017-07-14 00:08:48"},{"id":29,"name":"Sharepoint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802</v>
      </c>
      <c r="B233" s="7">
        <v>4024</v>
      </c>
      <c r="C233" s="21" t="s">
        <v>199</v>
      </c>
      <c r="D233" s="21" t="s">
        <v>1005</v>
      </c>
      <c r="E233" s="13">
        <v>42929.70853009259</v>
      </c>
      <c r="F233" s="13">
        <v>42929.711400462962</v>
      </c>
      <c r="G233" s="7">
        <v>1</v>
      </c>
      <c r="H233" s="21" t="s">
        <v>1006</v>
      </c>
      <c r="I233" s="13">
        <v>42929.721168981479</v>
      </c>
      <c r="J233" s="7">
        <v>1</v>
      </c>
      <c r="K233" s="89" t="str">
        <f>IF(ISEVEN(B233),(B233-1)&amp;"/"&amp;B233,B233&amp;"/"&amp;(B233+1))</f>
        <v>4023/4024</v>
      </c>
      <c r="L233" s="21" t="str">
        <f>VLOOKUP(A233,'Trips&amp;Operators'!$C$1:$G$99999,5,FALSE)</f>
        <v>MOSES BRADLEY</v>
      </c>
      <c r="M233" s="6">
        <f>I233-F233</f>
        <v>9.7685185173759237E-3</v>
      </c>
      <c r="N233" s="7">
        <f>24*60*SUM($M233:$M233)</f>
        <v>14.06666666502133</v>
      </c>
      <c r="O233" s="7"/>
      <c r="P233" s="7"/>
      <c r="Q233" s="22"/>
      <c r="R233" s="170"/>
      <c r="S233" s="213">
        <f>1/IF(AG233="EC",12,1)*SUM(U233:U233)</f>
        <v>1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-13T16:00:17-0600',mode:absolute,to:'2017-07-13T18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29</v>
      </c>
      <c r="Y233" s="197">
        <f>RIGHT(D233,LEN(D233)-4)/10000</f>
        <v>0.14860000000000001</v>
      </c>
      <c r="Z233" s="197">
        <f>RIGHT(H233,LEN(H233)-4)/10000</f>
        <v>2.3187000000000002</v>
      </c>
      <c r="AA233" s="197">
        <f>ABS(Z233-Y233)</f>
        <v>2.1701000000000001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85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s3://rtdc.mdm.uploadarchive.raw/RTDC4024/ "%USERPROFILE%\AppData\Local\Temp\OnboardLogs"\RTDC4024\2017-07-13 --exclude "*" --recursive --include "*20170713*" &amp; "%USERPROFILE%\Documents\GitHub\mrs-test-scripts\Headless Mode &amp; Sideloading\WalkAndUnGZ.bat" "%USERPROFILE%\AppData\Local\Temp\OnboardLogs"\RTDC4024\2017-07-13 &amp; aws s3 cp s3://rtdc.mdm.uploadarchive.raw/RTDC4024/ "%USERPROFILE%\AppData\Local\Temp\OnboardLogs"\RTDC4024\2017-07-14 --exclude "*" --recursive --include "*20170714*" &amp; "%USERPROFILE%\Documents\GitHub\mrs-test-scripts\Headless Mode &amp; Sideloading\WalkAndUnGZ.bat" "%USERPROFILE%\AppData\Local\Temp\OnboardLogs"\RTDC4024\2017-07-14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/stypes="app*4024*20170713*" /stext=" 23:.+((SYSTEM_STATE.+slice.+state.+changed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20"/>
        <v>"%USERPROFILE%\Documents\GitHub\eaglep3\Utilities\RefineRTDCRunTimes.py" --tripid 85-13 --locoid 4024 --swversion DE.1.0.9.0 --startMP 204:1486 --initTime 2017-07-13T17:00:17 --startdatetime 2017-07-13T17:04:25 --delay 1 --endMP 300:23187 --enddatetime 2017-07-13T17:18:29 --enforcementcount 1 &gt;&gt;C:\Users\stu\Documents\GitHub\eaglep3-reporting\EC\2017-07-13-refined-times.txt</v>
      </c>
      <c r="AI233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2.3187"},{"id":17,"name":"Train ID","value":"85-13"},{"id":16,"name":"Locomotive ID","value":"4024"},{"id":130,"name":"Impact","value":""},{"id":150,"name":"Time of Event (Mountain Time)","value":"17:18:29"},{"id":151,"name":"Denver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22"/>
        <v>start /low /b %USERPROFILE%\Documents\GitHub\eaglep3\Utilities\DownloadLogsFromS3.py --loco 4024 --day 2017-07-13</v>
      </c>
      <c r="AN233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803</v>
      </c>
      <c r="B234" s="7">
        <v>4032</v>
      </c>
      <c r="C234" s="21" t="s">
        <v>199</v>
      </c>
      <c r="D234" s="21" t="s">
        <v>1007</v>
      </c>
      <c r="E234" s="13">
        <v>42929.709745370368</v>
      </c>
      <c r="F234" s="13">
        <v>42929.734953703701</v>
      </c>
      <c r="G234" s="7">
        <v>1</v>
      </c>
      <c r="H234" s="21" t="s">
        <v>936</v>
      </c>
      <c r="I234" s="13">
        <v>42929.741365740738</v>
      </c>
      <c r="J234" s="7">
        <v>1</v>
      </c>
      <c r="K234" s="89" t="str">
        <f>IF(ISEVEN(B234),(B234-1)&amp;"/"&amp;B234,B234&amp;"/"&amp;(B234+1))</f>
        <v>4031/4032</v>
      </c>
      <c r="L234" s="21" t="str">
        <f>VLOOKUP(A234,'Trips&amp;Operators'!$C$1:$G$99999,5,FALSE)</f>
        <v>BERLING GARY</v>
      </c>
      <c r="M234" s="6">
        <f>I234-F234</f>
        <v>6.4120370370801538E-3</v>
      </c>
      <c r="N234" s="7">
        <f>24*60*SUM($M234:$M234)</f>
        <v>9.2333333333954215</v>
      </c>
      <c r="O234" s="7"/>
      <c r="P234" s="7"/>
      <c r="Q234" s="22"/>
      <c r="R234" s="170"/>
      <c r="S234" s="213">
        <f>1/IF(AG234="EC",12,1)*SUM(U234:U234)</f>
        <v>1</v>
      </c>
      <c r="T234" s="195" t="str">
        <f>IF(ISEVEN(LEFT(AD234,4)),"Southbound","NorthBound")</f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-13T16:02:02-0600',mode:absolute,to:'2017-07-13T18:47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2</v>
      </c>
      <c r="Y234" s="197">
        <f>RIGHT(D234,LEN(D234)-4)/10000</f>
        <v>0.1154</v>
      </c>
      <c r="Z234" s="197">
        <f>RIGHT(H234,LEN(H234)-4)/10000</f>
        <v>2.3311999999999999</v>
      </c>
      <c r="AA234" s="197">
        <f>ABS(Z234-Y234)</f>
        <v>2.2157999999999998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87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s3://rtdc.mdm.uploadarchive.raw/RTDC4032/ "%USERPROFILE%\AppData\Local\Temp\OnboardLogs"\RTDC4032\2017-07-13 --exclude "*" --recursive --include "*20170713*" &amp; "%USERPROFILE%\Documents\GitHub\mrs-test-scripts\Headless Mode &amp; Sideloading\WalkAndUnGZ.bat" "%USERPROFILE%\AppData\Local\Temp\OnboardLogs"\RTDC4032\2017-07-13 &amp; aws s3 cp s3://rtdc.mdm.uploadarchive.raw/RTDC4032/ "%USERPROFILE%\AppData\Local\Temp\OnboardLogs"\RTDC4032\2017-07-14 --exclude "*" --recursive --include "*20170714*" &amp; "%USERPROFILE%\Documents\GitHub\mrs-test-scripts\Headless Mode &amp; Sideloading\WalkAndUnGZ.bat" "%USERPROFILE%\AppData\Local\Temp\OnboardLogs"\RTDC4032\2017-07-14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/stypes="app*4032*20170713*" /stext=" 23:.+((SYSTEM_STATE.+slice.+state.+changed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20"/>
        <v>"%USERPROFILE%\Documents\GitHub\eaglep3\Utilities\RefineRTDCRunTimes.py" --tripid 87-13 --locoid 4032 --swversion DE.1.0.9.0 --startMP 204:1154 --initTime 2017-07-13T17:02:02 --startdatetime 2017-07-13T17:38:20 --delay 1 --endMP 300:23312 --enddatetime 2017-07-13T17:47:34 --enforcementcount 1 &gt;&gt;C:\Users\stu\Documents\GitHub\eaglep3-reporting\EC\2017-07-13-refined-times.txt</v>
      </c>
      <c r="AI234" s="96" t="str">
        <f t="shared" si="21"/>
        <v>echo {"issue":{"subject":"","project_id":79,"tracker_id":40,"status_id":1,"priority_id":2,"assigned_to_id":23,"start_date":"2017-07-13","description":"","custom_fields":[{"id":1,"name":"Subdivision","value":"Shuttle/Test"},{"id":4,"name":"Milepost","value":"2.3312"},{"id":17,"name":"Train ID","value":"87-13"},{"id":16,"name":"Locomotive ID","value":"4032"},{"id":130,"name":"Impact","value":""},{"id":150,"name":"Time of Event (Mountain Time)","value":"17:47:34"},{"id":151,"name":"Denver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22"/>
        <v>start /low /b %USERPROFILE%\Documents\GitHub\eaglep3\Utilities\DownloadLogsFromS3.py --loco 4032 --day 2017-07-13</v>
      </c>
      <c r="AN234" s="151" t="str">
        <f t="shared" si="2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23:47:34"},{"id":29,"name":"Sharepoint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</sheetData>
  <autoFilter ref="A12:AG273">
    <sortState ref="A13:AG273">
      <sortCondition ref="AG13:AG234"/>
      <sortCondition ref="AD13:AD234"/>
    </sortState>
  </autoFilter>
  <sortState ref="A13:AN230">
    <sortCondition ref="AG13:AG230"/>
    <sortCondition ref="AD13:AD230"/>
  </sortState>
  <mergeCells count="1">
    <mergeCell ref="A11:P11"/>
  </mergeCells>
  <conditionalFormatting sqref="W11:W12 W278:X1048576 W13:X234">
    <cfRule type="cellIs" dxfId="10" priority="415" operator="equal">
      <formula>"Y"</formula>
    </cfRule>
  </conditionalFormatting>
  <conditionalFormatting sqref="X278:X1048576 X13:X234">
    <cfRule type="cellIs" dxfId="9" priority="398" operator="greaterThan">
      <formula>1</formula>
    </cfRule>
  </conditionalFormatting>
  <conditionalFormatting sqref="X278:X1048576 X12:X234">
    <cfRule type="cellIs" dxfId="8" priority="395" operator="equal">
      <formula>0</formula>
    </cfRule>
  </conditionalFormatting>
  <conditionalFormatting sqref="A13:S23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413</v>
      </c>
      <c r="X6" s="208" t="s">
        <v>406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42929.910254629627</v>
      </c>
      <c r="B7" s="30" t="s">
        <v>361</v>
      </c>
      <c r="C7" s="30" t="s">
        <v>657</v>
      </c>
      <c r="D7" s="30" t="s">
        <v>49</v>
      </c>
      <c r="E7" s="30" t="s">
        <v>187</v>
      </c>
      <c r="F7" s="42">
        <v>150</v>
      </c>
      <c r="G7" s="42">
        <v>202</v>
      </c>
      <c r="H7" s="42">
        <v>63725</v>
      </c>
      <c r="I7" s="42">
        <v>63263</v>
      </c>
      <c r="J7" s="30" t="s">
        <v>188</v>
      </c>
      <c r="K7" s="42">
        <v>63309</v>
      </c>
      <c r="L7" s="131" t="s">
        <v>51</v>
      </c>
      <c r="M7" s="132">
        <f>CONVERT((I7-K7)/10000,"mi","ft")*IF(L7="Increasing Mileposts (1)",-1,1)</f>
        <v>-24.288</v>
      </c>
      <c r="N7" s="133" t="str">
        <f>VLOOKUP(C7,'Trips&amp;Operators'!$C$1:$G$99999,5,FALSE)</f>
        <v>FORTUNATO FRANK</v>
      </c>
      <c r="O7" s="203" t="s">
        <v>180</v>
      </c>
      <c r="P7" s="134" t="s">
        <v>421</v>
      </c>
      <c r="Q7" s="30"/>
      <c r="R7" s="81" t="str">
        <f>VLOOKUP(C7,'Train Runs'!$A$13:$AE$9932,31,0)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S7" s="84" t="str">
        <f>VLOOKUP(C7,'Train Runs'!$A$13:$AE$9932,22,0)</f>
        <v>https://d0f6bd738d7f1b3e5a7ca70fe4ff75f0.us-east-1.aws.found.io/app/kibana#/discover/Steve-Slow-Train-Analysis-(2080s-and-2083s)?_g=(refreshInterval:(display:Off,pause:!f,section:0,value:0),time:(from:'2017-07-13T20:18:16-0600',mode:absolute,to:'2017-07-13T23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/stypes="*4013*201707140*" /stext=" 03:.+((SYSTEM_STATE.+slice.+state.+changed )|(ment ac)|(multiple cpu faults)|(system.+state.+changed )|(\[timeout)|(PRM\|1\|D)|(kpr)|(kdp)|(train st.+moving)|(\|lc)|(penalty))"</v>
      </c>
      <c r="U7" s="9" t="str">
        <f>MID(B7,13,4)</f>
        <v>4013</v>
      </c>
      <c r="V7" s="31">
        <f>A7-utc_offset/24</f>
        <v>42930.160254629627</v>
      </c>
      <c r="W7" s="45" t="str">
        <f>DetSubdiv(C7)</f>
        <v>EC</v>
      </c>
      <c r="X7" s="22">
        <f>VALUE(LEFT(C7,LEN(C7)-3))</f>
        <v>228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arrival","project_id":79,"tracker_id":40,"status_id":1,"priority_id":2,"assigned_to_id":23,"start_date":"2017-07-13","description":"","custom_fields":[{"id":1,"name":"Subdivision","value":"EC"},{"id":4,"name":"Milepost","value":"6.3309"},{"id":17,"name":"Train ID","value":"228-13"},{"id":16,"name":"Locomotive ID","value":"4013"},{"id":130,"name":"Impact","value":""},{"id":150,"name":"Time of Event (Mountain Time)","value":"21:50:46"},{"id":151,"name":"Denver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/c/Users/stu/AppData/Local/Temp/OnboardLogs/RTDC4013 --include="*4013*201707140*"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"%USERPROFILE%\AppData\Local\Temp\OnboardLogs"\RTDC4013\*4013*201707140* &gt;&gt; 2017-07-13-SliceDisagreementCheck.txt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4013 --day 2017-07-14</v>
      </c>
    </row>
    <row r="8" spans="1:32" s="1" customFormat="1" x14ac:dyDescent="0.25">
      <c r="A8" s="31">
        <v>42929.926898148151</v>
      </c>
      <c r="B8" s="30" t="s">
        <v>449</v>
      </c>
      <c r="C8" s="30" t="s">
        <v>658</v>
      </c>
      <c r="D8" s="30" t="s">
        <v>49</v>
      </c>
      <c r="E8" s="30" t="s">
        <v>187</v>
      </c>
      <c r="F8" s="42">
        <v>340</v>
      </c>
      <c r="G8" s="42">
        <v>397</v>
      </c>
      <c r="H8" s="42">
        <v>109656</v>
      </c>
      <c r="I8" s="42">
        <v>108878</v>
      </c>
      <c r="J8" s="30" t="s">
        <v>188</v>
      </c>
      <c r="K8" s="42">
        <v>109135</v>
      </c>
      <c r="L8" s="131" t="s">
        <v>51</v>
      </c>
      <c r="M8" s="132">
        <f>CONVERT((I8-K8)/10000,"mi","ft")*IF(L8="Increasing Mileposts (1)",-1,1)</f>
        <v>-135.696</v>
      </c>
      <c r="N8" s="133" t="str">
        <f>VLOOKUP(C8,'Trips&amp;Operators'!$C$1:$G$99999,5,FALSE)</f>
        <v>LAMAR NEKESHA</v>
      </c>
      <c r="O8" s="203" t="s">
        <v>180</v>
      </c>
      <c r="P8" s="134" t="s">
        <v>421</v>
      </c>
      <c r="Q8" s="30"/>
      <c r="R8" s="81" t="str">
        <f>VLOOKUP(C8,'Train Runs'!$A$13:$AE$9932,31,0)</f>
        <v>aws s3 cp s3://rtdc.mdm.uploadarchive.raw/RTDC4061/ "%USERPROFILE%\AppData\Local\Temp\OnboardLogs"\RTDC4061\2017-07-13 --exclude "*" --recursive --include "*20170713*" &amp; "%USERPROFILE%\Documents\GitHub\mrs-test-scripts\Headless Mode &amp; Sideloading\WalkAndUnGZ.bat" "%USERPROFILE%\AppData\Local\Temp\OnboardLogs"\RTDC4061\2017-07-13 &amp; aws s3 cp s3://rtdc.mdm.uploadarchive.raw/RTDC4061/ "%USERPROFILE%\AppData\Local\Temp\OnboardLogs"\RTDC4061\2017-07-14 --exclude "*" --recursive --include "*20170714*" &amp; "%USERPROFILE%\Documents\GitHub\mrs-test-scripts\Headless Mode &amp; Sideloading\WalkAndUnGZ.bat" "%USERPROFILE%\AppData\Local\Temp\OnboardLogs"\RTDC4061\2017-07-14</v>
      </c>
      <c r="S8" s="84" t="str">
        <f>VLOOKUP(C8,'Train Runs'!$A$13:$AE$9932,22,0)</f>
        <v>https://d0f6bd738d7f1b3e5a7ca70fe4ff75f0.us-east-1.aws.found.io/app/kibana#/discover/Steve-Slow-Train-Analysis-(2080s-and-2083s)?_g=(refreshInterval:(display:Off,pause:!f,section:0,value:0),time:(from:'2017-07-13T20:51:08-0600',mode:absolute,to:'2017-07-13T23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/stypes="*4061*201707140*" /stext=" 04:.+((SYSTEM_STATE.+slice.+state.+changed )|(ment ac)|(multiple cpu faults)|(system.+state.+changed )|(\[timeout)|(PRM\|1\|D)|(kpr)|(kdp)|(train st.+moving)|(\|lc)|(penalty))"</v>
      </c>
      <c r="U8" s="9" t="str">
        <f>MID(B8,13,4)</f>
        <v>4061</v>
      </c>
      <c r="V8" s="31">
        <f>A8-utc_offset/24</f>
        <v>42930.176898148151</v>
      </c>
      <c r="W8" s="45" t="str">
        <f>DetSubdiv(C8)</f>
        <v>EC</v>
      </c>
      <c r="X8" s="22">
        <f>VALUE(LEFT(C8,LEN(C8)-3))</f>
        <v>230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arrival","project_id":79,"tracker_id":40,"status_id":1,"priority_id":2,"assigned_to_id":23,"start_date":"2017-07-13","description":"","custom_fields":[{"id":1,"name":"Subdivision","value":"EC"},{"id":4,"name":"Milepost","value":"10.9135"},{"id":17,"name":"Train ID","value":"230-13"},{"id":16,"name":"Locomotive ID","value":"4061"},{"id":130,"name":"Impact","value":""},{"id":150,"name":"Time of Event (Mountain Time)","value":"22:14:44"},{"id":151,"name":"Denver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/c/Users/stu/AppData/Local/Temp/OnboardLogs/RTDC4061 --include="*4061*201707140*"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"%USERPROFILE%\AppData\Local\Temp\OnboardLogs"\RTDC4061\*4061*201707140* &gt;&gt; 2017-07-13-SliceDisagreementCheck.txt</v>
      </c>
      <c r="AE8" s="145" t="str">
        <f t="shared" ref="AE8:AE54" si="1">"start /low /b "&amp;dls3logs&amp;" --loco "&amp;U8&amp;" --day "&amp;TEXT(V8,"YYYY-MM-DD")</f>
        <v>start /low /b %USERPROFILE%\Documents\GitHub\eaglep3\Utilities\DownloadLogsFromS3.py --loco 4061 --day 2017-07-14</v>
      </c>
    </row>
    <row r="9" spans="1:32" s="1" customFormat="1" x14ac:dyDescent="0.25">
      <c r="A9" s="31">
        <v>42929.613969907405</v>
      </c>
      <c r="B9" s="30" t="s">
        <v>638</v>
      </c>
      <c r="C9" s="30" t="s">
        <v>639</v>
      </c>
      <c r="D9" s="30" t="s">
        <v>49</v>
      </c>
      <c r="E9" s="30" t="s">
        <v>187</v>
      </c>
      <c r="F9" s="42">
        <v>350</v>
      </c>
      <c r="G9" s="42">
        <v>403</v>
      </c>
      <c r="H9" s="42">
        <v>110100</v>
      </c>
      <c r="I9" s="42">
        <v>108944</v>
      </c>
      <c r="J9" s="30" t="s">
        <v>188</v>
      </c>
      <c r="K9" s="42">
        <v>109135</v>
      </c>
      <c r="L9" s="131" t="s">
        <v>51</v>
      </c>
      <c r="M9" s="132">
        <f>CONVERT((I9-K9)/10000,"mi","ft")*IF(L9="Increasing Mileposts (1)",-1,1)</f>
        <v>-100.848</v>
      </c>
      <c r="N9" s="133" t="str">
        <f>VLOOKUP(C9,'Trips&amp;Operators'!$C$1:$G$99999,5,FALSE)</f>
        <v>LEVIN SCOTT</v>
      </c>
      <c r="O9" s="203" t="s">
        <v>180</v>
      </c>
      <c r="P9" s="134" t="s">
        <v>421</v>
      </c>
      <c r="Q9" s="30"/>
      <c r="R9" s="81" t="str">
        <f>VLOOKUP(C9,'Train Runs'!$A$13:$AE$9932,31,0)</f>
        <v>aws s3 cp s3://rtdc.mdm.uploadarchive.raw/RTDC4011/ "%USERPROFILE%\AppData\Local\Temp\OnboardLogs"\RTDC4011\2017-07-13 --exclude "*" --recursive --include "*20170713*" &amp; "%USERPROFILE%\Documents\GitHub\mrs-test-scripts\Headless Mode &amp; Sideloading\WalkAndUnGZ.bat" "%USERPROFILE%\AppData\Local\Temp\OnboardLogs"\RTDC4011\2017-07-13 &amp; aws s3 cp s3://rtdc.mdm.uploadarchive.raw/RTDC4011/ "%USERPROFILE%\AppData\Local\Temp\OnboardLogs"\RTDC4011\2017-07-14 --exclude "*" --recursive --include "*20170714*" &amp; "%USERPROFILE%\Documents\GitHub\mrs-test-scripts\Headless Mode &amp; Sideloading\WalkAndUnGZ.bat" "%USERPROFILE%\AppData\Local\Temp\OnboardLogs"\RTDC4011\2017-07-14</v>
      </c>
      <c r="S9" s="84" t="str">
        <f>VLOOKUP(C9,'Train Runs'!$A$13:$AE$9932,22,0)</f>
        <v>https://d0f6bd738d7f1b3e5a7ca70fe4ff75f0.us-east-1.aws.found.io/app/kibana#/discover/Steve-Slow-Train-Analysis-(2080s-and-2083s)?_g=(refreshInterval:(display:Off,pause:!f,section:0,value:0),time:(from:'2017-07-13T13:19:56-0600',mode:absolute,to:'2017-07-13T16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/stypes="*4011*201707132*" /stext=" 20:.+((SYSTEM_STATE.+slice.+state.+changed )|(ment ac)|(multiple cpu faults)|(system.+state.+changed )|(\[timeout)|(PRM\|1\|D)|(kpr)|(kdp)|(train st.+moving)|(\|lc)|(penalty))"</v>
      </c>
      <c r="U9" s="9" t="str">
        <f>MID(B9,13,4)</f>
        <v>4011</v>
      </c>
      <c r="V9" s="31">
        <f>A9-utc_offset/24</f>
        <v>42929.863969907405</v>
      </c>
      <c r="W9" s="45" t="str">
        <f>DetSubdiv(C9)</f>
        <v>EC</v>
      </c>
      <c r="X9" s="22">
        <f>VALUE(LEFT(C9,LEN(C9)-3))</f>
        <v>180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arrival","project_id":79,"tracker_id":40,"status_id":1,"priority_id":2,"assigned_to_id":23,"start_date":"2017-07-13","description":"","custom_fields":[{"id":1,"name":"Subdivision","value":"EC"},{"id":4,"name":"Milepost","value":"10.9135"},{"id":17,"name":"Train ID","value":"180-13"},{"id":16,"name":"Locomotive ID","value":"4011"},{"id":130,"name":"Impact","value":""},{"id":150,"name":"Time of Event (Mountain Time)","value":"14:44:07"},{"id":151,"name":"Denver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/c/Users/stu/AppData/Local/Temp/OnboardLogs/RTDC4011 --include="*4011*201707132*"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"%USERPROFILE%\AppData\Local\Temp\OnboardLogs"\RTDC4011\*4011*201707132* &gt;&gt; 2017-07-13-SliceDisagreementCheck.txt</v>
      </c>
      <c r="AE9" s="145" t="str">
        <f t="shared" si="1"/>
        <v>start /low /b %USERPROFILE%\Documents\GitHub\eaglep3\Utilities\DownloadLogsFromS3.py --loco 4011 --day 2017-07-13</v>
      </c>
    </row>
    <row r="10" spans="1:32" s="1" customFormat="1" x14ac:dyDescent="0.25">
      <c r="A10" s="31">
        <v>42930.052546296298</v>
      </c>
      <c r="B10" s="30" t="s">
        <v>446</v>
      </c>
      <c r="C10" s="30" t="s">
        <v>662</v>
      </c>
      <c r="D10" s="30" t="s">
        <v>49</v>
      </c>
      <c r="E10" s="30" t="s">
        <v>187</v>
      </c>
      <c r="F10" s="42">
        <v>360</v>
      </c>
      <c r="G10" s="42">
        <v>431</v>
      </c>
      <c r="H10" s="42">
        <v>110492</v>
      </c>
      <c r="I10" s="42">
        <v>109055</v>
      </c>
      <c r="J10" s="30" t="s">
        <v>188</v>
      </c>
      <c r="K10" s="42">
        <v>109135</v>
      </c>
      <c r="L10" s="131" t="s">
        <v>51</v>
      </c>
      <c r="M10" s="132">
        <f>CONVERT((I10-K10)/10000,"mi","ft")*IF(L10="Increasing Mileposts (1)",-1,1)</f>
        <v>-42.24</v>
      </c>
      <c r="N10" s="133" t="str">
        <f>VLOOKUP(C10,'Trips&amp;Operators'!$C$1:$G$99999,5,FALSE)</f>
        <v>PERKINS DARREN</v>
      </c>
      <c r="O10" s="203" t="s">
        <v>180</v>
      </c>
      <c r="P10" s="134" t="s">
        <v>421</v>
      </c>
      <c r="Q10" s="30"/>
      <c r="R10" s="81" t="str">
        <f>VLOOKUP(C10,'Train Runs'!$A$13:$AE$9932,31,0)</f>
        <v>aws s3 cp s3://rtdc.mdm.uploadarchive.raw/RTDC4041/ "%USERPROFILE%\AppData\Local\Temp\OnboardLogs"\RTDC4041\2017-07-14 --exclude "*" --recursive --include "*20170714*" &amp; "%USERPROFILE%\Documents\GitHub\mrs-test-scripts\Headless Mode &amp; Sideloading\WalkAndUnGZ.bat" "%USERPROFILE%\AppData\Local\Temp\OnboardLogs"\RTDC4041\2017-07-14 &amp; aws s3 cp s3://rtdc.mdm.uploadarchive.raw/RTDC4041/ "%USERPROFILE%\AppData\Local\Temp\OnboardLogs"\RTDC4041\2017-07-15 --exclude "*" --recursive --include "*20170715*" &amp; "%USERPROFILE%\Documents\GitHub\mrs-test-scripts\Headless Mode &amp; Sideloading\WalkAndUnGZ.bat" "%USERPROFILE%\AppData\Local\Temp\OnboardLogs"\RTDC4041\2017-07-15</v>
      </c>
      <c r="S10" s="84" t="str">
        <f>VLOOKUP(C10,'Train Runs'!$A$13:$AE$9932,22,0)</f>
        <v>https://d0f6bd738d7f1b3e5a7ca70fe4ff75f0.us-east-1.aws.found.io/app/kibana#/discover/Steve-Slow-Train-Analysis-(2080s-and-2083s)?_g=(refreshInterval:(display:Off,pause:!f,section:0,value:0),time:(from:'2017-07-13T23:50:31-0600',mode:absolute,to:'2017-07-14T02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/stypes="*4041*201707140*" /stext=" 07:.+((SYSTEM_STATE.+slice.+state.+changed )|(ment ac)|(multiple cpu faults)|(system.+state.+changed )|(\[timeout)|(PRM\|1\|D)|(kpr)|(kdp)|(train st.+moving)|(\|lc)|(penalty))"</v>
      </c>
      <c r="U10" s="9" t="str">
        <f>MID(B10,13,4)</f>
        <v>4041</v>
      </c>
      <c r="V10" s="31">
        <f>A10-utc_offset/24</f>
        <v>42930.302546296298</v>
      </c>
      <c r="W10" s="45" t="str">
        <f>DetSubdiv(C10)</f>
        <v>EC</v>
      </c>
      <c r="X10" s="22">
        <f>VALUE(LEFT(C10,LEN(C10)-3))</f>
        <v>242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arrival","project_id":79,"tracker_id":40,"status_id":1,"priority_id":2,"assigned_to_id":23,"start_date":"2017-07-14","description":"","custom_fields":[{"id":1,"name":"Subdivision","value":"EC"},{"id":4,"name":"Milepost","value":"10.9135"},{"id":17,"name":"Train ID","value":"242-13"},{"id":16,"name":"Locomotive ID","value":"4041"},{"id":130,"name":"Impact","value":""},{"id":150,"name":"Time of Event (Mountain Time)","value":"01:15:40"},{"id":151,"name":"Denver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/c/Users/stu/AppData/Local/Temp/OnboardLogs/RTDC4041 --include="*4041*201707140*"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"%USERPROFILE%\AppData\Local\Temp\OnboardLogs"\RTDC4041\*4041*201707140* &gt;&gt; 2017-07-13-SliceDisagreementCheck.txt</v>
      </c>
      <c r="AE10" s="145" t="str">
        <f t="shared" si="1"/>
        <v>start /low /b %USERPROFILE%\Documents\GitHub\eaglep3\Utilities\DownloadLogsFromS3.py --loco 4041 --day 2017-07-14</v>
      </c>
    </row>
    <row r="11" spans="1:32" s="1" customFormat="1" x14ac:dyDescent="0.25">
      <c r="A11" s="31">
        <v>42929.284513888888</v>
      </c>
      <c r="B11" s="30" t="s">
        <v>448</v>
      </c>
      <c r="C11" s="30" t="s">
        <v>620</v>
      </c>
      <c r="D11" s="30" t="s">
        <v>49</v>
      </c>
      <c r="E11" s="30" t="s">
        <v>197</v>
      </c>
      <c r="F11" s="42">
        <v>400</v>
      </c>
      <c r="G11" s="42">
        <v>468</v>
      </c>
      <c r="H11" s="42">
        <v>17135</v>
      </c>
      <c r="I11" s="42">
        <v>17804</v>
      </c>
      <c r="J11" s="30" t="s">
        <v>198</v>
      </c>
      <c r="K11" s="42">
        <v>17867</v>
      </c>
      <c r="L11" s="131" t="s">
        <v>50</v>
      </c>
      <c r="M11" s="132">
        <f>CONVERT((I11-K11)/10000,"mi","ft")*IF(L11="Increasing Mileposts (1)",-1,1)</f>
        <v>33.264000000000003</v>
      </c>
      <c r="N11" s="133" t="str">
        <f>VLOOKUP(C11,'Trips&amp;Operators'!$C$1:$G$99999,5,FALSE)</f>
        <v>STARKS ANGELINA</v>
      </c>
      <c r="O11" s="203" t="s">
        <v>180</v>
      </c>
      <c r="P11" s="134"/>
      <c r="Q11" s="30"/>
      <c r="R11" s="81" t="str">
        <f>VLOOKUP(C11,'Train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11" s="84" t="str">
        <f>VLOOKUP(C11,'Train Runs'!$A$13:$AE$9932,22,0)</f>
        <v>https://d0f6bd738d7f1b3e5a7ca70fe4ff75f0.us-east-1.aws.found.io/app/kibana#/discover/Steve-Slow-Train-Analysis-(2080s-and-2083s)?_g=(refreshInterval:(display:Off,pause:!f,section:0,value:0),time:(from:'2017-07-13T05:39:00-0600',mode:absolute,to:'2017-07-13T08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/stypes="*4062*201707131*" /stext=" 12:.+((SYSTEM_STATE.+slice.+state.+changed )|(ment ac)|(multiple cpu faults)|(system.+state.+changed )|(\[timeout)|(PRM\|1\|D)|(kpr)|(kdp)|(train st.+moving)|(\|lc)|(penalty))"</v>
      </c>
      <c r="U11" s="9" t="str">
        <f>MID(B11,13,4)</f>
        <v>4062</v>
      </c>
      <c r="V11" s="31">
        <f>A11-utc_offset/24</f>
        <v>42929.534513888888</v>
      </c>
      <c r="W11" s="45" t="str">
        <f>DetSubdiv(C11)</f>
        <v>EC</v>
      </c>
      <c r="X11" s="22">
        <f>VALUE(LEFT(C11,LEN(C11)-3))</f>
        <v>125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{"issue":{"subject":"","project_id":79,"tracker_id":40,"status_id":1,"priority_id":2,"assigned_to_id":23,"start_date":"2017-07-13","description":"","custom_fields":[{"id":1,"name":"Subdivision","value":"EC"},{"id":4,"name":"Milepost","value":"1.7867"},{"id":17,"name":"Train ID","value":"125-13"},{"id":16,"name":"Locomotive ID","value":"4062"},{"id":130,"name":"Impact","value":""},{"id":150,"name":"Time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/c/Users/stu/AppData/Local/Temp/OnboardLogs/RTDC4062 --include="*4062*201707131*"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"%USERPROFILE%\AppData\Local\Temp\OnboardLogs"\RTDC4062\*4062*201707131* &gt;&gt; 2017-07-13-SliceDisagreementCheck.txt</v>
      </c>
      <c r="AE11" s="145" t="str">
        <f t="shared" si="1"/>
        <v>start /low /b %USERPROFILE%\Documents\GitHub\eaglep3\Utilities\DownloadLogsFromS3.py --loco 4062 --day 2017-07-13</v>
      </c>
    </row>
    <row r="12" spans="1:32" s="1" customFormat="1" x14ac:dyDescent="0.25">
      <c r="A12" s="31">
        <v>42929.534490740742</v>
      </c>
      <c r="B12" s="30" t="s">
        <v>382</v>
      </c>
      <c r="C12" s="30" t="s">
        <v>627</v>
      </c>
      <c r="D12" s="30" t="s">
        <v>49</v>
      </c>
      <c r="E12" s="30" t="s">
        <v>197</v>
      </c>
      <c r="F12" s="42">
        <v>400</v>
      </c>
      <c r="G12" s="42">
        <v>450</v>
      </c>
      <c r="H12" s="42">
        <v>17326</v>
      </c>
      <c r="I12" s="42">
        <v>17943</v>
      </c>
      <c r="J12" s="30" t="s">
        <v>198</v>
      </c>
      <c r="K12" s="42">
        <v>17867</v>
      </c>
      <c r="L12" s="131" t="s">
        <v>50</v>
      </c>
      <c r="M12" s="132">
        <f>CONVERT((I12-K12)/10000,"mi","ft")*IF(L12="Increasing Mileposts (1)",-1,1)</f>
        <v>-40.128</v>
      </c>
      <c r="N12" s="133" t="str">
        <f>VLOOKUP(C12,'Trips&amp;Operators'!$C$1:$G$99999,5,FALSE)</f>
        <v>ANDERS STEVEN</v>
      </c>
      <c r="O12" s="203" t="s">
        <v>180</v>
      </c>
      <c r="P12" s="134"/>
      <c r="Q12" s="30"/>
      <c r="R12" s="81" t="str">
        <f>VLOOKUP(C12,'Train Runs'!$A$13:$AE$9932,31,0)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S12" s="84" t="str">
        <f>VLOOKUP(C12,'Train Runs'!$A$13:$AE$9932,22,0)</f>
        <v>https://d0f6bd738d7f1b3e5a7ca70fe4ff75f0.us-east-1.aws.found.io/app/kibana#/discover/Steve-Slow-Train-Analysis-(2080s-and-2083s)?_g=(refreshInterval:(display:Off,pause:!f,section:0,value:0),time:(from:'2017-07-13T11:39:22-0600',mode:absolute,to:'2017-07-13T14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/stypes="*4008*201707131*" /stext=" 18:.+((SYSTEM_STATE.+slice.+state.+changed )|(ment ac)|(multiple cpu faults)|(system.+state.+changed )|(\[timeout)|(PRM\|1\|D)|(kpr)|(kdp)|(train st.+moving)|(\|lc)|(penalty))"</v>
      </c>
      <c r="U12" s="9" t="str">
        <f>MID(B12,13,4)</f>
        <v>4008</v>
      </c>
      <c r="V12" s="31">
        <f>A12-utc_offset/24</f>
        <v>42929.784490740742</v>
      </c>
      <c r="W12" s="45" t="str">
        <f>DetSubdiv(C12)</f>
        <v>EC</v>
      </c>
      <c r="X12" s="22">
        <f>VALUE(LEFT(C12,LEN(C12)-3))</f>
        <v>173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{"issue":{"subject":"","project_id":79,"tracker_id":40,"status_id":1,"priority_id":2,"assigned_to_id":23,"start_date":"2017-07-13","description":"","custom_fields":[{"id":1,"name":"Subdivision","value":"EC"},{"id":4,"name":"Milepost","value":"1.7867"},{"id":17,"name":"Train ID","value":"173-13"},{"id":16,"name":"Locomotive ID","value":"4008"},{"id":130,"name":"Impact","value":""},{"id":150,"name":"Time of Event (Mountain Time)","value":"12:49:40"},{"id":151,"name":"Denver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/c/Users/stu/AppData/Local/Temp/OnboardLogs/RTDC4008 --include="*4008*201707131*"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"%USERPROFILE%\AppData\Local\Temp\OnboardLogs"\RTDC4008\*4008*201707131* &gt;&gt; 2017-07-13-SliceDisagreementCheck.txt</v>
      </c>
      <c r="AE12" s="145" t="str">
        <f t="shared" si="1"/>
        <v>start /low /b %USERPROFILE%\Documents\GitHub\eaglep3\Utilities\DownloadLogsFromS3.py --loco 4008 --day 2017-07-13</v>
      </c>
    </row>
    <row r="13" spans="1:32" s="1" customFormat="1" x14ac:dyDescent="0.25">
      <c r="A13" s="31">
        <v>42929.757662037038</v>
      </c>
      <c r="B13" s="30" t="s">
        <v>361</v>
      </c>
      <c r="C13" s="30" t="s">
        <v>651</v>
      </c>
      <c r="D13" s="30" t="s">
        <v>49</v>
      </c>
      <c r="E13" s="30" t="s">
        <v>197</v>
      </c>
      <c r="F13" s="42">
        <v>200</v>
      </c>
      <c r="G13" s="42">
        <v>292</v>
      </c>
      <c r="H13" s="42">
        <v>31926</v>
      </c>
      <c r="I13" s="42">
        <v>31171</v>
      </c>
      <c r="J13" s="30" t="s">
        <v>198</v>
      </c>
      <c r="K13" s="42">
        <v>30562</v>
      </c>
      <c r="L13" s="131" t="s">
        <v>51</v>
      </c>
      <c r="M13" s="132">
        <f>CONVERT((I13-K13)/10000,"mi","ft")*IF(L13="Increasing Mileposts (1)",-1,1)</f>
        <v>321.55200000000002</v>
      </c>
      <c r="N13" s="133" t="str">
        <f>VLOOKUP(C13,'Trips&amp;Operators'!$C$1:$G$99999,5,FALSE)</f>
        <v>ROMERO CHAD</v>
      </c>
      <c r="O13" s="203" t="s">
        <v>180</v>
      </c>
      <c r="P13" s="134"/>
      <c r="Q13" s="30"/>
      <c r="R13" s="81" t="str">
        <f>VLOOKUP(C13,'Train Runs'!$A$13:$AE$9932,31,0)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S13" s="84" t="str">
        <f>VLOOKUP(C13,'Train Runs'!$A$13:$AE$9932,22,0)</f>
        <v>https://d0f6bd738d7f1b3e5a7ca70fe4ff75f0.us-east-1.aws.found.io/app/kibana#/discover/Steve-Slow-Train-Analysis-(2080s-and-2083s)?_g=(refreshInterval:(display:Off,pause:!f,section:0,value:0),time:(from:'2017-07-13T16:26:36-0600',mode:absolute,to:'2017-07-13T19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/stypes="*4013*201707140*" /stext=" 00:.+((SYSTEM_STATE.+slice.+state.+changed )|(ment ac)|(multiple cpu faults)|(system.+state.+changed )|(\[timeout)|(PRM\|1\|D)|(kpr)|(kdp)|(train st.+moving)|(\|lc)|(penalty))"</v>
      </c>
      <c r="U13" s="9" t="str">
        <f>MID(B13,13,4)</f>
        <v>4013</v>
      </c>
      <c r="V13" s="31">
        <f>A13-utc_offset/24</f>
        <v>42930.007662037038</v>
      </c>
      <c r="W13" s="45" t="str">
        <f>DetSubdiv(C13)</f>
        <v>EC</v>
      </c>
      <c r="X13" s="22">
        <f>VALUE(LEFT(C13,LEN(C13)-3))</f>
        <v>206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{"issue":{"subject":"","project_id":79,"tracker_id":40,"status_id":1,"priority_id":2,"assigned_to_id":23,"start_date":"2017-07-13","description":"","custom_fields":[{"id":1,"name":"Subdivision","value":"EC"},{"id":4,"name":"Milepost","value":"3.0562"},{"id":17,"name":"Train ID","value":"206-13"},{"id":16,"name":"Locomotive ID","value":"4013"},{"id":130,"name":"Impact","value":""},{"id":150,"name":"Time of Event (Mountain Time)","value":"18:11:02"},{"id":151,"name":"Denver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/c/Users/stu/AppData/Local/Temp/OnboardLogs/RTDC4013 --include="*4013*201707140*"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"%USERPROFILE%\AppData\Local\Temp\OnboardLogs"\RTDC4013\*4013*201707140* &gt;&gt; 2017-07-13-SliceDisagreementCheck.txt</v>
      </c>
      <c r="AE13" s="145" t="str">
        <f t="shared" si="1"/>
        <v>start /low /b %USERPROFILE%\Documents\GitHub\eaglep3\Utilities\DownloadLogsFromS3.py --loco 4013 --day 2017-07-14</v>
      </c>
    </row>
    <row r="14" spans="1:32" x14ac:dyDescent="0.25">
      <c r="A14" s="31">
        <v>42929.225624999999</v>
      </c>
      <c r="B14" s="30" t="s">
        <v>448</v>
      </c>
      <c r="C14" s="30" t="s">
        <v>617</v>
      </c>
      <c r="D14" s="30" t="s">
        <v>49</v>
      </c>
      <c r="E14" s="30" t="s">
        <v>197</v>
      </c>
      <c r="F14" s="42">
        <v>400</v>
      </c>
      <c r="G14" s="42">
        <v>554</v>
      </c>
      <c r="H14" s="42">
        <v>115164</v>
      </c>
      <c r="I14" s="42">
        <v>116894</v>
      </c>
      <c r="J14" s="30" t="s">
        <v>198</v>
      </c>
      <c r="K14" s="42">
        <v>116838</v>
      </c>
      <c r="L14" s="131" t="s">
        <v>50</v>
      </c>
      <c r="M14" s="132">
        <f>CONVERT((I14-K14)/10000,"mi","ft")*IF(L14="Increasing Mileposts (1)",-1,1)</f>
        <v>-29.568000000000001</v>
      </c>
      <c r="N14" s="133" t="str">
        <f>VLOOKUP(C14,'Trips&amp;Operators'!$C$1:$G$99999,5,FALSE)</f>
        <v>STARKS ANGELINA</v>
      </c>
      <c r="O14" s="203" t="s">
        <v>180</v>
      </c>
      <c r="P14" s="134"/>
      <c r="Q14" s="30"/>
      <c r="R14" s="81" t="str">
        <f>VLOOKUP(C14,'Train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14" s="84" t="str">
        <f>VLOOKUP(C14,'Train Runs'!$A$13:$AE$9932,22,0)</f>
        <v>https://d0f6bd738d7f1b3e5a7ca70fe4ff75f0.us-east-1.aws.found.io/app/kibana#/discover/Steve-Slow-Train-Analysis-(2080s-and-2083s)?_g=(refreshInterval:(display:Off,pause:!f,section:0,value:0),time:(from:'2017-07-13T04:00:44-0600',mode:absolute,to:'2017-07-13T06:42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/stypes="*4062*201707131*" /stext=" 11:.+((SYSTEM_STATE.+slice.+state.+changed )|(ment ac)|(multiple cpu faults)|(system.+state.+changed )|(\[timeout)|(PRM\|1\|D)|(kpr)|(kdp)|(train st.+moving)|(\|lc)|(penalty))"</v>
      </c>
      <c r="U14" s="9" t="str">
        <f>MID(B14,13,4)</f>
        <v>4062</v>
      </c>
      <c r="V14" s="31">
        <f>A14-utc_offset/24</f>
        <v>42929.475624999999</v>
      </c>
      <c r="W14" s="45" t="str">
        <f>DetSubdiv(C14)</f>
        <v>EC</v>
      </c>
      <c r="X14" s="22">
        <f>VALUE(LEFT(C14,LEN(C14)-3))</f>
        <v>111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{"issue":{"subject":"","project_id":79,"tracker_id":40,"status_id":1,"priority_id":2,"assigned_to_id":23,"start_date":"2017-07-13","description":"","custom_fields":[{"id":1,"name":"Subdivision","value":"EC"},{"id":4,"name":"Milepost","value":"11.6838"},{"id":17,"name":"Train ID","value":"111-13"},{"id":16,"name":"Locomotive ID","value":"4062"},{"id":130,"name":"Impact","value":""},{"id":150,"name":"Time of Event (Mountain Time)","value":"05:24:54"},{"id":151,"name":"Denver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/c/Users/stu/AppData/Local/Temp/OnboardLogs/RTDC4062 --include="*4062*201707131*"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"%USERPROFILE%\AppData\Local\Temp\OnboardLogs"\RTDC4062\*4062*201707131* &gt;&gt; 2017-07-13-SliceDisagreementCheck.txt</v>
      </c>
      <c r="AE14" s="145" t="str">
        <f t="shared" si="1"/>
        <v>start /low /b %USERPROFILE%\Documents\GitHub\eaglep3\Utilities\DownloadLogsFromS3.py --loco 4062 --day 2017-07-13</v>
      </c>
      <c r="AF14" s="1"/>
    </row>
    <row r="15" spans="1:32" x14ac:dyDescent="0.25">
      <c r="A15" s="31">
        <v>42929.863287037035</v>
      </c>
      <c r="B15" s="30" t="s">
        <v>483</v>
      </c>
      <c r="C15" s="30" t="s">
        <v>656</v>
      </c>
      <c r="D15" s="30" t="s">
        <v>49</v>
      </c>
      <c r="E15" s="30" t="s">
        <v>197</v>
      </c>
      <c r="F15" s="42">
        <v>400</v>
      </c>
      <c r="G15" s="42">
        <v>569</v>
      </c>
      <c r="H15" s="42">
        <v>122328</v>
      </c>
      <c r="I15" s="42">
        <v>120466</v>
      </c>
      <c r="J15" s="30" t="s">
        <v>198</v>
      </c>
      <c r="K15" s="42">
        <v>119716</v>
      </c>
      <c r="L15" s="131" t="s">
        <v>51</v>
      </c>
      <c r="M15" s="132">
        <f>CONVERT((I15-K15)/10000,"mi","ft")*IF(L15="Increasing Mileposts (1)",-1,1)</f>
        <v>396</v>
      </c>
      <c r="N15" s="133" t="str">
        <f>VLOOKUP(C15,'Trips&amp;Operators'!$C$1:$G$99999,5,FALSE)</f>
        <v>ELBAUM MIKE</v>
      </c>
      <c r="O15" s="203" t="s">
        <v>180</v>
      </c>
      <c r="P15" s="134"/>
      <c r="Q15" s="30"/>
      <c r="R15" s="81" t="str">
        <f>VLOOKUP(C15,'Train Runs'!$A$13:$AE$9932,31,0)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S15" s="84" t="str">
        <f>VLOOKUP(C15,'Train Runs'!$A$13:$AE$9932,22,0)</f>
        <v>https://d0f6bd738d7f1b3e5a7ca70fe4ff75f0.us-east-1.aws.found.io/app/kibana#/discover/Steve-Slow-Train-Analysis-(2080s-and-2083s)?_g=(refreshInterval:(display:Off,pause:!f,section:0,value:0),time:(from:'2017-07-13T19:10:37-0600',mode:absolute,to:'2017-07-13T22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/stypes="*4027*201707140*" /stext=" 02:.+((SYSTEM_STATE.+slice.+state.+changed )|(ment ac)|(multiple cpu faults)|(system.+state.+changed )|(\[timeout)|(PRM\|1\|D)|(kpr)|(kdp)|(train st.+moving)|(\|lc)|(penalty))"</v>
      </c>
      <c r="U15" s="9" t="str">
        <f>MID(B15,13,4)</f>
        <v>4027</v>
      </c>
      <c r="V15" s="31">
        <f>A15-utc_offset/24</f>
        <v>42930.113287037035</v>
      </c>
      <c r="W15" s="45" t="str">
        <f>DetSubdiv(C15)</f>
        <v>EC</v>
      </c>
      <c r="X15" s="22">
        <f>VALUE(LEFT(C15,LEN(C15)-3))</f>
        <v>224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{"issue":{"subject":"","project_id":79,"tracker_id":40,"status_id":1,"priority_id":2,"assigned_to_id":23,"start_date":"2017-07-13","description":"","custom_fields":[{"id":1,"name":"Subdivision","value":"EC"},{"id":4,"name":"Milepost","value":"11.9716"},{"id":17,"name":"Train ID","value":"224-13"},{"id":16,"name":"Locomotive ID","value":"4027"},{"id":130,"name":"Impact","value":""},{"id":150,"name":"Time of Event (Mountain Time)","value":"20:43:08"},{"id":151,"name":"Denver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/c/Users/stu/AppData/Local/Temp/OnboardLogs/RTDC4027 --include="*4027*201707140*"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"%USERPROFILE%\AppData\Local\Temp\OnboardLogs"\RTDC4027\*4027*201707140* &gt;&gt; 2017-07-13-SliceDisagreementCheck.txt</v>
      </c>
      <c r="AE15" s="145" t="str">
        <f t="shared" si="1"/>
        <v>start /low /b %USERPROFILE%\Documents\GitHub\eaglep3\Utilities\DownloadLogsFromS3.py --loco 4027 --day 2017-07-14</v>
      </c>
      <c r="AF15" s="1"/>
    </row>
    <row r="16" spans="1:32" x14ac:dyDescent="0.25">
      <c r="A16" s="31">
        <v>42929.853784722225</v>
      </c>
      <c r="B16" s="30" t="s">
        <v>352</v>
      </c>
      <c r="C16" s="30" t="s">
        <v>654</v>
      </c>
      <c r="D16" s="30" t="s">
        <v>96</v>
      </c>
      <c r="E16" s="30" t="s">
        <v>197</v>
      </c>
      <c r="F16" s="42">
        <v>700</v>
      </c>
      <c r="G16" s="42">
        <v>751</v>
      </c>
      <c r="H16" s="42">
        <v>175610</v>
      </c>
      <c r="I16" s="42">
        <v>178337</v>
      </c>
      <c r="J16" s="30" t="s">
        <v>198</v>
      </c>
      <c r="K16" s="42">
        <v>161962</v>
      </c>
      <c r="L16" s="131" t="s">
        <v>50</v>
      </c>
      <c r="M16" s="132">
        <f>CONVERT((I16-K16)/10000,"mi","ft")*IF(L16="Increasing Mileposts (1)",-1,1)</f>
        <v>-8646</v>
      </c>
      <c r="N16" s="133" t="str">
        <f>VLOOKUP(C16,'Trips&amp;Operators'!$C$1:$G$99999,5,FALSE)</f>
        <v>PERKINS DARREN</v>
      </c>
      <c r="O16" s="203" t="s">
        <v>180</v>
      </c>
      <c r="P16" s="134"/>
      <c r="Q16" s="30"/>
      <c r="R16" s="81" t="str">
        <f>VLOOKUP(C16,'Train Runs'!$A$13:$AE$9932,31,0)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S16" s="84" t="str">
        <f>VLOOKUP(C16,'Train Runs'!$A$13:$AE$9932,22,0)</f>
        <v>https://d0f6bd738d7f1b3e5a7ca70fe4ff75f0.us-east-1.aws.found.io/app/kibana#/discover/Steve-Slow-Train-Analysis-(2080s-and-2083s)?_g=(refreshInterval:(display:Off,pause:!f,section:0,value:0),time:(from:'2017-07-13T18:53:48-0600',mode:absolute,to:'2017-07-13T21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/stypes="*4042*201707140*" /stext=" 02:.+((SYSTEM_STATE.+slice.+state.+changed )|(ment ac)|(multiple cpu faults)|(system.+state.+changed )|(\[timeout)|(PRM\|1\|D)|(kpr)|(kdp)|(train st.+moving)|(\|lc)|(penalty))"</v>
      </c>
      <c r="U16" s="9" t="str">
        <f>MID(B16,13,4)</f>
        <v>4042</v>
      </c>
      <c r="V16" s="31">
        <f>A16-utc_offset/24</f>
        <v>42930.103784722225</v>
      </c>
      <c r="W16" s="45" t="str">
        <f>DetSubdiv(C16)</f>
        <v>EC</v>
      </c>
      <c r="X16" s="22">
        <f>VALUE(LEFT(C16,LEN(C16)-3))</f>
        <v>225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{"issue":{"subject":"","project_id":79,"tracker_id":40,"status_id":1,"priority_id":2,"assigned_to_id":23,"start_date":"2017-07-13","description":"","custom_fields":[{"id":1,"name":"Subdivision","value":"EC"},{"id":4,"name":"Milepost","value":"16.1962"},{"id":17,"name":"Train ID","value":"225-13"},{"id":16,"name":"Locomotive ID","value":"4042"},{"id":130,"name":"Impact","value":""},{"id":150,"name":"Time of Event (Mountain Time)","value":"20:29:27"},{"id":151,"name":"Denver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/c/Users/stu/AppData/Local/Temp/OnboardLogs/RTDC4042 --include="*4042*201707140*"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"%USERPROFILE%\AppData\Local\Temp\OnboardLogs"\RTDC4042\*4042*201707140* &gt;&gt; 2017-07-13-SliceDisagreementCheck.txt</v>
      </c>
      <c r="AE16" s="145" t="str">
        <f t="shared" si="1"/>
        <v>start /low /b %USERPROFILE%\Documents\GitHub\eaglep3\Utilities\DownloadLogsFromS3.py --loco 4042 --day 2017-07-14</v>
      </c>
      <c r="AF16" s="1"/>
    </row>
    <row r="17" spans="1:32" x14ac:dyDescent="0.25">
      <c r="A17" s="31">
        <v>42929.42900462963</v>
      </c>
      <c r="B17" s="30" t="s">
        <v>367</v>
      </c>
      <c r="C17" s="30" t="s">
        <v>625</v>
      </c>
      <c r="D17" s="30" t="s">
        <v>49</v>
      </c>
      <c r="E17" s="30" t="s">
        <v>197</v>
      </c>
      <c r="F17" s="42">
        <v>350</v>
      </c>
      <c r="G17" s="42">
        <v>486</v>
      </c>
      <c r="H17" s="42">
        <v>223351</v>
      </c>
      <c r="I17" s="42">
        <v>224555</v>
      </c>
      <c r="J17" s="30" t="s">
        <v>198</v>
      </c>
      <c r="K17" s="42">
        <v>224578</v>
      </c>
      <c r="L17" s="131" t="s">
        <v>50</v>
      </c>
      <c r="M17" s="132">
        <f>CONVERT((I17-K17)/10000,"mi","ft")*IF(L17="Increasing Mileposts (1)",-1,1)</f>
        <v>12.144</v>
      </c>
      <c r="N17" s="133" t="str">
        <f>VLOOKUP(C17,'Trips&amp;Operators'!$C$1:$G$99999,5,FALSE)</f>
        <v>LANGERAK WILLIAM</v>
      </c>
      <c r="O17" s="203" t="s">
        <v>180</v>
      </c>
      <c r="P17" s="134"/>
      <c r="Q17" s="30"/>
      <c r="R17" s="81" t="str">
        <f>VLOOKUP(C17,'Train Runs'!$A$13:$AE$9932,31,0)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S17" s="84" t="str">
        <f>VLOOKUP(C17,'Train Runs'!$A$13:$AE$9932,22,0)</f>
        <v>https://d0f6bd738d7f1b3e5a7ca70fe4ff75f0.us-east-1.aws.found.io/app/kibana#/discover/Steve-Slow-Train-Analysis-(2080s-and-2083s)?_g=(refreshInterval:(display:Off,pause:!f,section:0,value:0),time:(from:'2017-07-13T08:39:11-0600',mode:absolute,to:'2017-07-13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/stypes="*4014*201707131*" /stext=" 16:.+((SYSTEM_STATE.+slice.+state.+changed )|(ment ac)|(multiple cpu faults)|(system.+state.+changed )|(\[timeout)|(PRM\|1\|D)|(kpr)|(kdp)|(train st.+moving)|(\|lc)|(penalty))"</v>
      </c>
      <c r="U17" s="9" t="str">
        <f>MID(B17,13,4)</f>
        <v>4014</v>
      </c>
      <c r="V17" s="31">
        <f>A17-utc_offset/24</f>
        <v>42929.67900462963</v>
      </c>
      <c r="W17" s="45" t="str">
        <f>DetSubdiv(C17)</f>
        <v>EC</v>
      </c>
      <c r="X17" s="22">
        <f>VALUE(LEFT(C17,LEN(C17)-3))</f>
        <v>149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{"issue":{"subject":"","project_id":79,"tracker_id":40,"status_id":1,"priority_id":2,"assigned_to_id":23,"start_date":"2017-07-13","description":"","custom_fields":[{"id":1,"name":"Subdivision","value":"EC"},{"id":4,"name":"Milepost","value":"22.4578"},{"id":17,"name":"Train ID","value":"149-13"},{"id":16,"name":"Locomotive ID","value":"4014"},{"id":130,"name":"Impact","value":""},{"id":150,"name":"Time of Event (Mountain Time)","value":"10:17:46"},{"id":151,"name":"Denver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/c/Users/stu/AppData/Local/Temp/OnboardLogs/RTDC4014 --include="*4014*201707131*"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"%USERPROFILE%\AppData\Local\Temp\OnboardLogs"\RTDC4014\*4014*201707131* &gt;&gt; 2017-07-13-SliceDisagreementCheck.txt</v>
      </c>
      <c r="AE17" s="145" t="str">
        <f t="shared" si="1"/>
        <v>start /low /b %USERPROFILE%\Documents\GitHub\eaglep3\Utilities\DownloadLogsFromS3.py --loco 4014 --day 2017-07-13</v>
      </c>
      <c r="AF17" s="1"/>
    </row>
    <row r="18" spans="1:32" x14ac:dyDescent="0.25">
      <c r="A18" s="31">
        <v>42929.718888888892</v>
      </c>
      <c r="B18" s="30" t="s">
        <v>422</v>
      </c>
      <c r="C18" s="30" t="s">
        <v>646</v>
      </c>
      <c r="D18" s="30" t="s">
        <v>96</v>
      </c>
      <c r="E18" s="30" t="s">
        <v>197</v>
      </c>
      <c r="F18" s="42">
        <v>550</v>
      </c>
      <c r="G18" s="42">
        <v>603</v>
      </c>
      <c r="H18" s="42">
        <v>222048</v>
      </c>
      <c r="I18" s="42">
        <v>219878</v>
      </c>
      <c r="J18" s="30" t="s">
        <v>198</v>
      </c>
      <c r="K18" s="42">
        <v>224578</v>
      </c>
      <c r="L18" s="131" t="s">
        <v>51</v>
      </c>
      <c r="M18" s="132">
        <f>CONVERT((I18-K18)/10000,"mi","ft")*IF(L18="Increasing Mileposts (1)",-1,1)</f>
        <v>-2481.6</v>
      </c>
      <c r="N18" s="133" t="str">
        <f>VLOOKUP(C18,'Trips&amp;Operators'!$C$1:$G$99999,5,FALSE)</f>
        <v>ANDERS STEVEN</v>
      </c>
      <c r="O18" s="203" t="s">
        <v>180</v>
      </c>
      <c r="P18" s="134"/>
      <c r="Q18" s="30"/>
      <c r="R18" s="81" t="str">
        <f>VLOOKUP(C18,'Train Runs'!$A$13:$AE$9932,31,0)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S18" s="84" t="str">
        <f>VLOOKUP(C18,'Train Runs'!$A$13:$AE$9932,22,0)</f>
        <v>https://d0f6bd738d7f1b3e5a7ca70fe4ff75f0.us-east-1.aws.found.io/app/kibana#/discover/Steve-Slow-Train-Analysis-(2080s-and-2083s)?_g=(refreshInterval:(display:Off,pause:!f,section:0,value:0),time:(from:'2017-07-13T15:55:39-0600',mode:absolute,to:'2017-07-13T18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/stypes="*4007*201707132*" /stext=" 23:.+((SYSTEM_STATE.+slice.+state.+changed )|(ment ac)|(multiple cpu faults)|(system.+state.+changed )|(\[timeout)|(PRM\|1\|D)|(kpr)|(kdp)|(train st.+moving)|(\|lc)|(penalty))"</v>
      </c>
      <c r="U18" s="9" t="str">
        <f>MID(B18,13,4)</f>
        <v>4007</v>
      </c>
      <c r="V18" s="31">
        <f>A18-utc_offset/24</f>
        <v>42929.968888888892</v>
      </c>
      <c r="W18" s="45" t="str">
        <f>DetSubdiv(C18)</f>
        <v>EC</v>
      </c>
      <c r="X18" s="22">
        <f>VALUE(LEFT(C18,LEN(C18)-3))</f>
        <v>202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{"issue":{"subject":"","project_id":79,"tracker_id":40,"status_id":1,"priority_id":2,"assigned_to_id":23,"start_date":"2017-07-13","description":"","custom_fields":[{"id":1,"name":"Subdivision","value":"EC"},{"id":4,"name":"Milepost","value":"22.4578"},{"id":17,"name":"Train ID","value":"202-13"},{"id":16,"name":"Locomotive ID","value":"4007"},{"id":130,"name":"Impact","value":""},{"id":150,"name":"Time of Event (Mountain Time)","value":"17:15:12"},{"id":151,"name":"Denver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/c/Users/stu/AppData/Local/Temp/OnboardLogs/RTDC4007 --include="*4007*201707132*"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"%USERPROFILE%\AppData\Local\Temp\OnboardLogs"\RTDC4007\*4007*201707132* &gt;&gt; 2017-07-13-SliceDisagreementCheck.txt</v>
      </c>
      <c r="AE18" s="145" t="str">
        <f t="shared" si="1"/>
        <v>start /low /b %USERPROFILE%\Documents\GitHub\eaglep3\Utilities\DownloadLogsFromS3.py --loco 4007 --day 2017-07-13</v>
      </c>
      <c r="AF18" s="1"/>
    </row>
    <row r="19" spans="1:32" x14ac:dyDescent="0.25">
      <c r="A19" s="31">
        <v>42929.51971064815</v>
      </c>
      <c r="B19" s="30" t="s">
        <v>361</v>
      </c>
      <c r="C19" s="30" t="s">
        <v>626</v>
      </c>
      <c r="D19" s="30" t="s">
        <v>96</v>
      </c>
      <c r="E19" s="30" t="s">
        <v>197</v>
      </c>
      <c r="F19" s="42">
        <v>350</v>
      </c>
      <c r="G19" s="42">
        <v>406</v>
      </c>
      <c r="H19" s="42">
        <v>229931</v>
      </c>
      <c r="I19" s="42">
        <v>228846</v>
      </c>
      <c r="J19" s="30" t="s">
        <v>198</v>
      </c>
      <c r="K19" s="42">
        <v>232107</v>
      </c>
      <c r="L19" s="131" t="s">
        <v>51</v>
      </c>
      <c r="M19" s="132">
        <f>CONVERT((I19-K19)/10000,"mi","ft")*IF(L19="Increasing Mileposts (1)",-1,1)</f>
        <v>-1721.808</v>
      </c>
      <c r="N19" s="133" t="str">
        <f>VLOOKUP(C19,'Trips&amp;Operators'!$C$1:$G$99999,5,FALSE)</f>
        <v>ROMERO CHAD</v>
      </c>
      <c r="O19" s="203" t="s">
        <v>180</v>
      </c>
      <c r="P19" s="134"/>
      <c r="Q19" s="30"/>
      <c r="R19" s="81" t="str">
        <f>VLOOKUP(C19,'Train Runs'!$A$13:$AE$9932,31,0)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S19" s="84" t="str">
        <f>VLOOKUP(C19,'Train Runs'!$A$13:$AE$9932,22,0)</f>
        <v>https://d0f6bd738d7f1b3e5a7ca70fe4ff75f0.us-east-1.aws.found.io/app/kibana#/discover/Steve-Slow-Train-Analysis-(2080s-and-2083s)?_g=(refreshInterval:(display:Off,pause:!f,section:0,value:0),time:(from:'2017-07-13T11:10:19-0600',mode:absolute,to:'2017-07-13T14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/stypes="*4013*201707131*" /stext=" 18:.+((SYSTEM_STATE.+slice.+state.+changed )|(ment ac)|(multiple cpu faults)|(system.+state.+changed )|(\[timeout)|(PRM\|1\|D)|(kpr)|(kdp)|(train st.+moving)|(\|lc)|(penalty))"</v>
      </c>
      <c r="U19" s="9" t="str">
        <f>MID(B19,13,4)</f>
        <v>4013</v>
      </c>
      <c r="V19" s="31">
        <f>A19-utc_offset/24</f>
        <v>42929.76971064815</v>
      </c>
      <c r="W19" s="45" t="str">
        <f>DetSubdiv(C19)</f>
        <v>EC</v>
      </c>
      <c r="X19" s="22">
        <f>VALUE(LEFT(C19,LEN(C19)-3))</f>
        <v>164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{"issue":{"subject":"","project_id":79,"tracker_id":40,"status_id":1,"priority_id":2,"assigned_to_id":23,"start_date":"2017-07-13","description":"","custom_fields":[{"id":1,"name":"Subdivision","value":"EC"},{"id":4,"name":"Milepost","value":"23.2107"},{"id":17,"name":"Train ID","value":"164-13"},{"id":16,"name":"Locomotive ID","value":"4013"},{"id":130,"name":"Impact","value":""},{"id":150,"name":"Time of Event (Mountain Time)","value":"12:28:23"},{"id":151,"name":"Denver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/c/Users/stu/AppData/Local/Temp/OnboardLogs/RTDC4013 --include="*4013*201707131*"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"%USERPROFILE%\AppData\Local\Temp\OnboardLogs"\RTDC4013\*4013*201707131* &gt;&gt; 2017-07-13-SliceDisagreementCheck.txt</v>
      </c>
      <c r="AE19" s="145" t="str">
        <f t="shared" si="1"/>
        <v>start /low /b %USERPROFILE%\Documents\GitHub\eaglep3\Utilities\DownloadLogsFromS3.py --loco 4013 --day 2017-07-13</v>
      </c>
      <c r="AF19" s="1"/>
    </row>
    <row r="20" spans="1:32" x14ac:dyDescent="0.25">
      <c r="A20" s="31">
        <v>42929.612013888887</v>
      </c>
      <c r="B20" s="30" t="s">
        <v>382</v>
      </c>
      <c r="C20" s="30" t="s">
        <v>637</v>
      </c>
      <c r="D20" s="30" t="s">
        <v>49</v>
      </c>
      <c r="E20" s="30" t="s">
        <v>356</v>
      </c>
      <c r="F20" s="42">
        <v>0</v>
      </c>
      <c r="G20" s="42">
        <v>490</v>
      </c>
      <c r="H20" s="42">
        <v>41540</v>
      </c>
      <c r="I20" s="42">
        <v>42998</v>
      </c>
      <c r="J20" s="30" t="s">
        <v>357</v>
      </c>
      <c r="K20" s="42">
        <v>43651</v>
      </c>
      <c r="L20" s="131" t="s">
        <v>50</v>
      </c>
      <c r="M20" s="132">
        <f>CONVERT((I20-K20)/10000,"mi","ft")*IF(L20="Increasing Mileposts (1)",-1,1)</f>
        <v>344.78399999999999</v>
      </c>
      <c r="N20" s="133" t="str">
        <f>VLOOKUP(C20,'Trips&amp;Operators'!$C$1:$G$99999,5,FALSE)</f>
        <v>ANDERS STEVEN</v>
      </c>
      <c r="O20" s="203" t="s">
        <v>451</v>
      </c>
      <c r="P20" s="134" t="s">
        <v>613</v>
      </c>
      <c r="Q20" s="30"/>
      <c r="R20" s="81" t="str">
        <f>VLOOKUP(C20,'Train Runs'!$A$13:$AE$9932,31,0)</f>
        <v>aws s3 cp s3://rtdc.mdm.uploadarchive.raw/RTDC4008/ "%USERPROFILE%\AppData\Local\Temp\OnboardLogs"\RTDC4008\2017-07-13 --exclude "*" --recursive --include "*20170713*" &amp; "%USERPROFILE%\Documents\GitHub\mrs-test-scripts\Headless Mode &amp; Sideloading\WalkAndUnGZ.bat" "%USERPROFILE%\AppData\Local\Temp\OnboardLogs"\RTDC4008\2017-07-13 &amp; aws s3 cp s3://rtdc.mdm.uploadarchive.raw/RTDC4008/ "%USERPROFILE%\AppData\Local\Temp\OnboardLogs"\RTDC4008\2017-07-14 --exclude "*" --recursive --include "*20170714*" &amp; "%USERPROFILE%\Documents\GitHub\mrs-test-scripts\Headless Mode &amp; Sideloading\WalkAndUnGZ.bat" "%USERPROFILE%\AppData\Local\Temp\OnboardLogs"\RTDC4008\2017-07-14</v>
      </c>
      <c r="S20" s="84" t="str">
        <f>VLOOKUP(C20,'Train Runs'!$A$13:$AE$9932,22,0)</f>
        <v>https://d0f6bd738d7f1b3e5a7ca70fe4ff75f0.us-east-1.aws.found.io/app/kibana#/discover/Steve-Slow-Train-Analysis-(2080s-and-2083s)?_g=(refreshInterval:(display:Off,pause:!f,section:0,value:0),time:(from:'2017-07-13T13:24:32-0600',mode:absolute,to:'2017-07-13T16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/stypes="*4008*201707132*" /stext=" 20:.+((SYSTEM_STATE.+slice.+state.+changed )|(ment ac)|(multiple cpu faults)|(system.+state.+changed )|(\[timeout)|(PRM\|1\|D)|(kpr)|(kdp)|(train st.+moving)|(\|lc)|(penalty))"</v>
      </c>
      <c r="U20" s="9" t="str">
        <f>MID(B20,13,4)</f>
        <v>4008</v>
      </c>
      <c r="V20" s="31">
        <f>A20-utc_offset/24</f>
        <v>42929.862013888887</v>
      </c>
      <c r="W20" s="45" t="str">
        <f>DetSubdiv(C20)</f>
        <v>EC</v>
      </c>
      <c r="X20" s="22">
        <f>VALUE(LEFT(C20,LEN(C20)-3))</f>
        <v>187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drop","project_id":79,"tracker_id":40,"status_id":1,"priority_id":2,"assigned_to_id":23,"start_date":"2017-07-13","description":"","custom_fields":[{"id":1,"name":"Subdivision","value":"EC"},{"id":4,"name":"Milepost","value":"4.3651"},{"id":17,"name":"Train ID","value":"187-13"},{"id":16,"name":"Locomotive ID","value":"4008"},{"id":130,"name":"Impact","value":""},{"id":150,"name":"Time of Event (Mountain Time)","value":"14:41:18"},{"id":151,"name":"Denver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/c/Users/stu/AppData/Local/Temp/OnboardLogs/RTDC4008 --include="*4008*201707132*"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"%USERPROFILE%\AppData\Local\Temp\OnboardLogs"\RTDC4008\*4008*201707132* &gt;&gt; 2017-07-13-SliceDisagreementCheck.txt</v>
      </c>
      <c r="AE20" s="145" t="str">
        <f t="shared" si="1"/>
        <v>start /low /b %USERPROFILE%\Documents\GitHub\eaglep3\Utilities\DownloadLogsFromS3.py --loco 4008 --day 2017-07-13</v>
      </c>
      <c r="AF20" s="1"/>
    </row>
    <row r="21" spans="1:32" x14ac:dyDescent="0.25">
      <c r="A21" s="31">
        <v>42929.785601851851</v>
      </c>
      <c r="B21" s="30" t="s">
        <v>628</v>
      </c>
      <c r="C21" s="30" t="s">
        <v>652</v>
      </c>
      <c r="D21" s="30" t="s">
        <v>49</v>
      </c>
      <c r="E21" s="30" t="s">
        <v>356</v>
      </c>
      <c r="F21" s="42">
        <v>0</v>
      </c>
      <c r="G21" s="42">
        <v>282</v>
      </c>
      <c r="H21" s="42">
        <v>64874</v>
      </c>
      <c r="I21" s="42">
        <v>64336</v>
      </c>
      <c r="J21" s="30" t="s">
        <v>357</v>
      </c>
      <c r="K21" s="42">
        <v>64008</v>
      </c>
      <c r="L21" s="131" t="s">
        <v>51</v>
      </c>
      <c r="M21" s="132">
        <f>CONVERT((I21-K21)/10000,"mi","ft")*IF(L21="Increasing Mileposts (1)",-1,1)</f>
        <v>173.18400000000003</v>
      </c>
      <c r="N21" s="133" t="str">
        <f>VLOOKUP(C21,'Trips&amp;Operators'!$C$1:$G$99999,5,FALSE)</f>
        <v>NICHOLSON WESLEY</v>
      </c>
      <c r="O21" s="203" t="s">
        <v>451</v>
      </c>
      <c r="P21" s="134" t="s">
        <v>613</v>
      </c>
      <c r="Q21" s="30"/>
      <c r="R21" s="81" t="str">
        <f>VLOOKUP(C21,'Train Runs'!$A$13:$AE$9932,31,0)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S21" s="84" t="str">
        <f>VLOOKUP(C21,'Train Runs'!$A$13:$AE$9932,22,0)</f>
        <v>https://d0f6bd738d7f1b3e5a7ca70fe4ff75f0.us-east-1.aws.found.io/app/kibana#/discover/Steve-Slow-Train-Analysis-(2080s-and-2083s)?_g=(refreshInterval:(display:Off,pause:!f,section:0,value:0),time:(from:'2017-07-13T17:19:30-0600',mode:absolute,to:'2017-07-13T20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/stypes="*4021*201707140*" /stext=" 00:.+((SYSTEM_STATE.+slice.+state.+changed )|(ment ac)|(multiple cpu faults)|(system.+state.+changed )|(\[timeout)|(PRM\|1\|D)|(kpr)|(kdp)|(train st.+moving)|(\|lc)|(penalty))"</v>
      </c>
      <c r="U21" s="9" t="str">
        <f>MID(B21,13,4)</f>
        <v>4021</v>
      </c>
      <c r="V21" s="31">
        <f>A21-utc_offset/24</f>
        <v>42930.035601851851</v>
      </c>
      <c r="W21" s="45" t="str">
        <f>DetSubdiv(C21)</f>
        <v>EC</v>
      </c>
      <c r="X21" s="22">
        <f>VALUE(LEFT(C21,LEN(C21)-3))</f>
        <v>212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drop","project_id":79,"tracker_id":40,"status_id":1,"priority_id":2,"assigned_to_id":23,"start_date":"2017-07-13","description":"","custom_fields":[{"id":1,"name":"Subdivision","value":"EC"},{"id":4,"name":"Milepost","value":"6.4008"},{"id":17,"name":"Train ID","value":"212-13"},{"id":16,"name":"Locomotive ID","value":"4021"},{"id":130,"name":"Impact","value":""},{"id":150,"name":"Time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/c/Users/stu/AppData/Local/Temp/OnboardLogs/RTDC4021 --include="*4021*201707140*"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"%USERPROFILE%\AppData\Local\Temp\OnboardLogs"\RTDC4021\*4021*201707140* &gt;&gt; 2017-07-13-SliceDisagreementCheck.txt</v>
      </c>
      <c r="AE21" s="145" t="str">
        <f t="shared" si="1"/>
        <v>start /low /b %USERPROFILE%\Documents\GitHub\eaglep3\Utilities\DownloadLogsFromS3.py --loco 4021 --day 2017-07-14</v>
      </c>
      <c r="AF21" s="1"/>
    </row>
    <row r="22" spans="1:32" x14ac:dyDescent="0.25">
      <c r="A22" s="31">
        <v>42929.146747685183</v>
      </c>
      <c r="B22" s="30" t="s">
        <v>448</v>
      </c>
      <c r="C22" s="30" t="s">
        <v>614</v>
      </c>
      <c r="D22" s="30" t="s">
        <v>49</v>
      </c>
      <c r="E22" s="30" t="s">
        <v>356</v>
      </c>
      <c r="F22" s="42">
        <v>0</v>
      </c>
      <c r="G22" s="42">
        <v>428</v>
      </c>
      <c r="H22" s="42">
        <v>66284</v>
      </c>
      <c r="I22" s="42">
        <v>67689</v>
      </c>
      <c r="J22" s="30" t="s">
        <v>357</v>
      </c>
      <c r="K22" s="42">
        <v>68372</v>
      </c>
      <c r="L22" s="131" t="s">
        <v>50</v>
      </c>
      <c r="M22" s="132">
        <f>CONVERT((I22-K22)/10000,"mi","ft")*IF(L22="Increasing Mileposts (1)",-1,1)</f>
        <v>360.62400000000002</v>
      </c>
      <c r="N22" s="133" t="str">
        <f>VLOOKUP(C22,'Trips&amp;Operators'!$C$1:$G$99999,5,FALSE)</f>
        <v>STARKS ANGELINA</v>
      </c>
      <c r="O22" s="203" t="s">
        <v>451</v>
      </c>
      <c r="P22" s="134" t="s">
        <v>1042</v>
      </c>
      <c r="Q22" s="30"/>
      <c r="R22" s="81" t="str">
        <f>VLOOKUP(C22,'Train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22" s="84" t="str">
        <f>VLOOKUP(C22,'Train Runs'!$A$13:$AE$9932,22,0)</f>
        <v>https://d0f6bd738d7f1b3e5a7ca70fe4ff75f0.us-east-1.aws.found.io/app/kibana#/discover/Steve-Slow-Train-Analysis-(2080s-and-2083s)?_g=(refreshInterval:(display:Off,pause:!f,section:0,value:0),time:(from:'2017-07-13T02:00:53-0600',mode:absolute,to:'2017-07-13T05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/stypes="*4062*201707130*" /stext=" 09:.+((SYSTEM_STATE.+slice.+state.+changed )|(ment ac)|(multiple cpu faults)|(system.+state.+changed )|(\[timeout)|(PRM\|1\|D)|(kpr)|(kdp)|(train st.+moving)|(\|lc)|(penalty))"</v>
      </c>
      <c r="U22" s="9" t="str">
        <f>MID(B22,13,4)</f>
        <v>4062</v>
      </c>
      <c r="V22" s="31">
        <f>A22-utc_offset/24</f>
        <v>42929.396747685183</v>
      </c>
      <c r="W22" s="45" t="str">
        <f>DetSubdiv(C22)</f>
        <v>EC</v>
      </c>
      <c r="X22" s="22">
        <f>VALUE(LEFT(C22,LEN(C22)-3))</f>
        <v>101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{"issue":{"subject":"Comm hardware failure at Havana","project_id":79,"tracker_id":40,"status_id":1,"priority_id":2,"assigned_to_id":23,"start_date":"2017-07-13","description":"","custom_fields":[{"id":1,"name":"Subdivision","value":"EC"},{"id":4,"name":"Milepost","value":"6.8372"},{"id":17,"name":"Train ID","value":"101-13"},{"id":16,"name":"Locomotive ID","value":"4062"},{"id":130,"name":"Impact","value":""},{"id":150,"name":"Time of Event (Mountain Time)","value":"03:31:19"},{"id":151,"name":"Denver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/c/Users/stu/AppData/Local/Temp/OnboardLogs/RTDC4062 --include="*4062*201707130*"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"%USERPROFILE%\AppData\Local\Temp\OnboardLogs"\RTDC4062\*4062*201707130* &gt;&gt; 2017-07-13-SliceDisagreementCheck.txt</v>
      </c>
      <c r="AE22" s="145" t="str">
        <f t="shared" si="1"/>
        <v>start /low /b %USERPROFILE%\Documents\GitHub\eaglep3\Utilities\DownloadLogsFromS3.py --loco 4062 --day 2017-07-13</v>
      </c>
      <c r="AF22" s="1"/>
    </row>
    <row r="23" spans="1:32" x14ac:dyDescent="0.25">
      <c r="A23" s="31">
        <v>42929.972094907411</v>
      </c>
      <c r="B23" s="30" t="s">
        <v>448</v>
      </c>
      <c r="C23" s="30" t="s">
        <v>661</v>
      </c>
      <c r="D23" s="30" t="s">
        <v>49</v>
      </c>
      <c r="E23" s="30" t="s">
        <v>497</v>
      </c>
      <c r="F23" s="42">
        <v>0</v>
      </c>
      <c r="G23" s="42">
        <v>687</v>
      </c>
      <c r="H23" s="42">
        <v>100869</v>
      </c>
      <c r="I23" s="42">
        <v>103855</v>
      </c>
      <c r="J23" s="30" t="s">
        <v>498</v>
      </c>
      <c r="K23" s="42">
        <v>103445</v>
      </c>
      <c r="L23" s="131" t="s">
        <v>50</v>
      </c>
      <c r="M23" s="132">
        <f>CONVERT((I23-K23)/10000,"mi","ft")*IF(L23="Increasing Mileposts (1)",-1,1)</f>
        <v>-216.48</v>
      </c>
      <c r="N23" s="133" t="str">
        <f>VLOOKUP(C23,'Trips&amp;Operators'!$C$1:$G$99999,5,FALSE)</f>
        <v>BIRENBAUM THOMAS</v>
      </c>
      <c r="O23" s="203" t="s">
        <v>451</v>
      </c>
      <c r="P23" s="134" t="s">
        <v>613</v>
      </c>
      <c r="Q23" s="30"/>
      <c r="R23" s="81" t="str">
        <f>VLOOKUP(C23,'Train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23" s="84" t="str">
        <f>VLOOKUP(C23,'Train Runs'!$A$13:$AE$9932,22,0)</f>
        <v>https://d0f6bd738d7f1b3e5a7ca70fe4ff75f0.us-east-1.aws.found.io/app/kibana#/discover/Steve-Slow-Train-Analysis-(2080s-and-2083s)?_g=(refreshInterval:(display:Off,pause:!f,section:0,value:0),time:(from:'2017-07-13T21:53:01-0600',mode:absolute,to:'2017-07-14T00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/stypes="*4062*201707140*" /stext=" 05:.+((SYSTEM_STATE.+slice.+state.+changed )|(ment ac)|(multiple cpu faults)|(system.+state.+changed )|(\[timeout)|(PRM\|1\|D)|(kpr)|(kdp)|(train st.+moving)|(\|lc)|(penalty))"</v>
      </c>
      <c r="U23" s="9" t="str">
        <f>MID(B23,13,4)</f>
        <v>4062</v>
      </c>
      <c r="V23" s="31">
        <f>A23-utc_offset/24</f>
        <v>42930.222094907411</v>
      </c>
      <c r="W23" s="45" t="str">
        <f>DetSubdiv(C23)</f>
        <v>EC</v>
      </c>
      <c r="X23" s="22">
        <f>VALUE(LEFT(C23,LEN(C23)-3))</f>
        <v>237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drop","project_id":79,"tracker_id":40,"status_id":1,"priority_id":2,"assigned_to_id":23,"start_date":"2017-07-13","description":"","custom_fields":[{"id":1,"name":"Subdivision","value":"EC"},{"id":4,"name":"Milepost","value":"10.3445"},{"id":17,"name":"Train ID","value":"237-13"},{"id":16,"name":"Locomotive ID","value":"4062"},{"id":130,"name":"Impact","value":""},{"id":150,"name":"Time of Event (Mountain Time)","value":"23:19:49"},{"id":151,"name":"Denver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/c/Users/stu/AppData/Local/Temp/OnboardLogs/RTDC4062 --include="*4062*201707140*"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"%USERPROFILE%\AppData\Local\Temp\OnboardLogs"\RTDC4062\*4062*201707140* &gt;&gt; 2017-07-13-SliceDisagreementCheck.txt</v>
      </c>
      <c r="AE23" s="145" t="str">
        <f t="shared" si="1"/>
        <v>start /low /b %USERPROFILE%\Documents\GitHub\eaglep3\Utilities\DownloadLogsFromS3.py --loco 4062 --day 2017-07-14</v>
      </c>
      <c r="AF23" s="1"/>
    </row>
    <row r="24" spans="1:32" x14ac:dyDescent="0.25">
      <c r="A24" s="31">
        <v>42929.370092592595</v>
      </c>
      <c r="B24" s="30" t="s">
        <v>483</v>
      </c>
      <c r="C24" s="30" t="s">
        <v>624</v>
      </c>
      <c r="D24" s="30" t="s">
        <v>49</v>
      </c>
      <c r="E24" s="30" t="s">
        <v>181</v>
      </c>
      <c r="F24" s="42">
        <v>0</v>
      </c>
      <c r="G24" s="42">
        <v>49</v>
      </c>
      <c r="H24" s="42">
        <v>150</v>
      </c>
      <c r="I24" s="42">
        <v>118</v>
      </c>
      <c r="J24" s="30" t="s">
        <v>182</v>
      </c>
      <c r="K24" s="42">
        <v>1</v>
      </c>
      <c r="L24" s="131" t="s">
        <v>51</v>
      </c>
      <c r="M24" s="132">
        <f>CONVERT((I24-K24)/10000,"mi","ft")*IF(L24="Increasing Mileposts (1)",-1,1)</f>
        <v>61.776000000000003</v>
      </c>
      <c r="N24" s="133" t="str">
        <f>VLOOKUP(C24,'Trips&amp;Operators'!$C$1:$G$99999,5,FALSE)</f>
        <v>YANAI IAN</v>
      </c>
      <c r="O24" s="203" t="s">
        <v>180</v>
      </c>
      <c r="P24" s="134"/>
      <c r="Q24" s="30"/>
      <c r="R24" s="81" t="str">
        <f>VLOOKUP(C24,'Train Runs'!$A$13:$AE$9932,31,0)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S24" s="84" t="str">
        <f>VLOOKUP(C24,'Train Runs'!$A$13:$AE$9932,22,0)</f>
        <v>https://d0f6bd738d7f1b3e5a7ca70fe4ff75f0.us-east-1.aws.found.io/app/kibana#/discover/Steve-Slow-Train-Analysis-(2080s-and-2083s)?_g=(refreshInterval:(display:Off,pause:!f,section:0,value:0),time:(from:'2017-07-13T07:01:50-0600',mode:absolute,to:'2017-07-13T09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/stypes="*4027*201707131*" /stext=" 14:.+((SYSTEM_STATE.+slice.+state.+changed )|(ment ac)|(multiple cpu faults)|(system.+state.+changed )|(\[timeout)|(PRM\|1\|D)|(kpr)|(kdp)|(train st.+moving)|(\|lc)|(penalty))"</v>
      </c>
      <c r="U24" s="9" t="str">
        <f>MID(B24,13,4)</f>
        <v>4027</v>
      </c>
      <c r="V24" s="31">
        <f>A24-utc_offset/24</f>
        <v>42929.620092592595</v>
      </c>
      <c r="W24" s="45" t="str">
        <f>DetSubdiv(C24)</f>
        <v>EC</v>
      </c>
      <c r="X24" s="22">
        <f>VALUE(LEFT(C24,LEN(C24)-3))</f>
        <v>130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{"issue":{"subject":"","project_id":79,"tracker_id":40,"status_id":1,"priority_id":2,"assigned_to_id":23,"start_date":"2017-07-13","description":"","custom_fields":[{"id":1,"name":"Subdivision","value":"EC"},{"id":4,"name":"Milepost","value":"0.0001"},{"id":17,"name":"Train ID","value":"130-13"},{"id":16,"name":"Locomotive ID","value":"4027"},{"id":130,"name":"Impact","value":""},{"id":150,"name":"Time of Event (Mountain Time)","value":"08:52:56"},{"id":151,"name":"Denver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/c/Users/stu/AppData/Local/Temp/OnboardLogs/RTDC4027 --include="*4027*201707131*"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"%USERPROFILE%\AppData\Local\Temp\OnboardLogs"\RTDC4027\*4027*201707131* &gt;&gt; 2017-07-13-SliceDisagreementCheck.txt</v>
      </c>
      <c r="AE24" s="145" t="str">
        <f t="shared" si="1"/>
        <v>start /low /b %USERPROFILE%\Documents\GitHub\eaglep3\Utilities\DownloadLogsFromS3.py --loco 4027 --day 2017-07-13</v>
      </c>
      <c r="AF24" s="1"/>
    </row>
    <row r="25" spans="1:32" x14ac:dyDescent="0.25">
      <c r="A25" s="31">
        <v>42929.578368055554</v>
      </c>
      <c r="B25" s="30" t="s">
        <v>628</v>
      </c>
      <c r="C25" s="30" t="s">
        <v>629</v>
      </c>
      <c r="D25" s="30" t="s">
        <v>49</v>
      </c>
      <c r="E25" s="30" t="s">
        <v>181</v>
      </c>
      <c r="F25" s="42">
        <v>0</v>
      </c>
      <c r="G25" s="42">
        <v>63</v>
      </c>
      <c r="H25" s="42">
        <v>240</v>
      </c>
      <c r="I25" s="42">
        <v>185</v>
      </c>
      <c r="J25" s="30" t="s">
        <v>182</v>
      </c>
      <c r="K25" s="42">
        <v>1</v>
      </c>
      <c r="L25" s="131" t="s">
        <v>51</v>
      </c>
      <c r="M25" s="132">
        <f>CONVERT((I25-K25)/10000,"mi","ft")*IF(L25="Increasing Mileposts (1)",-1,1)</f>
        <v>97.152000000000001</v>
      </c>
      <c r="N25" s="133" t="str">
        <f>VLOOKUP(C25,'Trips&amp;Operators'!$C$1:$G$99999,5,FALSE)</f>
        <v>NICHOLSON WESLEY</v>
      </c>
      <c r="O25" s="203" t="s">
        <v>180</v>
      </c>
      <c r="P25" s="134"/>
      <c r="Q25" s="30"/>
      <c r="R25" s="81" t="str">
        <f>VLOOKUP(C25,'Train Runs'!$A$13:$AE$9932,31,0)</f>
        <v>aws s3 cp s3://rtdc.mdm.uploadarchive.raw/RTDC4021/ "%USERPROFILE%\AppData\Local\Temp\OnboardLogs"\RTDC4021\2017-07-13 --exclude "*" --recursive --include "*20170713*" &amp; "%USERPROFILE%\Documents\GitHub\mrs-test-scripts\Headless Mode &amp; Sideloading\WalkAndUnGZ.bat" "%USERPROFILE%\AppData\Local\Temp\OnboardLogs"\RTDC4021\2017-07-13 &amp; aws s3 cp s3://rtdc.mdm.uploadarchive.raw/RTDC4021/ "%USERPROFILE%\AppData\Local\Temp\OnboardLogs"\RTDC4021\2017-07-14 --exclude "*" --recursive --include "*20170714*" &amp; "%USERPROFILE%\Documents\GitHub\mrs-test-scripts\Headless Mode &amp; Sideloading\WalkAndUnGZ.bat" "%USERPROFILE%\AppData\Local\Temp\OnboardLogs"\RTDC4021\2017-07-14</v>
      </c>
      <c r="S25" s="84" t="str">
        <f>VLOOKUP(C25,'Train Runs'!$A$13:$AE$9932,22,0)</f>
        <v>https://d0f6bd738d7f1b3e5a7ca70fe4ff75f0.us-east-1.aws.found.io/app/kibana#/discover/Steve-Slow-Train-Analysis-(2080s-and-2083s)?_g=(refreshInterval:(display:Off,pause:!f,section:0,value:0),time:(from:'2017-07-13T12:04:53-0600',mode:absolute,to:'2017-07-13T14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/stypes="*4021*201707131*" /stext=" 19:.+((SYSTEM_STATE.+slice.+state.+changed )|(ment ac)|(multiple cpu faults)|(system.+state.+changed )|(\[timeout)|(PRM\|1\|D)|(kpr)|(kdp)|(train st.+moving)|(\|lc)|(penalty))"</v>
      </c>
      <c r="U25" s="9" t="str">
        <f>MID(B25,13,4)</f>
        <v>4021</v>
      </c>
      <c r="V25" s="31">
        <f>A25-utc_offset/24</f>
        <v>42929.828368055554</v>
      </c>
      <c r="W25" s="45" t="str">
        <f>DetSubdiv(C25)</f>
        <v>EC</v>
      </c>
      <c r="X25" s="22">
        <f>VALUE(LEFT(C25,LEN(C25)-3))</f>
        <v>170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{"issue":{"subject":"","project_id":79,"tracker_id":40,"status_id":1,"priority_id":2,"assigned_to_id":23,"start_date":"2017-07-13","description":"","custom_fields":[{"id":1,"name":"Subdivision","value":"EC"},{"id":4,"name":"Milepost","value":"0.0001"},{"id":17,"name":"Train ID","value":"170-13"},{"id":16,"name":"Locomotive ID","value":"4021"},{"id":130,"name":"Impact","value":""},{"id":150,"name":"Time of Event (Mountain Time)","value":"13:52:51"},{"id":151,"name":"Denver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/c/Users/stu/AppData/Local/Temp/OnboardLogs/RTDC4021 --include="*4021*201707131*"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"%USERPROFILE%\AppData\Local\Temp\OnboardLogs"\RTDC4021\*4021*201707131* &gt;&gt; 2017-07-13-SliceDisagreementCheck.txt</v>
      </c>
      <c r="AE25" s="145" t="str">
        <f t="shared" si="1"/>
        <v>start /low /b %USERPROFILE%\Documents\GitHub\eaglep3\Utilities\DownloadLogsFromS3.py --loco 4021 --day 2017-07-13</v>
      </c>
      <c r="AF25" s="1"/>
    </row>
    <row r="26" spans="1:32" x14ac:dyDescent="0.25">
      <c r="A26" s="31">
        <v>42929.598483796297</v>
      </c>
      <c r="B26" s="30" t="s">
        <v>422</v>
      </c>
      <c r="C26" s="30" t="s">
        <v>634</v>
      </c>
      <c r="D26" s="30" t="s">
        <v>49</v>
      </c>
      <c r="E26" s="30" t="s">
        <v>181</v>
      </c>
      <c r="F26" s="42">
        <v>0</v>
      </c>
      <c r="G26" s="42">
        <v>45</v>
      </c>
      <c r="H26" s="42">
        <v>141</v>
      </c>
      <c r="I26" s="42">
        <v>118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61.776000000000003</v>
      </c>
      <c r="N26" s="133" t="str">
        <f>VLOOKUP(C26,'Trips&amp;Operators'!$C$1:$G$99999,5,FALSE)</f>
        <v>ANDERS STEVEN</v>
      </c>
      <c r="O26" s="203" t="s">
        <v>180</v>
      </c>
      <c r="P26" s="134"/>
      <c r="Q26" s="30"/>
      <c r="R26" s="81" t="str">
        <f>VLOOKUP(C26,'Train Runs'!$A$13:$AE$9932,31,0)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S26" s="84" t="str">
        <f>VLOOKUP(C26,'Train Runs'!$A$13:$AE$9932,22,0)</f>
        <v>https://d0f6bd738d7f1b3e5a7ca70fe4ff75f0.us-east-1.aws.found.io/app/kibana#/discover/Steve-Slow-Train-Analysis-(2080s-and-2083s)?_g=(refreshInterval:(display:Off,pause:!f,section:0,value:0),time:(from:'2017-07-13T12:23:49-0600',mode:absolute,to:'2017-07-13T15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/stypes="*4007*201707132*" /stext=" 20:.+((SYSTEM_STATE.+slice.+state.+changed )|(ment ac)|(multiple cpu faults)|(system.+state.+changed )|(\[timeout)|(PRM\|1\|D)|(kpr)|(kdp)|(train st.+moving)|(\|lc)|(penalty))"</v>
      </c>
      <c r="U26" s="9" t="str">
        <f>MID(B26,13,4)</f>
        <v>4007</v>
      </c>
      <c r="V26" s="31">
        <f>A26-utc_offset/24</f>
        <v>42929.848483796297</v>
      </c>
      <c r="W26" s="45" t="str">
        <f>DetSubdiv(C26)</f>
        <v>EC</v>
      </c>
      <c r="X26" s="22">
        <f>VALUE(LEFT(C26,LEN(C26)-3))</f>
        <v>174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{"issue":{"subject":"","project_id":79,"tracker_id":40,"status_id":1,"priority_id":2,"assigned_to_id":23,"start_date":"2017-07-13","description":"","custom_fields":[{"id":1,"name":"Subdivision","value":"EC"},{"id":4,"name":"Milepost","value":"0.0001"},{"id":17,"name":"Train ID","value":"174-13"},{"id":16,"name":"Locomotive ID","value":"4007"},{"id":130,"name":"Impact","value":""},{"id":150,"name":"Time of Event (Mountain Time)","value":"14:21:49"},{"id":151,"name":"Denver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/c/Users/stu/AppData/Local/Temp/OnboardLogs/RTDC4007 --include="*4007*201707132*"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"%USERPROFILE%\AppData\Local\Temp\OnboardLogs"\RTDC4007\*4007*201707132* &gt;&gt; 2017-07-13-SliceDisagreementCheck.txt</v>
      </c>
      <c r="AE26" s="145" t="str">
        <f t="shared" si="1"/>
        <v>start /low /b %USERPROFILE%\Documents\GitHub\eaglep3\Utilities\DownloadLogsFromS3.py --loco 4007 --day 2017-07-13</v>
      </c>
      <c r="AF26" s="1"/>
    </row>
    <row r="27" spans="1:32" x14ac:dyDescent="0.25">
      <c r="A27" s="31">
        <v>42929.817372685182</v>
      </c>
      <c r="B27" s="30" t="s">
        <v>422</v>
      </c>
      <c r="C27" s="30" t="s">
        <v>653</v>
      </c>
      <c r="D27" s="30" t="s">
        <v>49</v>
      </c>
      <c r="E27" s="30" t="s">
        <v>181</v>
      </c>
      <c r="F27" s="42">
        <v>0</v>
      </c>
      <c r="G27" s="42">
        <v>52</v>
      </c>
      <c r="H27" s="42">
        <v>191</v>
      </c>
      <c r="I27" s="42">
        <v>127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66.528000000000006</v>
      </c>
      <c r="N27" s="133" t="str">
        <f>VLOOKUP(C27,'Trips&amp;Operators'!$C$1:$G$99999,5,FALSE)</f>
        <v>ANDERS STEVEN</v>
      </c>
      <c r="O27" s="203" t="s">
        <v>180</v>
      </c>
      <c r="P27" s="134"/>
      <c r="Q27" s="30"/>
      <c r="R27" s="81" t="str">
        <f>VLOOKUP(C27,'Train Runs'!$A$13:$AE$9932,31,0)</f>
        <v>aws s3 cp s3://rtdc.mdm.uploadarchive.raw/RTDC4007/ "%USERPROFILE%\AppData\Local\Temp\OnboardLogs"\RTDC4007\2017-07-13 --exclude "*" --recursive --include "*20170713*" &amp; "%USERPROFILE%\Documents\GitHub\mrs-test-scripts\Headless Mode &amp; Sideloading\WalkAndUnGZ.bat" "%USERPROFILE%\AppData\Local\Temp\OnboardLogs"\RTDC4007\2017-07-13 &amp; aws s3 cp s3://rtdc.mdm.uploadarchive.raw/RTDC4007/ "%USERPROFILE%\AppData\Local\Temp\OnboardLogs"\RTDC4007\2017-07-14 --exclude "*" --recursive --include "*20170714*" &amp; "%USERPROFILE%\Documents\GitHub\mrs-test-scripts\Headless Mode &amp; Sideloading\WalkAndUnGZ.bat" "%USERPROFILE%\AppData\Local\Temp\OnboardLogs"\RTDC4007\2017-07-14</v>
      </c>
      <c r="S27" s="84" t="str">
        <f>VLOOKUP(C27,'Train Runs'!$A$13:$AE$9932,22,0)</f>
        <v>https://d0f6bd738d7f1b3e5a7ca70fe4ff75f0.us-east-1.aws.found.io/app/kibana#/discover/Steve-Slow-Train-Analysis-(2080s-and-2083s)?_g=(refreshInterval:(display:Off,pause:!f,section:0,value:0),time:(from:'2017-07-13T17:52:37-0600',mode:absolute,to:'2017-07-13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/stypes="*4007*201707140*" /stext=" 01:.+((SYSTEM_STATE.+slice.+state.+changed )|(ment ac)|(multiple cpu faults)|(system.+state.+changed )|(\[timeout)|(PRM\|1\|D)|(kpr)|(kdp)|(train st.+moving)|(\|lc)|(penalty))"</v>
      </c>
      <c r="U27" s="9" t="str">
        <f>MID(B27,13,4)</f>
        <v>4007</v>
      </c>
      <c r="V27" s="31">
        <f>A27-utc_offset/24</f>
        <v>42930.067372685182</v>
      </c>
      <c r="W27" s="45" t="str">
        <f>DetSubdiv(C27)</f>
        <v>EC</v>
      </c>
      <c r="X27" s="22">
        <f>VALUE(LEFT(C27,LEN(C27)-3))</f>
        <v>216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{"issue":{"subject":"","project_id":79,"tracker_id":40,"status_id":1,"priority_id":2,"assigned_to_id":23,"start_date":"2017-07-13","description":"","custom_fields":[{"id":1,"name":"Subdivision","value":"EC"},{"id":4,"name":"Milepost","value":"0.0001"},{"id":17,"name":"Train ID","value":"216-13"},{"id":16,"name":"Locomotive ID","value":"4007"},{"id":130,"name":"Impact","value":""},{"id":150,"name":"Time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/c/Users/stu/AppData/Local/Temp/OnboardLogs/RTDC4007 --include="*4007*201707140*"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"%USERPROFILE%\AppData\Local\Temp\OnboardLogs"\RTDC4007\*4007*201707140* &gt;&gt; 2017-07-13-SliceDisagreementCheck.txt</v>
      </c>
      <c r="AE27" s="145" t="str">
        <f t="shared" si="1"/>
        <v>start /low /b %USERPROFILE%\Documents\GitHub\eaglep3\Utilities\DownloadLogsFromS3.py --loco 4007 --day 2017-07-14</v>
      </c>
      <c r="AF27" s="1"/>
    </row>
    <row r="28" spans="1:32" x14ac:dyDescent="0.25">
      <c r="A28" s="31">
        <v>42929.88071759259</v>
      </c>
      <c r="B28" s="30" t="s">
        <v>483</v>
      </c>
      <c r="C28" s="30" t="s">
        <v>656</v>
      </c>
      <c r="D28" s="30" t="s">
        <v>49</v>
      </c>
      <c r="E28" s="30" t="s">
        <v>181</v>
      </c>
      <c r="F28" s="42">
        <v>0</v>
      </c>
      <c r="G28" s="42">
        <v>33</v>
      </c>
      <c r="H28" s="42">
        <v>167</v>
      </c>
      <c r="I28" s="42">
        <v>138</v>
      </c>
      <c r="J28" s="30" t="s">
        <v>182</v>
      </c>
      <c r="K28" s="42">
        <v>1</v>
      </c>
      <c r="L28" s="131" t="s">
        <v>51</v>
      </c>
      <c r="M28" s="132">
        <f>CONVERT((I28-K28)/10000,"mi","ft")*IF(L28="Increasing Mileposts (1)",-1,1)</f>
        <v>72.335999999999999</v>
      </c>
      <c r="N28" s="133" t="str">
        <f>VLOOKUP(C28,'Trips&amp;Operators'!$C$1:$G$99999,5,FALSE)</f>
        <v>ELBAUM MIKE</v>
      </c>
      <c r="O28" s="203" t="s">
        <v>180</v>
      </c>
      <c r="P28" s="134"/>
      <c r="Q28" s="30"/>
      <c r="R28" s="81" t="str">
        <f>VLOOKUP(C28,'Train Runs'!$A$13:$AE$9932,31,0)</f>
        <v>aws s3 cp s3://rtdc.mdm.uploadarchive.raw/RTDC4027/ "%USERPROFILE%\AppData\Local\Temp\OnboardLogs"\RTDC4027\2017-07-13 --exclude "*" --recursive --include "*20170713*" &amp; "%USERPROFILE%\Documents\GitHub\mrs-test-scripts\Headless Mode &amp; Sideloading\WalkAndUnGZ.bat" "%USERPROFILE%\AppData\Local\Temp\OnboardLogs"\RTDC4027\2017-07-13 &amp; aws s3 cp s3://rtdc.mdm.uploadarchive.raw/RTDC4027/ "%USERPROFILE%\AppData\Local\Temp\OnboardLogs"\RTDC4027\2017-07-14 --exclude "*" --recursive --include "*20170714*" &amp; "%USERPROFILE%\Documents\GitHub\mrs-test-scripts\Headless Mode &amp; Sideloading\WalkAndUnGZ.bat" "%USERPROFILE%\AppData\Local\Temp\OnboardLogs"\RTDC4027\2017-07-14</v>
      </c>
      <c r="S28" s="84" t="str">
        <f>VLOOKUP(C28,'Train Runs'!$A$13:$AE$9932,22,0)</f>
        <v>https://d0f6bd738d7f1b3e5a7ca70fe4ff75f0.us-east-1.aws.found.io/app/kibana#/discover/Steve-Slow-Train-Analysis-(2080s-and-2083s)?_g=(refreshInterval:(display:Off,pause:!f,section:0,value:0),time:(from:'2017-07-13T19:10:37-0600',mode:absolute,to:'2017-07-13T22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/stypes="*4027*201707140*" /stext=" 03:.+((SYSTEM_STATE.+slice.+state.+changed )|(ment ac)|(multiple cpu faults)|(system.+state.+changed )|(\[timeout)|(PRM\|1\|D)|(kpr)|(kdp)|(train st.+moving)|(\|lc)|(penalty))"</v>
      </c>
      <c r="U28" s="9" t="str">
        <f>MID(B28,13,4)</f>
        <v>4027</v>
      </c>
      <c r="V28" s="31">
        <f>A28-utc_offset/24</f>
        <v>42930.13071759259</v>
      </c>
      <c r="W28" s="45" t="str">
        <f>DetSubdiv(C28)</f>
        <v>EC</v>
      </c>
      <c r="X28" s="22">
        <f>VALUE(LEFT(C28,LEN(C28)-3))</f>
        <v>224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{"issue":{"subject":"","project_id":79,"tracker_id":40,"status_id":1,"priority_id":2,"assigned_to_id":23,"start_date":"2017-07-13","description":"","custom_fields":[{"id":1,"name":"Subdivision","value":"EC"},{"id":4,"name":"Milepost","value":"0.0001"},{"id":17,"name":"Train ID","value":"224-13"},{"id":16,"name":"Locomotive ID","value":"4027"},{"id":130,"name":"Impact","value":""},{"id":150,"name":"Time of Event (Mountain Time)","value":"21:08:14"},{"id":151,"name":"Denver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/c/Users/stu/AppData/Local/Temp/OnboardLogs/RTDC4027 --include="*4027*201707140*"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"%USERPROFILE%\AppData\Local\Temp\OnboardLogs"\RTDC4027\*4027*201707140* &gt;&gt; 2017-07-13-SliceDisagreementCheck.txt</v>
      </c>
      <c r="AE28" s="145" t="str">
        <f t="shared" si="1"/>
        <v>start /low /b %USERPROFILE%\Documents\GitHub\eaglep3\Utilities\DownloadLogsFromS3.py --loco 4027 --day 2017-07-14</v>
      </c>
      <c r="AF28" s="1"/>
    </row>
    <row r="29" spans="1:32" x14ac:dyDescent="0.25">
      <c r="A29" s="31">
        <v>42929.587997685187</v>
      </c>
      <c r="B29" s="30" t="s">
        <v>632</v>
      </c>
      <c r="C29" s="30" t="s">
        <v>633</v>
      </c>
      <c r="D29" s="30" t="s">
        <v>96</v>
      </c>
      <c r="E29" s="30" t="s">
        <v>181</v>
      </c>
      <c r="F29" s="42">
        <v>0</v>
      </c>
      <c r="G29" s="42">
        <v>9</v>
      </c>
      <c r="H29" s="42">
        <v>233491</v>
      </c>
      <c r="I29" s="42">
        <v>233492</v>
      </c>
      <c r="J29" s="30" t="s">
        <v>182</v>
      </c>
      <c r="K29" s="42">
        <v>233491</v>
      </c>
      <c r="L29" s="131" t="s">
        <v>50</v>
      </c>
      <c r="M29" s="132">
        <f>CONVERT((I29-K29)/10000,"mi","ft")*IF(L29="Increasing Mileposts (1)",-1,1)</f>
        <v>-0.52800000000000002</v>
      </c>
      <c r="N29" s="133" t="str">
        <f>VLOOKUP(C29,'Trips&amp;Operators'!$C$1:$G$99999,5,FALSE)</f>
        <v>LEVIN SCOTT</v>
      </c>
      <c r="O29" s="203" t="s">
        <v>180</v>
      </c>
      <c r="P29" s="134"/>
      <c r="Q29" s="30"/>
      <c r="R29" s="81" t="str">
        <f>VLOOKUP(C29,'Train Runs'!$A$13:$AE$9932,31,0)</f>
        <v>aws s3 cp s3://rtdc.mdm.uploadarchive.raw/RTDC4012/ "%USERPROFILE%\AppData\Local\Temp\OnboardLogs"\RTDC4012\2017-07-13 --exclude "*" --recursive --include "*20170713*" &amp; "%USERPROFILE%\Documents\GitHub\mrs-test-scripts\Headless Mode &amp; Sideloading\WalkAndUnGZ.bat" "%USERPROFILE%\AppData\Local\Temp\OnboardLogs"\RTDC4012\2017-07-13 &amp; aws s3 cp s3://rtdc.mdm.uploadarchive.raw/RTDC4012/ "%USERPROFILE%\AppData\Local\Temp\OnboardLogs"\RTDC4012\2017-07-14 --exclude "*" --recursive --include "*20170714*" &amp; "%USERPROFILE%\Documents\GitHub\mrs-test-scripts\Headless Mode &amp; Sideloading\WalkAndUnGZ.bat" "%USERPROFILE%\AppData\Local\Temp\OnboardLogs"\RTDC4012\2017-07-14</v>
      </c>
      <c r="S29" s="84" t="str">
        <f>VLOOKUP(C29,'Train Runs'!$A$13:$AE$9932,22,0)</f>
        <v>https://d0f6bd738d7f1b3e5a7ca70fe4ff75f0.us-east-1.aws.found.io/app/kibana#/discover/Steve-Slow-Train-Analysis-(2080s-and-2083s)?_g=(refreshInterval:(display:Off,pause:!f,section:0,value:0),time:(from:'2017-07-13T12:22:33-0600',mode:absolute,to:'2017-07-13T15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/stypes="*4012*201707132*" /stext=" 20:.+((SYSTEM_STATE.+slice.+state.+changed )|(ment ac)|(multiple cpu faults)|(system.+state.+changed )|(\[timeout)|(PRM\|1\|D)|(kpr)|(kdp)|(train st.+moving)|(\|lc)|(penalty))"</v>
      </c>
      <c r="U29" s="9" t="str">
        <f>MID(B29,13,4)</f>
        <v>4012</v>
      </c>
      <c r="V29" s="31">
        <f>A29-utc_offset/24</f>
        <v>42929.837997685187</v>
      </c>
      <c r="W29" s="45" t="str">
        <f>DetSubdiv(C29)</f>
        <v>EC</v>
      </c>
      <c r="X29" s="22">
        <f>VALUE(LEFT(C29,LEN(C29)-3))</f>
        <v>179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ID","value":"179-13"},{"id":16,"name":"Locomotive ID","value":"4012"},{"id":130,"name":"Impact","value":""},{"id":150,"name":"Time of Event (Mountain Time)","value":"14:06:43"},{"id":151,"name":"Denver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/c/Users/stu/AppData/Local/Temp/OnboardLogs/RTDC4012 --include="*4012*201707132*"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"%USERPROFILE%\AppData\Local\Temp\OnboardLogs"\RTDC4012\*4012*201707132* &gt;&gt; 2017-07-13-SliceDisagreementCheck.txt</v>
      </c>
      <c r="AE29" s="145" t="str">
        <f t="shared" si="1"/>
        <v>start /low /b %USERPROFILE%\Documents\GitHub\eaglep3\Utilities\DownloadLogsFromS3.py --loco 4012 --day 2017-07-13</v>
      </c>
      <c r="AF29" s="1"/>
    </row>
    <row r="30" spans="1:32" s="20" customFormat="1" x14ac:dyDescent="0.25">
      <c r="A30" s="31">
        <v>42929.619837962964</v>
      </c>
      <c r="B30" s="30" t="s">
        <v>336</v>
      </c>
      <c r="C30" s="30" t="s">
        <v>640</v>
      </c>
      <c r="D30" s="30" t="s">
        <v>49</v>
      </c>
      <c r="E30" s="30" t="s">
        <v>181</v>
      </c>
      <c r="F30" s="42">
        <v>0</v>
      </c>
      <c r="G30" s="42">
        <v>50</v>
      </c>
      <c r="H30" s="42">
        <v>233347</v>
      </c>
      <c r="I30" s="42">
        <v>233393</v>
      </c>
      <c r="J30" s="30" t="s">
        <v>182</v>
      </c>
      <c r="K30" s="42">
        <v>233491</v>
      </c>
      <c r="L30" s="131" t="s">
        <v>50</v>
      </c>
      <c r="M30" s="132">
        <f>CONVERT((I30-K30)/10000,"mi","ft")*IF(L30="Increasing Mileposts (1)",-1,1)</f>
        <v>51.744</v>
      </c>
      <c r="N30" s="133" t="str">
        <f>VLOOKUP(C30,'Trips&amp;Operators'!$C$1:$G$99999,5,FALSE)</f>
        <v>SULLIVAN BRANDON</v>
      </c>
      <c r="O30" s="203" t="s">
        <v>180</v>
      </c>
      <c r="P30" s="134"/>
      <c r="Q30" s="30"/>
      <c r="R30" s="81" t="str">
        <f>VLOOKUP(C30,'Train Runs'!$A$13:$AE$9932,31,0)</f>
        <v>aws s3 cp s3://rtdc.mdm.uploadarchive.raw/RTDC4028/ "%USERPROFILE%\AppData\Local\Temp\OnboardLogs"\RTDC4028\2017-07-13 --exclude "*" --recursive --include "*20170713*" &amp; "%USERPROFILE%\Documents\GitHub\mrs-test-scripts\Headless Mode &amp; Sideloading\WalkAndUnGZ.bat" "%USERPROFILE%\AppData\Local\Temp\OnboardLogs"\RTDC4028\2017-07-13 &amp; aws s3 cp s3://rtdc.mdm.uploadarchive.raw/RTDC4028/ "%USERPROFILE%\AppData\Local\Temp\OnboardLogs"\RTDC4028\2017-07-14 --exclude "*" --recursive --include "*20170714*" &amp; "%USERPROFILE%\Documents\GitHub\mrs-test-scripts\Headless Mode &amp; Sideloading\WalkAndUnGZ.bat" "%USERPROFILE%\AppData\Local\Temp\OnboardLogs"\RTDC4028\2017-07-14</v>
      </c>
      <c r="S30" s="84" t="str">
        <f>VLOOKUP(C30,'Train Runs'!$A$13:$AE$9932,22,0)</f>
        <v>https://d0f6bd738d7f1b3e5a7ca70fe4ff75f0.us-east-1.aws.found.io/app/kibana#/discover/Steve-Slow-Train-Analysis-(2080s-and-2083s)?_g=(refreshInterval:(display:Off,pause:!f,section:0,value:0),time:(from:'2017-07-13T13:10:22-0600',mode:absolute,to:'2017-07-13T15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/stypes="*4028*201707132*" /stext=" 20:.+((SYSTEM_STATE.+slice.+state.+changed )|(ment ac)|(multiple cpu faults)|(system.+state.+changed )|(\[timeout)|(PRM\|1\|D)|(kpr)|(kdp)|(train st.+moving)|(\|lc)|(penalty))"</v>
      </c>
      <c r="U30" s="9" t="str">
        <f>MID(B30,13,4)</f>
        <v>4028</v>
      </c>
      <c r="V30" s="31">
        <f>A30-utc_offset/24</f>
        <v>42929.869837962964</v>
      </c>
      <c r="W30" s="45" t="str">
        <f>DetSubdiv(C30)</f>
        <v>EC</v>
      </c>
      <c r="X30" s="22">
        <f>VALUE(LEFT(C30,LEN(C30)-3))</f>
        <v>185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ID","value":"185-13"},{"id":16,"name":"Locomotive ID","value":"4028"},{"id":130,"name":"Impact","value":""},{"id":150,"name":"Time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/c/Users/stu/AppData/Local/Temp/OnboardLogs/RTDC4028 --include="*4028*201707132*"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"%USERPROFILE%\AppData\Local\Temp\OnboardLogs"\RTDC4028\*4028*201707132* &gt;&gt; 2017-07-13-SliceDisagreementCheck.txt</v>
      </c>
      <c r="AE30" s="145" t="str">
        <f t="shared" si="1"/>
        <v>start /low /b %USERPROFILE%\Documents\GitHub\eaglep3\Utilities\DownloadLogsFromS3.py --loco 4028 --day 2017-07-13</v>
      </c>
      <c r="AF30" s="1"/>
    </row>
    <row r="31" spans="1:32" x14ac:dyDescent="0.25">
      <c r="A31" s="31">
        <v>42929.650266203702</v>
      </c>
      <c r="B31" s="30" t="s">
        <v>367</v>
      </c>
      <c r="C31" s="30" t="s">
        <v>642</v>
      </c>
      <c r="D31" s="30" t="s">
        <v>49</v>
      </c>
      <c r="E31" s="30" t="s">
        <v>181</v>
      </c>
      <c r="F31" s="42">
        <v>0</v>
      </c>
      <c r="G31" s="42">
        <v>64</v>
      </c>
      <c r="H31" s="42">
        <v>233344</v>
      </c>
      <c r="I31" s="42">
        <v>233370</v>
      </c>
      <c r="J31" s="30" t="s">
        <v>182</v>
      </c>
      <c r="K31" s="42">
        <v>233491</v>
      </c>
      <c r="L31" s="131" t="s">
        <v>50</v>
      </c>
      <c r="M31" s="132">
        <f>CONVERT((I31-K31)/10000,"mi","ft")*IF(L31="Increasing Mileposts (1)",-1,1)</f>
        <v>63.887999999999998</v>
      </c>
      <c r="N31" s="133" t="str">
        <f>VLOOKUP(C31,'Trips&amp;Operators'!$C$1:$G$99999,5,FALSE)</f>
        <v>ROMERO CHAD</v>
      </c>
      <c r="O31" s="203" t="s">
        <v>180</v>
      </c>
      <c r="P31" s="134"/>
      <c r="Q31" s="30"/>
      <c r="R31" s="81" t="str">
        <f>VLOOKUP(C31,'Train Runs'!$A$13:$AE$9932,31,0)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S31" s="84" t="str">
        <f>VLOOKUP(C31,'Train Runs'!$A$13:$AE$9932,22,0)</f>
        <v>https://d0f6bd738d7f1b3e5a7ca70fe4ff75f0.us-east-1.aws.found.io/app/kibana#/discover/Steve-Slow-Train-Analysis-(2080s-and-2083s)?_g=(refreshInterval:(display:Off,pause:!f,section:0,value:0),time:(from:'2017-07-13T13:51:29-0600',mode:absolute,to:'2017-07-13T16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/stypes="*4014*201707132*" /stext=" 21:.+((SYSTEM_STATE.+slice.+state.+changed )|(ment ac)|(multiple cpu faults)|(system.+state.+changed )|(\[timeout)|(PRM\|1\|D)|(kpr)|(kdp)|(train st.+moving)|(\|lc)|(penalty))"</v>
      </c>
      <c r="U31" s="9" t="str">
        <f>MID(B31,13,4)</f>
        <v>4014</v>
      </c>
      <c r="V31" s="31">
        <f>A31-utc_offset/24</f>
        <v>42929.900266203702</v>
      </c>
      <c r="W31" s="45" t="str">
        <f>DetSubdiv(C31)</f>
        <v>EC</v>
      </c>
      <c r="X31" s="22">
        <f>VALUE(LEFT(C31,LEN(C31)-3))</f>
        <v>191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ID","value":"191-13"},{"id":16,"name":"Locomotive ID","value":"4014"},{"id":130,"name":"Impact","value":""},{"id":150,"name":"Time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/c/Users/stu/AppData/Local/Temp/OnboardLogs/RTDC4014 --include="*4014*201707132*"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"%USERPROFILE%\AppData\Local\Temp\OnboardLogs"\RTDC4014\*4014*201707132* &gt;&gt; 2017-07-13-SliceDisagreementCheck.txt</v>
      </c>
      <c r="AE31" s="145" t="str">
        <f t="shared" si="1"/>
        <v>start /low /b %USERPROFILE%\Documents\GitHub\eaglep3\Utilities\DownloadLogsFromS3.py --loco 4014 --day 2017-07-13</v>
      </c>
      <c r="AF31" s="1"/>
    </row>
    <row r="32" spans="1:32" x14ac:dyDescent="0.25">
      <c r="A32" s="31">
        <v>42929.670706018522</v>
      </c>
      <c r="B32" s="30" t="s">
        <v>448</v>
      </c>
      <c r="C32" s="30" t="s">
        <v>643</v>
      </c>
      <c r="D32" s="30" t="s">
        <v>49</v>
      </c>
      <c r="E32" s="30" t="s">
        <v>181</v>
      </c>
      <c r="F32" s="42">
        <v>0</v>
      </c>
      <c r="G32" s="42">
        <v>31</v>
      </c>
      <c r="H32" s="42">
        <v>233414</v>
      </c>
      <c r="I32" s="42">
        <v>233434</v>
      </c>
      <c r="J32" s="30" t="s">
        <v>182</v>
      </c>
      <c r="K32" s="42">
        <v>233491</v>
      </c>
      <c r="L32" s="131" t="s">
        <v>50</v>
      </c>
      <c r="M32" s="132">
        <f>CONVERT((I32-K32)/10000,"mi","ft")*IF(L32="Increasing Mileposts (1)",-1,1)</f>
        <v>30.096</v>
      </c>
      <c r="N32" s="133" t="str">
        <f>VLOOKUP(C32,'Trips&amp;Operators'!$C$1:$G$99999,5,FALSE)</f>
        <v>DELGADO DIANAH</v>
      </c>
      <c r="O32" s="203" t="s">
        <v>180</v>
      </c>
      <c r="P32" s="134"/>
      <c r="Q32" s="30"/>
      <c r="R32" s="81" t="str">
        <f>VLOOKUP(C32,'Train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32" s="84" t="str">
        <f>VLOOKUP(C32,'Train Runs'!$A$13:$AE$9932,22,0)</f>
        <v>https://d0f6bd738d7f1b3e5a7ca70fe4ff75f0.us-east-1.aws.found.io/app/kibana#/discover/Steve-Slow-Train-Analysis-(2080s-and-2083s)?_g=(refreshInterval:(display:Off,pause:!f,section:0,value:0),time:(from:'2017-07-13T14:24:26-0600',mode:absolute,to:'2017-07-13T17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/stypes="*4062*201707132*" /stext=" 22:.+((SYSTEM_STATE.+slice.+state.+changed )|(ment ac)|(multiple cpu faults)|(system.+state.+changed )|(\[timeout)|(PRM\|1\|D)|(kpr)|(kdp)|(train st.+moving)|(\|lc)|(penalty))"</v>
      </c>
      <c r="U32" s="9" t="str">
        <f>MID(B32,13,4)</f>
        <v>4062</v>
      </c>
      <c r="V32" s="31">
        <f>A32-utc_offset/24</f>
        <v>42929.920706018522</v>
      </c>
      <c r="W32" s="45" t="str">
        <f>DetSubdiv(C32)</f>
        <v>EC</v>
      </c>
      <c r="X32" s="22">
        <f>VALUE(LEFT(C32,LEN(C32)-3))</f>
        <v>195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ID","value":"195-13"},{"id":16,"name":"Locomotive ID","value":"4062"},{"id":130,"name":"Impact","value":""},{"id":150,"name":"Time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/c/Users/stu/AppData/Local/Temp/OnboardLogs/RTDC4062 --include="*4062*201707132*"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"%USERPROFILE%\AppData\Local\Temp\OnboardLogs"\RTDC4062\*4062*201707132* &gt;&gt; 2017-07-13-SliceDisagreementCheck.txt</v>
      </c>
      <c r="AE32" s="145" t="str">
        <f t="shared" si="1"/>
        <v>start /low /b %USERPROFILE%\Documents\GitHub\eaglep3\Utilities\DownloadLogsFromS3.py --loco 4062 --day 2017-07-13</v>
      </c>
      <c r="AF32" s="1"/>
    </row>
    <row r="33" spans="1:32" x14ac:dyDescent="0.25">
      <c r="A33" s="31">
        <v>42929.724166666667</v>
      </c>
      <c r="B33" s="30" t="s">
        <v>367</v>
      </c>
      <c r="C33" s="30" t="s">
        <v>648</v>
      </c>
      <c r="D33" s="30" t="s">
        <v>96</v>
      </c>
      <c r="E33" s="30" t="s">
        <v>181</v>
      </c>
      <c r="F33" s="42">
        <v>0</v>
      </c>
      <c r="G33" s="42">
        <v>2</v>
      </c>
      <c r="H33" s="42">
        <v>233491</v>
      </c>
      <c r="I33" s="42">
        <v>233491</v>
      </c>
      <c r="J33" s="30" t="s">
        <v>182</v>
      </c>
      <c r="K33" s="42">
        <v>233491</v>
      </c>
      <c r="L33" s="131" t="s">
        <v>50</v>
      </c>
      <c r="M33" s="132">
        <f>CONVERT((I33-K33)/10000,"mi","ft")*IF(L33="Increasing Mileposts (1)",-1,1)</f>
        <v>0</v>
      </c>
      <c r="N33" s="133" t="str">
        <f>VLOOKUP(C33,'Trips&amp;Operators'!$C$1:$G$99999,5,FALSE)</f>
        <v>ROMERO CHAD</v>
      </c>
      <c r="O33" s="203" t="s">
        <v>180</v>
      </c>
      <c r="P33" s="134"/>
      <c r="Q33" s="30"/>
      <c r="R33" s="81" t="str">
        <f>VLOOKUP(C33,'Train Runs'!$A$13:$AE$9932,31,0)</f>
        <v>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 &amp; 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</v>
      </c>
      <c r="S33" s="84" t="str">
        <f>VLOOKUP(C33,'Train Runs'!$A$13:$AE$9932,22,0)</f>
        <v>https://d0f6bd738d7f1b3e5a7ca70fe4ff75f0.us-east-1.aws.found.io/app/kibana#/discover/Steve-Slow-Train-Analysis-(2080s-and-2083s)?_g=(refreshInterval:(display:Off,pause:!f,section:0,value:0),time:(from:'2017-07-13T15:38:20-0600',mode:absolute,to:'2017-07-13T18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/stypes="*4014*201707132*" /stext=" 23:.+((SYSTEM_STATE.+slice.+state.+changed )|(ment ac)|(multiple cpu faults)|(system.+state.+changed )|(\[timeout)|(PRM\|1\|D)|(kpr)|(kdp)|(train st.+moving)|(\|lc)|(penalty))"</v>
      </c>
      <c r="U33" s="9" t="str">
        <f>MID(B33,13,4)</f>
        <v>4014</v>
      </c>
      <c r="V33" s="31">
        <f>A33-utc_offset/24</f>
        <v>42929.974166666667</v>
      </c>
      <c r="W33" s="45" t="str">
        <f>DetSubdiv(C33)</f>
        <v>EC</v>
      </c>
      <c r="X33" s="22">
        <f>VALUE(LEFT(C33,LEN(C33)-3))</f>
        <v>205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ID","value":"205-13"},{"id":16,"name":"Locomotive ID","value":"4014"},{"id":130,"name":"Impact","value":""},{"id":150,"name":"Time of Event (Mountain Time)","value":"17:22:48"},{"id":151,"name":"Denver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/c/Users/stu/AppData/Local/Temp/OnboardLogs/RTDC4014 --include="*4014*201707132*"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"%USERPROFILE%\AppData\Local\Temp\OnboardLogs"\RTDC4014\*4014*201707132* &gt;&gt; 2017-07-13-SliceDisagreementCheck.txt</v>
      </c>
      <c r="AE33" s="145" t="str">
        <f t="shared" si="1"/>
        <v>start /low /b %USERPROFILE%\Documents\GitHub\eaglep3\Utilities\DownloadLogsFromS3.py --loco 4014 --day 2017-07-13</v>
      </c>
      <c r="AF33" s="1"/>
    </row>
    <row r="34" spans="1:32" x14ac:dyDescent="0.25">
      <c r="A34" s="31">
        <v>42929.743900462963</v>
      </c>
      <c r="B34" s="30" t="s">
        <v>448</v>
      </c>
      <c r="C34" s="30" t="s">
        <v>649</v>
      </c>
      <c r="D34" s="30" t="s">
        <v>49</v>
      </c>
      <c r="E34" s="30" t="s">
        <v>181</v>
      </c>
      <c r="F34" s="42">
        <v>0</v>
      </c>
      <c r="G34" s="42">
        <v>23</v>
      </c>
      <c r="H34" s="42">
        <v>233422</v>
      </c>
      <c r="I34" s="42">
        <v>233443</v>
      </c>
      <c r="J34" s="30" t="s">
        <v>182</v>
      </c>
      <c r="K34" s="42">
        <v>233491</v>
      </c>
      <c r="L34" s="131" t="s">
        <v>50</v>
      </c>
      <c r="M34" s="132">
        <f>CONVERT((I34-K34)/10000,"mi","ft")*IF(L34="Increasing Mileposts (1)",-1,1)</f>
        <v>25.344000000000001</v>
      </c>
      <c r="N34" s="133" t="str">
        <f>VLOOKUP(C34,'Trips&amp;Operators'!$C$1:$G$99999,5,FALSE)</f>
        <v>DELGADO DIANAH</v>
      </c>
      <c r="O34" s="203" t="s">
        <v>180</v>
      </c>
      <c r="P34" s="134"/>
      <c r="Q34" s="30"/>
      <c r="R34" s="81" t="str">
        <f>VLOOKUP(C34,'Train Runs'!$A$13:$AE$9932,31,0)</f>
        <v>aws s3 cp s3://rtdc.mdm.uploadarchive.raw/RTDC4062/ "%USERPROFILE%\AppData\Local\Temp\OnboardLogs"\RTDC4062\2017-07-13 --exclude "*" --recursive --include "*20170713*" &amp; "%USERPROFILE%\Documents\GitHub\mrs-test-scripts\Headless Mode &amp; Sideloading\WalkAndUnGZ.bat" "%USERPROFILE%\AppData\Local\Temp\OnboardLogs"\RTDC4062\2017-07-13 &amp; aws s3 cp s3://rtdc.mdm.uploadarchive.raw/RTDC4062/ "%USERPROFILE%\AppData\Local\Temp\OnboardLogs"\RTDC4062\2017-07-14 --exclude "*" --recursive --include "*20170714*" &amp; "%USERPROFILE%\Documents\GitHub\mrs-test-scripts\Headless Mode &amp; Sideloading\WalkAndUnGZ.bat" "%USERPROFILE%\AppData\Local\Temp\OnboardLogs"\RTDC4062\2017-07-14</v>
      </c>
      <c r="S34" s="84" t="str">
        <f>VLOOKUP(C34,'Train Runs'!$A$13:$AE$9932,22,0)</f>
        <v>https://d0f6bd738d7f1b3e5a7ca70fe4ff75f0.us-east-1.aws.found.io/app/kibana#/discover/Steve-Slow-Train-Analysis-(2080s-and-2083s)?_g=(refreshInterval:(display:Off,pause:!f,section:0,value:0),time:(from:'2017-07-13T16:09:15-0600',mode:absolute,to:'2017-07-13T18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/stypes="*4062*201707132*" /stext=" 23:.+((SYSTEM_STATE.+slice.+state.+changed )|(ment ac)|(multiple cpu faults)|(system.+state.+changed )|(\[timeout)|(PRM\|1\|D)|(kpr)|(kdp)|(train st.+moving)|(\|lc)|(penalty))"</v>
      </c>
      <c r="U34" s="9" t="str">
        <f>MID(B34,13,4)</f>
        <v>4062</v>
      </c>
      <c r="V34" s="31">
        <f>A34-utc_offset/24</f>
        <v>42929.993900462963</v>
      </c>
      <c r="W34" s="45" t="str">
        <f>DetSubdiv(C34)</f>
        <v>EC</v>
      </c>
      <c r="X34" s="22">
        <f>VALUE(LEFT(C34,LEN(C34)-3))</f>
        <v>209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ID","value":"209-13"},{"id":16,"name":"Locomotive ID","value":"4062"},{"id":130,"name":"Impact","value":""},{"id":150,"name":"Time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/c/Users/stu/AppData/Local/Temp/OnboardLogs/RTDC4062 --include="*4062*201707132*"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"%USERPROFILE%\AppData\Local\Temp\OnboardLogs"\RTDC4062\*4062*201707132* &gt;&gt; 2017-07-13-SliceDisagreementCheck.txt</v>
      </c>
      <c r="AE34" s="145" t="str">
        <f t="shared" si="1"/>
        <v>start /low /b %USERPROFILE%\Documents\GitHub\eaglep3\Utilities\DownloadLogsFromS3.py --loco 4062 --day 2017-07-13</v>
      </c>
      <c r="AF34" s="1"/>
    </row>
    <row r="35" spans="1:32" x14ac:dyDescent="0.25">
      <c r="A35" s="31">
        <v>42929.942372685182</v>
      </c>
      <c r="B35" s="30" t="s">
        <v>352</v>
      </c>
      <c r="C35" s="30" t="s">
        <v>660</v>
      </c>
      <c r="D35" s="30" t="s">
        <v>49</v>
      </c>
      <c r="E35" s="30" t="s">
        <v>181</v>
      </c>
      <c r="F35" s="42">
        <v>0</v>
      </c>
      <c r="G35" s="42">
        <v>108</v>
      </c>
      <c r="H35" s="42">
        <v>233036</v>
      </c>
      <c r="I35" s="42">
        <v>233192</v>
      </c>
      <c r="J35" s="30" t="s">
        <v>182</v>
      </c>
      <c r="K35" s="42">
        <v>233491</v>
      </c>
      <c r="L35" s="131" t="s">
        <v>50</v>
      </c>
      <c r="M35" s="132">
        <f>CONVERT((I35-K35)/10000,"mi","ft")*IF(L35="Increasing Mileposts (1)",-1,1)</f>
        <v>157.87200000000001</v>
      </c>
      <c r="N35" s="133" t="str">
        <f>VLOOKUP(C35,'Trips&amp;Operators'!$C$1:$G$99999,5,FALSE)</f>
        <v>PERKINS DARREN</v>
      </c>
      <c r="O35" s="203" t="s">
        <v>180</v>
      </c>
      <c r="P35" s="134"/>
      <c r="Q35" s="30"/>
      <c r="R35" s="81" t="str">
        <f>VLOOKUP(C35,'Train Runs'!$A$13:$AE$9932,31,0)</f>
        <v>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 &amp; aws s3 cp s3://rtdc.mdm.uploadarchive.raw/RTDC4042/ "%USERPROFILE%\AppData\Local\Temp\OnboardLogs"\RTDC4042\2017-07-14 --exclude "*" --recursive --include "*20170714*" &amp; "%USERPROFILE%\Documents\GitHub\mrs-test-scripts\Headless Mode &amp; Sideloading\WalkAndUnGZ.bat" "%USERPROFILE%\AppData\Local\Temp\OnboardLogs"\RTDC4042\2017-07-14</v>
      </c>
      <c r="S35" s="84" t="str">
        <f>VLOOKUP(C35,'Train Runs'!$A$13:$AE$9932,22,0)</f>
        <v>https://d0f6bd738d7f1b3e5a7ca70fe4ff75f0.us-east-1.aws.found.io/app/kibana#/discover/Steve-Slow-Train-Analysis-(2080s-and-2083s)?_g=(refreshInterval:(display:Off,pause:!f,section:0,value:0),time:(from:'2017-07-13T20:56:19-0600',mode:absolute,to:'2017-07-13T23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/stypes="*4042*201707140*" /stext=" 04:.+((SYSTEM_STATE.+slice.+state.+changed )|(ment ac)|(multiple cpu faults)|(system.+state.+changed )|(\[timeout)|(PRM\|1\|D)|(kpr)|(kdp)|(train st.+moving)|(\|lc)|(penalty))"</v>
      </c>
      <c r="U35" s="9" t="str">
        <f>MID(B35,13,4)</f>
        <v>4042</v>
      </c>
      <c r="V35" s="31">
        <f>A35-utc_offset/24</f>
        <v>42930.192372685182</v>
      </c>
      <c r="W35" s="45" t="str">
        <f>DetSubdiv(C35)</f>
        <v>EC</v>
      </c>
      <c r="X35" s="22">
        <f>VALUE(LEFT(C35,LEN(C35)-3))</f>
        <v>233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{"issue":{"subject":"","project_id":79,"tracker_id":40,"status_id":1,"priority_id":2,"assigned_to_id":23,"start_date":"2017-07-13","description":"","custom_fields":[{"id":1,"name":"Subdivision","value":"EC"},{"id":4,"name":"Milepost","value":"23.3491"},{"id":17,"name":"Train ID","value":"233-13"},{"id":16,"name":"Locomotive ID","value":"4042"},{"id":130,"name":"Impact","value":""},{"id":150,"name":"Time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/c/Users/stu/AppData/Local/Temp/OnboardLogs/RTDC4042 --include="*4042*201707140*"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"%USERPROFILE%\AppData\Local\Temp\OnboardLogs"\RTDC4042\*4042*201707140* &gt;&gt; 2017-07-13-SliceDisagreementCheck.txt</v>
      </c>
      <c r="AE35" s="145" t="str">
        <f t="shared" si="1"/>
        <v>start /low /b %USERPROFILE%\Documents\GitHub\eaglep3\Utilities\DownloadLogsFromS3.py --loco 4042 --day 2017-07-14</v>
      </c>
      <c r="AF35" s="1"/>
    </row>
    <row r="36" spans="1:32" x14ac:dyDescent="0.25">
      <c r="A36" s="31">
        <v>42929.305092592593</v>
      </c>
      <c r="B36" s="30" t="s">
        <v>506</v>
      </c>
      <c r="C36" s="30" t="s">
        <v>622</v>
      </c>
      <c r="D36" s="30" t="s">
        <v>96</v>
      </c>
      <c r="E36" s="30" t="s">
        <v>197</v>
      </c>
      <c r="F36" s="42">
        <v>300</v>
      </c>
      <c r="G36" s="42">
        <v>355</v>
      </c>
      <c r="H36" s="42">
        <v>21369</v>
      </c>
      <c r="I36" s="42">
        <v>20651</v>
      </c>
      <c r="J36" s="30" t="s">
        <v>198</v>
      </c>
      <c r="K36" s="42">
        <v>23561</v>
      </c>
      <c r="L36" s="131" t="s">
        <v>51</v>
      </c>
      <c r="M36" s="132">
        <f>CONVERT((I36-K36)/10000,"mi","ft")*IF(L36="Increasing Mileposts (1)",-1,1)</f>
        <v>-1536.48</v>
      </c>
      <c r="N36" s="133" t="str">
        <f>VLOOKUP(C36,'Trips&amp;Operators'!$C$1:$G$99999,5,FALSE)</f>
        <v>DAVIS WENDY</v>
      </c>
      <c r="O36" s="203" t="s">
        <v>180</v>
      </c>
      <c r="P36" s="134"/>
      <c r="Q36" s="30"/>
      <c r="R36" s="81" t="str">
        <f>VLOOKUP(C36,'Train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36" s="84" t="str">
        <f>VLOOKUP(C36,'Train Runs'!$A$13:$AE$9932,22,0)</f>
        <v>https://d0f6bd738d7f1b3e5a7ca70fe4ff75f0.us-east-1.aws.found.io/app/kibana#/discover/Steve-Slow-Train-Analysis-(2080s-and-2083s)?_g=(refreshInterval:(display:Off,pause:!f,section:0,value:0),time:(from:'2017-07-13T06:07:07-0600',mode:absolute,to:'2017-07-13T08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/stypes="*4015*201707131*" /stext=" 13:.+((SYSTEM_STATE.+slice.+state.+changed )|(ment ac)|(multiple cpu faults)|(system.+state.+changed )|(\[timeout)|(PRM\|1\|D)|(kpr)|(kdp)|(train st.+moving)|(\|lc)|(penalty))"</v>
      </c>
      <c r="U36" s="9" t="str">
        <f>MID(B36,13,4)</f>
        <v>4015</v>
      </c>
      <c r="V36" s="31">
        <f>A36-utc_offset/24</f>
        <v>42929.555092592593</v>
      </c>
      <c r="W36" s="45" t="str">
        <f>DetSubdiv(C36)</f>
        <v>NW</v>
      </c>
      <c r="X36" s="22">
        <f>VALUE(LEFT(C36,LEN(C36)-3))</f>
        <v>806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{"issue":{"subject":"","project_id":79,"tracker_id":40,"status_id":1,"priority_id":2,"assigned_to_id":23,"start_date":"2017-07-13","description":"","custom_fields":[{"id":1,"name":"Subdivision","value":"NW"},{"id":4,"name":"Milepost","value":"2.3561"},{"id":17,"name":"Train ID","value":"806-13"},{"id":16,"name":"Locomotive ID","value":"4015"},{"id":130,"name":"Impact","value":""},{"id":150,"name":"Time of Event (Mountain Time)","value":"07:19:20"},{"id":151,"name":"Denver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/c/Users/stu/AppData/Local/Temp/OnboardLogs/RTDC4015 --include="*4015*201707131*"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"%USERPROFILE%\AppData\Local\Temp\OnboardLogs"\RTDC4015\*4015*201707131* &gt;&gt; 2017-07-13-SliceDisagreementCheck.txt</v>
      </c>
      <c r="AE36" s="145" t="str">
        <f t="shared" si="1"/>
        <v>start /low /b %USERPROFILE%\Documents\GitHub\eaglep3\Utilities\DownloadLogsFromS3.py --loco 4015 --day 2017-07-13</v>
      </c>
      <c r="AF36" s="1"/>
    </row>
    <row r="37" spans="1:32" x14ac:dyDescent="0.25">
      <c r="A37" s="31">
        <v>42929.721168981479</v>
      </c>
      <c r="B37" s="30" t="s">
        <v>506</v>
      </c>
      <c r="C37" s="30" t="s">
        <v>647</v>
      </c>
      <c r="D37" s="30" t="s">
        <v>49</v>
      </c>
      <c r="E37" s="30" t="s">
        <v>197</v>
      </c>
      <c r="F37" s="42">
        <v>300</v>
      </c>
      <c r="G37" s="42">
        <v>601</v>
      </c>
      <c r="H37" s="42">
        <v>26889</v>
      </c>
      <c r="I37" s="42">
        <v>24460</v>
      </c>
      <c r="J37" s="30" t="s">
        <v>198</v>
      </c>
      <c r="K37" s="42">
        <v>23561</v>
      </c>
      <c r="L37" s="131" t="s">
        <v>51</v>
      </c>
      <c r="M37" s="132">
        <f>CONVERT((I37-K37)/10000,"mi","ft")*IF(L37="Increasing Mileposts (1)",-1,1)</f>
        <v>474.67200000000003</v>
      </c>
      <c r="N37" s="133" t="str">
        <f>VLOOKUP(C37,'Trips&amp;Operators'!$C$1:$G$99999,5,FALSE)</f>
        <v>MAGEE KENYA</v>
      </c>
      <c r="O37" s="203" t="s">
        <v>180</v>
      </c>
      <c r="P37" s="134"/>
      <c r="Q37" s="30"/>
      <c r="R37" s="81" t="str">
        <f>VLOOKUP(C37,'Train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37" s="84" t="str">
        <f>VLOOKUP(C37,'Train Runs'!$A$13:$AE$9932,22,0)</f>
        <v>https://d0f6bd738d7f1b3e5a7ca70fe4ff75f0.us-east-1.aws.found.io/app/kibana#/discover/Steve-Slow-Train-Analysis-(2080s-and-2083s)?_g=(refreshInterval:(display:Off,pause:!f,section:0,value:0),time:(from:'2017-07-13T16:07:34-0600',mode:absolute,to:'2017-07-13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/stypes="*4015*201707132*" /stext=" 23:.+((SYSTEM_STATE.+slice.+state.+changed )|(ment ac)|(multiple cpu faults)|(system.+state.+changed )|(\[timeout)|(PRM\|1\|D)|(kpr)|(kdp)|(train st.+moving)|(\|lc)|(penalty))"</v>
      </c>
      <c r="U37" s="9" t="str">
        <f>MID(B37,13,4)</f>
        <v>4015</v>
      </c>
      <c r="V37" s="31">
        <f>A37-utc_offset/24</f>
        <v>42929.971168981479</v>
      </c>
      <c r="W37" s="45" t="str">
        <f>DetSubdiv(C37)</f>
        <v>NW</v>
      </c>
      <c r="X37" s="22">
        <f>VALUE(LEFT(C37,LEN(C37)-3))</f>
        <v>832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{"issue":{"subject":"","project_id":79,"tracker_id":40,"status_id":1,"priority_id":2,"assigned_to_id":23,"start_date":"2017-07-13","description":"","custom_fields":[{"id":1,"name":"Subdivision","value":"NW"},{"id":4,"name":"Milepost","value":"2.3561"},{"id":17,"name":"Train ID","value":"832-13"},{"id":16,"name":"Locomotive ID","value":"4015"},{"id":130,"name":"Impact","value":""},{"id":150,"name":"Time of Event (Mountain Time)","value":"17:18:29"},{"id":151,"name":"Denver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/c/Users/stu/AppData/Local/Temp/OnboardLogs/RTDC4015 --include="*4015*201707132*"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"%USERPROFILE%\AppData\Local\Temp\OnboardLogs"\RTDC4015\*4015*201707132* &gt;&gt; 2017-07-13-SliceDisagreementCheck.txt</v>
      </c>
      <c r="AE37" s="145" t="str">
        <f t="shared" si="1"/>
        <v>start /low /b %USERPROFILE%\Documents\GitHub\eaglep3\Utilities\DownloadLogsFromS3.py --loco 4015 --day 2017-07-13</v>
      </c>
      <c r="AF37" s="1"/>
    </row>
    <row r="38" spans="1:32" x14ac:dyDescent="0.25">
      <c r="A38" s="31">
        <v>42929.687835648147</v>
      </c>
      <c r="B38" s="30" t="s">
        <v>635</v>
      </c>
      <c r="C38" s="30" t="s">
        <v>644</v>
      </c>
      <c r="D38" s="30" t="s">
        <v>96</v>
      </c>
      <c r="E38" s="30" t="s">
        <v>197</v>
      </c>
      <c r="F38" s="42">
        <v>400</v>
      </c>
      <c r="G38" s="42">
        <v>450</v>
      </c>
      <c r="H38" s="42">
        <v>43847</v>
      </c>
      <c r="I38" s="42">
        <v>45488</v>
      </c>
      <c r="J38" s="30" t="s">
        <v>198</v>
      </c>
      <c r="K38" s="42">
        <v>41797</v>
      </c>
      <c r="L38" s="131" t="s">
        <v>50</v>
      </c>
      <c r="M38" s="132">
        <f>CONVERT((I38-K38)/10000,"mi","ft")*IF(L38="Increasing Mileposts (1)",-1,1)</f>
        <v>-1948.848</v>
      </c>
      <c r="N38" s="133" t="str">
        <f>VLOOKUP(C38,'Trips&amp;Operators'!$C$1:$G$99999,5,FALSE)</f>
        <v>BIRKHOLZ NADINE</v>
      </c>
      <c r="O38" s="203" t="s">
        <v>180</v>
      </c>
      <c r="P38" s="134"/>
      <c r="Q38" s="30"/>
      <c r="R38" s="81" t="str">
        <f>VLOOKUP(C38,'Train Runs'!$A$13:$AE$9932,31,0)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S38" s="84" t="str">
        <f>VLOOKUP(C38,'Train Runs'!$A$13:$AE$9932,22,0)</f>
        <v>https://d0f6bd738d7f1b3e5a7ca70fe4ff75f0.us-east-1.aws.found.io/app/kibana#/discover/Steve-Slow-Train-Analysis-(2080s-and-2083s)?_g=(refreshInterval:(display:Off,pause:!f,section:0,value:0),time:(from:'2017-07-13T15:08:37-0600',mode:absolute,to:'2017-07-13T17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/stypes="*4044*201707132*" /stext=" 22:.+((SYSTEM_STATE.+slice.+state.+changed )|(ment ac)|(multiple cpu faults)|(system.+state.+changed )|(\[timeout)|(PRM\|1\|D)|(kpr)|(kdp)|(train st.+moving)|(\|lc)|(penalty))"</v>
      </c>
      <c r="U38" s="9" t="str">
        <f>MID(B38,13,4)</f>
        <v>4044</v>
      </c>
      <c r="V38" s="31">
        <f>A38-utc_offset/24</f>
        <v>42929.937835648147</v>
      </c>
      <c r="W38" s="45" t="str">
        <f>DetSubdiv(C38)</f>
        <v>NW</v>
      </c>
      <c r="X38" s="22">
        <f>VALUE(LEFT(C38,LEN(C38)-3))</f>
        <v>829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{"issue":{"subject":"","project_id":79,"tracker_id":40,"status_id":1,"priority_id":2,"assigned_to_id":23,"start_date":"2017-07-13","description":"","custom_fields":[{"id":1,"name":"Subdivision","value":"NW"},{"id":4,"name":"Milepost","value":"4.1797"},{"id":17,"name":"Train ID","value":"829-13"},{"id":16,"name":"Locomotive ID","value":"4044"},{"id":130,"name":"Impact","value":""},{"id":150,"name":"Time of Event (Mountain Time)","value":"16:30:29"},{"id":151,"name":"Denver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/c/Users/stu/AppData/Local/Temp/OnboardLogs/RTDC4044 --include="*4044*201707132*"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"%USERPROFILE%\AppData\Local\Temp\OnboardLogs"\RTDC4044\*4044*201707132* &gt;&gt; 2017-07-13-SliceDisagreementCheck.txt</v>
      </c>
      <c r="AE38" s="145" t="str">
        <f t="shared" si="1"/>
        <v>start /low /b %USERPROFILE%\Documents\GitHub\eaglep3\Utilities\DownloadLogsFromS3.py --loco 4044 --day 2017-07-13</v>
      </c>
      <c r="AF38" s="1"/>
    </row>
    <row r="39" spans="1:32" x14ac:dyDescent="0.25">
      <c r="A39" s="31">
        <v>42929.607523148145</v>
      </c>
      <c r="B39" s="30" t="s">
        <v>635</v>
      </c>
      <c r="C39" s="30" t="s">
        <v>636</v>
      </c>
      <c r="D39" s="30" t="s">
        <v>49</v>
      </c>
      <c r="E39" s="30" t="s">
        <v>356</v>
      </c>
      <c r="F39" s="42">
        <v>0</v>
      </c>
      <c r="G39" s="42">
        <v>44</v>
      </c>
      <c r="H39" s="42">
        <v>57648</v>
      </c>
      <c r="I39" s="42">
        <v>57774</v>
      </c>
      <c r="J39" s="30" t="s">
        <v>357</v>
      </c>
      <c r="K39" s="42">
        <v>57971</v>
      </c>
      <c r="L39" s="131" t="s">
        <v>50</v>
      </c>
      <c r="M39" s="132">
        <f>CONVERT((I39-K39)/10000,"mi","ft")*IF(L39="Increasing Mileposts (1)",-1,1)</f>
        <v>104.01600000000001</v>
      </c>
      <c r="N39" s="133" t="str">
        <f>VLOOKUP(C39,'Trips&amp;Operators'!$C$1:$G$99999,5,FALSE)</f>
        <v>BIRKHOLZ NADINE</v>
      </c>
      <c r="O39" s="203" t="s">
        <v>180</v>
      </c>
      <c r="P39" s="134" t="s">
        <v>1043</v>
      </c>
      <c r="Q39" s="30"/>
      <c r="R39" s="81" t="str">
        <f>VLOOKUP(C39,'Train Runs'!$A$13:$AE$9932,31,0)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S39" s="84" t="str">
        <f>VLOOKUP(C39,'Train Runs'!$A$13:$AE$9932,22,0)</f>
        <v>https://d0f6bd738d7f1b3e5a7ca70fe4ff75f0.us-east-1.aws.found.io/app/kibana#/discover/Steve-Slow-Train-Analysis-(2080s-and-2083s)?_g=(refreshInterval:(display:Off,pause:!f,section:0,value:0),time:(from:'2017-07-13T13:16:47-0600',mode:absolute,to:'2017-07-13T15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/stypes="*4044*201707132*" /stext=" 20:.+((SYSTEM_STATE.+slice.+state.+changed )|(ment ac)|(multiple cpu faults)|(system.+state.+changed )|(\[timeout)|(PRM\|1\|D)|(kpr)|(kdp)|(train st.+moving)|(\|lc)|(penalty))"</v>
      </c>
      <c r="U39" s="9" t="str">
        <f>MID(B39,13,4)</f>
        <v>4044</v>
      </c>
      <c r="V39" s="31">
        <f>A39-utc_offset/24</f>
        <v>42929.857523148145</v>
      </c>
      <c r="W39" s="45" t="str">
        <f>DetSubdiv(C39)</f>
        <v>NW</v>
      </c>
      <c r="X39" s="22">
        <f>VALUE(LEFT(C39,LEN(C39)-3))</f>
        <v>823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{"issue":{"subject":"Westminster 2N STOP, cleared after","project_id":79,"tracker_id":40,"status_id":1,"priority_id":2,"assigned_to_id":23,"start_date":"2017-07-13","description":"","custom_fields":[{"id":1,"name":"Subdivision","value":"NW"},{"id":4,"name":"Milepost","value":"5.7971"},{"id":17,"name":"Train ID","value":"823-13"},{"id":16,"name":"Locomotive ID","value":"4044"},{"id":130,"name":"Impact","value":""},{"id":150,"name":"Time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/c/Users/stu/AppData/Local/Temp/OnboardLogs/RTDC4044 --include="*4044*201707132*"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"%USERPROFILE%\AppData\Local\Temp\OnboardLogs"\RTDC4044\*4044*201707132* &gt;&gt; 2017-07-13-SliceDisagreementCheck.txt</v>
      </c>
      <c r="AE39" s="145" t="str">
        <f t="shared" si="1"/>
        <v>start /low /b %USERPROFILE%\Documents\GitHub\eaglep3\Utilities\DownloadLogsFromS3.py --loco 4044 --day 2017-07-13</v>
      </c>
      <c r="AF39" s="1"/>
    </row>
    <row r="40" spans="1:32" x14ac:dyDescent="0.25">
      <c r="A40" s="31">
        <v>42929.26761574074</v>
      </c>
      <c r="B40" s="30" t="s">
        <v>506</v>
      </c>
      <c r="C40" s="30" t="s">
        <v>619</v>
      </c>
      <c r="D40" s="30" t="s">
        <v>49</v>
      </c>
      <c r="E40" s="30" t="s">
        <v>181</v>
      </c>
      <c r="F40" s="42">
        <v>0</v>
      </c>
      <c r="G40" s="42">
        <v>31</v>
      </c>
      <c r="H40" s="42">
        <v>654</v>
      </c>
      <c r="I40" s="42">
        <v>628</v>
      </c>
      <c r="J40" s="30" t="s">
        <v>182</v>
      </c>
      <c r="K40" s="42">
        <v>575</v>
      </c>
      <c r="L40" s="131" t="s">
        <v>51</v>
      </c>
      <c r="M40" s="132">
        <f>CONVERT((I40-K40)/10000,"mi","ft")*IF(L40="Increasing Mileposts (1)",-1,1)</f>
        <v>27.984000000000002</v>
      </c>
      <c r="N40" s="133" t="str">
        <f>VLOOKUP(C40,'Trips&amp;Operators'!$C$1:$G$99999,5,FALSE)</f>
        <v>DAVIS WENDY</v>
      </c>
      <c r="O40" s="203" t="s">
        <v>180</v>
      </c>
      <c r="P40" s="134"/>
      <c r="Q40" s="30"/>
      <c r="R40" s="81" t="str">
        <f>VLOOKUP(C40,'Train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40" s="84" t="str">
        <f>VLOOKUP(C40,'Train Runs'!$A$13:$AE$9932,22,0)</f>
        <v>https://d0f6bd738d7f1b3e5a7ca70fe4ff75f0.us-east-1.aws.found.io/app/kibana#/discover/Steve-Slow-Train-Analysis-(2080s-and-2083s)?_g=(refreshInterval:(display:Off,pause:!f,section:0,value:0),time:(from:'2017-07-13T05:07:25-0600',mode:absolute,to:'2017-07-13T07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/stypes="*4015*201707131*" /stext=" 12:.+((SYSTEM_STATE.+slice.+state.+changed )|(ment ac)|(multiple cpu faults)|(system.+state.+changed )|(\[timeout)|(PRM\|1\|D)|(kpr)|(kdp)|(train st.+moving)|(\|lc)|(penalty))"</v>
      </c>
      <c r="U40" s="9" t="str">
        <f>MID(B40,13,4)</f>
        <v>4015</v>
      </c>
      <c r="V40" s="31">
        <f>A40-utc_offset/24</f>
        <v>42929.51761574074</v>
      </c>
      <c r="W40" s="45" t="str">
        <f>DetSubdiv(C40)</f>
        <v>NW</v>
      </c>
      <c r="X40" s="22">
        <f>VALUE(LEFT(C40,LEN(C40)-3))</f>
        <v>802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{"issue":{"subject":"","project_id":79,"tracker_id":40,"status_id":1,"priority_id":2,"assigned_to_id":23,"start_date":"2017-07-13","description":"","custom_fields":[{"id":1,"name":"Subdivision","value":"NW"},{"id":4,"name":"Milepost","value":"0.0575"},{"id":17,"name":"Train ID","value":"802-13"},{"id":16,"name":"Locomotive ID","value":"4015"},{"id":130,"name":"Impact","value":""},{"id":150,"name":"Time of Event (Mountain Time)","value":"06:25:22"},{"id":151,"name":"Denver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/c/Users/stu/AppData/Local/Temp/OnboardLogs/RTDC4015 --include="*4015*201707131*"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"%USERPROFILE%\AppData\Local\Temp\OnboardLogs"\RTDC4015\*4015*201707131* &gt;&gt; 2017-07-13-SliceDisagreementCheck.txt</v>
      </c>
      <c r="AE40" s="145" t="str">
        <f t="shared" si="1"/>
        <v>start /low /b %USERPROFILE%\Documents\GitHub\eaglep3\Utilities\DownloadLogsFromS3.py --loco 4015 --day 2017-07-13</v>
      </c>
      <c r="AF40" s="1"/>
    </row>
    <row r="41" spans="1:32" x14ac:dyDescent="0.25">
      <c r="A41" s="31">
        <v>42929.309918981482</v>
      </c>
      <c r="B41" s="30" t="s">
        <v>506</v>
      </c>
      <c r="C41" s="30" t="s">
        <v>622</v>
      </c>
      <c r="D41" s="30" t="s">
        <v>49</v>
      </c>
      <c r="E41" s="30" t="s">
        <v>181</v>
      </c>
      <c r="F41" s="42">
        <v>0</v>
      </c>
      <c r="G41" s="42">
        <v>32</v>
      </c>
      <c r="H41" s="42">
        <v>638</v>
      </c>
      <c r="I41" s="42">
        <v>605</v>
      </c>
      <c r="J41" s="30" t="s">
        <v>182</v>
      </c>
      <c r="K41" s="42">
        <v>575</v>
      </c>
      <c r="L41" s="131" t="s">
        <v>51</v>
      </c>
      <c r="M41" s="132">
        <f>CONVERT((I41-K41)/10000,"mi","ft")*IF(L41="Increasing Mileposts (1)",-1,1)</f>
        <v>15.84</v>
      </c>
      <c r="N41" s="133" t="str">
        <f>VLOOKUP(C41,'Trips&amp;Operators'!$C$1:$G$99999,5,FALSE)</f>
        <v>DAVIS WENDY</v>
      </c>
      <c r="O41" s="203" t="s">
        <v>180</v>
      </c>
      <c r="P41" s="134"/>
      <c r="Q41" s="30"/>
      <c r="R41" s="81" t="str">
        <f>VLOOKUP(C41,'Train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41" s="84" t="str">
        <f>VLOOKUP(C41,'Train Runs'!$A$13:$AE$9932,22,0)</f>
        <v>https://d0f6bd738d7f1b3e5a7ca70fe4ff75f0.us-east-1.aws.found.io/app/kibana#/discover/Steve-Slow-Train-Analysis-(2080s-and-2083s)?_g=(refreshInterval:(display:Off,pause:!f,section:0,value:0),time:(from:'2017-07-13T06:07:07-0600',mode:absolute,to:'2017-07-13T08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/stypes="*4015*201707131*" /stext=" 13:.+((SYSTEM_STATE.+slice.+state.+changed )|(ment ac)|(multiple cpu faults)|(system.+state.+changed )|(\[timeout)|(PRM\|1\|D)|(kpr)|(kdp)|(train st.+moving)|(\|lc)|(penalty))"</v>
      </c>
      <c r="U41" s="9" t="str">
        <f>MID(B41,13,4)</f>
        <v>4015</v>
      </c>
      <c r="V41" s="31">
        <f>A41-utc_offset/24</f>
        <v>42929.559918981482</v>
      </c>
      <c r="W41" s="45" t="str">
        <f>DetSubdiv(C41)</f>
        <v>NW</v>
      </c>
      <c r="X41" s="22">
        <f>VALUE(LEFT(C41,LEN(C41)-3))</f>
        <v>806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{"issue":{"subject":"","project_id":79,"tracker_id":40,"status_id":1,"priority_id":2,"assigned_to_id":23,"start_date":"2017-07-13","description":"","custom_fields":[{"id":1,"name":"Subdivision","value":"NW"},{"id":4,"name":"Milepost","value":"0.0575"},{"id":17,"name":"Train ID","value":"806-13"},{"id":16,"name":"Locomotive ID","value":"4015"},{"id":130,"name":"Impact","value":""},{"id":150,"name":"Time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/c/Users/stu/AppData/Local/Temp/OnboardLogs/RTDC4015 --include="*4015*201707131*"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"%USERPROFILE%\AppData\Local\Temp\OnboardLogs"\RTDC4015\*4015*201707131* &gt;&gt; 2017-07-13-SliceDisagreementCheck.txt</v>
      </c>
      <c r="AE41" s="145" t="str">
        <f t="shared" si="1"/>
        <v>start /low /b %USERPROFILE%\Documents\GitHub\eaglep3\Utilities\DownloadLogsFromS3.py --loco 4015 --day 2017-07-13</v>
      </c>
      <c r="AF41" s="1"/>
    </row>
    <row r="42" spans="1:32" x14ac:dyDescent="0.25">
      <c r="A42" s="31">
        <v>42929.580428240741</v>
      </c>
      <c r="B42" s="30" t="s">
        <v>630</v>
      </c>
      <c r="C42" s="30" t="s">
        <v>631</v>
      </c>
      <c r="D42" s="30" t="s">
        <v>49</v>
      </c>
      <c r="E42" s="30" t="s">
        <v>181</v>
      </c>
      <c r="F42" s="42">
        <v>0</v>
      </c>
      <c r="G42" s="42">
        <v>43</v>
      </c>
      <c r="H42" s="42">
        <v>724</v>
      </c>
      <c r="I42" s="42">
        <v>694</v>
      </c>
      <c r="J42" s="30" t="s">
        <v>182</v>
      </c>
      <c r="K42" s="42">
        <v>575</v>
      </c>
      <c r="L42" s="131" t="s">
        <v>51</v>
      </c>
      <c r="M42" s="132">
        <f>CONVERT((I42-K42)/10000,"mi","ft")*IF(L42="Increasing Mileposts (1)",-1,1)</f>
        <v>62.832000000000001</v>
      </c>
      <c r="N42" s="133" t="str">
        <f>VLOOKUP(C42,'Trips&amp;Operators'!$C$1:$G$99999,5,FALSE)</f>
        <v>BIRKHOLZ NADINE</v>
      </c>
      <c r="O42" s="203" t="s">
        <v>180</v>
      </c>
      <c r="P42" s="134"/>
      <c r="Q42" s="30"/>
      <c r="R42" s="81" t="str">
        <f>VLOOKUP(C42,'Train Runs'!$A$13:$AE$9932,31,0)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S42" s="84" t="str">
        <f>VLOOKUP(C42,'Train Runs'!$A$13:$AE$9932,22,0)</f>
        <v>https://d0f6bd738d7f1b3e5a7ca70fe4ff75f0.us-east-1.aws.found.io/app/kibana#/discover/Steve-Slow-Train-Analysis-(2080s-and-2083s)?_g=(refreshInterval:(display:Off,pause:!f,section:0,value:0),time:(from:'2017-07-13T12:38:04-0600',mode:absolute,to:'2017-07-13T14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/stypes="*4043*201707131*" /stext=" 19:.+((SYSTEM_STATE.+slice.+state.+changed )|(ment ac)|(multiple cpu faults)|(system.+state.+changed )|(\[timeout)|(PRM\|1\|D)|(kpr)|(kdp)|(train st.+moving)|(\|lc)|(penalty))"</v>
      </c>
      <c r="U42" s="9" t="str">
        <f>MID(B42,13,4)</f>
        <v>4043</v>
      </c>
      <c r="V42" s="31">
        <f>A42-utc_offset/24</f>
        <v>42929.830428240741</v>
      </c>
      <c r="W42" s="45" t="str">
        <f>DetSubdiv(C42)</f>
        <v>NW</v>
      </c>
      <c r="X42" s="22">
        <f>VALUE(LEFT(C42,LEN(C42)-3))</f>
        <v>822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{"issue":{"subject":"","project_id":79,"tracker_id":40,"status_id":1,"priority_id":2,"assigned_to_id":23,"start_date":"2017-07-13","description":"","custom_fields":[{"id":1,"name":"Subdivision","value":"NW"},{"id":4,"name":"Milepost","value":"0.0575"},{"id":17,"name":"Train ID","value":"822-13"},{"id":16,"name":"Locomotive ID","value":"4043"},{"id":130,"name":"Impact","value":""},{"id":150,"name":"Time of Event (Mountain Time)","value":"13:55:49"},{"id":151,"name":"Denver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/c/Users/stu/AppData/Local/Temp/OnboardLogs/RTDC4043 --include="*4043*201707131*"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"%USERPROFILE%\AppData\Local\Temp\OnboardLogs"\RTDC4043\*4043*201707131* &gt;&gt; 2017-07-13-SliceDisagreementCheck.txt</v>
      </c>
      <c r="AE42" s="145" t="str">
        <f t="shared" si="1"/>
        <v>start /low /b %USERPROFILE%\Documents\GitHub\eaglep3\Utilities\DownloadLogsFromS3.py --loco 4043 --day 2017-07-13</v>
      </c>
      <c r="AF42" s="1"/>
    </row>
    <row r="43" spans="1:32" x14ac:dyDescent="0.25">
      <c r="A43" s="31">
        <v>42929.705659722225</v>
      </c>
      <c r="B43" s="30" t="s">
        <v>630</v>
      </c>
      <c r="C43" s="30" t="s">
        <v>645</v>
      </c>
      <c r="D43" s="30" t="s">
        <v>49</v>
      </c>
      <c r="E43" s="30" t="s">
        <v>181</v>
      </c>
      <c r="F43" s="42">
        <v>0</v>
      </c>
      <c r="G43" s="42">
        <v>27</v>
      </c>
      <c r="H43" s="42">
        <v>680</v>
      </c>
      <c r="I43" s="42">
        <v>668</v>
      </c>
      <c r="J43" s="30" t="s">
        <v>182</v>
      </c>
      <c r="K43" s="42">
        <v>575</v>
      </c>
      <c r="L43" s="131" t="s">
        <v>51</v>
      </c>
      <c r="M43" s="132">
        <f>CONVERT((I43-K43)/10000,"mi","ft")*IF(L43="Increasing Mileposts (1)",-1,1)</f>
        <v>49.103999999999999</v>
      </c>
      <c r="N43" s="133" t="str">
        <f>VLOOKUP(C43,'Trips&amp;Operators'!$C$1:$G$99999,5,FALSE)</f>
        <v>BIRKHOLZ NADINE</v>
      </c>
      <c r="O43" s="203" t="s">
        <v>180</v>
      </c>
      <c r="P43" s="134"/>
      <c r="Q43" s="30"/>
      <c r="R43" s="81" t="str">
        <f>VLOOKUP(C43,'Train Runs'!$A$13:$AE$9932,31,0)</f>
        <v>aws s3 cp s3://rtdc.mdm.uploadarchive.raw/RTDC4043/ "%USERPROFILE%\AppData\Local\Temp\OnboardLogs"\RTDC4043\2017-07-13 --exclude "*" --recursive --include "*20170713*" &amp; "%USERPROFILE%\Documents\GitHub\mrs-test-scripts\Headless Mode &amp; Sideloading\WalkAndUnGZ.bat" "%USERPROFILE%\AppData\Local\Temp\OnboardLogs"\RTDC4043\2017-07-13 &amp; aws s3 cp s3://rtdc.mdm.uploadarchive.raw/RTDC4043/ "%USERPROFILE%\AppData\Local\Temp\OnboardLogs"\RTDC4043\2017-07-14 --exclude "*" --recursive --include "*20170714*" &amp; "%USERPROFILE%\Documents\GitHub\mrs-test-scripts\Headless Mode &amp; Sideloading\WalkAndUnGZ.bat" "%USERPROFILE%\AppData\Local\Temp\OnboardLogs"\RTDC4043\2017-07-14</v>
      </c>
      <c r="S43" s="84" t="str">
        <f>VLOOKUP(C43,'Train Runs'!$A$13:$AE$9932,22,0)</f>
        <v>https://d0f6bd738d7f1b3e5a7ca70fe4ff75f0.us-east-1.aws.found.io/app/kibana#/discover/Steve-Slow-Train-Analysis-(2080s-and-2083s)?_g=(refreshInterval:(display:Off,pause:!f,section:0,value:0),time:(from:'2017-07-13T15:37:58-0600',mode:absolute,to:'2017-07-13T17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/stypes="*4043*201707132*" /stext=" 22:.+((SYSTEM_STATE.+slice.+state.+changed )|(ment ac)|(multiple cpu faults)|(system.+state.+changed )|(\[timeout)|(PRM\|1\|D)|(kpr)|(kdp)|(train st.+moving)|(\|lc)|(penalty))"</v>
      </c>
      <c r="U43" s="9" t="str">
        <f>MID(B43,13,4)</f>
        <v>4043</v>
      </c>
      <c r="V43" s="31">
        <f>A43-utc_offset/24</f>
        <v>42929.955659722225</v>
      </c>
      <c r="W43" s="45" t="str">
        <f>DetSubdiv(C43)</f>
        <v>NW</v>
      </c>
      <c r="X43" s="22">
        <f>VALUE(LEFT(C43,LEN(C43)-3))</f>
        <v>830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{"issue":{"subject":"","project_id":79,"tracker_id":40,"status_id":1,"priority_id":2,"assigned_to_id":23,"start_date":"2017-07-13","description":"","custom_fields":[{"id":1,"name":"Subdivision","value":"NW"},{"id":4,"name":"Milepost","value":"0.0575"},{"id":17,"name":"Train ID","value":"830-13"},{"id":16,"name":"Locomotive ID","value":"4043"},{"id":130,"name":"Impact","value":""},{"id":150,"name":"Time of Event (Mountain Time)","value":"16:56:09"},{"id":151,"name":"Denver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/c/Users/stu/AppData/Local/Temp/OnboardLogs/RTDC4043 --include="*4043*201707132*"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"%USERPROFILE%\AppData\Local\Temp\OnboardLogs"\RTDC4043\*4043*201707132* &gt;&gt; 2017-07-13-SliceDisagreementCheck.txt</v>
      </c>
      <c r="AE43" s="145" t="str">
        <f t="shared" si="1"/>
        <v>start /low /b %USERPROFILE%\Documents\GitHub\eaglep3\Utilities\DownloadLogsFromS3.py --loco 4043 --day 2017-07-13</v>
      </c>
      <c r="AF43" s="1"/>
    </row>
    <row r="44" spans="1:32" x14ac:dyDescent="0.25">
      <c r="A44" s="31">
        <v>42929.25403935185</v>
      </c>
      <c r="B44" s="30" t="s">
        <v>482</v>
      </c>
      <c r="C44" s="30" t="s">
        <v>618</v>
      </c>
      <c r="D44" s="30" t="s">
        <v>49</v>
      </c>
      <c r="E44" s="30" t="s">
        <v>181</v>
      </c>
      <c r="F44" s="42">
        <v>0</v>
      </c>
      <c r="G44" s="42">
        <v>14</v>
      </c>
      <c r="H44" s="42">
        <v>59031</v>
      </c>
      <c r="I44" s="42">
        <v>59044</v>
      </c>
      <c r="J44" s="30" t="s">
        <v>182</v>
      </c>
      <c r="K44" s="42">
        <v>59048</v>
      </c>
      <c r="L44" s="131" t="s">
        <v>50</v>
      </c>
      <c r="M44" s="132">
        <f>CONVERT((I44-K44)/10000,"mi","ft")*IF(L44="Increasing Mileposts (1)",-1,1)</f>
        <v>2.1120000000000001</v>
      </c>
      <c r="N44" s="133" t="str">
        <f>VLOOKUP(C44,'Trips&amp;Operators'!$C$1:$G$99999,5,FALSE)</f>
        <v>DAVIS WENDY</v>
      </c>
      <c r="O44" s="203" t="s">
        <v>180</v>
      </c>
      <c r="P44" s="134"/>
      <c r="Q44" s="30"/>
      <c r="R44" s="81" t="str">
        <f>VLOOKUP(C44,'Train Runs'!$A$13:$AE$9932,31,0)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S44" s="84" t="str">
        <f>VLOOKUP(C44,'Train Runs'!$A$13:$AE$9932,22,0)</f>
        <v>https://d0f6bd738d7f1b3e5a7ca70fe4ff75f0.us-east-1.aws.found.io/app/kibana#/discover/Steve-Slow-Train-Analysis-(2080s-and-2083s)?_g=(refreshInterval:(display:Off,pause:!f,section:0,value:0),time:(from:'2017-07-13T04:47:30-0600',mode:absolute,to:'2017-07-13T07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/stypes="*4016*201707131*" /stext=" 12:.+((SYSTEM_STATE.+slice.+state.+changed )|(ment ac)|(multiple cpu faults)|(system.+state.+changed )|(\[timeout)|(PRM\|1\|D)|(kpr)|(kdp)|(train st.+moving)|(\|lc)|(penalty))"</v>
      </c>
      <c r="U44" s="9" t="str">
        <f>MID(B44,13,4)</f>
        <v>4016</v>
      </c>
      <c r="V44" s="31">
        <f>A44-utc_offset/24</f>
        <v>42929.50403935185</v>
      </c>
      <c r="W44" s="45" t="str">
        <f>DetSubdiv(C44)</f>
        <v>NW</v>
      </c>
      <c r="X44" s="22">
        <f>VALUE(LEFT(C44,LEN(C44)-3))</f>
        <v>801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ID","value":"801-13"},{"id":16,"name":"Locomotive ID","value":"4016"},{"id":130,"name":"Impact","value":""},{"id":150,"name":"Time of Event (Mountain Time)","value":"06:05:49"},{"id":151,"name":"Denver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/c/Users/stu/AppData/Local/Temp/OnboardLogs/RTDC4016 --include="*4016*201707131*"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"%USERPROFILE%\AppData\Local\Temp\OnboardLogs"\RTDC4016\*4016*201707131* &gt;&gt; 2017-07-13-SliceDisagreementCheck.txt</v>
      </c>
      <c r="AE44" s="145" t="str">
        <f t="shared" si="1"/>
        <v>start /low /b %USERPROFILE%\Documents\GitHub\eaglep3\Utilities\DownloadLogsFromS3.py --loco 4016 --day 2017-07-13</v>
      </c>
      <c r="AF44" s="1"/>
    </row>
    <row r="45" spans="1:32" x14ac:dyDescent="0.25">
      <c r="A45" s="31">
        <v>42929.295729166668</v>
      </c>
      <c r="B45" s="30" t="s">
        <v>482</v>
      </c>
      <c r="C45" s="30" t="s">
        <v>621</v>
      </c>
      <c r="D45" s="30" t="s">
        <v>96</v>
      </c>
      <c r="E45" s="30" t="s">
        <v>181</v>
      </c>
      <c r="F45" s="42">
        <v>0</v>
      </c>
      <c r="G45" s="42">
        <v>10</v>
      </c>
      <c r="H45" s="42">
        <v>59048</v>
      </c>
      <c r="I45" s="42">
        <v>0</v>
      </c>
      <c r="J45" s="30" t="s">
        <v>182</v>
      </c>
      <c r="K45" s="42">
        <v>59048</v>
      </c>
      <c r="L45" s="131" t="s">
        <v>50</v>
      </c>
      <c r="M45" s="132">
        <f>CONVERT((I45-K45)/10000,"mi","ft")*IF(L45="Increasing Mileposts (1)",-1,1)</f>
        <v>31177.344000000001</v>
      </c>
      <c r="N45" s="133" t="str">
        <f>VLOOKUP(C45,'Trips&amp;Operators'!$C$1:$G$99999,5,FALSE)</f>
        <v>DAVIS WENDY</v>
      </c>
      <c r="O45" s="203" t="s">
        <v>180</v>
      </c>
      <c r="P45" s="134"/>
      <c r="Q45" s="30"/>
      <c r="R45" s="81" t="str">
        <f>VLOOKUP(C45,'Train Runs'!$A$13:$AE$9932,31,0)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S45" s="84" t="str">
        <f>VLOOKUP(C45,'Train Runs'!$A$13:$AE$9932,22,0)</f>
        <v>https://d0f6bd738d7f1b3e5a7ca70fe4ff75f0.us-east-1.aws.found.io/app/kibana#/discover/Steve-Slow-Train-Analysis-(2080s-and-2083s)?_g=(refreshInterval:(display:Off,pause:!f,section:0,value:0),time:(from:'2017-07-13T05:47:36-0600',mode:absolute,to:'2017-07-13T08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/stypes="*4016*201707131*" /stext=" 13:.+((SYSTEM_STATE.+slice.+state.+changed )|(ment ac)|(multiple cpu faults)|(system.+state.+changed )|(\[timeout)|(PRM\|1\|D)|(kpr)|(kdp)|(train st.+moving)|(\|lc)|(penalty))"</v>
      </c>
      <c r="U45" s="9" t="str">
        <f>MID(B45,13,4)</f>
        <v>4016</v>
      </c>
      <c r="V45" s="31">
        <f>A45-utc_offset/24</f>
        <v>42929.545729166668</v>
      </c>
      <c r="W45" s="45" t="str">
        <f>DetSubdiv(C45)</f>
        <v>NW</v>
      </c>
      <c r="X45" s="22">
        <f>VALUE(LEFT(C45,LEN(C45)-3))</f>
        <v>805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ID","value":"805-13"},{"id":16,"name":"Locomotive ID","value":"4016"},{"id":130,"name":"Impact","value":""},{"id":150,"name":"Time of Event (Mountain Time)","value":"07:05:51"},{"id":151,"name":"Denver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/c/Users/stu/AppData/Local/Temp/OnboardLogs/RTDC4016 --include="*4016*201707131*"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"%USERPROFILE%\AppData\Local\Temp\OnboardLogs"\RTDC4016\*4016*201707131* &gt;&gt; 2017-07-13-SliceDisagreementCheck.txt</v>
      </c>
      <c r="AE45" s="145" t="str">
        <f t="shared" si="1"/>
        <v>start /low /b %USERPROFILE%\Documents\GitHub\eaglep3\Utilities\DownloadLogsFromS3.py --loco 4016 --day 2017-07-13</v>
      </c>
      <c r="AF45" s="1"/>
    </row>
    <row r="46" spans="1:32" x14ac:dyDescent="0.25">
      <c r="A46" s="31">
        <v>42929.336828703701</v>
      </c>
      <c r="B46" s="30" t="s">
        <v>482</v>
      </c>
      <c r="C46" s="30" t="s">
        <v>623</v>
      </c>
      <c r="D46" s="30" t="s">
        <v>49</v>
      </c>
      <c r="E46" s="30" t="s">
        <v>181</v>
      </c>
      <c r="F46" s="42">
        <v>0</v>
      </c>
      <c r="G46" s="42">
        <v>12</v>
      </c>
      <c r="H46" s="42">
        <v>59046</v>
      </c>
      <c r="I46" s="42">
        <v>0</v>
      </c>
      <c r="J46" s="30" t="s">
        <v>182</v>
      </c>
      <c r="K46" s="42">
        <v>59048</v>
      </c>
      <c r="L46" s="131" t="s">
        <v>50</v>
      </c>
      <c r="M46" s="132">
        <f>CONVERT((I46-K46)/10000,"mi","ft")*IF(L46="Increasing Mileposts (1)",-1,1)</f>
        <v>31177.344000000001</v>
      </c>
      <c r="N46" s="133" t="str">
        <f>VLOOKUP(C46,'Trips&amp;Operators'!$C$1:$G$99999,5,FALSE)</f>
        <v>DAVIS WENDY</v>
      </c>
      <c r="O46" s="203" t="s">
        <v>180</v>
      </c>
      <c r="P46" s="134"/>
      <c r="Q46" s="30"/>
      <c r="R46" s="81" t="str">
        <f>VLOOKUP(C46,'Train Runs'!$A$13:$AE$9932,31,0)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S46" s="84" t="str">
        <f>VLOOKUP(C46,'Train Runs'!$A$13:$AE$9932,22,0)</f>
        <v>https://d0f6bd738d7f1b3e5a7ca70fe4ff75f0.us-east-1.aws.found.io/app/kibana#/discover/Steve-Slow-Train-Analysis-(2080s-and-2083s)?_g=(refreshInterval:(display:Off,pause:!f,section:0,value:0),time:(from:'2017-07-13T06:47:58-0600',mode:absolute,to:'2017-07-13T09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/stypes="*4016*201707131*" /stext=" 14:.+((SYSTEM_STATE.+slice.+state.+changed )|(ment ac)|(multiple cpu faults)|(system.+state.+changed )|(\[timeout)|(PRM\|1\|D)|(kpr)|(kdp)|(train st.+moving)|(\|lc)|(penalty))"</v>
      </c>
      <c r="U46" s="9" t="str">
        <f>MID(B46,13,4)</f>
        <v>4016</v>
      </c>
      <c r="V46" s="31">
        <f>A46-utc_offset/24</f>
        <v>42929.586828703701</v>
      </c>
      <c r="W46" s="45" t="str">
        <f>DetSubdiv(C46)</f>
        <v>NW</v>
      </c>
      <c r="X46" s="22">
        <f>VALUE(LEFT(C46,LEN(C46)-3))</f>
        <v>809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ID","value":"809-13"},{"id":16,"name":"Locomotive ID","value":"4016"},{"id":130,"name":"Impact","value":""},{"id":150,"name":"Time of Event (Mountain Time)","value":"08:05:02"},{"id":151,"name":"Denver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/c/Users/stu/AppData/Local/Temp/OnboardLogs/RTDC4016 --include="*4016*201707131*"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"%USERPROFILE%\AppData\Local\Temp\OnboardLogs"\RTDC4016\*4016*201707131* &gt;&gt; 2017-07-13-SliceDisagreementCheck.txt</v>
      </c>
      <c r="AE46" s="145" t="str">
        <f t="shared" si="1"/>
        <v>start /low /b %USERPROFILE%\Documents\GitHub\eaglep3\Utilities\DownloadLogsFromS3.py --loco 4016 --day 2017-07-13</v>
      </c>
      <c r="AF46" s="1"/>
    </row>
    <row r="47" spans="1:32" x14ac:dyDescent="0.25">
      <c r="A47" s="31">
        <v>42929.754293981481</v>
      </c>
      <c r="B47" s="30" t="s">
        <v>482</v>
      </c>
      <c r="C47" s="30" t="s">
        <v>650</v>
      </c>
      <c r="D47" s="30" t="s">
        <v>49</v>
      </c>
      <c r="E47" s="30" t="s">
        <v>181</v>
      </c>
      <c r="F47" s="42">
        <v>0</v>
      </c>
      <c r="G47" s="42">
        <v>5</v>
      </c>
      <c r="H47" s="42">
        <v>59040</v>
      </c>
      <c r="I47" s="42">
        <v>59042</v>
      </c>
      <c r="J47" s="30" t="s">
        <v>182</v>
      </c>
      <c r="K47" s="42">
        <v>59048</v>
      </c>
      <c r="L47" s="131" t="s">
        <v>50</v>
      </c>
      <c r="M47" s="132">
        <f>CONVERT((I47-K47)/10000,"mi","ft")*IF(L47="Increasing Mileposts (1)",-1,1)</f>
        <v>3.1680000000000001</v>
      </c>
      <c r="N47" s="133" t="str">
        <f>VLOOKUP(C47,'Trips&amp;Operators'!$C$1:$G$99999,5,FALSE)</f>
        <v>MAGEE KENYA</v>
      </c>
      <c r="O47" s="203" t="s">
        <v>180</v>
      </c>
      <c r="P47" s="134"/>
      <c r="Q47" s="30"/>
      <c r="R47" s="81" t="str">
        <f>VLOOKUP(C47,'Train Runs'!$A$13:$AE$9932,31,0)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S47" s="84" t="str">
        <f>VLOOKUP(C47,'Train Runs'!$A$13:$AE$9932,22,0)</f>
        <v>https://d0f6bd738d7f1b3e5a7ca70fe4ff75f0.us-east-1.aws.found.io/app/kibana#/discover/Steve-Slow-Train-Analysis-(2080s-and-2083s)?_g=(refreshInterval:(display:Off,pause:!f,section:0,value:0),time:(from:'2017-07-13T16:48:04-0600',mode:absolute,to:'2017-07-13T19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/stypes="*4016*201707140*" /stext=" 00:.+((SYSTEM_STATE.+slice.+state.+changed )|(ment ac)|(multiple cpu faults)|(system.+state.+changed )|(\[timeout)|(PRM\|1\|D)|(kpr)|(kdp)|(train st.+moving)|(\|lc)|(penalty))"</v>
      </c>
      <c r="U47" s="9" t="str">
        <f>MID(B47,13,4)</f>
        <v>4016</v>
      </c>
      <c r="V47" s="31">
        <f>A47-utc_offset/24</f>
        <v>42930.004293981481</v>
      </c>
      <c r="W47" s="45" t="str">
        <f>DetSubdiv(C47)</f>
        <v>NW</v>
      </c>
      <c r="X47" s="22">
        <f>VALUE(LEFT(C47,LEN(C47)-3))</f>
        <v>835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ID","value":"835-13"},{"id":16,"name":"Locomotive ID","value":"4016"},{"id":130,"name":"Impact","value":""},{"id":150,"name":"Time of Event (Mountain Time)","value":"18:06:11"},{"id":151,"name":"Denver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/c/Users/stu/AppData/Local/Temp/OnboardLogs/RTDC4016 --include="*4016*201707140*"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"%USERPROFILE%\AppData\Local\Temp\OnboardLogs"\RTDC4016\*4016*201707140* &gt;&gt; 2017-07-13-SliceDisagreementCheck.txt</v>
      </c>
      <c r="AE47" s="145" t="str">
        <f t="shared" si="1"/>
        <v>start /low /b %USERPROFILE%\Documents\GitHub\eaglep3\Utilities\DownloadLogsFromS3.py --loco 4016 --day 2017-07-14</v>
      </c>
      <c r="AF47" s="1"/>
    </row>
    <row r="48" spans="1:32" x14ac:dyDescent="0.25">
      <c r="A48" s="31">
        <v>42929.857245370367</v>
      </c>
      <c r="B48" s="30" t="s">
        <v>635</v>
      </c>
      <c r="C48" s="30" t="s">
        <v>655</v>
      </c>
      <c r="D48" s="30" t="s">
        <v>49</v>
      </c>
      <c r="E48" s="30" t="s">
        <v>181</v>
      </c>
      <c r="F48" s="42">
        <v>0</v>
      </c>
      <c r="G48" s="42">
        <v>146</v>
      </c>
      <c r="H48" s="42">
        <v>57956</v>
      </c>
      <c r="I48" s="42">
        <v>58172</v>
      </c>
      <c r="J48" s="30" t="s">
        <v>182</v>
      </c>
      <c r="K48" s="42">
        <v>59048</v>
      </c>
      <c r="L48" s="131" t="s">
        <v>50</v>
      </c>
      <c r="M48" s="132">
        <f>CONVERT((I48-K48)/10000,"mi","ft")*IF(L48="Increasing Mileposts (1)",-1,1)</f>
        <v>462.52800000000002</v>
      </c>
      <c r="N48" s="133" t="str">
        <f>VLOOKUP(C48,'Trips&amp;Operators'!$C$1:$G$99999,5,FALSE)</f>
        <v>BIRKHOLZ NADINE</v>
      </c>
      <c r="O48" s="203" t="s">
        <v>180</v>
      </c>
      <c r="P48" s="134"/>
      <c r="Q48" s="30"/>
      <c r="R48" s="81" t="str">
        <f>VLOOKUP(C48,'Train Runs'!$A$13:$AE$9932,31,0)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S48" s="84" t="str">
        <f>VLOOKUP(C48,'Train Runs'!$A$13:$AE$9932,22,0)</f>
        <v>https://d0f6bd738d7f1b3e5a7ca70fe4ff75f0.us-east-1.aws.found.io/app/kibana#/discover/Steve-Slow-Train-Analysis-(2080s-and-2083s)?_g=(refreshInterval:(display:Off,pause:!f,section:0,value:0),time:(from:'2017-07-13T19:06:16-0600',mode:absolute,to:'2017-07-13T21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/stypes="*4044*201707140*" /stext=" 02:.+((SYSTEM_STATE.+slice.+state.+changed )|(ment ac)|(multiple cpu faults)|(system.+state.+changed )|(\[timeout)|(PRM\|1\|D)|(kpr)|(kdp)|(train st.+moving)|(\|lc)|(penalty))"</v>
      </c>
      <c r="U48" s="9" t="str">
        <f>MID(B48,13,4)</f>
        <v>4044</v>
      </c>
      <c r="V48" s="31">
        <f>A48-utc_offset/24</f>
        <v>42930.107245370367</v>
      </c>
      <c r="W48" s="45" t="str">
        <f>DetSubdiv(C48)</f>
        <v>NW</v>
      </c>
      <c r="X48" s="22">
        <f>VALUE(LEFT(C48,LEN(C48)-3))</f>
        <v>843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ID","value":"843-13"},{"id":16,"name":"Locomotive ID","value":"4044"},{"id":130,"name":"Impact","value":""},{"id":150,"name":"Time of Event (Mountain Time)","value":"20:34:26"},{"id":151,"name":"Denver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/c/Users/stu/AppData/Local/Temp/OnboardLogs/RTDC4044 --include="*4044*201707140*"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"%USERPROFILE%\AppData\Local\Temp\OnboardLogs"\RTDC4044\*4044*201707140* &gt;&gt; 2017-07-13-SliceDisagreementCheck.txt</v>
      </c>
      <c r="AE48" s="145" t="str">
        <f t="shared" si="1"/>
        <v>start /low /b %USERPROFILE%\Documents\GitHub\eaglep3\Utilities\DownloadLogsFromS3.py --loco 4044 --day 2017-07-14</v>
      </c>
      <c r="AF48" s="1"/>
    </row>
    <row r="49" spans="1:32" x14ac:dyDescent="0.25">
      <c r="A49" s="31">
        <v>42929.941099537034</v>
      </c>
      <c r="B49" s="30" t="s">
        <v>635</v>
      </c>
      <c r="C49" s="30" t="s">
        <v>659</v>
      </c>
      <c r="D49" s="30" t="s">
        <v>49</v>
      </c>
      <c r="E49" s="30" t="s">
        <v>181</v>
      </c>
      <c r="F49" s="42">
        <v>0</v>
      </c>
      <c r="G49" s="42">
        <v>45</v>
      </c>
      <c r="H49" s="42">
        <v>58899</v>
      </c>
      <c r="I49" s="42">
        <v>58937</v>
      </c>
      <c r="J49" s="30" t="s">
        <v>182</v>
      </c>
      <c r="K49" s="42">
        <v>59048</v>
      </c>
      <c r="L49" s="131" t="s">
        <v>50</v>
      </c>
      <c r="M49" s="132">
        <f>CONVERT((I49-K49)/10000,"mi","ft")*IF(L49="Increasing Mileposts (1)",-1,1)</f>
        <v>58.607999999999997</v>
      </c>
      <c r="N49" s="133" t="str">
        <f>VLOOKUP(C49,'Trips&amp;Operators'!$C$1:$G$99999,5,FALSE)</f>
        <v>MAGEE KENYA</v>
      </c>
      <c r="O49" s="203" t="s">
        <v>180</v>
      </c>
      <c r="P49" s="134"/>
      <c r="Q49" s="30"/>
      <c r="R49" s="81" t="str">
        <f>VLOOKUP(C49,'Train Runs'!$A$13:$AE$9932,31,0)</f>
        <v>aws s3 cp s3://rtdc.mdm.uploadarchive.raw/RTDC4044/ "%USERPROFILE%\AppData\Local\Temp\OnboardLogs"\RTDC4044\2017-07-13 --exclude "*" --recursive --include "*20170713*" &amp; "%USERPROFILE%\Documents\GitHub\mrs-test-scripts\Headless Mode &amp; Sideloading\WalkAndUnGZ.bat" "%USERPROFILE%\AppData\Local\Temp\OnboardLogs"\RTDC4044\2017-07-13 &amp; aws s3 cp s3://rtdc.mdm.uploadarchive.raw/RTDC4044/ "%USERPROFILE%\AppData\Local\Temp\OnboardLogs"\RTDC4044\2017-07-14 --exclude "*" --recursive --include "*20170714*" &amp; "%USERPROFILE%\Documents\GitHub\mrs-test-scripts\Headless Mode &amp; Sideloading\WalkAndUnGZ.bat" "%USERPROFILE%\AppData\Local\Temp\OnboardLogs"\RTDC4044\2017-07-14</v>
      </c>
      <c r="S49" s="84" t="str">
        <f>VLOOKUP(C49,'Train Runs'!$A$13:$AE$9932,22,0)</f>
        <v>https://d0f6bd738d7f1b3e5a7ca70fe4ff75f0.us-east-1.aws.found.io/app/kibana#/discover/Steve-Slow-Train-Analysis-(2080s-and-2083s)?_g=(refreshInterval:(display:Off,pause:!f,section:0,value:0),time:(from:'2017-07-13T21:09:52-0600',mode:absolute,to:'2017-07-13T23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/stypes="*4044*201707140*" /stext=" 04:.+((SYSTEM_STATE.+slice.+state.+changed )|(ment ac)|(multiple cpu faults)|(system.+state.+changed )|(\[timeout)|(PRM\|1\|D)|(kpr)|(kdp)|(train st.+moving)|(\|lc)|(penalty))"</v>
      </c>
      <c r="U49" s="9" t="str">
        <f>MID(B49,13,4)</f>
        <v>4044</v>
      </c>
      <c r="V49" s="31">
        <f>A49-utc_offset/24</f>
        <v>42930.191099537034</v>
      </c>
      <c r="W49" s="45" t="str">
        <f>DetSubdiv(C49)</f>
        <v>NW</v>
      </c>
      <c r="X49" s="22">
        <f>VALUE(LEFT(C49,LEN(C49)-3))</f>
        <v>847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{"issue":{"subject":"","project_id":79,"tracker_id":40,"status_id":1,"priority_id":2,"assigned_to_id":23,"start_date":"2017-07-13","description":"","custom_fields":[{"id":1,"name":"Subdivision","value":"NW"},{"id":4,"name":"Milepost","value":"5.9048"},{"id":17,"name":"Train ID","value":"847-13"},{"id":16,"name":"Locomotive ID","value":"4044"},{"id":130,"name":"Impact","value":""},{"id":150,"name":"Time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/c/Users/stu/AppData/Local/Temp/OnboardLogs/RTDC4044 --include="*4044*201707140*"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"%USERPROFILE%\AppData\Local\Temp\OnboardLogs"\RTDC4044\*4044*201707140* &gt;&gt; 2017-07-13-SliceDisagreementCheck.txt</v>
      </c>
      <c r="AE49" s="145" t="str">
        <f t="shared" si="1"/>
        <v>start /low /b %USERPROFILE%\Documents\GitHub\eaglep3\Utilities\DownloadLogsFromS3.py --loco 4044 --day 2017-07-14</v>
      </c>
      <c r="AF49" s="1"/>
    </row>
    <row r="50" spans="1:32" x14ac:dyDescent="0.25">
      <c r="A50" s="31">
        <v>42930.093113425923</v>
      </c>
      <c r="B50" s="30" t="s">
        <v>367</v>
      </c>
      <c r="C50" s="30" t="s">
        <v>663</v>
      </c>
      <c r="D50" s="30" t="s">
        <v>49</v>
      </c>
      <c r="E50" s="30" t="s">
        <v>356</v>
      </c>
      <c r="F50" s="42">
        <v>0</v>
      </c>
      <c r="G50" s="42">
        <v>31</v>
      </c>
      <c r="H50" s="42">
        <v>1621</v>
      </c>
      <c r="I50" s="42">
        <v>1643</v>
      </c>
      <c r="J50" s="30" t="s">
        <v>357</v>
      </c>
      <c r="K50" s="42">
        <v>1692</v>
      </c>
      <c r="L50" s="131" t="s">
        <v>50</v>
      </c>
      <c r="M50" s="132">
        <f>CONVERT((I50-K50)/10000,"mi","ft")*IF(L50="Increasing Mileposts (1)",-1,1)</f>
        <v>25.872</v>
      </c>
      <c r="N50" s="133" t="str">
        <f>VLOOKUP(C50,'Trips&amp;Operators'!$C$1:$G$99999,5,FALSE)</f>
        <v>FORTUNATO FRANK</v>
      </c>
      <c r="O50" s="203" t="s">
        <v>180</v>
      </c>
      <c r="P50" s="134"/>
      <c r="Q50" s="30"/>
      <c r="R50" s="81" t="str">
        <f>VLOOKUP(C50,'Train Runs'!$A$13:$AE$9932,31,0)</f>
        <v>aws s3 cp s3://rtdc.mdm.uploadarchive.raw/RTDC4014/ "%USERPROFILE%\AppData\Local\Temp\OnboardLogs"\RTDC4014\2017-07-14 --exclude "*" --recursive --include "*20170714*" &amp; "%USERPROFILE%\Documents\GitHub\mrs-test-scripts\Headless Mode &amp; Sideloading\WalkAndUnGZ.bat" "%USERPROFILE%\AppData\Local\Temp\OnboardLogs"\RTDC4014\2017-07-14 &amp; aws s3 cp s3://rtdc.mdm.uploadarchive.raw/RTDC4014/ "%USERPROFILE%\AppData\Local\Temp\OnboardLogs"\RTDC4014\2017-07-15 --exclude "*" --recursive --include "*20170715*" &amp; "%USERPROFILE%\Documents\GitHub\mrs-test-scripts\Headless Mode &amp; Sideloading\WalkAndUnGZ.bat" "%USERPROFILE%\AppData\Local\Temp\OnboardLogs"\RTDC4014\2017-07-15</v>
      </c>
      <c r="S50" s="84" t="str">
        <f>VLOOKUP(C50,'Train Runs'!$A$13:$AE$9932,22,0)</f>
        <v>https://d0f6bd738d7f1b3e5a7ca70fe4ff75f0.us-east-1.aws.found.io/app/kibana#/discover/Steve-Slow-Train-Analysis-(2080s-and-2083s)?_g=(refreshInterval:(display:Off,pause:!f,section:0,value:0),time:(from:'2017-07-14T01:07:57-0600',mode:absolute,to:'2017-07-14T03:29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/stypes="*4014*201707140*" /stext=" 08:.+((SYSTEM_STATE.+slice.+state.+changed )|(ment ac)|(multiple cpu faults)|(system.+state.+changed )|(\[timeout)|(PRM\|1\|D)|(kpr)|(kdp)|(train st.+moving)|(\|lc)|(penalty))"</v>
      </c>
      <c r="U50" s="9" t="str">
        <f>MID(B50,13,4)</f>
        <v>4014</v>
      </c>
      <c r="V50" s="31">
        <f>A50-utc_offset/24</f>
        <v>42930.343113425923</v>
      </c>
      <c r="W50" s="45" t="str">
        <f>DetSubdiv(C50)</f>
        <v>Other</v>
      </c>
      <c r="X50" s="22">
        <f>VALUE(LEFT(C50,LEN(C50)-3))</f>
        <v>313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{"issue":{"subject":"","project_id":79,"tracker_id":40,"status_id":1,"priority_id":2,"assigned_to_id":23,"start_date":"2017-07-14","description":"","custom_fields":[{"id":1,"name":"Subdivision","value":"Other"},{"id":4,"name":"Milepost","value":"0.1692"},{"id":17,"name":"Train ID","value":"313-13"},{"id":16,"name":"Locomotive ID","value":"4014"},{"id":130,"name":"Impact","value":""},{"id":150,"name":"Time of Event (Mountain Time)","value":"02:14:05"},{"id":151,"name":"Denver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/c/Users/stu/AppData/Local/Temp/OnboardLogs/RTDC4014 --include="*4014*201707140*"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"%USERPROFILE%\AppData\Local\Temp\OnboardLogs"\RTDC4014\*4014*201707140* &gt;&gt; 2017-07-13-SliceDisagreementCheck.txt</v>
      </c>
      <c r="AE50" s="145" t="str">
        <f t="shared" si="1"/>
        <v>start /low /b %USERPROFILE%\Documents\GitHub\eaglep3\Utilities\DownloadLogsFromS3.py --loco 4014 --day 2017-07-14</v>
      </c>
      <c r="AF50" s="1"/>
    </row>
    <row r="51" spans="1:32" x14ac:dyDescent="0.25">
      <c r="A51" s="31">
        <v>42929.646620370368</v>
      </c>
      <c r="B51" s="30" t="s">
        <v>506</v>
      </c>
      <c r="C51" s="30" t="s">
        <v>641</v>
      </c>
      <c r="D51" s="30" t="s">
        <v>96</v>
      </c>
      <c r="E51" s="30" t="s">
        <v>356</v>
      </c>
      <c r="F51" s="42">
        <v>0</v>
      </c>
      <c r="G51" s="42">
        <v>63</v>
      </c>
      <c r="H51" s="42">
        <v>18860</v>
      </c>
      <c r="I51" s="42">
        <v>18750</v>
      </c>
      <c r="J51" s="30" t="s">
        <v>357</v>
      </c>
      <c r="K51" s="42">
        <v>19000</v>
      </c>
      <c r="L51" s="131" t="s">
        <v>51</v>
      </c>
      <c r="M51" s="132">
        <f>CONVERT((I51-K51)/10000,"mi","ft")*IF(L51="Increasing Mileposts (1)",-1,1)</f>
        <v>-132</v>
      </c>
      <c r="N51" s="133" t="str">
        <f>VLOOKUP(C51,'Trips&amp;Operators'!$C$1:$G$99999,5,FALSE)</f>
        <v>MAGEE KENYA</v>
      </c>
      <c r="O51" s="203" t="s">
        <v>180</v>
      </c>
      <c r="P51" s="134"/>
      <c r="Q51" s="30"/>
      <c r="R51" s="81" t="str">
        <f>VLOOKUP(C51,'Train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51" s="84" t="str">
        <f>VLOOKUP(C51,'Train Runs'!$A$13:$AE$9932,22,0)</f>
        <v>https://d0f6bd738d7f1b3e5a7ca70fe4ff75f0.us-east-1.aws.found.io/app/kibana#/discover/Steve-Slow-Train-Analysis-(2080s-and-2083s)?_g=(refreshInterval:(display:Off,pause:!f,section:0,value:0),time:(from:'2017-07-13T14:26:28-0600',mode:absolute,to:'2017-07-13T16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/stypes="*4015*201707132*" /stext=" 21:.+((SYSTEM_STATE.+slice.+state.+changed )|(ment ac)|(multiple cpu faults)|(system.+state.+changed )|(\[timeout)|(PRM\|1\|D)|(kpr)|(kdp)|(train st.+moving)|(\|lc)|(penalty))"</v>
      </c>
      <c r="U51" s="9" t="str">
        <f>MID(B51,13,4)</f>
        <v>4015</v>
      </c>
      <c r="V51" s="31">
        <f>A51-utc_offset/24</f>
        <v>42929.896620370368</v>
      </c>
      <c r="W51" s="45" t="str">
        <f>DetSubdiv(C51)</f>
        <v>Other</v>
      </c>
      <c r="X51" s="22">
        <f>VALUE(LEFT(C51,LEN(C51)-3))</f>
        <v>904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{"issue":{"subject":"","project_id":79,"tracker_id":40,"status_id":1,"priority_id":2,"assigned_to_id":23,"start_date":"2017-07-13","description":"","custom_fields":[{"id":1,"name":"Subdivision","value":"Other"},{"id":4,"name":"Milepost","value":"1.9"},{"id":17,"name":"Train ID","value":"904-13"},{"id":16,"name":"Locomotive ID","value":"4015"},{"id":130,"name":"Impact","value":""},{"id":150,"name":"Time of Event (Mountain Time)","value":"15:31:08"},{"id":151,"name":"Denver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/c/Users/stu/AppData/Local/Temp/OnboardLogs/RTDC4015 --include="*4015*201707132*"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"%USERPROFILE%\AppData\Local\Temp\OnboardLogs"\RTDC4015\*4015*201707132* &gt;&gt; 2017-07-13-SliceDisagreementCheck.txt</v>
      </c>
      <c r="AE51" s="145" t="str">
        <f t="shared" si="1"/>
        <v>start /low /b %USERPROFILE%\Documents\GitHub\eaglep3\Utilities\DownloadLogsFromS3.py --loco 4015 --day 2017-07-13</v>
      </c>
      <c r="AF51" s="1"/>
    </row>
    <row r="52" spans="1:32" x14ac:dyDescent="0.25">
      <c r="A52" s="31">
        <v>42929.647245370368</v>
      </c>
      <c r="B52" s="30" t="s">
        <v>506</v>
      </c>
      <c r="C52" s="30" t="s">
        <v>641</v>
      </c>
      <c r="D52" s="30" t="s">
        <v>96</v>
      </c>
      <c r="E52" s="30" t="s">
        <v>356</v>
      </c>
      <c r="F52" s="42">
        <v>200</v>
      </c>
      <c r="G52" s="42">
        <v>257</v>
      </c>
      <c r="H52" s="42">
        <v>18176</v>
      </c>
      <c r="I52" s="42">
        <v>17285</v>
      </c>
      <c r="J52" s="30" t="s">
        <v>357</v>
      </c>
      <c r="K52" s="42">
        <v>19000</v>
      </c>
      <c r="L52" s="131" t="s">
        <v>51</v>
      </c>
      <c r="M52" s="132">
        <f>CONVERT((I52-K52)/10000,"mi","ft")*IF(L52="Increasing Mileposts (1)",-1,1)</f>
        <v>-905.52</v>
      </c>
      <c r="N52" s="133" t="str">
        <f>VLOOKUP(C52,'Trips&amp;Operators'!$C$1:$G$99999,5,FALSE)</f>
        <v>MAGEE KENYA</v>
      </c>
      <c r="O52" s="203" t="s">
        <v>180</v>
      </c>
      <c r="P52" s="134"/>
      <c r="Q52" s="30"/>
      <c r="R52" s="81" t="str">
        <f>VLOOKUP(C52,'Train Runs'!$A$13:$AE$9932,31,0)</f>
        <v>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 &amp; aws s3 cp s3://rtdc.mdm.uploadarchive.raw/RTDC4015/ "%USERPROFILE%\AppData\Local\Temp\OnboardLogs"\RTDC4015\2017-07-14 --exclude "*" --recursive --include "*20170714*" &amp; "%USERPROFILE%\Documents\GitHub\mrs-test-scripts\Headless Mode &amp; Sideloading\WalkAndUnGZ.bat" "%USERPROFILE%\AppData\Local\Temp\OnboardLogs"\RTDC4015\2017-07-14</v>
      </c>
      <c r="S52" s="84" t="str">
        <f>VLOOKUP(C52,'Train Runs'!$A$13:$AE$9932,22,0)</f>
        <v>https://d0f6bd738d7f1b3e5a7ca70fe4ff75f0.us-east-1.aws.found.io/app/kibana#/discover/Steve-Slow-Train-Analysis-(2080s-and-2083s)?_g=(refreshInterval:(display:Off,pause:!f,section:0,value:0),time:(from:'2017-07-13T14:26:28-0600',mode:absolute,to:'2017-07-13T16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/stypes="*4015*201707132*" /stext=" 21:.+((SYSTEM_STATE.+slice.+state.+changed )|(ment ac)|(multiple cpu faults)|(system.+state.+changed )|(\[timeout)|(PRM\|1\|D)|(kpr)|(kdp)|(train st.+moving)|(\|lc)|(penalty))"</v>
      </c>
      <c r="U52" s="9" t="str">
        <f>MID(B52,13,4)</f>
        <v>4015</v>
      </c>
      <c r="V52" s="31">
        <f>A52-utc_offset/24</f>
        <v>42929.897245370368</v>
      </c>
      <c r="W52" s="45" t="str">
        <f>DetSubdiv(C52)</f>
        <v>Other</v>
      </c>
      <c r="X52" s="22">
        <f>VALUE(LEFT(C52,LEN(C52)-3))</f>
        <v>904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{"issue":{"subject":"","project_id":79,"tracker_id":40,"status_id":1,"priority_id":2,"assigned_to_id":23,"start_date":"2017-07-13","description":"","custom_fields":[{"id":1,"name":"Subdivision","value":"Other"},{"id":4,"name":"Milepost","value":"1.9"},{"id":17,"name":"Train ID","value":"904-13"},{"id":16,"name":"Locomotive ID","value":"4015"},{"id":130,"name":"Impact","value":""},{"id":150,"name":"Time of Event (Mountain Time)","value":"15:32:02"},{"id":151,"name":"Denver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/c/Users/stu/AppData/Local/Temp/OnboardLogs/RTDC4015 --include="*4015*201707132*"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"%USERPROFILE%\AppData\Local\Temp\OnboardLogs"\RTDC4015\*4015*201707132* &gt;&gt; 2017-07-13-SliceDisagreementCheck.txt</v>
      </c>
      <c r="AE52" s="145" t="str">
        <f t="shared" si="1"/>
        <v>start /low /b %USERPROFILE%\Documents\GitHub\eaglep3\Utilities\DownloadLogsFromS3.py --loco 4015 --day 2017-07-13</v>
      </c>
      <c r="AF52" s="1"/>
    </row>
    <row r="53" spans="1:32" x14ac:dyDescent="0.25">
      <c r="A53" s="31">
        <v>42929.181296296294</v>
      </c>
      <c r="B53" s="30" t="s">
        <v>361</v>
      </c>
      <c r="C53" s="30" t="s">
        <v>615</v>
      </c>
      <c r="D53" s="30" t="s">
        <v>49</v>
      </c>
      <c r="E53" s="30" t="s">
        <v>181</v>
      </c>
      <c r="F53" s="42">
        <v>0</v>
      </c>
      <c r="G53" s="42">
        <v>52</v>
      </c>
      <c r="H53" s="42">
        <v>189</v>
      </c>
      <c r="I53" s="42">
        <v>150</v>
      </c>
      <c r="J53" s="30" t="s">
        <v>182</v>
      </c>
      <c r="K53" s="42">
        <v>1</v>
      </c>
      <c r="L53" s="131" t="s">
        <v>51</v>
      </c>
      <c r="M53" s="132">
        <f>CONVERT((I53-K53)/10000,"mi","ft")*IF(L53="Increasing Mileposts (1)",-1,1)</f>
        <v>78.671999999999997</v>
      </c>
      <c r="N53" s="133" t="str">
        <f>VLOOKUP(C53,'Trips&amp;Operators'!$C$1:$G$99999,5,FALSE)</f>
        <v>LANGERAK WILLIAM</v>
      </c>
      <c r="O53" s="203" t="s">
        <v>180</v>
      </c>
      <c r="P53" s="134"/>
      <c r="Q53" s="30"/>
      <c r="R53" s="81" t="str">
        <f>VLOOKUP(C53,'Train Runs'!$A$13:$AE$9932,31,0)</f>
        <v>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 &amp; aws s3 cp s3://rtdc.mdm.uploadarchive.raw/RTDC4013/ "%USERPROFILE%\AppData\Local\Temp\OnboardLogs"\RTDC4013\2017-07-14 --exclude "*" --recursive --include "*20170714*" &amp; "%USERPROFILE%\Documents\GitHub\mrs-test-scripts\Headless Mode &amp; Sideloading\WalkAndUnGZ.bat" "%USERPROFILE%\AppData\Local\Temp\OnboardLogs"\RTDC4013\2017-07-14</v>
      </c>
      <c r="S53" s="84" t="str">
        <f>VLOOKUP(C53,'Train Runs'!$A$13:$AE$9932,22,0)</f>
        <v>https://d0f6bd738d7f1b3e5a7ca70fe4ff75f0.us-east-1.aws.found.io/app/kibana#/discover/Steve-Slow-Train-Analysis-(2080s-and-2083s)?_g=(refreshInterval:(display:Off,pause:!f,section:0,value:0),time:(from:'2017-07-13T03:06:23-0600',mode:absolute,to:'2017-07-13T05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/stypes="*4013*201707131*" /stext=" 10:.+((SYSTEM_STATE.+slice.+state.+changed )|(ment ac)|(multiple cpu faults)|(system.+state.+changed )|(\[timeout)|(PRM\|1\|D)|(kpr)|(kdp)|(train st.+moving)|(\|lc)|(penalty))"</v>
      </c>
      <c r="U53" s="9" t="str">
        <f>MID(B53,13,4)</f>
        <v>4013</v>
      </c>
      <c r="V53" s="31">
        <f>A53-utc_offset/24</f>
        <v>42929.431296296294</v>
      </c>
      <c r="W53" s="45" t="str">
        <f>DetSubdiv(C53)</f>
        <v>Other</v>
      </c>
      <c r="X53" s="22">
        <f>VALUE(LEFT(C53,LEN(C53)-3))</f>
        <v>306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{"issue":{"subject":"","project_id":79,"tracker_id":40,"status_id":1,"priority_id":2,"assigned_to_id":23,"start_date":"2017-07-13","description":"","custom_fields":[{"id":1,"name":"Subdivision","value":"Other"},{"id":4,"name":"Milepost","value":"0.0001"},{"id":17,"name":"Train ID","value":"306-13"},{"id":16,"name":"Locomotive ID","value":"4013"},{"id":130,"name":"Impact","value":""},{"id":150,"name":"Time of Event (Mountain Time)","value":"04:21:04"},{"id":151,"name":"Denver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>"grep -hrE -A400 ""Enforcement Action"" "&amp;"/c/Users/stu/AppData/Local/Temp/OnboardLogs"&amp;"/RTDC"&amp;U53&amp;"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/c/Users/stu/AppData/Local/Temp/OnboardLogs/RTDC4013 --include="*4013*201707131*"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"%USERPROFILE%\AppData\Local\Temp\OnboardLogs"\RTDC4013\*4013*201707131* &gt;&gt; 2017-07-13-SliceDisagreementCheck.txt</v>
      </c>
      <c r="AE53" s="145" t="str">
        <f t="shared" si="1"/>
        <v>start /low /b %USERPROFILE%\Documents\GitHub\eaglep3\Utilities\DownloadLogsFromS3.py --loco 4013 --day 2017-07-13</v>
      </c>
      <c r="AF53" s="1"/>
    </row>
    <row r="54" spans="1:32" x14ac:dyDescent="0.25">
      <c r="A54" s="31">
        <v>42929.212604166663</v>
      </c>
      <c r="B54" s="30" t="s">
        <v>482</v>
      </c>
      <c r="C54" s="30" t="s">
        <v>616</v>
      </c>
      <c r="D54" s="30" t="s">
        <v>96</v>
      </c>
      <c r="E54" s="30" t="s">
        <v>181</v>
      </c>
      <c r="F54" s="42">
        <v>0</v>
      </c>
      <c r="G54" s="42">
        <v>5</v>
      </c>
      <c r="H54" s="42">
        <v>59049</v>
      </c>
      <c r="I54" s="42">
        <v>59048</v>
      </c>
      <c r="J54" s="30" t="s">
        <v>182</v>
      </c>
      <c r="K54" s="42">
        <v>59048</v>
      </c>
      <c r="L54" s="131" t="s">
        <v>50</v>
      </c>
      <c r="M54" s="132">
        <f>CONVERT((I54-K54)/10000,"mi","ft")*IF(L54="Increasing Mileposts (1)",-1,1)</f>
        <v>0</v>
      </c>
      <c r="N54" s="133" t="str">
        <f>VLOOKUP(C54,'Trips&amp;Operators'!$C$1:$G$99999,5,FALSE)</f>
        <v>DAVIS WENDY</v>
      </c>
      <c r="O54" s="203" t="s">
        <v>180</v>
      </c>
      <c r="P54" s="134"/>
      <c r="Q54" s="30"/>
      <c r="R54" s="81" t="str">
        <f>VLOOKUP(C54,'Train Runs'!$A$13:$AE$9932,31,0)</f>
        <v>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 &amp; aws s3 cp s3://rtdc.mdm.uploadarchive.raw/RTDC4016/ "%USERPROFILE%\AppData\Local\Temp\OnboardLogs"\RTDC4016\2017-07-14 --exclude "*" --recursive --include "*20170714*" &amp; "%USERPROFILE%\Documents\GitHub\mrs-test-scripts\Headless Mode &amp; Sideloading\WalkAndUnGZ.bat" "%USERPROFILE%\AppData\Local\Temp\OnboardLogs"\RTDC4016\2017-07-14</v>
      </c>
      <c r="S54" s="84" t="str">
        <f>VLOOKUP(C54,'Train Runs'!$A$13:$AE$9932,22,0)</f>
        <v>https://d0f6bd738d7f1b3e5a7ca70fe4ff75f0.us-east-1.aws.found.io/app/kibana#/discover/Steve-Slow-Train-Analysis-(2080s-and-2083s)?_g=(refreshInterval:(display:Off,pause:!f,section:0,value:0),time:(from:'2017-07-13T03:51:58-0600',mode:absolute,to:'2017-07-13T06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/stypes="*4016*201707131*" /stext=" 11:.+((SYSTEM_STATE.+slice.+state.+changed )|(ment ac)|(multiple cpu faults)|(system.+state.+changed )|(\[timeout)|(PRM\|1\|D)|(kpr)|(kdp)|(train st.+moving)|(\|lc)|(penalty))"</v>
      </c>
      <c r="U54" s="9" t="str">
        <f>MID(B54,13,4)</f>
        <v>4016</v>
      </c>
      <c r="V54" s="31">
        <f>A54-utc_offset/24</f>
        <v>42929.462604166663</v>
      </c>
      <c r="W54" s="45" t="str">
        <f>DetSubdiv(C54)</f>
        <v>Other</v>
      </c>
      <c r="X54" s="22">
        <f>VALUE(LEFT(C54,LEN(C54)-3))</f>
        <v>901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{"issue":{"subject":"","project_id":79,"tracker_id":40,"status_id":1,"priority_id":2,"assigned_to_id":23,"start_date":"2017-07-13","description":"","custom_fields":[{"id":1,"name":"Subdivision","value":"Other"},{"id":4,"name":"Milepost","value":"5.9048"},{"id":17,"name":"Train ID","value":"901-13"},{"id":16,"name":"Locomotive ID","value":"4016"},{"id":130,"name":"Impact","value":""},{"id":150,"name":"Time of Event (Mountain Time)","value":"05:06:09"},{"id":151,"name":"Denver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>"grep -hrE -A400 ""Enforcement Action"" "&amp;"/c/Users/stu/AppData/Local/Temp/OnboardLogs"&amp;"/RTDC"&amp;U54&amp;"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/c/Users/stu/AppData/Local/Temp/OnboardLogs/RTDC4016 --include="*4016*201707131*"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"%USERPROFILE%\AppData\Local\Temp\OnboardLogs"\RTDC4016\*4016*201707131* &gt;&gt; 2017-07-13-SliceDisagreementCheck.txt</v>
      </c>
      <c r="AE54" s="145" t="str">
        <f t="shared" si="1"/>
        <v>start /low /b %USERPROFILE%\Documents\GitHub\eaglep3\Utilities\DownloadLogsFromS3.py --loco 4016 --day 2017-07-13</v>
      </c>
      <c r="AF54" s="1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3">
    <sortState ref="A7:AC73">
      <sortCondition ref="W7:W54"/>
      <sortCondition ref="E7:E54"/>
      <sortCondition ref="K7:K54"/>
      <sortCondition ref="F7:F54"/>
    </sortState>
  </autoFilter>
  <sortState ref="A7:AE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5:O1048576 O7:O5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AA7:AA54</xm:sqref>
        </x14:dataValidation>
        <x14:dataValidation type="list" allowBlank="1" showInputMessage="1" showErrorMessage="1">
          <x14:formula1>
            <xm:f>'Redmine List Values'!$C$2:$C$15</xm:f>
          </x14:formula1>
          <xm:sqref>AB7:AB54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-13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" s="30" t="e">
        <f>VLOOKUP(B3,'Train Runs'!$A$13:$A$99929,1,FALSE)</f>
        <v>#N/A</v>
      </c>
    </row>
    <row r="4" spans="1:10" x14ac:dyDescent="0.25">
      <c r="A4" s="195"/>
      <c r="B4" s="42" t="str">
        <f>A4&amp;"-"&amp;IF(DAY(Variables!$A$2)&lt;10,0,"")&amp;DAY(Variables!$A$2)</f>
        <v>-13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4" s="30" t="e">
        <f>VLOOKUP(B4,'Train Runs'!$A$13:$A$99929,1,FALSE)</f>
        <v>#N/A</v>
      </c>
    </row>
    <row r="5" spans="1:10" x14ac:dyDescent="0.25">
      <c r="A5" s="195"/>
      <c r="B5" s="42" t="str">
        <f>A5&amp;"-"&amp;IF(DAY(Variables!$A$2)&lt;10,0,"")&amp;DAY(Variables!$A$2)</f>
        <v>-13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5" s="30" t="e">
        <f>VLOOKUP(B5,'Train Runs'!$A$13:$A$99929,1,FALSE)</f>
        <v>#N/A</v>
      </c>
    </row>
    <row r="6" spans="1:10" x14ac:dyDescent="0.25">
      <c r="A6" s="195"/>
      <c r="B6" s="42" t="str">
        <f>A6&amp;"-"&amp;IF(DAY(Variables!$A$2)&lt;10,0,"")&amp;DAY(Variables!$A$2)</f>
        <v>-13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6" s="30" t="e">
        <f>VLOOKUP(B6,'Train Runs'!$A$13:$A$99929,1,FALSE)</f>
        <v>#N/A</v>
      </c>
    </row>
    <row r="7" spans="1:10" x14ac:dyDescent="0.25">
      <c r="A7" s="195"/>
      <c r="B7" s="42" t="str">
        <f>A7&amp;"-"&amp;IF(DAY(Variables!$A$2)&lt;10,0,"")&amp;DAY(Variables!$A$2)</f>
        <v>-13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7" s="30" t="e">
        <f>VLOOKUP(B7,'Train Runs'!$A$13:$A$99929,1,FALSE)</f>
        <v>#N/A</v>
      </c>
    </row>
    <row r="8" spans="1:10" x14ac:dyDescent="0.25">
      <c r="A8" s="195"/>
      <c r="B8" s="42" t="str">
        <f>A8&amp;"-"&amp;IF(DAY(Variables!$A$2)&lt;10,0,"")&amp;DAY(Variables!$A$2)</f>
        <v>-13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8" s="30" t="e">
        <f>VLOOKUP(B8,'Train Runs'!$A$13:$A$99929,1,FALSE)</f>
        <v>#N/A</v>
      </c>
    </row>
    <row r="9" spans="1:10" x14ac:dyDescent="0.25">
      <c r="A9" s="195"/>
      <c r="B9" s="42" t="str">
        <f>A9&amp;"-"&amp;IF(DAY(Variables!$A$2)&lt;10,0,"")&amp;DAY(Variables!$A$2)</f>
        <v>-13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9" s="30" t="e">
        <f>VLOOKUP(B9,'Train Runs'!$A$13:$A$99929,1,FALSE)</f>
        <v>#N/A</v>
      </c>
    </row>
    <row r="10" spans="1:10" x14ac:dyDescent="0.25">
      <c r="A10" s="195"/>
      <c r="B10" s="42" t="str">
        <f>A10&amp;"-"&amp;IF(DAY(Variables!$A$2)&lt;10,0,"")&amp;DAY(Variables!$A$2)</f>
        <v>-13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0" s="30" t="e">
        <f>VLOOKUP(B10,'Train Runs'!$A$13:$A$99929,1,FALSE)</f>
        <v>#N/A</v>
      </c>
    </row>
    <row r="11" spans="1:10" x14ac:dyDescent="0.25">
      <c r="A11" s="195"/>
      <c r="B11" s="42" t="str">
        <f>A11&amp;"-"&amp;IF(DAY(Variables!$A$2)&lt;10,0,"")&amp;DAY(Variables!$A$2)</f>
        <v>-13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1" s="30" t="e">
        <f>VLOOKUP(B11,'Train Runs'!$A$13:$A$99929,1,FALSE)</f>
        <v>#N/A</v>
      </c>
    </row>
    <row r="12" spans="1:10" x14ac:dyDescent="0.25">
      <c r="A12" s="195"/>
      <c r="B12" s="42" t="str">
        <f>A12&amp;"-"&amp;IF(DAY(Variables!$A$2)&lt;10,0,"")&amp;DAY(Variables!$A$2)</f>
        <v>-13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2" s="30" t="e">
        <f>VLOOKUP(B12,'Train Runs'!$A$13:$A$99929,1,FALSE)</f>
        <v>#N/A</v>
      </c>
    </row>
    <row r="13" spans="1:10" x14ac:dyDescent="0.25">
      <c r="A13" s="195"/>
      <c r="B13" s="42" t="str">
        <f>A13&amp;"-"&amp;IF(DAY(Variables!$A$2)&lt;10,0,"")&amp;DAY(Variables!$A$2)</f>
        <v>-13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3" s="30" t="e">
        <f>VLOOKUP(B13,'Train Runs'!$A$13:$A$99929,1,FALSE)</f>
        <v>#N/A</v>
      </c>
    </row>
    <row r="14" spans="1:10" x14ac:dyDescent="0.25">
      <c r="A14" s="195"/>
      <c r="B14" s="42" t="str">
        <f>A14&amp;"-"&amp;IF(DAY(Variables!$A$2)&lt;10,0,"")&amp;DAY(Variables!$A$2)</f>
        <v>-13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4" s="30" t="e">
        <f>VLOOKUP(B14,'Train Runs'!$A$13:$A$99929,1,FALSE)</f>
        <v>#N/A</v>
      </c>
    </row>
    <row r="15" spans="1:10" x14ac:dyDescent="0.25">
      <c r="A15" s="195"/>
      <c r="B15" s="42" t="str">
        <f>A15&amp;"-"&amp;IF(DAY(Variables!$A$2)&lt;10,0,"")&amp;DAY(Variables!$A$2)</f>
        <v>-13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5" s="30" t="e">
        <f>VLOOKUP(B15,'Train Runs'!$A$13:$A$99929,1,FALSE)</f>
        <v>#N/A</v>
      </c>
    </row>
    <row r="16" spans="1:10" x14ac:dyDescent="0.25">
      <c r="A16" s="195"/>
      <c r="B16" s="42" t="str">
        <f>A16&amp;"-"&amp;IF(DAY(Variables!$A$2)&lt;10,0,"")&amp;DAY(Variables!$A$2)</f>
        <v>-13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6" s="30" t="e">
        <f>VLOOKUP(B16,'Train Runs'!$A$13:$A$99929,1,FALSE)</f>
        <v>#N/A</v>
      </c>
    </row>
    <row r="17" spans="1:10" x14ac:dyDescent="0.25">
      <c r="A17" s="195"/>
      <c r="B17" s="42" t="str">
        <f>A17&amp;"-"&amp;IF(DAY(Variables!$A$2)&lt;10,0,"")&amp;DAY(Variables!$A$2)</f>
        <v>-13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7" s="30" t="e">
        <f>VLOOKUP(B17,'Train Runs'!$A$13:$A$99929,1,FALSE)</f>
        <v>#N/A</v>
      </c>
    </row>
    <row r="18" spans="1:10" x14ac:dyDescent="0.25">
      <c r="A18" s="195"/>
      <c r="B18" s="42" t="str">
        <f>A18&amp;"-"&amp;IF(DAY(Variables!$A$2)&lt;10,0,"")&amp;DAY(Variables!$A$2)</f>
        <v>-13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8" s="30" t="e">
        <f>VLOOKUP(B18,'Train Runs'!$A$13:$A$99929,1,FALSE)</f>
        <v>#N/A</v>
      </c>
    </row>
    <row r="19" spans="1:10" x14ac:dyDescent="0.25">
      <c r="A19" s="195"/>
      <c r="B19" s="42" t="str">
        <f>A19&amp;"-"&amp;IF(DAY(Variables!$A$2)&lt;10,0,"")&amp;DAY(Variables!$A$2)</f>
        <v>-13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19" s="30" t="e">
        <f>VLOOKUP(B19,'Train Runs'!$A$13:$A$99929,1,FALSE)</f>
        <v>#N/A</v>
      </c>
    </row>
    <row r="20" spans="1:10" x14ac:dyDescent="0.25">
      <c r="A20" s="195"/>
      <c r="B20" s="42" t="str">
        <f>A20&amp;"-"&amp;IF(DAY(Variables!$A$2)&lt;10,0,"")&amp;DAY(Variables!$A$2)</f>
        <v>-13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0" s="30" t="e">
        <f>VLOOKUP(B20,'Train Runs'!$A$13:$A$99929,1,FALSE)</f>
        <v>#N/A</v>
      </c>
    </row>
    <row r="21" spans="1:10" x14ac:dyDescent="0.25">
      <c r="A21" s="195"/>
      <c r="B21" s="42" t="str">
        <f>A21&amp;"-"&amp;IF(DAY(Variables!$A$2)&lt;10,0,"")&amp;DAY(Variables!$A$2)</f>
        <v>-13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1" s="30" t="e">
        <f>VLOOKUP(B21,'Train Runs'!$A$13:$A$99929,1,FALSE)</f>
        <v>#N/A</v>
      </c>
    </row>
    <row r="22" spans="1:10" x14ac:dyDescent="0.25">
      <c r="A22" s="195"/>
      <c r="B22" s="42" t="str">
        <f>A22&amp;"-"&amp;IF(DAY(Variables!$A$2)&lt;10,0,"")&amp;DAY(Variables!$A$2)</f>
        <v>-13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2" s="30" t="e">
        <f>VLOOKUP(B22,'Train Runs'!$A$13:$A$99929,1,FALSE)</f>
        <v>#N/A</v>
      </c>
    </row>
    <row r="23" spans="1:10" x14ac:dyDescent="0.25">
      <c r="A23" s="195"/>
      <c r="B23" s="42" t="str">
        <f>A23&amp;"-"&amp;IF(DAY(Variables!$A$2)&lt;10,0,"")&amp;DAY(Variables!$A$2)</f>
        <v>-13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3" s="30" t="e">
        <f>VLOOKUP(B23,'Train Runs'!$A$13:$A$99929,1,FALSE)</f>
        <v>#N/A</v>
      </c>
    </row>
    <row r="24" spans="1:10" x14ac:dyDescent="0.25">
      <c r="A24" s="195"/>
      <c r="B24" s="42" t="str">
        <f>A24&amp;"-"&amp;IF(DAY(Variables!$A$2)&lt;10,0,"")&amp;DAY(Variables!$A$2)</f>
        <v>-13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4" s="30" t="e">
        <f>VLOOKUP(B24,'Train Runs'!$A$13:$A$99929,1,FALSE)</f>
        <v>#N/A</v>
      </c>
    </row>
    <row r="25" spans="1:10" x14ac:dyDescent="0.25">
      <c r="A25" s="195"/>
      <c r="B25" s="42" t="str">
        <f>A25&amp;"-"&amp;IF(DAY(Variables!$A$2)&lt;10,0,"")&amp;DAY(Variables!$A$2)</f>
        <v>-13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5" s="30" t="e">
        <f>VLOOKUP(B25,'Train Runs'!$A$13:$A$99929,1,FALSE)</f>
        <v>#N/A</v>
      </c>
    </row>
    <row r="26" spans="1:10" x14ac:dyDescent="0.25">
      <c r="A26" s="195"/>
      <c r="B26" s="42" t="str">
        <f>A26&amp;"-"&amp;IF(DAY(Variables!$A$2)&lt;10,0,"")&amp;DAY(Variables!$A$2)</f>
        <v>-13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6" s="30" t="e">
        <f>VLOOKUP(B26,'Train Runs'!$A$13:$A$99929,1,FALSE)</f>
        <v>#N/A</v>
      </c>
    </row>
    <row r="27" spans="1:10" x14ac:dyDescent="0.25">
      <c r="A27" s="195"/>
      <c r="B27" s="42" t="str">
        <f>A27&amp;"-"&amp;IF(DAY(Variables!$A$2)&lt;10,0,"")&amp;DAY(Variables!$A$2)</f>
        <v>-13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7" s="30" t="e">
        <f>VLOOKUP(B27,'Train Runs'!$A$13:$A$99929,1,FALSE)</f>
        <v>#N/A</v>
      </c>
    </row>
    <row r="28" spans="1:10" x14ac:dyDescent="0.25">
      <c r="A28" s="195"/>
      <c r="B28" s="42" t="str">
        <f>A28&amp;"-"&amp;IF(DAY(Variables!$A$2)&lt;10,0,"")&amp;DAY(Variables!$A$2)</f>
        <v>-13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8" s="30" t="e">
        <f>VLOOKUP(B28,'Train Runs'!$A$13:$A$99929,1,FALSE)</f>
        <v>#N/A</v>
      </c>
    </row>
    <row r="29" spans="1:10" x14ac:dyDescent="0.25">
      <c r="A29" s="195"/>
      <c r="B29" s="42" t="str">
        <f>A29&amp;"-"&amp;IF(DAY(Variables!$A$2)&lt;10,0,"")&amp;DAY(Variables!$A$2)</f>
        <v>-13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29" s="30" t="e">
        <f>VLOOKUP(B29,'Train Runs'!$A$13:$A$99929,1,FALSE)</f>
        <v>#N/A</v>
      </c>
    </row>
    <row r="30" spans="1:10" x14ac:dyDescent="0.25">
      <c r="A30" s="195"/>
      <c r="B30" s="42" t="str">
        <f>A30&amp;"-"&amp;IF(DAY(Variables!$A$2)&lt;10,0,"")&amp;DAY(Variables!$A$2)</f>
        <v>-13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0" s="30" t="e">
        <f>VLOOKUP(B30,'Train Runs'!$A$13:$A$99929,1,FALSE)</f>
        <v>#N/A</v>
      </c>
    </row>
    <row r="31" spans="1:10" x14ac:dyDescent="0.25">
      <c r="A31" s="195"/>
      <c r="B31" s="42" t="str">
        <f>A31&amp;"-"&amp;IF(DAY(Variables!$A$2)&lt;10,0,"")&amp;DAY(Variables!$A$2)</f>
        <v>-13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1" s="30" t="e">
        <f>VLOOKUP(B31,'Train Runs'!$A$13:$A$99929,1,FALSE)</f>
        <v>#N/A</v>
      </c>
    </row>
    <row r="32" spans="1:10" x14ac:dyDescent="0.25">
      <c r="A32" s="195"/>
      <c r="B32" s="42" t="str">
        <f>A32&amp;"-"&amp;IF(DAY(Variables!$A$2)&lt;10,0,"")&amp;DAY(Variables!$A$2)</f>
        <v>-13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-13%22)),sort:!(Time.ISO8601,asc))</v>
      </c>
      <c r="J32" s="30" t="e">
        <f>VLOOKUP(B32,'Train Runs'!$A$13:$A$99929,1,FALSE)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42929.048171296294</v>
      </c>
      <c r="B2" s="20" t="s">
        <v>436</v>
      </c>
      <c r="C2" s="20" t="s">
        <v>567</v>
      </c>
      <c r="D2" s="138">
        <v>2630000</v>
      </c>
      <c r="E2" s="20" t="s">
        <v>561</v>
      </c>
      <c r="F2" s="20" t="s">
        <v>562</v>
      </c>
      <c r="G2" s="8" t="str">
        <f>E2&amp;" "&amp;F2</f>
        <v>SAFIEF AEIMEN</v>
      </c>
    </row>
    <row r="3" spans="1:7" x14ac:dyDescent="0.25">
      <c r="A3" s="8">
        <v>42929.049131944441</v>
      </c>
      <c r="B3" s="20" t="s">
        <v>436</v>
      </c>
      <c r="C3" s="20" t="s">
        <v>567</v>
      </c>
      <c r="D3" s="138">
        <v>2630000</v>
      </c>
      <c r="E3" s="20" t="s">
        <v>561</v>
      </c>
      <c r="F3" s="20" t="s">
        <v>562</v>
      </c>
      <c r="G3" s="8" t="str">
        <f t="shared" ref="G3:G66" si="0">E3&amp;" "&amp;F3</f>
        <v>SAFIEF AEIMEN</v>
      </c>
    </row>
    <row r="4" spans="1:7" x14ac:dyDescent="0.25">
      <c r="A4" s="8">
        <v>42929.050497685188</v>
      </c>
      <c r="B4" s="20" t="s">
        <v>436</v>
      </c>
      <c r="C4" s="20" t="s">
        <v>567</v>
      </c>
      <c r="D4" s="138">
        <v>2630000</v>
      </c>
      <c r="E4" s="20" t="s">
        <v>561</v>
      </c>
      <c r="F4" s="20" t="s">
        <v>562</v>
      </c>
      <c r="G4" s="8" t="str">
        <f t="shared" si="0"/>
        <v>SAFIEF AEIMEN</v>
      </c>
    </row>
    <row r="5" spans="1:7" x14ac:dyDescent="0.25">
      <c r="A5" s="8">
        <v>42929.055717592593</v>
      </c>
      <c r="B5" s="20" t="s">
        <v>394</v>
      </c>
      <c r="C5" s="20" t="s">
        <v>549</v>
      </c>
      <c r="D5" s="138">
        <v>3090000</v>
      </c>
      <c r="E5" s="20" t="s">
        <v>368</v>
      </c>
      <c r="F5" s="20" t="s">
        <v>369</v>
      </c>
      <c r="G5" s="8" t="str">
        <f t="shared" si="0"/>
        <v>LAMAR NEKESHA</v>
      </c>
    </row>
    <row r="6" spans="1:7" x14ac:dyDescent="0.25">
      <c r="A6" s="8">
        <v>42929.068784722222</v>
      </c>
      <c r="B6" s="20" t="s">
        <v>416</v>
      </c>
      <c r="C6" s="20" t="s">
        <v>568</v>
      </c>
      <c r="D6" s="138">
        <v>2230000</v>
      </c>
      <c r="E6" s="20" t="s">
        <v>338</v>
      </c>
      <c r="F6" s="20" t="s">
        <v>192</v>
      </c>
      <c r="G6" s="8" t="str">
        <f t="shared" si="0"/>
        <v>SMITH MICHAEL</v>
      </c>
    </row>
    <row r="7" spans="1:7" x14ac:dyDescent="0.25">
      <c r="A7" s="8">
        <v>42929.090856481482</v>
      </c>
      <c r="B7" s="20" t="s">
        <v>395</v>
      </c>
      <c r="C7" s="20" t="s">
        <v>569</v>
      </c>
      <c r="D7" s="138">
        <v>3090000</v>
      </c>
      <c r="E7" s="20" t="s">
        <v>368</v>
      </c>
      <c r="F7" s="20" t="s">
        <v>369</v>
      </c>
      <c r="G7" s="8" t="str">
        <f t="shared" si="0"/>
        <v>LAMAR NEKESHA</v>
      </c>
    </row>
    <row r="8" spans="1:7" x14ac:dyDescent="0.25">
      <c r="A8" s="8">
        <v>42929.091932870368</v>
      </c>
      <c r="B8" s="20" t="s">
        <v>395</v>
      </c>
      <c r="C8" s="20" t="s">
        <v>569</v>
      </c>
      <c r="D8" s="138">
        <v>3090000</v>
      </c>
      <c r="E8" s="20" t="s">
        <v>368</v>
      </c>
      <c r="F8" s="20" t="s">
        <v>369</v>
      </c>
      <c r="G8" s="8" t="str">
        <f t="shared" si="0"/>
        <v>LAMAR NEKESHA</v>
      </c>
    </row>
    <row r="9" spans="1:7" ht="15.75" thickBot="1" x14ac:dyDescent="0.3">
      <c r="A9" s="24">
        <v>42929.092905092592</v>
      </c>
      <c r="B9" s="20" t="s">
        <v>395</v>
      </c>
      <c r="C9" s="20" t="s">
        <v>569</v>
      </c>
      <c r="D9" s="138">
        <v>3090000</v>
      </c>
      <c r="E9" s="20" t="s">
        <v>368</v>
      </c>
      <c r="F9" s="20" t="s">
        <v>369</v>
      </c>
      <c r="G9" s="8" t="str">
        <f t="shared" si="0"/>
        <v>LAMAR NEKESHA</v>
      </c>
    </row>
    <row r="10" spans="1:7" x14ac:dyDescent="0.25">
      <c r="A10" s="8">
        <v>42929.114247685182</v>
      </c>
      <c r="B10" s="20" t="s">
        <v>496</v>
      </c>
      <c r="C10" s="20" t="s">
        <v>570</v>
      </c>
      <c r="D10" s="138">
        <v>1110000</v>
      </c>
      <c r="E10" s="20" t="s">
        <v>437</v>
      </c>
      <c r="F10" s="20" t="s">
        <v>438</v>
      </c>
      <c r="G10" s="8" t="str">
        <f t="shared" si="0"/>
        <v>STARKS ANGELINA</v>
      </c>
    </row>
    <row r="11" spans="1:7" x14ac:dyDescent="0.25">
      <c r="A11" s="8">
        <v>42929.126863425925</v>
      </c>
      <c r="B11" s="20" t="s">
        <v>448</v>
      </c>
      <c r="C11" s="20" t="s">
        <v>614</v>
      </c>
      <c r="D11" s="138">
        <v>1110000</v>
      </c>
      <c r="E11" s="20" t="s">
        <v>437</v>
      </c>
      <c r="F11" s="20" t="s">
        <v>438</v>
      </c>
      <c r="G11" s="8" t="str">
        <f t="shared" si="0"/>
        <v>STARKS ANGELINA</v>
      </c>
    </row>
    <row r="12" spans="1:7" x14ac:dyDescent="0.25">
      <c r="A12" s="8">
        <v>42929.134930555556</v>
      </c>
      <c r="B12" s="20" t="s">
        <v>483</v>
      </c>
      <c r="C12" s="20" t="s">
        <v>664</v>
      </c>
      <c r="D12" s="138">
        <v>1230000</v>
      </c>
      <c r="E12" s="20" t="s">
        <v>665</v>
      </c>
      <c r="F12" s="20" t="s">
        <v>666</v>
      </c>
      <c r="G12" s="8" t="str">
        <f t="shared" si="0"/>
        <v>YANAI IAN</v>
      </c>
    </row>
    <row r="13" spans="1:7" x14ac:dyDescent="0.25">
      <c r="A13" s="8">
        <v>42929.136817129627</v>
      </c>
      <c r="B13" s="20" t="s">
        <v>667</v>
      </c>
      <c r="C13" s="20" t="s">
        <v>668</v>
      </c>
      <c r="D13" s="138">
        <v>1200000</v>
      </c>
      <c r="E13" s="20" t="s">
        <v>669</v>
      </c>
      <c r="F13" s="20" t="s">
        <v>670</v>
      </c>
      <c r="G13" s="8" t="str">
        <f t="shared" si="0"/>
        <v>CUSHING HARRY</v>
      </c>
    </row>
    <row r="14" spans="1:7" x14ac:dyDescent="0.25">
      <c r="A14" s="8">
        <v>42929.142083333332</v>
      </c>
      <c r="B14" s="20" t="s">
        <v>496</v>
      </c>
      <c r="C14" s="20" t="s">
        <v>671</v>
      </c>
      <c r="D14" s="138">
        <v>1200000</v>
      </c>
      <c r="E14" s="20" t="s">
        <v>669</v>
      </c>
      <c r="F14" s="20" t="s">
        <v>670</v>
      </c>
      <c r="G14" s="8" t="str">
        <f t="shared" si="0"/>
        <v>CUSHING HARRY</v>
      </c>
    </row>
    <row r="15" spans="1:7" x14ac:dyDescent="0.25">
      <c r="A15" s="8">
        <v>42929.146990740737</v>
      </c>
      <c r="B15" s="20" t="s">
        <v>336</v>
      </c>
      <c r="C15" s="20" t="s">
        <v>672</v>
      </c>
      <c r="D15" s="138">
        <v>1230000</v>
      </c>
      <c r="E15" s="20" t="s">
        <v>665</v>
      </c>
      <c r="F15" s="20" t="s">
        <v>666</v>
      </c>
      <c r="G15" s="8" t="str">
        <f t="shared" si="0"/>
        <v>YANAI IAN</v>
      </c>
    </row>
    <row r="16" spans="1:7" x14ac:dyDescent="0.25">
      <c r="A16" s="8">
        <v>42929.161817129629</v>
      </c>
      <c r="B16" s="20" t="s">
        <v>446</v>
      </c>
      <c r="C16" s="20" t="s">
        <v>673</v>
      </c>
      <c r="D16" s="138">
        <v>3330000</v>
      </c>
      <c r="E16" s="20" t="s">
        <v>507</v>
      </c>
      <c r="F16" s="20" t="s">
        <v>508</v>
      </c>
      <c r="G16" s="8" t="str">
        <f t="shared" si="0"/>
        <v>GONZALEZ ARMANDO</v>
      </c>
    </row>
    <row r="17" spans="1:7" x14ac:dyDescent="0.25">
      <c r="A17" s="8">
        <v>42929.171863425923</v>
      </c>
      <c r="B17" s="20" t="s">
        <v>361</v>
      </c>
      <c r="C17" s="20" t="s">
        <v>615</v>
      </c>
      <c r="D17" s="138">
        <v>3300000</v>
      </c>
      <c r="E17" s="20" t="s">
        <v>553</v>
      </c>
      <c r="F17" s="20" t="s">
        <v>554</v>
      </c>
      <c r="G17" s="8" t="str">
        <f t="shared" si="0"/>
        <v>LANGERAK WILLIAM</v>
      </c>
    </row>
    <row r="18" spans="1:7" x14ac:dyDescent="0.25">
      <c r="A18" s="8">
        <v>42929.172546296293</v>
      </c>
      <c r="B18" s="20" t="s">
        <v>361</v>
      </c>
      <c r="C18" s="20" t="s">
        <v>615</v>
      </c>
      <c r="D18" s="138">
        <v>3300000</v>
      </c>
      <c r="E18" s="20" t="s">
        <v>553</v>
      </c>
      <c r="F18" s="20" t="s">
        <v>554</v>
      </c>
      <c r="G18" s="8" t="str">
        <f t="shared" si="0"/>
        <v>LANGERAK WILLIAM</v>
      </c>
    </row>
    <row r="19" spans="1:7" x14ac:dyDescent="0.25">
      <c r="A19" s="8">
        <v>42929.172986111109</v>
      </c>
      <c r="B19" s="20" t="s">
        <v>352</v>
      </c>
      <c r="C19" s="20" t="s">
        <v>674</v>
      </c>
      <c r="D19" s="138">
        <v>3330000</v>
      </c>
      <c r="E19" s="20" t="s">
        <v>507</v>
      </c>
      <c r="F19" s="20" t="s">
        <v>508</v>
      </c>
      <c r="G19" s="8" t="str">
        <f t="shared" si="0"/>
        <v>GONZALEZ ARMANDO</v>
      </c>
    </row>
    <row r="20" spans="1:7" x14ac:dyDescent="0.25">
      <c r="A20" s="8">
        <v>42929.174560185187</v>
      </c>
      <c r="B20" s="20" t="s">
        <v>638</v>
      </c>
      <c r="C20" s="20" t="s">
        <v>675</v>
      </c>
      <c r="D20" s="138">
        <v>2970000</v>
      </c>
      <c r="E20" s="20" t="s">
        <v>370</v>
      </c>
      <c r="F20" s="20" t="s">
        <v>371</v>
      </c>
      <c r="G20" s="8" t="str">
        <f t="shared" si="0"/>
        <v>GUZMAN DANNY</v>
      </c>
    </row>
    <row r="21" spans="1:7" x14ac:dyDescent="0.25">
      <c r="A21" s="8">
        <v>42929.175474537034</v>
      </c>
      <c r="B21" s="20" t="s">
        <v>449</v>
      </c>
      <c r="C21" s="20" t="s">
        <v>676</v>
      </c>
      <c r="D21" s="138">
        <v>1110000</v>
      </c>
      <c r="E21" s="20" t="s">
        <v>437</v>
      </c>
      <c r="F21" s="20" t="s">
        <v>438</v>
      </c>
      <c r="G21" s="8" t="str">
        <f t="shared" si="0"/>
        <v>STARKS ANGELINA</v>
      </c>
    </row>
    <row r="22" spans="1:7" x14ac:dyDescent="0.25">
      <c r="A22" s="26">
        <v>42929.184652777774</v>
      </c>
      <c r="B22" s="20" t="s">
        <v>367</v>
      </c>
      <c r="C22" s="20" t="s">
        <v>677</v>
      </c>
      <c r="D22" s="138">
        <v>3300000</v>
      </c>
      <c r="E22" s="20" t="s">
        <v>553</v>
      </c>
      <c r="F22" s="20" t="s">
        <v>554</v>
      </c>
      <c r="G22" s="8" t="str">
        <f t="shared" si="0"/>
        <v>LANGERAK WILLIAM</v>
      </c>
    </row>
    <row r="23" spans="1:7" x14ac:dyDescent="0.25">
      <c r="A23" s="8">
        <v>42929.1875462963</v>
      </c>
      <c r="B23" s="20" t="s">
        <v>483</v>
      </c>
      <c r="C23" s="20" t="s">
        <v>678</v>
      </c>
      <c r="D23" s="138">
        <v>1230000</v>
      </c>
      <c r="E23" s="20" t="s">
        <v>665</v>
      </c>
      <c r="F23" s="20" t="s">
        <v>666</v>
      </c>
      <c r="G23" s="8" t="str">
        <f t="shared" si="0"/>
        <v>YANAI IAN</v>
      </c>
    </row>
    <row r="24" spans="1:7" x14ac:dyDescent="0.25">
      <c r="A24" s="8">
        <v>42929.193506944444</v>
      </c>
      <c r="B24" s="20" t="s">
        <v>632</v>
      </c>
      <c r="C24" s="20" t="s">
        <v>679</v>
      </c>
      <c r="D24" s="138">
        <v>2970000</v>
      </c>
      <c r="E24" s="20" t="s">
        <v>370</v>
      </c>
      <c r="F24" s="20" t="s">
        <v>371</v>
      </c>
      <c r="G24" s="8" t="str">
        <f t="shared" si="0"/>
        <v>GUZMAN DANNY</v>
      </c>
    </row>
    <row r="25" spans="1:7" x14ac:dyDescent="0.25">
      <c r="A25" s="8">
        <v>42929.203368055554</v>
      </c>
      <c r="B25" s="20" t="s">
        <v>482</v>
      </c>
      <c r="C25" s="20" t="s">
        <v>616</v>
      </c>
      <c r="D25" s="138">
        <v>1990000</v>
      </c>
      <c r="E25" s="20" t="s">
        <v>385</v>
      </c>
      <c r="F25" s="20" t="s">
        <v>550</v>
      </c>
      <c r="G25" s="8" t="str">
        <f t="shared" si="0"/>
        <v>DAVIS WENDY</v>
      </c>
    </row>
    <row r="26" spans="1:7" x14ac:dyDescent="0.25">
      <c r="A26" s="8">
        <v>42929.207303240742</v>
      </c>
      <c r="B26" s="20" t="s">
        <v>628</v>
      </c>
      <c r="C26" s="20" t="s">
        <v>680</v>
      </c>
      <c r="D26" s="138">
        <v>3260000</v>
      </c>
      <c r="E26" s="20" t="s">
        <v>551</v>
      </c>
      <c r="F26" s="20" t="s">
        <v>552</v>
      </c>
      <c r="G26" s="8" t="str">
        <f t="shared" si="0"/>
        <v>PAGE MARCUS</v>
      </c>
    </row>
    <row r="27" spans="1:7" x14ac:dyDescent="0.25">
      <c r="A27" s="8">
        <v>42929.209224537037</v>
      </c>
      <c r="B27" s="20" t="s">
        <v>448</v>
      </c>
      <c r="C27" s="20" t="s">
        <v>617</v>
      </c>
      <c r="D27" s="138">
        <v>1110000</v>
      </c>
      <c r="E27" s="20" t="s">
        <v>437</v>
      </c>
      <c r="F27" s="20" t="s">
        <v>438</v>
      </c>
      <c r="G27" s="8" t="str">
        <f t="shared" si="0"/>
        <v>STARKS ANGELINA</v>
      </c>
    </row>
    <row r="28" spans="1:7" x14ac:dyDescent="0.25">
      <c r="A28" s="8">
        <v>42929.213634259257</v>
      </c>
      <c r="B28" s="20" t="s">
        <v>446</v>
      </c>
      <c r="C28" s="20" t="s">
        <v>681</v>
      </c>
      <c r="D28" s="138">
        <v>3330000</v>
      </c>
      <c r="E28" s="20" t="s">
        <v>507</v>
      </c>
      <c r="F28" s="20" t="s">
        <v>508</v>
      </c>
      <c r="G28" s="8" t="str">
        <f t="shared" si="0"/>
        <v>GONZALEZ ARMANDO</v>
      </c>
    </row>
    <row r="29" spans="1:7" x14ac:dyDescent="0.25">
      <c r="A29" s="8">
        <v>42929.214502314811</v>
      </c>
      <c r="B29" s="20" t="s">
        <v>506</v>
      </c>
      <c r="C29" s="20" t="s">
        <v>682</v>
      </c>
      <c r="D29" s="138">
        <v>1990000</v>
      </c>
      <c r="E29" s="20" t="s">
        <v>385</v>
      </c>
      <c r="F29" s="20" t="s">
        <v>550</v>
      </c>
      <c r="G29" s="8" t="str">
        <f t="shared" si="0"/>
        <v>DAVIS WENDY</v>
      </c>
    </row>
    <row r="30" spans="1:7" x14ac:dyDescent="0.25">
      <c r="A30" s="8">
        <v>42929.215949074074</v>
      </c>
      <c r="B30" s="20" t="s">
        <v>361</v>
      </c>
      <c r="C30" s="20" t="s">
        <v>683</v>
      </c>
      <c r="D30" s="138">
        <v>3300000</v>
      </c>
      <c r="E30" s="20" t="s">
        <v>553</v>
      </c>
      <c r="F30" s="20" t="s">
        <v>554</v>
      </c>
      <c r="G30" s="8" t="str">
        <f t="shared" si="0"/>
        <v>LANGERAK WILLIAM</v>
      </c>
    </row>
    <row r="31" spans="1:7" x14ac:dyDescent="0.25">
      <c r="A31" s="8">
        <v>42929.217557870368</v>
      </c>
      <c r="B31" s="20" t="s">
        <v>337</v>
      </c>
      <c r="C31" s="20" t="s">
        <v>684</v>
      </c>
      <c r="D31" s="138">
        <v>890000</v>
      </c>
      <c r="E31" s="20" t="s">
        <v>511</v>
      </c>
      <c r="F31" s="20" t="s">
        <v>512</v>
      </c>
      <c r="G31" s="8" t="str">
        <f t="shared" si="0"/>
        <v>LOZA FIDEL</v>
      </c>
    </row>
    <row r="32" spans="1:7" x14ac:dyDescent="0.25">
      <c r="A32" s="8">
        <v>42929.221365740741</v>
      </c>
      <c r="B32" s="20" t="s">
        <v>422</v>
      </c>
      <c r="C32" s="20" t="s">
        <v>685</v>
      </c>
      <c r="D32" s="138">
        <v>1540000</v>
      </c>
      <c r="E32" s="20" t="s">
        <v>509</v>
      </c>
      <c r="F32" s="20" t="s">
        <v>510</v>
      </c>
      <c r="G32" s="8" t="str">
        <f t="shared" si="0"/>
        <v>HELVIE ADAM</v>
      </c>
    </row>
    <row r="33" spans="1:7" x14ac:dyDescent="0.25">
      <c r="A33" s="8">
        <v>42929.226701388892</v>
      </c>
      <c r="B33" s="20" t="s">
        <v>336</v>
      </c>
      <c r="C33" s="20" t="s">
        <v>686</v>
      </c>
      <c r="D33" s="138">
        <v>1230000</v>
      </c>
      <c r="E33" s="20" t="s">
        <v>665</v>
      </c>
      <c r="F33" s="20" t="s">
        <v>666</v>
      </c>
      <c r="G33" s="8" t="str">
        <f t="shared" si="0"/>
        <v>YANAI IAN</v>
      </c>
    </row>
    <row r="34" spans="1:7" x14ac:dyDescent="0.25">
      <c r="A34" s="8">
        <v>42929.227812500001</v>
      </c>
      <c r="B34" s="20" t="s">
        <v>638</v>
      </c>
      <c r="C34" s="20" t="s">
        <v>687</v>
      </c>
      <c r="D34" s="138">
        <v>2970000</v>
      </c>
      <c r="E34" s="20" t="s">
        <v>370</v>
      </c>
      <c r="F34" s="20" t="s">
        <v>371</v>
      </c>
      <c r="G34" s="8" t="str">
        <f t="shared" si="0"/>
        <v>GUZMAN DANNY</v>
      </c>
    </row>
    <row r="35" spans="1:7" x14ac:dyDescent="0.25">
      <c r="A35" s="8">
        <v>42929.235949074071</v>
      </c>
      <c r="B35" s="20" t="s">
        <v>382</v>
      </c>
      <c r="C35" s="20" t="s">
        <v>688</v>
      </c>
      <c r="D35" s="138">
        <v>1540000</v>
      </c>
      <c r="E35" s="20" t="s">
        <v>509</v>
      </c>
      <c r="F35" s="20" t="s">
        <v>510</v>
      </c>
      <c r="G35" s="8" t="str">
        <f t="shared" si="0"/>
        <v>HELVIE ADAM</v>
      </c>
    </row>
    <row r="36" spans="1:7" x14ac:dyDescent="0.25">
      <c r="A36" s="8">
        <v>42929.241608796299</v>
      </c>
      <c r="B36" s="20" t="s">
        <v>482</v>
      </c>
      <c r="C36" s="20" t="s">
        <v>618</v>
      </c>
      <c r="D36" s="138">
        <v>1990000</v>
      </c>
      <c r="E36" s="20" t="s">
        <v>385</v>
      </c>
      <c r="F36" s="20" t="s">
        <v>550</v>
      </c>
      <c r="G36" s="8" t="str">
        <f t="shared" si="0"/>
        <v>DAVIS WENDY</v>
      </c>
    </row>
    <row r="37" spans="1:7" x14ac:dyDescent="0.25">
      <c r="A37" s="8">
        <v>42929.245636574073</v>
      </c>
      <c r="B37" s="20" t="s">
        <v>630</v>
      </c>
      <c r="C37" s="20" t="s">
        <v>689</v>
      </c>
      <c r="D37" s="138">
        <v>2730000</v>
      </c>
      <c r="E37" s="20" t="s">
        <v>425</v>
      </c>
      <c r="F37" s="20" t="s">
        <v>426</v>
      </c>
      <c r="G37" s="8" t="str">
        <f t="shared" si="0"/>
        <v>YANG JAN</v>
      </c>
    </row>
    <row r="38" spans="1:7" x14ac:dyDescent="0.25">
      <c r="A38" s="8">
        <v>42929.247141203705</v>
      </c>
      <c r="B38" s="20" t="s">
        <v>449</v>
      </c>
      <c r="C38" s="20" t="s">
        <v>690</v>
      </c>
      <c r="D38" s="138">
        <v>1110000</v>
      </c>
      <c r="E38" s="20" t="s">
        <v>437</v>
      </c>
      <c r="F38" s="20" t="s">
        <v>438</v>
      </c>
      <c r="G38" s="8" t="str">
        <f t="shared" si="0"/>
        <v>STARKS ANGELINA</v>
      </c>
    </row>
    <row r="39" spans="1:7" x14ac:dyDescent="0.25">
      <c r="A39" s="8">
        <v>42929.247199074074</v>
      </c>
      <c r="B39" s="20" t="s">
        <v>352</v>
      </c>
      <c r="C39" s="20" t="s">
        <v>691</v>
      </c>
      <c r="D39" s="138">
        <v>3330000</v>
      </c>
      <c r="E39" s="20" t="s">
        <v>507</v>
      </c>
      <c r="F39" s="20" t="s">
        <v>508</v>
      </c>
      <c r="G39" s="8" t="str">
        <f t="shared" si="0"/>
        <v>GONZALEZ ARMANDO</v>
      </c>
    </row>
    <row r="40" spans="1:7" x14ac:dyDescent="0.25">
      <c r="A40" s="8">
        <v>42929.255567129629</v>
      </c>
      <c r="B40" s="25" t="s">
        <v>506</v>
      </c>
      <c r="C40" s="20" t="s">
        <v>619</v>
      </c>
      <c r="D40" s="138">
        <v>1990000</v>
      </c>
      <c r="E40" s="20" t="s">
        <v>385</v>
      </c>
      <c r="F40" s="20" t="s">
        <v>550</v>
      </c>
      <c r="G40" s="8" t="str">
        <f t="shared" si="0"/>
        <v>DAVIS WENDY</v>
      </c>
    </row>
    <row r="41" spans="1:7" x14ac:dyDescent="0.25">
      <c r="A41" s="8">
        <v>42929.255636574075</v>
      </c>
      <c r="B41" s="20" t="s">
        <v>628</v>
      </c>
      <c r="C41" s="20" t="s">
        <v>692</v>
      </c>
      <c r="D41" s="138">
        <v>890000</v>
      </c>
      <c r="E41" s="20" t="s">
        <v>511</v>
      </c>
      <c r="F41" s="20" t="s">
        <v>512</v>
      </c>
      <c r="G41" s="8" t="str">
        <f t="shared" si="0"/>
        <v>LOZA FIDEL</v>
      </c>
    </row>
    <row r="42" spans="1:7" x14ac:dyDescent="0.25">
      <c r="A42" s="8">
        <v>42929.257175925923</v>
      </c>
      <c r="B42" s="20" t="s">
        <v>635</v>
      </c>
      <c r="C42" s="20" t="s">
        <v>693</v>
      </c>
      <c r="D42" s="138">
        <v>2730000</v>
      </c>
      <c r="E42" s="20" t="s">
        <v>425</v>
      </c>
      <c r="F42" s="20" t="s">
        <v>426</v>
      </c>
      <c r="G42" s="8" t="str">
        <f t="shared" si="0"/>
        <v>YANG JAN</v>
      </c>
    </row>
    <row r="43" spans="1:7" x14ac:dyDescent="0.25">
      <c r="A43" s="8">
        <v>42929.257951388892</v>
      </c>
      <c r="B43" s="20" t="s">
        <v>367</v>
      </c>
      <c r="C43" s="20" t="s">
        <v>694</v>
      </c>
      <c r="D43" s="138">
        <v>3300000</v>
      </c>
      <c r="E43" s="20" t="s">
        <v>553</v>
      </c>
      <c r="F43" s="20" t="s">
        <v>554</v>
      </c>
      <c r="G43" s="8" t="str">
        <f t="shared" si="0"/>
        <v>LANGERAK WILLIAM</v>
      </c>
    </row>
    <row r="44" spans="1:7" x14ac:dyDescent="0.25">
      <c r="A44" s="8">
        <v>42929.258310185185</v>
      </c>
      <c r="B44" s="20" t="s">
        <v>483</v>
      </c>
      <c r="C44" s="20" t="s">
        <v>695</v>
      </c>
      <c r="D44" s="138">
        <v>1230000</v>
      </c>
      <c r="E44" s="20" t="s">
        <v>665</v>
      </c>
      <c r="F44" s="20" t="s">
        <v>666</v>
      </c>
      <c r="G44" s="8" t="str">
        <f t="shared" si="0"/>
        <v>YANAI IAN</v>
      </c>
    </row>
    <row r="45" spans="1:7" x14ac:dyDescent="0.25">
      <c r="A45" s="8">
        <v>42929.267210648148</v>
      </c>
      <c r="B45" s="20" t="s">
        <v>632</v>
      </c>
      <c r="C45" s="20" t="s">
        <v>696</v>
      </c>
      <c r="D45" s="138">
        <v>2970000</v>
      </c>
      <c r="E45" s="20" t="s">
        <v>370</v>
      </c>
      <c r="F45" s="20" t="s">
        <v>371</v>
      </c>
      <c r="G45" s="8" t="str">
        <f t="shared" si="0"/>
        <v>GUZMAN DANNY</v>
      </c>
    </row>
    <row r="46" spans="1:7" x14ac:dyDescent="0.25">
      <c r="A46" s="8">
        <v>42929.276307870372</v>
      </c>
      <c r="B46" s="20" t="s">
        <v>630</v>
      </c>
      <c r="C46" s="20" t="s">
        <v>697</v>
      </c>
      <c r="D46" s="138">
        <v>2730000</v>
      </c>
      <c r="E46" s="20" t="s">
        <v>425</v>
      </c>
      <c r="F46" s="20" t="s">
        <v>426</v>
      </c>
      <c r="G46" s="8" t="str">
        <f t="shared" si="0"/>
        <v>YANG JAN</v>
      </c>
    </row>
    <row r="47" spans="1:7" x14ac:dyDescent="0.25">
      <c r="A47" s="8">
        <v>42929.276319444441</v>
      </c>
      <c r="B47" s="20" t="s">
        <v>422</v>
      </c>
      <c r="C47" s="20" t="s">
        <v>698</v>
      </c>
      <c r="D47" s="138">
        <v>1540000</v>
      </c>
      <c r="E47" s="20" t="s">
        <v>509</v>
      </c>
      <c r="F47" s="20" t="s">
        <v>510</v>
      </c>
      <c r="G47" s="8" t="str">
        <f t="shared" si="0"/>
        <v>HELVIE ADAM</v>
      </c>
    </row>
    <row r="48" spans="1:7" x14ac:dyDescent="0.25">
      <c r="A48" s="8">
        <v>42929.277442129627</v>
      </c>
      <c r="B48" s="20" t="s">
        <v>448</v>
      </c>
      <c r="C48" s="20" t="s">
        <v>620</v>
      </c>
      <c r="D48" s="138">
        <v>1110000</v>
      </c>
      <c r="E48" s="20" t="s">
        <v>437</v>
      </c>
      <c r="F48" s="20" t="s">
        <v>438</v>
      </c>
      <c r="G48" s="8" t="str">
        <f t="shared" si="0"/>
        <v>STARKS ANGELINA</v>
      </c>
    </row>
    <row r="49" spans="1:7" x14ac:dyDescent="0.25">
      <c r="A49" s="8">
        <v>42929.283414351848</v>
      </c>
      <c r="B49" s="20" t="s">
        <v>482</v>
      </c>
      <c r="C49" s="20" t="s">
        <v>621</v>
      </c>
      <c r="D49" s="138">
        <v>1990000</v>
      </c>
      <c r="E49" s="20" t="s">
        <v>385</v>
      </c>
      <c r="F49" s="20" t="s">
        <v>550</v>
      </c>
      <c r="G49" s="8" t="str">
        <f t="shared" si="0"/>
        <v>DAVIS WENDY</v>
      </c>
    </row>
    <row r="50" spans="1:7" x14ac:dyDescent="0.25">
      <c r="A50" s="8">
        <v>42929.286689814813</v>
      </c>
      <c r="B50" s="20" t="s">
        <v>361</v>
      </c>
      <c r="C50" s="20" t="s">
        <v>699</v>
      </c>
      <c r="D50" s="138">
        <v>3300000</v>
      </c>
      <c r="E50" s="20" t="s">
        <v>553</v>
      </c>
      <c r="F50" s="20" t="s">
        <v>554</v>
      </c>
      <c r="G50" s="8" t="str">
        <f t="shared" si="0"/>
        <v>LANGERAK WILLIAM</v>
      </c>
    </row>
    <row r="51" spans="1:7" x14ac:dyDescent="0.25">
      <c r="A51" s="8">
        <v>42929.288217592592</v>
      </c>
      <c r="B51" s="20" t="s">
        <v>446</v>
      </c>
      <c r="C51" s="20" t="s">
        <v>700</v>
      </c>
      <c r="D51" s="138">
        <v>3330000</v>
      </c>
      <c r="E51" s="20" t="s">
        <v>507</v>
      </c>
      <c r="F51" s="20" t="s">
        <v>508</v>
      </c>
      <c r="G51" s="8" t="str">
        <f t="shared" si="0"/>
        <v>GONZALEZ ARMANDO</v>
      </c>
    </row>
    <row r="52" spans="1:7" x14ac:dyDescent="0.25">
      <c r="A52" s="8">
        <v>42929.289340277777</v>
      </c>
      <c r="B52" s="20" t="s">
        <v>337</v>
      </c>
      <c r="C52" s="20" t="s">
        <v>701</v>
      </c>
      <c r="D52" s="138">
        <v>890000</v>
      </c>
      <c r="E52" s="20" t="s">
        <v>511</v>
      </c>
      <c r="F52" s="20" t="s">
        <v>512</v>
      </c>
      <c r="G52" s="8" t="str">
        <f t="shared" si="0"/>
        <v>LOZA FIDEL</v>
      </c>
    </row>
    <row r="53" spans="1:7" x14ac:dyDescent="0.25">
      <c r="A53" s="8">
        <v>42929.296643518515</v>
      </c>
      <c r="B53" s="20" t="s">
        <v>336</v>
      </c>
      <c r="C53" s="20" t="s">
        <v>702</v>
      </c>
      <c r="D53" s="138">
        <v>1230000</v>
      </c>
      <c r="E53" s="20" t="s">
        <v>665</v>
      </c>
      <c r="F53" s="20" t="s">
        <v>666</v>
      </c>
      <c r="G53" s="8" t="str">
        <f t="shared" si="0"/>
        <v>YANAI IAN</v>
      </c>
    </row>
    <row r="54" spans="1:7" x14ac:dyDescent="0.25">
      <c r="A54" s="8">
        <v>42929.2969212963</v>
      </c>
      <c r="B54" s="20" t="s">
        <v>506</v>
      </c>
      <c r="C54" s="20" t="s">
        <v>622</v>
      </c>
      <c r="D54" s="138">
        <v>1990000</v>
      </c>
      <c r="E54" s="20" t="s">
        <v>385</v>
      </c>
      <c r="F54" s="20" t="s">
        <v>550</v>
      </c>
      <c r="G54" s="8" t="str">
        <f t="shared" si="0"/>
        <v>DAVIS WENDY</v>
      </c>
    </row>
    <row r="55" spans="1:7" x14ac:dyDescent="0.25">
      <c r="A55" s="8">
        <v>42929.297025462962</v>
      </c>
      <c r="B55" s="20" t="s">
        <v>635</v>
      </c>
      <c r="C55" s="20" t="s">
        <v>703</v>
      </c>
      <c r="D55" s="138">
        <v>2730000</v>
      </c>
      <c r="E55" s="20" t="s">
        <v>425</v>
      </c>
      <c r="F55" s="20" t="s">
        <v>426</v>
      </c>
      <c r="G55" s="8" t="str">
        <f t="shared" si="0"/>
        <v>YANG JAN</v>
      </c>
    </row>
    <row r="56" spans="1:7" x14ac:dyDescent="0.25">
      <c r="A56" s="8">
        <v>42929.298807870371</v>
      </c>
      <c r="B56" s="20" t="s">
        <v>638</v>
      </c>
      <c r="C56" s="20" t="s">
        <v>704</v>
      </c>
      <c r="D56" s="138">
        <v>2970000</v>
      </c>
      <c r="E56" s="20" t="s">
        <v>370</v>
      </c>
      <c r="F56" s="20" t="s">
        <v>371</v>
      </c>
      <c r="G56" s="8" t="str">
        <f t="shared" si="0"/>
        <v>GUZMAN DANNY</v>
      </c>
    </row>
    <row r="57" spans="1:7" x14ac:dyDescent="0.25">
      <c r="A57" s="8">
        <v>42929.310856481483</v>
      </c>
      <c r="B57" s="20" t="s">
        <v>382</v>
      </c>
      <c r="C57" s="20" t="s">
        <v>705</v>
      </c>
      <c r="D57" s="138">
        <v>330000</v>
      </c>
      <c r="E57" s="20" t="s">
        <v>706</v>
      </c>
      <c r="F57" s="20" t="s">
        <v>707</v>
      </c>
      <c r="G57" s="8" t="str">
        <f t="shared" si="0"/>
        <v>PELLITIER GEORGE</v>
      </c>
    </row>
    <row r="58" spans="1:7" x14ac:dyDescent="0.25">
      <c r="A58" s="8">
        <v>42929.31591435185</v>
      </c>
      <c r="B58" s="20" t="s">
        <v>449</v>
      </c>
      <c r="C58" s="20" t="s">
        <v>708</v>
      </c>
      <c r="D58" s="138">
        <v>1110000</v>
      </c>
      <c r="E58" s="20" t="s">
        <v>437</v>
      </c>
      <c r="F58" s="20" t="s">
        <v>438</v>
      </c>
      <c r="G58" s="8" t="str">
        <f t="shared" si="0"/>
        <v>STARKS ANGELINA</v>
      </c>
    </row>
    <row r="59" spans="1:7" x14ac:dyDescent="0.25">
      <c r="A59" s="8">
        <v>42929.31826388889</v>
      </c>
      <c r="B59" s="20" t="s">
        <v>630</v>
      </c>
      <c r="C59" s="20" t="s">
        <v>709</v>
      </c>
      <c r="D59" s="138">
        <v>2730000</v>
      </c>
      <c r="E59" s="20" t="s">
        <v>425</v>
      </c>
      <c r="F59" s="20" t="s">
        <v>426</v>
      </c>
      <c r="G59" s="8" t="str">
        <f t="shared" si="0"/>
        <v>YANG JAN</v>
      </c>
    </row>
    <row r="60" spans="1:7" x14ac:dyDescent="0.25">
      <c r="A60" s="8">
        <v>42929.319907407407</v>
      </c>
      <c r="B60" s="20" t="s">
        <v>352</v>
      </c>
      <c r="C60" s="20" t="s">
        <v>710</v>
      </c>
      <c r="D60" s="138">
        <v>3330000</v>
      </c>
      <c r="E60" s="20" t="s">
        <v>507</v>
      </c>
      <c r="F60" s="20" t="s">
        <v>508</v>
      </c>
      <c r="G60" s="8" t="str">
        <f t="shared" si="0"/>
        <v>GONZALEZ ARMANDO</v>
      </c>
    </row>
    <row r="61" spans="1:7" x14ac:dyDescent="0.25">
      <c r="A61" s="8">
        <v>42929.32534722222</v>
      </c>
      <c r="B61" s="20" t="s">
        <v>482</v>
      </c>
      <c r="C61" s="20" t="s">
        <v>623</v>
      </c>
      <c r="D61" s="138">
        <v>1990000</v>
      </c>
      <c r="E61" s="20" t="s">
        <v>385</v>
      </c>
      <c r="F61" s="20" t="s">
        <v>550</v>
      </c>
      <c r="G61" s="8" t="str">
        <f t="shared" si="0"/>
        <v>DAVIS WENDY</v>
      </c>
    </row>
    <row r="62" spans="1:7" x14ac:dyDescent="0.25">
      <c r="A62" s="8">
        <v>42929.3283912037</v>
      </c>
      <c r="B62" s="20" t="s">
        <v>483</v>
      </c>
      <c r="C62" s="20" t="s">
        <v>624</v>
      </c>
      <c r="D62" s="138">
        <v>1230000</v>
      </c>
      <c r="E62" s="20" t="s">
        <v>665</v>
      </c>
      <c r="F62" s="20" t="s">
        <v>666</v>
      </c>
      <c r="G62" s="8" t="str">
        <f t="shared" si="0"/>
        <v>YANAI IAN</v>
      </c>
    </row>
    <row r="63" spans="1:7" x14ac:dyDescent="0.25">
      <c r="A63" s="8">
        <v>42929.328472222223</v>
      </c>
      <c r="B63" s="20" t="s">
        <v>628</v>
      </c>
      <c r="C63" s="20" t="s">
        <v>711</v>
      </c>
      <c r="D63" s="138">
        <v>890000</v>
      </c>
      <c r="E63" s="20" t="s">
        <v>511</v>
      </c>
      <c r="F63" s="20" t="s">
        <v>512</v>
      </c>
      <c r="G63" s="8" t="str">
        <f t="shared" si="0"/>
        <v>LOZA FIDEL</v>
      </c>
    </row>
    <row r="64" spans="1:7" x14ac:dyDescent="0.25">
      <c r="A64" s="26">
        <v>42929.33011574074</v>
      </c>
      <c r="B64" s="20" t="s">
        <v>367</v>
      </c>
      <c r="C64" s="20" t="s">
        <v>712</v>
      </c>
      <c r="D64" s="138">
        <v>3300000</v>
      </c>
      <c r="E64" s="20" t="s">
        <v>553</v>
      </c>
      <c r="F64" s="20" t="s">
        <v>554</v>
      </c>
      <c r="G64" s="8" t="str">
        <f t="shared" si="0"/>
        <v>LANGERAK WILLIAM</v>
      </c>
    </row>
    <row r="65" spans="1:7" x14ac:dyDescent="0.25">
      <c r="A65" s="8">
        <v>42929.332453703704</v>
      </c>
      <c r="B65" s="20" t="s">
        <v>352</v>
      </c>
      <c r="C65" s="20" t="s">
        <v>710</v>
      </c>
      <c r="D65" s="138">
        <v>3330000</v>
      </c>
      <c r="E65" s="20" t="s">
        <v>507</v>
      </c>
      <c r="F65" s="20" t="s">
        <v>508</v>
      </c>
      <c r="G65" s="8" t="str">
        <f t="shared" si="0"/>
        <v>GONZALEZ ARMANDO</v>
      </c>
    </row>
    <row r="66" spans="1:7" x14ac:dyDescent="0.25">
      <c r="A66" s="8">
        <v>42929.334976851853</v>
      </c>
      <c r="B66" s="20" t="s">
        <v>483</v>
      </c>
      <c r="C66" s="20" t="s">
        <v>624</v>
      </c>
      <c r="D66" s="138">
        <v>1230000</v>
      </c>
      <c r="E66" s="20" t="s">
        <v>665</v>
      </c>
      <c r="F66" s="20" t="s">
        <v>666</v>
      </c>
      <c r="G66" s="8" t="str">
        <f t="shared" si="0"/>
        <v>YANAI IAN</v>
      </c>
    </row>
    <row r="67" spans="1:7" x14ac:dyDescent="0.25">
      <c r="A67" s="8">
        <v>42929.33797453704</v>
      </c>
      <c r="B67" s="20" t="s">
        <v>506</v>
      </c>
      <c r="C67" s="20" t="s">
        <v>713</v>
      </c>
      <c r="D67" s="138">
        <v>1990000</v>
      </c>
      <c r="E67" s="20" t="s">
        <v>385</v>
      </c>
      <c r="F67" s="20" t="s">
        <v>550</v>
      </c>
      <c r="G67" s="8" t="str">
        <f t="shared" ref="G67:G130" si="1">E67&amp;" "&amp;F67</f>
        <v>DAVIS WENDY</v>
      </c>
    </row>
    <row r="68" spans="1:7" x14ac:dyDescent="0.25">
      <c r="A68" s="8">
        <v>42929.339131944442</v>
      </c>
      <c r="B68" s="20" t="s">
        <v>632</v>
      </c>
      <c r="C68" s="20" t="s">
        <v>714</v>
      </c>
      <c r="D68" s="138">
        <v>2970000</v>
      </c>
      <c r="E68" s="20" t="s">
        <v>370</v>
      </c>
      <c r="F68" s="20" t="s">
        <v>371</v>
      </c>
      <c r="G68" s="8" t="str">
        <f t="shared" si="1"/>
        <v>GUZMAN DANNY</v>
      </c>
    </row>
    <row r="69" spans="1:7" x14ac:dyDescent="0.25">
      <c r="A69" s="8">
        <v>42929.344178240739</v>
      </c>
      <c r="B69" s="20" t="s">
        <v>635</v>
      </c>
      <c r="C69" s="20" t="s">
        <v>715</v>
      </c>
      <c r="D69" s="138">
        <v>2730000</v>
      </c>
      <c r="E69" s="20" t="s">
        <v>425</v>
      </c>
      <c r="F69" s="20" t="s">
        <v>426</v>
      </c>
      <c r="G69" s="8" t="str">
        <f t="shared" si="1"/>
        <v>YANG JAN</v>
      </c>
    </row>
    <row r="70" spans="1:7" x14ac:dyDescent="0.25">
      <c r="A70" s="8">
        <v>42929.34642361111</v>
      </c>
      <c r="B70" s="20" t="s">
        <v>422</v>
      </c>
      <c r="C70" s="20" t="s">
        <v>716</v>
      </c>
      <c r="D70" s="138">
        <v>330000</v>
      </c>
      <c r="E70" s="20" t="s">
        <v>706</v>
      </c>
      <c r="F70" s="20" t="s">
        <v>707</v>
      </c>
      <c r="G70" s="8" t="str">
        <f t="shared" si="1"/>
        <v>PELLITIER GEORGE</v>
      </c>
    </row>
    <row r="71" spans="1:7" x14ac:dyDescent="0.25">
      <c r="A71" s="8">
        <v>42929.352916666663</v>
      </c>
      <c r="B71" s="20" t="s">
        <v>482</v>
      </c>
      <c r="C71" s="20" t="s">
        <v>717</v>
      </c>
      <c r="D71" s="138">
        <v>1990000</v>
      </c>
      <c r="E71" s="20" t="s">
        <v>385</v>
      </c>
      <c r="F71" s="20" t="s">
        <v>550</v>
      </c>
      <c r="G71" s="8" t="str">
        <f t="shared" si="1"/>
        <v>DAVIS WENDY</v>
      </c>
    </row>
    <row r="72" spans="1:7" x14ac:dyDescent="0.25">
      <c r="A72" s="8">
        <v>42929.353437500002</v>
      </c>
      <c r="B72" s="20" t="s">
        <v>448</v>
      </c>
      <c r="C72" s="20" t="s">
        <v>718</v>
      </c>
      <c r="D72" s="138">
        <v>3200000</v>
      </c>
      <c r="E72" s="20" t="s">
        <v>515</v>
      </c>
      <c r="F72" s="20" t="s">
        <v>516</v>
      </c>
      <c r="G72" s="8" t="str">
        <f t="shared" si="1"/>
        <v>MILLER KEVIN</v>
      </c>
    </row>
    <row r="73" spans="1:7" x14ac:dyDescent="0.25">
      <c r="A73" s="8">
        <v>42929.359722222223</v>
      </c>
      <c r="B73" s="20" t="s">
        <v>630</v>
      </c>
      <c r="C73" s="20" t="s">
        <v>719</v>
      </c>
      <c r="D73" s="138">
        <v>2730000</v>
      </c>
      <c r="E73" s="20" t="s">
        <v>425</v>
      </c>
      <c r="F73" s="20" t="s">
        <v>426</v>
      </c>
      <c r="G73" s="8" t="str">
        <f t="shared" si="1"/>
        <v>YANG JAN</v>
      </c>
    </row>
    <row r="74" spans="1:7" x14ac:dyDescent="0.25">
      <c r="A74" s="8">
        <v>42929.360439814816</v>
      </c>
      <c r="B74" s="20" t="s">
        <v>446</v>
      </c>
      <c r="C74" s="20" t="s">
        <v>720</v>
      </c>
      <c r="D74" s="138">
        <v>3330000</v>
      </c>
      <c r="E74" s="20" t="s">
        <v>507</v>
      </c>
      <c r="F74" s="20" t="s">
        <v>508</v>
      </c>
      <c r="G74" s="8" t="str">
        <f t="shared" si="1"/>
        <v>GONZALEZ ARMANDO</v>
      </c>
    </row>
    <row r="75" spans="1:7" x14ac:dyDescent="0.25">
      <c r="A75" s="8">
        <v>42929.361319444448</v>
      </c>
      <c r="B75" s="20" t="s">
        <v>361</v>
      </c>
      <c r="C75" s="20" t="s">
        <v>721</v>
      </c>
      <c r="D75" s="138">
        <v>3300000</v>
      </c>
      <c r="E75" s="20" t="s">
        <v>553</v>
      </c>
      <c r="F75" s="20" t="s">
        <v>554</v>
      </c>
      <c r="G75" s="8" t="str">
        <f t="shared" si="1"/>
        <v>LANGERAK WILLIAM</v>
      </c>
    </row>
    <row r="76" spans="1:7" x14ac:dyDescent="0.25">
      <c r="A76" s="8">
        <v>42929.364212962966</v>
      </c>
      <c r="B76" s="20" t="s">
        <v>337</v>
      </c>
      <c r="C76" s="20" t="s">
        <v>722</v>
      </c>
      <c r="D76" s="138">
        <v>890000</v>
      </c>
      <c r="E76" s="20" t="s">
        <v>511</v>
      </c>
      <c r="F76" s="20" t="s">
        <v>512</v>
      </c>
      <c r="G76" s="8" t="str">
        <f t="shared" si="1"/>
        <v>LOZA FIDEL</v>
      </c>
    </row>
    <row r="77" spans="1:7" x14ac:dyDescent="0.25">
      <c r="A77" s="8">
        <v>42929.371759259258</v>
      </c>
      <c r="B77" s="20" t="s">
        <v>638</v>
      </c>
      <c r="C77" s="20" t="s">
        <v>723</v>
      </c>
      <c r="D77" s="138">
        <v>2970000</v>
      </c>
      <c r="E77" s="20" t="s">
        <v>370</v>
      </c>
      <c r="F77" s="20" t="s">
        <v>371</v>
      </c>
      <c r="G77" s="8" t="str">
        <f t="shared" si="1"/>
        <v>GUZMAN DANNY</v>
      </c>
    </row>
    <row r="78" spans="1:7" x14ac:dyDescent="0.25">
      <c r="A78" s="8">
        <v>42929.372002314813</v>
      </c>
      <c r="B78" s="20" t="s">
        <v>336</v>
      </c>
      <c r="C78" s="20" t="s">
        <v>724</v>
      </c>
      <c r="D78" s="138">
        <v>1230000</v>
      </c>
      <c r="E78" s="20" t="s">
        <v>665</v>
      </c>
      <c r="F78" s="20" t="s">
        <v>666</v>
      </c>
      <c r="G78" s="8" t="str">
        <f t="shared" si="1"/>
        <v>YANAI IAN</v>
      </c>
    </row>
    <row r="79" spans="1:7" x14ac:dyDescent="0.25">
      <c r="A79" s="8">
        <v>42929.374351851853</v>
      </c>
      <c r="B79" s="20" t="s">
        <v>635</v>
      </c>
      <c r="C79" s="20" t="s">
        <v>725</v>
      </c>
      <c r="D79" s="138">
        <v>2730000</v>
      </c>
      <c r="E79" s="20" t="s">
        <v>425</v>
      </c>
      <c r="F79" s="20" t="s">
        <v>426</v>
      </c>
      <c r="G79" s="8" t="str">
        <f t="shared" si="1"/>
        <v>YANG JAN</v>
      </c>
    </row>
    <row r="80" spans="1:7" x14ac:dyDescent="0.25">
      <c r="A80" s="8">
        <v>42929.383622685185</v>
      </c>
      <c r="B80" s="20" t="s">
        <v>449</v>
      </c>
      <c r="C80" s="20" t="s">
        <v>726</v>
      </c>
      <c r="D80" s="138">
        <v>3200000</v>
      </c>
      <c r="E80" s="20" t="s">
        <v>515</v>
      </c>
      <c r="F80" s="20" t="s">
        <v>516</v>
      </c>
      <c r="G80" s="8" t="str">
        <f t="shared" si="1"/>
        <v>MILLER KEVIN</v>
      </c>
    </row>
    <row r="81" spans="1:7" x14ac:dyDescent="0.25">
      <c r="A81" s="8">
        <v>42929.385671296295</v>
      </c>
      <c r="B81" s="20" t="s">
        <v>382</v>
      </c>
      <c r="C81" s="20" t="s">
        <v>727</v>
      </c>
      <c r="D81" s="138">
        <v>1540000</v>
      </c>
      <c r="E81" s="20" t="s">
        <v>509</v>
      </c>
      <c r="F81" s="20" t="s">
        <v>510</v>
      </c>
      <c r="G81" s="8" t="str">
        <f t="shared" si="1"/>
        <v>HELVIE ADAM</v>
      </c>
    </row>
    <row r="82" spans="1:7" x14ac:dyDescent="0.25">
      <c r="A82" s="8">
        <v>42929.393009259256</v>
      </c>
      <c r="B82" s="20" t="s">
        <v>352</v>
      </c>
      <c r="C82" s="20" t="s">
        <v>728</v>
      </c>
      <c r="D82" s="138">
        <v>3330000</v>
      </c>
      <c r="E82" s="20" t="s">
        <v>507</v>
      </c>
      <c r="F82" s="20" t="s">
        <v>508</v>
      </c>
      <c r="G82" s="8" t="str">
        <f t="shared" si="1"/>
        <v>GONZALEZ ARMANDO</v>
      </c>
    </row>
    <row r="83" spans="1:7" x14ac:dyDescent="0.25">
      <c r="A83" s="8">
        <v>42929.401516203703</v>
      </c>
      <c r="B83" s="20" t="s">
        <v>630</v>
      </c>
      <c r="C83" s="20" t="s">
        <v>729</v>
      </c>
      <c r="D83" s="138">
        <v>2730000</v>
      </c>
      <c r="E83" s="20" t="s">
        <v>425</v>
      </c>
      <c r="F83" s="20" t="s">
        <v>426</v>
      </c>
      <c r="G83" s="8" t="str">
        <f t="shared" si="1"/>
        <v>YANG JAN</v>
      </c>
    </row>
    <row r="84" spans="1:7" x14ac:dyDescent="0.25">
      <c r="A84" s="8">
        <v>42929.401782407411</v>
      </c>
      <c r="B84" s="20" t="s">
        <v>483</v>
      </c>
      <c r="C84" s="20" t="s">
        <v>730</v>
      </c>
      <c r="D84" s="138">
        <v>1230000</v>
      </c>
      <c r="E84" s="20" t="s">
        <v>665</v>
      </c>
      <c r="F84" s="20" t="s">
        <v>666</v>
      </c>
      <c r="G84" s="8" t="str">
        <f t="shared" si="1"/>
        <v>YANAI IAN</v>
      </c>
    </row>
    <row r="85" spans="1:7" x14ac:dyDescent="0.25">
      <c r="A85" s="8">
        <v>42929.402673611112</v>
      </c>
      <c r="B85" s="20" t="s">
        <v>367</v>
      </c>
      <c r="C85" s="20" t="s">
        <v>625</v>
      </c>
      <c r="D85" s="138">
        <v>3300000</v>
      </c>
      <c r="E85" s="20" t="s">
        <v>553</v>
      </c>
      <c r="F85" s="20" t="s">
        <v>554</v>
      </c>
      <c r="G85" s="8" t="str">
        <f t="shared" si="1"/>
        <v>LANGERAK WILLIAM</v>
      </c>
    </row>
    <row r="86" spans="1:7" x14ac:dyDescent="0.25">
      <c r="A86" s="8">
        <v>42929.403402777774</v>
      </c>
      <c r="B86" s="20" t="s">
        <v>628</v>
      </c>
      <c r="C86" s="20" t="s">
        <v>731</v>
      </c>
      <c r="D86" s="138">
        <v>890000</v>
      </c>
      <c r="E86" s="20" t="s">
        <v>511</v>
      </c>
      <c r="F86" s="20" t="s">
        <v>512</v>
      </c>
      <c r="G86" s="8" t="str">
        <f t="shared" si="1"/>
        <v>LOZA FIDEL</v>
      </c>
    </row>
    <row r="87" spans="1:7" x14ac:dyDescent="0.25">
      <c r="A87" s="8">
        <v>42929.41300925926</v>
      </c>
      <c r="B87" s="20" t="s">
        <v>632</v>
      </c>
      <c r="C87" s="20" t="s">
        <v>732</v>
      </c>
      <c r="D87" s="138">
        <v>2970000</v>
      </c>
      <c r="E87" s="20" t="s">
        <v>370</v>
      </c>
      <c r="F87" s="20" t="s">
        <v>371</v>
      </c>
      <c r="G87" s="8" t="str">
        <f t="shared" si="1"/>
        <v>GUZMAN DANNY</v>
      </c>
    </row>
    <row r="88" spans="1:7" x14ac:dyDescent="0.25">
      <c r="A88" s="8">
        <v>42929.422407407408</v>
      </c>
      <c r="B88" s="20" t="s">
        <v>422</v>
      </c>
      <c r="C88" s="20" t="s">
        <v>733</v>
      </c>
      <c r="D88" s="138">
        <v>1540000</v>
      </c>
      <c r="E88" s="20" t="s">
        <v>509</v>
      </c>
      <c r="F88" s="20" t="s">
        <v>510</v>
      </c>
      <c r="G88" s="8" t="str">
        <f t="shared" si="1"/>
        <v>HELVIE ADAM</v>
      </c>
    </row>
    <row r="89" spans="1:7" x14ac:dyDescent="0.25">
      <c r="A89" s="8">
        <v>42929.423692129632</v>
      </c>
      <c r="B89" s="20" t="s">
        <v>635</v>
      </c>
      <c r="C89" s="20" t="s">
        <v>734</v>
      </c>
      <c r="D89" s="138">
        <v>2730000</v>
      </c>
      <c r="E89" s="20" t="s">
        <v>425</v>
      </c>
      <c r="F89" s="20" t="s">
        <v>426</v>
      </c>
      <c r="G89" s="8" t="str">
        <f t="shared" si="1"/>
        <v>YANG JAN</v>
      </c>
    </row>
    <row r="90" spans="1:7" x14ac:dyDescent="0.25">
      <c r="A90" s="8">
        <v>42929.424490740741</v>
      </c>
      <c r="B90" s="20" t="s">
        <v>448</v>
      </c>
      <c r="C90" s="20" t="s">
        <v>735</v>
      </c>
      <c r="D90" s="138">
        <v>1990000</v>
      </c>
      <c r="E90" s="20" t="s">
        <v>385</v>
      </c>
      <c r="F90" s="20" t="s">
        <v>550</v>
      </c>
      <c r="G90" s="8" t="str">
        <f t="shared" si="1"/>
        <v>DAVIS WENDY</v>
      </c>
    </row>
    <row r="91" spans="1:7" x14ac:dyDescent="0.25">
      <c r="A91" s="8">
        <v>42929.433356481481</v>
      </c>
      <c r="B91" s="20" t="s">
        <v>446</v>
      </c>
      <c r="C91" s="20" t="s">
        <v>736</v>
      </c>
      <c r="D91" s="138">
        <v>3330000</v>
      </c>
      <c r="E91" s="20" t="s">
        <v>507</v>
      </c>
      <c r="F91" s="20" t="s">
        <v>508</v>
      </c>
      <c r="G91" s="8" t="str">
        <f t="shared" si="1"/>
        <v>GONZALEZ ARMANDO</v>
      </c>
    </row>
    <row r="92" spans="1:7" x14ac:dyDescent="0.25">
      <c r="A92" s="8">
        <v>42929.433634259258</v>
      </c>
      <c r="B92" s="20" t="s">
        <v>361</v>
      </c>
      <c r="C92" s="20" t="s">
        <v>737</v>
      </c>
      <c r="D92" s="138">
        <v>3300000</v>
      </c>
      <c r="E92" s="20" t="s">
        <v>553</v>
      </c>
      <c r="F92" s="20" t="s">
        <v>554</v>
      </c>
      <c r="G92" s="8" t="str">
        <f t="shared" si="1"/>
        <v>LANGERAK WILLIAM</v>
      </c>
    </row>
    <row r="93" spans="1:7" x14ac:dyDescent="0.25">
      <c r="A93" s="8">
        <v>42929.433981481481</v>
      </c>
      <c r="B93" s="20" t="s">
        <v>337</v>
      </c>
      <c r="C93" s="20" t="s">
        <v>738</v>
      </c>
      <c r="D93" s="138">
        <v>890000</v>
      </c>
      <c r="E93" s="20" t="s">
        <v>511</v>
      </c>
      <c r="F93" s="20" t="s">
        <v>512</v>
      </c>
      <c r="G93" s="8" t="str">
        <f t="shared" si="1"/>
        <v>LOZA FIDEL</v>
      </c>
    </row>
    <row r="94" spans="1:7" x14ac:dyDescent="0.25">
      <c r="A94" s="8">
        <v>42929.443032407406</v>
      </c>
      <c r="B94" s="20" t="s">
        <v>630</v>
      </c>
      <c r="C94" s="20" t="s">
        <v>739</v>
      </c>
      <c r="D94" s="138">
        <v>2730000</v>
      </c>
      <c r="E94" s="20" t="s">
        <v>425</v>
      </c>
      <c r="F94" s="20" t="s">
        <v>426</v>
      </c>
      <c r="G94" s="8" t="str">
        <f t="shared" si="1"/>
        <v>YANG JAN</v>
      </c>
    </row>
    <row r="95" spans="1:7" x14ac:dyDescent="0.25">
      <c r="A95" s="8">
        <v>42929.443703703706</v>
      </c>
      <c r="B95" s="20" t="s">
        <v>336</v>
      </c>
      <c r="C95" s="20" t="s">
        <v>740</v>
      </c>
      <c r="D95" s="138">
        <v>3010000</v>
      </c>
      <c r="E95" s="20" t="s">
        <v>741</v>
      </c>
      <c r="F95" s="20" t="s">
        <v>485</v>
      </c>
      <c r="G95" s="8" t="str">
        <f t="shared" si="1"/>
        <v>SULLIVAN BRANDON</v>
      </c>
    </row>
    <row r="96" spans="1:7" x14ac:dyDescent="0.25">
      <c r="A96" s="8">
        <v>42929.444456018522</v>
      </c>
      <c r="B96" s="20" t="s">
        <v>638</v>
      </c>
      <c r="C96" s="20" t="s">
        <v>742</v>
      </c>
      <c r="D96" s="138">
        <v>2970000</v>
      </c>
      <c r="E96" s="20" t="s">
        <v>370</v>
      </c>
      <c r="F96" s="20" t="s">
        <v>371</v>
      </c>
      <c r="G96" s="8" t="str">
        <f t="shared" si="1"/>
        <v>GUZMAN DANNY</v>
      </c>
    </row>
    <row r="97" spans="1:7" x14ac:dyDescent="0.25">
      <c r="A97" s="8">
        <v>42929.448877314811</v>
      </c>
      <c r="B97" s="20" t="s">
        <v>743</v>
      </c>
      <c r="C97" s="20" t="s">
        <v>744</v>
      </c>
      <c r="D97" s="138">
        <v>2140000</v>
      </c>
      <c r="E97" s="20" t="s">
        <v>383</v>
      </c>
      <c r="F97" s="20" t="s">
        <v>384</v>
      </c>
      <c r="G97" s="8" t="str">
        <f t="shared" si="1"/>
        <v>ROBINSON KADDIBA</v>
      </c>
    </row>
    <row r="98" spans="1:7" x14ac:dyDescent="0.25">
      <c r="A98" s="8">
        <v>42929.449479166666</v>
      </c>
      <c r="B98" s="20" t="s">
        <v>743</v>
      </c>
      <c r="C98" s="20" t="s">
        <v>744</v>
      </c>
      <c r="D98" s="138">
        <v>2140000</v>
      </c>
      <c r="E98" s="20" t="s">
        <v>383</v>
      </c>
      <c r="F98" s="20" t="s">
        <v>384</v>
      </c>
      <c r="G98" s="8" t="str">
        <f t="shared" si="1"/>
        <v>ROBINSON KADDIBA</v>
      </c>
    </row>
    <row r="99" spans="1:7" x14ac:dyDescent="0.25">
      <c r="A99" s="8">
        <v>42929.456689814811</v>
      </c>
      <c r="B99" s="20" t="s">
        <v>382</v>
      </c>
      <c r="C99" s="20" t="s">
        <v>745</v>
      </c>
      <c r="D99" s="138">
        <v>1540000</v>
      </c>
      <c r="E99" s="20" t="s">
        <v>509</v>
      </c>
      <c r="F99" s="20" t="s">
        <v>510</v>
      </c>
      <c r="G99" s="8" t="str">
        <f t="shared" si="1"/>
        <v>HELVIE ADAM</v>
      </c>
    </row>
    <row r="100" spans="1:7" x14ac:dyDescent="0.25">
      <c r="A100" s="8">
        <v>42929.465462962966</v>
      </c>
      <c r="B100" s="20" t="s">
        <v>449</v>
      </c>
      <c r="C100" s="20" t="s">
        <v>746</v>
      </c>
      <c r="D100" s="138">
        <v>1990000</v>
      </c>
      <c r="E100" s="20" t="s">
        <v>385</v>
      </c>
      <c r="F100" s="20" t="s">
        <v>550</v>
      </c>
      <c r="G100" s="8" t="str">
        <f t="shared" si="1"/>
        <v>DAVIS WENDY</v>
      </c>
    </row>
    <row r="101" spans="1:7" x14ac:dyDescent="0.25">
      <c r="A101" s="8">
        <v>42929.466412037036</v>
      </c>
      <c r="B101" s="20" t="s">
        <v>628</v>
      </c>
      <c r="C101" s="20" t="s">
        <v>747</v>
      </c>
      <c r="D101" s="138">
        <v>890000</v>
      </c>
      <c r="E101" s="20" t="s">
        <v>511</v>
      </c>
      <c r="F101" s="20" t="s">
        <v>512</v>
      </c>
      <c r="G101" s="8" t="str">
        <f t="shared" si="1"/>
        <v>LOZA FIDEL</v>
      </c>
    </row>
    <row r="102" spans="1:7" x14ac:dyDescent="0.25">
      <c r="A102" s="8">
        <v>42929.467083333337</v>
      </c>
      <c r="B102" s="20" t="s">
        <v>352</v>
      </c>
      <c r="C102" s="20" t="s">
        <v>748</v>
      </c>
      <c r="D102" s="138">
        <v>2140000</v>
      </c>
      <c r="E102" s="20" t="s">
        <v>383</v>
      </c>
      <c r="F102" s="20" t="s">
        <v>384</v>
      </c>
      <c r="G102" s="8" t="str">
        <f t="shared" si="1"/>
        <v>ROBINSON KADDIBA</v>
      </c>
    </row>
    <row r="103" spans="1:7" x14ac:dyDescent="0.25">
      <c r="A103" s="8">
        <v>42929.467129629629</v>
      </c>
      <c r="B103" s="20" t="s">
        <v>635</v>
      </c>
      <c r="C103" s="20" t="s">
        <v>749</v>
      </c>
      <c r="D103" s="138">
        <v>2730000</v>
      </c>
      <c r="E103" s="20" t="s">
        <v>425</v>
      </c>
      <c r="F103" s="20" t="s">
        <v>426</v>
      </c>
      <c r="G103" s="8" t="str">
        <f t="shared" si="1"/>
        <v>YANG JAN</v>
      </c>
    </row>
    <row r="104" spans="1:7" x14ac:dyDescent="0.25">
      <c r="A104" s="8">
        <v>42929.473078703704</v>
      </c>
      <c r="B104" s="20" t="s">
        <v>750</v>
      </c>
      <c r="C104" s="20" t="s">
        <v>751</v>
      </c>
      <c r="D104" s="138">
        <v>940000</v>
      </c>
      <c r="E104" s="20" t="s">
        <v>752</v>
      </c>
      <c r="F104" s="20" t="s">
        <v>753</v>
      </c>
      <c r="G104" s="8" t="str">
        <f t="shared" si="1"/>
        <v>BONDS REYNALDO</v>
      </c>
    </row>
    <row r="105" spans="1:7" x14ac:dyDescent="0.25">
      <c r="A105" s="8">
        <v>42929.476701388892</v>
      </c>
      <c r="B105" s="20" t="s">
        <v>367</v>
      </c>
      <c r="C105" s="20" t="s">
        <v>754</v>
      </c>
      <c r="D105" s="138">
        <v>2470000</v>
      </c>
      <c r="E105" s="20" t="s">
        <v>555</v>
      </c>
      <c r="F105" s="20" t="s">
        <v>556</v>
      </c>
      <c r="G105" s="8" t="str">
        <f t="shared" si="1"/>
        <v>ROMERO CHAD</v>
      </c>
    </row>
    <row r="106" spans="1:7" x14ac:dyDescent="0.25">
      <c r="A106" s="8">
        <v>42929.482916666668</v>
      </c>
      <c r="B106" s="20" t="s">
        <v>483</v>
      </c>
      <c r="C106" s="20" t="s">
        <v>755</v>
      </c>
      <c r="D106" s="138">
        <v>3010000</v>
      </c>
      <c r="E106" s="20" t="s">
        <v>741</v>
      </c>
      <c r="F106" s="20" t="s">
        <v>485</v>
      </c>
      <c r="G106" s="8" t="str">
        <f t="shared" si="1"/>
        <v>SULLIVAN BRANDON</v>
      </c>
    </row>
    <row r="107" spans="1:7" x14ac:dyDescent="0.25">
      <c r="A107" s="8">
        <v>42929.4844212963</v>
      </c>
      <c r="B107" s="20" t="s">
        <v>630</v>
      </c>
      <c r="C107" s="20" t="s">
        <v>756</v>
      </c>
      <c r="D107" s="138">
        <v>2730000</v>
      </c>
      <c r="E107" s="20" t="s">
        <v>425</v>
      </c>
      <c r="F107" s="20" t="s">
        <v>426</v>
      </c>
      <c r="G107" s="8" t="str">
        <f t="shared" si="1"/>
        <v>YANG JAN</v>
      </c>
    </row>
    <row r="108" spans="1:7" x14ac:dyDescent="0.25">
      <c r="A108" s="8">
        <v>42929.48636574074</v>
      </c>
      <c r="B108" s="20" t="s">
        <v>632</v>
      </c>
      <c r="C108" s="20" t="s">
        <v>757</v>
      </c>
      <c r="D108" s="138">
        <v>1300000</v>
      </c>
      <c r="E108" s="20" t="s">
        <v>517</v>
      </c>
      <c r="F108" s="20" t="s">
        <v>518</v>
      </c>
      <c r="G108" s="8" t="str">
        <f t="shared" si="1"/>
        <v>LEVIN SCOTT</v>
      </c>
    </row>
    <row r="109" spans="1:7" x14ac:dyDescent="0.25">
      <c r="A109" s="8">
        <v>42929.496238425927</v>
      </c>
      <c r="B109" s="20" t="s">
        <v>422</v>
      </c>
      <c r="C109" s="20" t="s">
        <v>758</v>
      </c>
      <c r="D109" s="138">
        <v>1540000</v>
      </c>
      <c r="E109" s="20" t="s">
        <v>509</v>
      </c>
      <c r="F109" s="20" t="s">
        <v>510</v>
      </c>
      <c r="G109" s="8" t="str">
        <f t="shared" si="1"/>
        <v>HELVIE ADAM</v>
      </c>
    </row>
    <row r="110" spans="1:7" x14ac:dyDescent="0.25">
      <c r="A110" s="8">
        <v>42929.496516203704</v>
      </c>
      <c r="B110" s="20" t="s">
        <v>743</v>
      </c>
      <c r="C110" s="20" t="s">
        <v>759</v>
      </c>
      <c r="D110" s="138">
        <v>2420000</v>
      </c>
      <c r="E110" s="20" t="s">
        <v>760</v>
      </c>
      <c r="F110" s="20" t="s">
        <v>761</v>
      </c>
      <c r="G110" s="8" t="str">
        <f t="shared" si="1"/>
        <v>HOLCOMB KAMDEN</v>
      </c>
    </row>
    <row r="111" spans="1:7" x14ac:dyDescent="0.25">
      <c r="A111" s="8">
        <v>42929.497083333335</v>
      </c>
      <c r="B111" s="20" t="s">
        <v>448</v>
      </c>
      <c r="C111" s="20" t="s">
        <v>762</v>
      </c>
      <c r="D111" s="138">
        <v>2370000</v>
      </c>
      <c r="E111" s="20" t="s">
        <v>557</v>
      </c>
      <c r="F111" s="20" t="s">
        <v>558</v>
      </c>
      <c r="G111" s="8" t="str">
        <f t="shared" si="1"/>
        <v>DELGADO DIANAH</v>
      </c>
    </row>
    <row r="112" spans="1:7" x14ac:dyDescent="0.25">
      <c r="A112" s="8">
        <v>42929.505810185183</v>
      </c>
      <c r="B112" s="20" t="s">
        <v>635</v>
      </c>
      <c r="C112" s="20" t="s">
        <v>763</v>
      </c>
      <c r="D112" s="138">
        <v>2730000</v>
      </c>
      <c r="E112" s="20" t="s">
        <v>425</v>
      </c>
      <c r="F112" s="20" t="s">
        <v>426</v>
      </c>
      <c r="G112" s="8" t="str">
        <f t="shared" si="1"/>
        <v>YANG JAN</v>
      </c>
    </row>
    <row r="113" spans="1:7" x14ac:dyDescent="0.25">
      <c r="A113" s="8">
        <v>42929.506967592592</v>
      </c>
      <c r="B113" s="20" t="s">
        <v>446</v>
      </c>
      <c r="C113" s="20" t="s">
        <v>764</v>
      </c>
      <c r="D113" s="138">
        <v>2140000</v>
      </c>
      <c r="E113" s="20" t="s">
        <v>383</v>
      </c>
      <c r="F113" s="20" t="s">
        <v>384</v>
      </c>
      <c r="G113" s="8" t="str">
        <f t="shared" si="1"/>
        <v>ROBINSON KADDIBA</v>
      </c>
    </row>
    <row r="114" spans="1:7" x14ac:dyDescent="0.25">
      <c r="A114" s="8">
        <v>42929.507743055554</v>
      </c>
      <c r="B114" s="20" t="s">
        <v>361</v>
      </c>
      <c r="C114" s="20" t="s">
        <v>626</v>
      </c>
      <c r="D114" s="138">
        <v>2470000</v>
      </c>
      <c r="E114" s="20" t="s">
        <v>555</v>
      </c>
      <c r="F114" s="20" t="s">
        <v>556</v>
      </c>
      <c r="G114" s="8" t="str">
        <f t="shared" si="1"/>
        <v>ROMERO CHAD</v>
      </c>
    </row>
    <row r="115" spans="1:7" x14ac:dyDescent="0.25">
      <c r="A115" s="8">
        <v>42929.508819444447</v>
      </c>
      <c r="B115" s="20" t="s">
        <v>337</v>
      </c>
      <c r="C115" s="20" t="s">
        <v>765</v>
      </c>
      <c r="D115" s="138">
        <v>3320000</v>
      </c>
      <c r="E115" s="20" t="s">
        <v>486</v>
      </c>
      <c r="F115" s="20" t="s">
        <v>487</v>
      </c>
      <c r="G115" s="8" t="str">
        <f t="shared" si="1"/>
        <v>NICHOLSON WESLEY</v>
      </c>
    </row>
    <row r="116" spans="1:7" x14ac:dyDescent="0.25">
      <c r="A116" s="8">
        <v>42929.516840277778</v>
      </c>
      <c r="B116" s="20" t="s">
        <v>336</v>
      </c>
      <c r="C116" s="20" t="s">
        <v>766</v>
      </c>
      <c r="D116" s="138">
        <v>3010000</v>
      </c>
      <c r="E116" s="20" t="s">
        <v>741</v>
      </c>
      <c r="F116" s="20" t="s">
        <v>485</v>
      </c>
      <c r="G116" s="8" t="str">
        <f t="shared" si="1"/>
        <v>SULLIVAN BRANDON</v>
      </c>
    </row>
    <row r="117" spans="1:7" x14ac:dyDescent="0.25">
      <c r="A117" s="8">
        <v>42929.526516203703</v>
      </c>
      <c r="B117" s="20" t="s">
        <v>630</v>
      </c>
      <c r="C117" s="20" t="s">
        <v>767</v>
      </c>
      <c r="D117" s="138">
        <v>2730000</v>
      </c>
      <c r="E117" s="20" t="s">
        <v>425</v>
      </c>
      <c r="F117" s="20" t="s">
        <v>426</v>
      </c>
      <c r="G117" s="8" t="str">
        <f t="shared" si="1"/>
        <v>YANG JAN</v>
      </c>
    </row>
    <row r="118" spans="1:7" x14ac:dyDescent="0.25">
      <c r="A118" s="8">
        <v>42929.527280092596</v>
      </c>
      <c r="B118" s="20" t="s">
        <v>638</v>
      </c>
      <c r="C118" s="20" t="s">
        <v>768</v>
      </c>
      <c r="D118" s="138">
        <v>1300000</v>
      </c>
      <c r="E118" s="20" t="s">
        <v>517</v>
      </c>
      <c r="F118" s="20" t="s">
        <v>518</v>
      </c>
      <c r="G118" s="8" t="str">
        <f t="shared" si="1"/>
        <v>LEVIN SCOTT</v>
      </c>
    </row>
    <row r="119" spans="1:7" x14ac:dyDescent="0.25">
      <c r="A119" s="8">
        <v>42929.527627314812</v>
      </c>
      <c r="B119" s="20" t="s">
        <v>750</v>
      </c>
      <c r="C119" s="20" t="s">
        <v>769</v>
      </c>
      <c r="D119" s="138">
        <v>1540000</v>
      </c>
      <c r="E119" s="20" t="s">
        <v>509</v>
      </c>
      <c r="F119" s="20" t="s">
        <v>510</v>
      </c>
      <c r="G119" s="8" t="str">
        <f t="shared" si="1"/>
        <v>HELVIE ADAM</v>
      </c>
    </row>
    <row r="120" spans="1:7" x14ac:dyDescent="0.25">
      <c r="A120" s="8">
        <v>42929.527708333335</v>
      </c>
      <c r="B120" s="20" t="s">
        <v>382</v>
      </c>
      <c r="C120" s="20" t="s">
        <v>627</v>
      </c>
      <c r="D120" s="138">
        <v>3310000</v>
      </c>
      <c r="E120" s="20" t="s">
        <v>513</v>
      </c>
      <c r="F120" s="20" t="s">
        <v>514</v>
      </c>
      <c r="G120" s="8" t="str">
        <f t="shared" si="1"/>
        <v>ANDERS STEVEN</v>
      </c>
    </row>
    <row r="121" spans="1:7" x14ac:dyDescent="0.25">
      <c r="A121" s="8">
        <v>42929.532118055555</v>
      </c>
      <c r="B121" s="20" t="s">
        <v>449</v>
      </c>
      <c r="C121" s="20" t="s">
        <v>770</v>
      </c>
      <c r="D121" s="138">
        <v>3200000</v>
      </c>
      <c r="E121" s="20" t="s">
        <v>515</v>
      </c>
      <c r="F121" s="20" t="s">
        <v>516</v>
      </c>
      <c r="G121" s="8" t="str">
        <f t="shared" si="1"/>
        <v>MILLER KEVIN</v>
      </c>
    </row>
    <row r="122" spans="1:7" x14ac:dyDescent="0.25">
      <c r="A122" s="8">
        <v>42929.53696759259</v>
      </c>
      <c r="B122" s="25" t="s">
        <v>352</v>
      </c>
      <c r="C122" s="20" t="s">
        <v>771</v>
      </c>
      <c r="D122" s="138">
        <v>2140000</v>
      </c>
      <c r="E122" s="20" t="s">
        <v>383</v>
      </c>
      <c r="F122" s="20" t="s">
        <v>384</v>
      </c>
      <c r="G122" s="8" t="str">
        <f t="shared" si="1"/>
        <v>ROBINSON KADDIBA</v>
      </c>
    </row>
    <row r="123" spans="1:7" x14ac:dyDescent="0.25">
      <c r="A123" s="8">
        <v>42929.542395833334</v>
      </c>
      <c r="B123" s="20" t="s">
        <v>635</v>
      </c>
      <c r="C123" s="20" t="s">
        <v>772</v>
      </c>
      <c r="D123" s="138">
        <v>3280000</v>
      </c>
      <c r="E123" s="20" t="s">
        <v>488</v>
      </c>
      <c r="F123" s="20" t="s">
        <v>489</v>
      </c>
      <c r="G123" s="8" t="str">
        <f t="shared" si="1"/>
        <v>BIRKHOLZ NADINE</v>
      </c>
    </row>
    <row r="124" spans="1:7" x14ac:dyDescent="0.25">
      <c r="A124" s="8">
        <v>42929.545949074076</v>
      </c>
      <c r="B124" s="20" t="s">
        <v>628</v>
      </c>
      <c r="C124" s="20" t="s">
        <v>629</v>
      </c>
      <c r="D124" s="138">
        <v>3320000</v>
      </c>
      <c r="E124" s="20" t="s">
        <v>486</v>
      </c>
      <c r="F124" s="20" t="s">
        <v>487</v>
      </c>
      <c r="G124" s="8" t="str">
        <f t="shared" si="1"/>
        <v>NICHOLSON WESLEY</v>
      </c>
    </row>
    <row r="125" spans="1:7" x14ac:dyDescent="0.25">
      <c r="A125" s="8">
        <v>42929.547997685186</v>
      </c>
      <c r="B125" s="20" t="s">
        <v>367</v>
      </c>
      <c r="C125" s="20" t="s">
        <v>773</v>
      </c>
      <c r="D125" s="138">
        <v>2470000</v>
      </c>
      <c r="E125" s="20" t="s">
        <v>555</v>
      </c>
      <c r="F125" s="20" t="s">
        <v>556</v>
      </c>
      <c r="G125" s="8" t="str">
        <f t="shared" si="1"/>
        <v>ROMERO CHAD</v>
      </c>
    </row>
    <row r="126" spans="1:7" x14ac:dyDescent="0.25">
      <c r="A126" s="8">
        <v>42929.5544212963</v>
      </c>
      <c r="B126" s="20" t="s">
        <v>483</v>
      </c>
      <c r="C126" s="20" t="s">
        <v>774</v>
      </c>
      <c r="D126" s="138">
        <v>3010000</v>
      </c>
      <c r="E126" s="20" t="s">
        <v>741</v>
      </c>
      <c r="F126" s="20" t="s">
        <v>485</v>
      </c>
      <c r="G126" s="8" t="str">
        <f t="shared" si="1"/>
        <v>SULLIVAN BRANDON</v>
      </c>
    </row>
    <row r="127" spans="1:7" x14ac:dyDescent="0.25">
      <c r="A127" s="8">
        <v>42929.558009259257</v>
      </c>
      <c r="B127" s="20" t="s">
        <v>632</v>
      </c>
      <c r="C127" s="20" t="s">
        <v>633</v>
      </c>
      <c r="D127" s="138">
        <v>1300000</v>
      </c>
      <c r="E127" s="20" t="s">
        <v>517</v>
      </c>
      <c r="F127" s="20" t="s">
        <v>518</v>
      </c>
      <c r="G127" s="8" t="str">
        <f t="shared" si="1"/>
        <v>LEVIN SCOTT</v>
      </c>
    </row>
    <row r="128" spans="1:7" x14ac:dyDescent="0.25">
      <c r="A128" s="8">
        <v>42929.558900462966</v>
      </c>
      <c r="B128" s="20" t="s">
        <v>422</v>
      </c>
      <c r="C128" s="20" t="s">
        <v>634</v>
      </c>
      <c r="D128" s="138">
        <v>3310000</v>
      </c>
      <c r="E128" s="20" t="s">
        <v>513</v>
      </c>
      <c r="F128" s="20" t="s">
        <v>514</v>
      </c>
      <c r="G128" s="8" t="str">
        <f t="shared" si="1"/>
        <v>ANDERS STEVEN</v>
      </c>
    </row>
    <row r="129" spans="1:7" x14ac:dyDescent="0.25">
      <c r="A129" s="8">
        <v>42929.568657407406</v>
      </c>
      <c r="B129" s="20" t="s">
        <v>630</v>
      </c>
      <c r="C129" s="20" t="s">
        <v>631</v>
      </c>
      <c r="D129" s="138">
        <v>3280000</v>
      </c>
      <c r="E129" s="20" t="s">
        <v>488</v>
      </c>
      <c r="F129" s="20" t="s">
        <v>489</v>
      </c>
      <c r="G129" s="8" t="str">
        <f t="shared" si="1"/>
        <v>BIRKHOLZ NADINE</v>
      </c>
    </row>
    <row r="130" spans="1:7" x14ac:dyDescent="0.25">
      <c r="A130" s="8">
        <v>42929.569525462961</v>
      </c>
      <c r="B130" s="20" t="s">
        <v>448</v>
      </c>
      <c r="C130" s="20" t="s">
        <v>775</v>
      </c>
      <c r="D130" s="138">
        <v>2370000</v>
      </c>
      <c r="E130" s="20" t="s">
        <v>557</v>
      </c>
      <c r="F130" s="20" t="s">
        <v>558</v>
      </c>
      <c r="G130" s="8" t="str">
        <f t="shared" si="1"/>
        <v>DELGADO DIANAH</v>
      </c>
    </row>
    <row r="131" spans="1:7" x14ac:dyDescent="0.25">
      <c r="A131" s="8">
        <v>42929.579085648147</v>
      </c>
      <c r="B131" s="20" t="s">
        <v>361</v>
      </c>
      <c r="C131" s="20" t="s">
        <v>776</v>
      </c>
      <c r="D131" s="138">
        <v>2470000</v>
      </c>
      <c r="E131" s="20" t="s">
        <v>555</v>
      </c>
      <c r="F131" s="20" t="s">
        <v>556</v>
      </c>
      <c r="G131" s="8" t="str">
        <f t="shared" ref="G131:G194" si="2">E131&amp;" "&amp;F131</f>
        <v>ROMERO CHAD</v>
      </c>
    </row>
    <row r="132" spans="1:7" x14ac:dyDescent="0.25">
      <c r="A132" s="8">
        <v>42929.579618055555</v>
      </c>
      <c r="B132" s="20" t="s">
        <v>446</v>
      </c>
      <c r="C132" s="20" t="s">
        <v>777</v>
      </c>
      <c r="D132" s="138">
        <v>2140000</v>
      </c>
      <c r="E132" s="20" t="s">
        <v>383</v>
      </c>
      <c r="F132" s="20" t="s">
        <v>384</v>
      </c>
      <c r="G132" s="8" t="str">
        <f t="shared" si="2"/>
        <v>ROBINSON KADDIBA</v>
      </c>
    </row>
    <row r="133" spans="1:7" x14ac:dyDescent="0.25">
      <c r="A133" s="8">
        <v>42929.580405092594</v>
      </c>
      <c r="B133" s="20" t="s">
        <v>337</v>
      </c>
      <c r="C133" s="20" t="s">
        <v>778</v>
      </c>
      <c r="D133" s="138">
        <v>3320000</v>
      </c>
      <c r="E133" s="20" t="s">
        <v>486</v>
      </c>
      <c r="F133" s="20" t="s">
        <v>487</v>
      </c>
      <c r="G133" s="8" t="str">
        <f t="shared" si="2"/>
        <v>NICHOLSON WESLEY</v>
      </c>
    </row>
    <row r="134" spans="1:7" x14ac:dyDescent="0.25">
      <c r="A134" s="8">
        <v>42929.590925925928</v>
      </c>
      <c r="B134" s="20" t="s">
        <v>336</v>
      </c>
      <c r="C134" s="20" t="s">
        <v>640</v>
      </c>
      <c r="D134" s="138">
        <v>3010000</v>
      </c>
      <c r="E134" s="20" t="s">
        <v>741</v>
      </c>
      <c r="F134" s="20" t="s">
        <v>485</v>
      </c>
      <c r="G134" s="8" t="str">
        <f t="shared" si="2"/>
        <v>SULLIVAN BRANDON</v>
      </c>
    </row>
    <row r="135" spans="1:7" x14ac:dyDescent="0.25">
      <c r="A135" s="8">
        <v>42929.595324074071</v>
      </c>
      <c r="B135" s="20" t="s">
        <v>635</v>
      </c>
      <c r="C135" s="20" t="s">
        <v>636</v>
      </c>
      <c r="D135" s="138">
        <v>3280000</v>
      </c>
      <c r="E135" s="20" t="s">
        <v>488</v>
      </c>
      <c r="F135" s="20" t="s">
        <v>489</v>
      </c>
      <c r="G135" s="8" t="str">
        <f t="shared" si="2"/>
        <v>BIRKHOLZ NADINE</v>
      </c>
    </row>
    <row r="136" spans="1:7" x14ac:dyDescent="0.25">
      <c r="A136" s="8">
        <v>42929.59784722222</v>
      </c>
      <c r="B136" s="20" t="s">
        <v>638</v>
      </c>
      <c r="C136" s="20" t="s">
        <v>639</v>
      </c>
      <c r="D136" s="138">
        <v>1300000</v>
      </c>
      <c r="E136" s="20" t="s">
        <v>517</v>
      </c>
      <c r="F136" s="20" t="s">
        <v>518</v>
      </c>
      <c r="G136" s="8" t="str">
        <f t="shared" si="2"/>
        <v>LEVIN SCOTT</v>
      </c>
    </row>
    <row r="137" spans="1:7" x14ac:dyDescent="0.25">
      <c r="A137" s="8">
        <v>42929.600821759261</v>
      </c>
      <c r="B137" s="20" t="s">
        <v>382</v>
      </c>
      <c r="C137" s="20" t="s">
        <v>637</v>
      </c>
      <c r="D137" s="138">
        <v>3310000</v>
      </c>
      <c r="E137" s="20" t="s">
        <v>513</v>
      </c>
      <c r="F137" s="20" t="s">
        <v>514</v>
      </c>
      <c r="G137" s="8" t="str">
        <f t="shared" si="2"/>
        <v>ANDERS STEVEN</v>
      </c>
    </row>
    <row r="138" spans="1:7" x14ac:dyDescent="0.25">
      <c r="A138" s="8">
        <v>42929.610231481478</v>
      </c>
      <c r="B138" s="20" t="s">
        <v>352</v>
      </c>
      <c r="C138" s="20" t="s">
        <v>779</v>
      </c>
      <c r="D138" s="138">
        <v>2140000</v>
      </c>
      <c r="E138" s="20" t="s">
        <v>383</v>
      </c>
      <c r="F138" s="20" t="s">
        <v>384</v>
      </c>
      <c r="G138" s="8" t="str">
        <f t="shared" si="2"/>
        <v>ROBINSON KADDIBA</v>
      </c>
    </row>
    <row r="139" spans="1:7" x14ac:dyDescent="0.25">
      <c r="A139" s="8">
        <v>42929.610486111109</v>
      </c>
      <c r="B139" s="20" t="s">
        <v>449</v>
      </c>
      <c r="C139" s="20" t="s">
        <v>780</v>
      </c>
      <c r="D139" s="138">
        <v>2370000</v>
      </c>
      <c r="E139" s="20" t="s">
        <v>557</v>
      </c>
      <c r="F139" s="20" t="s">
        <v>558</v>
      </c>
      <c r="G139" s="8" t="str">
        <f t="shared" si="2"/>
        <v>DELGADO DIANAH</v>
      </c>
    </row>
    <row r="140" spans="1:7" x14ac:dyDescent="0.25">
      <c r="A140" s="8">
        <v>42929.611504629633</v>
      </c>
      <c r="B140" s="20" t="s">
        <v>630</v>
      </c>
      <c r="C140" s="20" t="s">
        <v>781</v>
      </c>
      <c r="D140" s="138">
        <v>3280000</v>
      </c>
      <c r="E140" s="20" t="s">
        <v>488</v>
      </c>
      <c r="F140" s="20" t="s">
        <v>489</v>
      </c>
      <c r="G140" s="8" t="str">
        <f t="shared" si="2"/>
        <v>BIRKHOLZ NADINE</v>
      </c>
    </row>
    <row r="141" spans="1:7" x14ac:dyDescent="0.25">
      <c r="A141" s="8">
        <v>42929.619270833333</v>
      </c>
      <c r="B141" s="20" t="s">
        <v>628</v>
      </c>
      <c r="C141" s="20" t="s">
        <v>782</v>
      </c>
      <c r="D141" s="138">
        <v>3320000</v>
      </c>
      <c r="E141" s="20" t="s">
        <v>486</v>
      </c>
      <c r="F141" s="20" t="s">
        <v>487</v>
      </c>
      <c r="G141" s="8" t="str">
        <f t="shared" si="2"/>
        <v>NICHOLSON WESLEY</v>
      </c>
    </row>
    <row r="142" spans="1:7" x14ac:dyDescent="0.25">
      <c r="A142" s="8">
        <v>42929.61954861111</v>
      </c>
      <c r="B142" s="20" t="s">
        <v>367</v>
      </c>
      <c r="C142" s="20" t="s">
        <v>642</v>
      </c>
      <c r="D142" s="138">
        <v>2470000</v>
      </c>
      <c r="E142" s="20" t="s">
        <v>555</v>
      </c>
      <c r="F142" s="20" t="s">
        <v>556</v>
      </c>
      <c r="G142" s="8" t="str">
        <f t="shared" si="2"/>
        <v>ROMERO CHAD</v>
      </c>
    </row>
    <row r="143" spans="1:7" x14ac:dyDescent="0.25">
      <c r="A143" s="8">
        <v>42929.625231481485</v>
      </c>
      <c r="B143" s="20" t="s">
        <v>483</v>
      </c>
      <c r="C143" s="20" t="s">
        <v>783</v>
      </c>
      <c r="D143" s="138">
        <v>3010000</v>
      </c>
      <c r="E143" s="20" t="s">
        <v>741</v>
      </c>
      <c r="F143" s="20" t="s">
        <v>485</v>
      </c>
      <c r="G143" s="8" t="str">
        <f t="shared" si="2"/>
        <v>SULLIVAN BRANDON</v>
      </c>
    </row>
    <row r="144" spans="1:7" x14ac:dyDescent="0.25">
      <c r="A144" s="8">
        <v>42929.630787037036</v>
      </c>
      <c r="B144" s="20" t="s">
        <v>635</v>
      </c>
      <c r="C144" s="20" t="s">
        <v>784</v>
      </c>
      <c r="D144" s="138">
        <v>3280000</v>
      </c>
      <c r="E144" s="20" t="s">
        <v>488</v>
      </c>
      <c r="F144" s="20" t="s">
        <v>489</v>
      </c>
      <c r="G144" s="8" t="str">
        <f t="shared" si="2"/>
        <v>BIRKHOLZ NADINE</v>
      </c>
    </row>
    <row r="145" spans="1:7" x14ac:dyDescent="0.25">
      <c r="A145" s="8">
        <v>42929.632152777776</v>
      </c>
      <c r="B145" s="20" t="s">
        <v>632</v>
      </c>
      <c r="C145" s="20" t="s">
        <v>785</v>
      </c>
      <c r="D145" s="138">
        <v>1300000</v>
      </c>
      <c r="E145" s="20" t="s">
        <v>517</v>
      </c>
      <c r="F145" s="20" t="s">
        <v>518</v>
      </c>
      <c r="G145" s="8" t="str">
        <f t="shared" si="2"/>
        <v>LEVIN SCOTT</v>
      </c>
    </row>
    <row r="146" spans="1:7" x14ac:dyDescent="0.25">
      <c r="A146" s="8">
        <v>42929.641087962962</v>
      </c>
      <c r="B146" s="20" t="s">
        <v>422</v>
      </c>
      <c r="C146" s="20" t="s">
        <v>786</v>
      </c>
      <c r="D146" s="138">
        <v>3310000</v>
      </c>
      <c r="E146" s="20" t="s">
        <v>513</v>
      </c>
      <c r="F146" s="20" t="s">
        <v>514</v>
      </c>
      <c r="G146" s="8" t="str">
        <f t="shared" si="2"/>
        <v>ANDERS STEVEN</v>
      </c>
    </row>
    <row r="147" spans="1:7" x14ac:dyDescent="0.25">
      <c r="A147" s="8">
        <v>42929.642337962963</v>
      </c>
      <c r="B147" s="20" t="s">
        <v>448</v>
      </c>
      <c r="C147" s="20" t="s">
        <v>643</v>
      </c>
      <c r="D147" s="138">
        <v>2370000</v>
      </c>
      <c r="E147" s="20" t="s">
        <v>557</v>
      </c>
      <c r="F147" s="20" t="s">
        <v>558</v>
      </c>
      <c r="G147" s="8" t="str">
        <f t="shared" si="2"/>
        <v>DELGADO DIANAH</v>
      </c>
    </row>
    <row r="148" spans="1:7" x14ac:dyDescent="0.25">
      <c r="A148" s="8">
        <v>42929.643969907411</v>
      </c>
      <c r="B148" s="20" t="s">
        <v>506</v>
      </c>
      <c r="C148" s="20" t="s">
        <v>641</v>
      </c>
      <c r="D148" s="138">
        <v>2610000</v>
      </c>
      <c r="E148" s="20" t="s">
        <v>386</v>
      </c>
      <c r="F148" s="20" t="s">
        <v>387</v>
      </c>
      <c r="G148" s="8" t="str">
        <f t="shared" si="2"/>
        <v>MAGEE KENYA</v>
      </c>
    </row>
    <row r="149" spans="1:7" x14ac:dyDescent="0.25">
      <c r="A149" s="8">
        <v>42929.650625000002</v>
      </c>
      <c r="B149" s="20" t="s">
        <v>630</v>
      </c>
      <c r="C149" s="20" t="s">
        <v>787</v>
      </c>
      <c r="D149" s="138">
        <v>3280000</v>
      </c>
      <c r="E149" s="20" t="s">
        <v>488</v>
      </c>
      <c r="F149" s="20" t="s">
        <v>489</v>
      </c>
      <c r="G149" s="8" t="str">
        <f t="shared" si="2"/>
        <v>BIRKHOLZ NADINE</v>
      </c>
    </row>
    <row r="150" spans="1:7" x14ac:dyDescent="0.25">
      <c r="A150" s="8">
        <v>42929.650682870371</v>
      </c>
      <c r="B150" s="20" t="s">
        <v>446</v>
      </c>
      <c r="C150" s="20" t="s">
        <v>788</v>
      </c>
      <c r="D150" s="138">
        <v>2140000</v>
      </c>
      <c r="E150" s="20" t="s">
        <v>383</v>
      </c>
      <c r="F150" s="20" t="s">
        <v>384</v>
      </c>
      <c r="G150" s="8" t="str">
        <f t="shared" si="2"/>
        <v>ROBINSON KADDIBA</v>
      </c>
    </row>
    <row r="151" spans="1:7" x14ac:dyDescent="0.25">
      <c r="A151" s="8">
        <v>42929.652083333334</v>
      </c>
      <c r="B151" s="20" t="s">
        <v>361</v>
      </c>
      <c r="C151" s="20" t="s">
        <v>789</v>
      </c>
      <c r="D151" s="138">
        <v>2470000</v>
      </c>
      <c r="E151" s="20" t="s">
        <v>555</v>
      </c>
      <c r="F151" s="20" t="s">
        <v>556</v>
      </c>
      <c r="G151" s="8" t="str">
        <f t="shared" si="2"/>
        <v>ROMERO CHAD</v>
      </c>
    </row>
    <row r="152" spans="1:7" x14ac:dyDescent="0.25">
      <c r="A152" s="8">
        <v>42929.653356481482</v>
      </c>
      <c r="B152" s="20" t="s">
        <v>337</v>
      </c>
      <c r="C152" s="20" t="s">
        <v>790</v>
      </c>
      <c r="D152" s="138">
        <v>3320000</v>
      </c>
      <c r="E152" s="20" t="s">
        <v>486</v>
      </c>
      <c r="F152" s="20" t="s">
        <v>487</v>
      </c>
      <c r="G152" s="8" t="str">
        <f t="shared" si="2"/>
        <v>NICHOLSON WESLEY</v>
      </c>
    </row>
    <row r="153" spans="1:7" x14ac:dyDescent="0.25">
      <c r="A153" s="8">
        <v>42929.65425925926</v>
      </c>
      <c r="B153" s="20" t="s">
        <v>482</v>
      </c>
      <c r="C153" s="20" t="s">
        <v>791</v>
      </c>
      <c r="D153" s="138">
        <v>2610000</v>
      </c>
      <c r="E153" s="20" t="s">
        <v>386</v>
      </c>
      <c r="F153" s="20" t="s">
        <v>387</v>
      </c>
      <c r="G153" s="8" t="str">
        <f t="shared" si="2"/>
        <v>MAGEE KENYA</v>
      </c>
    </row>
    <row r="154" spans="1:7" x14ac:dyDescent="0.25">
      <c r="A154" s="8">
        <v>42929.664803240739</v>
      </c>
      <c r="B154" s="20" t="s">
        <v>336</v>
      </c>
      <c r="C154" s="20" t="s">
        <v>792</v>
      </c>
      <c r="D154" s="138">
        <v>3010000</v>
      </c>
      <c r="E154" s="20" t="s">
        <v>741</v>
      </c>
      <c r="F154" s="20" t="s">
        <v>485</v>
      </c>
      <c r="G154" s="8" t="str">
        <f t="shared" si="2"/>
        <v>SULLIVAN BRANDON</v>
      </c>
    </row>
    <row r="155" spans="1:7" x14ac:dyDescent="0.25">
      <c r="A155" s="8">
        <v>42929.671493055554</v>
      </c>
      <c r="B155" s="20" t="s">
        <v>506</v>
      </c>
      <c r="C155" s="20" t="s">
        <v>793</v>
      </c>
      <c r="D155" s="138">
        <v>2610000</v>
      </c>
      <c r="E155" s="20" t="s">
        <v>386</v>
      </c>
      <c r="F155" s="20" t="s">
        <v>387</v>
      </c>
      <c r="G155" s="8" t="str">
        <f t="shared" si="2"/>
        <v>MAGEE KENYA</v>
      </c>
    </row>
    <row r="156" spans="1:7" x14ac:dyDescent="0.25">
      <c r="A156" s="8">
        <v>42929.672962962963</v>
      </c>
      <c r="B156" s="20" t="s">
        <v>382</v>
      </c>
      <c r="C156" s="20" t="s">
        <v>794</v>
      </c>
      <c r="D156" s="138">
        <v>3310000</v>
      </c>
      <c r="E156" s="20" t="s">
        <v>513</v>
      </c>
      <c r="F156" s="20" t="s">
        <v>514</v>
      </c>
      <c r="G156" s="8" t="str">
        <f t="shared" si="2"/>
        <v>ANDERS STEVEN</v>
      </c>
    </row>
    <row r="157" spans="1:7" x14ac:dyDescent="0.25">
      <c r="A157" s="8">
        <v>42929.672974537039</v>
      </c>
      <c r="B157" s="20" t="s">
        <v>638</v>
      </c>
      <c r="C157" s="20" t="s">
        <v>795</v>
      </c>
      <c r="D157" s="138">
        <v>1300000</v>
      </c>
      <c r="E157" s="20" t="s">
        <v>517</v>
      </c>
      <c r="F157" s="20" t="s">
        <v>518</v>
      </c>
      <c r="G157" s="8" t="str">
        <f t="shared" si="2"/>
        <v>LEVIN SCOTT</v>
      </c>
    </row>
    <row r="158" spans="1:7" x14ac:dyDescent="0.25">
      <c r="A158" s="8">
        <v>42929.673009259262</v>
      </c>
      <c r="B158" s="20" t="s">
        <v>635</v>
      </c>
      <c r="C158" s="20" t="s">
        <v>644</v>
      </c>
      <c r="D158" s="138">
        <v>3280000</v>
      </c>
      <c r="E158" s="20" t="s">
        <v>488</v>
      </c>
      <c r="F158" s="20" t="s">
        <v>489</v>
      </c>
      <c r="G158" s="8" t="str">
        <f t="shared" si="2"/>
        <v>BIRKHOLZ NADINE</v>
      </c>
    </row>
    <row r="159" spans="1:7" x14ac:dyDescent="0.25">
      <c r="A159" s="8">
        <v>42929.682824074072</v>
      </c>
      <c r="B159" s="20" t="s">
        <v>449</v>
      </c>
      <c r="C159" s="20" t="s">
        <v>796</v>
      </c>
      <c r="D159" s="138">
        <v>2370000</v>
      </c>
      <c r="E159" s="20" t="s">
        <v>557</v>
      </c>
      <c r="F159" s="20" t="s">
        <v>558</v>
      </c>
      <c r="G159" s="8" t="str">
        <f t="shared" si="2"/>
        <v>DELGADO DIANAH</v>
      </c>
    </row>
    <row r="160" spans="1:7" x14ac:dyDescent="0.25">
      <c r="A160" s="8">
        <v>42929.683749999997</v>
      </c>
      <c r="B160" s="20" t="s">
        <v>352</v>
      </c>
      <c r="C160" s="20" t="s">
        <v>797</v>
      </c>
      <c r="D160" s="138">
        <v>2140000</v>
      </c>
      <c r="E160" s="20" t="s">
        <v>383</v>
      </c>
      <c r="F160" s="20" t="s">
        <v>384</v>
      </c>
      <c r="G160" s="8" t="str">
        <f t="shared" si="2"/>
        <v>ROBINSON KADDIBA</v>
      </c>
    </row>
    <row r="161" spans="1:7" x14ac:dyDescent="0.25">
      <c r="A161" s="8">
        <v>42929.69159722222</v>
      </c>
      <c r="B161" s="20" t="s">
        <v>628</v>
      </c>
      <c r="C161" s="20" t="s">
        <v>798</v>
      </c>
      <c r="D161" s="138">
        <v>3320000</v>
      </c>
      <c r="E161" s="20" t="s">
        <v>486</v>
      </c>
      <c r="F161" s="20" t="s">
        <v>487</v>
      </c>
      <c r="G161" s="8" t="str">
        <f t="shared" si="2"/>
        <v>NICHOLSON WESLEY</v>
      </c>
    </row>
    <row r="162" spans="1:7" x14ac:dyDescent="0.25">
      <c r="A162" s="8">
        <v>42929.693356481483</v>
      </c>
      <c r="B162" s="20" t="s">
        <v>630</v>
      </c>
      <c r="C162" s="20" t="s">
        <v>645</v>
      </c>
      <c r="D162" s="138">
        <v>3280000</v>
      </c>
      <c r="E162" s="20" t="s">
        <v>488</v>
      </c>
      <c r="F162" s="20" t="s">
        <v>489</v>
      </c>
      <c r="G162" s="8" t="str">
        <f t="shared" si="2"/>
        <v>BIRKHOLZ NADINE</v>
      </c>
    </row>
    <row r="163" spans="1:7" x14ac:dyDescent="0.25">
      <c r="A163" s="8">
        <v>42929.693738425929</v>
      </c>
      <c r="B163" s="20" t="s">
        <v>367</v>
      </c>
      <c r="C163" s="20" t="s">
        <v>648</v>
      </c>
      <c r="D163" s="138">
        <v>2470000</v>
      </c>
      <c r="E163" s="20" t="s">
        <v>555</v>
      </c>
      <c r="F163" s="20" t="s">
        <v>556</v>
      </c>
      <c r="G163" s="8" t="str">
        <f t="shared" si="2"/>
        <v>ROMERO CHAD</v>
      </c>
    </row>
    <row r="164" spans="1:7" x14ac:dyDescent="0.25">
      <c r="A164" s="8">
        <v>42929.699305555558</v>
      </c>
      <c r="B164" s="20" t="s">
        <v>483</v>
      </c>
      <c r="C164" s="20" t="s">
        <v>799</v>
      </c>
      <c r="D164" s="138">
        <v>3010000</v>
      </c>
      <c r="E164" s="20" t="s">
        <v>741</v>
      </c>
      <c r="F164" s="20" t="s">
        <v>485</v>
      </c>
      <c r="G164" s="8" t="str">
        <f t="shared" si="2"/>
        <v>SULLIVAN BRANDON</v>
      </c>
    </row>
    <row r="165" spans="1:7" x14ac:dyDescent="0.25">
      <c r="A165" s="8">
        <v>42929.699502314812</v>
      </c>
      <c r="B165" s="20" t="s">
        <v>482</v>
      </c>
      <c r="C165" s="20" t="s">
        <v>800</v>
      </c>
      <c r="D165" s="138">
        <v>2610000</v>
      </c>
      <c r="E165" s="20" t="s">
        <v>386</v>
      </c>
      <c r="F165" s="20" t="s">
        <v>387</v>
      </c>
      <c r="G165" s="8" t="str">
        <f t="shared" si="2"/>
        <v>MAGEE KENYA</v>
      </c>
    </row>
    <row r="166" spans="1:7" x14ac:dyDescent="0.25">
      <c r="A166" s="8">
        <v>42929.704444444447</v>
      </c>
      <c r="B166" s="20" t="s">
        <v>632</v>
      </c>
      <c r="C166" s="20" t="s">
        <v>801</v>
      </c>
      <c r="D166" s="138">
        <v>1300000</v>
      </c>
      <c r="E166" s="20" t="s">
        <v>517</v>
      </c>
      <c r="F166" s="20" t="s">
        <v>518</v>
      </c>
      <c r="G166" s="8" t="str">
        <f t="shared" si="2"/>
        <v>LEVIN SCOTT</v>
      </c>
    </row>
    <row r="167" spans="1:7" x14ac:dyDescent="0.25">
      <c r="A167" s="8">
        <v>42929.705717592595</v>
      </c>
      <c r="B167" s="20" t="s">
        <v>422</v>
      </c>
      <c r="C167" s="20" t="s">
        <v>646</v>
      </c>
      <c r="D167" s="138">
        <v>3310000</v>
      </c>
      <c r="E167" s="20" t="s">
        <v>513</v>
      </c>
      <c r="F167" s="20" t="s">
        <v>514</v>
      </c>
      <c r="G167" s="8" t="str">
        <f t="shared" si="2"/>
        <v>ANDERS STEVEN</v>
      </c>
    </row>
    <row r="168" spans="1:7" x14ac:dyDescent="0.25">
      <c r="A168" s="8">
        <v>42929.707731481481</v>
      </c>
      <c r="B168" s="20" t="s">
        <v>632</v>
      </c>
      <c r="C168" s="20" t="s">
        <v>801</v>
      </c>
      <c r="D168" s="138">
        <v>1300000</v>
      </c>
      <c r="E168" s="20" t="s">
        <v>517</v>
      </c>
      <c r="F168" s="20" t="s">
        <v>518</v>
      </c>
      <c r="G168" s="8" t="str">
        <f t="shared" si="2"/>
        <v>LEVIN SCOTT</v>
      </c>
    </row>
    <row r="169" spans="1:7" x14ac:dyDescent="0.25">
      <c r="A169" s="8">
        <v>42929.708923611113</v>
      </c>
      <c r="B169" s="20" t="s">
        <v>667</v>
      </c>
      <c r="C169" s="20" t="s">
        <v>802</v>
      </c>
      <c r="D169" s="138">
        <v>2040000</v>
      </c>
      <c r="E169" s="20" t="s">
        <v>439</v>
      </c>
      <c r="F169" s="20" t="s">
        <v>440</v>
      </c>
      <c r="G169" s="8" t="str">
        <f t="shared" si="2"/>
        <v>MOSES BRADLEY</v>
      </c>
    </row>
    <row r="170" spans="1:7" x14ac:dyDescent="0.25">
      <c r="A170" s="8">
        <v>42929.710451388892</v>
      </c>
      <c r="B170" s="20" t="s">
        <v>499</v>
      </c>
      <c r="C170" s="20" t="s">
        <v>803</v>
      </c>
      <c r="D170" s="138">
        <v>2350000</v>
      </c>
      <c r="E170" s="20" t="s">
        <v>559</v>
      </c>
      <c r="F170" s="20" t="s">
        <v>560</v>
      </c>
      <c r="G170" s="8" t="str">
        <f t="shared" si="2"/>
        <v>BERLING GARY</v>
      </c>
    </row>
    <row r="171" spans="1:7" x14ac:dyDescent="0.25">
      <c r="A171" s="8">
        <v>42929.714398148149</v>
      </c>
      <c r="B171" s="20" t="s">
        <v>506</v>
      </c>
      <c r="C171" s="20" t="s">
        <v>647</v>
      </c>
      <c r="D171" s="138">
        <v>2610000</v>
      </c>
      <c r="E171" s="20" t="s">
        <v>386</v>
      </c>
      <c r="F171" s="20" t="s">
        <v>387</v>
      </c>
      <c r="G171" s="8" t="str">
        <f t="shared" si="2"/>
        <v>MAGEE KENYA</v>
      </c>
    </row>
    <row r="172" spans="1:7" x14ac:dyDescent="0.25">
      <c r="A172" s="8">
        <v>42929.715069444443</v>
      </c>
      <c r="B172" s="20" t="s">
        <v>635</v>
      </c>
      <c r="C172" s="20" t="s">
        <v>804</v>
      </c>
      <c r="D172" s="138">
        <v>3280000</v>
      </c>
      <c r="E172" s="20" t="s">
        <v>488</v>
      </c>
      <c r="F172" s="20" t="s">
        <v>489</v>
      </c>
      <c r="G172" s="8" t="str">
        <f t="shared" si="2"/>
        <v>BIRKHOLZ NADINE</v>
      </c>
    </row>
    <row r="173" spans="1:7" x14ac:dyDescent="0.25">
      <c r="A173" s="8">
        <v>42929.715231481481</v>
      </c>
      <c r="B173" s="20" t="s">
        <v>448</v>
      </c>
      <c r="C173" s="20" t="s">
        <v>649</v>
      </c>
      <c r="D173" s="138">
        <v>2370000</v>
      </c>
      <c r="E173" s="20" t="s">
        <v>557</v>
      </c>
      <c r="F173" s="20" t="s">
        <v>558</v>
      </c>
      <c r="G173" s="8" t="str">
        <f t="shared" si="2"/>
        <v>DELGADO DIANAH</v>
      </c>
    </row>
    <row r="174" spans="1:7" x14ac:dyDescent="0.25">
      <c r="A174" s="8">
        <v>42929.724999999999</v>
      </c>
      <c r="B174" s="20" t="s">
        <v>446</v>
      </c>
      <c r="C174" s="20" t="s">
        <v>805</v>
      </c>
      <c r="D174" s="138">
        <v>2140000</v>
      </c>
      <c r="E174" s="20" t="s">
        <v>383</v>
      </c>
      <c r="F174" s="20" t="s">
        <v>384</v>
      </c>
      <c r="G174" s="8" t="str">
        <f t="shared" si="2"/>
        <v>ROBINSON KADDIBA</v>
      </c>
    </row>
    <row r="175" spans="1:7" x14ac:dyDescent="0.25">
      <c r="A175" s="8">
        <v>42929.726805555554</v>
      </c>
      <c r="B175" s="20" t="s">
        <v>337</v>
      </c>
      <c r="C175" s="20" t="s">
        <v>806</v>
      </c>
      <c r="D175" s="138">
        <v>3320000</v>
      </c>
      <c r="E175" s="20" t="s">
        <v>486</v>
      </c>
      <c r="F175" s="20" t="s">
        <v>487</v>
      </c>
      <c r="G175" s="8" t="str">
        <f t="shared" si="2"/>
        <v>NICHOLSON WESLEY</v>
      </c>
    </row>
    <row r="176" spans="1:7" x14ac:dyDescent="0.25">
      <c r="A176" s="8">
        <v>42929.727141203701</v>
      </c>
      <c r="B176" s="20" t="s">
        <v>361</v>
      </c>
      <c r="C176" s="20" t="s">
        <v>651</v>
      </c>
      <c r="D176" s="138">
        <v>2470000</v>
      </c>
      <c r="E176" s="20" t="s">
        <v>555</v>
      </c>
      <c r="F176" s="20" t="s">
        <v>556</v>
      </c>
      <c r="G176" s="8" t="str">
        <f t="shared" si="2"/>
        <v>ROMERO CHAD</v>
      </c>
    </row>
    <row r="177" spans="1:7" x14ac:dyDescent="0.25">
      <c r="A177" s="8">
        <v>42929.736493055556</v>
      </c>
      <c r="B177" s="20" t="s">
        <v>630</v>
      </c>
      <c r="C177" s="20" t="s">
        <v>807</v>
      </c>
      <c r="D177" s="138">
        <v>3280000</v>
      </c>
      <c r="E177" s="20" t="s">
        <v>488</v>
      </c>
      <c r="F177" s="20" t="s">
        <v>489</v>
      </c>
      <c r="G177" s="8" t="str">
        <f t="shared" si="2"/>
        <v>BIRKHOLZ NADINE</v>
      </c>
    </row>
    <row r="178" spans="1:7" x14ac:dyDescent="0.25">
      <c r="A178" s="8">
        <v>42929.736875000002</v>
      </c>
      <c r="B178" s="20" t="s">
        <v>336</v>
      </c>
      <c r="C178" s="20" t="s">
        <v>808</v>
      </c>
      <c r="D178" s="138">
        <v>3340000</v>
      </c>
      <c r="E178" s="20" t="s">
        <v>490</v>
      </c>
      <c r="F178" s="20" t="s">
        <v>491</v>
      </c>
      <c r="G178" s="8" t="str">
        <f t="shared" si="2"/>
        <v>ELBAUM MIKE</v>
      </c>
    </row>
    <row r="179" spans="1:7" x14ac:dyDescent="0.25">
      <c r="A179" s="8">
        <v>42929.742395833331</v>
      </c>
      <c r="B179" s="20" t="s">
        <v>482</v>
      </c>
      <c r="C179" s="20" t="s">
        <v>650</v>
      </c>
      <c r="D179" s="138">
        <v>2610000</v>
      </c>
      <c r="E179" s="20" t="s">
        <v>386</v>
      </c>
      <c r="F179" s="20" t="s">
        <v>387</v>
      </c>
      <c r="G179" s="8" t="str">
        <f t="shared" si="2"/>
        <v>MAGEE KENYA</v>
      </c>
    </row>
    <row r="180" spans="1:7" x14ac:dyDescent="0.25">
      <c r="A180" s="8">
        <v>42929.743032407408</v>
      </c>
      <c r="B180" s="20" t="s">
        <v>809</v>
      </c>
      <c r="C180" s="20" t="s">
        <v>810</v>
      </c>
      <c r="D180" s="138">
        <v>3180000</v>
      </c>
      <c r="E180" s="20" t="s">
        <v>811</v>
      </c>
      <c r="F180" s="20" t="s">
        <v>812</v>
      </c>
      <c r="G180" s="8" t="str">
        <f t="shared" si="2"/>
        <v>HUFFSMITH MONTY</v>
      </c>
    </row>
    <row r="181" spans="1:7" x14ac:dyDescent="0.25">
      <c r="A181" s="8">
        <v>42929.746157407404</v>
      </c>
      <c r="B181" s="20" t="s">
        <v>638</v>
      </c>
      <c r="C181" s="20" t="s">
        <v>813</v>
      </c>
      <c r="D181" s="138">
        <v>1300000</v>
      </c>
      <c r="E181" s="20" t="s">
        <v>517</v>
      </c>
      <c r="F181" s="20" t="s">
        <v>518</v>
      </c>
      <c r="G181" s="8" t="str">
        <f t="shared" si="2"/>
        <v>LEVIN SCOTT</v>
      </c>
    </row>
    <row r="182" spans="1:7" x14ac:dyDescent="0.25">
      <c r="A182" s="8">
        <v>42929.746655092589</v>
      </c>
      <c r="B182" s="20" t="s">
        <v>382</v>
      </c>
      <c r="C182" s="20" t="s">
        <v>814</v>
      </c>
      <c r="D182" s="138">
        <v>3310000</v>
      </c>
      <c r="E182" s="20" t="s">
        <v>513</v>
      </c>
      <c r="F182" s="20" t="s">
        <v>514</v>
      </c>
      <c r="G182" s="8" t="str">
        <f t="shared" si="2"/>
        <v>ANDERS STEVEN</v>
      </c>
    </row>
    <row r="183" spans="1:7" x14ac:dyDescent="0.25">
      <c r="A183" s="8">
        <v>42929.752939814818</v>
      </c>
      <c r="B183" s="20" t="s">
        <v>449</v>
      </c>
      <c r="C183" s="20" t="s">
        <v>815</v>
      </c>
      <c r="D183" s="138">
        <v>2370000</v>
      </c>
      <c r="E183" s="20" t="s">
        <v>557</v>
      </c>
      <c r="F183" s="20" t="s">
        <v>558</v>
      </c>
      <c r="G183" s="8" t="str">
        <f t="shared" si="2"/>
        <v>DELGADO DIANAH</v>
      </c>
    </row>
    <row r="184" spans="1:7" x14ac:dyDescent="0.25">
      <c r="A184" s="8">
        <v>42929.755613425928</v>
      </c>
      <c r="B184" s="20" t="s">
        <v>506</v>
      </c>
      <c r="C184" s="20" t="s">
        <v>816</v>
      </c>
      <c r="D184" s="138">
        <v>2610000</v>
      </c>
      <c r="E184" s="20" t="s">
        <v>386</v>
      </c>
      <c r="F184" s="20" t="s">
        <v>387</v>
      </c>
      <c r="G184" s="8" t="str">
        <f t="shared" si="2"/>
        <v>MAGEE KENYA</v>
      </c>
    </row>
    <row r="185" spans="1:7" x14ac:dyDescent="0.25">
      <c r="A185" s="8">
        <v>42929.757465277777</v>
      </c>
      <c r="B185" s="20" t="s">
        <v>352</v>
      </c>
      <c r="C185" s="20" t="s">
        <v>817</v>
      </c>
      <c r="D185" s="138">
        <v>2620000</v>
      </c>
      <c r="E185" s="20" t="s">
        <v>818</v>
      </c>
      <c r="F185" s="20" t="s">
        <v>819</v>
      </c>
      <c r="G185" s="8" t="str">
        <f t="shared" si="2"/>
        <v>PERKINS DARREN</v>
      </c>
    </row>
    <row r="186" spans="1:7" x14ac:dyDescent="0.25">
      <c r="A186" s="8">
        <v>42929.760613425926</v>
      </c>
      <c r="B186" s="20" t="s">
        <v>635</v>
      </c>
      <c r="C186" s="20" t="s">
        <v>820</v>
      </c>
      <c r="D186" s="138">
        <v>3280000</v>
      </c>
      <c r="E186" s="20" t="s">
        <v>488</v>
      </c>
      <c r="F186" s="20" t="s">
        <v>489</v>
      </c>
      <c r="G186" s="8" t="str">
        <f t="shared" si="2"/>
        <v>BIRKHOLZ NADINE</v>
      </c>
    </row>
    <row r="187" spans="1:7" x14ac:dyDescent="0.25">
      <c r="A187" s="8">
        <v>42929.764224537037</v>
      </c>
      <c r="B187" s="20" t="s">
        <v>628</v>
      </c>
      <c r="C187" s="20" t="s">
        <v>652</v>
      </c>
      <c r="D187" s="138">
        <v>3320000</v>
      </c>
      <c r="E187" s="20" t="s">
        <v>486</v>
      </c>
      <c r="F187" s="20" t="s">
        <v>487</v>
      </c>
      <c r="G187" s="8" t="str">
        <f t="shared" si="2"/>
        <v>NICHOLSON WESLEY</v>
      </c>
    </row>
    <row r="188" spans="1:7" x14ac:dyDescent="0.25">
      <c r="A188" s="8">
        <v>42929.76599537037</v>
      </c>
      <c r="B188" s="20" t="s">
        <v>367</v>
      </c>
      <c r="C188" s="20" t="s">
        <v>821</v>
      </c>
      <c r="D188" s="138">
        <v>3000000</v>
      </c>
      <c r="E188" s="20" t="s">
        <v>389</v>
      </c>
      <c r="F188" s="20" t="s">
        <v>390</v>
      </c>
      <c r="G188" s="8" t="str">
        <f t="shared" si="2"/>
        <v>FORTUNATO FRANK</v>
      </c>
    </row>
    <row r="189" spans="1:7" x14ac:dyDescent="0.25">
      <c r="A189" s="8">
        <v>42929.773564814815</v>
      </c>
      <c r="B189" s="20" t="s">
        <v>483</v>
      </c>
      <c r="C189" s="20" t="s">
        <v>822</v>
      </c>
      <c r="D189" s="138">
        <v>3340000</v>
      </c>
      <c r="E189" s="20" t="s">
        <v>490</v>
      </c>
      <c r="F189" s="20" t="s">
        <v>491</v>
      </c>
      <c r="G189" s="8" t="str">
        <f t="shared" si="2"/>
        <v>ELBAUM MIKE</v>
      </c>
    </row>
    <row r="190" spans="1:7" x14ac:dyDescent="0.25">
      <c r="A190" s="8">
        <v>42929.775335648148</v>
      </c>
      <c r="B190" s="20" t="s">
        <v>630</v>
      </c>
      <c r="C190" s="20" t="s">
        <v>823</v>
      </c>
      <c r="D190" s="138">
        <v>3280000</v>
      </c>
      <c r="E190" s="20" t="s">
        <v>488</v>
      </c>
      <c r="F190" s="20" t="s">
        <v>489</v>
      </c>
      <c r="G190" s="8" t="str">
        <f t="shared" si="2"/>
        <v>BIRKHOLZ NADINE</v>
      </c>
    </row>
    <row r="191" spans="1:7" x14ac:dyDescent="0.25">
      <c r="A191" s="8">
        <v>42929.777037037034</v>
      </c>
      <c r="B191" s="20" t="s">
        <v>632</v>
      </c>
      <c r="C191" s="20" t="s">
        <v>824</v>
      </c>
      <c r="D191" s="138">
        <v>1300000</v>
      </c>
      <c r="E191" s="20" t="s">
        <v>517</v>
      </c>
      <c r="F191" s="20" t="s">
        <v>518</v>
      </c>
      <c r="G191" s="8" t="str">
        <f t="shared" si="2"/>
        <v>LEVIN SCOTT</v>
      </c>
    </row>
    <row r="192" spans="1:7" x14ac:dyDescent="0.25">
      <c r="A192" s="8">
        <v>42929.78361111111</v>
      </c>
      <c r="B192" s="20" t="s">
        <v>482</v>
      </c>
      <c r="C192" s="20" t="s">
        <v>825</v>
      </c>
      <c r="D192" s="138">
        <v>2610000</v>
      </c>
      <c r="E192" s="20" t="s">
        <v>386</v>
      </c>
      <c r="F192" s="20" t="s">
        <v>387</v>
      </c>
      <c r="G192" s="8" t="str">
        <f t="shared" si="2"/>
        <v>MAGEE KENYA</v>
      </c>
    </row>
    <row r="193" spans="1:7" x14ac:dyDescent="0.25">
      <c r="A193" s="8">
        <v>42929.786898148152</v>
      </c>
      <c r="B193" s="20" t="s">
        <v>422</v>
      </c>
      <c r="C193" s="20" t="s">
        <v>653</v>
      </c>
      <c r="D193" s="138">
        <v>3310000</v>
      </c>
      <c r="E193" s="20" t="s">
        <v>513</v>
      </c>
      <c r="F193" s="20" t="s">
        <v>514</v>
      </c>
      <c r="G193" s="8" t="str">
        <f t="shared" si="2"/>
        <v>ANDERS STEVEN</v>
      </c>
    </row>
    <row r="194" spans="1:7" x14ac:dyDescent="0.25">
      <c r="A194" s="8">
        <v>42929.789178240739</v>
      </c>
      <c r="B194" s="20" t="s">
        <v>448</v>
      </c>
      <c r="C194" s="20" t="s">
        <v>826</v>
      </c>
      <c r="D194" s="138">
        <v>3130000</v>
      </c>
      <c r="E194" s="20" t="s">
        <v>375</v>
      </c>
      <c r="F194" s="20" t="s">
        <v>376</v>
      </c>
      <c r="G194" s="8" t="str">
        <f t="shared" si="2"/>
        <v>ZEWDU DEREJE</v>
      </c>
    </row>
    <row r="195" spans="1:7" x14ac:dyDescent="0.25">
      <c r="A195" s="8">
        <v>42929.796111111114</v>
      </c>
      <c r="B195" s="20" t="s">
        <v>506</v>
      </c>
      <c r="C195" s="20" t="s">
        <v>827</v>
      </c>
      <c r="D195" s="138">
        <v>2610000</v>
      </c>
      <c r="E195" s="20" t="s">
        <v>386</v>
      </c>
      <c r="F195" s="20" t="s">
        <v>387</v>
      </c>
      <c r="G195" s="8" t="str">
        <f t="shared" ref="G195:G258" si="3">E195&amp;" "&amp;F195</f>
        <v>MAGEE KENYA</v>
      </c>
    </row>
    <row r="196" spans="1:7" x14ac:dyDescent="0.25">
      <c r="A196" s="8">
        <v>42929.797719907408</v>
      </c>
      <c r="B196" s="20" t="s">
        <v>446</v>
      </c>
      <c r="C196" s="20" t="s">
        <v>828</v>
      </c>
      <c r="D196" s="138">
        <v>2620000</v>
      </c>
      <c r="E196" s="20" t="s">
        <v>818</v>
      </c>
      <c r="F196" s="20" t="s">
        <v>819</v>
      </c>
      <c r="G196" s="8" t="str">
        <f t="shared" si="3"/>
        <v>PERKINS DARREN</v>
      </c>
    </row>
    <row r="197" spans="1:7" x14ac:dyDescent="0.25">
      <c r="A197" s="8">
        <v>42929.799305555556</v>
      </c>
      <c r="B197" s="20" t="s">
        <v>635</v>
      </c>
      <c r="C197" s="20" t="s">
        <v>829</v>
      </c>
      <c r="D197" s="138">
        <v>3280000</v>
      </c>
      <c r="E197" s="20" t="s">
        <v>488</v>
      </c>
      <c r="F197" s="20" t="s">
        <v>489</v>
      </c>
      <c r="G197" s="8" t="str">
        <f t="shared" si="3"/>
        <v>BIRKHOLZ NADINE</v>
      </c>
    </row>
    <row r="198" spans="1:7" x14ac:dyDescent="0.25">
      <c r="A198" s="8">
        <v>42929.800717592596</v>
      </c>
      <c r="B198" s="20" t="s">
        <v>337</v>
      </c>
      <c r="C198" s="20" t="s">
        <v>830</v>
      </c>
      <c r="D198" s="138">
        <v>3320000</v>
      </c>
      <c r="E198" s="20" t="s">
        <v>486</v>
      </c>
      <c r="F198" s="20" t="s">
        <v>487</v>
      </c>
      <c r="G198" s="8" t="str">
        <f t="shared" si="3"/>
        <v>NICHOLSON WESLEY</v>
      </c>
    </row>
    <row r="199" spans="1:7" x14ac:dyDescent="0.25">
      <c r="A199" s="8">
        <v>42929.801620370374</v>
      </c>
      <c r="B199" s="20" t="s">
        <v>361</v>
      </c>
      <c r="C199" s="20" t="s">
        <v>831</v>
      </c>
      <c r="D199" s="138">
        <v>3000000</v>
      </c>
      <c r="E199" s="20" t="s">
        <v>389</v>
      </c>
      <c r="F199" s="20" t="s">
        <v>390</v>
      </c>
      <c r="G199" s="8" t="str">
        <f t="shared" si="3"/>
        <v>FORTUNATO FRANK</v>
      </c>
    </row>
    <row r="200" spans="1:7" x14ac:dyDescent="0.25">
      <c r="A200" s="8">
        <v>42929.809710648151</v>
      </c>
      <c r="B200" s="20" t="s">
        <v>336</v>
      </c>
      <c r="C200" s="20" t="s">
        <v>832</v>
      </c>
      <c r="D200" s="138">
        <v>3340000</v>
      </c>
      <c r="E200" s="20" t="s">
        <v>490</v>
      </c>
      <c r="F200" s="20" t="s">
        <v>491</v>
      </c>
      <c r="G200" s="8" t="str">
        <f t="shared" si="3"/>
        <v>ELBAUM MIKE</v>
      </c>
    </row>
    <row r="201" spans="1:7" x14ac:dyDescent="0.25">
      <c r="A201" s="8">
        <v>42929.817291666666</v>
      </c>
      <c r="B201" s="20" t="s">
        <v>630</v>
      </c>
      <c r="C201" s="20" t="s">
        <v>833</v>
      </c>
      <c r="D201" s="138">
        <v>3280000</v>
      </c>
      <c r="E201" s="20" t="s">
        <v>488</v>
      </c>
      <c r="F201" s="20" t="s">
        <v>489</v>
      </c>
      <c r="G201" s="8" t="str">
        <f t="shared" si="3"/>
        <v>BIRKHOLZ NADINE</v>
      </c>
    </row>
    <row r="202" spans="1:7" x14ac:dyDescent="0.25">
      <c r="A202" s="26">
        <v>42929.820902777778</v>
      </c>
      <c r="B202" s="20" t="s">
        <v>382</v>
      </c>
      <c r="C202" s="20" t="s">
        <v>834</v>
      </c>
      <c r="D202" s="138">
        <v>3310000</v>
      </c>
      <c r="E202" s="20" t="s">
        <v>513</v>
      </c>
      <c r="F202" s="20" t="s">
        <v>514</v>
      </c>
      <c r="G202" s="8" t="str">
        <f t="shared" si="3"/>
        <v>ANDERS STEVEN</v>
      </c>
    </row>
    <row r="203" spans="1:7" x14ac:dyDescent="0.25">
      <c r="A203" s="8">
        <v>42929.828148148146</v>
      </c>
      <c r="B203" s="20" t="s">
        <v>449</v>
      </c>
      <c r="C203" s="20" t="s">
        <v>835</v>
      </c>
      <c r="D203" s="138">
        <v>3130000</v>
      </c>
      <c r="E203" s="20" t="s">
        <v>375</v>
      </c>
      <c r="F203" s="20" t="s">
        <v>376</v>
      </c>
      <c r="G203" s="8" t="str">
        <f t="shared" si="3"/>
        <v>ZEWDU DEREJE</v>
      </c>
    </row>
    <row r="204" spans="1:7" x14ac:dyDescent="0.25">
      <c r="A204" s="8">
        <v>42929.829398148147</v>
      </c>
      <c r="B204" s="20" t="s">
        <v>352</v>
      </c>
      <c r="C204" s="20" t="s">
        <v>654</v>
      </c>
      <c r="D204" s="138">
        <v>2620000</v>
      </c>
      <c r="E204" s="20" t="s">
        <v>818</v>
      </c>
      <c r="F204" s="20" t="s">
        <v>819</v>
      </c>
      <c r="G204" s="8" t="str">
        <f t="shared" si="3"/>
        <v>PERKINS DARREN</v>
      </c>
    </row>
    <row r="205" spans="1:7" x14ac:dyDescent="0.25">
      <c r="A205" s="8">
        <v>42929.838067129633</v>
      </c>
      <c r="B205" s="20" t="s">
        <v>635</v>
      </c>
      <c r="C205" s="20" t="s">
        <v>655</v>
      </c>
      <c r="D205" s="138">
        <v>3280000</v>
      </c>
      <c r="E205" s="20" t="s">
        <v>488</v>
      </c>
      <c r="F205" s="20" t="s">
        <v>489</v>
      </c>
      <c r="G205" s="8" t="str">
        <f t="shared" si="3"/>
        <v>BIRKHOLZ NADINE</v>
      </c>
    </row>
    <row r="206" spans="1:7" x14ac:dyDescent="0.25">
      <c r="A206" s="8">
        <v>42929.841157407405</v>
      </c>
      <c r="B206" s="20" t="s">
        <v>483</v>
      </c>
      <c r="C206" s="20" t="s">
        <v>656</v>
      </c>
      <c r="D206" s="138">
        <v>3340000</v>
      </c>
      <c r="E206" s="20" t="s">
        <v>490</v>
      </c>
      <c r="F206" s="20" t="s">
        <v>491</v>
      </c>
      <c r="G206" s="8" t="str">
        <f t="shared" si="3"/>
        <v>ELBAUM MIKE</v>
      </c>
    </row>
    <row r="207" spans="1:7" x14ac:dyDescent="0.25">
      <c r="A207" s="8">
        <v>42929.844456018516</v>
      </c>
      <c r="B207" s="20" t="s">
        <v>367</v>
      </c>
      <c r="C207" s="20" t="s">
        <v>836</v>
      </c>
      <c r="D207" s="138">
        <v>3000000</v>
      </c>
      <c r="E207" s="20" t="s">
        <v>389</v>
      </c>
      <c r="F207" s="20" t="s">
        <v>390</v>
      </c>
      <c r="G207" s="8" t="str">
        <f t="shared" si="3"/>
        <v>FORTUNATO FRANK</v>
      </c>
    </row>
    <row r="208" spans="1:7" x14ac:dyDescent="0.25">
      <c r="A208" s="8">
        <v>42929.859895833331</v>
      </c>
      <c r="B208" s="20" t="s">
        <v>630</v>
      </c>
      <c r="C208" s="20" t="s">
        <v>837</v>
      </c>
      <c r="D208" s="138">
        <v>3280000</v>
      </c>
      <c r="E208" s="20" t="s">
        <v>488</v>
      </c>
      <c r="F208" s="20" t="s">
        <v>489</v>
      </c>
      <c r="G208" s="8" t="str">
        <f t="shared" si="3"/>
        <v>BIRKHOLZ NADINE</v>
      </c>
    </row>
    <row r="209" spans="1:7" x14ac:dyDescent="0.25">
      <c r="A209" s="8">
        <v>42929.868020833332</v>
      </c>
      <c r="B209" s="20" t="s">
        <v>446</v>
      </c>
      <c r="C209" s="20" t="s">
        <v>838</v>
      </c>
      <c r="D209" s="138">
        <v>2620000</v>
      </c>
      <c r="E209" s="20" t="s">
        <v>818</v>
      </c>
      <c r="F209" s="20" t="s">
        <v>819</v>
      </c>
      <c r="G209" s="8" t="str">
        <f t="shared" si="3"/>
        <v>PERKINS DARREN</v>
      </c>
    </row>
    <row r="210" spans="1:7" x14ac:dyDescent="0.25">
      <c r="A210" s="8">
        <v>42929.869699074072</v>
      </c>
      <c r="B210" s="20" t="s">
        <v>448</v>
      </c>
      <c r="C210" s="20" t="s">
        <v>839</v>
      </c>
      <c r="D210" s="138">
        <v>3090000</v>
      </c>
      <c r="E210" s="20" t="s">
        <v>368</v>
      </c>
      <c r="F210" s="20" t="s">
        <v>369</v>
      </c>
      <c r="G210" s="8" t="str">
        <f t="shared" si="3"/>
        <v>LAMAR NEKESHA</v>
      </c>
    </row>
    <row r="211" spans="1:7" x14ac:dyDescent="0.25">
      <c r="A211" s="8">
        <v>42929.874398148146</v>
      </c>
      <c r="B211" s="20" t="s">
        <v>635</v>
      </c>
      <c r="C211" s="20" t="s">
        <v>840</v>
      </c>
      <c r="D211" s="138">
        <v>2610000</v>
      </c>
      <c r="E211" s="20" t="s">
        <v>386</v>
      </c>
      <c r="F211" s="20" t="s">
        <v>387</v>
      </c>
      <c r="G211" s="8" t="str">
        <f t="shared" si="3"/>
        <v>MAGEE KENYA</v>
      </c>
    </row>
    <row r="212" spans="1:7" x14ac:dyDescent="0.25">
      <c r="A212" s="8">
        <v>42929.888067129628</v>
      </c>
      <c r="B212" s="20" t="s">
        <v>361</v>
      </c>
      <c r="C212" s="20" t="s">
        <v>657</v>
      </c>
      <c r="D212" s="138">
        <v>3000000</v>
      </c>
      <c r="E212" s="20" t="s">
        <v>389</v>
      </c>
      <c r="F212" s="20" t="s">
        <v>390</v>
      </c>
      <c r="G212" s="8" t="str">
        <f t="shared" si="3"/>
        <v>FORTUNATO FRANK</v>
      </c>
    </row>
    <row r="213" spans="1:7" x14ac:dyDescent="0.25">
      <c r="A213" s="8">
        <v>42929.892048611109</v>
      </c>
      <c r="B213" s="20" t="s">
        <v>336</v>
      </c>
      <c r="C213" s="20" t="s">
        <v>841</v>
      </c>
      <c r="D213" s="138">
        <v>3340000</v>
      </c>
      <c r="E213" s="20" t="s">
        <v>490</v>
      </c>
      <c r="F213" s="20" t="s">
        <v>491</v>
      </c>
      <c r="G213" s="8" t="str">
        <f t="shared" si="3"/>
        <v>ELBAUM MIKE</v>
      </c>
    </row>
    <row r="214" spans="1:7" x14ac:dyDescent="0.25">
      <c r="A214" s="8">
        <v>42929.901053240741</v>
      </c>
      <c r="B214" s="20" t="s">
        <v>630</v>
      </c>
      <c r="C214" s="20" t="s">
        <v>842</v>
      </c>
      <c r="D214" s="138">
        <v>2610000</v>
      </c>
      <c r="E214" s="20" t="s">
        <v>386</v>
      </c>
      <c r="F214" s="20" t="s">
        <v>387</v>
      </c>
      <c r="G214" s="8" t="str">
        <f t="shared" si="3"/>
        <v>MAGEE KENYA</v>
      </c>
    </row>
    <row r="215" spans="1:7" x14ac:dyDescent="0.25">
      <c r="A215" s="8">
        <v>42929.911180555559</v>
      </c>
      <c r="B215" s="20" t="s">
        <v>449</v>
      </c>
      <c r="C215" s="20" t="s">
        <v>658</v>
      </c>
      <c r="D215" s="138">
        <v>3090000</v>
      </c>
      <c r="E215" s="20" t="s">
        <v>368</v>
      </c>
      <c r="F215" s="20" t="s">
        <v>369</v>
      </c>
      <c r="G215" s="8" t="str">
        <f t="shared" si="3"/>
        <v>LAMAR NEKESHA</v>
      </c>
    </row>
    <row r="216" spans="1:7" x14ac:dyDescent="0.25">
      <c r="A216" s="8">
        <v>42929.914525462962</v>
      </c>
      <c r="B216" s="20" t="s">
        <v>352</v>
      </c>
      <c r="C216" s="20" t="s">
        <v>660</v>
      </c>
      <c r="D216" s="138">
        <v>2620000</v>
      </c>
      <c r="E216" s="20" t="s">
        <v>818</v>
      </c>
      <c r="F216" s="20" t="s">
        <v>819</v>
      </c>
      <c r="G216" s="8" t="str">
        <f t="shared" si="3"/>
        <v>PERKINS DARREN</v>
      </c>
    </row>
    <row r="217" spans="1:7" x14ac:dyDescent="0.25">
      <c r="A217" s="8">
        <v>42929.923125000001</v>
      </c>
      <c r="B217" s="20" t="s">
        <v>367</v>
      </c>
      <c r="C217" s="20" t="s">
        <v>843</v>
      </c>
      <c r="D217" s="138">
        <v>3000000</v>
      </c>
      <c r="E217" s="20" t="s">
        <v>389</v>
      </c>
      <c r="F217" s="20" t="s">
        <v>390</v>
      </c>
      <c r="G217" s="8" t="str">
        <f t="shared" si="3"/>
        <v>FORTUNATO FRANK</v>
      </c>
    </row>
    <row r="218" spans="1:7" x14ac:dyDescent="0.25">
      <c r="A218" s="8">
        <v>42929.925659722219</v>
      </c>
      <c r="B218" s="20" t="s">
        <v>483</v>
      </c>
      <c r="C218" s="20" t="s">
        <v>844</v>
      </c>
      <c r="D218" s="138">
        <v>3340000</v>
      </c>
      <c r="E218" s="20" t="s">
        <v>490</v>
      </c>
      <c r="F218" s="20" t="s">
        <v>491</v>
      </c>
      <c r="G218" s="8" t="str">
        <f t="shared" si="3"/>
        <v>ELBAUM MIKE</v>
      </c>
    </row>
    <row r="219" spans="1:7" x14ac:dyDescent="0.25">
      <c r="A219" s="8">
        <v>42929.930451388886</v>
      </c>
      <c r="B219" s="20" t="s">
        <v>635</v>
      </c>
      <c r="C219" s="20" t="s">
        <v>659</v>
      </c>
      <c r="D219" s="138">
        <v>2610000</v>
      </c>
      <c r="E219" s="20" t="s">
        <v>386</v>
      </c>
      <c r="F219" s="20" t="s">
        <v>387</v>
      </c>
      <c r="G219" s="8" t="str">
        <f t="shared" si="3"/>
        <v>MAGEE KENYA</v>
      </c>
    </row>
    <row r="220" spans="1:7" x14ac:dyDescent="0.25">
      <c r="A220" s="8">
        <v>42929.931516203702</v>
      </c>
      <c r="B220" s="20" t="s">
        <v>483</v>
      </c>
      <c r="C220" s="20" t="s">
        <v>844</v>
      </c>
      <c r="D220" s="138">
        <v>3340000</v>
      </c>
      <c r="E220" s="20" t="s">
        <v>490</v>
      </c>
      <c r="F220" s="20" t="s">
        <v>491</v>
      </c>
      <c r="G220" s="8" t="str">
        <f t="shared" si="3"/>
        <v>ELBAUM MIKE</v>
      </c>
    </row>
    <row r="221" spans="1:7" x14ac:dyDescent="0.25">
      <c r="A221" s="8">
        <v>42929.94290509259</v>
      </c>
      <c r="B221" s="20" t="s">
        <v>630</v>
      </c>
      <c r="C221" s="20" t="s">
        <v>845</v>
      </c>
      <c r="D221" s="138">
        <v>2610000</v>
      </c>
      <c r="E221" s="20" t="s">
        <v>386</v>
      </c>
      <c r="F221" s="20" t="s">
        <v>387</v>
      </c>
      <c r="G221" s="8" t="str">
        <f t="shared" si="3"/>
        <v>MAGEE KENYA</v>
      </c>
    </row>
    <row r="222" spans="1:7" x14ac:dyDescent="0.25">
      <c r="A222" s="8">
        <v>42929.951620370368</v>
      </c>
      <c r="B222" s="20" t="s">
        <v>446</v>
      </c>
      <c r="C222" s="20" t="s">
        <v>846</v>
      </c>
      <c r="D222" s="138">
        <v>2620000</v>
      </c>
      <c r="E222" s="20" t="s">
        <v>818</v>
      </c>
      <c r="F222" s="20" t="s">
        <v>819</v>
      </c>
      <c r="G222" s="8" t="str">
        <f t="shared" si="3"/>
        <v>PERKINS DARREN</v>
      </c>
    </row>
    <row r="223" spans="1:7" x14ac:dyDescent="0.25">
      <c r="A223" s="8">
        <v>42929.953923611109</v>
      </c>
      <c r="B223" s="20" t="s">
        <v>448</v>
      </c>
      <c r="C223" s="20" t="s">
        <v>661</v>
      </c>
      <c r="D223" s="138">
        <v>3030000</v>
      </c>
      <c r="E223" s="20" t="s">
        <v>372</v>
      </c>
      <c r="F223" s="20" t="s">
        <v>360</v>
      </c>
      <c r="G223" s="8" t="str">
        <f t="shared" si="3"/>
        <v>BIRENBAUM THOMAS</v>
      </c>
    </row>
    <row r="224" spans="1:7" x14ac:dyDescent="0.25">
      <c r="A224" s="8">
        <v>42929.965925925928</v>
      </c>
      <c r="B224" t="s">
        <v>361</v>
      </c>
      <c r="C224" t="s">
        <v>847</v>
      </c>
      <c r="D224" s="138">
        <v>3000000</v>
      </c>
      <c r="E224" t="s">
        <v>389</v>
      </c>
      <c r="F224" s="20" t="s">
        <v>390</v>
      </c>
      <c r="G224" s="8" t="str">
        <f t="shared" si="3"/>
        <v>FORTUNATO FRANK</v>
      </c>
    </row>
    <row r="225" spans="1:7" x14ac:dyDescent="0.25">
      <c r="A225" s="8">
        <v>42929.970543981479</v>
      </c>
      <c r="B225" t="s">
        <v>336</v>
      </c>
      <c r="C225" t="s">
        <v>848</v>
      </c>
      <c r="D225" s="138">
        <v>3340000</v>
      </c>
      <c r="E225" t="s">
        <v>490</v>
      </c>
      <c r="F225" s="20" t="s">
        <v>491</v>
      </c>
      <c r="G225" s="8" t="str">
        <f t="shared" si="3"/>
        <v>ELBAUM MIKE</v>
      </c>
    </row>
    <row r="226" spans="1:7" x14ac:dyDescent="0.25">
      <c r="A226" s="8">
        <v>42929.986180555556</v>
      </c>
      <c r="B226" t="s">
        <v>352</v>
      </c>
      <c r="C226" t="s">
        <v>849</v>
      </c>
      <c r="D226" s="138">
        <v>2620000</v>
      </c>
      <c r="E226" t="s">
        <v>818</v>
      </c>
      <c r="F226" s="20" t="s">
        <v>819</v>
      </c>
      <c r="G226" s="8" t="str">
        <f t="shared" si="3"/>
        <v>PERKINS DARREN</v>
      </c>
    </row>
    <row r="227" spans="1:7" x14ac:dyDescent="0.25">
      <c r="A227" s="8">
        <v>42929.994618055556</v>
      </c>
      <c r="B227" t="s">
        <v>449</v>
      </c>
      <c r="C227" t="s">
        <v>850</v>
      </c>
      <c r="D227" s="138">
        <v>3030000</v>
      </c>
      <c r="E227" t="s">
        <v>372</v>
      </c>
      <c r="F227" s="20" t="s">
        <v>360</v>
      </c>
      <c r="G227" s="8" t="str">
        <f t="shared" si="3"/>
        <v>BIRENBAUM THOMAS</v>
      </c>
    </row>
    <row r="228" spans="1:7" x14ac:dyDescent="0.25">
      <c r="A228" s="8">
        <v>42930.007141203707</v>
      </c>
      <c r="B228" t="s">
        <v>367</v>
      </c>
      <c r="C228" t="s">
        <v>851</v>
      </c>
      <c r="D228" s="138">
        <v>3000000</v>
      </c>
      <c r="E228" t="s">
        <v>389</v>
      </c>
      <c r="F228" s="20" t="s">
        <v>390</v>
      </c>
      <c r="G228" s="8" t="str">
        <f t="shared" si="3"/>
        <v>FORTUNATO FRANK</v>
      </c>
    </row>
    <row r="229" spans="1:7" x14ac:dyDescent="0.25">
      <c r="A229" s="8">
        <v>42930.008877314816</v>
      </c>
      <c r="B229" t="s">
        <v>483</v>
      </c>
      <c r="C229" t="s">
        <v>852</v>
      </c>
      <c r="D229" s="138">
        <v>3340000</v>
      </c>
      <c r="E229" t="s">
        <v>490</v>
      </c>
      <c r="F229" s="20" t="s">
        <v>491</v>
      </c>
      <c r="G229" s="8" t="str">
        <f t="shared" si="3"/>
        <v>ELBAUM MIKE</v>
      </c>
    </row>
    <row r="230" spans="1:7" x14ac:dyDescent="0.25">
      <c r="A230" s="8">
        <v>42930.029583333337</v>
      </c>
      <c r="B230" t="s">
        <v>448</v>
      </c>
      <c r="C230" t="s">
        <v>853</v>
      </c>
      <c r="D230" s="138">
        <v>3030000</v>
      </c>
      <c r="E230" t="s">
        <v>372</v>
      </c>
      <c r="F230" s="20" t="s">
        <v>360</v>
      </c>
      <c r="G230" s="8" t="str">
        <f t="shared" si="3"/>
        <v>BIRENBAUM THOMAS</v>
      </c>
    </row>
    <row r="231" spans="1:7" x14ac:dyDescent="0.25">
      <c r="A231" s="8">
        <v>42930.035462962966</v>
      </c>
      <c r="B231" t="s">
        <v>446</v>
      </c>
      <c r="C231" t="s">
        <v>662</v>
      </c>
      <c r="D231" s="138">
        <v>2620000</v>
      </c>
      <c r="E231" t="s">
        <v>818</v>
      </c>
      <c r="F231" s="20" t="s">
        <v>819</v>
      </c>
      <c r="G231" s="8" t="str">
        <f t="shared" si="3"/>
        <v>PERKINS DARREN</v>
      </c>
    </row>
    <row r="232" spans="1:7" x14ac:dyDescent="0.25">
      <c r="A232" s="8">
        <v>42930.04954861111</v>
      </c>
      <c r="B232" t="s">
        <v>336</v>
      </c>
      <c r="C232" t="s">
        <v>854</v>
      </c>
      <c r="D232" s="138">
        <v>3340000</v>
      </c>
      <c r="E232" t="s">
        <v>490</v>
      </c>
      <c r="F232" s="20" t="s">
        <v>491</v>
      </c>
      <c r="G232" s="8" t="str">
        <f t="shared" si="3"/>
        <v>ELBAUM MIKE</v>
      </c>
    </row>
    <row r="233" spans="1:7" x14ac:dyDescent="0.25">
      <c r="A233" s="8">
        <v>42930.04965277778</v>
      </c>
      <c r="B233" t="s">
        <v>361</v>
      </c>
      <c r="C233" t="s">
        <v>855</v>
      </c>
      <c r="D233" s="138">
        <v>3000000</v>
      </c>
      <c r="E233" t="s">
        <v>389</v>
      </c>
      <c r="F233" s="20" t="s">
        <v>390</v>
      </c>
      <c r="G233" s="8" t="str">
        <f t="shared" si="3"/>
        <v>FORTUNATO FRANK</v>
      </c>
    </row>
    <row r="234" spans="1:7" x14ac:dyDescent="0.25">
      <c r="A234" s="8">
        <v>42930.050659722219</v>
      </c>
      <c r="B234" t="s">
        <v>336</v>
      </c>
      <c r="C234" t="s">
        <v>854</v>
      </c>
      <c r="D234" s="138">
        <v>3340000</v>
      </c>
      <c r="E234" t="s">
        <v>490</v>
      </c>
      <c r="F234" s="20" t="s">
        <v>491</v>
      </c>
      <c r="G234" s="8" t="str">
        <f t="shared" si="3"/>
        <v>ELBAUM MIKE</v>
      </c>
    </row>
    <row r="235" spans="1:7" x14ac:dyDescent="0.25">
      <c r="A235" s="8">
        <v>42930.071064814816</v>
      </c>
      <c r="B235" t="s">
        <v>352</v>
      </c>
      <c r="C235" t="s">
        <v>662</v>
      </c>
      <c r="D235" s="138">
        <v>2620000</v>
      </c>
      <c r="E235" t="s">
        <v>818</v>
      </c>
      <c r="F235" s="20" t="s">
        <v>819</v>
      </c>
      <c r="G235" s="8" t="str">
        <f t="shared" si="3"/>
        <v>PERKINS DARREN</v>
      </c>
    </row>
    <row r="236" spans="1:7" x14ac:dyDescent="0.25">
      <c r="A236" s="8">
        <v>42930.071782407409</v>
      </c>
      <c r="B236" t="s">
        <v>352</v>
      </c>
      <c r="C236" t="s">
        <v>856</v>
      </c>
      <c r="D236" s="138">
        <v>2620000</v>
      </c>
      <c r="E236" t="s">
        <v>818</v>
      </c>
      <c r="F236" s="20" t="s">
        <v>819</v>
      </c>
      <c r="G236" s="8" t="str">
        <f t="shared" si="3"/>
        <v>PERKINS DARREN</v>
      </c>
    </row>
    <row r="237" spans="1:7" x14ac:dyDescent="0.25">
      <c r="A237" s="8">
        <v>42930.089212962965</v>
      </c>
      <c r="B237" t="s">
        <v>367</v>
      </c>
      <c r="C237" t="s">
        <v>663</v>
      </c>
      <c r="D237" s="138">
        <v>3000000</v>
      </c>
      <c r="E237" t="s">
        <v>389</v>
      </c>
      <c r="F237" s="20" t="s">
        <v>390</v>
      </c>
      <c r="G237" s="8" t="str">
        <f t="shared" si="3"/>
        <v>FORTUNATO FRANK</v>
      </c>
    </row>
    <row r="238" spans="1:7" x14ac:dyDescent="0.25">
      <c r="A238" s="8">
        <v>42930.095925925925</v>
      </c>
      <c r="B238" t="s">
        <v>367</v>
      </c>
      <c r="C238" t="s">
        <v>663</v>
      </c>
      <c r="D238" s="138">
        <v>3000000</v>
      </c>
      <c r="E238" t="s">
        <v>389</v>
      </c>
      <c r="F238" s="20" t="s">
        <v>390</v>
      </c>
      <c r="G238" s="8" t="str">
        <f t="shared" si="3"/>
        <v>FORTUNATO FRANK</v>
      </c>
    </row>
    <row r="239" spans="1:7" x14ac:dyDescent="0.25">
      <c r="A239" s="8">
        <v>42928.99287037037</v>
      </c>
      <c r="B239" t="s">
        <v>492</v>
      </c>
      <c r="C239" t="s">
        <v>548</v>
      </c>
      <c r="D239" s="138">
        <v>3000000</v>
      </c>
      <c r="E239" t="s">
        <v>389</v>
      </c>
      <c r="F239" s="20" t="s">
        <v>390</v>
      </c>
      <c r="G239" s="8" t="str">
        <f t="shared" si="3"/>
        <v>FORTUNATO FRANK</v>
      </c>
    </row>
    <row r="240" spans="1:7" x14ac:dyDescent="0.25">
      <c r="A240" s="8">
        <v>42929.016643518517</v>
      </c>
      <c r="B240" t="s">
        <v>395</v>
      </c>
      <c r="C240" t="s">
        <v>563</v>
      </c>
      <c r="D240" s="138">
        <v>3090000</v>
      </c>
      <c r="E240" t="s">
        <v>368</v>
      </c>
      <c r="F240" s="20" t="s">
        <v>369</v>
      </c>
      <c r="G240" s="8" t="str">
        <f t="shared" si="3"/>
        <v>LAMAR NEKESHA</v>
      </c>
    </row>
    <row r="241" spans="1:7" x14ac:dyDescent="0.25">
      <c r="A241" s="8">
        <v>42929.016967592594</v>
      </c>
      <c r="B241" t="s">
        <v>447</v>
      </c>
      <c r="C241" t="s">
        <v>564</v>
      </c>
      <c r="D241" s="138">
        <v>2630000</v>
      </c>
      <c r="E241" t="s">
        <v>561</v>
      </c>
      <c r="F241" s="20" t="s">
        <v>562</v>
      </c>
      <c r="G241" s="8" t="str">
        <f t="shared" si="3"/>
        <v>SAFIEF AEIMEN</v>
      </c>
    </row>
    <row r="242" spans="1:7" x14ac:dyDescent="0.25">
      <c r="A242" s="8">
        <v>42929.028043981481</v>
      </c>
      <c r="B242" t="s">
        <v>481</v>
      </c>
      <c r="C242" t="s">
        <v>565</v>
      </c>
      <c r="D242" s="138">
        <v>3000000</v>
      </c>
      <c r="E242" t="s">
        <v>389</v>
      </c>
      <c r="F242" s="20" t="s">
        <v>390</v>
      </c>
      <c r="G242" s="8" t="str">
        <f t="shared" si="3"/>
        <v>FORTUNATO FRANK</v>
      </c>
    </row>
    <row r="243" spans="1:7" x14ac:dyDescent="0.25">
      <c r="A243" s="8">
        <v>42929.029398148145</v>
      </c>
      <c r="B243" t="s">
        <v>481</v>
      </c>
      <c r="C243" t="s">
        <v>565</v>
      </c>
      <c r="D243" s="138">
        <v>3000000</v>
      </c>
      <c r="E243" t="s">
        <v>389</v>
      </c>
      <c r="F243" s="20" t="s">
        <v>390</v>
      </c>
      <c r="G243" s="8" t="str">
        <f t="shared" si="3"/>
        <v>FORTUNATO FRANK</v>
      </c>
    </row>
    <row r="244" spans="1:7" x14ac:dyDescent="0.25">
      <c r="A244" s="8">
        <v>42929.030925925923</v>
      </c>
      <c r="B244" t="s">
        <v>418</v>
      </c>
      <c r="C244" t="s">
        <v>566</v>
      </c>
      <c r="D244" s="138">
        <v>2230000</v>
      </c>
      <c r="E244" t="s">
        <v>338</v>
      </c>
      <c r="F244" s="20" t="s">
        <v>192</v>
      </c>
      <c r="G244" s="8" t="str">
        <f t="shared" si="3"/>
        <v>SMITH MICHAEL</v>
      </c>
    </row>
    <row r="245" spans="1:7" x14ac:dyDescent="0.25">
      <c r="A245" s="8">
        <v>42929.048171296294</v>
      </c>
      <c r="B245" t="s">
        <v>436</v>
      </c>
      <c r="C245" t="s">
        <v>567</v>
      </c>
      <c r="D245" s="138">
        <v>2630000</v>
      </c>
      <c r="E245" t="s">
        <v>561</v>
      </c>
      <c r="F245" s="20" t="s">
        <v>562</v>
      </c>
      <c r="G245" s="8" t="str">
        <f t="shared" si="3"/>
        <v>SAFIEF AEIMEN</v>
      </c>
    </row>
    <row r="246" spans="1:7" x14ac:dyDescent="0.25">
      <c r="A246" s="8">
        <v>42929.049131944441</v>
      </c>
      <c r="B246" t="s">
        <v>436</v>
      </c>
      <c r="C246" t="s">
        <v>567</v>
      </c>
      <c r="D246" s="138">
        <v>2630000</v>
      </c>
      <c r="E246" t="s">
        <v>561</v>
      </c>
      <c r="F246" s="20" t="s">
        <v>562</v>
      </c>
      <c r="G246" s="8" t="str">
        <f t="shared" si="3"/>
        <v>SAFIEF AEIMEN</v>
      </c>
    </row>
    <row r="247" spans="1:7" x14ac:dyDescent="0.25">
      <c r="A247" s="8">
        <v>42929.050497685188</v>
      </c>
      <c r="B247" t="s">
        <v>436</v>
      </c>
      <c r="C247" t="s">
        <v>567</v>
      </c>
      <c r="D247" s="138">
        <v>2630000</v>
      </c>
      <c r="E247" t="s">
        <v>561</v>
      </c>
      <c r="F247" s="20" t="s">
        <v>562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394</v>
      </c>
      <c r="C248" t="s">
        <v>549</v>
      </c>
      <c r="D248" s="138">
        <v>3090000</v>
      </c>
      <c r="E248" t="s">
        <v>368</v>
      </c>
      <c r="F248" s="20" t="s">
        <v>369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416</v>
      </c>
      <c r="C249" t="s">
        <v>568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395</v>
      </c>
      <c r="C250" t="s">
        <v>569</v>
      </c>
      <c r="D250" s="138">
        <v>3090000</v>
      </c>
      <c r="E250" t="s">
        <v>368</v>
      </c>
      <c r="F250" s="20" t="s">
        <v>369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395</v>
      </c>
      <c r="C251" t="s">
        <v>569</v>
      </c>
      <c r="D251" s="138">
        <v>3090000</v>
      </c>
      <c r="E251" t="s">
        <v>368</v>
      </c>
      <c r="F251" s="20" t="s">
        <v>369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395</v>
      </c>
      <c r="C252" t="s">
        <v>569</v>
      </c>
      <c r="D252" s="138">
        <v>3090000</v>
      </c>
      <c r="E252" t="s">
        <v>368</v>
      </c>
      <c r="F252" s="20" t="s">
        <v>369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496</v>
      </c>
      <c r="C253" t="s">
        <v>570</v>
      </c>
      <c r="D253" s="138">
        <v>1110000</v>
      </c>
      <c r="E253" t="s">
        <v>437</v>
      </c>
      <c r="F253" s="20" t="s">
        <v>438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422</v>
      </c>
      <c r="C254" t="s">
        <v>519</v>
      </c>
      <c r="D254" s="138">
        <v>3280000</v>
      </c>
      <c r="E254" t="s">
        <v>488</v>
      </c>
      <c r="F254" s="20" t="s">
        <v>489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352</v>
      </c>
      <c r="C255" t="s">
        <v>520</v>
      </c>
      <c r="D255" s="138">
        <v>3090000</v>
      </c>
      <c r="E255" t="s">
        <v>368</v>
      </c>
      <c r="F255" s="20" t="s">
        <v>369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499</v>
      </c>
      <c r="C256" t="s">
        <v>521</v>
      </c>
      <c r="D256" s="138">
        <v>2090000</v>
      </c>
      <c r="E256" t="s">
        <v>400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499</v>
      </c>
      <c r="C257" t="s">
        <v>521</v>
      </c>
      <c r="D257" s="138">
        <v>2090000</v>
      </c>
      <c r="E257" t="s">
        <v>400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483</v>
      </c>
      <c r="C258" t="s">
        <v>522</v>
      </c>
      <c r="D258" s="138">
        <v>3000000</v>
      </c>
      <c r="E258" t="s">
        <v>389</v>
      </c>
      <c r="F258" s="20" t="s">
        <v>390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382</v>
      </c>
      <c r="C259" t="s">
        <v>523</v>
      </c>
      <c r="D259" s="138">
        <v>3280000</v>
      </c>
      <c r="E259" t="s">
        <v>488</v>
      </c>
      <c r="F259" s="20" t="s">
        <v>489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446</v>
      </c>
      <c r="C260" t="s">
        <v>524</v>
      </c>
      <c r="D260" s="138">
        <v>3090000</v>
      </c>
      <c r="E260" t="s">
        <v>368</v>
      </c>
      <c r="F260" s="20" t="s">
        <v>369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525</v>
      </c>
      <c r="D261" s="138">
        <v>3000000</v>
      </c>
      <c r="E261" t="s">
        <v>389</v>
      </c>
      <c r="F261" s="20" t="s">
        <v>390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525</v>
      </c>
      <c r="D262" s="138">
        <v>3000000</v>
      </c>
      <c r="E262" t="s">
        <v>389</v>
      </c>
      <c r="F262" s="20" t="s">
        <v>390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525</v>
      </c>
      <c r="D263" s="138">
        <v>3000000</v>
      </c>
      <c r="E263" t="s">
        <v>389</v>
      </c>
      <c r="F263" s="20" t="s">
        <v>390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352</v>
      </c>
      <c r="C264" t="s">
        <v>526</v>
      </c>
      <c r="D264" s="138">
        <v>3090000</v>
      </c>
      <c r="E264" t="s">
        <v>368</v>
      </c>
      <c r="F264" s="20" t="s">
        <v>369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484</v>
      </c>
      <c r="D265" s="138">
        <v>3000000</v>
      </c>
      <c r="E265" t="s">
        <v>389</v>
      </c>
      <c r="F265" s="20" t="s">
        <v>390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492</v>
      </c>
      <c r="C266" t="s">
        <v>493</v>
      </c>
      <c r="D266" s="138">
        <v>1110000</v>
      </c>
      <c r="E266" t="s">
        <v>437</v>
      </c>
      <c r="F266" s="20" t="s">
        <v>438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416</v>
      </c>
      <c r="C267" t="s">
        <v>452</v>
      </c>
      <c r="D267" s="138">
        <v>2090000</v>
      </c>
      <c r="E267" t="s">
        <v>400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395</v>
      </c>
      <c r="C268" t="s">
        <v>453</v>
      </c>
      <c r="D268" s="138">
        <v>2000000</v>
      </c>
      <c r="E268" t="s">
        <v>402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422</v>
      </c>
      <c r="C269" t="s">
        <v>454</v>
      </c>
      <c r="D269" s="138">
        <v>3090000</v>
      </c>
      <c r="E269" t="s">
        <v>368</v>
      </c>
      <c r="F269" s="20" t="s">
        <v>369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396</v>
      </c>
      <c r="C270" t="s">
        <v>455</v>
      </c>
      <c r="D270" s="138">
        <v>2610000</v>
      </c>
      <c r="E270" t="s">
        <v>386</v>
      </c>
      <c r="F270" s="20" t="s">
        <v>387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416</v>
      </c>
      <c r="C271" t="s">
        <v>452</v>
      </c>
      <c r="D271" s="138">
        <v>2090000</v>
      </c>
      <c r="E271" t="s">
        <v>400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394</v>
      </c>
      <c r="C272" t="s">
        <v>456</v>
      </c>
      <c r="D272" s="138">
        <v>2000000</v>
      </c>
      <c r="E272" t="s">
        <v>402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397</v>
      </c>
      <c r="C273" t="s">
        <v>455</v>
      </c>
      <c r="D273" s="138">
        <v>2610000</v>
      </c>
      <c r="E273" t="s">
        <v>386</v>
      </c>
      <c r="F273" s="20" t="s">
        <v>387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449</v>
      </c>
      <c r="C274" t="s">
        <v>457</v>
      </c>
      <c r="D274" s="138">
        <v>3000000</v>
      </c>
      <c r="E274" t="s">
        <v>389</v>
      </c>
      <c r="F274" s="20" t="s">
        <v>390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396</v>
      </c>
      <c r="C275" t="s">
        <v>458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395</v>
      </c>
      <c r="C276" t="s">
        <v>459</v>
      </c>
      <c r="D276" s="138">
        <v>2000000</v>
      </c>
      <c r="E276" t="s">
        <v>402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418</v>
      </c>
      <c r="C277" t="s">
        <v>460</v>
      </c>
      <c r="D277" s="138">
        <v>2090000</v>
      </c>
      <c r="E277" t="s">
        <v>400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382</v>
      </c>
      <c r="C278" t="s">
        <v>461</v>
      </c>
      <c r="D278" s="138">
        <v>3090000</v>
      </c>
      <c r="E278" t="s">
        <v>368</v>
      </c>
      <c r="F278" s="20" t="s">
        <v>369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394</v>
      </c>
      <c r="C279" t="s">
        <v>462</v>
      </c>
      <c r="D279" s="138">
        <v>2000000</v>
      </c>
      <c r="E279" t="s">
        <v>402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448</v>
      </c>
      <c r="C280" t="s">
        <v>463</v>
      </c>
      <c r="D280" s="138">
        <v>3000000</v>
      </c>
      <c r="E280" t="s">
        <v>389</v>
      </c>
      <c r="F280" s="20" t="s">
        <v>390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397</v>
      </c>
      <c r="C281" t="s">
        <v>464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395</v>
      </c>
      <c r="C282" t="s">
        <v>462</v>
      </c>
      <c r="D282" s="138">
        <v>2000000</v>
      </c>
      <c r="E282" t="s">
        <v>402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416</v>
      </c>
      <c r="C283" t="s">
        <v>465</v>
      </c>
      <c r="D283" s="138">
        <v>2090000</v>
      </c>
      <c r="E283" t="s">
        <v>400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352</v>
      </c>
      <c r="C284" t="s">
        <v>466</v>
      </c>
      <c r="D284" s="138">
        <v>2610000</v>
      </c>
      <c r="E284" t="s">
        <v>386</v>
      </c>
      <c r="F284" s="20" t="s">
        <v>387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446</v>
      </c>
      <c r="C285" t="s">
        <v>467</v>
      </c>
      <c r="D285" s="138">
        <v>2610000</v>
      </c>
      <c r="E285" t="s">
        <v>386</v>
      </c>
      <c r="F285" s="20" t="s">
        <v>387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422</v>
      </c>
      <c r="C286" t="s">
        <v>468</v>
      </c>
      <c r="D286" s="138">
        <v>3090000</v>
      </c>
      <c r="E286" t="s">
        <v>368</v>
      </c>
      <c r="F286" s="20" t="s">
        <v>369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449</v>
      </c>
      <c r="C287" t="s">
        <v>469</v>
      </c>
      <c r="D287" s="138">
        <v>3000000</v>
      </c>
      <c r="E287" t="s">
        <v>389</v>
      </c>
      <c r="F287" s="20" t="s">
        <v>390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352</v>
      </c>
      <c r="C288" t="s">
        <v>470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418</v>
      </c>
      <c r="C289" t="s">
        <v>450</v>
      </c>
      <c r="D289" s="138">
        <v>2090000</v>
      </c>
      <c r="E289" t="s">
        <v>400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382</v>
      </c>
      <c r="C290" t="s">
        <v>471</v>
      </c>
      <c r="D290" s="138">
        <v>3090000</v>
      </c>
      <c r="E290" t="s">
        <v>368</v>
      </c>
      <c r="F290" s="20" t="s">
        <v>369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448</v>
      </c>
      <c r="C291" t="s">
        <v>472</v>
      </c>
      <c r="D291" s="138">
        <v>3000000</v>
      </c>
      <c r="E291" t="s">
        <v>389</v>
      </c>
      <c r="F291" s="20" t="s">
        <v>390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416</v>
      </c>
      <c r="C292" t="s">
        <v>473</v>
      </c>
      <c r="D292" s="138">
        <v>2090000</v>
      </c>
      <c r="E292" t="s">
        <v>400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422</v>
      </c>
      <c r="C293" t="s">
        <v>474</v>
      </c>
      <c r="D293" s="138">
        <v>3090000</v>
      </c>
      <c r="E293" t="s">
        <v>368</v>
      </c>
      <c r="F293" s="20" t="s">
        <v>369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352</v>
      </c>
      <c r="C294" t="s">
        <v>475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382</v>
      </c>
      <c r="C295" t="s">
        <v>476</v>
      </c>
      <c r="D295" s="138">
        <v>3090000</v>
      </c>
      <c r="E295" t="s">
        <v>368</v>
      </c>
      <c r="F295" s="20" t="s">
        <v>369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382</v>
      </c>
      <c r="C296" t="s">
        <v>476</v>
      </c>
      <c r="D296" s="138">
        <v>3090000</v>
      </c>
      <c r="E296" t="s">
        <v>368</v>
      </c>
      <c r="F296" s="20" t="s">
        <v>369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382</v>
      </c>
      <c r="C297" t="s">
        <v>476</v>
      </c>
      <c r="D297" s="138">
        <v>3090000</v>
      </c>
      <c r="E297" t="s">
        <v>368</v>
      </c>
      <c r="F297" s="20" t="s">
        <v>369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352</v>
      </c>
      <c r="C298" t="s">
        <v>377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361</v>
      </c>
      <c r="C299" t="s">
        <v>363</v>
      </c>
      <c r="D299" s="138">
        <v>2970000</v>
      </c>
      <c r="E299" t="s">
        <v>370</v>
      </c>
      <c r="F299" s="20" t="s">
        <v>371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362</v>
      </c>
      <c r="C300" t="s">
        <v>366</v>
      </c>
      <c r="D300" s="138">
        <v>3130000</v>
      </c>
      <c r="E300" t="s">
        <v>375</v>
      </c>
      <c r="F300" s="20" t="s">
        <v>376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361</v>
      </c>
      <c r="C301" t="s">
        <v>363</v>
      </c>
      <c r="D301" s="138">
        <v>2970000</v>
      </c>
      <c r="E301" t="s">
        <v>370</v>
      </c>
      <c r="F301" s="20" t="s">
        <v>371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358</v>
      </c>
      <c r="C302" t="s">
        <v>364</v>
      </c>
      <c r="D302" s="138">
        <v>3040000</v>
      </c>
      <c r="E302" t="s">
        <v>373</v>
      </c>
      <c r="F302" s="20" t="s">
        <v>374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358</v>
      </c>
      <c r="C303" t="s">
        <v>364</v>
      </c>
      <c r="D303" s="138">
        <v>3040000</v>
      </c>
      <c r="E303" t="s">
        <v>373</v>
      </c>
      <c r="F303" s="20" t="s">
        <v>374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378</v>
      </c>
      <c r="D304" s="138">
        <v>3030000</v>
      </c>
      <c r="E304" t="s">
        <v>372</v>
      </c>
      <c r="F304" s="20" t="s">
        <v>360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367</v>
      </c>
      <c r="C305" t="s">
        <v>363</v>
      </c>
      <c r="D305" s="138">
        <v>2970000</v>
      </c>
      <c r="E305" t="s">
        <v>370</v>
      </c>
      <c r="F305" s="20" t="s">
        <v>371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361</v>
      </c>
      <c r="C306" t="s">
        <v>363</v>
      </c>
      <c r="D306" s="138">
        <v>2970000</v>
      </c>
      <c r="E306" t="s">
        <v>370</v>
      </c>
      <c r="F306" s="20" t="s">
        <v>371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359</v>
      </c>
      <c r="C307" t="s">
        <v>364</v>
      </c>
      <c r="D307" s="138">
        <v>3040000</v>
      </c>
      <c r="E307" t="s">
        <v>373</v>
      </c>
      <c r="F307" s="20" t="s">
        <v>374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365</v>
      </c>
      <c r="C308" t="s">
        <v>379</v>
      </c>
      <c r="D308" s="138">
        <v>3130000</v>
      </c>
      <c r="E308" t="s">
        <v>375</v>
      </c>
      <c r="F308" s="20" t="s">
        <v>376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358</v>
      </c>
      <c r="C309" t="s">
        <v>364</v>
      </c>
      <c r="D309" s="138">
        <v>3040000</v>
      </c>
      <c r="E309" t="s">
        <v>373</v>
      </c>
      <c r="F309" s="20" t="s">
        <v>374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367</v>
      </c>
      <c r="C310" t="s">
        <v>363</v>
      </c>
      <c r="D310" s="138">
        <v>2970000</v>
      </c>
      <c r="E310" t="s">
        <v>370</v>
      </c>
      <c r="F310" s="20" t="s">
        <v>371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361</v>
      </c>
      <c r="C311" t="s">
        <v>363</v>
      </c>
      <c r="D311" s="138">
        <v>2970000</v>
      </c>
      <c r="E311" t="s">
        <v>370</v>
      </c>
      <c r="F311" s="20" t="s">
        <v>371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527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403</v>
      </c>
      <c r="P1" s="171" t="s">
        <v>156</v>
      </c>
      <c r="Q1" s="171" t="s">
        <v>163</v>
      </c>
      <c r="R1" s="171" t="s">
        <v>404</v>
      </c>
      <c r="S1" s="171" t="s">
        <v>160</v>
      </c>
    </row>
    <row r="2" spans="1:19" x14ac:dyDescent="0.25">
      <c r="A2" s="172">
        <v>65.400000000000006</v>
      </c>
      <c r="B2" s="172">
        <v>0.46</v>
      </c>
      <c r="C2" s="172">
        <v>57.8</v>
      </c>
      <c r="D2" s="8">
        <v>42929</v>
      </c>
      <c r="E2" s="172">
        <v>0.76</v>
      </c>
      <c r="F2" s="172" t="s">
        <v>529</v>
      </c>
      <c r="G2" s="172">
        <v>289.23</v>
      </c>
      <c r="H2" s="172">
        <v>8.2000000000000007E-3</v>
      </c>
      <c r="I2" s="172">
        <v>7.0000000000000007E-2</v>
      </c>
      <c r="J2" s="172" t="s">
        <v>529</v>
      </c>
      <c r="K2" s="172">
        <v>1017.24</v>
      </c>
      <c r="L2" s="172" t="s">
        <v>530</v>
      </c>
      <c r="M2" s="172">
        <v>65.400000000000006</v>
      </c>
      <c r="N2" s="172">
        <v>1499925600</v>
      </c>
      <c r="O2" s="172">
        <v>0</v>
      </c>
      <c r="P2" s="172">
        <v>10</v>
      </c>
      <c r="Q2" s="172">
        <v>138</v>
      </c>
      <c r="R2" s="172">
        <v>6.04</v>
      </c>
      <c r="S2" s="172">
        <v>4.1500000000000004</v>
      </c>
    </row>
    <row r="3" spans="1:19" x14ac:dyDescent="0.25">
      <c r="A3" s="172">
        <v>64.66</v>
      </c>
      <c r="B3" s="172">
        <v>0.42</v>
      </c>
      <c r="C3" s="172">
        <v>57.71</v>
      </c>
      <c r="D3" s="8">
        <v>42929.041666666664</v>
      </c>
      <c r="E3" s="172">
        <v>0.78</v>
      </c>
      <c r="F3" s="172" t="s">
        <v>529</v>
      </c>
      <c r="G3" s="172">
        <v>289.12</v>
      </c>
      <c r="H3" s="172">
        <v>5.5999999999999999E-3</v>
      </c>
      <c r="I3" s="172">
        <v>0.04</v>
      </c>
      <c r="J3" s="172" t="s">
        <v>529</v>
      </c>
      <c r="K3" s="172">
        <v>1017.35</v>
      </c>
      <c r="L3" s="172" t="s">
        <v>530</v>
      </c>
      <c r="M3" s="172">
        <v>64.66</v>
      </c>
      <c r="N3" s="172">
        <v>1499929200</v>
      </c>
      <c r="O3" s="172">
        <v>0</v>
      </c>
      <c r="P3" s="172">
        <v>9.8800000000000008</v>
      </c>
      <c r="Q3" s="172">
        <v>139</v>
      </c>
      <c r="R3" s="172">
        <v>4.7300000000000004</v>
      </c>
      <c r="S3" s="172">
        <v>2.94</v>
      </c>
    </row>
    <row r="4" spans="1:19" x14ac:dyDescent="0.25">
      <c r="A4" s="172">
        <v>63.76</v>
      </c>
      <c r="B4" s="172">
        <v>0.47</v>
      </c>
      <c r="C4" s="172">
        <v>57.28</v>
      </c>
      <c r="D4" s="8">
        <v>42929.083333333336</v>
      </c>
      <c r="E4" s="172">
        <v>0.79</v>
      </c>
      <c r="F4" s="172" t="s">
        <v>477</v>
      </c>
      <c r="G4" s="172">
        <v>288.33</v>
      </c>
      <c r="H4" s="172">
        <v>3.3999999999999998E-3</v>
      </c>
      <c r="I4" s="172">
        <v>0.02</v>
      </c>
      <c r="J4" s="172" t="s">
        <v>529</v>
      </c>
      <c r="K4" s="172">
        <v>1017.46</v>
      </c>
      <c r="L4" s="172" t="s">
        <v>415</v>
      </c>
      <c r="M4" s="172">
        <v>63.76</v>
      </c>
      <c r="N4" s="172">
        <v>1499932800</v>
      </c>
      <c r="O4" s="172">
        <v>0</v>
      </c>
      <c r="P4" s="172">
        <v>9.52</v>
      </c>
      <c r="Q4" s="172">
        <v>180</v>
      </c>
      <c r="R4" s="172">
        <v>3.67</v>
      </c>
      <c r="S4" s="172">
        <v>2.66</v>
      </c>
    </row>
    <row r="5" spans="1:19" x14ac:dyDescent="0.25">
      <c r="A5" s="172">
        <v>61.79</v>
      </c>
      <c r="B5" s="172">
        <v>0.4</v>
      </c>
      <c r="C5" s="172">
        <v>56.33</v>
      </c>
      <c r="D5" s="8">
        <v>42929.125</v>
      </c>
      <c r="E5" s="172">
        <v>0.82</v>
      </c>
      <c r="F5" s="172" t="s">
        <v>477</v>
      </c>
      <c r="G5" s="172">
        <v>287.64999999999998</v>
      </c>
      <c r="H5" s="172">
        <v>0</v>
      </c>
      <c r="I5" s="172">
        <v>0</v>
      </c>
      <c r="J5" s="172"/>
      <c r="K5" s="172">
        <v>1017.78</v>
      </c>
      <c r="L5" s="172" t="s">
        <v>415</v>
      </c>
      <c r="M5" s="172">
        <v>61.79</v>
      </c>
      <c r="N5" s="172">
        <v>1499936400</v>
      </c>
      <c r="O5" s="172">
        <v>0</v>
      </c>
      <c r="P5" s="172">
        <v>9.76</v>
      </c>
      <c r="Q5" s="172">
        <v>260</v>
      </c>
      <c r="R5" s="172">
        <v>4.2300000000000004</v>
      </c>
      <c r="S5" s="172">
        <v>2.44</v>
      </c>
    </row>
    <row r="6" spans="1:19" x14ac:dyDescent="0.25">
      <c r="A6" s="172">
        <v>61.09</v>
      </c>
      <c r="B6" s="172">
        <v>0.25</v>
      </c>
      <c r="C6" s="172">
        <v>55.33</v>
      </c>
      <c r="D6" s="8">
        <v>42929.166666666664</v>
      </c>
      <c r="E6" s="172">
        <v>0.81</v>
      </c>
      <c r="F6" s="172" t="s">
        <v>477</v>
      </c>
      <c r="G6" s="172">
        <v>287.31</v>
      </c>
      <c r="H6" s="172">
        <v>0</v>
      </c>
      <c r="I6" s="172">
        <v>0</v>
      </c>
      <c r="J6" s="172"/>
      <c r="K6" s="172">
        <v>1017.64</v>
      </c>
      <c r="L6" s="172" t="s">
        <v>415</v>
      </c>
      <c r="M6" s="172">
        <v>61.09</v>
      </c>
      <c r="N6" s="172">
        <v>1499940000</v>
      </c>
      <c r="O6" s="172">
        <v>0</v>
      </c>
      <c r="P6" s="172">
        <v>10</v>
      </c>
      <c r="Q6" s="172">
        <v>237</v>
      </c>
      <c r="R6" s="172">
        <v>4.79</v>
      </c>
      <c r="S6" s="172">
        <v>3</v>
      </c>
    </row>
    <row r="7" spans="1:19" x14ac:dyDescent="0.25">
      <c r="A7" s="172">
        <v>59.96</v>
      </c>
      <c r="B7" s="172">
        <v>0.17</v>
      </c>
      <c r="C7" s="172">
        <v>54.14</v>
      </c>
      <c r="D7" s="8">
        <v>42929.208333333336</v>
      </c>
      <c r="E7" s="172">
        <v>0.81</v>
      </c>
      <c r="F7" s="172" t="s">
        <v>857</v>
      </c>
      <c r="G7" s="172">
        <v>287.08</v>
      </c>
      <c r="H7" s="172">
        <v>0</v>
      </c>
      <c r="I7" s="172">
        <v>0</v>
      </c>
      <c r="J7" s="172"/>
      <c r="K7" s="172">
        <v>1017.61</v>
      </c>
      <c r="L7" s="172" t="s">
        <v>858</v>
      </c>
      <c r="M7" s="172">
        <v>59.96</v>
      </c>
      <c r="N7" s="172">
        <v>1499943600</v>
      </c>
      <c r="O7" s="172">
        <v>0</v>
      </c>
      <c r="P7" s="172">
        <v>10</v>
      </c>
      <c r="Q7" s="172">
        <v>204</v>
      </c>
      <c r="R7" s="172">
        <v>4.83</v>
      </c>
      <c r="S7" s="172">
        <v>3.01</v>
      </c>
    </row>
    <row r="8" spans="1:19" x14ac:dyDescent="0.25">
      <c r="A8" s="172">
        <v>63.36</v>
      </c>
      <c r="B8" s="172">
        <v>0.09</v>
      </c>
      <c r="C8" s="172">
        <v>52.51</v>
      </c>
      <c r="D8" s="8">
        <v>42929.25</v>
      </c>
      <c r="E8" s="172">
        <v>0.68</v>
      </c>
      <c r="F8" s="172" t="s">
        <v>859</v>
      </c>
      <c r="G8" s="172">
        <v>284.54000000000002</v>
      </c>
      <c r="H8" s="172">
        <v>0</v>
      </c>
      <c r="I8" s="172">
        <v>0</v>
      </c>
      <c r="J8" s="172"/>
      <c r="K8" s="172">
        <v>1018.09</v>
      </c>
      <c r="L8" s="172" t="s">
        <v>858</v>
      </c>
      <c r="M8" s="172">
        <v>63.36</v>
      </c>
      <c r="N8" s="172">
        <v>1499947200</v>
      </c>
      <c r="O8" s="172">
        <v>0</v>
      </c>
      <c r="P8" s="172">
        <v>10</v>
      </c>
      <c r="Q8" s="172">
        <v>309</v>
      </c>
      <c r="R8" s="172">
        <v>3.66</v>
      </c>
      <c r="S8" s="172">
        <v>2.2599999999999998</v>
      </c>
    </row>
    <row r="9" spans="1:19" x14ac:dyDescent="0.25">
      <c r="A9" s="172">
        <v>64.400000000000006</v>
      </c>
      <c r="B9" s="172">
        <v>0.06</v>
      </c>
      <c r="C9" s="172">
        <v>52.99</v>
      </c>
      <c r="D9" s="8">
        <v>42929.291666666664</v>
      </c>
      <c r="E9" s="172">
        <v>0.66</v>
      </c>
      <c r="F9" s="172" t="s">
        <v>859</v>
      </c>
      <c r="G9" s="172">
        <v>285.01</v>
      </c>
      <c r="H9" s="172">
        <v>0</v>
      </c>
      <c r="I9" s="172">
        <v>0</v>
      </c>
      <c r="J9" s="172"/>
      <c r="K9" s="172">
        <v>1018.31</v>
      </c>
      <c r="L9" s="172" t="s">
        <v>858</v>
      </c>
      <c r="M9" s="172">
        <v>64.400000000000006</v>
      </c>
      <c r="N9" s="172">
        <v>1499950800</v>
      </c>
      <c r="O9" s="172">
        <v>1</v>
      </c>
      <c r="P9" s="172">
        <v>10</v>
      </c>
      <c r="Q9" s="172">
        <v>263</v>
      </c>
      <c r="R9" s="172">
        <v>5.05</v>
      </c>
      <c r="S9" s="172">
        <v>2.91</v>
      </c>
    </row>
    <row r="10" spans="1:19" x14ac:dyDescent="0.25">
      <c r="A10" s="172">
        <v>67.459999999999994</v>
      </c>
      <c r="B10" s="172">
        <v>0.03</v>
      </c>
      <c r="C10" s="172">
        <v>53.65</v>
      </c>
      <c r="D10" s="8">
        <v>42929.333333333336</v>
      </c>
      <c r="E10" s="172">
        <v>0.61</v>
      </c>
      <c r="F10" s="172" t="s">
        <v>859</v>
      </c>
      <c r="G10" s="172">
        <v>286.17</v>
      </c>
      <c r="H10" s="172">
        <v>0</v>
      </c>
      <c r="I10" s="172">
        <v>0</v>
      </c>
      <c r="J10" s="172"/>
      <c r="K10" s="172">
        <v>1018.42</v>
      </c>
      <c r="L10" s="172" t="s">
        <v>858</v>
      </c>
      <c r="M10" s="172">
        <v>67.459999999999994</v>
      </c>
      <c r="N10" s="172">
        <v>1499954400</v>
      </c>
      <c r="O10" s="172">
        <v>1</v>
      </c>
      <c r="P10" s="172">
        <v>10</v>
      </c>
      <c r="Q10" s="172">
        <v>343</v>
      </c>
      <c r="R10" s="172">
        <v>5.17</v>
      </c>
      <c r="S10" s="172">
        <v>3.11</v>
      </c>
    </row>
    <row r="11" spans="1:19" x14ac:dyDescent="0.25">
      <c r="A11" s="172">
        <v>70.900000000000006</v>
      </c>
      <c r="B11" s="172">
        <v>0</v>
      </c>
      <c r="C11" s="172">
        <v>54.62</v>
      </c>
      <c r="D11" s="8">
        <v>42929.375</v>
      </c>
      <c r="E11" s="172">
        <v>0.56000000000000005</v>
      </c>
      <c r="F11" s="172" t="s">
        <v>859</v>
      </c>
      <c r="G11" s="172">
        <v>287.08999999999997</v>
      </c>
      <c r="H11" s="172">
        <v>0</v>
      </c>
      <c r="I11" s="172">
        <v>0</v>
      </c>
      <c r="J11" s="172"/>
      <c r="K11" s="172">
        <v>1018.12</v>
      </c>
      <c r="L11" s="172" t="s">
        <v>858</v>
      </c>
      <c r="M11" s="172">
        <v>70.900000000000006</v>
      </c>
      <c r="N11" s="172">
        <v>1499958000</v>
      </c>
      <c r="O11" s="172">
        <v>3</v>
      </c>
      <c r="P11" s="172">
        <v>10</v>
      </c>
      <c r="Q11" s="172">
        <v>344</v>
      </c>
      <c r="R11" s="172">
        <v>2.79</v>
      </c>
      <c r="S11" s="172">
        <v>2.35</v>
      </c>
    </row>
    <row r="12" spans="1:19" x14ac:dyDescent="0.25">
      <c r="A12" s="172">
        <v>74.87</v>
      </c>
      <c r="B12" s="172">
        <v>0.02</v>
      </c>
      <c r="C12" s="172">
        <v>53.84</v>
      </c>
      <c r="D12" s="8">
        <v>42929.416666666664</v>
      </c>
      <c r="E12" s="172">
        <v>0.48</v>
      </c>
      <c r="F12" s="172" t="s">
        <v>859</v>
      </c>
      <c r="G12" s="172">
        <v>287.54000000000002</v>
      </c>
      <c r="H12" s="172">
        <v>0</v>
      </c>
      <c r="I12" s="172">
        <v>0</v>
      </c>
      <c r="J12" s="172"/>
      <c r="K12" s="172">
        <v>1017.85</v>
      </c>
      <c r="L12" s="172" t="s">
        <v>858</v>
      </c>
      <c r="M12" s="172">
        <v>74.87</v>
      </c>
      <c r="N12" s="172">
        <v>1499961600</v>
      </c>
      <c r="O12" s="172">
        <v>5</v>
      </c>
      <c r="P12" s="172">
        <v>10</v>
      </c>
      <c r="Q12" s="172">
        <v>82</v>
      </c>
      <c r="R12" s="172">
        <v>3.36</v>
      </c>
      <c r="S12" s="172">
        <v>2.57</v>
      </c>
    </row>
    <row r="13" spans="1:19" x14ac:dyDescent="0.25">
      <c r="A13" s="172">
        <v>79.16</v>
      </c>
      <c r="B13" s="172">
        <v>0.05</v>
      </c>
      <c r="C13" s="172">
        <v>52.49</v>
      </c>
      <c r="D13" s="8">
        <v>42929.458333333336</v>
      </c>
      <c r="E13" s="172">
        <v>0.4</v>
      </c>
      <c r="F13" s="172" t="s">
        <v>859</v>
      </c>
      <c r="G13" s="172">
        <v>287.64999999999998</v>
      </c>
      <c r="H13" s="172">
        <v>0</v>
      </c>
      <c r="I13" s="172">
        <v>0</v>
      </c>
      <c r="J13" s="172"/>
      <c r="K13" s="172">
        <v>1017.49</v>
      </c>
      <c r="L13" s="172" t="s">
        <v>858</v>
      </c>
      <c r="M13" s="172">
        <v>79.16</v>
      </c>
      <c r="N13" s="172">
        <v>1499965200</v>
      </c>
      <c r="O13" s="172">
        <v>8</v>
      </c>
      <c r="P13" s="172">
        <v>10</v>
      </c>
      <c r="Q13" s="172">
        <v>97</v>
      </c>
      <c r="R13" s="172">
        <v>4.51</v>
      </c>
      <c r="S13" s="172">
        <v>3.93</v>
      </c>
    </row>
    <row r="14" spans="1:19" x14ac:dyDescent="0.25">
      <c r="A14" s="172">
        <v>82.43</v>
      </c>
      <c r="B14" s="172">
        <v>0.01</v>
      </c>
      <c r="C14" s="172">
        <v>54.45</v>
      </c>
      <c r="D14" s="8">
        <v>42929.5</v>
      </c>
      <c r="E14" s="172">
        <v>0.38</v>
      </c>
      <c r="F14" s="172" t="s">
        <v>859</v>
      </c>
      <c r="G14" s="172">
        <v>285.33999999999997</v>
      </c>
      <c r="H14" s="172">
        <v>0</v>
      </c>
      <c r="I14" s="172">
        <v>0</v>
      </c>
      <c r="J14" s="172"/>
      <c r="K14" s="172">
        <v>1017.09</v>
      </c>
      <c r="L14" s="172" t="s">
        <v>858</v>
      </c>
      <c r="M14" s="172">
        <v>82.43</v>
      </c>
      <c r="N14" s="172">
        <v>1499968800</v>
      </c>
      <c r="O14" s="172">
        <v>12</v>
      </c>
      <c r="P14" s="172">
        <v>10</v>
      </c>
      <c r="Q14" s="172">
        <v>115</v>
      </c>
      <c r="R14" s="172">
        <v>5.17</v>
      </c>
      <c r="S14" s="172">
        <v>4.4400000000000004</v>
      </c>
    </row>
    <row r="15" spans="1:19" x14ac:dyDescent="0.25">
      <c r="A15" s="172">
        <v>84.75</v>
      </c>
      <c r="B15" s="172">
        <v>0.03</v>
      </c>
      <c r="C15" s="172">
        <v>53.69</v>
      </c>
      <c r="D15" s="8">
        <v>42929.541666666664</v>
      </c>
      <c r="E15" s="172">
        <v>0.35</v>
      </c>
      <c r="F15" s="172" t="s">
        <v>859</v>
      </c>
      <c r="G15" s="172">
        <v>284.99</v>
      </c>
      <c r="H15" s="172">
        <v>0</v>
      </c>
      <c r="I15" s="172">
        <v>0</v>
      </c>
      <c r="J15" s="172"/>
      <c r="K15" s="172">
        <v>1016.49</v>
      </c>
      <c r="L15" s="172" t="s">
        <v>858</v>
      </c>
      <c r="M15" s="172">
        <v>84.75</v>
      </c>
      <c r="N15" s="172">
        <v>1499972400</v>
      </c>
      <c r="O15" s="172">
        <v>13</v>
      </c>
      <c r="P15" s="172">
        <v>10</v>
      </c>
      <c r="Q15" s="172">
        <v>107</v>
      </c>
      <c r="R15" s="172">
        <v>6.54</v>
      </c>
      <c r="S15" s="172">
        <v>5.0999999999999996</v>
      </c>
    </row>
    <row r="16" spans="1:19" x14ac:dyDescent="0.25">
      <c r="A16" s="172">
        <v>86.3</v>
      </c>
      <c r="B16" s="172">
        <v>0.02</v>
      </c>
      <c r="C16" s="172">
        <v>52.88</v>
      </c>
      <c r="D16" s="8">
        <v>42929.583333333336</v>
      </c>
      <c r="E16" s="172">
        <v>0.32</v>
      </c>
      <c r="F16" s="172" t="s">
        <v>859</v>
      </c>
      <c r="G16" s="172">
        <v>284.64999999999998</v>
      </c>
      <c r="H16" s="172">
        <v>0</v>
      </c>
      <c r="I16" s="172">
        <v>0</v>
      </c>
      <c r="J16" s="172"/>
      <c r="K16" s="172">
        <v>1015.81</v>
      </c>
      <c r="L16" s="172" t="s">
        <v>858</v>
      </c>
      <c r="M16" s="172">
        <v>86.3</v>
      </c>
      <c r="N16" s="172">
        <v>1499976000</v>
      </c>
      <c r="O16" s="172">
        <v>12</v>
      </c>
      <c r="P16" s="172">
        <v>10</v>
      </c>
      <c r="Q16" s="172">
        <v>95</v>
      </c>
      <c r="R16" s="172">
        <v>7.73</v>
      </c>
      <c r="S16" s="172">
        <v>6.4</v>
      </c>
    </row>
    <row r="17" spans="1:19" x14ac:dyDescent="0.25">
      <c r="A17" s="172">
        <v>88.51</v>
      </c>
      <c r="B17" s="172">
        <v>0.14000000000000001</v>
      </c>
      <c r="C17" s="172">
        <v>52.23</v>
      </c>
      <c r="D17" s="8">
        <v>42929.625</v>
      </c>
      <c r="E17" s="172">
        <v>0.28999999999999998</v>
      </c>
      <c r="F17" s="172" t="s">
        <v>859</v>
      </c>
      <c r="G17" s="172">
        <v>284.3</v>
      </c>
      <c r="H17" s="172">
        <v>0</v>
      </c>
      <c r="I17" s="172">
        <v>0</v>
      </c>
      <c r="J17" s="172"/>
      <c r="K17" s="172">
        <v>1015.28</v>
      </c>
      <c r="L17" s="172" t="s">
        <v>858</v>
      </c>
      <c r="M17" s="172">
        <v>88.51</v>
      </c>
      <c r="N17" s="172">
        <v>1499979600</v>
      </c>
      <c r="O17" s="172">
        <v>8</v>
      </c>
      <c r="P17" s="172">
        <v>10</v>
      </c>
      <c r="Q17" s="172">
        <v>90</v>
      </c>
      <c r="R17" s="172">
        <v>8.75</v>
      </c>
      <c r="S17" s="172">
        <v>6.64</v>
      </c>
    </row>
    <row r="18" spans="1:19" x14ac:dyDescent="0.25">
      <c r="A18" s="172">
        <v>89.2</v>
      </c>
      <c r="B18" s="172">
        <v>0.16</v>
      </c>
      <c r="C18" s="172">
        <v>50.86</v>
      </c>
      <c r="D18" s="8">
        <v>42929.666666666664</v>
      </c>
      <c r="E18" s="172">
        <v>0.27</v>
      </c>
      <c r="F18" s="172" t="s">
        <v>859</v>
      </c>
      <c r="G18" s="172">
        <v>283.95</v>
      </c>
      <c r="H18" s="172">
        <v>0</v>
      </c>
      <c r="I18" s="172">
        <v>0</v>
      </c>
      <c r="J18" s="172"/>
      <c r="K18" s="172">
        <v>1014.89</v>
      </c>
      <c r="L18" s="172" t="s">
        <v>858</v>
      </c>
      <c r="M18" s="172">
        <v>89.2</v>
      </c>
      <c r="N18" s="172">
        <v>1499983200</v>
      </c>
      <c r="O18" s="172">
        <v>5</v>
      </c>
      <c r="P18" s="172">
        <v>10</v>
      </c>
      <c r="Q18" s="172">
        <v>96</v>
      </c>
      <c r="R18" s="172">
        <v>9.26</v>
      </c>
      <c r="S18" s="172">
        <v>7.18</v>
      </c>
    </row>
    <row r="19" spans="1:19" x14ac:dyDescent="0.25">
      <c r="A19" s="172">
        <v>88.95</v>
      </c>
      <c r="B19" s="172">
        <v>0.26</v>
      </c>
      <c r="C19" s="172">
        <v>51.1</v>
      </c>
      <c r="D19" s="8">
        <v>42929.708333333336</v>
      </c>
      <c r="E19" s="172">
        <v>0.28000000000000003</v>
      </c>
      <c r="F19" s="172" t="s">
        <v>414</v>
      </c>
      <c r="G19" s="172">
        <v>283.72000000000003</v>
      </c>
      <c r="H19" s="172">
        <v>2.5000000000000001E-3</v>
      </c>
      <c r="I19" s="172">
        <v>0.01</v>
      </c>
      <c r="J19" s="172" t="s">
        <v>529</v>
      </c>
      <c r="K19" s="172">
        <v>1014.72</v>
      </c>
      <c r="L19" s="172" t="s">
        <v>415</v>
      </c>
      <c r="M19" s="172">
        <v>88.95</v>
      </c>
      <c r="N19" s="172">
        <v>1499986800</v>
      </c>
      <c r="O19" s="172">
        <v>3</v>
      </c>
      <c r="P19" s="172">
        <v>10</v>
      </c>
      <c r="Q19" s="172">
        <v>115</v>
      </c>
      <c r="R19" s="172">
        <v>9.58</v>
      </c>
      <c r="S19" s="172">
        <v>7.87</v>
      </c>
    </row>
    <row r="20" spans="1:19" x14ac:dyDescent="0.25">
      <c r="A20" s="172">
        <v>86.51</v>
      </c>
      <c r="B20" s="172">
        <v>0.12</v>
      </c>
      <c r="C20" s="172">
        <v>51.1</v>
      </c>
      <c r="D20" s="8">
        <v>42929.75</v>
      </c>
      <c r="E20" s="172">
        <v>0.3</v>
      </c>
      <c r="F20" s="172" t="s">
        <v>859</v>
      </c>
      <c r="G20" s="172">
        <v>282.10000000000002</v>
      </c>
      <c r="H20" s="172">
        <v>0</v>
      </c>
      <c r="I20" s="172">
        <v>0</v>
      </c>
      <c r="J20" s="172"/>
      <c r="K20" s="172">
        <v>1014.82</v>
      </c>
      <c r="L20" s="172" t="s">
        <v>858</v>
      </c>
      <c r="M20" s="172">
        <v>86.51</v>
      </c>
      <c r="N20" s="172">
        <v>1499990400</v>
      </c>
      <c r="O20" s="172">
        <v>1</v>
      </c>
      <c r="P20" s="172">
        <v>10</v>
      </c>
      <c r="Q20" s="172">
        <v>129</v>
      </c>
      <c r="R20" s="172">
        <v>8.1</v>
      </c>
      <c r="S20" s="172">
        <v>6.06</v>
      </c>
    </row>
    <row r="21" spans="1:19" x14ac:dyDescent="0.25">
      <c r="A21" s="172">
        <v>83.66</v>
      </c>
      <c r="B21" s="172">
        <v>0.24</v>
      </c>
      <c r="C21" s="172">
        <v>52.26</v>
      </c>
      <c r="D21" s="8">
        <v>42929.791666666664</v>
      </c>
      <c r="E21" s="172">
        <v>0.34</v>
      </c>
      <c r="F21" s="172" t="s">
        <v>859</v>
      </c>
      <c r="G21" s="172">
        <v>282.33</v>
      </c>
      <c r="H21" s="172">
        <v>0</v>
      </c>
      <c r="I21" s="172">
        <v>0</v>
      </c>
      <c r="J21" s="172"/>
      <c r="K21" s="172">
        <v>1015.11</v>
      </c>
      <c r="L21" s="172" t="s">
        <v>858</v>
      </c>
      <c r="M21" s="172">
        <v>83.66</v>
      </c>
      <c r="N21" s="172">
        <v>1499994000</v>
      </c>
      <c r="O21" s="172">
        <v>1</v>
      </c>
      <c r="P21" s="172">
        <v>10</v>
      </c>
      <c r="Q21" s="172">
        <v>149</v>
      </c>
      <c r="R21" s="172">
        <v>7.49</v>
      </c>
      <c r="S21" s="172">
        <v>6.43</v>
      </c>
    </row>
    <row r="22" spans="1:19" x14ac:dyDescent="0.25">
      <c r="A22" s="172">
        <v>79.900000000000006</v>
      </c>
      <c r="B22" s="172">
        <v>0.43</v>
      </c>
      <c r="C22" s="172">
        <v>53.52</v>
      </c>
      <c r="D22" s="8">
        <v>42929.833333333336</v>
      </c>
      <c r="E22" s="172">
        <v>0.4</v>
      </c>
      <c r="F22" s="172" t="s">
        <v>414</v>
      </c>
      <c r="G22" s="172">
        <v>282.91000000000003</v>
      </c>
      <c r="H22" s="172">
        <v>0</v>
      </c>
      <c r="I22" s="172">
        <v>0</v>
      </c>
      <c r="J22" s="172"/>
      <c r="K22" s="172">
        <v>1015.8</v>
      </c>
      <c r="L22" s="172" t="s">
        <v>415</v>
      </c>
      <c r="M22" s="172">
        <v>79.900000000000006</v>
      </c>
      <c r="N22" s="172">
        <v>1499997600</v>
      </c>
      <c r="O22" s="172">
        <v>0</v>
      </c>
      <c r="P22" s="172">
        <v>10</v>
      </c>
      <c r="Q22" s="172">
        <v>161</v>
      </c>
      <c r="R22" s="172">
        <v>7.96</v>
      </c>
      <c r="S22" s="172">
        <v>6.86</v>
      </c>
    </row>
    <row r="23" spans="1:19" x14ac:dyDescent="0.25">
      <c r="A23" s="172">
        <v>76.41</v>
      </c>
      <c r="B23" s="172">
        <v>0.62</v>
      </c>
      <c r="C23" s="172">
        <v>53.24</v>
      </c>
      <c r="D23" s="8">
        <v>42929.875</v>
      </c>
      <c r="E23" s="172">
        <v>0.45</v>
      </c>
      <c r="F23" s="172" t="s">
        <v>477</v>
      </c>
      <c r="G23" s="172">
        <v>283.25</v>
      </c>
      <c r="H23" s="172">
        <v>0</v>
      </c>
      <c r="I23" s="172">
        <v>0</v>
      </c>
      <c r="J23" s="172"/>
      <c r="K23" s="172">
        <v>1016.56</v>
      </c>
      <c r="L23" s="172" t="s">
        <v>528</v>
      </c>
      <c r="M23" s="172">
        <v>76.41</v>
      </c>
      <c r="N23" s="172">
        <v>1500001200</v>
      </c>
      <c r="O23" s="172">
        <v>0</v>
      </c>
      <c r="P23" s="172">
        <v>10</v>
      </c>
      <c r="Q23" s="172">
        <v>164</v>
      </c>
      <c r="R23" s="172">
        <v>6.54</v>
      </c>
      <c r="S23" s="172">
        <v>4.82</v>
      </c>
    </row>
    <row r="24" spans="1:19" x14ac:dyDescent="0.25">
      <c r="A24" s="172">
        <v>73.75</v>
      </c>
      <c r="B24" s="172">
        <v>0.5</v>
      </c>
      <c r="C24" s="172">
        <v>53.81</v>
      </c>
      <c r="D24" s="8">
        <v>42929.916666666664</v>
      </c>
      <c r="E24" s="172">
        <v>0.5</v>
      </c>
      <c r="F24" s="172" t="s">
        <v>477</v>
      </c>
      <c r="G24" s="172">
        <v>283.37</v>
      </c>
      <c r="H24" s="172">
        <v>1.8E-3</v>
      </c>
      <c r="I24" s="172">
        <v>0.01</v>
      </c>
      <c r="J24" s="172" t="s">
        <v>529</v>
      </c>
      <c r="K24" s="172">
        <v>1017.2</v>
      </c>
      <c r="L24" s="172" t="s">
        <v>415</v>
      </c>
      <c r="M24" s="172">
        <v>73.75</v>
      </c>
      <c r="N24" s="172">
        <v>1500004800</v>
      </c>
      <c r="O24" s="172">
        <v>0</v>
      </c>
      <c r="P24" s="172">
        <v>10</v>
      </c>
      <c r="Q24" s="172">
        <v>159</v>
      </c>
      <c r="R24" s="172">
        <v>5.93</v>
      </c>
      <c r="S24" s="172">
        <v>4.49</v>
      </c>
    </row>
    <row r="25" spans="1:19" x14ac:dyDescent="0.25">
      <c r="A25" s="172">
        <v>71.349999999999994</v>
      </c>
      <c r="B25" s="172">
        <v>0.35</v>
      </c>
      <c r="C25" s="172">
        <v>54.32</v>
      </c>
      <c r="D25" s="8">
        <v>42929.958333333336</v>
      </c>
      <c r="E25" s="172">
        <v>0.55000000000000004</v>
      </c>
      <c r="F25" s="172" t="s">
        <v>477</v>
      </c>
      <c r="G25" s="172">
        <v>283.48</v>
      </c>
      <c r="H25" s="172">
        <v>0</v>
      </c>
      <c r="I25" s="172">
        <v>0</v>
      </c>
      <c r="J25" s="172"/>
      <c r="K25" s="172">
        <v>1017.6</v>
      </c>
      <c r="L25" s="172" t="s">
        <v>415</v>
      </c>
      <c r="M25" s="172">
        <v>71.349999999999994</v>
      </c>
      <c r="N25" s="172">
        <v>1500008400</v>
      </c>
      <c r="O25" s="172">
        <v>0</v>
      </c>
      <c r="P25" s="172">
        <v>10</v>
      </c>
      <c r="Q25" s="172">
        <v>187</v>
      </c>
      <c r="R25" s="172">
        <v>5.22</v>
      </c>
      <c r="S25" s="172">
        <v>4.95</v>
      </c>
    </row>
    <row r="26" spans="1:19" x14ac:dyDescent="0.25">
      <c r="A26" s="172">
        <v>69.569999999999993</v>
      </c>
      <c r="B26" s="172">
        <v>0.14000000000000001</v>
      </c>
      <c r="C26" s="172">
        <v>53.39</v>
      </c>
      <c r="D26" s="8">
        <v>42930</v>
      </c>
      <c r="E26" s="172">
        <v>0.56000000000000005</v>
      </c>
      <c r="F26" s="172" t="s">
        <v>857</v>
      </c>
      <c r="G26" s="172">
        <v>283.37</v>
      </c>
      <c r="H26" s="172">
        <v>0</v>
      </c>
      <c r="I26" s="172">
        <v>0</v>
      </c>
      <c r="J26" s="172"/>
      <c r="K26" s="172">
        <v>1017.93</v>
      </c>
      <c r="L26" s="172" t="s">
        <v>858</v>
      </c>
      <c r="M26" s="172">
        <v>69.569999999999993</v>
      </c>
      <c r="N26" s="172">
        <v>1500012000</v>
      </c>
      <c r="O26" s="172">
        <v>0</v>
      </c>
      <c r="P26" s="172">
        <v>10</v>
      </c>
      <c r="Q26" s="172">
        <v>194</v>
      </c>
      <c r="R26" s="172">
        <v>4.47</v>
      </c>
      <c r="S26" s="172">
        <v>4.4400000000000004</v>
      </c>
    </row>
    <row r="27" spans="1:19" x14ac:dyDescent="0.25">
      <c r="A27" s="172">
        <v>67.680000000000007</v>
      </c>
      <c r="B27" s="172">
        <v>0.11</v>
      </c>
      <c r="C27" s="172">
        <v>52.85</v>
      </c>
      <c r="D27" s="8">
        <v>42930.041666666664</v>
      </c>
      <c r="E27" s="172">
        <v>0.59</v>
      </c>
      <c r="F27" s="172" t="s">
        <v>857</v>
      </c>
      <c r="G27" s="172">
        <v>283.25</v>
      </c>
      <c r="H27" s="172">
        <v>0</v>
      </c>
      <c r="I27" s="172">
        <v>0</v>
      </c>
      <c r="J27" s="172"/>
      <c r="K27" s="172">
        <v>1018.19</v>
      </c>
      <c r="L27" s="172" t="s">
        <v>858</v>
      </c>
      <c r="M27" s="172">
        <v>67.680000000000007</v>
      </c>
      <c r="N27" s="172">
        <v>1500015600</v>
      </c>
      <c r="O27" s="172">
        <v>0</v>
      </c>
      <c r="P27" s="172">
        <v>10</v>
      </c>
      <c r="Q27" s="172">
        <v>207</v>
      </c>
      <c r="R27" s="172">
        <v>3.97</v>
      </c>
      <c r="S27" s="172">
        <v>3.67</v>
      </c>
    </row>
    <row r="28" spans="1:19" x14ac:dyDescent="0.25">
      <c r="A28" s="172">
        <v>66.64</v>
      </c>
      <c r="B28" s="172">
        <v>0.06</v>
      </c>
      <c r="C28" s="172">
        <v>52.59</v>
      </c>
      <c r="D28" s="8">
        <v>42930.083333333336</v>
      </c>
      <c r="E28" s="172">
        <v>0.61</v>
      </c>
      <c r="F28" s="172" t="s">
        <v>857</v>
      </c>
      <c r="G28" s="172">
        <v>283.02</v>
      </c>
      <c r="H28" s="172">
        <v>0</v>
      </c>
      <c r="I28" s="172">
        <v>0</v>
      </c>
      <c r="J28" s="172"/>
      <c r="K28" s="172">
        <v>1018.34</v>
      </c>
      <c r="L28" s="172" t="s">
        <v>858</v>
      </c>
      <c r="M28" s="172">
        <v>66.64</v>
      </c>
      <c r="N28" s="172">
        <v>1500019200</v>
      </c>
      <c r="O28" s="172">
        <v>0</v>
      </c>
      <c r="P28" s="172">
        <v>10</v>
      </c>
      <c r="Q28" s="172">
        <v>228</v>
      </c>
      <c r="R28" s="172">
        <v>3.36</v>
      </c>
      <c r="S28" s="172">
        <v>2.82</v>
      </c>
    </row>
    <row r="29" spans="1:19" x14ac:dyDescent="0.25">
      <c r="A29" s="172">
        <v>65.92</v>
      </c>
      <c r="B29" s="172">
        <v>0.03</v>
      </c>
      <c r="C29" s="172">
        <v>52.17</v>
      </c>
      <c r="D29" s="8">
        <v>42930.125</v>
      </c>
      <c r="E29" s="172">
        <v>0.61</v>
      </c>
      <c r="F29" s="172" t="s">
        <v>857</v>
      </c>
      <c r="G29" s="172">
        <v>282.8</v>
      </c>
      <c r="H29" s="172">
        <v>0</v>
      </c>
      <c r="I29" s="172">
        <v>0</v>
      </c>
      <c r="J29" s="172"/>
      <c r="K29" s="172">
        <v>1018.49</v>
      </c>
      <c r="L29" s="172" t="s">
        <v>858</v>
      </c>
      <c r="M29" s="172">
        <v>65.92</v>
      </c>
      <c r="N29" s="172">
        <v>1500022800</v>
      </c>
      <c r="O29" s="172">
        <v>0</v>
      </c>
      <c r="P29" s="172">
        <v>10</v>
      </c>
      <c r="Q29" s="172">
        <v>214</v>
      </c>
      <c r="R29" s="172">
        <v>5.19</v>
      </c>
      <c r="S29" s="172">
        <v>2.73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42929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407</v>
      </c>
      <c r="AE2" s="56" t="s">
        <v>410</v>
      </c>
      <c r="AF2" s="56" t="s">
        <v>411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409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1018</v>
      </c>
      <c r="J20" s="140" t="s">
        <v>87</v>
      </c>
      <c r="M20" s="154" t="s">
        <v>355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1019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1023</v>
      </c>
      <c r="J25" s="140" t="s">
        <v>146</v>
      </c>
      <c r="M25" s="154" t="b">
        <v>1</v>
      </c>
    </row>
    <row r="26" spans="3:24" x14ac:dyDescent="0.25">
      <c r="C26" t="s">
        <v>1024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C:\Users\stu\Documents\GitHub\eaglep3-reporting\EC\2017-07-13-refined-times.txt</v>
      </c>
    </row>
    <row r="27" spans="3:24" x14ac:dyDescent="0.25">
      <c r="C27" t="s">
        <v>611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C:\Users\stu\Documents\GitHub\eaglep3-reporting\EC\2017-07-13-Enforcements.txt</v>
      </c>
    </row>
    <row r="28" spans="3:24" x14ac:dyDescent="0.25">
      <c r="C28" t="s">
        <v>1025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C:\Users\stu\Documents\GitHub\eaglep3-reporting\EC\2017-07-13-Runs-refined.txt</v>
      </c>
    </row>
    <row r="29" spans="3:24" x14ac:dyDescent="0.25">
      <c r="C29" t="s">
        <v>612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C:\Users\stu\Documents\GitHub\eaglep3-reporting\EC\2017-07-13-Trips.txt</v>
      </c>
    </row>
    <row r="30" spans="3:24" x14ac:dyDescent="0.25">
      <c r="C30" t="s">
        <v>1026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C:\Users\stu\Documents\GitHub\eaglep3-reporting\EC\2017-07-13-Weather.txt</v>
      </c>
    </row>
    <row r="31" spans="3:24" x14ac:dyDescent="0.25">
      <c r="C31" t="s">
        <v>1027</v>
      </c>
      <c r="J31" s="140" t="s">
        <v>194</v>
      </c>
      <c r="M31" s="154" t="s">
        <v>195</v>
      </c>
    </row>
    <row r="32" spans="3:24" x14ac:dyDescent="0.25">
      <c r="C32" t="s">
        <v>1028</v>
      </c>
    </row>
    <row r="33" spans="3:3" x14ac:dyDescent="0.25">
      <c r="C33" t="s">
        <v>1029</v>
      </c>
    </row>
    <row r="34" spans="3:3" x14ac:dyDescent="0.25">
      <c r="C34" t="s">
        <v>1030</v>
      </c>
    </row>
    <row r="35" spans="3:3" x14ac:dyDescent="0.25">
      <c r="C35" t="s">
        <v>1031</v>
      </c>
    </row>
    <row r="36" spans="3:3" x14ac:dyDescent="0.25">
      <c r="C36" t="s">
        <v>1032</v>
      </c>
    </row>
    <row r="37" spans="3:3" x14ac:dyDescent="0.25">
      <c r="C37" t="s">
        <v>1033</v>
      </c>
    </row>
    <row r="38" spans="3:3" x14ac:dyDescent="0.25">
      <c r="C38" t="s">
        <v>1034</v>
      </c>
    </row>
    <row r="39" spans="3:3" x14ac:dyDescent="0.25">
      <c r="C39" t="s">
        <v>1035</v>
      </c>
    </row>
    <row r="40" spans="3:3" x14ac:dyDescent="0.25">
      <c r="C40" t="s">
        <v>1036</v>
      </c>
    </row>
    <row r="41" spans="3:3" x14ac:dyDescent="0.25">
      <c r="C41" t="s">
        <v>1037</v>
      </c>
    </row>
    <row r="42" spans="3:3" x14ac:dyDescent="0.25">
      <c r="C42" t="s">
        <v>1038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340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341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2017-07-14T18:53:57Z</dcterms:modified>
</cp:coreProperties>
</file>