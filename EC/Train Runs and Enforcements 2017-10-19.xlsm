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Enforcements!$A$6:$AC$40</definedName>
    <definedName name="_xlnm._FilterDatabase" localSheetId="2" hidden="1">'Missing Trips'!$A$2:$J$26</definedName>
    <definedName name="_xlnm._FilterDatabase" localSheetId="0" hidden="1">'Train Runs'!$A$12:$AG$396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L213" i="1" s="1"/>
  <c r="G276" i="4"/>
  <c r="G277" i="4"/>
  <c r="G278" i="4"/>
  <c r="G279" i="4"/>
  <c r="L203" i="1" s="1"/>
  <c r="G280" i="4"/>
  <c r="G281" i="4"/>
  <c r="G282" i="4"/>
  <c r="G283" i="4"/>
  <c r="N14" i="3" s="1"/>
  <c r="G284" i="4"/>
  <c r="G285" i="4"/>
  <c r="G286" i="4"/>
  <c r="G287" i="4"/>
  <c r="G288" i="4"/>
  <c r="L204" i="1" s="1"/>
  <c r="G289" i="4"/>
  <c r="G290" i="4"/>
  <c r="G291" i="4"/>
  <c r="G292" i="4"/>
  <c r="G293" i="4"/>
  <c r="L207" i="1" s="1"/>
  <c r="G294" i="4"/>
  <c r="G295" i="4"/>
  <c r="G296" i="4"/>
  <c r="G297" i="4"/>
  <c r="G298" i="4"/>
  <c r="G299" i="4"/>
  <c r="G300" i="4"/>
  <c r="G301" i="4"/>
  <c r="L227" i="1" s="1"/>
  <c r="G302" i="4"/>
  <c r="G303" i="4"/>
  <c r="G304" i="4"/>
  <c r="G305" i="4"/>
  <c r="G306" i="4"/>
  <c r="G307" i="4"/>
  <c r="L221" i="1" s="1"/>
  <c r="G308" i="4"/>
  <c r="G309" i="4"/>
  <c r="L215" i="1" s="1"/>
  <c r="G310" i="4"/>
  <c r="G311" i="4"/>
  <c r="G312" i="4"/>
  <c r="L219" i="1" s="1"/>
  <c r="G313" i="4"/>
  <c r="K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AN207" i="1"/>
  <c r="AO207" i="1"/>
  <c r="K203" i="1"/>
  <c r="M203" i="1"/>
  <c r="N203" i="1" s="1"/>
  <c r="V203" i="1"/>
  <c r="AA203" i="1"/>
  <c r="AB203" i="1"/>
  <c r="AC203" i="1"/>
  <c r="AD203" i="1"/>
  <c r="T203" i="1" s="1"/>
  <c r="AE203" i="1"/>
  <c r="AF203" i="1"/>
  <c r="AH203" i="1"/>
  <c r="AM203" i="1"/>
  <c r="AN203" i="1"/>
  <c r="AO203" i="1"/>
  <c r="K164" i="1"/>
  <c r="L164" i="1"/>
  <c r="M164" i="1"/>
  <c r="N164" i="1" s="1"/>
  <c r="V164" i="1"/>
  <c r="S24" i="3" s="1"/>
  <c r="AA164" i="1"/>
  <c r="AB164" i="1"/>
  <c r="AC164" i="1"/>
  <c r="AD164" i="1"/>
  <c r="T164" i="1" s="1"/>
  <c r="AE164" i="1"/>
  <c r="R24" i="3" s="1"/>
  <c r="AF164" i="1"/>
  <c r="AH164" i="1"/>
  <c r="AM164" i="1"/>
  <c r="AN164" i="1"/>
  <c r="AO164" i="1"/>
  <c r="X160" i="1"/>
  <c r="K160" i="1"/>
  <c r="L160" i="1"/>
  <c r="M160" i="1"/>
  <c r="N160" i="1"/>
  <c r="V160" i="1"/>
  <c r="S23" i="3" s="1"/>
  <c r="AA160" i="1"/>
  <c r="AB160" i="1"/>
  <c r="AC160" i="1"/>
  <c r="AD160" i="1"/>
  <c r="T160" i="1" s="1"/>
  <c r="AE160" i="1"/>
  <c r="R17" i="3" s="1"/>
  <c r="AF160" i="1"/>
  <c r="AH160" i="1"/>
  <c r="AM160" i="1"/>
  <c r="AN160" i="1"/>
  <c r="AO160" i="1"/>
  <c r="K158" i="1"/>
  <c r="M158" i="1"/>
  <c r="N158" i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41" i="1"/>
  <c r="K141" i="1"/>
  <c r="M141" i="1"/>
  <c r="N141" i="1" s="1"/>
  <c r="V141" i="1"/>
  <c r="AA141" i="1"/>
  <c r="AB141" i="1"/>
  <c r="AC141" i="1"/>
  <c r="AD141" i="1"/>
  <c r="T141" i="1" s="1"/>
  <c r="AE141" i="1"/>
  <c r="AF141" i="1"/>
  <c r="AH141" i="1"/>
  <c r="AM141" i="1"/>
  <c r="AN141" i="1"/>
  <c r="AO141" i="1"/>
  <c r="K29" i="1"/>
  <c r="L29" i="1"/>
  <c r="M29" i="1"/>
  <c r="N29" i="1" s="1"/>
  <c r="V29" i="1"/>
  <c r="AA29" i="1"/>
  <c r="AB29" i="1"/>
  <c r="AC29" i="1"/>
  <c r="AD29" i="1"/>
  <c r="T29" i="1" s="1"/>
  <c r="AE29" i="1"/>
  <c r="AF29" i="1"/>
  <c r="AH29" i="1"/>
  <c r="AM29" i="1"/>
  <c r="AN29" i="1"/>
  <c r="AO2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R15" i="3" s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X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AA53" i="1" s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AA57" i="1" s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S10" i="3" s="1"/>
  <c r="Y59" i="1"/>
  <c r="Z59" i="1"/>
  <c r="AB59" i="1"/>
  <c r="AC59" i="1"/>
  <c r="AD59" i="1"/>
  <c r="AE59" i="1"/>
  <c r="R10" i="3" s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R11" i="3" s="1"/>
  <c r="AF60" i="1"/>
  <c r="AH60" i="1"/>
  <c r="AM60" i="1"/>
  <c r="AN60" i="1"/>
  <c r="AO60" i="1"/>
  <c r="K61" i="1"/>
  <c r="L61" i="1"/>
  <c r="M61" i="1"/>
  <c r="N61" i="1" s="1"/>
  <c r="V61" i="1"/>
  <c r="Y61" i="1"/>
  <c r="AA61" i="1" s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AA63" i="1" s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AA65" i="1" s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AA69" i="1" s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AA73" i="1" s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S7" i="3" s="1"/>
  <c r="Y76" i="1"/>
  <c r="Z76" i="1"/>
  <c r="AB76" i="1"/>
  <c r="AC76" i="1"/>
  <c r="AD76" i="1"/>
  <c r="AE76" i="1"/>
  <c r="R7" i="3" s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AA78" i="1" s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12" i="3" s="1"/>
  <c r="Y86" i="1"/>
  <c r="Z86" i="1"/>
  <c r="AB86" i="1"/>
  <c r="AC86" i="1"/>
  <c r="AD86" i="1"/>
  <c r="AE86" i="1"/>
  <c r="R12" i="3" s="1"/>
  <c r="AF86" i="1"/>
  <c r="AH86" i="1"/>
  <c r="AM86" i="1"/>
  <c r="AN86" i="1"/>
  <c r="AO86" i="1"/>
  <c r="K87" i="1"/>
  <c r="L87" i="1"/>
  <c r="M87" i="1"/>
  <c r="N87" i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/>
  <c r="V88" i="1"/>
  <c r="Y88" i="1"/>
  <c r="Z88" i="1"/>
  <c r="AA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S9" i="3" s="1"/>
  <c r="Y94" i="1"/>
  <c r="Z94" i="1"/>
  <c r="AB94" i="1"/>
  <c r="AC94" i="1"/>
  <c r="AD94" i="1"/>
  <c r="AE94" i="1"/>
  <c r="R9" i="3" s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S16" i="3" s="1"/>
  <c r="Y99" i="1"/>
  <c r="Z99" i="1"/>
  <c r="AA99" i="1" s="1"/>
  <c r="AB99" i="1"/>
  <c r="AC99" i="1"/>
  <c r="AD99" i="1"/>
  <c r="AE99" i="1"/>
  <c r="R16" i="3" s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/>
  <c r="V112" i="1"/>
  <c r="Y112" i="1"/>
  <c r="Z112" i="1"/>
  <c r="AA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AA122" i="1" s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AA126" i="1" s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V129" i="1"/>
  <c r="S13" i="3" s="1"/>
  <c r="Y129" i="1"/>
  <c r="Z129" i="1"/>
  <c r="AB129" i="1"/>
  <c r="AC129" i="1"/>
  <c r="AD129" i="1"/>
  <c r="AE129" i="1"/>
  <c r="R13" i="3" s="1"/>
  <c r="AF129" i="1"/>
  <c r="AH129" i="1"/>
  <c r="AM129" i="1"/>
  <c r="AN129" i="1"/>
  <c r="AO129" i="1"/>
  <c r="K130" i="1"/>
  <c r="L130" i="1"/>
  <c r="M130" i="1"/>
  <c r="P130" i="1" s="1"/>
  <c r="V130" i="1"/>
  <c r="Y130" i="1"/>
  <c r="AA130" i="1" s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/>
  <c r="AB134" i="1"/>
  <c r="AC134" i="1"/>
  <c r="AD134" i="1"/>
  <c r="AE134" i="1"/>
  <c r="AF134" i="1"/>
  <c r="AH134" i="1"/>
  <c r="AM134" i="1"/>
  <c r="AN134" i="1"/>
  <c r="AO134" i="1"/>
  <c r="K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M140" i="1"/>
  <c r="N140" i="1" s="1"/>
  <c r="V140" i="1"/>
  <c r="S14" i="3" s="1"/>
  <c r="Y140" i="1"/>
  <c r="Z140" i="1"/>
  <c r="AB140" i="1"/>
  <c r="AC140" i="1"/>
  <c r="AD140" i="1"/>
  <c r="AE140" i="1"/>
  <c r="R14" i="3" s="1"/>
  <c r="AF140" i="1"/>
  <c r="AH140" i="1"/>
  <c r="AM140" i="1"/>
  <c r="AN140" i="1"/>
  <c r="AO140" i="1"/>
  <c r="K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M146" i="1"/>
  <c r="N146" i="1" s="1"/>
  <c r="V146" i="1"/>
  <c r="Y146" i="1"/>
  <c r="AA146" i="1" s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AO149" i="1"/>
  <c r="K150" i="1"/>
  <c r="M150" i="1"/>
  <c r="N150" i="1" s="1"/>
  <c r="T150" i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AO150" i="1"/>
  <c r="K151" i="1"/>
  <c r="M151" i="1"/>
  <c r="N151" i="1" s="1"/>
  <c r="V151" i="1"/>
  <c r="Y151" i="1"/>
  <c r="Z151" i="1"/>
  <c r="AB151" i="1"/>
  <c r="AC151" i="1"/>
  <c r="AD151" i="1"/>
  <c r="X152" i="1" s="1"/>
  <c r="AE151" i="1"/>
  <c r="AF151" i="1"/>
  <c r="AH151" i="1"/>
  <c r="AM151" i="1"/>
  <c r="AN151" i="1"/>
  <c r="AO151" i="1"/>
  <c r="K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52" i="1"/>
  <c r="AM152" i="1"/>
  <c r="AN152" i="1"/>
  <c r="AO152" i="1"/>
  <c r="K153" i="1"/>
  <c r="M153" i="1"/>
  <c r="N153" i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M155" i="1"/>
  <c r="N155" i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AO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AO166" i="1"/>
  <c r="K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167" i="1"/>
  <c r="AM167" i="1"/>
  <c r="AN167" i="1"/>
  <c r="AO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AO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AM169" i="1"/>
  <c r="AN169" i="1"/>
  <c r="AO169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170" i="1"/>
  <c r="AM170" i="1"/>
  <c r="AN170" i="1"/>
  <c r="AO170" i="1"/>
  <c r="K219" i="1"/>
  <c r="M219" i="1"/>
  <c r="N219" i="1"/>
  <c r="V219" i="1"/>
  <c r="Y219" i="1"/>
  <c r="Z219" i="1"/>
  <c r="AA219" i="1"/>
  <c r="AB219" i="1"/>
  <c r="AC219" i="1"/>
  <c r="AD219" i="1"/>
  <c r="AE219" i="1"/>
  <c r="AF219" i="1"/>
  <c r="AH171" i="1"/>
  <c r="AM171" i="1"/>
  <c r="AN171" i="1"/>
  <c r="AO171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2" i="1"/>
  <c r="AM172" i="1"/>
  <c r="AN172" i="1"/>
  <c r="AO172" i="1"/>
  <c r="K221" i="1"/>
  <c r="M221" i="1"/>
  <c r="N221" i="1" s="1"/>
  <c r="V221" i="1"/>
  <c r="Y221" i="1"/>
  <c r="Z221" i="1"/>
  <c r="AB221" i="1"/>
  <c r="AC221" i="1"/>
  <c r="AD221" i="1"/>
  <c r="AE221" i="1"/>
  <c r="AF221" i="1"/>
  <c r="AH173" i="1"/>
  <c r="AM173" i="1"/>
  <c r="AN173" i="1"/>
  <c r="AO173" i="1"/>
  <c r="K228" i="1"/>
  <c r="L228" i="1"/>
  <c r="M228" i="1"/>
  <c r="N228" i="1" s="1"/>
  <c r="V228" i="1"/>
  <c r="Y228" i="1"/>
  <c r="Z228" i="1"/>
  <c r="AA228" i="1" s="1"/>
  <c r="AB228" i="1"/>
  <c r="AC228" i="1"/>
  <c r="AD228" i="1"/>
  <c r="AE228" i="1"/>
  <c r="AF228" i="1"/>
  <c r="AH174" i="1"/>
  <c r="AM174" i="1"/>
  <c r="AN174" i="1"/>
  <c r="AO174" i="1"/>
  <c r="K229" i="1"/>
  <c r="L229" i="1"/>
  <c r="M229" i="1"/>
  <c r="N229" i="1" s="1"/>
  <c r="V229" i="1"/>
  <c r="Y229" i="1"/>
  <c r="Z229" i="1"/>
  <c r="AA229" i="1" s="1"/>
  <c r="AB229" i="1"/>
  <c r="AC229" i="1"/>
  <c r="AD229" i="1"/>
  <c r="AE229" i="1"/>
  <c r="AF229" i="1"/>
  <c r="AH175" i="1"/>
  <c r="AM175" i="1"/>
  <c r="AN175" i="1"/>
  <c r="AO17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6" i="1"/>
  <c r="AM176" i="1"/>
  <c r="AN176" i="1"/>
  <c r="AO176" i="1"/>
  <c r="K231" i="1"/>
  <c r="L231" i="1"/>
  <c r="M231" i="1"/>
  <c r="N231" i="1" s="1"/>
  <c r="V231" i="1"/>
  <c r="S34" i="3" s="1"/>
  <c r="Y231" i="1"/>
  <c r="Z231" i="1"/>
  <c r="AB231" i="1"/>
  <c r="AC231" i="1"/>
  <c r="AD231" i="1"/>
  <c r="AE231" i="1"/>
  <c r="R34" i="3" s="1"/>
  <c r="AF231" i="1"/>
  <c r="AH177" i="1"/>
  <c r="AM177" i="1"/>
  <c r="AN177" i="1"/>
  <c r="AO177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8" i="1"/>
  <c r="AM178" i="1"/>
  <c r="AN178" i="1"/>
  <c r="AO178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0" i="1"/>
  <c r="AM180" i="1"/>
  <c r="AN180" i="1"/>
  <c r="AO180" i="1"/>
  <c r="K235" i="1"/>
  <c r="L235" i="1"/>
  <c r="M235" i="1"/>
  <c r="N235" i="1" s="1"/>
  <c r="V235" i="1"/>
  <c r="Y235" i="1"/>
  <c r="Z235" i="1"/>
  <c r="AB235" i="1"/>
  <c r="AC235" i="1"/>
  <c r="AD235" i="1"/>
  <c r="AE235" i="1"/>
  <c r="R33" i="3" s="1"/>
  <c r="AF235" i="1"/>
  <c r="AH181" i="1"/>
  <c r="AM181" i="1"/>
  <c r="AN181" i="1"/>
  <c r="AO181" i="1"/>
  <c r="K236" i="1"/>
  <c r="L236" i="1"/>
  <c r="M236" i="1"/>
  <c r="N236" i="1" s="1"/>
  <c r="V236" i="1"/>
  <c r="S36" i="3" s="1"/>
  <c r="Y236" i="1"/>
  <c r="Z236" i="1"/>
  <c r="AA236" i="1" s="1"/>
  <c r="AB236" i="1"/>
  <c r="AC236" i="1"/>
  <c r="AD236" i="1"/>
  <c r="AE236" i="1"/>
  <c r="R36" i="3" s="1"/>
  <c r="AF236" i="1"/>
  <c r="AH182" i="1"/>
  <c r="AM182" i="1"/>
  <c r="AN182" i="1"/>
  <c r="AO182" i="1"/>
  <c r="K237" i="1"/>
  <c r="L237" i="1"/>
  <c r="M237" i="1"/>
  <c r="N237" i="1" s="1"/>
  <c r="V237" i="1"/>
  <c r="Y237" i="1"/>
  <c r="Z237" i="1"/>
  <c r="AA237" i="1" s="1"/>
  <c r="AB237" i="1"/>
  <c r="AC237" i="1"/>
  <c r="AD237" i="1"/>
  <c r="AE237" i="1"/>
  <c r="AF237" i="1"/>
  <c r="AH183" i="1"/>
  <c r="AM183" i="1"/>
  <c r="AN183" i="1"/>
  <c r="AO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AO184" i="1"/>
  <c r="K239" i="1"/>
  <c r="L239" i="1"/>
  <c r="M239" i="1"/>
  <c r="N239" i="1" s="1"/>
  <c r="V239" i="1"/>
  <c r="S35" i="3" s="1"/>
  <c r="Y239" i="1"/>
  <c r="Z239" i="1"/>
  <c r="AB239" i="1"/>
  <c r="AC239" i="1"/>
  <c r="AD239" i="1"/>
  <c r="AE239" i="1"/>
  <c r="R35" i="3" s="1"/>
  <c r="AF239" i="1"/>
  <c r="AH185" i="1"/>
  <c r="AM185" i="1"/>
  <c r="AN185" i="1"/>
  <c r="AO185" i="1"/>
  <c r="K240" i="1"/>
  <c r="L240" i="1"/>
  <c r="M240" i="1"/>
  <c r="N240" i="1"/>
  <c r="V240" i="1"/>
  <c r="Y240" i="1"/>
  <c r="Z240" i="1"/>
  <c r="AA240" i="1"/>
  <c r="AB240" i="1"/>
  <c r="AC240" i="1"/>
  <c r="AD240" i="1"/>
  <c r="AE240" i="1"/>
  <c r="AF240" i="1"/>
  <c r="AH186" i="1"/>
  <c r="AM186" i="1"/>
  <c r="AN186" i="1"/>
  <c r="AO186" i="1"/>
  <c r="K241" i="1"/>
  <c r="L241" i="1"/>
  <c r="M241" i="1"/>
  <c r="N241" i="1" s="1"/>
  <c r="V241" i="1"/>
  <c r="Y241" i="1"/>
  <c r="Z241" i="1"/>
  <c r="AA241" i="1" s="1"/>
  <c r="AB241" i="1"/>
  <c r="AC241" i="1"/>
  <c r="AD241" i="1"/>
  <c r="AE241" i="1"/>
  <c r="AF241" i="1"/>
  <c r="AH187" i="1"/>
  <c r="AM187" i="1"/>
  <c r="AN187" i="1"/>
  <c r="AO187" i="1"/>
  <c r="K242" i="1"/>
  <c r="L242" i="1"/>
  <c r="M242" i="1"/>
  <c r="N242" i="1" s="1"/>
  <c r="V242" i="1"/>
  <c r="Y242" i="1"/>
  <c r="Z242" i="1"/>
  <c r="AA242" i="1" s="1"/>
  <c r="AB242" i="1"/>
  <c r="AC242" i="1"/>
  <c r="AD242" i="1"/>
  <c r="AE242" i="1"/>
  <c r="AF242" i="1"/>
  <c r="AH188" i="1"/>
  <c r="AM188" i="1"/>
  <c r="AN188" i="1"/>
  <c r="AO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AO189" i="1"/>
  <c r="K244" i="1"/>
  <c r="L244" i="1"/>
  <c r="M244" i="1"/>
  <c r="N244" i="1"/>
  <c r="V244" i="1"/>
  <c r="Y244" i="1"/>
  <c r="Z244" i="1"/>
  <c r="AA244" i="1"/>
  <c r="AB244" i="1"/>
  <c r="AC244" i="1"/>
  <c r="AD244" i="1"/>
  <c r="AE244" i="1"/>
  <c r="AF244" i="1"/>
  <c r="AH190" i="1"/>
  <c r="AM190" i="1"/>
  <c r="AN190" i="1"/>
  <c r="AO190" i="1"/>
  <c r="K245" i="1"/>
  <c r="L245" i="1"/>
  <c r="M245" i="1"/>
  <c r="N245" i="1" s="1"/>
  <c r="V245" i="1"/>
  <c r="Y245" i="1"/>
  <c r="Z245" i="1"/>
  <c r="AA245" i="1" s="1"/>
  <c r="AB245" i="1"/>
  <c r="AC245" i="1"/>
  <c r="AD245" i="1"/>
  <c r="AE245" i="1"/>
  <c r="AF245" i="1"/>
  <c r="AH191" i="1"/>
  <c r="AM191" i="1"/>
  <c r="AN191" i="1"/>
  <c r="AO191" i="1"/>
  <c r="K159" i="1"/>
  <c r="L159" i="1"/>
  <c r="M159" i="1"/>
  <c r="N159" i="1" s="1"/>
  <c r="V159" i="1"/>
  <c r="Y159" i="1"/>
  <c r="Z159" i="1"/>
  <c r="AA159" i="1" s="1"/>
  <c r="AB159" i="1"/>
  <c r="AC159" i="1"/>
  <c r="AD159" i="1"/>
  <c r="X159" i="1" s="1"/>
  <c r="AE159" i="1"/>
  <c r="AF159" i="1"/>
  <c r="AH192" i="1"/>
  <c r="AM192" i="1"/>
  <c r="AN192" i="1"/>
  <c r="AO192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93" i="1"/>
  <c r="AM193" i="1"/>
  <c r="AN193" i="1"/>
  <c r="AO193" i="1"/>
  <c r="K162" i="1"/>
  <c r="L162" i="1"/>
  <c r="M162" i="1"/>
  <c r="N162" i="1"/>
  <c r="V162" i="1"/>
  <c r="Y162" i="1"/>
  <c r="Z162" i="1"/>
  <c r="AA162" i="1"/>
  <c r="AB162" i="1"/>
  <c r="AC162" i="1"/>
  <c r="AD162" i="1"/>
  <c r="X162" i="1" s="1"/>
  <c r="AE162" i="1"/>
  <c r="AF162" i="1"/>
  <c r="AH194" i="1"/>
  <c r="AM194" i="1"/>
  <c r="AN194" i="1"/>
  <c r="AO194" i="1"/>
  <c r="K163" i="1"/>
  <c r="L163" i="1"/>
  <c r="M163" i="1"/>
  <c r="N163" i="1" s="1"/>
  <c r="V163" i="1"/>
  <c r="Y163" i="1"/>
  <c r="Z163" i="1"/>
  <c r="AA163" i="1" s="1"/>
  <c r="AB163" i="1"/>
  <c r="AC163" i="1"/>
  <c r="AD163" i="1"/>
  <c r="X163" i="1" s="1"/>
  <c r="AE163" i="1"/>
  <c r="AF163" i="1"/>
  <c r="AH195" i="1"/>
  <c r="AM195" i="1"/>
  <c r="AN195" i="1"/>
  <c r="AO195" i="1"/>
  <c r="K165" i="1"/>
  <c r="L165" i="1"/>
  <c r="M165" i="1"/>
  <c r="N165" i="1" s="1"/>
  <c r="V165" i="1"/>
  <c r="S21" i="3" s="1"/>
  <c r="Y165" i="1"/>
  <c r="Z165" i="1"/>
  <c r="AA165" i="1"/>
  <c r="AB165" i="1"/>
  <c r="AC165" i="1"/>
  <c r="AD165" i="1"/>
  <c r="T165" i="1" s="1"/>
  <c r="AE165" i="1"/>
  <c r="AF165" i="1"/>
  <c r="AH196" i="1"/>
  <c r="AM196" i="1"/>
  <c r="AN196" i="1"/>
  <c r="AO196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197" i="1"/>
  <c r="AM197" i="1"/>
  <c r="AN197" i="1"/>
  <c r="AO197" i="1"/>
  <c r="K167" i="1"/>
  <c r="L167" i="1"/>
  <c r="M167" i="1"/>
  <c r="N167" i="1"/>
  <c r="V167" i="1"/>
  <c r="Y167" i="1"/>
  <c r="Z167" i="1"/>
  <c r="AA167" i="1" s="1"/>
  <c r="AB167" i="1"/>
  <c r="AC167" i="1"/>
  <c r="AD167" i="1"/>
  <c r="T167" i="1" s="1"/>
  <c r="AE167" i="1"/>
  <c r="AF167" i="1"/>
  <c r="AH198" i="1"/>
  <c r="AM198" i="1"/>
  <c r="AN198" i="1"/>
  <c r="AO198" i="1"/>
  <c r="K168" i="1"/>
  <c r="L168" i="1"/>
  <c r="M168" i="1"/>
  <c r="P168" i="1" s="1"/>
  <c r="V168" i="1"/>
  <c r="Y168" i="1"/>
  <c r="Z168" i="1"/>
  <c r="AA168" i="1" s="1"/>
  <c r="AB168" i="1"/>
  <c r="AC168" i="1"/>
  <c r="AD168" i="1"/>
  <c r="T168" i="1" s="1"/>
  <c r="AE168" i="1"/>
  <c r="R18" i="3" s="1"/>
  <c r="AF168" i="1"/>
  <c r="AH199" i="1"/>
  <c r="AM199" i="1"/>
  <c r="AN199" i="1"/>
  <c r="AO199" i="1"/>
  <c r="K169" i="1"/>
  <c r="L169" i="1"/>
  <c r="M169" i="1"/>
  <c r="V169" i="1"/>
  <c r="Y169" i="1"/>
  <c r="Z169" i="1"/>
  <c r="AB169" i="1"/>
  <c r="AC169" i="1"/>
  <c r="AD169" i="1"/>
  <c r="T169" i="1" s="1"/>
  <c r="AE169" i="1"/>
  <c r="AF169" i="1"/>
  <c r="AH200" i="1"/>
  <c r="AM200" i="1"/>
  <c r="AN200" i="1"/>
  <c r="AO200" i="1"/>
  <c r="K170" i="1"/>
  <c r="L170" i="1"/>
  <c r="M170" i="1"/>
  <c r="N170" i="1" s="1"/>
  <c r="T170" i="1"/>
  <c r="V170" i="1"/>
  <c r="Y170" i="1"/>
  <c r="AA170" i="1" s="1"/>
  <c r="Z170" i="1"/>
  <c r="AB170" i="1"/>
  <c r="AC170" i="1"/>
  <c r="AD170" i="1"/>
  <c r="AE170" i="1"/>
  <c r="AF170" i="1"/>
  <c r="AH201" i="1"/>
  <c r="AM201" i="1"/>
  <c r="AN201" i="1"/>
  <c r="AO201" i="1"/>
  <c r="K171" i="1"/>
  <c r="L171" i="1"/>
  <c r="M171" i="1"/>
  <c r="N171" i="1" s="1"/>
  <c r="V171" i="1"/>
  <c r="Y171" i="1"/>
  <c r="AA171" i="1" s="1"/>
  <c r="Z171" i="1"/>
  <c r="AB171" i="1"/>
  <c r="AC171" i="1"/>
  <c r="AD171" i="1"/>
  <c r="T171" i="1" s="1"/>
  <c r="AE171" i="1"/>
  <c r="AF171" i="1"/>
  <c r="AH202" i="1"/>
  <c r="AM202" i="1"/>
  <c r="AN202" i="1"/>
  <c r="AO20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4" i="1"/>
  <c r="AM204" i="1"/>
  <c r="AN204" i="1"/>
  <c r="AO204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205" i="1"/>
  <c r="AM205" i="1"/>
  <c r="AN205" i="1"/>
  <c r="AO205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06" i="1"/>
  <c r="AM206" i="1"/>
  <c r="AN206" i="1"/>
  <c r="AO206" i="1"/>
  <c r="K175" i="1"/>
  <c r="L175" i="1"/>
  <c r="M175" i="1"/>
  <c r="N175" i="1" s="1"/>
  <c r="V175" i="1"/>
  <c r="S26" i="3" s="1"/>
  <c r="Y175" i="1"/>
  <c r="Z175" i="1"/>
  <c r="AA175" i="1" s="1"/>
  <c r="AB175" i="1"/>
  <c r="AC175" i="1"/>
  <c r="AD175" i="1"/>
  <c r="X175" i="1" s="1"/>
  <c r="AE175" i="1"/>
  <c r="R26" i="3" s="1"/>
  <c r="AF175" i="1"/>
  <c r="AH208" i="1"/>
  <c r="AM208" i="1"/>
  <c r="AN208" i="1"/>
  <c r="AO2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9" i="1"/>
  <c r="AM209" i="1"/>
  <c r="AN209" i="1"/>
  <c r="AO20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0" i="1"/>
  <c r="AM210" i="1"/>
  <c r="AN210" i="1"/>
  <c r="AO210" i="1"/>
  <c r="K178" i="1"/>
  <c r="L178" i="1"/>
  <c r="M178" i="1"/>
  <c r="N178" i="1" s="1"/>
  <c r="T178" i="1"/>
  <c r="V178" i="1"/>
  <c r="Y178" i="1"/>
  <c r="Z178" i="1"/>
  <c r="AA178" i="1"/>
  <c r="AB178" i="1"/>
  <c r="AC178" i="1"/>
  <c r="AD178" i="1"/>
  <c r="AE178" i="1"/>
  <c r="AF178" i="1"/>
  <c r="AH211" i="1"/>
  <c r="AM211" i="1"/>
  <c r="AN211" i="1"/>
  <c r="AO211" i="1"/>
  <c r="K179" i="1"/>
  <c r="L179" i="1"/>
  <c r="M179" i="1"/>
  <c r="N179" i="1" s="1"/>
  <c r="V179" i="1"/>
  <c r="Y179" i="1"/>
  <c r="Z179" i="1"/>
  <c r="AA179" i="1"/>
  <c r="AB179" i="1"/>
  <c r="AC179" i="1"/>
  <c r="AD179" i="1"/>
  <c r="T179" i="1" s="1"/>
  <c r="AE179" i="1"/>
  <c r="AF179" i="1"/>
  <c r="AH212" i="1"/>
  <c r="AM212" i="1"/>
  <c r="AN212" i="1"/>
  <c r="AO21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3" i="1"/>
  <c r="AM213" i="1"/>
  <c r="AN213" i="1"/>
  <c r="AO2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4" i="1"/>
  <c r="AM214" i="1"/>
  <c r="AN214" i="1"/>
  <c r="AO214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15" i="1"/>
  <c r="AM215" i="1"/>
  <c r="AN215" i="1"/>
  <c r="AO21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6" i="1"/>
  <c r="AM216" i="1"/>
  <c r="AN216" i="1"/>
  <c r="AO216" i="1"/>
  <c r="K184" i="1"/>
  <c r="L184" i="1"/>
  <c r="M184" i="1"/>
  <c r="N184" i="1" s="1"/>
  <c r="V184" i="1"/>
  <c r="S22" i="3" s="1"/>
  <c r="Y184" i="1"/>
  <c r="Z184" i="1"/>
  <c r="AB184" i="1"/>
  <c r="AC184" i="1"/>
  <c r="AD184" i="1"/>
  <c r="T184" i="1" s="1"/>
  <c r="AE184" i="1"/>
  <c r="R22" i="3" s="1"/>
  <c r="AF184" i="1"/>
  <c r="AH217" i="1"/>
  <c r="AM217" i="1"/>
  <c r="AN217" i="1"/>
  <c r="AO217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18" i="1"/>
  <c r="AM218" i="1"/>
  <c r="AN218" i="1"/>
  <c r="AO218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9" i="1"/>
  <c r="AM219" i="1"/>
  <c r="AN219" i="1"/>
  <c r="AO219" i="1"/>
  <c r="K187" i="1"/>
  <c r="L187" i="1"/>
  <c r="M187" i="1"/>
  <c r="N187" i="1"/>
  <c r="V187" i="1"/>
  <c r="Y187" i="1"/>
  <c r="Z187" i="1"/>
  <c r="AB187" i="1"/>
  <c r="AC187" i="1"/>
  <c r="AD187" i="1"/>
  <c r="T187" i="1" s="1"/>
  <c r="AE187" i="1"/>
  <c r="AF187" i="1"/>
  <c r="AH220" i="1"/>
  <c r="AM220" i="1"/>
  <c r="AN220" i="1"/>
  <c r="AO22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1" i="1"/>
  <c r="AM221" i="1"/>
  <c r="AN221" i="1"/>
  <c r="AO221" i="1"/>
  <c r="K189" i="1"/>
  <c r="L189" i="1"/>
  <c r="M189" i="1"/>
  <c r="N189" i="1" s="1"/>
  <c r="T189" i="1"/>
  <c r="V189" i="1"/>
  <c r="Y189" i="1"/>
  <c r="Z189" i="1"/>
  <c r="AA189" i="1" s="1"/>
  <c r="AB189" i="1"/>
  <c r="AC189" i="1"/>
  <c r="AD189" i="1"/>
  <c r="X189" i="1" s="1"/>
  <c r="AE189" i="1"/>
  <c r="AF189" i="1"/>
  <c r="AH222" i="1"/>
  <c r="AM222" i="1"/>
  <c r="AN222" i="1"/>
  <c r="AO22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3" i="1"/>
  <c r="AM223" i="1"/>
  <c r="AN223" i="1"/>
  <c r="AO2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4" i="1"/>
  <c r="AM224" i="1"/>
  <c r="AN224" i="1"/>
  <c r="AO224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5" i="1"/>
  <c r="AM225" i="1"/>
  <c r="AN225" i="1"/>
  <c r="AO225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6" i="1"/>
  <c r="AM226" i="1"/>
  <c r="AN226" i="1"/>
  <c r="AO22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7" i="1"/>
  <c r="AM227" i="1"/>
  <c r="AN227" i="1"/>
  <c r="AO22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8" i="1"/>
  <c r="AM228" i="1"/>
  <c r="AN228" i="1"/>
  <c r="AO22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9" i="1"/>
  <c r="AM229" i="1"/>
  <c r="AN229" i="1"/>
  <c r="AO229" i="1"/>
  <c r="K197" i="1"/>
  <c r="L197" i="1"/>
  <c r="M197" i="1"/>
  <c r="N197" i="1" s="1"/>
  <c r="V197" i="1"/>
  <c r="S19" i="3" s="1"/>
  <c r="Y197" i="1"/>
  <c r="Z197" i="1"/>
  <c r="AB197" i="1"/>
  <c r="AC197" i="1"/>
  <c r="AD197" i="1"/>
  <c r="AE197" i="1"/>
  <c r="R19" i="3" s="1"/>
  <c r="AF197" i="1"/>
  <c r="AH230" i="1"/>
  <c r="AM230" i="1"/>
  <c r="AN230" i="1"/>
  <c r="AO23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31" i="1"/>
  <c r="AM231" i="1"/>
  <c r="AN231" i="1"/>
  <c r="AO23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2" i="1"/>
  <c r="AM232" i="1"/>
  <c r="AN232" i="1"/>
  <c r="AO232" i="1"/>
  <c r="K200" i="1"/>
  <c r="L200" i="1"/>
  <c r="M200" i="1"/>
  <c r="N200" i="1" s="1"/>
  <c r="V200" i="1"/>
  <c r="X200" i="1"/>
  <c r="Y200" i="1"/>
  <c r="Z200" i="1"/>
  <c r="AB200" i="1"/>
  <c r="AC200" i="1"/>
  <c r="AD200" i="1"/>
  <c r="T200" i="1" s="1"/>
  <c r="AE200" i="1"/>
  <c r="AF200" i="1"/>
  <c r="AH233" i="1"/>
  <c r="AM233" i="1"/>
  <c r="AN233" i="1"/>
  <c r="AO23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4" i="1"/>
  <c r="AM234" i="1"/>
  <c r="AN234" i="1"/>
  <c r="AO23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35" i="1"/>
  <c r="AM235" i="1"/>
  <c r="AN235" i="1"/>
  <c r="AO235" i="1"/>
  <c r="K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236" i="1"/>
  <c r="AM236" i="1"/>
  <c r="AN236" i="1"/>
  <c r="AO236" i="1"/>
  <c r="K205" i="1"/>
  <c r="L205" i="1"/>
  <c r="M205" i="1"/>
  <c r="N205" i="1" s="1"/>
  <c r="T205" i="1"/>
  <c r="V205" i="1"/>
  <c r="Y205" i="1"/>
  <c r="Z205" i="1"/>
  <c r="AA205" i="1" s="1"/>
  <c r="AB205" i="1"/>
  <c r="AC205" i="1"/>
  <c r="AD205" i="1"/>
  <c r="X205" i="1" s="1"/>
  <c r="AE205" i="1"/>
  <c r="AF205" i="1"/>
  <c r="AH237" i="1"/>
  <c r="AM237" i="1"/>
  <c r="AN237" i="1"/>
  <c r="AO237" i="1"/>
  <c r="K206" i="1"/>
  <c r="L206" i="1"/>
  <c r="M206" i="1"/>
  <c r="N206" i="1" s="1"/>
  <c r="T206" i="1"/>
  <c r="V206" i="1"/>
  <c r="Y206" i="1"/>
  <c r="Z206" i="1"/>
  <c r="AA206" i="1" s="1"/>
  <c r="AB206" i="1"/>
  <c r="AC206" i="1"/>
  <c r="AD206" i="1"/>
  <c r="X206" i="1" s="1"/>
  <c r="AE206" i="1"/>
  <c r="AF206" i="1"/>
  <c r="AH238" i="1"/>
  <c r="AM238" i="1"/>
  <c r="AN238" i="1"/>
  <c r="AO238" i="1"/>
  <c r="K208" i="1"/>
  <c r="L208" i="1"/>
  <c r="M208" i="1"/>
  <c r="N208" i="1" s="1"/>
  <c r="T208" i="1"/>
  <c r="V208" i="1"/>
  <c r="Y208" i="1"/>
  <c r="Z208" i="1"/>
  <c r="AA208" i="1" s="1"/>
  <c r="AB208" i="1"/>
  <c r="AC208" i="1"/>
  <c r="AD208" i="1"/>
  <c r="X208" i="1" s="1"/>
  <c r="AE208" i="1"/>
  <c r="AF208" i="1"/>
  <c r="AH239" i="1"/>
  <c r="AM239" i="1"/>
  <c r="AN239" i="1"/>
  <c r="AO239" i="1"/>
  <c r="K222" i="1"/>
  <c r="L222" i="1"/>
  <c r="M222" i="1"/>
  <c r="N222" i="1" s="1"/>
  <c r="V222" i="1"/>
  <c r="Y222" i="1"/>
  <c r="Z222" i="1"/>
  <c r="AB222" i="1"/>
  <c r="AC222" i="1"/>
  <c r="AD222" i="1"/>
  <c r="AE222" i="1"/>
  <c r="R31" i="3" s="1"/>
  <c r="AF222" i="1"/>
  <c r="AH240" i="1"/>
  <c r="AM240" i="1"/>
  <c r="AN240" i="1"/>
  <c r="AO240" i="1"/>
  <c r="K223" i="1"/>
  <c r="L223" i="1"/>
  <c r="M223" i="1"/>
  <c r="N223" i="1" s="1"/>
  <c r="T223" i="1"/>
  <c r="V223" i="1"/>
  <c r="Y223" i="1"/>
  <c r="Z223" i="1"/>
  <c r="AA223" i="1" s="1"/>
  <c r="AB223" i="1"/>
  <c r="AC223" i="1"/>
  <c r="AD223" i="1"/>
  <c r="X223" i="1" s="1"/>
  <c r="AE223" i="1"/>
  <c r="AF223" i="1"/>
  <c r="AH241" i="1"/>
  <c r="AM241" i="1"/>
  <c r="AN241" i="1"/>
  <c r="AO241" i="1"/>
  <c r="K224" i="1"/>
  <c r="L224" i="1"/>
  <c r="M224" i="1"/>
  <c r="N224" i="1" s="1"/>
  <c r="T224" i="1"/>
  <c r="V224" i="1"/>
  <c r="Y224" i="1"/>
  <c r="Z224" i="1"/>
  <c r="AA224" i="1" s="1"/>
  <c r="AB224" i="1"/>
  <c r="AC224" i="1"/>
  <c r="AD224" i="1"/>
  <c r="X224" i="1" s="1"/>
  <c r="AE224" i="1"/>
  <c r="AF224" i="1"/>
  <c r="AH242" i="1"/>
  <c r="AM242" i="1"/>
  <c r="AN242" i="1"/>
  <c r="AO242" i="1"/>
  <c r="K225" i="1"/>
  <c r="L225" i="1"/>
  <c r="M225" i="1"/>
  <c r="N225" i="1" s="1"/>
  <c r="T225" i="1"/>
  <c r="V225" i="1"/>
  <c r="Y225" i="1"/>
  <c r="Z225" i="1"/>
  <c r="AA225" i="1" s="1"/>
  <c r="AB225" i="1"/>
  <c r="AC225" i="1"/>
  <c r="AD225" i="1"/>
  <c r="X225" i="1" s="1"/>
  <c r="AE225" i="1"/>
  <c r="AF225" i="1"/>
  <c r="AH243" i="1"/>
  <c r="AM243" i="1"/>
  <c r="AN243" i="1"/>
  <c r="AO243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44" i="1"/>
  <c r="AM244" i="1"/>
  <c r="AN244" i="1"/>
  <c r="AO244" i="1"/>
  <c r="K227" i="1"/>
  <c r="M227" i="1"/>
  <c r="N227" i="1" s="1"/>
  <c r="T227" i="1"/>
  <c r="V227" i="1"/>
  <c r="X227" i="1"/>
  <c r="Y227" i="1"/>
  <c r="Z227" i="1"/>
  <c r="AA227" i="1" s="1"/>
  <c r="AB227" i="1"/>
  <c r="AC227" i="1"/>
  <c r="AD227" i="1"/>
  <c r="AE227" i="1"/>
  <c r="AF227" i="1"/>
  <c r="AH245" i="1"/>
  <c r="AM245" i="1"/>
  <c r="AN245" i="1"/>
  <c r="AO245" i="1"/>
  <c r="M27" i="3"/>
  <c r="R27" i="3"/>
  <c r="S27" i="3"/>
  <c r="U27" i="3"/>
  <c r="AC27" i="3" s="1"/>
  <c r="V27" i="3"/>
  <c r="X27" i="3"/>
  <c r="M33" i="3"/>
  <c r="U33" i="3"/>
  <c r="AC33" i="3" s="1"/>
  <c r="V33" i="3"/>
  <c r="X33" i="3"/>
  <c r="M29" i="3"/>
  <c r="U29" i="3"/>
  <c r="V29" i="3"/>
  <c r="X29" i="3"/>
  <c r="M30" i="3"/>
  <c r="U30" i="3"/>
  <c r="AC30" i="3" s="1"/>
  <c r="V30" i="3"/>
  <c r="X30" i="3"/>
  <c r="M15" i="3"/>
  <c r="S15" i="3"/>
  <c r="U15" i="3"/>
  <c r="V15" i="3"/>
  <c r="X15" i="3"/>
  <c r="M31" i="3"/>
  <c r="U31" i="3"/>
  <c r="AC31" i="3" s="1"/>
  <c r="V31" i="3"/>
  <c r="X31" i="3"/>
  <c r="M32" i="3"/>
  <c r="U32" i="3"/>
  <c r="AD32" i="3" s="1"/>
  <c r="V32" i="3"/>
  <c r="X32" i="3"/>
  <c r="M20" i="3"/>
  <c r="U20" i="3"/>
  <c r="AC20" i="3" s="1"/>
  <c r="V20" i="3"/>
  <c r="X20" i="3"/>
  <c r="M17" i="3"/>
  <c r="S17" i="3"/>
  <c r="U17" i="3"/>
  <c r="V17" i="3"/>
  <c r="X17" i="3"/>
  <c r="M23" i="3"/>
  <c r="U23" i="3"/>
  <c r="AC23" i="3" s="1"/>
  <c r="V23" i="3"/>
  <c r="X23" i="3"/>
  <c r="M24" i="3"/>
  <c r="U24" i="3"/>
  <c r="T24" i="3" s="1"/>
  <c r="V24" i="3"/>
  <c r="X24" i="3"/>
  <c r="M21" i="3"/>
  <c r="U21" i="3"/>
  <c r="AC21" i="3" s="1"/>
  <c r="V21" i="3"/>
  <c r="X21" i="3"/>
  <c r="M18" i="3"/>
  <c r="U18" i="3"/>
  <c r="T18" i="3" s="1"/>
  <c r="V18" i="3"/>
  <c r="X18" i="3"/>
  <c r="M8" i="3"/>
  <c r="R8" i="3"/>
  <c r="U8" i="3"/>
  <c r="AC8" i="3" s="1"/>
  <c r="V8" i="3"/>
  <c r="X8" i="3"/>
  <c r="M10" i="3"/>
  <c r="U10" i="3"/>
  <c r="T10" i="3" s="1"/>
  <c r="V10" i="3"/>
  <c r="X10" i="3"/>
  <c r="M25" i="3"/>
  <c r="S25" i="3"/>
  <c r="U25" i="3"/>
  <c r="T25" i="3" s="1"/>
  <c r="V25" i="3"/>
  <c r="X25" i="3"/>
  <c r="M26" i="3"/>
  <c r="U26" i="3"/>
  <c r="AC26" i="3" s="1"/>
  <c r="V26" i="3"/>
  <c r="X26" i="3"/>
  <c r="M11" i="3"/>
  <c r="S11" i="3"/>
  <c r="U11" i="3"/>
  <c r="AC11" i="3" s="1"/>
  <c r="V11" i="3"/>
  <c r="X11" i="3"/>
  <c r="M34" i="3"/>
  <c r="U34" i="3"/>
  <c r="T34" i="3" s="1"/>
  <c r="V34" i="3"/>
  <c r="X34" i="3"/>
  <c r="M36" i="3"/>
  <c r="U36" i="3"/>
  <c r="T36" i="3" s="1"/>
  <c r="V36" i="3"/>
  <c r="X36" i="3"/>
  <c r="M35" i="3"/>
  <c r="U35" i="3"/>
  <c r="AC35" i="3" s="1"/>
  <c r="V35" i="3"/>
  <c r="X35" i="3"/>
  <c r="M7" i="3"/>
  <c r="U7" i="3"/>
  <c r="AC7" i="3" s="1"/>
  <c r="V7" i="3"/>
  <c r="X7" i="3"/>
  <c r="M12" i="3"/>
  <c r="U12" i="3"/>
  <c r="T12" i="3" s="1"/>
  <c r="V12" i="3"/>
  <c r="X12" i="3"/>
  <c r="M9" i="3"/>
  <c r="U9" i="3"/>
  <c r="T9" i="3" s="1"/>
  <c r="V9" i="3"/>
  <c r="X9" i="3"/>
  <c r="M22" i="3"/>
  <c r="U22" i="3"/>
  <c r="AC22" i="3" s="1"/>
  <c r="V22" i="3"/>
  <c r="X22" i="3"/>
  <c r="M16" i="3"/>
  <c r="U16" i="3"/>
  <c r="AC16" i="3" s="1"/>
  <c r="V16" i="3"/>
  <c r="X16" i="3"/>
  <c r="M19" i="3"/>
  <c r="U19" i="3"/>
  <c r="T19" i="3" s="1"/>
  <c r="V19" i="3"/>
  <c r="X19" i="3"/>
  <c r="M13" i="3"/>
  <c r="U13" i="3"/>
  <c r="T13" i="3" s="1"/>
  <c r="V13" i="3"/>
  <c r="X13" i="3"/>
  <c r="M14" i="3"/>
  <c r="U14" i="3"/>
  <c r="AC14" i="3" s="1"/>
  <c r="V14" i="3"/>
  <c r="X14" i="3"/>
  <c r="AG207" i="1"/>
  <c r="AG203" i="1"/>
  <c r="AG164" i="1"/>
  <c r="AG160" i="1"/>
  <c r="AG158" i="1"/>
  <c r="AG141" i="1"/>
  <c r="AG29" i="1"/>
  <c r="AG19" i="1"/>
  <c r="AG27" i="1"/>
  <c r="AG37" i="1"/>
  <c r="AG44" i="1"/>
  <c r="AG48" i="1"/>
  <c r="AG52" i="1"/>
  <c r="AG39" i="1"/>
  <c r="AG33" i="1"/>
  <c r="AG26" i="1"/>
  <c r="AG57" i="1"/>
  <c r="AG65" i="1"/>
  <c r="AG73" i="1"/>
  <c r="AG79" i="1"/>
  <c r="AG89" i="1"/>
  <c r="AG97" i="1"/>
  <c r="AG105" i="1"/>
  <c r="AG113" i="1"/>
  <c r="AG81" i="1"/>
  <c r="AG90" i="1"/>
  <c r="AG98" i="1"/>
  <c r="AG106" i="1"/>
  <c r="AG114" i="1"/>
  <c r="AG122" i="1"/>
  <c r="AG130" i="1"/>
  <c r="AG138" i="1"/>
  <c r="AG62" i="1"/>
  <c r="AG78" i="1"/>
  <c r="AG64" i="1"/>
  <c r="AG145" i="1"/>
  <c r="AG131" i="1"/>
  <c r="AG148" i="1"/>
  <c r="AG155" i="1"/>
  <c r="AG210" i="1"/>
  <c r="AG214" i="1"/>
  <c r="AG218" i="1"/>
  <c r="AG228" i="1"/>
  <c r="AG232" i="1"/>
  <c r="AG236" i="1"/>
  <c r="AG240" i="1"/>
  <c r="AG244" i="1"/>
  <c r="AG162" i="1"/>
  <c r="AG167" i="1"/>
  <c r="AG171" i="1"/>
  <c r="AG175" i="1"/>
  <c r="AG179" i="1"/>
  <c r="AG183" i="1"/>
  <c r="AG80" i="1"/>
  <c r="AG121" i="1"/>
  <c r="AG137" i="1"/>
  <c r="AG187" i="1"/>
  <c r="AG191" i="1"/>
  <c r="AG195" i="1"/>
  <c r="AG199" i="1"/>
  <c r="AG204" i="1"/>
  <c r="AG222" i="1"/>
  <c r="AG226" i="1"/>
  <c r="AG14" i="1"/>
  <c r="AG21" i="1"/>
  <c r="AG30" i="1"/>
  <c r="AG20" i="1"/>
  <c r="AG45" i="1"/>
  <c r="AG49" i="1"/>
  <c r="AG22" i="1"/>
  <c r="AG38" i="1"/>
  <c r="AG59" i="1"/>
  <c r="AG75" i="1"/>
  <c r="AG91" i="1"/>
  <c r="AG115" i="1"/>
  <c r="AG92" i="1"/>
  <c r="AG116" i="1"/>
  <c r="AG140" i="1"/>
  <c r="AG82" i="1"/>
  <c r="AG135" i="1"/>
  <c r="AG211" i="1"/>
  <c r="AG219" i="1"/>
  <c r="AG237" i="1"/>
  <c r="AG245" i="1"/>
  <c r="AG172" i="1"/>
  <c r="AG184" i="1"/>
  <c r="AG125" i="1"/>
  <c r="AG205" i="1"/>
  <c r="AG227" i="1"/>
  <c r="AG196" i="1"/>
  <c r="AG18" i="1"/>
  <c r="AG23" i="1"/>
  <c r="AG32" i="1"/>
  <c r="AG28" i="1"/>
  <c r="AG46" i="1"/>
  <c r="AG50" i="1"/>
  <c r="AG31" i="1"/>
  <c r="AG16" i="1"/>
  <c r="AG42" i="1"/>
  <c r="AG53" i="1"/>
  <c r="AG61" i="1"/>
  <c r="AG69" i="1"/>
  <c r="AG77" i="1"/>
  <c r="AG85" i="1"/>
  <c r="AG93" i="1"/>
  <c r="AG101" i="1"/>
  <c r="AG109" i="1"/>
  <c r="AG117" i="1"/>
  <c r="AG86" i="1"/>
  <c r="AG94" i="1"/>
  <c r="AG102" i="1"/>
  <c r="AG110" i="1"/>
  <c r="AG118" i="1"/>
  <c r="AG126" i="1"/>
  <c r="AG134" i="1"/>
  <c r="AG54" i="1"/>
  <c r="AG70" i="1"/>
  <c r="AG56" i="1"/>
  <c r="AG72" i="1"/>
  <c r="AG123" i="1"/>
  <c r="AG139" i="1"/>
  <c r="AG153" i="1"/>
  <c r="AG157" i="1"/>
  <c r="AG212" i="1"/>
  <c r="AG216" i="1"/>
  <c r="AG220" i="1"/>
  <c r="AG230" i="1"/>
  <c r="AG234" i="1"/>
  <c r="AG238" i="1"/>
  <c r="AG242" i="1"/>
  <c r="AG159" i="1"/>
  <c r="AG165" i="1"/>
  <c r="AG169" i="1"/>
  <c r="AG173" i="1"/>
  <c r="AG177" i="1"/>
  <c r="AG181" i="1"/>
  <c r="AG185" i="1"/>
  <c r="AG147" i="1"/>
  <c r="AG129" i="1"/>
  <c r="AG146" i="1"/>
  <c r="AG189" i="1"/>
  <c r="AG193" i="1"/>
  <c r="AG197" i="1"/>
  <c r="AG201" i="1"/>
  <c r="AG206" i="1"/>
  <c r="AG224" i="1"/>
  <c r="AG24" i="1"/>
  <c r="AG41" i="1"/>
  <c r="AG103" i="1"/>
  <c r="AG119" i="1"/>
  <c r="AG96" i="1"/>
  <c r="AG112" i="1"/>
  <c r="AG128" i="1"/>
  <c r="AG58" i="1"/>
  <c r="AG60" i="1"/>
  <c r="AG76" i="1"/>
  <c r="AG144" i="1"/>
  <c r="AG209" i="1"/>
  <c r="AG217" i="1"/>
  <c r="AG221" i="1"/>
  <c r="AG235" i="1"/>
  <c r="AG239" i="1"/>
  <c r="AG161" i="1"/>
  <c r="AG170" i="1"/>
  <c r="AG178" i="1"/>
  <c r="AG182" i="1"/>
  <c r="AG151" i="1"/>
  <c r="AG133" i="1"/>
  <c r="AG190" i="1"/>
  <c r="AG198" i="1"/>
  <c r="AG202" i="1"/>
  <c r="AG225" i="1"/>
  <c r="AG35" i="1"/>
  <c r="AG67" i="1"/>
  <c r="AG83" i="1"/>
  <c r="AG107" i="1"/>
  <c r="AG84" i="1"/>
  <c r="AG108" i="1"/>
  <c r="AG124" i="1"/>
  <c r="AG66" i="1"/>
  <c r="AG68" i="1"/>
  <c r="AG152" i="1"/>
  <c r="AG215" i="1"/>
  <c r="AG233" i="1"/>
  <c r="AG241" i="1"/>
  <c r="AG168" i="1"/>
  <c r="AG176" i="1"/>
  <c r="AG143" i="1"/>
  <c r="AG188" i="1"/>
  <c r="AG192" i="1"/>
  <c r="AG223" i="1"/>
  <c r="AG15" i="1"/>
  <c r="AG25" i="1"/>
  <c r="AG34" i="1"/>
  <c r="AG40" i="1"/>
  <c r="AG47" i="1"/>
  <c r="AG51" i="1"/>
  <c r="AG36" i="1"/>
  <c r="AG17" i="1"/>
  <c r="AG55" i="1"/>
  <c r="AG63" i="1"/>
  <c r="AG71" i="1"/>
  <c r="AG87" i="1"/>
  <c r="AG95" i="1"/>
  <c r="AG111" i="1"/>
  <c r="AG88" i="1"/>
  <c r="AG104" i="1"/>
  <c r="AG120" i="1"/>
  <c r="AG136" i="1"/>
  <c r="AG74" i="1"/>
  <c r="AG127" i="1"/>
  <c r="AG154" i="1"/>
  <c r="AG213" i="1"/>
  <c r="AG231" i="1"/>
  <c r="AG243" i="1"/>
  <c r="AG166" i="1"/>
  <c r="AG174" i="1"/>
  <c r="AG186" i="1"/>
  <c r="AG150" i="1"/>
  <c r="AG194" i="1"/>
  <c r="AG208" i="1"/>
  <c r="AG43" i="1"/>
  <c r="AG99" i="1"/>
  <c r="AG100" i="1"/>
  <c r="AG132" i="1"/>
  <c r="AG149" i="1"/>
  <c r="AG156" i="1"/>
  <c r="AG229" i="1"/>
  <c r="AG163" i="1"/>
  <c r="AG180" i="1"/>
  <c r="AG142" i="1"/>
  <c r="AG200" i="1"/>
  <c r="W13" i="3"/>
  <c r="W21" i="3"/>
  <c r="W35" i="3"/>
  <c r="W10" i="3"/>
  <c r="W22" i="3"/>
  <c r="W29" i="3"/>
  <c r="W33" i="3"/>
  <c r="W7" i="3"/>
  <c r="W26" i="3"/>
  <c r="W19" i="3"/>
  <c r="W16" i="3"/>
  <c r="W27" i="3"/>
  <c r="W20" i="3"/>
  <c r="W24" i="3"/>
  <c r="W23" i="3"/>
  <c r="W15" i="3"/>
  <c r="W32" i="3"/>
  <c r="W31" i="3"/>
  <c r="W17" i="3"/>
  <c r="W11" i="3"/>
  <c r="W9" i="3"/>
  <c r="W12" i="3"/>
  <c r="W18" i="3"/>
  <c r="W30" i="3"/>
  <c r="W25" i="3"/>
  <c r="W8" i="3"/>
  <c r="W36" i="3"/>
  <c r="W34" i="3"/>
  <c r="W14" i="3"/>
  <c r="T144" i="1" l="1"/>
  <c r="X144" i="1"/>
  <c r="X198" i="1"/>
  <c r="T198" i="1"/>
  <c r="T148" i="1"/>
  <c r="X149" i="1"/>
  <c r="X201" i="1"/>
  <c r="T201" i="1"/>
  <c r="T196" i="1"/>
  <c r="X196" i="1"/>
  <c r="X192" i="1"/>
  <c r="T192" i="1"/>
  <c r="X202" i="1"/>
  <c r="T202" i="1"/>
  <c r="X197" i="1"/>
  <c r="T197" i="1"/>
  <c r="X193" i="1"/>
  <c r="T193" i="1"/>
  <c r="X194" i="1"/>
  <c r="T194" i="1"/>
  <c r="X199" i="1"/>
  <c r="X210" i="1"/>
  <c r="X195" i="1"/>
  <c r="X143" i="1"/>
  <c r="X165" i="1"/>
  <c r="X203" i="1"/>
  <c r="S20" i="3"/>
  <c r="X226" i="1"/>
  <c r="X222" i="1"/>
  <c r="AA202" i="1"/>
  <c r="AA201" i="1"/>
  <c r="AA200" i="1"/>
  <c r="AA198" i="1"/>
  <c r="AA197" i="1"/>
  <c r="AA196" i="1"/>
  <c r="AA194" i="1"/>
  <c r="AA193" i="1"/>
  <c r="AA192" i="1"/>
  <c r="W192" i="1" s="1"/>
  <c r="AA190" i="1"/>
  <c r="AA182" i="1"/>
  <c r="X181" i="1"/>
  <c r="AA172" i="1"/>
  <c r="AA235" i="1"/>
  <c r="AA221" i="1"/>
  <c r="AA217" i="1"/>
  <c r="AA148" i="1"/>
  <c r="W148" i="1" s="1"/>
  <c r="AA144" i="1"/>
  <c r="AA138" i="1"/>
  <c r="AA132" i="1"/>
  <c r="AA104" i="1"/>
  <c r="AA96" i="1"/>
  <c r="AA91" i="1"/>
  <c r="AA84" i="1"/>
  <c r="AA71" i="1"/>
  <c r="W71" i="1" s="1"/>
  <c r="AA70" i="1"/>
  <c r="AA67" i="1"/>
  <c r="AA66" i="1"/>
  <c r="AA62" i="1"/>
  <c r="AA55" i="1"/>
  <c r="AA54" i="1"/>
  <c r="X142" i="1"/>
  <c r="X164" i="1"/>
  <c r="X191" i="1"/>
  <c r="AA187" i="1"/>
  <c r="AA186" i="1"/>
  <c r="AA184" i="1"/>
  <c r="X183" i="1"/>
  <c r="AA176" i="1"/>
  <c r="X167" i="1"/>
  <c r="AA166" i="1"/>
  <c r="AA161" i="1"/>
  <c r="AA243" i="1"/>
  <c r="AA239" i="1"/>
  <c r="AA231" i="1"/>
  <c r="AA214" i="1"/>
  <c r="AA124" i="1"/>
  <c r="AA113" i="1"/>
  <c r="AA111" i="1"/>
  <c r="W111" i="1" s="1"/>
  <c r="AA76" i="1"/>
  <c r="AA72" i="1"/>
  <c r="AA68" i="1"/>
  <c r="AA64" i="1"/>
  <c r="W64" i="1" s="1"/>
  <c r="AA60" i="1"/>
  <c r="AA56" i="1"/>
  <c r="X48" i="1"/>
  <c r="X44" i="1"/>
  <c r="X40" i="1"/>
  <c r="X207" i="1"/>
  <c r="AI207" i="1"/>
  <c r="U207" i="1"/>
  <c r="S207" i="1" s="1"/>
  <c r="W207" i="1"/>
  <c r="U203" i="1"/>
  <c r="S203" i="1" s="1"/>
  <c r="AI203" i="1"/>
  <c r="W203" i="1"/>
  <c r="R30" i="3"/>
  <c r="R20" i="3"/>
  <c r="AI164" i="1"/>
  <c r="U164" i="1"/>
  <c r="S164" i="1" s="1"/>
  <c r="W164" i="1"/>
  <c r="S29" i="3"/>
  <c r="R23" i="3"/>
  <c r="AI160" i="1"/>
  <c r="U160" i="1"/>
  <c r="S160" i="1" s="1"/>
  <c r="W160" i="1"/>
  <c r="R21" i="3"/>
  <c r="R29" i="3"/>
  <c r="AI158" i="1"/>
  <c r="U158" i="1"/>
  <c r="S158" i="1" s="1"/>
  <c r="W158" i="1"/>
  <c r="X158" i="1"/>
  <c r="S31" i="3"/>
  <c r="R25" i="3"/>
  <c r="S32" i="3"/>
  <c r="AI141" i="1"/>
  <c r="U141" i="1"/>
  <c r="S141" i="1" s="1"/>
  <c r="W141" i="1"/>
  <c r="S8" i="3"/>
  <c r="S30" i="3"/>
  <c r="S18" i="3"/>
  <c r="AI29" i="1"/>
  <c r="U29" i="1"/>
  <c r="S29" i="1" s="1"/>
  <c r="W29" i="1"/>
  <c r="X29" i="1"/>
  <c r="T33" i="3"/>
  <c r="AD30" i="3"/>
  <c r="S33" i="3"/>
  <c r="AA226" i="1"/>
  <c r="T226" i="1"/>
  <c r="AA222" i="1"/>
  <c r="T222" i="1"/>
  <c r="U222" i="1" s="1"/>
  <c r="S222" i="1" s="1"/>
  <c r="AA204" i="1"/>
  <c r="T204" i="1"/>
  <c r="AA199" i="1"/>
  <c r="T199" i="1"/>
  <c r="U199" i="1" s="1"/>
  <c r="S199" i="1" s="1"/>
  <c r="AA195" i="1"/>
  <c r="T195" i="1"/>
  <c r="AA191" i="1"/>
  <c r="T191" i="1"/>
  <c r="U191" i="1" s="1"/>
  <c r="S191" i="1" s="1"/>
  <c r="X188" i="1"/>
  <c r="X187" i="1"/>
  <c r="AA181" i="1"/>
  <c r="T175" i="1"/>
  <c r="X171" i="1"/>
  <c r="X151" i="1"/>
  <c r="AA151" i="1"/>
  <c r="X147" i="1"/>
  <c r="X146" i="1"/>
  <c r="AA115" i="1"/>
  <c r="AA108" i="1"/>
  <c r="AA97" i="1"/>
  <c r="AA95" i="1"/>
  <c r="AA94" i="1"/>
  <c r="AA90" i="1"/>
  <c r="X42" i="1"/>
  <c r="AA25" i="1"/>
  <c r="AA102" i="1"/>
  <c r="AA98" i="1"/>
  <c r="AA75" i="1"/>
  <c r="AA74" i="1"/>
  <c r="AA59" i="1"/>
  <c r="AA58" i="1"/>
  <c r="X177" i="1"/>
  <c r="X169" i="1"/>
  <c r="AA238" i="1"/>
  <c r="AA234" i="1"/>
  <c r="AA230" i="1"/>
  <c r="W230" i="1" s="1"/>
  <c r="AA220" i="1"/>
  <c r="AA216" i="1"/>
  <c r="AA145" i="1"/>
  <c r="AA143" i="1"/>
  <c r="W143" i="1" s="1"/>
  <c r="AA110" i="1"/>
  <c r="W110" i="1" s="1"/>
  <c r="AA106" i="1"/>
  <c r="AA80" i="1"/>
  <c r="X190" i="1"/>
  <c r="T183" i="1"/>
  <c r="AA180" i="1"/>
  <c r="X178" i="1"/>
  <c r="X170" i="1"/>
  <c r="AA147" i="1"/>
  <c r="AA121" i="1"/>
  <c r="AA119" i="1"/>
  <c r="AA118" i="1"/>
  <c r="W118" i="1" s="1"/>
  <c r="AA114" i="1"/>
  <c r="W114" i="1" s="1"/>
  <c r="AA100" i="1"/>
  <c r="AA89" i="1"/>
  <c r="AA87" i="1"/>
  <c r="W87" i="1" s="1"/>
  <c r="AA86" i="1"/>
  <c r="W86" i="1" s="1"/>
  <c r="AA82" i="1"/>
  <c r="AA188" i="1"/>
  <c r="X186" i="1"/>
  <c r="AA169" i="1"/>
  <c r="R32" i="3"/>
  <c r="X180" i="1"/>
  <c r="T180" i="1"/>
  <c r="U180" i="1" s="1"/>
  <c r="S180" i="1" s="1"/>
  <c r="X172" i="1"/>
  <c r="T172" i="1"/>
  <c r="U172" i="1" s="1"/>
  <c r="S172" i="1" s="1"/>
  <c r="T186" i="1"/>
  <c r="U186" i="1" s="1"/>
  <c r="S186" i="1" s="1"/>
  <c r="X185" i="1"/>
  <c r="AA183" i="1"/>
  <c r="T181" i="1"/>
  <c r="X179" i="1"/>
  <c r="AA177" i="1"/>
  <c r="X182" i="1"/>
  <c r="X174" i="1"/>
  <c r="X173" i="1"/>
  <c r="T163" i="1"/>
  <c r="U163" i="1" s="1"/>
  <c r="S163" i="1" s="1"/>
  <c r="X148" i="1"/>
  <c r="X145" i="1"/>
  <c r="AA117" i="1"/>
  <c r="AA109" i="1"/>
  <c r="AA101" i="1"/>
  <c r="AA93" i="1"/>
  <c r="AA85" i="1"/>
  <c r="AA83" i="1"/>
  <c r="T44" i="1"/>
  <c r="T40" i="1"/>
  <c r="AA21" i="1"/>
  <c r="T151" i="1"/>
  <c r="T143" i="1"/>
  <c r="AA43" i="1"/>
  <c r="T43" i="1"/>
  <c r="X41" i="1"/>
  <c r="AA39" i="1"/>
  <c r="T39" i="1"/>
  <c r="AA36" i="1"/>
  <c r="W36" i="1" s="1"/>
  <c r="AA30" i="1"/>
  <c r="AA18" i="1"/>
  <c r="AA14" i="1"/>
  <c r="X184" i="1"/>
  <c r="T182" i="1"/>
  <c r="U182" i="1" s="1"/>
  <c r="S182" i="1" s="1"/>
  <c r="X176" i="1"/>
  <c r="T174" i="1"/>
  <c r="U174" i="1" s="1"/>
  <c r="S174" i="1" s="1"/>
  <c r="X168" i="1"/>
  <c r="T166" i="1"/>
  <c r="U166" i="1" s="1"/>
  <c r="S166" i="1" s="1"/>
  <c r="AA213" i="1"/>
  <c r="AA212" i="1"/>
  <c r="AA211" i="1"/>
  <c r="W211" i="1" s="1"/>
  <c r="AA210" i="1"/>
  <c r="AA209" i="1"/>
  <c r="AA157" i="1"/>
  <c r="AA156" i="1"/>
  <c r="W156" i="1" s="1"/>
  <c r="AA155" i="1"/>
  <c r="AA154" i="1"/>
  <c r="AA153" i="1"/>
  <c r="AA150" i="1"/>
  <c r="W150" i="1" s="1"/>
  <c r="AA142" i="1"/>
  <c r="AA140" i="1"/>
  <c r="AA79" i="1"/>
  <c r="X46" i="1"/>
  <c r="AA41" i="1"/>
  <c r="AA20" i="1"/>
  <c r="AI245" i="1"/>
  <c r="U227" i="1"/>
  <c r="S227" i="1" s="1"/>
  <c r="AI244" i="1"/>
  <c r="U226" i="1"/>
  <c r="S226" i="1" s="1"/>
  <c r="AI243" i="1"/>
  <c r="U225" i="1"/>
  <c r="S225" i="1" s="1"/>
  <c r="AI242" i="1"/>
  <c r="U224" i="1"/>
  <c r="S224" i="1" s="1"/>
  <c r="AI241" i="1"/>
  <c r="U223" i="1"/>
  <c r="S223" i="1" s="1"/>
  <c r="AI240" i="1"/>
  <c r="AI239" i="1"/>
  <c r="U208" i="1"/>
  <c r="S208" i="1" s="1"/>
  <c r="AI238" i="1"/>
  <c r="U206" i="1"/>
  <c r="S206" i="1" s="1"/>
  <c r="AI237" i="1"/>
  <c r="U205" i="1"/>
  <c r="S205" i="1" s="1"/>
  <c r="AI236" i="1"/>
  <c r="U204" i="1"/>
  <c r="S204" i="1" s="1"/>
  <c r="AI235" i="1"/>
  <c r="U202" i="1"/>
  <c r="S202" i="1" s="1"/>
  <c r="AI234" i="1"/>
  <c r="U201" i="1"/>
  <c r="S201" i="1" s="1"/>
  <c r="AI233" i="1"/>
  <c r="U200" i="1"/>
  <c r="S200" i="1" s="1"/>
  <c r="AI232" i="1"/>
  <c r="AI231" i="1"/>
  <c r="U198" i="1"/>
  <c r="S198" i="1" s="1"/>
  <c r="AI230" i="1"/>
  <c r="U197" i="1"/>
  <c r="S197" i="1" s="1"/>
  <c r="AI229" i="1"/>
  <c r="U196" i="1"/>
  <c r="S196" i="1" s="1"/>
  <c r="AI228" i="1"/>
  <c r="U195" i="1"/>
  <c r="S195" i="1" s="1"/>
  <c r="AI227" i="1"/>
  <c r="U194" i="1"/>
  <c r="S194" i="1" s="1"/>
  <c r="AI226" i="1"/>
  <c r="U193" i="1"/>
  <c r="S193" i="1" s="1"/>
  <c r="AI225" i="1"/>
  <c r="U192" i="1"/>
  <c r="S192" i="1" s="1"/>
  <c r="AI224" i="1"/>
  <c r="AI223" i="1"/>
  <c r="U190" i="1"/>
  <c r="S190" i="1" s="1"/>
  <c r="AI222" i="1"/>
  <c r="U189" i="1"/>
  <c r="S189" i="1" s="1"/>
  <c r="AI221" i="1"/>
  <c r="U188" i="1"/>
  <c r="S188" i="1" s="1"/>
  <c r="AI220" i="1"/>
  <c r="U187" i="1"/>
  <c r="S187" i="1" s="1"/>
  <c r="AI150" i="1"/>
  <c r="U150" i="1"/>
  <c r="S150" i="1" s="1"/>
  <c r="AI146" i="1"/>
  <c r="U146" i="1"/>
  <c r="S146" i="1" s="1"/>
  <c r="AI142" i="1"/>
  <c r="U142" i="1"/>
  <c r="S142" i="1" s="1"/>
  <c r="AI137" i="1"/>
  <c r="AI133" i="1"/>
  <c r="AI129" i="1"/>
  <c r="AI125" i="1"/>
  <c r="AI121" i="1"/>
  <c r="AI151" i="1"/>
  <c r="U151" i="1"/>
  <c r="S151" i="1" s="1"/>
  <c r="AI147" i="1"/>
  <c r="U147" i="1"/>
  <c r="S147" i="1" s="1"/>
  <c r="AI143" i="1"/>
  <c r="U143" i="1"/>
  <c r="S143" i="1" s="1"/>
  <c r="U80" i="1"/>
  <c r="S80" i="1" s="1"/>
  <c r="AI80" i="1"/>
  <c r="AI219" i="1"/>
  <c r="U185" i="1"/>
  <c r="S185" i="1" s="1"/>
  <c r="AI218" i="1"/>
  <c r="U184" i="1"/>
  <c r="S184" i="1" s="1"/>
  <c r="AI217" i="1"/>
  <c r="U183" i="1"/>
  <c r="S183" i="1" s="1"/>
  <c r="AI216" i="1"/>
  <c r="AI215" i="1"/>
  <c r="U181" i="1"/>
  <c r="S181" i="1" s="1"/>
  <c r="AI214" i="1"/>
  <c r="AI213" i="1"/>
  <c r="U179" i="1"/>
  <c r="S179" i="1" s="1"/>
  <c r="AI212" i="1"/>
  <c r="U178" i="1"/>
  <c r="S178" i="1" s="1"/>
  <c r="AI211" i="1"/>
  <c r="U177" i="1"/>
  <c r="S177" i="1" s="1"/>
  <c r="AI210" i="1"/>
  <c r="U176" i="1"/>
  <c r="S176" i="1" s="1"/>
  <c r="AI209" i="1"/>
  <c r="U175" i="1"/>
  <c r="S175" i="1" s="1"/>
  <c r="AI208" i="1"/>
  <c r="AI206" i="1"/>
  <c r="U173" i="1"/>
  <c r="S173" i="1" s="1"/>
  <c r="AI205" i="1"/>
  <c r="AI204" i="1"/>
  <c r="U171" i="1"/>
  <c r="S171" i="1" s="1"/>
  <c r="AI202" i="1"/>
  <c r="U170" i="1"/>
  <c r="S170" i="1" s="1"/>
  <c r="AI201" i="1"/>
  <c r="U169" i="1"/>
  <c r="AI200" i="1"/>
  <c r="U168" i="1"/>
  <c r="S168" i="1" s="1"/>
  <c r="AI199" i="1"/>
  <c r="U167" i="1"/>
  <c r="S167" i="1" s="1"/>
  <c r="AI198" i="1"/>
  <c r="AI197" i="1"/>
  <c r="U165" i="1"/>
  <c r="S165" i="1" s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W216" i="1"/>
  <c r="AI168" i="1"/>
  <c r="W215" i="1"/>
  <c r="AI167" i="1"/>
  <c r="W214" i="1"/>
  <c r="AI166" i="1"/>
  <c r="AI165" i="1"/>
  <c r="AI163" i="1"/>
  <c r="AI162" i="1"/>
  <c r="AI161" i="1"/>
  <c r="AI159" i="1"/>
  <c r="AI157" i="1"/>
  <c r="AI156" i="1"/>
  <c r="AI155" i="1"/>
  <c r="AI154" i="1"/>
  <c r="AI153" i="1"/>
  <c r="U152" i="1"/>
  <c r="S152" i="1" s="1"/>
  <c r="AI152" i="1"/>
  <c r="U148" i="1"/>
  <c r="S148" i="1" s="1"/>
  <c r="AI148" i="1"/>
  <c r="U144" i="1"/>
  <c r="S144" i="1" s="1"/>
  <c r="AI144" i="1"/>
  <c r="AI139" i="1"/>
  <c r="AI135" i="1"/>
  <c r="AI131" i="1"/>
  <c r="AI127" i="1"/>
  <c r="AI123" i="1"/>
  <c r="U149" i="1"/>
  <c r="S149" i="1" s="1"/>
  <c r="AI149" i="1"/>
  <c r="U145" i="1"/>
  <c r="S145" i="1" s="1"/>
  <c r="AI145" i="1"/>
  <c r="AI76" i="1"/>
  <c r="AI72" i="1"/>
  <c r="AI68" i="1"/>
  <c r="AI64" i="1"/>
  <c r="AI60" i="1"/>
  <c r="AI56" i="1"/>
  <c r="U82" i="1"/>
  <c r="S82" i="1" s="1"/>
  <c r="AI82" i="1"/>
  <c r="AI78" i="1"/>
  <c r="AI74" i="1"/>
  <c r="AI70" i="1"/>
  <c r="AI66" i="1"/>
  <c r="AI62" i="1"/>
  <c r="AI58" i="1"/>
  <c r="AI54" i="1"/>
  <c r="AI140" i="1"/>
  <c r="AI138" i="1"/>
  <c r="AI136" i="1"/>
  <c r="AI134" i="1"/>
  <c r="AI132" i="1"/>
  <c r="AI130" i="1"/>
  <c r="AI128" i="1"/>
  <c r="AI126" i="1"/>
  <c r="AI124" i="1"/>
  <c r="W122" i="1"/>
  <c r="AI122" i="1"/>
  <c r="AI120" i="1"/>
  <c r="W120" i="1"/>
  <c r="AI118" i="1"/>
  <c r="AI116" i="1"/>
  <c r="W116" i="1"/>
  <c r="AI114" i="1"/>
  <c r="AI112" i="1"/>
  <c r="W112" i="1"/>
  <c r="AI110" i="1"/>
  <c r="AI108" i="1"/>
  <c r="W108" i="1"/>
  <c r="AI106" i="1"/>
  <c r="W106" i="1"/>
  <c r="AI104" i="1"/>
  <c r="W104" i="1"/>
  <c r="AI102" i="1"/>
  <c r="W102" i="1"/>
  <c r="AI100" i="1"/>
  <c r="W100" i="1"/>
  <c r="AI98" i="1"/>
  <c r="W98" i="1"/>
  <c r="AI96" i="1"/>
  <c r="W96" i="1"/>
  <c r="AI94" i="1"/>
  <c r="W94" i="1"/>
  <c r="AI92" i="1"/>
  <c r="W92" i="1"/>
  <c r="AI90" i="1"/>
  <c r="W90" i="1"/>
  <c r="AI88" i="1"/>
  <c r="W88" i="1"/>
  <c r="AI86" i="1"/>
  <c r="AI84" i="1"/>
  <c r="W84" i="1"/>
  <c r="AI81" i="1"/>
  <c r="U81" i="1"/>
  <c r="S81" i="1" s="1"/>
  <c r="W81" i="1"/>
  <c r="AI119" i="1"/>
  <c r="AI117" i="1"/>
  <c r="AI115" i="1"/>
  <c r="AI113" i="1"/>
  <c r="AI111" i="1"/>
  <c r="AI109" i="1"/>
  <c r="AI107" i="1"/>
  <c r="AI105" i="1"/>
  <c r="AI103" i="1"/>
  <c r="AI101" i="1"/>
  <c r="AI99" i="1"/>
  <c r="AI97" i="1"/>
  <c r="AI95" i="1"/>
  <c r="AI93" i="1"/>
  <c r="AI91" i="1"/>
  <c r="AI89" i="1"/>
  <c r="AI87" i="1"/>
  <c r="AI85" i="1"/>
  <c r="AI83" i="1"/>
  <c r="AI79" i="1"/>
  <c r="U79" i="1"/>
  <c r="S79" i="1" s="1"/>
  <c r="AI41" i="1"/>
  <c r="U41" i="1"/>
  <c r="S41" i="1" s="1"/>
  <c r="AI77" i="1"/>
  <c r="AI75" i="1"/>
  <c r="AI73" i="1"/>
  <c r="AI71" i="1"/>
  <c r="AI69" i="1"/>
  <c r="AI67" i="1"/>
  <c r="AI65" i="1"/>
  <c r="AI63" i="1"/>
  <c r="AI61" i="1"/>
  <c r="AI59" i="1"/>
  <c r="AI57" i="1"/>
  <c r="AI55" i="1"/>
  <c r="U53" i="1"/>
  <c r="S53" i="1" s="1"/>
  <c r="AI53" i="1"/>
  <c r="AI35" i="1"/>
  <c r="AI26" i="1"/>
  <c r="AI17" i="1"/>
  <c r="U17" i="1"/>
  <c r="S17" i="1" s="1"/>
  <c r="AI42" i="1"/>
  <c r="U42" i="1"/>
  <c r="S42" i="1" s="1"/>
  <c r="AI38" i="1"/>
  <c r="AI33" i="1"/>
  <c r="AI24" i="1"/>
  <c r="AI16" i="1"/>
  <c r="U16" i="1"/>
  <c r="S16" i="1" s="1"/>
  <c r="AI43" i="1"/>
  <c r="U43" i="1"/>
  <c r="S43" i="1" s="1"/>
  <c r="AI39" i="1"/>
  <c r="U39" i="1"/>
  <c r="S39" i="1" s="1"/>
  <c r="AI36" i="1"/>
  <c r="AI31" i="1"/>
  <c r="AI22" i="1"/>
  <c r="AI52" i="1"/>
  <c r="AI51" i="1"/>
  <c r="AI50" i="1"/>
  <c r="AI49" i="1"/>
  <c r="AI48" i="1"/>
  <c r="AI47" i="1"/>
  <c r="AI46" i="1"/>
  <c r="AI45" i="1"/>
  <c r="AI44" i="1"/>
  <c r="U44" i="1"/>
  <c r="S44" i="1" s="1"/>
  <c r="AI40" i="1"/>
  <c r="U40" i="1"/>
  <c r="S40" i="1" s="1"/>
  <c r="AI28" i="1"/>
  <c r="AI20" i="1"/>
  <c r="AI37" i="1"/>
  <c r="AI34" i="1"/>
  <c r="AI32" i="1"/>
  <c r="AI30" i="1"/>
  <c r="AI27" i="1"/>
  <c r="AI25" i="1"/>
  <c r="AI23" i="1"/>
  <c r="AI21" i="1"/>
  <c r="AI19" i="1"/>
  <c r="U19" i="1"/>
  <c r="S19" i="1" s="1"/>
  <c r="AI15" i="1"/>
  <c r="U15" i="1"/>
  <c r="S15" i="1" s="1"/>
  <c r="AI18" i="1"/>
  <c r="U18" i="1"/>
  <c r="S18" i="1" s="1"/>
  <c r="AI14" i="1"/>
  <c r="U14" i="1"/>
  <c r="S14" i="1" s="1"/>
  <c r="W168" i="1"/>
  <c r="W162" i="1"/>
  <c r="W244" i="1"/>
  <c r="W240" i="1"/>
  <c r="W236" i="1"/>
  <c r="W218" i="1"/>
  <c r="W226" i="1"/>
  <c r="W222" i="1"/>
  <c r="W183" i="1"/>
  <c r="W180" i="1"/>
  <c r="W175" i="1"/>
  <c r="W172" i="1"/>
  <c r="W167" i="1"/>
  <c r="W163" i="1"/>
  <c r="W159" i="1"/>
  <c r="W242" i="1"/>
  <c r="W238" i="1"/>
  <c r="W234" i="1"/>
  <c r="W220" i="1"/>
  <c r="W232" i="1"/>
  <c r="W228" i="1"/>
  <c r="W224" i="1"/>
  <c r="W227" i="1"/>
  <c r="W225" i="1"/>
  <c r="W223" i="1"/>
  <c r="W208" i="1"/>
  <c r="W205" i="1"/>
  <c r="W202" i="1"/>
  <c r="W200" i="1"/>
  <c r="W198" i="1"/>
  <c r="W196" i="1"/>
  <c r="W194" i="1"/>
  <c r="W190" i="1"/>
  <c r="W188" i="1"/>
  <c r="W186" i="1"/>
  <c r="W181" i="1"/>
  <c r="W178" i="1"/>
  <c r="W173" i="1"/>
  <c r="W170" i="1"/>
  <c r="W165" i="1"/>
  <c r="W245" i="1"/>
  <c r="W241" i="1"/>
  <c r="W237" i="1"/>
  <c r="W233" i="1"/>
  <c r="W229" i="1"/>
  <c r="W219" i="1"/>
  <c r="W184" i="1"/>
  <c r="W179" i="1"/>
  <c r="W176" i="1"/>
  <c r="W171" i="1"/>
  <c r="W206" i="1"/>
  <c r="W204" i="1"/>
  <c r="W201" i="1"/>
  <c r="W199" i="1"/>
  <c r="W197" i="1"/>
  <c r="W195" i="1"/>
  <c r="W193" i="1"/>
  <c r="W191" i="1"/>
  <c r="W189" i="1"/>
  <c r="W187" i="1"/>
  <c r="W185" i="1"/>
  <c r="W182" i="1"/>
  <c r="W177" i="1"/>
  <c r="W174" i="1"/>
  <c r="W169" i="1"/>
  <c r="W166" i="1"/>
  <c r="W161" i="1"/>
  <c r="W243" i="1"/>
  <c r="W239" i="1"/>
  <c r="W235" i="1"/>
  <c r="W231" i="1"/>
  <c r="W221" i="1"/>
  <c r="W217" i="1"/>
  <c r="T162" i="1"/>
  <c r="U162" i="1" s="1"/>
  <c r="S162" i="1" s="1"/>
  <c r="T161" i="1"/>
  <c r="U161" i="1" s="1"/>
  <c r="S161" i="1" s="1"/>
  <c r="T159" i="1"/>
  <c r="U159" i="1" s="1"/>
  <c r="S159" i="1" s="1"/>
  <c r="T245" i="1"/>
  <c r="U245" i="1" s="1"/>
  <c r="S245" i="1" s="1"/>
  <c r="X245" i="1"/>
  <c r="T244" i="1"/>
  <c r="U244" i="1" s="1"/>
  <c r="S244" i="1" s="1"/>
  <c r="X244" i="1"/>
  <c r="T243" i="1"/>
  <c r="U243" i="1" s="1"/>
  <c r="S243" i="1" s="1"/>
  <c r="X243" i="1"/>
  <c r="T242" i="1"/>
  <c r="U242" i="1" s="1"/>
  <c r="S242" i="1" s="1"/>
  <c r="X242" i="1"/>
  <c r="T241" i="1"/>
  <c r="U241" i="1" s="1"/>
  <c r="S241" i="1" s="1"/>
  <c r="X241" i="1"/>
  <c r="T240" i="1"/>
  <c r="U240" i="1" s="1"/>
  <c r="S240" i="1" s="1"/>
  <c r="X240" i="1"/>
  <c r="T239" i="1"/>
  <c r="U239" i="1" s="1"/>
  <c r="S239" i="1" s="1"/>
  <c r="X239" i="1"/>
  <c r="T238" i="1"/>
  <c r="U238" i="1" s="1"/>
  <c r="S238" i="1" s="1"/>
  <c r="X238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T209" i="1"/>
  <c r="U209" i="1" s="1"/>
  <c r="S209" i="1" s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W147" i="1"/>
  <c r="W146" i="1"/>
  <c r="W145" i="1"/>
  <c r="W151" i="1"/>
  <c r="W138" i="1"/>
  <c r="W136" i="1"/>
  <c r="W134" i="1"/>
  <c r="W132" i="1"/>
  <c r="W130" i="1"/>
  <c r="W128" i="1"/>
  <c r="W126" i="1"/>
  <c r="W124" i="1"/>
  <c r="W213" i="1"/>
  <c r="W212" i="1"/>
  <c r="W210" i="1"/>
  <c r="W209" i="1"/>
  <c r="W157" i="1"/>
  <c r="W155" i="1"/>
  <c r="W154" i="1"/>
  <c r="W153" i="1"/>
  <c r="W152" i="1"/>
  <c r="W149" i="1"/>
  <c r="W144" i="1"/>
  <c r="W142" i="1"/>
  <c r="W140" i="1"/>
  <c r="AA139" i="1"/>
  <c r="W139" i="1" s="1"/>
  <c r="AA135" i="1"/>
  <c r="W135" i="1" s="1"/>
  <c r="AA131" i="1"/>
  <c r="W131" i="1" s="1"/>
  <c r="AA127" i="1"/>
  <c r="W127" i="1" s="1"/>
  <c r="AA123" i="1"/>
  <c r="W123" i="1" s="1"/>
  <c r="T119" i="1"/>
  <c r="U119" i="1" s="1"/>
  <c r="S119" i="1" s="1"/>
  <c r="X119" i="1"/>
  <c r="W113" i="1"/>
  <c r="T111" i="1"/>
  <c r="U111" i="1" s="1"/>
  <c r="S111" i="1" s="1"/>
  <c r="X111" i="1"/>
  <c r="W105" i="1"/>
  <c r="T103" i="1"/>
  <c r="U103" i="1" s="1"/>
  <c r="S103" i="1" s="1"/>
  <c r="X103" i="1"/>
  <c r="W97" i="1"/>
  <c r="T95" i="1"/>
  <c r="U95" i="1" s="1"/>
  <c r="S95" i="1" s="1"/>
  <c r="X95" i="1"/>
  <c r="W89" i="1"/>
  <c r="T87" i="1"/>
  <c r="U87" i="1" s="1"/>
  <c r="S87" i="1" s="1"/>
  <c r="X87" i="1"/>
  <c r="W83" i="1"/>
  <c r="T140" i="1"/>
  <c r="U140" i="1" s="1"/>
  <c r="S140" i="1" s="1"/>
  <c r="X140" i="1"/>
  <c r="T139" i="1"/>
  <c r="U139" i="1" s="1"/>
  <c r="S139" i="1" s="1"/>
  <c r="X139" i="1"/>
  <c r="T135" i="1"/>
  <c r="U135" i="1" s="1"/>
  <c r="S135" i="1" s="1"/>
  <c r="X135" i="1"/>
  <c r="T131" i="1"/>
  <c r="U131" i="1" s="1"/>
  <c r="S131" i="1" s="1"/>
  <c r="X131" i="1"/>
  <c r="T127" i="1"/>
  <c r="U127" i="1" s="1"/>
  <c r="S127" i="1" s="1"/>
  <c r="X127" i="1"/>
  <c r="T123" i="1"/>
  <c r="U123" i="1" s="1"/>
  <c r="S123" i="1" s="1"/>
  <c r="X123" i="1"/>
  <c r="W115" i="1"/>
  <c r="T113" i="1"/>
  <c r="U113" i="1" s="1"/>
  <c r="X113" i="1"/>
  <c r="W107" i="1"/>
  <c r="T105" i="1"/>
  <c r="U105" i="1" s="1"/>
  <c r="S105" i="1" s="1"/>
  <c r="X105" i="1"/>
  <c r="W99" i="1"/>
  <c r="T97" i="1"/>
  <c r="U97" i="1" s="1"/>
  <c r="S97" i="1" s="1"/>
  <c r="X97" i="1"/>
  <c r="W91" i="1"/>
  <c r="T89" i="1"/>
  <c r="U89" i="1" s="1"/>
  <c r="S89" i="1" s="1"/>
  <c r="X89" i="1"/>
  <c r="T83" i="1"/>
  <c r="U83" i="1" s="1"/>
  <c r="S83" i="1" s="1"/>
  <c r="X83" i="1"/>
  <c r="W82" i="1"/>
  <c r="AA137" i="1"/>
  <c r="W137" i="1" s="1"/>
  <c r="AA133" i="1"/>
  <c r="W133" i="1" s="1"/>
  <c r="AA129" i="1"/>
  <c r="W129" i="1" s="1"/>
  <c r="AA125" i="1"/>
  <c r="W125" i="1" s="1"/>
  <c r="W121" i="1"/>
  <c r="W117" i="1"/>
  <c r="T115" i="1"/>
  <c r="U115" i="1" s="1"/>
  <c r="S115" i="1" s="1"/>
  <c r="X115" i="1"/>
  <c r="W109" i="1"/>
  <c r="T107" i="1"/>
  <c r="U107" i="1" s="1"/>
  <c r="S107" i="1" s="1"/>
  <c r="X107" i="1"/>
  <c r="W101" i="1"/>
  <c r="T99" i="1"/>
  <c r="U99" i="1" s="1"/>
  <c r="S99" i="1" s="1"/>
  <c r="X99" i="1"/>
  <c r="W93" i="1"/>
  <c r="T91" i="1"/>
  <c r="U91" i="1" s="1"/>
  <c r="S91" i="1" s="1"/>
  <c r="X91" i="1"/>
  <c r="W85" i="1"/>
  <c r="T137" i="1"/>
  <c r="U137" i="1" s="1"/>
  <c r="S137" i="1" s="1"/>
  <c r="X137" i="1"/>
  <c r="T133" i="1"/>
  <c r="U133" i="1" s="1"/>
  <c r="S133" i="1" s="1"/>
  <c r="X133" i="1"/>
  <c r="T129" i="1"/>
  <c r="U129" i="1" s="1"/>
  <c r="X129" i="1"/>
  <c r="T125" i="1"/>
  <c r="U125" i="1" s="1"/>
  <c r="S125" i="1" s="1"/>
  <c r="X125" i="1"/>
  <c r="T121" i="1"/>
  <c r="U121" i="1" s="1"/>
  <c r="S121" i="1" s="1"/>
  <c r="X121" i="1"/>
  <c r="W119" i="1"/>
  <c r="T117" i="1"/>
  <c r="U117" i="1" s="1"/>
  <c r="S117" i="1" s="1"/>
  <c r="X117" i="1"/>
  <c r="T109" i="1"/>
  <c r="U109" i="1" s="1"/>
  <c r="S109" i="1" s="1"/>
  <c r="X109" i="1"/>
  <c r="W103" i="1"/>
  <c r="T101" i="1"/>
  <c r="U101" i="1" s="1"/>
  <c r="S101" i="1" s="1"/>
  <c r="X101" i="1"/>
  <c r="W95" i="1"/>
  <c r="T93" i="1"/>
  <c r="U93" i="1" s="1"/>
  <c r="S93" i="1" s="1"/>
  <c r="X93" i="1"/>
  <c r="T85" i="1"/>
  <c r="U85" i="1" s="1"/>
  <c r="S85" i="1" s="1"/>
  <c r="X85" i="1"/>
  <c r="W79" i="1"/>
  <c r="X50" i="1"/>
  <c r="T50" i="1"/>
  <c r="U50" i="1" s="1"/>
  <c r="S50" i="1" s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16" i="1"/>
  <c r="U116" i="1" s="1"/>
  <c r="S116" i="1" s="1"/>
  <c r="X116" i="1"/>
  <c r="T114" i="1"/>
  <c r="U114" i="1" s="1"/>
  <c r="S114" i="1" s="1"/>
  <c r="X114" i="1"/>
  <c r="T112" i="1"/>
  <c r="U112" i="1" s="1"/>
  <c r="S112" i="1" s="1"/>
  <c r="X112" i="1"/>
  <c r="T110" i="1"/>
  <c r="U110" i="1" s="1"/>
  <c r="S110" i="1" s="1"/>
  <c r="X110" i="1"/>
  <c r="T108" i="1"/>
  <c r="U108" i="1" s="1"/>
  <c r="S108" i="1" s="1"/>
  <c r="X108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X52" i="1"/>
  <c r="T52" i="1"/>
  <c r="U52" i="1" s="1"/>
  <c r="S52" i="1" s="1"/>
  <c r="W80" i="1"/>
  <c r="W76" i="1"/>
  <c r="W75" i="1"/>
  <c r="W72" i="1"/>
  <c r="W68" i="1"/>
  <c r="W67" i="1"/>
  <c r="W63" i="1"/>
  <c r="W60" i="1"/>
  <c r="W59" i="1"/>
  <c r="W56" i="1"/>
  <c r="W55" i="1"/>
  <c r="W30" i="1"/>
  <c r="W78" i="1"/>
  <c r="W77" i="1"/>
  <c r="W74" i="1"/>
  <c r="W73" i="1"/>
  <c r="W70" i="1"/>
  <c r="W69" i="1"/>
  <c r="W66" i="1"/>
  <c r="W65" i="1"/>
  <c r="W62" i="1"/>
  <c r="W61" i="1"/>
  <c r="W58" i="1"/>
  <c r="W57" i="1"/>
  <c r="W54" i="1"/>
  <c r="W53" i="1"/>
  <c r="X51" i="1"/>
  <c r="T51" i="1"/>
  <c r="U51" i="1" s="1"/>
  <c r="S51" i="1" s="1"/>
  <c r="W21" i="1"/>
  <c r="X82" i="1"/>
  <c r="X81" i="1"/>
  <c r="X80" i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7" i="1"/>
  <c r="T55" i="1"/>
  <c r="U55" i="1" s="1"/>
  <c r="S55" i="1" s="1"/>
  <c r="X55" i="1"/>
  <c r="W39" i="1"/>
  <c r="T32" i="1"/>
  <c r="U32" i="1" s="1"/>
  <c r="S32" i="1" s="1"/>
  <c r="X32" i="1"/>
  <c r="T23" i="1"/>
  <c r="U23" i="1" s="1"/>
  <c r="S23" i="1" s="1"/>
  <c r="X23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X56" i="1"/>
  <c r="T54" i="1"/>
  <c r="U54" i="1" s="1"/>
  <c r="S54" i="1" s="1"/>
  <c r="X54" i="1"/>
  <c r="W43" i="1"/>
  <c r="X53" i="1"/>
  <c r="AA52" i="1"/>
  <c r="W52" i="1" s="1"/>
  <c r="AA51" i="1"/>
  <c r="W51" i="1" s="1"/>
  <c r="AA50" i="1"/>
  <c r="W50" i="1" s="1"/>
  <c r="AA49" i="1"/>
  <c r="W49" i="1" s="1"/>
  <c r="AA48" i="1"/>
  <c r="W48" i="1" s="1"/>
  <c r="AA47" i="1"/>
  <c r="W47" i="1" s="1"/>
  <c r="AA46" i="1"/>
  <c r="W46" i="1" s="1"/>
  <c r="AA45" i="1"/>
  <c r="W45" i="1" s="1"/>
  <c r="AA44" i="1"/>
  <c r="W44" i="1" s="1"/>
  <c r="AA40" i="1"/>
  <c r="W40" i="1" s="1"/>
  <c r="T30" i="1"/>
  <c r="U30" i="1" s="1"/>
  <c r="S30" i="1" s="1"/>
  <c r="AA27" i="1"/>
  <c r="W27" i="1" s="1"/>
  <c r="T21" i="1"/>
  <c r="U21" i="1" s="1"/>
  <c r="S21" i="1" s="1"/>
  <c r="X21" i="1"/>
  <c r="W18" i="1"/>
  <c r="W14" i="1"/>
  <c r="T49" i="1"/>
  <c r="U49" i="1" s="1"/>
  <c r="S49" i="1" s="1"/>
  <c r="T48" i="1"/>
  <c r="U48" i="1" s="1"/>
  <c r="S48" i="1" s="1"/>
  <c r="T47" i="1"/>
  <c r="U47" i="1" s="1"/>
  <c r="S47" i="1" s="1"/>
  <c r="T46" i="1"/>
  <c r="U46" i="1" s="1"/>
  <c r="S46" i="1" s="1"/>
  <c r="T45" i="1"/>
  <c r="U45" i="1" s="1"/>
  <c r="S45" i="1" s="1"/>
  <c r="W41" i="1"/>
  <c r="W37" i="1"/>
  <c r="W34" i="1"/>
  <c r="T27" i="1"/>
  <c r="U27" i="1" s="1"/>
  <c r="S27" i="1" s="1"/>
  <c r="X27" i="1"/>
  <c r="W25" i="1"/>
  <c r="AA19" i="1"/>
  <c r="W19" i="1" s="1"/>
  <c r="AA15" i="1"/>
  <c r="W15" i="1" s="1"/>
  <c r="AA42" i="1"/>
  <c r="W42" i="1" s="1"/>
  <c r="AA38" i="1"/>
  <c r="W38" i="1" s="1"/>
  <c r="T37" i="1"/>
  <c r="U37" i="1" s="1"/>
  <c r="S37" i="1" s="1"/>
  <c r="X37" i="1"/>
  <c r="T34" i="1"/>
  <c r="U34" i="1" s="1"/>
  <c r="S34" i="1" s="1"/>
  <c r="X34" i="1"/>
  <c r="AA32" i="1"/>
  <c r="W32" i="1" s="1"/>
  <c r="T25" i="1"/>
  <c r="U25" i="1" s="1"/>
  <c r="S25" i="1" s="1"/>
  <c r="X25" i="1"/>
  <c r="AA23" i="1"/>
  <c r="W23" i="1" s="1"/>
  <c r="AA35" i="1"/>
  <c r="W35" i="1" s="1"/>
  <c r="AA33" i="1"/>
  <c r="W33" i="1" s="1"/>
  <c r="AA31" i="1"/>
  <c r="W31" i="1" s="1"/>
  <c r="AA28" i="1"/>
  <c r="W28" i="1" s="1"/>
  <c r="AA26" i="1"/>
  <c r="W26" i="1" s="1"/>
  <c r="AA24" i="1"/>
  <c r="W24" i="1" s="1"/>
  <c r="AA22" i="1"/>
  <c r="W22" i="1" s="1"/>
  <c r="W20" i="1"/>
  <c r="AA17" i="1"/>
  <c r="W17" i="1" s="1"/>
  <c r="T38" i="1"/>
  <c r="U38" i="1" s="1"/>
  <c r="S38" i="1" s="1"/>
  <c r="X38" i="1"/>
  <c r="T36" i="1"/>
  <c r="U36" i="1" s="1"/>
  <c r="S36" i="1" s="1"/>
  <c r="X36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AA16" i="1"/>
  <c r="W16" i="1" s="1"/>
  <c r="X19" i="1"/>
  <c r="X18" i="1"/>
  <c r="X17" i="1"/>
  <c r="X16" i="1"/>
  <c r="X15" i="1"/>
  <c r="AD21" i="3"/>
  <c r="AD16" i="3"/>
  <c r="AD13" i="3"/>
  <c r="AD35" i="3"/>
  <c r="AD34" i="3"/>
  <c r="T16" i="3"/>
  <c r="T7" i="3"/>
  <c r="T11" i="3"/>
  <c r="T8" i="3"/>
  <c r="AD26" i="3"/>
  <c r="AD25" i="3"/>
  <c r="T21" i="3"/>
  <c r="AD23" i="3"/>
  <c r="AE22" i="3"/>
  <c r="T23" i="3"/>
  <c r="AC17" i="3"/>
  <c r="AE20" i="3"/>
  <c r="T31" i="3"/>
  <c r="AC15" i="3"/>
  <c r="AD12" i="3"/>
  <c r="AE18" i="3"/>
  <c r="AE11" i="3"/>
  <c r="AD9" i="3"/>
  <c r="AD18" i="3"/>
  <c r="AE15" i="3"/>
  <c r="AD11" i="3"/>
  <c r="AD8" i="3"/>
  <c r="AC13" i="3"/>
  <c r="AE34" i="3"/>
  <c r="AC9" i="3"/>
  <c r="AE32" i="3"/>
  <c r="AC36" i="3"/>
  <c r="AE30" i="3"/>
  <c r="AC25" i="3"/>
  <c r="AC18" i="3"/>
  <c r="AE25" i="3"/>
  <c r="AC24" i="3"/>
  <c r="AE23" i="3"/>
  <c r="AD15" i="3"/>
  <c r="T30" i="3"/>
  <c r="AC29" i="3"/>
  <c r="AC19" i="3"/>
  <c r="AC12" i="3"/>
  <c r="AC34" i="3"/>
  <c r="AC10" i="3"/>
  <c r="AD20" i="3"/>
  <c r="T20" i="3"/>
  <c r="AC32" i="3"/>
  <c r="Y19" i="3"/>
  <c r="Y12" i="3"/>
  <c r="Y34" i="3"/>
  <c r="Y10" i="3"/>
  <c r="Y11" i="3"/>
  <c r="Y8" i="3"/>
  <c r="Y21" i="3"/>
  <c r="Y23" i="3"/>
  <c r="Y20" i="3"/>
  <c r="Y31" i="3"/>
  <c r="Y30" i="3"/>
  <c r="Y33" i="3"/>
  <c r="Y16" i="3"/>
  <c r="Y7" i="3"/>
  <c r="Y14" i="3"/>
  <c r="Y22" i="3"/>
  <c r="Y35" i="3"/>
  <c r="Y26" i="3"/>
  <c r="Y13" i="3"/>
  <c r="Y9" i="3"/>
  <c r="Y36" i="3"/>
  <c r="Y25" i="3"/>
  <c r="Y18" i="3"/>
  <c r="Y24" i="3"/>
  <c r="Y17" i="3"/>
  <c r="Y32" i="3"/>
  <c r="Y15" i="3"/>
  <c r="Y29" i="3"/>
  <c r="Y27" i="3"/>
  <c r="AE36" i="3"/>
  <c r="T14" i="3"/>
  <c r="AE33" i="3"/>
  <c r="T22" i="3"/>
  <c r="AE31" i="3"/>
  <c r="T35" i="3"/>
  <c r="AE29" i="3"/>
  <c r="T26" i="3"/>
  <c r="AE27" i="3"/>
  <c r="AE24" i="3"/>
  <c r="AD22" i="3"/>
  <c r="AE19" i="3"/>
  <c r="AE17" i="3"/>
  <c r="AE14" i="3"/>
  <c r="AE10" i="3"/>
  <c r="AD36" i="3"/>
  <c r="AE35" i="3"/>
  <c r="AD33" i="3"/>
  <c r="AD31" i="3"/>
  <c r="AD29" i="3"/>
  <c r="AD27" i="3"/>
  <c r="AE26" i="3"/>
  <c r="AD24" i="3"/>
  <c r="AE21" i="3"/>
  <c r="T17" i="3"/>
  <c r="AD19" i="3"/>
  <c r="T32" i="3"/>
  <c r="AD17" i="3"/>
  <c r="AE16" i="3"/>
  <c r="T15" i="3"/>
  <c r="AD14" i="3"/>
  <c r="AE13" i="3"/>
  <c r="T29" i="3"/>
  <c r="AD10" i="3"/>
  <c r="AE9" i="3"/>
  <c r="T27" i="3"/>
  <c r="AE12" i="3"/>
  <c r="AE8" i="3"/>
  <c r="S28" i="3"/>
  <c r="R28" i="3"/>
  <c r="M28" i="3"/>
  <c r="U28" i="3"/>
  <c r="V28" i="3"/>
  <c r="X28" i="3"/>
  <c r="AE28" i="3" l="1"/>
  <c r="AC28" i="3"/>
  <c r="AD28" i="3"/>
  <c r="T28" i="3"/>
  <c r="W28" i="3"/>
  <c r="Y28" i="3" l="1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N13" i="3" s="1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N19" i="3" s="1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34" i="3" s="1"/>
  <c r="G157" i="4"/>
  <c r="G158" i="4"/>
  <c r="G159" i="4"/>
  <c r="N11" i="3" s="1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36" i="3" s="1"/>
  <c r="G175" i="4"/>
  <c r="G176" i="4"/>
  <c r="G177" i="4"/>
  <c r="G178" i="4"/>
  <c r="N35" i="3" s="1"/>
  <c r="G179" i="4"/>
  <c r="G180" i="4"/>
  <c r="G181" i="4"/>
  <c r="N28" i="3" s="1"/>
  <c r="G182" i="4"/>
  <c r="G183" i="4"/>
  <c r="G184" i="4"/>
  <c r="N7" i="3" s="1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12" i="3" s="1"/>
  <c r="G199" i="4"/>
  <c r="G200" i="4"/>
  <c r="G201" i="4"/>
  <c r="G202" i="4"/>
  <c r="G203" i="4"/>
  <c r="G204" i="4"/>
  <c r="G205" i="4"/>
  <c r="G206" i="4"/>
  <c r="N16" i="3" s="1"/>
  <c r="G207" i="4"/>
  <c r="N22" i="3" s="1"/>
  <c r="G208" i="4"/>
  <c r="N9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5" i="3" l="1"/>
  <c r="N26" i="3"/>
  <c r="N24" i="3"/>
  <c r="N20" i="3"/>
  <c r="N15" i="3"/>
  <c r="N27" i="3"/>
  <c r="N18" i="3"/>
  <c r="N21" i="3"/>
  <c r="N17" i="3"/>
  <c r="N23" i="3"/>
  <c r="N32" i="3"/>
  <c r="N31" i="3"/>
  <c r="N29" i="3"/>
  <c r="N30" i="3"/>
  <c r="N33" i="3"/>
  <c r="N8" i="3"/>
  <c r="N1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<sst xmlns="http://schemas.openxmlformats.org/spreadsheetml/2006/main" count="2870" uniqueCount="1000">
  <si>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</si>
  <si>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</si>
  <si>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</si>
  <si>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</si>
  <si>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</si>
  <si>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</si>
  <si>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</si>
  <si>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</si>
  <si>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</si>
  <si>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</si>
  <si>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</si>
  <si>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</si>
  <si>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</si>
  <si>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</si>
  <si>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</si>
  <si>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</si>
  <si>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</si>
  <si>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</si>
  <si>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</si>
  <si>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</si>
  <si>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</si>
  <si>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</si>
  <si>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</si>
  <si>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</si>
  <si>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</si>
  <si>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</si>
  <si>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</si>
  <si>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</si>
  <si>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</si>
  <si>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</si>
  <si>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</si>
  <si>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</si>
  <si>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</si>
  <si>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</si>
  <si>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</si>
  <si>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</si>
  <si>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</si>
  <si>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</si>
  <si>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</si>
  <si>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</si>
  <si>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</si>
  <si>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</si>
  <si>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</si>
  <si>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</si>
  <si>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</si>
  <si>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</si>
  <si>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</si>
  <si>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</si>
  <si>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</si>
  <si>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</si>
  <si>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</si>
  <si>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</si>
  <si>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</si>
  <si>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</si>
  <si>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</si>
  <si>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</si>
  <si>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</si>
  <si>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</si>
  <si>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</si>
  <si>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</si>
  <si>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</si>
  <si>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</si>
  <si>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</si>
  <si>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</si>
  <si>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</si>
  <si>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</si>
  <si>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</si>
  <si>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</si>
  <si>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</si>
  <si>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</si>
  <si>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</si>
  <si>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</si>
  <si>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</si>
  <si>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</si>
  <si>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</si>
  <si>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</si>
  <si>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</si>
  <si>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</si>
  <si>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</si>
  <si>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</si>
  <si>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</si>
  <si>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</si>
  <si>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</si>
  <si>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</si>
  <si>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</si>
  <si>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</si>
  <si>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</si>
  <si>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</si>
  <si>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</si>
  <si>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</si>
  <si>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</si>
  <si>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</si>
  <si>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</si>
  <si>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</si>
  <si>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</si>
  <si>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</si>
  <si>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</si>
  <si>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</si>
  <si>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</si>
  <si>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</si>
  <si>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</si>
  <si>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</si>
  <si>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</si>
  <si>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</si>
  <si>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</si>
  <si>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</si>
  <si>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</si>
  <si>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</si>
  <si>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</si>
  <si>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</si>
  <si>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</si>
  <si>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</si>
  <si>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</si>
  <si>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</si>
  <si>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</si>
  <si>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</si>
  <si>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</si>
  <si>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</si>
  <si>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</si>
  <si>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</si>
  <si>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</si>
  <si>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</si>
  <si>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</si>
  <si>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</si>
  <si>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</si>
  <si>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</si>
  <si>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</si>
  <si>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</si>
  <si>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</si>
  <si>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</si>
  <si>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</si>
  <si>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</si>
  <si>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</si>
  <si>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</si>
  <si>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</si>
  <si>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</si>
  <si>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</si>
  <si>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</si>
  <si>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</si>
  <si>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</si>
  <si>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</si>
  <si>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</si>
  <si>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</si>
  <si>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</si>
  <si>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</si>
  <si>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</si>
  <si>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</si>
  <si>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</si>
  <si>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</si>
  <si>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</si>
  <si>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</si>
  <si>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</si>
  <si>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</si>
  <si>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</si>
  <si>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</si>
  <si>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</si>
  <si>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</si>
  <si>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</si>
  <si>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</si>
  <si>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</si>
  <si>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</si>
  <si>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</si>
  <si>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</si>
  <si>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</si>
  <si>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</si>
  <si>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</si>
  <si>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</si>
  <si>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</si>
  <si>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</si>
  <si>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</si>
  <si>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</si>
  <si>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</si>
  <si>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</si>
  <si>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</si>
  <si>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</si>
  <si>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</si>
  <si>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</si>
  <si>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</si>
  <si>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</si>
  <si>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</si>
  <si>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</si>
  <si>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</si>
  <si>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</si>
  <si>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</si>
  <si>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</si>
  <si>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</si>
  <si>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</si>
  <si>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</si>
  <si>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</si>
  <si>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</si>
  <si>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</si>
  <si>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</si>
  <si>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</si>
  <si>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</si>
  <si>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</si>
  <si>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</si>
  <si>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</si>
  <si>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</si>
  <si>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</si>
  <si>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</si>
  <si>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</si>
  <si>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</si>
  <si>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</si>
  <si>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</si>
  <si>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</si>
  <si>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</si>
  <si>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</si>
  <si>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</si>
  <si>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</si>
  <si>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</si>
  <si>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</si>
  <si>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</si>
  <si>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</si>
  <si>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</si>
  <si>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</si>
  <si>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</si>
  <si>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</si>
  <si>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</si>
  <si>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</si>
  <si>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</si>
  <si>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</si>
  <si>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</si>
  <si>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</si>
  <si>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</si>
  <si>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</si>
  <si>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</si>
  <si>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</si>
  <si>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</si>
  <si>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</si>
  <si>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</si>
  <si>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</si>
  <si>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</si>
  <si>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</si>
  <si>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</si>
  <si>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</si>
  <si>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</si>
  <si>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</si>
  <si>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</si>
  <si>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</si>
  <si>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</si>
  <si>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</si>
  <si>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</si>
  <si>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</si>
  <si>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</si>
  <si>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</si>
  <si>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</si>
  <si>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</si>
  <si>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</si>
  <si>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</si>
  <si>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</si>
  <si>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</si>
  <si>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</si>
  <si>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</si>
  <si>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</si>
  <si>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</si>
  <si>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</si>
  <si>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</si>
  <si>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</si>
  <si>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</si>
  <si>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</si>
  <si>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</si>
  <si>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</si>
  <si>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</si>
  <si>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</si>
  <si>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</si>
  <si>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</si>
  <si>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</si>
  <si>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</si>
  <si>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</si>
  <si>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</si>
  <si>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</si>
  <si>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</si>
  <si>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</si>
  <si>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</si>
  <si>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</si>
  <si>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</si>
  <si>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</si>
  <si>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</si>
  <si>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</si>
  <si>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</si>
  <si>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</si>
  <si>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</si>
  <si>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</si>
  <si>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</si>
  <si>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</si>
  <si>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</si>
  <si>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</si>
  <si>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</si>
  <si>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</si>
  <si>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</si>
  <si>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</si>
  <si>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</si>
  <si>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</si>
  <si>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</si>
  <si>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</si>
  <si>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</si>
  <si>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</si>
  <si>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</si>
  <si>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</si>
  <si>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</si>
  <si>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</si>
  <si>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</si>
  <si>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</si>
  <si>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</si>
  <si>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</si>
  <si>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</si>
  <si>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</si>
  <si>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</si>
  <si>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</si>
  <si>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</si>
  <si>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</si>
  <si>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</si>
  <si>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</si>
  <si>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</si>
  <si>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</si>
  <si>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</si>
  <si>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</si>
  <si>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</si>
  <si>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</si>
  <si>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</si>
  <si>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</si>
  <si>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</si>
  <si>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</si>
  <si>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</si>
  <si>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</si>
  <si>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</si>
  <si>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</si>
  <si>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</si>
  <si>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</si>
  <si>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</si>
  <si>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</si>
  <si>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</si>
  <si>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</si>
  <si>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</si>
  <si>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</si>
  <si>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</si>
  <si>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</si>
  <si>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</si>
  <si>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</si>
  <si>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</si>
  <si>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</si>
  <si>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</si>
  <si>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</si>
  <si>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</si>
  <si>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</si>
  <si>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</si>
  <si>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</si>
  <si>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</si>
  <si>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</si>
  <si>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</si>
  <si>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</si>
  <si>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</si>
  <si>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</si>
  <si>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</si>
  <si>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</si>
  <si>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</si>
  <si>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</si>
  <si>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</si>
  <si>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</si>
  <si>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</si>
  <si>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</si>
  <si>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</si>
  <si>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</si>
  <si>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</si>
  <si>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</si>
  <si>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</si>
  <si>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</si>
  <si>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204:451</t>
  </si>
  <si>
    <t>204:233312</t>
  </si>
  <si>
    <t>204:471</t>
  </si>
  <si>
    <t>STAMBAUGH</t>
  </si>
  <si>
    <t>204:154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</si>
  <si>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</si>
  <si>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</si>
  <si>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</si>
  <si>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</si>
  <si>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</si>
  <si>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</si>
  <si>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</si>
  <si>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</si>
  <si>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</si>
  <si>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</si>
  <si>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</si>
  <si>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</si>
  <si>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</si>
  <si>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</si>
  <si>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</si>
  <si>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rtdc.l.rtdc.4055:itc</t>
  </si>
  <si>
    <t>MICHAEL</t>
  </si>
  <si>
    <t>204:233302</t>
  </si>
  <si>
    <t>204:160</t>
  </si>
  <si>
    <t>clear-night</t>
  </si>
  <si>
    <t>Clear</t>
  </si>
  <si>
    <t>rtdc.l.rtdc.4066:itc</t>
  </si>
  <si>
    <t>rtdc.l.rtdc.4065:itc</t>
  </si>
  <si>
    <t>MCREYNOLDS</t>
  </si>
  <si>
    <t>KYLE</t>
  </si>
  <si>
    <t>204:233314</t>
  </si>
  <si>
    <t>%REDMINEAPIKEY%</t>
  </si>
  <si>
    <t>204:232977</t>
  </si>
  <si>
    <t>204:464</t>
  </si>
  <si>
    <t>204:232991</t>
  </si>
  <si>
    <t>rtdc.l.rtdc.4052:itc</t>
  </si>
  <si>
    <t>rtdc.l.rtdc.4051:itc</t>
  </si>
  <si>
    <t>STEWART</t>
  </si>
  <si>
    <t>204:232985</t>
  </si>
  <si>
    <t>204:232994</t>
  </si>
  <si>
    <t>clear-day</t>
  </si>
  <si>
    <t>204:442</t>
  </si>
  <si>
    <t>204:232965</t>
  </si>
  <si>
    <t>204:462</t>
  </si>
  <si>
    <t>204:232989</t>
  </si>
  <si>
    <t>204:232987</t>
  </si>
  <si>
    <t>300:23346</t>
  </si>
  <si>
    <t>SIGNAL</t>
  </si>
  <si>
    <t>Signal based authority (5)</t>
  </si>
  <si>
    <t>rtdc.l.rtdc.4001:itc</t>
  </si>
  <si>
    <t>rtdc.l.rtdc.4002:itc</t>
  </si>
  <si>
    <t>204:438</t>
  </si>
  <si>
    <t>204:138</t>
  </si>
  <si>
    <t>204:440</t>
  </si>
  <si>
    <t>204:444</t>
  </si>
  <si>
    <t>204:233023</t>
  </si>
  <si>
    <t>204:233299</t>
  </si>
  <si>
    <t>204:136</t>
  </si>
  <si>
    <t>204:233332</t>
  </si>
  <si>
    <t>204:141</t>
  </si>
  <si>
    <t>Wi-MAX data drop</t>
  </si>
  <si>
    <t>rtdc.l.rtdc.4008:itc</t>
  </si>
  <si>
    <t>204:233021</t>
  </si>
  <si>
    <t>204:233295</t>
  </si>
  <si>
    <t>204:233297</t>
  </si>
  <si>
    <t>204:232983</t>
  </si>
  <si>
    <t>rtdc.l.rtdc.4060:itc</t>
  </si>
  <si>
    <t>rtdc.l.rtdc.4020:itc</t>
  </si>
  <si>
    <t>rtdc.l.rtdc.4059:itc</t>
  </si>
  <si>
    <t>rtdc.l.rtdc.4009:itc</t>
  </si>
  <si>
    <t>YANG</t>
  </si>
  <si>
    <t>JAN</t>
  </si>
  <si>
    <t>rtdc.l.rtdc.4010:itc</t>
  </si>
  <si>
    <t>YANAI</t>
  </si>
  <si>
    <t>IAN</t>
  </si>
  <si>
    <t>STARKS</t>
  </si>
  <si>
    <t>ANGELINA</t>
  </si>
  <si>
    <t>LEVERE</t>
  </si>
  <si>
    <t>CRAIG</t>
  </si>
  <si>
    <t>LEVIN</t>
  </si>
  <si>
    <t>SCOTT</t>
  </si>
  <si>
    <t>204:232996</t>
  </si>
  <si>
    <t>204:469</t>
  </si>
  <si>
    <t>204:233288</t>
  </si>
  <si>
    <t>204:233293</t>
  </si>
  <si>
    <t>204:233311</t>
  </si>
  <si>
    <t>204:232998</t>
  </si>
  <si>
    <t>204:232990</t>
  </si>
  <si>
    <t>204:437</t>
  </si>
  <si>
    <t>204:233327</t>
  </si>
  <si>
    <t>204:232980</t>
  </si>
  <si>
    <t>300:58931</t>
  </si>
  <si>
    <t>204:692</t>
  </si>
  <si>
    <t>300:58638</t>
  </si>
  <si>
    <t>Poor GPS at DUS</t>
  </si>
  <si>
    <t>BONDS</t>
  </si>
  <si>
    <t>REYNALDO</t>
  </si>
  <si>
    <t>DE LA ROSA</t>
  </si>
  <si>
    <t>ALEX</t>
  </si>
  <si>
    <t>NEWELL</t>
  </si>
  <si>
    <t>BRUDER</t>
  </si>
  <si>
    <t>RICHARD</t>
  </si>
  <si>
    <t>ROBINSON</t>
  </si>
  <si>
    <t>KADDIBA</t>
  </si>
  <si>
    <t>MOSES</t>
  </si>
  <si>
    <t>BRADLEY</t>
  </si>
  <si>
    <t>BIRKHOLZ</t>
  </si>
  <si>
    <t>NADINE</t>
  </si>
  <si>
    <t>204:233002</t>
  </si>
  <si>
    <t>204:232988</t>
  </si>
  <si>
    <t>204:132</t>
  </si>
  <si>
    <t>300:23302</t>
  </si>
  <si>
    <t>300:58984</t>
  </si>
  <si>
    <t>300:58960</t>
  </si>
  <si>
    <t>300:58958</t>
  </si>
  <si>
    <t>204:1152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</si>
  <si>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</si>
  <si>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</si>
  <si>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</si>
  <si>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</si>
  <si>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</si>
  <si>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</si>
  <si>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311-18</t>
  </si>
  <si>
    <t>rtdc.l.rtdc.4039:itc</t>
  </si>
  <si>
    <t>rtdc.l.rtdc.4043:itc</t>
  </si>
  <si>
    <t>rtdc.l.rtdc.4044:itc</t>
  </si>
  <si>
    <t>DAVIS</t>
  </si>
  <si>
    <t>WENDY</t>
  </si>
  <si>
    <t>FORTUNATO</t>
  </si>
  <si>
    <t>FRANK</t>
  </si>
  <si>
    <t>GEBRETEKLE</t>
  </si>
  <si>
    <t>DAGNEW</t>
  </si>
  <si>
    <t>PAGE</t>
  </si>
  <si>
    <t>MARCUS</t>
  </si>
  <si>
    <t>ACKERMAN</t>
  </si>
  <si>
    <t>JARED</t>
  </si>
  <si>
    <t>rtdc.l.rtdc.4006:itc</t>
  </si>
  <si>
    <t>BERLING</t>
  </si>
  <si>
    <t>GARY</t>
  </si>
  <si>
    <t>HOLCOMB</t>
  </si>
  <si>
    <t>KAMDEN</t>
  </si>
  <si>
    <t>DELGADO</t>
  </si>
  <si>
    <t>DIANAH</t>
  </si>
  <si>
    <t>ZEWDU</t>
  </si>
  <si>
    <t>DEREJE</t>
  </si>
  <si>
    <t>242-18</t>
  </si>
  <si>
    <t>307-18</t>
  </si>
  <si>
    <t>244-18</t>
  </si>
  <si>
    <t>309-18</t>
  </si>
  <si>
    <t>58-19</t>
  </si>
  <si>
    <t>300-19</t>
  </si>
  <si>
    <t>204:233315</t>
  </si>
  <si>
    <t>204:134</t>
  </si>
  <si>
    <t>204:233309</t>
  </si>
  <si>
    <t>204:232982</t>
  </si>
  <si>
    <t>204:233013</t>
  </si>
  <si>
    <t>204:232986</t>
  </si>
  <si>
    <t>204:233334</t>
  </si>
  <si>
    <t>204:233318</t>
  </si>
  <si>
    <t>204:232984</t>
  </si>
  <si>
    <t>204:232963</t>
  </si>
  <si>
    <t>204:163</t>
  </si>
  <si>
    <t>204:233307</t>
  </si>
  <si>
    <t>204:233308</t>
  </si>
  <si>
    <t>204:233321</t>
  </si>
  <si>
    <t>204:232981</t>
  </si>
  <si>
    <t>204:233000</t>
  </si>
  <si>
    <t>204:233301</t>
  </si>
  <si>
    <t>204:466</t>
  </si>
  <si>
    <t>204:233317</t>
  </si>
  <si>
    <t>204:232960</t>
  </si>
  <si>
    <t>204:484</t>
  </si>
  <si>
    <t>300:23312</t>
  </si>
  <si>
    <t>204:1148</t>
  </si>
  <si>
    <t>204:701</t>
  </si>
  <si>
    <t>300:58658</t>
  </si>
  <si>
    <t>300:58662</t>
  </si>
  <si>
    <t>204:699</t>
  </si>
  <si>
    <t>204:993</t>
  </si>
  <si>
    <t>204:706</t>
  </si>
  <si>
    <t>300:58967</t>
  </si>
  <si>
    <t>300:58651</t>
  </si>
  <si>
    <t>204:703</t>
  </si>
  <si>
    <t>204:713</t>
  </si>
  <si>
    <t>204:985</t>
  </si>
  <si>
    <t>300:58950</t>
  </si>
  <si>
    <t>300:58645</t>
  </si>
  <si>
    <t>300:58615</t>
  </si>
  <si>
    <t>300:58626</t>
  </si>
  <si>
    <t>204:677</t>
  </si>
  <si>
    <t>300:28778</t>
  </si>
  <si>
    <t>ANDERS STEVEN</t>
  </si>
  <si>
    <t>62-19</t>
  </si>
  <si>
    <t>rtdc.l.rtdc.4015:itc</t>
  </si>
  <si>
    <t>308-19</t>
  </si>
  <si>
    <t>rtdc.l.rtdc.4058:itc</t>
  </si>
  <si>
    <t>105-19</t>
  </si>
  <si>
    <t>rtdc.l.rtdc.4024:itc</t>
  </si>
  <si>
    <t>901-19</t>
  </si>
  <si>
    <t>rtdc.l.rtdc.4023:itc</t>
  </si>
  <si>
    <t>800-19</t>
  </si>
  <si>
    <t>801-19</t>
  </si>
  <si>
    <t>805-19</t>
  </si>
  <si>
    <t>806-19</t>
  </si>
  <si>
    <t>809-19</t>
  </si>
  <si>
    <t>147-19</t>
  </si>
  <si>
    <t>815-19</t>
  </si>
  <si>
    <t>rtdc.l.rtdc.4057:itc</t>
  </si>
  <si>
    <t>148-19</t>
  </si>
  <si>
    <t>rtdc.l.rtdc.4022:itc</t>
  </si>
  <si>
    <t>61-19</t>
  </si>
  <si>
    <t>rtdc.l.rtdc.4031:itc</t>
  </si>
  <si>
    <t>63-19</t>
  </si>
  <si>
    <t>rtdc.l.rtdc.4021:itc</t>
  </si>
  <si>
    <t>66-19</t>
  </si>
  <si>
    <t>164-19</t>
  </si>
  <si>
    <t>174-19</t>
  </si>
  <si>
    <t>182-19</t>
  </si>
  <si>
    <t>824-19</t>
  </si>
  <si>
    <t>187-19</t>
  </si>
  <si>
    <t>837-19</t>
  </si>
  <si>
    <t>TEMPORARY SPEED RESTRICTION</t>
  </si>
  <si>
    <t>216-19</t>
  </si>
  <si>
    <t>226-19</t>
  </si>
  <si>
    <t>51-19</t>
  </si>
  <si>
    <t>SPECTOR</t>
  </si>
  <si>
    <t>101-19</t>
  </si>
  <si>
    <t>52-19</t>
  </si>
  <si>
    <t>302-19</t>
  </si>
  <si>
    <t>MAELZER</t>
  </si>
  <si>
    <t>KURT</t>
  </si>
  <si>
    <t>103-19</t>
  </si>
  <si>
    <t>102-19</t>
  </si>
  <si>
    <t>304-19</t>
  </si>
  <si>
    <t>306-19</t>
  </si>
  <si>
    <t>WILLIAMS</t>
  </si>
  <si>
    <t>DONTE</t>
  </si>
  <si>
    <t>107-19</t>
  </si>
  <si>
    <t>104-19</t>
  </si>
  <si>
    <t>rtdc.l.rtdc.4016:itc</t>
  </si>
  <si>
    <t>109-19</t>
  </si>
  <si>
    <t>rtdc.l.rtdc.4013:itc</t>
  </si>
  <si>
    <t>310-19</t>
  </si>
  <si>
    <t>111-19</t>
  </si>
  <si>
    <t>rtdc.l.rtdc.4014:itc</t>
  </si>
  <si>
    <t>113-19</t>
  </si>
  <si>
    <t>108-19</t>
  </si>
  <si>
    <t>106-19</t>
  </si>
  <si>
    <t>312-19</t>
  </si>
  <si>
    <t>115-19</t>
  </si>
  <si>
    <t>110-19</t>
  </si>
  <si>
    <t>117-19</t>
  </si>
  <si>
    <t>112-19</t>
  </si>
  <si>
    <t>902-19</t>
  </si>
  <si>
    <t>114-19</t>
  </si>
  <si>
    <t>119-19</t>
  </si>
  <si>
    <t>803-19</t>
  </si>
  <si>
    <t>802-19</t>
  </si>
  <si>
    <t>121-19</t>
  </si>
  <si>
    <t>116-19</t>
  </si>
  <si>
    <t>804-19</t>
  </si>
  <si>
    <t>123-19</t>
  </si>
  <si>
    <t>118-19</t>
  </si>
  <si>
    <t>125-19</t>
  </si>
  <si>
    <t>122-19</t>
  </si>
  <si>
    <t>120-19</t>
  </si>
  <si>
    <t>127-19</t>
  </si>
  <si>
    <t>GONZALEZ</t>
  </si>
  <si>
    <t>ARMANDO</t>
  </si>
  <si>
    <t>807-19</t>
  </si>
  <si>
    <t>129-19</t>
  </si>
  <si>
    <t>124-19</t>
  </si>
  <si>
    <t>126-19</t>
  </si>
  <si>
    <t>131-19</t>
  </si>
  <si>
    <t>808-19</t>
  </si>
  <si>
    <t>133-19</t>
  </si>
  <si>
    <t>128-19</t>
  </si>
  <si>
    <t>135-19</t>
  </si>
  <si>
    <t>810-19</t>
  </si>
  <si>
    <t>811-19</t>
  </si>
  <si>
    <t>HUFFSMITH</t>
  </si>
  <si>
    <t>MONTY</t>
  </si>
  <si>
    <t>130-19</t>
  </si>
  <si>
    <t>137-19</t>
  </si>
  <si>
    <t>132-19</t>
  </si>
  <si>
    <t>139-19</t>
  </si>
  <si>
    <t>812-19</t>
  </si>
  <si>
    <t>903-19</t>
  </si>
  <si>
    <t>134-19</t>
  </si>
  <si>
    <t>136-19</t>
  </si>
  <si>
    <t>141-19</t>
  </si>
  <si>
    <t>143-19</t>
  </si>
  <si>
    <t>813-19</t>
  </si>
  <si>
    <t>138-19</t>
  </si>
  <si>
    <t>145-19</t>
  </si>
  <si>
    <t>142-19</t>
  </si>
  <si>
    <t>140-19</t>
  </si>
  <si>
    <t>814-19</t>
  </si>
  <si>
    <t>149-19</t>
  </si>
  <si>
    <t>144-19</t>
  </si>
  <si>
    <t>60-19</t>
  </si>
  <si>
    <t>151-19</t>
  </si>
  <si>
    <t>146-19</t>
  </si>
  <si>
    <t>153-19</t>
  </si>
  <si>
    <t>155-19</t>
  </si>
  <si>
    <t>150-19</t>
  </si>
  <si>
    <t>816-19</t>
  </si>
  <si>
    <t>157-19</t>
  </si>
  <si>
    <t>BADERTSCHER</t>
  </si>
  <si>
    <t>DIANE</t>
  </si>
  <si>
    <t>152-19</t>
  </si>
  <si>
    <t>159-19</t>
  </si>
  <si>
    <t>817-19</t>
  </si>
  <si>
    <t>154-19</t>
  </si>
  <si>
    <t>156-19</t>
  </si>
  <si>
    <t>161-19</t>
  </si>
  <si>
    <t>163-19</t>
  </si>
  <si>
    <t>818-19</t>
  </si>
  <si>
    <t>158-19</t>
  </si>
  <si>
    <t>165-19</t>
  </si>
  <si>
    <t>160-19</t>
  </si>
  <si>
    <t>KILLION</t>
  </si>
  <si>
    <t>DAVID</t>
  </si>
  <si>
    <t>167-19</t>
  </si>
  <si>
    <t>819-19</t>
  </si>
  <si>
    <t>rtdc.l.rtdc.4032:itc</t>
  </si>
  <si>
    <t>65-19</t>
  </si>
  <si>
    <t>162-19</t>
  </si>
  <si>
    <t>169-19</t>
  </si>
  <si>
    <t>171-19</t>
  </si>
  <si>
    <t>820-19</t>
  </si>
  <si>
    <t>166-19</t>
  </si>
  <si>
    <t>173-19</t>
  </si>
  <si>
    <t>64-19</t>
  </si>
  <si>
    <t>168-19</t>
  </si>
  <si>
    <t>175-19</t>
  </si>
  <si>
    <t>170-19</t>
  </si>
  <si>
    <t>821-19</t>
  </si>
  <si>
    <t>177-19</t>
  </si>
  <si>
    <t>172-19</t>
  </si>
  <si>
    <t>822-19</t>
  </si>
  <si>
    <t>179-19</t>
  </si>
  <si>
    <t>181-19</t>
  </si>
  <si>
    <t>176-19</t>
  </si>
  <si>
    <t>183-19</t>
  </si>
  <si>
    <t>823-19</t>
  </si>
  <si>
    <t>185-19</t>
  </si>
  <si>
    <t>178-19</t>
  </si>
  <si>
    <t>180-19</t>
  </si>
  <si>
    <t>189-19</t>
  </si>
  <si>
    <t>184-19</t>
  </si>
  <si>
    <t>191-19</t>
  </si>
  <si>
    <t>904-19</t>
  </si>
  <si>
    <t>825-19</t>
  </si>
  <si>
    <t>186-19</t>
  </si>
  <si>
    <t>193-19</t>
  </si>
  <si>
    <t>188-19</t>
  </si>
  <si>
    <t>826-19</t>
  </si>
  <si>
    <t>827-19</t>
  </si>
  <si>
    <t>195-19</t>
  </si>
  <si>
    <t>190-19</t>
  </si>
  <si>
    <t>197-19</t>
  </si>
  <si>
    <t>192-19</t>
  </si>
  <si>
    <t>199-19</t>
  </si>
  <si>
    <t>828-19</t>
  </si>
  <si>
    <t>829-19</t>
  </si>
  <si>
    <t>194-19</t>
  </si>
  <si>
    <t>201-19</t>
  </si>
  <si>
    <t>196-19</t>
  </si>
  <si>
    <t>203-19</t>
  </si>
  <si>
    <t>830-19</t>
  </si>
  <si>
    <t>831-19</t>
  </si>
  <si>
    <t>198-19</t>
  </si>
  <si>
    <t>205-19</t>
  </si>
  <si>
    <t>200-19</t>
  </si>
  <si>
    <t>207-19</t>
  </si>
  <si>
    <t>75-19</t>
  </si>
  <si>
    <t>832-19</t>
  </si>
  <si>
    <t>202-19</t>
  </si>
  <si>
    <t>833-19</t>
  </si>
  <si>
    <t>209-19</t>
  </si>
  <si>
    <t>77-19</t>
  </si>
  <si>
    <t>204-19</t>
  </si>
  <si>
    <t>211-19</t>
  </si>
  <si>
    <t>834-19</t>
  </si>
  <si>
    <t>835-19</t>
  </si>
  <si>
    <t>206-19</t>
  </si>
  <si>
    <t>213-19</t>
  </si>
  <si>
    <t>79-19</t>
  </si>
  <si>
    <t>NICHOLSON</t>
  </si>
  <si>
    <t>WESLEY</t>
  </si>
  <si>
    <t>208-19</t>
  </si>
  <si>
    <t>215-19</t>
  </si>
  <si>
    <t>836-19</t>
  </si>
  <si>
    <t>210-19</t>
  </si>
  <si>
    <t>217-19</t>
  </si>
  <si>
    <t>ELBAUM</t>
  </si>
  <si>
    <t>MIKE</t>
  </si>
  <si>
    <t>212-19</t>
  </si>
  <si>
    <t>219-19</t>
  </si>
  <si>
    <t>838-19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</si>
  <si>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</si>
  <si>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</si>
  <si>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</si>
  <si>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</si>
  <si>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</si>
  <si>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</si>
  <si>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</si>
  <si>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</si>
  <si>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</si>
  <si>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</si>
  <si>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</si>
  <si>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</si>
  <si>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</si>
  <si>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</si>
  <si>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</si>
  <si>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</si>
  <si>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</si>
  <si>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</si>
  <si>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</si>
  <si>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</si>
  <si>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</si>
  <si>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</si>
  <si>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</si>
  <si>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</si>
  <si>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</si>
  <si>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</si>
  <si>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</si>
  <si>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</si>
  <si>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</si>
  <si>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</si>
  <si>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</si>
  <si>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</si>
  <si>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</si>
  <si>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</si>
  <si>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</si>
  <si>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</si>
  <si>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</si>
  <si>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</si>
  <si>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</si>
  <si>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</si>
  <si>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</si>
  <si>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</si>
  <si>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</si>
  <si>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</si>
  <si>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</si>
  <si>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</si>
  <si>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</si>
  <si>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</si>
  <si>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</si>
  <si>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</si>
  <si>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</si>
  <si>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partly-cloudy-day</t>
  </si>
  <si>
    <t>Partly Cloudy</t>
  </si>
  <si>
    <t>partly-cloudy-night</t>
  </si>
  <si>
    <t>204:765</t>
  </si>
  <si>
    <t>204:233032</t>
  </si>
  <si>
    <t>204:449</t>
  </si>
  <si>
    <t>204:233216</t>
  </si>
  <si>
    <t>204:165</t>
  </si>
  <si>
    <t>204:232978</t>
  </si>
  <si>
    <t>204:233310</t>
  </si>
  <si>
    <t>204:232973</t>
  </si>
  <si>
    <t>204:233340</t>
  </si>
  <si>
    <t>204:435</t>
  </si>
  <si>
    <t>204:232969</t>
  </si>
  <si>
    <t>204:482</t>
  </si>
  <si>
    <t>204:232971</t>
  </si>
  <si>
    <t>204:233304</t>
  </si>
  <si>
    <t>204:233305</t>
  </si>
  <si>
    <t>204:232979</t>
  </si>
  <si>
    <t>204:167</t>
  </si>
  <si>
    <t>204:232967</t>
  </si>
  <si>
    <t>204:233319</t>
  </si>
  <si>
    <t>204:233281</t>
  </si>
  <si>
    <t>204:232970</t>
  </si>
  <si>
    <t>204:477</t>
  </si>
  <si>
    <t>204:233362</t>
  </si>
  <si>
    <t>204:233017</t>
  </si>
  <si>
    <t>204:233042</t>
  </si>
  <si>
    <t>204:233316</t>
  </si>
  <si>
    <t>204:427</t>
  </si>
  <si>
    <t>204:233253</t>
  </si>
  <si>
    <t>204:232934</t>
  </si>
  <si>
    <t>204:233376</t>
  </si>
  <si>
    <t>204:233034</t>
  </si>
  <si>
    <t>204:233259</t>
  </si>
  <si>
    <t>204:233280</t>
  </si>
  <si>
    <t>204:433</t>
  </si>
  <si>
    <t>204:116</t>
  </si>
  <si>
    <t>204:429</t>
  </si>
  <si>
    <t>204:127872</t>
  </si>
  <si>
    <t>204:233355</t>
  </si>
  <si>
    <t>204:233374</t>
  </si>
  <si>
    <t>204:233049</t>
  </si>
  <si>
    <t>204:1821</t>
  </si>
  <si>
    <t>204:233264</t>
  </si>
  <si>
    <t>204:232936</t>
  </si>
  <si>
    <t>204:233028</t>
  </si>
  <si>
    <t>204:192</t>
  </si>
  <si>
    <t>204:233063</t>
  </si>
  <si>
    <t>204:1812</t>
  </si>
  <si>
    <t>204:498</t>
  </si>
  <si>
    <t>204:233349</t>
  </si>
  <si>
    <t>204:233044</t>
  </si>
  <si>
    <t>204:233364</t>
  </si>
  <si>
    <t>204:233051</t>
  </si>
  <si>
    <t>204:129</t>
  </si>
  <si>
    <t>204:233336</t>
  </si>
  <si>
    <t>204:233337</t>
  </si>
  <si>
    <t>204:233410</t>
  </si>
  <si>
    <t>300:19648</t>
  </si>
  <si>
    <t>300:23449</t>
  </si>
  <si>
    <t>300:23293</t>
  </si>
  <si>
    <t>300:23677</t>
  </si>
  <si>
    <t>300:23306</t>
  </si>
  <si>
    <t>300:23540</t>
  </si>
  <si>
    <t>300:22809</t>
  </si>
  <si>
    <t>300:23304</t>
  </si>
  <si>
    <t>300:23622</t>
  </si>
  <si>
    <t>300:23314</t>
  </si>
  <si>
    <t>300:23620</t>
  </si>
  <si>
    <t>204:422</t>
  </si>
  <si>
    <t>204:3542</t>
  </si>
  <si>
    <t>204:3205</t>
  </si>
  <si>
    <t>204:1171</t>
  </si>
  <si>
    <t>300:22705</t>
  </si>
  <si>
    <t>204:151</t>
  </si>
  <si>
    <t>300:24218</t>
  </si>
  <si>
    <t>300:22849</t>
  </si>
  <si>
    <t>204:973</t>
  </si>
  <si>
    <t>204:1290</t>
  </si>
  <si>
    <t>300:22528</t>
  </si>
  <si>
    <t>300:18108</t>
  </si>
  <si>
    <t>204:1558</t>
  </si>
  <si>
    <t>300:23616</t>
  </si>
  <si>
    <t>204:75</t>
  </si>
  <si>
    <t>204:1147</t>
  </si>
  <si>
    <t>300:24227</t>
  </si>
  <si>
    <t>204:388</t>
  </si>
  <si>
    <t>300:24244</t>
  </si>
  <si>
    <t>300:23625</t>
  </si>
  <si>
    <t>300:23169</t>
  </si>
  <si>
    <t>204:1505</t>
  </si>
  <si>
    <t>204:3093</t>
  </si>
  <si>
    <t>204:3584</t>
  </si>
  <si>
    <t>204:1164</t>
  </si>
  <si>
    <t>204:3432</t>
  </si>
  <si>
    <t>300:23297</t>
  </si>
  <si>
    <t>300:22312</t>
  </si>
  <si>
    <t>204:1867</t>
  </si>
  <si>
    <t>300:58702</t>
  </si>
  <si>
    <t>204:654</t>
  </si>
  <si>
    <t>300:58709</t>
  </si>
  <si>
    <t>204:640</t>
  </si>
  <si>
    <t>204:967</t>
  </si>
  <si>
    <t>300:58992</t>
  </si>
  <si>
    <t>300:58673</t>
  </si>
  <si>
    <t>204:642</t>
  </si>
  <si>
    <t>204:972</t>
  </si>
  <si>
    <t>204:764</t>
  </si>
  <si>
    <t>204:1685</t>
  </si>
  <si>
    <t>204:1865</t>
  </si>
  <si>
    <t>204:925</t>
  </si>
  <si>
    <t>204:930</t>
  </si>
  <si>
    <t>300:58694</t>
  </si>
  <si>
    <t>204:1039</t>
  </si>
  <si>
    <t>300:58976</t>
  </si>
  <si>
    <t>204:848</t>
  </si>
  <si>
    <t>204:1128</t>
  </si>
  <si>
    <t>300:58988</t>
  </si>
  <si>
    <t>300:58670</t>
  </si>
  <si>
    <t>204:820</t>
  </si>
  <si>
    <t>204:1125</t>
  </si>
  <si>
    <t>300:58941</t>
  </si>
  <si>
    <t>204:838</t>
  </si>
  <si>
    <t>204:1116</t>
  </si>
  <si>
    <t>300:58961</t>
  </si>
  <si>
    <t>204:839</t>
  </si>
  <si>
    <t>204:834</t>
  </si>
  <si>
    <t>204:1119</t>
  </si>
  <si>
    <t>300:58944</t>
  </si>
  <si>
    <t>204:944</t>
  </si>
  <si>
    <t>204:698</t>
  </si>
  <si>
    <t>300:58946</t>
  </si>
  <si>
    <t>300:58630</t>
  </si>
  <si>
    <t>204:673</t>
  </si>
  <si>
    <t>300:58924</t>
  </si>
  <si>
    <t>300:58609</t>
  </si>
  <si>
    <t>204:969</t>
  </si>
  <si>
    <t>204:645</t>
  </si>
  <si>
    <t>204:1002</t>
  </si>
  <si>
    <t>204:937</t>
  </si>
  <si>
    <t>204:661</t>
  </si>
  <si>
    <t>300:58935</t>
  </si>
  <si>
    <t>300:58617</t>
  </si>
  <si>
    <t>204:948</t>
  </si>
  <si>
    <t>300:58943</t>
  </si>
  <si>
    <t>300:58625</t>
  </si>
  <si>
    <t>204:992</t>
  </si>
  <si>
    <t>300:58611</t>
  </si>
  <si>
    <t>204:720</t>
  </si>
  <si>
    <t>300:58929</t>
  </si>
  <si>
    <t>300:58657</t>
  </si>
  <si>
    <t>204:979</t>
  </si>
  <si>
    <t>300:58621</t>
  </si>
  <si>
    <t>300:30358</t>
  </si>
  <si>
    <t>300:23764</t>
  </si>
  <si>
    <t>300:24220</t>
  </si>
  <si>
    <t>204:678</t>
  </si>
  <si>
    <t>300:58600</t>
  </si>
  <si>
    <t>300:58624</t>
  </si>
  <si>
    <t>300:28793</t>
  </si>
  <si>
    <t>start /low /b %USERPROFILE%\Documents\GitHub\eaglep3\Utilities\DownloadLogsFromS3.py --loco 4005 --day 2017-10-19</t>
  </si>
  <si>
    <t>start /low /b %USERPROFILE%\Documents\GitHub\eaglep3\Utilities\DownloadLogsFromS3.py --loco 4065 --day 2017-10-19</t>
  </si>
  <si>
    <t>start /low /b %USERPROFILE%\Documents\GitHub\eaglep3\Utilities\DownloadLogsFromS3.py --loco 4024 --day 2017-10-19</t>
  </si>
  <si>
    <t>start /low /b %USERPROFILE%\Documents\GitHub\eaglep3\Utilities\DownloadLogsFromS3.py --loco 4017 --day 2017-10-19</t>
  </si>
  <si>
    <t>start /low /b %USERPROFILE%\Documents\GitHub\eaglep3\Utilities\DownloadLogsFromS3.py --loco 4058 --day 2017-10-19</t>
  </si>
  <si>
    <t>start /low /b %USERPROFILE%\Documents\GitHub\eaglep3\Utilities\DownloadLogsFromS3.py --loco 4007 --day 2017-10-19</t>
  </si>
  <si>
    <t>start /low /b %USERPROFILE%\Documents\GitHub\eaglep3\Utilities\DownloadLogsFromS3.py --loco 4057 --day 2017-10-19</t>
  </si>
  <si>
    <t>start /low /b %USERPROFILE%\Documents\GitHub\eaglep3\Utilities\DownloadLogsFromS3.py --loco 4065 --day 2017-10-20</t>
  </si>
  <si>
    <t>start /low /b %USERPROFILE%\Documents\GitHub\eaglep3\Utilities\DownloadLogsFromS3.py --loco 4057 --day 2017-10-20</t>
  </si>
  <si>
    <t>start /low /b %USERPROFILE%\Documents\GitHub\eaglep3\Utilities\DownloadLogsFromS3.py --loco 4066 --day 2017-10-19</t>
  </si>
  <si>
    <t>start /low /b %USERPROFILE%\Documents\GitHub\eaglep3\Utilities\DownloadLogsFromS3.py --loco 4044 --day 2017-10-20</t>
  </si>
  <si>
    <t>start /low /b %USERPROFILE%\Documents\GitHub\eaglep3\Utilities\DownloadLogsFromS3.py --loco 4023 --day 2017-10-19</t>
  </si>
  <si>
    <t>start /low /b %USERPROFILE%\Documents\GitHub\eaglep3\Utilities\DownloadLogsFromS3.py --loco 4043 --day 2017-10-19</t>
  </si>
  <si>
    <t>start /low /b %USERPROFILE%\Documents\GitHub\eaglep3\Utilities\DownloadLogsFromS3.py --loco 4044 --day 2017-10-19</t>
  </si>
  <si>
    <t>Onboard en route failure</t>
  </si>
  <si>
    <t>SANTIZO D. EDY</t>
  </si>
  <si>
    <t>LOZA FIDEL</t>
  </si>
  <si>
    <t>ELBAUM MIKE</t>
  </si>
  <si>
    <t>MCREYNOLDS KYLE</t>
  </si>
  <si>
    <t>NICHOLSON WESLEY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</si>
</sst>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01"/>
  <sheetViews>
    <sheetView topLeftCell="A112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43027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43027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COUNTIFS($N$13:$N$9444,"&gt;0",$AG$13:$AG$9444,I1)</f>
        <v>143</v>
      </c>
      <c r="K5" s="39"/>
      <c r="L5" s="172"/>
      <c r="M5" s="40">
        <f>AVERAGEIFS($N$13:$N$9444,$AG$13:$AG$9444,I1)</f>
        <v>37.079720279971994</v>
      </c>
      <c r="N5" s="38">
        <f t="array" ref="N5">MIN(IF($AG$13:$AG$9444=I1,IF(ISNUMBER($N$13:$N$9444),IF($N$13:$N$9444&gt;0,$N$13:$N$9444))))</f>
        <v>34.183333329856396</v>
      </c>
      <c r="O5" s="3">
        <f t="array" ref="O5">MAX(IF($AG$13:$AG$9444=I1,IF(ISNUMBER($N$13:$N$9444),IF($N$13:$N$9444&gt;0,$N$13:$N$9444))))</f>
        <v>41.749999994644895</v>
      </c>
      <c r="P5" s="2"/>
      <c r="R5" s="163" t="s">
        <v>17</v>
      </c>
      <c r="S5" s="207">
        <f>COUNTIFS($N$13:$N$9444,"&gt;0",$AG$13:$AG$9444,R1)</f>
        <v>48</v>
      </c>
      <c r="T5" s="172"/>
      <c r="U5" s="195"/>
      <c r="V5" s="211">
        <f>AVERAGEIFS($N$13:$N$9444,$AG$13:$AG$9444,R1)</f>
        <v>14.39513888937654</v>
      </c>
      <c r="W5" s="212">
        <f t="array" ref="W5">MIN(IF($AG$13:$AG$9444=R1,IF(ISNUMBER($N$13:$N$9444),IF($N$13:$N$9444&gt;0,$N$13:$N$9444))))</f>
        <v>10.733333338284865</v>
      </c>
      <c r="X5" s="200">
        <f t="array" ref="X5">MAX(IF($AG$13:$AG$9444=R1,IF(ISNUMBER($N$13:$N$9444),IF($N$13:$N$9444&gt;0,$N$13:$N$9444))))</f>
        <v>23.500000003259629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COUNT($O$13:$O$202)</f>
        <v>0</v>
      </c>
      <c r="K6" s="39"/>
      <c r="L6" s="172"/>
      <c r="M6" s="40">
        <f>IFERROR(AVERAGE($O$13:$O$202),0)</f>
        <v>0</v>
      </c>
      <c r="N6" s="38">
        <f>MIN($O$13:$O$202)</f>
        <v>0</v>
      </c>
      <c r="O6" s="3">
        <f>MAX($O$13:$O$202)</f>
        <v>0</v>
      </c>
      <c r="P6" s="2"/>
      <c r="R6" s="164" t="s">
        <v>43</v>
      </c>
      <c r="S6" s="207">
        <f>COUNT($O$13:$O$202)</f>
        <v>0</v>
      </c>
      <c r="T6" s="172"/>
      <c r="U6" s="195"/>
      <c r="V6" s="211">
        <f>IFERROR(AVERAGE($O$13:$O$202),0)</f>
        <v>0</v>
      </c>
      <c r="W6" s="212">
        <f>MIN($O$13:$O$202)</f>
        <v>0</v>
      </c>
      <c r="X6" s="200">
        <f>MAX($O$13:$O$202)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COUNTIFS($P$13:$P$9444,"&gt;0",$AG$13:$AG$9444,I1)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COUNTIFS($P$13:$P$9444,"&gt;0",$AG$13:$AG$9444,R1)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37.079720279971994</v>
      </c>
      <c r="N8" s="38">
        <f>N5</f>
        <v>34.183333329856396</v>
      </c>
      <c r="O8" s="3">
        <f>O5</f>
        <v>41.749999994644895</v>
      </c>
      <c r="P8" s="2"/>
      <c r="R8" s="163" t="s">
        <v>16</v>
      </c>
      <c r="S8" s="207">
        <f>S5</f>
        <v>48</v>
      </c>
      <c r="T8" s="172"/>
      <c r="U8" s="195"/>
      <c r="V8" s="211">
        <f>V5</f>
        <v>14.39513888937654</v>
      </c>
      <c r="W8" s="212">
        <f>W5</f>
        <v>10.733333338284865</v>
      </c>
      <c r="X8" s="200">
        <f>X5</f>
        <v>23.500000003259629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6" t="str">
        <f>"Eagle P3 System Performance - "&amp;TEXT(Variables!A2,"yyyy-mm-dd")</f>
        <v>Eagle P3 System Performance - 2017-10-19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AVERAGE(S13:S116)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593</v>
      </c>
      <c r="B13" s="7">
        <v>4008</v>
      </c>
      <c r="C13" s="21" t="s">
        <v>194</v>
      </c>
      <c r="D13" s="21" t="s">
        <v>822</v>
      </c>
      <c r="E13" s="13">
        <v>43027.127546296295</v>
      </c>
      <c r="F13" s="13">
        <v>43027.135925925926</v>
      </c>
      <c r="G13" s="7">
        <v>58</v>
      </c>
      <c r="H13" s="21" t="s">
        <v>536</v>
      </c>
      <c r="I13" s="13">
        <v>43027.159780092596</v>
      </c>
      <c r="J13" s="7">
        <v>0</v>
      </c>
      <c r="K13" s="89" t="str">
        <f t="shared" ref="K13:K76" si="0">IF(ISEVEN(B13),(B13-1)&amp;"/"&amp;B13,B13&amp;"/"&amp;(B13+1))</f>
        <v>4007/4008</v>
      </c>
      <c r="L13" s="185" t="str">
        <f>VLOOKUP(A13,'Trips&amp;Operators'!$C$1:$G$99911,5,FALSE)</f>
        <v>YORK EDGAR</v>
      </c>
      <c r="M13" s="6">
        <f t="shared" ref="M13:M76" si="1">I13-F13</f>
        <v>2.3854166669480037E-2</v>
      </c>
      <c r="N13" s="7">
        <f t="shared" ref="N13:N44" si="2">24*60*SUM($M13:$M13)</f>
        <v>34.350000004051253</v>
      </c>
      <c r="O13" s="7"/>
      <c r="P13" s="7"/>
      <c r="Q13" s="22"/>
      <c r="R13" s="167"/>
      <c r="S13" s="221">
        <f t="shared" ref="S13:S44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-19T02:03:40-0600',mode:absolute,to:'2017-10-19T04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28" si="7">RIGHT(D13,LEN(D13)-4)/10000</f>
        <v>7.6499999999999999E-2</v>
      </c>
      <c r="Z13" s="204">
        <f t="shared" ref="Z13:Z28" si="8">RIGHT(H13,LEN(H13)-4)/10000</f>
        <v>23.331700000000001</v>
      </c>
      <c r="AA13" s="204">
        <f t="shared" ref="AA13:AA76" si="9">ABS(Z13-Y13)</f>
        <v>23.255200000000002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/stypes="app*4008*20171019*"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4008 --swversion DE.1.0.9.0 --startMP 204:765 --initTime 2017-10-19T03:03:40 --startdatetime 2017-10-19T03:15:44 --delay 58 --endMP 204:233317 --enddatetime 2017-10-19T03:50:05 --enforcementcount 0 &gt;&gt;%USERPROFILE%\Documents\GitHub\eaglep3-reporting\EC\2017-10-19-refined-times.txt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{"issue":{"subject":"","project_id":79,"tracker_id":40,"status_id":1,"priority_id":2,"assigned_to_id":338,"start_date":"2017-10-19","description":"","custom_fields":[{"id":1,"name":"Subdivision","value":"EC"},{"id":4,"name":"Milepost","value":"23.3317"},{"id":17,"name":"Train ID","value":"101-19"},{"id":16,"name":"Locomotive ID","value":"4008"},{"id":130,"name":"Impact","value":""},{"id":150,"name":"Time of Event (Mountain Time)","value":"03:50:05"},{"id":151,"name":"Denver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4008 --day 2017-10-19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09:50:05"},{"id":29,"name":"Sharepoint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-19T02:03:40-0600',mode:absolute,to:'2017-10-19T04:50:05-0600'))&amp;_a=(columns:!('Message%20ID',Summary),filters:!(),index:'emp_*',interval:auto,query:(query_string:(analyze_wildcard:!t,query:'%22rtdc.l.rtdc.4008%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599</v>
      </c>
      <c r="B14" s="7">
        <v>4007</v>
      </c>
      <c r="C14" s="21" t="s">
        <v>194</v>
      </c>
      <c r="D14" s="21" t="s">
        <v>453</v>
      </c>
      <c r="E14" s="13">
        <v>43027.16065972222</v>
      </c>
      <c r="F14" s="13">
        <v>43027.175787037035</v>
      </c>
      <c r="G14" s="7">
        <v>62</v>
      </c>
      <c r="H14" s="21" t="s">
        <v>371</v>
      </c>
      <c r="I14" s="13">
        <v>43027.200740740744</v>
      </c>
      <c r="J14" s="7">
        <v>0</v>
      </c>
      <c r="K14" s="89" t="str">
        <f t="shared" si="0"/>
        <v>4007/4008</v>
      </c>
      <c r="L14" s="185" t="str">
        <f>VLOOKUP(A14,'Trips&amp;Operators'!$C$1:$G$99911,5,FALSE)</f>
        <v>YORK EDGAR</v>
      </c>
      <c r="M14" s="6">
        <f t="shared" si="1"/>
        <v>2.4953703708888497E-2</v>
      </c>
      <c r="N14" s="7">
        <f t="shared" si="2"/>
        <v>35.933333340799436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-19T02:51:21-0600',mode:absolute,to:'2017-10-19T05:49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23.299800000000001</v>
      </c>
      <c r="Z14" s="204">
        <f t="shared" si="8"/>
        <v>1.54E-2</v>
      </c>
      <c r="AA14" s="204">
        <f t="shared" si="9"/>
        <v>23.284400000000002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14" s="74" t="str">
        <f t="shared" si="12"/>
        <v>"C:\Program Files (x86)\AstroGrep\AstroGrep.exe" /e /r /s /spath="%USERPROFILE%\AppData\Local\Temp\OnboardLogs" /stypes="app*4007*20171019*"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4007 --swversion DE.1.0.9.0 --startMP 204:232998 --initTime 2017-10-19T03:51:21 --startdatetime 2017-10-19T04:13:08 --delay 62 --endMP 204:154 --enddatetime 2017-10-19T04:49:04 --enforcementcount 0 &gt;&gt;%USERPROFILE%\Documents\GitHub\eaglep3-reporting\EC\2017-10-19-refined-times.txt</v>
      </c>
      <c r="AI14" s="96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{"issue":{"subject":"","project_id":79,"tracker_id":40,"status_id":1,"priority_id":2,"assigned_to_id":338,"start_date":"2017-10-19","description":"","custom_fields":[{"id":1,"name":"Subdivision","value":"EC"},{"id":4,"name":"Milepost","value":"0.0154"},{"id":17,"name":"Train ID","value":"102-19"},{"id":16,"name":"Locomotive ID","value":"4007"},{"id":130,"name":"Impact","value":""},{"id":150,"name":"Time of Event (Mountain Time)","value":"04:49:04"},{"id":151,"name":"Denver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8" si="21">"start /low /b "&amp;dls3logs&amp;" --loco "&amp;B14&amp;" --day "&amp;TEXT(F14,"YYYY-MM-DD")</f>
        <v>start /low /b %USERPROFILE%\Documents\GitHub\eaglep3\Utilities\DownloadLogsFromS3.py --loco 4007 --day 2017-10-19</v>
      </c>
      <c r="AN14" s="151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10:49:04"},{"id":29,"name":"Sharepoint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-19T02:51:21-0600',mode:absolute,to:'2017-10-19T05:49:04-0600'))&amp;_a=(columns:!('Message%20ID',Summary),filters:!(),index:'emp_*',interval:auto,query:(query_string:(analyze_wildcard:!t,query:'%22rtdc.l.rtdc.4007%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598</v>
      </c>
      <c r="B15" s="7">
        <v>4006</v>
      </c>
      <c r="C15" s="21" t="s">
        <v>194</v>
      </c>
      <c r="D15" s="21" t="s">
        <v>421</v>
      </c>
      <c r="E15" s="13">
        <v>43027.15184027778</v>
      </c>
      <c r="F15" s="13">
        <v>43027.156446759262</v>
      </c>
      <c r="G15" s="7">
        <v>56</v>
      </c>
      <c r="H15" s="21" t="s">
        <v>456</v>
      </c>
      <c r="I15" s="13">
        <v>43027.181238425925</v>
      </c>
      <c r="J15" s="7">
        <v>0</v>
      </c>
      <c r="K15" s="89" t="str">
        <f t="shared" si="0"/>
        <v>4005/4006</v>
      </c>
      <c r="L15" s="185" t="str">
        <f>VLOOKUP(A15,'Trips&amp;Operators'!$C$1:$G$99911,5,FALSE)</f>
        <v>MAELZER KURT</v>
      </c>
      <c r="M15" s="6">
        <f t="shared" si="1"/>
        <v>2.4791666663077194E-2</v>
      </c>
      <c r="N15" s="7">
        <f t="shared" si="2"/>
        <v>35.69999999483116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-19T02:38:39-0600',mode:absolute,to:'2017-10-19T05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4.4400000000000002E-2</v>
      </c>
      <c r="Z15" s="204">
        <f t="shared" si="8"/>
        <v>23.332699999999999</v>
      </c>
      <c r="AA15" s="204">
        <f t="shared" si="9"/>
        <v>23.2883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15" s="74" t="str">
        <f t="shared" si="12"/>
        <v>"C:\Program Files (x86)\AstroGrep\AstroGrep.exe" /e /r /s /spath="%USERPROFILE%\AppData\Local\Temp\OnboardLogs" /stypes="app*4006*20171019*"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103-19 --locoid 4006 --swversion DE.1.0.9.0 --startMP 204:444 --initTime 2017-10-19T03:38:39 --startdatetime 2017-10-19T03:45:17 --delay 56 --endMP 204:233327 --enddatetime 2017-10-19T04:20:59 --enforcementcount 0 &gt;&gt;%USERPROFILE%\Documents\GitHub\eaglep3-reporting\EC\2017-10-19-refined-times.txt</v>
      </c>
      <c r="AI15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{"issue":{"subject":"","project_id":79,"tracker_id":40,"status_id":1,"priority_id":2,"assigned_to_id":338,"start_date":"2017-10-19","description":"","custom_fields":[{"id":1,"name":"Subdivision","value":"EC"},{"id":4,"name":"Milepost","value":"23.3327"},{"id":17,"name":"Train ID","value":"103-19"},{"id":16,"name":"Locomotive ID","value":"4006"},{"id":130,"name":"Impact","value":""},{"id":150,"name":"Time of Event (Mountain Time)","value":"04:20:59"},{"id":151,"name":"Denver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4006 --day 2017-10-19</v>
      </c>
      <c r="AN15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10:20:59"},{"id":29,"name":"Sharepoint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-19T02:38:39-0600',mode:absolute,to:'2017-10-19T05:20:59-0600'))&amp;_a=(columns:!('Message%20ID',Summary),filters:!(),index:'emp_*',interval:auto,query:(query_string:(analyze_wildcard:!t,query:'%22rtdc.l.rtdc.4006%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605</v>
      </c>
      <c r="B16" s="7">
        <v>4005</v>
      </c>
      <c r="C16" s="21" t="s">
        <v>194</v>
      </c>
      <c r="D16" s="21" t="s">
        <v>823</v>
      </c>
      <c r="E16" s="13">
        <v>43027.186018518521</v>
      </c>
      <c r="F16" s="13">
        <v>43027.196157407408</v>
      </c>
      <c r="G16" s="7">
        <v>46</v>
      </c>
      <c r="H16" s="21" t="s">
        <v>477</v>
      </c>
      <c r="I16" s="13">
        <v>43027.222627314812</v>
      </c>
      <c r="J16" s="7">
        <v>0</v>
      </c>
      <c r="K16" s="89" t="str">
        <f t="shared" si="0"/>
        <v>4005/4006</v>
      </c>
      <c r="L16" s="185" t="str">
        <f>VLOOKUP(A16,'Trips&amp;Operators'!$C$1:$G$99911,5,FALSE)</f>
        <v>MAELZER KURT</v>
      </c>
      <c r="M16" s="6">
        <f t="shared" si="1"/>
        <v>2.6469907403225079E-2</v>
      </c>
      <c r="N16" s="7">
        <f t="shared" si="2"/>
        <v>38.116666660644114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-19T03:27:52-0600',mode:absolute,to:'2017-10-19T06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23.3032</v>
      </c>
      <c r="Z16" s="204">
        <f t="shared" si="8"/>
        <v>1.32E-2</v>
      </c>
      <c r="AA16" s="204">
        <f t="shared" si="9"/>
        <v>23.29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16" s="74" t="str">
        <f t="shared" si="12"/>
        <v>"C:\Program Files (x86)\AstroGrep\AstroGrep.exe" /e /r /s /spath="%USERPROFILE%\AppData\Local\Temp\OnboardLogs" /stypes="app*4005*20171019*"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104-19 --locoid 4005 --swversion DE.1.0.9.0 --startMP 204:233032 --initTime 2017-10-19T04:27:52 --startdatetime 2017-10-19T04:42:28 --delay 46 --endMP 204:132 --enddatetime 2017-10-19T05:20:35 --enforcementcount 0 &gt;&gt;%USERPROFILE%\Documents\GitHub\eaglep3-reporting\EC\2017-10-19-refined-times.txt</v>
      </c>
      <c r="AI16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{"issue":{"subject":"","project_id":79,"tracker_id":40,"status_id":1,"priority_id":2,"assigned_to_id":338,"start_date":"2017-10-19","description":"","custom_fields":[{"id":1,"name":"Subdivision","value":"EC"},{"id":4,"name":"Milepost","value":"0.0132"},{"id":17,"name":"Train ID","value":"104-19"},{"id":16,"name":"Locomotive ID","value":"4005"},{"id":130,"name":"Impact","value":""},{"id":150,"name":"Time of Event (Mountain Time)","value":"05:20:35"},{"id":151,"name":"Denver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4005 --day 2017-10-19</v>
      </c>
      <c r="AN16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-19T03:27:52-0600',mode:absolute,to:'2017-10-19T06:20:35-0600'))&amp;_a=(columns:!('Message%20ID',Summary),filters:!(),index:'emp_*',interval:auto,query:(query_string:(analyze_wildcard:!t,query:'%22rtdc.l.rtdc.4005%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563</v>
      </c>
      <c r="B17" s="7">
        <v>4058</v>
      </c>
      <c r="C17" s="21" t="s">
        <v>194</v>
      </c>
      <c r="D17" s="21" t="s">
        <v>353</v>
      </c>
      <c r="E17" s="13">
        <v>43027.17386574074</v>
      </c>
      <c r="F17" s="13">
        <v>43027.177268518521</v>
      </c>
      <c r="G17" s="7">
        <v>60</v>
      </c>
      <c r="H17" s="21" t="s">
        <v>423</v>
      </c>
      <c r="I17" s="13">
        <v>43027.202141203707</v>
      </c>
      <c r="J17" s="7">
        <v>0</v>
      </c>
      <c r="K17" s="89" t="str">
        <f t="shared" si="0"/>
        <v>4057/4058</v>
      </c>
      <c r="L17" s="185" t="str">
        <f>VLOOKUP(A17,'Trips&amp;Operators'!$C$1:$G$99911,5,FALSE)</f>
        <v>BONDS REYNALDO</v>
      </c>
      <c r="M17" s="6">
        <f t="shared" si="1"/>
        <v>2.4872685185982846E-2</v>
      </c>
      <c r="N17" s="7">
        <f t="shared" si="2"/>
        <v>35.816666667815298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-19T03:10:22-0600',mode:absolute,to:'2017-10-19T05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4.58E-2</v>
      </c>
      <c r="Z17" s="204">
        <f t="shared" si="8"/>
        <v>23.329899999999999</v>
      </c>
      <c r="AA17" s="204">
        <f t="shared" si="9"/>
        <v>23.284099999999999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17" s="74" t="str">
        <f t="shared" si="12"/>
        <v>"C:\Program Files (x86)\AstroGrep\AstroGrep.exe" /e /r /s /spath="%USERPROFILE%\AppData\Local\Temp\OnboardLogs" /stypes="app*4058*20171019*"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105-19 --locoid 4058 --swversion DE.1.0.9.0 --startMP 204:458 --initTime 2017-10-19T04:10:22 --startdatetime 2017-10-19T04:15:16 --delay 60 --endMP 204:233299 --enddatetime 2017-10-19T04:51:05 --enforcementcount 0 &gt;&gt;%USERPROFILE%\Documents\GitHub\eaglep3-reporting\EC\2017-10-19-refined-times.txt</v>
      </c>
      <c r="AI17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{"issue":{"subject":"","project_id":79,"tracker_id":40,"status_id":1,"priority_id":2,"assigned_to_id":338,"start_date":"2017-10-19","description":"","custom_fields":[{"id":1,"name":"Subdivision","value":"EC"},{"id":4,"name":"Milepost","value":"23.3299"},{"id":17,"name":"Train ID","value":"105-19"},{"id":16,"name":"Locomotive ID","value":"4058"},{"id":130,"name":"Impact","value":""},{"id":150,"name":"Time of Event (Mountain Time)","value":"04:51:05"},{"id":151,"name":"Denver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4058 --day 2017-10-19</v>
      </c>
      <c r="AN17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10:51:05"},{"id":29,"name":"Sharepoint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-19T03:10:22-0600',mode:absolute,to:'2017-10-19T05:51:05-0600'))&amp;_a=(columns:!('Message%20ID',Summary),filters:!(),index:'emp_*',interval:auto,query:(query_string:(analyze_wildcard:!t,query:'%22rtdc.l.rtdc.4058%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614</v>
      </c>
      <c r="B18" s="7">
        <v>4057</v>
      </c>
      <c r="C18" s="21" t="s">
        <v>194</v>
      </c>
      <c r="D18" s="21" t="s">
        <v>399</v>
      </c>
      <c r="E18" s="13">
        <v>43027.214074074072</v>
      </c>
      <c r="F18" s="13">
        <v>43027.216828703706</v>
      </c>
      <c r="G18" s="7">
        <v>59</v>
      </c>
      <c r="H18" s="21" t="s">
        <v>357</v>
      </c>
      <c r="I18" s="13">
        <v>43027.243761574071</v>
      </c>
      <c r="J18" s="7">
        <v>0</v>
      </c>
      <c r="K18" s="89" t="str">
        <f t="shared" si="0"/>
        <v>4057/4058</v>
      </c>
      <c r="L18" s="185" t="str">
        <f>VLOOKUP(A18,'Trips&amp;Operators'!$C$1:$G$99911,5,FALSE)</f>
        <v>BONDS REYNALDO</v>
      </c>
      <c r="M18" s="6">
        <f t="shared" si="1"/>
        <v>2.693287036527181E-2</v>
      </c>
      <c r="N18" s="7">
        <f t="shared" si="2"/>
        <v>38.783333325991407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-19T04:08:16-0600',mode:absolute,to:'2017-10-19T06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23.297699999999999</v>
      </c>
      <c r="Z18" s="204">
        <f t="shared" si="8"/>
        <v>1.5599999999999999E-2</v>
      </c>
      <c r="AA18" s="204">
        <f t="shared" si="9"/>
        <v>23.2821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18" s="74" t="str">
        <f t="shared" si="12"/>
        <v>"C:\Program Files (x86)\AstroGrep\AstroGrep.exe" /e /r /s /spath="%USERPROFILE%\AppData\Local\Temp\OnboardLogs" /stypes="app*4057*20171019*"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106-19 --locoid 4057 --swversion DE.1.0.9.0 --startMP 204:232977 --initTime 2017-10-19T05:08:16 --startdatetime 2017-10-19T05:12:14 --delay 59 --endMP 204:156 --enddatetime 2017-10-19T05:51:01 --enforcementcount 0 &gt;&gt;%USERPROFILE%\Documents\GitHub\eaglep3-reporting\EC\2017-10-19-refined-times.txt</v>
      </c>
      <c r="AI18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{"issue":{"subject":"","project_id":79,"tracker_id":40,"status_id":1,"priority_id":2,"assigned_to_id":338,"start_date":"2017-10-19","description":"","custom_fields":[{"id":1,"name":"Subdivision","value":"EC"},{"id":4,"name":"Milepost","value":"0.0156"},{"id":17,"name":"Train ID","value":"106-19"},{"id":16,"name":"Locomotive ID","value":"4057"},{"id":130,"name":"Impact","value":""},{"id":150,"name":"Time of Event (Mountain Time)","value":"05:51:01"},{"id":151,"name":"Denver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4057 --day 2017-10-19</v>
      </c>
      <c r="AN18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-19T04:08:16-0600',mode:absolute,to:'2017-10-19T06:51:01-0600'))&amp;_a=(columns:!('Message%20ID',Summary),filters:!(),index:'emp_*',interval:auto,query:(query_string:(analyze_wildcard:!t,query:'%22rtdc.l.rtdc.4057%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604</v>
      </c>
      <c r="B19" s="7">
        <v>4018</v>
      </c>
      <c r="C19" s="21" t="s">
        <v>194</v>
      </c>
      <c r="D19" s="21" t="s">
        <v>344</v>
      </c>
      <c r="E19" s="13">
        <v>43027.183530092596</v>
      </c>
      <c r="F19" s="13">
        <v>43027.227314814816</v>
      </c>
      <c r="G19" s="7">
        <v>64</v>
      </c>
      <c r="H19" s="21" t="s">
        <v>530</v>
      </c>
      <c r="I19" s="13">
        <v>43027.253807870373</v>
      </c>
      <c r="J19" s="7">
        <v>0</v>
      </c>
      <c r="K19" s="89" t="str">
        <f t="shared" si="0"/>
        <v>4017/4018</v>
      </c>
      <c r="L19" s="185" t="str">
        <f>VLOOKUP(A19,'Trips&amp;Operators'!$C$1:$G$99911,5,FALSE)</f>
        <v>GEBRETEKLE DAGNEW</v>
      </c>
      <c r="M19" s="6">
        <f t="shared" si="1"/>
        <v>2.6493055556784384E-2</v>
      </c>
      <c r="N19" s="7">
        <f t="shared" si="2"/>
        <v>38.150000001769513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-19T03:24:17-0600',mode:absolute,to:'2017-10-19T07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4.5499999999999999E-2</v>
      </c>
      <c r="Z19" s="204">
        <f t="shared" si="8"/>
        <v>23.3308</v>
      </c>
      <c r="AA19" s="204">
        <f t="shared" si="9"/>
        <v>23.285299999999999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19" s="74" t="str">
        <f t="shared" si="12"/>
        <v>"C:\Program Files (x86)\AstroGrep\AstroGrep.exe" /e /r /s /spath="%USERPROFILE%\AppData\Local\Temp\OnboardLogs" /stypes="app*4018*20171019*" /stext=" 12:.+((SYSTEM_STATE.+slice.+state.+changed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107-19 --locoid 4018 --swversion DE.1.0.9.0 --startMP 204:455 --initTime 2017-10-19T04:24:17 --startdatetime 2017-10-19T05:27:20 --delay 64 --endMP 204:233308 --enddatetime 2017-10-19T06:05:29 --enforcementcount 0 &gt;&gt;%USERPROFILE%\Documents\GitHub\eaglep3-reporting\EC\2017-10-19-refined-times.txt</v>
      </c>
      <c r="AI19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{"issue":{"subject":"","project_id":79,"tracker_id":40,"status_id":1,"priority_id":2,"assigned_to_id":338,"start_date":"2017-10-19","description":"","custom_fields":[{"id":1,"name":"Subdivision","value":"EC"},{"id":4,"name":"Milepost","value":"23.3308"},{"id":17,"name":"Train ID","value":"107-19"},{"id":16,"name":"Locomotive ID","value":"4018"},{"id":130,"name":"Impact","value":""},{"id":150,"name":"Time of Event (Mountain Time)","value":"06:05:29"},{"id":151,"name":"Denver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4018 --day 2017-10-19</v>
      </c>
      <c r="AN19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-19T03:24:17-0600',mode:absolute,to:'2017-10-19T07:05:29-0600'))&amp;_a=(columns:!('Message%20ID',Summary),filters:!(),index:'emp_*',interval:auto,query:(query_string:(analyze_wildcard:!t,query:'%22rtdc.l.rtdc.4018%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613</v>
      </c>
      <c r="B20" s="7">
        <v>4017</v>
      </c>
      <c r="C20" s="21" t="s">
        <v>194</v>
      </c>
      <c r="D20" s="21" t="s">
        <v>411</v>
      </c>
      <c r="E20" s="13">
        <v>43027.213993055557</v>
      </c>
      <c r="F20" s="13">
        <v>43027.227314814816</v>
      </c>
      <c r="G20" s="7">
        <v>66</v>
      </c>
      <c r="H20" s="21" t="s">
        <v>528</v>
      </c>
      <c r="I20" s="13">
        <v>43027.253807870373</v>
      </c>
      <c r="J20" s="7">
        <v>0</v>
      </c>
      <c r="K20" s="89" t="str">
        <f t="shared" si="0"/>
        <v>4017/4018</v>
      </c>
      <c r="L20" s="185" t="str">
        <f>VLOOKUP(A20,'Trips&amp;Operators'!$C$1:$G$99911,5,FALSE)</f>
        <v>GEBRETEKLE DAGNEW</v>
      </c>
      <c r="M20" s="6">
        <f t="shared" si="1"/>
        <v>2.6493055556784384E-2</v>
      </c>
      <c r="N20" s="7">
        <f t="shared" si="2"/>
        <v>38.150000001769513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-19T04:08:09-0600',mode:absolute,to:'2017-10-19T07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23.2989</v>
      </c>
      <c r="Z20" s="204">
        <f t="shared" si="8"/>
        <v>1.6299999999999999E-2</v>
      </c>
      <c r="AA20" s="204">
        <f t="shared" si="9"/>
        <v>23.282599999999999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20" s="74" t="str">
        <f t="shared" si="12"/>
        <v>"C:\Program Files (x86)\AstroGrep\AstroGrep.exe" /e /r /s /spath="%USERPROFILE%\AppData\Local\Temp\OnboardLogs" /stypes="app*4017*20171019*"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108-19 --locoid 4017 --swversion DE.1.0.9.0 --startMP 204:232989 --initTime 2017-10-19T05:08:09 --startdatetime 2017-10-19T05:27:20 --delay 66 --endMP 204:163 --enddatetime 2017-10-19T06:05:29 --enforcementcount 0 &gt;&gt;%USERPROFILE%\Documents\GitHub\eaglep3-reporting\EC\2017-10-19-refined-times.txt</v>
      </c>
      <c r="AI20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{"issue":{"subject":"","project_id":79,"tracker_id":40,"status_id":1,"priority_id":2,"assigned_to_id":338,"start_date":"2017-10-19","description":"","custom_fields":[{"id":1,"name":"Subdivision","value":"EC"},{"id":4,"name":"Milepost","value":"0.0163"},{"id":17,"name":"Train ID","value":"108-19"},{"id":16,"name":"Locomotive ID","value":"4017"},{"id":130,"name":"Impact","value":""},{"id":150,"name":"Time of Event (Mountain Time)","value":"06:05:29"},{"id":151,"name":"Denver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4017 --day 2017-10-19</v>
      </c>
      <c r="AN20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-19T04:08:09-0600',mode:absolute,to:'2017-10-19T07:05:29-0600'))&amp;_a=(columns:!('Message%20ID',Summary),filters:!(),index:'emp_*',interval:auto,query:(query_string:(analyze_wildcard:!t,query:'%22rtdc.l.rtdc.4017%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607</v>
      </c>
      <c r="B21" s="7">
        <v>4016</v>
      </c>
      <c r="C21" s="21" t="s">
        <v>194</v>
      </c>
      <c r="D21" s="21" t="s">
        <v>824</v>
      </c>
      <c r="E21" s="13">
        <v>43027.195300925923</v>
      </c>
      <c r="F21" s="13">
        <v>43027.198113425926</v>
      </c>
      <c r="G21" s="7">
        <v>96</v>
      </c>
      <c r="H21" s="21" t="s">
        <v>825</v>
      </c>
      <c r="I21" s="13">
        <v>43027.224351851852</v>
      </c>
      <c r="J21" s="7">
        <v>0</v>
      </c>
      <c r="K21" s="89" t="str">
        <f t="shared" si="0"/>
        <v>4015/4016</v>
      </c>
      <c r="L21" s="185" t="str">
        <f>VLOOKUP(A21,'Trips&amp;Operators'!$C$1:$G$99911,5,FALSE)</f>
        <v>WILLIAMS DONTE</v>
      </c>
      <c r="M21" s="6">
        <f t="shared" si="1"/>
        <v>2.6238425925839692E-2</v>
      </c>
      <c r="N21" s="7">
        <f t="shared" si="2"/>
        <v>37.783333333209157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-19T03:41:14-0600',mode:absolute,to:'2017-10-19T06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4.4900000000000002E-2</v>
      </c>
      <c r="Z21" s="204">
        <f t="shared" si="8"/>
        <v>23.3216</v>
      </c>
      <c r="AA21" s="204">
        <f t="shared" si="9"/>
        <v>23.276700000000002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21" s="74" t="str">
        <f t="shared" si="12"/>
        <v>"C:\Program Files (x86)\AstroGrep\AstroGrep.exe" /e /r /s /spath="%USERPROFILE%\AppData\Local\Temp\OnboardLogs" /stypes="app*4016*20171019*"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109-19 --locoid 4016 --swversion DE.1.0.9.0 --startMP 204:449 --initTime 2017-10-19T04:41:14 --startdatetime 2017-10-19T04:45:17 --delay 96 --endMP 204:233216 --enddatetime 2017-10-19T05:23:04 --enforcementcount 0 &gt;&gt;%USERPROFILE%\Documents\GitHub\eaglep3-reporting\EC\2017-10-19-refined-times.txt</v>
      </c>
      <c r="AI21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{"issue":{"subject":"","project_id":79,"tracker_id":40,"status_id":1,"priority_id":2,"assigned_to_id":338,"start_date":"2017-10-19","description":"","custom_fields":[{"id":1,"name":"Subdivision","value":"EC"},{"id":4,"name":"Milepost","value":"23.3216"},{"id":17,"name":"Train ID","value":"109-19"},{"id":16,"name":"Locomotive ID","value":"4016"},{"id":130,"name":"Impact","value":""},{"id":150,"name":"Time of Event (Mountain Time)","value":"05:23:04"},{"id":151,"name":"Denver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4016 --day 2017-10-19</v>
      </c>
      <c r="AN21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-19T03:41:14-0600',mode:absolute,to:'2017-10-19T06:23:04-0600'))&amp;_a=(columns:!('Message%20ID',Summary),filters:!(),index:'emp_*',interval:auto,query:(query_string:(analyze_wildcard:!t,query:'%22rtdc.l.rtdc.4016%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617</v>
      </c>
      <c r="B22" s="7">
        <v>4015</v>
      </c>
      <c r="C22" s="21" t="s">
        <v>194</v>
      </c>
      <c r="D22" s="21" t="s">
        <v>527</v>
      </c>
      <c r="E22" s="13">
        <v>43027.23333333333</v>
      </c>
      <c r="F22" s="13">
        <v>43027.237685185188</v>
      </c>
      <c r="G22" s="7">
        <v>110</v>
      </c>
      <c r="H22" s="21" t="s">
        <v>826</v>
      </c>
      <c r="I22" s="13">
        <v>43027.26667824074</v>
      </c>
      <c r="J22" s="7">
        <v>0</v>
      </c>
      <c r="K22" s="89" t="str">
        <f t="shared" si="0"/>
        <v>4015/4016</v>
      </c>
      <c r="L22" s="185" t="str">
        <f>VLOOKUP(A22,'Trips&amp;Operators'!$C$1:$G$99911,5,FALSE)</f>
        <v>WILLIAMS DONTE</v>
      </c>
      <c r="M22" s="6">
        <f t="shared" si="1"/>
        <v>2.8993055551836733E-2</v>
      </c>
      <c r="N22" s="7">
        <f t="shared" si="2"/>
        <v>41.749999994644895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-19T04:36:00-0600',mode:absolute,to:'2017-10-19T07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23.296299999999999</v>
      </c>
      <c r="Z22" s="204">
        <f t="shared" si="8"/>
        <v>1.6500000000000001E-2</v>
      </c>
      <c r="AA22" s="204">
        <f t="shared" si="9"/>
        <v>23.279799999999998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22" s="74" t="str">
        <f t="shared" si="12"/>
        <v>"C:\Program Files (x86)\AstroGrep\AstroGrep.exe" /e /r /s /spath="%USERPROFILE%\AppData\Local\Temp\OnboardLogs" /stypes="app*4015*20171019*"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110-19 --locoid 4015 --swversion DE.1.0.9.0 --startMP 204:232963 --initTime 2017-10-19T05:36:00 --startdatetime 2017-10-19T05:42:16 --delay 110 --endMP 204:165 --enddatetime 2017-10-19T06:24:01 --enforcementcount 0 &gt;&gt;%USERPROFILE%\Documents\GitHub\eaglep3-reporting\EC\2017-10-19-refined-times.txt</v>
      </c>
      <c r="AI22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{"issue":{"subject":"","project_id":79,"tracker_id":40,"status_id":1,"priority_id":2,"assigned_to_id":338,"start_date":"2017-10-19","description":"","custom_fields":[{"id":1,"name":"Subdivision","value":"EC"},{"id":4,"name":"Milepost","value":"0.0165"},{"id":17,"name":"Train ID","value":"110-19"},{"id":16,"name":"Locomotive ID","value":"4015"},{"id":130,"name":"Impact","value":""},{"id":150,"name":"Time of Event (Mountain Time)","value":"06:24:01"},{"id":151,"name":"Denver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4015 --day 2017-10-19</v>
      </c>
      <c r="AN22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-19T04:36:00-0600',mode:absolute,to:'2017-10-19T07:24:01-0600'))&amp;_a=(columns:!('Message%20ID',Summary),filters:!(),index:'emp_*',interval:auto,query:(query_string:(analyze_wildcard:!t,query:'%22rtdc.l.rtdc.4015%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610</v>
      </c>
      <c r="B23" s="7">
        <v>4008</v>
      </c>
      <c r="C23" s="21" t="s">
        <v>194</v>
      </c>
      <c r="D23" s="21" t="s">
        <v>353</v>
      </c>
      <c r="E23" s="13">
        <v>43027.202025462961</v>
      </c>
      <c r="F23" s="13">
        <v>43027.208715277775</v>
      </c>
      <c r="G23" s="7">
        <v>60</v>
      </c>
      <c r="H23" s="21" t="s">
        <v>451</v>
      </c>
      <c r="I23" s="13">
        <v>43027.233738425923</v>
      </c>
      <c r="J23" s="7">
        <v>0</v>
      </c>
      <c r="K23" s="89" t="str">
        <f t="shared" si="0"/>
        <v>4007/4008</v>
      </c>
      <c r="L23" s="185" t="str">
        <f>VLOOKUP(A23,'Trips&amp;Operators'!$C$1:$G$99911,5,FALSE)</f>
        <v>YORK EDGAR</v>
      </c>
      <c r="M23" s="6">
        <f t="shared" si="1"/>
        <v>2.5023148147738539E-2</v>
      </c>
      <c r="N23" s="7">
        <f t="shared" si="2"/>
        <v>36.033333332743496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-19T03:50:55-0600',mode:absolute,to:'2017-10-19T06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4.58E-2</v>
      </c>
      <c r="Z23" s="204">
        <f t="shared" si="8"/>
        <v>23.3293</v>
      </c>
      <c r="AA23" s="204">
        <f t="shared" si="9"/>
        <v>23.2835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23" s="74" t="str">
        <f t="shared" si="12"/>
        <v>"C:\Program Files (x86)\AstroGrep\AstroGrep.exe" /e /r /s /spath="%USERPROFILE%\AppData\Local\Temp\OnboardLogs" /stypes="app*4008*20171019*"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111-19 --locoid 4008 --swversion DE.1.0.9.0 --startMP 204:458 --initTime 2017-10-19T04:50:55 --startdatetime 2017-10-19T05:00:33 --delay 60 --endMP 204:233293 --enddatetime 2017-10-19T05:36:35 --enforcementcount 0 &gt;&gt;%USERPROFILE%\Documents\GitHub\eaglep3-reporting\EC\2017-10-19-refined-times.txt</v>
      </c>
      <c r="AI23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{"issue":{"subject":"","project_id":79,"tracker_id":40,"status_id":1,"priority_id":2,"assigned_to_id":338,"start_date":"2017-10-19","description":"","custom_fields":[{"id":1,"name":"Subdivision","value":"EC"},{"id":4,"name":"Milepost","value":"23.3293"},{"id":17,"name":"Train ID","value":"111-19"},{"id":16,"name":"Locomotive ID","value":"4008"},{"id":130,"name":"Impact","value":""},{"id":150,"name":"Time of Event (Mountain Time)","value":"05:36:35"},{"id":151,"name":"Denver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4008 --day 2017-10-19</v>
      </c>
      <c r="AN23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-19T03:50:55-0600',mode:absolute,to:'2017-10-19T06:36:35-0600'))&amp;_a=(columns:!('Message%20ID',Summary),filters:!(),index:'emp_*',interval:auto,query:(query_string:(analyze_wildcard:!t,query:'%22rtdc.l.rtdc.4008%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619</v>
      </c>
      <c r="B24" s="7">
        <v>4007</v>
      </c>
      <c r="C24" s="21" t="s">
        <v>194</v>
      </c>
      <c r="D24" s="21" t="s">
        <v>432</v>
      </c>
      <c r="E24" s="13">
        <v>43027.234780092593</v>
      </c>
      <c r="F24" s="13">
        <v>43027.248657407406</v>
      </c>
      <c r="G24" s="7">
        <v>597</v>
      </c>
      <c r="H24" s="21" t="s">
        <v>371</v>
      </c>
      <c r="I24" s="13">
        <v>43027.273668981485</v>
      </c>
      <c r="J24" s="7">
        <v>0</v>
      </c>
      <c r="K24" s="89" t="str">
        <f t="shared" si="0"/>
        <v>4007/4008</v>
      </c>
      <c r="L24" s="185" t="str">
        <f>VLOOKUP(A24,'Trips&amp;Operators'!$C$1:$G$99911,5,FALSE)</f>
        <v>YORK EDGAR</v>
      </c>
      <c r="M24" s="6">
        <f t="shared" si="1"/>
        <v>2.5011574078234844E-2</v>
      </c>
      <c r="N24" s="7">
        <f t="shared" si="2"/>
        <v>36.016666672658175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-19T04:38:05-0600',mode:absolute,to:'2017-10-19T07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23.298300000000001</v>
      </c>
      <c r="Z24" s="204">
        <f t="shared" si="8"/>
        <v>1.54E-2</v>
      </c>
      <c r="AA24" s="204">
        <f t="shared" si="9"/>
        <v>23.282900000000001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24" s="74" t="str">
        <f t="shared" si="12"/>
        <v>"C:\Program Files (x86)\AstroGrep\AstroGrep.exe" /e /r /s /spath="%USERPROFILE%\AppData\Local\Temp\OnboardLogs" /stypes="app*4007*20171019*"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112-19 --locoid 4007 --swversion DE.1.0.9.0 --startMP 204:232983 --initTime 2017-10-19T05:38:05 --startdatetime 2017-10-19T05:58:04 --delay 597 --endMP 204:154 --enddatetime 2017-10-19T06:34:05 --enforcementcount 0 &gt;&gt;%USERPROFILE%\Documents\GitHub\eaglep3-reporting\EC\2017-10-19-refined-times.txt</v>
      </c>
      <c r="AI24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{"issue":{"subject":"","project_id":79,"tracker_id":40,"status_id":1,"priority_id":2,"assigned_to_id":338,"start_date":"2017-10-19","description":"","custom_fields":[{"id":1,"name":"Subdivision","value":"EC"},{"id":4,"name":"Milepost","value":"0.0154"},{"id":17,"name":"Train ID","value":"112-19"},{"id":16,"name":"Locomotive ID","value":"4007"},{"id":130,"name":"Impact","value":""},{"id":150,"name":"Time of Event (Mountain Time)","value":"06:34:05"},{"id":151,"name":"Denver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4007 --day 2017-10-19</v>
      </c>
      <c r="AN24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-19T04:38:05-0600',mode:absolute,to:'2017-10-19T07:34:05-0600'))&amp;_a=(columns:!('Message%20ID',Summary),filters:!(),index:'emp_*',interval:auto,query:(query_string:(analyze_wildcard:!t,query:'%22rtdc.l.rtdc.4007%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612</v>
      </c>
      <c r="B25" s="7">
        <v>4014</v>
      </c>
      <c r="C25" s="21" t="s">
        <v>194</v>
      </c>
      <c r="D25" s="21" t="s">
        <v>824</v>
      </c>
      <c r="E25" s="13">
        <v>43027.205474537041</v>
      </c>
      <c r="F25" s="13">
        <v>43027.218935185185</v>
      </c>
      <c r="G25" s="7">
        <v>56</v>
      </c>
      <c r="H25" s="21" t="s">
        <v>450</v>
      </c>
      <c r="I25" s="13">
        <v>43027.243217592593</v>
      </c>
      <c r="J25" s="7">
        <v>0</v>
      </c>
      <c r="K25" s="89" t="str">
        <f t="shared" si="0"/>
        <v>4013/4014</v>
      </c>
      <c r="L25" s="185" t="str">
        <f>VLOOKUP(A25,'Trips&amp;Operators'!$C$1:$G$99911,5,FALSE)</f>
        <v>YANAI IAN</v>
      </c>
      <c r="M25" s="6">
        <f t="shared" si="1"/>
        <v>2.4282407408463769E-2</v>
      </c>
      <c r="N25" s="7">
        <f t="shared" si="2"/>
        <v>34.966666668187827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-19T03:55:53-0600',mode:absolute,to:'2017-10-19T06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4.4900000000000002E-2</v>
      </c>
      <c r="Z25" s="204">
        <f t="shared" si="8"/>
        <v>23.328800000000001</v>
      </c>
      <c r="AA25" s="204">
        <f t="shared" si="9"/>
        <v>23.283900000000003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25" s="74" t="str">
        <f t="shared" si="12"/>
        <v>"C:\Program Files (x86)\AstroGrep\AstroGrep.exe" /e /r /s /spath="%USERPROFILE%\AppData\Local\Temp\OnboardLogs" /stypes="app*4014*20171019*"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113-19 --locoid 4014 --swversion DE.1.0.9.0 --startMP 204:449 --initTime 2017-10-19T04:55:53 --startdatetime 2017-10-19T05:15:16 --delay 56 --endMP 204:233288 --enddatetime 2017-10-19T05:50:14 --enforcementcount 0 &gt;&gt;%USERPROFILE%\Documents\GitHub\eaglep3-reporting\EC\2017-10-19-refined-times.txt</v>
      </c>
      <c r="AI25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{"issue":{"subject":"","project_id":79,"tracker_id":40,"status_id":1,"priority_id":2,"assigned_to_id":338,"start_date":"2017-10-19","description":"","custom_fields":[{"id":1,"name":"Subdivision","value":"EC"},{"id":4,"name":"Milepost","value":"23.3288"},{"id":17,"name":"Train ID","value":"113-19"},{"id":16,"name":"Locomotive ID","value":"4014"},{"id":130,"name":"Impact","value":""},{"id":150,"name":"Time of Event (Mountain Time)","value":"05:50:14"},{"id":151,"name":"Denver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4014 --day 2017-10-19</v>
      </c>
      <c r="AN25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-19T03:55:53-0600',mode:absolute,to:'2017-10-19T06:50:14-0600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621</v>
      </c>
      <c r="B26" s="7">
        <v>4013</v>
      </c>
      <c r="C26" s="21" t="s">
        <v>194</v>
      </c>
      <c r="D26" s="21" t="s">
        <v>827</v>
      </c>
      <c r="E26" s="13">
        <v>43027.24454861111</v>
      </c>
      <c r="F26" s="13">
        <v>43027.25849537037</v>
      </c>
      <c r="G26" s="7">
        <v>67</v>
      </c>
      <c r="H26" s="21" t="s">
        <v>363</v>
      </c>
      <c r="I26" s="13">
        <v>43027.284618055557</v>
      </c>
      <c r="J26" s="7">
        <v>0</v>
      </c>
      <c r="K26" s="89" t="str">
        <f t="shared" si="0"/>
        <v>4013/4014</v>
      </c>
      <c r="L26" s="185" t="str">
        <f>VLOOKUP(A26,'Trips&amp;Operators'!$C$1:$G$99911,5,FALSE)</f>
        <v>YANAI IAN</v>
      </c>
      <c r="M26" s="6">
        <f t="shared" si="1"/>
        <v>2.6122685187146999E-2</v>
      </c>
      <c r="N26" s="7">
        <f t="shared" si="2"/>
        <v>37.616666669491678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-19T04:52:09-0600',mode:absolute,to:'2017-10-19T07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23.297799999999999</v>
      </c>
      <c r="Z26" s="204">
        <f t="shared" si="8"/>
        <v>1.5800000000000002E-2</v>
      </c>
      <c r="AA26" s="204">
        <f t="shared" si="9"/>
        <v>23.282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26" s="74" t="str">
        <f t="shared" si="12"/>
        <v>"C:\Program Files (x86)\AstroGrep\AstroGrep.exe" /e /r /s /spath="%USERPROFILE%\AppData\Local\Temp\OnboardLogs" /stypes="app*4013*20171019*"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114-19 --locoid 4013 --swversion DE.1.0.9.0 --startMP 204:232978 --initTime 2017-10-19T05:52:09 --startdatetime 2017-10-19T06:12:14 --delay 67 --endMP 204:158 --enddatetime 2017-10-19T06:49:51 --enforcementcount 0 &gt;&gt;%USERPROFILE%\Documents\GitHub\eaglep3-reporting\EC\2017-10-19-refined-times.txt</v>
      </c>
      <c r="AI26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{"issue":{"subject":"","project_id":79,"tracker_id":40,"status_id":1,"priority_id":2,"assigned_to_id":338,"start_date":"2017-10-19","description":"","custom_fields":[{"id":1,"name":"Subdivision","value":"EC"},{"id":4,"name":"Milepost","value":"0.0158"},{"id":17,"name":"Train ID","value":"114-19"},{"id":16,"name":"Locomotive ID","value":"4013"},{"id":130,"name":"Impact","value":""},{"id":150,"name":"Time of Event (Mountain Time)","value":"06:49:51"},{"id":151,"name":"Denver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4013 --day 2017-10-19</v>
      </c>
      <c r="AN26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-19T04:52:09-0600',mode:absolute,to:'2017-10-19T07:49:51-0600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616</v>
      </c>
      <c r="B27" s="7">
        <v>4006</v>
      </c>
      <c r="C27" s="21" t="s">
        <v>194</v>
      </c>
      <c r="D27" s="21" t="s">
        <v>455</v>
      </c>
      <c r="E27" s="13">
        <v>43027.224756944444</v>
      </c>
      <c r="F27" s="13">
        <v>43027.229456018518</v>
      </c>
      <c r="G27" s="7">
        <v>70</v>
      </c>
      <c r="H27" s="21" t="s">
        <v>828</v>
      </c>
      <c r="I27" s="13">
        <v>43027.255162037036</v>
      </c>
      <c r="J27" s="7">
        <v>0</v>
      </c>
      <c r="K27" s="89" t="str">
        <f t="shared" si="0"/>
        <v>4005/4006</v>
      </c>
      <c r="L27" s="185" t="str">
        <f>VLOOKUP(A27,'Trips&amp;Operators'!$C$1:$G$99911,5,FALSE)</f>
        <v>MAELZER KURT</v>
      </c>
      <c r="M27" s="6">
        <f t="shared" si="1"/>
        <v>2.5706018517666962E-2</v>
      </c>
      <c r="N27" s="7">
        <f t="shared" si="2"/>
        <v>37.016666665440425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-19T04:23:39-0600',mode:absolute,to:'2017-10-19T07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4.3700000000000003E-2</v>
      </c>
      <c r="Z27" s="204">
        <f t="shared" si="8"/>
        <v>23.331</v>
      </c>
      <c r="AA27" s="204">
        <f t="shared" si="9"/>
        <v>23.287299999999998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27" s="74" t="str">
        <f t="shared" si="12"/>
        <v>"C:\Program Files (x86)\AstroGrep\AstroGrep.exe" /e /r /s /spath="%USERPROFILE%\AppData\Local\Temp\OnboardLogs" /stypes="app*4006*20171019*"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115-19 --locoid 4006 --swversion DE.1.0.9.0 --startMP 204:437 --initTime 2017-10-19T05:23:39 --startdatetime 2017-10-19T05:30:25 --delay 70 --endMP 204:233310 --enddatetime 2017-10-19T06:07:26 --enforcementcount 0 &gt;&gt;%USERPROFILE%\Documents\GitHub\eaglep3-reporting\EC\2017-10-19-refined-times.txt</v>
      </c>
      <c r="AI27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{"issue":{"subject":"","project_id":79,"tracker_id":40,"status_id":1,"priority_id":2,"assigned_to_id":338,"start_date":"2017-10-19","description":"","custom_fields":[{"id":1,"name":"Subdivision","value":"EC"},{"id":4,"name":"Milepost","value":"23.331"},{"id":17,"name":"Train ID","value":"115-19"},{"id":16,"name":"Locomotive ID","value":"4006"},{"id":130,"name":"Impact","value":""},{"id":150,"name":"Time of Event (Mountain Time)","value":"06:07:26"},{"id":151,"name":"Denver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4006 --day 2017-10-19</v>
      </c>
      <c r="AN27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-19T04:23:39-0600',mode:absolute,to:'2017-10-19T07:07:26-0600'))&amp;_a=(columns:!('Message%20ID',Summary),filters:!(),index:'emp_*',interval:auto,query:(query_string:(analyze_wildcard:!t,query:'%22rtdc.l.rtdc.4006%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626</v>
      </c>
      <c r="B28" s="7">
        <v>4005</v>
      </c>
      <c r="C28" s="21" t="s">
        <v>194</v>
      </c>
      <c r="D28" s="21" t="s">
        <v>412</v>
      </c>
      <c r="E28" s="13">
        <v>43027.263969907406</v>
      </c>
      <c r="F28" s="13">
        <v>43027.268935185188</v>
      </c>
      <c r="G28" s="7">
        <v>98</v>
      </c>
      <c r="H28" s="21" t="s">
        <v>424</v>
      </c>
      <c r="I28" s="13">
        <v>43027.295613425929</v>
      </c>
      <c r="J28" s="7">
        <v>0</v>
      </c>
      <c r="K28" s="89" t="str">
        <f t="shared" si="0"/>
        <v>4005/4006</v>
      </c>
      <c r="L28" s="185" t="str">
        <f>VLOOKUP(A28,'Trips&amp;Operators'!$C$1:$G$99911,5,FALSE)</f>
        <v>MAELZER KURT</v>
      </c>
      <c r="M28" s="6">
        <f t="shared" si="1"/>
        <v>2.6678240741603076E-2</v>
      </c>
      <c r="N28" s="7">
        <f t="shared" si="2"/>
        <v>38.41666666790843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-19T05:20:07-0600',mode:absolute,to:'2017-10-19T08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23.2987</v>
      </c>
      <c r="Z28" s="204">
        <f t="shared" si="8"/>
        <v>1.3599999999999999E-2</v>
      </c>
      <c r="AA28" s="204">
        <f t="shared" si="9"/>
        <v>23.2851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28" s="74" t="str">
        <f t="shared" si="12"/>
        <v>"C:\Program Files (x86)\AstroGrep\AstroGrep.exe" /e /r /s /spath="%USERPROFILE%\AppData\Local\Temp\OnboardLogs" /stypes="app*4005*20171019*"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116-19 --locoid 4005 --swversion DE.1.0.9.0 --startMP 204:232987 --initTime 2017-10-19T06:20:07 --startdatetime 2017-10-19T06:27:16 --delay 98 --endMP 204:136 --enddatetime 2017-10-19T07:05:41 --enforcementcount 0 &gt;&gt;%USERPROFILE%\Documents\GitHub\eaglep3-reporting\EC\2017-10-19-refined-times.txt</v>
      </c>
      <c r="AI28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{"issue":{"subject":"","project_id":79,"tracker_id":40,"status_id":1,"priority_id":2,"assigned_to_id":338,"start_date":"2017-10-19","description":"","custom_fields":[{"id":1,"name":"Subdivision","value":"EC"},{"id":4,"name":"Milepost","value":"0.0136"},{"id":17,"name":"Train ID","value":"116-19"},{"id":16,"name":"Locomotive ID","value":"4005"},{"id":130,"name":"Impact","value":""},{"id":150,"name":"Time of Event (Mountain Time)","value":"07:05:41"},{"id":151,"name":"Denver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4005 --day 2017-10-19</v>
      </c>
      <c r="AN28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-19T05:20:07-0600',mode:absolute,to:'2017-10-19T08:05:41-0600'))&amp;_a=(columns:!('Message%20ID',Summary),filters:!(),index:'emp_*',interval:auto,query:(query_string:(analyze_wildcard:!t,query:'%22rtdc.l.rtdc.4005%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618</v>
      </c>
      <c r="B29" s="7">
        <v>4066</v>
      </c>
      <c r="C29" s="21" t="s">
        <v>194</v>
      </c>
      <c r="D29" s="21" t="s">
        <v>412</v>
      </c>
      <c r="E29" s="13">
        <v>43027.263969907406</v>
      </c>
      <c r="F29" s="13">
        <v>43027.239849537036</v>
      </c>
      <c r="G29" s="7">
        <v>98</v>
      </c>
      <c r="H29" s="21" t="s">
        <v>424</v>
      </c>
      <c r="I29" s="13">
        <v>43027.264687499999</v>
      </c>
      <c r="J29" s="7">
        <v>0</v>
      </c>
      <c r="K29" s="89" t="str">
        <f t="shared" si="0"/>
        <v>4065/4066</v>
      </c>
      <c r="L29" s="185" t="str">
        <f>VLOOKUP(A29,'Trips&amp;Operators'!$C$1:$G$99911,5,FALSE)</f>
        <v>YANG JAN</v>
      </c>
      <c r="M29" s="6">
        <f t="shared" si="1"/>
        <v>2.4837962962919846E-2</v>
      </c>
      <c r="N29" s="7">
        <f t="shared" si="2"/>
        <v>35.766666666604578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-19T05:20:07-0600',mode:absolute,to:'2017-10-19T07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v>4.3700000000000003E-2</v>
      </c>
      <c r="Z29" s="204">
        <v>23.331</v>
      </c>
      <c r="AA29" s="204">
        <f t="shared" si="9"/>
        <v>23.287299999999998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29" s="74" t="str">
        <f t="shared" si="12"/>
        <v>"C:\Program Files (x86)\AstroGrep\AstroGrep.exe" /e /r /s /spath="%USERPROFILE%\AppData\Local\Temp\OnboardLogs" /stypes="app*4066*20171019*"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ref="AH29" si="24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117-19 --locoid 4066 --swversion DE.1.0.9.0 --startMP 204:232987 --initTime 2017-10-19T06:20:07 --startdatetime 2017-10-19T05:45:23 --delay 98 --endMP 204:136 --enddatetime 2017-10-19T06:21:09 --enforcementcount 0 &gt;&gt;%USERPROFILE%\Documents\GitHub\eaglep3-reporting\EC\2017-10-19-refined-times.txt</v>
      </c>
      <c r="AI29" s="96" t="str">
        <f t="shared" ref="AI29" si="25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{"issue":{"subject":"","project_id":79,"tracker_id":40,"status_id":1,"priority_id":2,"assigned_to_id":338,"start_date":"2017-10-19","description":"","custom_fields":[{"id":1,"name":"Subdivision","value":"EC"},{"id":4,"name":"Milepost","value":"23.331"},{"id":17,"name":"Train ID","value":"117-19"},{"id":16,"name":"Locomotive ID","value":"4066"},{"id":130,"name":"Impact","value":""},{"id":150,"name":"Time of Event (Mountain Time)","value":"06:21:09"},{"id":151,"name":"Denver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ref="AM29" si="26">"start /low /b "&amp;dls3logs&amp;" --loco "&amp;B29&amp;" --day "&amp;TEXT(F29,"YYYY-MM-DD")</f>
        <v>start /low /b %USERPROFILE%\Documents\GitHub\eaglep3\Utilities\DownloadLogsFromS3.py --loco 4066 --day 2017-10-19</v>
      </c>
      <c r="AN29" s="151" t="str">
        <f t="shared" ref="AN29" si="27">"echo {""issue"":{""subject"":"""&amp;R29&amp;""",""project_id"":30,""tracker_id"":4,""status_id"":"&amp;redmine_status_wcr&amp;",""priority_id"":"&amp;redmine_priority_wcr&amp;",""assigned_to_id"":"&amp;redmine_assignee_wcr&amp;",""start_date"":"""&amp;TEXT(I29-utc_offset/24,"YYYY-mm-dd")&amp;""",""description"":"""&amp;AJ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ref="AO29" si="28"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Message%20ID',Summary),filters:!(),index:'emp_*',interval:auto,query:"&amp;"(query_string:(analyze_wildcard:!t,query:'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-19T05:20:07-0600',mode:absolute,to:'2017-10-19T07:21:09-0600'))&amp;_a=(columns:!('Message%20ID',Summary),filters:!(),index:'emp_*',interval:auto,query:(query_string:(analyze_wildcard:!t,query:'%22rtdc.l.rtdc.4066%22')),sort:!(Time.ISO8601,asc))</v>
      </c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</row>
    <row r="30" spans="1:91" s="1" customFormat="1" x14ac:dyDescent="0.25">
      <c r="A30" s="32" t="s">
        <v>629</v>
      </c>
      <c r="B30" s="7">
        <v>4065</v>
      </c>
      <c r="C30" s="21" t="s">
        <v>194</v>
      </c>
      <c r="D30" s="21" t="s">
        <v>454</v>
      </c>
      <c r="E30" s="13">
        <v>43027.274363425924</v>
      </c>
      <c r="F30" s="13">
        <v>43027.279340277775</v>
      </c>
      <c r="G30" s="7">
        <v>63</v>
      </c>
      <c r="H30" s="21" t="s">
        <v>337</v>
      </c>
      <c r="I30" s="13">
        <v>43027.305856481478</v>
      </c>
      <c r="J30" s="7">
        <v>0</v>
      </c>
      <c r="K30" s="89" t="str">
        <f t="shared" si="0"/>
        <v>4065/4066</v>
      </c>
      <c r="L30" s="185" t="str">
        <f>VLOOKUP(A30,'Trips&amp;Operators'!$C$1:$G$99911,5,FALSE)</f>
        <v>YANG JAN</v>
      </c>
      <c r="M30" s="6">
        <f t="shared" si="1"/>
        <v>2.6516203703067731E-2</v>
      </c>
      <c r="N30" s="7">
        <f t="shared" si="2"/>
        <v>38.183333332417533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-19T05:35:05-0600',mode:absolute,to:'2017-10-19T08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ref="Y30:Y61" si="29">RIGHT(D30,LEN(D30)-4)/10000</f>
        <v>23.298999999999999</v>
      </c>
      <c r="Z30" s="204">
        <f t="shared" ref="Z30:Z61" si="30">RIGHT(H30,LEN(H30)-4)/10000</f>
        <v>1.43E-2</v>
      </c>
      <c r="AA30" s="204">
        <f t="shared" si="9"/>
        <v>23.284700000000001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30" s="74" t="str">
        <f t="shared" si="12"/>
        <v>"C:\Program Files (x86)\AstroGrep\AstroGrep.exe" /e /r /s /spath="%USERPROFILE%\AppData\Local\Temp\OnboardLogs" /stypes="app*4065*20171019*"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118-19 --locoid 4065 --swversion DE.1.0.9.0 --startMP 204:232990 --initTime 2017-10-19T06:35:05 --startdatetime 2017-10-19T06:42:15 --delay 63 --endMP 204:143 --enddatetime 2017-10-19T07:20:26 --enforcementcount 0 &gt;&gt;%USERPROFILE%\Documents\GitHub\eaglep3-reporting\EC\2017-10-19-refined-times.txt</v>
      </c>
      <c r="AI30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{"issue":{"subject":"","project_id":79,"tracker_id":40,"status_id":1,"priority_id":2,"assigned_to_id":338,"start_date":"2017-10-19","description":"","custom_fields":[{"id":1,"name":"Subdivision","value":"EC"},{"id":4,"name":"Milepost","value":"0.0143"},{"id":17,"name":"Train ID","value":"118-19"},{"id":16,"name":"Locomotive ID","value":"4065"},{"id":130,"name":"Impact","value":""},{"id":150,"name":"Time of Event (Mountain Time)","value":"07:20:26"},{"id":151,"name":"Denver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4065 --day 2017-10-19</v>
      </c>
      <c r="AN30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-19T05:35:05-0600',mode:absolute,to:'2017-10-19T08:20:26-0600'))&amp;_a=(columns:!('Message%20ID',Summary),filters:!(),index:'emp_*',interval:auto,query:(query_string:(analyze_wildcard:!t,query:'%22rtdc.l.rtdc.4065%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622</v>
      </c>
      <c r="B31" s="7">
        <v>4058</v>
      </c>
      <c r="C31" s="21" t="s">
        <v>194</v>
      </c>
      <c r="D31" s="21" t="s">
        <v>369</v>
      </c>
      <c r="E31" s="13">
        <v>43027.245821759258</v>
      </c>
      <c r="F31" s="13">
        <v>43027.2502662037</v>
      </c>
      <c r="G31" s="7">
        <v>59</v>
      </c>
      <c r="H31" s="21" t="s">
        <v>389</v>
      </c>
      <c r="I31" s="13">
        <v>43027.27542824074</v>
      </c>
      <c r="J31" s="7">
        <v>0</v>
      </c>
      <c r="K31" s="89" t="str">
        <f t="shared" si="0"/>
        <v>4057/4058</v>
      </c>
      <c r="L31" s="185" t="str">
        <f>VLOOKUP(A31,'Trips&amp;Operators'!$C$1:$G$99911,5,FALSE)</f>
        <v>BONDS REYNALDO</v>
      </c>
      <c r="M31" s="6">
        <f t="shared" si="1"/>
        <v>2.5162037039990537E-2</v>
      </c>
      <c r="N31" s="7">
        <f t="shared" si="2"/>
        <v>36.233333337586373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-19T04:53:59-0600',mode:absolute,to:'2017-10-19T07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29"/>
        <v>4.7100000000000003E-2</v>
      </c>
      <c r="Z31" s="204">
        <f t="shared" si="30"/>
        <v>23.330200000000001</v>
      </c>
      <c r="AA31" s="204">
        <f t="shared" si="9"/>
        <v>23.283100000000001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31" s="74" t="str">
        <f t="shared" si="12"/>
        <v>"C:\Program Files (x86)\AstroGrep\AstroGrep.exe" /e /r /s /spath="%USERPROFILE%\AppData\Local\Temp\OnboardLogs" /stypes="app*4058*20171019*"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119-19 --locoid 4058 --swversion DE.1.0.9.0 --startMP 204:471 --initTime 2017-10-19T05:53:59 --startdatetime 2017-10-19T06:00:23 --delay 59 --endMP 204:233302 --enddatetime 2017-10-19T06:36:37 --enforcementcount 0 &gt;&gt;%USERPROFILE%\Documents\GitHub\eaglep3-reporting\EC\2017-10-19-refined-times.txt</v>
      </c>
      <c r="AI31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{"issue":{"subject":"","project_id":79,"tracker_id":40,"status_id":1,"priority_id":2,"assigned_to_id":338,"start_date":"2017-10-19","description":"","custom_fields":[{"id":1,"name":"Subdivision","value":"EC"},{"id":4,"name":"Milepost","value":"23.3302"},{"id":17,"name":"Train ID","value":"119-19"},{"id":16,"name":"Locomotive ID","value":"4058"},{"id":130,"name":"Impact","value":""},{"id":150,"name":"Time of Event (Mountain Time)","value":"06:36:37"},{"id":151,"name":"Denver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4058 --day 2017-10-19</v>
      </c>
      <c r="AN31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-19T04:53:59-0600',mode:absolute,to:'2017-10-19T07:36:37-0600'))&amp;_a=(columns:!('Message%20ID',Summary),filters:!(),index:'emp_*',interval:auto,query:(query_string:(analyze_wildcard:!t,query:'%22rtdc.l.rtdc.4058%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632</v>
      </c>
      <c r="B32" s="7">
        <v>4057</v>
      </c>
      <c r="C32" s="21" t="s">
        <v>194</v>
      </c>
      <c r="D32" s="21" t="s">
        <v>448</v>
      </c>
      <c r="E32" s="13">
        <v>43027.286377314813</v>
      </c>
      <c r="F32" s="13">
        <v>43027.289756944447</v>
      </c>
      <c r="G32" s="7">
        <v>50</v>
      </c>
      <c r="H32" s="21" t="s">
        <v>366</v>
      </c>
      <c r="I32" s="13">
        <v>43027.316412037035</v>
      </c>
      <c r="J32" s="7">
        <v>0</v>
      </c>
      <c r="K32" s="89" t="str">
        <f t="shared" si="0"/>
        <v>4057/4058</v>
      </c>
      <c r="L32" s="185" t="str">
        <f>VLOOKUP(A32,'Trips&amp;Operators'!$C$1:$G$99911,5,FALSE)</f>
        <v>BONDS REYNALDO</v>
      </c>
      <c r="M32" s="6">
        <f t="shared" si="1"/>
        <v>2.6655092588043772E-2</v>
      </c>
      <c r="N32" s="7">
        <f t="shared" si="2"/>
        <v>38.383333326783031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-19T05:52:23-0600',mode:absolute,to:'2017-10-19T08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29"/>
        <v>23.299600000000002</v>
      </c>
      <c r="Z32" s="204">
        <f t="shared" si="30"/>
        <v>1.3899999999999999E-2</v>
      </c>
      <c r="AA32" s="204">
        <f t="shared" si="9"/>
        <v>23.285700000000002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32" s="74" t="str">
        <f t="shared" si="12"/>
        <v>"C:\Program Files (x86)\AstroGrep\AstroGrep.exe" /e /r /s /spath="%USERPROFILE%\AppData\Local\Temp\OnboardLogs" /stypes="app*4057*20171019*"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120-19 --locoid 4057 --swversion DE.1.0.9.0 --startMP 204:232996 --initTime 2017-10-19T06:52:23 --startdatetime 2017-10-19T06:57:15 --delay 50 --endMP 204:139 --enddatetime 2017-10-19T07:35:38 --enforcementcount 0 &gt;&gt;%USERPROFILE%\Documents\GitHub\eaglep3-reporting\EC\2017-10-19-refined-times.txt</v>
      </c>
      <c r="AI32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{"issue":{"subject":"","project_id":79,"tracker_id":40,"status_id":1,"priority_id":2,"assigned_to_id":338,"start_date":"2017-10-19","description":"","custom_fields":[{"id":1,"name":"Subdivision","value":"EC"},{"id":4,"name":"Milepost","value":"0.0139"},{"id":17,"name":"Train ID","value":"120-19"},{"id":16,"name":"Locomotive ID","value":"4057"},{"id":130,"name":"Impact","value":""},{"id":150,"name":"Time of Event (Mountain Time)","value":"07:35:38"},{"id":151,"name":"Denver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4057 --day 2017-10-19</v>
      </c>
      <c r="AN32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-19T05:52:23-0600',mode:absolute,to:'2017-10-19T08:35:38-0600'))&amp;_a=(columns:!('Message%20ID',Summary),filters:!(),index:'emp_*',interval:auto,query:(query_string:(analyze_wildcard:!t,query:'%22rtdc.l.rtdc.4057%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625</v>
      </c>
      <c r="B33" s="7">
        <v>4018</v>
      </c>
      <c r="C33" s="21" t="s">
        <v>194</v>
      </c>
      <c r="D33" s="21" t="s">
        <v>535</v>
      </c>
      <c r="E33" s="13">
        <v>43027.256412037037</v>
      </c>
      <c r="F33" s="13">
        <v>43027.260578703703</v>
      </c>
      <c r="G33" s="7">
        <v>61</v>
      </c>
      <c r="H33" s="21" t="s">
        <v>451</v>
      </c>
      <c r="I33" s="13">
        <v>43027.28502314815</v>
      </c>
      <c r="J33" s="7">
        <v>0</v>
      </c>
      <c r="K33" s="89" t="str">
        <f t="shared" si="0"/>
        <v>4017/4018</v>
      </c>
      <c r="L33" s="185" t="str">
        <f>VLOOKUP(A33,'Trips&amp;Operators'!$C$1:$G$99911,5,FALSE)</f>
        <v>GEBRETEKLE DAGNEW</v>
      </c>
      <c r="M33" s="6">
        <f t="shared" si="1"/>
        <v>2.4444444446999114E-2</v>
      </c>
      <c r="N33" s="7">
        <f t="shared" si="2"/>
        <v>35.200000003678724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-19T05:09:14-0600',mode:absolute,to:'2017-10-19T07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29"/>
        <v>4.6600000000000003E-2</v>
      </c>
      <c r="Z33" s="204">
        <f t="shared" si="30"/>
        <v>23.3293</v>
      </c>
      <c r="AA33" s="204">
        <f t="shared" si="9"/>
        <v>23.282699999999998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33" s="74" t="str">
        <f t="shared" si="12"/>
        <v>"C:\Program Files (x86)\AstroGrep\AstroGrep.exe" /e /r /s /spath="%USERPROFILE%\AppData\Local\Temp\OnboardLogs" /stypes="app*4018*20171019*"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121-19 --locoid 4018 --swversion DE.1.0.9.0 --startMP 204:466 --initTime 2017-10-19T06:09:14 --startdatetime 2017-10-19T06:15:14 --delay 61 --endMP 204:233293 --enddatetime 2017-10-19T06:50:26 --enforcementcount 0 &gt;&gt;%USERPROFILE%\Documents\GitHub\eaglep3-reporting\EC\2017-10-19-refined-times.txt</v>
      </c>
      <c r="AI33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{"issue":{"subject":"","project_id":79,"tracker_id":40,"status_id":1,"priority_id":2,"assigned_to_id":338,"start_date":"2017-10-19","description":"","custom_fields":[{"id":1,"name":"Subdivision","value":"EC"},{"id":4,"name":"Milepost","value":"23.3293"},{"id":17,"name":"Train ID","value":"121-19"},{"id":16,"name":"Locomotive ID","value":"4018"},{"id":130,"name":"Impact","value":""},{"id":150,"name":"Time of Event (Mountain Time)","value":"06:50:26"},{"id":151,"name":"Denver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4018 --day 2017-10-19</v>
      </c>
      <c r="AN33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-19T05:09:14-0600',mode:absolute,to:'2017-10-19T07:50:26-0600'))&amp;_a=(columns:!('Message%20ID',Summary),filters:!(),index:'emp_*',interval:auto,query:(query_string:(analyze_wildcard:!t,query:'%22rtdc.l.rtdc.4018%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631</v>
      </c>
      <c r="B34" s="7">
        <v>4017</v>
      </c>
      <c r="C34" s="21" t="s">
        <v>194</v>
      </c>
      <c r="D34" s="21" t="s">
        <v>829</v>
      </c>
      <c r="E34" s="13">
        <v>43027.286192129628</v>
      </c>
      <c r="F34" s="13">
        <v>43027.300196759257</v>
      </c>
      <c r="G34" s="7">
        <v>50</v>
      </c>
      <c r="H34" s="21" t="s">
        <v>357</v>
      </c>
      <c r="I34" s="13">
        <v>43027.32675925926</v>
      </c>
      <c r="J34" s="7">
        <v>0</v>
      </c>
      <c r="K34" s="89" t="str">
        <f t="shared" si="0"/>
        <v>4017/4018</v>
      </c>
      <c r="L34" s="185" t="str">
        <f>VLOOKUP(A34,'Trips&amp;Operators'!$C$1:$G$99911,5,FALSE)</f>
        <v>GEBRETEKLE DAGNEW</v>
      </c>
      <c r="M34" s="6">
        <f t="shared" si="1"/>
        <v>2.6562500002910383E-2</v>
      </c>
      <c r="N34" s="7">
        <f t="shared" si="2"/>
        <v>38.250000004190952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-19T05:52:07-0600',mode:absolute,to:'2017-10-19T08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29"/>
        <v>23.2973</v>
      </c>
      <c r="Z34" s="204">
        <f t="shared" si="30"/>
        <v>1.5599999999999999E-2</v>
      </c>
      <c r="AA34" s="204">
        <f t="shared" si="9"/>
        <v>23.281700000000001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34" s="74" t="str">
        <f t="shared" si="12"/>
        <v>"C:\Program Files (x86)\AstroGrep\AstroGrep.exe" /e /r /s /spath="%USERPROFILE%\AppData\Local\Temp\OnboardLogs" /stypes="app*4017*20171019*"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122-19 --locoid 4017 --swversion DE.1.0.9.0 --startMP 204:232973 --initTime 2017-10-19T06:52:07 --startdatetime 2017-10-19T07:12:17 --delay 50 --endMP 204:156 --enddatetime 2017-10-19T07:50:32 --enforcementcount 0 &gt;&gt;%USERPROFILE%\Documents\GitHub\eaglep3-reporting\EC\2017-10-19-refined-times.txt</v>
      </c>
      <c r="AI34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{"issue":{"subject":"","project_id":79,"tracker_id":40,"status_id":1,"priority_id":2,"assigned_to_id":338,"start_date":"2017-10-19","description":"","custom_fields":[{"id":1,"name":"Subdivision","value":"EC"},{"id":4,"name":"Milepost","value":"0.0156"},{"id":17,"name":"Train ID","value":"122-19"},{"id":16,"name":"Locomotive ID","value":"4017"},{"id":130,"name":"Impact","value":""},{"id":150,"name":"Time of Event (Mountain Time)","value":"07:50:32"},{"id":151,"name":"Denver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4017 --day 2017-10-19</v>
      </c>
      <c r="AN34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-19T05:52:07-0600',mode:absolute,to:'2017-10-19T08:50:32-0600'))&amp;_a=(columns:!('Message%20ID',Summary),filters:!(),index:'emp_*',interval:auto,query:(query_string:(analyze_wildcard:!t,query:'%22rtdc.l.rtdc.4017%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628</v>
      </c>
      <c r="B35" s="7">
        <v>4016</v>
      </c>
      <c r="C35" s="21" t="s">
        <v>194</v>
      </c>
      <c r="D35" s="21" t="s">
        <v>400</v>
      </c>
      <c r="E35" s="13">
        <v>43027.268148148149</v>
      </c>
      <c r="F35" s="13">
        <v>43027.271122685182</v>
      </c>
      <c r="G35" s="7">
        <v>73</v>
      </c>
      <c r="H35" s="21" t="s">
        <v>830</v>
      </c>
      <c r="I35" s="13">
        <v>43027.297060185185</v>
      </c>
      <c r="J35" s="7">
        <v>0</v>
      </c>
      <c r="K35" s="89" t="str">
        <f t="shared" si="0"/>
        <v>4015/4016</v>
      </c>
      <c r="L35" s="185" t="str">
        <f>VLOOKUP(A35,'Trips&amp;Operators'!$C$1:$G$99911,5,FALSE)</f>
        <v>WILLIAMS DONTE</v>
      </c>
      <c r="M35" s="6">
        <f t="shared" si="1"/>
        <v>2.5937500002328306E-2</v>
      </c>
      <c r="N35" s="7">
        <f t="shared" si="2"/>
        <v>37.350000003352761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-19T05:26:08-0600',mode:absolute,to:'2017-10-19T08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29"/>
        <v>4.6399999999999997E-2</v>
      </c>
      <c r="Z35" s="204">
        <f t="shared" si="30"/>
        <v>23.334</v>
      </c>
      <c r="AA35" s="204">
        <f t="shared" si="9"/>
        <v>23.287600000000001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35" s="74" t="str">
        <f t="shared" si="12"/>
        <v>"C:\Program Files (x86)\AstroGrep\AstroGrep.exe" /e /r /s /spath="%USERPROFILE%\AppData\Local\Temp\OnboardLogs" /stypes="app*4016*20171019*"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123-19 --locoid 4016 --swversion DE.1.0.9.0 --startMP 204:464 --initTime 2017-10-19T06:26:08 --startdatetime 2017-10-19T06:30:25 --delay 73 --endMP 204:233340 --enddatetime 2017-10-19T07:07:46 --enforcementcount 0 &gt;&gt;%USERPROFILE%\Documents\GitHub\eaglep3-reporting\EC\2017-10-19-refined-times.txt</v>
      </c>
      <c r="AI35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{"issue":{"subject":"","project_id":79,"tracker_id":40,"status_id":1,"priority_id":2,"assigned_to_id":338,"start_date":"2017-10-19","description":"","custom_fields":[{"id":1,"name":"Subdivision","value":"EC"},{"id":4,"name":"Milepost","value":"23.334"},{"id":17,"name":"Train ID","value":"123-19"},{"id":16,"name":"Locomotive ID","value":"4016"},{"id":130,"name":"Impact","value":""},{"id":150,"name":"Time of Event (Mountain Time)","value":"07:07:46"},{"id":151,"name":"Denver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4016 --day 2017-10-19</v>
      </c>
      <c r="AN35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-19T05:26:08-0600',mode:absolute,to:'2017-10-19T08:07:46-0600'))&amp;_a=(columns:!('Message%20ID',Summary),filters:!(),index:'emp_*',interval:auto,query:(query_string:(analyze_wildcard:!t,query:'%22rtdc.l.rtdc.4016%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638</v>
      </c>
      <c r="B36" s="7">
        <v>4015</v>
      </c>
      <c r="C36" s="21" t="s">
        <v>194</v>
      </c>
      <c r="D36" s="21" t="s">
        <v>475</v>
      </c>
      <c r="E36" s="13">
        <v>43027.305439814816</v>
      </c>
      <c r="F36" s="13">
        <v>43027.310601851852</v>
      </c>
      <c r="G36" s="7">
        <v>72</v>
      </c>
      <c r="H36" s="21" t="s">
        <v>371</v>
      </c>
      <c r="I36" s="13">
        <v>43027.337766203702</v>
      </c>
      <c r="J36" s="7">
        <v>0</v>
      </c>
      <c r="K36" s="89" t="str">
        <f t="shared" si="0"/>
        <v>4015/4016</v>
      </c>
      <c r="L36" s="185" t="str">
        <f>VLOOKUP(A36,'Trips&amp;Operators'!$C$1:$G$99911,5,FALSE)</f>
        <v>WILLIAMS DONTE</v>
      </c>
      <c r="M36" s="6">
        <f t="shared" si="1"/>
        <v>2.7164351849933155E-2</v>
      </c>
      <c r="N36" s="7">
        <f t="shared" si="2"/>
        <v>39.116666663903743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-19T06:19:50-0600',mode:absolute,to:'2017-10-19T09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29"/>
        <v>23.3002</v>
      </c>
      <c r="Z36" s="204">
        <f t="shared" si="30"/>
        <v>1.54E-2</v>
      </c>
      <c r="AA36" s="204">
        <f t="shared" si="9"/>
        <v>23.284800000000001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36" s="74" t="str">
        <f t="shared" si="12"/>
        <v>"C:\Program Files (x86)\AstroGrep\AstroGrep.exe" /e /r /s /spath="%USERPROFILE%\AppData\Local\Temp\OnboardLogs" /stypes="app*4015*20171019*"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124-19 --locoid 4015 --swversion DE.1.0.9.0 --startMP 204:233002 --initTime 2017-10-19T07:19:50 --startdatetime 2017-10-19T07:27:16 --delay 72 --endMP 204:154 --enddatetime 2017-10-19T08:06:23 --enforcementcount 0 &gt;&gt;%USERPROFILE%\Documents\GitHub\eaglep3-reporting\EC\2017-10-19-refined-times.txt</v>
      </c>
      <c r="AI36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{"issue":{"subject":"","project_id":79,"tracker_id":40,"status_id":1,"priority_id":2,"assigned_to_id":338,"start_date":"2017-10-19","description":"","custom_fields":[{"id":1,"name":"Subdivision","value":"EC"},{"id":4,"name":"Milepost","value":"0.0154"},{"id":17,"name":"Train ID","value":"124-19"},{"id":16,"name":"Locomotive ID","value":"4015"},{"id":130,"name":"Impact","value":""},{"id":150,"name":"Time of Event (Mountain Time)","value":"08:06:23"},{"id":151,"name":"Denver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4015 --day 2017-10-19</v>
      </c>
      <c r="AN36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-19T06:19:50-0600',mode:absolute,to:'2017-10-19T09:06:23-0600'))&amp;_a=(columns:!('Message%20ID',Summary),filters:!(),index:'emp_*',interval:auto,query:(query_string:(analyze_wildcard:!t,query:'%22rtdc.l.rtdc.4015%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630</v>
      </c>
      <c r="B37" s="7">
        <v>4008</v>
      </c>
      <c r="C37" s="21" t="s">
        <v>194</v>
      </c>
      <c r="D37" s="21" t="s">
        <v>410</v>
      </c>
      <c r="E37" s="13">
        <v>43027.275868055556</v>
      </c>
      <c r="F37" s="13">
        <v>43027.281574074077</v>
      </c>
      <c r="G37" s="7">
        <v>50</v>
      </c>
      <c r="H37" s="21" t="s">
        <v>529</v>
      </c>
      <c r="I37" s="13">
        <v>43027.306215277778</v>
      </c>
      <c r="J37" s="7">
        <v>0</v>
      </c>
      <c r="K37" s="89" t="str">
        <f t="shared" si="0"/>
        <v>4007/4008</v>
      </c>
      <c r="L37" s="185" t="str">
        <f>VLOOKUP(A37,'Trips&amp;Operators'!$C$1:$G$99911,5,FALSE)</f>
        <v>YORK EDGAR</v>
      </c>
      <c r="M37" s="6">
        <f t="shared" si="1"/>
        <v>2.4641203701321501E-2</v>
      </c>
      <c r="N37" s="7">
        <f t="shared" si="2"/>
        <v>35.483333329902962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-19T05:37:15-0600',mode:absolute,to:'2017-10-19T08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29"/>
        <v>4.6199999999999998E-2</v>
      </c>
      <c r="Z37" s="204">
        <f t="shared" si="30"/>
        <v>23.3307</v>
      </c>
      <c r="AA37" s="204">
        <f t="shared" si="9"/>
        <v>23.284500000000001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37" s="74" t="str">
        <f t="shared" si="12"/>
        <v>"C:\Program Files (x86)\AstroGrep\AstroGrep.exe" /e /r /s /spath="%USERPROFILE%\AppData\Local\Temp\OnboardLogs" /stypes="app*4008*20171019*"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125-19 --locoid 4008 --swversion DE.1.0.9.0 --startMP 204:462 --initTime 2017-10-19T06:37:15 --startdatetime 2017-10-19T06:45:28 --delay 50 --endMP 204:233307 --enddatetime 2017-10-19T07:20:57 --enforcementcount 0 &gt;&gt;%USERPROFILE%\Documents\GitHub\eaglep3-reporting\EC\2017-10-19-refined-times.txt</v>
      </c>
      <c r="AI37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{"issue":{"subject":"","project_id":79,"tracker_id":40,"status_id":1,"priority_id":2,"assigned_to_id":338,"start_date":"2017-10-19","description":"","custom_fields":[{"id":1,"name":"Subdivision","value":"EC"},{"id":4,"name":"Milepost","value":"23.3307"},{"id":17,"name":"Train ID","value":"125-19"},{"id":16,"name":"Locomotive ID","value":"4008"},{"id":130,"name":"Impact","value":""},{"id":150,"name":"Time of Event (Mountain Time)","value":"07:20:57"},{"id":151,"name":"Denver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4008 --day 2017-10-19</v>
      </c>
      <c r="AN37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-19T05:37:15-0600',mode:absolute,to:'2017-10-19T08:20:57-0600'))&amp;_a=(columns:!('Message%20ID',Summary),filters:!(),index:'emp_*',interval:auto,query:(query_string:(analyze_wildcard:!t,query:'%22rtdc.l.rtdc.4008%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639</v>
      </c>
      <c r="B38" s="7">
        <v>4007</v>
      </c>
      <c r="C38" s="21" t="s">
        <v>194</v>
      </c>
      <c r="D38" s="21" t="s">
        <v>526</v>
      </c>
      <c r="E38" s="13">
        <v>43027.307037037041</v>
      </c>
      <c r="F38" s="13">
        <v>43027.321168981478</v>
      </c>
      <c r="G38" s="7">
        <v>42</v>
      </c>
      <c r="H38" s="21" t="s">
        <v>355</v>
      </c>
      <c r="I38" s="13">
        <v>43027.34684027778</v>
      </c>
      <c r="J38" s="7">
        <v>0</v>
      </c>
      <c r="K38" s="89" t="str">
        <f t="shared" si="0"/>
        <v>4007/4008</v>
      </c>
      <c r="L38" s="185" t="str">
        <f>VLOOKUP(A38,'Trips&amp;Operators'!$C$1:$G$99911,5,FALSE)</f>
        <v>YORK EDGAR</v>
      </c>
      <c r="M38" s="6">
        <f t="shared" si="1"/>
        <v>2.567129630187992E-2</v>
      </c>
      <c r="N38" s="7">
        <f t="shared" si="2"/>
        <v>36.966666674707085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-19T06:22:08-0600',mode:absolute,to:'2017-10-19T09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29"/>
        <v>23.298400000000001</v>
      </c>
      <c r="Z38" s="204">
        <f t="shared" si="30"/>
        <v>1.4500000000000001E-2</v>
      </c>
      <c r="AA38" s="204">
        <f t="shared" si="9"/>
        <v>23.283899999999999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38" s="74" t="str">
        <f t="shared" si="12"/>
        <v>"C:\Program Files (x86)\AstroGrep\AstroGrep.exe" /e /r /s /spath="%USERPROFILE%\AppData\Local\Temp\OnboardLogs" /stypes="app*4007*20171019*"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126-19 --locoid 4007 --swversion DE.1.0.9.0 --startMP 204:232984 --initTime 2017-10-19T07:22:08 --startdatetime 2017-10-19T07:42:29 --delay 42 --endMP 204:145 --enddatetime 2017-10-19T08:19:27 --enforcementcount 0 &gt;&gt;%USERPROFILE%\Documents\GitHub\eaglep3-reporting\EC\2017-10-19-refined-times.txt</v>
      </c>
      <c r="AI38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{"issue":{"subject":"","project_id":79,"tracker_id":40,"status_id":1,"priority_id":2,"assigned_to_id":338,"start_date":"2017-10-19","description":"","custom_fields":[{"id":1,"name":"Subdivision","value":"EC"},{"id":4,"name":"Milepost","value":"0.0145"},{"id":17,"name":"Train ID","value":"126-19"},{"id":16,"name":"Locomotive ID","value":"4007"},{"id":130,"name":"Impact","value":""},{"id":150,"name":"Time of Event (Mountain Time)","value":"08:19:27"},{"id":151,"name":"Denver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4007 --day 2017-10-19</v>
      </c>
      <c r="AN38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-19T06:22:08-0600',mode:absolute,to:'2017-10-19T09:19:27-0600'))&amp;_a=(columns:!('Message%20ID',Summary),filters:!(),index:'emp_*',interval:auto,query:(query_string:(analyze_wildcard:!t,query:'%22rtdc.l.rtdc.4007%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633</v>
      </c>
      <c r="B39" s="7">
        <v>4014</v>
      </c>
      <c r="C39" s="21" t="s">
        <v>194</v>
      </c>
      <c r="D39" s="21" t="s">
        <v>338</v>
      </c>
      <c r="E39" s="13">
        <v>43027.286458333336</v>
      </c>
      <c r="F39" s="13">
        <v>43027.29184027778</v>
      </c>
      <c r="G39" s="7">
        <v>74</v>
      </c>
      <c r="H39" s="21" t="s">
        <v>524</v>
      </c>
      <c r="I39" s="13">
        <v>43027.316655092596</v>
      </c>
      <c r="J39" s="7">
        <v>0</v>
      </c>
      <c r="K39" s="89" t="str">
        <f t="shared" si="0"/>
        <v>4013/4014</v>
      </c>
      <c r="L39" s="185" t="str">
        <f>VLOOKUP(A39,'Trips&amp;Operators'!$C$1:$G$99911,5,FALSE)</f>
        <v>GONZALEZ ARMANDO</v>
      </c>
      <c r="M39" s="6">
        <f t="shared" si="1"/>
        <v>2.4814814816636499E-2</v>
      </c>
      <c r="N39" s="7">
        <f t="shared" si="2"/>
        <v>35.733333335956559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-19T05:52:30-0600',mode:absolute,to:'2017-10-19T08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29"/>
        <v>4.53E-2</v>
      </c>
      <c r="Z39" s="204">
        <f t="shared" si="30"/>
        <v>23.333400000000001</v>
      </c>
      <c r="AA39" s="204">
        <f t="shared" si="9"/>
        <v>23.2881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39" s="74" t="str">
        <f t="shared" si="12"/>
        <v>"C:\Program Files (x86)\AstroGrep\AstroGrep.exe" /e /r /s /spath="%USERPROFILE%\AppData\Local\Temp\OnboardLogs" /stypes="app*4014*20171019*"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127-19 --locoid 4014 --swversion DE.1.0.9.0 --startMP 204:453 --initTime 2017-10-19T06:52:30 --startdatetime 2017-10-19T07:00:15 --delay 74 --endMP 204:233334 --enddatetime 2017-10-19T07:35:59 --enforcementcount 0 &gt;&gt;%USERPROFILE%\Documents\GitHub\eaglep3-reporting\EC\2017-10-19-refined-times.txt</v>
      </c>
      <c r="AI39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{"issue":{"subject":"","project_id":79,"tracker_id":40,"status_id":1,"priority_id":2,"assigned_to_id":338,"start_date":"2017-10-19","description":"","custom_fields":[{"id":1,"name":"Subdivision","value":"EC"},{"id":4,"name":"Milepost","value":"23.3334"},{"id":17,"name":"Train ID","value":"127-19"},{"id":16,"name":"Locomotive ID","value":"4014"},{"id":130,"name":"Impact","value":""},{"id":150,"name":"Time of Event (Mountain Time)","value":"07:35:59"},{"id":151,"name":"Denver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4014 --day 2017-10-19</v>
      </c>
      <c r="AN39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-19T05:52:30-0600',mode:absolute,to:'2017-10-19T08:35:59-0600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643</v>
      </c>
      <c r="B40" s="7">
        <v>4013</v>
      </c>
      <c r="C40" s="21" t="s">
        <v>194</v>
      </c>
      <c r="D40" s="21" t="s">
        <v>429</v>
      </c>
      <c r="E40" s="13">
        <v>43027.326527777775</v>
      </c>
      <c r="F40" s="13">
        <v>43027.331435185188</v>
      </c>
      <c r="G40" s="7">
        <v>67</v>
      </c>
      <c r="H40" s="21" t="s">
        <v>336</v>
      </c>
      <c r="I40" s="13">
        <v>43027.357488425929</v>
      </c>
      <c r="J40" s="7">
        <v>0</v>
      </c>
      <c r="K40" s="89" t="str">
        <f t="shared" si="0"/>
        <v>4013/4014</v>
      </c>
      <c r="L40" s="185" t="str">
        <f>VLOOKUP(A40,'Trips&amp;Operators'!$C$1:$G$99911,5,FALSE)</f>
        <v>GONZALEZ ARMANDO</v>
      </c>
      <c r="M40" s="6">
        <f t="shared" si="1"/>
        <v>2.6053240741021E-2</v>
      </c>
      <c r="N40" s="7">
        <f t="shared" si="2"/>
        <v>37.51666666707024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-19T06:50:12-0600',mode:absolute,to:'2017-10-19T09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29"/>
        <v>23.302099999999999</v>
      </c>
      <c r="Z40" s="204">
        <f t="shared" si="30"/>
        <v>1.49E-2</v>
      </c>
      <c r="AA40" s="204">
        <f t="shared" si="9"/>
        <v>23.287199999999999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40" s="74" t="str">
        <f t="shared" si="12"/>
        <v>"C:\Program Files (x86)\AstroGrep\AstroGrep.exe" /e /r /s /spath="%USERPROFILE%\AppData\Local\Temp\OnboardLogs" /stypes="app*4013*20171019*"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128-19 --locoid 4013 --swversion DE.1.0.9.0 --startMP 204:233021 --initTime 2017-10-19T07:50:12 --startdatetime 2017-10-19T07:57:16 --delay 67 --endMP 204:149 --enddatetime 2017-10-19T08:34:47 --enforcementcount 0 &gt;&gt;%USERPROFILE%\Documents\GitHub\eaglep3-reporting\EC\2017-10-19-refined-times.txt</v>
      </c>
      <c r="AI40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{"issue":{"subject":"","project_id":79,"tracker_id":40,"status_id":1,"priority_id":2,"assigned_to_id":338,"start_date":"2017-10-19","description":"","custom_fields":[{"id":1,"name":"Subdivision","value":"EC"},{"id":4,"name":"Milepost","value":"0.0149"},{"id":17,"name":"Train ID","value":"128-19"},{"id":16,"name":"Locomotive ID","value":"4013"},{"id":130,"name":"Impact","value":""},{"id":150,"name":"Time of Event (Mountain Time)","value":"08:34:47"},{"id":151,"name":"Denver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4013 --day 2017-10-19</v>
      </c>
      <c r="AN40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-19T06:50:12-0600',mode:absolute,to:'2017-10-19T09:34:47-0600'))&amp;_a=(columns:!('Message%20ID',Summary),filters:!(),index:'emp_*',interval:auto,query:(query_string:(analyze_wildcard:!t,query:'%22rtdc.l.rtdc.4013%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637</v>
      </c>
      <c r="B41" s="7">
        <v>4006</v>
      </c>
      <c r="C41" s="21" t="s">
        <v>194</v>
      </c>
      <c r="D41" s="21" t="s">
        <v>535</v>
      </c>
      <c r="E41" s="13">
        <v>43027.297175925924</v>
      </c>
      <c r="F41" s="13">
        <v>43027.30228009259</v>
      </c>
      <c r="G41" s="7">
        <v>97</v>
      </c>
      <c r="H41" s="21" t="s">
        <v>534</v>
      </c>
      <c r="I41" s="13">
        <v>43027.327604166669</v>
      </c>
      <c r="J41" s="7">
        <v>0</v>
      </c>
      <c r="K41" s="89" t="str">
        <f t="shared" si="0"/>
        <v>4005/4006</v>
      </c>
      <c r="L41" s="185" t="str">
        <f>VLOOKUP(A41,'Trips&amp;Operators'!$C$1:$G$99911,5,FALSE)</f>
        <v>PAGE MARCUS</v>
      </c>
      <c r="M41" s="6">
        <f t="shared" si="1"/>
        <v>2.5324074078525882E-2</v>
      </c>
      <c r="N41" s="7">
        <f t="shared" si="2"/>
        <v>36.46666667307727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-19T06:07:56-0600',mode:absolute,to:'2017-10-19T08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29"/>
        <v>4.6600000000000003E-2</v>
      </c>
      <c r="Z41" s="204">
        <f t="shared" si="30"/>
        <v>23.330100000000002</v>
      </c>
      <c r="AA41" s="204">
        <f t="shared" si="9"/>
        <v>23.2835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41" s="74" t="str">
        <f t="shared" si="12"/>
        <v>"C:\Program Files (x86)\AstroGrep\AstroGrep.exe" /e /r /s /spath="%USERPROFILE%\AppData\Local\Temp\OnboardLogs" /stypes="app*4006*20171019*"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129-19 --locoid 4006 --swversion DE.1.0.9.0 --startMP 204:466 --initTime 2017-10-19T07:07:56 --startdatetime 2017-10-19T07:15:17 --delay 97 --endMP 204:233301 --enddatetime 2017-10-19T07:51:45 --enforcementcount 0 &gt;&gt;%USERPROFILE%\Documents\GitHub\eaglep3-reporting\EC\2017-10-19-refined-times.txt</v>
      </c>
      <c r="AI41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{"issue":{"subject":"","project_id":79,"tracker_id":40,"status_id":1,"priority_id":2,"assigned_to_id":338,"start_date":"2017-10-19","description":"","custom_fields":[{"id":1,"name":"Subdivision","value":"EC"},{"id":4,"name":"Milepost","value":"23.3301"},{"id":17,"name":"Train ID","value":"129-19"},{"id":16,"name":"Locomotive ID","value":"4006"},{"id":130,"name":"Impact","value":""},{"id":150,"name":"Time of Event (Mountain Time)","value":"07:51:45"},{"id":151,"name":"Denver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4006 --day 2017-10-19</v>
      </c>
      <c r="AN41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-19T06:07:56-0600',mode:absolute,to:'2017-10-19T08:51:45-0600'))&amp;_a=(columns:!('Message%20ID',Summary),filters:!(),index:'emp_*',interval:auto,query:(query_string:(analyze_wildcard:!t,query:'%22rtdc.l.rtdc.4006%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649</v>
      </c>
      <c r="B42" s="7">
        <v>4005</v>
      </c>
      <c r="C42" s="21" t="s">
        <v>194</v>
      </c>
      <c r="D42" s="21" t="s">
        <v>521</v>
      </c>
      <c r="E42" s="13">
        <v>43027.338217592594</v>
      </c>
      <c r="F42" s="13">
        <v>43027.341851851852</v>
      </c>
      <c r="G42" s="7">
        <v>71</v>
      </c>
      <c r="H42" s="21" t="s">
        <v>528</v>
      </c>
      <c r="I42" s="13">
        <v>43027.36818287037</v>
      </c>
      <c r="J42" s="7">
        <v>0</v>
      </c>
      <c r="K42" s="89" t="str">
        <f t="shared" si="0"/>
        <v>4005/4006</v>
      </c>
      <c r="L42" s="185" t="str">
        <f>VLOOKUP(A42,'Trips&amp;Operators'!$C$1:$G$99911,5,FALSE)</f>
        <v>PAGE MARCUS</v>
      </c>
      <c r="M42" s="6">
        <f t="shared" si="1"/>
        <v>2.6331018518249039E-2</v>
      </c>
      <c r="N42" s="7">
        <f t="shared" si="2"/>
        <v>37.916666666278616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-19T07:07:02-0600',mode:absolute,to:'2017-10-19T09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29"/>
        <v>23.298200000000001</v>
      </c>
      <c r="Z42" s="204">
        <f t="shared" si="30"/>
        <v>1.6299999999999999E-2</v>
      </c>
      <c r="AA42" s="204">
        <f t="shared" si="9"/>
        <v>23.2819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42" s="74" t="str">
        <f t="shared" si="12"/>
        <v>"C:\Program Files (x86)\AstroGrep\AstroGrep.exe" /e /r /s /spath="%USERPROFILE%\AppData\Local\Temp\OnboardLogs" /stypes="app*4005*20171019*"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130-19 --locoid 4005 --swversion DE.1.0.9.0 --startMP 204:232982 --initTime 2017-10-19T08:07:02 --startdatetime 2017-10-19T08:12:16 --delay 71 --endMP 204:163 --enddatetime 2017-10-19T08:50:11 --enforcementcount 0 &gt;&gt;%USERPROFILE%\Documents\GitHub\eaglep3-reporting\EC\2017-10-19-refined-times.txt</v>
      </c>
      <c r="AI42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{"issue":{"subject":"","project_id":79,"tracker_id":40,"status_id":1,"priority_id":2,"assigned_to_id":338,"start_date":"2017-10-19","description":"","custom_fields":[{"id":1,"name":"Subdivision","value":"EC"},{"id":4,"name":"Milepost","value":"0.0163"},{"id":17,"name":"Train ID","value":"130-19"},{"id":16,"name":"Locomotive ID","value":"4005"},{"id":130,"name":"Impact","value":""},{"id":150,"name":"Time of Event (Mountain Time)","value":"08:50:11"},{"id":151,"name":"Denver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4005 --day 2017-10-19</v>
      </c>
      <c r="AN42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-19T07:07:02-0600',mode:absolute,to:'2017-10-19T09:50:11-0600'))&amp;_a=(columns:!('Message%20ID',Summary),filters:!(),index:'emp_*',interval:auto,query:(query_string:(analyze_wildcard:!t,query:'%22rtdc.l.rtdc.4005%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640</v>
      </c>
      <c r="B43" s="7">
        <v>4066</v>
      </c>
      <c r="C43" s="21" t="s">
        <v>194</v>
      </c>
      <c r="D43" s="21" t="s">
        <v>831</v>
      </c>
      <c r="E43" s="13">
        <v>43027.30878472222</v>
      </c>
      <c r="F43" s="13">
        <v>43027.312789351854</v>
      </c>
      <c r="G43" s="7">
        <v>55</v>
      </c>
      <c r="H43" s="21" t="s">
        <v>530</v>
      </c>
      <c r="I43" s="13">
        <v>43027.337430555555</v>
      </c>
      <c r="J43" s="7">
        <v>0</v>
      </c>
      <c r="K43" s="89" t="str">
        <f t="shared" si="0"/>
        <v>4065/4066</v>
      </c>
      <c r="L43" s="185" t="str">
        <f>VLOOKUP(A43,'Trips&amp;Operators'!$C$1:$G$99911,5,FALSE)</f>
        <v>YANG JAN</v>
      </c>
      <c r="M43" s="6">
        <f t="shared" si="1"/>
        <v>2.4641203701321501E-2</v>
      </c>
      <c r="N43" s="7">
        <f t="shared" si="2"/>
        <v>35.483333329902962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-19T06:24:39-0600',mode:absolute,to:'2017-10-19T09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29"/>
        <v>4.3499999999999997E-2</v>
      </c>
      <c r="Z43" s="204">
        <f t="shared" si="30"/>
        <v>23.3308</v>
      </c>
      <c r="AA43" s="204">
        <f t="shared" si="9"/>
        <v>23.287299999999998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43" s="74" t="str">
        <f t="shared" si="12"/>
        <v>"C:\Program Files (x86)\AstroGrep\AstroGrep.exe" /e /r /s /spath="%USERPROFILE%\AppData\Local\Temp\OnboardLogs" /stypes="app*4066*20171019*"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131-19 --locoid 4066 --swversion DE.1.0.9.0 --startMP 204:435 --initTime 2017-10-19T07:24:39 --startdatetime 2017-10-19T07:30:25 --delay 55 --endMP 204:233308 --enddatetime 2017-10-19T08:05:54 --enforcementcount 0 &gt;&gt;%USERPROFILE%\Documents\GitHub\eaglep3-reporting\EC\2017-10-19-refined-times.txt</v>
      </c>
      <c r="AI43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{"issue":{"subject":"","project_id":79,"tracker_id":40,"status_id":1,"priority_id":2,"assigned_to_id":338,"start_date":"2017-10-19","description":"","custom_fields":[{"id":1,"name":"Subdivision","value":"EC"},{"id":4,"name":"Milepost","value":"23.3308"},{"id":17,"name":"Train ID","value":"131-19"},{"id":16,"name":"Locomotive ID","value":"4066"},{"id":130,"name":"Impact","value":""},{"id":150,"name":"Time of Event (Mountain Time)","value":"08:05:54"},{"id":151,"name":"Denver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4066 --day 2017-10-19</v>
      </c>
      <c r="AN43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-19T06:24:39-0600',mode:absolute,to:'2017-10-19T09:05:54-0600'))&amp;_a=(columns:!('Message%20ID',Summary),filters:!(),index:'emp_*',interval:auto,query:(query_string:(analyze_wildcard:!t,query:'%22rtdc.l.rtdc.4066%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651</v>
      </c>
      <c r="B44" s="7">
        <v>4065</v>
      </c>
      <c r="C44" s="21" t="s">
        <v>194</v>
      </c>
      <c r="D44" s="21" t="s">
        <v>533</v>
      </c>
      <c r="E44" s="13">
        <v>43027.345451388886</v>
      </c>
      <c r="F44" s="13">
        <v>43027.352303240739</v>
      </c>
      <c r="G44" s="7">
        <v>54</v>
      </c>
      <c r="H44" s="21" t="s">
        <v>335</v>
      </c>
      <c r="I44" s="13">
        <v>43027.377916666665</v>
      </c>
      <c r="J44" s="7">
        <v>0</v>
      </c>
      <c r="K44" s="89" t="str">
        <f t="shared" si="0"/>
        <v>4065/4066</v>
      </c>
      <c r="L44" s="185" t="str">
        <f>VLOOKUP(A44,'Trips&amp;Operators'!$C$1:$G$99911,5,FALSE)</f>
        <v>YANG JAN</v>
      </c>
      <c r="M44" s="6">
        <f t="shared" si="1"/>
        <v>2.5613425925257616E-2</v>
      </c>
      <c r="N44" s="7">
        <f t="shared" si="2"/>
        <v>36.883333332370967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-19T07:17:27-0600',mode:absolute,to:'2017-10-19T10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29"/>
        <v>23.3</v>
      </c>
      <c r="Z44" s="204">
        <f t="shared" si="30"/>
        <v>1.4999999999999999E-2</v>
      </c>
      <c r="AA44" s="204">
        <f t="shared" si="9"/>
        <v>23.285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44" s="74" t="str">
        <f t="shared" si="12"/>
        <v>"C:\Program Files (x86)\AstroGrep\AstroGrep.exe" /e /r /s /spath="%USERPROFILE%\AppData\Local\Temp\OnboardLogs" /stypes="app*4065*20171019*"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132-19 --locoid 4065 --swversion DE.1.0.9.0 --startMP 204:233000 --initTime 2017-10-19T08:17:27 --startdatetime 2017-10-19T08:27:19 --delay 54 --endMP 204:150 --enddatetime 2017-10-19T09:04:12 --enforcementcount 0 &gt;&gt;%USERPROFILE%\Documents\GitHub\eaglep3-reporting\EC\2017-10-19-refined-times.txt</v>
      </c>
      <c r="AI44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{"issue":{"subject":"","project_id":79,"tracker_id":40,"status_id":1,"priority_id":2,"assigned_to_id":338,"start_date":"2017-10-19","description":"","custom_fields":[{"id":1,"name":"Subdivision","value":"EC"},{"id":4,"name":"Milepost","value":"0.015"},{"id":17,"name":"Train ID","value":"132-19"},{"id":16,"name":"Locomotive ID","value":"4065"},{"id":130,"name":"Impact","value":""},{"id":150,"name":"Time of Event (Mountain Time)","value":"09:04:12"},{"id":151,"name":"Denver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4065 --day 2017-10-19</v>
      </c>
      <c r="AN44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-19T07:17:27-0600',mode:absolute,to:'2017-10-19T10:04:12-0600'))&amp;_a=(columns:!('Message%20ID',Summary),filters:!(),index:'emp_*',interval:auto,query:(query_string:(analyze_wildcard:!t,query:'%22rtdc.l.rtdc.4065%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642</v>
      </c>
      <c r="B45" s="7">
        <v>4058</v>
      </c>
      <c r="C45" s="21" t="s">
        <v>194</v>
      </c>
      <c r="D45" s="21" t="s">
        <v>400</v>
      </c>
      <c r="E45" s="13">
        <v>43027.317997685182</v>
      </c>
      <c r="F45" s="13">
        <v>43027.32309027778</v>
      </c>
      <c r="G45" s="7">
        <v>69</v>
      </c>
      <c r="H45" s="21" t="s">
        <v>384</v>
      </c>
      <c r="I45" s="13">
        <v>43027.348113425927</v>
      </c>
      <c r="J45" s="7">
        <v>0</v>
      </c>
      <c r="K45" s="89" t="str">
        <f t="shared" si="0"/>
        <v>4057/4058</v>
      </c>
      <c r="L45" s="185" t="str">
        <f>VLOOKUP(A45,'Trips&amp;Operators'!$C$1:$G$99911,5,FALSE)</f>
        <v>STARKS ANGELINA</v>
      </c>
      <c r="M45" s="6">
        <f t="shared" si="1"/>
        <v>2.5023148147738539E-2</v>
      </c>
      <c r="N45" s="7">
        <f t="shared" ref="N45:N76" si="31">24*60*SUM($M45:$M45)</f>
        <v>36.033333332743496</v>
      </c>
      <c r="O45" s="7"/>
      <c r="P45" s="7"/>
      <c r="Q45" s="22"/>
      <c r="R45" s="174"/>
      <c r="S45" s="221">
        <f t="shared" ref="S45:S76" si="32">1/IF(AG45="EC",12,1)*SUM(U45:U45)</f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-19T06:37:55-0600',mode:absolute,to:'2017-10-19T09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5" s="204" t="str">
        <f>IF(AA45&lt;VLOOKUP(AG45,Variables!$AC$3:$AD$8,2,FALSE),"Y","N")</f>
        <v>N</v>
      </c>
      <c r="X45" s="204">
        <f t="shared" ref="X45:X76" si="33">VALUE(LEFT(AD45,4))-VALUE(LEFT(AD44,4))</f>
        <v>1</v>
      </c>
      <c r="Y45" s="204">
        <f t="shared" si="29"/>
        <v>4.6399999999999997E-2</v>
      </c>
      <c r="Z45" s="204">
        <f t="shared" si="30"/>
        <v>23.3291</v>
      </c>
      <c r="AA45" s="204">
        <f t="shared" si="9"/>
        <v>23.282700000000002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45" s="74" t="str">
        <f t="shared" si="12"/>
        <v>"C:\Program Files (x86)\AstroGrep\AstroGrep.exe" /e /r /s /spath="%USERPROFILE%\AppData\Local\Temp\OnboardLogs" /stypes="app*4058*20171019*"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133-19 --locoid 4058 --swversion DE.1.0.9.0 --startMP 204:464 --initTime 2017-10-19T07:37:55 --startdatetime 2017-10-19T07:45:15 --delay 69 --endMP 204:233291 --enddatetime 2017-10-19T08:21:17 --enforcementcount 0 &gt;&gt;%USERPROFILE%\Documents\GitHub\eaglep3-reporting\EC\2017-10-19-refined-times.txt</v>
      </c>
      <c r="AI45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{"issue":{"subject":"","project_id":79,"tracker_id":40,"status_id":1,"priority_id":2,"assigned_to_id":338,"start_date":"2017-10-19","description":"","custom_fields":[{"id":1,"name":"Subdivision","value":"EC"},{"id":4,"name":"Milepost","value":"23.3291"},{"id":17,"name":"Train ID","value":"133-19"},{"id":16,"name":"Locomotive ID","value":"4058"},{"id":130,"name":"Impact","value":""},{"id":150,"name":"Time of Event (Mountain Time)","value":"08:21:17"},{"id":151,"name":"Denver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4058 --day 2017-10-19</v>
      </c>
      <c r="AN45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-19T06:37:55-0600',mode:absolute,to:'2017-10-19T09:21:17-0600'))&amp;_a=(columns:!('Message%20ID',Summary),filters:!(),index:'emp_*',interval:auto,query:(query_string:(analyze_wildcard:!t,query:'%22rtdc.l.rtdc.4058%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655</v>
      </c>
      <c r="B46" s="7">
        <v>4057</v>
      </c>
      <c r="C46" s="21" t="s">
        <v>194</v>
      </c>
      <c r="D46" s="21" t="s">
        <v>832</v>
      </c>
      <c r="E46" s="13">
        <v>43027.358831018515</v>
      </c>
      <c r="F46" s="13">
        <v>43027.362696759257</v>
      </c>
      <c r="G46" s="7">
        <v>91</v>
      </c>
      <c r="H46" s="21" t="s">
        <v>355</v>
      </c>
      <c r="I46" s="13">
        <v>43027.390648148146</v>
      </c>
      <c r="J46" s="7">
        <v>0</v>
      </c>
      <c r="K46" s="89" t="str">
        <f t="shared" si="0"/>
        <v>4057/4058</v>
      </c>
      <c r="L46" s="185" t="str">
        <f>VLOOKUP(A46,'Trips&amp;Operators'!$C$1:$G$99911,5,FALSE)</f>
        <v>STARKS ANGELINA</v>
      </c>
      <c r="M46" s="6">
        <f t="shared" si="1"/>
        <v>2.7951388889050577E-2</v>
      </c>
      <c r="N46" s="7">
        <f t="shared" si="31"/>
        <v>40.250000000232831</v>
      </c>
      <c r="O46" s="7"/>
      <c r="P46" s="7"/>
      <c r="Q46" s="22"/>
      <c r="R46" s="174"/>
      <c r="S46" s="221">
        <f t="shared" si="32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-19T07:36:43-0600',mode:absolute,to:'2017-10-19T10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6" s="204" t="str">
        <f>IF(AA46&lt;VLOOKUP(AG46,Variables!$AC$3:$AD$8,2,FALSE),"Y","N")</f>
        <v>N</v>
      </c>
      <c r="X46" s="204">
        <f t="shared" si="33"/>
        <v>1</v>
      </c>
      <c r="Y46" s="204">
        <f t="shared" si="29"/>
        <v>23.296900000000001</v>
      </c>
      <c r="Z46" s="204">
        <f t="shared" si="30"/>
        <v>1.4500000000000001E-2</v>
      </c>
      <c r="AA46" s="204">
        <f t="shared" si="9"/>
        <v>23.282399999999999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46" s="74" t="str">
        <f t="shared" si="12"/>
        <v>"C:\Program Files (x86)\AstroGrep\AstroGrep.exe" /e /r /s /spath="%USERPROFILE%\AppData\Local\Temp\OnboardLogs" /stypes="app*4057*20171019*"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134-19 --locoid 4057 --swversion DE.1.0.9.0 --startMP 204:232969 --initTime 2017-10-19T08:36:43 --startdatetime 2017-10-19T08:42:17 --delay 91 --endMP 204:145 --enddatetime 2017-10-19T09:22:32 --enforcementcount 0 &gt;&gt;%USERPROFILE%\Documents\GitHub\eaglep3-reporting\EC\2017-10-19-refined-times.txt</v>
      </c>
      <c r="AI46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{"issue":{"subject":"","project_id":79,"tracker_id":40,"status_id":1,"priority_id":2,"assigned_to_id":338,"start_date":"2017-10-19","description":"","custom_fields":[{"id":1,"name":"Subdivision","value":"EC"},{"id":4,"name":"Milepost","value":"0.0145"},{"id":17,"name":"Train ID","value":"134-19"},{"id":16,"name":"Locomotive ID","value":"4057"},{"id":130,"name":"Impact","value":""},{"id":150,"name":"Time of Event (Mountain Time)","value":"09:22:32"},{"id":151,"name":"Denver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4057 --day 2017-10-19</v>
      </c>
      <c r="AN46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-19T07:36:43-0600',mode:absolute,to:'2017-10-19T10:22:32-0600'))&amp;_a=(columns:!('Message%20ID',Summary),filters:!(),index:'emp_*',interval:auto,query:(query_string:(analyze_wildcard:!t,query:'%22rtdc.l.rtdc.4057%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644</v>
      </c>
      <c r="B47" s="7">
        <v>4018</v>
      </c>
      <c r="C47" s="21" t="s">
        <v>194</v>
      </c>
      <c r="D47" s="21" t="s">
        <v>376</v>
      </c>
      <c r="E47" s="13">
        <v>43027.328993055555</v>
      </c>
      <c r="F47" s="13">
        <v>43027.333518518521</v>
      </c>
      <c r="G47" s="7">
        <v>58</v>
      </c>
      <c r="H47" s="21" t="s">
        <v>828</v>
      </c>
      <c r="I47" s="13">
        <v>43027.357986111114</v>
      </c>
      <c r="J47" s="7">
        <v>0</v>
      </c>
      <c r="K47" s="89" t="str">
        <f t="shared" si="0"/>
        <v>4017/4018</v>
      </c>
      <c r="L47" s="185" t="str">
        <f>VLOOKUP(A47,'Trips&amp;Operators'!$C$1:$G$99911,5,FALSE)</f>
        <v>ROCHA YAOTL</v>
      </c>
      <c r="M47" s="6">
        <f t="shared" si="1"/>
        <v>2.4467592593282461E-2</v>
      </c>
      <c r="N47" s="7">
        <f t="shared" si="31"/>
        <v>35.233333334326744</v>
      </c>
      <c r="O47" s="7"/>
      <c r="P47" s="7"/>
      <c r="Q47" s="22"/>
      <c r="R47" s="174"/>
      <c r="S47" s="221">
        <f t="shared" si="32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-19T06:53:45-0600',mode:absolute,to:'2017-10-19T09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204" t="str">
        <f>IF(AA47&lt;VLOOKUP(AG47,Variables!$AC$3:$AD$8,2,FALSE),"Y","N")</f>
        <v>N</v>
      </c>
      <c r="X47" s="204">
        <f t="shared" si="33"/>
        <v>1</v>
      </c>
      <c r="Y47" s="204">
        <f t="shared" si="29"/>
        <v>4.5699999999999998E-2</v>
      </c>
      <c r="Z47" s="204">
        <f t="shared" si="30"/>
        <v>23.331</v>
      </c>
      <c r="AA47" s="204">
        <f t="shared" si="9"/>
        <v>23.285299999999999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47" s="74" t="str">
        <f t="shared" si="12"/>
        <v>"C:\Program Files (x86)\AstroGrep\AstroGrep.exe" /e /r /s /spath="%USERPROFILE%\AppData\Local\Temp\OnboardLogs" /stypes="app*4018*20171019*"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135-19 --locoid 4018 --swversion DE.1.0.9.0 --startMP 204:457 --initTime 2017-10-19T07:53:45 --startdatetime 2017-10-19T08:00:16 --delay 58 --endMP 204:233310 --enddatetime 2017-10-19T08:35:30 --enforcementcount 0 &gt;&gt;%USERPROFILE%\Documents\GitHub\eaglep3-reporting\EC\2017-10-19-refined-times.txt</v>
      </c>
      <c r="AI47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{"issue":{"subject":"","project_id":79,"tracker_id":40,"status_id":1,"priority_id":2,"assigned_to_id":338,"start_date":"2017-10-19","description":"","custom_fields":[{"id":1,"name":"Subdivision","value":"EC"},{"id":4,"name":"Milepost","value":"23.331"},{"id":17,"name":"Train ID","value":"135-19"},{"id":16,"name":"Locomotive ID","value":"4018"},{"id":130,"name":"Impact","value":""},{"id":150,"name":"Time of Event (Mountain Time)","value":"08:35:30"},{"id":151,"name":"Denver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4018 --day 2017-10-19</v>
      </c>
      <c r="AN47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-19T06:53:45-0600',mode:absolute,to:'2017-10-19T09:35:30-0600'))&amp;_a=(columns:!('Message%20ID',Summary),filters:!(),index:'emp_*',interval:auto,query:(query_string:(analyze_wildcard:!t,query:'%22rtdc.l.rtdc.4018%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656</v>
      </c>
      <c r="B48" s="7">
        <v>4017</v>
      </c>
      <c r="C48" s="21" t="s">
        <v>194</v>
      </c>
      <c r="D48" s="21" t="s">
        <v>405</v>
      </c>
      <c r="E48" s="13">
        <v>43027.359895833331</v>
      </c>
      <c r="F48" s="13">
        <v>43027.373124999998</v>
      </c>
      <c r="G48" s="7">
        <v>62</v>
      </c>
      <c r="H48" s="21" t="s">
        <v>357</v>
      </c>
      <c r="I48" s="13">
        <v>43027.398912037039</v>
      </c>
      <c r="J48" s="7">
        <v>0</v>
      </c>
      <c r="K48" s="89" t="str">
        <f t="shared" si="0"/>
        <v>4017/4018</v>
      </c>
      <c r="L48" s="185" t="str">
        <f>VLOOKUP(A48,'Trips&amp;Operators'!$C$1:$G$99911,5,FALSE)</f>
        <v>ROCHA YAOTL</v>
      </c>
      <c r="M48" s="6">
        <f t="shared" si="1"/>
        <v>2.5787037040572613E-2</v>
      </c>
      <c r="N48" s="7">
        <f t="shared" si="31"/>
        <v>37.133333338424563</v>
      </c>
      <c r="O48" s="7"/>
      <c r="P48" s="7"/>
      <c r="Q48" s="22"/>
      <c r="R48" s="174"/>
      <c r="S48" s="221">
        <f t="shared" si="32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-19T07:38:15-0600',mode:absolute,to:'2017-10-19T10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204" t="str">
        <f>IF(AA48&lt;VLOOKUP(AG48,Variables!$AC$3:$AD$8,2,FALSE),"Y","N")</f>
        <v>N</v>
      </c>
      <c r="X48" s="204">
        <f t="shared" si="33"/>
        <v>1</v>
      </c>
      <c r="Y48" s="204">
        <f t="shared" si="29"/>
        <v>23.298500000000001</v>
      </c>
      <c r="Z48" s="204">
        <f t="shared" si="30"/>
        <v>1.5599999999999999E-2</v>
      </c>
      <c r="AA48" s="204">
        <f t="shared" si="9"/>
        <v>23.282900000000001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48" s="74" t="str">
        <f t="shared" si="12"/>
        <v>"C:\Program Files (x86)\AstroGrep\AstroGrep.exe" /e /r /s /spath="%USERPROFILE%\AppData\Local\Temp\OnboardLogs" /stypes="app*4017*20171019*"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136-19 --locoid 4017 --swversion DE.1.0.9.0 --startMP 204:232985 --initTime 2017-10-19T08:38:15 --startdatetime 2017-10-19T08:57:18 --delay 62 --endMP 204:156 --enddatetime 2017-10-19T09:34:26 --enforcementcount 0 &gt;&gt;%USERPROFILE%\Documents\GitHub\eaglep3-reporting\EC\2017-10-19-refined-times.txt</v>
      </c>
      <c r="AI48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{"issue":{"subject":"","project_id":79,"tracker_id":40,"status_id":1,"priority_id":2,"assigned_to_id":338,"start_date":"2017-10-19","description":"","custom_fields":[{"id":1,"name":"Subdivision","value":"EC"},{"id":4,"name":"Milepost","value":"0.0156"},{"id":17,"name":"Train ID","value":"136-19"},{"id":16,"name":"Locomotive ID","value":"4017"},{"id":130,"name":"Impact","value":""},{"id":150,"name":"Time of Event (Mountain Time)","value":"09:34:26"},{"id":151,"name":"Denver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4017 --day 2017-10-19</v>
      </c>
      <c r="AN48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-19T07:38:15-0600',mode:absolute,to:'2017-10-19T10:34:26-0600'))&amp;_a=(columns:!('Message%20ID',Summary),filters:!(),index:'emp_*',interval:auto,query:(query_string:(analyze_wildcard:!t,query:'%22rtdc.l.rtdc.4017%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650</v>
      </c>
      <c r="B49" s="7">
        <v>4016</v>
      </c>
      <c r="C49" s="21" t="s">
        <v>194</v>
      </c>
      <c r="D49" s="21" t="s">
        <v>824</v>
      </c>
      <c r="E49" s="13">
        <v>43027.339062500003</v>
      </c>
      <c r="F49" s="13">
        <v>43027.343969907408</v>
      </c>
      <c r="G49" s="7">
        <v>66</v>
      </c>
      <c r="H49" s="21" t="s">
        <v>520</v>
      </c>
      <c r="I49" s="13">
        <v>43027.369189814817</v>
      </c>
      <c r="J49" s="7">
        <v>0</v>
      </c>
      <c r="K49" s="89" t="str">
        <f t="shared" si="0"/>
        <v>4015/4016</v>
      </c>
      <c r="L49" s="185" t="str">
        <f>VLOOKUP(A49,'Trips&amp;Operators'!$C$1:$G$99911,5,FALSE)</f>
        <v>WILLIAMS DONTE</v>
      </c>
      <c r="M49" s="6">
        <f t="shared" si="1"/>
        <v>2.5219907409336884E-2</v>
      </c>
      <c r="N49" s="7">
        <f t="shared" si="31"/>
        <v>36.316666669445112</v>
      </c>
      <c r="O49" s="7"/>
      <c r="P49" s="7"/>
      <c r="Q49" s="22"/>
      <c r="R49" s="174"/>
      <c r="S49" s="221">
        <f t="shared" si="32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-19T07:08:15-0600',mode:absolute,to:'2017-10-19T09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204" t="str">
        <f>IF(AA49&lt;VLOOKUP(AG49,Variables!$AC$3:$AD$8,2,FALSE),"Y","N")</f>
        <v>N</v>
      </c>
      <c r="X49" s="204">
        <f t="shared" si="33"/>
        <v>1</v>
      </c>
      <c r="Y49" s="204">
        <f t="shared" si="29"/>
        <v>4.4900000000000002E-2</v>
      </c>
      <c r="Z49" s="204">
        <f t="shared" si="30"/>
        <v>23.3309</v>
      </c>
      <c r="AA49" s="204">
        <f t="shared" si="9"/>
        <v>23.286000000000001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49" s="74" t="str">
        <f t="shared" si="12"/>
        <v>"C:\Program Files (x86)\AstroGrep\AstroGrep.exe" /e /r /s /spath="%USERPROFILE%\AppData\Local\Temp\OnboardLogs" /stypes="app*4016*20171019*"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137-19 --locoid 4016 --swversion DE.1.0.9.0 --startMP 204:449 --initTime 2017-10-19T08:08:15 --startdatetime 2017-10-19T08:15:19 --delay 66 --endMP 204:233309 --enddatetime 2017-10-19T08:51:38 --enforcementcount 0 &gt;&gt;%USERPROFILE%\Documents\GitHub\eaglep3-reporting\EC\2017-10-19-refined-times.txt</v>
      </c>
      <c r="AI49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{"issue":{"subject":"","project_id":79,"tracker_id":40,"status_id":1,"priority_id":2,"assigned_to_id":338,"start_date":"2017-10-19","description":"","custom_fields":[{"id":1,"name":"Subdivision","value":"EC"},{"id":4,"name":"Milepost","value":"23.3309"},{"id":17,"name":"Train ID","value":"137-19"},{"id":16,"name":"Locomotive ID","value":"4016"},{"id":130,"name":"Impact","value":""},{"id":150,"name":"Time of Event (Mountain Time)","value":"08:51:38"},{"id":151,"name":"Denver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4016 --day 2017-10-19</v>
      </c>
      <c r="AN49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-19T07:08:15-0600',mode:absolute,to:'2017-10-19T09:51:38-0600'))&amp;_a=(columns:!('Message%20ID',Summary),filters:!(),index:'emp_*',interval:auto,query:(query_string:(analyze_wildcard:!t,query:'%22rtdc.l.rtdc.4016%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660</v>
      </c>
      <c r="B50" s="7">
        <v>4015</v>
      </c>
      <c r="C50" s="21" t="s">
        <v>194</v>
      </c>
      <c r="D50" s="21" t="s">
        <v>827</v>
      </c>
      <c r="E50" s="13">
        <v>43027.378564814811</v>
      </c>
      <c r="F50" s="13">
        <v>43027.383518518516</v>
      </c>
      <c r="G50" s="7">
        <v>100</v>
      </c>
      <c r="H50" s="21" t="s">
        <v>335</v>
      </c>
      <c r="I50" s="13">
        <v>43027.410949074074</v>
      </c>
      <c r="J50" s="7">
        <v>0</v>
      </c>
      <c r="K50" s="89" t="str">
        <f t="shared" si="0"/>
        <v>4015/4016</v>
      </c>
      <c r="L50" s="185" t="str">
        <f>VLOOKUP(A50,'Trips&amp;Operators'!$C$1:$G$99911,5,FALSE)</f>
        <v>WILLIAMS DONTE</v>
      </c>
      <c r="M50" s="6">
        <f t="shared" si="1"/>
        <v>2.7430555557657499E-2</v>
      </c>
      <c r="N50" s="7">
        <f t="shared" si="31"/>
        <v>39.500000003026798</v>
      </c>
      <c r="O50" s="7"/>
      <c r="P50" s="7"/>
      <c r="Q50" s="22"/>
      <c r="R50" s="174"/>
      <c r="S50" s="221">
        <f t="shared" si="32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-19T08:05:08-0600',mode:absolute,to:'2017-10-19T10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204" t="str">
        <f>IF(AA50&lt;VLOOKUP(AG50,Variables!$AC$3:$AD$8,2,FALSE),"Y","N")</f>
        <v>N</v>
      </c>
      <c r="X50" s="204">
        <f t="shared" si="33"/>
        <v>1</v>
      </c>
      <c r="Y50" s="204">
        <f t="shared" si="29"/>
        <v>23.297799999999999</v>
      </c>
      <c r="Z50" s="204">
        <f t="shared" si="30"/>
        <v>1.4999999999999999E-2</v>
      </c>
      <c r="AA50" s="204">
        <f t="shared" si="9"/>
        <v>23.282799999999998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138</v>
      </c>
      <c r="AE50" s="77" t="str">
        <f t="shared" si="11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50" s="74" t="str">
        <f t="shared" si="12"/>
        <v>"C:\Program Files (x86)\AstroGrep\AstroGrep.exe" /e /r /s /spath="%USERPROFILE%\AppData\Local\Temp\OnboardLogs" /stypes="app*4015*20171019*"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138-19 --locoid 4015 --swversion DE.1.0.9.0 --startMP 204:232978 --initTime 2017-10-19T09:05:08 --startdatetime 2017-10-19T09:12:16 --delay 100 --endMP 204:150 --enddatetime 2017-10-19T09:51:46 --enforcementcount 0 &gt;&gt;%USERPROFILE%\Documents\GitHub\eaglep3-reporting\EC\2017-10-19-refined-times.txt</v>
      </c>
      <c r="AI50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{"issue":{"subject":"","project_id":79,"tracker_id":40,"status_id":1,"priority_id":2,"assigned_to_id":338,"start_date":"2017-10-19","description":"","custom_fields":[{"id":1,"name":"Subdivision","value":"EC"},{"id":4,"name":"Milepost","value":"0.015"},{"id":17,"name":"Train ID","value":"138-19"},{"id":16,"name":"Locomotive ID","value":"4015"},{"id":130,"name":"Impact","value":""},{"id":150,"name":"Time of Event (Mountain Time)","value":"09:51:46"},{"id":151,"name":"Denver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4015 --day 2017-10-19</v>
      </c>
      <c r="AN50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-19T08:05:08-0600',mode:absolute,to:'2017-10-19T10:51:46-0600'))&amp;_a=(columns:!('Message%20ID',Summary),filters:!(),index:'emp_*',interval:auto,query:(query_string:(analyze_wildcard:!t,query:'%22rtdc.l.rtdc.4015%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652</v>
      </c>
      <c r="B51" s="7">
        <v>4008</v>
      </c>
      <c r="C51" s="21" t="s">
        <v>194</v>
      </c>
      <c r="D51" s="21" t="s">
        <v>400</v>
      </c>
      <c r="E51" s="13">
        <v>43027.348020833335</v>
      </c>
      <c r="F51" s="13">
        <v>43027.354398148149</v>
      </c>
      <c r="G51" s="7">
        <v>54</v>
      </c>
      <c r="H51" s="21" t="s">
        <v>430</v>
      </c>
      <c r="I51" s="13">
        <v>43027.37908564815</v>
      </c>
      <c r="J51" s="7">
        <v>0</v>
      </c>
      <c r="K51" s="89" t="str">
        <f t="shared" si="0"/>
        <v>4007/4008</v>
      </c>
      <c r="L51" s="185" t="str">
        <f>VLOOKUP(A51,'Trips&amp;Operators'!$C$1:$G$99911,5,FALSE)</f>
        <v>YORK EDGAR</v>
      </c>
      <c r="M51" s="6">
        <f t="shared" si="1"/>
        <v>2.4687500001164153E-2</v>
      </c>
      <c r="N51" s="7">
        <f t="shared" si="31"/>
        <v>35.550000001676381</v>
      </c>
      <c r="O51" s="7"/>
      <c r="P51" s="7"/>
      <c r="Q51" s="22"/>
      <c r="R51" s="174"/>
      <c r="S51" s="221">
        <f t="shared" si="32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-19T07:21:09-0600',mode:absolute,to:'2017-10-19T10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1" s="204" t="str">
        <f>IF(AA51&lt;VLOOKUP(AG51,Variables!$AC$3:$AD$8,2,FALSE),"Y","N")</f>
        <v>N</v>
      </c>
      <c r="X51" s="204">
        <f t="shared" si="33"/>
        <v>1</v>
      </c>
      <c r="Y51" s="204">
        <f t="shared" si="29"/>
        <v>4.6399999999999997E-2</v>
      </c>
      <c r="Z51" s="204">
        <f t="shared" si="30"/>
        <v>23.329499999999999</v>
      </c>
      <c r="AA51" s="204">
        <f t="shared" si="9"/>
        <v>23.283100000000001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51" s="74" t="str">
        <f t="shared" si="12"/>
        <v>"C:\Program Files (x86)\AstroGrep\AstroGrep.exe" /e /r /s /spath="%USERPROFILE%\AppData\Local\Temp\OnboardLogs" /stypes="app*4008*20171019*"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139-19 --locoid 4008 --swversion DE.1.0.9.0 --startMP 204:464 --initTime 2017-10-19T08:21:09 --startdatetime 2017-10-19T08:30:20 --delay 54 --endMP 204:233295 --enddatetime 2017-10-19T09:05:53 --enforcementcount 0 &gt;&gt;%USERPROFILE%\Documents\GitHub\eaglep3-reporting\EC\2017-10-19-refined-times.txt</v>
      </c>
      <c r="AI51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{"issue":{"subject":"","project_id":79,"tracker_id":40,"status_id":1,"priority_id":2,"assigned_to_id":338,"start_date":"2017-10-19","description":"","custom_fields":[{"id":1,"name":"Subdivision","value":"EC"},{"id":4,"name":"Milepost","value":"23.3295"},{"id":17,"name":"Train ID","value":"139-19"},{"id":16,"name":"Locomotive ID","value":"4008"},{"id":130,"name":"Impact","value":""},{"id":150,"name":"Time of Event (Mountain Time)","value":"09:05:53"},{"id":151,"name":"Denver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4008 --day 2017-10-19</v>
      </c>
      <c r="AN51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-19T07:21:09-0600',mode:absolute,to:'2017-10-19T10:05:53-0600'))&amp;_a=(columns:!('Message%20ID',Summary),filters:!(),index:'emp_*',interval:auto,query:(query_string:(analyze_wildcard:!t,query:'%22rtdc.l.rtdc.4008%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663</v>
      </c>
      <c r="B52" s="7">
        <v>4007</v>
      </c>
      <c r="C52" s="21" t="s">
        <v>194</v>
      </c>
      <c r="D52" s="21" t="s">
        <v>537</v>
      </c>
      <c r="E52" s="13">
        <v>43027.390428240738</v>
      </c>
      <c r="F52" s="13">
        <v>43027.394456018519</v>
      </c>
      <c r="G52" s="7">
        <v>73</v>
      </c>
      <c r="H52" s="21" t="s">
        <v>366</v>
      </c>
      <c r="I52" s="13">
        <v>43027.41915509259</v>
      </c>
      <c r="J52" s="7">
        <v>0</v>
      </c>
      <c r="K52" s="89" t="str">
        <f t="shared" si="0"/>
        <v>4007/4008</v>
      </c>
      <c r="L52" s="185" t="str">
        <f>VLOOKUP(A52,'Trips&amp;Operators'!$C$1:$G$99911,5,FALSE)</f>
        <v>YORK EDGAR</v>
      </c>
      <c r="M52" s="6">
        <f t="shared" si="1"/>
        <v>2.4699074070667848E-2</v>
      </c>
      <c r="N52" s="7">
        <f t="shared" si="31"/>
        <v>35.566666661761701</v>
      </c>
      <c r="O52" s="7"/>
      <c r="P52" s="7"/>
      <c r="Q52" s="22"/>
      <c r="R52" s="174"/>
      <c r="S52" s="221">
        <f t="shared" si="32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-19T08:22:13-0600',mode:absolute,to:'2017-10-19T11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2" s="204" t="str">
        <f>IF(AA52&lt;VLOOKUP(AG52,Variables!$AC$3:$AD$8,2,FALSE),"Y","N")</f>
        <v>N</v>
      </c>
      <c r="X52" s="204">
        <f t="shared" si="33"/>
        <v>1</v>
      </c>
      <c r="Y52" s="204">
        <f t="shared" si="29"/>
        <v>23.295999999999999</v>
      </c>
      <c r="Z52" s="204">
        <f t="shared" si="30"/>
        <v>1.3899999999999999E-2</v>
      </c>
      <c r="AA52" s="204">
        <f t="shared" si="9"/>
        <v>23.2821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140</v>
      </c>
      <c r="AE52" s="77" t="str">
        <f t="shared" si="11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52" s="74" t="str">
        <f t="shared" si="12"/>
        <v>"C:\Program Files (x86)\AstroGrep\AstroGrep.exe" /e /r /s /spath="%USERPROFILE%\AppData\Local\Temp\OnboardLogs" /stypes="app*4007*20171019*"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140-19 --locoid 4007 --swversion DE.1.0.9.0 --startMP 204:232960 --initTime 2017-10-19T09:22:13 --startdatetime 2017-10-19T09:28:01 --delay 73 --endMP 204:139 --enddatetime 2017-10-19T10:03:35 --enforcementcount 0 &gt;&gt;%USERPROFILE%\Documents\GitHub\eaglep3-reporting\EC\2017-10-19-refined-times.txt</v>
      </c>
      <c r="AI52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{"issue":{"subject":"","project_id":79,"tracker_id":40,"status_id":1,"priority_id":2,"assigned_to_id":338,"start_date":"2017-10-19","description":"","custom_fields":[{"id":1,"name":"Subdivision","value":"EC"},{"id":4,"name":"Milepost","value":"0.0139"},{"id":17,"name":"Train ID","value":"140-19"},{"id":16,"name":"Locomotive ID","value":"4007"},{"id":130,"name":"Impact","value":""},{"id":150,"name":"Time of Event (Mountain Time)","value":"10:03:35"},{"id":151,"name":"Denver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4007 --day 2017-10-19</v>
      </c>
      <c r="AN52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-19T08:22:13-0600',mode:absolute,to:'2017-10-19T11:03:35-0600'))&amp;_a=(columns:!('Message%20ID',Summary),filters:!(),index:'emp_*',interval:auto,query:(query_string:(analyze_wildcard:!t,query:'%22rtdc.l.rtdc.4007%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657</v>
      </c>
      <c r="B53" s="7">
        <v>4014</v>
      </c>
      <c r="C53" s="21" t="s">
        <v>194</v>
      </c>
      <c r="D53" s="21" t="s">
        <v>833</v>
      </c>
      <c r="E53" s="13">
        <v>43027.359907407408</v>
      </c>
      <c r="F53" s="13">
        <v>43027.364745370367</v>
      </c>
      <c r="G53" s="7">
        <v>66</v>
      </c>
      <c r="H53" s="21" t="s">
        <v>534</v>
      </c>
      <c r="I53" s="13">
        <v>43027.388784722221</v>
      </c>
      <c r="J53" s="7">
        <v>0</v>
      </c>
      <c r="K53" s="89" t="str">
        <f t="shared" si="0"/>
        <v>4013/4014</v>
      </c>
      <c r="L53" s="185" t="str">
        <f>VLOOKUP(A53,'Trips&amp;Operators'!$C$1:$G$99911,5,FALSE)</f>
        <v>YANAI IAN</v>
      </c>
      <c r="M53" s="6">
        <f t="shared" si="1"/>
        <v>2.4039351854298729E-2</v>
      </c>
      <c r="N53" s="7">
        <f t="shared" si="31"/>
        <v>34.61666667019017</v>
      </c>
      <c r="O53" s="7"/>
      <c r="P53" s="7"/>
      <c r="Q53" s="22"/>
      <c r="R53" s="174"/>
      <c r="S53" s="221">
        <f t="shared" si="32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-19T07:38:16-0600',mode:absolute,to:'2017-10-19T10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204" t="str">
        <f>IF(AA53&lt;VLOOKUP(AG53,Variables!$AC$3:$AD$8,2,FALSE),"Y","N")</f>
        <v>N</v>
      </c>
      <c r="X53" s="204">
        <f t="shared" si="33"/>
        <v>1</v>
      </c>
      <c r="Y53" s="204">
        <f t="shared" si="29"/>
        <v>4.82E-2</v>
      </c>
      <c r="Z53" s="204">
        <f t="shared" si="30"/>
        <v>23.330100000000002</v>
      </c>
      <c r="AA53" s="204">
        <f t="shared" si="9"/>
        <v>23.2819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141</v>
      </c>
      <c r="AE53" s="77" t="str">
        <f t="shared" si="11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53" s="74" t="str">
        <f t="shared" si="12"/>
        <v>"C:\Program Files (x86)\AstroGrep\AstroGrep.exe" /e /r /s /spath="%USERPROFILE%\AppData\Local\Temp\OnboardLogs" /stypes="app*4014*20171019*"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141-19 --locoid 4014 --swversion DE.1.0.9.0 --startMP 204:482 --initTime 2017-10-19T08:38:16 --startdatetime 2017-10-19T08:45:14 --delay 66 --endMP 204:233301 --enddatetime 2017-10-19T09:19:51 --enforcementcount 0 &gt;&gt;%USERPROFILE%\Documents\GitHub\eaglep3-reporting\EC\2017-10-19-refined-times.txt</v>
      </c>
      <c r="AI53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{"issue":{"subject":"","project_id":79,"tracker_id":40,"status_id":1,"priority_id":2,"assigned_to_id":338,"start_date":"2017-10-19","description":"","custom_fields":[{"id":1,"name":"Subdivision","value":"EC"},{"id":4,"name":"Milepost","value":"23.3301"},{"id":17,"name":"Train ID","value":"141-19"},{"id":16,"name":"Locomotive ID","value":"4014"},{"id":130,"name":"Impact","value":""},{"id":150,"name":"Time of Event (Mountain Time)","value":"09:19:51"},{"id":151,"name":"Denver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4014 --day 2017-10-19</v>
      </c>
      <c r="AN53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-19T07:38:16-0600',mode:absolute,to:'2017-10-19T10:19:51-0600'))&amp;_a=(columns:!('Message%20ID',Summary),filters:!(),index:'emp_*',interval:auto,query:(query_string:(analyze_wildcard:!t,query:'%22rtdc.l.rtdc.4014%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662</v>
      </c>
      <c r="B54" s="7">
        <v>4013</v>
      </c>
      <c r="C54" s="21" t="s">
        <v>194</v>
      </c>
      <c r="D54" s="21" t="s">
        <v>834</v>
      </c>
      <c r="E54" s="13">
        <v>43027.389780092592</v>
      </c>
      <c r="F54" s="13">
        <v>43027.404363425929</v>
      </c>
      <c r="G54" s="7">
        <v>1126</v>
      </c>
      <c r="H54" s="21" t="s">
        <v>519</v>
      </c>
      <c r="I54" s="13">
        <v>43027.430011574077</v>
      </c>
      <c r="J54" s="7">
        <v>0</v>
      </c>
      <c r="K54" s="89" t="str">
        <f t="shared" si="0"/>
        <v>4013/4014</v>
      </c>
      <c r="L54" s="185" t="str">
        <f>VLOOKUP(A54,'Trips&amp;Operators'!$C$1:$G$99911,5,FALSE)</f>
        <v>YANAI IAN</v>
      </c>
      <c r="M54" s="6">
        <f t="shared" si="1"/>
        <v>2.5648148148320615E-2</v>
      </c>
      <c r="N54" s="7">
        <f t="shared" si="31"/>
        <v>36.933333333581686</v>
      </c>
      <c r="O54" s="7"/>
      <c r="P54" s="7"/>
      <c r="Q54" s="22"/>
      <c r="R54" s="174"/>
      <c r="S54" s="221">
        <f t="shared" si="32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-19T08:21:17-0600',mode:absolute,to:'2017-10-19T11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204" t="str">
        <f>IF(AA54&lt;VLOOKUP(AG54,Variables!$AC$3:$AD$8,2,FALSE),"Y","N")</f>
        <v>N</v>
      </c>
      <c r="X54" s="204">
        <f t="shared" si="33"/>
        <v>1</v>
      </c>
      <c r="Y54" s="204">
        <f t="shared" si="29"/>
        <v>23.2971</v>
      </c>
      <c r="Z54" s="204">
        <f t="shared" si="30"/>
        <v>1.34E-2</v>
      </c>
      <c r="AA54" s="204">
        <f t="shared" si="9"/>
        <v>23.2837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54" s="74" t="str">
        <f t="shared" si="12"/>
        <v>"C:\Program Files (x86)\AstroGrep\AstroGrep.exe" /e /r /s /spath="%USERPROFILE%\AppData\Local\Temp\OnboardLogs" /stypes="app*4013*20171019*"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142-19 --locoid 4013 --swversion DE.1.0.9.0 --startMP 204:232971 --initTime 2017-10-19T09:21:17 --startdatetime 2017-10-19T09:42:17 --delay 1126 --endMP 204:134 --enddatetime 2017-10-19T10:19:13 --enforcementcount 0 &gt;&gt;%USERPROFILE%\Documents\GitHub\eaglep3-reporting\EC\2017-10-19-refined-times.txt</v>
      </c>
      <c r="AI54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{"issue":{"subject":"","project_id":79,"tracker_id":40,"status_id":1,"priority_id":2,"assigned_to_id":338,"start_date":"2017-10-19","description":"","custom_fields":[{"id":1,"name":"Subdivision","value":"EC"},{"id":4,"name":"Milepost","value":"0.0134"},{"id":17,"name":"Train ID","value":"142-19"},{"id":16,"name":"Locomotive ID","value":"4013"},{"id":130,"name":"Impact","value":""},{"id":150,"name":"Time of Event (Mountain Time)","value":"10:19:13"},{"id":151,"name":"Denver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4013 --day 2017-10-19</v>
      </c>
      <c r="AN54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-19T08:21:17-0600',mode:absolute,to:'2017-10-19T11:19:13-0600'))&amp;_a=(columns:!('Message%20ID',Summary),filters:!(),index:'emp_*',interval:auto,query:(query_string:(analyze_wildcard:!t,query:'%22rtdc.l.rtdc.4013%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658</v>
      </c>
      <c r="B55" s="7">
        <v>4006</v>
      </c>
      <c r="C55" s="21" t="s">
        <v>194</v>
      </c>
      <c r="D55" s="21" t="s">
        <v>362</v>
      </c>
      <c r="E55" s="13">
        <v>43027.371562499997</v>
      </c>
      <c r="F55" s="13">
        <v>43027.375185185185</v>
      </c>
      <c r="G55" s="7">
        <v>69</v>
      </c>
      <c r="H55" s="21" t="s">
        <v>835</v>
      </c>
      <c r="I55" s="13">
        <v>43027.399976851855</v>
      </c>
      <c r="J55" s="7">
        <v>0</v>
      </c>
      <c r="K55" s="89" t="str">
        <f t="shared" si="0"/>
        <v>4005/4006</v>
      </c>
      <c r="L55" s="185" t="str">
        <f>VLOOKUP(A55,'Trips&amp;Operators'!$C$1:$G$99911,5,FALSE)</f>
        <v>MAELZER KURT</v>
      </c>
      <c r="M55" s="6">
        <f t="shared" si="1"/>
        <v>2.4791666670353152E-2</v>
      </c>
      <c r="N55" s="7">
        <f t="shared" si="31"/>
        <v>35.700000005308539</v>
      </c>
      <c r="O55" s="7"/>
      <c r="P55" s="7"/>
      <c r="Q55" s="22"/>
      <c r="R55" s="174"/>
      <c r="S55" s="221">
        <f t="shared" si="32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-19T07:55:03-0600',mode:absolute,to:'2017-10-19T10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204" t="str">
        <f>IF(AA55&lt;VLOOKUP(AG55,Variables!$AC$3:$AD$8,2,FALSE),"Y","N")</f>
        <v>N</v>
      </c>
      <c r="X55" s="204">
        <f t="shared" si="33"/>
        <v>1</v>
      </c>
      <c r="Y55" s="204">
        <f t="shared" si="29"/>
        <v>4.5999999999999999E-2</v>
      </c>
      <c r="Z55" s="204">
        <f t="shared" si="30"/>
        <v>23.330400000000001</v>
      </c>
      <c r="AA55" s="204">
        <f t="shared" si="9"/>
        <v>23.284400000000002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55" s="74" t="str">
        <f t="shared" si="12"/>
        <v>"C:\Program Files (x86)\AstroGrep\AstroGrep.exe" /e /r /s /spath="%USERPROFILE%\AppData\Local\Temp\OnboardLogs" /stypes="app*4006*20171019*"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143-19 --locoid 4006 --swversion DE.1.0.9.0 --startMP 204:460 --initTime 2017-10-19T08:55:03 --startdatetime 2017-10-19T09:00:16 --delay 69 --endMP 204:233304 --enddatetime 2017-10-19T09:35:58 --enforcementcount 0 &gt;&gt;%USERPROFILE%\Documents\GitHub\eaglep3-reporting\EC\2017-10-19-refined-times.txt</v>
      </c>
      <c r="AI55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{"issue":{"subject":"","project_id":79,"tracker_id":40,"status_id":1,"priority_id":2,"assigned_to_id":338,"start_date":"2017-10-19","description":"","custom_fields":[{"id":1,"name":"Subdivision","value":"EC"},{"id":4,"name":"Milepost","value":"23.3304"},{"id":17,"name":"Train ID","value":"143-19"},{"id":16,"name":"Locomotive ID","value":"4006"},{"id":130,"name":"Impact","value":""},{"id":150,"name":"Time of Event (Mountain Time)","value":"09:35:58"},{"id":151,"name":"Denver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4006 --day 2017-10-19</v>
      </c>
      <c r="AN55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-19T07:55:03-0600',mode:absolute,to:'2017-10-19T10:35:58-0600'))&amp;_a=(columns:!('Message%20ID',Summary),filters:!(),index:'emp_*',interval:auto,query:(query_string:(analyze_wildcard:!t,query:'%22rtdc.l.rtdc.4006%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666</v>
      </c>
      <c r="B56" s="7">
        <v>4005</v>
      </c>
      <c r="C56" s="21" t="s">
        <v>194</v>
      </c>
      <c r="D56" s="21" t="s">
        <v>411</v>
      </c>
      <c r="E56" s="13">
        <v>43027.404895833337</v>
      </c>
      <c r="F56" s="13">
        <v>43027.414895833332</v>
      </c>
      <c r="G56" s="7">
        <v>54</v>
      </c>
      <c r="H56" s="21" t="s">
        <v>366</v>
      </c>
      <c r="I56" s="13">
        <v>43027.441712962966</v>
      </c>
      <c r="J56" s="7">
        <v>0</v>
      </c>
      <c r="K56" s="89" t="str">
        <f t="shared" si="0"/>
        <v>4005/4006</v>
      </c>
      <c r="L56" s="185" t="str">
        <f>VLOOKUP(A56,'Trips&amp;Operators'!$C$1:$G$99911,5,FALSE)</f>
        <v>MAELZER KURT</v>
      </c>
      <c r="M56" s="6">
        <f t="shared" si="1"/>
        <v>2.6817129633855075E-2</v>
      </c>
      <c r="N56" s="7">
        <f t="shared" si="31"/>
        <v>38.616666672751307</v>
      </c>
      <c r="O56" s="7"/>
      <c r="P56" s="7"/>
      <c r="Q56" s="22"/>
      <c r="R56" s="174"/>
      <c r="S56" s="221">
        <f t="shared" si="32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-19T08:43:03-0600',mode:absolute,to:'2017-10-19T11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204" t="str">
        <f>IF(AA56&lt;VLOOKUP(AG56,Variables!$AC$3:$AD$8,2,FALSE),"Y","N")</f>
        <v>N</v>
      </c>
      <c r="X56" s="204">
        <f t="shared" si="33"/>
        <v>1</v>
      </c>
      <c r="Y56" s="204">
        <f t="shared" si="29"/>
        <v>23.2989</v>
      </c>
      <c r="Z56" s="204">
        <f t="shared" si="30"/>
        <v>1.3899999999999999E-2</v>
      </c>
      <c r="AA56" s="204">
        <f t="shared" si="9"/>
        <v>23.285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144</v>
      </c>
      <c r="AE56" s="77" t="str">
        <f t="shared" si="11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56" s="74" t="str">
        <f t="shared" si="12"/>
        <v>"C:\Program Files (x86)\AstroGrep\AstroGrep.exe" /e /r /s /spath="%USERPROFILE%\AppData\Local\Temp\OnboardLogs" /stypes="app*4005*20171019*"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144-19 --locoid 4005 --swversion DE.1.0.9.0 --startMP 204:232989 --initTime 2017-10-19T09:43:03 --startdatetime 2017-10-19T09:57:27 --delay 54 --endMP 204:139 --enddatetime 2017-10-19T10:36:04 --enforcementcount 0 &gt;&gt;%USERPROFILE%\Documents\GitHub\eaglep3-reporting\EC\2017-10-19-refined-times.txt</v>
      </c>
      <c r="AI56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{"issue":{"subject":"","project_id":79,"tracker_id":40,"status_id":1,"priority_id":2,"assigned_to_id":338,"start_date":"2017-10-19","description":"","custom_fields":[{"id":1,"name":"Subdivision","value":"EC"},{"id":4,"name":"Milepost","value":"0.0139"},{"id":17,"name":"Train ID","value":"144-19"},{"id":16,"name":"Locomotive ID","value":"4005"},{"id":130,"name":"Impact","value":""},{"id":150,"name":"Time of Event (Mountain Time)","value":"10:36:04"},{"id":151,"name":"Denver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4005 --day 2017-10-19</v>
      </c>
      <c r="AN56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-19T08:43:03-0600',mode:absolute,to:'2017-10-19T11:36:04-0600'))&amp;_a=(columns:!('Message%20ID',Summary),filters:!(),index:'emp_*',interval:auto,query:(query_string:(analyze_wildcard:!t,query:'%22rtdc.l.rtdc.4005%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661</v>
      </c>
      <c r="B57" s="7">
        <v>4066</v>
      </c>
      <c r="C57" s="21" t="s">
        <v>194</v>
      </c>
      <c r="D57" s="21" t="s">
        <v>372</v>
      </c>
      <c r="E57" s="13">
        <v>43027.380532407406</v>
      </c>
      <c r="F57" s="13">
        <v>43027.385625000003</v>
      </c>
      <c r="G57" s="7">
        <v>86</v>
      </c>
      <c r="H57" s="21" t="s">
        <v>836</v>
      </c>
      <c r="I57" s="13">
        <v>43027.409583333334</v>
      </c>
      <c r="J57" s="7">
        <v>0</v>
      </c>
      <c r="K57" s="89" t="str">
        <f t="shared" si="0"/>
        <v>4065/4066</v>
      </c>
      <c r="L57" s="185" t="str">
        <f>VLOOKUP(A57,'Trips&amp;Operators'!$C$1:$G$99911,5,FALSE)</f>
        <v>YANG JAN</v>
      </c>
      <c r="M57" s="6">
        <f t="shared" si="1"/>
        <v>2.3958333331393078E-2</v>
      </c>
      <c r="N57" s="7">
        <f t="shared" si="31"/>
        <v>34.499999997206032</v>
      </c>
      <c r="O57" s="7"/>
      <c r="P57" s="7"/>
      <c r="Q57" s="22"/>
      <c r="R57" s="174"/>
      <c r="S57" s="221">
        <f t="shared" si="32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-19T08:07:58-0600',mode:absolute,to:'2017-10-19T10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7" s="204" t="str">
        <f>IF(AA57&lt;VLOOKUP(AG57,Variables!$AC$3:$AD$8,2,FALSE),"Y","N")</f>
        <v>N</v>
      </c>
      <c r="X57" s="204">
        <f t="shared" si="33"/>
        <v>1</v>
      </c>
      <c r="Y57" s="204">
        <f t="shared" si="29"/>
        <v>4.4699999999999997E-2</v>
      </c>
      <c r="Z57" s="204">
        <f t="shared" si="30"/>
        <v>23.330500000000001</v>
      </c>
      <c r="AA57" s="204">
        <f t="shared" si="9"/>
        <v>23.285800000000002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145</v>
      </c>
      <c r="AE57" s="77" t="str">
        <f t="shared" si="11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57" s="74" t="str">
        <f t="shared" si="12"/>
        <v>"C:\Program Files (x86)\AstroGrep\AstroGrep.exe" /e /r /s /spath="%USERPROFILE%\AppData\Local\Temp\OnboardLogs" /stypes="app*4066*20171019*"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145-19 --locoid 4066 --swversion DE.1.0.9.0 --startMP 204:447 --initTime 2017-10-19T09:07:58 --startdatetime 2017-10-19T09:15:18 --delay 86 --endMP 204:233305 --enddatetime 2017-10-19T09:49:48 --enforcementcount 0 &gt;&gt;%USERPROFILE%\Documents\GitHub\eaglep3-reporting\EC\2017-10-19-refined-times.txt</v>
      </c>
      <c r="AI57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{"issue":{"subject":"","project_id":79,"tracker_id":40,"status_id":1,"priority_id":2,"assigned_to_id":338,"start_date":"2017-10-19","description":"","custom_fields":[{"id":1,"name":"Subdivision","value":"EC"},{"id":4,"name":"Milepost","value":"23.3305"},{"id":17,"name":"Train ID","value":"145-19"},{"id":16,"name":"Locomotive ID","value":"4066"},{"id":130,"name":"Impact","value":""},{"id":150,"name":"Time of Event (Mountain Time)","value":"09:49:48"},{"id":151,"name":"Denver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4066 --day 2017-10-19</v>
      </c>
      <c r="AN57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-19T08:07:58-0600',mode:absolute,to:'2017-10-19T10:49:48-0600'))&amp;_a=(columns:!('Message%20ID',Summary),filters:!(),index:'emp_*',interval:auto,query:(query_string:(analyze_wildcard:!t,query:'%22rtdc.l.rtdc.4066%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669</v>
      </c>
      <c r="B58" s="7">
        <v>4065</v>
      </c>
      <c r="C58" s="21" t="s">
        <v>194</v>
      </c>
      <c r="D58" s="21" t="s">
        <v>523</v>
      </c>
      <c r="E58" s="13">
        <v>43027.418842592589</v>
      </c>
      <c r="F58" s="13">
        <v>43027.425185185188</v>
      </c>
      <c r="G58" s="7">
        <v>60</v>
      </c>
      <c r="H58" s="21" t="s">
        <v>366</v>
      </c>
      <c r="I58" s="13">
        <v>43027.451238425929</v>
      </c>
      <c r="J58" s="7">
        <v>0</v>
      </c>
      <c r="K58" s="89" t="str">
        <f t="shared" si="0"/>
        <v>4065/4066</v>
      </c>
      <c r="L58" s="185" t="str">
        <f>VLOOKUP(A58,'Trips&amp;Operators'!$C$1:$G$99911,5,FALSE)</f>
        <v>YANG JAN</v>
      </c>
      <c r="M58" s="6">
        <f t="shared" si="1"/>
        <v>2.6053240741021E-2</v>
      </c>
      <c r="N58" s="7">
        <f t="shared" si="31"/>
        <v>37.51666666707024</v>
      </c>
      <c r="O58" s="7"/>
      <c r="P58" s="7"/>
      <c r="Q58" s="22"/>
      <c r="R58" s="174"/>
      <c r="S58" s="221">
        <f t="shared" si="32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-19T09:03:08-0600',mode:absolute,to:'2017-10-19T11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8" s="204" t="str">
        <f>IF(AA58&lt;VLOOKUP(AG58,Variables!$AC$3:$AD$8,2,FALSE),"Y","N")</f>
        <v>N</v>
      </c>
      <c r="X58" s="204">
        <f t="shared" si="33"/>
        <v>1</v>
      </c>
      <c r="Y58" s="204">
        <f t="shared" si="29"/>
        <v>23.2986</v>
      </c>
      <c r="Z58" s="204">
        <f t="shared" si="30"/>
        <v>1.3899999999999999E-2</v>
      </c>
      <c r="AA58" s="204">
        <f t="shared" si="9"/>
        <v>23.284700000000001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146</v>
      </c>
      <c r="AE58" s="77" t="str">
        <f t="shared" si="11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58" s="74" t="str">
        <f t="shared" si="12"/>
        <v>"C:\Program Files (x86)\AstroGrep\AstroGrep.exe" /e /r /s /spath="%USERPROFILE%\AppData\Local\Temp\OnboardLogs" /stypes="app*4065*20171019*"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146-19 --locoid 4065 --swversion DE.1.0.9.0 --startMP 204:232986 --initTime 2017-10-19T10:03:08 --startdatetime 2017-10-19T10:12:16 --delay 60 --endMP 204:139 --enddatetime 2017-10-19T10:49:47 --enforcementcount 0 &gt;&gt;%USERPROFILE%\Documents\GitHub\eaglep3-reporting\EC\2017-10-19-refined-times.txt</v>
      </c>
      <c r="AI58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{"issue":{"subject":"","project_id":79,"tracker_id":40,"status_id":1,"priority_id":2,"assigned_to_id":338,"start_date":"2017-10-19","description":"","custom_fields":[{"id":1,"name":"Subdivision","value":"EC"},{"id":4,"name":"Milepost","value":"0.0139"},{"id":17,"name":"Train ID","value":"146-19"},{"id":16,"name":"Locomotive ID","value":"4065"},{"id":130,"name":"Impact","value":""},{"id":150,"name":"Time of Event (Mountain Time)","value":"10:49:47"},{"id":151,"name":"Denver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4065 --day 2017-10-19</v>
      </c>
      <c r="AN58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-19T09:03:08-0600',mode:absolute,to:'2017-10-19T11:49:47-0600'))&amp;_a=(columns:!('Message%20ID',Summary),filters:!(),index:'emp_*',interval:auto,query:(query_string:(analyze_wildcard:!t,query:'%22rtdc.l.rtdc.4065%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572</v>
      </c>
      <c r="B59" s="7">
        <v>4058</v>
      </c>
      <c r="C59" s="21" t="s">
        <v>194</v>
      </c>
      <c r="D59" s="21" t="s">
        <v>367</v>
      </c>
      <c r="E59" s="13">
        <v>43027.392199074071</v>
      </c>
      <c r="F59" s="13">
        <v>43027.39603009259</v>
      </c>
      <c r="G59" s="7">
        <v>125</v>
      </c>
      <c r="H59" s="21" t="s">
        <v>430</v>
      </c>
      <c r="I59" s="13">
        <v>43027.422268518516</v>
      </c>
      <c r="J59" s="7">
        <v>0</v>
      </c>
      <c r="K59" s="89" t="str">
        <f t="shared" si="0"/>
        <v>4057/4058</v>
      </c>
      <c r="L59" s="185" t="str">
        <f>VLOOKUP(A59,'Trips&amp;Operators'!$C$1:$G$99911,5,FALSE)</f>
        <v>BONDS REYNALDO</v>
      </c>
      <c r="M59" s="6">
        <f t="shared" si="1"/>
        <v>2.6238425925839692E-2</v>
      </c>
      <c r="N59" s="7">
        <f t="shared" si="31"/>
        <v>37.783333333209157</v>
      </c>
      <c r="O59" s="7"/>
      <c r="P59" s="7"/>
      <c r="Q59" s="22"/>
      <c r="R59" s="174"/>
      <c r="S59" s="221">
        <f t="shared" si="32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-19T08:24:46-0600',mode:absolute,to:'2017-10-19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9" s="204" t="str">
        <f>IF(AA59&lt;VLOOKUP(AG59,Variables!$AC$3:$AD$8,2,FALSE),"Y","N")</f>
        <v>N</v>
      </c>
      <c r="X59" s="204">
        <f t="shared" si="33"/>
        <v>1</v>
      </c>
      <c r="Y59" s="204">
        <f t="shared" si="29"/>
        <v>4.5100000000000001E-2</v>
      </c>
      <c r="Z59" s="204">
        <f t="shared" si="30"/>
        <v>23.329499999999999</v>
      </c>
      <c r="AA59" s="204">
        <f t="shared" si="9"/>
        <v>23.284399999999998</v>
      </c>
      <c r="AB59" s="54" t="str">
        <f>VLOOKUP(A59,Enforcements!$C$7:$K$11,8,0)</f>
        <v>Speed (6)</v>
      </c>
      <c r="AC59" s="51" t="str">
        <f>VLOOKUP(A59,Enforcements!$C$7:$E$11,3,0)</f>
        <v>PERMANENT SPEED RESTRICTION</v>
      </c>
      <c r="AD59" s="179">
        <f t="shared" si="10"/>
        <v>147</v>
      </c>
      <c r="AE59" s="77" t="str">
        <f t="shared" si="11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59" s="74" t="str">
        <f t="shared" si="12"/>
        <v>"C:\Program Files (x86)\AstroGrep\AstroGrep.exe" /e /r /s /spath="%USERPROFILE%\AppData\Local\Temp\OnboardLogs" /stypes="app*4058*20171019*"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147-19 --locoid 4058 --swversion DE.1.0.9.0 --startMP 204:451 --initTime 2017-10-19T09:24:46 --startdatetime 2017-10-19T09:30:17 --delay 125 --endMP 204:233295 --enddatetime 2017-10-19T10:08:04 --enforcementcount 0 &gt;&gt;%USERPROFILE%\Documents\GitHub\eaglep3-reporting\EC\2017-10-19-refined-times.txt</v>
      </c>
      <c r="AI59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{"issue":{"subject":"","project_id":79,"tracker_id":40,"status_id":1,"priority_id":2,"assigned_to_id":338,"start_date":"2017-10-19","description":"","custom_fields":[{"id":1,"name":"Subdivision","value":"EC"},{"id":4,"name":"Milepost","value":"23.3295"},{"id":17,"name":"Train ID","value":"147-19"},{"id":16,"name":"Locomotive ID","value":"4058"},{"id":130,"name":"Impact","value":""},{"id":150,"name":"Time of Event (Mountain Time)","value":"10:08:04"},{"id":151,"name":"Denver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4058 --day 2017-10-19</v>
      </c>
      <c r="AN59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-19T08:24:46-0600',mode:absolute,to:'2017-10-19T11:08:04-0600'))&amp;_a=(columns:!('Message%20ID',Summary),filters:!(),index:'emp_*',interval:auto,query:(query_string:(analyze_wildcard:!t,query:'%22rtdc.l.rtdc.4058%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575</v>
      </c>
      <c r="B60" s="7">
        <v>4057</v>
      </c>
      <c r="C60" s="21" t="s">
        <v>194</v>
      </c>
      <c r="D60" s="21" t="s">
        <v>405</v>
      </c>
      <c r="E60" s="13">
        <v>43027.431504629632</v>
      </c>
      <c r="F60" s="13">
        <v>43027.435601851852</v>
      </c>
      <c r="G60" s="7">
        <v>65</v>
      </c>
      <c r="H60" s="21" t="s">
        <v>519</v>
      </c>
      <c r="I60" s="13">
        <v>43027.461678240739</v>
      </c>
      <c r="J60" s="7">
        <v>0</v>
      </c>
      <c r="K60" s="89" t="str">
        <f t="shared" si="0"/>
        <v>4057/4058</v>
      </c>
      <c r="L60" s="185" t="str">
        <f>VLOOKUP(A60,'Trips&amp;Operators'!$C$1:$G$99911,5,FALSE)</f>
        <v>BONDS REYNALDO</v>
      </c>
      <c r="M60" s="6">
        <f t="shared" si="1"/>
        <v>2.6076388887304347E-2</v>
      </c>
      <c r="N60" s="7">
        <f t="shared" si="31"/>
        <v>37.54999999771826</v>
      </c>
      <c r="O60" s="7"/>
      <c r="P60" s="7"/>
      <c r="Q60" s="22"/>
      <c r="R60" s="174"/>
      <c r="S60" s="221">
        <f t="shared" si="32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-19T09:21:22-0600',mode:absolute,to:'2017-10-19T12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0" s="204" t="str">
        <f>IF(AA60&lt;VLOOKUP(AG60,Variables!$AC$3:$AD$8,2,FALSE),"Y","N")</f>
        <v>N</v>
      </c>
      <c r="X60" s="204">
        <f t="shared" si="33"/>
        <v>1</v>
      </c>
      <c r="Y60" s="204">
        <f t="shared" si="29"/>
        <v>23.298500000000001</v>
      </c>
      <c r="Z60" s="204">
        <f t="shared" si="30"/>
        <v>1.34E-2</v>
      </c>
      <c r="AA60" s="204">
        <f t="shared" si="9"/>
        <v>23.2851</v>
      </c>
      <c r="AB60" s="54" t="str">
        <f>VLOOKUP(A60,Enforcements!$C$7:$K$11,8,0)</f>
        <v>Form based authority (4)</v>
      </c>
      <c r="AC60" s="51" t="str">
        <f>VLOOKUP(A60,Enforcements!$C$7:$E$11,3,0)</f>
        <v>TRACK WARRANT AUTHORITY</v>
      </c>
      <c r="AD60" s="179">
        <f t="shared" si="10"/>
        <v>148</v>
      </c>
      <c r="AE60" s="77" t="str">
        <f t="shared" si="11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60" s="74" t="str">
        <f t="shared" si="12"/>
        <v>"C:\Program Files (x86)\AstroGrep\AstroGrep.exe" /e /r /s /spath="%USERPROFILE%\AppData\Local\Temp\OnboardLogs" /stypes="app*4057*20171019*"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148-19 --locoid 4057 --swversion DE.1.0.9.0 --startMP 204:232985 --initTime 2017-10-19T10:21:22 --startdatetime 2017-10-19T10:27:16 --delay 65 --endMP 204:134 --enddatetime 2017-10-19T11:04:49 --enforcementcount 0 &gt;&gt;%USERPROFILE%\Documents\GitHub\eaglep3-reporting\EC\2017-10-19-refined-times.txt</v>
      </c>
      <c r="AI60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{"issue":{"subject":"","project_id":79,"tracker_id":40,"status_id":1,"priority_id":2,"assigned_to_id":338,"start_date":"2017-10-19","description":"","custom_fields":[{"id":1,"name":"Subdivision","value":"EC"},{"id":4,"name":"Milepost","value":"0.0134"},{"id":17,"name":"Train ID","value":"148-19"},{"id":16,"name":"Locomotive ID","value":"4057"},{"id":130,"name":"Impact","value":""},{"id":150,"name":"Time of Event (Mountain Time)","value":"11:04:49"},{"id":151,"name":"Denver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4057 --day 2017-10-19</v>
      </c>
      <c r="AN60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-19T09:21:22-0600',mode:absolute,to:'2017-10-19T12:04:49-0600'))&amp;_a=(columns:!('Message%20ID',Summary),filters:!(),index:'emp_*',interval:auto,query:(query_string:(analyze_wildcard:!t,query:'%22rtdc.l.rtdc.4057%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665</v>
      </c>
      <c r="B61" s="7">
        <v>4018</v>
      </c>
      <c r="C61" s="21" t="s">
        <v>194</v>
      </c>
      <c r="D61" s="21" t="s">
        <v>338</v>
      </c>
      <c r="E61" s="13">
        <v>43027.402060185188</v>
      </c>
      <c r="F61" s="13">
        <v>43027.406446759262</v>
      </c>
      <c r="G61" s="7">
        <v>76</v>
      </c>
      <c r="H61" s="21" t="s">
        <v>520</v>
      </c>
      <c r="I61" s="13">
        <v>43027.430185185185</v>
      </c>
      <c r="J61" s="7">
        <v>0</v>
      </c>
      <c r="K61" s="89" t="str">
        <f t="shared" si="0"/>
        <v>4017/4018</v>
      </c>
      <c r="L61" s="185" t="str">
        <f>VLOOKUP(A61,'Trips&amp;Operators'!$C$1:$G$99911,5,FALSE)</f>
        <v>GEBRETEKLE DAGNEW</v>
      </c>
      <c r="M61" s="6">
        <f t="shared" si="1"/>
        <v>2.3738425923511386E-2</v>
      </c>
      <c r="N61" s="7">
        <f t="shared" si="31"/>
        <v>34.183333329856396</v>
      </c>
      <c r="O61" s="7"/>
      <c r="P61" s="7"/>
      <c r="Q61" s="22"/>
      <c r="R61" s="174"/>
      <c r="S61" s="221">
        <f t="shared" si="32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-19T08:38:58-0600',mode:absolute,to:'2017-10-19T11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204" t="str">
        <f>IF(AA61&lt;VLOOKUP(AG61,Variables!$AC$3:$AD$8,2,FALSE),"Y","N")</f>
        <v>N</v>
      </c>
      <c r="X61" s="204">
        <f t="shared" si="33"/>
        <v>1</v>
      </c>
      <c r="Y61" s="204">
        <f t="shared" si="29"/>
        <v>4.53E-2</v>
      </c>
      <c r="Z61" s="204">
        <f t="shared" si="30"/>
        <v>23.3309</v>
      </c>
      <c r="AA61" s="204">
        <f t="shared" si="9"/>
        <v>23.285599999999999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149</v>
      </c>
      <c r="AE61" s="77" t="str">
        <f t="shared" si="11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61" s="74" t="str">
        <f t="shared" si="12"/>
        <v>"C:\Program Files (x86)\AstroGrep\AstroGrep.exe" /e /r /s /spath="%USERPROFILE%\AppData\Local\Temp\OnboardLogs" /stypes="app*4018*20171019*"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149-19 --locoid 4018 --swversion DE.1.0.9.0 --startMP 204:453 --initTime 2017-10-19T09:38:58 --startdatetime 2017-10-19T09:45:17 --delay 76 --endMP 204:233309 --enddatetime 2017-10-19T10:19:28 --enforcementcount 0 &gt;&gt;%USERPROFILE%\Documents\GitHub\eaglep3-reporting\EC\2017-10-19-refined-times.txt</v>
      </c>
      <c r="AI61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{"issue":{"subject":"","project_id":79,"tracker_id":40,"status_id":1,"priority_id":2,"assigned_to_id":338,"start_date":"2017-10-19","description":"","custom_fields":[{"id":1,"name":"Subdivision","value":"EC"},{"id":4,"name":"Milepost","value":"23.3309"},{"id":17,"name":"Train ID","value":"149-19"},{"id":16,"name":"Locomotive ID","value":"4018"},{"id":130,"name":"Impact","value":""},{"id":150,"name":"Time of Event (Mountain Time)","value":"10:19:28"},{"id":151,"name":"Denver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4018 --day 2017-10-19</v>
      </c>
      <c r="AN61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-19T08:38:58-0600',mode:absolute,to:'2017-10-19T11:19:28-0600'))&amp;_a=(columns:!('Message%20ID',Summary),filters:!(),index:'emp_*',interval:auto,query:(query_string:(analyze_wildcard:!t,query:'%22rtdc.l.rtdc.4018%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672</v>
      </c>
      <c r="B62" s="7">
        <v>4017</v>
      </c>
      <c r="C62" s="21" t="s">
        <v>194</v>
      </c>
      <c r="D62" s="21" t="s">
        <v>406</v>
      </c>
      <c r="E62" s="13">
        <v>43027.43277777778</v>
      </c>
      <c r="F62" s="13">
        <v>43027.446018518516</v>
      </c>
      <c r="G62" s="7">
        <v>74</v>
      </c>
      <c r="H62" s="21" t="s">
        <v>424</v>
      </c>
      <c r="I62" s="13">
        <v>43027.472905092596</v>
      </c>
      <c r="J62" s="7">
        <v>0</v>
      </c>
      <c r="K62" s="89" t="str">
        <f t="shared" si="0"/>
        <v>4017/4018</v>
      </c>
      <c r="L62" s="185" t="str">
        <f>VLOOKUP(A62,'Trips&amp;Operators'!$C$1:$G$99911,5,FALSE)</f>
        <v>GEBRETEKLE DAGNEW</v>
      </c>
      <c r="M62" s="6">
        <f t="shared" si="1"/>
        <v>2.6886574079981074E-2</v>
      </c>
      <c r="N62" s="7">
        <f t="shared" si="31"/>
        <v>38.716666675172746</v>
      </c>
      <c r="O62" s="7"/>
      <c r="P62" s="7"/>
      <c r="Q62" s="22"/>
      <c r="R62" s="174"/>
      <c r="S62" s="221">
        <f t="shared" si="32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-19T09:23:12-0600',mode:absolute,to:'2017-10-19T12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204" t="str">
        <f>IF(AA62&lt;VLOOKUP(AG62,Variables!$AC$3:$AD$8,2,FALSE),"Y","N")</f>
        <v>N</v>
      </c>
      <c r="X62" s="204">
        <f t="shared" si="33"/>
        <v>1</v>
      </c>
      <c r="Y62" s="204">
        <f t="shared" ref="Y62:Y93" si="34">RIGHT(D62,LEN(D62)-4)/10000</f>
        <v>23.299399999999999</v>
      </c>
      <c r="Z62" s="204">
        <f t="shared" ref="Z62:Z93" si="35">RIGHT(H62,LEN(H62)-4)/10000</f>
        <v>1.3599999999999999E-2</v>
      </c>
      <c r="AA62" s="204">
        <f t="shared" si="9"/>
        <v>23.285799999999998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150</v>
      </c>
      <c r="AE62" s="77" t="str">
        <f t="shared" si="11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62" s="74" t="str">
        <f t="shared" si="12"/>
        <v>"C:\Program Files (x86)\AstroGrep\AstroGrep.exe" /e /r /s /spath="%USERPROFILE%\AppData\Local\Temp\OnboardLogs" /stypes="app*4017*20171019*"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150-19 --locoid 4017 --swversion DE.1.0.9.0 --startMP 204:232994 --initTime 2017-10-19T10:23:12 --startdatetime 2017-10-19T10:42:16 --delay 74 --endMP 204:136 --enddatetime 2017-10-19T11:20:59 --enforcementcount 0 &gt;&gt;%USERPROFILE%\Documents\GitHub\eaglep3-reporting\EC\2017-10-19-refined-times.txt</v>
      </c>
      <c r="AI62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{"issue":{"subject":"","project_id":79,"tracker_id":40,"status_id":1,"priority_id":2,"assigned_to_id":338,"start_date":"2017-10-19","description":"","custom_fields":[{"id":1,"name":"Subdivision","value":"EC"},{"id":4,"name":"Milepost","value":"0.0136"},{"id":17,"name":"Train ID","value":"150-19"},{"id":16,"name":"Locomotive ID","value":"4017"},{"id":130,"name":"Impact","value":""},{"id":150,"name":"Time of Event (Mountain Time)","value":"11:20:59"},{"id":151,"name":"Denver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4017 --day 2017-10-19</v>
      </c>
      <c r="AN62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-19T09:23:12-0600',mode:absolute,to:'2017-10-19T12:20:59-0600'))&amp;_a=(columns:!('Message%20ID',Summary),filters:!(),index:'emp_*',interval:auto,query:(query_string:(analyze_wildcard:!t,query:'%22rtdc.l.rtdc.4017%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668</v>
      </c>
      <c r="B63" s="7">
        <v>4016</v>
      </c>
      <c r="C63" s="21" t="s">
        <v>194</v>
      </c>
      <c r="D63" s="21" t="s">
        <v>449</v>
      </c>
      <c r="E63" s="13">
        <v>43027.412835648145</v>
      </c>
      <c r="F63" s="13">
        <v>43027.416851851849</v>
      </c>
      <c r="G63" s="7">
        <v>75</v>
      </c>
      <c r="H63" s="21" t="s">
        <v>828</v>
      </c>
      <c r="I63" s="13">
        <v>43027.442766203705</v>
      </c>
      <c r="J63" s="7">
        <v>0</v>
      </c>
      <c r="K63" s="89" t="str">
        <f t="shared" si="0"/>
        <v>4015/4016</v>
      </c>
      <c r="L63" s="185" t="str">
        <f>VLOOKUP(A63,'Trips&amp;Operators'!$C$1:$G$99911,5,FALSE)</f>
        <v>WILLIAMS DONTE</v>
      </c>
      <c r="M63" s="6">
        <f t="shared" si="1"/>
        <v>2.5914351856044959E-2</v>
      </c>
      <c r="N63" s="7">
        <f t="shared" si="31"/>
        <v>37.316666672704741</v>
      </c>
      <c r="O63" s="7"/>
      <c r="P63" s="7"/>
      <c r="Q63" s="22"/>
      <c r="R63" s="174"/>
      <c r="S63" s="221">
        <f t="shared" si="32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-19T08:54:29-0600',mode:absolute,to:'2017-10-19T11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204" t="str">
        <f>IF(AA63&lt;VLOOKUP(AG63,Variables!$AC$3:$AD$8,2,FALSE),"Y","N")</f>
        <v>N</v>
      </c>
      <c r="X63" s="204">
        <f t="shared" si="33"/>
        <v>1</v>
      </c>
      <c r="Y63" s="204">
        <f t="shared" si="34"/>
        <v>4.6899999999999997E-2</v>
      </c>
      <c r="Z63" s="204">
        <f t="shared" si="35"/>
        <v>23.331</v>
      </c>
      <c r="AA63" s="204">
        <f t="shared" si="9"/>
        <v>23.284099999999999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151</v>
      </c>
      <c r="AE63" s="77" t="str">
        <f t="shared" si="11"/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63" s="74" t="str">
        <f t="shared" si="12"/>
        <v>"C:\Program Files (x86)\AstroGrep\AstroGrep.exe" /e /r /s /spath="%USERPROFILE%\AppData\Local\Temp\OnboardLogs" /stypes="app*4016*20171019*"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151-19 --locoid 4016 --swversion DE.1.0.9.0 --startMP 204:469 --initTime 2017-10-19T09:54:29 --startdatetime 2017-10-19T10:00:16 --delay 75 --endMP 204:233310 --enddatetime 2017-10-19T10:37:35 --enforcementcount 0 &gt;&gt;%USERPROFILE%\Documents\GitHub\eaglep3-reporting\EC\2017-10-19-refined-times.txt</v>
      </c>
      <c r="AI63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{"issue":{"subject":"","project_id":79,"tracker_id":40,"status_id":1,"priority_id":2,"assigned_to_id":338,"start_date":"2017-10-19","description":"","custom_fields":[{"id":1,"name":"Subdivision","value":"EC"},{"id":4,"name":"Milepost","value":"23.331"},{"id":17,"name":"Train ID","value":"151-19"},{"id":16,"name":"Locomotive ID","value":"4016"},{"id":130,"name":"Impact","value":""},{"id":150,"name":"Time of Event (Mountain Time)","value":"10:37:35"},{"id":151,"name":"Denver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4016 --day 2017-10-19</v>
      </c>
      <c r="AN63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-19T08:54:29-0600',mode:absolute,to:'2017-10-19T11:37:35-0600'))&amp;_a=(columns:!('Message%20ID',Summary),filters:!(),index:'emp_*',interval:auto,query:(query_string:(analyze_wildcard:!t,query:'%22rtdc.l.rtdc.4016%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677</v>
      </c>
      <c r="B64" s="7">
        <v>4015</v>
      </c>
      <c r="C64" s="21" t="s">
        <v>194</v>
      </c>
      <c r="D64" s="21" t="s">
        <v>837</v>
      </c>
      <c r="E64" s="13">
        <v>43027.451817129629</v>
      </c>
      <c r="F64" s="13">
        <v>43027.456423611111</v>
      </c>
      <c r="G64" s="7">
        <v>72</v>
      </c>
      <c r="H64" s="21" t="s">
        <v>838</v>
      </c>
      <c r="I64" s="13">
        <v>43027.484270833331</v>
      </c>
      <c r="J64" s="7">
        <v>0</v>
      </c>
      <c r="K64" s="89" t="str">
        <f t="shared" si="0"/>
        <v>4015/4016</v>
      </c>
      <c r="L64" s="185" t="str">
        <f>VLOOKUP(A64,'Trips&amp;Operators'!$C$1:$G$99911,5,FALSE)</f>
        <v>WILLIAMS DONTE</v>
      </c>
      <c r="M64" s="6">
        <f t="shared" si="1"/>
        <v>2.7847222219861578E-2</v>
      </c>
      <c r="N64" s="7">
        <f t="shared" si="31"/>
        <v>40.099999996600673</v>
      </c>
      <c r="O64" s="7"/>
      <c r="P64" s="7"/>
      <c r="Q64" s="22"/>
      <c r="R64" s="174"/>
      <c r="S64" s="221">
        <f t="shared" si="32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-19T09:50:37-0600',mode:absolute,to:'2017-10-19T12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204" t="str">
        <f>IF(AA64&lt;VLOOKUP(AG64,Variables!$AC$3:$AD$8,2,FALSE),"Y","N")</f>
        <v>N</v>
      </c>
      <c r="X64" s="204">
        <f t="shared" si="33"/>
        <v>1</v>
      </c>
      <c r="Y64" s="204">
        <f t="shared" si="34"/>
        <v>23.297899999999998</v>
      </c>
      <c r="Z64" s="204">
        <f t="shared" si="35"/>
        <v>1.67E-2</v>
      </c>
      <c r="AA64" s="204">
        <f t="shared" si="9"/>
        <v>23.281199999999998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152</v>
      </c>
      <c r="AE64" s="77" t="str">
        <f t="shared" si="11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64" s="74" t="str">
        <f t="shared" si="12"/>
        <v>"C:\Program Files (x86)\AstroGrep\AstroGrep.exe" /e /r /s /spath="%USERPROFILE%\AppData\Local\Temp\OnboardLogs" /stypes="app*4015*20171019*"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152-19 --locoid 4015 --swversion DE.1.0.9.0 --startMP 204:232979 --initTime 2017-10-19T10:50:37 --startdatetime 2017-10-19T10:57:15 --delay 72 --endMP 204:167 --enddatetime 2017-10-19T11:37:21 --enforcementcount 0 &gt;&gt;%USERPROFILE%\Documents\GitHub\eaglep3-reporting\EC\2017-10-19-refined-times.txt</v>
      </c>
      <c r="AI64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{"issue":{"subject":"","project_id":79,"tracker_id":40,"status_id":1,"priority_id":2,"assigned_to_id":338,"start_date":"2017-10-19","description":"","custom_fields":[{"id":1,"name":"Subdivision","value":"EC"},{"id":4,"name":"Milepost","value":"0.0167"},{"id":17,"name":"Train ID","value":"152-19"},{"id":16,"name":"Locomotive ID","value":"4015"},{"id":130,"name":"Impact","value":""},{"id":150,"name":"Time of Event (Mountain Time)","value":"11:37:21"},{"id":151,"name":"Denver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4015 --day 2017-10-19</v>
      </c>
      <c r="AN64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-19T09:50:37-0600',mode:absolute,to:'2017-10-19T12:37:21-0600'))&amp;_a=(columns:!('Message%20ID',Summary),filters:!(),index:'emp_*',interval:auto,query:(query_string:(analyze_wildcard:!t,query:'%22rtdc.l.rtdc.4015%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670</v>
      </c>
      <c r="B65" s="7">
        <v>4008</v>
      </c>
      <c r="C65" s="21" t="s">
        <v>194</v>
      </c>
      <c r="D65" s="21" t="s">
        <v>334</v>
      </c>
      <c r="E65" s="13">
        <v>43027.422777777778</v>
      </c>
      <c r="F65" s="13">
        <v>43027.42728009259</v>
      </c>
      <c r="G65" s="7">
        <v>94</v>
      </c>
      <c r="H65" s="21" t="s">
        <v>529</v>
      </c>
      <c r="I65" s="13">
        <v>43027.452280092592</v>
      </c>
      <c r="J65" s="7">
        <v>0</v>
      </c>
      <c r="K65" s="89" t="str">
        <f t="shared" si="0"/>
        <v>4007/4008</v>
      </c>
      <c r="L65" s="185" t="str">
        <f>VLOOKUP(A65,'Trips&amp;Operators'!$C$1:$G$99911,5,FALSE)</f>
        <v>DAVIS WENDY</v>
      </c>
      <c r="M65" s="6">
        <f t="shared" si="1"/>
        <v>2.5000000001455192E-2</v>
      </c>
      <c r="N65" s="7">
        <f t="shared" si="31"/>
        <v>36.000000002095476</v>
      </c>
      <c r="O65" s="7"/>
      <c r="P65" s="7"/>
      <c r="Q65" s="22"/>
      <c r="R65" s="174"/>
      <c r="S65" s="221">
        <f t="shared" si="32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-19T09:08:48-0600',mode:absolute,to:'2017-10-19T11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5" s="204" t="str">
        <f>IF(AA65&lt;VLOOKUP(AG65,Variables!$AC$3:$AD$8,2,FALSE),"Y","N")</f>
        <v>N</v>
      </c>
      <c r="X65" s="204">
        <f t="shared" si="33"/>
        <v>1</v>
      </c>
      <c r="Y65" s="204">
        <f t="shared" si="34"/>
        <v>4.4600000000000001E-2</v>
      </c>
      <c r="Z65" s="204">
        <f t="shared" si="35"/>
        <v>23.3307</v>
      </c>
      <c r="AA65" s="204">
        <f t="shared" si="9"/>
        <v>23.286100000000001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153</v>
      </c>
      <c r="AE65" s="77" t="str">
        <f t="shared" si="11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65" s="74" t="str">
        <f t="shared" si="12"/>
        <v>"C:\Program Files (x86)\AstroGrep\AstroGrep.exe" /e /r /s /spath="%USERPROFILE%\AppData\Local\Temp\OnboardLogs" /stypes="app*4008*20171019*"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153-19 --locoid 4008 --swversion DE.1.0.9.0 --startMP 204:446 --initTime 2017-10-19T10:08:48 --startdatetime 2017-10-19T10:15:17 --delay 94 --endMP 204:233307 --enddatetime 2017-10-19T10:51:17 --enforcementcount 0 &gt;&gt;%USERPROFILE%\Documents\GitHub\eaglep3-reporting\EC\2017-10-19-refined-times.txt</v>
      </c>
      <c r="AI65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{"issue":{"subject":"","project_id":79,"tracker_id":40,"status_id":1,"priority_id":2,"assigned_to_id":338,"start_date":"2017-10-19","description":"","custom_fields":[{"id":1,"name":"Subdivision","value":"EC"},{"id":4,"name":"Milepost","value":"23.3307"},{"id":17,"name":"Train ID","value":"153-19"},{"id":16,"name":"Locomotive ID","value":"4008"},{"id":130,"name":"Impact","value":""},{"id":150,"name":"Time of Event (Mountain Time)","value":"10:51:17"},{"id":151,"name":"Denver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4008 --day 2017-10-19</v>
      </c>
      <c r="AN65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-19T09:08:48-0600',mode:absolute,to:'2017-10-19T11:51:17-0600'))&amp;_a=(columns:!('Message%20ID',Summary),filters:!(),index:'emp_*',interval:auto,query:(query_string:(analyze_wildcard:!t,query:'%22rtdc.l.rtdc.4008%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680</v>
      </c>
      <c r="B66" s="7">
        <v>4007</v>
      </c>
      <c r="C66" s="21" t="s">
        <v>194</v>
      </c>
      <c r="D66" s="21" t="s">
        <v>839</v>
      </c>
      <c r="E66" s="13">
        <v>43027.456134259257</v>
      </c>
      <c r="F66" s="13">
        <v>43027.466840277775</v>
      </c>
      <c r="G66" s="7">
        <v>89</v>
      </c>
      <c r="H66" s="21" t="s">
        <v>390</v>
      </c>
      <c r="I66" s="13">
        <v>43027.49417824074</v>
      </c>
      <c r="J66" s="7">
        <v>0</v>
      </c>
      <c r="K66" s="89" t="str">
        <f t="shared" si="0"/>
        <v>4007/4008</v>
      </c>
      <c r="L66" s="185" t="str">
        <f>VLOOKUP(A66,'Trips&amp;Operators'!$C$1:$G$99911,5,FALSE)</f>
        <v>DAVIS WENDY</v>
      </c>
      <c r="M66" s="6">
        <f t="shared" si="1"/>
        <v>2.7337962965248153E-2</v>
      </c>
      <c r="N66" s="7">
        <f t="shared" si="31"/>
        <v>39.36666666995734</v>
      </c>
      <c r="O66" s="7"/>
      <c r="P66" s="7"/>
      <c r="Q66" s="22"/>
      <c r="R66" s="174"/>
      <c r="S66" s="221">
        <f t="shared" si="32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-19T09:56:50-0600',mode:absolute,to:'2017-10-19T12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6" s="204" t="str">
        <f>IF(AA66&lt;VLOOKUP(AG66,Variables!$AC$3:$AD$8,2,FALSE),"Y","N")</f>
        <v>N</v>
      </c>
      <c r="X66" s="204">
        <f t="shared" si="33"/>
        <v>1</v>
      </c>
      <c r="Y66" s="204">
        <f t="shared" si="34"/>
        <v>23.296700000000001</v>
      </c>
      <c r="Z66" s="204">
        <f t="shared" si="35"/>
        <v>1.6E-2</v>
      </c>
      <c r="AA66" s="204">
        <f t="shared" si="9"/>
        <v>23.280700000000003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154</v>
      </c>
      <c r="AE66" s="77" t="str">
        <f t="shared" si="11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66" s="74" t="str">
        <f t="shared" si="12"/>
        <v>"C:\Program Files (x86)\AstroGrep\AstroGrep.exe" /e /r /s /spath="%USERPROFILE%\AppData\Local\Temp\OnboardLogs" /stypes="app*4007*20171019*"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154-19 --locoid 4007 --swversion DE.1.0.9.0 --startMP 204:232967 --initTime 2017-10-19T10:56:50 --startdatetime 2017-10-19T11:12:15 --delay 89 --endMP 204:160 --enddatetime 2017-10-19T11:51:37 --enforcementcount 0 &gt;&gt;%USERPROFILE%\Documents\GitHub\eaglep3-reporting\EC\2017-10-19-refined-times.txt</v>
      </c>
      <c r="AI66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{"issue":{"subject":"","project_id":79,"tracker_id":40,"status_id":1,"priority_id":2,"assigned_to_id":338,"start_date":"2017-10-19","description":"","custom_fields":[{"id":1,"name":"Subdivision","value":"EC"},{"id":4,"name":"Milepost","value":"0.016"},{"id":17,"name":"Train ID","value":"154-19"},{"id":16,"name":"Locomotive ID","value":"4007"},{"id":130,"name":"Impact","value":""},{"id":150,"name":"Time of Event (Mountain Time)","value":"11:51:37"},{"id":151,"name":"Denver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4007 --day 2017-10-19</v>
      </c>
      <c r="AN66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-19T09:56:50-0600',mode:absolute,to:'2017-10-19T12:51:37-0600'))&amp;_a=(columns:!('Message%20ID',Summary),filters:!(),index:'emp_*',interval:auto,query:(query_string:(analyze_wildcard:!t,query:'%22rtdc.l.rtdc.4007%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671</v>
      </c>
      <c r="B67" s="7">
        <v>4014</v>
      </c>
      <c r="C67" s="21" t="s">
        <v>194</v>
      </c>
      <c r="D67" s="21" t="s">
        <v>535</v>
      </c>
      <c r="E67" s="13">
        <v>43027.430833333332</v>
      </c>
      <c r="F67" s="13">
        <v>43027.437662037039</v>
      </c>
      <c r="G67" s="7">
        <v>47</v>
      </c>
      <c r="H67" s="21" t="s">
        <v>840</v>
      </c>
      <c r="I67" s="13">
        <v>43027.462268518517</v>
      </c>
      <c r="J67" s="7">
        <v>0</v>
      </c>
      <c r="K67" s="89" t="str">
        <f t="shared" si="0"/>
        <v>4013/4014</v>
      </c>
      <c r="L67" s="185" t="str">
        <f>VLOOKUP(A67,'Trips&amp;Operators'!$C$1:$G$99911,5,FALSE)</f>
        <v>YANAI IAN</v>
      </c>
      <c r="M67" s="6">
        <f t="shared" si="1"/>
        <v>2.4606481478258502E-2</v>
      </c>
      <c r="N67" s="7">
        <f t="shared" si="31"/>
        <v>35.433333328692243</v>
      </c>
      <c r="O67" s="7"/>
      <c r="P67" s="7"/>
      <c r="Q67" s="22"/>
      <c r="R67" s="174"/>
      <c r="S67" s="221">
        <f t="shared" si="32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-19T09:20:24-0600',mode:absolute,to:'2017-10-19T12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204" t="str">
        <f>IF(AA67&lt;VLOOKUP(AG67,Variables!$AC$3:$AD$8,2,FALSE),"Y","N")</f>
        <v>N</v>
      </c>
      <c r="X67" s="204">
        <f t="shared" si="33"/>
        <v>1</v>
      </c>
      <c r="Y67" s="204">
        <f t="shared" si="34"/>
        <v>4.6600000000000003E-2</v>
      </c>
      <c r="Z67" s="204">
        <f t="shared" si="35"/>
        <v>23.331900000000001</v>
      </c>
      <c r="AA67" s="204">
        <f t="shared" si="9"/>
        <v>23.285299999999999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155</v>
      </c>
      <c r="AE67" s="77" t="str">
        <f t="shared" si="11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67" s="74" t="str">
        <f t="shared" si="12"/>
        <v>"C:\Program Files (x86)\AstroGrep\AstroGrep.exe" /e /r /s /spath="%USERPROFILE%\AppData\Local\Temp\OnboardLogs" /stypes="app*4014*20171019*"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155-19 --locoid 4014 --swversion DE.1.0.9.0 --startMP 204:466 --initTime 2017-10-19T10:20:24 --startdatetime 2017-10-19T10:30:14 --delay 47 --endMP 204:233319 --enddatetime 2017-10-19T11:05:40 --enforcementcount 0 &gt;&gt;%USERPROFILE%\Documents\GitHub\eaglep3-reporting\EC\2017-10-19-refined-times.txt</v>
      </c>
      <c r="AI67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{"issue":{"subject":"","project_id":79,"tracker_id":40,"status_id":1,"priority_id":2,"assigned_to_id":338,"start_date":"2017-10-19","description":"","custom_fields":[{"id":1,"name":"Subdivision","value":"EC"},{"id":4,"name":"Milepost","value":"23.3319"},{"id":17,"name":"Train ID","value":"155-19"},{"id":16,"name":"Locomotive ID","value":"4014"},{"id":130,"name":"Impact","value":""},{"id":150,"name":"Time of Event (Mountain Time)","value":"11:05:40"},{"id":151,"name":"Denver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4014 --day 2017-10-19</v>
      </c>
      <c r="AN67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-19T09:20:24-0600',mode:absolute,to:'2017-10-19T12:05:40-0600'))&amp;_a=(columns:!('Message%20ID',Summary),filters:!(),index:'emp_*',interval:auto,query:(query_string:(analyze_wildcard:!t,query:'%22rtdc.l.rtdc.4014%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681</v>
      </c>
      <c r="B68" s="7">
        <v>4013</v>
      </c>
      <c r="C68" s="21" t="s">
        <v>194</v>
      </c>
      <c r="D68" s="21" t="s">
        <v>522</v>
      </c>
      <c r="E68" s="13">
        <v>43027.463321759256</v>
      </c>
      <c r="F68" s="13">
        <v>43027.47724537037</v>
      </c>
      <c r="G68" s="7">
        <v>60</v>
      </c>
      <c r="H68" s="21" t="s">
        <v>424</v>
      </c>
      <c r="I68" s="13">
        <v>43027.502500000002</v>
      </c>
      <c r="J68" s="7">
        <v>0</v>
      </c>
      <c r="K68" s="89" t="str">
        <f t="shared" si="0"/>
        <v>4013/4014</v>
      </c>
      <c r="L68" s="185" t="str">
        <f>VLOOKUP(A68,'Trips&amp;Operators'!$C$1:$G$99911,5,FALSE)</f>
        <v>YANAI IAN</v>
      </c>
      <c r="M68" s="6">
        <f t="shared" si="1"/>
        <v>2.5254629632399883E-2</v>
      </c>
      <c r="N68" s="7">
        <f t="shared" si="31"/>
        <v>36.366666670655832</v>
      </c>
      <c r="O68" s="7"/>
      <c r="P68" s="7"/>
      <c r="Q68" s="22"/>
      <c r="R68" s="174"/>
      <c r="S68" s="221">
        <f t="shared" si="32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-19T10:07:11-0600',mode:absolute,to:'2017-10-19T13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204" t="str">
        <f>IF(AA68&lt;VLOOKUP(AG68,Variables!$AC$3:$AD$8,2,FALSE),"Y","N")</f>
        <v>N</v>
      </c>
      <c r="X68" s="204">
        <f t="shared" si="33"/>
        <v>1</v>
      </c>
      <c r="Y68" s="204">
        <f t="shared" si="34"/>
        <v>23.301300000000001</v>
      </c>
      <c r="Z68" s="204">
        <f t="shared" si="35"/>
        <v>1.3599999999999999E-2</v>
      </c>
      <c r="AA68" s="204">
        <f t="shared" si="9"/>
        <v>23.287700000000001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156</v>
      </c>
      <c r="AE68" s="77" t="str">
        <f t="shared" si="11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68" s="74" t="str">
        <f t="shared" si="12"/>
        <v>"C:\Program Files (x86)\AstroGrep\AstroGrep.exe" /e /r /s /spath="%USERPROFILE%\AppData\Local\Temp\OnboardLogs" /stypes="app*4013*20171019*"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156-19 --locoid 4013 --swversion DE.1.0.9.0 --startMP 204:233013 --initTime 2017-10-19T11:07:11 --startdatetime 2017-10-19T11:27:14 --delay 60 --endMP 204:136 --enddatetime 2017-10-19T12:03:36 --enforcementcount 0 &gt;&gt;%USERPROFILE%\Documents\GitHub\eaglep3-reporting\EC\2017-10-19-refined-times.txt</v>
      </c>
      <c r="AI68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{"issue":{"subject":"","project_id":79,"tracker_id":40,"status_id":1,"priority_id":2,"assigned_to_id":338,"start_date":"2017-10-19","description":"","custom_fields":[{"id":1,"name":"Subdivision","value":"EC"},{"id":4,"name":"Milepost","value":"0.0136"},{"id":17,"name":"Train ID","value":"156-19"},{"id":16,"name":"Locomotive ID","value":"4013"},{"id":130,"name":"Impact","value":""},{"id":150,"name":"Time of Event (Mountain Time)","value":"12:03:36"},{"id":151,"name":"Denver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4013 --day 2017-10-19</v>
      </c>
      <c r="AN68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-19T10:07:11-0600',mode:absolute,to:'2017-10-19T13:03:36-0600'))&amp;_a=(columns:!('Message%20ID',Summary),filters:!(),index:'emp_*',interval:auto,query:(query_string:(analyze_wildcard:!t,query:'%22rtdc.l.rtdc.4013%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674</v>
      </c>
      <c r="B69" s="7">
        <v>4006</v>
      </c>
      <c r="C69" s="21" t="s">
        <v>194</v>
      </c>
      <c r="D69" s="21" t="s">
        <v>367</v>
      </c>
      <c r="E69" s="13">
        <v>43027.443819444445</v>
      </c>
      <c r="F69" s="13">
        <v>43027.448206018518</v>
      </c>
      <c r="G69" s="7">
        <v>74</v>
      </c>
      <c r="H69" s="21" t="s">
        <v>529</v>
      </c>
      <c r="I69" s="13">
        <v>43027.473136574074</v>
      </c>
      <c r="J69" s="7">
        <v>0</v>
      </c>
      <c r="K69" s="89" t="str">
        <f t="shared" si="0"/>
        <v>4005/4006</v>
      </c>
      <c r="L69" s="185" t="str">
        <f>VLOOKUP(A69,'Trips&amp;Operators'!$C$1:$G$99911,5,FALSE)</f>
        <v>BADERTSCHER DIANE</v>
      </c>
      <c r="M69" s="6">
        <f t="shared" si="1"/>
        <v>2.4930555555329192E-2</v>
      </c>
      <c r="N69" s="7">
        <f t="shared" si="31"/>
        <v>35.899999999674037</v>
      </c>
      <c r="O69" s="7"/>
      <c r="P69" s="7"/>
      <c r="Q69" s="22"/>
      <c r="R69" s="174"/>
      <c r="S69" s="221">
        <f t="shared" si="32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-19T09:39:06-0600',mode:absolute,to:'2017-10-19T12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9" s="204" t="str">
        <f>IF(AA69&lt;VLOOKUP(AG69,Variables!$AC$3:$AD$8,2,FALSE),"Y","N")</f>
        <v>N</v>
      </c>
      <c r="X69" s="204">
        <f t="shared" si="33"/>
        <v>1</v>
      </c>
      <c r="Y69" s="204">
        <f t="shared" si="34"/>
        <v>4.5100000000000001E-2</v>
      </c>
      <c r="Z69" s="204">
        <f t="shared" si="35"/>
        <v>23.3307</v>
      </c>
      <c r="AA69" s="204">
        <f t="shared" si="9"/>
        <v>23.285599999999999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157</v>
      </c>
      <c r="AE69" s="77" t="str">
        <f t="shared" si="11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69" s="74" t="str">
        <f t="shared" si="12"/>
        <v>"C:\Program Files (x86)\AstroGrep\AstroGrep.exe" /e /r /s /spath="%USERPROFILE%\AppData\Local\Temp\OnboardLogs" /stypes="app*4006*20171019*"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157-19 --locoid 4006 --swversion DE.1.0.9.0 --startMP 204:451 --initTime 2017-10-19T10:39:06 --startdatetime 2017-10-19T10:45:25 --delay 74 --endMP 204:233307 --enddatetime 2017-10-19T11:21:19 --enforcementcount 0 &gt;&gt;%USERPROFILE%\Documents\GitHub\eaglep3-reporting\EC\2017-10-19-refined-times.txt</v>
      </c>
      <c r="AI69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{"issue":{"subject":"","project_id":79,"tracker_id":40,"status_id":1,"priority_id":2,"assigned_to_id":338,"start_date":"2017-10-19","description":"","custom_fields":[{"id":1,"name":"Subdivision","value":"EC"},{"id":4,"name":"Milepost","value":"23.3307"},{"id":17,"name":"Train ID","value":"157-19"},{"id":16,"name":"Locomotive ID","value":"4006"},{"id":130,"name":"Impact","value":""},{"id":150,"name":"Time of Event (Mountain Time)","value":"11:21:19"},{"id":151,"name":"Denver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4006 --day 2017-10-19</v>
      </c>
      <c r="AN69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-19T09:39:06-0600',mode:absolute,to:'2017-10-19T12:21:19-0600'))&amp;_a=(columns:!('Message%20ID',Summary),filters:!(),index:'emp_*',interval:auto,query:(query_string:(analyze_wildcard:!t,query:'%22rtdc.l.rtdc.4006%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685</v>
      </c>
      <c r="B70" s="7">
        <v>4005</v>
      </c>
      <c r="C70" s="21" t="s">
        <v>194</v>
      </c>
      <c r="D70" s="21" t="s">
        <v>448</v>
      </c>
      <c r="E70" s="13">
        <v>43027.480023148149</v>
      </c>
      <c r="F70" s="13">
        <v>43027.487696759257</v>
      </c>
      <c r="G70" s="7">
        <v>81</v>
      </c>
      <c r="H70" s="21" t="s">
        <v>424</v>
      </c>
      <c r="I70" s="13">
        <v>43027.515127314815</v>
      </c>
      <c r="J70" s="7">
        <v>0</v>
      </c>
      <c r="K70" s="89" t="str">
        <f t="shared" si="0"/>
        <v>4005/4006</v>
      </c>
      <c r="L70" s="185" t="str">
        <f>VLOOKUP(A70,'Trips&amp;Operators'!$C$1:$G$99911,5,FALSE)</f>
        <v>BADERTSCHER DIANE</v>
      </c>
      <c r="M70" s="6">
        <f t="shared" si="1"/>
        <v>2.7430555557657499E-2</v>
      </c>
      <c r="N70" s="7">
        <f t="shared" si="31"/>
        <v>39.500000003026798</v>
      </c>
      <c r="O70" s="7"/>
      <c r="P70" s="7"/>
      <c r="Q70" s="22"/>
      <c r="R70" s="174"/>
      <c r="S70" s="221">
        <f t="shared" si="32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-19T10:31:14-0600',mode:absolute,to:'2017-10-19T13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0" s="204" t="str">
        <f>IF(AA70&lt;VLOOKUP(AG70,Variables!$AC$3:$AD$8,2,FALSE),"Y","N")</f>
        <v>N</v>
      </c>
      <c r="X70" s="204">
        <f t="shared" si="33"/>
        <v>1</v>
      </c>
      <c r="Y70" s="204">
        <f t="shared" si="34"/>
        <v>23.299600000000002</v>
      </c>
      <c r="Z70" s="204">
        <f t="shared" si="35"/>
        <v>1.3599999999999999E-2</v>
      </c>
      <c r="AA70" s="204">
        <f t="shared" si="9"/>
        <v>23.286000000000001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158</v>
      </c>
      <c r="AE70" s="77" t="str">
        <f t="shared" si="11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70" s="74" t="str">
        <f t="shared" si="12"/>
        <v>"C:\Program Files (x86)\AstroGrep\AstroGrep.exe" /e /r /s /spath="%USERPROFILE%\AppData\Local\Temp\OnboardLogs" /stypes="app*4005*20171019*"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158-19 --locoid 4005 --swversion DE.1.0.9.0 --startMP 204:232996 --initTime 2017-10-19T11:31:14 --startdatetime 2017-10-19T11:42:17 --delay 81 --endMP 204:136 --enddatetime 2017-10-19T12:21:47 --enforcementcount 0 &gt;&gt;%USERPROFILE%\Documents\GitHub\eaglep3-reporting\EC\2017-10-19-refined-times.txt</v>
      </c>
      <c r="AI70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{"issue":{"subject":"","project_id":79,"tracker_id":40,"status_id":1,"priority_id":2,"assigned_to_id":338,"start_date":"2017-10-19","description":"","custom_fields":[{"id":1,"name":"Subdivision","value":"EC"},{"id":4,"name":"Milepost","value":"0.0136"},{"id":17,"name":"Train ID","value":"158-19"},{"id":16,"name":"Locomotive ID","value":"4005"},{"id":130,"name":"Impact","value":""},{"id":150,"name":"Time of Event (Mountain Time)","value":"12:21:47"},{"id":151,"name":"Denver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4005 --day 2017-10-19</v>
      </c>
      <c r="AN70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-19T10:31:14-0600',mode:absolute,to:'2017-10-19T13:21:47-0600'))&amp;_a=(columns:!('Message%20ID',Summary),filters:!(),index:'emp_*',interval:auto,query:(query_string:(analyze_wildcard:!t,query:'%22rtdc.l.rtdc.4005%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678</v>
      </c>
      <c r="B71" s="7">
        <v>4066</v>
      </c>
      <c r="C71" s="21" t="s">
        <v>194</v>
      </c>
      <c r="D71" s="21" t="s">
        <v>824</v>
      </c>
      <c r="E71" s="13">
        <v>43027.453576388885</v>
      </c>
      <c r="F71" s="13">
        <v>43027.458773148152</v>
      </c>
      <c r="G71" s="7">
        <v>73</v>
      </c>
      <c r="H71" s="21" t="s">
        <v>835</v>
      </c>
      <c r="I71" s="13">
        <v>43027.48337962963</v>
      </c>
      <c r="J71" s="7">
        <v>0</v>
      </c>
      <c r="K71" s="89" t="str">
        <f t="shared" si="0"/>
        <v>4065/4066</v>
      </c>
      <c r="L71" s="185" t="str">
        <f>VLOOKUP(A71,'Trips&amp;Operators'!$C$1:$G$99911,5,FALSE)</f>
        <v>YANG JAN</v>
      </c>
      <c r="M71" s="6">
        <f t="shared" si="1"/>
        <v>2.4606481478258502E-2</v>
      </c>
      <c r="N71" s="7">
        <f t="shared" si="31"/>
        <v>35.433333328692243</v>
      </c>
      <c r="O71" s="7"/>
      <c r="P71" s="7"/>
      <c r="Q71" s="22"/>
      <c r="R71" s="174"/>
      <c r="S71" s="221">
        <f t="shared" si="32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-19T09:53:09-0600',mode:absolute,to:'2017-10-19T12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1" s="204" t="str">
        <f>IF(AA71&lt;VLOOKUP(AG71,Variables!$AC$3:$AD$8,2,FALSE),"Y","N")</f>
        <v>N</v>
      </c>
      <c r="X71" s="204">
        <f t="shared" si="33"/>
        <v>1</v>
      </c>
      <c r="Y71" s="204">
        <f t="shared" si="34"/>
        <v>4.4900000000000002E-2</v>
      </c>
      <c r="Z71" s="204">
        <f t="shared" si="35"/>
        <v>23.330400000000001</v>
      </c>
      <c r="AA71" s="204">
        <f t="shared" si="9"/>
        <v>23.285500000000003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159</v>
      </c>
      <c r="AE71" s="77" t="str">
        <f t="shared" si="11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71" s="74" t="str">
        <f t="shared" si="12"/>
        <v>"C:\Program Files (x86)\AstroGrep\AstroGrep.exe" /e /r /s /spath="%USERPROFILE%\AppData\Local\Temp\OnboardLogs" /stypes="app*4066*20171019*"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159-19 --locoid 4066 --swversion DE.1.0.9.0 --startMP 204:449 --initTime 2017-10-19T10:53:09 --startdatetime 2017-10-19T11:00:38 --delay 73 --endMP 204:233304 --enddatetime 2017-10-19T11:36:04 --enforcementcount 0 &gt;&gt;%USERPROFILE%\Documents\GitHub\eaglep3-reporting\EC\2017-10-19-refined-times.txt</v>
      </c>
      <c r="AI71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{"issue":{"subject":"","project_id":79,"tracker_id":40,"status_id":1,"priority_id":2,"assigned_to_id":338,"start_date":"2017-10-19","description":"","custom_fields":[{"id":1,"name":"Subdivision","value":"EC"},{"id":4,"name":"Milepost","value":"23.3304"},{"id":17,"name":"Train ID","value":"159-19"},{"id":16,"name":"Locomotive ID","value":"4066"},{"id":130,"name":"Impact","value":""},{"id":150,"name":"Time of Event (Mountain Time)","value":"11:36:04"},{"id":151,"name":"Denver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4066 --day 2017-10-19</v>
      </c>
      <c r="AN71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-19T09:53:09-0600',mode:absolute,to:'2017-10-19T12:36:04-0600'))&amp;_a=(columns:!('Message%20ID',Summary),filters:!(),index:'emp_*',interval:auto,query:(query_string:(analyze_wildcard:!t,query:'%22rtdc.l.rtdc.4066%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687</v>
      </c>
      <c r="B72" s="7">
        <v>4065</v>
      </c>
      <c r="C72" s="21" t="s">
        <v>194</v>
      </c>
      <c r="D72" s="21" t="s">
        <v>448</v>
      </c>
      <c r="E72" s="13">
        <v>43027.491064814814</v>
      </c>
      <c r="F72" s="13">
        <v>43027.498113425929</v>
      </c>
      <c r="G72" s="7">
        <v>97</v>
      </c>
      <c r="H72" s="21" t="s">
        <v>426</v>
      </c>
      <c r="I72" s="13">
        <v>43027.524537037039</v>
      </c>
      <c r="J72" s="7">
        <v>0</v>
      </c>
      <c r="K72" s="89" t="str">
        <f t="shared" si="0"/>
        <v>4065/4066</v>
      </c>
      <c r="L72" s="185" t="str">
        <f>VLOOKUP(A72,'Trips&amp;Operators'!$C$1:$G$99911,5,FALSE)</f>
        <v>YANG JAN</v>
      </c>
      <c r="M72" s="6">
        <f t="shared" si="1"/>
        <v>2.6423611110658385E-2</v>
      </c>
      <c r="N72" s="7">
        <f t="shared" si="31"/>
        <v>38.049999999348074</v>
      </c>
      <c r="O72" s="7"/>
      <c r="P72" s="7"/>
      <c r="Q72" s="22"/>
      <c r="R72" s="174"/>
      <c r="S72" s="221">
        <f t="shared" si="32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-19T10:47:08-0600',mode:absolute,to:'2017-10-19T13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2" s="204" t="str">
        <f>IF(AA72&lt;VLOOKUP(AG72,Variables!$AC$3:$AD$8,2,FALSE),"Y","N")</f>
        <v>N</v>
      </c>
      <c r="X72" s="204">
        <f t="shared" si="33"/>
        <v>1</v>
      </c>
      <c r="Y72" s="204">
        <f t="shared" si="34"/>
        <v>23.299600000000002</v>
      </c>
      <c r="Z72" s="204">
        <f t="shared" si="35"/>
        <v>1.41E-2</v>
      </c>
      <c r="AA72" s="204">
        <f t="shared" si="9"/>
        <v>23.285500000000003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160</v>
      </c>
      <c r="AE72" s="77" t="str">
        <f t="shared" si="11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72" s="74" t="str">
        <f t="shared" si="12"/>
        <v>"C:\Program Files (x86)\AstroGrep\AstroGrep.exe" /e /r /s /spath="%USERPROFILE%\AppData\Local\Temp\OnboardLogs" /stypes="app*4065*20171019*"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160-19 --locoid 4065 --swversion DE.1.0.9.0 --startMP 204:232996 --initTime 2017-10-19T11:47:08 --startdatetime 2017-10-19T11:57:17 --delay 97 --endMP 204:141 --enddatetime 2017-10-19T12:35:20 --enforcementcount 0 &gt;&gt;%USERPROFILE%\Documents\GitHub\eaglep3-reporting\EC\2017-10-19-refined-times.txt</v>
      </c>
      <c r="AI72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{"issue":{"subject":"","project_id":79,"tracker_id":40,"status_id":1,"priority_id":2,"assigned_to_id":338,"start_date":"2017-10-19","description":"","custom_fields":[{"id":1,"name":"Subdivision","value":"EC"},{"id":4,"name":"Milepost","value":"0.0141"},{"id":17,"name":"Train ID","value":"160-19"},{"id":16,"name":"Locomotive ID","value":"4065"},{"id":130,"name":"Impact","value":""},{"id":150,"name":"Time of Event (Mountain Time)","value":"12:35:20"},{"id":151,"name":"Denver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4065 --day 2017-10-19</v>
      </c>
      <c r="AN72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-19T10:47:08-0600',mode:absolute,to:'2017-10-19T13:35:20-0600'))&amp;_a=(columns:!('Message%20ID',Summary),filters:!(),index:'emp_*',interval:auto,query:(query_string:(analyze_wildcard:!t,query:'%22rtdc.l.rtdc.4065%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682</v>
      </c>
      <c r="B73" s="7">
        <v>4058</v>
      </c>
      <c r="C73" s="21" t="s">
        <v>194</v>
      </c>
      <c r="D73" s="21" t="s">
        <v>408</v>
      </c>
      <c r="E73" s="13">
        <v>43027.465949074074</v>
      </c>
      <c r="F73" s="13">
        <v>43027.468912037039</v>
      </c>
      <c r="G73" s="7">
        <v>110</v>
      </c>
      <c r="H73" s="21" t="s">
        <v>384</v>
      </c>
      <c r="I73" s="13">
        <v>43027.493310185186</v>
      </c>
      <c r="J73" s="7">
        <v>0</v>
      </c>
      <c r="K73" s="89" t="str">
        <f t="shared" si="0"/>
        <v>4057/4058</v>
      </c>
      <c r="L73" s="185" t="str">
        <f>VLOOKUP(A73,'Trips&amp;Operators'!$C$1:$G$99911,5,FALSE)</f>
        <v>BRUDER RICHARD</v>
      </c>
      <c r="M73" s="6">
        <f t="shared" si="1"/>
        <v>2.4398148147156462E-2</v>
      </c>
      <c r="N73" s="7">
        <f t="shared" si="31"/>
        <v>35.133333331905305</v>
      </c>
      <c r="O73" s="7"/>
      <c r="P73" s="7"/>
      <c r="Q73" s="22"/>
      <c r="R73" s="174"/>
      <c r="S73" s="221">
        <f t="shared" si="32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-19T10:10:58-0600',mode:absolute,to:'2017-10-19T12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3" s="204" t="str">
        <f>IF(AA73&lt;VLOOKUP(AG73,Variables!$AC$3:$AD$8,2,FALSE),"Y","N")</f>
        <v>N</v>
      </c>
      <c r="X73" s="204">
        <f t="shared" si="33"/>
        <v>1</v>
      </c>
      <c r="Y73" s="204">
        <f t="shared" si="34"/>
        <v>4.4200000000000003E-2</v>
      </c>
      <c r="Z73" s="204">
        <f t="shared" si="35"/>
        <v>23.3291</v>
      </c>
      <c r="AA73" s="204">
        <f t="shared" si="9"/>
        <v>23.2849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161</v>
      </c>
      <c r="AE73" s="77" t="str">
        <f t="shared" si="11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73" s="74" t="str">
        <f t="shared" si="12"/>
        <v>"C:\Program Files (x86)\AstroGrep\AstroGrep.exe" /e /r /s /spath="%USERPROFILE%\AppData\Local\Temp\OnboardLogs" /stypes="app*4058*20171019*"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161-19 --locoid 4058 --swversion DE.1.0.9.0 --startMP 204:442 --initTime 2017-10-19T11:10:58 --startdatetime 2017-10-19T11:15:14 --delay 110 --endMP 204:233291 --enddatetime 2017-10-19T11:50:22 --enforcementcount 0 &gt;&gt;%USERPROFILE%\Documents\GitHub\eaglep3-reporting\EC\2017-10-19-refined-times.txt</v>
      </c>
      <c r="AI73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{"issue":{"subject":"","project_id":79,"tracker_id":40,"status_id":1,"priority_id":2,"assigned_to_id":338,"start_date":"2017-10-19","description":"","custom_fields":[{"id":1,"name":"Subdivision","value":"EC"},{"id":4,"name":"Milepost","value":"23.3291"},{"id":17,"name":"Train ID","value":"161-19"},{"id":16,"name":"Locomotive ID","value":"4058"},{"id":130,"name":"Impact","value":""},{"id":150,"name":"Time of Event (Mountain Time)","value":"11:50:22"},{"id":151,"name":"Denver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4058 --day 2017-10-19</v>
      </c>
      <c r="AN73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-19T10:10:58-0600',mode:absolute,to:'2017-10-19T12:50:22-0600'))&amp;_a=(columns:!('Message%20ID',Summary),filters:!(),index:'emp_*',interval:auto,query:(query_string:(analyze_wildcard:!t,query:'%22rtdc.l.rtdc.4058%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694</v>
      </c>
      <c r="B74" s="7">
        <v>4057</v>
      </c>
      <c r="C74" s="21" t="s">
        <v>194</v>
      </c>
      <c r="D74" s="21" t="s">
        <v>457</v>
      </c>
      <c r="E74" s="13">
        <v>43027.50545138889</v>
      </c>
      <c r="F74" s="13">
        <v>43027.50849537037</v>
      </c>
      <c r="G74" s="7">
        <v>104</v>
      </c>
      <c r="H74" s="21" t="s">
        <v>339</v>
      </c>
      <c r="I74" s="13">
        <v>43027.534456018519</v>
      </c>
      <c r="J74" s="7">
        <v>0</v>
      </c>
      <c r="K74" s="89" t="str">
        <f t="shared" si="0"/>
        <v>4057/4058</v>
      </c>
      <c r="L74" s="185" t="str">
        <f>VLOOKUP(A74,'Trips&amp;Operators'!$C$1:$G$99911,5,FALSE)</f>
        <v>BRUDER RICHARD</v>
      </c>
      <c r="M74" s="6">
        <f t="shared" si="1"/>
        <v>2.5960648148611654E-2</v>
      </c>
      <c r="N74" s="7">
        <f t="shared" si="31"/>
        <v>37.383333334000781</v>
      </c>
      <c r="O74" s="7"/>
      <c r="P74" s="7"/>
      <c r="Q74" s="22"/>
      <c r="R74" s="174"/>
      <c r="S74" s="221">
        <f t="shared" si="32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-19T11:07:51-0600',mode:absolute,to:'2017-10-19T13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4" s="204" t="str">
        <f>IF(AA74&lt;VLOOKUP(AG74,Variables!$AC$3:$AD$8,2,FALSE),"Y","N")</f>
        <v>N</v>
      </c>
      <c r="X74" s="204">
        <f t="shared" si="33"/>
        <v>1</v>
      </c>
      <c r="Y74" s="204">
        <f t="shared" si="34"/>
        <v>23.297999999999998</v>
      </c>
      <c r="Z74" s="204">
        <f t="shared" si="35"/>
        <v>1.47E-2</v>
      </c>
      <c r="AA74" s="204">
        <f t="shared" si="9"/>
        <v>23.283299999999997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162</v>
      </c>
      <c r="AE74" s="77" t="str">
        <f t="shared" si="11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74" s="74" t="str">
        <f t="shared" si="12"/>
        <v>"C:\Program Files (x86)\AstroGrep\AstroGrep.exe" /e /r /s /spath="%USERPROFILE%\AppData\Local\Temp\OnboardLogs" /stypes="app*4057*20171019*"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162-19 --locoid 4057 --swversion DE.1.0.9.0 --startMP 204:232980 --initTime 2017-10-19T12:07:51 --startdatetime 2017-10-19T12:12:14 --delay 104 --endMP 204:147 --enddatetime 2017-10-19T12:49:37 --enforcementcount 0 &gt;&gt;%USERPROFILE%\Documents\GitHub\eaglep3-reporting\EC\2017-10-19-refined-times.txt</v>
      </c>
      <c r="AI74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{"issue":{"subject":"","project_id":79,"tracker_id":40,"status_id":1,"priority_id":2,"assigned_to_id":338,"start_date":"2017-10-19","description":"","custom_fields":[{"id":1,"name":"Subdivision","value":"EC"},{"id":4,"name":"Milepost","value":"0.0147"},{"id":17,"name":"Train ID","value":"162-19"},{"id":16,"name":"Locomotive ID","value":"4057"},{"id":130,"name":"Impact","value":""},{"id":150,"name":"Time of Event (Mountain Time)","value":"12:49:37"},{"id":151,"name":"Denver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4057 --day 2017-10-19</v>
      </c>
      <c r="AN74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-19T11:07:51-0600',mode:absolute,to:'2017-10-19T13:49:37-0600'))&amp;_a=(columns:!('Message%20ID',Summary),filters:!(),index:'emp_*',interval:auto,query:(query_string:(analyze_wildcard:!t,query:'%22rtdc.l.rtdc.4057%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683</v>
      </c>
      <c r="B75" s="7">
        <v>4018</v>
      </c>
      <c r="C75" s="21" t="s">
        <v>194</v>
      </c>
      <c r="D75" s="21" t="s">
        <v>421</v>
      </c>
      <c r="E75" s="13">
        <v>43027.475462962961</v>
      </c>
      <c r="F75" s="13">
        <v>43027.479560185187</v>
      </c>
      <c r="G75" s="7">
        <v>82</v>
      </c>
      <c r="H75" s="21" t="s">
        <v>841</v>
      </c>
      <c r="I75" s="13">
        <v>43027.50440972222</v>
      </c>
      <c r="J75" s="7">
        <v>0</v>
      </c>
      <c r="K75" s="89" t="str">
        <f t="shared" si="0"/>
        <v>4017/4018</v>
      </c>
      <c r="L75" s="185" t="str">
        <f>VLOOKUP(A75,'Trips&amp;Operators'!$C$1:$G$99911,5,FALSE)</f>
        <v>STEWART MICHAEL</v>
      </c>
      <c r="M75" s="6">
        <f t="shared" si="1"/>
        <v>2.4849537032423541E-2</v>
      </c>
      <c r="N75" s="7">
        <f t="shared" si="31"/>
        <v>35.783333326689899</v>
      </c>
      <c r="O75" s="7"/>
      <c r="P75" s="7"/>
      <c r="Q75" s="22"/>
      <c r="R75" s="174"/>
      <c r="S75" s="221">
        <f t="shared" si="32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-19T10:24:40-0600',mode:absolute,to:'2017-10-19T13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04" t="str">
        <f>IF(AA75&lt;VLOOKUP(AG75,Variables!$AC$3:$AD$8,2,FALSE),"Y","N")</f>
        <v>N</v>
      </c>
      <c r="X75" s="204">
        <f t="shared" si="33"/>
        <v>1</v>
      </c>
      <c r="Y75" s="204">
        <f t="shared" si="34"/>
        <v>4.4400000000000002E-2</v>
      </c>
      <c r="Z75" s="204">
        <f t="shared" si="35"/>
        <v>23.328099999999999</v>
      </c>
      <c r="AA75" s="204">
        <f t="shared" si="9"/>
        <v>23.2837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163</v>
      </c>
      <c r="AE75" s="77" t="str">
        <f t="shared" si="11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75" s="74" t="str">
        <f t="shared" si="12"/>
        <v>"C:\Program Files (x86)\AstroGrep\AstroGrep.exe" /e /r /s /spath="%USERPROFILE%\AppData\Local\Temp\OnboardLogs" /stypes="app*4018*20171019*"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163-19 --locoid 4018 --swversion DE.1.0.9.0 --startMP 204:444 --initTime 2017-10-19T11:24:40 --startdatetime 2017-10-19T11:30:34 --delay 82 --endMP 204:233281 --enddatetime 2017-10-19T12:06:21 --enforcementcount 0 &gt;&gt;%USERPROFILE%\Documents\GitHub\eaglep3-reporting\EC\2017-10-19-refined-times.txt</v>
      </c>
      <c r="AI75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{"issue":{"subject":"","project_id":79,"tracker_id":40,"status_id":1,"priority_id":2,"assigned_to_id":338,"start_date":"2017-10-19","description":"","custom_fields":[{"id":1,"name":"Subdivision","value":"EC"},{"id":4,"name":"Milepost","value":"23.3281"},{"id":17,"name":"Train ID","value":"163-19"},{"id":16,"name":"Locomotive ID","value":"4018"},{"id":130,"name":"Impact","value":""},{"id":150,"name":"Time of Event (Mountain Time)","value":"12:06:21"},{"id":151,"name":"Denver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4018 --day 2017-10-19</v>
      </c>
      <c r="AN75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-19T10:24:40-0600',mode:absolute,to:'2017-10-19T13:06:21-0600'))&amp;_a=(columns:!('Message%20ID',Summary),filters:!(),index:'emp_*',interval:auto,query:(query_string:(analyze_wildcard:!t,query:'%22rtdc.l.rtdc.4018%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582</v>
      </c>
      <c r="B76" s="7">
        <v>4017</v>
      </c>
      <c r="C76" s="21" t="s">
        <v>194</v>
      </c>
      <c r="D76" s="21" t="s">
        <v>842</v>
      </c>
      <c r="E76" s="13">
        <v>43027.515046296299</v>
      </c>
      <c r="F76" s="13">
        <v>43027.519097222219</v>
      </c>
      <c r="G76" s="7">
        <v>76</v>
      </c>
      <c r="H76" s="21" t="s">
        <v>335</v>
      </c>
      <c r="I76" s="13">
        <v>43027.545937499999</v>
      </c>
      <c r="J76" s="7">
        <v>0</v>
      </c>
      <c r="K76" s="89" t="str">
        <f t="shared" si="0"/>
        <v>4017/4018</v>
      </c>
      <c r="L76" s="185" t="str">
        <f>VLOOKUP(A76,'Trips&amp;Operators'!$C$1:$G$99911,5,FALSE)</f>
        <v>STEWART MICHAEL</v>
      </c>
      <c r="M76" s="6">
        <f t="shared" si="1"/>
        <v>2.6840277780138422E-2</v>
      </c>
      <c r="N76" s="7">
        <f t="shared" si="31"/>
        <v>38.650000003399327</v>
      </c>
      <c r="O76" s="7"/>
      <c r="P76" s="7"/>
      <c r="Q76" s="22"/>
      <c r="R76" s="174"/>
      <c r="S76" s="221">
        <f t="shared" si="32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-19T11:21:40-0600',mode:absolute,to:'2017-10-19T14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04" t="str">
        <f>IF(AA76&lt;VLOOKUP(AG76,Variables!$AC$3:$AD$8,2,FALSE),"Y","N")</f>
        <v>N</v>
      </c>
      <c r="X76" s="204">
        <f t="shared" si="33"/>
        <v>1</v>
      </c>
      <c r="Y76" s="204">
        <f t="shared" si="34"/>
        <v>23.297000000000001</v>
      </c>
      <c r="Z76" s="204">
        <f t="shared" si="35"/>
        <v>1.4999999999999999E-2</v>
      </c>
      <c r="AA76" s="204">
        <f t="shared" si="9"/>
        <v>23.282</v>
      </c>
      <c r="AB76" s="54" t="str">
        <f>VLOOKUP(A76,Enforcements!$C$7:$K$11,8,0)</f>
        <v>Bulletin (2)</v>
      </c>
      <c r="AC76" s="51" t="str">
        <f>VLOOKUP(A76,Enforcements!$C$7:$E$11,3,0)</f>
        <v>GRADE CROSSING</v>
      </c>
      <c r="AD76" s="179">
        <f t="shared" si="10"/>
        <v>164</v>
      </c>
      <c r="AE76" s="77" t="str">
        <f t="shared" si="11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76" s="74" t="str">
        <f t="shared" si="12"/>
        <v>"C:\Program Files (x86)\AstroGrep\AstroGrep.exe" /e /r /s /spath="%USERPROFILE%\AppData\Local\Temp\OnboardLogs" /stypes="app*4017*20171019*"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164-19 --locoid 4017 --swversion DE.1.0.9.0 --startMP 204:232970 --initTime 2017-10-19T12:21:40 --startdatetime 2017-10-19T12:27:30 --delay 76 --endMP 204:150 --enddatetime 2017-10-19T13:06:09 --enforcementcount 0 &gt;&gt;%USERPROFILE%\Documents\GitHub\eaglep3-reporting\EC\2017-10-19-refined-times.txt</v>
      </c>
      <c r="AI76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{"issue":{"subject":"","project_id":79,"tracker_id":40,"status_id":1,"priority_id":2,"assigned_to_id":338,"start_date":"2017-10-19","description":"","custom_fields":[{"id":1,"name":"Subdivision","value":"EC"},{"id":4,"name":"Milepost","value":"0.015"},{"id":17,"name":"Train ID","value":"164-19"},{"id":16,"name":"Locomotive ID","value":"4017"},{"id":130,"name":"Impact","value":""},{"id":150,"name":"Time of Event (Mountain Time)","value":"13:06:09"},{"id":151,"name":"Denver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4017 --day 2017-10-19</v>
      </c>
      <c r="AN76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-19T11:21:40-0600',mode:absolute,to:'2017-10-19T14:06:09-0600'))&amp;_a=(columns:!('Message%20ID',Summary),filters:!(),index:'emp_*',interval:auto,query:(query_string:(analyze_wildcard:!t,query:'%22rtdc.l.rtdc.4017%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686</v>
      </c>
      <c r="B77" s="7">
        <v>4016</v>
      </c>
      <c r="C77" s="21" t="s">
        <v>194</v>
      </c>
      <c r="D77" s="21" t="s">
        <v>843</v>
      </c>
      <c r="E77" s="13">
        <v>43027.486261574071</v>
      </c>
      <c r="F77" s="13">
        <v>43027.489814814813</v>
      </c>
      <c r="G77" s="7">
        <v>117</v>
      </c>
      <c r="H77" s="21" t="s">
        <v>844</v>
      </c>
      <c r="I77" s="13">
        <v>43027.513981481483</v>
      </c>
      <c r="J77" s="7">
        <v>0</v>
      </c>
      <c r="K77" s="89" t="str">
        <f t="shared" ref="K77:K140" si="36">IF(ISEVEN(B77),(B77-1)&amp;"/"&amp;B77,B77&amp;"/"&amp;(B77+1))</f>
        <v>4015/4016</v>
      </c>
      <c r="L77" s="185" t="str">
        <f>VLOOKUP(A77,'Trips&amp;Operators'!$C$1:$G$99911,5,FALSE)</f>
        <v>LEVIN SCOTT</v>
      </c>
      <c r="M77" s="6">
        <f t="shared" ref="M77:M140" si="37">I77-F77</f>
        <v>2.4166666669771075E-2</v>
      </c>
      <c r="N77" s="7">
        <f t="shared" ref="N77:N112" si="38">24*60*SUM($M77:$M77)</f>
        <v>34.800000004470348</v>
      </c>
      <c r="O77" s="7"/>
      <c r="P77" s="7"/>
      <c r="Q77" s="22"/>
      <c r="R77" s="174"/>
      <c r="S77" s="221">
        <f t="shared" ref="S77:S112" si="39">1/IF(AG77="EC",12,1)*SUM(U77:U77)</f>
        <v>1</v>
      </c>
      <c r="T77" s="174" t="str">
        <f t="shared" ref="T77:T140" si="40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-19T10:40:13-0600',mode:absolute,to:'2017-10-19T13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204" t="str">
        <f>IF(AA77&lt;VLOOKUP(AG77,Variables!$AC$3:$AD$8,2,FALSE),"Y","N")</f>
        <v>N</v>
      </c>
      <c r="X77" s="204">
        <f t="shared" ref="X77:X108" si="42">VALUE(LEFT(AD77,4))-VALUE(LEFT(AD76,4))</f>
        <v>1</v>
      </c>
      <c r="Y77" s="204">
        <f t="shared" si="34"/>
        <v>4.7699999999999999E-2</v>
      </c>
      <c r="Z77" s="204">
        <f t="shared" si="35"/>
        <v>23.336200000000002</v>
      </c>
      <c r="AA77" s="204">
        <f t="shared" ref="AA77:AA140" si="43">ABS(Z77-Y77)</f>
        <v>23.288500000000003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4">VALUE(LEFT(A77,LEN(A77)-3))</f>
        <v>165</v>
      </c>
      <c r="AE77" s="77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77" s="74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/stypes="app*4016*20171019*"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7">DetSubdiv(A77)</f>
        <v>EC</v>
      </c>
      <c r="AH77" s="78" t="str">
        <f t="shared" si="19"/>
        <v>"%USERPROFILE%\Documents\GitHub\eaglep3\Utilities\RefineRTDCRunTimes.py" --tripid 165-19 --locoid 4016 --swversion DE.1.0.9.0 --startMP 204:477 --initTime 2017-10-19T11:40:13 --startdatetime 2017-10-19T11:45:20 --delay 117 --endMP 204:233362 --enddatetime 2017-10-19T12:20:08 --enforcementcount 0 &gt;&gt;%USERPROFILE%\Documents\GitHub\eaglep3-reporting\EC\2017-10-19-refined-times.txt</v>
      </c>
      <c r="AI77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{"issue":{"subject":"","project_id":79,"tracker_id":40,"status_id":1,"priority_id":2,"assigned_to_id":338,"start_date":"2017-10-19","description":"","custom_fields":[{"id":1,"name":"Subdivision","value":"EC"},{"id":4,"name":"Milepost","value":"23.3362"},{"id":17,"name":"Train ID","value":"165-19"},{"id":16,"name":"Locomotive ID","value":"4016"},{"id":130,"name":"Impact","value":""},{"id":150,"name":"Time of Event (Mountain Time)","value":"12:20:08"},{"id":151,"name":"Denver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4016 --day 2017-10-19</v>
      </c>
      <c r="AN77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-10-19T10:40:13-0600',mode:absolute,to:'2017-10-19T13:20:08-0600'))&amp;_a=(columns:!('Message%20ID',Summary),filters:!(),index:'emp_*',interval:auto,query:(query_string:(analyze_wildcard:!t,query:'%22rtdc.l.rtdc.4016%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698</v>
      </c>
      <c r="B78" s="7">
        <v>4015</v>
      </c>
      <c r="C78" s="21" t="s">
        <v>194</v>
      </c>
      <c r="D78" s="21" t="s">
        <v>845</v>
      </c>
      <c r="E78" s="13">
        <v>43027.521979166668</v>
      </c>
      <c r="F78" s="13">
        <v>43027.529363425929</v>
      </c>
      <c r="G78" s="7">
        <v>78</v>
      </c>
      <c r="H78" s="21" t="s">
        <v>357</v>
      </c>
      <c r="I78" s="13">
        <v>43027.555474537039</v>
      </c>
      <c r="J78" s="7">
        <v>0</v>
      </c>
      <c r="K78" s="89" t="str">
        <f t="shared" si="36"/>
        <v>4015/4016</v>
      </c>
      <c r="L78" s="185" t="str">
        <f>VLOOKUP(A78,'Trips&amp;Operators'!$C$1:$G$99911,5,FALSE)</f>
        <v>LEVIN SCOTT</v>
      </c>
      <c r="M78" s="6">
        <f t="shared" si="37"/>
        <v>2.6111111110367347E-2</v>
      </c>
      <c r="N78" s="7">
        <f t="shared" si="38"/>
        <v>37.599999998928979</v>
      </c>
      <c r="O78" s="7"/>
      <c r="P78" s="7"/>
      <c r="Q78" s="22"/>
      <c r="R78" s="174"/>
      <c r="S78" s="221">
        <f t="shared" si="39"/>
        <v>1</v>
      </c>
      <c r="T78" s="174" t="str">
        <f t="shared" si="40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1"/>
        <v>https://d0f6bd738d7f1b3e5a7ca70fe4ff75f0.us-east-1.aws.found.io/app/kibana#/discover/Steve-Slow-Train-Analysis-(2080s-and-2083s)?_g=(refreshInterval:(display:Off,pause:!f,section:0,value:0),time:(from:'2017-10-19T11:31:39-0600',mode:absolute,to:'2017-10-19T14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204" t="str">
        <f>IF(AA78&lt;VLOOKUP(AG78,Variables!$AC$3:$AD$8,2,FALSE),"Y","N")</f>
        <v>N</v>
      </c>
      <c r="X78" s="204">
        <f t="shared" si="42"/>
        <v>1</v>
      </c>
      <c r="Y78" s="204">
        <f t="shared" si="34"/>
        <v>23.3017</v>
      </c>
      <c r="Z78" s="204">
        <f t="shared" si="35"/>
        <v>1.5599999999999999E-2</v>
      </c>
      <c r="AA78" s="204">
        <f t="shared" si="43"/>
        <v>23.286100000000001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4"/>
        <v>166</v>
      </c>
      <c r="AE78" s="77" t="str">
        <f t="shared" si="45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78" s="74" t="str">
        <f t="shared" si="46"/>
        <v>"C:\Program Files (x86)\AstroGrep\AstroGrep.exe" /e /r /s /spath="%USERPROFILE%\AppData\Local\Temp\OnboardLogs" /stypes="app*4015*20171019*" /stext=" 19:.+((SYSTEM_STATE.+slice.+state.+changed )|(ment ac)|(multiple cpu faults)|(system.+state.+changed )|(\[timeout)|(PRM\|1\|D)|(kpr)|(kdp)|(train st.+moving)|(\|lc)|(penalty))"</v>
      </c>
      <c r="AG78" s="182" t="str">
        <f t="shared" si="47"/>
        <v>EC</v>
      </c>
      <c r="AH78" s="78" t="str">
        <f t="shared" si="19"/>
        <v>"%USERPROFILE%\Documents\GitHub\eaglep3\Utilities\RefineRTDCRunTimes.py" --tripid 166-19 --locoid 4015 --swversion DE.1.0.9.0 --startMP 204:233017 --initTime 2017-10-19T12:31:39 --startdatetime 2017-10-19T12:42:17 --delay 78 --endMP 204:156 --enddatetime 2017-10-19T13:19:53 --enforcementcount 0 &gt;&gt;%USERPROFILE%\Documents\GitHub\eaglep3-reporting\EC\2017-10-19-refined-times.txt</v>
      </c>
      <c r="AI78" s="96" t="str">
        <f t="shared" si="20"/>
        <v>echo {"issue":{"subject":"","project_id":79,"tracker_id":40,"status_id":1,"priority_id":2,"assigned_to_id":338,"start_date":"2017-10-19","description":"","custom_fields":[{"id":1,"name":"Subdivision","value":"EC"},{"id":4,"name":"Milepost","value":"0.0156"},{"id":17,"name":"Train ID","value":"166-19"},{"id":16,"name":"Locomotive ID","value":"4015"},{"id":130,"name":"Impact","value":""},{"id":150,"name":"Time of Event (Mountain Time)","value":"13:19:53"},{"id":151,"name":"Denver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21"/>
        <v>start /low /b %USERPROFILE%\Documents\GitHub\eaglep3\Utilities\DownloadLogsFromS3.py --loco 4015 --day 2017-10-19</v>
      </c>
      <c r="AN78" s="151" t="str">
        <f t="shared" si="22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23"/>
        <v>https://d0f6bd738d7f1b3e5a7ca70fe4ff75f0.us-east-1.aws.found.io/app/kibana#/discover/Steve-Slow-Train-Analysis-(2080s-and-2083s)?_g=(refreshInterval:(display:Off,pause:!f,section:0,value:0),time:(from:'2017-10-19T11:31:39-0600',mode:absolute,to:'2017-10-19T14:19:53-0600'))&amp;_a=(columns:!('Message%20ID',Summary),filters:!(),index:'emp_*',interval:auto,query:(query_string:(analyze_wildcard:!t,query:'%22rtdc.l.rtdc.4015%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690</v>
      </c>
      <c r="B79" s="7">
        <v>4008</v>
      </c>
      <c r="C79" s="21" t="s">
        <v>194</v>
      </c>
      <c r="D79" s="21" t="s">
        <v>385</v>
      </c>
      <c r="E79" s="13">
        <v>43027.496053240742</v>
      </c>
      <c r="F79" s="13">
        <v>43027.500185185185</v>
      </c>
      <c r="G79" s="7">
        <v>130</v>
      </c>
      <c r="H79" s="21" t="s">
        <v>397</v>
      </c>
      <c r="I79" s="13">
        <v>43027.525335648148</v>
      </c>
      <c r="J79" s="7">
        <v>0</v>
      </c>
      <c r="K79" s="89" t="str">
        <f t="shared" si="36"/>
        <v>4007/4008</v>
      </c>
      <c r="L79" s="185" t="str">
        <f>VLOOKUP(A79,'Trips&amp;Operators'!$C$1:$G$99911,5,FALSE)</f>
        <v>BERLING GARY</v>
      </c>
      <c r="M79" s="6">
        <f t="shared" si="37"/>
        <v>2.5150462963210884E-2</v>
      </c>
      <c r="N79" s="7">
        <f t="shared" si="38"/>
        <v>36.216666667023674</v>
      </c>
      <c r="O79" s="7"/>
      <c r="P79" s="7"/>
      <c r="Q79" s="22"/>
      <c r="R79" s="174"/>
      <c r="S79" s="221">
        <f t="shared" si="39"/>
        <v>1</v>
      </c>
      <c r="T79" s="174" t="str">
        <f t="shared" si="40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1"/>
        <v>https://d0f6bd738d7f1b3e5a7ca70fe4ff75f0.us-east-1.aws.found.io/app/kibana#/discover/Steve-Slow-Train-Analysis-(2080s-and-2083s)?_g=(refreshInterval:(display:Off,pause:!f,section:0,value:0),time:(from:'2017-10-19T10:54:19-0600',mode:absolute,to:'2017-10-19T13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9" s="204" t="str">
        <f>IF(AA79&lt;VLOOKUP(AG79,Variables!$AC$3:$AD$8,2,FALSE),"Y","N")</f>
        <v>N</v>
      </c>
      <c r="X79" s="204">
        <f t="shared" si="42"/>
        <v>1</v>
      </c>
      <c r="Y79" s="204">
        <f t="shared" si="34"/>
        <v>4.6699999999999998E-2</v>
      </c>
      <c r="Z79" s="204">
        <f t="shared" si="35"/>
        <v>23.331399999999999</v>
      </c>
      <c r="AA79" s="204">
        <f t="shared" si="43"/>
        <v>23.284699999999997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4"/>
        <v>167</v>
      </c>
      <c r="AE79" s="77" t="str">
        <f t="shared" si="45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79" s="74" t="str">
        <f t="shared" si="46"/>
        <v>"C:\Program Files (x86)\AstroGrep\AstroGrep.exe" /e /r /s /spath="%USERPROFILE%\AppData\Local\Temp\OnboardLogs" /stypes="app*4008*20171019*" /stext=" 18:.+((SYSTEM_STATE.+slice.+state.+changed )|(ment ac)|(multiple cpu faults)|(system.+state.+changed )|(\[timeout)|(PRM\|1\|D)|(kpr)|(kdp)|(train st.+moving)|(\|lc)|(penalty))"</v>
      </c>
      <c r="AG79" s="182" t="str">
        <f t="shared" si="47"/>
        <v>EC</v>
      </c>
      <c r="AH79" s="78" t="str">
        <f t="shared" ref="AH79:AH143" si="4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167-19 --locoid 4008 --swversion DE.1.0.9.0 --startMP 204:467 --initTime 2017-10-19T11:54:19 --startdatetime 2017-10-19T12:00:16 --delay 130 --endMP 204:233314 --enddatetime 2017-10-19T12:36:29 --enforcementcount 0 &gt;&gt;%USERPROFILE%\Documents\GitHub\eaglep3-reporting\EC\2017-10-19-refined-times.txt</v>
      </c>
      <c r="AI79" s="96" t="str">
        <f t="shared" ref="AI79:AI143" si="4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{"issue":{"subject":"","project_id":79,"tracker_id":40,"status_id":1,"priority_id":2,"assigned_to_id":338,"start_date":"2017-10-19","description":"","custom_fields":[{"id":1,"name":"Subdivision","value":"EC"},{"id":4,"name":"Milepost","value":"23.3314"},{"id":17,"name":"Train ID","value":"167-19"},{"id":16,"name":"Locomotive ID","value":"4008"},{"id":130,"name":"Impact","value":""},{"id":150,"name":"Time of Event (Mountain Time)","value":"12:36:29"},{"id":151,"name":"Denver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ref="AM79:AM143" si="50">"start /low /b "&amp;dls3logs&amp;" --loco "&amp;B79&amp;" --day "&amp;TEXT(F79,"YYYY-MM-DD")</f>
        <v>start /low /b %USERPROFILE%\Documents\GitHub\eaglep3\Utilities\DownloadLogsFromS3.py --loco 4008 --day 2017-10-19</v>
      </c>
      <c r="AN79" s="151" t="str">
        <f t="shared" ref="AN79:AN143" si="51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3" si="52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-19T10:54:19-0600',mode:absolute,to:'2017-10-19T13:36:29-0600'))&amp;_a=(columns:!('Message%20ID',Summary),filters:!(),index:'emp_*',interval:auto,query:(query_string:(analyze_wildcard:!t,query:'%22rtdc.l.rtdc.4008%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701</v>
      </c>
      <c r="B80" s="7">
        <v>4007</v>
      </c>
      <c r="C80" s="21" t="s">
        <v>194</v>
      </c>
      <c r="D80" s="21" t="s">
        <v>448</v>
      </c>
      <c r="E80" s="13">
        <v>43027.532581018517</v>
      </c>
      <c r="F80" s="13">
        <v>43027.539907407408</v>
      </c>
      <c r="G80" s="7">
        <v>142</v>
      </c>
      <c r="H80" s="21" t="s">
        <v>336</v>
      </c>
      <c r="I80" s="13">
        <v>43027.566747685189</v>
      </c>
      <c r="J80" s="7">
        <v>0</v>
      </c>
      <c r="K80" s="89" t="str">
        <f t="shared" si="36"/>
        <v>4007/4008</v>
      </c>
      <c r="L80" s="185" t="str">
        <f>VLOOKUP(A80,'Trips&amp;Operators'!$C$1:$G$99911,5,FALSE)</f>
        <v>BERLING GARY</v>
      </c>
      <c r="M80" s="6">
        <f t="shared" si="37"/>
        <v>2.6840277780138422E-2</v>
      </c>
      <c r="N80" s="7">
        <f t="shared" si="38"/>
        <v>38.650000003399327</v>
      </c>
      <c r="O80" s="7"/>
      <c r="P80" s="7"/>
      <c r="Q80" s="22"/>
      <c r="R80" s="174"/>
      <c r="S80" s="221">
        <f t="shared" si="39"/>
        <v>1</v>
      </c>
      <c r="T80" s="174" t="str">
        <f t="shared" si="40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1"/>
        <v>https://d0f6bd738d7f1b3e5a7ca70fe4ff75f0.us-east-1.aws.found.io/app/kibana#/discover/Steve-Slow-Train-Analysis-(2080s-and-2083s)?_g=(refreshInterval:(display:Off,pause:!f,section:0,value:0),time:(from:'2017-10-19T11:46:55-0600',mode:absolute,to:'2017-10-19T14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204" t="str">
        <f>IF(AA80&lt;VLOOKUP(AG80,Variables!$AC$3:$AD$8,2,FALSE),"Y","N")</f>
        <v>N</v>
      </c>
      <c r="X80" s="204">
        <f t="shared" si="42"/>
        <v>1</v>
      </c>
      <c r="Y80" s="204">
        <f t="shared" si="34"/>
        <v>23.299600000000002</v>
      </c>
      <c r="Z80" s="204">
        <f t="shared" si="35"/>
        <v>1.49E-2</v>
      </c>
      <c r="AA80" s="204">
        <f t="shared" si="43"/>
        <v>23.284700000000001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4"/>
        <v>168</v>
      </c>
      <c r="AE80" s="77" t="str">
        <f t="shared" si="45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80" s="74" t="str">
        <f t="shared" si="46"/>
        <v>"C:\Program Files (x86)\AstroGrep\AstroGrep.exe" /e /r /s /spath="%USERPROFILE%\AppData\Local\Temp\OnboardLogs" /stypes="app*4007*20171019*" /stext=" 19:.+((SYSTEM_STATE.+slice.+state.+changed )|(ment ac)|(multiple cpu faults)|(system.+state.+changed )|(\[timeout)|(PRM\|1\|D)|(kpr)|(kdp)|(train st.+moving)|(\|lc)|(penalty))"</v>
      </c>
      <c r="AG80" s="182" t="str">
        <f t="shared" si="47"/>
        <v>EC</v>
      </c>
      <c r="AH80" s="78" t="str">
        <f t="shared" si="48"/>
        <v>"%USERPROFILE%\Documents\GitHub\eaglep3\Utilities\RefineRTDCRunTimes.py" --tripid 168-19 --locoid 4007 --swversion DE.1.0.9.0 --startMP 204:232996 --initTime 2017-10-19T12:46:55 --startdatetime 2017-10-19T12:57:28 --delay 142 --endMP 204:149 --enddatetime 2017-10-19T13:36:07 --enforcementcount 0 &gt;&gt;%USERPROFILE%\Documents\GitHub\eaglep3-reporting\EC\2017-10-19-refined-times.txt</v>
      </c>
      <c r="AI80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{"issue":{"subject":"","project_id":79,"tracker_id":40,"status_id":1,"priority_id":2,"assigned_to_id":338,"start_date":"2017-10-19","description":"","custom_fields":[{"id":1,"name":"Subdivision","value":"EC"},{"id":4,"name":"Milepost","value":"0.0149"},{"id":17,"name":"Train ID","value":"168-19"},{"id":16,"name":"Locomotive ID","value":"4007"},{"id":130,"name":"Impact","value":""},{"id":150,"name":"Time of Event (Mountain Time)","value":"13:36:07"},{"id":151,"name":"Denver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50"/>
        <v>start /low /b %USERPROFILE%\Documents\GitHub\eaglep3\Utilities\DownloadLogsFromS3.py --loco 4007 --day 2017-10-19</v>
      </c>
      <c r="AN80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2"/>
        <v>https://d0f6bd738d7f1b3e5a7ca70fe4ff75f0.us-east-1.aws.found.io/app/kibana#/discover/Steve-Slow-Train-Analysis-(2080s-and-2083s)?_g=(refreshInterval:(display:Off,pause:!f,section:0,value:0),time:(from:'2017-10-19T11:46:55-0600',mode:absolute,to:'2017-10-19T14:36:07-0600'))&amp;_a=(columns:!('Message%20ID',Summary),filters:!(),index:'emp_*',interval:auto,query:(query_string:(analyze_wildcard:!t,query:'%22rtdc.l.rtdc.4007%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695</v>
      </c>
      <c r="B81" s="7">
        <v>4014</v>
      </c>
      <c r="C81" s="21" t="s">
        <v>194</v>
      </c>
      <c r="D81" s="21" t="s">
        <v>418</v>
      </c>
      <c r="E81" s="13">
        <v>43027.505497685182</v>
      </c>
      <c r="F81" s="13">
        <v>43027.510636574072</v>
      </c>
      <c r="G81" s="7">
        <v>148</v>
      </c>
      <c r="H81" s="21" t="s">
        <v>534</v>
      </c>
      <c r="I81" s="13">
        <v>43027.535520833335</v>
      </c>
      <c r="J81" s="7">
        <v>0</v>
      </c>
      <c r="K81" s="89" t="str">
        <f t="shared" si="36"/>
        <v>4013/4014</v>
      </c>
      <c r="L81" s="185" t="str">
        <f>VLOOKUP(A81,'Trips&amp;Operators'!$C$1:$G$99911,5,FALSE)</f>
        <v>LEVERE CRAIG</v>
      </c>
      <c r="M81" s="6">
        <f t="shared" si="37"/>
        <v>2.4884259262762498E-2</v>
      </c>
      <c r="N81" s="7">
        <f t="shared" si="38"/>
        <v>35.833333338377997</v>
      </c>
      <c r="O81" s="7"/>
      <c r="P81" s="7"/>
      <c r="Q81" s="22"/>
      <c r="R81" s="174"/>
      <c r="S81" s="221">
        <f t="shared" si="39"/>
        <v>1</v>
      </c>
      <c r="T81" s="174" t="str">
        <f t="shared" si="40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1"/>
        <v>https://d0f6bd738d7f1b3e5a7ca70fe4ff75f0.us-east-1.aws.found.io/app/kibana#/discover/Steve-Slow-Train-Analysis-(2080s-and-2083s)?_g=(refreshInterval:(display:Off,pause:!f,section:0,value:0),time:(from:'2017-10-19T11:07:55-0600',mode:absolute,to:'2017-10-19T13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204" t="str">
        <f>IF(AA81&lt;VLOOKUP(AG81,Variables!$AC$3:$AD$8,2,FALSE),"Y","N")</f>
        <v>N</v>
      </c>
      <c r="X81" s="204">
        <f t="shared" si="42"/>
        <v>1</v>
      </c>
      <c r="Y81" s="204">
        <f t="shared" si="34"/>
        <v>4.3799999999999999E-2</v>
      </c>
      <c r="Z81" s="204">
        <f t="shared" si="35"/>
        <v>23.330100000000002</v>
      </c>
      <c r="AA81" s="204">
        <f t="shared" si="43"/>
        <v>23.286300000000001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4"/>
        <v>169</v>
      </c>
      <c r="AE81" s="77" t="str">
        <f t="shared" si="45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81" s="74" t="str">
        <f t="shared" si="46"/>
        <v>"C:\Program Files (x86)\AstroGrep\AstroGrep.exe" /e /r /s /spath="%USERPROFILE%\AppData\Local\Temp\OnboardLogs" /stypes="app*4014*20171019*" /stext=" 18:.+((SYSTEM_STATE.+slice.+state.+changed )|(ment ac)|(multiple cpu faults)|(system.+state.+changed )|(\[timeout)|(PRM\|1\|D)|(kpr)|(kdp)|(train st.+moving)|(\|lc)|(penalty))"</v>
      </c>
      <c r="AG81" s="182" t="str">
        <f t="shared" si="47"/>
        <v>EC</v>
      </c>
      <c r="AH81" s="78" t="str">
        <f t="shared" si="48"/>
        <v>"%USERPROFILE%\Documents\GitHub\eaglep3\Utilities\RefineRTDCRunTimes.py" --tripid 169-19 --locoid 4014 --swversion DE.1.0.9.0 --startMP 204:438 --initTime 2017-10-19T12:07:55 --startdatetime 2017-10-19T12:15:19 --delay 148 --endMP 204:233301 --enddatetime 2017-10-19T12:51:09 --enforcementcount 0 &gt;&gt;%USERPROFILE%\Documents\GitHub\eaglep3-reporting\EC\2017-10-19-refined-times.txt</v>
      </c>
      <c r="AI81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{"issue":{"subject":"","project_id":79,"tracker_id":40,"status_id":1,"priority_id":2,"assigned_to_id":338,"start_date":"2017-10-19","description":"","custom_fields":[{"id":1,"name":"Subdivision","value":"EC"},{"id":4,"name":"Milepost","value":"23.3301"},{"id":17,"name":"Train ID","value":"169-19"},{"id":16,"name":"Locomotive ID","value":"4014"},{"id":130,"name":"Impact","value":""},{"id":150,"name":"Time of Event (Mountain Time)","value":"12:51:09"},{"id":151,"name":"Denver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50"/>
        <v>start /low /b %USERPROFILE%\Documents\GitHub\eaglep3\Utilities\DownloadLogsFromS3.py --loco 4014 --day 2017-10-19</v>
      </c>
      <c r="AN81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2"/>
        <v>https://d0f6bd738d7f1b3e5a7ca70fe4ff75f0.us-east-1.aws.found.io/app/kibana#/discover/Steve-Slow-Train-Analysis-(2080s-and-2083s)?_g=(refreshInterval:(display:Off,pause:!f,section:0,value:0),time:(from:'2017-10-19T11:07:55-0600',mode:absolute,to:'2017-10-19T13:51:09-0600'))&amp;_a=(columns:!('Message%20ID',Summary),filters:!(),index:'emp_*',interval:auto,query:(query_string:(analyze_wildcard:!t,query:'%22rtdc.l.rtdc.4014%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703</v>
      </c>
      <c r="B82" s="7">
        <v>4013</v>
      </c>
      <c r="C82" s="21" t="s">
        <v>194</v>
      </c>
      <c r="D82" s="21" t="s">
        <v>827</v>
      </c>
      <c r="E82" s="13">
        <v>43027.543553240743</v>
      </c>
      <c r="F82" s="13">
        <v>43027.550185185188</v>
      </c>
      <c r="G82" s="7">
        <v>61</v>
      </c>
      <c r="H82" s="21" t="s">
        <v>363</v>
      </c>
      <c r="I82" s="13">
        <v>43027.577453703707</v>
      </c>
      <c r="J82" s="7">
        <v>0</v>
      </c>
      <c r="K82" s="89" t="str">
        <f t="shared" si="36"/>
        <v>4013/4014</v>
      </c>
      <c r="L82" s="185" t="str">
        <f>VLOOKUP(A82,'Trips&amp;Operators'!$C$1:$G$99911,5,FALSE)</f>
        <v>LEVERE CRAIG</v>
      </c>
      <c r="M82" s="6">
        <f t="shared" si="37"/>
        <v>2.7268518519122154E-2</v>
      </c>
      <c r="N82" s="7">
        <f t="shared" si="38"/>
        <v>39.266666667535901</v>
      </c>
      <c r="O82" s="7"/>
      <c r="P82" s="7"/>
      <c r="Q82" s="22"/>
      <c r="R82" s="174"/>
      <c r="S82" s="221">
        <f t="shared" si="39"/>
        <v>1</v>
      </c>
      <c r="T82" s="174" t="str">
        <f t="shared" si="40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1"/>
        <v>https://d0f6bd738d7f1b3e5a7ca70fe4ff75f0.us-east-1.aws.found.io/app/kibana#/discover/Steve-Slow-Train-Analysis-(2080s-and-2083s)?_g=(refreshInterval:(display:Off,pause:!f,section:0,value:0),time:(from:'2017-10-19T12:02:43-0600',mode:absolute,to:'2017-10-19T14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204" t="str">
        <f>IF(AA82&lt;VLOOKUP(AG82,Variables!$AC$3:$AD$8,2,FALSE),"Y","N")</f>
        <v>N</v>
      </c>
      <c r="X82" s="204">
        <f t="shared" si="42"/>
        <v>1</v>
      </c>
      <c r="Y82" s="204">
        <f t="shared" si="34"/>
        <v>23.297799999999999</v>
      </c>
      <c r="Z82" s="204">
        <f t="shared" si="35"/>
        <v>1.5800000000000002E-2</v>
      </c>
      <c r="AA82" s="204">
        <f t="shared" si="43"/>
        <v>23.282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4"/>
        <v>170</v>
      </c>
      <c r="AE82" s="77" t="str">
        <f t="shared" si="45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82" s="74" t="str">
        <f t="shared" si="46"/>
        <v>"C:\Program Files (x86)\AstroGrep\AstroGrep.exe" /e /r /s /spath="%USERPROFILE%\AppData\Local\Temp\OnboardLogs" /stypes="app*4013*20171019*" /stext=" 19:.+((SYSTEM_STATE.+slice.+state.+changed )|(ment ac)|(multiple cpu faults)|(system.+state.+changed )|(\[timeout)|(PRM\|1\|D)|(kpr)|(kdp)|(train st.+moving)|(\|lc)|(penalty))"</v>
      </c>
      <c r="AG82" s="182" t="str">
        <f t="shared" si="47"/>
        <v>EC</v>
      </c>
      <c r="AH82" s="78" t="str">
        <f t="shared" si="48"/>
        <v>"%USERPROFILE%\Documents\GitHub\eaglep3\Utilities\RefineRTDCRunTimes.py" --tripid 170-19 --locoid 4013 --swversion DE.1.0.9.0 --startMP 204:232978 --initTime 2017-10-19T13:02:43 --startdatetime 2017-10-19T13:12:16 --delay 61 --endMP 204:158 --enddatetime 2017-10-19T13:51:32 --enforcementcount 0 &gt;&gt;%USERPROFILE%\Documents\GitHub\eaglep3-reporting\EC\2017-10-19-refined-times.txt</v>
      </c>
      <c r="AI82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{"issue":{"subject":"","project_id":79,"tracker_id":40,"status_id":1,"priority_id":2,"assigned_to_id":338,"start_date":"2017-10-19","description":"","custom_fields":[{"id":1,"name":"Subdivision","value":"EC"},{"id":4,"name":"Milepost","value":"0.0158"},{"id":17,"name":"Train ID","value":"170-19"},{"id":16,"name":"Locomotive ID","value":"4013"},{"id":130,"name":"Impact","value":""},{"id":150,"name":"Time of Event (Mountain Time)","value":"13:51:32"},{"id":151,"name":"Denver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50"/>
        <v>start /low /b %USERPROFILE%\Documents\GitHub\eaglep3\Utilities\DownloadLogsFromS3.py --loco 4013 --day 2017-10-19</v>
      </c>
      <c r="AN82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2"/>
        <v>https://d0f6bd738d7f1b3e5a7ca70fe4ff75f0.us-east-1.aws.found.io/app/kibana#/discover/Steve-Slow-Train-Analysis-(2080s-and-2083s)?_g=(refreshInterval:(display:Off,pause:!f,section:0,value:0),time:(from:'2017-10-19T12:02:43-0600',mode:absolute,to:'2017-10-19T14:51:32-0600'))&amp;_a=(columns:!('Message%20ID',Summary),filters:!(),index:'emp_*',interval:auto,query:(query_string:(analyze_wildcard:!t,query:'%22rtdc.l.rtdc.4013%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696</v>
      </c>
      <c r="B83" s="7">
        <v>4006</v>
      </c>
      <c r="C83" s="21" t="s">
        <v>194</v>
      </c>
      <c r="D83" s="21" t="s">
        <v>831</v>
      </c>
      <c r="E83" s="13">
        <v>43027.516817129632</v>
      </c>
      <c r="F83" s="13">
        <v>43027.521006944444</v>
      </c>
      <c r="G83" s="7">
        <v>61</v>
      </c>
      <c r="H83" s="21" t="s">
        <v>368</v>
      </c>
      <c r="I83" s="13">
        <v>43027.546678240738</v>
      </c>
      <c r="J83" s="7">
        <v>0</v>
      </c>
      <c r="K83" s="89" t="str">
        <f t="shared" si="36"/>
        <v>4005/4006</v>
      </c>
      <c r="L83" s="185" t="str">
        <f>VLOOKUP(A83,'Trips&amp;Operators'!$C$1:$G$99911,5,FALSE)</f>
        <v>BADERTSCHER DIANE</v>
      </c>
      <c r="M83" s="6">
        <f t="shared" si="37"/>
        <v>2.5671296294603962E-2</v>
      </c>
      <c r="N83" s="7">
        <f t="shared" si="38"/>
        <v>36.966666664229706</v>
      </c>
      <c r="O83" s="7"/>
      <c r="P83" s="7"/>
      <c r="Q83" s="22"/>
      <c r="R83" s="174"/>
      <c r="S83" s="221">
        <f t="shared" si="39"/>
        <v>1</v>
      </c>
      <c r="T83" s="174" t="str">
        <f t="shared" si="40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1"/>
        <v>https://d0f6bd738d7f1b3e5a7ca70fe4ff75f0.us-east-1.aws.found.io/app/kibana#/discover/Steve-Slow-Train-Analysis-(2080s-and-2083s)?_g=(refreshInterval:(display:Off,pause:!f,section:0,value:0),time:(from:'2017-10-19T11:24:13-0600',mode:absolute,to:'2017-10-19T14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3" s="204" t="str">
        <f>IF(AA83&lt;VLOOKUP(AG83,Variables!$AC$3:$AD$8,2,FALSE),"Y","N")</f>
        <v>N</v>
      </c>
      <c r="X83" s="204">
        <f t="shared" si="42"/>
        <v>1</v>
      </c>
      <c r="Y83" s="204">
        <f t="shared" si="34"/>
        <v>4.3499999999999997E-2</v>
      </c>
      <c r="Z83" s="204">
        <f t="shared" si="35"/>
        <v>23.331199999999999</v>
      </c>
      <c r="AA83" s="204">
        <f t="shared" si="43"/>
        <v>23.287699999999997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4"/>
        <v>171</v>
      </c>
      <c r="AE83" s="77" t="str">
        <f t="shared" si="45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83" s="74" t="str">
        <f t="shared" si="46"/>
        <v>"C:\Program Files (x86)\AstroGrep\AstroGrep.exe" /e /r /s /spath="%USERPROFILE%\AppData\Local\Temp\OnboardLogs" /stypes="app*4006*20171019*" /stext=" 19:.+((SYSTEM_STATE.+slice.+state.+changed )|(ment ac)|(multiple cpu faults)|(system.+state.+changed )|(\[timeout)|(PRM\|1\|D)|(kpr)|(kdp)|(train st.+moving)|(\|lc)|(penalty))"</v>
      </c>
      <c r="AG83" s="182" t="str">
        <f t="shared" si="47"/>
        <v>EC</v>
      </c>
      <c r="AH83" s="78" t="str">
        <f t="shared" si="48"/>
        <v>"%USERPROFILE%\Documents\GitHub\eaglep3\Utilities\RefineRTDCRunTimes.py" --tripid 171-19 --locoid 4006 --swversion DE.1.0.9.0 --startMP 204:435 --initTime 2017-10-19T12:24:13 --startdatetime 2017-10-19T12:30:15 --delay 61 --endMP 204:233312 --enddatetime 2017-10-19T13:07:13 --enforcementcount 0 &gt;&gt;%USERPROFILE%\Documents\GitHub\eaglep3-reporting\EC\2017-10-19-refined-times.txt</v>
      </c>
      <c r="AI83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{"issue":{"subject":"","project_id":79,"tracker_id":40,"status_id":1,"priority_id":2,"assigned_to_id":338,"start_date":"2017-10-19","description":"","custom_fields":[{"id":1,"name":"Subdivision","value":"EC"},{"id":4,"name":"Milepost","value":"23.3312"},{"id":17,"name":"Train ID","value":"171-19"},{"id":16,"name":"Locomotive ID","value":"4006"},{"id":130,"name":"Impact","value":""},{"id":150,"name":"Time of Event (Mountain Time)","value":"13:07:13"},{"id":151,"name":"Denver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50"/>
        <v>start /low /b %USERPROFILE%\Documents\GitHub\eaglep3\Utilities\DownloadLogsFromS3.py --loco 4006 --day 2017-10-19</v>
      </c>
      <c r="AN83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2"/>
        <v>https://d0f6bd738d7f1b3e5a7ca70fe4ff75f0.us-east-1.aws.found.io/app/kibana#/discover/Steve-Slow-Train-Analysis-(2080s-and-2083s)?_g=(refreshInterval:(display:Off,pause:!f,section:0,value:0),time:(from:'2017-10-19T11:24:13-0600',mode:absolute,to:'2017-10-19T14:07:13-0600'))&amp;_a=(columns:!('Message%20ID',Summary),filters:!(),index:'emp_*',interval:auto,query:(query_string:(analyze_wildcard:!t,query:'%22rtdc.l.rtdc.4006%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706</v>
      </c>
      <c r="B84" s="7">
        <v>4005</v>
      </c>
      <c r="C84" s="21" t="s">
        <v>194</v>
      </c>
      <c r="D84" s="21" t="s">
        <v>845</v>
      </c>
      <c r="E84" s="13">
        <v>43027.553842592592</v>
      </c>
      <c r="F84" s="13">
        <v>43027.560578703706</v>
      </c>
      <c r="G84" s="7">
        <v>78</v>
      </c>
      <c r="H84" s="21" t="s">
        <v>335</v>
      </c>
      <c r="I84" s="13">
        <v>43027.587708333333</v>
      </c>
      <c r="J84" s="7">
        <v>0</v>
      </c>
      <c r="K84" s="89" t="str">
        <f t="shared" si="36"/>
        <v>4005/4006</v>
      </c>
      <c r="L84" s="185" t="str">
        <f>VLOOKUP(A84,'Trips&amp;Operators'!$C$1:$G$99911,5,FALSE)</f>
        <v>BADERTSCHER DIANE</v>
      </c>
      <c r="M84" s="6">
        <f t="shared" si="37"/>
        <v>2.7129629626870155E-2</v>
      </c>
      <c r="N84" s="7">
        <f t="shared" si="38"/>
        <v>39.066666662693024</v>
      </c>
      <c r="O84" s="7"/>
      <c r="P84" s="7"/>
      <c r="Q84" s="22"/>
      <c r="R84" s="174"/>
      <c r="S84" s="221">
        <f t="shared" si="39"/>
        <v>1</v>
      </c>
      <c r="T84" s="174" t="str">
        <f t="shared" si="40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1"/>
        <v>https://d0f6bd738d7f1b3e5a7ca70fe4ff75f0.us-east-1.aws.found.io/app/kibana#/discover/Steve-Slow-Train-Analysis-(2080s-and-2083s)?_g=(refreshInterval:(display:Off,pause:!f,section:0,value:0),time:(from:'2017-10-19T12:17:32-0600',mode:absolute,to:'2017-10-19T15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4" s="204" t="str">
        <f>IF(AA84&lt;VLOOKUP(AG84,Variables!$AC$3:$AD$8,2,FALSE),"Y","N")</f>
        <v>N</v>
      </c>
      <c r="X84" s="204">
        <f t="shared" si="42"/>
        <v>1</v>
      </c>
      <c r="Y84" s="204">
        <f t="shared" si="34"/>
        <v>23.3017</v>
      </c>
      <c r="Z84" s="204">
        <f t="shared" si="35"/>
        <v>1.4999999999999999E-2</v>
      </c>
      <c r="AA84" s="204">
        <f t="shared" si="43"/>
        <v>23.2867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4"/>
        <v>172</v>
      </c>
      <c r="AE84" s="77" t="str">
        <f t="shared" si="45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84" s="74" t="str">
        <f t="shared" si="46"/>
        <v>"C:\Program Files (x86)\AstroGrep\AstroGrep.exe" /e /r /s /spath="%USERPROFILE%\AppData\Local\Temp\OnboardLogs" /stypes="app*4005*20171019*" /stext=" 20:.+((SYSTEM_STATE.+slice.+state.+changed )|(ment ac)|(multiple cpu faults)|(system.+state.+changed )|(\[timeout)|(PRM\|1\|D)|(kpr)|(kdp)|(train st.+moving)|(\|lc)|(penalty))"</v>
      </c>
      <c r="AG84" s="182" t="str">
        <f t="shared" si="47"/>
        <v>EC</v>
      </c>
      <c r="AH84" s="78" t="str">
        <f t="shared" si="48"/>
        <v>"%USERPROFILE%\Documents\GitHub\eaglep3\Utilities\RefineRTDCRunTimes.py" --tripid 172-19 --locoid 4005 --swversion DE.1.0.9.0 --startMP 204:233017 --initTime 2017-10-19T13:17:32 --startdatetime 2017-10-19T13:27:14 --delay 78 --endMP 204:150 --enddatetime 2017-10-19T14:06:18 --enforcementcount 0 &gt;&gt;%USERPROFILE%\Documents\GitHub\eaglep3-reporting\EC\2017-10-19-refined-times.txt</v>
      </c>
      <c r="AI84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{"issue":{"subject":"","project_id":79,"tracker_id":40,"status_id":1,"priority_id":2,"assigned_to_id":338,"start_date":"2017-10-19","description":"","custom_fields":[{"id":1,"name":"Subdivision","value":"EC"},{"id":4,"name":"Milepost","value":"0.015"},{"id":17,"name":"Train ID","value":"172-19"},{"id":16,"name":"Locomotive ID","value":"4005"},{"id":130,"name":"Impact","value":""},{"id":150,"name":"Time of Event (Mountain Time)","value":"14:06:18"},{"id":151,"name":"Denver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50"/>
        <v>start /low /b %USERPROFILE%\Documents\GitHub\eaglep3\Utilities\DownloadLogsFromS3.py --loco 4005 --day 2017-10-19</v>
      </c>
      <c r="AN84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2"/>
        <v>https://d0f6bd738d7f1b3e5a7ca70fe4ff75f0.us-east-1.aws.found.io/app/kibana#/discover/Steve-Slow-Train-Analysis-(2080s-and-2083s)?_g=(refreshInterval:(display:Off,pause:!f,section:0,value:0),time:(from:'2017-10-19T12:17:32-0600',mode:absolute,to:'2017-10-19T15:06:18-0600'))&amp;_a=(columns:!('Message%20ID',Summary),filters:!(),index:'emp_*',interval:auto,query:(query_string:(analyze_wildcard:!t,query:'%22rtdc.l.rtdc.4005%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699</v>
      </c>
      <c r="B85" s="7">
        <v>4066</v>
      </c>
      <c r="C85" s="21" t="s">
        <v>194</v>
      </c>
      <c r="D85" s="21" t="s">
        <v>824</v>
      </c>
      <c r="E85" s="13">
        <v>43027.526192129626</v>
      </c>
      <c r="F85" s="13">
        <v>43027.531446759262</v>
      </c>
      <c r="G85" s="7">
        <v>60</v>
      </c>
      <c r="H85" s="21" t="s">
        <v>520</v>
      </c>
      <c r="I85" s="13">
        <v>43027.556504629632</v>
      </c>
      <c r="J85" s="7">
        <v>0</v>
      </c>
      <c r="K85" s="89" t="str">
        <f t="shared" si="36"/>
        <v>4065/4066</v>
      </c>
      <c r="L85" s="185" t="str">
        <f>VLOOKUP(A85,'Trips&amp;Operators'!$C$1:$G$99911,5,FALSE)</f>
        <v>KILLION DAVID</v>
      </c>
      <c r="M85" s="6">
        <f t="shared" si="37"/>
        <v>2.5057870370801538E-2</v>
      </c>
      <c r="N85" s="7">
        <f t="shared" si="38"/>
        <v>36.083333333954215</v>
      </c>
      <c r="O85" s="7"/>
      <c r="P85" s="7"/>
      <c r="Q85" s="22"/>
      <c r="R85" s="174"/>
      <c r="S85" s="221">
        <f t="shared" si="39"/>
        <v>1</v>
      </c>
      <c r="T85" s="174" t="str">
        <f t="shared" si="40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1"/>
        <v>https://d0f6bd738d7f1b3e5a7ca70fe4ff75f0.us-east-1.aws.found.io/app/kibana#/discover/Steve-Slow-Train-Analysis-(2080s-and-2083s)?_g=(refreshInterval:(display:Off,pause:!f,section:0,value:0),time:(from:'2017-10-19T11:37:43-0600',mode:absolute,to:'2017-10-19T14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5" s="204" t="str">
        <f>IF(AA85&lt;VLOOKUP(AG85,Variables!$AC$3:$AD$8,2,FALSE),"Y","N")</f>
        <v>N</v>
      </c>
      <c r="X85" s="204">
        <f t="shared" si="42"/>
        <v>1</v>
      </c>
      <c r="Y85" s="204">
        <f t="shared" si="34"/>
        <v>4.4900000000000002E-2</v>
      </c>
      <c r="Z85" s="204">
        <f t="shared" si="35"/>
        <v>23.3309</v>
      </c>
      <c r="AA85" s="204">
        <f t="shared" si="43"/>
        <v>23.286000000000001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4"/>
        <v>173</v>
      </c>
      <c r="AE85" s="77" t="str">
        <f t="shared" si="45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85" s="74" t="str">
        <f t="shared" si="46"/>
        <v>"C:\Program Files (x86)\AstroGrep\AstroGrep.exe" /e /r /s /spath="%USERPROFILE%\AppData\Local\Temp\OnboardLogs" /stypes="app*4066*20171019*" /stext=" 19:.+((SYSTEM_STATE.+slice.+state.+changed )|(ment ac)|(multiple cpu faults)|(system.+state.+changed )|(\[timeout)|(PRM\|1\|D)|(kpr)|(kdp)|(train st.+moving)|(\|lc)|(penalty))"</v>
      </c>
      <c r="AG85" s="182" t="str">
        <f t="shared" si="47"/>
        <v>EC</v>
      </c>
      <c r="AH85" s="78" t="str">
        <f t="shared" si="48"/>
        <v>"%USERPROFILE%\Documents\GitHub\eaglep3\Utilities\RefineRTDCRunTimes.py" --tripid 173-19 --locoid 4066 --swversion DE.1.0.9.0 --startMP 204:449 --initTime 2017-10-19T12:37:43 --startdatetime 2017-10-19T12:45:17 --delay 60 --endMP 204:233309 --enddatetime 2017-10-19T13:21:22 --enforcementcount 0 &gt;&gt;%USERPROFILE%\Documents\GitHub\eaglep3-reporting\EC\2017-10-19-refined-times.txt</v>
      </c>
      <c r="AI85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{"issue":{"subject":"","project_id":79,"tracker_id":40,"status_id":1,"priority_id":2,"assigned_to_id":338,"start_date":"2017-10-19","description":"","custom_fields":[{"id":1,"name":"Subdivision","value":"EC"},{"id":4,"name":"Milepost","value":"23.3309"},{"id":17,"name":"Train ID","value":"173-19"},{"id":16,"name":"Locomotive ID","value":"4066"},{"id":130,"name":"Impact","value":""},{"id":150,"name":"Time of Event (Mountain Time)","value":"13:21:22"},{"id":151,"name":"Denver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50"/>
        <v>start /low /b %USERPROFILE%\Documents\GitHub\eaglep3\Utilities\DownloadLogsFromS3.py --loco 4066 --day 2017-10-19</v>
      </c>
      <c r="AN85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2"/>
        <v>https://d0f6bd738d7f1b3e5a7ca70fe4ff75f0.us-east-1.aws.found.io/app/kibana#/discover/Steve-Slow-Train-Analysis-(2080s-and-2083s)?_g=(refreshInterval:(display:Off,pause:!f,section:0,value:0),time:(from:'2017-10-19T11:37:43-0600',mode:absolute,to:'2017-10-19T14:21:22-0600'))&amp;_a=(columns:!('Message%20ID',Summary),filters:!(),index:'emp_*',interval:auto,query:(query_string:(analyze_wildcard:!t,query:'%22rtdc.l.rtdc.4066%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583</v>
      </c>
      <c r="B86" s="7">
        <v>4065</v>
      </c>
      <c r="C86" s="21" t="s">
        <v>194</v>
      </c>
      <c r="D86" s="21" t="s">
        <v>521</v>
      </c>
      <c r="E86" s="13">
        <v>43027.562604166669</v>
      </c>
      <c r="F86" s="13">
        <v>43027.571099537039</v>
      </c>
      <c r="G86" s="7">
        <v>68</v>
      </c>
      <c r="H86" s="21" t="s">
        <v>363</v>
      </c>
      <c r="I86" s="13">
        <v>43027.597650462965</v>
      </c>
      <c r="J86" s="7">
        <v>0</v>
      </c>
      <c r="K86" s="89" t="str">
        <f t="shared" si="36"/>
        <v>4065/4066</v>
      </c>
      <c r="L86" s="185" t="str">
        <f>VLOOKUP(A86,'Trips&amp;Operators'!$C$1:$G$99911,5,FALSE)</f>
        <v>KILLION DAVID</v>
      </c>
      <c r="M86" s="6">
        <f t="shared" si="37"/>
        <v>2.6550925926130731E-2</v>
      </c>
      <c r="N86" s="7">
        <f t="shared" si="38"/>
        <v>38.233333333628252</v>
      </c>
      <c r="O86" s="7"/>
      <c r="P86" s="7"/>
      <c r="Q86" s="22"/>
      <c r="R86" s="174"/>
      <c r="S86" s="221">
        <f t="shared" si="39"/>
        <v>1</v>
      </c>
      <c r="T86" s="174" t="str">
        <f t="shared" si="40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1"/>
        <v>https://d0f6bd738d7f1b3e5a7ca70fe4ff75f0.us-east-1.aws.found.io/app/kibana#/discover/Steve-Slow-Train-Analysis-(2080s-and-2083s)?_g=(refreshInterval:(display:Off,pause:!f,section:0,value:0),time:(from:'2017-10-19T12:30:09-0600',mode:absolute,to:'2017-10-19T15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6" s="204" t="str">
        <f>IF(AA86&lt;VLOOKUP(AG86,Variables!$AC$3:$AD$8,2,FALSE),"Y","N")</f>
        <v>N</v>
      </c>
      <c r="X86" s="204">
        <f t="shared" si="42"/>
        <v>1</v>
      </c>
      <c r="Y86" s="204">
        <f t="shared" si="34"/>
        <v>23.298200000000001</v>
      </c>
      <c r="Z86" s="204">
        <f t="shared" si="35"/>
        <v>1.5800000000000002E-2</v>
      </c>
      <c r="AA86" s="204">
        <f t="shared" si="43"/>
        <v>23.282400000000003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4"/>
        <v>174</v>
      </c>
      <c r="AE86" s="77" t="str">
        <f t="shared" si="45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86" s="74" t="str">
        <f t="shared" si="46"/>
        <v>"C:\Program Files (x86)\AstroGrep\AstroGrep.exe" /e /r /s /spath="%USERPROFILE%\AppData\Local\Temp\OnboardLogs" /stypes="app*4065*20171019*" /stext=" 20:.+((SYSTEM_STATE.+slice.+state.+changed )|(ment ac)|(multiple cpu faults)|(system.+state.+changed )|(\[timeout)|(PRM\|1\|D)|(kpr)|(kdp)|(train st.+moving)|(\|lc)|(penalty))"</v>
      </c>
      <c r="AG86" s="182" t="str">
        <f t="shared" si="47"/>
        <v>EC</v>
      </c>
      <c r="AH86" s="78" t="str">
        <f t="shared" si="48"/>
        <v>"%USERPROFILE%\Documents\GitHub\eaglep3\Utilities\RefineRTDCRunTimes.py" --tripid 174-19 --locoid 4065 --swversion DE.1.0.9.0 --startMP 204:232982 --initTime 2017-10-19T13:30:09 --startdatetime 2017-10-19T13:42:23 --delay 68 --endMP 204:158 --enddatetime 2017-10-19T14:20:37 --enforcementcount 0 &gt;&gt;%USERPROFILE%\Documents\GitHub\eaglep3-reporting\EC\2017-10-19-refined-times.txt</v>
      </c>
      <c r="AI86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{"issue":{"subject":"","project_id":79,"tracker_id":40,"status_id":1,"priority_id":2,"assigned_to_id":338,"start_date":"2017-10-19","description":"","custom_fields":[{"id":1,"name":"Subdivision","value":"EC"},{"id":4,"name":"Milepost","value":"0.0158"},{"id":17,"name":"Train ID","value":"174-19"},{"id":16,"name":"Locomotive ID","value":"4065"},{"id":130,"name":"Impact","value":""},{"id":150,"name":"Time of Event (Mountain Time)","value":"14:20:37"},{"id":151,"name":"Denver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50"/>
        <v>start /low /b %USERPROFILE%\Documents\GitHub\eaglep3\Utilities\DownloadLogsFromS3.py --loco 4065 --day 2017-10-19</v>
      </c>
      <c r="AN86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2"/>
        <v>https://d0f6bd738d7f1b3e5a7ca70fe4ff75f0.us-east-1.aws.found.io/app/kibana#/discover/Steve-Slow-Train-Analysis-(2080s-and-2083s)?_g=(refreshInterval:(display:Off,pause:!f,section:0,value:0),time:(from:'2017-10-19T12:30:09-0600',mode:absolute,to:'2017-10-19T15:20:37-0600'))&amp;_a=(columns:!('Message%20ID',Summary),filters:!(),index:'emp_*',interval:auto,query:(query_string:(analyze_wildcard:!t,query:'%22rtdc.l.rtdc.4065%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702</v>
      </c>
      <c r="B87" s="7">
        <v>4058</v>
      </c>
      <c r="C87" s="21" t="s">
        <v>194</v>
      </c>
      <c r="D87" s="21" t="s">
        <v>535</v>
      </c>
      <c r="E87" s="13">
        <v>43027.537291666667</v>
      </c>
      <c r="F87" s="13">
        <v>43027.541828703703</v>
      </c>
      <c r="G87" s="7">
        <v>76</v>
      </c>
      <c r="H87" s="21" t="s">
        <v>835</v>
      </c>
      <c r="I87" s="13">
        <v>43027.566562499997</v>
      </c>
      <c r="J87" s="7">
        <v>0</v>
      </c>
      <c r="K87" s="89" t="str">
        <f t="shared" si="36"/>
        <v>4057/4058</v>
      </c>
      <c r="L87" s="185" t="str">
        <f>VLOOKUP(A87,'Trips&amp;Operators'!$C$1:$G$99911,5,FALSE)</f>
        <v>BRUDER RICHARD</v>
      </c>
      <c r="M87" s="6">
        <f t="shared" si="37"/>
        <v>2.4733796293730848E-2</v>
      </c>
      <c r="N87" s="7">
        <f t="shared" si="38"/>
        <v>35.61666666297242</v>
      </c>
      <c r="O87" s="7"/>
      <c r="P87" s="7"/>
      <c r="Q87" s="22"/>
      <c r="R87" s="174"/>
      <c r="S87" s="221">
        <f t="shared" si="39"/>
        <v>1</v>
      </c>
      <c r="T87" s="174" t="str">
        <f t="shared" si="40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1"/>
        <v>https://d0f6bd738d7f1b3e5a7ca70fe4ff75f0.us-east-1.aws.found.io/app/kibana#/discover/Steve-Slow-Train-Analysis-(2080s-and-2083s)?_g=(refreshInterval:(display:Off,pause:!f,section:0,value:0),time:(from:'2017-10-19T11:53:42-0600',mode:absolute,to:'2017-10-19T14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7" s="204" t="str">
        <f>IF(AA87&lt;VLOOKUP(AG87,Variables!$AC$3:$AD$8,2,FALSE),"Y","N")</f>
        <v>N</v>
      </c>
      <c r="X87" s="204">
        <f t="shared" si="42"/>
        <v>1</v>
      </c>
      <c r="Y87" s="204">
        <f t="shared" si="34"/>
        <v>4.6600000000000003E-2</v>
      </c>
      <c r="Z87" s="204">
        <f t="shared" si="35"/>
        <v>23.330400000000001</v>
      </c>
      <c r="AA87" s="204">
        <f t="shared" si="43"/>
        <v>23.283799999999999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4"/>
        <v>175</v>
      </c>
      <c r="AE87" s="77" t="str">
        <f t="shared" si="45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87" s="74" t="str">
        <f t="shared" si="46"/>
        <v>"C:\Program Files (x86)\AstroGrep\AstroGrep.exe" /e /r /s /spath="%USERPROFILE%\AppData\Local\Temp\OnboardLogs" /stypes="app*4058*20171019*" /stext=" 19:.+((SYSTEM_STATE.+slice.+state.+changed )|(ment ac)|(multiple cpu faults)|(system.+state.+changed )|(\[timeout)|(PRM\|1\|D)|(kpr)|(kdp)|(train st.+moving)|(\|lc)|(penalty))"</v>
      </c>
      <c r="AG87" s="182" t="str">
        <f t="shared" si="47"/>
        <v>EC</v>
      </c>
      <c r="AH87" s="78" t="str">
        <f t="shared" si="48"/>
        <v>"%USERPROFILE%\Documents\GitHub\eaglep3\Utilities\RefineRTDCRunTimes.py" --tripid 175-19 --locoid 4058 --swversion DE.1.0.9.0 --startMP 204:466 --initTime 2017-10-19T12:53:42 --startdatetime 2017-10-19T13:00:14 --delay 76 --endMP 204:233304 --enddatetime 2017-10-19T13:35:51 --enforcementcount 0 &gt;&gt;%USERPROFILE%\Documents\GitHub\eaglep3-reporting\EC\2017-10-19-refined-times.txt</v>
      </c>
      <c r="AI87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{"issue":{"subject":"","project_id":79,"tracker_id":40,"status_id":1,"priority_id":2,"assigned_to_id":338,"start_date":"2017-10-19","description":"","custom_fields":[{"id":1,"name":"Subdivision","value":"EC"},{"id":4,"name":"Milepost","value":"23.3304"},{"id":17,"name":"Train ID","value":"175-19"},{"id":16,"name":"Locomotive ID","value":"4058"},{"id":130,"name":"Impact","value":""},{"id":150,"name":"Time of Event (Mountain Time)","value":"13:35:51"},{"id":151,"name":"Denver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50"/>
        <v>start /low /b %USERPROFILE%\Documents\GitHub\eaglep3\Utilities\DownloadLogsFromS3.py --loco 4058 --day 2017-10-19</v>
      </c>
      <c r="AN87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2"/>
        <v>https://d0f6bd738d7f1b3e5a7ca70fe4ff75f0.us-east-1.aws.found.io/app/kibana#/discover/Steve-Slow-Train-Analysis-(2080s-and-2083s)?_g=(refreshInterval:(display:Off,pause:!f,section:0,value:0),time:(from:'2017-10-19T11:53:42-0600',mode:absolute,to:'2017-10-19T14:35:51-0600'))&amp;_a=(columns:!('Message%20ID',Summary),filters:!(),index:'emp_*',interval:auto,query:(query_string:(analyze_wildcard:!t,query:'%22rtdc.l.rtdc.4058%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710</v>
      </c>
      <c r="B88" s="7">
        <v>4057</v>
      </c>
      <c r="C88" s="21" t="s">
        <v>194</v>
      </c>
      <c r="D88" s="21" t="s">
        <v>401</v>
      </c>
      <c r="E88" s="13">
        <v>43027.578622685185</v>
      </c>
      <c r="F88" s="13">
        <v>43027.581423611111</v>
      </c>
      <c r="G88" s="7">
        <v>75</v>
      </c>
      <c r="H88" s="21" t="s">
        <v>335</v>
      </c>
      <c r="I88" s="13">
        <v>43027.607256944444</v>
      </c>
      <c r="J88" s="7">
        <v>0</v>
      </c>
      <c r="K88" s="89" t="str">
        <f t="shared" si="36"/>
        <v>4057/4058</v>
      </c>
      <c r="L88" s="185" t="str">
        <f>VLOOKUP(A88,'Trips&amp;Operators'!$C$1:$G$99911,5,FALSE)</f>
        <v>BRUDER RICHARD</v>
      </c>
      <c r="M88" s="6">
        <f t="shared" si="37"/>
        <v>2.5833333333139308E-2</v>
      </c>
      <c r="N88" s="7">
        <f t="shared" si="38"/>
        <v>37.199999999720603</v>
      </c>
      <c r="O88" s="7"/>
      <c r="P88" s="7"/>
      <c r="Q88" s="22"/>
      <c r="R88" s="174"/>
      <c r="S88" s="221">
        <f t="shared" si="39"/>
        <v>1</v>
      </c>
      <c r="T88" s="174" t="str">
        <f t="shared" si="40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1"/>
        <v>https://d0f6bd738d7f1b3e5a7ca70fe4ff75f0.us-east-1.aws.found.io/app/kibana#/discover/Steve-Slow-Train-Analysis-(2080s-and-2083s)?_g=(refreshInterval:(display:Off,pause:!f,section:0,value:0),time:(from:'2017-10-19T12:53:13-0600',mode:absolute,to:'2017-10-19T15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8" s="204" t="str">
        <f>IF(AA88&lt;VLOOKUP(AG88,Variables!$AC$3:$AD$8,2,FALSE),"Y","N")</f>
        <v>N</v>
      </c>
      <c r="X88" s="204">
        <f t="shared" si="42"/>
        <v>1</v>
      </c>
      <c r="Y88" s="204">
        <f t="shared" si="34"/>
        <v>23.299099999999999</v>
      </c>
      <c r="Z88" s="204">
        <f t="shared" si="35"/>
        <v>1.4999999999999999E-2</v>
      </c>
      <c r="AA88" s="204">
        <f t="shared" si="43"/>
        <v>23.284099999999999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4"/>
        <v>176</v>
      </c>
      <c r="AE88" s="77" t="str">
        <f t="shared" si="45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88" s="74" t="str">
        <f t="shared" si="46"/>
        <v>"C:\Program Files (x86)\AstroGrep\AstroGrep.exe" /e /r /s /spath="%USERPROFILE%\AppData\Local\Temp\OnboardLogs" /stypes="app*4057*20171019*" /stext=" 20:.+((SYSTEM_STATE.+slice.+state.+changed )|(ment ac)|(multiple cpu faults)|(system.+state.+changed )|(\[timeout)|(PRM\|1\|D)|(kpr)|(kdp)|(train st.+moving)|(\|lc)|(penalty))"</v>
      </c>
      <c r="AG88" s="182" t="str">
        <f t="shared" si="47"/>
        <v>EC</v>
      </c>
      <c r="AH88" s="78" t="str">
        <f t="shared" si="48"/>
        <v>"%USERPROFILE%\Documents\GitHub\eaglep3\Utilities\RefineRTDCRunTimes.py" --tripid 176-19 --locoid 4057 --swversion DE.1.0.9.0 --startMP 204:232991 --initTime 2017-10-19T13:53:13 --startdatetime 2017-10-19T13:57:15 --delay 75 --endMP 204:150 --enddatetime 2017-10-19T14:34:27 --enforcementcount 0 &gt;&gt;%USERPROFILE%\Documents\GitHub\eaglep3-reporting\EC\2017-10-19-refined-times.txt</v>
      </c>
      <c r="AI88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{"issue":{"subject":"","project_id":79,"tracker_id":40,"status_id":1,"priority_id":2,"assigned_to_id":338,"start_date":"2017-10-19","description":"","custom_fields":[{"id":1,"name":"Subdivision","value":"EC"},{"id":4,"name":"Milepost","value":"0.015"},{"id":17,"name":"Train ID","value":"176-19"},{"id":16,"name":"Locomotive ID","value":"4057"},{"id":130,"name":"Impact","value":""},{"id":150,"name":"Time of Event (Mountain Time)","value":"14:34:27"},{"id":151,"name":"Denver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50"/>
        <v>start /low /b %USERPROFILE%\Documents\GitHub\eaglep3\Utilities\DownloadLogsFromS3.py --loco 4057 --day 2017-10-19</v>
      </c>
      <c r="AN88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2"/>
        <v>https://d0f6bd738d7f1b3e5a7ca70fe4ff75f0.us-east-1.aws.found.io/app/kibana#/discover/Steve-Slow-Train-Analysis-(2080s-and-2083s)?_g=(refreshInterval:(display:Off,pause:!f,section:0,value:0),time:(from:'2017-10-19T12:53:13-0600',mode:absolute,to:'2017-10-19T15:34:27-0600'))&amp;_a=(columns:!('Message%20ID',Summary),filters:!(),index:'emp_*',interval:auto,query:(query_string:(analyze_wildcard:!t,query:'%22rtdc.l.rtdc.4057%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705</v>
      </c>
      <c r="B89" s="7">
        <v>4018</v>
      </c>
      <c r="C89" s="21" t="s">
        <v>194</v>
      </c>
      <c r="D89" s="21" t="s">
        <v>386</v>
      </c>
      <c r="E89" s="13">
        <v>43027.548078703701</v>
      </c>
      <c r="F89" s="13">
        <v>43027.552303240744</v>
      </c>
      <c r="G89" s="7">
        <v>95</v>
      </c>
      <c r="H89" s="21" t="s">
        <v>430</v>
      </c>
      <c r="I89" s="13">
        <v>43027.577245370368</v>
      </c>
      <c r="J89" s="7">
        <v>0</v>
      </c>
      <c r="K89" s="89" t="str">
        <f t="shared" si="36"/>
        <v>4017/4018</v>
      </c>
      <c r="L89" s="185" t="str">
        <f>VLOOKUP(A89,'Trips&amp;Operators'!$C$1:$G$99911,5,FALSE)</f>
        <v>MOSES BRADLEY</v>
      </c>
      <c r="M89" s="6">
        <f t="shared" si="37"/>
        <v>2.4942129624832887E-2</v>
      </c>
      <c r="N89" s="7">
        <f t="shared" si="38"/>
        <v>35.916666659759358</v>
      </c>
      <c r="O89" s="7"/>
      <c r="P89" s="7"/>
      <c r="Q89" s="22"/>
      <c r="R89" s="174"/>
      <c r="S89" s="221">
        <f t="shared" si="39"/>
        <v>1</v>
      </c>
      <c r="T89" s="174" t="str">
        <f t="shared" si="40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1"/>
        <v>https://d0f6bd738d7f1b3e5a7ca70fe4ff75f0.us-east-1.aws.found.io/app/kibana#/discover/Steve-Slow-Train-Analysis-(2080s-and-2083s)?_g=(refreshInterval:(display:Off,pause:!f,section:0,value:0),time:(from:'2017-10-19T12:09:14-0600',mode:absolute,to:'2017-10-19T14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204" t="str">
        <f>IF(AA89&lt;VLOOKUP(AG89,Variables!$AC$3:$AD$8,2,FALSE),"Y","N")</f>
        <v>N</v>
      </c>
      <c r="X89" s="204">
        <f t="shared" si="42"/>
        <v>1</v>
      </c>
      <c r="Y89" s="204">
        <f t="shared" si="34"/>
        <v>4.7300000000000002E-2</v>
      </c>
      <c r="Z89" s="204">
        <f t="shared" si="35"/>
        <v>23.329499999999999</v>
      </c>
      <c r="AA89" s="204">
        <f t="shared" si="43"/>
        <v>23.2822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4"/>
        <v>177</v>
      </c>
      <c r="AE89" s="77" t="str">
        <f t="shared" si="45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89" s="74" t="str">
        <f t="shared" si="46"/>
        <v>"C:\Program Files (x86)\AstroGrep\AstroGrep.exe" /e /r /s /spath="%USERPROFILE%\AppData\Local\Temp\OnboardLogs" /stypes="app*4018*20171019*" /stext=" 19:.+((SYSTEM_STATE.+slice.+state.+changed )|(ment ac)|(multiple cpu faults)|(system.+state.+changed )|(\[timeout)|(PRM\|1\|D)|(kpr)|(kdp)|(train st.+moving)|(\|lc)|(penalty))"</v>
      </c>
      <c r="AG89" s="182" t="str">
        <f t="shared" si="47"/>
        <v>EC</v>
      </c>
      <c r="AH89" s="78" t="str">
        <f t="shared" si="48"/>
        <v>"%USERPROFILE%\Documents\GitHub\eaglep3\Utilities\RefineRTDCRunTimes.py" --tripid 177-19 --locoid 4018 --swversion DE.1.0.9.0 --startMP 204:473 --initTime 2017-10-19T13:09:14 --startdatetime 2017-10-19T13:15:19 --delay 95 --endMP 204:233295 --enddatetime 2017-10-19T13:51:14 --enforcementcount 0 &gt;&gt;%USERPROFILE%\Documents\GitHub\eaglep3-reporting\EC\2017-10-19-refined-times.txt</v>
      </c>
      <c r="AI89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{"issue":{"subject":"","project_id":79,"tracker_id":40,"status_id":1,"priority_id":2,"assigned_to_id":338,"start_date":"2017-10-19","description":"","custom_fields":[{"id":1,"name":"Subdivision","value":"EC"},{"id":4,"name":"Milepost","value":"23.3295"},{"id":17,"name":"Train ID","value":"177-19"},{"id":16,"name":"Locomotive ID","value":"4018"},{"id":130,"name":"Impact","value":""},{"id":150,"name":"Time of Event (Mountain Time)","value":"13:51:14"},{"id":151,"name":"Denver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50"/>
        <v>start /low /b %USERPROFILE%\Documents\GitHub\eaglep3\Utilities\DownloadLogsFromS3.py --loco 4018 --day 2017-10-19</v>
      </c>
      <c r="AN89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2"/>
        <v>https://d0f6bd738d7f1b3e5a7ca70fe4ff75f0.us-east-1.aws.found.io/app/kibana#/discover/Steve-Slow-Train-Analysis-(2080s-and-2083s)?_g=(refreshInterval:(display:Off,pause:!f,section:0,value:0),time:(from:'2017-10-19T12:09:14-0600',mode:absolute,to:'2017-10-19T14:51:14-0600'))&amp;_a=(columns:!('Message%20ID',Summary),filters:!(),index:'emp_*',interval:auto,query:(query_string:(analyze_wildcard:!t,query:'%22rtdc.l.rtdc.4018%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714</v>
      </c>
      <c r="B90" s="7">
        <v>4017</v>
      </c>
      <c r="C90" s="21" t="s">
        <v>194</v>
      </c>
      <c r="D90" s="21" t="s">
        <v>829</v>
      </c>
      <c r="E90" s="13">
        <v>43027.589780092596</v>
      </c>
      <c r="F90" s="13">
        <v>43027.591921296298</v>
      </c>
      <c r="G90" s="7">
        <v>66</v>
      </c>
      <c r="H90" s="21" t="s">
        <v>337</v>
      </c>
      <c r="I90" s="13">
        <v>43027.618969907409</v>
      </c>
      <c r="J90" s="7">
        <v>0</v>
      </c>
      <c r="K90" s="89" t="str">
        <f t="shared" si="36"/>
        <v>4017/4018</v>
      </c>
      <c r="L90" s="185" t="str">
        <f>VLOOKUP(A90,'Trips&amp;Operators'!$C$1:$G$99911,5,FALSE)</f>
        <v>MOSES BRADLEY</v>
      </c>
      <c r="M90" s="6">
        <f t="shared" si="37"/>
        <v>2.7048611111240461E-2</v>
      </c>
      <c r="N90" s="7">
        <f t="shared" si="38"/>
        <v>38.950000000186265</v>
      </c>
      <c r="O90" s="7"/>
      <c r="P90" s="7"/>
      <c r="Q90" s="22"/>
      <c r="R90" s="174"/>
      <c r="S90" s="221">
        <f t="shared" si="39"/>
        <v>1</v>
      </c>
      <c r="T90" s="174" t="str">
        <f t="shared" si="40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1"/>
        <v>https://d0f6bd738d7f1b3e5a7ca70fe4ff75f0.us-east-1.aws.found.io/app/kibana#/discover/Steve-Slow-Train-Analysis-(2080s-and-2083s)?_g=(refreshInterval:(display:Off,pause:!f,section:0,value:0),time:(from:'2017-10-19T13:09:17-0600',mode:absolute,to:'2017-10-19T15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204" t="str">
        <f>IF(AA90&lt;VLOOKUP(AG90,Variables!$AC$3:$AD$8,2,FALSE),"Y","N")</f>
        <v>N</v>
      </c>
      <c r="X90" s="204">
        <f t="shared" si="42"/>
        <v>1</v>
      </c>
      <c r="Y90" s="204">
        <f t="shared" si="34"/>
        <v>23.2973</v>
      </c>
      <c r="Z90" s="204">
        <f t="shared" si="35"/>
        <v>1.43E-2</v>
      </c>
      <c r="AA90" s="204">
        <f t="shared" si="43"/>
        <v>23.283000000000001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4"/>
        <v>178</v>
      </c>
      <c r="AE90" s="77" t="str">
        <f t="shared" si="45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90" s="74" t="str">
        <f t="shared" si="46"/>
        <v>"C:\Program Files (x86)\AstroGrep\AstroGrep.exe" /e /r /s /spath="%USERPROFILE%\AppData\Local\Temp\OnboardLogs" /stypes="app*4017*20171019*" /stext=" 20:.+((SYSTEM_STATE.+slice.+state.+changed )|(ment ac)|(multiple cpu faults)|(system.+state.+changed )|(\[timeout)|(PRM\|1\|D)|(kpr)|(kdp)|(train st.+moving)|(\|lc)|(penalty))"</v>
      </c>
      <c r="AG90" s="182" t="str">
        <f t="shared" si="47"/>
        <v>EC</v>
      </c>
      <c r="AH90" s="78" t="str">
        <f t="shared" si="48"/>
        <v>"%USERPROFILE%\Documents\GitHub\eaglep3\Utilities\RefineRTDCRunTimes.py" --tripid 178-19 --locoid 4017 --swversion DE.1.0.9.0 --startMP 204:232973 --initTime 2017-10-19T14:09:17 --startdatetime 2017-10-19T14:12:22 --delay 66 --endMP 204:143 --enddatetime 2017-10-19T14:51:19 --enforcementcount 0 &gt;&gt;%USERPROFILE%\Documents\GitHub\eaglep3-reporting\EC\2017-10-19-refined-times.txt</v>
      </c>
      <c r="AI90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{"issue":{"subject":"","project_id":79,"tracker_id":40,"status_id":1,"priority_id":2,"assigned_to_id":338,"start_date":"2017-10-19","description":"","custom_fields":[{"id":1,"name":"Subdivision","value":"EC"},{"id":4,"name":"Milepost","value":"0.0143"},{"id":17,"name":"Train ID","value":"178-19"},{"id":16,"name":"Locomotive ID","value":"4017"},{"id":130,"name":"Impact","value":""},{"id":150,"name":"Time of Event (Mountain Time)","value":"14:51:19"},{"id":151,"name":"Denver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50"/>
        <v>start /low /b %USERPROFILE%\Documents\GitHub\eaglep3\Utilities\DownloadLogsFromS3.py --loco 4017 --day 2017-10-19</v>
      </c>
      <c r="AN90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2"/>
        <v>https://d0f6bd738d7f1b3e5a7ca70fe4ff75f0.us-east-1.aws.found.io/app/kibana#/discover/Steve-Slow-Train-Analysis-(2080s-and-2083s)?_g=(refreshInterval:(display:Off,pause:!f,section:0,value:0),time:(from:'2017-10-19T13:09:17-0600',mode:absolute,to:'2017-10-19T15:51:19-0600'))&amp;_a=(columns:!('Message%20ID',Summary),filters:!(),index:'emp_*',interval:auto,query:(query_string:(analyze_wildcard:!t,query:'%22rtdc.l.rtdc.4017%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708</v>
      </c>
      <c r="B91" s="7">
        <v>4016</v>
      </c>
      <c r="C91" s="21" t="s">
        <v>194</v>
      </c>
      <c r="D91" s="21" t="s">
        <v>449</v>
      </c>
      <c r="E91" s="13">
        <v>43027.559328703705</v>
      </c>
      <c r="F91" s="13">
        <v>43027.562685185185</v>
      </c>
      <c r="G91" s="7">
        <v>72</v>
      </c>
      <c r="H91" s="21" t="s">
        <v>830</v>
      </c>
      <c r="I91" s="13">
        <v>43027.587569444448</v>
      </c>
      <c r="J91" s="7">
        <v>0</v>
      </c>
      <c r="K91" s="89" t="str">
        <f t="shared" si="36"/>
        <v>4015/4016</v>
      </c>
      <c r="L91" s="185" t="str">
        <f>VLOOKUP(A91,'Trips&amp;Operators'!$C$1:$G$99911,5,FALSE)</f>
        <v>LEVIN SCOTT</v>
      </c>
      <c r="M91" s="6">
        <f t="shared" si="37"/>
        <v>2.4884259262762498E-2</v>
      </c>
      <c r="N91" s="7">
        <f t="shared" si="38"/>
        <v>35.833333338377997</v>
      </c>
      <c r="O91" s="7"/>
      <c r="P91" s="7"/>
      <c r="Q91" s="22"/>
      <c r="R91" s="174"/>
      <c r="S91" s="221">
        <f t="shared" si="39"/>
        <v>1</v>
      </c>
      <c r="T91" s="174" t="str">
        <f t="shared" si="40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1"/>
        <v>https://d0f6bd738d7f1b3e5a7ca70fe4ff75f0.us-east-1.aws.found.io/app/kibana#/discover/Steve-Slow-Train-Analysis-(2080s-and-2083s)?_g=(refreshInterval:(display:Off,pause:!f,section:0,value:0),time:(from:'2017-10-19T12:25:26-0600',mode:absolute,to:'2017-10-19T15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204" t="str">
        <f>IF(AA91&lt;VLOOKUP(AG91,Variables!$AC$3:$AD$8,2,FALSE),"Y","N")</f>
        <v>N</v>
      </c>
      <c r="X91" s="204">
        <f t="shared" si="42"/>
        <v>1</v>
      </c>
      <c r="Y91" s="204">
        <f t="shared" si="34"/>
        <v>4.6899999999999997E-2</v>
      </c>
      <c r="Z91" s="204">
        <f t="shared" si="35"/>
        <v>23.334</v>
      </c>
      <c r="AA91" s="204">
        <f t="shared" si="43"/>
        <v>23.287099999999999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4"/>
        <v>179</v>
      </c>
      <c r="AE91" s="77" t="str">
        <f t="shared" si="45"/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91" s="74" t="str">
        <f t="shared" si="46"/>
        <v>"C:\Program Files (x86)\AstroGrep\AstroGrep.exe" /e /r /s /spath="%USERPROFILE%\AppData\Local\Temp\OnboardLogs" /stypes="app*4016*20171019*" /stext=" 20:.+((SYSTEM_STATE.+slice.+state.+changed )|(ment ac)|(multiple cpu faults)|(system.+state.+changed )|(\[timeout)|(PRM\|1\|D)|(kpr)|(kdp)|(train st.+moving)|(\|lc)|(penalty))"</v>
      </c>
      <c r="AG91" s="182" t="str">
        <f t="shared" si="47"/>
        <v>EC</v>
      </c>
      <c r="AH91" s="78" t="str">
        <f t="shared" si="48"/>
        <v>"%USERPROFILE%\Documents\GitHub\eaglep3\Utilities\RefineRTDCRunTimes.py" --tripid 179-19 --locoid 4016 --swversion DE.1.0.9.0 --startMP 204:469 --initTime 2017-10-19T13:25:26 --startdatetime 2017-10-19T13:30:16 --delay 72 --endMP 204:233340 --enddatetime 2017-10-19T14:06:06 --enforcementcount 0 &gt;&gt;%USERPROFILE%\Documents\GitHub\eaglep3-reporting\EC\2017-10-19-refined-times.txt</v>
      </c>
      <c r="AI91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{"issue":{"subject":"","project_id":79,"tracker_id":40,"status_id":1,"priority_id":2,"assigned_to_id":338,"start_date":"2017-10-19","description":"","custom_fields":[{"id":1,"name":"Subdivision","value":"EC"},{"id":4,"name":"Milepost","value":"23.334"},{"id":17,"name":"Train ID","value":"179-19"},{"id":16,"name":"Locomotive ID","value":"4016"},{"id":130,"name":"Impact","value":""},{"id":150,"name":"Time of Event (Mountain Time)","value":"14:06:06"},{"id":151,"name":"Denver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50"/>
        <v>start /low /b %USERPROFILE%\Documents\GitHub\eaglep3\Utilities\DownloadLogsFromS3.py --loco 4016 --day 2017-10-19</v>
      </c>
      <c r="AN91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2"/>
        <v>https://d0f6bd738d7f1b3e5a7ca70fe4ff75f0.us-east-1.aws.found.io/app/kibana#/discover/Steve-Slow-Train-Analysis-(2080s-and-2083s)?_g=(refreshInterval:(display:Off,pause:!f,section:0,value:0),time:(from:'2017-10-19T12:25:26-0600',mode:absolute,to:'2017-10-19T15:06:06-0600'))&amp;_a=(columns:!('Message%20ID',Summary),filters:!(),index:'emp_*',interval:auto,query:(query_string:(analyze_wildcard:!t,query:'%22rtdc.l.rtdc.4016%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715</v>
      </c>
      <c r="B92" s="7">
        <v>4015</v>
      </c>
      <c r="C92" s="21" t="s">
        <v>194</v>
      </c>
      <c r="D92" s="21" t="s">
        <v>846</v>
      </c>
      <c r="E92" s="13">
        <v>43027.593009259261</v>
      </c>
      <c r="F92" s="13">
        <v>43027.602442129632</v>
      </c>
      <c r="G92" s="7">
        <v>49</v>
      </c>
      <c r="H92" s="21" t="s">
        <v>336</v>
      </c>
      <c r="I92" s="13">
        <v>43027.629618055558</v>
      </c>
      <c r="J92" s="7">
        <v>0</v>
      </c>
      <c r="K92" s="89" t="str">
        <f t="shared" si="36"/>
        <v>4015/4016</v>
      </c>
      <c r="L92" s="185" t="str">
        <f>VLOOKUP(A92,'Trips&amp;Operators'!$C$1:$G$99911,5,FALSE)</f>
        <v>LEVIN SCOTT</v>
      </c>
      <c r="M92" s="6">
        <f t="shared" si="37"/>
        <v>2.7175925926712807E-2</v>
      </c>
      <c r="N92" s="7">
        <f t="shared" si="38"/>
        <v>39.133333334466442</v>
      </c>
      <c r="O92" s="7"/>
      <c r="P92" s="7"/>
      <c r="Q92" s="22"/>
      <c r="R92" s="174"/>
      <c r="S92" s="221">
        <f t="shared" si="39"/>
        <v>1</v>
      </c>
      <c r="T92" s="174" t="str">
        <f t="shared" si="40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1"/>
        <v>https://d0f6bd738d7f1b3e5a7ca70fe4ff75f0.us-east-1.aws.found.io/app/kibana#/discover/Steve-Slow-Train-Analysis-(2080s-and-2083s)?_g=(refreshInterval:(display:Off,pause:!f,section:0,value:0),time:(from:'2017-10-19T13:13:56-0600',mode:absolute,to:'2017-10-19T16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204" t="str">
        <f>IF(AA92&lt;VLOOKUP(AG92,Variables!$AC$3:$AD$8,2,FALSE),"Y","N")</f>
        <v>N</v>
      </c>
      <c r="X92" s="204">
        <f t="shared" si="42"/>
        <v>1</v>
      </c>
      <c r="Y92" s="204">
        <f t="shared" si="34"/>
        <v>23.304200000000002</v>
      </c>
      <c r="Z92" s="204">
        <f t="shared" si="35"/>
        <v>1.49E-2</v>
      </c>
      <c r="AA92" s="204">
        <f t="shared" si="43"/>
        <v>23.289300000000001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4"/>
        <v>180</v>
      </c>
      <c r="AE92" s="77" t="str">
        <f t="shared" si="45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92" s="74" t="str">
        <f t="shared" si="46"/>
        <v>"C:\Program Files (x86)\AstroGrep\AstroGrep.exe" /e /r /s /spath="%USERPROFILE%\AppData\Local\Temp\OnboardLogs" /stypes="app*4015*20171019*" /stext=" 21:.+((SYSTEM_STATE.+slice.+state.+changed )|(ment ac)|(multiple cpu faults)|(system.+state.+changed )|(\[timeout)|(PRM\|1\|D)|(kpr)|(kdp)|(train st.+moving)|(\|lc)|(penalty))"</v>
      </c>
      <c r="AG92" s="182" t="str">
        <f t="shared" si="47"/>
        <v>EC</v>
      </c>
      <c r="AH92" s="78" t="str">
        <f t="shared" si="48"/>
        <v>"%USERPROFILE%\Documents\GitHub\eaglep3\Utilities\RefineRTDCRunTimes.py" --tripid 180-19 --locoid 4015 --swversion DE.1.0.9.0 --startMP 204:233042 --initTime 2017-10-19T14:13:56 --startdatetime 2017-10-19T14:27:31 --delay 49 --endMP 204:149 --enddatetime 2017-10-19T15:06:39 --enforcementcount 0 &gt;&gt;%USERPROFILE%\Documents\GitHub\eaglep3-reporting\EC\2017-10-19-refined-times.txt</v>
      </c>
      <c r="AI92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{"issue":{"subject":"","project_id":79,"tracker_id":40,"status_id":1,"priority_id":2,"assigned_to_id":338,"start_date":"2017-10-19","description":"","custom_fields":[{"id":1,"name":"Subdivision","value":"EC"},{"id":4,"name":"Milepost","value":"0.0149"},{"id":17,"name":"Train ID","value":"180-19"},{"id":16,"name":"Locomotive ID","value":"4015"},{"id":130,"name":"Impact","value":""},{"id":150,"name":"Time of Event (Mountain Time)","value":"15:06:39"},{"id":151,"name":"Denver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50"/>
        <v>start /low /b %USERPROFILE%\Documents\GitHub\eaglep3\Utilities\DownloadLogsFromS3.py --loco 4015 --day 2017-10-19</v>
      </c>
      <c r="AN92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2"/>
        <v>https://d0f6bd738d7f1b3e5a7ca70fe4ff75f0.us-east-1.aws.found.io/app/kibana#/discover/Steve-Slow-Train-Analysis-(2080s-and-2083s)?_g=(refreshInterval:(display:Off,pause:!f,section:0,value:0),time:(from:'2017-10-19T13:13:56-0600',mode:absolute,to:'2017-10-19T16:06:39-0600'))&amp;_a=(columns:!('Message%20ID',Summary),filters:!(),index:'emp_*',interval:auto,query:(query_string:(analyze_wildcard:!t,query:'%22rtdc.l.rtdc.4015%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709</v>
      </c>
      <c r="B93" s="7">
        <v>4008</v>
      </c>
      <c r="C93" s="21" t="s">
        <v>194</v>
      </c>
      <c r="D93" s="21" t="s">
        <v>369</v>
      </c>
      <c r="E93" s="13">
        <v>43027.568229166667</v>
      </c>
      <c r="F93" s="13">
        <v>43027.573182870372</v>
      </c>
      <c r="G93" s="7">
        <v>114</v>
      </c>
      <c r="H93" s="21" t="s">
        <v>847</v>
      </c>
      <c r="I93" s="13">
        <v>43027.598645833335</v>
      </c>
      <c r="J93" s="7">
        <v>0</v>
      </c>
      <c r="K93" s="89" t="str">
        <f t="shared" si="36"/>
        <v>4007/4008</v>
      </c>
      <c r="L93" s="185" t="str">
        <f>VLOOKUP(A93,'Trips&amp;Operators'!$C$1:$G$99911,5,FALSE)</f>
        <v>BERLING GARY</v>
      </c>
      <c r="M93" s="6">
        <f t="shared" si="37"/>
        <v>2.5462962963501923E-2</v>
      </c>
      <c r="N93" s="7">
        <f t="shared" si="38"/>
        <v>36.666666667442769</v>
      </c>
      <c r="O93" s="7"/>
      <c r="P93" s="7"/>
      <c r="Q93" s="22"/>
      <c r="R93" s="174"/>
      <c r="S93" s="221">
        <f t="shared" si="39"/>
        <v>1</v>
      </c>
      <c r="T93" s="174" t="str">
        <f t="shared" si="40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1"/>
        <v>https://d0f6bd738d7f1b3e5a7ca70fe4ff75f0.us-east-1.aws.found.io/app/kibana#/discover/Steve-Slow-Train-Analysis-(2080s-and-2083s)?_g=(refreshInterval:(display:Off,pause:!f,section:0,value:0),time:(from:'2017-10-19T12:38:15-0600',mode:absolute,to:'2017-10-19T15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3" s="204" t="str">
        <f>IF(AA93&lt;VLOOKUP(AG93,Variables!$AC$3:$AD$8,2,FALSE),"Y","N")</f>
        <v>N</v>
      </c>
      <c r="X93" s="204">
        <f t="shared" si="42"/>
        <v>1</v>
      </c>
      <c r="Y93" s="204">
        <f t="shared" si="34"/>
        <v>4.7100000000000003E-2</v>
      </c>
      <c r="Z93" s="204">
        <f t="shared" si="35"/>
        <v>23.331600000000002</v>
      </c>
      <c r="AA93" s="204">
        <f t="shared" si="43"/>
        <v>23.284500000000001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4"/>
        <v>181</v>
      </c>
      <c r="AE93" s="77" t="str">
        <f t="shared" si="45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93" s="74" t="str">
        <f t="shared" si="46"/>
        <v>"C:\Program Files (x86)\AstroGrep\AstroGrep.exe" /e /r /s /spath="%USERPROFILE%\AppData\Local\Temp\OnboardLogs" /stypes="app*4008*20171019*" /stext=" 20:.+((SYSTEM_STATE.+slice.+state.+changed )|(ment ac)|(multiple cpu faults)|(system.+state.+changed )|(\[timeout)|(PRM\|1\|D)|(kpr)|(kdp)|(train st.+moving)|(\|lc)|(penalty))"</v>
      </c>
      <c r="AG93" s="182" t="str">
        <f t="shared" si="47"/>
        <v>EC</v>
      </c>
      <c r="AH93" s="78" t="str">
        <f t="shared" si="48"/>
        <v>"%USERPROFILE%\Documents\GitHub\eaglep3\Utilities\RefineRTDCRunTimes.py" --tripid 181-19 --locoid 4008 --swversion DE.1.0.9.0 --startMP 204:471 --initTime 2017-10-19T13:38:15 --startdatetime 2017-10-19T13:45:23 --delay 114 --endMP 204:233316 --enddatetime 2017-10-19T14:22:03 --enforcementcount 0 &gt;&gt;%USERPROFILE%\Documents\GitHub\eaglep3-reporting\EC\2017-10-19-refined-times.txt</v>
      </c>
      <c r="AI93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{"issue":{"subject":"","project_id":79,"tracker_id":40,"status_id":1,"priority_id":2,"assigned_to_id":338,"start_date":"2017-10-19","description":"","custom_fields":[{"id":1,"name":"Subdivision","value":"EC"},{"id":4,"name":"Milepost","value":"23.3316"},{"id":17,"name":"Train ID","value":"181-19"},{"id":16,"name":"Locomotive ID","value":"4008"},{"id":130,"name":"Impact","value":""},{"id":150,"name":"Time of Event (Mountain Time)","value":"14:22:03"},{"id":151,"name":"Denver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50"/>
        <v>start /low /b %USERPROFILE%\Documents\GitHub\eaglep3\Utilities\DownloadLogsFromS3.py --loco 4008 --day 2017-10-19</v>
      </c>
      <c r="AN93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2"/>
        <v>https://d0f6bd738d7f1b3e5a7ca70fe4ff75f0.us-east-1.aws.found.io/app/kibana#/discover/Steve-Slow-Train-Analysis-(2080s-and-2083s)?_g=(refreshInterval:(display:Off,pause:!f,section:0,value:0),time:(from:'2017-10-19T12:38:15-0600',mode:absolute,to:'2017-10-19T15:22:03-0600'))&amp;_a=(columns:!('Message%20ID',Summary),filters:!(),index:'emp_*',interval:auto,query:(query_string:(analyze_wildcard:!t,query:'%22rtdc.l.rtdc.4008%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584</v>
      </c>
      <c r="B94" s="7">
        <v>4007</v>
      </c>
      <c r="C94" s="21" t="s">
        <v>194</v>
      </c>
      <c r="D94" s="21" t="s">
        <v>448</v>
      </c>
      <c r="E94" s="13">
        <v>43027.608391203707</v>
      </c>
      <c r="F94" s="13">
        <v>43027.612685185188</v>
      </c>
      <c r="G94" s="7">
        <v>58</v>
      </c>
      <c r="H94" s="21" t="s">
        <v>337</v>
      </c>
      <c r="I94" s="13">
        <v>43027.641053240739</v>
      </c>
      <c r="J94" s="7">
        <v>0</v>
      </c>
      <c r="K94" s="89" t="str">
        <f t="shared" si="36"/>
        <v>4007/4008</v>
      </c>
      <c r="L94" s="185" t="str">
        <f>VLOOKUP(A94,'Trips&amp;Operators'!$C$1:$G$99911,5,FALSE)</f>
        <v>BERLING GARY</v>
      </c>
      <c r="M94" s="6">
        <f t="shared" si="37"/>
        <v>2.8368055551254656E-2</v>
      </c>
      <c r="N94" s="7">
        <f t="shared" si="38"/>
        <v>40.849999993806705</v>
      </c>
      <c r="O94" s="7"/>
      <c r="P94" s="7"/>
      <c r="Q94" s="22"/>
      <c r="R94" s="174"/>
      <c r="S94" s="221">
        <f t="shared" si="39"/>
        <v>1</v>
      </c>
      <c r="T94" s="174" t="str">
        <f t="shared" si="40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1"/>
        <v>https://d0f6bd738d7f1b3e5a7ca70fe4ff75f0.us-east-1.aws.found.io/app/kibana#/discover/Steve-Slow-Train-Analysis-(2080s-and-2083s)?_g=(refreshInterval:(display:Off,pause:!f,section:0,value:0),time:(from:'2017-10-19T13:36:05-0600',mode:absolute,to:'2017-10-19T16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204" t="str">
        <f>IF(AA94&lt;VLOOKUP(AG94,Variables!$AC$3:$AD$8,2,FALSE),"Y","N")</f>
        <v>N</v>
      </c>
      <c r="X94" s="204">
        <f t="shared" si="42"/>
        <v>1</v>
      </c>
      <c r="Y94" s="204">
        <f t="shared" ref="Y94:Y125" si="53">RIGHT(D94,LEN(D94)-4)/10000</f>
        <v>23.299600000000002</v>
      </c>
      <c r="Z94" s="204">
        <f t="shared" ref="Z94:Z125" si="54">RIGHT(H94,LEN(H94)-4)/10000</f>
        <v>1.43E-2</v>
      </c>
      <c r="AA94" s="204">
        <f t="shared" si="43"/>
        <v>23.285300000000003</v>
      </c>
      <c r="AB94" s="54" t="str">
        <f>VLOOKUP(A94,Enforcements!$C$7:$K$11,8,0)</f>
        <v>Speed (6)</v>
      </c>
      <c r="AC94" s="51" t="str">
        <f>VLOOKUP(A94,Enforcements!$C$7:$E$11,3,0)</f>
        <v>PERMANENT SPEED RESTRICTION</v>
      </c>
      <c r="AD94" s="179">
        <f t="shared" si="44"/>
        <v>182</v>
      </c>
      <c r="AE94" s="77" t="str">
        <f t="shared" si="45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94" s="74" t="str">
        <f t="shared" si="46"/>
        <v>"C:\Program Files (x86)\AstroGrep\AstroGrep.exe" /e /r /s /spath="%USERPROFILE%\AppData\Local\Temp\OnboardLogs" /stypes="app*4007*20171019*" /stext=" 21:.+((SYSTEM_STATE.+slice.+state.+changed )|(ment ac)|(multiple cpu faults)|(system.+state.+changed )|(\[timeout)|(PRM\|1\|D)|(kpr)|(kdp)|(train st.+moving)|(\|lc)|(penalty))"</v>
      </c>
      <c r="AG94" s="182" t="str">
        <f t="shared" si="47"/>
        <v>EC</v>
      </c>
      <c r="AH94" s="78" t="str">
        <f t="shared" si="48"/>
        <v>"%USERPROFILE%\Documents\GitHub\eaglep3\Utilities\RefineRTDCRunTimes.py" --tripid 182-19 --locoid 4007 --swversion DE.1.0.9.0 --startMP 204:232996 --initTime 2017-10-19T14:36:05 --startdatetime 2017-10-19T14:42:16 --delay 58 --endMP 204:143 --enddatetime 2017-10-19T15:23:07 --enforcementcount 0 &gt;&gt;%USERPROFILE%\Documents\GitHub\eaglep3-reporting\EC\2017-10-19-refined-times.txt</v>
      </c>
      <c r="AI94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{"issue":{"subject":"","project_id":79,"tracker_id":40,"status_id":1,"priority_id":2,"assigned_to_id":338,"start_date":"2017-10-19","description":"","custom_fields":[{"id":1,"name":"Subdivision","value":"EC"},{"id":4,"name":"Milepost","value":"0.0143"},{"id":17,"name":"Train ID","value":"182-19"},{"id":16,"name":"Locomotive ID","value":"4007"},{"id":130,"name":"Impact","value":""},{"id":150,"name":"Time of Event (Mountain Time)","value":"15:23:07"},{"id":151,"name":"Denver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50"/>
        <v>start /low /b %USERPROFILE%\Documents\GitHub\eaglep3\Utilities\DownloadLogsFromS3.py --loco 4007 --day 2017-10-19</v>
      </c>
      <c r="AN94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2"/>
        <v>https://d0f6bd738d7f1b3e5a7ca70fe4ff75f0.us-east-1.aws.found.io/app/kibana#/discover/Steve-Slow-Train-Analysis-(2080s-and-2083s)?_g=(refreshInterval:(display:Off,pause:!f,section:0,value:0),time:(from:'2017-10-19T13:36:05-0600',mode:absolute,to:'2017-10-19T16:23:07-0600'))&amp;_a=(columns:!('Message%20ID',Summary),filters:!(),index:'emp_*',interval:auto,query:(query_string:(analyze_wildcard:!t,query:'%22rtdc.l.rtdc.4007%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711</v>
      </c>
      <c r="B95" s="7">
        <v>4014</v>
      </c>
      <c r="C95" s="21" t="s">
        <v>194</v>
      </c>
      <c r="D95" s="21" t="s">
        <v>824</v>
      </c>
      <c r="E95" s="13">
        <v>43027.57917824074</v>
      </c>
      <c r="F95" s="13">
        <v>43027.583587962959</v>
      </c>
      <c r="G95" s="7">
        <v>59</v>
      </c>
      <c r="H95" s="21" t="s">
        <v>518</v>
      </c>
      <c r="I95" s="13">
        <v>43027.608761574076</v>
      </c>
      <c r="J95" s="7">
        <v>0</v>
      </c>
      <c r="K95" s="89" t="str">
        <f t="shared" si="36"/>
        <v>4013/4014</v>
      </c>
      <c r="L95" s="185" t="str">
        <f>VLOOKUP(A95,'Trips&amp;Operators'!$C$1:$G$99911,5,FALSE)</f>
        <v>LEVERE CRAIG</v>
      </c>
      <c r="M95" s="6">
        <f t="shared" si="37"/>
        <v>2.5173611116770189E-2</v>
      </c>
      <c r="N95" s="7">
        <f t="shared" si="38"/>
        <v>36.250000008149073</v>
      </c>
      <c r="O95" s="7"/>
      <c r="P95" s="7"/>
      <c r="Q95" s="22"/>
      <c r="R95" s="174"/>
      <c r="S95" s="221">
        <f t="shared" si="39"/>
        <v>1</v>
      </c>
      <c r="T95" s="174" t="str">
        <f t="shared" si="40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1"/>
        <v>https://d0f6bd738d7f1b3e5a7ca70fe4ff75f0.us-east-1.aws.found.io/app/kibana#/discover/Steve-Slow-Train-Analysis-(2080s-and-2083s)?_g=(refreshInterval:(display:Off,pause:!f,section:0,value:0),time:(from:'2017-10-19T12:54:01-0600',mode:absolute,to:'2017-10-19T15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204" t="str">
        <f>IF(AA95&lt;VLOOKUP(AG95,Variables!$AC$3:$AD$8,2,FALSE),"Y","N")</f>
        <v>N</v>
      </c>
      <c r="X95" s="204">
        <f t="shared" si="42"/>
        <v>1</v>
      </c>
      <c r="Y95" s="204">
        <f t="shared" si="53"/>
        <v>4.4900000000000002E-2</v>
      </c>
      <c r="Z95" s="204">
        <f t="shared" si="54"/>
        <v>23.331499999999998</v>
      </c>
      <c r="AA95" s="204">
        <f t="shared" si="43"/>
        <v>23.2866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4"/>
        <v>183</v>
      </c>
      <c r="AE95" s="77" t="str">
        <f t="shared" si="45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95" s="74" t="str">
        <f t="shared" si="46"/>
        <v>"C:\Program Files (x86)\AstroGrep\AstroGrep.exe" /e /r /s /spath="%USERPROFILE%\AppData\Local\Temp\OnboardLogs" /stypes="app*4014*20171019*" /stext=" 20:.+((SYSTEM_STATE.+slice.+state.+changed )|(ment ac)|(multiple cpu faults)|(system.+state.+changed )|(\[timeout)|(PRM\|1\|D)|(kpr)|(kdp)|(train st.+moving)|(\|lc)|(penalty))"</v>
      </c>
      <c r="AG95" s="182" t="str">
        <f t="shared" si="47"/>
        <v>EC</v>
      </c>
      <c r="AH95" s="78" t="str">
        <f t="shared" si="48"/>
        <v>"%USERPROFILE%\Documents\GitHub\eaglep3\Utilities\RefineRTDCRunTimes.py" --tripid 183-19 --locoid 4014 --swversion DE.1.0.9.0 --startMP 204:449 --initTime 2017-10-19T13:54:01 --startdatetime 2017-10-19T14:00:22 --delay 59 --endMP 204:233315 --enddatetime 2017-10-19T14:36:37 --enforcementcount 0 &gt;&gt;%USERPROFILE%\Documents\GitHub\eaglep3-reporting\EC\2017-10-19-refined-times.txt</v>
      </c>
      <c r="AI95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{"issue":{"subject":"","project_id":79,"tracker_id":40,"status_id":1,"priority_id":2,"assigned_to_id":338,"start_date":"2017-10-19","description":"","custom_fields":[{"id":1,"name":"Subdivision","value":"EC"},{"id":4,"name":"Milepost","value":"23.3315"},{"id":17,"name":"Train ID","value":"183-19"},{"id":16,"name":"Locomotive ID","value":"4014"},{"id":130,"name":"Impact","value":""},{"id":150,"name":"Time of Event (Mountain Time)","value":"14:36:37"},{"id":151,"name":"Denver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50"/>
        <v>start /low /b %USERPROFILE%\Documents\GitHub\eaglep3\Utilities\DownloadLogsFromS3.py --loco 4014 --day 2017-10-19</v>
      </c>
      <c r="AN95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2"/>
        <v>https://d0f6bd738d7f1b3e5a7ca70fe4ff75f0.us-east-1.aws.found.io/app/kibana#/discover/Steve-Slow-Train-Analysis-(2080s-and-2083s)?_g=(refreshInterval:(display:Off,pause:!f,section:0,value:0),time:(from:'2017-10-19T12:54:01-0600',mode:absolute,to:'2017-10-19T15:36:37-0600'))&amp;_a=(columns:!('Message%20ID',Summary),filters:!(),index:'emp_*',interval:auto,query:(query_string:(analyze_wildcard:!t,query:'%22rtdc.l.rtdc.4014%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717</v>
      </c>
      <c r="B96" s="7">
        <v>4013</v>
      </c>
      <c r="C96" s="21" t="s">
        <v>194</v>
      </c>
      <c r="D96" s="21" t="s">
        <v>475</v>
      </c>
      <c r="E96" s="13">
        <v>43027.617986111109</v>
      </c>
      <c r="F96" s="13">
        <v>43027.623101851852</v>
      </c>
      <c r="G96" s="7">
        <v>59</v>
      </c>
      <c r="H96" s="21" t="s">
        <v>390</v>
      </c>
      <c r="I96" s="13">
        <v>43027.649398148147</v>
      </c>
      <c r="J96" s="7">
        <v>0</v>
      </c>
      <c r="K96" s="89" t="str">
        <f t="shared" si="36"/>
        <v>4013/4014</v>
      </c>
      <c r="L96" s="185" t="str">
        <f>VLOOKUP(A96,'Trips&amp;Operators'!$C$1:$G$99911,5,FALSE)</f>
        <v>LEVERE CRAIG</v>
      </c>
      <c r="M96" s="6">
        <f t="shared" si="37"/>
        <v>2.6296296295186039E-2</v>
      </c>
      <c r="N96" s="7">
        <f t="shared" si="38"/>
        <v>37.866666665067896</v>
      </c>
      <c r="O96" s="7"/>
      <c r="P96" s="7"/>
      <c r="Q96" s="22"/>
      <c r="R96" s="174"/>
      <c r="S96" s="221">
        <f t="shared" si="39"/>
        <v>1</v>
      </c>
      <c r="T96" s="174" t="str">
        <f t="shared" si="40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1"/>
        <v>https://d0f6bd738d7f1b3e5a7ca70fe4ff75f0.us-east-1.aws.found.io/app/kibana#/discover/Steve-Slow-Train-Analysis-(2080s-and-2083s)?_g=(refreshInterval:(display:Off,pause:!f,section:0,value:0),time:(from:'2017-10-19T13:49:54-0600',mode:absolute,to:'2017-10-19T16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204" t="str">
        <f>IF(AA96&lt;VLOOKUP(AG96,Variables!$AC$3:$AD$8,2,FALSE),"Y","N")</f>
        <v>N</v>
      </c>
      <c r="X96" s="204">
        <f t="shared" si="42"/>
        <v>1</v>
      </c>
      <c r="Y96" s="204">
        <f t="shared" si="53"/>
        <v>23.3002</v>
      </c>
      <c r="Z96" s="204">
        <f t="shared" si="54"/>
        <v>1.6E-2</v>
      </c>
      <c r="AA96" s="204">
        <f t="shared" si="43"/>
        <v>23.284200000000002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4"/>
        <v>184</v>
      </c>
      <c r="AE96" s="77" t="str">
        <f t="shared" si="45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96" s="74" t="str">
        <f t="shared" si="46"/>
        <v>"C:\Program Files (x86)\AstroGrep\AstroGrep.exe" /e /r /s /spath="%USERPROFILE%\AppData\Local\Temp\OnboardLogs" /stypes="app*4013*20171019*" /stext=" 21:.+((SYSTEM_STATE.+slice.+state.+changed )|(ment ac)|(multiple cpu faults)|(system.+state.+changed )|(\[timeout)|(PRM\|1\|D)|(kpr)|(kdp)|(train st.+moving)|(\|lc)|(penalty))"</v>
      </c>
      <c r="AG96" s="182" t="str">
        <f t="shared" si="47"/>
        <v>EC</v>
      </c>
      <c r="AH96" s="78" t="str">
        <f t="shared" si="48"/>
        <v>"%USERPROFILE%\Documents\GitHub\eaglep3\Utilities\RefineRTDCRunTimes.py" --tripid 184-19 --locoid 4013 --swversion DE.1.0.9.0 --startMP 204:233002 --initTime 2017-10-19T14:49:54 --startdatetime 2017-10-19T14:57:16 --delay 59 --endMP 204:160 --enddatetime 2017-10-19T15:35:08 --enforcementcount 0 &gt;&gt;%USERPROFILE%\Documents\GitHub\eaglep3-reporting\EC\2017-10-19-refined-times.txt</v>
      </c>
      <c r="AI96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{"issue":{"subject":"","project_id":79,"tracker_id":40,"status_id":1,"priority_id":2,"assigned_to_id":338,"start_date":"2017-10-19","description":"","custom_fields":[{"id":1,"name":"Subdivision","value":"EC"},{"id":4,"name":"Milepost","value":"0.016"},{"id":17,"name":"Train ID","value":"184-19"},{"id":16,"name":"Locomotive ID","value":"4013"},{"id":130,"name":"Impact","value":""},{"id":150,"name":"Time of Event (Mountain Time)","value":"15:35:08"},{"id":151,"name":"Denver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50"/>
        <v>start /low /b %USERPROFILE%\Documents\GitHub\eaglep3\Utilities\DownloadLogsFromS3.py --loco 4013 --day 2017-10-19</v>
      </c>
      <c r="AN96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2"/>
        <v>https://d0f6bd738d7f1b3e5a7ca70fe4ff75f0.us-east-1.aws.found.io/app/kibana#/discover/Steve-Slow-Train-Analysis-(2080s-and-2083s)?_g=(refreshInterval:(display:Off,pause:!f,section:0,value:0),time:(from:'2017-10-19T13:49:54-0600',mode:absolute,to:'2017-10-19T16:35:08-0600'))&amp;_a=(columns:!('Message%20ID',Summary),filters:!(),index:'emp_*',interval:auto,query:(query_string:(analyze_wildcard:!t,query:'%22rtdc.l.rtdc.4013%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713</v>
      </c>
      <c r="B97" s="7">
        <v>4006</v>
      </c>
      <c r="C97" s="21" t="s">
        <v>194</v>
      </c>
      <c r="D97" s="21" t="s">
        <v>824</v>
      </c>
      <c r="E97" s="13">
        <v>43027.589467592596</v>
      </c>
      <c r="F97" s="13">
        <v>43027.593981481485</v>
      </c>
      <c r="G97" s="7">
        <v>55</v>
      </c>
      <c r="H97" s="21" t="s">
        <v>525</v>
      </c>
      <c r="I97" s="13">
        <v>43027.620497685188</v>
      </c>
      <c r="J97" s="7">
        <v>0</v>
      </c>
      <c r="K97" s="89" t="str">
        <f t="shared" si="36"/>
        <v>4005/4006</v>
      </c>
      <c r="L97" s="185" t="str">
        <f>VLOOKUP(A97,'Trips&amp;Operators'!$C$1:$G$99911,5,FALSE)</f>
        <v>BADERTSCHER DIANE</v>
      </c>
      <c r="M97" s="6">
        <f t="shared" si="37"/>
        <v>2.6516203703067731E-2</v>
      </c>
      <c r="N97" s="7">
        <f t="shared" si="38"/>
        <v>38.183333332417533</v>
      </c>
      <c r="O97" s="7"/>
      <c r="P97" s="7"/>
      <c r="Q97" s="22"/>
      <c r="R97" s="174"/>
      <c r="S97" s="221">
        <f t="shared" si="39"/>
        <v>1</v>
      </c>
      <c r="T97" s="174" t="str">
        <f t="shared" si="40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1"/>
        <v>https://d0f6bd738d7f1b3e5a7ca70fe4ff75f0.us-east-1.aws.found.io/app/kibana#/discover/Steve-Slow-Train-Analysis-(2080s-and-2083s)?_g=(refreshInterval:(display:Off,pause:!f,section:0,value:0),time:(from:'2017-10-19T13:08:50-0600',mode:absolute,to:'2017-10-19T15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7" s="204" t="str">
        <f>IF(AA97&lt;VLOOKUP(AG97,Variables!$AC$3:$AD$8,2,FALSE),"Y","N")</f>
        <v>N</v>
      </c>
      <c r="X97" s="204">
        <f t="shared" si="42"/>
        <v>1</v>
      </c>
      <c r="Y97" s="204">
        <f t="shared" si="53"/>
        <v>4.4900000000000002E-2</v>
      </c>
      <c r="Z97" s="204">
        <f t="shared" si="54"/>
        <v>23.331800000000001</v>
      </c>
      <c r="AA97" s="204">
        <f t="shared" si="43"/>
        <v>23.286900000000003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4"/>
        <v>185</v>
      </c>
      <c r="AE97" s="77" t="str">
        <f t="shared" si="45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97" s="74" t="str">
        <f t="shared" si="46"/>
        <v>"C:\Program Files (x86)\AstroGrep\AstroGrep.exe" /e /r /s /spath="%USERPROFILE%\AppData\Local\Temp\OnboardLogs" /stypes="app*4006*20171019*" /stext=" 20:.+((SYSTEM_STATE.+slice.+state.+changed )|(ment ac)|(multiple cpu faults)|(system.+state.+changed )|(\[timeout)|(PRM\|1\|D)|(kpr)|(kdp)|(train st.+moving)|(\|lc)|(penalty))"</v>
      </c>
      <c r="AG97" s="182" t="str">
        <f t="shared" si="47"/>
        <v>EC</v>
      </c>
      <c r="AH97" s="78" t="str">
        <f t="shared" si="48"/>
        <v>"%USERPROFILE%\Documents\GitHub\eaglep3\Utilities\RefineRTDCRunTimes.py" --tripid 185-19 --locoid 4006 --swversion DE.1.0.9.0 --startMP 204:449 --initTime 2017-10-19T14:08:50 --startdatetime 2017-10-19T14:15:20 --delay 55 --endMP 204:233318 --enddatetime 2017-10-19T14:53:31 --enforcementcount 0 &gt;&gt;%USERPROFILE%\Documents\GitHub\eaglep3-reporting\EC\2017-10-19-refined-times.txt</v>
      </c>
      <c r="AI97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{"issue":{"subject":"","project_id":79,"tracker_id":40,"status_id":1,"priority_id":2,"assigned_to_id":338,"start_date":"2017-10-19","description":"","custom_fields":[{"id":1,"name":"Subdivision","value":"EC"},{"id":4,"name":"Milepost","value":"23.3318"},{"id":17,"name":"Train ID","value":"185-19"},{"id":16,"name":"Locomotive ID","value":"4006"},{"id":130,"name":"Impact","value":""},{"id":150,"name":"Time of Event (Mountain Time)","value":"14:53:31"},{"id":151,"name":"Denver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50"/>
        <v>start /low /b %USERPROFILE%\Documents\GitHub\eaglep3\Utilities\DownloadLogsFromS3.py --loco 4006 --day 2017-10-19</v>
      </c>
      <c r="AN97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2"/>
        <v>https://d0f6bd738d7f1b3e5a7ca70fe4ff75f0.us-east-1.aws.found.io/app/kibana#/discover/Steve-Slow-Train-Analysis-(2080s-and-2083s)?_g=(refreshInterval:(display:Off,pause:!f,section:0,value:0),time:(from:'2017-10-19T13:08:50-0600',mode:absolute,to:'2017-10-19T15:53:31-0600'))&amp;_a=(columns:!('Message%20ID',Summary),filters:!(),index:'emp_*',interval:auto,query:(query_string:(analyze_wildcard:!t,query:'%22rtdc.l.rtdc.4006%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721</v>
      </c>
      <c r="B98" s="7">
        <v>4005</v>
      </c>
      <c r="C98" s="21" t="s">
        <v>194</v>
      </c>
      <c r="D98" s="21" t="s">
        <v>533</v>
      </c>
      <c r="E98" s="13">
        <v>43027.629537037035</v>
      </c>
      <c r="F98" s="13">
        <v>43027.63349537037</v>
      </c>
      <c r="G98" s="7">
        <v>58</v>
      </c>
      <c r="H98" s="21" t="s">
        <v>366</v>
      </c>
      <c r="I98" s="13">
        <v>43027.660439814812</v>
      </c>
      <c r="J98" s="7">
        <v>0</v>
      </c>
      <c r="K98" s="89" t="str">
        <f t="shared" si="36"/>
        <v>4005/4006</v>
      </c>
      <c r="L98" s="185" t="str">
        <f>VLOOKUP(A98,'Trips&amp;Operators'!$C$1:$G$99911,5,FALSE)</f>
        <v>BADERTSCHER DIANE</v>
      </c>
      <c r="M98" s="6">
        <f t="shared" si="37"/>
        <v>2.6944444442051463E-2</v>
      </c>
      <c r="N98" s="7">
        <f t="shared" si="38"/>
        <v>38.799999996554106</v>
      </c>
      <c r="O98" s="7"/>
      <c r="P98" s="7"/>
      <c r="Q98" s="22"/>
      <c r="R98" s="174"/>
      <c r="S98" s="221">
        <f t="shared" si="39"/>
        <v>1</v>
      </c>
      <c r="T98" s="174" t="str">
        <f t="shared" si="40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1"/>
        <v>https://d0f6bd738d7f1b3e5a7ca70fe4ff75f0.us-east-1.aws.found.io/app/kibana#/discover/Steve-Slow-Train-Analysis-(2080s-and-2083s)?_g=(refreshInterval:(display:Off,pause:!f,section:0,value:0),time:(from:'2017-10-19T14:06:32-0600',mode:absolute,to:'2017-10-19T16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8" s="204" t="str">
        <f>IF(AA98&lt;VLOOKUP(AG98,Variables!$AC$3:$AD$8,2,FALSE),"Y","N")</f>
        <v>N</v>
      </c>
      <c r="X98" s="204">
        <f t="shared" si="42"/>
        <v>1</v>
      </c>
      <c r="Y98" s="204">
        <f t="shared" si="53"/>
        <v>23.3</v>
      </c>
      <c r="Z98" s="204">
        <f t="shared" si="54"/>
        <v>1.3899999999999999E-2</v>
      </c>
      <c r="AA98" s="204">
        <f t="shared" si="43"/>
        <v>23.286100000000001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4"/>
        <v>186</v>
      </c>
      <c r="AE98" s="77" t="str">
        <f t="shared" si="45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98" s="74" t="str">
        <f t="shared" si="46"/>
        <v>"C:\Program Files (x86)\AstroGrep\AstroGrep.exe" /e /r /s /spath="%USERPROFILE%\AppData\Local\Temp\OnboardLogs" /stypes="app*4005*20171019*" /stext=" 21:.+((SYSTEM_STATE.+slice.+state.+changed )|(ment ac)|(multiple cpu faults)|(system.+state.+changed )|(\[timeout)|(PRM\|1\|D)|(kpr)|(kdp)|(train st.+moving)|(\|lc)|(penalty))"</v>
      </c>
      <c r="AG98" s="182" t="str">
        <f t="shared" si="47"/>
        <v>EC</v>
      </c>
      <c r="AH98" s="78" t="str">
        <f t="shared" si="48"/>
        <v>"%USERPROFILE%\Documents\GitHub\eaglep3\Utilities\RefineRTDCRunTimes.py" --tripid 186-19 --locoid 4005 --swversion DE.1.0.9.0 --startMP 204:233000 --initTime 2017-10-19T15:06:32 --startdatetime 2017-10-19T15:12:14 --delay 58 --endMP 204:139 --enddatetime 2017-10-19T15:51:02 --enforcementcount 0 &gt;&gt;%USERPROFILE%\Documents\GitHub\eaglep3-reporting\EC\2017-10-19-refined-times.txt</v>
      </c>
      <c r="AI98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{"issue":{"subject":"","project_id":79,"tracker_id":40,"status_id":1,"priority_id":2,"assigned_to_id":338,"start_date":"2017-10-19","description":"","custom_fields":[{"id":1,"name":"Subdivision","value":"EC"},{"id":4,"name":"Milepost","value":"0.0139"},{"id":17,"name":"Train ID","value":"186-19"},{"id":16,"name":"Locomotive ID","value":"4005"},{"id":130,"name":"Impact","value":""},{"id":150,"name":"Time of Event (Mountain Time)","value":"15:51:02"},{"id":151,"name":"Denver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50"/>
        <v>start /low /b %USERPROFILE%\Documents\GitHub\eaglep3\Utilities\DownloadLogsFromS3.py --loco 4005 --day 2017-10-19</v>
      </c>
      <c r="AN98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2"/>
        <v>https://d0f6bd738d7f1b3e5a7ca70fe4ff75f0.us-east-1.aws.found.io/app/kibana#/discover/Steve-Slow-Train-Analysis-(2080s-and-2083s)?_g=(refreshInterval:(display:Off,pause:!f,section:0,value:0),time:(from:'2017-10-19T14:06:32-0600',mode:absolute,to:'2017-10-19T16:51:02-0600'))&amp;_a=(columns:!('Message%20ID',Summary),filters:!(),index:'emp_*',interval:auto,query:(query_string:(analyze_wildcard:!t,query:'%22rtdc.l.rtdc.4005%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586</v>
      </c>
      <c r="B99" s="7">
        <v>4066</v>
      </c>
      <c r="C99" s="21" t="s">
        <v>194</v>
      </c>
      <c r="D99" s="21" t="s">
        <v>848</v>
      </c>
      <c r="E99" s="13">
        <v>43027.599826388891</v>
      </c>
      <c r="F99" s="13">
        <v>43027.604351851849</v>
      </c>
      <c r="G99" s="7">
        <v>73</v>
      </c>
      <c r="H99" s="21" t="s">
        <v>849</v>
      </c>
      <c r="I99" s="13">
        <v>43027.62940972222</v>
      </c>
      <c r="J99" s="7">
        <v>0</v>
      </c>
      <c r="K99" s="89" t="str">
        <f t="shared" si="36"/>
        <v>4065/4066</v>
      </c>
      <c r="L99" s="185" t="str">
        <f>VLOOKUP(A99,'Trips&amp;Operators'!$C$1:$G$99911,5,FALSE)</f>
        <v>KILLION DAVID</v>
      </c>
      <c r="M99" s="6">
        <f t="shared" si="37"/>
        <v>2.5057870370801538E-2</v>
      </c>
      <c r="N99" s="7">
        <f t="shared" si="38"/>
        <v>36.083333333954215</v>
      </c>
      <c r="O99" s="7"/>
      <c r="P99" s="7"/>
      <c r="Q99" s="22"/>
      <c r="R99" s="174"/>
      <c r="S99" s="221">
        <f t="shared" si="39"/>
        <v>1</v>
      </c>
      <c r="T99" s="174" t="str">
        <f t="shared" si="40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1"/>
        <v>https://d0f6bd738d7f1b3e5a7ca70fe4ff75f0.us-east-1.aws.found.io/app/kibana#/discover/Steve-Slow-Train-Analysis-(2080s-and-2083s)?_g=(refreshInterval:(display:Off,pause:!f,section:0,value:0),time:(from:'2017-10-19T13:23:45-0600',mode:absolute,to:'2017-10-19T16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9" s="204" t="str">
        <f>IF(AA99&lt;VLOOKUP(AG99,Variables!$AC$3:$AD$8,2,FALSE),"Y","N")</f>
        <v>N</v>
      </c>
      <c r="X99" s="204">
        <f t="shared" si="42"/>
        <v>1</v>
      </c>
      <c r="Y99" s="204">
        <f t="shared" si="53"/>
        <v>4.2700000000000002E-2</v>
      </c>
      <c r="Z99" s="204">
        <f t="shared" si="54"/>
        <v>23.325299999999999</v>
      </c>
      <c r="AA99" s="204">
        <f t="shared" si="43"/>
        <v>23.282599999999999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4"/>
        <v>187</v>
      </c>
      <c r="AE99" s="77" t="str">
        <f t="shared" si="45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99" s="74" t="str">
        <f t="shared" si="46"/>
        <v>"C:\Program Files (x86)\AstroGrep\AstroGrep.exe" /e /r /s /spath="%USERPROFILE%\AppData\Local\Temp\OnboardLogs" /stypes="app*4066*20171019*" /stext=" 21:.+((SYSTEM_STATE.+slice.+state.+changed )|(ment ac)|(multiple cpu faults)|(system.+state.+changed )|(\[timeout)|(PRM\|1\|D)|(kpr)|(kdp)|(train st.+moving)|(\|lc)|(penalty))"</v>
      </c>
      <c r="AG99" s="182" t="str">
        <f t="shared" si="47"/>
        <v>EC</v>
      </c>
      <c r="AH99" s="78" t="str">
        <f t="shared" si="48"/>
        <v>"%USERPROFILE%\Documents\GitHub\eaglep3\Utilities\RefineRTDCRunTimes.py" --tripid 187-19 --locoid 4066 --swversion DE.1.0.9.0 --startMP 204:427 --initTime 2017-10-19T14:23:45 --startdatetime 2017-10-19T14:30:16 --delay 73 --endMP 204:233253 --enddatetime 2017-10-19T15:06:21 --enforcementcount 0 &gt;&gt;%USERPROFILE%\Documents\GitHub\eaglep3-reporting\EC\2017-10-19-refined-times.txt</v>
      </c>
      <c r="AI99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{"issue":{"subject":"","project_id":79,"tracker_id":40,"status_id":1,"priority_id":2,"assigned_to_id":338,"start_date":"2017-10-19","description":"","custom_fields":[{"id":1,"name":"Subdivision","value":"EC"},{"id":4,"name":"Milepost","value":"23.3253"},{"id":17,"name":"Train ID","value":"187-19"},{"id":16,"name":"Locomotive ID","value":"4066"},{"id":130,"name":"Impact","value":""},{"id":150,"name":"Time of Event (Mountain Time)","value":"15:06:21"},{"id":151,"name":"Denver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50"/>
        <v>start /low /b %USERPROFILE%\Documents\GitHub\eaglep3\Utilities\DownloadLogsFromS3.py --loco 4066 --day 2017-10-19</v>
      </c>
      <c r="AN99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2"/>
        <v>https://d0f6bd738d7f1b3e5a7ca70fe4ff75f0.us-east-1.aws.found.io/app/kibana#/discover/Steve-Slow-Train-Analysis-(2080s-and-2083s)?_g=(refreshInterval:(display:Off,pause:!f,section:0,value:0),time:(from:'2017-10-19T13:23:45-0600',mode:absolute,to:'2017-10-19T16:06:21-0600'))&amp;_a=(columns:!('Message%20ID',Summary),filters:!(),index:'emp_*',interval:auto,query:(query_string:(analyze_wildcard:!t,query:'%22rtdc.l.rtdc.4066%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723</v>
      </c>
      <c r="B100" s="7">
        <v>4065</v>
      </c>
      <c r="C100" s="21" t="s">
        <v>194</v>
      </c>
      <c r="D100" s="21" t="s">
        <v>850</v>
      </c>
      <c r="E100" s="13">
        <v>43027.634965277779</v>
      </c>
      <c r="F100" s="13">
        <v>43027.644062500003</v>
      </c>
      <c r="G100" s="7">
        <v>54</v>
      </c>
      <c r="H100" s="21" t="s">
        <v>339</v>
      </c>
      <c r="I100" s="13">
        <v>43027.670057870368</v>
      </c>
      <c r="J100" s="7">
        <v>0</v>
      </c>
      <c r="K100" s="89" t="str">
        <f t="shared" si="36"/>
        <v>4065/4066</v>
      </c>
      <c r="L100" s="185" t="str">
        <f>VLOOKUP(A100,'Trips&amp;Operators'!$C$1:$G$99911,5,FALSE)</f>
        <v>KILLION DAVID</v>
      </c>
      <c r="M100" s="6">
        <f t="shared" si="37"/>
        <v>2.5995370364398696E-2</v>
      </c>
      <c r="N100" s="7">
        <f t="shared" si="38"/>
        <v>37.433333324734122</v>
      </c>
      <c r="O100" s="7"/>
      <c r="P100" s="7"/>
      <c r="Q100" s="22"/>
      <c r="R100" s="174"/>
      <c r="S100" s="221">
        <f t="shared" si="39"/>
        <v>1</v>
      </c>
      <c r="T100" s="174" t="str">
        <f t="shared" si="40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1"/>
        <v>https://d0f6bd738d7f1b3e5a7ca70fe4ff75f0.us-east-1.aws.found.io/app/kibana#/discover/Steve-Slow-Train-Analysis-(2080s-and-2083s)?_g=(refreshInterval:(display:Off,pause:!f,section:0,value:0),time:(from:'2017-10-19T14:14:21-0600',mode:absolute,to:'2017-10-19T17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0" s="204" t="str">
        <f>IF(AA100&lt;VLOOKUP(AG100,Variables!$AC$3:$AD$8,2,FALSE),"Y","N")</f>
        <v>N</v>
      </c>
      <c r="X100" s="204">
        <f t="shared" si="42"/>
        <v>1</v>
      </c>
      <c r="Y100" s="204">
        <f t="shared" si="53"/>
        <v>23.293399999999998</v>
      </c>
      <c r="Z100" s="204">
        <f t="shared" si="54"/>
        <v>1.47E-2</v>
      </c>
      <c r="AA100" s="204">
        <f t="shared" si="43"/>
        <v>23.278699999999997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4"/>
        <v>188</v>
      </c>
      <c r="AE100" s="77" t="str">
        <f t="shared" si="45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100" s="74" t="str">
        <f t="shared" si="46"/>
        <v>"C:\Program Files (x86)\AstroGrep\AstroGrep.exe" /e /r /s /spath="%USERPROFILE%\AppData\Local\Temp\OnboardLogs" /stypes="app*4065*20171019*" /stext=" 22:.+((SYSTEM_STATE.+slice.+state.+changed )|(ment ac)|(multiple cpu faults)|(system.+state.+changed )|(\[timeout)|(PRM\|1\|D)|(kpr)|(kdp)|(train st.+moving)|(\|lc)|(penalty))"</v>
      </c>
      <c r="AG100" s="182" t="str">
        <f t="shared" si="47"/>
        <v>EC</v>
      </c>
      <c r="AH100" s="78" t="str">
        <f t="shared" si="48"/>
        <v>"%USERPROFILE%\Documents\GitHub\eaglep3\Utilities\RefineRTDCRunTimes.py" --tripid 188-19 --locoid 4065 --swversion DE.1.0.9.0 --startMP 204:232934 --initTime 2017-10-19T15:14:21 --startdatetime 2017-10-19T15:27:27 --delay 54 --endMP 204:147 --enddatetime 2017-10-19T16:04:53 --enforcementcount 0 &gt;&gt;%USERPROFILE%\Documents\GitHub\eaglep3-reporting\EC\2017-10-19-refined-times.txt</v>
      </c>
      <c r="AI100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{"issue":{"subject":"","project_id":79,"tracker_id":40,"status_id":1,"priority_id":2,"assigned_to_id":338,"start_date":"2017-10-19","description":"","custom_fields":[{"id":1,"name":"Subdivision","value":"EC"},{"id":4,"name":"Milepost","value":"0.0147"},{"id":17,"name":"Train ID","value":"188-19"},{"id":16,"name":"Locomotive ID","value":"4065"},{"id":130,"name":"Impact","value":""},{"id":150,"name":"Time of Event (Mountain Time)","value":"16:04:53"},{"id":151,"name":"Denver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50"/>
        <v>start /low /b %USERPROFILE%\Documents\GitHub\eaglep3\Utilities\DownloadLogsFromS3.py --loco 4065 --day 2017-10-19</v>
      </c>
      <c r="AN100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2"/>
        <v>https://d0f6bd738d7f1b3e5a7ca70fe4ff75f0.us-east-1.aws.found.io/app/kibana#/discover/Steve-Slow-Train-Analysis-(2080s-and-2083s)?_g=(refreshInterval:(display:Off,pause:!f,section:0,value:0),time:(from:'2017-10-19T14:14:21-0600',mode:absolute,to:'2017-10-19T17:04:53-0600'))&amp;_a=(columns:!('Message%20ID',Summary),filters:!(),index:'emp_*',interval:auto,query:(query_string:(analyze_wildcard:!t,query:'%22rtdc.l.rtdc.4065%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32" t="s">
        <v>716</v>
      </c>
      <c r="B101" s="7">
        <v>4058</v>
      </c>
      <c r="C101" s="21" t="s">
        <v>194</v>
      </c>
      <c r="D101" s="21" t="s">
        <v>372</v>
      </c>
      <c r="E101" s="13">
        <v>43027.610682870371</v>
      </c>
      <c r="F101" s="13">
        <v>43027.614745370367</v>
      </c>
      <c r="G101" s="7">
        <v>78</v>
      </c>
      <c r="H101" s="21" t="s">
        <v>430</v>
      </c>
      <c r="I101" s="13">
        <v>43027.639456018522</v>
      </c>
      <c r="J101" s="7">
        <v>0</v>
      </c>
      <c r="K101" s="89" t="str">
        <f t="shared" si="36"/>
        <v>4057/4058</v>
      </c>
      <c r="L101" s="185" t="str">
        <f>VLOOKUP(A101,'Trips&amp;Operators'!$C$1:$G$99911,5,FALSE)</f>
        <v>BRUDER RICHARD</v>
      </c>
      <c r="M101" s="6">
        <f t="shared" si="37"/>
        <v>2.4710648154723458E-2</v>
      </c>
      <c r="N101" s="7">
        <f t="shared" si="38"/>
        <v>35.58333334280178</v>
      </c>
      <c r="O101" s="7"/>
      <c r="P101" s="7"/>
      <c r="Q101" s="22"/>
      <c r="R101" s="174"/>
      <c r="S101" s="221">
        <f t="shared" si="39"/>
        <v>1</v>
      </c>
      <c r="T101" s="174" t="str">
        <f t="shared" si="40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1"/>
        <v>https://d0f6bd738d7f1b3e5a7ca70fe4ff75f0.us-east-1.aws.found.io/app/kibana#/discover/Steve-Slow-Train-Analysis-(2080s-and-2083s)?_g=(refreshInterval:(display:Off,pause:!f,section:0,value:0),time:(from:'2017-10-19T13:39:23-0600',mode:absolute,to:'2017-10-19T16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1" s="204" t="str">
        <f>IF(AA101&lt;VLOOKUP(AG101,Variables!$AC$3:$AD$8,2,FALSE),"Y","N")</f>
        <v>N</v>
      </c>
      <c r="X101" s="204">
        <f t="shared" si="42"/>
        <v>1</v>
      </c>
      <c r="Y101" s="204">
        <f t="shared" si="53"/>
        <v>4.4699999999999997E-2</v>
      </c>
      <c r="Z101" s="204">
        <f t="shared" si="54"/>
        <v>23.329499999999999</v>
      </c>
      <c r="AA101" s="204">
        <f t="shared" si="43"/>
        <v>23.284800000000001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4"/>
        <v>189</v>
      </c>
      <c r="AE101" s="77" t="str">
        <f t="shared" si="45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101" s="74" t="str">
        <f t="shared" si="46"/>
        <v>"C:\Program Files (x86)\AstroGrep\AstroGrep.exe" /e /r /s /spath="%USERPROFILE%\AppData\Local\Temp\OnboardLogs" /stypes="app*4058*20171019*" /stext=" 21:.+((SYSTEM_STATE.+slice.+state.+changed )|(ment ac)|(multiple cpu faults)|(system.+state.+changed )|(\[timeout)|(PRM\|1\|D)|(kpr)|(kdp)|(train st.+moving)|(\|lc)|(penalty))"</v>
      </c>
      <c r="AG101" s="182" t="str">
        <f t="shared" si="47"/>
        <v>EC</v>
      </c>
      <c r="AH101" s="78" t="str">
        <f t="shared" si="48"/>
        <v>"%USERPROFILE%\Documents\GitHub\eaglep3\Utilities\RefineRTDCRunTimes.py" --tripid 189-19 --locoid 4058 --swversion DE.1.0.9.0 --startMP 204:447 --initTime 2017-10-19T14:39:23 --startdatetime 2017-10-19T14:45:14 --delay 78 --endMP 204:233295 --enddatetime 2017-10-19T15:20:49 --enforcementcount 0 &gt;&gt;%USERPROFILE%\Documents\GitHub\eaglep3-reporting\EC\2017-10-19-refined-times.txt</v>
      </c>
      <c r="AI101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{"issue":{"subject":"","project_id":79,"tracker_id":40,"status_id":1,"priority_id":2,"assigned_to_id":338,"start_date":"2017-10-19","description":"","custom_fields":[{"id":1,"name":"Subdivision","value":"EC"},{"id":4,"name":"Milepost","value":"23.3295"},{"id":17,"name":"Train ID","value":"189-19"},{"id":16,"name":"Locomotive ID","value":"4058"},{"id":130,"name":"Impact","value":""},{"id":150,"name":"Time of Event (Mountain Time)","value":"15:20:49"},{"id":151,"name":"Denver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50"/>
        <v>start /low /b %USERPROFILE%\Documents\GitHub\eaglep3\Utilities\DownloadLogsFromS3.py --loco 4058 --day 2017-10-19</v>
      </c>
      <c r="AN101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2"/>
        <v>https://d0f6bd738d7f1b3e5a7ca70fe4ff75f0.us-east-1.aws.found.io/app/kibana#/discover/Steve-Slow-Train-Analysis-(2080s-and-2083s)?_g=(refreshInterval:(display:Off,pause:!f,section:0,value:0),time:(from:'2017-10-19T13:39:23-0600',mode:absolute,to:'2017-10-19T16:20:49-0600'))&amp;_a=(columns:!('Message%20ID',Summary),filters:!(),index:'emp_*',interval:auto,query:(query_string:(analyze_wildcard:!t,query:'%22rtdc.l.rtdc.4058%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727</v>
      </c>
      <c r="B102" s="7">
        <v>4057</v>
      </c>
      <c r="C102" s="21" t="s">
        <v>194</v>
      </c>
      <c r="D102" s="21" t="s">
        <v>399</v>
      </c>
      <c r="E102" s="13">
        <v>43027.651099537034</v>
      </c>
      <c r="F102" s="13">
        <v>43027.654340277775</v>
      </c>
      <c r="G102" s="7">
        <v>78</v>
      </c>
      <c r="H102" s="21" t="s">
        <v>339</v>
      </c>
      <c r="I102" s="13">
        <v>43027.680115740739</v>
      </c>
      <c r="J102" s="7">
        <v>0</v>
      </c>
      <c r="K102" s="89" t="str">
        <f t="shared" si="36"/>
        <v>4057/4058</v>
      </c>
      <c r="L102" s="185" t="str">
        <f>VLOOKUP(A102,'Trips&amp;Operators'!$C$1:$G$99911,5,FALSE)</f>
        <v>BRUDER RICHARD</v>
      </c>
      <c r="M102" s="6">
        <f t="shared" si="37"/>
        <v>2.5775462963792961E-2</v>
      </c>
      <c r="N102" s="7">
        <f t="shared" si="38"/>
        <v>37.116666667861864</v>
      </c>
      <c r="O102" s="7"/>
      <c r="P102" s="7"/>
      <c r="Q102" s="22"/>
      <c r="R102" s="174"/>
      <c r="S102" s="221">
        <f t="shared" si="39"/>
        <v>1</v>
      </c>
      <c r="T102" s="174" t="str">
        <f t="shared" si="40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1"/>
        <v>https://d0f6bd738d7f1b3e5a7ca70fe4ff75f0.us-east-1.aws.found.io/app/kibana#/discover/Steve-Slow-Train-Analysis-(2080s-and-2083s)?_g=(refreshInterval:(display:Off,pause:!f,section:0,value:0),time:(from:'2017-10-19T14:37:35-0600',mode:absolute,to:'2017-10-19T17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2" s="204" t="str">
        <f>IF(AA102&lt;VLOOKUP(AG102,Variables!$AC$3:$AD$8,2,FALSE),"Y","N")</f>
        <v>N</v>
      </c>
      <c r="X102" s="204">
        <f t="shared" si="42"/>
        <v>1</v>
      </c>
      <c r="Y102" s="204">
        <f t="shared" si="53"/>
        <v>23.297699999999999</v>
      </c>
      <c r="Z102" s="204">
        <f t="shared" si="54"/>
        <v>1.47E-2</v>
      </c>
      <c r="AA102" s="204">
        <f t="shared" si="43"/>
        <v>23.282999999999998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4"/>
        <v>190</v>
      </c>
      <c r="AE102" s="77" t="str">
        <f t="shared" si="45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102" s="74" t="str">
        <f t="shared" si="46"/>
        <v>"C:\Program Files (x86)\AstroGrep\AstroGrep.exe" /e /r /s /spath="%USERPROFILE%\AppData\Local\Temp\OnboardLogs" /stypes="app*4057*20171019*" /stext=" 22:.+((SYSTEM_STATE.+slice.+state.+changed )|(ment ac)|(multiple cpu faults)|(system.+state.+changed )|(\[timeout)|(PRM\|1\|D)|(kpr)|(kdp)|(train st.+moving)|(\|lc)|(penalty))"</v>
      </c>
      <c r="AG102" s="182" t="str">
        <f t="shared" si="47"/>
        <v>EC</v>
      </c>
      <c r="AH102" s="78" t="str">
        <f t="shared" si="48"/>
        <v>"%USERPROFILE%\Documents\GitHub\eaglep3\Utilities\RefineRTDCRunTimes.py" --tripid 190-19 --locoid 4057 --swversion DE.1.0.9.0 --startMP 204:232977 --initTime 2017-10-19T15:37:35 --startdatetime 2017-10-19T15:42:15 --delay 78 --endMP 204:147 --enddatetime 2017-10-19T16:19:22 --enforcementcount 0 &gt;&gt;%USERPROFILE%\Documents\GitHub\eaglep3-reporting\EC\2017-10-19-refined-times.txt</v>
      </c>
      <c r="AI102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{"issue":{"subject":"","project_id":79,"tracker_id":40,"status_id":1,"priority_id":2,"assigned_to_id":338,"start_date":"2017-10-19","description":"","custom_fields":[{"id":1,"name":"Subdivision","value":"EC"},{"id":4,"name":"Milepost","value":"0.0147"},{"id":17,"name":"Train ID","value":"190-19"},{"id":16,"name":"Locomotive ID","value":"4057"},{"id":130,"name":"Impact","value":""},{"id":150,"name":"Time of Event (Mountain Time)","value":"16:19:22"},{"id":151,"name":"Denver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50"/>
        <v>start /low /b %USERPROFILE%\Documents\GitHub\eaglep3\Utilities\DownloadLogsFromS3.py --loco 4057 --day 2017-10-19</v>
      </c>
      <c r="AN102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2"/>
        <v>https://d0f6bd738d7f1b3e5a7ca70fe4ff75f0.us-east-1.aws.found.io/app/kibana#/discover/Steve-Slow-Train-Analysis-(2080s-and-2083s)?_g=(refreshInterval:(display:Off,pause:!f,section:0,value:0),time:(from:'2017-10-19T14:37:35-0600',mode:absolute,to:'2017-10-19T17:19:22-0600'))&amp;_a=(columns:!('Message%20ID',Summary),filters:!(),index:'emp_*',interval:auto,query:(query_string:(analyze_wildcard:!t,query:'%22rtdc.l.rtdc.4057%22')),sort:!(Time.ISO8601,asc))</v>
      </c>
    </row>
    <row r="103" spans="1:91" s="20" customFormat="1" x14ac:dyDescent="0.25">
      <c r="A103" s="32" t="s">
        <v>718</v>
      </c>
      <c r="B103" s="7">
        <v>4018</v>
      </c>
      <c r="C103" s="21" t="s">
        <v>194</v>
      </c>
      <c r="D103" s="21" t="s">
        <v>334</v>
      </c>
      <c r="E103" s="13">
        <v>43027.620740740742</v>
      </c>
      <c r="F103" s="13">
        <v>43027.625196759262</v>
      </c>
      <c r="G103" s="7">
        <v>73</v>
      </c>
      <c r="H103" s="21" t="s">
        <v>389</v>
      </c>
      <c r="I103" s="13">
        <v>43027.649872685186</v>
      </c>
      <c r="J103" s="7">
        <v>0</v>
      </c>
      <c r="K103" s="89" t="str">
        <f t="shared" si="36"/>
        <v>4017/4018</v>
      </c>
      <c r="L103" s="185" t="str">
        <f>VLOOKUP(A103,'Trips&amp;Operators'!$C$1:$G$99911,5,FALSE)</f>
        <v>STEWART MICHAEL</v>
      </c>
      <c r="M103" s="6">
        <f t="shared" si="37"/>
        <v>2.4675925924384501E-2</v>
      </c>
      <c r="N103" s="7">
        <f t="shared" si="38"/>
        <v>35.533333331113681</v>
      </c>
      <c r="O103" s="7"/>
      <c r="P103" s="7"/>
      <c r="Q103" s="22"/>
      <c r="R103" s="174"/>
      <c r="S103" s="221">
        <f t="shared" si="39"/>
        <v>1</v>
      </c>
      <c r="T103" s="174" t="str">
        <f t="shared" si="40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1"/>
        <v>https://d0f6bd738d7f1b3e5a7ca70fe4ff75f0.us-east-1.aws.found.io/app/kibana#/discover/Steve-Slow-Train-Analysis-(2080s-and-2083s)?_g=(refreshInterval:(display:Off,pause:!f,section:0,value:0),time:(from:'2017-10-19T13:53:52-0600',mode:absolute,to:'2017-10-19T16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204" t="str">
        <f>IF(AA103&lt;VLOOKUP(AG103,Variables!$AC$3:$AD$8,2,FALSE),"Y","N")</f>
        <v>N</v>
      </c>
      <c r="X103" s="204">
        <f t="shared" si="42"/>
        <v>1</v>
      </c>
      <c r="Y103" s="204">
        <f t="shared" si="53"/>
        <v>4.4600000000000001E-2</v>
      </c>
      <c r="Z103" s="204">
        <f t="shared" si="54"/>
        <v>23.330200000000001</v>
      </c>
      <c r="AA103" s="204">
        <f t="shared" si="43"/>
        <v>23.285600000000002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4"/>
        <v>191</v>
      </c>
      <c r="AE103" s="77" t="str">
        <f t="shared" si="45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103" s="74" t="str">
        <f t="shared" si="46"/>
        <v>"C:\Program Files (x86)\AstroGrep\AstroGrep.exe" /e /r /s /spath="%USERPROFILE%\AppData\Local\Temp\OnboardLogs" /stypes="app*4018*20171019*" /stext=" 21:.+((SYSTEM_STATE.+slice.+state.+changed )|(ment ac)|(multiple cpu faults)|(system.+state.+changed )|(\[timeout)|(PRM\|1\|D)|(kpr)|(kdp)|(train st.+moving)|(\|lc)|(penalty))"</v>
      </c>
      <c r="AG103" s="182" t="str">
        <f t="shared" si="47"/>
        <v>EC</v>
      </c>
      <c r="AH103" s="78" t="str">
        <f t="shared" si="48"/>
        <v>"%USERPROFILE%\Documents\GitHub\eaglep3\Utilities\RefineRTDCRunTimes.py" --tripid 191-19 --locoid 4018 --swversion DE.1.0.9.0 --startMP 204:446 --initTime 2017-10-19T14:53:52 --startdatetime 2017-10-19T15:00:17 --delay 73 --endMP 204:233302 --enddatetime 2017-10-19T15:35:49 --enforcementcount 0 &gt;&gt;%USERPROFILE%\Documents\GitHub\eaglep3-reporting\EC\2017-10-19-refined-times.txt</v>
      </c>
      <c r="AI103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{"issue":{"subject":"","project_id":79,"tracker_id":40,"status_id":1,"priority_id":2,"assigned_to_id":338,"start_date":"2017-10-19","description":"","custom_fields":[{"id":1,"name":"Subdivision","value":"EC"},{"id":4,"name":"Milepost","value":"23.3302"},{"id":17,"name":"Train ID","value":"191-19"},{"id":16,"name":"Locomotive ID","value":"4018"},{"id":130,"name":"Impact","value":""},{"id":150,"name":"Time of Event (Mountain Time)","value":"15:35:49"},{"id":151,"name":"Denver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50"/>
        <v>start /low /b %USERPROFILE%\Documents\GitHub\eaglep3\Utilities\DownloadLogsFromS3.py --loco 4018 --day 2017-10-19</v>
      </c>
      <c r="AN103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2"/>
        <v>https://d0f6bd738d7f1b3e5a7ca70fe4ff75f0.us-east-1.aws.found.io/app/kibana#/discover/Steve-Slow-Train-Analysis-(2080s-and-2083s)?_g=(refreshInterval:(display:Off,pause:!f,section:0,value:0),time:(from:'2017-10-19T13:53:52-0600',mode:absolute,to:'2017-10-19T16:35:49-0600'))&amp;_a=(columns:!('Message%20ID',Summary),filters:!(),index:'emp_*',interval:auto,query:(query_string:(analyze_wildcard:!t,query:'%22rtdc.l.rtdc.4018%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729</v>
      </c>
      <c r="B104" s="7">
        <v>4017</v>
      </c>
      <c r="C104" s="21" t="s">
        <v>194</v>
      </c>
      <c r="D104" s="21" t="s">
        <v>837</v>
      </c>
      <c r="E104" s="13">
        <v>43027.65966435185</v>
      </c>
      <c r="F104" s="13">
        <v>43027.664814814816</v>
      </c>
      <c r="G104" s="7">
        <v>80</v>
      </c>
      <c r="H104" s="21" t="s">
        <v>354</v>
      </c>
      <c r="I104" s="13">
        <v>43027.691620370373</v>
      </c>
      <c r="J104" s="7">
        <v>0</v>
      </c>
      <c r="K104" s="89" t="str">
        <f t="shared" si="36"/>
        <v>4017/4018</v>
      </c>
      <c r="L104" s="185" t="str">
        <f>VLOOKUP(A104,'Trips&amp;Operators'!$C$1:$G$99911,5,FALSE)</f>
        <v>STEWART MICHAEL</v>
      </c>
      <c r="M104" s="6">
        <f t="shared" si="37"/>
        <v>2.6805555557075422E-2</v>
      </c>
      <c r="N104" s="7">
        <f t="shared" si="38"/>
        <v>38.600000002188608</v>
      </c>
      <c r="O104" s="7"/>
      <c r="P104" s="7"/>
      <c r="Q104" s="22"/>
      <c r="R104" s="174"/>
      <c r="S104" s="221">
        <f t="shared" si="39"/>
        <v>1</v>
      </c>
      <c r="T104" s="174" t="str">
        <f t="shared" si="40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1"/>
        <v>https://d0f6bd738d7f1b3e5a7ca70fe4ff75f0.us-east-1.aws.found.io/app/kibana#/discover/Steve-Slow-Train-Analysis-(2080s-and-2083s)?_g=(refreshInterval:(display:Off,pause:!f,section:0,value:0),time:(from:'2017-10-19T14:49:55-0600',mode:absolute,to:'2017-10-19T17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204" t="str">
        <f>IF(AA104&lt;VLOOKUP(AG104,Variables!$AC$3:$AD$8,2,FALSE),"Y","N")</f>
        <v>N</v>
      </c>
      <c r="X104" s="204">
        <f t="shared" si="42"/>
        <v>1</v>
      </c>
      <c r="Y104" s="204">
        <f t="shared" si="53"/>
        <v>23.297899999999998</v>
      </c>
      <c r="Z104" s="204">
        <f t="shared" si="54"/>
        <v>1.52E-2</v>
      </c>
      <c r="AA104" s="204">
        <f t="shared" si="43"/>
        <v>23.282699999999998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4"/>
        <v>192</v>
      </c>
      <c r="AE104" s="77" t="str">
        <f t="shared" si="45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104" s="74" t="str">
        <f t="shared" si="46"/>
        <v>"C:\Program Files (x86)\AstroGrep\AstroGrep.exe" /e /r /s /spath="%USERPROFILE%\AppData\Local\Temp\OnboardLogs" /stypes="app*4017*20171019*" /stext=" 22:.+((SYSTEM_STATE.+slice.+state.+changed )|(ment ac)|(multiple cpu faults)|(system.+state.+changed )|(\[timeout)|(PRM\|1\|D)|(kpr)|(kdp)|(train st.+moving)|(\|lc)|(penalty))"</v>
      </c>
      <c r="AG104" s="182" t="str">
        <f t="shared" si="47"/>
        <v>EC</v>
      </c>
      <c r="AH104" s="78" t="str">
        <f t="shared" si="48"/>
        <v>"%USERPROFILE%\Documents\GitHub\eaglep3\Utilities\RefineRTDCRunTimes.py" --tripid 192-19 --locoid 4017 --swversion DE.1.0.9.0 --startMP 204:232979 --initTime 2017-10-19T15:49:55 --startdatetime 2017-10-19T15:57:20 --delay 80 --endMP 204:152 --enddatetime 2017-10-19T16:35:56 --enforcementcount 0 &gt;&gt;%USERPROFILE%\Documents\GitHub\eaglep3-reporting\EC\2017-10-19-refined-times.txt</v>
      </c>
      <c r="AI104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{"issue":{"subject":"","project_id":79,"tracker_id":40,"status_id":1,"priority_id":2,"assigned_to_id":338,"start_date":"2017-10-19","description":"","custom_fields":[{"id":1,"name":"Subdivision","value":"EC"},{"id":4,"name":"Milepost","value":"0.0152"},{"id":17,"name":"Train ID","value":"192-19"},{"id":16,"name":"Locomotive ID","value":"4017"},{"id":130,"name":"Impact","value":""},{"id":150,"name":"Time of Event (Mountain Time)","value":"16:35:56"},{"id":151,"name":"Denver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50"/>
        <v>start /low /b %USERPROFILE%\Documents\GitHub\eaglep3\Utilities\DownloadLogsFromS3.py --loco 4017 --day 2017-10-19</v>
      </c>
      <c r="AN104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2"/>
        <v>https://d0f6bd738d7f1b3e5a7ca70fe4ff75f0.us-east-1.aws.found.io/app/kibana#/discover/Steve-Slow-Train-Analysis-(2080s-and-2083s)?_g=(refreshInterval:(display:Off,pause:!f,section:0,value:0),time:(from:'2017-10-19T14:49:55-0600',mode:absolute,to:'2017-10-19T17:35:56-0600'))&amp;_a=(columns:!('Message%20ID',Summary),filters:!(),index:'emp_*',interval:auto,query:(query_string:(analyze_wildcard:!t,query:'%22rtdc.l.rtdc.4017%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722</v>
      </c>
      <c r="B105" s="7">
        <v>4016</v>
      </c>
      <c r="C105" s="21" t="s">
        <v>194</v>
      </c>
      <c r="D105" s="21" t="s">
        <v>372</v>
      </c>
      <c r="E105" s="13">
        <v>43027.632187499999</v>
      </c>
      <c r="F105" s="13">
        <v>43027.635625000003</v>
      </c>
      <c r="G105" s="7">
        <v>56</v>
      </c>
      <c r="H105" s="21" t="s">
        <v>851</v>
      </c>
      <c r="I105" s="13">
        <v>43027.660949074074</v>
      </c>
      <c r="J105" s="7">
        <v>0</v>
      </c>
      <c r="K105" s="89" t="str">
        <f t="shared" si="36"/>
        <v>4015/4016</v>
      </c>
      <c r="L105" s="185" t="str">
        <f>VLOOKUP(A105,'Trips&amp;Operators'!$C$1:$G$99911,5,FALSE)</f>
        <v>LEVIN SCOTT</v>
      </c>
      <c r="M105" s="6">
        <f t="shared" si="37"/>
        <v>2.5324074071249925E-2</v>
      </c>
      <c r="N105" s="7">
        <f t="shared" si="38"/>
        <v>36.466666662599891</v>
      </c>
      <c r="O105" s="7"/>
      <c r="P105" s="7"/>
      <c r="Q105" s="22"/>
      <c r="R105" s="174"/>
      <c r="S105" s="221">
        <f t="shared" si="39"/>
        <v>1</v>
      </c>
      <c r="T105" s="174" t="str">
        <f t="shared" si="40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1"/>
        <v>https://d0f6bd738d7f1b3e5a7ca70fe4ff75f0.us-east-1.aws.found.io/app/kibana#/discover/Steve-Slow-Train-Analysis-(2080s-and-2083s)?_g=(refreshInterval:(display:Off,pause:!f,section:0,value:0),time:(from:'2017-10-19T14:10:21-0600',mode:absolute,to:'2017-10-19T16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204" t="str">
        <f>IF(AA105&lt;VLOOKUP(AG105,Variables!$AC$3:$AD$8,2,FALSE),"Y","N")</f>
        <v>N</v>
      </c>
      <c r="X105" s="204">
        <f t="shared" si="42"/>
        <v>1</v>
      </c>
      <c r="Y105" s="204">
        <f t="shared" si="53"/>
        <v>4.4699999999999997E-2</v>
      </c>
      <c r="Z105" s="204">
        <f t="shared" si="54"/>
        <v>23.337599999999998</v>
      </c>
      <c r="AA105" s="204">
        <f t="shared" si="43"/>
        <v>23.292899999999999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4"/>
        <v>193</v>
      </c>
      <c r="AE105" s="77" t="str">
        <f t="shared" si="45"/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105" s="74" t="str">
        <f t="shared" si="46"/>
        <v>"C:\Program Files (x86)\AstroGrep\AstroGrep.exe" /e /r /s /spath="%USERPROFILE%\AppData\Local\Temp\OnboardLogs" /stypes="app*4016*20171019*" /stext=" 21:.+((SYSTEM_STATE.+slice.+state.+changed )|(ment ac)|(multiple cpu faults)|(system.+state.+changed )|(\[timeout)|(PRM\|1\|D)|(kpr)|(kdp)|(train st.+moving)|(\|lc)|(penalty))"</v>
      </c>
      <c r="AG105" s="182" t="str">
        <f t="shared" si="47"/>
        <v>EC</v>
      </c>
      <c r="AH105" s="78" t="str">
        <f t="shared" si="48"/>
        <v>"%USERPROFILE%\Documents\GitHub\eaglep3\Utilities\RefineRTDCRunTimes.py" --tripid 193-19 --locoid 4016 --swversion DE.1.0.9.0 --startMP 204:447 --initTime 2017-10-19T15:10:21 --startdatetime 2017-10-19T15:15:18 --delay 56 --endMP 204:233376 --enddatetime 2017-10-19T15:51:46 --enforcementcount 0 &gt;&gt;%USERPROFILE%\Documents\GitHub\eaglep3-reporting\EC\2017-10-19-refined-times.txt</v>
      </c>
      <c r="AI105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{"issue":{"subject":"","project_id":79,"tracker_id":40,"status_id":1,"priority_id":2,"assigned_to_id":338,"start_date":"2017-10-19","description":"","custom_fields":[{"id":1,"name":"Subdivision","value":"EC"},{"id":4,"name":"Milepost","value":"23.3376"},{"id":17,"name":"Train ID","value":"193-19"},{"id":16,"name":"Locomotive ID","value":"4016"},{"id":130,"name":"Impact","value":""},{"id":150,"name":"Time of Event (Mountain Time)","value":"15:51:46"},{"id":151,"name":"Denver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50"/>
        <v>start /low /b %USERPROFILE%\Documents\GitHub\eaglep3\Utilities\DownloadLogsFromS3.py --loco 4016 --day 2017-10-19</v>
      </c>
      <c r="AN105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2"/>
        <v>https://d0f6bd738d7f1b3e5a7ca70fe4ff75f0.us-east-1.aws.found.io/app/kibana#/discover/Steve-Slow-Train-Analysis-(2080s-and-2083s)?_g=(refreshInterval:(display:Off,pause:!f,section:0,value:0),time:(from:'2017-10-19T14:10:21-0600',mode:absolute,to:'2017-10-19T16:51:46-0600'))&amp;_a=(columns:!('Message%20ID',Summary),filters:!(),index:'emp_*',interval:auto,query:(query_string:(analyze_wildcard:!t,query:'%22rtdc.l.rtdc.4016%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733</v>
      </c>
      <c r="B106" s="7">
        <v>4015</v>
      </c>
      <c r="C106" s="21" t="s">
        <v>194</v>
      </c>
      <c r="D106" s="21" t="s">
        <v>852</v>
      </c>
      <c r="E106" s="13">
        <v>43027.671817129631</v>
      </c>
      <c r="F106" s="13">
        <v>43027.675173611111</v>
      </c>
      <c r="G106" s="7">
        <v>51</v>
      </c>
      <c r="H106" s="21" t="s">
        <v>355</v>
      </c>
      <c r="I106" s="13">
        <v>43027.700983796298</v>
      </c>
      <c r="J106" s="7">
        <v>0</v>
      </c>
      <c r="K106" s="89" t="str">
        <f t="shared" si="36"/>
        <v>4015/4016</v>
      </c>
      <c r="L106" s="185" t="str">
        <f>VLOOKUP(A106,'Trips&amp;Operators'!$C$1:$G$99911,5,FALSE)</f>
        <v>LEVIN SCOTT</v>
      </c>
      <c r="M106" s="6">
        <f t="shared" si="37"/>
        <v>2.5810185186855961E-2</v>
      </c>
      <c r="N106" s="7">
        <f t="shared" si="38"/>
        <v>37.166666669072583</v>
      </c>
      <c r="O106" s="7"/>
      <c r="P106" s="7"/>
      <c r="Q106" s="22"/>
      <c r="R106" s="174"/>
      <c r="S106" s="221">
        <f t="shared" si="39"/>
        <v>1</v>
      </c>
      <c r="T106" s="174" t="str">
        <f t="shared" si="40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1"/>
        <v>https://d0f6bd738d7f1b3e5a7ca70fe4ff75f0.us-east-1.aws.found.io/app/kibana#/discover/Steve-Slow-Train-Analysis-(2080s-and-2083s)?_g=(refreshInterval:(display:Off,pause:!f,section:0,value:0),time:(from:'2017-10-19T15:07:25-0600',mode:absolute,to:'2017-10-19T17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204" t="str">
        <f>IF(AA106&lt;VLOOKUP(AG106,Variables!$AC$3:$AD$8,2,FALSE),"Y","N")</f>
        <v>N</v>
      </c>
      <c r="X106" s="204">
        <f t="shared" si="42"/>
        <v>1</v>
      </c>
      <c r="Y106" s="204">
        <f t="shared" si="53"/>
        <v>23.3034</v>
      </c>
      <c r="Z106" s="204">
        <f t="shared" si="54"/>
        <v>1.4500000000000001E-2</v>
      </c>
      <c r="AA106" s="204">
        <f t="shared" si="43"/>
        <v>23.288899999999998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4"/>
        <v>194</v>
      </c>
      <c r="AE106" s="77" t="str">
        <f t="shared" si="45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106" s="74" t="str">
        <f t="shared" si="46"/>
        <v>"C:\Program Files (x86)\AstroGrep\AstroGrep.exe" /e /r /s /spath="%USERPROFILE%\AppData\Local\Temp\OnboardLogs" /stypes="app*4015*20171019*" /stext=" 22:.+((SYSTEM_STATE.+slice.+state.+changed )|(ment ac)|(multiple cpu faults)|(system.+state.+changed )|(\[timeout)|(PRM\|1\|D)|(kpr)|(kdp)|(train st.+moving)|(\|lc)|(penalty))"</v>
      </c>
      <c r="AG106" s="182" t="str">
        <f t="shared" si="47"/>
        <v>EC</v>
      </c>
      <c r="AH106" s="78" t="str">
        <f t="shared" si="48"/>
        <v>"%USERPROFILE%\Documents\GitHub\eaglep3\Utilities\RefineRTDCRunTimes.py" --tripid 194-19 --locoid 4015 --swversion DE.1.0.9.0 --startMP 204:233034 --initTime 2017-10-19T16:07:25 --startdatetime 2017-10-19T16:12:15 --delay 51 --endMP 204:145 --enddatetime 2017-10-19T16:49:25 --enforcementcount 0 &gt;&gt;%USERPROFILE%\Documents\GitHub\eaglep3-reporting\EC\2017-10-19-refined-times.txt</v>
      </c>
      <c r="AI106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{"issue":{"subject":"","project_id":79,"tracker_id":40,"status_id":1,"priority_id":2,"assigned_to_id":338,"start_date":"2017-10-19","description":"","custom_fields":[{"id":1,"name":"Subdivision","value":"EC"},{"id":4,"name":"Milepost","value":"0.0145"},{"id":17,"name":"Train ID","value":"194-19"},{"id":16,"name":"Locomotive ID","value":"4015"},{"id":130,"name":"Impact","value":""},{"id":150,"name":"Time of Event (Mountain Time)","value":"16:49:25"},{"id":151,"name":"Denver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50"/>
        <v>start /low /b %USERPROFILE%\Documents\GitHub\eaglep3\Utilities\DownloadLogsFromS3.py --loco 4015 --day 2017-10-19</v>
      </c>
      <c r="AN106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2"/>
        <v>https://d0f6bd738d7f1b3e5a7ca70fe4ff75f0.us-east-1.aws.found.io/app/kibana#/discover/Steve-Slow-Train-Analysis-(2080s-and-2083s)?_g=(refreshInterval:(display:Off,pause:!f,section:0,value:0),time:(from:'2017-10-19T15:07:25-0600',mode:absolute,to:'2017-10-19T17:49:25-0600'))&amp;_a=(columns:!('Message%20ID',Summary),filters:!(),index:'emp_*',interval:auto,query:(query_string:(analyze_wildcard:!t,query:'%22rtdc.l.rtdc.4015%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726</v>
      </c>
      <c r="B107" s="7">
        <v>4008</v>
      </c>
      <c r="C107" s="21" t="s">
        <v>194</v>
      </c>
      <c r="D107" s="21" t="s">
        <v>334</v>
      </c>
      <c r="E107" s="13">
        <v>43027.642546296294</v>
      </c>
      <c r="F107" s="13">
        <v>43027.646064814813</v>
      </c>
      <c r="G107" s="7">
        <v>92</v>
      </c>
      <c r="H107" s="21" t="s">
        <v>531</v>
      </c>
      <c r="I107" s="13">
        <v>43027.671446759261</v>
      </c>
      <c r="J107" s="7">
        <v>0</v>
      </c>
      <c r="K107" s="89" t="str">
        <f t="shared" si="36"/>
        <v>4007/4008</v>
      </c>
      <c r="L107" s="185" t="str">
        <f>VLOOKUP(A107,'Trips&amp;Operators'!$C$1:$G$99911,5,FALSE)</f>
        <v>ROBINSON KADDIBA</v>
      </c>
      <c r="M107" s="6">
        <f t="shared" si="37"/>
        <v>2.5381944447872229E-2</v>
      </c>
      <c r="N107" s="7">
        <f t="shared" si="38"/>
        <v>36.55000000493601</v>
      </c>
      <c r="O107" s="7"/>
      <c r="P107" s="7"/>
      <c r="Q107" s="22"/>
      <c r="R107" s="174"/>
      <c r="S107" s="221">
        <f t="shared" si="39"/>
        <v>1</v>
      </c>
      <c r="T107" s="174" t="str">
        <f t="shared" si="40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1"/>
        <v>https://d0f6bd738d7f1b3e5a7ca70fe4ff75f0.us-east-1.aws.found.io/app/kibana#/discover/Steve-Slow-Train-Analysis-(2080s-and-2083s)?_g=(refreshInterval:(display:Off,pause:!f,section:0,value:0),time:(from:'2017-10-19T14:25:16-0600',mode:absolute,to:'2017-10-19T17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7" s="204" t="str">
        <f>IF(AA107&lt;VLOOKUP(AG107,Variables!$AC$3:$AD$8,2,FALSE),"Y","N")</f>
        <v>N</v>
      </c>
      <c r="X107" s="204">
        <f t="shared" si="42"/>
        <v>1</v>
      </c>
      <c r="Y107" s="204">
        <f t="shared" si="53"/>
        <v>4.4600000000000001E-2</v>
      </c>
      <c r="Z107" s="204">
        <f t="shared" si="54"/>
        <v>23.332100000000001</v>
      </c>
      <c r="AA107" s="204">
        <f t="shared" si="43"/>
        <v>23.287500000000001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4"/>
        <v>195</v>
      </c>
      <c r="AE107" s="77" t="str">
        <f t="shared" si="45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107" s="74" t="str">
        <f t="shared" si="46"/>
        <v>"C:\Program Files (x86)\AstroGrep\AstroGrep.exe" /e /r /s /spath="%USERPROFILE%\AppData\Local\Temp\OnboardLogs" /stypes="app*4008*20171019*" /stext=" 22:.+((SYSTEM_STATE.+slice.+state.+changed )|(ment ac)|(multiple cpu faults)|(system.+state.+changed )|(\[timeout)|(PRM\|1\|D)|(kpr)|(kdp)|(train st.+moving)|(\|lc)|(penalty))"</v>
      </c>
      <c r="AG107" s="182" t="str">
        <f t="shared" si="47"/>
        <v>EC</v>
      </c>
      <c r="AH107" s="78" t="str">
        <f t="shared" si="48"/>
        <v>"%USERPROFILE%\Documents\GitHub\eaglep3\Utilities\RefineRTDCRunTimes.py" --tripid 195-19 --locoid 4008 --swversion DE.1.0.9.0 --startMP 204:446 --initTime 2017-10-19T15:25:16 --startdatetime 2017-10-19T15:30:20 --delay 92 --endMP 204:233321 --enddatetime 2017-10-19T16:06:53 --enforcementcount 0 &gt;&gt;%USERPROFILE%\Documents\GitHub\eaglep3-reporting\EC\2017-10-19-refined-times.txt</v>
      </c>
      <c r="AI107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{"issue":{"subject":"","project_id":79,"tracker_id":40,"status_id":1,"priority_id":2,"assigned_to_id":338,"start_date":"2017-10-19","description":"","custom_fields":[{"id":1,"name":"Subdivision","value":"EC"},{"id":4,"name":"Milepost","value":"23.3321"},{"id":17,"name":"Train ID","value":"195-19"},{"id":16,"name":"Locomotive ID","value":"4008"},{"id":130,"name":"Impact","value":""},{"id":150,"name":"Time of Event (Mountain Time)","value":"16:06:53"},{"id":151,"name":"Denver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50"/>
        <v>start /low /b %USERPROFILE%\Documents\GitHub\eaglep3\Utilities\DownloadLogsFromS3.py --loco 4008 --day 2017-10-19</v>
      </c>
      <c r="AN107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2"/>
        <v>https://d0f6bd738d7f1b3e5a7ca70fe4ff75f0.us-east-1.aws.found.io/app/kibana#/discover/Steve-Slow-Train-Analysis-(2080s-and-2083s)?_g=(refreshInterval:(display:Off,pause:!f,section:0,value:0),time:(from:'2017-10-19T14:25:16-0600',mode:absolute,to:'2017-10-19T17:06:53-0600'))&amp;_a=(columns:!('Message%20ID',Summary),filters:!(),index:'emp_*',interval:auto,query:(query_string:(analyze_wildcard:!t,query:'%22rtdc.l.rtdc.4008%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735</v>
      </c>
      <c r="B108" s="7">
        <v>4007</v>
      </c>
      <c r="C108" s="21" t="s">
        <v>194</v>
      </c>
      <c r="D108" s="21" t="s">
        <v>405</v>
      </c>
      <c r="E108" s="13">
        <v>43027.682025462964</v>
      </c>
      <c r="F108" s="13">
        <v>43027.685601851852</v>
      </c>
      <c r="G108" s="7">
        <v>88</v>
      </c>
      <c r="H108" s="21" t="s">
        <v>357</v>
      </c>
      <c r="I108" s="13">
        <v>43027.712708333333</v>
      </c>
      <c r="J108" s="7">
        <v>0</v>
      </c>
      <c r="K108" s="89" t="str">
        <f t="shared" si="36"/>
        <v>4007/4008</v>
      </c>
      <c r="L108" s="185" t="str">
        <f>VLOOKUP(A108,'Trips&amp;Operators'!$C$1:$G$99911,5,FALSE)</f>
        <v>ROBINSON KADDIBA</v>
      </c>
      <c r="M108" s="6">
        <f t="shared" si="37"/>
        <v>2.7106481480586808E-2</v>
      </c>
      <c r="N108" s="7">
        <f t="shared" si="38"/>
        <v>39.033333332045004</v>
      </c>
      <c r="O108" s="7"/>
      <c r="P108" s="7"/>
      <c r="Q108" s="22"/>
      <c r="R108" s="174"/>
      <c r="S108" s="221">
        <f t="shared" si="39"/>
        <v>1</v>
      </c>
      <c r="T108" s="174" t="str">
        <f t="shared" si="40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1"/>
        <v>https://d0f6bd738d7f1b3e5a7ca70fe4ff75f0.us-east-1.aws.found.io/app/kibana#/discover/Steve-Slow-Train-Analysis-(2080s-and-2083s)?_g=(refreshInterval:(display:Off,pause:!f,section:0,value:0),time:(from:'2017-10-19T15:22:07-0600',mode:absolute,to:'2017-10-19T18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8" s="204" t="str">
        <f>IF(AA108&lt;VLOOKUP(AG108,Variables!$AC$3:$AD$8,2,FALSE),"Y","N")</f>
        <v>N</v>
      </c>
      <c r="X108" s="204">
        <f t="shared" si="42"/>
        <v>1</v>
      </c>
      <c r="Y108" s="204">
        <f t="shared" si="53"/>
        <v>23.298500000000001</v>
      </c>
      <c r="Z108" s="204">
        <f t="shared" si="54"/>
        <v>1.5599999999999999E-2</v>
      </c>
      <c r="AA108" s="204">
        <f t="shared" si="43"/>
        <v>23.282900000000001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4"/>
        <v>196</v>
      </c>
      <c r="AE108" s="77" t="str">
        <f t="shared" si="45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108" s="74" t="str">
        <f t="shared" si="46"/>
        <v>"C:\Program Files (x86)\AstroGrep\AstroGrep.exe" /e /r /s /spath="%USERPROFILE%\AppData\Local\Temp\OnboardLogs" /stypes="app*4007*20171019*" /stext=" 23:.+((SYSTEM_STATE.+slice.+state.+changed )|(ment ac)|(multiple cpu faults)|(system.+state.+changed )|(\[timeout)|(PRM\|1\|D)|(kpr)|(kdp)|(train st.+moving)|(\|lc)|(penalty))"</v>
      </c>
      <c r="AG108" s="182" t="str">
        <f t="shared" si="47"/>
        <v>EC</v>
      </c>
      <c r="AH108" s="78" t="str">
        <f t="shared" si="48"/>
        <v>"%USERPROFILE%\Documents\GitHub\eaglep3\Utilities\RefineRTDCRunTimes.py" --tripid 196-19 --locoid 4007 --swversion DE.1.0.9.0 --startMP 204:232985 --initTime 2017-10-19T16:22:07 --startdatetime 2017-10-19T16:27:16 --delay 88 --endMP 204:156 --enddatetime 2017-10-19T17:06:18 --enforcementcount 0 &gt;&gt;%USERPROFILE%\Documents\GitHub\eaglep3-reporting\EC\2017-10-19-refined-times.txt</v>
      </c>
      <c r="AI108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{"issue":{"subject":"","project_id":79,"tracker_id":40,"status_id":1,"priority_id":2,"assigned_to_id":338,"start_date":"2017-10-19","description":"","custom_fields":[{"id":1,"name":"Subdivision","value":"EC"},{"id":4,"name":"Milepost","value":"0.0156"},{"id":17,"name":"Train ID","value":"196-19"},{"id":16,"name":"Locomotive ID","value":"4007"},{"id":130,"name":"Impact","value":""},{"id":150,"name":"Time of Event (Mountain Time)","value":"17:06:18"},{"id":151,"name":"Denver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50"/>
        <v>start /low /b %USERPROFILE%\Documents\GitHub\eaglep3\Utilities\DownloadLogsFromS3.py --loco 4007 --day 2017-10-19</v>
      </c>
      <c r="AN108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2"/>
        <v>https://d0f6bd738d7f1b3e5a7ca70fe4ff75f0.us-east-1.aws.found.io/app/kibana#/discover/Steve-Slow-Train-Analysis-(2080s-and-2083s)?_g=(refreshInterval:(display:Off,pause:!f,section:0,value:0),time:(from:'2017-10-19T15:22:07-0600',mode:absolute,to:'2017-10-19T18:06:18-0600'))&amp;_a=(columns:!('Message%20ID',Summary),filters:!(),index:'emp_*',interval:auto,query:(query_string:(analyze_wildcard:!t,query:'%22rtdc.l.rtdc.4007%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728</v>
      </c>
      <c r="B109" s="7">
        <v>4014</v>
      </c>
      <c r="C109" s="21" t="s">
        <v>194</v>
      </c>
      <c r="D109" s="21" t="s">
        <v>369</v>
      </c>
      <c r="E109" s="13">
        <v>43027.652696759258</v>
      </c>
      <c r="F109" s="13">
        <v>43027.656504629631</v>
      </c>
      <c r="G109" s="7">
        <v>58</v>
      </c>
      <c r="H109" s="21" t="s">
        <v>397</v>
      </c>
      <c r="I109" s="13">
        <v>43027.682083333333</v>
      </c>
      <c r="J109" s="7">
        <v>0</v>
      </c>
      <c r="K109" s="89" t="str">
        <f t="shared" si="36"/>
        <v>4013/4014</v>
      </c>
      <c r="L109" s="185" t="str">
        <f>VLOOKUP(A109,'Trips&amp;Operators'!$C$1:$G$99911,5,FALSE)</f>
        <v>LEVERE CRAIG</v>
      </c>
      <c r="M109" s="6">
        <f t="shared" si="37"/>
        <v>2.5578703702194616E-2</v>
      </c>
      <c r="N109" s="7">
        <f t="shared" si="38"/>
        <v>36.833333331160247</v>
      </c>
      <c r="O109" s="7"/>
      <c r="P109" s="7"/>
      <c r="Q109" s="22"/>
      <c r="R109" s="174"/>
      <c r="S109" s="221">
        <f t="shared" si="39"/>
        <v>1</v>
      </c>
      <c r="T109" s="174" t="str">
        <f t="shared" si="40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1"/>
        <v>https://d0f6bd738d7f1b3e5a7ca70fe4ff75f0.us-east-1.aws.found.io/app/kibana#/discover/Steve-Slow-Train-Analysis-(2080s-and-2083s)?_g=(refreshInterval:(display:Off,pause:!f,section:0,value:0),time:(from:'2017-10-19T14:39:53-0600',mode:absolute,to:'2017-10-19T17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204" t="str">
        <f>IF(AA109&lt;VLOOKUP(AG109,Variables!$AC$3:$AD$8,2,FALSE),"Y","N")</f>
        <v>N</v>
      </c>
      <c r="X109" s="204">
        <f t="shared" ref="X109:X140" si="55">VALUE(LEFT(AD109,4))-VALUE(LEFT(AD108,4))</f>
        <v>1</v>
      </c>
      <c r="Y109" s="204">
        <f t="shared" si="53"/>
        <v>4.7100000000000003E-2</v>
      </c>
      <c r="Z109" s="204">
        <f t="shared" si="54"/>
        <v>23.331399999999999</v>
      </c>
      <c r="AA109" s="204">
        <f t="shared" si="43"/>
        <v>23.284299999999998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4"/>
        <v>197</v>
      </c>
      <c r="AE109" s="77" t="str">
        <f t="shared" si="45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109" s="74" t="str">
        <f t="shared" si="46"/>
        <v>"C:\Program Files (x86)\AstroGrep\AstroGrep.exe" /e /r /s /spath="%USERPROFILE%\AppData\Local\Temp\OnboardLogs" /stypes="app*4014*20171019*" /stext=" 22:.+((SYSTEM_STATE.+slice.+state.+changed )|(ment ac)|(multiple cpu faults)|(system.+state.+changed )|(\[timeout)|(PRM\|1\|D)|(kpr)|(kdp)|(train st.+moving)|(\|lc)|(penalty))"</v>
      </c>
      <c r="AG109" s="182" t="str">
        <f t="shared" si="47"/>
        <v>EC</v>
      </c>
      <c r="AH109" s="78" t="str">
        <f t="shared" si="48"/>
        <v>"%USERPROFILE%\Documents\GitHub\eaglep3\Utilities\RefineRTDCRunTimes.py" --tripid 197-19 --locoid 4014 --swversion DE.1.0.9.0 --startMP 204:471 --initTime 2017-10-19T15:39:53 --startdatetime 2017-10-19T15:45:22 --delay 58 --endMP 204:233314 --enddatetime 2017-10-19T16:22:12 --enforcementcount 0 &gt;&gt;%USERPROFILE%\Documents\GitHub\eaglep3-reporting\EC\2017-10-19-refined-times.txt</v>
      </c>
      <c r="AI109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{"issue":{"subject":"","project_id":79,"tracker_id":40,"status_id":1,"priority_id":2,"assigned_to_id":338,"start_date":"2017-10-19","description":"","custom_fields":[{"id":1,"name":"Subdivision","value":"EC"},{"id":4,"name":"Milepost","value":"23.3314"},{"id":17,"name":"Train ID","value":"197-19"},{"id":16,"name":"Locomotive ID","value":"4014"},{"id":130,"name":"Impact","value":""},{"id":150,"name":"Time of Event (Mountain Time)","value":"16:22:12"},{"id":151,"name":"Denver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50"/>
        <v>start /low /b %USERPROFILE%\Documents\GitHub\eaglep3\Utilities\DownloadLogsFromS3.py --loco 4014 --day 2017-10-19</v>
      </c>
      <c r="AN109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2"/>
        <v>https://d0f6bd738d7f1b3e5a7ca70fe4ff75f0.us-east-1.aws.found.io/app/kibana#/discover/Steve-Slow-Train-Analysis-(2080s-and-2083s)?_g=(refreshInterval:(display:Off,pause:!f,section:0,value:0),time:(from:'2017-10-19T14:39:53-0600',mode:absolute,to:'2017-10-19T17:22:12-0600'))&amp;_a=(columns:!('Message%20ID',Summary),filters:!(),index:'emp_*',interval:auto,query:(query_string:(analyze_wildcard:!t,query:'%22rtdc.l.rtdc.4014%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739</v>
      </c>
      <c r="B110" s="7">
        <v>4013</v>
      </c>
      <c r="C110" s="21" t="s">
        <v>194</v>
      </c>
      <c r="D110" s="21" t="s">
        <v>521</v>
      </c>
      <c r="E110" s="13">
        <v>43027.689444444448</v>
      </c>
      <c r="F110" s="13">
        <v>43027.696481481478</v>
      </c>
      <c r="G110" s="7">
        <v>63</v>
      </c>
      <c r="H110" s="21" t="s">
        <v>355</v>
      </c>
      <c r="I110" s="13">
        <v>43027.724039351851</v>
      </c>
      <c r="J110" s="7">
        <v>0</v>
      </c>
      <c r="K110" s="89" t="str">
        <f t="shared" si="36"/>
        <v>4013/4014</v>
      </c>
      <c r="L110" s="185" t="str">
        <f>VLOOKUP(A110,'Trips&amp;Operators'!$C$1:$G$99911,5,FALSE)</f>
        <v>LEVERE CRAIG</v>
      </c>
      <c r="M110" s="6">
        <f t="shared" si="37"/>
        <v>2.7557870373129845E-2</v>
      </c>
      <c r="N110" s="7">
        <f t="shared" si="38"/>
        <v>39.683333337306976</v>
      </c>
      <c r="O110" s="7"/>
      <c r="P110" s="7"/>
      <c r="Q110" s="22"/>
      <c r="R110" s="174"/>
      <c r="S110" s="221">
        <f t="shared" si="39"/>
        <v>1</v>
      </c>
      <c r="T110" s="174" t="str">
        <f t="shared" si="40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1"/>
        <v>https://d0f6bd738d7f1b3e5a7ca70fe4ff75f0.us-east-1.aws.found.io/app/kibana#/discover/Steve-Slow-Train-Analysis-(2080s-and-2083s)?_g=(refreshInterval:(display:Off,pause:!f,section:0,value:0),time:(from:'2017-10-19T15:32:48-0600',mode:absolute,to:'2017-10-19T18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204" t="str">
        <f>IF(AA110&lt;VLOOKUP(AG110,Variables!$AC$3:$AD$8,2,FALSE),"Y","N")</f>
        <v>N</v>
      </c>
      <c r="X110" s="204">
        <f t="shared" si="55"/>
        <v>1</v>
      </c>
      <c r="Y110" s="204">
        <f t="shared" si="53"/>
        <v>23.298200000000001</v>
      </c>
      <c r="Z110" s="204">
        <f t="shared" si="54"/>
        <v>1.4500000000000001E-2</v>
      </c>
      <c r="AA110" s="204">
        <f t="shared" si="43"/>
        <v>23.2837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4"/>
        <v>198</v>
      </c>
      <c r="AE110" s="77" t="str">
        <f t="shared" si="45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110" s="74" t="str">
        <f t="shared" si="46"/>
        <v>"C:\Program Files (x86)\AstroGrep\AstroGrep.exe" /e /r /s /spath="%USERPROFILE%\AppData\Local\Temp\OnboardLogs" /stypes="app*4013*20171019*" /stext=" 23:.+((SYSTEM_STATE.+slice.+state.+changed )|(ment ac)|(multiple cpu faults)|(system.+state.+changed )|(\[timeout)|(PRM\|1\|D)|(kpr)|(kdp)|(train st.+moving)|(\|lc)|(penalty))"</v>
      </c>
      <c r="AG110" s="182" t="str">
        <f t="shared" si="47"/>
        <v>EC</v>
      </c>
      <c r="AH110" s="78" t="str">
        <f t="shared" si="48"/>
        <v>"%USERPROFILE%\Documents\GitHub\eaglep3\Utilities\RefineRTDCRunTimes.py" --tripid 198-19 --locoid 4013 --swversion DE.1.0.9.0 --startMP 204:232982 --initTime 2017-10-19T16:32:48 --startdatetime 2017-10-19T16:42:56 --delay 63 --endMP 204:145 --enddatetime 2017-10-19T17:22:37 --enforcementcount 0 &gt;&gt;%USERPROFILE%\Documents\GitHub\eaglep3-reporting\EC\2017-10-19-refined-times.txt</v>
      </c>
      <c r="AI110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{"issue":{"subject":"","project_id":79,"tracker_id":40,"status_id":1,"priority_id":2,"assigned_to_id":338,"start_date":"2017-10-19","description":"","custom_fields":[{"id":1,"name":"Subdivision","value":"EC"},{"id":4,"name":"Milepost","value":"0.0145"},{"id":17,"name":"Train ID","value":"198-19"},{"id":16,"name":"Locomotive ID","value":"4013"},{"id":130,"name":"Impact","value":""},{"id":150,"name":"Time of Event (Mountain Time)","value":"17:22:37"},{"id":151,"name":"Denver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50"/>
        <v>start /low /b %USERPROFILE%\Documents\GitHub\eaglep3\Utilities\DownloadLogsFromS3.py --loco 4013 --day 2017-10-19</v>
      </c>
      <c r="AN110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2"/>
        <v>https://d0f6bd738d7f1b3e5a7ca70fe4ff75f0.us-east-1.aws.found.io/app/kibana#/discover/Steve-Slow-Train-Analysis-(2080s-and-2083s)?_g=(refreshInterval:(display:Off,pause:!f,section:0,value:0),time:(from:'2017-10-19T15:32:48-0600',mode:absolute,to:'2017-10-19T18:22:37-0600'))&amp;_a=(columns:!('Message%20ID',Summary),filters:!(),index:'emp_*',interval:auto,query:(query_string:(analyze_wildcard:!t,query:'%22rtdc.l.rtdc.4013%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730</v>
      </c>
      <c r="B111" s="7">
        <v>4006</v>
      </c>
      <c r="C111" s="21" t="s">
        <v>194</v>
      </c>
      <c r="D111" s="21" t="s">
        <v>372</v>
      </c>
      <c r="E111" s="13">
        <v>43027.661979166667</v>
      </c>
      <c r="F111" s="13">
        <v>43027.666828703703</v>
      </c>
      <c r="G111" s="7">
        <v>61</v>
      </c>
      <c r="H111" s="21" t="s">
        <v>431</v>
      </c>
      <c r="I111" s="13">
        <v>43027.692129629628</v>
      </c>
      <c r="J111" s="7">
        <v>0</v>
      </c>
      <c r="K111" s="89" t="str">
        <f t="shared" si="36"/>
        <v>4005/4006</v>
      </c>
      <c r="L111" s="185" t="str">
        <f>VLOOKUP(A111,'Trips&amp;Operators'!$C$1:$G$99911,5,FALSE)</f>
        <v>BADERTSCHER DIANE</v>
      </c>
      <c r="M111" s="6">
        <f t="shared" si="37"/>
        <v>2.5300925924966577E-2</v>
      </c>
      <c r="N111" s="7">
        <f t="shared" si="38"/>
        <v>36.433333331951872</v>
      </c>
      <c r="O111" s="7"/>
      <c r="P111" s="7"/>
      <c r="Q111" s="22"/>
      <c r="R111" s="174"/>
      <c r="S111" s="221">
        <f t="shared" si="39"/>
        <v>1</v>
      </c>
      <c r="T111" s="174" t="str">
        <f t="shared" si="40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1"/>
        <v>https://d0f6bd738d7f1b3e5a7ca70fe4ff75f0.us-east-1.aws.found.io/app/kibana#/discover/Steve-Slow-Train-Analysis-(2080s-and-2083s)?_g=(refreshInterval:(display:Off,pause:!f,section:0,value:0),time:(from:'2017-10-19T14:53:15-0600',mode:absolute,to:'2017-10-19T17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1" s="204" t="str">
        <f>IF(AA111&lt;VLOOKUP(AG111,Variables!$AC$3:$AD$8,2,FALSE),"Y","N")</f>
        <v>N</v>
      </c>
      <c r="X111" s="204">
        <f t="shared" si="55"/>
        <v>1</v>
      </c>
      <c r="Y111" s="204">
        <f t="shared" si="53"/>
        <v>4.4699999999999997E-2</v>
      </c>
      <c r="Z111" s="204">
        <f t="shared" si="54"/>
        <v>23.329699999999999</v>
      </c>
      <c r="AA111" s="204">
        <f t="shared" si="43"/>
        <v>23.285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4"/>
        <v>199</v>
      </c>
      <c r="AE111" s="77" t="str">
        <f t="shared" si="45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111" s="74" t="str">
        <f t="shared" si="46"/>
        <v>"C:\Program Files (x86)\AstroGrep\AstroGrep.exe" /e /r /s /spath="%USERPROFILE%\AppData\Local\Temp\OnboardLogs" /stypes="app*4006*20171019*" /stext=" 22:.+((SYSTEM_STATE.+slice.+state.+changed )|(ment ac)|(multiple cpu faults)|(system.+state.+changed )|(\[timeout)|(PRM\|1\|D)|(kpr)|(kdp)|(train st.+moving)|(\|lc)|(penalty))"</v>
      </c>
      <c r="AG111" s="182" t="str">
        <f t="shared" si="47"/>
        <v>EC</v>
      </c>
      <c r="AH111" s="78" t="str">
        <f t="shared" si="48"/>
        <v>"%USERPROFILE%\Documents\GitHub\eaglep3\Utilities\RefineRTDCRunTimes.py" --tripid 199-19 --locoid 4006 --swversion DE.1.0.9.0 --startMP 204:447 --initTime 2017-10-19T15:53:15 --startdatetime 2017-10-19T16:00:14 --delay 61 --endMP 204:233297 --enddatetime 2017-10-19T16:36:40 --enforcementcount 0 &gt;&gt;%USERPROFILE%\Documents\GitHub\eaglep3-reporting\EC\2017-10-19-refined-times.txt</v>
      </c>
      <c r="AI111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{"issue":{"subject":"","project_id":79,"tracker_id":40,"status_id":1,"priority_id":2,"assigned_to_id":338,"start_date":"2017-10-19","description":"","custom_fields":[{"id":1,"name":"Subdivision","value":"EC"},{"id":4,"name":"Milepost","value":"23.3297"},{"id":17,"name":"Train ID","value":"199-19"},{"id":16,"name":"Locomotive ID","value":"4006"},{"id":130,"name":"Impact","value":""},{"id":150,"name":"Time of Event (Mountain Time)","value":"16:36:40"},{"id":151,"name":"Denver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50"/>
        <v>start /low /b %USERPROFILE%\Documents\GitHub\eaglep3\Utilities\DownloadLogsFromS3.py --loco 4006 --day 2017-10-19</v>
      </c>
      <c r="AN111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2"/>
        <v>https://d0f6bd738d7f1b3e5a7ca70fe4ff75f0.us-east-1.aws.found.io/app/kibana#/discover/Steve-Slow-Train-Analysis-(2080s-and-2083s)?_g=(refreshInterval:(display:Off,pause:!f,section:0,value:0),time:(from:'2017-10-19T14:53:15-0600',mode:absolute,to:'2017-10-19T17:36:40-0600'))&amp;_a=(columns:!('Message%20ID',Summary),filters:!(),index:'emp_*',interval:auto,query:(query_string:(analyze_wildcard:!t,query:'%22rtdc.l.rtdc.4006%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741</v>
      </c>
      <c r="B112" s="7">
        <v>4005</v>
      </c>
      <c r="C112" s="21" t="s">
        <v>194</v>
      </c>
      <c r="D112" s="21" t="s">
        <v>837</v>
      </c>
      <c r="E112" s="13">
        <v>43027.696481481478</v>
      </c>
      <c r="F112" s="13">
        <v>43027.706423611111</v>
      </c>
      <c r="G112" s="7">
        <v>50</v>
      </c>
      <c r="H112" s="21" t="s">
        <v>366</v>
      </c>
      <c r="I112" s="13">
        <v>43027.733657407407</v>
      </c>
      <c r="J112" s="7">
        <v>0</v>
      </c>
      <c r="K112" s="89" t="str">
        <f t="shared" si="36"/>
        <v>4005/4006</v>
      </c>
      <c r="L112" s="185" t="str">
        <f>VLOOKUP(A112,'Trips&amp;Operators'!$C$1:$G$99911,5,FALSE)</f>
        <v>BADERTSCHER DIANE</v>
      </c>
      <c r="M112" s="6">
        <f t="shared" si="37"/>
        <v>2.7233796296059154E-2</v>
      </c>
      <c r="N112" s="7">
        <f t="shared" si="38"/>
        <v>39.216666666325182</v>
      </c>
      <c r="O112" s="7"/>
      <c r="P112" s="7"/>
      <c r="Q112" s="22"/>
      <c r="R112" s="174"/>
      <c r="S112" s="221">
        <f t="shared" si="39"/>
        <v>1</v>
      </c>
      <c r="T112" s="174" t="str">
        <f t="shared" si="40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1"/>
        <v>https://d0f6bd738d7f1b3e5a7ca70fe4ff75f0.us-east-1.aws.found.io/app/kibana#/discover/Steve-Slow-Train-Analysis-(2080s-and-2083s)?_g=(refreshInterval:(display:Off,pause:!f,section:0,value:0),time:(from:'2017-10-19T15:42:56-0600',mode:absolute,to:'2017-10-19T18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2" s="204" t="str">
        <f>IF(AA112&lt;VLOOKUP(AG112,Variables!$AC$3:$AD$8,2,FALSE),"Y","N")</f>
        <v>N</v>
      </c>
      <c r="X112" s="204">
        <f t="shared" si="55"/>
        <v>1</v>
      </c>
      <c r="Y112" s="204">
        <f t="shared" si="53"/>
        <v>23.297899999999998</v>
      </c>
      <c r="Z112" s="204">
        <f t="shared" si="54"/>
        <v>1.3899999999999999E-2</v>
      </c>
      <c r="AA112" s="204">
        <f t="shared" si="43"/>
        <v>23.283999999999999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4"/>
        <v>200</v>
      </c>
      <c r="AE112" s="77" t="str">
        <f t="shared" si="45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112" s="74" t="str">
        <f t="shared" si="46"/>
        <v>"C:\Program Files (x86)\AstroGrep\AstroGrep.exe" /e /r /s /spath="%USERPROFILE%\AppData\Local\Temp\OnboardLogs" /stypes="app*4005*20171019*" /stext=" 23:.+((SYSTEM_STATE.+slice.+state.+changed )|(ment ac)|(multiple cpu faults)|(system.+state.+changed )|(\[timeout)|(PRM\|1\|D)|(kpr)|(kdp)|(train st.+moving)|(\|lc)|(penalty))"</v>
      </c>
      <c r="AG112" s="182" t="str">
        <f t="shared" si="47"/>
        <v>EC</v>
      </c>
      <c r="AH112" s="78" t="str">
        <f t="shared" si="48"/>
        <v>"%USERPROFILE%\Documents\GitHub\eaglep3\Utilities\RefineRTDCRunTimes.py" --tripid 200-19 --locoid 4005 --swversion DE.1.0.9.0 --startMP 204:232979 --initTime 2017-10-19T16:42:56 --startdatetime 2017-10-19T16:57:15 --delay 50 --endMP 204:139 --enddatetime 2017-10-19T17:36:28 --enforcementcount 0 &gt;&gt;%USERPROFILE%\Documents\GitHub\eaglep3-reporting\EC\2017-10-19-refined-times.txt</v>
      </c>
      <c r="AI112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{"issue":{"subject":"","project_id":79,"tracker_id":40,"status_id":1,"priority_id":2,"assigned_to_id":338,"start_date":"2017-10-19","description":"","custom_fields":[{"id":1,"name":"Subdivision","value":"EC"},{"id":4,"name":"Milepost","value":"0.0139"},{"id":17,"name":"Train ID","value":"200-19"},{"id":16,"name":"Locomotive ID","value":"4005"},{"id":130,"name":"Impact","value":""},{"id":150,"name":"Time of Event (Mountain Time)","value":"17:36:28"},{"id":151,"name":"Denver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50"/>
        <v>start /low /b %USERPROFILE%\Documents\GitHub\eaglep3\Utilities\DownloadLogsFromS3.py --loco 4005 --day 2017-10-19</v>
      </c>
      <c r="AN112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2"/>
        <v>https://d0f6bd738d7f1b3e5a7ca70fe4ff75f0.us-east-1.aws.found.io/app/kibana#/discover/Steve-Slow-Train-Analysis-(2080s-and-2083s)?_g=(refreshInterval:(display:Off,pause:!f,section:0,value:0),time:(from:'2017-10-19T15:42:56-0600',mode:absolute,to:'2017-10-19T18:36:28-0600'))&amp;_a=(columns:!('Message%20ID',Summary),filters:!(),index:'emp_*',interval:auto,query:(query_string:(analyze_wildcard:!t,query:'%22rtdc.l.rtdc.4005%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741</v>
      </c>
      <c r="B113" s="7">
        <v>4005</v>
      </c>
      <c r="C113" s="21" t="s">
        <v>194</v>
      </c>
      <c r="D113" s="21" t="s">
        <v>532</v>
      </c>
      <c r="E113" s="13">
        <v>43027.695057870369</v>
      </c>
      <c r="F113" s="13">
        <v>43027.706423611111</v>
      </c>
      <c r="G113" s="7">
        <v>54</v>
      </c>
      <c r="H113" s="21" t="s">
        <v>837</v>
      </c>
      <c r="I113" s="13">
        <v>43027.733657407407</v>
      </c>
      <c r="J113" s="7">
        <v>0</v>
      </c>
      <c r="K113" s="89" t="str">
        <f t="shared" si="36"/>
        <v>4005/4006</v>
      </c>
      <c r="L113" s="185" t="str">
        <f>VLOOKUP(A113,'Trips&amp;Operators'!$C$1:$G$99911,5,FALSE)</f>
        <v>BADERTSCHER DIANE</v>
      </c>
      <c r="M113" s="6">
        <f t="shared" si="37"/>
        <v>2.7233796296059154E-2</v>
      </c>
      <c r="N113" s="7"/>
      <c r="O113" s="7"/>
      <c r="P113" s="7"/>
      <c r="Q113" s="22"/>
      <c r="R113" s="174"/>
      <c r="S113" s="221"/>
      <c r="T113" s="174" t="str">
        <f t="shared" si="40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216" t="str">
        <f t="shared" si="41"/>
        <v>https://d0f6bd738d7f1b3e5a7ca70fe4ff75f0.us-east-1.aws.found.io/app/kibana#/discover/Steve-Slow-Train-Analysis-(2080s-and-2083s)?_g=(refreshInterval:(display:Off,pause:!f,section:0,value:0),time:(from:'2017-10-19T15:40:53-0600',mode:absolute,to:'2017-10-19T18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3" s="204" t="str">
        <f>IF(AA113&lt;VLOOKUP(AG113,Variables!$AC$3:$AD$8,2,FALSE),"Y","N")</f>
        <v>Y</v>
      </c>
      <c r="X113" s="204">
        <f t="shared" si="55"/>
        <v>0</v>
      </c>
      <c r="Y113" s="204">
        <f t="shared" si="53"/>
        <v>23.298100000000002</v>
      </c>
      <c r="Z113" s="204">
        <f t="shared" si="54"/>
        <v>23.297899999999998</v>
      </c>
      <c r="AA113" s="204">
        <f t="shared" si="43"/>
        <v>2.000000000030866E-4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4"/>
        <v>200</v>
      </c>
      <c r="AE113" s="77" t="str">
        <f t="shared" si="45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113" s="74" t="str">
        <f t="shared" si="46"/>
        <v>"C:\Program Files (x86)\AstroGrep\AstroGrep.exe" /e /r /s /spath="%USERPROFILE%\AppData\Local\Temp\OnboardLogs" /stypes="app*4005*20171019*" /stext=" 23:.+((SYSTEM_STATE.+slice.+state.+changed )|(ment ac)|(multiple cpu faults)|(system.+state.+changed )|(\[timeout)|(PRM\|1\|D)|(kpr)|(kdp)|(train st.+moving)|(\|lc)|(penalty))"</v>
      </c>
      <c r="AG113" s="182" t="str">
        <f t="shared" si="47"/>
        <v>EC</v>
      </c>
      <c r="AH113" s="78" t="str">
        <f t="shared" si="48"/>
        <v>"%USERPROFILE%\Documents\GitHub\eaglep3\Utilities\RefineRTDCRunTimes.py" --tripid 200-19 --locoid 4005 --swversion DE.1.0.9.0 --startMP 204:232981 --initTime 2017-10-19T16:40:53 --startdatetime 2017-10-19T16:57:15 --delay 54 --endMP 204:232979 --enddatetime 2017-10-19T17:36:28 --enforcementcount 0 &gt;&gt;%USERPROFILE%\Documents\GitHub\eaglep3-reporting\EC\2017-10-19-refined-times.txt</v>
      </c>
      <c r="AI113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{"issue":{"subject":"","project_id":79,"tracker_id":40,"status_id":1,"priority_id":2,"assigned_to_id":338,"start_date":"2017-10-19","description":"","custom_fields":[{"id":1,"name":"Subdivision","value":"EC"},{"id":4,"name":"Milepost","value":"23.2979"},{"id":17,"name":"Train ID","value":"200-19"},{"id":16,"name":"Locomotive ID","value":"4005"},{"id":130,"name":"Impact","value":""},{"id":150,"name":"Time of Event (Mountain Time)","value":"17:36:28"},{"id":151,"name":"Denver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50"/>
        <v>start /low /b %USERPROFILE%\Documents\GitHub\eaglep3\Utilities\DownloadLogsFromS3.py --loco 4005 --day 2017-10-19</v>
      </c>
      <c r="AN113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2"/>
        <v>https://d0f6bd738d7f1b3e5a7ca70fe4ff75f0.us-east-1.aws.found.io/app/kibana#/discover/Steve-Slow-Train-Analysis-(2080s-and-2083s)?_g=(refreshInterval:(display:Off,pause:!f,section:0,value:0),time:(from:'2017-10-19T15:40:53-0600',mode:absolute,to:'2017-10-19T18:36:28-0600'))&amp;_a=(columns:!('Message%20ID',Summary),filters:!(),index:'emp_*',interval:auto,query:(query_string:(analyze_wildcard:!t,query:'%22rtdc.l.rtdc.4005%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734</v>
      </c>
      <c r="B114" s="7">
        <v>4066</v>
      </c>
      <c r="C114" s="21" t="s">
        <v>194</v>
      </c>
      <c r="D114" s="21" t="s">
        <v>420</v>
      </c>
      <c r="E114" s="13">
        <v>43027.671712962961</v>
      </c>
      <c r="F114" s="13">
        <v>43027.677268518521</v>
      </c>
      <c r="G114" s="7">
        <v>72</v>
      </c>
      <c r="H114" s="21" t="s">
        <v>451</v>
      </c>
      <c r="I114" s="13">
        <v>43027.703368055554</v>
      </c>
      <c r="J114" s="7">
        <v>0</v>
      </c>
      <c r="K114" s="89" t="str">
        <f t="shared" si="36"/>
        <v>4065/4066</v>
      </c>
      <c r="L114" s="185" t="str">
        <f>VLOOKUP(A114,'Trips&amp;Operators'!$C$1:$G$99911,5,FALSE)</f>
        <v>ZEWDU DEREJE</v>
      </c>
      <c r="M114" s="6">
        <f t="shared" si="37"/>
        <v>2.6099537033587694E-2</v>
      </c>
      <c r="N114" s="7">
        <f t="shared" ref="N114:N128" si="56">24*60*SUM($M114:$M114)</f>
        <v>37.58333332836628</v>
      </c>
      <c r="O114" s="7"/>
      <c r="P114" s="7"/>
      <c r="Q114" s="22"/>
      <c r="R114" s="174"/>
      <c r="S114" s="221">
        <f t="shared" ref="S114:S128" si="57">1/IF(AG114="EC",12,1)*SUM(U114:U114)</f>
        <v>1</v>
      </c>
      <c r="T114" s="174" t="str">
        <f t="shared" si="40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1"/>
        <v>https://d0f6bd738d7f1b3e5a7ca70fe4ff75f0.us-east-1.aws.found.io/app/kibana#/discover/Steve-Slow-Train-Analysis-(2080s-and-2083s)?_g=(refreshInterval:(display:Off,pause:!f,section:0,value:0),time:(from:'2017-10-19T15:07:16-0600',mode:absolute,to:'2017-10-19T17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4" s="204" t="str">
        <f>IF(AA114&lt;VLOOKUP(AG114,Variables!$AC$3:$AD$8,2,FALSE),"Y","N")</f>
        <v>N</v>
      </c>
      <c r="X114" s="204">
        <f t="shared" si="55"/>
        <v>1</v>
      </c>
      <c r="Y114" s="204">
        <f t="shared" si="53"/>
        <v>4.3999999999999997E-2</v>
      </c>
      <c r="Z114" s="204">
        <f t="shared" si="54"/>
        <v>23.3293</v>
      </c>
      <c r="AA114" s="204">
        <f t="shared" si="43"/>
        <v>23.285299999999999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4"/>
        <v>201</v>
      </c>
      <c r="AE114" s="77" t="str">
        <f t="shared" si="45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114" s="74" t="str">
        <f t="shared" si="46"/>
        <v>"C:\Program Files (x86)\AstroGrep\AstroGrep.exe" /e /r /s /spath="%USERPROFILE%\AppData\Local\Temp\OnboardLogs" /stypes="app*4066*20171019*" /stext=" 22:.+((SYSTEM_STATE.+slice.+state.+changed )|(ment ac)|(multiple cpu faults)|(system.+state.+changed )|(\[timeout)|(PRM\|1\|D)|(kpr)|(kdp)|(train st.+moving)|(\|lc)|(penalty))"</v>
      </c>
      <c r="AG114" s="182" t="str">
        <f t="shared" si="47"/>
        <v>EC</v>
      </c>
      <c r="AH114" s="78" t="str">
        <f t="shared" si="48"/>
        <v>"%USERPROFILE%\Documents\GitHub\eaglep3\Utilities\RefineRTDCRunTimes.py" --tripid 201-19 --locoid 4066 --swversion DE.1.0.9.0 --startMP 204:440 --initTime 2017-10-19T16:07:16 --startdatetime 2017-10-19T16:15:16 --delay 72 --endMP 204:233293 --enddatetime 2017-10-19T16:52:51 --enforcementcount 0 &gt;&gt;%USERPROFILE%\Documents\GitHub\eaglep3-reporting\EC\2017-10-19-refined-times.txt</v>
      </c>
      <c r="AI114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{"issue":{"subject":"","project_id":79,"tracker_id":40,"status_id":1,"priority_id":2,"assigned_to_id":338,"start_date":"2017-10-19","description":"","custom_fields":[{"id":1,"name":"Subdivision","value":"EC"},{"id":4,"name":"Milepost","value":"23.3293"},{"id":17,"name":"Train ID","value":"201-19"},{"id":16,"name":"Locomotive ID","value":"4066"},{"id":130,"name":"Impact","value":""},{"id":150,"name":"Time of Event (Mountain Time)","value":"16:52:51"},{"id":151,"name":"Denver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50"/>
        <v>start /low /b %USERPROFILE%\Documents\GitHub\eaglep3\Utilities\DownloadLogsFromS3.py --loco 4066 --day 2017-10-19</v>
      </c>
      <c r="AN114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2"/>
        <v>https://d0f6bd738d7f1b3e5a7ca70fe4ff75f0.us-east-1.aws.found.io/app/kibana#/discover/Steve-Slow-Train-Analysis-(2080s-and-2083s)?_g=(refreshInterval:(display:Off,pause:!f,section:0,value:0),time:(from:'2017-10-19T15:07:16-0600',mode:absolute,to:'2017-10-19T17:52:51-0600'))&amp;_a=(columns:!('Message%20ID',Summary),filters:!(),index:'emp_*',interval:auto,query:(query_string:(analyze_wildcard:!t,query:'%22rtdc.l.rtdc.4066%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745</v>
      </c>
      <c r="B115" s="7">
        <v>4065</v>
      </c>
      <c r="C115" s="21" t="s">
        <v>194</v>
      </c>
      <c r="D115" s="21" t="s">
        <v>521</v>
      </c>
      <c r="E115" s="13">
        <v>43027.712418981479</v>
      </c>
      <c r="F115" s="13">
        <v>43027.716874999998</v>
      </c>
      <c r="G115" s="7">
        <v>86</v>
      </c>
      <c r="H115" s="21" t="s">
        <v>363</v>
      </c>
      <c r="I115" s="13">
        <v>43027.743067129632</v>
      </c>
      <c r="J115" s="7">
        <v>0</v>
      </c>
      <c r="K115" s="89" t="str">
        <f t="shared" si="36"/>
        <v>4065/4066</v>
      </c>
      <c r="L115" s="185" t="str">
        <f>VLOOKUP(A115,'Trips&amp;Operators'!$C$1:$G$99911,5,FALSE)</f>
        <v>ZEWDU DEREJE</v>
      </c>
      <c r="M115" s="6">
        <f t="shared" si="37"/>
        <v>2.6192129633272998E-2</v>
      </c>
      <c r="N115" s="7">
        <f t="shared" si="56"/>
        <v>37.716666671913117</v>
      </c>
      <c r="O115" s="7"/>
      <c r="P115" s="7"/>
      <c r="Q115" s="22"/>
      <c r="R115" s="174"/>
      <c r="S115" s="221">
        <f t="shared" si="57"/>
        <v>1</v>
      </c>
      <c r="T115" s="174" t="str">
        <f t="shared" si="40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1"/>
        <v>https://d0f6bd738d7f1b3e5a7ca70fe4ff75f0.us-east-1.aws.found.io/app/kibana#/discover/Steve-Slow-Train-Analysis-(2080s-and-2083s)?_g=(refreshInterval:(display:Off,pause:!f,section:0,value:0),time:(from:'2017-10-19T16:05:53-0600',mode:absolute,to:'2017-10-19T18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5" s="204" t="str">
        <f>IF(AA115&lt;VLOOKUP(AG115,Variables!$AC$3:$AD$8,2,FALSE),"Y","N")</f>
        <v>N</v>
      </c>
      <c r="X115" s="204">
        <f t="shared" si="55"/>
        <v>1</v>
      </c>
      <c r="Y115" s="204">
        <f t="shared" si="53"/>
        <v>23.298200000000001</v>
      </c>
      <c r="Z115" s="204">
        <f t="shared" si="54"/>
        <v>1.5800000000000002E-2</v>
      </c>
      <c r="AA115" s="204">
        <f t="shared" si="43"/>
        <v>23.282400000000003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4"/>
        <v>202</v>
      </c>
      <c r="AE115" s="77" t="str">
        <f t="shared" si="45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115" s="74" t="str">
        <f t="shared" si="46"/>
        <v>"C:\Program Files (x86)\AstroGrep\AstroGrep.exe" /e /r /s /spath="%USERPROFILE%\AppData\Local\Temp\OnboardLogs" /stypes="app*4065*20171019*" /stext=" 23:.+((SYSTEM_STATE.+slice.+state.+changed )|(ment ac)|(multiple cpu faults)|(system.+state.+changed )|(\[timeout)|(PRM\|1\|D)|(kpr)|(kdp)|(train st.+moving)|(\|lc)|(penalty))"</v>
      </c>
      <c r="AG115" s="182" t="str">
        <f t="shared" si="47"/>
        <v>EC</v>
      </c>
      <c r="AH115" s="78" t="str">
        <f t="shared" si="48"/>
        <v>"%USERPROFILE%\Documents\GitHub\eaglep3\Utilities\RefineRTDCRunTimes.py" --tripid 202-19 --locoid 4065 --swversion DE.1.0.9.0 --startMP 204:232982 --initTime 2017-10-19T17:05:53 --startdatetime 2017-10-19T17:12:18 --delay 86 --endMP 204:158 --enddatetime 2017-10-19T17:50:01 --enforcementcount 0 &gt;&gt;%USERPROFILE%\Documents\GitHub\eaglep3-reporting\EC\2017-10-19-refined-times.txt</v>
      </c>
      <c r="AI115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{"issue":{"subject":"","project_id":79,"tracker_id":40,"status_id":1,"priority_id":2,"assigned_to_id":338,"start_date":"2017-10-19","description":"","custom_fields":[{"id":1,"name":"Subdivision","value":"EC"},{"id":4,"name":"Milepost","value":"0.0158"},{"id":17,"name":"Train ID","value":"202-19"},{"id":16,"name":"Locomotive ID","value":"4065"},{"id":130,"name":"Impact","value":""},{"id":150,"name":"Time of Event (Mountain Time)","value":"17:50:01"},{"id":151,"name":"Denver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50"/>
        <v>start /low /b %USERPROFILE%\Documents\GitHub\eaglep3\Utilities\DownloadLogsFromS3.py --loco 4065 --day 2017-10-19</v>
      </c>
      <c r="AN115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2"/>
        <v>https://d0f6bd738d7f1b3e5a7ca70fe4ff75f0.us-east-1.aws.found.io/app/kibana#/discover/Steve-Slow-Train-Analysis-(2080s-and-2083s)?_g=(refreshInterval:(display:Off,pause:!f,section:0,value:0),time:(from:'2017-10-19T16:05:53-0600',mode:absolute,to:'2017-10-19T18:50:01-0600'))&amp;_a=(columns:!('Message%20ID',Summary),filters:!(),index:'emp_*',interval:auto,query:(query_string:(analyze_wildcard:!t,query:'%22rtdc.l.rtdc.4065%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736</v>
      </c>
      <c r="B116" s="7">
        <v>4058</v>
      </c>
      <c r="C116" s="21" t="s">
        <v>194</v>
      </c>
      <c r="D116" s="21" t="s">
        <v>386</v>
      </c>
      <c r="E116" s="13">
        <v>43027.682916666665</v>
      </c>
      <c r="F116" s="13">
        <v>43027.687662037039</v>
      </c>
      <c r="G116" s="7">
        <v>69</v>
      </c>
      <c r="H116" s="21" t="s">
        <v>853</v>
      </c>
      <c r="I116" s="13">
        <v>43027.71261574074</v>
      </c>
      <c r="J116" s="7">
        <v>0</v>
      </c>
      <c r="K116" s="89" t="str">
        <f t="shared" si="36"/>
        <v>4057/4058</v>
      </c>
      <c r="L116" s="185" t="str">
        <f>VLOOKUP(A116,'Trips&amp;Operators'!$C$1:$G$99911,5,FALSE)</f>
        <v>BRUDER RICHARD</v>
      </c>
      <c r="M116" s="6">
        <f t="shared" si="37"/>
        <v>2.495370370161254E-2</v>
      </c>
      <c r="N116" s="7">
        <f t="shared" si="56"/>
        <v>35.933333330322057</v>
      </c>
      <c r="O116" s="7"/>
      <c r="P116" s="7"/>
      <c r="Q116" s="22"/>
      <c r="R116" s="174"/>
      <c r="S116" s="221">
        <f t="shared" si="57"/>
        <v>1</v>
      </c>
      <c r="T116" s="174" t="str">
        <f t="shared" si="40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1"/>
        <v>https://d0f6bd738d7f1b3e5a7ca70fe4ff75f0.us-east-1.aws.found.io/app/kibana#/discover/Steve-Slow-Train-Analysis-(2080s-and-2083s)?_g=(refreshInterval:(display:Off,pause:!f,section:0,value:0),time:(from:'2017-10-19T15:23:24-0600',mode:absolute,to:'2017-10-19T18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6" s="204" t="str">
        <f>IF(AA116&lt;VLOOKUP(AG116,Variables!$AC$3:$AD$8,2,FALSE),"Y","N")</f>
        <v>N</v>
      </c>
      <c r="X116" s="204">
        <f t="shared" si="55"/>
        <v>1</v>
      </c>
      <c r="Y116" s="204">
        <f t="shared" si="53"/>
        <v>4.7300000000000002E-2</v>
      </c>
      <c r="Z116" s="204">
        <f t="shared" si="54"/>
        <v>23.325900000000001</v>
      </c>
      <c r="AA116" s="204">
        <f t="shared" si="43"/>
        <v>23.278600000000001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4"/>
        <v>203</v>
      </c>
      <c r="AE116" s="77" t="str">
        <f t="shared" si="45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116" s="74" t="str">
        <f t="shared" si="46"/>
        <v>"C:\Program Files (x86)\AstroGrep\AstroGrep.exe" /e /r /s /spath="%USERPROFILE%\AppData\Local\Temp\OnboardLogs" /stypes="app*4058*20171019*" /stext=" 23:.+((SYSTEM_STATE.+slice.+state.+changed )|(ment ac)|(multiple cpu faults)|(system.+state.+changed )|(\[timeout)|(PRM\|1\|D)|(kpr)|(kdp)|(train st.+moving)|(\|lc)|(penalty))"</v>
      </c>
      <c r="AG116" s="182" t="str">
        <f t="shared" si="47"/>
        <v>EC</v>
      </c>
      <c r="AH116" s="78" t="str">
        <f t="shared" si="48"/>
        <v>"%USERPROFILE%\Documents\GitHub\eaglep3\Utilities\RefineRTDCRunTimes.py" --tripid 203-19 --locoid 4058 --swversion DE.1.0.9.0 --startMP 204:473 --initTime 2017-10-19T16:23:24 --startdatetime 2017-10-19T16:30:14 --delay 69 --endMP 204:233259 --enddatetime 2017-10-19T17:06:10 --enforcementcount 0 &gt;&gt;%USERPROFILE%\Documents\GitHub\eaglep3-reporting\EC\2017-10-19-refined-times.txt</v>
      </c>
      <c r="AI116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{"issue":{"subject":"","project_id":79,"tracker_id":40,"status_id":1,"priority_id":2,"assigned_to_id":338,"start_date":"2017-10-19","description":"","custom_fields":[{"id":1,"name":"Subdivision","value":"EC"},{"id":4,"name":"Milepost","value":"23.3259"},{"id":17,"name":"Train ID","value":"203-19"},{"id":16,"name":"Locomotive ID","value":"4058"},{"id":130,"name":"Impact","value":""},{"id":150,"name":"Time of Event (Mountain Time)","value":"17:06:10"},{"id":151,"name":"Denver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50"/>
        <v>start /low /b %USERPROFILE%\Documents\GitHub\eaglep3\Utilities\DownloadLogsFromS3.py --loco 4058 --day 2017-10-19</v>
      </c>
      <c r="AN116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2"/>
        <v>https://d0f6bd738d7f1b3e5a7ca70fe4ff75f0.us-east-1.aws.found.io/app/kibana#/discover/Steve-Slow-Train-Analysis-(2080s-and-2083s)?_g=(refreshInterval:(display:Off,pause:!f,section:0,value:0),time:(from:'2017-10-19T15:23:24-0600',mode:absolute,to:'2017-10-19T18:06:10-0600'))&amp;_a=(columns:!('Message%20ID',Summary),filters:!(),index:'emp_*',interval:auto,query:(query_string:(analyze_wildcard:!t,query:'%22rtdc.l.rtdc.4058%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749</v>
      </c>
      <c r="B117" s="7">
        <v>4057</v>
      </c>
      <c r="C117" s="21" t="s">
        <v>194</v>
      </c>
      <c r="D117" s="21" t="s">
        <v>405</v>
      </c>
      <c r="E117" s="13">
        <v>43027.721574074072</v>
      </c>
      <c r="F117" s="13">
        <v>43027.727280092593</v>
      </c>
      <c r="G117" s="7">
        <v>53</v>
      </c>
      <c r="H117" s="21" t="s">
        <v>335</v>
      </c>
      <c r="I117" s="13">
        <v>43027.753796296296</v>
      </c>
      <c r="J117" s="7">
        <v>0</v>
      </c>
      <c r="K117" s="89" t="str">
        <f t="shared" si="36"/>
        <v>4057/4058</v>
      </c>
      <c r="L117" s="185" t="str">
        <f>VLOOKUP(A117,'Trips&amp;Operators'!$C$1:$G$99911,5,FALSE)</f>
        <v>BRUDER RICHARD</v>
      </c>
      <c r="M117" s="6">
        <f t="shared" si="37"/>
        <v>2.6516203703067731E-2</v>
      </c>
      <c r="N117" s="7">
        <f t="shared" si="56"/>
        <v>38.183333332417533</v>
      </c>
      <c r="O117" s="7"/>
      <c r="P117" s="7"/>
      <c r="Q117" s="22"/>
      <c r="R117" s="174"/>
      <c r="S117" s="221">
        <f t="shared" si="57"/>
        <v>1</v>
      </c>
      <c r="T117" s="174" t="str">
        <f t="shared" si="40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1"/>
        <v>https://d0f6bd738d7f1b3e5a7ca70fe4ff75f0.us-east-1.aws.found.io/app/kibana#/discover/Steve-Slow-Train-Analysis-(2080s-and-2083s)?_g=(refreshInterval:(display:Off,pause:!f,section:0,value:0),time:(from:'2017-10-19T16:19:04-0600',mode:absolute,to:'2017-10-19T19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7" s="204" t="str">
        <f>IF(AA117&lt;VLOOKUP(AG117,Variables!$AC$3:$AD$8,2,FALSE),"Y","N")</f>
        <v>N</v>
      </c>
      <c r="X117" s="204">
        <f t="shared" si="55"/>
        <v>1</v>
      </c>
      <c r="Y117" s="204">
        <f t="shared" si="53"/>
        <v>23.298500000000001</v>
      </c>
      <c r="Z117" s="204">
        <f t="shared" si="54"/>
        <v>1.4999999999999999E-2</v>
      </c>
      <c r="AA117" s="204">
        <f t="shared" si="43"/>
        <v>23.2835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4"/>
        <v>204</v>
      </c>
      <c r="AE117" s="77" t="str">
        <f t="shared" si="45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117" s="74" t="str">
        <f t="shared" si="46"/>
        <v>"C:\Program Files (x86)\AstroGrep\AstroGrep.exe" /e /r /s /spath="%USERPROFILE%\AppData\Local\Temp\OnboardLogs" /stypes="app*4057*20171020*" /stext=" 00:.+((SYSTEM_STATE.+slice.+state.+changed )|(ment ac)|(multiple cpu faults)|(system.+state.+changed )|(\[timeout)|(PRM\|1\|D)|(kpr)|(kdp)|(train st.+moving)|(\|lc)|(penalty))"</v>
      </c>
      <c r="AG117" s="182" t="str">
        <f t="shared" si="47"/>
        <v>EC</v>
      </c>
      <c r="AH117" s="78" t="str">
        <f t="shared" si="48"/>
        <v>"%USERPROFILE%\Documents\GitHub\eaglep3\Utilities\RefineRTDCRunTimes.py" --tripid 204-19 --locoid 4057 --swversion DE.1.0.9.0 --startMP 204:232985 --initTime 2017-10-19T17:19:04 --startdatetime 2017-10-19T17:27:17 --delay 53 --endMP 204:150 --enddatetime 2017-10-19T18:05:28 --enforcementcount 0 &gt;&gt;%USERPROFILE%\Documents\GitHub\eaglep3-reporting\EC\2017-10-19-refined-times.txt</v>
      </c>
      <c r="AI117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{"issue":{"subject":"","project_id":79,"tracker_id":40,"status_id":1,"priority_id":2,"assigned_to_id":338,"start_date":"2017-10-19","description":"","custom_fields":[{"id":1,"name":"Subdivision","value":"EC"},{"id":4,"name":"Milepost","value":"0.015"},{"id":17,"name":"Train ID","value":"204-19"},{"id":16,"name":"Locomotive ID","value":"4057"},{"id":130,"name":"Impact","value":""},{"id":150,"name":"Time of Event (Mountain Time)","value":"18:05:28"},{"id":151,"name":"Denver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50"/>
        <v>start /low /b %USERPROFILE%\Documents\GitHub\eaglep3\Utilities\DownloadLogsFromS3.py --loco 4057 --day 2017-10-19</v>
      </c>
      <c r="AN117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2"/>
        <v>https://d0f6bd738d7f1b3e5a7ca70fe4ff75f0.us-east-1.aws.found.io/app/kibana#/discover/Steve-Slow-Train-Analysis-(2080s-and-2083s)?_g=(refreshInterval:(display:Off,pause:!f,section:0,value:0),time:(from:'2017-10-19T16:19:04-0600',mode:absolute,to:'2017-10-19T19:05:28-0600'))&amp;_a=(columns:!('Message%20ID',Summary),filters:!(),index:'emp_*',interval:auto,query:(query_string:(analyze_wildcard:!t,query:'%22rtdc.l.rtdc.4057%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740</v>
      </c>
      <c r="B118" s="7">
        <v>4018</v>
      </c>
      <c r="C118" s="21" t="s">
        <v>194</v>
      </c>
      <c r="D118" s="21" t="s">
        <v>376</v>
      </c>
      <c r="E118" s="13">
        <v>43027.693391203706</v>
      </c>
      <c r="F118" s="13">
        <v>43027.698113425926</v>
      </c>
      <c r="G118" s="7">
        <v>55</v>
      </c>
      <c r="H118" s="21" t="s">
        <v>854</v>
      </c>
      <c r="I118" s="13">
        <v>43027.723900462966</v>
      </c>
      <c r="J118" s="7">
        <v>0</v>
      </c>
      <c r="K118" s="89" t="str">
        <f t="shared" si="36"/>
        <v>4017/4018</v>
      </c>
      <c r="L118" s="185" t="str">
        <f>VLOOKUP(A118,'Trips&amp;Operators'!$C$1:$G$99911,5,FALSE)</f>
        <v>STEWART MICHAEL</v>
      </c>
      <c r="M118" s="6">
        <f t="shared" si="37"/>
        <v>2.5787037040572613E-2</v>
      </c>
      <c r="N118" s="7">
        <f t="shared" si="56"/>
        <v>37.133333338424563</v>
      </c>
      <c r="O118" s="7"/>
      <c r="P118" s="7"/>
      <c r="Q118" s="22"/>
      <c r="R118" s="174"/>
      <c r="S118" s="221">
        <f t="shared" si="57"/>
        <v>1</v>
      </c>
      <c r="T118" s="174" t="str">
        <f t="shared" si="40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1"/>
        <v>https://d0f6bd738d7f1b3e5a7ca70fe4ff75f0.us-east-1.aws.found.io/app/kibana#/discover/Steve-Slow-Train-Analysis-(2080s-and-2083s)?_g=(refreshInterval:(display:Off,pause:!f,section:0,value:0),time:(from:'2017-10-19T15:38:29-0600',mode:absolute,to:'2017-10-19T18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204" t="str">
        <f>IF(AA118&lt;VLOOKUP(AG118,Variables!$AC$3:$AD$8,2,FALSE),"Y","N")</f>
        <v>N</v>
      </c>
      <c r="X118" s="204">
        <f t="shared" si="55"/>
        <v>1</v>
      </c>
      <c r="Y118" s="204">
        <f t="shared" si="53"/>
        <v>4.5699999999999998E-2</v>
      </c>
      <c r="Z118" s="204">
        <f t="shared" si="54"/>
        <v>23.327999999999999</v>
      </c>
      <c r="AA118" s="204">
        <f t="shared" si="43"/>
        <v>23.282299999999999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4"/>
        <v>205</v>
      </c>
      <c r="AE118" s="77" t="str">
        <f t="shared" si="45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118" s="74" t="str">
        <f t="shared" si="46"/>
        <v>"C:\Program Files (x86)\AstroGrep\AstroGrep.exe" /e /r /s /spath="%USERPROFILE%\AppData\Local\Temp\OnboardLogs" /stypes="app*4018*20171019*" /stext=" 23:.+((SYSTEM_STATE.+slice.+state.+changed )|(ment ac)|(multiple cpu faults)|(system.+state.+changed )|(\[timeout)|(PRM\|1\|D)|(kpr)|(kdp)|(train st.+moving)|(\|lc)|(penalty))"</v>
      </c>
      <c r="AG118" s="182" t="str">
        <f t="shared" si="47"/>
        <v>EC</v>
      </c>
      <c r="AH118" s="78" t="str">
        <f t="shared" si="48"/>
        <v>"%USERPROFILE%\Documents\GitHub\eaglep3\Utilities\RefineRTDCRunTimes.py" --tripid 205-19 --locoid 4018 --swversion DE.1.0.9.0 --startMP 204:457 --initTime 2017-10-19T16:38:29 --startdatetime 2017-10-19T16:45:17 --delay 55 --endMP 204:233280 --enddatetime 2017-10-19T17:22:25 --enforcementcount 0 &gt;&gt;%USERPROFILE%\Documents\GitHub\eaglep3-reporting\EC\2017-10-19-refined-times.txt</v>
      </c>
      <c r="AI118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{"issue":{"subject":"","project_id":79,"tracker_id":40,"status_id":1,"priority_id":2,"assigned_to_id":338,"start_date":"2017-10-19","description":"","custom_fields":[{"id":1,"name":"Subdivision","value":"EC"},{"id":4,"name":"Milepost","value":"23.328"},{"id":17,"name":"Train ID","value":"205-19"},{"id":16,"name":"Locomotive ID","value":"4018"},{"id":130,"name":"Impact","value":""},{"id":150,"name":"Time of Event (Mountain Time)","value":"17:22:25"},{"id":151,"name":"Denver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50"/>
        <v>start /low /b %USERPROFILE%\Documents\GitHub\eaglep3\Utilities\DownloadLogsFromS3.py --loco 4018 --day 2017-10-19</v>
      </c>
      <c r="AN118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2"/>
        <v>https://d0f6bd738d7f1b3e5a7ca70fe4ff75f0.us-east-1.aws.found.io/app/kibana#/discover/Steve-Slow-Train-Analysis-(2080s-and-2083s)?_g=(refreshInterval:(display:Off,pause:!f,section:0,value:0),time:(from:'2017-10-19T15:38:29-0600',mode:absolute,to:'2017-10-19T18:22:25-0600'))&amp;_a=(columns:!('Message%20ID',Summary),filters:!(),index:'emp_*',interval:auto,query:(query_string:(analyze_wildcard:!t,query:'%22rtdc.l.rtdc.4018%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753</v>
      </c>
      <c r="B119" s="7">
        <v>4017</v>
      </c>
      <c r="C119" s="21" t="s">
        <v>194</v>
      </c>
      <c r="D119" s="21" t="s">
        <v>409</v>
      </c>
      <c r="E119" s="13">
        <v>43027.733217592591</v>
      </c>
      <c r="F119" s="13">
        <v>43027.737743055557</v>
      </c>
      <c r="G119" s="7">
        <v>74</v>
      </c>
      <c r="H119" s="21" t="s">
        <v>826</v>
      </c>
      <c r="I119" s="13">
        <v>43027.764062499999</v>
      </c>
      <c r="J119" s="7">
        <v>0</v>
      </c>
      <c r="K119" s="89" t="str">
        <f t="shared" si="36"/>
        <v>4017/4018</v>
      </c>
      <c r="L119" s="185" t="str">
        <f>VLOOKUP(A119,'Trips&amp;Operators'!$C$1:$G$99911,5,FALSE)</f>
        <v>STEWART MICHAEL</v>
      </c>
      <c r="M119" s="6">
        <f t="shared" si="37"/>
        <v>2.6319444441469386E-2</v>
      </c>
      <c r="N119" s="7">
        <f t="shared" si="56"/>
        <v>37.899999995715916</v>
      </c>
      <c r="O119" s="7"/>
      <c r="P119" s="7"/>
      <c r="Q119" s="22"/>
      <c r="R119" s="174"/>
      <c r="S119" s="221">
        <f t="shared" si="57"/>
        <v>1</v>
      </c>
      <c r="T119" s="174" t="str">
        <f t="shared" si="40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1"/>
        <v>https://d0f6bd738d7f1b3e5a7ca70fe4ff75f0.us-east-1.aws.found.io/app/kibana#/discover/Steve-Slow-Train-Analysis-(2080s-and-2083s)?_g=(refreshInterval:(display:Off,pause:!f,section:0,value:0),time:(from:'2017-10-19T16:35:50-0600',mode:absolute,to:'2017-10-19T19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204" t="str">
        <f>IF(AA119&lt;VLOOKUP(AG119,Variables!$AC$3:$AD$8,2,FALSE),"Y","N")</f>
        <v>N</v>
      </c>
      <c r="X119" s="204">
        <f t="shared" si="55"/>
        <v>1</v>
      </c>
      <c r="Y119" s="204">
        <f t="shared" si="53"/>
        <v>23.296500000000002</v>
      </c>
      <c r="Z119" s="204">
        <f t="shared" si="54"/>
        <v>1.6500000000000001E-2</v>
      </c>
      <c r="AA119" s="204">
        <f t="shared" si="43"/>
        <v>23.28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4"/>
        <v>206</v>
      </c>
      <c r="AE119" s="77" t="str">
        <f t="shared" si="45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119" s="74" t="str">
        <f t="shared" si="46"/>
        <v>"C:\Program Files (x86)\AstroGrep\AstroGrep.exe" /e /r /s /spath="%USERPROFILE%\AppData\Local\Temp\OnboardLogs" /stypes="app*4017*20171020*" /stext=" 00:.+((SYSTEM_STATE.+slice.+state.+changed )|(ment ac)|(multiple cpu faults)|(system.+state.+changed )|(\[timeout)|(PRM\|1\|D)|(kpr)|(kdp)|(train st.+moving)|(\|lc)|(penalty))"</v>
      </c>
      <c r="AG119" s="182" t="str">
        <f t="shared" si="47"/>
        <v>EC</v>
      </c>
      <c r="AH119" s="78" t="str">
        <f t="shared" si="48"/>
        <v>"%USERPROFILE%\Documents\GitHub\eaglep3\Utilities\RefineRTDCRunTimes.py" --tripid 206-19 --locoid 4017 --swversion DE.1.0.9.0 --startMP 204:232965 --initTime 2017-10-19T17:35:50 --startdatetime 2017-10-19T17:42:21 --delay 74 --endMP 204:165 --enddatetime 2017-10-19T18:20:15 --enforcementcount 0 &gt;&gt;%USERPROFILE%\Documents\GitHub\eaglep3-reporting\EC\2017-10-19-refined-times.txt</v>
      </c>
      <c r="AI119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{"issue":{"subject":"","project_id":79,"tracker_id":40,"status_id":1,"priority_id":2,"assigned_to_id":338,"start_date":"2017-10-19","description":"","custom_fields":[{"id":1,"name":"Subdivision","value":"EC"},{"id":4,"name":"Milepost","value":"0.0165"},{"id":17,"name":"Train ID","value":"206-19"},{"id":16,"name":"Locomotive ID","value":"4017"},{"id":130,"name":"Impact","value":""},{"id":150,"name":"Time of Event (Mountain Time)","value":"18:20:15"},{"id":151,"name":"Denver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50"/>
        <v>start /low /b %USERPROFILE%\Documents\GitHub\eaglep3\Utilities\DownloadLogsFromS3.py --loco 4017 --day 2017-10-19</v>
      </c>
      <c r="AN119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2"/>
        <v>https://d0f6bd738d7f1b3e5a7ca70fe4ff75f0.us-east-1.aws.found.io/app/kibana#/discover/Steve-Slow-Train-Analysis-(2080s-and-2083s)?_g=(refreshInterval:(display:Off,pause:!f,section:0,value:0),time:(from:'2017-10-19T16:35:50-0600',mode:absolute,to:'2017-10-19T19:20:15-0600'))&amp;_a=(columns:!('Message%20ID',Summary),filters:!(),index:'emp_*',interval:auto,query:(query_string:(analyze_wildcard:!t,query:'%22rtdc.l.rtdc.4017%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742</v>
      </c>
      <c r="B120" s="7">
        <v>4016</v>
      </c>
      <c r="C120" s="21" t="s">
        <v>194</v>
      </c>
      <c r="D120" s="21" t="s">
        <v>338</v>
      </c>
      <c r="E120" s="13">
        <v>43027.702175925922</v>
      </c>
      <c r="F120" s="13">
        <v>43027.708518518521</v>
      </c>
      <c r="G120" s="7">
        <v>47</v>
      </c>
      <c r="H120" s="21" t="s">
        <v>425</v>
      </c>
      <c r="I120" s="13">
        <v>43027.733749999999</v>
      </c>
      <c r="J120" s="7">
        <v>0</v>
      </c>
      <c r="K120" s="89" t="str">
        <f t="shared" si="36"/>
        <v>4015/4016</v>
      </c>
      <c r="L120" s="185" t="str">
        <f>VLOOKUP(A120,'Trips&amp;Operators'!$C$1:$G$99911,5,FALSE)</f>
        <v>LEVIN SCOTT</v>
      </c>
      <c r="M120" s="6">
        <f t="shared" si="37"/>
        <v>2.5231481478840578E-2</v>
      </c>
      <c r="N120" s="7">
        <f t="shared" si="56"/>
        <v>36.333333329530433</v>
      </c>
      <c r="O120" s="7"/>
      <c r="P120" s="7"/>
      <c r="Q120" s="22"/>
      <c r="R120" s="174"/>
      <c r="S120" s="221">
        <f t="shared" si="57"/>
        <v>1</v>
      </c>
      <c r="T120" s="174" t="str">
        <f t="shared" si="40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1"/>
        <v>https://d0f6bd738d7f1b3e5a7ca70fe4ff75f0.us-east-1.aws.found.io/app/kibana#/discover/Steve-Slow-Train-Analysis-(2080s-and-2083s)?_g=(refreshInterval:(display:Off,pause:!f,section:0,value:0),time:(from:'2017-10-19T15:51:08-0600',mode:absolute,to:'2017-10-19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204" t="str">
        <f>IF(AA120&lt;VLOOKUP(AG120,Variables!$AC$3:$AD$8,2,FALSE),"Y","N")</f>
        <v>N</v>
      </c>
      <c r="X120" s="204">
        <f t="shared" si="55"/>
        <v>1</v>
      </c>
      <c r="Y120" s="204">
        <f t="shared" si="53"/>
        <v>4.53E-2</v>
      </c>
      <c r="Z120" s="204">
        <f t="shared" si="54"/>
        <v>23.333200000000001</v>
      </c>
      <c r="AA120" s="204">
        <f t="shared" si="43"/>
        <v>23.2879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4"/>
        <v>207</v>
      </c>
      <c r="AE120" s="77" t="str">
        <f t="shared" si="45"/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120" s="74" t="str">
        <f t="shared" si="46"/>
        <v>"C:\Program Files (x86)\AstroGrep\AstroGrep.exe" /e /r /s /spath="%USERPROFILE%\AppData\Local\Temp\OnboardLogs" /stypes="app*4016*20171019*" /stext=" 23:.+((SYSTEM_STATE.+slice.+state.+changed )|(ment ac)|(multiple cpu faults)|(system.+state.+changed )|(\[timeout)|(PRM\|1\|D)|(kpr)|(kdp)|(train st.+moving)|(\|lc)|(penalty))"</v>
      </c>
      <c r="AG120" s="182" t="str">
        <f t="shared" si="47"/>
        <v>EC</v>
      </c>
      <c r="AH120" s="78" t="str">
        <f t="shared" si="48"/>
        <v>"%USERPROFILE%\Documents\GitHub\eaglep3\Utilities\RefineRTDCRunTimes.py" --tripid 207-19 --locoid 4016 --swversion DE.1.0.9.0 --startMP 204:453 --initTime 2017-10-19T16:51:08 --startdatetime 2017-10-19T17:00:16 --delay 47 --endMP 204:233332 --enddatetime 2017-10-19T17:36:36 --enforcementcount 0 &gt;&gt;%USERPROFILE%\Documents\GitHub\eaglep3-reporting\EC\2017-10-19-refined-times.txt</v>
      </c>
      <c r="AI120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{"issue":{"subject":"","project_id":79,"tracker_id":40,"status_id":1,"priority_id":2,"assigned_to_id":338,"start_date":"2017-10-19","description":"","custom_fields":[{"id":1,"name":"Subdivision","value":"EC"},{"id":4,"name":"Milepost","value":"23.3332"},{"id":17,"name":"Train ID","value":"207-19"},{"id":16,"name":"Locomotive ID","value":"4016"},{"id":130,"name":"Impact","value":""},{"id":150,"name":"Time of Event (Mountain Time)","value":"17:36:36"},{"id":151,"name":"Denver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50"/>
        <v>start /low /b %USERPROFILE%\Documents\GitHub\eaglep3\Utilities\DownloadLogsFromS3.py --loco 4016 --day 2017-10-19</v>
      </c>
      <c r="AN120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2"/>
        <v>https://d0f6bd738d7f1b3e5a7ca70fe4ff75f0.us-east-1.aws.found.io/app/kibana#/discover/Steve-Slow-Train-Analysis-(2080s-and-2083s)?_g=(refreshInterval:(display:Off,pause:!f,section:0,value:0),time:(from:'2017-10-19T15:51:08-0600',mode:absolute,to:'2017-10-19T18:36:36-0600'))&amp;_a=(columns:!('Message%20ID',Summary),filters:!(),index:'emp_*',interval:auto,query:(query_string:(analyze_wildcard:!t,query:'%22rtdc.l.rtdc.4016%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758</v>
      </c>
      <c r="B121" s="7">
        <v>4015</v>
      </c>
      <c r="C121" s="21" t="s">
        <v>194</v>
      </c>
      <c r="D121" s="21" t="s">
        <v>422</v>
      </c>
      <c r="E121" s="13">
        <v>43027.746238425927</v>
      </c>
      <c r="F121" s="13">
        <v>43027.748217592591</v>
      </c>
      <c r="G121" s="7">
        <v>54</v>
      </c>
      <c r="H121" s="21" t="s">
        <v>371</v>
      </c>
      <c r="I121" s="13">
        <v>43027.774583333332</v>
      </c>
      <c r="J121" s="7">
        <v>0</v>
      </c>
      <c r="K121" s="89" t="str">
        <f t="shared" si="36"/>
        <v>4015/4016</v>
      </c>
      <c r="L121" s="185" t="str">
        <f>VLOOKUP(A121,'Trips&amp;Operators'!$C$1:$G$99911,5,FALSE)</f>
        <v>LEVIN SCOTT</v>
      </c>
      <c r="M121" s="6">
        <f t="shared" si="37"/>
        <v>2.6365740741312038E-2</v>
      </c>
      <c r="N121" s="7">
        <f t="shared" si="56"/>
        <v>37.966666667489335</v>
      </c>
      <c r="O121" s="7"/>
      <c r="P121" s="7"/>
      <c r="Q121" s="22"/>
      <c r="R121" s="174"/>
      <c r="S121" s="221">
        <f t="shared" si="57"/>
        <v>1</v>
      </c>
      <c r="T121" s="174" t="str">
        <f t="shared" si="40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1"/>
        <v>https://d0f6bd738d7f1b3e5a7ca70fe4ff75f0.us-east-1.aws.found.io/app/kibana#/discover/Steve-Slow-Train-Analysis-(2080s-and-2083s)?_g=(refreshInterval:(display:Off,pause:!f,section:0,value:0),time:(from:'2017-10-19T16:54:35-0600',mode:absolute,to:'2017-10-19T19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204" t="str">
        <f>IF(AA121&lt;VLOOKUP(AG121,Variables!$AC$3:$AD$8,2,FALSE),"Y","N")</f>
        <v>N</v>
      </c>
      <c r="X121" s="204">
        <f t="shared" si="55"/>
        <v>1</v>
      </c>
      <c r="Y121" s="204">
        <f t="shared" si="53"/>
        <v>23.302299999999999</v>
      </c>
      <c r="Z121" s="204">
        <f t="shared" si="54"/>
        <v>1.54E-2</v>
      </c>
      <c r="AA121" s="204">
        <f t="shared" si="43"/>
        <v>23.286899999999999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4"/>
        <v>208</v>
      </c>
      <c r="AE121" s="77" t="str">
        <f t="shared" si="45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121" s="74" t="str">
        <f t="shared" si="46"/>
        <v>"C:\Program Files (x86)\AstroGrep\AstroGrep.exe" /e /r /s /spath="%USERPROFILE%\AppData\Local\Temp\OnboardLogs" /stypes="app*4015*20171020*" /stext=" 00:.+((SYSTEM_STATE.+slice.+state.+changed )|(ment ac)|(multiple cpu faults)|(system.+state.+changed )|(\[timeout)|(PRM\|1\|D)|(kpr)|(kdp)|(train st.+moving)|(\|lc)|(penalty))"</v>
      </c>
      <c r="AG121" s="182" t="str">
        <f t="shared" si="47"/>
        <v>EC</v>
      </c>
      <c r="AH121" s="78" t="str">
        <f t="shared" si="48"/>
        <v>"%USERPROFILE%\Documents\GitHub\eaglep3\Utilities\RefineRTDCRunTimes.py" --tripid 208-19 --locoid 4015 --swversion DE.1.0.9.0 --startMP 204:233023 --initTime 2017-10-19T17:54:35 --startdatetime 2017-10-19T17:57:26 --delay 54 --endMP 204:154 --enddatetime 2017-10-19T18:35:24 --enforcementcount 0 &gt;&gt;%USERPROFILE%\Documents\GitHub\eaglep3-reporting\EC\2017-10-19-refined-times.txt</v>
      </c>
      <c r="AI121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{"issue":{"subject":"","project_id":79,"tracker_id":40,"status_id":1,"priority_id":2,"assigned_to_id":338,"start_date":"2017-10-19","description":"","custom_fields":[{"id":1,"name":"Subdivision","value":"EC"},{"id":4,"name":"Milepost","value":"0.0154"},{"id":17,"name":"Train ID","value":"208-19"},{"id":16,"name":"Locomotive ID","value":"4015"},{"id":130,"name":"Impact","value":""},{"id":150,"name":"Time of Event (Mountain Time)","value":"18:35:24"},{"id":151,"name":"Denver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50"/>
        <v>start /low /b %USERPROFILE%\Documents\GitHub\eaglep3\Utilities\DownloadLogsFromS3.py --loco 4015 --day 2017-10-19</v>
      </c>
      <c r="AN121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2"/>
        <v>https://d0f6bd738d7f1b3e5a7ca70fe4ff75f0.us-east-1.aws.found.io/app/kibana#/discover/Steve-Slow-Train-Analysis-(2080s-and-2083s)?_g=(refreshInterval:(display:Off,pause:!f,section:0,value:0),time:(from:'2017-10-19T16:54:35-0600',mode:absolute,to:'2017-10-19T19:35:24-0600'))&amp;_a=(columns:!('Message%20ID',Summary),filters:!(),index:'emp_*',interval:auto,query:(query_string:(analyze_wildcard:!t,query:'%22rtdc.l.rtdc.4015%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747</v>
      </c>
      <c r="B122" s="7">
        <v>4008</v>
      </c>
      <c r="C122" s="21" t="s">
        <v>194</v>
      </c>
      <c r="D122" s="21" t="s">
        <v>369</v>
      </c>
      <c r="E122" s="13">
        <v>43027.71402777778</v>
      </c>
      <c r="F122" s="13">
        <v>43027.719131944446</v>
      </c>
      <c r="G122" s="7">
        <v>104</v>
      </c>
      <c r="H122" s="21" t="s">
        <v>520</v>
      </c>
      <c r="I122" s="13">
        <v>43027.744699074072</v>
      </c>
      <c r="J122" s="7">
        <v>0</v>
      </c>
      <c r="K122" s="89" t="str">
        <f t="shared" si="36"/>
        <v>4007/4008</v>
      </c>
      <c r="L122" s="185" t="str">
        <f>VLOOKUP(A122,'Trips&amp;Operators'!$C$1:$G$99911,5,FALSE)</f>
        <v>BERLING GARY</v>
      </c>
      <c r="M122" s="6">
        <f t="shared" si="37"/>
        <v>2.5567129625414964E-2</v>
      </c>
      <c r="N122" s="7">
        <f t="shared" si="56"/>
        <v>36.816666660597548</v>
      </c>
      <c r="O122" s="7"/>
      <c r="P122" s="7"/>
      <c r="Q122" s="22"/>
      <c r="R122" s="174"/>
      <c r="S122" s="221">
        <f t="shared" si="57"/>
        <v>1</v>
      </c>
      <c r="T122" s="174" t="str">
        <f t="shared" si="40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1"/>
        <v>https://d0f6bd738d7f1b3e5a7ca70fe4ff75f0.us-east-1.aws.found.io/app/kibana#/discover/Steve-Slow-Train-Analysis-(2080s-and-2083s)?_g=(refreshInterval:(display:Off,pause:!f,section:0,value:0),time:(from:'2017-10-19T16:08:12-0600',mode:absolute,to:'2017-10-19T18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2" s="204" t="str">
        <f>IF(AA122&lt;VLOOKUP(AG122,Variables!$AC$3:$AD$8,2,FALSE),"Y","N")</f>
        <v>N</v>
      </c>
      <c r="X122" s="204">
        <f t="shared" si="55"/>
        <v>1</v>
      </c>
      <c r="Y122" s="204">
        <f t="shared" si="53"/>
        <v>4.7100000000000003E-2</v>
      </c>
      <c r="Z122" s="204">
        <f t="shared" si="54"/>
        <v>23.3309</v>
      </c>
      <c r="AA122" s="204">
        <f t="shared" si="43"/>
        <v>23.283799999999999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4"/>
        <v>209</v>
      </c>
      <c r="AE122" s="77" t="str">
        <f t="shared" si="45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122" s="74" t="str">
        <f t="shared" si="46"/>
        <v>"C:\Program Files (x86)\AstroGrep\AstroGrep.exe" /e /r /s /spath="%USERPROFILE%\AppData\Local\Temp\OnboardLogs" /stypes="app*4008*20171019*" /stext=" 23:.+((SYSTEM_STATE.+slice.+state.+changed )|(ment ac)|(multiple cpu faults)|(system.+state.+changed )|(\[timeout)|(PRM\|1\|D)|(kpr)|(kdp)|(train st.+moving)|(\|lc)|(penalty))"</v>
      </c>
      <c r="AG122" s="182" t="str">
        <f t="shared" si="47"/>
        <v>EC</v>
      </c>
      <c r="AH122" s="78" t="str">
        <f t="shared" si="48"/>
        <v>"%USERPROFILE%\Documents\GitHub\eaglep3\Utilities\RefineRTDCRunTimes.py" --tripid 209-19 --locoid 4008 --swversion DE.1.0.9.0 --startMP 204:471 --initTime 2017-10-19T17:08:12 --startdatetime 2017-10-19T17:15:33 --delay 104 --endMP 204:233309 --enddatetime 2017-10-19T17:52:22 --enforcementcount 0 &gt;&gt;%USERPROFILE%\Documents\GitHub\eaglep3-reporting\EC\2017-10-19-refined-times.txt</v>
      </c>
      <c r="AI122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{"issue":{"subject":"","project_id":79,"tracker_id":40,"status_id":1,"priority_id":2,"assigned_to_id":338,"start_date":"2017-10-19","description":"","custom_fields":[{"id":1,"name":"Subdivision","value":"EC"},{"id":4,"name":"Milepost","value":"23.3309"},{"id":17,"name":"Train ID","value":"209-19"},{"id":16,"name":"Locomotive ID","value":"4008"},{"id":130,"name":"Impact","value":""},{"id":150,"name":"Time of Event (Mountain Time)","value":"17:52:22"},{"id":151,"name":"Denver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50"/>
        <v>start /low /b %USERPROFILE%\Documents\GitHub\eaglep3\Utilities\DownloadLogsFromS3.py --loco 4008 --day 2017-10-19</v>
      </c>
      <c r="AN122" s="151" t="str">
        <f t="shared" si="51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2"/>
        <v>https://d0f6bd738d7f1b3e5a7ca70fe4ff75f0.us-east-1.aws.found.io/app/kibana#/discover/Steve-Slow-Train-Analysis-(2080s-and-2083s)?_g=(refreshInterval:(display:Off,pause:!f,section:0,value:0),time:(from:'2017-10-19T16:08:12-0600',mode:absolute,to:'2017-10-19T18:52:22-0600'))&amp;_a=(columns:!('Message%20ID',Summary),filters:!(),index:'emp_*',interval:auto,query:(query_string:(analyze_wildcard:!t,query:'%22rtdc.l.rtdc.4008%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761</v>
      </c>
      <c r="B123" s="7">
        <v>4007</v>
      </c>
      <c r="C123" s="21" t="s">
        <v>194</v>
      </c>
      <c r="D123" s="21" t="s">
        <v>521</v>
      </c>
      <c r="E123" s="13">
        <v>43027.75236111111</v>
      </c>
      <c r="F123" s="13">
        <v>43027.758506944447</v>
      </c>
      <c r="G123" s="7">
        <v>98</v>
      </c>
      <c r="H123" s="21" t="s">
        <v>355</v>
      </c>
      <c r="I123" s="13">
        <v>43027.785127314812</v>
      </c>
      <c r="J123" s="7">
        <v>0</v>
      </c>
      <c r="K123" s="89" t="str">
        <f t="shared" si="36"/>
        <v>4007/4008</v>
      </c>
      <c r="L123" s="185" t="str">
        <f>VLOOKUP(A123,'Trips&amp;Operators'!$C$1:$G$99911,5,FALSE)</f>
        <v>BERLING GARY</v>
      </c>
      <c r="M123" s="6">
        <f t="shared" si="37"/>
        <v>2.6620370364980772E-2</v>
      </c>
      <c r="N123" s="7">
        <f t="shared" si="56"/>
        <v>38.333333325572312</v>
      </c>
      <c r="O123" s="7"/>
      <c r="P123" s="7"/>
      <c r="Q123" s="22"/>
      <c r="R123" s="174"/>
      <c r="S123" s="221">
        <f t="shared" si="57"/>
        <v>1</v>
      </c>
      <c r="T123" s="174" t="str">
        <f t="shared" si="40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1"/>
        <v>https://d0f6bd738d7f1b3e5a7ca70fe4ff75f0.us-east-1.aws.found.io/app/kibana#/discover/Steve-Slow-Train-Analysis-(2080s-and-2083s)?_g=(refreshInterval:(display:Off,pause:!f,section:0,value:0),time:(from:'2017-10-19T17:03:24-0600',mode:absolute,to:'2017-10-19T19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204" t="str">
        <f>IF(AA123&lt;VLOOKUP(AG123,Variables!$AC$3:$AD$8,2,FALSE),"Y","N")</f>
        <v>N</v>
      </c>
      <c r="X123" s="204">
        <f t="shared" si="55"/>
        <v>1</v>
      </c>
      <c r="Y123" s="204">
        <f t="shared" si="53"/>
        <v>23.298200000000001</v>
      </c>
      <c r="Z123" s="204">
        <f t="shared" si="54"/>
        <v>1.4500000000000001E-2</v>
      </c>
      <c r="AA123" s="204">
        <f t="shared" si="43"/>
        <v>23.2837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4"/>
        <v>210</v>
      </c>
      <c r="AE123" s="77" t="str">
        <f t="shared" si="45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123" s="74" t="str">
        <f t="shared" si="46"/>
        <v>"C:\Program Files (x86)\AstroGrep\AstroGrep.exe" /e /r /s /spath="%USERPROFILE%\AppData\Local\Temp\OnboardLogs" /stypes="app*4007*20171020*" /stext=" 00:.+((SYSTEM_STATE.+slice.+state.+changed )|(ment ac)|(multiple cpu faults)|(system.+state.+changed )|(\[timeout)|(PRM\|1\|D)|(kpr)|(kdp)|(train st.+moving)|(\|lc)|(penalty))"</v>
      </c>
      <c r="AG123" s="182" t="str">
        <f t="shared" si="47"/>
        <v>EC</v>
      </c>
      <c r="AH123" s="78" t="str">
        <f t="shared" si="48"/>
        <v>"%USERPROFILE%\Documents\GitHub\eaglep3\Utilities\RefineRTDCRunTimes.py" --tripid 210-19 --locoid 4007 --swversion DE.1.0.9.0 --startMP 204:232982 --initTime 2017-10-19T18:03:24 --startdatetime 2017-10-19T18:12:15 --delay 98 --endMP 204:145 --enddatetime 2017-10-19T18:50:35 --enforcementcount 0 &gt;&gt;%USERPROFILE%\Documents\GitHub\eaglep3-reporting\EC\2017-10-19-refined-times.txt</v>
      </c>
      <c r="AI123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{"issue":{"subject":"","project_id":79,"tracker_id":40,"status_id":1,"priority_id":2,"assigned_to_id":338,"start_date":"2017-10-19","description":"","custom_fields":[{"id":1,"name":"Subdivision","value":"EC"},{"id":4,"name":"Milepost","value":"0.0145"},{"id":17,"name":"Train ID","value":"210-19"},{"id":16,"name":"Locomotive ID","value":"4007"},{"id":130,"name":"Impact","value":""},{"id":150,"name":"Time of Event (Mountain Time)","value":"18:50:35"},{"id":151,"name":"Denver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50"/>
        <v>start /low /b %USERPROFILE%\Documents\GitHub\eaglep3\Utilities\DownloadLogsFromS3.py --loco 4007 --day 2017-10-19</v>
      </c>
      <c r="AN123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2"/>
        <v>https://d0f6bd738d7f1b3e5a7ca70fe4ff75f0.us-east-1.aws.found.io/app/kibana#/discover/Steve-Slow-Train-Analysis-(2080s-and-2083s)?_g=(refreshInterval:(display:Off,pause:!f,section:0,value:0),time:(from:'2017-10-19T17:03:24-0600',mode:absolute,to:'2017-10-19T19:50:35-0600'))&amp;_a=(columns:!('Message%20ID',Summary),filters:!(),index:'emp_*',interval:auto,query:(query_string:(analyze_wildcard:!t,query:'%22rtdc.l.rtdc.4007%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750</v>
      </c>
      <c r="B124" s="7">
        <v>4014</v>
      </c>
      <c r="C124" s="21" t="s">
        <v>194</v>
      </c>
      <c r="D124" s="21" t="s">
        <v>408</v>
      </c>
      <c r="E124" s="13">
        <v>43027.725659722222</v>
      </c>
      <c r="F124" s="13">
        <v>43027.729363425926</v>
      </c>
      <c r="G124" s="7">
        <v>62</v>
      </c>
      <c r="H124" s="21" t="s">
        <v>397</v>
      </c>
      <c r="I124" s="13">
        <v>43027.755266203705</v>
      </c>
      <c r="J124" s="7">
        <v>0</v>
      </c>
      <c r="K124" s="89" t="str">
        <f t="shared" si="36"/>
        <v>4013/4014</v>
      </c>
      <c r="L124" s="185" t="str">
        <f>VLOOKUP(A124,'Trips&amp;Operators'!$C$1:$G$99911,5,FALSE)</f>
        <v>LEVERE CRAIG</v>
      </c>
      <c r="M124" s="6">
        <f t="shared" si="37"/>
        <v>2.5902777779265307E-2</v>
      </c>
      <c r="N124" s="7">
        <f t="shared" si="56"/>
        <v>37.300000002142042</v>
      </c>
      <c r="O124" s="7"/>
      <c r="P124" s="7"/>
      <c r="Q124" s="22"/>
      <c r="R124" s="174"/>
      <c r="S124" s="221">
        <f t="shared" si="57"/>
        <v>1</v>
      </c>
      <c r="T124" s="174" t="str">
        <f t="shared" si="40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1"/>
        <v>https://d0f6bd738d7f1b3e5a7ca70fe4ff75f0.us-east-1.aws.found.io/app/kibana#/discover/Steve-Slow-Train-Analysis-(2080s-and-2083s)?_g=(refreshInterval:(display:Off,pause:!f,section:0,value:0),time:(from:'2017-10-19T16:24:57-0600',mode:absolute,to:'2017-10-19T19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4" s="204" t="str">
        <f>IF(AA124&lt;VLOOKUP(AG124,Variables!$AC$3:$AD$8,2,FALSE),"Y","N")</f>
        <v>N</v>
      </c>
      <c r="X124" s="204">
        <f t="shared" si="55"/>
        <v>1</v>
      </c>
      <c r="Y124" s="204">
        <f t="shared" si="53"/>
        <v>4.4200000000000003E-2</v>
      </c>
      <c r="Z124" s="204">
        <f t="shared" si="54"/>
        <v>23.331399999999999</v>
      </c>
      <c r="AA124" s="204">
        <f t="shared" si="43"/>
        <v>23.287199999999999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4"/>
        <v>211</v>
      </c>
      <c r="AE124" s="77" t="str">
        <f t="shared" si="45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124" s="74" t="str">
        <f t="shared" si="46"/>
        <v>"C:\Program Files (x86)\AstroGrep\AstroGrep.exe" /e /r /s /spath="%USERPROFILE%\AppData\Local\Temp\OnboardLogs" /stypes="app*4014*20171020*" /stext=" 00:.+((SYSTEM_STATE.+slice.+state.+changed )|(ment ac)|(multiple cpu faults)|(system.+state.+changed )|(\[timeout)|(PRM\|1\|D)|(kpr)|(kdp)|(train st.+moving)|(\|lc)|(penalty))"</v>
      </c>
      <c r="AG124" s="182" t="str">
        <f t="shared" si="47"/>
        <v>EC</v>
      </c>
      <c r="AH124" s="78" t="str">
        <f t="shared" si="48"/>
        <v>"%USERPROFILE%\Documents\GitHub\eaglep3\Utilities\RefineRTDCRunTimes.py" --tripid 211-19 --locoid 4014 --swversion DE.1.0.9.0 --startMP 204:442 --initTime 2017-10-19T17:24:57 --startdatetime 2017-10-19T17:30:17 --delay 62 --endMP 204:233314 --enddatetime 2017-10-19T18:07:35 --enforcementcount 0 &gt;&gt;%USERPROFILE%\Documents\GitHub\eaglep3-reporting\EC\2017-10-19-refined-times.txt</v>
      </c>
      <c r="AI124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{"issue":{"subject":"","project_id":79,"tracker_id":40,"status_id":1,"priority_id":2,"assigned_to_id":338,"start_date":"2017-10-19","description":"","custom_fields":[{"id":1,"name":"Subdivision","value":"EC"},{"id":4,"name":"Milepost","value":"23.3314"},{"id":17,"name":"Train ID","value":"211-19"},{"id":16,"name":"Locomotive ID","value":"4014"},{"id":130,"name":"Impact","value":""},{"id":150,"name":"Time of Event (Mountain Time)","value":"18:07:35"},{"id":151,"name":"Denver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50"/>
        <v>start /low /b %USERPROFILE%\Documents\GitHub\eaglep3\Utilities\DownloadLogsFromS3.py --loco 4014 --day 2017-10-19</v>
      </c>
      <c r="AN124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2"/>
        <v>https://d0f6bd738d7f1b3e5a7ca70fe4ff75f0.us-east-1.aws.found.io/app/kibana#/discover/Steve-Slow-Train-Analysis-(2080s-and-2083s)?_g=(refreshInterval:(display:Off,pause:!f,section:0,value:0),time:(from:'2017-10-19T16:24:57-0600',mode:absolute,to:'2017-10-19T19:07:35-0600'))&amp;_a=(columns:!('Message%20ID',Summary),filters:!(),index:'emp_*',interval:auto,query:(query_string:(analyze_wildcard:!t,query:'%22rtdc.l.rtdc.4014%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765</v>
      </c>
      <c r="B125" s="7">
        <v>4013</v>
      </c>
      <c r="C125" s="21" t="s">
        <v>194</v>
      </c>
      <c r="D125" s="21" t="s">
        <v>411</v>
      </c>
      <c r="E125" s="13">
        <v>43027.761747685188</v>
      </c>
      <c r="F125" s="13">
        <v>43027.768935185188</v>
      </c>
      <c r="G125" s="7">
        <v>69</v>
      </c>
      <c r="H125" s="21" t="s">
        <v>363</v>
      </c>
      <c r="I125" s="13">
        <v>43027.796701388892</v>
      </c>
      <c r="J125" s="7">
        <v>0</v>
      </c>
      <c r="K125" s="89" t="str">
        <f t="shared" si="36"/>
        <v>4013/4014</v>
      </c>
      <c r="L125" s="185" t="str">
        <f>VLOOKUP(A125,'Trips&amp;Operators'!$C$1:$G$99911,5,FALSE)</f>
        <v>LEVERE CRAIG</v>
      </c>
      <c r="M125" s="6">
        <f t="shared" si="37"/>
        <v>2.7766203704231884E-2</v>
      </c>
      <c r="N125" s="7">
        <f t="shared" si="56"/>
        <v>39.983333334093913</v>
      </c>
      <c r="O125" s="7"/>
      <c r="P125" s="7"/>
      <c r="Q125" s="22"/>
      <c r="R125" s="174"/>
      <c r="S125" s="221">
        <f t="shared" si="57"/>
        <v>1</v>
      </c>
      <c r="T125" s="174" t="str">
        <f t="shared" si="40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1"/>
        <v>https://d0f6bd738d7f1b3e5a7ca70fe4ff75f0.us-east-1.aws.found.io/app/kibana#/discover/Steve-Slow-Train-Analysis-(2080s-and-2083s)?_g=(refreshInterval:(display:Off,pause:!f,section:0,value:0),time:(from:'2017-10-19T17:16:55-0600',mode:absolute,to:'2017-10-19T20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5" s="204" t="str">
        <f>IF(AA125&lt;VLOOKUP(AG125,Variables!$AC$3:$AD$8,2,FALSE),"Y","N")</f>
        <v>N</v>
      </c>
      <c r="X125" s="204">
        <f t="shared" si="55"/>
        <v>1</v>
      </c>
      <c r="Y125" s="204">
        <f t="shared" si="53"/>
        <v>23.2989</v>
      </c>
      <c r="Z125" s="204">
        <f t="shared" si="54"/>
        <v>1.5800000000000002E-2</v>
      </c>
      <c r="AA125" s="204">
        <f t="shared" si="43"/>
        <v>23.283100000000001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4"/>
        <v>212</v>
      </c>
      <c r="AE125" s="77" t="str">
        <f t="shared" si="45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125" s="74" t="str">
        <f t="shared" si="46"/>
        <v>"C:\Program Files (x86)\AstroGrep\AstroGrep.exe" /e /r /s /spath="%USERPROFILE%\AppData\Local\Temp\OnboardLogs" /stypes="app*4013*20171020*" /stext=" 01:.+((SYSTEM_STATE.+slice.+state.+changed )|(ment ac)|(multiple cpu faults)|(system.+state.+changed )|(\[timeout)|(PRM\|1\|D)|(kpr)|(kdp)|(train st.+moving)|(\|lc)|(penalty))"</v>
      </c>
      <c r="AG125" s="182" t="str">
        <f t="shared" si="47"/>
        <v>EC</v>
      </c>
      <c r="AH125" s="78" t="str">
        <f t="shared" si="48"/>
        <v>"%USERPROFILE%\Documents\GitHub\eaglep3\Utilities\RefineRTDCRunTimes.py" --tripid 212-19 --locoid 4013 --swversion DE.1.0.9.0 --startMP 204:232989 --initTime 2017-10-19T18:16:55 --startdatetime 2017-10-19T18:27:16 --delay 69 --endMP 204:158 --enddatetime 2017-10-19T19:07:15 --enforcementcount 0 &gt;&gt;%USERPROFILE%\Documents\GitHub\eaglep3-reporting\EC\2017-10-19-refined-times.txt</v>
      </c>
      <c r="AI125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{"issue":{"subject":"","project_id":79,"tracker_id":40,"status_id":1,"priority_id":2,"assigned_to_id":338,"start_date":"2017-10-19","description":"","custom_fields":[{"id":1,"name":"Subdivision","value":"EC"},{"id":4,"name":"Milepost","value":"0.0158"},{"id":17,"name":"Train ID","value":"212-19"},{"id":16,"name":"Locomotive ID","value":"4013"},{"id":130,"name":"Impact","value":""},{"id":150,"name":"Time of Event (Mountain Time)","value":"19:07:15"},{"id":151,"name":"Denver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50"/>
        <v>start /low /b %USERPROFILE%\Documents\GitHub\eaglep3\Utilities\DownloadLogsFromS3.py --loco 4013 --day 2017-10-19</v>
      </c>
      <c r="AN125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2"/>
        <v>https://d0f6bd738d7f1b3e5a7ca70fe4ff75f0.us-east-1.aws.found.io/app/kibana#/discover/Steve-Slow-Train-Analysis-(2080s-and-2083s)?_g=(refreshInterval:(display:Off,pause:!f,section:0,value:0),time:(from:'2017-10-19T17:16:55-0600',mode:absolute,to:'2017-10-19T20:07:15-0600'))&amp;_a=(columns:!('Message%20ID',Summary),filters:!(),index:'emp_*',interval:auto,query:(query_string:(analyze_wildcard:!t,query:'%22rtdc.l.rtdc.4013%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754</v>
      </c>
      <c r="B126" s="7">
        <v>4006</v>
      </c>
      <c r="C126" s="21" t="s">
        <v>194</v>
      </c>
      <c r="D126" s="21" t="s">
        <v>855</v>
      </c>
      <c r="E126" s="13">
        <v>43027.737210648149</v>
      </c>
      <c r="F126" s="13">
        <v>43027.739837962959</v>
      </c>
      <c r="G126" s="7">
        <v>74</v>
      </c>
      <c r="H126" s="21" t="s">
        <v>451</v>
      </c>
      <c r="I126" s="13">
        <v>43027.764525462961</v>
      </c>
      <c r="J126" s="7">
        <v>0</v>
      </c>
      <c r="K126" s="89" t="str">
        <f t="shared" si="36"/>
        <v>4005/4006</v>
      </c>
      <c r="L126" s="185" t="str">
        <f>VLOOKUP(A126,'Trips&amp;Operators'!$C$1:$G$99911,5,FALSE)</f>
        <v>LOZA FIDEL</v>
      </c>
      <c r="M126" s="6">
        <f t="shared" si="37"/>
        <v>2.4687500001164153E-2</v>
      </c>
      <c r="N126" s="7">
        <f t="shared" si="56"/>
        <v>35.550000001676381</v>
      </c>
      <c r="O126" s="7"/>
      <c r="P126" s="7"/>
      <c r="Q126" s="22"/>
      <c r="R126" s="174"/>
      <c r="S126" s="221">
        <f t="shared" si="57"/>
        <v>1</v>
      </c>
      <c r="T126" s="174" t="str">
        <f t="shared" si="40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1"/>
        <v>https://d0f6bd738d7f1b3e5a7ca70fe4ff75f0.us-east-1.aws.found.io/app/kibana#/discover/Steve-Slow-Train-Analysis-(2080s-and-2083s)?_g=(refreshInterval:(display:Off,pause:!f,section:0,value:0),time:(from:'2017-10-19T16:41:35-0600',mode:absolute,to:'2017-10-19T19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6" s="204" t="str">
        <f>IF(AA126&lt;VLOOKUP(AG126,Variables!$AC$3:$AD$8,2,FALSE),"Y","N")</f>
        <v>N</v>
      </c>
      <c r="X126" s="204">
        <f t="shared" si="55"/>
        <v>1</v>
      </c>
      <c r="Y126" s="204">
        <f t="shared" ref="Y126:Y140" si="58">RIGHT(D126,LEN(D126)-4)/10000</f>
        <v>4.3299999999999998E-2</v>
      </c>
      <c r="Z126" s="204">
        <f t="shared" ref="Z126:Z140" si="59">RIGHT(H126,LEN(H126)-4)/10000</f>
        <v>23.3293</v>
      </c>
      <c r="AA126" s="204">
        <f t="shared" si="43"/>
        <v>23.286000000000001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4"/>
        <v>213</v>
      </c>
      <c r="AE126" s="77" t="str">
        <f t="shared" si="45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126" s="74" t="str">
        <f t="shared" si="46"/>
        <v>"C:\Program Files (x86)\AstroGrep\AstroGrep.exe" /e /r /s /spath="%USERPROFILE%\AppData\Local\Temp\OnboardLogs" /stypes="app*4006*20171020*" /stext=" 00:.+((SYSTEM_STATE.+slice.+state.+changed )|(ment ac)|(multiple cpu faults)|(system.+state.+changed )|(\[timeout)|(PRM\|1\|D)|(kpr)|(kdp)|(train st.+moving)|(\|lc)|(penalty))"</v>
      </c>
      <c r="AG126" s="182" t="str">
        <f t="shared" si="47"/>
        <v>EC</v>
      </c>
      <c r="AH126" s="78" t="str">
        <f t="shared" si="48"/>
        <v>"%USERPROFILE%\Documents\GitHub\eaglep3\Utilities\RefineRTDCRunTimes.py" --tripid 213-19 --locoid 4006 --swversion DE.1.0.9.0 --startMP 204:433 --initTime 2017-10-19T17:41:35 --startdatetime 2017-10-19T17:45:22 --delay 74 --endMP 204:233293 --enddatetime 2017-10-19T18:20:55 --enforcementcount 0 &gt;&gt;%USERPROFILE%\Documents\GitHub\eaglep3-reporting\EC\2017-10-19-refined-times.txt</v>
      </c>
      <c r="AI126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{"issue":{"subject":"","project_id":79,"tracker_id":40,"status_id":1,"priority_id":2,"assigned_to_id":338,"start_date":"2017-10-19","description":"","custom_fields":[{"id":1,"name":"Subdivision","value":"EC"},{"id":4,"name":"Milepost","value":"23.3293"},{"id":17,"name":"Train ID","value":"213-19"},{"id":16,"name":"Locomotive ID","value":"4006"},{"id":130,"name":"Impact","value":""},{"id":150,"name":"Time of Event (Mountain Time)","value":"18:20:55"},{"id":151,"name":"Denver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50"/>
        <v>start /low /b %USERPROFILE%\Documents\GitHub\eaglep3\Utilities\DownloadLogsFromS3.py --loco 4006 --day 2017-10-19</v>
      </c>
      <c r="AN126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2"/>
        <v>https://d0f6bd738d7f1b3e5a7ca70fe4ff75f0.us-east-1.aws.found.io/app/kibana#/discover/Steve-Slow-Train-Analysis-(2080s-and-2083s)?_g=(refreshInterval:(display:Off,pause:!f,section:0,value:0),time:(from:'2017-10-19T16:41:35-0600',mode:absolute,to:'2017-10-19T19:20:55-0600'))&amp;_a=(columns:!('Message%20ID',Summary),filters:!(),index:'emp_*',interval:auto,query:(query_string:(analyze_wildcard:!t,query:'%22rtdc.l.rtdc.4006%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769</v>
      </c>
      <c r="B127" s="7">
        <v>4005</v>
      </c>
      <c r="C127" s="21" t="s">
        <v>194</v>
      </c>
      <c r="D127" s="21" t="s">
        <v>526</v>
      </c>
      <c r="E127" s="13">
        <v>43027.772812499999</v>
      </c>
      <c r="F127" s="13">
        <v>43027.779467592591</v>
      </c>
      <c r="G127" s="7">
        <v>89</v>
      </c>
      <c r="H127" s="21" t="s">
        <v>856</v>
      </c>
      <c r="I127" s="13">
        <v>43027.804594907408</v>
      </c>
      <c r="J127" s="7">
        <v>0</v>
      </c>
      <c r="K127" s="89" t="str">
        <f t="shared" si="36"/>
        <v>4005/4006</v>
      </c>
      <c r="L127" s="185" t="str">
        <f>VLOOKUP(A127,'Trips&amp;Operators'!$C$1:$G$99911,5,FALSE)</f>
        <v>LOZA FIDEL</v>
      </c>
      <c r="M127" s="6">
        <f t="shared" si="37"/>
        <v>2.5127314816927537E-2</v>
      </c>
      <c r="N127" s="7">
        <f t="shared" si="56"/>
        <v>36.183333336375654</v>
      </c>
      <c r="O127" s="7"/>
      <c r="P127" s="7"/>
      <c r="Q127" s="22"/>
      <c r="R127" s="174"/>
      <c r="S127" s="221">
        <f t="shared" si="57"/>
        <v>1</v>
      </c>
      <c r="T127" s="174" t="str">
        <f t="shared" si="40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1"/>
        <v>https://d0f6bd738d7f1b3e5a7ca70fe4ff75f0.us-east-1.aws.found.io/app/kibana#/discover/Steve-Slow-Train-Analysis-(2080s-and-2083s)?_g=(refreshInterval:(display:Off,pause:!f,section:0,value:0),time:(from:'2017-10-19T17:32:51-0600',mode:absolute,to:'2017-10-19T20:18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7" s="204" t="str">
        <f>IF(AA127&lt;VLOOKUP(AG127,Variables!$AC$3:$AD$8,2,FALSE),"Y","N")</f>
        <v>N</v>
      </c>
      <c r="X127" s="204">
        <f t="shared" si="55"/>
        <v>1</v>
      </c>
      <c r="Y127" s="204">
        <f t="shared" si="58"/>
        <v>23.298400000000001</v>
      </c>
      <c r="Z127" s="204">
        <f t="shared" si="59"/>
        <v>1.1599999999999999E-2</v>
      </c>
      <c r="AA127" s="204">
        <f t="shared" si="43"/>
        <v>23.286799999999999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4"/>
        <v>214</v>
      </c>
      <c r="AE127" s="77" t="str">
        <f t="shared" si="45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127" s="74" t="str">
        <f t="shared" si="46"/>
        <v>"C:\Program Files (x86)\AstroGrep\AstroGrep.exe" /e /r /s /spath="%USERPROFILE%\AppData\Local\Temp\OnboardLogs" /stypes="app*4005*20171020*" /stext=" 01:.+((SYSTEM_STATE.+slice.+state.+changed )|(ment ac)|(multiple cpu faults)|(system.+state.+changed )|(\[timeout)|(PRM\|1\|D)|(kpr)|(kdp)|(train st.+moving)|(\|lc)|(penalty))"</v>
      </c>
      <c r="AG127" s="182" t="str">
        <f t="shared" si="47"/>
        <v>EC</v>
      </c>
      <c r="AH127" s="78" t="str">
        <f t="shared" si="48"/>
        <v>"%USERPROFILE%\Documents\GitHub\eaglep3\Utilities\RefineRTDCRunTimes.py" --tripid 214-19 --locoid 4005 --swversion DE.1.0.9.0 --startMP 204:232984 --initTime 2017-10-19T18:32:51 --startdatetime 2017-10-19T18:42:26 --delay 89 --endMP 204:116 --enddatetime 2017-10-19T19:18:37 --enforcementcount 0 &gt;&gt;%USERPROFILE%\Documents\GitHub\eaglep3-reporting\EC\2017-10-19-refined-times.txt</v>
      </c>
      <c r="AI127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{"issue":{"subject":"","project_id":79,"tracker_id":40,"status_id":1,"priority_id":2,"assigned_to_id":338,"start_date":"2017-10-19","description":"","custom_fields":[{"id":1,"name":"Subdivision","value":"EC"},{"id":4,"name":"Milepost","value":"0.0116"},{"id":17,"name":"Train ID","value":"214-19"},{"id":16,"name":"Locomotive ID","value":"4005"},{"id":130,"name":"Impact","value":""},{"id":150,"name":"Time of Event (Mountain Time)","value":"19:18:37"},{"id":151,"name":"Denver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50"/>
        <v>start /low /b %USERPROFILE%\Documents\GitHub\eaglep3\Utilities\DownloadLogsFromS3.py --loco 4005 --day 2017-10-19</v>
      </c>
      <c r="AN127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01:18:37"},{"id":29,"name":"Sharepoint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2"/>
        <v>https://d0f6bd738d7f1b3e5a7ca70fe4ff75f0.us-east-1.aws.found.io/app/kibana#/discover/Steve-Slow-Train-Analysis-(2080s-and-2083s)?_g=(refreshInterval:(display:Off,pause:!f,section:0,value:0),time:(from:'2017-10-19T17:32:51-0600',mode:absolute,to:'2017-10-19T20:18:37-0600'))&amp;_a=(columns:!('Message%20ID',Summary),filters:!(),index:'emp_*',interval:auto,query:(query_string:(analyze_wildcard:!t,query:'%22rtdc.l.rtdc.4005%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759</v>
      </c>
      <c r="B128" s="7">
        <v>4066</v>
      </c>
      <c r="C128" s="21" t="s">
        <v>194</v>
      </c>
      <c r="D128" s="21" t="s">
        <v>857</v>
      </c>
      <c r="E128" s="13">
        <v>43027.746828703705</v>
      </c>
      <c r="F128" s="13">
        <v>43027.75037037037</v>
      </c>
      <c r="G128" s="7">
        <v>162</v>
      </c>
      <c r="H128" s="21" t="s">
        <v>840</v>
      </c>
      <c r="I128" s="13">
        <v>43027.774606481478</v>
      </c>
      <c r="J128" s="7">
        <v>0</v>
      </c>
      <c r="K128" s="89" t="str">
        <f t="shared" si="36"/>
        <v>4065/4066</v>
      </c>
      <c r="L128" s="185" t="str">
        <f>VLOOKUP(A128,'Trips&amp;Operators'!$C$1:$G$99911,5,FALSE)</f>
        <v>HOLCOMB KAMDEN</v>
      </c>
      <c r="M128" s="6">
        <f t="shared" si="37"/>
        <v>2.4236111108621117E-2</v>
      </c>
      <c r="N128" s="7">
        <f t="shared" si="56"/>
        <v>34.899999996414408</v>
      </c>
      <c r="O128" s="7"/>
      <c r="P128" s="7"/>
      <c r="Q128" s="22"/>
      <c r="R128" s="174"/>
      <c r="S128" s="221">
        <f t="shared" si="57"/>
        <v>1</v>
      </c>
      <c r="T128" s="174" t="str">
        <f t="shared" si="40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1"/>
        <v>https://d0f6bd738d7f1b3e5a7ca70fe4ff75f0.us-east-1.aws.found.io/app/kibana#/discover/Steve-Slow-Train-Analysis-(2080s-and-2083s)?_g=(refreshInterval:(display:Off,pause:!f,section:0,value:0),time:(from:'2017-10-19T16:55:26-0600',mode:absolute,to:'2017-10-19T19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8" s="204" t="str">
        <f>IF(AA128&lt;VLOOKUP(AG128,Variables!$AC$3:$AD$8,2,FALSE),"Y","N")</f>
        <v>N</v>
      </c>
      <c r="X128" s="204">
        <f t="shared" si="55"/>
        <v>1</v>
      </c>
      <c r="Y128" s="204">
        <f t="shared" si="58"/>
        <v>4.2900000000000001E-2</v>
      </c>
      <c r="Z128" s="204">
        <f t="shared" si="59"/>
        <v>23.331900000000001</v>
      </c>
      <c r="AA128" s="204">
        <f t="shared" si="43"/>
        <v>23.289000000000001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4"/>
        <v>215</v>
      </c>
      <c r="AE128" s="77" t="str">
        <f t="shared" si="45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128" s="74" t="str">
        <f t="shared" si="46"/>
        <v>"C:\Program Files (x86)\AstroGrep\AstroGrep.exe" /e /r /s /spath="%USERPROFILE%\AppData\Local\Temp\OnboardLogs" /stypes="app*4066*20171020*" /stext=" 00:.+((SYSTEM_STATE.+slice.+state.+changed )|(ment ac)|(multiple cpu faults)|(system.+state.+changed )|(\[timeout)|(PRM\|1\|D)|(kpr)|(kdp)|(train st.+moving)|(\|lc)|(penalty))"</v>
      </c>
      <c r="AG128" s="182" t="str">
        <f t="shared" si="47"/>
        <v>EC</v>
      </c>
      <c r="AH128" s="78" t="str">
        <f t="shared" si="48"/>
        <v>"%USERPROFILE%\Documents\GitHub\eaglep3\Utilities\RefineRTDCRunTimes.py" --tripid 215-19 --locoid 4066 --swversion DE.1.0.9.0 --startMP 204:429 --initTime 2017-10-19T17:55:26 --startdatetime 2017-10-19T18:00:32 --delay 162 --endMP 204:233319 --enddatetime 2017-10-19T18:35:26 --enforcementcount 0 &gt;&gt;%USERPROFILE%\Documents\GitHub\eaglep3-reporting\EC\2017-10-19-refined-times.txt</v>
      </c>
      <c r="AI128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{"issue":{"subject":"","project_id":79,"tracker_id":40,"status_id":1,"priority_id":2,"assigned_to_id":338,"start_date":"2017-10-19","description":"","custom_fields":[{"id":1,"name":"Subdivision","value":"EC"},{"id":4,"name":"Milepost","value":"23.3319"},{"id":17,"name":"Train ID","value":"215-19"},{"id":16,"name":"Locomotive ID","value":"4066"},{"id":130,"name":"Impact","value":""},{"id":150,"name":"Time of Event (Mountain Time)","value":"18:35:26"},{"id":151,"name":"Denver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50"/>
        <v>start /low /b %USERPROFILE%\Documents\GitHub\eaglep3\Utilities\DownloadLogsFromS3.py --loco 4066 --day 2017-10-19</v>
      </c>
      <c r="AN128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2"/>
        <v>https://d0f6bd738d7f1b3e5a7ca70fe4ff75f0.us-east-1.aws.found.io/app/kibana#/discover/Steve-Slow-Train-Analysis-(2080s-and-2083s)?_g=(refreshInterval:(display:Off,pause:!f,section:0,value:0),time:(from:'2017-10-19T16:55:26-0600',mode:absolute,to:'2017-10-19T19:35:26-0600'))&amp;_a=(columns:!('Message%20ID',Summary),filters:!(),index:'emp_*',interval:auto,query:(query_string:(analyze_wildcard:!t,query:'%22rtdc.l.rtdc.4066%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589</v>
      </c>
      <c r="B129" s="7">
        <v>4065</v>
      </c>
      <c r="C129" s="21" t="s">
        <v>194</v>
      </c>
      <c r="D129" s="21" t="s">
        <v>406</v>
      </c>
      <c r="E129" s="13">
        <v>43027.784560185188</v>
      </c>
      <c r="F129" s="13">
        <v>43027.801770833335</v>
      </c>
      <c r="G129" s="7">
        <v>84</v>
      </c>
      <c r="H129" s="21" t="s">
        <v>406</v>
      </c>
      <c r="I129" s="13">
        <v>43027.818148148152</v>
      </c>
      <c r="J129" s="7">
        <v>0</v>
      </c>
      <c r="K129" s="89" t="str">
        <f t="shared" si="36"/>
        <v>4065/4066</v>
      </c>
      <c r="L129" s="185" t="str">
        <f>VLOOKUP(A129,'Trips&amp;Operators'!$C$1:$G$99911,5,FALSE)</f>
        <v>HOLCOMB KAMDEN</v>
      </c>
      <c r="M129" s="6">
        <f t="shared" si="37"/>
        <v>1.6377314816054422E-2</v>
      </c>
      <c r="N129" s="7"/>
      <c r="O129" s="7"/>
      <c r="P129" s="7"/>
      <c r="Q129" s="22"/>
      <c r="R129" s="174"/>
      <c r="S129" s="221"/>
      <c r="T129" s="174" t="str">
        <f t="shared" si="40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0</v>
      </c>
      <c r="V129" s="216" t="str">
        <f t="shared" si="41"/>
        <v>https://d0f6bd738d7f1b3e5a7ca70fe4ff75f0.us-east-1.aws.found.io/app/kibana#/discover/Steve-Slow-Train-Analysis-(2080s-and-2083s)?_g=(refreshInterval:(display:Off,pause:!f,section:0,value:0),time:(from:'2017-10-19T17:49:46-0600',mode:absolute,to:'2017-10-19T20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9" s="204" t="str">
        <f>IF(AA129&lt;VLOOKUP(AG129,Variables!$AC$3:$AD$8,2,FALSE),"Y","N")</f>
        <v>Y</v>
      </c>
      <c r="X129" s="204">
        <f t="shared" si="55"/>
        <v>1</v>
      </c>
      <c r="Y129" s="204">
        <f t="shared" si="58"/>
        <v>23.299399999999999</v>
      </c>
      <c r="Z129" s="204">
        <f t="shared" si="59"/>
        <v>23.299399999999999</v>
      </c>
      <c r="AA129" s="204">
        <f t="shared" si="43"/>
        <v>0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4"/>
        <v>216</v>
      </c>
      <c r="AE129" s="77" t="str">
        <f t="shared" si="45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129" s="74" t="str">
        <f t="shared" si="46"/>
        <v>"C:\Program Files (x86)\AstroGrep\AstroGrep.exe" /e /r /s /spath="%USERPROFILE%\AppData\Local\Temp\OnboardLogs" /stypes="app*4065*20171020*" /stext=" 01:.+((SYSTEM_STATE.+slice.+state.+changed )|(ment ac)|(multiple cpu faults)|(system.+state.+changed )|(\[timeout)|(PRM\|1\|D)|(kpr)|(kdp)|(train st.+moving)|(\|lc)|(penalty))"</v>
      </c>
      <c r="AG129" s="182" t="str">
        <f t="shared" si="47"/>
        <v>EC</v>
      </c>
      <c r="AH129" s="78" t="str">
        <f t="shared" si="48"/>
        <v>"%USERPROFILE%\Documents\GitHub\eaglep3\Utilities\RefineRTDCRunTimes.py" --tripid 216-19 --locoid 4065 --swversion DE.1.0.9.0 --startMP 204:232994 --initTime 2017-10-19T18:49:46 --startdatetime 2017-10-19T19:14:33 --delay 84 --endMP 204:232994 --enddatetime 2017-10-19T19:38:08 --enforcementcount 0 &gt;&gt;%USERPROFILE%\Documents\GitHub\eaglep3-reporting\EC\2017-10-19-refined-times.txt</v>
      </c>
      <c r="AI129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{"issue":{"subject":"","project_id":79,"tracker_id":40,"status_id":1,"priority_id":2,"assigned_to_id":338,"start_date":"2017-10-19","description":"","custom_fields":[{"id":1,"name":"Subdivision","value":"EC"},{"id":4,"name":"Milepost","value":"23.2994"},{"id":17,"name":"Train ID","value":"216-19"},{"id":16,"name":"Locomotive ID","value":"4065"},{"id":130,"name":"Impact","value":""},{"id":150,"name":"Time of Event (Mountain Time)","value":"19:38:08"},{"id":151,"name":"Denver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50"/>
        <v>start /low /b %USERPROFILE%\Documents\GitHub\eaglep3\Utilities\DownloadLogsFromS3.py --loco 4065 --day 2017-10-19</v>
      </c>
      <c r="AN129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2"/>
        <v>https://d0f6bd738d7f1b3e5a7ca70fe4ff75f0.us-east-1.aws.found.io/app/kibana#/discover/Steve-Slow-Train-Analysis-(2080s-and-2083s)?_g=(refreshInterval:(display:Off,pause:!f,section:0,value:0),time:(from:'2017-10-19T17:49:46-0600',mode:absolute,to:'2017-10-19T20:38:08-0600'))&amp;_a=(columns:!('Message%20ID',Summary),filters:!(),index:'emp_*',interval:auto,query:(query_string:(analyze_wildcard:!t,query:'%22rtdc.l.rtdc.4065%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589</v>
      </c>
      <c r="B130" s="7">
        <v>4065</v>
      </c>
      <c r="C130" s="21" t="s">
        <v>194</v>
      </c>
      <c r="D130" s="21" t="s">
        <v>858</v>
      </c>
      <c r="E130" s="13">
        <v>43027.800011574072</v>
      </c>
      <c r="F130" s="13">
        <v>43027.801770833335</v>
      </c>
      <c r="G130" s="7">
        <v>98</v>
      </c>
      <c r="H130" s="21" t="s">
        <v>838</v>
      </c>
      <c r="I130" s="13">
        <v>43027.818148148152</v>
      </c>
      <c r="J130" s="7">
        <v>0</v>
      </c>
      <c r="K130" s="89" t="str">
        <f t="shared" si="36"/>
        <v>4065/4066</v>
      </c>
      <c r="L130" s="185" t="str">
        <f>VLOOKUP(A130,'Trips&amp;Operators'!$C$1:$G$99911,5,FALSE)</f>
        <v>HOLCOMB KAMDEN</v>
      </c>
      <c r="M130" s="6">
        <f t="shared" si="37"/>
        <v>1.6377314816054422E-2</v>
      </c>
      <c r="N130" s="7"/>
      <c r="O130" s="7"/>
      <c r="P130" s="7">
        <f>24*60*SUM($M130:$M130)</f>
        <v>23.583333335118368</v>
      </c>
      <c r="Q130" s="22"/>
      <c r="R130" s="174" t="s">
        <v>994</v>
      </c>
      <c r="S130" s="221">
        <f t="shared" ref="S130:S168" si="60">1/IF(AG130="EC",12,1)*SUM(U130:U130)</f>
        <v>1</v>
      </c>
      <c r="T130" s="174" t="str">
        <f t="shared" si="40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1"/>
        <v>https://d0f6bd738d7f1b3e5a7ca70fe4ff75f0.us-east-1.aws.found.io/app/kibana#/discover/Steve-Slow-Train-Analysis-(2080s-and-2083s)?_g=(refreshInterval:(display:Off,pause:!f,section:0,value:0),time:(from:'2017-10-19T18:12:01-0600',mode:absolute,to:'2017-10-19T20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0" s="204" t="str">
        <f>IF(AA130&lt;VLOOKUP(AG130,Variables!$AC$3:$AD$8,2,FALSE),"Y","N")</f>
        <v>Y</v>
      </c>
      <c r="X130" s="204">
        <f t="shared" si="55"/>
        <v>0</v>
      </c>
      <c r="Y130" s="204">
        <f t="shared" si="58"/>
        <v>12.7872</v>
      </c>
      <c r="Z130" s="204">
        <f t="shared" si="59"/>
        <v>1.67E-2</v>
      </c>
      <c r="AA130" s="204">
        <f t="shared" si="43"/>
        <v>12.7705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4"/>
        <v>216</v>
      </c>
      <c r="AE130" s="77" t="str">
        <f t="shared" si="45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130" s="74" t="str">
        <f t="shared" si="46"/>
        <v>"C:\Program Files (x86)\AstroGrep\AstroGrep.exe" /e /r /s /spath="%USERPROFILE%\AppData\Local\Temp\OnboardLogs" /stypes="app*4065*20171020*" /stext=" 01:.+((SYSTEM_STATE.+slice.+state.+changed )|(ment ac)|(multiple cpu faults)|(system.+state.+changed )|(\[timeout)|(PRM\|1\|D)|(kpr)|(kdp)|(train st.+moving)|(\|lc)|(penalty))"</v>
      </c>
      <c r="AG130" s="182" t="str">
        <f t="shared" si="47"/>
        <v>EC</v>
      </c>
      <c r="AH130" s="78" t="str">
        <f t="shared" si="48"/>
        <v>"%USERPROFILE%\Documents\GitHub\eaglep3\Utilities\RefineRTDCRunTimes.py" --tripid 216-19 --locoid 4065 --swversion DE.1.0.9.0 --startMP 204:127872 --initTime 2017-10-19T19:12:01 --startdatetime 2017-10-19T19:14:33 --delay 98 --endMP 204:167 --enddatetime 2017-10-19T19:38:08 --enforcementcount 0 &gt;&gt;%USERPROFILE%\Documents\GitHub\eaglep3-reporting\EC\2017-10-19-refined-times.txt</v>
      </c>
      <c r="AI130" s="96" t="str">
        <f t="shared" si="49"/>
        <v>echo {"issue":{"subject":"Onboard en route failure","project_id":79,"tracker_id":40,"status_id":1,"priority_id":2,"assigned_to_id":338,"start_date":"2017-10-19","description":"","custom_fields":[{"id":1,"name":"Subdivision","value":"EC"},{"id":4,"name":"Milepost","value":"0.0167"},{"id":17,"name":"Train ID","value":"216-19"},{"id":16,"name":"Locomotive ID","value":"4065"},{"id":130,"name":"Impact","value":""},{"id":150,"name":"Time of Event (Mountain Time)","value":"19:38:08"},{"id":151,"name":"Denver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50"/>
        <v>start /low /b %USERPROFILE%\Documents\GitHub\eaglep3\Utilities\DownloadLogsFromS3.py --loco 4065 --day 2017-10-19</v>
      </c>
      <c r="AN130" s="151" t="str">
        <f t="shared" si="51"/>
        <v>echo {"issue":{"subject":"Onboard en route failure","project_id":30,"tracker_id":4,"status_id":1,"priority_id":1,"assigned_to_id":10,"start_date":"2017-10-20","description":"","custom_fields":[{"id":30,"name":"Category","value":"Issue"},{"id":3,"name":"Functional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2"/>
        <v>https://d0f6bd738d7f1b3e5a7ca70fe4ff75f0.us-east-1.aws.found.io/app/kibana#/discover/Steve-Slow-Train-Analysis-(2080s-and-2083s)?_g=(refreshInterval:(display:Off,pause:!f,section:0,value:0),time:(from:'2017-10-19T18:12:01-0600',mode:absolute,to:'2017-10-19T20:38:08-0600'))&amp;_a=(columns:!('Message%20ID',Summary),filters:!(),index:'emp_*',interval:auto,query:(query_string:(analyze_wildcard:!t,query:'%22rtdc.l.rtdc.4065%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762</v>
      </c>
      <c r="B131" s="7">
        <v>4058</v>
      </c>
      <c r="C131" s="21" t="s">
        <v>194</v>
      </c>
      <c r="D131" s="21" t="s">
        <v>400</v>
      </c>
      <c r="E131" s="13">
        <v>43027.756076388891</v>
      </c>
      <c r="F131" s="13">
        <v>43027.760648148149</v>
      </c>
      <c r="G131" s="7">
        <v>66</v>
      </c>
      <c r="H131" s="21" t="s">
        <v>859</v>
      </c>
      <c r="I131" s="13">
        <v>43027.785601851851</v>
      </c>
      <c r="J131" s="7">
        <v>0</v>
      </c>
      <c r="K131" s="89" t="str">
        <f t="shared" si="36"/>
        <v>4057/4058</v>
      </c>
      <c r="L131" s="185" t="str">
        <f>VLOOKUP(A131,'Trips&amp;Operators'!$C$1:$G$99911,5,FALSE)</f>
        <v>ELBAUM MIKE</v>
      </c>
      <c r="M131" s="6">
        <f t="shared" si="37"/>
        <v>2.495370370161254E-2</v>
      </c>
      <c r="N131" s="7">
        <f t="shared" ref="N131:N167" si="61">24*60*SUM($M131:$M131)</f>
        <v>35.933333330322057</v>
      </c>
      <c r="O131" s="7"/>
      <c r="P131" s="7"/>
      <c r="Q131" s="22"/>
      <c r="R131" s="174"/>
      <c r="S131" s="221">
        <f t="shared" si="60"/>
        <v>1</v>
      </c>
      <c r="T131" s="174" t="str">
        <f t="shared" si="40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1"/>
        <v>https://d0f6bd738d7f1b3e5a7ca70fe4ff75f0.us-east-1.aws.found.io/app/kibana#/discover/Steve-Slow-Train-Analysis-(2080s-and-2083s)?_g=(refreshInterval:(display:Off,pause:!f,section:0,value:0),time:(from:'2017-10-19T17:08:45-0600',mode:absolute,to:'2017-10-19T19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1" s="204" t="str">
        <f>IF(AA131&lt;VLOOKUP(AG131,Variables!$AC$3:$AD$8,2,FALSE),"Y","N")</f>
        <v>N</v>
      </c>
      <c r="X131" s="204">
        <f t="shared" si="55"/>
        <v>1</v>
      </c>
      <c r="Y131" s="204">
        <f t="shared" si="58"/>
        <v>4.6399999999999997E-2</v>
      </c>
      <c r="Z131" s="204">
        <f t="shared" si="59"/>
        <v>23.3355</v>
      </c>
      <c r="AA131" s="204">
        <f t="shared" si="43"/>
        <v>23.289100000000001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4"/>
        <v>217</v>
      </c>
      <c r="AE131" s="77" t="str">
        <f t="shared" si="45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131" s="74" t="str">
        <f t="shared" si="46"/>
        <v>"C:\Program Files (x86)\AstroGrep\AstroGrep.exe" /e /r /s /spath="%USERPROFILE%\AppData\Local\Temp\OnboardLogs" /stypes="app*4058*20171020*" /stext=" 00:.+((SYSTEM_STATE.+slice.+state.+changed )|(ment ac)|(multiple cpu faults)|(system.+state.+changed )|(\[timeout)|(PRM\|1\|D)|(kpr)|(kdp)|(train st.+moving)|(\|lc)|(penalty))"</v>
      </c>
      <c r="AG131" s="182" t="str">
        <f t="shared" si="47"/>
        <v>EC</v>
      </c>
      <c r="AH131" s="78" t="str">
        <f t="shared" si="48"/>
        <v>"%USERPROFILE%\Documents\GitHub\eaglep3\Utilities\RefineRTDCRunTimes.py" --tripid 217-19 --locoid 4058 --swversion DE.1.0.9.0 --startMP 204:464 --initTime 2017-10-19T18:08:45 --startdatetime 2017-10-19T18:15:20 --delay 66 --endMP 204:233355 --enddatetime 2017-10-19T18:51:16 --enforcementcount 0 &gt;&gt;%USERPROFILE%\Documents\GitHub\eaglep3-reporting\EC\2017-10-19-refined-times.txt</v>
      </c>
      <c r="AI131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{"issue":{"subject":"","project_id":79,"tracker_id":40,"status_id":1,"priority_id":2,"assigned_to_id":338,"start_date":"2017-10-19","description":"","custom_fields":[{"id":1,"name":"Subdivision","value":"EC"},{"id":4,"name":"Milepost","value":"23.3355"},{"id":17,"name":"Train ID","value":"217-19"},{"id":16,"name":"Locomotive ID","value":"4058"},{"id":130,"name":"Impact","value":""},{"id":150,"name":"Time of Event (Mountain Time)","value":"18:51:16"},{"id":151,"name":"Denver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50"/>
        <v>start /low /b %USERPROFILE%\Documents\GitHub\eaglep3\Utilities\DownloadLogsFromS3.py --loco 4058 --day 2017-10-19</v>
      </c>
      <c r="AN131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2"/>
        <v>https://d0f6bd738d7f1b3e5a7ca70fe4ff75f0.us-east-1.aws.found.io/app/kibana#/discover/Steve-Slow-Train-Analysis-(2080s-and-2083s)?_g=(refreshInterval:(display:Off,pause:!f,section:0,value:0),time:(from:'2017-10-19T17:08:45-0600',mode:absolute,to:'2017-10-19T19:51:16-0600'))&amp;_a=(columns:!('Message%20ID',Summary),filters:!(),index:'emp_*',interval:auto,query:(query_string:(analyze_wildcard:!t,query:'%22rtdc.l.rtdc.4058%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771</v>
      </c>
      <c r="B132" s="7">
        <v>4057</v>
      </c>
      <c r="C132" s="21" t="s">
        <v>194</v>
      </c>
      <c r="D132" s="21" t="s">
        <v>852</v>
      </c>
      <c r="E132" s="13">
        <v>43027.786631944444</v>
      </c>
      <c r="F132" s="13">
        <v>43027.800173611111</v>
      </c>
      <c r="G132" s="7">
        <v>72</v>
      </c>
      <c r="H132" s="21" t="s">
        <v>419</v>
      </c>
      <c r="I132" s="13">
        <v>43027.825868055559</v>
      </c>
      <c r="J132" s="7">
        <v>0</v>
      </c>
      <c r="K132" s="89" t="str">
        <f t="shared" si="36"/>
        <v>4057/4058</v>
      </c>
      <c r="L132" s="185" t="str">
        <f>VLOOKUP(A132,'Trips&amp;Operators'!$C$1:$G$99911,5,FALSE)</f>
        <v>ELBAUM MIKE</v>
      </c>
      <c r="M132" s="6">
        <f t="shared" si="37"/>
        <v>2.5694444448163267E-2</v>
      </c>
      <c r="N132" s="7">
        <f t="shared" si="61"/>
        <v>37.000000005355105</v>
      </c>
      <c r="O132" s="7"/>
      <c r="P132" s="7"/>
      <c r="Q132" s="22"/>
      <c r="R132" s="174"/>
      <c r="S132" s="221">
        <f t="shared" si="60"/>
        <v>1</v>
      </c>
      <c r="T132" s="174" t="str">
        <f t="shared" si="40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1"/>
        <v>https://d0f6bd738d7f1b3e5a7ca70fe4ff75f0.us-east-1.aws.found.io/app/kibana#/discover/Steve-Slow-Train-Analysis-(2080s-and-2083s)?_g=(refreshInterval:(display:Off,pause:!f,section:0,value:0),time:(from:'2017-10-19T17:52:45-0600',mode:absolute,to:'2017-10-19T20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2" s="204" t="str">
        <f>IF(AA132&lt;VLOOKUP(AG132,Variables!$AC$3:$AD$8,2,FALSE),"Y","N")</f>
        <v>N</v>
      </c>
      <c r="X132" s="204">
        <f t="shared" si="55"/>
        <v>1</v>
      </c>
      <c r="Y132" s="204">
        <f t="shared" si="58"/>
        <v>23.3034</v>
      </c>
      <c r="Z132" s="204">
        <f t="shared" si="59"/>
        <v>1.38E-2</v>
      </c>
      <c r="AA132" s="204">
        <f t="shared" si="43"/>
        <v>23.2896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4"/>
        <v>218</v>
      </c>
      <c r="AE132" s="77" t="str">
        <f t="shared" si="45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132" s="74" t="str">
        <f t="shared" si="46"/>
        <v>"C:\Program Files (x86)\AstroGrep\AstroGrep.exe" /e /r /s /spath="%USERPROFILE%\AppData\Local\Temp\OnboardLogs" /stypes="app*4057*20171020*" /stext=" 01:.+((SYSTEM_STATE.+slice.+state.+changed )|(ment ac)|(multiple cpu faults)|(system.+state.+changed )|(\[timeout)|(PRM\|1\|D)|(kpr)|(kdp)|(train st.+moving)|(\|lc)|(penalty))"</v>
      </c>
      <c r="AG132" s="182" t="str">
        <f t="shared" si="47"/>
        <v>EC</v>
      </c>
      <c r="AH132" s="78" t="str">
        <f t="shared" si="48"/>
        <v>"%USERPROFILE%\Documents\GitHub\eaglep3\Utilities\RefineRTDCRunTimes.py" --tripid 218-19 --locoid 4057 --swversion DE.1.0.9.0 --startMP 204:233034 --initTime 2017-10-19T18:52:45 --startdatetime 2017-10-19T19:12:15 --delay 72 --endMP 204:138 --enddatetime 2017-10-19T19:49:15 --enforcementcount 0 &gt;&gt;%USERPROFILE%\Documents\GitHub\eaglep3-reporting\EC\2017-10-19-refined-times.txt</v>
      </c>
      <c r="AI132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{"issue":{"subject":"","project_id":79,"tracker_id":40,"status_id":1,"priority_id":2,"assigned_to_id":338,"start_date":"2017-10-19","description":"","custom_fields":[{"id":1,"name":"Subdivision","value":"EC"},{"id":4,"name":"Milepost","value":"0.0138"},{"id":17,"name":"Train ID","value":"218-19"},{"id":16,"name":"Locomotive ID","value":"4057"},{"id":130,"name":"Impact","value":""},{"id":150,"name":"Time of Event (Mountain Time)","value":"19:49:15"},{"id":151,"name":"Denver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50"/>
        <v>start /low /b %USERPROFILE%\Documents\GitHub\eaglep3\Utilities\DownloadLogsFromS3.py --loco 4057 --day 2017-10-19</v>
      </c>
      <c r="AN132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2"/>
        <v>https://d0f6bd738d7f1b3e5a7ca70fe4ff75f0.us-east-1.aws.found.io/app/kibana#/discover/Steve-Slow-Train-Analysis-(2080s-and-2083s)?_g=(refreshInterval:(display:Off,pause:!f,section:0,value:0),time:(from:'2017-10-19T17:52:45-0600',mode:absolute,to:'2017-10-19T20:49:15-0600'))&amp;_a=(columns:!('Message%20ID',Summary),filters:!(),index:'emp_*',interval:auto,query:(query_string:(analyze_wildcard:!t,query:'%22rtdc.l.rtdc.4057%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766</v>
      </c>
      <c r="B133" s="7">
        <v>4018</v>
      </c>
      <c r="C133" s="21" t="s">
        <v>194</v>
      </c>
      <c r="D133" s="21" t="s">
        <v>824</v>
      </c>
      <c r="E133" s="13">
        <v>43027.766261574077</v>
      </c>
      <c r="F133" s="13">
        <v>43027.770972222221</v>
      </c>
      <c r="G133" s="7">
        <v>90</v>
      </c>
      <c r="H133" s="21" t="s">
        <v>860</v>
      </c>
      <c r="I133" s="13">
        <v>43027.796481481484</v>
      </c>
      <c r="J133" s="7">
        <v>0</v>
      </c>
      <c r="K133" s="89" t="str">
        <f t="shared" si="36"/>
        <v>4017/4018</v>
      </c>
      <c r="L133" s="185" t="str">
        <f>VLOOKUP(A133,'Trips&amp;Operators'!$C$1:$G$99911,5,FALSE)</f>
        <v>MCREYNOLDS KYLE</v>
      </c>
      <c r="M133" s="6">
        <f t="shared" si="37"/>
        <v>2.5509259263344575E-2</v>
      </c>
      <c r="N133" s="7">
        <f t="shared" si="61"/>
        <v>36.733333339216188</v>
      </c>
      <c r="O133" s="7"/>
      <c r="P133" s="7"/>
      <c r="Q133" s="22"/>
      <c r="R133" s="174"/>
      <c r="S133" s="221">
        <f t="shared" si="60"/>
        <v>1</v>
      </c>
      <c r="T133" s="174" t="str">
        <f t="shared" si="40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1"/>
        <v>https://d0f6bd738d7f1b3e5a7ca70fe4ff75f0.us-east-1.aws.found.io/app/kibana#/discover/Steve-Slow-Train-Analysis-(2080s-and-2083s)?_g=(refreshInterval:(display:Off,pause:!f,section:0,value:0),time:(from:'2017-10-19T17:23:25-0600',mode:absolute,to:'2017-10-19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204" t="str">
        <f>IF(AA133&lt;VLOOKUP(AG133,Variables!$AC$3:$AD$8,2,FALSE),"Y","N")</f>
        <v>N</v>
      </c>
      <c r="X133" s="204">
        <f t="shared" si="55"/>
        <v>1</v>
      </c>
      <c r="Y133" s="204">
        <f t="shared" si="58"/>
        <v>4.4900000000000002E-2</v>
      </c>
      <c r="Z133" s="204">
        <f t="shared" si="59"/>
        <v>23.337399999999999</v>
      </c>
      <c r="AA133" s="204">
        <f t="shared" si="43"/>
        <v>23.2925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4"/>
        <v>219</v>
      </c>
      <c r="AE133" s="77" t="str">
        <f t="shared" si="45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133" s="74" t="str">
        <f t="shared" si="46"/>
        <v>"C:\Program Files (x86)\AstroGrep\AstroGrep.exe" /e /r /s /spath="%USERPROFILE%\AppData\Local\Temp\OnboardLogs" /stypes="app*4018*20171020*" /stext=" 01:.+((SYSTEM_STATE.+slice.+state.+changed )|(ment ac)|(multiple cpu faults)|(system.+state.+changed )|(\[timeout)|(PRM\|1\|D)|(kpr)|(kdp)|(train st.+moving)|(\|lc)|(penalty))"</v>
      </c>
      <c r="AG133" s="182" t="str">
        <f t="shared" si="47"/>
        <v>EC</v>
      </c>
      <c r="AH133" s="78" t="str">
        <f t="shared" si="48"/>
        <v>"%USERPROFILE%\Documents\GitHub\eaglep3\Utilities\RefineRTDCRunTimes.py" --tripid 219-19 --locoid 4018 --swversion DE.1.0.9.0 --startMP 204:449 --initTime 2017-10-19T18:23:25 --startdatetime 2017-10-19T18:30:12 --delay 90 --endMP 204:233374 --enddatetime 2017-10-19T19:06:56 --enforcementcount 0 &gt;&gt;%USERPROFILE%\Documents\GitHub\eaglep3-reporting\EC\2017-10-19-refined-times.txt</v>
      </c>
      <c r="AI133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{"issue":{"subject":"","project_id":79,"tracker_id":40,"status_id":1,"priority_id":2,"assigned_to_id":338,"start_date":"2017-10-19","description":"","custom_fields":[{"id":1,"name":"Subdivision","value":"EC"},{"id":4,"name":"Milepost","value":"23.3374"},{"id":17,"name":"Train ID","value":"219-19"},{"id":16,"name":"Locomotive ID","value":"4018"},{"id":130,"name":"Impact","value":""},{"id":150,"name":"Time of Event (Mountain Time)","value":"19:06:56"},{"id":151,"name":"Denver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50"/>
        <v>start /low /b %USERPROFILE%\Documents\GitHub\eaglep3\Utilities\DownloadLogsFromS3.py --loco 4018 --day 2017-10-19</v>
      </c>
      <c r="AN133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2"/>
        <v>https://d0f6bd738d7f1b3e5a7ca70fe4ff75f0.us-east-1.aws.found.io/app/kibana#/discover/Steve-Slow-Train-Analysis-(2080s-and-2083s)?_g=(refreshInterval:(display:Off,pause:!f,section:0,value:0),time:(from:'2017-10-19T17:23:25-0600',mode:absolute,to:'2017-10-19T20:06:56-0600'))&amp;_a=(columns:!('Message%20ID',Summary),filters:!(),index:'emp_*',interval:auto,query:(query_string:(analyze_wildcard:!t,query:'%22rtdc.l.rtdc.4018%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780</v>
      </c>
      <c r="B134" s="7">
        <v>4017</v>
      </c>
      <c r="C134" s="21" t="s">
        <v>194</v>
      </c>
      <c r="D134" s="21" t="s">
        <v>861</v>
      </c>
      <c r="E134" s="13">
        <v>43027.803425925929</v>
      </c>
      <c r="F134" s="13">
        <v>43027.810567129629</v>
      </c>
      <c r="G134" s="7">
        <v>88</v>
      </c>
      <c r="H134" s="21" t="s">
        <v>862</v>
      </c>
      <c r="I134" s="13">
        <v>43027.83829861111</v>
      </c>
      <c r="J134" s="7">
        <v>0</v>
      </c>
      <c r="K134" s="89" t="str">
        <f t="shared" si="36"/>
        <v>4017/4018</v>
      </c>
      <c r="L134" s="185" t="str">
        <f>VLOOKUP(A134,'Trips&amp;Operators'!$C$1:$G$99911,5,FALSE)</f>
        <v>MCREYNOLDS KYLE</v>
      </c>
      <c r="M134" s="6">
        <f t="shared" si="37"/>
        <v>2.7731481481168885E-2</v>
      </c>
      <c r="N134" s="7">
        <f t="shared" si="61"/>
        <v>39.933333332883194</v>
      </c>
      <c r="O134" s="7"/>
      <c r="P134" s="7"/>
      <c r="Q134" s="22"/>
      <c r="R134" s="174"/>
      <c r="S134" s="221">
        <f t="shared" si="60"/>
        <v>1</v>
      </c>
      <c r="T134" s="174" t="str">
        <f t="shared" si="40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1"/>
        <v>https://d0f6bd738d7f1b3e5a7ca70fe4ff75f0.us-east-1.aws.found.io/app/kibana#/discover/Steve-Slow-Train-Analysis-(2080s-and-2083s)?_g=(refreshInterval:(display:Off,pause:!f,section:0,value:0),time:(from:'2017-10-19T18:16:56-0600',mode:absolute,to:'2017-10-19T21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204" t="str">
        <f>IF(AA134&lt;VLOOKUP(AG134,Variables!$AC$3:$AD$8,2,FALSE),"Y","N")</f>
        <v>N</v>
      </c>
      <c r="X134" s="204">
        <f t="shared" si="55"/>
        <v>1</v>
      </c>
      <c r="Y134" s="204">
        <f t="shared" si="58"/>
        <v>23.3049</v>
      </c>
      <c r="Z134" s="204">
        <f t="shared" si="59"/>
        <v>0.18210000000000001</v>
      </c>
      <c r="AA134" s="204">
        <f t="shared" si="43"/>
        <v>23.122800000000002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4"/>
        <v>220</v>
      </c>
      <c r="AE134" s="77" t="str">
        <f t="shared" si="45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134" s="74" t="str">
        <f t="shared" si="46"/>
        <v>"C:\Program Files (x86)\AstroGrep\AstroGrep.exe" /e /r /s /spath="%USERPROFILE%\AppData\Local\Temp\OnboardLogs" /stypes="app*4017*20171020*" /stext=" 02:.+((SYSTEM_STATE.+slice.+state.+changed )|(ment ac)|(multiple cpu faults)|(system.+state.+changed )|(\[timeout)|(PRM\|1\|D)|(kpr)|(kdp)|(train st.+moving)|(\|lc)|(penalty))"</v>
      </c>
      <c r="AG134" s="182" t="str">
        <f t="shared" si="47"/>
        <v>EC</v>
      </c>
      <c r="AH134" s="78" t="str">
        <f t="shared" si="48"/>
        <v>"%USERPROFILE%\Documents\GitHub\eaglep3\Utilities\RefineRTDCRunTimes.py" --tripid 220-19 --locoid 4017 --swversion DE.1.0.9.0 --startMP 204:233049 --initTime 2017-10-19T19:16:56 --startdatetime 2017-10-19T19:27:13 --delay 88 --endMP 204:1821 --enddatetime 2017-10-19T20:07:09 --enforcementcount 0 &gt;&gt;%USERPROFILE%\Documents\GitHub\eaglep3-reporting\EC\2017-10-19-refined-times.txt</v>
      </c>
      <c r="AI134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{"issue":{"subject":"","project_id":79,"tracker_id":40,"status_id":1,"priority_id":2,"assigned_to_id":338,"start_date":"2017-10-19","description":"","custom_fields":[{"id":1,"name":"Subdivision","value":"EC"},{"id":4,"name":"Milepost","value":"0.1821"},{"id":17,"name":"Train ID","value":"220-19"},{"id":16,"name":"Locomotive ID","value":"4017"},{"id":130,"name":"Impact","value":""},{"id":150,"name":"Time of Event (Mountain Time)","value":"20:07:09"},{"id":151,"name":"Denver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50"/>
        <v>start /low /b %USERPROFILE%\Documents\GitHub\eaglep3\Utilities\DownloadLogsFromS3.py --loco 4017 --day 2017-10-19</v>
      </c>
      <c r="AN134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2"/>
        <v>https://d0f6bd738d7f1b3e5a7ca70fe4ff75f0.us-east-1.aws.found.io/app/kibana#/discover/Steve-Slow-Train-Analysis-(2080s-and-2083s)?_g=(refreshInterval:(display:Off,pause:!f,section:0,value:0),time:(from:'2017-10-19T18:16:56-0600',mode:absolute,to:'2017-10-19T21:07:09-0600'))&amp;_a=(columns:!('Message%20ID',Summary),filters:!(),index:'emp_*',interval:auto,query:(query_string:(analyze_wildcard:!t,query:'%22rtdc.l.rtdc.4017%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772</v>
      </c>
      <c r="B135" s="7">
        <v>4008</v>
      </c>
      <c r="C135" s="21" t="s">
        <v>194</v>
      </c>
      <c r="D135" s="21" t="s">
        <v>372</v>
      </c>
      <c r="E135" s="13">
        <v>43027.787106481483</v>
      </c>
      <c r="F135" s="13">
        <v>43027.791909722226</v>
      </c>
      <c r="G135" s="7">
        <v>87</v>
      </c>
      <c r="H135" s="21" t="s">
        <v>863</v>
      </c>
      <c r="I135" s="13">
        <v>43027.817175925928</v>
      </c>
      <c r="J135" s="7">
        <v>0</v>
      </c>
      <c r="K135" s="89" t="str">
        <f t="shared" si="36"/>
        <v>4007/4008</v>
      </c>
      <c r="L135" s="185" t="s">
        <v>995</v>
      </c>
      <c r="M135" s="6">
        <f t="shared" si="37"/>
        <v>2.5266203701903578E-2</v>
      </c>
      <c r="N135" s="7">
        <f t="shared" si="61"/>
        <v>36.383333330741152</v>
      </c>
      <c r="O135" s="7"/>
      <c r="P135" s="7"/>
      <c r="Q135" s="22"/>
      <c r="R135" s="174"/>
      <c r="S135" s="221">
        <f t="shared" si="60"/>
        <v>1</v>
      </c>
      <c r="T135" s="174" t="str">
        <f t="shared" si="40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1"/>
        <v>https://d0f6bd738d7f1b3e5a7ca70fe4ff75f0.us-east-1.aws.found.io/app/kibana#/discover/Steve-Slow-Train-Analysis-(2080s-and-2083s)?_g=(refreshInterval:(display:Off,pause:!f,section:0,value:0),time:(from:'2017-10-19T17:53:26-0600',mode:absolute,to:'2017-10-19T20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204" t="str">
        <f>IF(AA135&lt;VLOOKUP(AG135,Variables!$AC$3:$AD$8,2,FALSE),"Y","N")</f>
        <v>N</v>
      </c>
      <c r="X135" s="204">
        <f t="shared" si="55"/>
        <v>1</v>
      </c>
      <c r="Y135" s="204">
        <f t="shared" si="58"/>
        <v>4.4699999999999997E-2</v>
      </c>
      <c r="Z135" s="204">
        <f t="shared" si="59"/>
        <v>23.3264</v>
      </c>
      <c r="AA135" s="204">
        <f t="shared" si="43"/>
        <v>23.281700000000001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44"/>
        <v>221</v>
      </c>
      <c r="AE135" s="77" t="str">
        <f t="shared" si="45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135" s="74" t="str">
        <f t="shared" si="46"/>
        <v>"C:\Program Files (x86)\AstroGrep\AstroGrep.exe" /e /r /s /spath="%USERPROFILE%\AppData\Local\Temp\OnboardLogs" /stypes="app*4008*20171020*" /stext=" 01:.+((SYSTEM_STATE.+slice.+state.+changed )|(ment ac)|(multiple cpu faults)|(system.+state.+changed )|(\[timeout)|(PRM\|1\|D)|(kpr)|(kdp)|(train st.+moving)|(\|lc)|(penalty))"</v>
      </c>
      <c r="AG135" s="182" t="str">
        <f t="shared" si="47"/>
        <v>EC</v>
      </c>
      <c r="AH135" s="78" t="str">
        <f t="shared" si="48"/>
        <v>"%USERPROFILE%\Documents\GitHub\eaglep3\Utilities\RefineRTDCRunTimes.py" --tripid 221-19 --locoid 4008 --swversion DE.1.0.9.0 --startMP 204:447 --initTime 2017-10-19T18:53:26 --startdatetime 2017-10-19T19:00:21 --delay 87 --endMP 204:233264 --enddatetime 2017-10-19T19:36:44 --enforcementcount 0 &gt;&gt;%USERPROFILE%\Documents\GitHub\eaglep3-reporting\EC\2017-10-19-refined-times.txt</v>
      </c>
      <c r="AI135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{"issue":{"subject":"","project_id":79,"tracker_id":40,"status_id":1,"priority_id":2,"assigned_to_id":338,"start_date":"2017-10-19","description":"","custom_fields":[{"id":1,"name":"Subdivision","value":"EC"},{"id":4,"name":"Milepost","value":"23.3264"},{"id":17,"name":"Train ID","value":"221-19"},{"id":16,"name":"Locomotive ID","value":"4008"},{"id":130,"name":"Impact","value":""},{"id":150,"name":"Time of Event (Mountain Time)","value":"19:36:44"},{"id":151,"name":"Denver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50"/>
        <v>start /low /b %USERPROFILE%\Documents\GitHub\eaglep3\Utilities\DownloadLogsFromS3.py --loco 4008 --day 2017-10-19</v>
      </c>
      <c r="AN135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2"/>
        <v>https://d0f6bd738d7f1b3e5a7ca70fe4ff75f0.us-east-1.aws.found.io/app/kibana#/discover/Steve-Slow-Train-Analysis-(2080s-and-2083s)?_g=(refreshInterval:(display:Off,pause:!f,section:0,value:0),time:(from:'2017-10-19T17:53:26-0600',mode:absolute,to:'2017-10-19T20:36:44-0600'))&amp;_a=(columns:!('Message%20ID',Summary),filters:!(),index:'emp_*',interval:auto,query:(query_string:(analyze_wildcard:!t,query:'%22rtdc.l.rtdc.4008%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782</v>
      </c>
      <c r="B136" s="7">
        <v>4007</v>
      </c>
      <c r="C136" s="21" t="s">
        <v>194</v>
      </c>
      <c r="D136" s="21" t="s">
        <v>864</v>
      </c>
      <c r="E136" s="13">
        <v>43027.818530092591</v>
      </c>
      <c r="F136" s="13">
        <v>43027.831423611111</v>
      </c>
      <c r="G136" s="7">
        <v>91</v>
      </c>
      <c r="H136" s="21" t="s">
        <v>339</v>
      </c>
      <c r="I136" s="13">
        <v>43027.858090277776</v>
      </c>
      <c r="J136" s="7">
        <v>0</v>
      </c>
      <c r="K136" s="89" t="str">
        <f t="shared" si="36"/>
        <v>4007/4008</v>
      </c>
      <c r="L136" s="185" t="s">
        <v>995</v>
      </c>
      <c r="M136" s="6">
        <f t="shared" si="37"/>
        <v>2.6666666664823424E-2</v>
      </c>
      <c r="N136" s="7">
        <f t="shared" si="61"/>
        <v>38.399999997345731</v>
      </c>
      <c r="O136" s="7"/>
      <c r="P136" s="7"/>
      <c r="Q136" s="22"/>
      <c r="R136" s="174"/>
      <c r="S136" s="221">
        <f t="shared" si="60"/>
        <v>1</v>
      </c>
      <c r="T136" s="174" t="str">
        <f t="shared" si="40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1"/>
        <v>https://d0f6bd738d7f1b3e5a7ca70fe4ff75f0.us-east-1.aws.found.io/app/kibana#/discover/Steve-Slow-Train-Analysis-(2080s-and-2083s)?_g=(refreshInterval:(display:Off,pause:!f,section:0,value:0),time:(from:'2017-10-19T18:38:41-0600',mode:absolute,to:'2017-10-19T21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204" t="str">
        <f>IF(AA136&lt;VLOOKUP(AG136,Variables!$AC$3:$AD$8,2,FALSE),"Y","N")</f>
        <v>N</v>
      </c>
      <c r="X136" s="204">
        <f t="shared" si="55"/>
        <v>1</v>
      </c>
      <c r="Y136" s="204">
        <f t="shared" si="58"/>
        <v>23.293600000000001</v>
      </c>
      <c r="Z136" s="204">
        <f t="shared" si="59"/>
        <v>1.47E-2</v>
      </c>
      <c r="AA136" s="204">
        <f t="shared" si="43"/>
        <v>23.2789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4"/>
        <v>222</v>
      </c>
      <c r="AE136" s="77" t="str">
        <f t="shared" si="45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136" s="74" t="str">
        <f t="shared" si="46"/>
        <v>"C:\Program Files (x86)\AstroGrep\AstroGrep.exe" /e /r /s /spath="%USERPROFILE%\AppData\Local\Temp\OnboardLogs" /stypes="app*4007*20171020*" /stext=" 02:.+((SYSTEM_STATE.+slice.+state.+changed )|(ment ac)|(multiple cpu faults)|(system.+state.+changed )|(\[timeout)|(PRM\|1\|D)|(kpr)|(kdp)|(train st.+moving)|(\|lc)|(penalty))"</v>
      </c>
      <c r="AG136" s="182" t="str">
        <f t="shared" si="47"/>
        <v>EC</v>
      </c>
      <c r="AH136" s="78" t="str">
        <f t="shared" si="48"/>
        <v>"%USERPROFILE%\Documents\GitHub\eaglep3\Utilities\RefineRTDCRunTimes.py" --tripid 222-19 --locoid 4007 --swversion DE.1.0.9.0 --startMP 204:232936 --initTime 2017-10-19T19:38:41 --startdatetime 2017-10-19T19:57:15 --delay 91 --endMP 204:147 --enddatetime 2017-10-19T20:35:39 --enforcementcount 0 &gt;&gt;%USERPROFILE%\Documents\GitHub\eaglep3-reporting\EC\2017-10-19-refined-times.txt</v>
      </c>
      <c r="AI136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{"issue":{"subject":"","project_id":79,"tracker_id":40,"status_id":1,"priority_id":2,"assigned_to_id":338,"start_date":"2017-10-19","description":"","custom_fields":[{"id":1,"name":"Subdivision","value":"EC"},{"id":4,"name":"Milepost","value":"0.0147"},{"id":17,"name":"Train ID","value":"222-19"},{"id":16,"name":"Locomotive ID","value":"4007"},{"id":130,"name":"Impact","value":""},{"id":150,"name":"Time of Event (Mountain Time)","value":"20:35:39"},{"id":151,"name":"Denver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50"/>
        <v>start /low /b %USERPROFILE%\Documents\GitHub\eaglep3\Utilities\DownloadLogsFromS3.py --loco 4007 --day 2017-10-19</v>
      </c>
      <c r="AN136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02:35:39"},{"id":29,"name":"Sharepoint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2"/>
        <v>https://d0f6bd738d7f1b3e5a7ca70fe4ff75f0.us-east-1.aws.found.io/app/kibana#/discover/Steve-Slow-Train-Analysis-(2080s-and-2083s)?_g=(refreshInterval:(display:Off,pause:!f,section:0,value:0),time:(from:'2017-10-19T18:38:41-0600',mode:absolute,to:'2017-10-19T21:35:39-0600'))&amp;_a=(columns:!('Message%20ID',Summary),filters:!(),index:'emp_*',interval:auto,query:(query_string:(analyze_wildcard:!t,query:'%22rtdc.l.rtdc.4007%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781</v>
      </c>
      <c r="B137" s="7">
        <v>4006</v>
      </c>
      <c r="C137" s="21" t="s">
        <v>194</v>
      </c>
      <c r="D137" s="21" t="s">
        <v>367</v>
      </c>
      <c r="E137" s="13">
        <v>43027.809849537036</v>
      </c>
      <c r="F137" s="13">
        <v>43027.812662037039</v>
      </c>
      <c r="G137" s="7">
        <v>70</v>
      </c>
      <c r="H137" s="21" t="s">
        <v>368</v>
      </c>
      <c r="I137" s="13">
        <v>43027.837847222225</v>
      </c>
      <c r="J137" s="7">
        <v>0</v>
      </c>
      <c r="K137" s="89" t="str">
        <f t="shared" si="36"/>
        <v>4005/4006</v>
      </c>
      <c r="L137" s="185" t="str">
        <f>VLOOKUP(A137,'Trips&amp;Operators'!$C$1:$G$99911,5,FALSE)</f>
        <v>LOZA FIDEL</v>
      </c>
      <c r="M137" s="6">
        <f t="shared" si="37"/>
        <v>2.5185185186273884E-2</v>
      </c>
      <c r="N137" s="7">
        <f t="shared" si="61"/>
        <v>36.266666668234393</v>
      </c>
      <c r="O137" s="7"/>
      <c r="P137" s="7"/>
      <c r="Q137" s="22"/>
      <c r="R137" s="174"/>
      <c r="S137" s="221">
        <f t="shared" si="60"/>
        <v>1</v>
      </c>
      <c r="T137" s="174" t="str">
        <f t="shared" si="40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1"/>
        <v>https://d0f6bd738d7f1b3e5a7ca70fe4ff75f0.us-east-1.aws.found.io/app/kibana#/discover/Steve-Slow-Train-Analysis-(2080s-and-2083s)?_g=(refreshInterval:(display:Off,pause:!f,section:0,value:0),time:(from:'2017-10-19T18:26:11-0600',mode:absolute,to:'2017-10-19T21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204" t="str">
        <f>IF(AA137&lt;VLOOKUP(AG137,Variables!$AC$3:$AD$8,2,FALSE),"Y","N")</f>
        <v>N</v>
      </c>
      <c r="X137" s="204">
        <f t="shared" si="55"/>
        <v>1</v>
      </c>
      <c r="Y137" s="204">
        <f t="shared" si="58"/>
        <v>4.5100000000000001E-2</v>
      </c>
      <c r="Z137" s="204">
        <f t="shared" si="59"/>
        <v>23.331199999999999</v>
      </c>
      <c r="AA137" s="204">
        <f t="shared" si="43"/>
        <v>23.286099999999998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4"/>
        <v>223</v>
      </c>
      <c r="AE137" s="77" t="str">
        <f t="shared" si="45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137" s="74" t="str">
        <f t="shared" si="46"/>
        <v>"C:\Program Files (x86)\AstroGrep\AstroGrep.exe" /e /r /s /spath="%USERPROFILE%\AppData\Local\Temp\OnboardLogs" /stypes="app*4006*20171020*" /stext=" 02:.+((SYSTEM_STATE.+slice.+state.+changed )|(ment ac)|(multiple cpu faults)|(system.+state.+changed )|(\[timeout)|(PRM\|1\|D)|(kpr)|(kdp)|(train st.+moving)|(\|lc)|(penalty))"</v>
      </c>
      <c r="AG137" s="182" t="str">
        <f t="shared" si="47"/>
        <v>EC</v>
      </c>
      <c r="AH137" s="78" t="str">
        <f t="shared" si="48"/>
        <v>"%USERPROFILE%\Documents\GitHub\eaglep3\Utilities\RefineRTDCRunTimes.py" --tripid 223-19 --locoid 4006 --swversion DE.1.0.9.0 --startMP 204:451 --initTime 2017-10-19T19:26:11 --startdatetime 2017-10-19T19:30:14 --delay 70 --endMP 204:233312 --enddatetime 2017-10-19T20:06:30 --enforcementcount 0 &gt;&gt;%USERPROFILE%\Documents\GitHub\eaglep3-reporting\EC\2017-10-19-refined-times.txt</v>
      </c>
      <c r="AI137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{"issue":{"subject":"","project_id":79,"tracker_id":40,"status_id":1,"priority_id":2,"assigned_to_id":338,"start_date":"2017-10-19","description":"","custom_fields":[{"id":1,"name":"Subdivision","value":"EC"},{"id":4,"name":"Milepost","value":"23.3312"},{"id":17,"name":"Train ID","value":"223-19"},{"id":16,"name":"Locomotive ID","value":"4006"},{"id":130,"name":"Impact","value":""},{"id":150,"name":"Time of Event (Mountain Time)","value":"20:06:30"},{"id":151,"name":"Denver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50"/>
        <v>start /low /b %USERPROFILE%\Documents\GitHub\eaglep3\Utilities\DownloadLogsFromS3.py --loco 4006 --day 2017-10-19</v>
      </c>
      <c r="AN137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02:06:30"},{"id":29,"name":"Sharepoint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2"/>
        <v>https://d0f6bd738d7f1b3e5a7ca70fe4ff75f0.us-east-1.aws.found.io/app/kibana#/discover/Steve-Slow-Train-Analysis-(2080s-and-2083s)?_g=(refreshInterval:(display:Off,pause:!f,section:0,value:0),time:(from:'2017-10-19T18:26:11-0600',mode:absolute,to:'2017-10-19T21:06:30-0600'))&amp;_a=(columns:!('Message%20ID',Summary),filters:!(),index:'emp_*',interval:auto,query:(query_string:(analyze_wildcard:!t,query:'%22rtdc.l.rtdc.4006%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786</v>
      </c>
      <c r="B138" s="7">
        <v>4005</v>
      </c>
      <c r="C138" s="21" t="s">
        <v>194</v>
      </c>
      <c r="D138" s="21" t="s">
        <v>845</v>
      </c>
      <c r="E138" s="13">
        <v>43027.849386574075</v>
      </c>
      <c r="F138" s="13">
        <v>43027.852430555555</v>
      </c>
      <c r="G138" s="7">
        <v>66</v>
      </c>
      <c r="H138" s="21" t="s">
        <v>477</v>
      </c>
      <c r="I138" s="13">
        <v>43027.877500000002</v>
      </c>
      <c r="J138" s="7">
        <v>0</v>
      </c>
      <c r="K138" s="89" t="str">
        <f t="shared" si="36"/>
        <v>4005/4006</v>
      </c>
      <c r="L138" s="185" t="s">
        <v>996</v>
      </c>
      <c r="M138" s="6">
        <f t="shared" si="37"/>
        <v>2.5069444447581191E-2</v>
      </c>
      <c r="N138" s="7">
        <f t="shared" si="61"/>
        <v>36.100000004516914</v>
      </c>
      <c r="O138" s="7"/>
      <c r="P138" s="7"/>
      <c r="Q138" s="22"/>
      <c r="R138" s="174"/>
      <c r="S138" s="221">
        <f t="shared" si="60"/>
        <v>1</v>
      </c>
      <c r="T138" s="174" t="str">
        <f t="shared" si="40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1"/>
        <v>https://d0f6bd738d7f1b3e5a7ca70fe4ff75f0.us-east-1.aws.found.io/app/kibana#/discover/Steve-Slow-Train-Analysis-(2080s-and-2083s)?_g=(refreshInterval:(display:Off,pause:!f,section:0,value:0),time:(from:'2017-10-19T19:23:07-0600',mode:absolute,to:'2017-10-19T22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204" t="str">
        <f>IF(AA138&lt;VLOOKUP(AG138,Variables!$AC$3:$AD$8,2,FALSE),"Y","N")</f>
        <v>N</v>
      </c>
      <c r="X138" s="204">
        <f t="shared" si="55"/>
        <v>1</v>
      </c>
      <c r="Y138" s="204">
        <f t="shared" si="58"/>
        <v>23.3017</v>
      </c>
      <c r="Z138" s="204">
        <f t="shared" si="59"/>
        <v>1.32E-2</v>
      </c>
      <c r="AA138" s="204">
        <f t="shared" si="43"/>
        <v>23.288499999999999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4"/>
        <v>224</v>
      </c>
      <c r="AE138" s="77" t="str">
        <f t="shared" si="45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138" s="74" t="str">
        <f t="shared" si="46"/>
        <v>"C:\Program Files (x86)\AstroGrep\AstroGrep.exe" /e /r /s /spath="%USERPROFILE%\AppData\Local\Temp\OnboardLogs" /stypes="app*4005*20171020*" /stext=" 03:.+((SYSTEM_STATE.+slice.+state.+changed )|(ment ac)|(multiple cpu faults)|(system.+state.+changed )|(\[timeout)|(PRM\|1\|D)|(kpr)|(kdp)|(train st.+moving)|(\|lc)|(penalty))"</v>
      </c>
      <c r="AG138" s="182" t="str">
        <f t="shared" si="47"/>
        <v>EC</v>
      </c>
      <c r="AH138" s="78" t="str">
        <f t="shared" si="48"/>
        <v>"%USERPROFILE%\Documents\GitHub\eaglep3\Utilities\RefineRTDCRunTimes.py" --tripid 224-19 --locoid 4005 --swversion DE.1.0.9.0 --startMP 204:233017 --initTime 2017-10-19T20:23:07 --startdatetime 2017-10-19T20:27:30 --delay 66 --endMP 204:132 --enddatetime 2017-10-19T21:03:36 --enforcementcount 0 &gt;&gt;%USERPROFILE%\Documents\GitHub\eaglep3-reporting\EC\2017-10-19-refined-times.txt</v>
      </c>
      <c r="AI138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{"issue":{"subject":"","project_id":79,"tracker_id":40,"status_id":1,"priority_id":2,"assigned_to_id":338,"start_date":"2017-10-19","description":"","custom_fields":[{"id":1,"name":"Subdivision","value":"EC"},{"id":4,"name":"Milepost","value":"0.0132"},{"id":17,"name":"Train ID","value":"224-19"},{"id":16,"name":"Locomotive ID","value":"4005"},{"id":130,"name":"Impact","value":""},{"id":150,"name":"Time of Event (Mountain Time)","value":"21:03:36"},{"id":151,"name":"Denver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50"/>
        <v>start /low /b %USERPROFILE%\Documents\GitHub\eaglep3\Utilities\DownloadLogsFromS3.py --loco 4005 --day 2017-10-19</v>
      </c>
      <c r="AN138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03:03:36"},{"id":29,"name":"Sharepoint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2"/>
        <v>https://d0f6bd738d7f1b3e5a7ca70fe4ff75f0.us-east-1.aws.found.io/app/kibana#/discover/Steve-Slow-Train-Analysis-(2080s-and-2083s)?_g=(refreshInterval:(display:Off,pause:!f,section:0,value:0),time:(from:'2017-10-19T19:23:07-0600',mode:absolute,to:'2017-10-19T22:03:36-0600'))&amp;_a=(columns:!('Message%20ID',Summary),filters:!(),index:'emp_*',interval:auto,query:(query_string:(analyze_wildcard:!t,query:'%22rtdc.l.rtdc.4005%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784</v>
      </c>
      <c r="B139" s="7">
        <v>4058</v>
      </c>
      <c r="C139" s="21" t="s">
        <v>194</v>
      </c>
      <c r="D139" s="21" t="s">
        <v>843</v>
      </c>
      <c r="E139" s="13">
        <v>43027.827314814815</v>
      </c>
      <c r="F139" s="13">
        <v>43027.833564814813</v>
      </c>
      <c r="G139" s="7">
        <v>60</v>
      </c>
      <c r="H139" s="21" t="s">
        <v>859</v>
      </c>
      <c r="I139" s="13">
        <v>43027.858310185184</v>
      </c>
      <c r="J139" s="7">
        <v>0</v>
      </c>
      <c r="K139" s="89" t="str">
        <f t="shared" si="36"/>
        <v>4057/4058</v>
      </c>
      <c r="L139" s="185" t="s">
        <v>997</v>
      </c>
      <c r="M139" s="6">
        <f t="shared" si="37"/>
        <v>2.47453703705105E-2</v>
      </c>
      <c r="N139" s="7">
        <f t="shared" si="61"/>
        <v>35.63333333353512</v>
      </c>
      <c r="O139" s="7"/>
      <c r="P139" s="7"/>
      <c r="Q139" s="22"/>
      <c r="R139" s="174"/>
      <c r="S139" s="221">
        <f t="shared" si="60"/>
        <v>1</v>
      </c>
      <c r="T139" s="174" t="str">
        <f t="shared" si="40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1"/>
        <v>https://d0f6bd738d7f1b3e5a7ca70fe4ff75f0.us-east-1.aws.found.io/app/kibana#/discover/Steve-Slow-Train-Analysis-(2080s-and-2083s)?_g=(refreshInterval:(display:Off,pause:!f,section:0,value:0),time:(from:'2017-10-19T18:51:20-0600',mode:absolute,to:'2017-10-19T21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9" s="204" t="str">
        <f>IF(AA139&lt;VLOOKUP(AG139,Variables!$AC$3:$AD$8,2,FALSE),"Y","N")</f>
        <v>N</v>
      </c>
      <c r="X139" s="204">
        <f t="shared" si="55"/>
        <v>1</v>
      </c>
      <c r="Y139" s="204">
        <f t="shared" si="58"/>
        <v>4.7699999999999999E-2</v>
      </c>
      <c r="Z139" s="204">
        <f t="shared" si="59"/>
        <v>23.3355</v>
      </c>
      <c r="AA139" s="204">
        <f t="shared" si="43"/>
        <v>23.287800000000001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4"/>
        <v>225</v>
      </c>
      <c r="AE139" s="77" t="str">
        <f t="shared" si="45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139" s="74" t="str">
        <f t="shared" si="46"/>
        <v>"C:\Program Files (x86)\AstroGrep\AstroGrep.exe" /e /r /s /spath="%USERPROFILE%\AppData\Local\Temp\OnboardLogs" /stypes="app*4058*20171020*" /stext=" 02:.+((SYSTEM_STATE.+slice.+state.+changed )|(ment ac)|(multiple cpu faults)|(system.+state.+changed )|(\[timeout)|(PRM\|1\|D)|(kpr)|(kdp)|(train st.+moving)|(\|lc)|(penalty))"</v>
      </c>
      <c r="AG139" s="182" t="str">
        <f t="shared" si="47"/>
        <v>EC</v>
      </c>
      <c r="AH139" s="78" t="str">
        <f t="shared" si="48"/>
        <v>"%USERPROFILE%\Documents\GitHub\eaglep3\Utilities\RefineRTDCRunTimes.py" --tripid 225-19 --locoid 4058 --swversion DE.1.0.9.0 --startMP 204:477 --initTime 2017-10-19T19:51:20 --startdatetime 2017-10-19T20:00:20 --delay 60 --endMP 204:233355 --enddatetime 2017-10-19T20:35:58 --enforcementcount 0 &gt;&gt;%USERPROFILE%\Documents\GitHub\eaglep3-reporting\EC\2017-10-19-refined-times.txt</v>
      </c>
      <c r="AI139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{"issue":{"subject":"","project_id":79,"tracker_id":40,"status_id":1,"priority_id":2,"assigned_to_id":338,"start_date":"2017-10-19","description":"","custom_fields":[{"id":1,"name":"Subdivision","value":"EC"},{"id":4,"name":"Milepost","value":"23.3355"},{"id":17,"name":"Train ID","value":"225-19"},{"id":16,"name":"Locomotive ID","value":"4058"},{"id":130,"name":"Impact","value":""},{"id":150,"name":"Time of Event (Mountain Time)","value":"20:35:58"},{"id":151,"name":"Denver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50"/>
        <v>start /low /b %USERPROFILE%\Documents\GitHub\eaglep3\Utilities\DownloadLogsFromS3.py --loco 4058 --day 2017-10-19</v>
      </c>
      <c r="AN139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2"/>
        <v>https://d0f6bd738d7f1b3e5a7ca70fe4ff75f0.us-east-1.aws.found.io/app/kibana#/discover/Steve-Slow-Train-Analysis-(2080s-and-2083s)?_g=(refreshInterval:(display:Off,pause:!f,section:0,value:0),time:(from:'2017-10-19T18:51:20-0600',mode:absolute,to:'2017-10-19T21:35:58-0600'))&amp;_a=(columns:!('Message%20ID',Summary),filters:!(),index:'emp_*',interval:auto,query:(query_string:(analyze_wildcard:!t,query:'%22rtdc.l.rtdc.4058%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590</v>
      </c>
      <c r="B140" s="7">
        <v>4057</v>
      </c>
      <c r="C140" s="21" t="s">
        <v>194</v>
      </c>
      <c r="D140" s="21" t="s">
        <v>865</v>
      </c>
      <c r="E140" s="13">
        <v>43027.859259259261</v>
      </c>
      <c r="F140" s="13">
        <v>43027.873101851852</v>
      </c>
      <c r="G140" s="7">
        <v>75</v>
      </c>
      <c r="H140" s="21" t="s">
        <v>866</v>
      </c>
      <c r="I140" s="13">
        <v>43027.899270833332</v>
      </c>
      <c r="J140" s="7">
        <v>0</v>
      </c>
      <c r="K140" s="89" t="str">
        <f t="shared" si="36"/>
        <v>4057/4058</v>
      </c>
      <c r="L140" s="185" t="s">
        <v>997</v>
      </c>
      <c r="M140" s="6">
        <f t="shared" si="37"/>
        <v>2.6168981479713693E-2</v>
      </c>
      <c r="N140" s="7">
        <f t="shared" si="61"/>
        <v>37.683333330787718</v>
      </c>
      <c r="O140" s="7"/>
      <c r="P140" s="7"/>
      <c r="Q140" s="22"/>
      <c r="R140" s="174"/>
      <c r="S140" s="221">
        <f t="shared" si="60"/>
        <v>1</v>
      </c>
      <c r="T140" s="174" t="str">
        <f t="shared" si="40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1"/>
        <v>https://d0f6bd738d7f1b3e5a7ca70fe4ff75f0.us-east-1.aws.found.io/app/kibana#/discover/Steve-Slow-Train-Analysis-(2080s-and-2083s)?_g=(refreshInterval:(display:Off,pause:!f,section:0,value:0),time:(from:'2017-10-19T19:37:20-0600',mode:absolute,to:'2017-10-19T22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0" s="204" t="str">
        <f>IF(AA140&lt;VLOOKUP(AG140,Variables!$AC$3:$AD$8,2,FALSE),"Y","N")</f>
        <v>N</v>
      </c>
      <c r="X140" s="204">
        <f t="shared" si="55"/>
        <v>1</v>
      </c>
      <c r="Y140" s="204">
        <f t="shared" si="58"/>
        <v>23.302800000000001</v>
      </c>
      <c r="Z140" s="204">
        <f t="shared" si="59"/>
        <v>1.9199999999999998E-2</v>
      </c>
      <c r="AA140" s="204">
        <f t="shared" si="43"/>
        <v>23.2836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4"/>
        <v>226</v>
      </c>
      <c r="AE140" s="77" t="str">
        <f t="shared" si="45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140" s="74" t="str">
        <f t="shared" si="46"/>
        <v>"C:\Program Files (x86)\AstroGrep\AstroGrep.exe" /e /r /s /spath="%USERPROFILE%\AppData\Local\Temp\OnboardLogs" /stypes="app*4057*20171020*" /stext=" 03:.+((SYSTEM_STATE.+slice.+state.+changed )|(ment ac)|(multiple cpu faults)|(system.+state.+changed )|(\[timeout)|(PRM\|1\|D)|(kpr)|(kdp)|(train st.+moving)|(\|lc)|(penalty))"</v>
      </c>
      <c r="AG140" s="182" t="str">
        <f t="shared" si="47"/>
        <v>EC</v>
      </c>
      <c r="AH140" s="78" t="str">
        <f t="shared" si="48"/>
        <v>"%USERPROFILE%\Documents\GitHub\eaglep3\Utilities\RefineRTDCRunTimes.py" --tripid 226-19 --locoid 4057 --swversion DE.1.0.9.0 --startMP 204:233028 --initTime 2017-10-19T20:37:20 --startdatetime 2017-10-19T20:57:16 --delay 75 --endMP 204:192 --enddatetime 2017-10-19T21:34:57 --enforcementcount 0 &gt;&gt;%USERPROFILE%\Documents\GitHub\eaglep3-reporting\EC\2017-10-19-refined-times.txt</v>
      </c>
      <c r="AI140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{"issue":{"subject":"","project_id":79,"tracker_id":40,"status_id":1,"priority_id":2,"assigned_to_id":338,"start_date":"2017-10-19","description":"","custom_fields":[{"id":1,"name":"Subdivision","value":"EC"},{"id":4,"name":"Milepost","value":"0.0192"},{"id":17,"name":"Train ID","value":"226-19"},{"id":16,"name":"Locomotive ID","value":"4057"},{"id":130,"name":"Impact","value":""},{"id":150,"name":"Time of Event (Mountain Time)","value":"21:34:57"},{"id":151,"name":"Denver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50"/>
        <v>start /low /b %USERPROFILE%\Documents\GitHub\eaglep3\Utilities\DownloadLogsFromS3.py --loco 4057 --day 2017-10-19</v>
      </c>
      <c r="AN140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03:34:57"},{"id":29,"name":"Sharepoint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2"/>
        <v>https://d0f6bd738d7f1b3e5a7ca70fe4ff75f0.us-east-1.aws.found.io/app/kibana#/discover/Steve-Slow-Train-Analysis-(2080s-and-2083s)?_g=(refreshInterval:(display:Off,pause:!f,section:0,value:0),time:(from:'2017-10-19T19:37:20-0600',mode:absolute,to:'2017-10-19T22:34:57-0600'))&amp;_a=(columns:!('Message%20ID',Summary),filters:!(),index:'emp_*',interval:auto,query:(query_string:(analyze_wildcard:!t,query:'%22rtdc.l.rtdc.4057%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787</v>
      </c>
      <c r="B141" s="7">
        <v>4010</v>
      </c>
      <c r="C141" s="21" t="s">
        <v>194</v>
      </c>
      <c r="D141" s="21" t="s">
        <v>865</v>
      </c>
      <c r="E141" s="13">
        <v>43027.859259259261</v>
      </c>
      <c r="F141" s="13">
        <v>43027.85434027778</v>
      </c>
      <c r="G141" s="7">
        <v>75</v>
      </c>
      <c r="H141" s="21" t="s">
        <v>866</v>
      </c>
      <c r="I141" s="13">
        <v>43027.879803240743</v>
      </c>
      <c r="J141" s="7">
        <v>0</v>
      </c>
      <c r="K141" s="89" t="str">
        <f t="shared" ref="K141:K204" si="62">IF(ISEVEN(B141),(B141-1)&amp;"/"&amp;B141,B141&amp;"/"&amp;(B141+1))</f>
        <v>4009/4010</v>
      </c>
      <c r="L141" s="185" t="s">
        <v>998</v>
      </c>
      <c r="M141" s="6">
        <f t="shared" ref="M141:M204" si="63">I141-F141</f>
        <v>2.5462962963501923E-2</v>
      </c>
      <c r="N141" s="7">
        <f t="shared" si="61"/>
        <v>36.666666667442769</v>
      </c>
      <c r="O141" s="7"/>
      <c r="P141" s="7"/>
      <c r="Q141" s="22"/>
      <c r="R141" s="174"/>
      <c r="S141" s="221">
        <f t="shared" si="60"/>
        <v>1</v>
      </c>
      <c r="T141" s="174" t="str">
        <f t="shared" ref="T141:T204" si="64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-19T19:37:20-0600',mode:absolute,to:'2017-10-19T22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1" s="204" t="str">
        <f>IF(AA141&lt;VLOOKUP(AG141,Variables!$AC$3:$AD$8,2,FALSE),"Y","N")</f>
        <v>N</v>
      </c>
      <c r="X141" s="204">
        <f t="shared" ref="X141:X143" si="66">VALUE(LEFT(AD141,4))-VALUE(LEFT(AD140,4))</f>
        <v>1</v>
      </c>
      <c r="Y141" s="204">
        <v>4.7699999999999999E-2</v>
      </c>
      <c r="Z141" s="204">
        <v>23.3355</v>
      </c>
      <c r="AA141" s="204">
        <f t="shared" ref="AA141:AA204" si="67">ABS(Z141-Y141)</f>
        <v>23.287800000000001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8">VALUE(LEFT(A141,LEN(A141)-3))</f>
        <v>227</v>
      </c>
      <c r="AE141" s="77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s3://rtdc.mdm.uploadarchive.raw/RTDC4010/ "%USERPROFILE%\AppData\Local\Temp\OnboardLogs"\RTDC4010\2017-10-19 --exclude "*" --recursive --include "*20171019*" &amp; "%USERPROFILE%\Documents\GitHub\mrs-test-scripts\Headless Mode &amp; Sideloading\WalkAndUnGZ.bat" "%USERPROFILE%\AppData\Local\Temp\OnboardLogs"\RTDC4010\2017-10-19 &amp; aws s3 cp s3://rtdc.mdm.uploadarchive.raw/RTDC4010/ "%USERPROFILE%\AppData\Local\Temp\OnboardLogs"\RTDC4010\2017-10-20 --exclude "*" --recursive --include "*20171020*" &amp; "%USERPROFILE%\Documents\GitHub\mrs-test-scripts\Headless Mode &amp; Sideloading\WalkAndUnGZ.bat" "%USERPROFILE%\AppData\Local\Temp\OnboardLogs"\RTDC4010\2017-10-20</v>
      </c>
      <c r="AF141" s="7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/stypes="app*4010*20171020*"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71">DetSubdiv(A141)</f>
        <v>EC</v>
      </c>
      <c r="AH141" s="78" t="str">
        <f t="shared" ref="AH141" si="7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227-19 --locoid 4010 --swversion DE.1.0.9.0 --startMP 204:233028 --initTime 2017-10-19T20:37:20 --startdatetime 2017-10-19T20:30:15 --delay 75 --endMP 204:192 --enddatetime 2017-10-19T21:06:55 --enforcementcount 0 &gt;&gt;%USERPROFILE%\Documents\GitHub\eaglep3-reporting\EC\2017-10-19-refined-times.txt</v>
      </c>
      <c r="AI141" s="96" t="str">
        <f t="shared" ref="AI141" si="7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{"issue":{"subject":"","project_id":79,"tracker_id":40,"status_id":1,"priority_id":2,"assigned_to_id":338,"start_date":"2017-10-19","description":"","custom_fields":[{"id":1,"name":"Subdivision","value":"EC"},{"id":4,"name":"Milepost","value":"23.3355"},{"id":17,"name":"Train ID","value":"227-19"},{"id":16,"name":"Locomotive ID","value":"4010"},{"id":130,"name":"Impact","value":""},{"id":150,"name":"Time of Event (Mountain Time)","value":"21:06:55"},{"id":151,"name":"Denver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" si="74">"start /low /b "&amp;dls3logs&amp;" --loco "&amp;B141&amp;" --day "&amp;TEXT(F141,"YYYY-MM-DD")</f>
        <v>start /low /b %USERPROFILE%\Documents\GitHub\eaglep3\Utilities\DownloadLogsFromS3.py --loco 4010 --day 2017-10-19</v>
      </c>
      <c r="AN141" s="151" t="str">
        <f t="shared" ref="AN141" si="75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03:06:55"},{"id":29,"name":"Sharepoint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" si="7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-19T19:37:20-0600',mode:absolute,to:'2017-10-19T22:06:55-0600'))&amp;_a=(columns:!('Message%20ID',Summary),filters:!(),index:'emp_*',interval:auto,query:(query_string:(analyze_wildcard:!t,query:'%22rtdc.l.rtdc.4010%22')),sort:!(Time.ISO8601,asc))</v>
      </c>
    </row>
    <row r="142" spans="1:91" s="20" customFormat="1" x14ac:dyDescent="0.25">
      <c r="A142" s="32" t="s">
        <v>794</v>
      </c>
      <c r="B142" s="7">
        <v>4009</v>
      </c>
      <c r="C142" s="21" t="s">
        <v>194</v>
      </c>
      <c r="D142" s="21" t="s">
        <v>867</v>
      </c>
      <c r="E142" s="13">
        <v>43027.888067129628</v>
      </c>
      <c r="F142" s="13">
        <v>43027.893900462965</v>
      </c>
      <c r="G142" s="7">
        <v>57</v>
      </c>
      <c r="H142" s="21" t="s">
        <v>868</v>
      </c>
      <c r="I142" s="13">
        <v>43027.919456018521</v>
      </c>
      <c r="J142" s="7">
        <v>0</v>
      </c>
      <c r="K142" s="89" t="str">
        <f t="shared" si="62"/>
        <v>4009/4010</v>
      </c>
      <c r="L142" s="185" t="s">
        <v>998</v>
      </c>
      <c r="M142" s="6">
        <f t="shared" si="63"/>
        <v>2.5555555555911269E-2</v>
      </c>
      <c r="N142" s="7">
        <f t="shared" si="61"/>
        <v>36.800000000512227</v>
      </c>
      <c r="O142" s="7"/>
      <c r="P142" s="7"/>
      <c r="Q142" s="22"/>
      <c r="R142" s="174"/>
      <c r="S142" s="221">
        <f t="shared" si="60"/>
        <v>1</v>
      </c>
      <c r="T142" s="174" t="str">
        <f t="shared" si="64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5"/>
        <v>https://d0f6bd738d7f1b3e5a7ca70fe4ff75f0.us-east-1.aws.found.io/app/kibana#/discover/Steve-Slow-Train-Analysis-(2080s-and-2083s)?_g=(refreshInterval:(display:Off,pause:!f,section:0,value:0),time:(from:'2017-10-19T20:18:49-0600',mode:absolute,to:'2017-10-19T23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2" s="204" t="str">
        <f>IF(AA142&lt;VLOOKUP(AG142,Variables!$AC$3:$AD$8,2,FALSE),"Y","N")</f>
        <v>N</v>
      </c>
      <c r="X142" s="204">
        <f t="shared" si="66"/>
        <v>1</v>
      </c>
      <c r="Y142" s="204">
        <f t="shared" ref="Y142:Y157" si="77">RIGHT(D142,LEN(D142)-4)/10000</f>
        <v>23.3063</v>
      </c>
      <c r="Z142" s="204">
        <f t="shared" ref="Z142:Z157" si="78">RIGHT(H142,LEN(H142)-4)/10000</f>
        <v>0.1812</v>
      </c>
      <c r="AA142" s="204">
        <f t="shared" si="67"/>
        <v>23.1251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8"/>
        <v>228</v>
      </c>
      <c r="AE142" s="77" t="str">
        <f t="shared" si="69"/>
        <v>aws s3 cp s3://rtdc.mdm.uploadarchive.raw/RTDC4009/ "%USERPROFILE%\AppData\Local\Temp\OnboardLogs"\RTDC4009\2017-10-19 --exclude "*" --recursive --include "*20171019*" &amp; "%USERPROFILE%\Documents\GitHub\mrs-test-scripts\Headless Mode &amp; Sideloading\WalkAndUnGZ.bat" "%USERPROFILE%\AppData\Local\Temp\OnboardLogs"\RTDC4009\2017-10-19 &amp; aws s3 cp s3://rtdc.mdm.uploadarchive.raw/RTDC4009/ "%USERPROFILE%\AppData\Local\Temp\OnboardLogs"\RTDC4009\2017-10-20 --exclude "*" --recursive --include "*20171020*" &amp; "%USERPROFILE%\Documents\GitHub\mrs-test-scripts\Headless Mode &amp; Sideloading\WalkAndUnGZ.bat" "%USERPROFILE%\AppData\Local\Temp\OnboardLogs"\RTDC4009\2017-10-20</v>
      </c>
      <c r="AF142" s="74" t="str">
        <f t="shared" si="70"/>
        <v>"C:\Program Files (x86)\AstroGrep\AstroGrep.exe" /e /r /s /spath="%USERPROFILE%\AppData\Local\Temp\OnboardLogs" /stypes="app*4009*20171020*" /stext=" 04:.+((SYSTEM_STATE.+slice.+state.+changed )|(ment ac)|(multiple cpu faults)|(system.+state.+changed )|(\[timeout)|(PRM\|1\|D)|(kpr)|(kdp)|(train st.+moving)|(\|lc)|(penalty))"</v>
      </c>
      <c r="AG142" s="182" t="str">
        <f t="shared" si="71"/>
        <v>EC</v>
      </c>
      <c r="AH142" s="78" t="str">
        <f t="shared" si="48"/>
        <v>"%USERPROFILE%\Documents\GitHub\eaglep3\Utilities\RefineRTDCRunTimes.py" --tripid 228-19 --locoid 4009 --swversion DE.1.0.9.0 --startMP 204:233063 --initTime 2017-10-19T21:18:49 --startdatetime 2017-10-19T21:27:13 --delay 57 --endMP 204:1812 --enddatetime 2017-10-19T22:04:01 --enforcementcount 0 &gt;&gt;%USERPROFILE%\Documents\GitHub\eaglep3-reporting\EC\2017-10-19-refined-times.txt</v>
      </c>
      <c r="AI142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{"issue":{"subject":"","project_id":79,"tracker_id":40,"status_id":1,"priority_id":2,"assigned_to_id":338,"start_date":"2017-10-19","description":"","custom_fields":[{"id":1,"name":"Subdivision","value":"EC"},{"id":4,"name":"Milepost","value":"0.1812"},{"id":17,"name":"Train ID","value":"228-19"},{"id":16,"name":"Locomotive ID","value":"4009"},{"id":130,"name":"Impact","value":""},{"id":150,"name":"Time of Event (Mountain Time)","value":"22:04:01"},{"id":151,"name":"Denver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50"/>
        <v>start /low /b %USERPROFILE%\Documents\GitHub\eaglep3\Utilities\DownloadLogsFromS3.py --loco 4009 --day 2017-10-19</v>
      </c>
      <c r="AN142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04:04:01"},{"id":29,"name":"Sharepoint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2"/>
        <v>https://d0f6bd738d7f1b3e5a7ca70fe4ff75f0.us-east-1.aws.found.io/app/kibana#/discover/Steve-Slow-Train-Analysis-(2080s-and-2083s)?_g=(refreshInterval:(display:Off,pause:!f,section:0,value:0),time:(from:'2017-10-19T20:18:49-0600',mode:absolute,to:'2017-10-19T23:04:01-0600'))&amp;_a=(columns:!('Message%20ID',Summary),filters:!(),index:'emp_*',interval:auto,query:(query_string:(analyze_wildcard:!t,query:'%22rtdc.l.rtdc.4009%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789</v>
      </c>
      <c r="B143" s="7">
        <v>4008</v>
      </c>
      <c r="C143" s="21" t="s">
        <v>194</v>
      </c>
      <c r="D143" s="21" t="s">
        <v>372</v>
      </c>
      <c r="E143" s="13">
        <v>43027.871122685188</v>
      </c>
      <c r="F143" s="13">
        <v>43027.8752662037</v>
      </c>
      <c r="G143" s="7">
        <v>84</v>
      </c>
      <c r="H143" s="21" t="s">
        <v>425</v>
      </c>
      <c r="I143" s="13">
        <v>43027.900462962964</v>
      </c>
      <c r="J143" s="7">
        <v>0</v>
      </c>
      <c r="K143" s="89" t="str">
        <f t="shared" si="62"/>
        <v>4007/4008</v>
      </c>
      <c r="L143" s="185" t="s">
        <v>558</v>
      </c>
      <c r="M143" s="6">
        <f t="shared" si="63"/>
        <v>2.5196759263053536E-2</v>
      </c>
      <c r="N143" s="7">
        <f t="shared" si="61"/>
        <v>36.283333338797092</v>
      </c>
      <c r="O143" s="7"/>
      <c r="P143" s="7"/>
      <c r="Q143" s="22"/>
      <c r="R143" s="174"/>
      <c r="S143" s="221">
        <f t="shared" si="60"/>
        <v>1</v>
      </c>
      <c r="T143" s="174" t="str">
        <f t="shared" si="64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5"/>
        <v>https://d0f6bd738d7f1b3e5a7ca70fe4ff75f0.us-east-1.aws.found.io/app/kibana#/discover/Steve-Slow-Train-Analysis-(2080s-and-2083s)?_g=(refreshInterval:(display:Off,pause:!f,section:0,value:0),time:(from:'2017-10-19T19:54:25-0600',mode:absolute,to:'2017-10-19T22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204" t="str">
        <f>IF(AA143&lt;VLOOKUP(AG143,Variables!$AC$3:$AD$8,2,FALSE),"Y","N")</f>
        <v>N</v>
      </c>
      <c r="X143" s="204">
        <f t="shared" si="66"/>
        <v>1</v>
      </c>
      <c r="Y143" s="204">
        <f t="shared" si="77"/>
        <v>4.4699999999999997E-2</v>
      </c>
      <c r="Z143" s="204">
        <f t="shared" si="78"/>
        <v>23.333200000000001</v>
      </c>
      <c r="AA143" s="204">
        <f t="shared" si="67"/>
        <v>23.288500000000003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8"/>
        <v>229</v>
      </c>
      <c r="AE143" s="77" t="str">
        <f t="shared" si="69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143" s="74" t="str">
        <f t="shared" si="70"/>
        <v>"C:\Program Files (x86)\AstroGrep\AstroGrep.exe" /e /r /s /spath="%USERPROFILE%\AppData\Local\Temp\OnboardLogs" /stypes="app*4008*20171020*" /stext=" 03:.+((SYSTEM_STATE.+slice.+state.+changed )|(ment ac)|(multiple cpu faults)|(system.+state.+changed )|(\[timeout)|(PRM\|1\|D)|(kpr)|(kdp)|(train st.+moving)|(\|lc)|(penalty))"</v>
      </c>
      <c r="AG143" s="182" t="str">
        <f t="shared" si="71"/>
        <v>EC</v>
      </c>
      <c r="AH143" s="78" t="str">
        <f t="shared" si="48"/>
        <v>"%USERPROFILE%\Documents\GitHub\eaglep3\Utilities\RefineRTDCRunTimes.py" --tripid 229-19 --locoid 4008 --swversion DE.1.0.9.0 --startMP 204:447 --initTime 2017-10-19T20:54:25 --startdatetime 2017-10-19T21:00:23 --delay 84 --endMP 204:233332 --enddatetime 2017-10-19T21:36:40 --enforcementcount 0 &gt;&gt;%USERPROFILE%\Documents\GitHub\eaglep3-reporting\EC\2017-10-19-refined-times.txt</v>
      </c>
      <c r="AI143" s="96" t="str">
        <f t="shared" si="49"/>
        <v>echo {"issue":{"subject":"","project_id":79,"tracker_id":40,"status_id":1,"priority_id":2,"assigned_to_id":338,"start_date":"2017-10-19","description":"","custom_fields":[{"id":1,"name":"Subdivision","value":"EC"},{"id":4,"name":"Milepost","value":"23.3332"},{"id":17,"name":"Train ID","value":"229-19"},{"id":16,"name":"Locomotive ID","value":"4008"},{"id":130,"name":"Impact","value":""},{"id":150,"name":"Time of Event (Mountain Time)","value":"21:36:40"},{"id":151,"name":"Denver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50"/>
        <v>start /low /b %USERPROFILE%\Documents\GitHub\eaglep3\Utilities\DownloadLogsFromS3.py --loco 4008 --day 2017-10-19</v>
      </c>
      <c r="AN143" s="151" t="str">
        <f t="shared" si="51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52"/>
        <v>https://d0f6bd738d7f1b3e5a7ca70fe4ff75f0.us-east-1.aws.found.io/app/kibana#/discover/Steve-Slow-Train-Analysis-(2080s-and-2083s)?_g=(refreshInterval:(display:Off,pause:!f,section:0,value:0),time:(from:'2017-10-19T19:54:25-0600',mode:absolute,to:'2017-10-19T22:36:40-0600'))&amp;_a=(columns:!('Message%20ID',Summary),filters:!(),index:'emp_*',interval:auto,query:(query_string:(analyze_wildcard:!t,query:'%22rtdc.l.rtdc.4008%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797</v>
      </c>
      <c r="B144" s="7">
        <v>4007</v>
      </c>
      <c r="C144" s="21" t="s">
        <v>194</v>
      </c>
      <c r="D144" s="21" t="s">
        <v>476</v>
      </c>
      <c r="E144" s="13">
        <v>43027.91138888889</v>
      </c>
      <c r="F144" s="13">
        <v>43027.914803240739</v>
      </c>
      <c r="G144" s="7">
        <v>79</v>
      </c>
      <c r="H144" s="21" t="s">
        <v>339</v>
      </c>
      <c r="I144" s="13">
        <v>43027.941631944443</v>
      </c>
      <c r="J144" s="7">
        <v>0</v>
      </c>
      <c r="K144" s="89" t="str">
        <f t="shared" si="62"/>
        <v>4007/4008</v>
      </c>
      <c r="L144" s="185" t="s">
        <v>558</v>
      </c>
      <c r="M144" s="6">
        <f t="shared" si="63"/>
        <v>2.6828703703358769E-2</v>
      </c>
      <c r="N144" s="7">
        <f t="shared" si="61"/>
        <v>38.633333332836628</v>
      </c>
      <c r="O144" s="7"/>
      <c r="P144" s="7"/>
      <c r="Q144" s="22"/>
      <c r="R144" s="174"/>
      <c r="S144" s="221">
        <f t="shared" si="60"/>
        <v>1</v>
      </c>
      <c r="T144" s="174" t="str">
        <f t="shared" si="64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5"/>
        <v>https://d0f6bd738d7f1b3e5a7ca70fe4ff75f0.us-east-1.aws.found.io/app/kibana#/discover/Steve-Slow-Train-Analysis-(2080s-and-2083s)?_g=(refreshInterval:(display:Off,pause:!f,section:0,value:0),time:(from:'2017-10-19T20:52:24-0600',mode:absolute,to:'2017-10-19T23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204" t="str">
        <f>IF(AA144&lt;VLOOKUP(AG144,Variables!$AC$3:$AD$8,2,FALSE),"Y","N")</f>
        <v>N</v>
      </c>
      <c r="X144" s="204">
        <f t="shared" ref="X144:X158" si="79">VALUE(LEFT(AD144,4))-VALUE(LEFT(AD143,4))</f>
        <v>1</v>
      </c>
      <c r="Y144" s="204">
        <f t="shared" si="77"/>
        <v>23.2988</v>
      </c>
      <c r="Z144" s="204">
        <f t="shared" si="78"/>
        <v>1.47E-2</v>
      </c>
      <c r="AA144" s="204">
        <f t="shared" si="67"/>
        <v>23.284099999999999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8"/>
        <v>230</v>
      </c>
      <c r="AE144" s="77" t="str">
        <f t="shared" si="69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144" s="74" t="str">
        <f t="shared" si="70"/>
        <v>"C:\Program Files (x86)\AstroGrep\AstroGrep.exe" /e /r /s /spath="%USERPROFILE%\AppData\Local\Temp\OnboardLogs" /stypes="app*4007*20171020*" /stext=" 04:.+((SYSTEM_STATE.+slice.+state.+changed )|(ment ac)|(multiple cpu faults)|(system.+state.+changed )|(\[timeout)|(PRM\|1\|D)|(kpr)|(kdp)|(train st.+moving)|(\|lc)|(penalty))"</v>
      </c>
      <c r="AG144" s="182" t="str">
        <f t="shared" si="71"/>
        <v>EC</v>
      </c>
      <c r="AH144" s="78" t="str">
        <f t="shared" ref="AH144:AH212" si="80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230-19 --locoid 4007 --swversion DE.1.0.9.0 --startMP 204:232988 --initTime 2017-10-19T21:52:24 --startdatetime 2017-10-19T21:57:19 --delay 79 --endMP 204:147 --enddatetime 2017-10-19T22:35:57 --enforcementcount 0 &gt;&gt;%USERPROFILE%\Documents\GitHub\eaglep3-reporting\EC\2017-10-19-refined-times.txt</v>
      </c>
      <c r="AI144" s="96" t="str">
        <f t="shared" ref="AI144:AI212" si="81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{"issue":{"subject":"","project_id":79,"tracker_id":40,"status_id":1,"priority_id":2,"assigned_to_id":338,"start_date":"2017-10-19","description":"","custom_fields":[{"id":1,"name":"Subdivision","value":"EC"},{"id":4,"name":"Milepost","value":"0.0147"},{"id":17,"name":"Train ID","value":"230-19"},{"id":16,"name":"Locomotive ID","value":"4007"},{"id":130,"name":"Impact","value":""},{"id":150,"name":"Time of Event (Mountain Time)","value":"22:35:57"},{"id":151,"name":"Denver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:AM212" si="82">"start /low /b "&amp;dls3logs&amp;" --loco "&amp;B144&amp;" --day "&amp;TEXT(F144,"YYYY-MM-DD")</f>
        <v>start /low /b %USERPROFILE%\Documents\GitHub\eaglep3\Utilities\DownloadLogsFromS3.py --loco 4007 --day 2017-10-19</v>
      </c>
      <c r="AN144" s="151" t="str">
        <f t="shared" ref="AN144:AN212" si="83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2" si="84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-19T20:52:24-0600',mode:absolute,to:'2017-10-19T23:35:57-0600'))&amp;_a=(columns:!('Message%20ID',Summary),filters:!(),index:'emp_*',interval:auto,query:(query_string:(analyze_wildcard:!t,query:'%22rtdc.l.rtdc.4007%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793</v>
      </c>
      <c r="B145" s="7">
        <v>4006</v>
      </c>
      <c r="C145" s="21" t="s">
        <v>194</v>
      </c>
      <c r="D145" s="21" t="s">
        <v>824</v>
      </c>
      <c r="E145" s="13">
        <v>43027.883946759262</v>
      </c>
      <c r="F145" s="13">
        <v>43027.896226851852</v>
      </c>
      <c r="G145" s="7">
        <v>435</v>
      </c>
      <c r="H145" s="21" t="s">
        <v>452</v>
      </c>
      <c r="I145" s="13">
        <v>43027.922013888892</v>
      </c>
      <c r="J145" s="7">
        <v>0</v>
      </c>
      <c r="K145" s="89" t="str">
        <f t="shared" si="62"/>
        <v>4005/4006</v>
      </c>
      <c r="L145" s="185" t="s">
        <v>999</v>
      </c>
      <c r="M145" s="6">
        <f t="shared" si="63"/>
        <v>2.5787037040572613E-2</v>
      </c>
      <c r="N145" s="7">
        <f t="shared" si="61"/>
        <v>37.133333338424563</v>
      </c>
      <c r="O145" s="7"/>
      <c r="P145" s="7"/>
      <c r="Q145" s="22"/>
      <c r="R145" s="174"/>
      <c r="S145" s="221">
        <f t="shared" si="60"/>
        <v>1</v>
      </c>
      <c r="T145" s="174" t="str">
        <f t="shared" si="64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5"/>
        <v>https://d0f6bd738d7f1b3e5a7ca70fe4ff75f0.us-east-1.aws.found.io/app/kibana#/discover/Steve-Slow-Train-Analysis-(2080s-and-2083s)?_g=(refreshInterval:(display:Off,pause:!f,section:0,value:0),time:(from:'2017-10-19T20:12:53-0600',mode:absolute,to:'2017-10-19T23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5" s="204" t="str">
        <f>IF(AA145&lt;VLOOKUP(AG145,Variables!$AC$3:$AD$8,2,FALSE),"Y","N")</f>
        <v>N</v>
      </c>
      <c r="X145" s="204">
        <f t="shared" si="79"/>
        <v>1</v>
      </c>
      <c r="Y145" s="204">
        <f t="shared" si="77"/>
        <v>4.4900000000000002E-2</v>
      </c>
      <c r="Z145" s="204">
        <f t="shared" si="78"/>
        <v>23.331099999999999</v>
      </c>
      <c r="AA145" s="204">
        <f t="shared" si="67"/>
        <v>23.286200000000001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8"/>
        <v>231</v>
      </c>
      <c r="AE145" s="77" t="str">
        <f t="shared" si="69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145" s="74" t="str">
        <f t="shared" si="70"/>
        <v>"C:\Program Files (x86)\AstroGrep\AstroGrep.exe" /e /r /s /spath="%USERPROFILE%\AppData\Local\Temp\OnboardLogs" /stypes="app*4006*20171020*" /stext=" 04:.+((SYSTEM_STATE.+slice.+state.+changed )|(ment ac)|(multiple cpu faults)|(system.+state.+changed )|(\[timeout)|(PRM\|1\|D)|(kpr)|(kdp)|(train st.+moving)|(\|lc)|(penalty))"</v>
      </c>
      <c r="AG145" s="182" t="str">
        <f t="shared" si="71"/>
        <v>EC</v>
      </c>
      <c r="AH145" s="78" t="str">
        <f t="shared" si="80"/>
        <v>"%USERPROFILE%\Documents\GitHub\eaglep3\Utilities\RefineRTDCRunTimes.py" --tripid 231-19 --locoid 4006 --swversion DE.1.0.9.0 --startMP 204:449 --initTime 2017-10-19T21:12:53 --startdatetime 2017-10-19T21:30:34 --delay 435 --endMP 204:233311 --enddatetime 2017-10-19T22:07:42 --enforcementcount 0 &gt;&gt;%USERPROFILE%\Documents\GitHub\eaglep3-reporting\EC\2017-10-19-refined-times.txt</v>
      </c>
      <c r="AI145" s="96" t="str">
        <f t="shared" si="81"/>
        <v>echo {"issue":{"subject":"","project_id":79,"tracker_id":40,"status_id":1,"priority_id":2,"assigned_to_id":338,"start_date":"2017-10-19","description":"","custom_fields":[{"id":1,"name":"Subdivision","value":"EC"},{"id":4,"name":"Milepost","value":"23.3311"},{"id":17,"name":"Train ID","value":"231-19"},{"id":16,"name":"Locomotive ID","value":"4006"},{"id":130,"name":"Impact","value":""},{"id":150,"name":"Time of Event (Mountain Time)","value":"22:07:42"},{"id":151,"name":"Denver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82"/>
        <v>start /low /b %USERPROFILE%\Documents\GitHub\eaglep3\Utilities\DownloadLogsFromS3.py --loco 4006 --day 2017-10-19</v>
      </c>
      <c r="AN145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04:07:42"},{"id":29,"name":"Sharepoint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84"/>
        <v>https://d0f6bd738d7f1b3e5a7ca70fe4ff75f0.us-east-1.aws.found.io/app/kibana#/discover/Steve-Slow-Train-Analysis-(2080s-and-2083s)?_g=(refreshInterval:(display:Off,pause:!f,section:0,value:0),time:(from:'2017-10-19T20:12:53-0600',mode:absolute,to:'2017-10-19T23:07:42-0600'))&amp;_a=(columns:!('Message%20ID',Summary),filters:!(),index:'emp_*',interval:auto,query:(query_string:(analyze_wildcard:!t,query:'%22rtdc.l.rtdc.4006%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799</v>
      </c>
      <c r="B146" s="7">
        <v>4005</v>
      </c>
      <c r="C146" s="21" t="s">
        <v>194</v>
      </c>
      <c r="D146" s="21" t="s">
        <v>827</v>
      </c>
      <c r="E146" s="13">
        <v>43027.925717592596</v>
      </c>
      <c r="F146" s="13">
        <v>43027.936319444445</v>
      </c>
      <c r="G146" s="7">
        <v>119</v>
      </c>
      <c r="H146" s="21" t="s">
        <v>390</v>
      </c>
      <c r="I146" s="13">
        <v>43027.963333333333</v>
      </c>
      <c r="J146" s="7">
        <v>0</v>
      </c>
      <c r="K146" s="89" t="str">
        <f t="shared" si="62"/>
        <v>4005/4006</v>
      </c>
      <c r="L146" s="185" t="s">
        <v>999</v>
      </c>
      <c r="M146" s="6">
        <f t="shared" si="63"/>
        <v>2.7013888888177462E-2</v>
      </c>
      <c r="N146" s="7">
        <f t="shared" si="61"/>
        <v>38.899999998975545</v>
      </c>
      <c r="O146" s="7"/>
      <c r="P146" s="7"/>
      <c r="Q146" s="22"/>
      <c r="R146" s="174"/>
      <c r="S146" s="221">
        <f t="shared" si="60"/>
        <v>1</v>
      </c>
      <c r="T146" s="174" t="str">
        <f t="shared" si="64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5"/>
        <v>https://d0f6bd738d7f1b3e5a7ca70fe4ff75f0.us-east-1.aws.found.io/app/kibana#/discover/Steve-Slow-Train-Analysis-(2080s-and-2083s)?_g=(refreshInterval:(display:Off,pause:!f,section:0,value:0),time:(from:'2017-10-19T21:13:02-0600',mode:absolute,to:'2017-10-20T00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204" t="str">
        <f>IF(AA146&lt;VLOOKUP(AG146,Variables!$AC$3:$AD$8,2,FALSE),"Y","N")</f>
        <v>N</v>
      </c>
      <c r="X146" s="204">
        <f t="shared" si="79"/>
        <v>1</v>
      </c>
      <c r="Y146" s="204">
        <f t="shared" si="77"/>
        <v>23.297799999999999</v>
      </c>
      <c r="Z146" s="204">
        <f t="shared" si="78"/>
        <v>1.6E-2</v>
      </c>
      <c r="AA146" s="204">
        <f t="shared" si="67"/>
        <v>23.2818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8"/>
        <v>232</v>
      </c>
      <c r="AE146" s="77" t="str">
        <f t="shared" si="69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146" s="74" t="str">
        <f t="shared" si="70"/>
        <v>"C:\Program Files (x86)\AstroGrep\AstroGrep.exe" /e /r /s /spath="%USERPROFILE%\AppData\Local\Temp\OnboardLogs" /stypes="app*4005*20171020*" /stext=" 05:.+((SYSTEM_STATE.+slice.+state.+changed )|(ment ac)|(multiple cpu faults)|(system.+state.+changed )|(\[timeout)|(PRM\|1\|D)|(kpr)|(kdp)|(train st.+moving)|(\|lc)|(penalty))"</v>
      </c>
      <c r="AG146" s="182" t="str">
        <f t="shared" si="71"/>
        <v>EC</v>
      </c>
      <c r="AH146" s="78" t="str">
        <f t="shared" si="80"/>
        <v>"%USERPROFILE%\Documents\GitHub\eaglep3\Utilities\RefineRTDCRunTimes.py" --tripid 232-19 --locoid 4005 --swversion DE.1.0.9.0 --startMP 204:232978 --initTime 2017-10-19T22:13:02 --startdatetime 2017-10-19T22:28:18 --delay 119 --endMP 204:160 --enddatetime 2017-10-19T23:07:12 --enforcementcount 0 &gt;&gt;%USERPROFILE%\Documents\GitHub\eaglep3-reporting\EC\2017-10-19-refined-times.txt</v>
      </c>
      <c r="AI146" s="96" t="str">
        <f t="shared" si="81"/>
        <v>echo {"issue":{"subject":"","project_id":79,"tracker_id":40,"status_id":1,"priority_id":2,"assigned_to_id":338,"start_date":"2017-10-19","description":"","custom_fields":[{"id":1,"name":"Subdivision","value":"EC"},{"id":4,"name":"Milepost","value":"0.016"},{"id":17,"name":"Train ID","value":"232-19"},{"id":16,"name":"Locomotive ID","value":"4005"},{"id":130,"name":"Impact","value":""},{"id":150,"name":"Time of Event (Mountain Time)","value":"23:07:12"},{"id":151,"name":"Denver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82"/>
        <v>start /low /b %USERPROFILE%\Documents\GitHub\eaglep3\Utilities\DownloadLogsFromS3.py --loco 4005 --day 2017-10-19</v>
      </c>
      <c r="AN146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05:07:12"},{"id":29,"name":"Sharepoint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84"/>
        <v>https://d0f6bd738d7f1b3e5a7ca70fe4ff75f0.us-east-1.aws.found.io/app/kibana#/discover/Steve-Slow-Train-Analysis-(2080s-and-2083s)?_g=(refreshInterval:(display:Off,pause:!f,section:0,value:0),time:(from:'2017-10-19T21:13:02-0600',mode:absolute,to:'2017-10-20T00:07:12-0600'))&amp;_a=(columns:!('Message%20ID',Summary),filters:!(),index:'emp_*',interval:auto,query:(query_string:(analyze_wildcard:!t,query:'%22rtdc.l.rtdc.4005%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796</v>
      </c>
      <c r="B147" s="7">
        <v>4058</v>
      </c>
      <c r="C147" s="21" t="s">
        <v>194</v>
      </c>
      <c r="D147" s="21" t="s">
        <v>869</v>
      </c>
      <c r="E147" s="13">
        <v>43027.900312500002</v>
      </c>
      <c r="F147" s="13">
        <v>43027.916817129626</v>
      </c>
      <c r="G147" s="7">
        <v>47</v>
      </c>
      <c r="H147" s="21" t="s">
        <v>870</v>
      </c>
      <c r="I147" s="13">
        <v>43027.94091435185</v>
      </c>
      <c r="J147" s="7">
        <v>0</v>
      </c>
      <c r="K147" s="89" t="str">
        <f t="shared" si="62"/>
        <v>4057/4058</v>
      </c>
      <c r="L147" s="185" t="s">
        <v>997</v>
      </c>
      <c r="M147" s="6">
        <f t="shared" si="63"/>
        <v>2.4097222223645076E-2</v>
      </c>
      <c r="N147" s="7">
        <f t="shared" si="61"/>
        <v>34.70000000204891</v>
      </c>
      <c r="O147" s="7"/>
      <c r="P147" s="7"/>
      <c r="Q147" s="22"/>
      <c r="R147" s="174"/>
      <c r="S147" s="221">
        <f t="shared" si="60"/>
        <v>1</v>
      </c>
      <c r="T147" s="174" t="str">
        <f t="shared" si="64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5"/>
        <v>https://d0f6bd738d7f1b3e5a7ca70fe4ff75f0.us-east-1.aws.found.io/app/kibana#/discover/Steve-Slow-Train-Analysis-(2080s-and-2083s)?_g=(refreshInterval:(display:Off,pause:!f,section:0,value:0),time:(from:'2017-10-19T20:36:27-0600',mode:absolute,to:'2017-10-19T23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7" s="204" t="str">
        <f>IF(AA147&lt;VLOOKUP(AG147,Variables!$AC$3:$AD$8,2,FALSE),"Y","N")</f>
        <v>N</v>
      </c>
      <c r="X147" s="204">
        <f t="shared" si="79"/>
        <v>1</v>
      </c>
      <c r="Y147" s="204">
        <f t="shared" si="77"/>
        <v>4.9799999999999997E-2</v>
      </c>
      <c r="Z147" s="204">
        <f t="shared" si="78"/>
        <v>23.334900000000001</v>
      </c>
      <c r="AA147" s="204">
        <f t="shared" si="67"/>
        <v>23.2851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8"/>
        <v>233</v>
      </c>
      <c r="AE147" s="77" t="str">
        <f t="shared" si="69"/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AF147" s="74" t="str">
        <f t="shared" si="70"/>
        <v>"C:\Program Files (x86)\AstroGrep\AstroGrep.exe" /e /r /s /spath="%USERPROFILE%\AppData\Local\Temp\OnboardLogs" /stypes="app*4058*20171020*" /stext=" 04:.+((SYSTEM_STATE.+slice.+state.+changed )|(ment ac)|(multiple cpu faults)|(system.+state.+changed )|(\[timeout)|(PRM\|1\|D)|(kpr)|(kdp)|(train st.+moving)|(\|lc)|(penalty))"</v>
      </c>
      <c r="AG147" s="182" t="str">
        <f t="shared" si="71"/>
        <v>EC</v>
      </c>
      <c r="AH147" s="78" t="str">
        <f t="shared" si="80"/>
        <v>"%USERPROFILE%\Documents\GitHub\eaglep3\Utilities\RefineRTDCRunTimes.py" --tripid 233-19 --locoid 4058 --swversion DE.1.0.9.0 --startMP 204:498 --initTime 2017-10-19T21:36:27 --startdatetime 2017-10-19T22:00:13 --delay 47 --endMP 204:233349 --enddatetime 2017-10-19T22:34:55 --enforcementcount 0 &gt;&gt;%USERPROFILE%\Documents\GitHub\eaglep3-reporting\EC\2017-10-19-refined-times.txt</v>
      </c>
      <c r="AI147" s="96" t="str">
        <f t="shared" si="81"/>
        <v>echo {"issue":{"subject":"","project_id":79,"tracker_id":40,"status_id":1,"priority_id":2,"assigned_to_id":338,"start_date":"2017-10-19","description":"","custom_fields":[{"id":1,"name":"Subdivision","value":"EC"},{"id":4,"name":"Milepost","value":"23.3349"},{"id":17,"name":"Train ID","value":"233-19"},{"id":16,"name":"Locomotive ID","value":"4058"},{"id":130,"name":"Impact","value":""},{"id":150,"name":"Time of Event (Mountain Time)","value":"22:34:55"},{"id":151,"name":"Denver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82"/>
        <v>start /low /b %USERPROFILE%\Documents\GitHub\eaglep3\Utilities\DownloadLogsFromS3.py --loco 4058 --day 2017-10-19</v>
      </c>
      <c r="AN147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04:34:55"},{"id":29,"name":"Sharepoint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84"/>
        <v>https://d0f6bd738d7f1b3e5a7ca70fe4ff75f0.us-east-1.aws.found.io/app/kibana#/discover/Steve-Slow-Train-Analysis-(2080s-and-2083s)?_g=(refreshInterval:(display:Off,pause:!f,section:0,value:0),time:(from:'2017-10-19T20:36:27-0600',mode:absolute,to:'2017-10-19T23:34:55-0600'))&amp;_a=(columns:!('Message%20ID',Summary),filters:!(),index:'emp_*',interval:auto,query:(query_string:(analyze_wildcard:!t,query:'%22rtdc.l.rtdc.4058%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802</v>
      </c>
      <c r="B148" s="7">
        <v>4057</v>
      </c>
      <c r="C148" s="21" t="s">
        <v>194</v>
      </c>
      <c r="D148" s="21" t="s">
        <v>871</v>
      </c>
      <c r="E148" s="13">
        <v>43027.94195601852</v>
      </c>
      <c r="F148" s="13">
        <v>43027.956516203703</v>
      </c>
      <c r="G148" s="7">
        <v>73</v>
      </c>
      <c r="H148" s="21" t="s">
        <v>355</v>
      </c>
      <c r="I148" s="13">
        <v>43027.982743055552</v>
      </c>
      <c r="J148" s="7">
        <v>0</v>
      </c>
      <c r="K148" s="89" t="str">
        <f t="shared" si="62"/>
        <v>4057/4058</v>
      </c>
      <c r="L148" s="185" t="s">
        <v>997</v>
      </c>
      <c r="M148" s="6">
        <f t="shared" si="63"/>
        <v>2.622685184906004E-2</v>
      </c>
      <c r="N148" s="7">
        <f t="shared" si="61"/>
        <v>37.766666662646458</v>
      </c>
      <c r="O148" s="7"/>
      <c r="P148" s="7"/>
      <c r="Q148" s="22"/>
      <c r="R148" s="174"/>
      <c r="S148" s="221">
        <f t="shared" si="60"/>
        <v>1</v>
      </c>
      <c r="T148" s="174" t="str">
        <f t="shared" si="64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5"/>
        <v>https://d0f6bd738d7f1b3e5a7ca70fe4ff75f0.us-east-1.aws.found.io/app/kibana#/discover/Steve-Slow-Train-Analysis-(2080s-and-2083s)?_g=(refreshInterval:(display:Off,pause:!f,section:0,value:0),time:(from:'2017-10-19T21:36:25-0600',mode:absolute,to:'2017-10-20T00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8" s="204" t="str">
        <f>IF(AA148&lt;VLOOKUP(AG148,Variables!$AC$3:$AD$8,2,FALSE),"Y","N")</f>
        <v>N</v>
      </c>
      <c r="X148" s="204">
        <f t="shared" si="79"/>
        <v>1</v>
      </c>
      <c r="Y148" s="204">
        <f t="shared" si="77"/>
        <v>23.304400000000001</v>
      </c>
      <c r="Z148" s="204">
        <f t="shared" si="78"/>
        <v>1.4500000000000001E-2</v>
      </c>
      <c r="AA148" s="204">
        <f t="shared" si="67"/>
        <v>23.289899999999999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8"/>
        <v>234</v>
      </c>
      <c r="AE148" s="77" t="str">
        <f t="shared" si="69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148" s="74" t="str">
        <f t="shared" si="70"/>
        <v>"C:\Program Files (x86)\AstroGrep\AstroGrep.exe" /e /r /s /spath="%USERPROFILE%\AppData\Local\Temp\OnboardLogs" /stypes="app*4057*20171020*" /stext=" 05:.+((SYSTEM_STATE.+slice.+state.+changed )|(ment ac)|(multiple cpu faults)|(system.+state.+changed )|(\[timeout)|(PRM\|1\|D)|(kpr)|(kdp)|(train st.+moving)|(\|lc)|(penalty))"</v>
      </c>
      <c r="AG148" s="182" t="str">
        <f t="shared" si="71"/>
        <v>EC</v>
      </c>
      <c r="AH148" s="78" t="str">
        <f t="shared" si="80"/>
        <v>"%USERPROFILE%\Documents\GitHub\eaglep3\Utilities\RefineRTDCRunTimes.py" --tripid 234-19 --locoid 4057 --swversion DE.1.0.9.0 --startMP 204:233044 --initTime 2017-10-19T22:36:25 --startdatetime 2017-10-19T22:57:23 --delay 73 --endMP 204:145 --enddatetime 2017-10-19T23:35:09 --enforcementcount 0 &gt;&gt;%USERPROFILE%\Documents\GitHub\eaglep3-reporting\EC\2017-10-19-refined-times.txt</v>
      </c>
      <c r="AI148" s="96" t="str">
        <f t="shared" si="81"/>
        <v>echo {"issue":{"subject":"","project_id":79,"tracker_id":40,"status_id":1,"priority_id":2,"assigned_to_id":338,"start_date":"2017-10-19","description":"","custom_fields":[{"id":1,"name":"Subdivision","value":"EC"},{"id":4,"name":"Milepost","value":"0.0145"},{"id":17,"name":"Train ID","value":"234-19"},{"id":16,"name":"Locomotive ID","value":"4057"},{"id":130,"name":"Impact","value":""},{"id":150,"name":"Time of Event (Mountain Time)","value":"23:35:09"},{"id":151,"name":"Denver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82"/>
        <v>start /low /b %USERPROFILE%\Documents\GitHub\eaglep3\Utilities\DownloadLogsFromS3.py --loco 4057 --day 2017-10-19</v>
      </c>
      <c r="AN148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84"/>
        <v>https://d0f6bd738d7f1b3e5a7ca70fe4ff75f0.us-east-1.aws.found.io/app/kibana#/discover/Steve-Slow-Train-Analysis-(2080s-and-2083s)?_g=(refreshInterval:(display:Off,pause:!f,section:0,value:0),time:(from:'2017-10-19T21:36:25-0600',mode:absolute,to:'2017-10-20T00:35:09-0600'))&amp;_a=(columns:!('Message%20ID',Summary),filters:!(),index:'emp_*',interval:auto,query:(query_string:(analyze_wildcard:!t,query:'%22rtdc.l.rtdc.4057%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800</v>
      </c>
      <c r="B149" s="7">
        <v>4018</v>
      </c>
      <c r="C149" s="21" t="s">
        <v>194</v>
      </c>
      <c r="D149" s="21" t="s">
        <v>367</v>
      </c>
      <c r="E149" s="13">
        <v>43027.932997685188</v>
      </c>
      <c r="F149" s="13">
        <v>43027.937708333331</v>
      </c>
      <c r="G149" s="7">
        <v>62</v>
      </c>
      <c r="H149" s="21" t="s">
        <v>872</v>
      </c>
      <c r="I149" s="13">
        <v>43027.962291666663</v>
      </c>
      <c r="J149" s="7">
        <v>0</v>
      </c>
      <c r="K149" s="89" t="str">
        <f t="shared" si="62"/>
        <v>4017/4018</v>
      </c>
      <c r="L149" s="185" t="s">
        <v>998</v>
      </c>
      <c r="M149" s="6">
        <f t="shared" si="63"/>
        <v>2.4583333331975155E-2</v>
      </c>
      <c r="N149" s="7">
        <f t="shared" si="61"/>
        <v>35.399999998044223</v>
      </c>
      <c r="O149" s="7"/>
      <c r="P149" s="7"/>
      <c r="Q149" s="22"/>
      <c r="R149" s="174"/>
      <c r="S149" s="221">
        <f t="shared" si="60"/>
        <v>1</v>
      </c>
      <c r="T149" s="174" t="str">
        <f t="shared" si="64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5"/>
        <v>https://d0f6bd738d7f1b3e5a7ca70fe4ff75f0.us-east-1.aws.found.io/app/kibana#/discover/Steve-Slow-Train-Analysis-(2080s-and-2083s)?_g=(refreshInterval:(display:Off,pause:!f,section:0,value:0),time:(from:'2017-10-19T21:23:31-0600',mode:absolute,to:'2017-10-20T00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204" t="str">
        <f>IF(AA149&lt;VLOOKUP(AG149,Variables!$AC$3:$AD$8,2,FALSE),"Y","N")</f>
        <v>N</v>
      </c>
      <c r="X149" s="204">
        <f t="shared" si="79"/>
        <v>1</v>
      </c>
      <c r="Y149" s="204">
        <f t="shared" si="77"/>
        <v>4.5100000000000001E-2</v>
      </c>
      <c r="Z149" s="204">
        <f t="shared" si="78"/>
        <v>23.336400000000001</v>
      </c>
      <c r="AA149" s="204">
        <f t="shared" si="67"/>
        <v>23.2913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8"/>
        <v>235</v>
      </c>
      <c r="AE149" s="77" t="str">
        <f t="shared" si="69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149" s="74" t="str">
        <f t="shared" si="70"/>
        <v>"C:\Program Files (x86)\AstroGrep\AstroGrep.exe" /e /r /s /spath="%USERPROFILE%\AppData\Local\Temp\OnboardLogs" /stypes="app*4018*20171020*" /stext=" 05:.+((SYSTEM_STATE.+slice.+state.+changed )|(ment ac)|(multiple cpu faults)|(system.+state.+changed )|(\[timeout)|(PRM\|1\|D)|(kpr)|(kdp)|(train st.+moving)|(\|lc)|(penalty))"</v>
      </c>
      <c r="AG149" s="182" t="str">
        <f t="shared" si="71"/>
        <v>EC</v>
      </c>
      <c r="AH149" s="78" t="str">
        <f t="shared" si="80"/>
        <v>"%USERPROFILE%\Documents\GitHub\eaglep3\Utilities\RefineRTDCRunTimes.py" --tripid 235-19 --locoid 4018 --swversion DE.1.0.9.0 --startMP 204:451 --initTime 2017-10-19T22:23:31 --startdatetime 2017-10-19T22:30:18 --delay 62 --endMP 204:233364 --enddatetime 2017-10-19T23:05:42 --enforcementcount 0 &gt;&gt;%USERPROFILE%\Documents\GitHub\eaglep3-reporting\EC\2017-10-19-refined-times.txt</v>
      </c>
      <c r="AI149" s="96" t="str">
        <f t="shared" si="81"/>
        <v>echo {"issue":{"subject":"","project_id":79,"tracker_id":40,"status_id":1,"priority_id":2,"assigned_to_id":338,"start_date":"2017-10-19","description":"","custom_fields":[{"id":1,"name":"Subdivision","value":"EC"},{"id":4,"name":"Milepost","value":"23.3364"},{"id":17,"name":"Train ID","value":"235-19"},{"id":16,"name":"Locomotive ID","value":"4018"},{"id":130,"name":"Impact","value":""},{"id":150,"name":"Time of Event (Mountain Time)","value":"23:05:42"},{"id":151,"name":"Denver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82"/>
        <v>start /low /b %USERPROFILE%\Documents\GitHub\eaglep3\Utilities\DownloadLogsFromS3.py --loco 4018 --day 2017-10-19</v>
      </c>
      <c r="AN149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84"/>
        <v>https://d0f6bd738d7f1b3e5a7ca70fe4ff75f0.us-east-1.aws.found.io/app/kibana#/discover/Steve-Slow-Train-Analysis-(2080s-and-2083s)?_g=(refreshInterval:(display:Off,pause:!f,section:0,value:0),time:(from:'2017-10-19T21:23:31-0600',mode:absolute,to:'2017-10-20T00:05:42-0600'))&amp;_a=(columns:!('Message%20ID',Summary),filters:!(),index:'emp_*',interval:auto,query:(query_string:(analyze_wildcard:!t,query:'%22rtdc.l.rtdc.4018%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805</v>
      </c>
      <c r="B150" s="7">
        <v>4017</v>
      </c>
      <c r="C150" s="21" t="s">
        <v>194</v>
      </c>
      <c r="D150" s="21" t="s">
        <v>873</v>
      </c>
      <c r="E150" s="13">
        <v>43027.971122685187</v>
      </c>
      <c r="F150" s="13">
        <v>43027.977233796293</v>
      </c>
      <c r="G150" s="7">
        <v>81</v>
      </c>
      <c r="H150" s="21" t="s">
        <v>874</v>
      </c>
      <c r="I150" s="13">
        <v>43028.003912037035</v>
      </c>
      <c r="J150" s="7">
        <v>0</v>
      </c>
      <c r="K150" s="89" t="str">
        <f t="shared" si="62"/>
        <v>4017/4018</v>
      </c>
      <c r="L150" s="185" t="s">
        <v>998</v>
      </c>
      <c r="M150" s="6">
        <f t="shared" si="63"/>
        <v>2.6678240741603076E-2</v>
      </c>
      <c r="N150" s="7">
        <f t="shared" si="61"/>
        <v>38.41666666790843</v>
      </c>
      <c r="O150" s="7"/>
      <c r="P150" s="7"/>
      <c r="Q150" s="22"/>
      <c r="R150" s="174"/>
      <c r="S150" s="221">
        <f t="shared" si="60"/>
        <v>1</v>
      </c>
      <c r="T150" s="174" t="str">
        <f t="shared" si="64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5"/>
        <v>https://d0f6bd738d7f1b3e5a7ca70fe4ff75f0.us-east-1.aws.found.io/app/kibana#/discover/Steve-Slow-Train-Analysis-(2080s-and-2083s)?_g=(refreshInterval:(display:Off,pause:!f,section:0,value:0),time:(from:'2017-10-19T22:18:25-0600',mode:absolute,to:'2017-10-20T01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204" t="str">
        <f>IF(AA150&lt;VLOOKUP(AG150,Variables!$AC$3:$AD$8,2,FALSE),"Y","N")</f>
        <v>N</v>
      </c>
      <c r="X150" s="204">
        <f t="shared" si="79"/>
        <v>1</v>
      </c>
      <c r="Y150" s="204">
        <f t="shared" si="77"/>
        <v>23.305099999999999</v>
      </c>
      <c r="Z150" s="204">
        <f t="shared" si="78"/>
        <v>1.29E-2</v>
      </c>
      <c r="AA150" s="204">
        <f t="shared" si="67"/>
        <v>23.292200000000001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8"/>
        <v>236</v>
      </c>
      <c r="AE150" s="77" t="str">
        <f t="shared" si="69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150" s="74" t="str">
        <f t="shared" si="70"/>
        <v>"C:\Program Files (x86)\AstroGrep\AstroGrep.exe" /e /r /s /spath="%USERPROFILE%\AppData\Local\Temp\OnboardLogs" /stypes="app*4017*20171020*" /stext=" 06:.+((SYSTEM_STATE.+slice.+state.+changed )|(ment ac)|(multiple cpu faults)|(system.+state.+changed )|(\[timeout)|(PRM\|1\|D)|(kpr)|(kdp)|(train st.+moving)|(\|lc)|(penalty))"</v>
      </c>
      <c r="AG150" s="182" t="str">
        <f t="shared" si="71"/>
        <v>EC</v>
      </c>
      <c r="AH150" s="78" t="str">
        <f t="shared" si="80"/>
        <v>"%USERPROFILE%\Documents\GitHub\eaglep3\Utilities\RefineRTDCRunTimes.py" --tripid 236-19 --locoid 4017 --swversion DE.1.0.9.0 --startMP 204:233051 --initTime 2017-10-19T23:18:25 --startdatetime 2017-10-19T23:27:13 --delay 81 --endMP 204:129 --enddatetime 2017-10-20T00:05:38 --enforcementcount 0 &gt;&gt;%USERPROFILE%\Documents\GitHub\eaglep3-reporting\EC\2017-10-19-refined-times.txt</v>
      </c>
      <c r="AI150" s="96" t="str">
        <f t="shared" si="81"/>
        <v>echo {"issue":{"subject":"","project_id":79,"tracker_id":40,"status_id":1,"priority_id":2,"assigned_to_id":338,"start_date":"2017-10-20","description":"","custom_fields":[{"id":1,"name":"Subdivision","value":"EC"},{"id":4,"name":"Milepost","value":"0.0129"},{"id":17,"name":"Train ID","value":"236-19"},{"id":16,"name":"Locomotive ID","value":"4017"},{"id":130,"name":"Impact","value":""},{"id":150,"name":"Time of Event (Mountain Time)","value":"00:05:38"},{"id":151,"name":"Denver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82"/>
        <v>start /low /b %USERPROFILE%\Documents\GitHub\eaglep3\Utilities\DownloadLogsFromS3.py --loco 4017 --day 2017-10-19</v>
      </c>
      <c r="AN150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84"/>
        <v>https://d0f6bd738d7f1b3e5a7ca70fe4ff75f0.us-east-1.aws.found.io/app/kibana#/discover/Steve-Slow-Train-Analysis-(2080s-and-2083s)?_g=(refreshInterval:(display:Off,pause:!f,section:0,value:0),time:(from:'2017-10-19T22:18:25-0600',mode:absolute,to:'2017-10-20T01:05:38-0600'))&amp;_a=(columns:!('Message%20ID',Summary),filters:!(),index:'emp_*',interval:auto,query:(query_string:(analyze_wildcard:!t,query:'%22rtdc.l.rtdc.4017%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803</v>
      </c>
      <c r="B151" s="7">
        <v>4008</v>
      </c>
      <c r="C151" s="21" t="s">
        <v>194</v>
      </c>
      <c r="D151" s="21" t="s">
        <v>376</v>
      </c>
      <c r="E151" s="13">
        <v>43027.955891203703</v>
      </c>
      <c r="F151" s="13">
        <v>43027.958599537036</v>
      </c>
      <c r="G151" s="7">
        <v>63</v>
      </c>
      <c r="H151" s="21" t="s">
        <v>534</v>
      </c>
      <c r="I151" s="13">
        <v>43027.982928240737</v>
      </c>
      <c r="J151" s="7">
        <v>0</v>
      </c>
      <c r="K151" s="89" t="str">
        <f t="shared" si="62"/>
        <v>4007/4008</v>
      </c>
      <c r="L151" s="185" t="s">
        <v>558</v>
      </c>
      <c r="M151" s="6">
        <f t="shared" si="63"/>
        <v>2.4328703701030463E-2</v>
      </c>
      <c r="N151" s="7">
        <f t="shared" si="61"/>
        <v>35.033333329483867</v>
      </c>
      <c r="O151" s="7"/>
      <c r="P151" s="7"/>
      <c r="Q151" s="22"/>
      <c r="R151" s="174"/>
      <c r="S151" s="221">
        <f t="shared" si="60"/>
        <v>1</v>
      </c>
      <c r="T151" s="174" t="str">
        <f t="shared" si="64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5"/>
        <v>https://d0f6bd738d7f1b3e5a7ca70fe4ff75f0.us-east-1.aws.found.io/app/kibana#/discover/Steve-Slow-Train-Analysis-(2080s-and-2083s)?_g=(refreshInterval:(display:Off,pause:!f,section:0,value:0),time:(from:'2017-10-19T21:56:29-0600',mode:absolute,to:'2017-10-20T00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204" t="str">
        <f>IF(AA151&lt;VLOOKUP(AG151,Variables!$AC$3:$AD$8,2,FALSE),"Y","N")</f>
        <v>N</v>
      </c>
      <c r="X151" s="204">
        <f t="shared" si="79"/>
        <v>1</v>
      </c>
      <c r="Y151" s="204">
        <f t="shared" si="77"/>
        <v>4.5699999999999998E-2</v>
      </c>
      <c r="Z151" s="204">
        <f t="shared" si="78"/>
        <v>23.330100000000002</v>
      </c>
      <c r="AA151" s="204">
        <f t="shared" si="67"/>
        <v>23.284400000000002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8"/>
        <v>237</v>
      </c>
      <c r="AE151" s="77" t="str">
        <f t="shared" si="69"/>
        <v>aws s3 cp s3://rtdc.mdm.uploadarchive.raw/RTDC4008/ "%USERPROFILE%\AppData\Local\Temp\OnboardLogs"\RTDC4008\2017-10-19 --exclude "*" --recursive --include "*20171019*" &amp; "%USERPROFILE%\Documents\GitHub\mrs-test-scripts\Headless Mode &amp; Sideloading\WalkAndUnGZ.bat" "%USERPROFILE%\AppData\Local\Temp\OnboardLogs"\RTDC4008\2017-10-19 &amp; 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</v>
      </c>
      <c r="AF151" s="74" t="str">
        <f t="shared" si="70"/>
        <v>"C:\Program Files (x86)\AstroGrep\AstroGrep.exe" /e /r /s /spath="%USERPROFILE%\AppData\Local\Temp\OnboardLogs" /stypes="app*4008*20171020*" /stext=" 05:.+((SYSTEM_STATE.+slice.+state.+changed )|(ment ac)|(multiple cpu faults)|(system.+state.+changed )|(\[timeout)|(PRM\|1\|D)|(kpr)|(kdp)|(train st.+moving)|(\|lc)|(penalty))"</v>
      </c>
      <c r="AG151" s="182" t="str">
        <f t="shared" si="71"/>
        <v>EC</v>
      </c>
      <c r="AH151" s="78" t="str">
        <f t="shared" si="80"/>
        <v>"%USERPROFILE%\Documents\GitHub\eaglep3\Utilities\RefineRTDCRunTimes.py" --tripid 237-19 --locoid 4008 --swversion DE.1.0.9.0 --startMP 204:457 --initTime 2017-10-19T22:56:29 --startdatetime 2017-10-19T23:00:23 --delay 63 --endMP 204:233301 --enddatetime 2017-10-19T23:35:25 --enforcementcount 0 &gt;&gt;%USERPROFILE%\Documents\GitHub\eaglep3-reporting\EC\2017-10-19-refined-times.txt</v>
      </c>
      <c r="AI151" s="96" t="str">
        <f t="shared" si="81"/>
        <v>echo {"issue":{"subject":"","project_id":79,"tracker_id":40,"status_id":1,"priority_id":2,"assigned_to_id":338,"start_date":"2017-10-19","description":"","custom_fields":[{"id":1,"name":"Subdivision","value":"EC"},{"id":4,"name":"Milepost","value":"23.3301"},{"id":17,"name":"Train ID","value":"237-19"},{"id":16,"name":"Locomotive ID","value":"4008"},{"id":130,"name":"Impact","value":""},{"id":150,"name":"Time of Event (Mountain Time)","value":"23:35:25"},{"id":151,"name":"Denver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82"/>
        <v>start /low /b %USERPROFILE%\Documents\GitHub\eaglep3\Utilities\DownloadLogsFromS3.py --loco 4008 --day 2017-10-19</v>
      </c>
      <c r="AN151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05:35:25"},{"id":29,"name":"Sharepoint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84"/>
        <v>https://d0f6bd738d7f1b3e5a7ca70fe4ff75f0.us-east-1.aws.found.io/app/kibana#/discover/Steve-Slow-Train-Analysis-(2080s-and-2083s)?_g=(refreshInterval:(display:Off,pause:!f,section:0,value:0),time:(from:'2017-10-19T21:56:29-0600',mode:absolute,to:'2017-10-20T00:35:25-0600'))&amp;_a=(columns:!('Message%20ID',Summary),filters:!(),index:'emp_*',interval:auto,query:(query_string:(analyze_wildcard:!t,query:'%22rtdc.l.rtdc.4008%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809</v>
      </c>
      <c r="B152" s="7">
        <v>4007</v>
      </c>
      <c r="C152" s="21" t="s">
        <v>194</v>
      </c>
      <c r="D152" s="21" t="s">
        <v>827</v>
      </c>
      <c r="E152" s="13">
        <v>43027.994212962964</v>
      </c>
      <c r="F152" s="13">
        <v>43027.998136574075</v>
      </c>
      <c r="G152" s="7">
        <v>94</v>
      </c>
      <c r="H152" s="21" t="s">
        <v>354</v>
      </c>
      <c r="I152" s="13">
        <v>43028.024641203701</v>
      </c>
      <c r="J152" s="7">
        <v>0</v>
      </c>
      <c r="K152" s="89" t="str">
        <f t="shared" si="62"/>
        <v>4007/4008</v>
      </c>
      <c r="L152" s="185" t="s">
        <v>558</v>
      </c>
      <c r="M152" s="6">
        <f t="shared" si="63"/>
        <v>2.6504629626288079E-2</v>
      </c>
      <c r="N152" s="7">
        <f t="shared" si="61"/>
        <v>38.166666661854833</v>
      </c>
      <c r="O152" s="7"/>
      <c r="P152" s="7"/>
      <c r="Q152" s="22"/>
      <c r="R152" s="174"/>
      <c r="S152" s="221">
        <f t="shared" si="60"/>
        <v>1</v>
      </c>
      <c r="T152" s="174" t="str">
        <f t="shared" si="64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5"/>
        <v>https://d0f6bd738d7f1b3e5a7ca70fe4ff75f0.us-east-1.aws.found.io/app/kibana#/discover/Steve-Slow-Train-Analysis-(2080s-and-2083s)?_g=(refreshInterval:(display:Off,pause:!f,section:0,value:0),time:(from:'2017-10-19T22:51:40-0600',mode:absolute,to:'2017-10-20T01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204" t="str">
        <f>IF(AA152&lt;VLOOKUP(AG152,Variables!$AC$3:$AD$8,2,FALSE),"Y","N")</f>
        <v>N</v>
      </c>
      <c r="X152" s="204">
        <f t="shared" si="79"/>
        <v>1</v>
      </c>
      <c r="Y152" s="204">
        <f t="shared" si="77"/>
        <v>23.297799999999999</v>
      </c>
      <c r="Z152" s="204">
        <f t="shared" si="78"/>
        <v>1.52E-2</v>
      </c>
      <c r="AA152" s="204">
        <f t="shared" si="67"/>
        <v>23.282599999999999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8"/>
        <v>238</v>
      </c>
      <c r="AE152" s="77" t="str">
        <f t="shared" si="69"/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AF152" s="74" t="str">
        <f t="shared" si="70"/>
        <v>"C:\Program Files (x86)\AstroGrep\AstroGrep.exe" /e /r /s /spath="%USERPROFILE%\AppData\Local\Temp\OnboardLogs" /stypes="app*4007*20171020*" /stext=" 06:.+((SYSTEM_STATE.+slice.+state.+changed )|(ment ac)|(multiple cpu faults)|(system.+state.+changed )|(\[timeout)|(PRM\|1\|D)|(kpr)|(kdp)|(train st.+moving)|(\|lc)|(penalty))"</v>
      </c>
      <c r="AG152" s="182" t="str">
        <f t="shared" si="71"/>
        <v>EC</v>
      </c>
      <c r="AH152" s="78" t="str">
        <f t="shared" si="80"/>
        <v>"%USERPROFILE%\Documents\GitHub\eaglep3\Utilities\RefineRTDCRunTimes.py" --tripid 238-19 --locoid 4007 --swversion DE.1.0.9.0 --startMP 204:232978 --initTime 2017-10-19T23:51:40 --startdatetime 2017-10-19T23:57:19 --delay 94 --endMP 204:152 --enddatetime 2017-10-20T00:35:29 --enforcementcount 0 &gt;&gt;%USERPROFILE%\Documents\GitHub\eaglep3-reporting\EC\2017-10-19-refined-times.txt</v>
      </c>
      <c r="AI152" s="96" t="str">
        <f t="shared" si="81"/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ID","value":"238-19"},{"id":16,"name":"Locomotive ID","value":"4007"},{"id":130,"name":"Impact","value":""},{"id":150,"name":"Time of Event (Mountain Time)","value":"00:35:29"},{"id":151,"name":"Denver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82"/>
        <v>start /low /b %USERPROFILE%\Documents\GitHub\eaglep3\Utilities\DownloadLogsFromS3.py --loco 4007 --day 2017-10-19</v>
      </c>
      <c r="AN152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06:35:29"},{"id":29,"name":"Sharepoint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84"/>
        <v>https://d0f6bd738d7f1b3e5a7ca70fe4ff75f0.us-east-1.aws.found.io/app/kibana#/discover/Steve-Slow-Train-Analysis-(2080s-and-2083s)?_g=(refreshInterval:(display:Off,pause:!f,section:0,value:0),time:(from:'2017-10-19T22:51:40-0600',mode:absolute,to:'2017-10-20T01:35:29-0600'))&amp;_a=(columns:!('Message%20ID',Summary),filters:!(),index:'emp_*',interval:auto,query:(query_string:(analyze_wildcard:!t,query:'%22rtdc.l.rtdc.4007%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807</v>
      </c>
      <c r="B153" s="7">
        <v>4006</v>
      </c>
      <c r="C153" s="21" t="s">
        <v>194</v>
      </c>
      <c r="D153" s="21" t="s">
        <v>400</v>
      </c>
      <c r="E153" s="13">
        <v>43027.977361111109</v>
      </c>
      <c r="F153" s="13">
        <v>43027.979664351849</v>
      </c>
      <c r="G153" s="7">
        <v>78</v>
      </c>
      <c r="H153" s="21" t="s">
        <v>875</v>
      </c>
      <c r="I153" s="13">
        <v>43028.003449074073</v>
      </c>
      <c r="J153" s="7">
        <v>0</v>
      </c>
      <c r="K153" s="89" t="str">
        <f t="shared" si="62"/>
        <v>4005/4006</v>
      </c>
      <c r="L153" s="185" t="s">
        <v>996</v>
      </c>
      <c r="M153" s="6">
        <f t="shared" si="63"/>
        <v>2.3784722223354038E-2</v>
      </c>
      <c r="N153" s="7">
        <f t="shared" si="61"/>
        <v>34.250000001629815</v>
      </c>
      <c r="O153" s="7"/>
      <c r="P153" s="7"/>
      <c r="Q153" s="22"/>
      <c r="R153" s="174"/>
      <c r="S153" s="221">
        <f t="shared" si="60"/>
        <v>1</v>
      </c>
      <c r="T153" s="174" t="str">
        <f t="shared" si="64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5"/>
        <v>https://d0f6bd738d7f1b3e5a7ca70fe4ff75f0.us-east-1.aws.found.io/app/kibana#/discover/Steve-Slow-Train-Analysis-(2080s-and-2083s)?_g=(refreshInterval:(display:Off,pause:!f,section:0,value:0),time:(from:'2017-10-19T22:27:24-0600',mode:absolute,to:'2017-10-20T01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204" t="str">
        <f>IF(AA153&lt;VLOOKUP(AG153,Variables!$AC$3:$AD$8,2,FALSE),"Y","N")</f>
        <v>N</v>
      </c>
      <c r="X153" s="204">
        <f t="shared" si="79"/>
        <v>1</v>
      </c>
      <c r="Y153" s="204">
        <f t="shared" si="77"/>
        <v>4.6399999999999997E-2</v>
      </c>
      <c r="Z153" s="204">
        <f t="shared" si="78"/>
        <v>23.333600000000001</v>
      </c>
      <c r="AA153" s="204">
        <f t="shared" si="67"/>
        <v>23.287200000000002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8"/>
        <v>239</v>
      </c>
      <c r="AE153" s="77" t="str">
        <f t="shared" si="69"/>
        <v>aws s3 cp s3://rtdc.mdm.uploadarchive.raw/RTDC4006/ "%USERPROFILE%\AppData\Local\Temp\OnboardLogs"\RTDC4006\2017-10-19 --exclude "*" --recursive --include "*20171019*" &amp; "%USERPROFILE%\Documents\GitHub\mrs-test-scripts\Headless Mode &amp; Sideloading\WalkAndUnGZ.bat" "%USERPROFILE%\AppData\Local\Temp\OnboardLogs"\RTDC4006\2017-10-19 &amp; 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</v>
      </c>
      <c r="AF153" s="74" t="str">
        <f t="shared" si="70"/>
        <v>"C:\Program Files (x86)\AstroGrep\AstroGrep.exe" /e /r /s /spath="%USERPROFILE%\AppData\Local\Temp\OnboardLogs" /stypes="app*4006*20171020*" /stext=" 06:.+((SYSTEM_STATE.+slice.+state.+changed )|(ment ac)|(multiple cpu faults)|(system.+state.+changed )|(\[timeout)|(PRM\|1\|D)|(kpr)|(kdp)|(train st.+moving)|(\|lc)|(penalty))"</v>
      </c>
      <c r="AG153" s="182" t="str">
        <f t="shared" si="71"/>
        <v>EC</v>
      </c>
      <c r="AH153" s="78" t="str">
        <f t="shared" si="80"/>
        <v>"%USERPROFILE%\Documents\GitHub\eaglep3\Utilities\RefineRTDCRunTimes.py" --tripid 239-19 --locoid 4006 --swversion DE.1.0.9.0 --startMP 204:464 --initTime 2017-10-19T23:27:24 --startdatetime 2017-10-19T23:30:43 --delay 78 --endMP 204:233336 --enddatetime 2017-10-20T00:04:58 --enforcementcount 0 &gt;&gt;%USERPROFILE%\Documents\GitHub\eaglep3-reporting\EC\2017-10-19-refined-times.txt</v>
      </c>
      <c r="AI153" s="96" t="str">
        <f t="shared" si="81"/>
        <v>echo {"issue":{"subject":"","project_id":79,"tracker_id":40,"status_id":1,"priority_id":2,"assigned_to_id":338,"start_date":"2017-10-20","description":"","custom_fields":[{"id":1,"name":"Subdivision","value":"EC"},{"id":4,"name":"Milepost","value":"23.3336"},{"id":17,"name":"Train ID","value":"239-19"},{"id":16,"name":"Locomotive ID","value":"4006"},{"id":130,"name":"Impact","value":""},{"id":150,"name":"Time of Event (Mountain Time)","value":"00:04:58"},{"id":151,"name":"Denver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82"/>
        <v>start /low /b %USERPROFILE%\Documents\GitHub\eaglep3\Utilities\DownloadLogsFromS3.py --loco 4006 --day 2017-10-19</v>
      </c>
      <c r="AN153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06:04:58"},{"id":29,"name":"Sharepoint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84"/>
        <v>https://d0f6bd738d7f1b3e5a7ca70fe4ff75f0.us-east-1.aws.found.io/app/kibana#/discover/Steve-Slow-Train-Analysis-(2080s-and-2083s)?_g=(refreshInterval:(display:Off,pause:!f,section:0,value:0),time:(from:'2017-10-19T22:27:24-0600',mode:absolute,to:'2017-10-20T01:04:58-0600'))&amp;_a=(columns:!('Message%20ID',Summary),filters:!(),index:'emp_*',interval:auto,query:(query_string:(analyze_wildcard:!t,query:'%22rtdc.l.rtdc.4006%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811</v>
      </c>
      <c r="B154" s="7">
        <v>4005</v>
      </c>
      <c r="C154" s="21" t="s">
        <v>194</v>
      </c>
      <c r="D154" s="21" t="s">
        <v>521</v>
      </c>
      <c r="E154" s="13">
        <v>43028.01394675926</v>
      </c>
      <c r="F154" s="13">
        <v>43028.018935185188</v>
      </c>
      <c r="G154" s="7">
        <v>80</v>
      </c>
      <c r="H154" s="21" t="s">
        <v>336</v>
      </c>
      <c r="I154" s="13">
        <v>43028.044699074075</v>
      </c>
      <c r="J154" s="7">
        <v>0</v>
      </c>
      <c r="K154" s="89" t="str">
        <f t="shared" si="62"/>
        <v>4005/4006</v>
      </c>
      <c r="L154" s="185" t="s">
        <v>996</v>
      </c>
      <c r="M154" s="6">
        <f t="shared" si="63"/>
        <v>2.5763888887013309E-2</v>
      </c>
      <c r="N154" s="7">
        <f t="shared" si="61"/>
        <v>37.099999997299165</v>
      </c>
      <c r="O154" s="7"/>
      <c r="P154" s="7"/>
      <c r="Q154" s="22"/>
      <c r="R154" s="174"/>
      <c r="S154" s="221">
        <f t="shared" si="60"/>
        <v>1</v>
      </c>
      <c r="T154" s="174" t="str">
        <f t="shared" si="64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5"/>
        <v>https://d0f6bd738d7f1b3e5a7ca70fe4ff75f0.us-east-1.aws.found.io/app/kibana#/discover/Steve-Slow-Train-Analysis-(2080s-and-2083s)?_g=(refreshInterval:(display:Off,pause:!f,section:0,value:0),time:(from:'2017-10-19T23:20:05-0600',mode:absolute,to:'2017-10-20T02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204" t="str">
        <f>IF(AA154&lt;VLOOKUP(AG154,Variables!$AC$3:$AD$8,2,FALSE),"Y","N")</f>
        <v>N</v>
      </c>
      <c r="X154" s="204">
        <f t="shared" si="79"/>
        <v>1</v>
      </c>
      <c r="Y154" s="204">
        <f t="shared" si="77"/>
        <v>23.298200000000001</v>
      </c>
      <c r="Z154" s="204">
        <f t="shared" si="78"/>
        <v>1.49E-2</v>
      </c>
      <c r="AA154" s="204">
        <f t="shared" si="67"/>
        <v>23.283300000000001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8"/>
        <v>240</v>
      </c>
      <c r="AE154" s="77" t="str">
        <f t="shared" si="69"/>
        <v>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 &amp; aws s3 cp s3://rtdc.mdm.uploadarchive.raw/RTDC4005/ "%USERPROFILE%\AppData\Local\Temp\OnboardLogs"\RTDC4005\2017-10-21 --exclude "*" --recursive --include "*20171021*" &amp; "%USERPROFILE%\Documents\GitHub\mrs-test-scripts\Headless Mode &amp; Sideloading\WalkAndUnGZ.bat" "%USERPROFILE%\AppData\Local\Temp\OnboardLogs"\RTDC4005\2017-10-21</v>
      </c>
      <c r="AF154" s="74" t="str">
        <f t="shared" si="70"/>
        <v>"C:\Program Files (x86)\AstroGrep\AstroGrep.exe" /e /r /s /spath="%USERPROFILE%\AppData\Local\Temp\OnboardLogs" /stypes="app*4005*20171020*" /stext=" 07:.+((SYSTEM_STATE.+slice.+state.+changed )|(ment ac)|(multiple cpu faults)|(system.+state.+changed )|(\[timeout)|(PRM\|1\|D)|(kpr)|(kdp)|(train st.+moving)|(\|lc)|(penalty))"</v>
      </c>
      <c r="AG154" s="182" t="str">
        <f t="shared" si="71"/>
        <v>EC</v>
      </c>
      <c r="AH154" s="78" t="str">
        <f t="shared" si="80"/>
        <v>"%USERPROFILE%\Documents\GitHub\eaglep3\Utilities\RefineRTDCRunTimes.py" --tripid 240-19 --locoid 4005 --swversion DE.1.0.9.0 --startMP 204:232982 --initTime 2017-10-20T00:20:05 --startdatetime 2017-10-20T00:27:16 --delay 80 --endMP 204:149 --enddatetime 2017-10-20T01:04:22 --enforcementcount 0 &gt;&gt;%USERPROFILE%\Documents\GitHub\eaglep3-reporting\EC\2017-10-19-refined-times.txt</v>
      </c>
      <c r="AI154" s="96" t="str">
        <f t="shared" si="81"/>
        <v>echo {"issue":{"subject":"","project_id":79,"tracker_id":40,"status_id":1,"priority_id":2,"assigned_to_id":338,"start_date":"2017-10-20","description":"","custom_fields":[{"id":1,"name":"Subdivision","value":"EC"},{"id":4,"name":"Milepost","value":"0.0149"},{"id":17,"name":"Train ID","value":"240-19"},{"id":16,"name":"Locomotive ID","value":"4005"},{"id":130,"name":"Impact","value":""},{"id":150,"name":"Time of Event (Mountain Time)","value":"01:04:22"},{"id":151,"name":"Denver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82"/>
        <v>start /low /b %USERPROFILE%\Documents\GitHub\eaglep3\Utilities\DownloadLogsFromS3.py --loco 4005 --day 2017-10-20</v>
      </c>
      <c r="AN154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07:04:22"},{"id":29,"name":"Sharepoint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84"/>
        <v>https://d0f6bd738d7f1b3e5a7ca70fe4ff75f0.us-east-1.aws.found.io/app/kibana#/discover/Steve-Slow-Train-Analysis-(2080s-and-2083s)?_g=(refreshInterval:(display:Off,pause:!f,section:0,value:0),time:(from:'2017-10-19T23:20:05-0600',mode:absolute,to:'2017-10-20T02:04:22-0600'))&amp;_a=(columns:!('Message%20ID',Summary),filters:!(),index:'emp_*',interval:auto,query:(query_string:(analyze_wildcard:!t,query:'%22rtdc.l.rtdc.4005%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808</v>
      </c>
      <c r="B155" s="7">
        <v>4058</v>
      </c>
      <c r="C155" s="21" t="s">
        <v>194</v>
      </c>
      <c r="D155" s="21" t="s">
        <v>367</v>
      </c>
      <c r="E155" s="13">
        <v>43027.983981481484</v>
      </c>
      <c r="F155" s="13">
        <v>43028.000150462962</v>
      </c>
      <c r="G155" s="7">
        <v>66</v>
      </c>
      <c r="H155" s="21" t="s">
        <v>876</v>
      </c>
      <c r="I155" s="13">
        <v>43028.023888888885</v>
      </c>
      <c r="J155" s="7">
        <v>0</v>
      </c>
      <c r="K155" s="89" t="str">
        <f t="shared" si="62"/>
        <v>4057/4058</v>
      </c>
      <c r="L155" s="185" t="s">
        <v>997</v>
      </c>
      <c r="M155" s="6">
        <f t="shared" si="63"/>
        <v>2.3738425923511386E-2</v>
      </c>
      <c r="N155" s="7">
        <f t="shared" si="61"/>
        <v>34.183333329856396</v>
      </c>
      <c r="O155" s="7"/>
      <c r="P155" s="7"/>
      <c r="Q155" s="22"/>
      <c r="R155" s="174"/>
      <c r="S155" s="221">
        <f t="shared" si="60"/>
        <v>1</v>
      </c>
      <c r="T155" s="174" t="str">
        <f t="shared" si="64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5"/>
        <v>https://d0f6bd738d7f1b3e5a7ca70fe4ff75f0.us-east-1.aws.found.io/app/kibana#/discover/Steve-Slow-Train-Analysis-(2080s-and-2083s)?_g=(refreshInterval:(display:Off,pause:!f,section:0,value:0),time:(from:'2017-10-19T22:36:56-0600',mode:absolute,to:'2017-10-20T01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5" s="204" t="str">
        <f>IF(AA155&lt;VLOOKUP(AG155,Variables!$AC$3:$AD$8,2,FALSE),"Y","N")</f>
        <v>N</v>
      </c>
      <c r="X155" s="204">
        <f t="shared" si="79"/>
        <v>1</v>
      </c>
      <c r="Y155" s="204">
        <f t="shared" si="77"/>
        <v>4.5100000000000001E-2</v>
      </c>
      <c r="Z155" s="204">
        <f t="shared" si="78"/>
        <v>23.3337</v>
      </c>
      <c r="AA155" s="204">
        <f t="shared" si="67"/>
        <v>23.288599999999999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8"/>
        <v>241</v>
      </c>
      <c r="AE155" s="77" t="str">
        <f t="shared" si="69"/>
        <v>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 &amp; 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</v>
      </c>
      <c r="AF155" s="74" t="str">
        <f t="shared" si="70"/>
        <v>"C:\Program Files (x86)\AstroGrep\AstroGrep.exe" /e /r /s /spath="%USERPROFILE%\AppData\Local\Temp\OnboardLogs" /stypes="app*4058*20171020*" /stext=" 06:.+((SYSTEM_STATE.+slice.+state.+changed )|(ment ac)|(multiple cpu faults)|(system.+state.+changed )|(\[timeout)|(PRM\|1\|D)|(kpr)|(kdp)|(train st.+moving)|(\|lc)|(penalty))"</v>
      </c>
      <c r="AG155" s="182" t="str">
        <f t="shared" si="71"/>
        <v>EC</v>
      </c>
      <c r="AH155" s="78" t="str">
        <f t="shared" si="80"/>
        <v>"%USERPROFILE%\Documents\GitHub\eaglep3\Utilities\RefineRTDCRunTimes.py" --tripid 241-19 --locoid 4058 --swversion DE.1.0.9.0 --startMP 204:451 --initTime 2017-10-19T23:36:56 --startdatetime 2017-10-20T00:00:13 --delay 66 --endMP 204:233337 --enddatetime 2017-10-20T00:34:24 --enforcementcount 0 &gt;&gt;%USERPROFILE%\Documents\GitHub\eaglep3-reporting\EC\2017-10-19-refined-times.txt</v>
      </c>
      <c r="AI155" s="96" t="str">
        <f t="shared" si="81"/>
        <v>echo {"issue":{"subject":"","project_id":79,"tracker_id":40,"status_id":1,"priority_id":2,"assigned_to_id":338,"start_date":"2017-10-20","description":"","custom_fields":[{"id":1,"name":"Subdivision","value":"EC"},{"id":4,"name":"Milepost","value":"23.3337"},{"id":17,"name":"Train ID","value":"241-19"},{"id":16,"name":"Locomotive ID","value":"4058"},{"id":130,"name":"Impact","value":""},{"id":150,"name":"Time of Event (Mountain Time)","value":"00:34:24"},{"id":151,"name":"Denver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82"/>
        <v>start /low /b %USERPROFILE%\Documents\GitHub\eaglep3\Utilities\DownloadLogsFromS3.py --loco 4058 --day 2017-10-20</v>
      </c>
      <c r="AN155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06:34:24"},{"id":29,"name":"Sharepoint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84"/>
        <v>https://d0f6bd738d7f1b3e5a7ca70fe4ff75f0.us-east-1.aws.found.io/app/kibana#/discover/Steve-Slow-Train-Analysis-(2080s-and-2083s)?_g=(refreshInterval:(display:Off,pause:!f,section:0,value:0),time:(from:'2017-10-19T22:36:56-0600',mode:absolute,to:'2017-10-20T01:34:24-0600'))&amp;_a=(columns:!('Message%20ID',Summary),filters:!(),index:'emp_*',interval:auto,query:(query_string:(analyze_wildcard:!t,query:'%22rtdc.l.rtdc.4058%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813</v>
      </c>
      <c r="B156" s="7">
        <v>4057</v>
      </c>
      <c r="C156" s="21" t="s">
        <v>194</v>
      </c>
      <c r="D156" s="21" t="s">
        <v>845</v>
      </c>
      <c r="E156" s="13">
        <v>43028.038032407407</v>
      </c>
      <c r="F156" s="13">
        <v>43028.040034722224</v>
      </c>
      <c r="G156" s="7">
        <v>65</v>
      </c>
      <c r="H156" s="21" t="s">
        <v>354</v>
      </c>
      <c r="I156" s="13">
        <v>43028.066666666666</v>
      </c>
      <c r="J156" s="7">
        <v>0</v>
      </c>
      <c r="K156" s="89" t="str">
        <f t="shared" si="62"/>
        <v>4057/4058</v>
      </c>
      <c r="L156" s="185" t="s">
        <v>997</v>
      </c>
      <c r="M156" s="6">
        <f t="shared" si="63"/>
        <v>2.6631944441760425E-2</v>
      </c>
      <c r="N156" s="7">
        <f t="shared" si="61"/>
        <v>38.349999996135011</v>
      </c>
      <c r="O156" s="7"/>
      <c r="P156" s="7"/>
      <c r="Q156" s="22"/>
      <c r="R156" s="174"/>
      <c r="S156" s="221">
        <f t="shared" si="60"/>
        <v>1</v>
      </c>
      <c r="T156" s="174" t="str">
        <f t="shared" si="64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5"/>
        <v>https://d0f6bd738d7f1b3e5a7ca70fe4ff75f0.us-east-1.aws.found.io/app/kibana#/discover/Steve-Slow-Train-Analysis-(2080s-and-2083s)?_g=(refreshInterval:(display:Off,pause:!f,section:0,value:0),time:(from:'2017-10-19T23:54:46-0600',mode:absolute,to:'2017-10-20T02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6" s="204" t="str">
        <f>IF(AA156&lt;VLOOKUP(AG156,Variables!$AC$3:$AD$8,2,FALSE),"Y","N")</f>
        <v>N</v>
      </c>
      <c r="X156" s="204">
        <f t="shared" si="79"/>
        <v>1</v>
      </c>
      <c r="Y156" s="204">
        <f t="shared" si="77"/>
        <v>23.3017</v>
      </c>
      <c r="Z156" s="204">
        <f t="shared" si="78"/>
        <v>1.52E-2</v>
      </c>
      <c r="AA156" s="204">
        <f t="shared" si="67"/>
        <v>23.2865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8"/>
        <v>242</v>
      </c>
      <c r="AE156" s="77" t="str">
        <f t="shared" si="69"/>
        <v>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 &amp; aws s3 cp s3://rtdc.mdm.uploadarchive.raw/RTDC4057/ "%USERPROFILE%\AppData\Local\Temp\OnboardLogs"\RTDC4057\2017-10-21 --exclude "*" --recursive --include "*20171021*" &amp; "%USERPROFILE%\Documents\GitHub\mrs-test-scripts\Headless Mode &amp; Sideloading\WalkAndUnGZ.bat" "%USERPROFILE%\AppData\Local\Temp\OnboardLogs"\RTDC4057\2017-10-21</v>
      </c>
      <c r="AF156" s="74" t="str">
        <f t="shared" si="70"/>
        <v>"C:\Program Files (x86)\AstroGrep\AstroGrep.exe" /e /r /s /spath="%USERPROFILE%\AppData\Local\Temp\OnboardLogs" /stypes="app*4057*20171020*" /stext=" 07:.+((SYSTEM_STATE.+slice.+state.+changed )|(ment ac)|(multiple cpu faults)|(system.+state.+changed )|(\[timeout)|(PRM\|1\|D)|(kpr)|(kdp)|(train st.+moving)|(\|lc)|(penalty))"</v>
      </c>
      <c r="AG156" s="182" t="str">
        <f t="shared" si="71"/>
        <v>EC</v>
      </c>
      <c r="AH156" s="78" t="str">
        <f t="shared" si="80"/>
        <v>"%USERPROFILE%\Documents\GitHub\eaglep3\Utilities\RefineRTDCRunTimes.py" --tripid 242-19 --locoid 4057 --swversion DE.1.0.9.0 --startMP 204:233017 --initTime 2017-10-20T00:54:46 --startdatetime 2017-10-20T00:57:39 --delay 65 --endMP 204:152 --enddatetime 2017-10-20T01:36:00 --enforcementcount 0 &gt;&gt;%USERPROFILE%\Documents\GitHub\eaglep3-reporting\EC\2017-10-19-refined-times.txt</v>
      </c>
      <c r="AI156" s="96" t="str">
        <f t="shared" si="81"/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ID","value":"242-19"},{"id":16,"name":"Locomotive ID","value":"4057"},{"id":130,"name":"Impact","value":""},{"id":150,"name":"Time of Event (Mountain Time)","value":"01:36:00"},{"id":151,"name":"Denver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82"/>
        <v>start /low /b %USERPROFILE%\Documents\GitHub\eaglep3\Utilities\DownloadLogsFromS3.py --loco 4057 --day 2017-10-20</v>
      </c>
      <c r="AN156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84"/>
        <v>https://d0f6bd738d7f1b3e5a7ca70fe4ff75f0.us-east-1.aws.found.io/app/kibana#/discover/Steve-Slow-Train-Analysis-(2080s-and-2083s)?_g=(refreshInterval:(display:Off,pause:!f,section:0,value:0),time:(from:'2017-10-19T23:54:46-0600',mode:absolute,to:'2017-10-20T02:36:00-0600'))&amp;_a=(columns:!('Message%20ID',Summary),filters:!(),index:'emp_*',interval:auto,query:(query_string:(analyze_wildcard:!t,query:'%22rtdc.l.rtdc.4057%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810</v>
      </c>
      <c r="B157" s="7">
        <v>4018</v>
      </c>
      <c r="C157" s="21" t="s">
        <v>194</v>
      </c>
      <c r="D157" s="21" t="s">
        <v>344</v>
      </c>
      <c r="E157" s="13">
        <v>43028.009652777779</v>
      </c>
      <c r="F157" s="13">
        <v>43028.020972222221</v>
      </c>
      <c r="G157" s="7">
        <v>54</v>
      </c>
      <c r="H157" s="21" t="s">
        <v>877</v>
      </c>
      <c r="I157" s="13">
        <v>43028.045671296299</v>
      </c>
      <c r="J157" s="7">
        <v>0</v>
      </c>
      <c r="K157" s="89" t="str">
        <f t="shared" si="62"/>
        <v>4017/4018</v>
      </c>
      <c r="L157" s="185" t="s">
        <v>998</v>
      </c>
      <c r="M157" s="6">
        <f t="shared" si="63"/>
        <v>2.4699074077943806E-2</v>
      </c>
      <c r="N157" s="7">
        <f t="shared" si="61"/>
        <v>35.56666667223908</v>
      </c>
      <c r="O157" s="7"/>
      <c r="P157" s="7"/>
      <c r="Q157" s="22"/>
      <c r="R157" s="174"/>
      <c r="S157" s="221">
        <f t="shared" si="60"/>
        <v>1</v>
      </c>
      <c r="T157" s="174" t="str">
        <f t="shared" si="64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5"/>
        <v>https://d0f6bd738d7f1b3e5a7ca70fe4ff75f0.us-east-1.aws.found.io/app/kibana#/discover/Steve-Slow-Train-Analysis-(2080s-and-2083s)?_g=(refreshInterval:(display:Off,pause:!f,section:0,value:0),time:(from:'2017-10-19T23:13:54-0600',mode:absolute,to:'2017-10-20T02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204" t="str">
        <f>IF(AA157&lt;VLOOKUP(AG157,Variables!$AC$3:$AD$8,2,FALSE),"Y","N")</f>
        <v>N</v>
      </c>
      <c r="X157" s="204">
        <f t="shared" si="79"/>
        <v>1</v>
      </c>
      <c r="Y157" s="204">
        <f t="shared" si="77"/>
        <v>4.5499999999999999E-2</v>
      </c>
      <c r="Z157" s="204">
        <f t="shared" si="78"/>
        <v>23.341000000000001</v>
      </c>
      <c r="AA157" s="204">
        <f t="shared" si="67"/>
        <v>23.295500000000001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8"/>
        <v>243</v>
      </c>
      <c r="AE157" s="77" t="str">
        <f t="shared" si="69"/>
        <v>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 &amp; 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</v>
      </c>
      <c r="AF157" s="74" t="str">
        <f t="shared" si="70"/>
        <v>"C:\Program Files (x86)\AstroGrep\AstroGrep.exe" /e /r /s /spath="%USERPROFILE%\AppData\Local\Temp\OnboardLogs" /stypes="app*4018*20171020*" /stext=" 07:.+((SYSTEM_STATE.+slice.+state.+changed )|(ment ac)|(multiple cpu faults)|(system.+state.+changed )|(\[timeout)|(PRM\|1\|D)|(kpr)|(kdp)|(train st.+moving)|(\|lc)|(penalty))"</v>
      </c>
      <c r="AG157" s="182" t="str">
        <f t="shared" si="71"/>
        <v>EC</v>
      </c>
      <c r="AH157" s="78" t="str">
        <f t="shared" si="80"/>
        <v>"%USERPROFILE%\Documents\GitHub\eaglep3\Utilities\RefineRTDCRunTimes.py" --tripid 243-19 --locoid 4018 --swversion DE.1.0.9.0 --startMP 204:455 --initTime 2017-10-20T00:13:54 --startdatetime 2017-10-20T00:30:12 --delay 54 --endMP 204:233410 --enddatetime 2017-10-20T01:05:46 --enforcementcount 0 &gt;&gt;%USERPROFILE%\Documents\GitHub\eaglep3-reporting\EC\2017-10-19-refined-times.txt</v>
      </c>
      <c r="AI157" s="96" t="str">
        <f t="shared" si="81"/>
        <v>echo {"issue":{"subject":"","project_id":79,"tracker_id":40,"status_id":1,"priority_id":2,"assigned_to_id":338,"start_date":"2017-10-20","description":"","custom_fields":[{"id":1,"name":"Subdivision","value":"EC"},{"id":4,"name":"Milepost","value":"23.341"},{"id":17,"name":"Train ID","value":"243-19"},{"id":16,"name":"Locomotive ID","value":"4018"},{"id":130,"name":"Impact","value":""},{"id":150,"name":"Time of Event (Mountain Time)","value":"01:05:46"},{"id":151,"name":"Denver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82"/>
        <v>start /low /b %USERPROFILE%\Documents\GitHub\eaglep3\Utilities\DownloadLogsFromS3.py --loco 4018 --day 2017-10-20</v>
      </c>
      <c r="AN157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07:05:46"},{"id":29,"name":"Sharepoint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84"/>
        <v>https://d0f6bd738d7f1b3e5a7ca70fe4ff75f0.us-east-1.aws.found.io/app/kibana#/discover/Steve-Slow-Train-Analysis-(2080s-and-2083s)?_g=(refreshInterval:(display:Off,pause:!f,section:0,value:0),time:(from:'2017-10-19T23:13:54-0600',mode:absolute,to:'2017-10-20T02:05:46-0600'))&amp;_a=(columns:!('Message%20ID',Summary),filters:!(),index:'emp_*',interval:auto,query:(query_string:(analyze_wildcard:!t,query:'%22rtdc.l.rtdc.4018%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815</v>
      </c>
      <c r="B158" s="7">
        <v>4017</v>
      </c>
      <c r="C158" s="21" t="s">
        <v>194</v>
      </c>
      <c r="D158" s="21" t="s">
        <v>344</v>
      </c>
      <c r="E158" s="13">
        <v>43028.009652777779</v>
      </c>
      <c r="F158" s="13">
        <v>43028.060567129629</v>
      </c>
      <c r="G158" s="7">
        <v>54</v>
      </c>
      <c r="H158" s="21" t="s">
        <v>877</v>
      </c>
      <c r="I158" s="13">
        <v>43028.086817129632</v>
      </c>
      <c r="J158" s="7">
        <v>0</v>
      </c>
      <c r="K158" s="89" t="str">
        <f t="shared" si="62"/>
        <v>4017/4018</v>
      </c>
      <c r="L158" s="185" t="s">
        <v>998</v>
      </c>
      <c r="M158" s="6">
        <f t="shared" si="63"/>
        <v>2.6250000002619345E-2</v>
      </c>
      <c r="N158" s="7">
        <f t="shared" si="61"/>
        <v>37.800000003771856</v>
      </c>
      <c r="O158" s="7"/>
      <c r="P158" s="7"/>
      <c r="Q158" s="22"/>
      <c r="R158" s="174"/>
      <c r="S158" s="221">
        <f t="shared" si="60"/>
        <v>1</v>
      </c>
      <c r="T158" s="174" t="str">
        <f t="shared" si="64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5"/>
        <v>https://d0f6bd738d7f1b3e5a7ca70fe4ff75f0.us-east-1.aws.found.io/app/kibana#/discover/Steve-Slow-Train-Analysis-(2080s-and-2083s)?_g=(refreshInterval:(display:Off,pause:!f,section:0,value:0),time:(from:'2017-10-19T23:13:54-0600',mode:absolute,to:'2017-10-20T03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204" t="str">
        <f>IF(AA158&lt;VLOOKUP(AG158,Variables!$AC$3:$AD$8,2,FALSE),"Y","N")</f>
        <v>N</v>
      </c>
      <c r="X158" s="204">
        <f t="shared" si="79"/>
        <v>1</v>
      </c>
      <c r="Y158" s="204">
        <v>23.3017</v>
      </c>
      <c r="Z158" s="204">
        <v>1.52E-2</v>
      </c>
      <c r="AA158" s="204">
        <f t="shared" si="67"/>
        <v>23.2865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8"/>
        <v>244</v>
      </c>
      <c r="AE158" s="77" t="str">
        <f t="shared" si="69"/>
        <v>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 &amp; aws s3 cp s3://rtdc.mdm.uploadarchive.raw/RTDC4017/ "%USERPROFILE%\AppData\Local\Temp\OnboardLogs"\RTDC4017\2017-10-21 --exclude "*" --recursive --include "*20171021*" &amp; "%USERPROFILE%\Documents\GitHub\mrs-test-scripts\Headless Mode &amp; Sideloading\WalkAndUnGZ.bat" "%USERPROFILE%\AppData\Local\Temp\OnboardLogs"\RTDC4017\2017-10-21</v>
      </c>
      <c r="AF158" s="74" t="str">
        <f t="shared" si="70"/>
        <v>"C:\Program Files (x86)\AstroGrep\AstroGrep.exe" /e /r /s /spath="%USERPROFILE%\AppData\Local\Temp\OnboardLogs" /stypes="app*4017*20171020*" /stext=" 08:.+((SYSTEM_STATE.+slice.+state.+changed )|(ment ac)|(multiple cpu faults)|(system.+state.+changed )|(\[timeout)|(PRM\|1\|D)|(kpr)|(kdp)|(train st.+moving)|(\|lc)|(penalty))"</v>
      </c>
      <c r="AG158" s="182" t="str">
        <f t="shared" si="71"/>
        <v>EC</v>
      </c>
      <c r="AH158" s="78" t="str">
        <f t="shared" ref="AH158" si="85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244-19 --locoid 4017 --swversion DE.1.0.9.0 --startMP 204:455 --initTime 2017-10-20T00:13:54 --startdatetime 2017-10-20T01:27:13 --delay 54 --endMP 204:233410 --enddatetime 2017-10-20T02:05:01 --enforcementcount 0 &gt;&gt;%USERPROFILE%\Documents\GitHub\eaglep3-reporting\EC\2017-10-19-refined-times.txt</v>
      </c>
      <c r="AI158" s="96" t="str">
        <f t="shared" ref="AI158" si="86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{"issue":{"subject":"","project_id":79,"tracker_id":40,"status_id":1,"priority_id":2,"assigned_to_id":338,"start_date":"2017-10-20","description":"","custom_fields":[{"id":1,"name":"Subdivision","value":"EC"},{"id":4,"name":"Milepost","value":"0.0152"},{"id":17,"name":"Train ID","value":"244-19"},{"id":16,"name":"Locomotive ID","value":"4017"},{"id":130,"name":"Impact","value":""},{"id":150,"name":"Time of Event (Mountain Time)","value":"02:05:01"},{"id":151,"name":"Denver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ref="AM158" si="87">"start /low /b "&amp;dls3logs&amp;" --loco "&amp;B158&amp;" --day "&amp;TEXT(F158,"YYYY-MM-DD")</f>
        <v>start /low /b %USERPROFILE%\Documents\GitHub\eaglep3\Utilities\DownloadLogsFromS3.py --loco 4017 --day 2017-10-20</v>
      </c>
      <c r="AN158" s="151" t="str">
        <f t="shared" ref="AN158" si="88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08:05:01"},{"id":29,"name":"Sharepoint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ref="AO158" si="89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-19T23:13:54-0600',mode:absolute,to:'2017-10-20T03:05:01-0600'))&amp;_a=(columns:!('Message%20ID',Summary),filters:!(),index:'emp_*',interval:auto,query:(query_string:(analyze_wildcard:!t,query:'%22rtdc.l.rtdc.4017%22')),sort:!(Time.ISO8601,asc))</v>
      </c>
    </row>
    <row r="159" spans="1:91" s="20" customFormat="1" x14ac:dyDescent="0.25">
      <c r="A159" s="32" t="s">
        <v>567</v>
      </c>
      <c r="B159" s="7">
        <v>4023</v>
      </c>
      <c r="C159" s="21" t="s">
        <v>194</v>
      </c>
      <c r="D159" s="21" t="s">
        <v>918</v>
      </c>
      <c r="E159" s="13">
        <v>43027.215520833335</v>
      </c>
      <c r="F159" s="13">
        <v>43027.216967592591</v>
      </c>
      <c r="G159" s="7">
        <v>63</v>
      </c>
      <c r="H159" s="21" t="s">
        <v>919</v>
      </c>
      <c r="I159" s="13">
        <v>43027.226493055554</v>
      </c>
      <c r="J159" s="7">
        <v>0</v>
      </c>
      <c r="K159" s="89" t="str">
        <f t="shared" si="62"/>
        <v>4023/4024</v>
      </c>
      <c r="L159" s="185" t="str">
        <f>VLOOKUP(A159,'Trips&amp;Operators'!$C$1:$G$99911,5,FALSE)</f>
        <v>DAVIS WENDY</v>
      </c>
      <c r="M159" s="6">
        <f t="shared" si="63"/>
        <v>9.5254629632108845E-3</v>
      </c>
      <c r="N159" s="7">
        <f t="shared" si="61"/>
        <v>13.716666667023674</v>
      </c>
      <c r="O159" s="7"/>
      <c r="P159" s="7"/>
      <c r="Q159" s="22"/>
      <c r="R159" s="174"/>
      <c r="S159" s="221">
        <f t="shared" si="60"/>
        <v>1</v>
      </c>
      <c r="T159" s="174" t="str">
        <f t="shared" si="64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5"/>
        <v>https://d0f6bd738d7f1b3e5a7ca70fe4ff75f0.us-east-1.aws.found.io/app/kibana#/discover/Steve-Slow-Train-Analysis-(2080s-and-2083s)?_g=(refreshInterval:(display:Off,pause:!f,section:0,value:0),time:(from:'2017-10-19T04:10:21-0600',mode:absolute,to:'2017-10-19T06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9" s="204" t="str">
        <f>IF(AA159&lt;VLOOKUP(AG159,Variables!$AC$3:$AD$8,2,FALSE),"Y","N")</f>
        <v>N</v>
      </c>
      <c r="X159" s="204">
        <f t="shared" ref="X159:X166" si="90">VALUE(LEFT(AD159,4))-VALUE(LEFT(AD158,4))</f>
        <v>556</v>
      </c>
      <c r="Y159" s="204">
        <f>RIGHT(D159,LEN(D159)-4)/10000</f>
        <v>5.8701999999999996</v>
      </c>
      <c r="Z159" s="204">
        <f>RIGHT(H159,LEN(H159)-4)/10000</f>
        <v>6.54E-2</v>
      </c>
      <c r="AA159" s="204">
        <f t="shared" si="67"/>
        <v>5.8047999999999993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8"/>
        <v>800</v>
      </c>
      <c r="AE159" s="77" t="str">
        <f t="shared" si="69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159" s="74" t="str">
        <f t="shared" si="70"/>
        <v>"C:\Program Files (x86)\AstroGrep\AstroGrep.exe" /e /r /s /spath="%USERPROFILE%\AppData\Local\Temp\OnboardLogs" /stypes="app*4023*20171019*" /stext=" 11:.+((SYSTEM_STATE.+slice.+state.+changed )|(ment ac)|(multiple cpu faults)|(system.+state.+changed )|(\[timeout)|(PRM\|1\|D)|(kpr)|(kdp)|(train st.+moving)|(\|lc)|(penalty))"</v>
      </c>
      <c r="AG159" s="182" t="str">
        <f t="shared" si="71"/>
        <v>NW</v>
      </c>
      <c r="AH159" s="78" t="str">
        <f t="shared" si="80"/>
        <v>"%USERPROFILE%\Documents\GitHub\eaglep3\Utilities\RefineRTDCRunTimes.py" --tripid 800-19 --locoid 4023 --swversion DE.1.0.9.0 --startMP 300:58702 --initTime 2017-10-19T05:10:21 --startdatetime 2017-10-19T05:12:26 --delay 63 --endMP 204:654 --enddatetime 2017-10-19T05:26:09 --enforcementcount 0 &gt;&gt;%USERPROFILE%\Documents\GitHub\eaglep3-reporting\EC\2017-10-19-refined-times.txt</v>
      </c>
      <c r="AI159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{"issue":{"subject":"","project_id":79,"tracker_id":40,"status_id":1,"priority_id":2,"assigned_to_id":338,"start_date":"2017-10-19","description":"","custom_fields":[{"id":1,"name":"Subdivision","value":"NW"},{"id":4,"name":"Milepost","value":"0.0654"},{"id":17,"name":"Train ID","value":"800-19"},{"id":16,"name":"Locomotive ID","value":"4023"},{"id":130,"name":"Impact","value":""},{"id":150,"name":"Time of Event (Mountain Time)","value":"05:26:09"},{"id":151,"name":"Denver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82"/>
        <v>start /low /b %USERPROFILE%\Documents\GitHub\eaglep3\Utilities\DownloadLogsFromS3.py --loco 4023 --day 2017-10-19</v>
      </c>
      <c r="AN159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84"/>
        <v>https://d0f6bd738d7f1b3e5a7ca70fe4ff75f0.us-east-1.aws.found.io/app/kibana#/discover/Steve-Slow-Train-Analysis-(2080s-and-2083s)?_g=(refreshInterval:(display:Off,pause:!f,section:0,value:0),time:(from:'2017-10-19T04:10:21-0600',mode:absolute,to:'2017-10-19T06:26:09-0600'))&amp;_a=(columns:!('Message%20ID',Summary),filters:!(),index:'emp_*',interval:auto,query:(query_string:(analyze_wildcard:!t,query:'%22rtdc.l.rtdc.4023%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568</v>
      </c>
      <c r="B160" s="7">
        <v>4024</v>
      </c>
      <c r="C160" s="21" t="s">
        <v>194</v>
      </c>
      <c r="D160" s="21" t="s">
        <v>918</v>
      </c>
      <c r="E160" s="13">
        <v>43027.215520833335</v>
      </c>
      <c r="F160" s="13">
        <v>43027.235856481479</v>
      </c>
      <c r="G160" s="7">
        <v>63</v>
      </c>
      <c r="H160" s="21" t="s">
        <v>919</v>
      </c>
      <c r="I160" s="13">
        <v>43027.247141203705</v>
      </c>
      <c r="J160" s="7">
        <v>0</v>
      </c>
      <c r="K160" s="89" t="str">
        <f t="shared" si="62"/>
        <v>4023/4024</v>
      </c>
      <c r="L160" s="185" t="str">
        <f>VLOOKUP(A160,'Trips&amp;Operators'!$C$1:$G$99911,5,FALSE)</f>
        <v>DAVIS WENDY</v>
      </c>
      <c r="M160" s="6">
        <f t="shared" si="63"/>
        <v>1.1284722226264421E-2</v>
      </c>
      <c r="N160" s="7">
        <f t="shared" si="61"/>
        <v>16.250000005820766</v>
      </c>
      <c r="O160" s="7"/>
      <c r="P160" s="7"/>
      <c r="Q160" s="22"/>
      <c r="R160" s="174"/>
      <c r="S160" s="221">
        <f t="shared" si="60"/>
        <v>1</v>
      </c>
      <c r="T160" s="174" t="str">
        <f t="shared" si="64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5"/>
        <v>https://d0f6bd738d7f1b3e5a7ca70fe4ff75f0.us-east-1.aws.found.io/app/kibana#/discover/Steve-Slow-Train-Analysis-(2080s-and-2083s)?_g=(refreshInterval:(display:Off,pause:!f,section:0,value:0),time:(from:'2017-10-19T04:10:21-0600',mode:absolute,to:'2017-10-19T06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0" s="204" t="str">
        <f>IF(AA160&lt;VLOOKUP(AG160,Variables!$AC$3:$AD$8,2,FALSE),"Y","N")</f>
        <v>N</v>
      </c>
      <c r="X160" s="204">
        <f t="shared" si="90"/>
        <v>1</v>
      </c>
      <c r="Y160" s="204">
        <v>9.6699999999999994E-2</v>
      </c>
      <c r="Z160" s="204">
        <v>5.8992000000000004</v>
      </c>
      <c r="AA160" s="204">
        <f t="shared" si="67"/>
        <v>5.8025000000000002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8"/>
        <v>801</v>
      </c>
      <c r="AE160" s="77" t="str">
        <f t="shared" si="69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160" s="74" t="str">
        <f t="shared" si="70"/>
        <v>"C:\Program Files (x86)\AstroGrep\AstroGrep.exe" /e /r /s /spath="%USERPROFILE%\AppData\Local\Temp\OnboardLogs" /stypes="app*4024*20171019*" /stext=" 11:.+((SYSTEM_STATE.+slice.+state.+changed )|(ment ac)|(multiple cpu faults)|(system.+state.+changed )|(\[timeout)|(PRM\|1\|D)|(kpr)|(kdp)|(train st.+moving)|(\|lc)|(penalty))"</v>
      </c>
      <c r="AG160" s="182" t="str">
        <f t="shared" si="71"/>
        <v>NW</v>
      </c>
      <c r="AH160" s="78" t="str">
        <f t="shared" ref="AH160" si="91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801-19 --locoid 4024 --swversion DE.1.0.9.0 --startMP 300:58702 --initTime 2017-10-19T05:10:21 --startdatetime 2017-10-19T05:39:38 --delay 63 --endMP 204:654 --enddatetime 2017-10-19T05:55:53 --enforcementcount 0 &gt;&gt;%USERPROFILE%\Documents\GitHub\eaglep3-reporting\EC\2017-10-19-refined-times.txt</v>
      </c>
      <c r="AI160" s="96" t="str">
        <f t="shared" ref="AI160" si="92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{"issue":{"subject":"","project_id":79,"tracker_id":40,"status_id":1,"priority_id":2,"assigned_to_id":338,"start_date":"2017-10-19","description":"","custom_fields":[{"id":1,"name":"Subdivision","value":"NW"},{"id":4,"name":"Milepost","value":"5.8992"},{"id":17,"name":"Train ID","value":"801-19"},{"id":16,"name":"Locomotive ID","value":"4024"},{"id":130,"name":"Impact","value":""},{"id":150,"name":"Time of Event (Mountain Time)","value":"05:55:53"},{"id":151,"name":"Denver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ref="AM160" si="93">"start /low /b "&amp;dls3logs&amp;" --loco "&amp;B160&amp;" --day "&amp;TEXT(F160,"YYYY-MM-DD")</f>
        <v>start /low /b %USERPROFILE%\Documents\GitHub\eaglep3\Utilities\DownloadLogsFromS3.py --loco 4024 --day 2017-10-19</v>
      </c>
      <c r="AN160" s="151" t="str">
        <f t="shared" ref="AN160" si="94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ref="AO160" si="95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-19T04:10:21-0600',mode:absolute,to:'2017-10-19T06:55:53-0600'))&amp;_a=(columns:!('Message%20ID',Summary),filters:!(),index:'emp_*',interval:auto,query:(query_string:(analyze_wildcard:!t,query:'%22rtdc.l.rtdc.4024%22')),sort:!(Time.ISO8601,asc))</v>
      </c>
    </row>
    <row r="161" spans="1:91" s="20" customFormat="1" x14ac:dyDescent="0.25">
      <c r="A161" s="32" t="s">
        <v>624</v>
      </c>
      <c r="B161" s="7">
        <v>4023</v>
      </c>
      <c r="C161" s="21" t="s">
        <v>194</v>
      </c>
      <c r="D161" s="21" t="s">
        <v>920</v>
      </c>
      <c r="E161" s="13">
        <v>43027.24832175926</v>
      </c>
      <c r="F161" s="13">
        <v>43027.253761574073</v>
      </c>
      <c r="G161" s="7">
        <v>52</v>
      </c>
      <c r="H161" s="21" t="s">
        <v>921</v>
      </c>
      <c r="I161" s="13">
        <v>43027.267743055556</v>
      </c>
      <c r="J161" s="7">
        <v>0</v>
      </c>
      <c r="K161" s="89" t="str">
        <f t="shared" si="62"/>
        <v>4023/4024</v>
      </c>
      <c r="L161" s="185" t="str">
        <f>VLOOKUP(A161,'Trips&amp;Operators'!$C$1:$G$99911,5,FALSE)</f>
        <v>DAVIS WENDY</v>
      </c>
      <c r="M161" s="6">
        <f t="shared" si="63"/>
        <v>1.3981481482915115E-2</v>
      </c>
      <c r="N161" s="7">
        <f t="shared" si="61"/>
        <v>20.133333335397765</v>
      </c>
      <c r="O161" s="7"/>
      <c r="P161" s="7"/>
      <c r="Q161" s="22"/>
      <c r="R161" s="174"/>
      <c r="S161" s="221">
        <f t="shared" si="60"/>
        <v>1</v>
      </c>
      <c r="T161" s="174" t="str">
        <f t="shared" si="64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5"/>
        <v>https://d0f6bd738d7f1b3e5a7ca70fe4ff75f0.us-east-1.aws.found.io/app/kibana#/discover/Steve-Slow-Train-Analysis-(2080s-and-2083s)?_g=(refreshInterval:(display:Off,pause:!f,section:0,value:0),time:(from:'2017-10-19T04:57:35-0600',mode:absolute,to:'2017-10-19T07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1" s="204" t="str">
        <f>IF(AA161&lt;VLOOKUP(AG161,Variables!$AC$3:$AD$8,2,FALSE),"Y","N")</f>
        <v>N</v>
      </c>
      <c r="X161" s="204">
        <f t="shared" si="90"/>
        <v>1</v>
      </c>
      <c r="Y161" s="204">
        <f>RIGHT(D161,LEN(D161)-4)/10000</f>
        <v>5.8708999999999998</v>
      </c>
      <c r="Z161" s="204">
        <f>RIGHT(H161,LEN(H161)-4)/10000</f>
        <v>6.4000000000000001E-2</v>
      </c>
      <c r="AA161" s="204">
        <f t="shared" si="67"/>
        <v>5.8068999999999997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8"/>
        <v>802</v>
      </c>
      <c r="AE161" s="77" t="str">
        <f t="shared" si="69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161" s="74" t="str">
        <f t="shared" si="70"/>
        <v>"C:\Program Files (x86)\AstroGrep\AstroGrep.exe" /e /r /s /spath="%USERPROFILE%\AppData\Local\Temp\OnboardLogs" /stypes="app*4023*20171019*" /stext=" 12:.+((SYSTEM_STATE.+slice.+state.+changed )|(ment ac)|(multiple cpu faults)|(system.+state.+changed )|(\[timeout)|(PRM\|1\|D)|(kpr)|(kdp)|(train st.+moving)|(\|lc)|(penalty))"</v>
      </c>
      <c r="AG161" s="182" t="str">
        <f t="shared" si="71"/>
        <v>NW</v>
      </c>
      <c r="AH161" s="78" t="str">
        <f t="shared" si="80"/>
        <v>"%USERPROFILE%\Documents\GitHub\eaglep3\Utilities\RefineRTDCRunTimes.py" --tripid 802-19 --locoid 4023 --swversion DE.1.0.9.0 --startMP 300:58709 --initTime 2017-10-19T05:57:35 --startdatetime 2017-10-19T06:05:25 --delay 52 --endMP 204:640 --enddatetime 2017-10-19T06:25:33 --enforcementcount 0 &gt;&gt;%USERPROFILE%\Documents\GitHub\eaglep3-reporting\EC\2017-10-19-refined-times.txt</v>
      </c>
      <c r="AI161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{"issue":{"subject":"","project_id":79,"tracker_id":40,"status_id":1,"priority_id":2,"assigned_to_id":338,"start_date":"2017-10-19","description":"","custom_fields":[{"id":1,"name":"Subdivision","value":"NW"},{"id":4,"name":"Milepost","value":"0.064"},{"id":17,"name":"Train ID","value":"802-19"},{"id":16,"name":"Locomotive ID","value":"4023"},{"id":130,"name":"Impact","value":""},{"id":150,"name":"Time of Event (Mountain Time)","value":"06:25:33"},{"id":151,"name":"Denver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82"/>
        <v>start /low /b %USERPROFILE%\Documents\GitHub\eaglep3\Utilities\DownloadLogsFromS3.py --loco 4023 --day 2017-10-19</v>
      </c>
      <c r="AN161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84"/>
        <v>https://d0f6bd738d7f1b3e5a7ca70fe4ff75f0.us-east-1.aws.found.io/app/kibana#/discover/Steve-Slow-Train-Analysis-(2080s-and-2083s)?_g=(refreshInterval:(display:Off,pause:!f,section:0,value:0),time:(from:'2017-10-19T04:57:35-0600',mode:absolute,to:'2017-10-19T07:25:33-0600'))&amp;_a=(columns:!('Message%20ID',Summary),filters:!(),index:'emp_*',interval:auto,query:(query_string:(analyze_wildcard:!t,query:'%22rtdc.l.rtdc.4023%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623</v>
      </c>
      <c r="B162" s="7">
        <v>4044</v>
      </c>
      <c r="C162" s="21" t="s">
        <v>194</v>
      </c>
      <c r="D162" s="21" t="s">
        <v>922</v>
      </c>
      <c r="E162" s="13">
        <v>43027.247083333335</v>
      </c>
      <c r="F162" s="13">
        <v>43027.256435185183</v>
      </c>
      <c r="G162" s="7">
        <v>66</v>
      </c>
      <c r="H162" s="21" t="s">
        <v>923</v>
      </c>
      <c r="I162" s="13">
        <v>43027.266956018517</v>
      </c>
      <c r="J162" s="7">
        <v>0</v>
      </c>
      <c r="K162" s="89" t="str">
        <f t="shared" si="62"/>
        <v>4043/4044</v>
      </c>
      <c r="L162" s="185" t="str">
        <f>VLOOKUP(A162,'Trips&amp;Operators'!$C$1:$G$99911,5,FALSE)</f>
        <v>FORTUNATO FRANK</v>
      </c>
      <c r="M162" s="6">
        <f t="shared" si="63"/>
        <v>1.0520833333430346E-2</v>
      </c>
      <c r="N162" s="7">
        <f t="shared" si="61"/>
        <v>15.150000000139698</v>
      </c>
      <c r="O162" s="7"/>
      <c r="P162" s="7"/>
      <c r="Q162" s="22"/>
      <c r="R162" s="174"/>
      <c r="S162" s="221">
        <f t="shared" si="60"/>
        <v>1</v>
      </c>
      <c r="T162" s="174" t="str">
        <f t="shared" si="64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5"/>
        <v>https://d0f6bd738d7f1b3e5a7ca70fe4ff75f0.us-east-1.aws.found.io/app/kibana#/discover/Steve-Slow-Train-Analysis-(2080s-and-2083s)?_g=(refreshInterval:(display:Off,pause:!f,section:0,value:0),time:(from:'2017-10-19T04:55:48-0600',mode:absolute,to:'2017-10-19T07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204" t="str">
        <f>IF(AA162&lt;VLOOKUP(AG162,Variables!$AC$3:$AD$8,2,FALSE),"Y","N")</f>
        <v>N</v>
      </c>
      <c r="X162" s="204">
        <f t="shared" si="90"/>
        <v>1</v>
      </c>
      <c r="Y162" s="204">
        <f>RIGHT(D162,LEN(D162)-4)/10000</f>
        <v>9.6699999999999994E-2</v>
      </c>
      <c r="Z162" s="204">
        <f>RIGHT(H162,LEN(H162)-4)/10000</f>
        <v>5.8992000000000004</v>
      </c>
      <c r="AA162" s="204">
        <f t="shared" si="67"/>
        <v>5.8025000000000002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8"/>
        <v>803</v>
      </c>
      <c r="AE162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62" s="74" t="str">
        <f t="shared" si="70"/>
        <v>"C:\Program Files (x86)\AstroGrep\AstroGrep.exe" /e /r /s /spath="%USERPROFILE%\AppData\Local\Temp\OnboardLogs" /stypes="app*4044*20171019*" /stext=" 12:.+((SYSTEM_STATE.+slice.+state.+changed )|(ment ac)|(multiple cpu faults)|(system.+state.+changed )|(\[timeout)|(PRM\|1\|D)|(kpr)|(kdp)|(train st.+moving)|(\|lc)|(penalty))"</v>
      </c>
      <c r="AG162" s="182" t="str">
        <f t="shared" si="71"/>
        <v>NW</v>
      </c>
      <c r="AH162" s="78" t="str">
        <f t="shared" si="80"/>
        <v>"%USERPROFILE%\Documents\GitHub\eaglep3\Utilities\RefineRTDCRunTimes.py" --tripid 803-19 --locoid 4044 --swversion DE.1.0.9.0 --startMP 204:967 --initTime 2017-10-19T05:55:48 --startdatetime 2017-10-19T06:09:16 --delay 66 --endMP 300:58992 --enddatetime 2017-10-19T06:24:25 --enforcementcount 0 &gt;&gt;%USERPROFILE%\Documents\GitHub\eaglep3-reporting\EC\2017-10-19-refined-times.txt</v>
      </c>
      <c r="AI162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{"issue":{"subject":"","project_id":79,"tracker_id":40,"status_id":1,"priority_id":2,"assigned_to_id":338,"start_date":"2017-10-19","description":"","custom_fields":[{"id":1,"name":"Subdivision","value":"NW"},{"id":4,"name":"Milepost","value":"5.8992"},{"id":17,"name":"Train ID","value":"803-19"},{"id":16,"name":"Locomotive ID","value":"4044"},{"id":130,"name":"Impact","value":""},{"id":150,"name":"Time of Event (Mountain Time)","value":"06:24:25"},{"id":151,"name":"Denver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82"/>
        <v>start /low /b %USERPROFILE%\Documents\GitHub\eaglep3\Utilities\DownloadLogsFromS3.py --loco 4044 --day 2017-10-19</v>
      </c>
      <c r="AN162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84"/>
        <v>https://d0f6bd738d7f1b3e5a7ca70fe4ff75f0.us-east-1.aws.found.io/app/kibana#/discover/Steve-Slow-Train-Analysis-(2080s-and-2083s)?_g=(refreshInterval:(display:Off,pause:!f,section:0,value:0),time:(from:'2017-10-19T04:55:48-0600',mode:absolute,to:'2017-10-19T07:24:25-0600'))&amp;_a=(columns:!('Message%20ID',Summary),filters:!(),index:'emp_*',interval:auto,query:(query_string:(analyze_wildcard:!t,query:'%22rtdc.l.rtdc.4044%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627</v>
      </c>
      <c r="B163" s="7">
        <v>4043</v>
      </c>
      <c r="C163" s="21" t="s">
        <v>194</v>
      </c>
      <c r="D163" s="21" t="s">
        <v>924</v>
      </c>
      <c r="E163" s="13">
        <v>43027.268287037034</v>
      </c>
      <c r="F163" s="13">
        <v>43027.279293981483</v>
      </c>
      <c r="G163" s="7">
        <v>51</v>
      </c>
      <c r="H163" s="21" t="s">
        <v>459</v>
      </c>
      <c r="I163" s="13">
        <v>43027.288113425922</v>
      </c>
      <c r="J163" s="7">
        <v>0</v>
      </c>
      <c r="K163" s="89" t="str">
        <f t="shared" si="62"/>
        <v>4043/4044</v>
      </c>
      <c r="L163" s="185" t="str">
        <f>VLOOKUP(A163,'Trips&amp;Operators'!$C$1:$G$99911,5,FALSE)</f>
        <v>FORTUNATO FRANK</v>
      </c>
      <c r="M163" s="6">
        <f t="shared" si="63"/>
        <v>8.8194444397231564E-3</v>
      </c>
      <c r="N163" s="7">
        <f t="shared" si="61"/>
        <v>12.699999993201345</v>
      </c>
      <c r="O163" s="7"/>
      <c r="P163" s="7"/>
      <c r="Q163" s="22"/>
      <c r="R163" s="174"/>
      <c r="S163" s="221">
        <f t="shared" si="60"/>
        <v>1</v>
      </c>
      <c r="T163" s="174" t="str">
        <f t="shared" si="64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5"/>
        <v>https://d0f6bd738d7f1b3e5a7ca70fe4ff75f0.us-east-1.aws.found.io/app/kibana#/discover/Steve-Slow-Train-Analysis-(2080s-and-2083s)?_g=(refreshInterval:(display:Off,pause:!f,section:0,value:0),time:(from:'2017-10-19T05:26:20-0600',mode:absolute,to:'2017-10-19T07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204" t="str">
        <f>IF(AA163&lt;VLOOKUP(AG163,Variables!$AC$3:$AD$8,2,FALSE),"Y","N")</f>
        <v>N</v>
      </c>
      <c r="X163" s="204">
        <f t="shared" si="90"/>
        <v>1</v>
      </c>
      <c r="Y163" s="204">
        <f>RIGHT(D163,LEN(D163)-4)/10000</f>
        <v>5.8673000000000002</v>
      </c>
      <c r="Z163" s="204">
        <f>RIGHT(H163,LEN(H163)-4)/10000</f>
        <v>6.9199999999999998E-2</v>
      </c>
      <c r="AA163" s="204">
        <f t="shared" si="67"/>
        <v>5.7980999999999998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8"/>
        <v>804</v>
      </c>
      <c r="AE163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63" s="74" t="str">
        <f t="shared" si="70"/>
        <v>"C:\Program Files (x86)\AstroGrep\AstroGrep.exe" /e /r /s /spath="%USERPROFILE%\AppData\Local\Temp\OnboardLogs" /stypes="app*4043*20171019*" /stext=" 12:.+((SYSTEM_STATE.+slice.+state.+changed )|(ment ac)|(multiple cpu faults)|(system.+state.+changed )|(\[timeout)|(PRM\|1\|D)|(kpr)|(kdp)|(train st.+moving)|(\|lc)|(penalty))"</v>
      </c>
      <c r="AG163" s="182" t="str">
        <f t="shared" si="71"/>
        <v>NW</v>
      </c>
      <c r="AH163" s="78" t="str">
        <f t="shared" si="80"/>
        <v>"%USERPROFILE%\Documents\GitHub\eaglep3\Utilities\RefineRTDCRunTimes.py" --tripid 804-19 --locoid 4043 --swversion DE.1.0.9.0 --startMP 300:58673 --initTime 2017-10-19T06:26:20 --startdatetime 2017-10-19T06:42:11 --delay 51 --endMP 204:692 --enddatetime 2017-10-19T06:54:53 --enforcementcount 0 &gt;&gt;%USERPROFILE%\Documents\GitHub\eaglep3-reporting\EC\2017-10-19-refined-times.txt</v>
      </c>
      <c r="AI163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{"issue":{"subject":"","project_id":79,"tracker_id":40,"status_id":1,"priority_id":2,"assigned_to_id":338,"start_date":"2017-10-19","description":"","custom_fields":[{"id":1,"name":"Subdivision","value":"NW"},{"id":4,"name":"Milepost","value":"0.0692"},{"id":17,"name":"Train ID","value":"804-19"},{"id":16,"name":"Locomotive ID","value":"4043"},{"id":130,"name":"Impact","value":""},{"id":150,"name":"Time of Event (Mountain Time)","value":"06:54:53"},{"id":151,"name":"Denver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82"/>
        <v>start /low /b %USERPROFILE%\Documents\GitHub\eaglep3\Utilities\DownloadLogsFromS3.py --loco 4043 --day 2017-10-19</v>
      </c>
      <c r="AN163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84"/>
        <v>https://d0f6bd738d7f1b3e5a7ca70fe4ff75f0.us-east-1.aws.found.io/app/kibana#/discover/Steve-Slow-Train-Analysis-(2080s-and-2083s)?_g=(refreshInterval:(display:Off,pause:!f,section:0,value:0),time:(from:'2017-10-19T05:26:20-0600',mode:absolute,to:'2017-10-19T07:54:53-0600'))&amp;_a=(columns:!('Message%20ID',Summary),filters:!(),index:'emp_*',interval:auto,query:(query_string:(analyze_wildcard:!t,query:'%22rtdc.l.rtdc.4043%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569</v>
      </c>
      <c r="B164" s="7">
        <v>4024</v>
      </c>
      <c r="C164" s="21" t="s">
        <v>194</v>
      </c>
      <c r="D164" s="21" t="s">
        <v>924</v>
      </c>
      <c r="E164" s="13">
        <v>43027.268287037034</v>
      </c>
      <c r="F164" s="13">
        <v>43027.277256944442</v>
      </c>
      <c r="G164" s="7">
        <v>51</v>
      </c>
      <c r="H164" s="21" t="s">
        <v>459</v>
      </c>
      <c r="I164" s="13">
        <v>43027.288194444445</v>
      </c>
      <c r="J164" s="7">
        <v>0</v>
      </c>
      <c r="K164" s="89" t="str">
        <f t="shared" si="62"/>
        <v>4023/4024</v>
      </c>
      <c r="L164" s="185" t="str">
        <f>VLOOKUP(A164,'Trips&amp;Operators'!$C$1:$G$99911,5,FALSE)</f>
        <v>DAVIS WENDY</v>
      </c>
      <c r="M164" s="6">
        <f t="shared" si="63"/>
        <v>1.0937500002910383E-2</v>
      </c>
      <c r="N164" s="7">
        <f t="shared" si="61"/>
        <v>15.750000004190952</v>
      </c>
      <c r="O164" s="7"/>
      <c r="P164" s="7"/>
      <c r="Q164" s="22"/>
      <c r="R164" s="174"/>
      <c r="S164" s="221">
        <f t="shared" si="60"/>
        <v>1</v>
      </c>
      <c r="T164" s="174" t="str">
        <f t="shared" si="64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5"/>
        <v>https://d0f6bd738d7f1b3e5a7ca70fe4ff75f0.us-east-1.aws.found.io/app/kibana#/discover/Steve-Slow-Train-Analysis-(2080s-and-2083s)?_g=(refreshInterval:(display:Off,pause:!f,section:0,value:0),time:(from:'2017-10-19T05:26:20-0600',mode:absolute,to:'2017-10-19T07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4" s="204" t="str">
        <f>IF(AA164&lt;VLOOKUP(AG164,Variables!$AC$3:$AD$8,2,FALSE),"Y","N")</f>
        <v>N</v>
      </c>
      <c r="X164" s="204">
        <f t="shared" si="90"/>
        <v>1</v>
      </c>
      <c r="Y164" s="204">
        <v>9.6699999999999994E-2</v>
      </c>
      <c r="Z164" s="204">
        <v>5.8992000000000004</v>
      </c>
      <c r="AA164" s="204">
        <f t="shared" si="67"/>
        <v>5.8025000000000002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8"/>
        <v>805</v>
      </c>
      <c r="AE164" s="77" t="str">
        <f t="shared" si="69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164" s="74" t="str">
        <f t="shared" si="70"/>
        <v>"C:\Program Files (x86)\AstroGrep\AstroGrep.exe" /e /r /s /spath="%USERPROFILE%\AppData\Local\Temp\OnboardLogs" /stypes="app*4024*20171019*" /stext=" 12:.+((SYSTEM_STATE.+slice.+state.+changed )|(ment ac)|(multiple cpu faults)|(system.+state.+changed )|(\[timeout)|(PRM\|1\|D)|(kpr)|(kdp)|(train st.+moving)|(\|lc)|(penalty))"</v>
      </c>
      <c r="AG164" s="182" t="str">
        <f t="shared" si="71"/>
        <v>NW</v>
      </c>
      <c r="AH164" s="78" t="str">
        <f t="shared" ref="AH164" si="96"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805-19 --locoid 4024 --swversion DE.1.0.9.0 --startMP 300:58673 --initTime 2017-10-19T06:26:20 --startdatetime 2017-10-19T06:39:15 --delay 51 --endMP 204:692 --enddatetime 2017-10-19T06:55:00 --enforcementcount 0 &gt;&gt;%USERPROFILE%\Documents\GitHub\eaglep3-reporting\EC\2017-10-19-refined-times.txt</v>
      </c>
      <c r="AI164" s="96" t="str">
        <f t="shared" ref="AI164" si="97"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{"issue":{"subject":"","project_id":79,"tracker_id":40,"status_id":1,"priority_id":2,"assigned_to_id":338,"start_date":"2017-10-19","description":"","custom_fields":[{"id":1,"name":"Subdivision","value":"NW"},{"id":4,"name":"Milepost","value":"5.8992"},{"id":17,"name":"Train ID","value":"805-19"},{"id":16,"name":"Locomotive ID","value":"4024"},{"id":130,"name":"Impact","value":""},{"id":150,"name":"Time of Event (Mountain Time)","value":"06:55:00"},{"id":151,"name":"Denver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ref="AM164" si="98">"start /low /b "&amp;dls3logs&amp;" --loco "&amp;B164&amp;" --day "&amp;TEXT(F164,"YYYY-MM-DD")</f>
        <v>start /low /b %USERPROFILE%\Documents\GitHub\eaglep3\Utilities\DownloadLogsFromS3.py --loco 4024 --day 2017-10-19</v>
      </c>
      <c r="AN164" s="151" t="str">
        <f t="shared" ref="AN164" si="99"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ref="AO164" si="100"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Message%20ID',Summary),filters:!(),index:'emp_*',interval:auto,query:"&amp;"(query_string:(analyze_wildcard:!t,query:'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-19T05:26:20-0600',mode:absolute,to:'2017-10-19T07:55:00-0600'))&amp;_a=(columns:!('Message%20ID',Summary),filters:!(),index:'emp_*',interval:auto,query:(query_string:(analyze_wildcard:!t,query:'%22rtdc.l.rtdc.4024%22')),sort:!(Time.ISO8601,asc))</v>
      </c>
    </row>
    <row r="165" spans="1:91" s="20" customFormat="1" x14ac:dyDescent="0.25">
      <c r="A165" s="32" t="s">
        <v>570</v>
      </c>
      <c r="B165" s="7">
        <v>4023</v>
      </c>
      <c r="C165" s="21" t="s">
        <v>194</v>
      </c>
      <c r="D165" s="21" t="s">
        <v>918</v>
      </c>
      <c r="E165" s="13">
        <v>43027.289201388892</v>
      </c>
      <c r="F165" s="13">
        <v>43027.295578703706</v>
      </c>
      <c r="G165" s="7">
        <v>50</v>
      </c>
      <c r="H165" s="21" t="s">
        <v>925</v>
      </c>
      <c r="I165" s="13">
        <v>43027.309328703705</v>
      </c>
      <c r="J165" s="7">
        <v>0</v>
      </c>
      <c r="K165" s="89" t="str">
        <f t="shared" si="62"/>
        <v>4023/4024</v>
      </c>
      <c r="L165" s="185" t="str">
        <f>VLOOKUP(A165,'Trips&amp;Operators'!$C$1:$G$99911,5,FALSE)</f>
        <v>DAVIS WENDY</v>
      </c>
      <c r="M165" s="6">
        <f t="shared" si="63"/>
        <v>1.374999999825377E-2</v>
      </c>
      <c r="N165" s="7">
        <f t="shared" si="61"/>
        <v>19.799999997485429</v>
      </c>
      <c r="O165" s="7"/>
      <c r="P165" s="7"/>
      <c r="Q165" s="22"/>
      <c r="R165" s="174"/>
      <c r="S165" s="221">
        <f t="shared" si="60"/>
        <v>1</v>
      </c>
      <c r="T165" s="174" t="str">
        <f t="shared" si="64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5"/>
        <v>https://d0f6bd738d7f1b3e5a7ca70fe4ff75f0.us-east-1.aws.found.io/app/kibana#/discover/Steve-Slow-Train-Analysis-(2080s-and-2083s)?_g=(refreshInterval:(display:Off,pause:!f,section:0,value:0),time:(from:'2017-10-19T05:56:27-0600',mode:absolute,to:'2017-10-19T08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5" s="204" t="str">
        <f>IF(AA165&lt;VLOOKUP(AG165,Variables!$AC$3:$AD$8,2,FALSE),"Y","N")</f>
        <v>N</v>
      </c>
      <c r="X165" s="204">
        <f t="shared" si="90"/>
        <v>1</v>
      </c>
      <c r="Y165" s="204">
        <f t="shared" ref="Y165:Y202" si="101">RIGHT(D165,LEN(D165)-4)/10000</f>
        <v>5.8701999999999996</v>
      </c>
      <c r="Z165" s="204">
        <f t="shared" ref="Z165:Z202" si="102">RIGHT(H165,LEN(H165)-4)/10000</f>
        <v>6.4199999999999993E-2</v>
      </c>
      <c r="AA165" s="204">
        <f t="shared" si="67"/>
        <v>5.806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8"/>
        <v>806</v>
      </c>
      <c r="AE165" s="77" t="str">
        <f t="shared" si="69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165" s="74" t="str">
        <f t="shared" si="70"/>
        <v>"C:\Program Files (x86)\AstroGrep\AstroGrep.exe" /e /r /s /spath="%USERPROFILE%\AppData\Local\Temp\OnboardLogs" /stypes="app*4023*20171019*" /stext=" 13:.+((SYSTEM_STATE.+slice.+state.+changed )|(ment ac)|(multiple cpu faults)|(system.+state.+changed )|(\[timeout)|(PRM\|1\|D)|(kpr)|(kdp)|(train st.+moving)|(\|lc)|(penalty))"</v>
      </c>
      <c r="AG165" s="182" t="str">
        <f t="shared" si="71"/>
        <v>NW</v>
      </c>
      <c r="AH165" s="78" t="str">
        <f t="shared" si="80"/>
        <v>"%USERPROFILE%\Documents\GitHub\eaglep3\Utilities\RefineRTDCRunTimes.py" --tripid 806-19 --locoid 4023 --swversion DE.1.0.9.0 --startMP 300:58702 --initTime 2017-10-19T06:56:27 --startdatetime 2017-10-19T07:05:38 --delay 50 --endMP 204:642 --enddatetime 2017-10-19T07:25:26 --enforcementcount 0 &gt;&gt;%USERPROFILE%\Documents\GitHub\eaglep3-reporting\EC\2017-10-19-refined-times.txt</v>
      </c>
      <c r="AI165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{"issue":{"subject":"","project_id":79,"tracker_id":40,"status_id":1,"priority_id":2,"assigned_to_id":338,"start_date":"2017-10-19","description":"","custom_fields":[{"id":1,"name":"Subdivision","value":"NW"},{"id":4,"name":"Milepost","value":"0.0642"},{"id":17,"name":"Train ID","value":"806-19"},{"id":16,"name":"Locomotive ID","value":"4023"},{"id":130,"name":"Impact","value":""},{"id":150,"name":"Time of Event (Mountain Time)","value":"07:25:26"},{"id":151,"name":"Denver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82"/>
        <v>start /low /b %USERPROFILE%\Documents\GitHub\eaglep3\Utilities\DownloadLogsFromS3.py --loco 4023 --day 2017-10-19</v>
      </c>
      <c r="AN165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84"/>
        <v>https://d0f6bd738d7f1b3e5a7ca70fe4ff75f0.us-east-1.aws.found.io/app/kibana#/discover/Steve-Slow-Train-Analysis-(2080s-and-2083s)?_g=(refreshInterval:(display:Off,pause:!f,section:0,value:0),time:(from:'2017-10-19T05:56:27-0600',mode:absolute,to:'2017-10-19T08:25:26-0600'))&amp;_a=(columns:!('Message%20ID',Summary),filters:!(),index:'emp_*',interval:auto,query:(query_string:(analyze_wildcard:!t,query:'%22rtdc.l.rtdc.4023%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636</v>
      </c>
      <c r="B166" s="7">
        <v>4044</v>
      </c>
      <c r="C166" s="21" t="s">
        <v>194</v>
      </c>
      <c r="D166" s="21" t="s">
        <v>926</v>
      </c>
      <c r="E166" s="13">
        <v>43027.289131944446</v>
      </c>
      <c r="F166" s="13">
        <v>43027.298425925925</v>
      </c>
      <c r="G166" s="7">
        <v>50</v>
      </c>
      <c r="H166" s="21" t="s">
        <v>481</v>
      </c>
      <c r="I166" s="13">
        <v>43027.308391203704</v>
      </c>
      <c r="J166" s="7">
        <v>0</v>
      </c>
      <c r="K166" s="89" t="str">
        <f t="shared" si="62"/>
        <v>4043/4044</v>
      </c>
      <c r="L166" s="185" t="str">
        <f>VLOOKUP(A166,'Trips&amp;Operators'!$C$1:$G$99911,5,FALSE)</f>
        <v>FORTUNATO FRANK</v>
      </c>
      <c r="M166" s="6">
        <f t="shared" si="63"/>
        <v>9.9652777789742686E-3</v>
      </c>
      <c r="N166" s="7">
        <f t="shared" si="61"/>
        <v>14.350000001722947</v>
      </c>
      <c r="O166" s="7"/>
      <c r="P166" s="7"/>
      <c r="Q166" s="22"/>
      <c r="R166" s="174"/>
      <c r="S166" s="221">
        <f t="shared" si="60"/>
        <v>1</v>
      </c>
      <c r="T166" s="174" t="str">
        <f t="shared" si="64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5"/>
        <v>https://d0f6bd738d7f1b3e5a7ca70fe4ff75f0.us-east-1.aws.found.io/app/kibana#/discover/Steve-Slow-Train-Analysis-(2080s-and-2083s)?_g=(refreshInterval:(display:Off,pause:!f,section:0,value:0),time:(from:'2017-10-19T05:56:21-0600',mode:absolute,to:'2017-10-19T08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204" t="str">
        <f>IF(AA166&lt;VLOOKUP(AG166,Variables!$AC$3:$AD$8,2,FALSE),"Y","N")</f>
        <v>N</v>
      </c>
      <c r="X166" s="204">
        <f t="shared" si="90"/>
        <v>1</v>
      </c>
      <c r="Y166" s="204">
        <f t="shared" si="101"/>
        <v>9.7199999999999995E-2</v>
      </c>
      <c r="Z166" s="204">
        <f t="shared" si="102"/>
        <v>5.8958000000000004</v>
      </c>
      <c r="AA166" s="204">
        <f t="shared" si="67"/>
        <v>5.7986000000000004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8"/>
        <v>807</v>
      </c>
      <c r="AE166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66" s="74" t="str">
        <f t="shared" si="70"/>
        <v>"C:\Program Files (x86)\AstroGrep\AstroGrep.exe" /e /r /s /spath="%USERPROFILE%\AppData\Local\Temp\OnboardLogs" /stypes="app*4044*20171019*" /stext=" 13:.+((SYSTEM_STATE.+slice.+state.+changed )|(ment ac)|(multiple cpu faults)|(system.+state.+changed )|(\[timeout)|(PRM\|1\|D)|(kpr)|(kdp)|(train st.+moving)|(\|lc)|(penalty))"</v>
      </c>
      <c r="AG166" s="182" t="str">
        <f t="shared" si="71"/>
        <v>NW</v>
      </c>
      <c r="AH166" s="78" t="str">
        <f t="shared" si="80"/>
        <v>"%USERPROFILE%\Documents\GitHub\eaglep3\Utilities\RefineRTDCRunTimes.py" --tripid 807-19 --locoid 4044 --swversion DE.1.0.9.0 --startMP 204:972 --initTime 2017-10-19T06:56:21 --startdatetime 2017-10-19T07:09:44 --delay 50 --endMP 300:58958 --enddatetime 2017-10-19T07:24:05 --enforcementcount 0 &gt;&gt;%USERPROFILE%\Documents\GitHub\eaglep3-reporting\EC\2017-10-19-refined-times.txt</v>
      </c>
      <c r="AI166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{"issue":{"subject":"","project_id":79,"tracker_id":40,"status_id":1,"priority_id":2,"assigned_to_id":338,"start_date":"2017-10-19","description":"","custom_fields":[{"id":1,"name":"Subdivision","value":"NW"},{"id":4,"name":"Milepost","value":"5.8958"},{"id":17,"name":"Train ID","value":"807-19"},{"id":16,"name":"Locomotive ID","value":"4044"},{"id":130,"name":"Impact","value":""},{"id":150,"name":"Time of Event (Mountain Time)","value":"07:24:05"},{"id":151,"name":"Denver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82"/>
        <v>start /low /b %USERPROFILE%\Documents\GitHub\eaglep3\Utilities\DownloadLogsFromS3.py --loco 4044 --day 2017-10-19</v>
      </c>
      <c r="AN166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84"/>
        <v>https://d0f6bd738d7f1b3e5a7ca70fe4ff75f0.us-east-1.aws.found.io/app/kibana#/discover/Steve-Slow-Train-Analysis-(2080s-and-2083s)?_g=(refreshInterval:(display:Off,pause:!f,section:0,value:0),time:(from:'2017-10-19T05:56:21-0600',mode:absolute,to:'2017-10-19T08:24:05-0600'))&amp;_a=(columns:!('Message%20ID',Summary),filters:!(),index:'emp_*',interval:auto,query:(query_string:(analyze_wildcard:!t,query:'%22rtdc.l.rtdc.4044%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641</v>
      </c>
      <c r="B167" s="7">
        <v>4043</v>
      </c>
      <c r="C167" s="21" t="s">
        <v>194</v>
      </c>
      <c r="D167" s="21" t="s">
        <v>548</v>
      </c>
      <c r="E167" s="13">
        <v>43027.309803240743</v>
      </c>
      <c r="F167" s="13">
        <v>43027.321574074071</v>
      </c>
      <c r="G167" s="7">
        <v>57</v>
      </c>
      <c r="H167" s="21" t="s">
        <v>927</v>
      </c>
      <c r="I167" s="13">
        <v>43027.32949074074</v>
      </c>
      <c r="J167" s="7">
        <v>0</v>
      </c>
      <c r="K167" s="89" t="str">
        <f t="shared" si="62"/>
        <v>4043/4044</v>
      </c>
      <c r="L167" s="185" t="str">
        <f>VLOOKUP(A167,'Trips&amp;Operators'!$C$1:$G$99911,5,FALSE)</f>
        <v>FORTUNATO FRANK</v>
      </c>
      <c r="M167" s="6">
        <f t="shared" si="63"/>
        <v>7.9166666691889986E-3</v>
      </c>
      <c r="N167" s="7">
        <f t="shared" si="61"/>
        <v>11.400000003632158</v>
      </c>
      <c r="O167" s="7"/>
      <c r="P167" s="7"/>
      <c r="Q167" s="22"/>
      <c r="R167" s="174"/>
      <c r="S167" s="221">
        <f t="shared" si="60"/>
        <v>1</v>
      </c>
      <c r="T167" s="174" t="str">
        <f t="shared" si="64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5"/>
        <v>https://d0f6bd738d7f1b3e5a7ca70fe4ff75f0.us-east-1.aws.found.io/app/kibana#/discover/Steve-Slow-Train-Analysis-(2080s-and-2083s)?_g=(refreshInterval:(display:Off,pause:!f,section:0,value:0),time:(from:'2017-10-19T06:26:07-0600',mode:absolute,to:'2017-10-19T08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204" t="str">
        <f>IF(AA167&lt;VLOOKUP(AG167,Variables!$AC$3:$AD$8,2,FALSE),"Y","N")</f>
        <v>N</v>
      </c>
      <c r="X167" s="204">
        <f t="shared" ref="X167:X202" si="103">VALUE(LEFT(AD167,4))-VALUE(LEFT(AD166,4))</f>
        <v>1</v>
      </c>
      <c r="Y167" s="204">
        <f t="shared" si="101"/>
        <v>5.8651</v>
      </c>
      <c r="Z167" s="204">
        <f t="shared" si="102"/>
        <v>7.6399999999999996E-2</v>
      </c>
      <c r="AA167" s="204">
        <f t="shared" si="67"/>
        <v>5.7887000000000004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8"/>
        <v>808</v>
      </c>
      <c r="AE167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67" s="74" t="str">
        <f t="shared" si="70"/>
        <v>"C:\Program Files (x86)\AstroGrep\AstroGrep.exe" /e /r /s /spath="%USERPROFILE%\AppData\Local\Temp\OnboardLogs" /stypes="app*4043*20171019*" /stext=" 13:.+((SYSTEM_STATE.+slice.+state.+changed )|(ment ac)|(multiple cpu faults)|(system.+state.+changed )|(\[timeout)|(PRM\|1\|D)|(kpr)|(kdp)|(train st.+moving)|(\|lc)|(penalty))"</v>
      </c>
      <c r="AG167" s="182" t="str">
        <f t="shared" si="71"/>
        <v>NW</v>
      </c>
      <c r="AH167" s="78" t="str">
        <f t="shared" si="80"/>
        <v>"%USERPROFILE%\Documents\GitHub\eaglep3\Utilities\RefineRTDCRunTimes.py" --tripid 808-19 --locoid 4043 --swversion DE.1.0.9.0 --startMP 300:58651 --initTime 2017-10-19T07:26:07 --startdatetime 2017-10-19T07:43:04 --delay 57 --endMP 204:764 --enddatetime 2017-10-19T07:54:28 --enforcementcount 0 &gt;&gt;%USERPROFILE%\Documents\GitHub\eaglep3-reporting\EC\2017-10-19-refined-times.txt</v>
      </c>
      <c r="AI167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{"issue":{"subject":"","project_id":79,"tracker_id":40,"status_id":1,"priority_id":2,"assigned_to_id":338,"start_date":"2017-10-19","description":"","custom_fields":[{"id":1,"name":"Subdivision","value":"NW"},{"id":4,"name":"Milepost","value":"0.0764"},{"id":17,"name":"Train ID","value":"808-19"},{"id":16,"name":"Locomotive ID","value":"4043"},{"id":130,"name":"Impact","value":""},{"id":150,"name":"Time of Event (Mountain Time)","value":"07:54:28"},{"id":151,"name":"Denver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82"/>
        <v>start /low /b %USERPROFILE%\Documents\GitHub\eaglep3\Utilities\DownloadLogsFromS3.py --loco 4043 --day 2017-10-19</v>
      </c>
      <c r="AN167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84"/>
        <v>https://d0f6bd738d7f1b3e5a7ca70fe4ff75f0.us-east-1.aws.found.io/app/kibana#/discover/Steve-Slow-Train-Analysis-(2080s-and-2083s)?_g=(refreshInterval:(display:Off,pause:!f,section:0,value:0),time:(from:'2017-10-19T06:26:07-0600',mode:absolute,to:'2017-10-19T08:54:28-0600'))&amp;_a=(columns:!('Message%20ID',Summary),filters:!(),index:'emp_*',interval:auto,query:(query_string:(analyze_wildcard:!t,query:'%22rtdc.l.rtdc.4043%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571</v>
      </c>
      <c r="B168" s="7">
        <v>4024</v>
      </c>
      <c r="C168" s="21" t="s">
        <v>194</v>
      </c>
      <c r="D168" s="21" t="s">
        <v>928</v>
      </c>
      <c r="E168" s="13">
        <v>43027.31659722222</v>
      </c>
      <c r="F168" s="13">
        <v>43027.319363425922</v>
      </c>
      <c r="G168" s="7">
        <v>61</v>
      </c>
      <c r="H168" s="21" t="s">
        <v>929</v>
      </c>
      <c r="I168" s="13">
        <v>43027.319513888891</v>
      </c>
      <c r="J168" s="7">
        <v>0</v>
      </c>
      <c r="K168" s="89" t="str">
        <f t="shared" si="62"/>
        <v>4023/4024</v>
      </c>
      <c r="L168" s="185" t="str">
        <f>VLOOKUP(A168,'Trips&amp;Operators'!$C$1:$G$99911,5,FALSE)</f>
        <v>DAVIS WENDY</v>
      </c>
      <c r="M168" s="6">
        <f t="shared" si="63"/>
        <v>1.5046296903165057E-4</v>
      </c>
      <c r="N168" s="7"/>
      <c r="O168" s="7"/>
      <c r="P168" s="7">
        <f>24*60*SUM($M168:$M168)</f>
        <v>0.21666667540557683</v>
      </c>
      <c r="Q168" s="22"/>
      <c r="R168" s="174" t="s">
        <v>461</v>
      </c>
      <c r="S168" s="221">
        <f t="shared" si="60"/>
        <v>0</v>
      </c>
      <c r="T168" s="174" t="str">
        <f t="shared" si="64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216" t="str">
        <f t="shared" si="65"/>
        <v>https://d0f6bd738d7f1b3e5a7ca70fe4ff75f0.us-east-1.aws.found.io/app/kibana#/discover/Steve-Slow-Train-Analysis-(2080s-and-2083s)?_g=(refreshInterval:(display:Off,pause:!f,section:0,value:0),time:(from:'2017-10-19T06:35:54-0600',mode:absolute,to:'2017-10-19T08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8" s="204" t="str">
        <f>IF(AA168&lt;VLOOKUP(AG168,Variables!$AC$3:$AD$8,2,FALSE),"Y","N")</f>
        <v>Y</v>
      </c>
      <c r="X168" s="204">
        <f t="shared" si="103"/>
        <v>1</v>
      </c>
      <c r="Y168" s="204">
        <f t="shared" si="101"/>
        <v>0.16850000000000001</v>
      </c>
      <c r="Z168" s="204">
        <f t="shared" si="102"/>
        <v>0.1865</v>
      </c>
      <c r="AA168" s="204">
        <f t="shared" si="67"/>
        <v>1.7999999999999988E-2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8"/>
        <v>809</v>
      </c>
      <c r="AE168" s="77" t="str">
        <f t="shared" si="69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168" s="74" t="str">
        <f t="shared" si="70"/>
        <v>"C:\Program Files (x86)\AstroGrep\AstroGrep.exe" /e /r /s /spath="%USERPROFILE%\AppData\Local\Temp\OnboardLogs" /stypes="app*4024*20171019*" /stext=" 13:.+((SYSTEM_STATE.+slice.+state.+changed )|(ment ac)|(multiple cpu faults)|(system.+state.+changed )|(\[timeout)|(PRM\|1\|D)|(kpr)|(kdp)|(train st.+moving)|(\|lc)|(penalty))"</v>
      </c>
      <c r="AG168" s="182" t="str">
        <f t="shared" si="71"/>
        <v>NW</v>
      </c>
      <c r="AH168" s="78" t="str">
        <f t="shared" si="80"/>
        <v>"%USERPROFILE%\Documents\GitHub\eaglep3\Utilities\RefineRTDCRunTimes.py" --tripid 809-19 --locoid 4024 --swversion DE.1.0.9.0 --startMP 204:1685 --initTime 2017-10-19T07:35:54 --startdatetime 2017-10-19T07:39:53 --delay 61 --endMP 204:1865 --enddatetime 2017-10-19T07:40:06 --enforcementcount 0 &gt;&gt;%USERPROFILE%\Documents\GitHub\eaglep3-reporting\EC\2017-10-19-refined-times.txt</v>
      </c>
      <c r="AI168" s="96" t="str">
        <f t="shared" si="81"/>
        <v>echo {"issue":{"subject":"Poor GPS at DUS","project_id":79,"tracker_id":40,"status_id":1,"priority_id":2,"assigned_to_id":338,"start_date":"2017-10-19","description":"","custom_fields":[{"id":1,"name":"Subdivision","value":"NW"},{"id":4,"name":"Milepost","value":"0.1865"},{"id":17,"name":"Train ID","value":"809-19"},{"id":16,"name":"Locomotive ID","value":"4024"},{"id":130,"name":"Impact","value":""},{"id":150,"name":"Time of Event (Mountain Time)","value":"07:40:06"},{"id":151,"name":"Denver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82"/>
        <v>start /low /b %USERPROFILE%\Documents\GitHub\eaglep3\Utilities\DownloadLogsFromS3.py --loco 4024 --day 2017-10-19</v>
      </c>
      <c r="AN168" s="151" t="str">
        <f t="shared" si="83"/>
        <v>echo {"issue":{"subject":"Poor GPS at DUS","project_id":30,"tracker_id":4,"status_id":1,"priority_id":1,"assigned_to_id":10,"start_date":"2017-10-19","description":"","custom_fields":[{"id":30,"name":"Category","value":"Issue"},{"id":3,"name":"Functional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84"/>
        <v>https://d0f6bd738d7f1b3e5a7ca70fe4ff75f0.us-east-1.aws.found.io/app/kibana#/discover/Steve-Slow-Train-Analysis-(2080s-and-2083s)?_g=(refreshInterval:(display:Off,pause:!f,section:0,value:0),time:(from:'2017-10-19T06:35:54-0600',mode:absolute,to:'2017-10-19T08:40:06-0600'))&amp;_a=(columns:!('Message%20ID',Summary),filters:!(),index:'emp_*',interval:auto,query:(query_string:(analyze_wildcard:!t,query:'%22rtdc.l.rtdc.4024%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571</v>
      </c>
      <c r="B169" s="7">
        <v>4024</v>
      </c>
      <c r="C169" s="21" t="s">
        <v>194</v>
      </c>
      <c r="D169" s="21" t="s">
        <v>930</v>
      </c>
      <c r="E169" s="13">
        <v>43027.315115740741</v>
      </c>
      <c r="F169" s="13">
        <v>43027.319363425922</v>
      </c>
      <c r="G169" s="7">
        <v>60</v>
      </c>
      <c r="H169" s="21" t="s">
        <v>931</v>
      </c>
      <c r="I169" s="13">
        <v>43027.319513888891</v>
      </c>
      <c r="J169" s="7">
        <v>0</v>
      </c>
      <c r="K169" s="89" t="str">
        <f t="shared" si="62"/>
        <v>4023/4024</v>
      </c>
      <c r="L169" s="185" t="str">
        <f>VLOOKUP(A169,'Trips&amp;Operators'!$C$1:$G$99911,5,FALSE)</f>
        <v>DAVIS WENDY</v>
      </c>
      <c r="M169" s="6">
        <f t="shared" si="63"/>
        <v>1.5046296903165057E-4</v>
      </c>
      <c r="N169" s="7"/>
      <c r="O169" s="7"/>
      <c r="P169" s="7"/>
      <c r="Q169" s="22"/>
      <c r="R169" s="174"/>
      <c r="S169" s="221"/>
      <c r="T169" s="174" t="str">
        <f t="shared" si="64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216" t="str">
        <f t="shared" si="65"/>
        <v>https://d0f6bd738d7f1b3e5a7ca70fe4ff75f0.us-east-1.aws.found.io/app/kibana#/discover/Steve-Slow-Train-Analysis-(2080s-and-2083s)?_g=(refreshInterval:(display:Off,pause:!f,section:0,value:0),time:(from:'2017-10-19T06:33:46-0600',mode:absolute,to:'2017-10-19T08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9" s="204" t="str">
        <f>IF(AA169&lt;VLOOKUP(AG169,Variables!$AC$3:$AD$8,2,FALSE),"Y","N")</f>
        <v>Y</v>
      </c>
      <c r="X169" s="204">
        <f t="shared" si="103"/>
        <v>0</v>
      </c>
      <c r="Y169" s="204">
        <f t="shared" si="101"/>
        <v>9.2499999999999999E-2</v>
      </c>
      <c r="Z169" s="204">
        <f t="shared" si="102"/>
        <v>9.2999999999999999E-2</v>
      </c>
      <c r="AA169" s="204">
        <f t="shared" si="67"/>
        <v>5.0000000000000044E-4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8"/>
        <v>809</v>
      </c>
      <c r="AE169" s="77" t="str">
        <f t="shared" si="69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169" s="74" t="str">
        <f t="shared" si="70"/>
        <v>"C:\Program Files (x86)\AstroGrep\AstroGrep.exe" /e /r /s /spath="%USERPROFILE%\AppData\Local\Temp\OnboardLogs" /stypes="app*4024*20171019*" /stext=" 13:.+((SYSTEM_STATE.+slice.+state.+changed )|(ment ac)|(multiple cpu faults)|(system.+state.+changed )|(\[timeout)|(PRM\|1\|D)|(kpr)|(kdp)|(train st.+moving)|(\|lc)|(penalty))"</v>
      </c>
      <c r="AG169" s="182" t="str">
        <f t="shared" si="71"/>
        <v>NW</v>
      </c>
      <c r="AH169" s="78" t="str">
        <f t="shared" si="80"/>
        <v>"%USERPROFILE%\Documents\GitHub\eaglep3\Utilities\RefineRTDCRunTimes.py" --tripid 809-19 --locoid 4024 --swversion DE.1.0.9.0 --startMP 204:925 --initTime 2017-10-19T07:33:46 --startdatetime 2017-10-19T07:39:53 --delay 60 --endMP 204:930 --enddatetime 2017-10-19T07:40:06 --enforcementcount 0 &gt;&gt;%USERPROFILE%\Documents\GitHub\eaglep3-reporting\EC\2017-10-19-refined-times.txt</v>
      </c>
      <c r="AI169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{"issue":{"subject":"","project_id":79,"tracker_id":40,"status_id":1,"priority_id":2,"assigned_to_id":338,"start_date":"2017-10-19","description":"","custom_fields":[{"id":1,"name":"Subdivision","value":"NW"},{"id":4,"name":"Milepost","value":"0.093"},{"id":17,"name":"Train ID","value":"809-19"},{"id":16,"name":"Locomotive ID","value":"4024"},{"id":130,"name":"Impact","value":""},{"id":150,"name":"Time of Event (Mountain Time)","value":"07:40:06"},{"id":151,"name":"Denver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82"/>
        <v>start /low /b %USERPROFILE%\Documents\GitHub\eaglep3\Utilities\DownloadLogsFromS3.py --loco 4024 --day 2017-10-19</v>
      </c>
      <c r="AN169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13:40:06"},{"id":29,"name":"Sharepoint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84"/>
        <v>https://d0f6bd738d7f1b3e5a7ca70fe4ff75f0.us-east-1.aws.found.io/app/kibana#/discover/Steve-Slow-Train-Analysis-(2080s-and-2083s)?_g=(refreshInterval:(display:Off,pause:!f,section:0,value:0),time:(from:'2017-10-19T06:33:46-0600',mode:absolute,to:'2017-10-19T08:40:06-0600'))&amp;_a=(columns:!('Message%20ID',Summary),filters:!(),index:'emp_*',interval:auto,query:(query_string:(analyze_wildcard:!t,query:'%22rtdc.l.rtdc.4024%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645</v>
      </c>
      <c r="B170" s="7">
        <v>4023</v>
      </c>
      <c r="C170" s="21" t="s">
        <v>194</v>
      </c>
      <c r="D170" s="21" t="s">
        <v>932</v>
      </c>
      <c r="E170" s="13">
        <v>43027.330370370371</v>
      </c>
      <c r="F170" s="13">
        <v>43027.338333333333</v>
      </c>
      <c r="G170" s="7">
        <v>51</v>
      </c>
      <c r="H170" s="21" t="s">
        <v>894</v>
      </c>
      <c r="I170" s="13">
        <v>43027.35087962963</v>
      </c>
      <c r="J170" s="7">
        <v>0</v>
      </c>
      <c r="K170" s="89" t="str">
        <f t="shared" si="62"/>
        <v>4023/4024</v>
      </c>
      <c r="L170" s="185" t="str">
        <f>VLOOKUP(A170,'Trips&amp;Operators'!$C$1:$G$99911,5,FALSE)</f>
        <v>DAVIS WENDY</v>
      </c>
      <c r="M170" s="6">
        <f t="shared" si="63"/>
        <v>1.2546296296932269E-2</v>
      </c>
      <c r="N170" s="7">
        <f t="shared" ref="N170:N201" si="104">24*60*SUM($M170:$M170)</f>
        <v>18.066666667582467</v>
      </c>
      <c r="O170" s="7"/>
      <c r="P170" s="7"/>
      <c r="Q170" s="22"/>
      <c r="R170" s="174"/>
      <c r="S170" s="221">
        <f t="shared" ref="S170:S201" si="105">1/IF(AG170="EC",12,1)*SUM(U170:U170)</f>
        <v>1</v>
      </c>
      <c r="T170" s="174" t="str">
        <f t="shared" si="64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5"/>
        <v>https://d0f6bd738d7f1b3e5a7ca70fe4ff75f0.us-east-1.aws.found.io/app/kibana#/discover/Steve-Slow-Train-Analysis-(2080s-and-2083s)?_g=(refreshInterval:(display:Off,pause:!f,section:0,value:0),time:(from:'2017-10-19T06:55:44-0600',mode:absolute,to:'2017-10-19T09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0" s="204" t="str">
        <f>IF(AA170&lt;VLOOKUP(AG170,Variables!$AC$3:$AD$8,2,FALSE),"Y","N")</f>
        <v>N</v>
      </c>
      <c r="X170" s="204">
        <f t="shared" si="103"/>
        <v>1</v>
      </c>
      <c r="Y170" s="204">
        <f t="shared" si="101"/>
        <v>5.8693999999999997</v>
      </c>
      <c r="Z170" s="204">
        <f t="shared" si="102"/>
        <v>1.5100000000000001E-2</v>
      </c>
      <c r="AA170" s="204">
        <f t="shared" si="67"/>
        <v>5.8542999999999994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8"/>
        <v>810</v>
      </c>
      <c r="AE170" s="77" t="str">
        <f t="shared" si="69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170" s="74" t="str">
        <f t="shared" si="70"/>
        <v>"C:\Program Files (x86)\AstroGrep\AstroGrep.exe" /e /r /s /spath="%USERPROFILE%\AppData\Local\Temp\OnboardLogs" /stypes="app*4023*20171019*" /stext=" 14:.+((SYSTEM_STATE.+slice.+state.+changed )|(ment ac)|(multiple cpu faults)|(system.+state.+changed )|(\[timeout)|(PRM\|1\|D)|(kpr)|(kdp)|(train st.+moving)|(\|lc)|(penalty))"</v>
      </c>
      <c r="AG170" s="182" t="str">
        <f t="shared" si="71"/>
        <v>NW</v>
      </c>
      <c r="AH170" s="78" t="str">
        <f t="shared" si="80"/>
        <v>"%USERPROFILE%\Documents\GitHub\eaglep3\Utilities\RefineRTDCRunTimes.py" --tripid 810-19 --locoid 4023 --swversion DE.1.0.9.0 --startMP 300:58694 --initTime 2017-10-19T07:55:44 --startdatetime 2017-10-19T08:07:12 --delay 51 --endMP 204:151 --enddatetime 2017-10-19T08:25:16 --enforcementcount 0 &gt;&gt;%USERPROFILE%\Documents\GitHub\eaglep3-reporting\EC\2017-10-19-refined-times.txt</v>
      </c>
      <c r="AI170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{"issue":{"subject":"","project_id":79,"tracker_id":40,"status_id":1,"priority_id":2,"assigned_to_id":338,"start_date":"2017-10-19","description":"","custom_fields":[{"id":1,"name":"Subdivision","value":"NW"},{"id":4,"name":"Milepost","value":"0.0151"},{"id":17,"name":"Train ID","value":"810-19"},{"id":16,"name":"Locomotive ID","value":"4023"},{"id":130,"name":"Impact","value":""},{"id":150,"name":"Time of Event (Mountain Time)","value":"08:25:16"},{"id":151,"name":"Denver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82"/>
        <v>start /low /b %USERPROFILE%\Documents\GitHub\eaglep3\Utilities\DownloadLogsFromS3.py --loco 4023 --day 2017-10-19</v>
      </c>
      <c r="AN170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84"/>
        <v>https://d0f6bd738d7f1b3e5a7ca70fe4ff75f0.us-east-1.aws.found.io/app/kibana#/discover/Steve-Slow-Train-Analysis-(2080s-and-2083s)?_g=(refreshInterval:(display:Off,pause:!f,section:0,value:0),time:(from:'2017-10-19T06:55:44-0600',mode:absolute,to:'2017-10-19T09:25:16-0600'))&amp;_a=(columns:!('Message%20ID',Summary),filters:!(),index:'emp_*',interval:auto,query:(query_string:(analyze_wildcard:!t,query:'%22rtdc.l.rtdc.4023%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646</v>
      </c>
      <c r="B171" s="7">
        <v>4044</v>
      </c>
      <c r="C171" s="21" t="s">
        <v>194</v>
      </c>
      <c r="D171" s="21" t="s">
        <v>933</v>
      </c>
      <c r="E171" s="13">
        <v>43027.33525462963</v>
      </c>
      <c r="F171" s="13">
        <v>43027.340150462966</v>
      </c>
      <c r="G171" s="7">
        <v>59</v>
      </c>
      <c r="H171" s="21" t="s">
        <v>934</v>
      </c>
      <c r="I171" s="13">
        <v>43027.350856481484</v>
      </c>
      <c r="J171" s="7">
        <v>0</v>
      </c>
      <c r="K171" s="89" t="str">
        <f t="shared" si="62"/>
        <v>4043/4044</v>
      </c>
      <c r="L171" s="185" t="str">
        <f>VLOOKUP(A171,'Trips&amp;Operators'!$C$1:$G$99911,5,FALSE)</f>
        <v>HUFFSMITH MONTY</v>
      </c>
      <c r="M171" s="6">
        <f t="shared" si="63"/>
        <v>1.0706018518249039E-2</v>
      </c>
      <c r="N171" s="7">
        <f t="shared" si="104"/>
        <v>15.416666666278616</v>
      </c>
      <c r="O171" s="7"/>
      <c r="P171" s="7"/>
      <c r="Q171" s="22"/>
      <c r="R171" s="174"/>
      <c r="S171" s="221">
        <f t="shared" si="105"/>
        <v>1</v>
      </c>
      <c r="T171" s="174" t="str">
        <f t="shared" si="64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5"/>
        <v>https://d0f6bd738d7f1b3e5a7ca70fe4ff75f0.us-east-1.aws.found.io/app/kibana#/discover/Steve-Slow-Train-Analysis-(2080s-and-2083s)?_g=(refreshInterval:(display:Off,pause:!f,section:0,value:0),time:(from:'2017-10-19T07:02:46-0600',mode:absolute,to:'2017-10-19T09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204" t="str">
        <f>IF(AA171&lt;VLOOKUP(AG171,Variables!$AC$3:$AD$8,2,FALSE),"Y","N")</f>
        <v>N</v>
      </c>
      <c r="X171" s="204">
        <f t="shared" si="103"/>
        <v>1</v>
      </c>
      <c r="Y171" s="204">
        <f t="shared" si="101"/>
        <v>0.10390000000000001</v>
      </c>
      <c r="Z171" s="204">
        <f t="shared" si="102"/>
        <v>5.8975999999999997</v>
      </c>
      <c r="AA171" s="204">
        <f t="shared" si="67"/>
        <v>5.7936999999999994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8"/>
        <v>811</v>
      </c>
      <c r="AE171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71" s="74" t="str">
        <f t="shared" si="70"/>
        <v>"C:\Program Files (x86)\AstroGrep\AstroGrep.exe" /e /r /s /spath="%USERPROFILE%\AppData\Local\Temp\OnboardLogs" /stypes="app*4044*20171019*" /stext=" 14:.+((SYSTEM_STATE.+slice.+state.+changed )|(ment ac)|(multiple cpu faults)|(system.+state.+changed )|(\[timeout)|(PRM\|1\|D)|(kpr)|(kdp)|(train st.+moving)|(\|lc)|(penalty))"</v>
      </c>
      <c r="AG171" s="182" t="str">
        <f t="shared" si="71"/>
        <v>NW</v>
      </c>
      <c r="AH171" s="78" t="str">
        <f t="shared" si="80"/>
        <v>"%USERPROFILE%\Documents\GitHub\eaglep3\Utilities\RefineRTDCRunTimes.py" --tripid 811-19 --locoid 4044 --swversion DE.1.0.9.0 --startMP 204:1039 --initTime 2017-10-19T08:02:46 --startdatetime 2017-10-19T08:09:49 --delay 59 --endMP 300:58976 --enddatetime 2017-10-19T08:25:14 --enforcementcount 0 &gt;&gt;%USERPROFILE%\Documents\GitHub\eaglep3-reporting\EC\2017-10-19-refined-times.txt</v>
      </c>
      <c r="AI171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{"issue":{"subject":"","project_id":79,"tracker_id":40,"status_id":1,"priority_id":2,"assigned_to_id":338,"start_date":"2017-10-19","description":"","custom_fields":[{"id":1,"name":"Subdivision","value":"NW"},{"id":4,"name":"Milepost","value":"5.8976"},{"id":17,"name":"Train ID","value":"811-19"},{"id":16,"name":"Locomotive ID","value":"4044"},{"id":130,"name":"Impact","value":""},{"id":150,"name":"Time of Event (Mountain Time)","value":"08:25:14"},{"id":151,"name":"Denver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82"/>
        <v>start /low /b %USERPROFILE%\Documents\GitHub\eaglep3\Utilities\DownloadLogsFromS3.py --loco 4044 --day 2017-10-19</v>
      </c>
      <c r="AN171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84"/>
        <v>https://d0f6bd738d7f1b3e5a7ca70fe4ff75f0.us-east-1.aws.found.io/app/kibana#/discover/Steve-Slow-Train-Analysis-(2080s-and-2083s)?_g=(refreshInterval:(display:Off,pause:!f,section:0,value:0),time:(from:'2017-10-19T07:02:46-0600',mode:absolute,to:'2017-10-19T09:25:14-0600'))&amp;_a=(columns:!('Message%20ID',Summary),filters:!(),index:'emp_*',interval:auto,query:(query_string:(analyze_wildcard:!t,query:'%22rtdc.l.rtdc.4044%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653</v>
      </c>
      <c r="B172" s="7">
        <v>4043</v>
      </c>
      <c r="C172" s="21" t="s">
        <v>194</v>
      </c>
      <c r="D172" s="21" t="s">
        <v>543</v>
      </c>
      <c r="E172" s="13">
        <v>43027.352592592593</v>
      </c>
      <c r="F172" s="13">
        <v>43027.363067129627</v>
      </c>
      <c r="G172" s="7">
        <v>55</v>
      </c>
      <c r="H172" s="21" t="s">
        <v>935</v>
      </c>
      <c r="I172" s="13">
        <v>43027.371620370373</v>
      </c>
      <c r="J172" s="7">
        <v>0</v>
      </c>
      <c r="K172" s="89" t="str">
        <f t="shared" si="62"/>
        <v>4043/4044</v>
      </c>
      <c r="L172" s="185" t="str">
        <f>VLOOKUP(A172,'Trips&amp;Operators'!$C$1:$G$99911,5,FALSE)</f>
        <v>HUFFSMITH MONTY</v>
      </c>
      <c r="M172" s="6">
        <f t="shared" si="63"/>
        <v>8.5532407465507276E-3</v>
      </c>
      <c r="N172" s="7">
        <f t="shared" si="104"/>
        <v>12.316666675033048</v>
      </c>
      <c r="O172" s="7"/>
      <c r="P172" s="7"/>
      <c r="Q172" s="22"/>
      <c r="R172" s="174"/>
      <c r="S172" s="221">
        <f t="shared" si="105"/>
        <v>1</v>
      </c>
      <c r="T172" s="174" t="str">
        <f t="shared" si="64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5"/>
        <v>https://d0f6bd738d7f1b3e5a7ca70fe4ff75f0.us-east-1.aws.found.io/app/kibana#/discover/Steve-Slow-Train-Analysis-(2080s-and-2083s)?_g=(refreshInterval:(display:Off,pause:!f,section:0,value:0),time:(from:'2017-10-19T07:27:44-0600',mode:absolute,to:'2017-10-19T09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204" t="str">
        <f>IF(AA172&lt;VLOOKUP(AG172,Variables!$AC$3:$AD$8,2,FALSE),"Y","N")</f>
        <v>N</v>
      </c>
      <c r="X172" s="204">
        <f t="shared" si="103"/>
        <v>1</v>
      </c>
      <c r="Y172" s="204">
        <f t="shared" si="101"/>
        <v>5.8662000000000001</v>
      </c>
      <c r="Z172" s="204">
        <f t="shared" si="102"/>
        <v>8.48E-2</v>
      </c>
      <c r="AA172" s="204">
        <f t="shared" si="67"/>
        <v>5.7813999999999997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8"/>
        <v>812</v>
      </c>
      <c r="AE172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72" s="74" t="str">
        <f t="shared" si="70"/>
        <v>"C:\Program Files (x86)\AstroGrep\AstroGrep.exe" /e /r /s /spath="%USERPROFILE%\AppData\Local\Temp\OnboardLogs" /stypes="app*4043*20171019*" /stext=" 14:.+((SYSTEM_STATE.+slice.+state.+changed )|(ment ac)|(multiple cpu faults)|(system.+state.+changed )|(\[timeout)|(PRM\|1\|D)|(kpr)|(kdp)|(train st.+moving)|(\|lc)|(penalty))"</v>
      </c>
      <c r="AG172" s="182" t="str">
        <f t="shared" si="71"/>
        <v>NW</v>
      </c>
      <c r="AH172" s="78" t="str">
        <f t="shared" si="80"/>
        <v>"%USERPROFILE%\Documents\GitHub\eaglep3\Utilities\RefineRTDCRunTimes.py" --tripid 812-19 --locoid 4043 --swversion DE.1.0.9.0 --startMP 300:58662 --initTime 2017-10-19T08:27:44 --startdatetime 2017-10-19T08:42:49 --delay 55 --endMP 204:848 --enddatetime 2017-10-19T08:55:08 --enforcementcount 0 &gt;&gt;%USERPROFILE%\Documents\GitHub\eaglep3-reporting\EC\2017-10-19-refined-times.txt</v>
      </c>
      <c r="AI172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{"issue":{"subject":"","project_id":79,"tracker_id":40,"status_id":1,"priority_id":2,"assigned_to_id":338,"start_date":"2017-10-19","description":"","custom_fields":[{"id":1,"name":"Subdivision","value":"NW"},{"id":4,"name":"Milepost","value":"0.0848"},{"id":17,"name":"Train ID","value":"812-19"},{"id":16,"name":"Locomotive ID","value":"4043"},{"id":130,"name":"Impact","value":""},{"id":150,"name":"Time of Event (Mountain Time)","value":"08:55:08"},{"id":151,"name":"Denver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82"/>
        <v>start /low /b %USERPROFILE%\Documents\GitHub\eaglep3\Utilities\DownloadLogsFromS3.py --loco 4043 --day 2017-10-19</v>
      </c>
      <c r="AN172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84"/>
        <v>https://d0f6bd738d7f1b3e5a7ca70fe4ff75f0.us-east-1.aws.found.io/app/kibana#/discover/Steve-Slow-Train-Analysis-(2080s-and-2083s)?_g=(refreshInterval:(display:Off,pause:!f,section:0,value:0),time:(from:'2017-10-19T07:27:44-0600',mode:absolute,to:'2017-10-19T09:55:08-0600'))&amp;_a=(columns:!('Message%20ID',Summary),filters:!(),index:'emp_*',interval:auto,query:(query_string:(analyze_wildcard:!t,query:'%22rtdc.l.rtdc.4043%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659</v>
      </c>
      <c r="B173" s="7">
        <v>4044</v>
      </c>
      <c r="C173" s="21" t="s">
        <v>194</v>
      </c>
      <c r="D173" s="21" t="s">
        <v>936</v>
      </c>
      <c r="E173" s="13">
        <v>43027.376435185186</v>
      </c>
      <c r="F173" s="13">
        <v>43027.381412037037</v>
      </c>
      <c r="G173" s="7">
        <v>62</v>
      </c>
      <c r="H173" s="21" t="s">
        <v>937</v>
      </c>
      <c r="I173" s="13">
        <v>43027.391180555554</v>
      </c>
      <c r="J173" s="7">
        <v>0</v>
      </c>
      <c r="K173" s="89" t="str">
        <f t="shared" si="62"/>
        <v>4043/4044</v>
      </c>
      <c r="L173" s="185" t="str">
        <f>VLOOKUP(A173,'Trips&amp;Operators'!$C$1:$G$99911,5,FALSE)</f>
        <v>FORTUNATO FRANK</v>
      </c>
      <c r="M173" s="6">
        <f t="shared" si="63"/>
        <v>9.7685185173759237E-3</v>
      </c>
      <c r="N173" s="7">
        <f t="shared" si="104"/>
        <v>14.06666666502133</v>
      </c>
      <c r="O173" s="7"/>
      <c r="P173" s="7"/>
      <c r="Q173" s="22"/>
      <c r="R173" s="174"/>
      <c r="S173" s="221">
        <f t="shared" si="105"/>
        <v>1</v>
      </c>
      <c r="T173" s="174" t="str">
        <f t="shared" si="64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5"/>
        <v>https://d0f6bd738d7f1b3e5a7ca70fe4ff75f0.us-east-1.aws.found.io/app/kibana#/discover/Steve-Slow-Train-Analysis-(2080s-and-2083s)?_g=(refreshInterval:(display:Off,pause:!f,section:0,value:0),time:(from:'2017-10-19T08:02:04-0600',mode:absolute,to:'2017-10-19T10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204" t="str">
        <f>IF(AA173&lt;VLOOKUP(AG173,Variables!$AC$3:$AD$8,2,FALSE),"Y","N")</f>
        <v>N</v>
      </c>
      <c r="X173" s="204">
        <f t="shared" si="103"/>
        <v>1</v>
      </c>
      <c r="Y173" s="204">
        <f t="shared" si="101"/>
        <v>0.1128</v>
      </c>
      <c r="Z173" s="204">
        <f t="shared" si="102"/>
        <v>5.8987999999999996</v>
      </c>
      <c r="AA173" s="204">
        <f t="shared" si="67"/>
        <v>5.7859999999999996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8"/>
        <v>813</v>
      </c>
      <c r="AE173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73" s="74" t="str">
        <f t="shared" si="70"/>
        <v>"C:\Program Files (x86)\AstroGrep\AstroGrep.exe" /e /r /s /spath="%USERPROFILE%\AppData\Local\Temp\OnboardLogs" /stypes="app*4044*20171019*" /stext=" 15:.+((SYSTEM_STATE.+slice.+state.+changed )|(ment ac)|(multiple cpu faults)|(system.+state.+changed )|(\[timeout)|(PRM\|1\|D)|(kpr)|(kdp)|(train st.+moving)|(\|lc)|(penalty))"</v>
      </c>
      <c r="AG173" s="182" t="str">
        <f t="shared" si="71"/>
        <v>NW</v>
      </c>
      <c r="AH173" s="78" t="str">
        <f t="shared" si="80"/>
        <v>"%USERPROFILE%\Documents\GitHub\eaglep3\Utilities\RefineRTDCRunTimes.py" --tripid 813-19 --locoid 4044 --swversion DE.1.0.9.0 --startMP 204:1128 --initTime 2017-10-19T09:02:04 --startdatetime 2017-10-19T09:09:14 --delay 62 --endMP 300:58988 --enddatetime 2017-10-19T09:23:18 --enforcementcount 0 &gt;&gt;%USERPROFILE%\Documents\GitHub\eaglep3-reporting\EC\2017-10-19-refined-times.txt</v>
      </c>
      <c r="AI173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{"issue":{"subject":"","project_id":79,"tracker_id":40,"status_id":1,"priority_id":2,"assigned_to_id":338,"start_date":"2017-10-19","description":"","custom_fields":[{"id":1,"name":"Subdivision","value":"NW"},{"id":4,"name":"Milepost","value":"5.8988"},{"id":17,"name":"Train ID","value":"813-19"},{"id":16,"name":"Locomotive ID","value":"4044"},{"id":130,"name":"Impact","value":""},{"id":150,"name":"Time of Event (Mountain Time)","value":"09:23:18"},{"id":151,"name":"Denver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82"/>
        <v>start /low /b %USERPROFILE%\Documents\GitHub\eaglep3\Utilities\DownloadLogsFromS3.py --loco 4044 --day 2017-10-19</v>
      </c>
      <c r="AN173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84"/>
        <v>https://d0f6bd738d7f1b3e5a7ca70fe4ff75f0.us-east-1.aws.found.io/app/kibana#/discover/Steve-Slow-Train-Analysis-(2080s-and-2083s)?_g=(refreshInterval:(display:Off,pause:!f,section:0,value:0),time:(from:'2017-10-19T08:02:04-0600',mode:absolute,to:'2017-10-19T10:23:18-0600'))&amp;_a=(columns:!('Message%20ID',Summary),filters:!(),index:'emp_*',interval:auto,query:(query_string:(analyze_wildcard:!t,query:'%22rtdc.l.rtdc.4044%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664</v>
      </c>
      <c r="B174" s="7">
        <v>4043</v>
      </c>
      <c r="C174" s="21" t="s">
        <v>194</v>
      </c>
      <c r="D174" s="21" t="s">
        <v>938</v>
      </c>
      <c r="E174" s="13">
        <v>43027.392199074071</v>
      </c>
      <c r="F174" s="13">
        <v>43027.404328703706</v>
      </c>
      <c r="G174" s="7">
        <v>87</v>
      </c>
      <c r="H174" s="21" t="s">
        <v>939</v>
      </c>
      <c r="I174" s="13">
        <v>43027.412951388891</v>
      </c>
      <c r="J174" s="7">
        <v>0</v>
      </c>
      <c r="K174" s="89" t="str">
        <f t="shared" si="62"/>
        <v>4043/4044</v>
      </c>
      <c r="L174" s="185" t="str">
        <f>VLOOKUP(A174,'Trips&amp;Operators'!$C$1:$G$99911,5,FALSE)</f>
        <v>FORTUNATO FRANK</v>
      </c>
      <c r="M174" s="6">
        <f t="shared" si="63"/>
        <v>8.6226851854007691E-3</v>
      </c>
      <c r="N174" s="7">
        <f t="shared" si="104"/>
        <v>12.416666666977108</v>
      </c>
      <c r="O174" s="7"/>
      <c r="P174" s="7"/>
      <c r="Q174" s="22"/>
      <c r="R174" s="174"/>
      <c r="S174" s="221">
        <f t="shared" si="105"/>
        <v>1</v>
      </c>
      <c r="T174" s="174" t="str">
        <f t="shared" si="64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5"/>
        <v>https://d0f6bd738d7f1b3e5a7ca70fe4ff75f0.us-east-1.aws.found.io/app/kibana#/discover/Steve-Slow-Train-Analysis-(2080s-and-2083s)?_g=(refreshInterval:(display:Off,pause:!f,section:0,value:0),time:(from:'2017-10-19T08:24:46-0600',mode:absolute,to:'2017-10-19T10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204" t="str">
        <f>IF(AA174&lt;VLOOKUP(AG174,Variables!$AC$3:$AD$8,2,FALSE),"Y","N")</f>
        <v>N</v>
      </c>
      <c r="X174" s="204">
        <f t="shared" si="103"/>
        <v>1</v>
      </c>
      <c r="Y174" s="204">
        <f t="shared" si="101"/>
        <v>5.867</v>
      </c>
      <c r="Z174" s="204">
        <f t="shared" si="102"/>
        <v>8.2000000000000003E-2</v>
      </c>
      <c r="AA174" s="204">
        <f t="shared" si="67"/>
        <v>5.7850000000000001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8"/>
        <v>814</v>
      </c>
      <c r="AE174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74" s="74" t="str">
        <f t="shared" si="70"/>
        <v>"C:\Program Files (x86)\AstroGrep\AstroGrep.exe" /e /r /s /spath="%USERPROFILE%\AppData\Local\Temp\OnboardLogs" /stypes="app*4043*20171019*" /stext=" 15:.+((SYSTEM_STATE.+slice.+state.+changed )|(ment ac)|(multiple cpu faults)|(system.+state.+changed )|(\[timeout)|(PRM\|1\|D)|(kpr)|(kdp)|(train st.+moving)|(\|lc)|(penalty))"</v>
      </c>
      <c r="AG174" s="182" t="str">
        <f t="shared" si="71"/>
        <v>NW</v>
      </c>
      <c r="AH174" s="78" t="str">
        <f t="shared" si="80"/>
        <v>"%USERPROFILE%\Documents\GitHub\eaglep3\Utilities\RefineRTDCRunTimes.py" --tripid 814-19 --locoid 4043 --swversion DE.1.0.9.0 --startMP 300:58670 --initTime 2017-10-19T09:24:46 --startdatetime 2017-10-19T09:42:14 --delay 87 --endMP 204:820 --enddatetime 2017-10-19T09:54:39 --enforcementcount 0 &gt;&gt;%USERPROFILE%\Documents\GitHub\eaglep3-reporting\EC\2017-10-19-refined-times.txt</v>
      </c>
      <c r="AI174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{"issue":{"subject":"","project_id":79,"tracker_id":40,"status_id":1,"priority_id":2,"assigned_to_id":338,"start_date":"2017-10-19","description":"","custom_fields":[{"id":1,"name":"Subdivision","value":"NW"},{"id":4,"name":"Milepost","value":"0.082"},{"id":17,"name":"Train ID","value":"814-19"},{"id":16,"name":"Locomotive ID","value":"4043"},{"id":130,"name":"Impact","value":""},{"id":150,"name":"Time of Event (Mountain Time)","value":"09:54:39"},{"id":151,"name":"Denver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82"/>
        <v>start /low /b %USERPROFILE%\Documents\GitHub\eaglep3\Utilities\DownloadLogsFromS3.py --loco 4043 --day 2017-10-19</v>
      </c>
      <c r="AN174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84"/>
        <v>https://d0f6bd738d7f1b3e5a7ca70fe4ff75f0.us-east-1.aws.found.io/app/kibana#/discover/Steve-Slow-Train-Analysis-(2080s-and-2083s)?_g=(refreshInterval:(display:Off,pause:!f,section:0,value:0),time:(from:'2017-10-19T08:24:46-0600',mode:absolute,to:'2017-10-19T10:54:39-0600'))&amp;_a=(columns:!('Message%20ID',Summary),filters:!(),index:'emp_*',interval:auto,query:(query_string:(analyze_wildcard:!t,query:'%22rtdc.l.rtdc.4043%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573</v>
      </c>
      <c r="B175" s="7">
        <v>4044</v>
      </c>
      <c r="C175" s="21" t="s">
        <v>194</v>
      </c>
      <c r="D175" s="21" t="s">
        <v>940</v>
      </c>
      <c r="E175" s="13">
        <v>43027.41505787037</v>
      </c>
      <c r="F175" s="13">
        <v>43027.423113425924</v>
      </c>
      <c r="G175" s="7">
        <v>58</v>
      </c>
      <c r="H175" s="21" t="s">
        <v>941</v>
      </c>
      <c r="I175" s="13">
        <v>43027.433009259257</v>
      </c>
      <c r="J175" s="7">
        <v>0</v>
      </c>
      <c r="K175" s="89" t="str">
        <f t="shared" si="62"/>
        <v>4043/4044</v>
      </c>
      <c r="L175" s="185" t="str">
        <f>VLOOKUP(A175,'Trips&amp;Operators'!$C$1:$G$99911,5,FALSE)</f>
        <v>FORTUNATO FRANK</v>
      </c>
      <c r="M175" s="6">
        <f t="shared" si="63"/>
        <v>9.8958333328482695E-3</v>
      </c>
      <c r="N175" s="7">
        <f t="shared" si="104"/>
        <v>14.249999999301508</v>
      </c>
      <c r="O175" s="7"/>
      <c r="P175" s="7"/>
      <c r="Q175" s="22"/>
      <c r="R175" s="174"/>
      <c r="S175" s="221">
        <f t="shared" si="105"/>
        <v>1</v>
      </c>
      <c r="T175" s="174" t="str">
        <f t="shared" si="64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5"/>
        <v>https://d0f6bd738d7f1b3e5a7ca70fe4ff75f0.us-east-1.aws.found.io/app/kibana#/discover/Steve-Slow-Train-Analysis-(2080s-and-2083s)?_g=(refreshInterval:(display:Off,pause:!f,section:0,value:0),time:(from:'2017-10-19T08:57:41-0600',mode:absolute,to:'2017-10-19T11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204" t="str">
        <f>IF(AA175&lt;VLOOKUP(AG175,Variables!$AC$3:$AD$8,2,FALSE),"Y","N")</f>
        <v>N</v>
      </c>
      <c r="X175" s="204">
        <f t="shared" si="103"/>
        <v>1</v>
      </c>
      <c r="Y175" s="204">
        <f t="shared" si="101"/>
        <v>0.1125</v>
      </c>
      <c r="Z175" s="204">
        <f t="shared" si="102"/>
        <v>5.8940999999999999</v>
      </c>
      <c r="AA175" s="204">
        <f t="shared" si="67"/>
        <v>5.7816000000000001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8"/>
        <v>815</v>
      </c>
      <c r="AE175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75" s="74" t="str">
        <f t="shared" si="70"/>
        <v>"C:\Program Files (x86)\AstroGrep\AstroGrep.exe" /e /r /s /spath="%USERPROFILE%\AppData\Local\Temp\OnboardLogs" /stypes="app*4044*20171019*" /stext=" 16:.+((SYSTEM_STATE.+slice.+state.+changed )|(ment ac)|(multiple cpu faults)|(system.+state.+changed )|(\[timeout)|(PRM\|1\|D)|(kpr)|(kdp)|(train st.+moving)|(\|lc)|(penalty))"</v>
      </c>
      <c r="AG175" s="182" t="str">
        <f t="shared" si="71"/>
        <v>NW</v>
      </c>
      <c r="AH175" s="78" t="str">
        <f t="shared" si="80"/>
        <v>"%USERPROFILE%\Documents\GitHub\eaglep3\Utilities\RefineRTDCRunTimes.py" --tripid 815-19 --locoid 4044 --swversion DE.1.0.9.0 --startMP 204:1125 --initTime 2017-10-19T09:57:41 --startdatetime 2017-10-19T10:09:17 --delay 58 --endMP 300:58941 --enddatetime 2017-10-19T10:23:32 --enforcementcount 0 &gt;&gt;%USERPROFILE%\Documents\GitHub\eaglep3-reporting\EC\2017-10-19-refined-times.txt</v>
      </c>
      <c r="AI175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{"issue":{"subject":"","project_id":79,"tracker_id":40,"status_id":1,"priority_id":2,"assigned_to_id":338,"start_date":"2017-10-19","description":"","custom_fields":[{"id":1,"name":"Subdivision","value":"NW"},{"id":4,"name":"Milepost","value":"5.8941"},{"id":17,"name":"Train ID","value":"815-19"},{"id":16,"name":"Locomotive ID","value":"4044"},{"id":130,"name":"Impact","value":""},{"id":150,"name":"Time of Event (Mountain Time)","value":"10:23:32"},{"id":151,"name":"Denver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82"/>
        <v>start /low /b %USERPROFILE%\Documents\GitHub\eaglep3\Utilities\DownloadLogsFromS3.py --loco 4044 --day 2017-10-19</v>
      </c>
      <c r="AN175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84"/>
        <v>https://d0f6bd738d7f1b3e5a7ca70fe4ff75f0.us-east-1.aws.found.io/app/kibana#/discover/Steve-Slow-Train-Analysis-(2080s-and-2083s)?_g=(refreshInterval:(display:Off,pause:!f,section:0,value:0),time:(from:'2017-10-19T08:57:41-0600',mode:absolute,to:'2017-10-19T11:23:32-0600'))&amp;_a=(columns:!('Message%20ID',Summary),filters:!(),index:'emp_*',interval:auto,query:(query_string:(analyze_wildcard:!t,query:'%22rtdc.l.rtdc.4044%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673</v>
      </c>
      <c r="B176" s="7">
        <v>4043</v>
      </c>
      <c r="C176" s="21" t="s">
        <v>194</v>
      </c>
      <c r="D176" s="21" t="s">
        <v>555</v>
      </c>
      <c r="E176" s="13">
        <v>43027.434745370374</v>
      </c>
      <c r="F176" s="13">
        <v>43027.446550925924</v>
      </c>
      <c r="G176" s="7">
        <v>52</v>
      </c>
      <c r="H176" s="21" t="s">
        <v>942</v>
      </c>
      <c r="I176" s="13">
        <v>43027.454942129632</v>
      </c>
      <c r="J176" s="7">
        <v>0</v>
      </c>
      <c r="K176" s="89" t="str">
        <f t="shared" si="62"/>
        <v>4043/4044</v>
      </c>
      <c r="L176" s="185" t="str">
        <f>VLOOKUP(A176,'Trips&amp;Operators'!$C$1:$G$99911,5,FALSE)</f>
        <v>FORTUNATO FRANK</v>
      </c>
      <c r="M176" s="6">
        <f t="shared" si="63"/>
        <v>8.3912037080153823E-3</v>
      </c>
      <c r="N176" s="7">
        <f t="shared" si="104"/>
        <v>12.08333333954215</v>
      </c>
      <c r="O176" s="7"/>
      <c r="P176" s="7"/>
      <c r="Q176" s="22"/>
      <c r="R176" s="174"/>
      <c r="S176" s="221">
        <f t="shared" si="105"/>
        <v>1</v>
      </c>
      <c r="T176" s="174" t="str">
        <f t="shared" si="64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5"/>
        <v>https://d0f6bd738d7f1b3e5a7ca70fe4ff75f0.us-east-1.aws.found.io/app/kibana#/discover/Steve-Slow-Train-Analysis-(2080s-and-2083s)?_g=(refreshInterval:(display:Off,pause:!f,section:0,value:0),time:(from:'2017-10-19T09:26:02-0600',mode:absolute,to:'2017-10-19T11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204" t="str">
        <f>IF(AA176&lt;VLOOKUP(AG176,Variables!$AC$3:$AD$8,2,FALSE),"Y","N")</f>
        <v>N</v>
      </c>
      <c r="X176" s="204">
        <f t="shared" si="103"/>
        <v>1</v>
      </c>
      <c r="Y176" s="204">
        <f t="shared" si="101"/>
        <v>5.8625999999999996</v>
      </c>
      <c r="Z176" s="204">
        <f t="shared" si="102"/>
        <v>8.3799999999999999E-2</v>
      </c>
      <c r="AA176" s="204">
        <f t="shared" si="67"/>
        <v>5.7787999999999995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8"/>
        <v>816</v>
      </c>
      <c r="AE176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76" s="74" t="str">
        <f t="shared" si="70"/>
        <v>"C:\Program Files (x86)\AstroGrep\AstroGrep.exe" /e /r /s /spath="%USERPROFILE%\AppData\Local\Temp\OnboardLogs" /stypes="app*4043*20171019*" /stext=" 16:.+((SYSTEM_STATE.+slice.+state.+changed )|(ment ac)|(multiple cpu faults)|(system.+state.+changed )|(\[timeout)|(PRM\|1\|D)|(kpr)|(kdp)|(train st.+moving)|(\|lc)|(penalty))"</v>
      </c>
      <c r="AG176" s="182" t="str">
        <f t="shared" si="71"/>
        <v>NW</v>
      </c>
      <c r="AH176" s="78" t="str">
        <f t="shared" si="80"/>
        <v>"%USERPROFILE%\Documents\GitHub\eaglep3\Utilities\RefineRTDCRunTimes.py" --tripid 816-19 --locoid 4043 --swversion DE.1.0.9.0 --startMP 300:58626 --initTime 2017-10-19T10:26:02 --startdatetime 2017-10-19T10:43:02 --delay 52 --endMP 204:838 --enddatetime 2017-10-19T10:55:07 --enforcementcount 0 &gt;&gt;%USERPROFILE%\Documents\GitHub\eaglep3-reporting\EC\2017-10-19-refined-times.txt</v>
      </c>
      <c r="AI176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{"issue":{"subject":"","project_id":79,"tracker_id":40,"status_id":1,"priority_id":2,"assigned_to_id":338,"start_date":"2017-10-19","description":"","custom_fields":[{"id":1,"name":"Subdivision","value":"NW"},{"id":4,"name":"Milepost","value":"0.0838"},{"id":17,"name":"Train ID","value":"816-19"},{"id":16,"name":"Locomotive ID","value":"4043"},{"id":130,"name":"Impact","value":""},{"id":150,"name":"Time of Event (Mountain Time)","value":"10:55:07"},{"id":151,"name":"Denver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82"/>
        <v>start /low /b %USERPROFILE%\Documents\GitHub\eaglep3\Utilities\DownloadLogsFromS3.py --loco 4043 --day 2017-10-19</v>
      </c>
      <c r="AN176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84"/>
        <v>https://d0f6bd738d7f1b3e5a7ca70fe4ff75f0.us-east-1.aws.found.io/app/kibana#/discover/Steve-Slow-Train-Analysis-(2080s-and-2083s)?_g=(refreshInterval:(display:Off,pause:!f,section:0,value:0),time:(from:'2017-10-19T09:26:02-0600',mode:absolute,to:'2017-10-19T11:55:07-0600'))&amp;_a=(columns:!('Message%20ID',Summary),filters:!(),index:'emp_*',interval:auto,query:(query_string:(analyze_wildcard:!t,query:'%22rtdc.l.rtdc.4043%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679</v>
      </c>
      <c r="B177" s="7">
        <v>4044</v>
      </c>
      <c r="C177" s="21" t="s">
        <v>194</v>
      </c>
      <c r="D177" s="21" t="s">
        <v>943</v>
      </c>
      <c r="E177" s="13">
        <v>43027.455937500003</v>
      </c>
      <c r="F177" s="13">
        <v>43027.464768518519</v>
      </c>
      <c r="G177" s="7">
        <v>52</v>
      </c>
      <c r="H177" s="21" t="s">
        <v>944</v>
      </c>
      <c r="I177" s="13">
        <v>43027.474548611113</v>
      </c>
      <c r="J177" s="7">
        <v>0</v>
      </c>
      <c r="K177" s="89" t="str">
        <f t="shared" si="62"/>
        <v>4043/4044</v>
      </c>
      <c r="L177" s="185" t="str">
        <f>VLOOKUP(A177,'Trips&amp;Operators'!$C$1:$G$99911,5,FALSE)</f>
        <v>FORTUNATO FRANK</v>
      </c>
      <c r="M177" s="6">
        <f t="shared" si="63"/>
        <v>9.7800925941555761E-3</v>
      </c>
      <c r="N177" s="7">
        <f t="shared" si="104"/>
        <v>14.08333333558403</v>
      </c>
      <c r="O177" s="7"/>
      <c r="P177" s="7"/>
      <c r="Q177" s="22"/>
      <c r="R177" s="174"/>
      <c r="S177" s="221">
        <f t="shared" si="105"/>
        <v>1</v>
      </c>
      <c r="T177" s="174" t="str">
        <f t="shared" si="64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5"/>
        <v>https://d0f6bd738d7f1b3e5a7ca70fe4ff75f0.us-east-1.aws.found.io/app/kibana#/discover/Steve-Slow-Train-Analysis-(2080s-and-2083s)?_g=(refreshInterval:(display:Off,pause:!f,section:0,value:0),time:(from:'2017-10-19T09:56:33-0600',mode:absolute,to:'2017-10-19T12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204" t="str">
        <f>IF(AA177&lt;VLOOKUP(AG177,Variables!$AC$3:$AD$8,2,FALSE),"Y","N")</f>
        <v>N</v>
      </c>
      <c r="X177" s="204">
        <f t="shared" si="103"/>
        <v>1</v>
      </c>
      <c r="Y177" s="204">
        <f t="shared" si="101"/>
        <v>0.1116</v>
      </c>
      <c r="Z177" s="204">
        <f t="shared" si="102"/>
        <v>5.8960999999999997</v>
      </c>
      <c r="AA177" s="204">
        <f t="shared" si="67"/>
        <v>5.7844999999999995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8"/>
        <v>817</v>
      </c>
      <c r="AE177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77" s="74" t="str">
        <f t="shared" si="70"/>
        <v>"C:\Program Files (x86)\AstroGrep\AstroGrep.exe" /e /r /s /spath="%USERPROFILE%\AppData\Local\Temp\OnboardLogs" /stypes="app*4044*20171019*" /stext=" 17:.+((SYSTEM_STATE.+slice.+state.+changed )|(ment ac)|(multiple cpu faults)|(system.+state.+changed )|(\[timeout)|(PRM\|1\|D)|(kpr)|(kdp)|(train st.+moving)|(\|lc)|(penalty))"</v>
      </c>
      <c r="AG177" s="182" t="str">
        <f t="shared" si="71"/>
        <v>NW</v>
      </c>
      <c r="AH177" s="78" t="str">
        <f t="shared" si="80"/>
        <v>"%USERPROFILE%\Documents\GitHub\eaglep3\Utilities\RefineRTDCRunTimes.py" --tripid 817-19 --locoid 4044 --swversion DE.1.0.9.0 --startMP 204:1116 --initTime 2017-10-19T10:56:33 --startdatetime 2017-10-19T11:09:16 --delay 52 --endMP 300:58961 --enddatetime 2017-10-19T11:23:21 --enforcementcount 0 &gt;&gt;%USERPROFILE%\Documents\GitHub\eaglep3-reporting\EC\2017-10-19-refined-times.txt</v>
      </c>
      <c r="AI177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{"issue":{"subject":"","project_id":79,"tracker_id":40,"status_id":1,"priority_id":2,"assigned_to_id":338,"start_date":"2017-10-19","description":"","custom_fields":[{"id":1,"name":"Subdivision","value":"NW"},{"id":4,"name":"Milepost","value":"5.8961"},{"id":17,"name":"Train ID","value":"817-19"},{"id":16,"name":"Locomotive ID","value":"4044"},{"id":130,"name":"Impact","value":""},{"id":150,"name":"Time of Event (Mountain Time)","value":"11:23:21"},{"id":151,"name":"Denver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82"/>
        <v>start /low /b %USERPROFILE%\Documents\GitHub\eaglep3\Utilities\DownloadLogsFromS3.py --loco 4044 --day 2017-10-19</v>
      </c>
      <c r="AN177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84"/>
        <v>https://d0f6bd738d7f1b3e5a7ca70fe4ff75f0.us-east-1.aws.found.io/app/kibana#/discover/Steve-Slow-Train-Analysis-(2080s-and-2083s)?_g=(refreshInterval:(display:Off,pause:!f,section:0,value:0),time:(from:'2017-10-19T09:56:33-0600',mode:absolute,to:'2017-10-19T12:23:21-0600'))&amp;_a=(columns:!('Message%20ID',Summary),filters:!(),index:'emp_*',interval:auto,query:(query_string:(analyze_wildcard:!t,query:'%22rtdc.l.rtdc.4044%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684</v>
      </c>
      <c r="B178" s="7">
        <v>4043</v>
      </c>
      <c r="C178" s="21" t="s">
        <v>194</v>
      </c>
      <c r="D178" s="21" t="s">
        <v>553</v>
      </c>
      <c r="E178" s="13">
        <v>43027.47583333333</v>
      </c>
      <c r="F178" s="13">
        <v>43027.480208333334</v>
      </c>
      <c r="G178" s="7">
        <v>61</v>
      </c>
      <c r="H178" s="21" t="s">
        <v>945</v>
      </c>
      <c r="I178" s="13">
        <v>43027.496331018519</v>
      </c>
      <c r="J178" s="7">
        <v>0</v>
      </c>
      <c r="K178" s="89" t="str">
        <f t="shared" si="62"/>
        <v>4043/4044</v>
      </c>
      <c r="L178" s="185" t="str">
        <f>VLOOKUP(A178,'Trips&amp;Operators'!$C$1:$G$99911,5,FALSE)</f>
        <v>FORTUNATO FRANK</v>
      </c>
      <c r="M178" s="6">
        <f t="shared" si="63"/>
        <v>1.6122685185109731E-2</v>
      </c>
      <c r="N178" s="7">
        <f t="shared" si="104"/>
        <v>23.216666666558012</v>
      </c>
      <c r="O178" s="7"/>
      <c r="P178" s="7"/>
      <c r="Q178" s="22"/>
      <c r="R178" s="174"/>
      <c r="S178" s="221">
        <f t="shared" si="105"/>
        <v>1</v>
      </c>
      <c r="T178" s="174" t="str">
        <f t="shared" si="64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5"/>
        <v>https://d0f6bd738d7f1b3e5a7ca70fe4ff75f0.us-east-1.aws.found.io/app/kibana#/discover/Steve-Slow-Train-Analysis-(2080s-and-2083s)?_g=(refreshInterval:(display:Off,pause:!f,section:0,value:0),time:(from:'2017-10-19T10:25:12-0600',mode:absolute,to:'2017-10-19T12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204" t="str">
        <f>IF(AA178&lt;VLOOKUP(AG178,Variables!$AC$3:$AD$8,2,FALSE),"Y","N")</f>
        <v>N</v>
      </c>
      <c r="X178" s="204">
        <f t="shared" si="103"/>
        <v>1</v>
      </c>
      <c r="Y178" s="204">
        <f t="shared" si="101"/>
        <v>5.8644999999999996</v>
      </c>
      <c r="Z178" s="204">
        <f t="shared" si="102"/>
        <v>8.3900000000000002E-2</v>
      </c>
      <c r="AA178" s="204">
        <f t="shared" si="67"/>
        <v>5.7805999999999997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8"/>
        <v>818</v>
      </c>
      <c r="AE178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78" s="74" t="str">
        <f t="shared" si="70"/>
        <v>"C:\Program Files (x86)\AstroGrep\AstroGrep.exe" /e /r /s /spath="%USERPROFILE%\AppData\Local\Temp\OnboardLogs" /stypes="app*4043*20171019*" /stext=" 17:.+((SYSTEM_STATE.+slice.+state.+changed )|(ment ac)|(multiple cpu faults)|(system.+state.+changed )|(\[timeout)|(PRM\|1\|D)|(kpr)|(kdp)|(train st.+moving)|(\|lc)|(penalty))"</v>
      </c>
      <c r="AG178" s="182" t="str">
        <f t="shared" si="71"/>
        <v>NW</v>
      </c>
      <c r="AH178" s="78" t="str">
        <f t="shared" si="80"/>
        <v>"%USERPROFILE%\Documents\GitHub\eaglep3\Utilities\RefineRTDCRunTimes.py" --tripid 818-19 --locoid 4043 --swversion DE.1.0.9.0 --startMP 300:58645 --initTime 2017-10-19T11:25:12 --startdatetime 2017-10-19T11:31:30 --delay 61 --endMP 204:839 --enddatetime 2017-10-19T11:54:43 --enforcementcount 0 &gt;&gt;%USERPROFILE%\Documents\GitHub\eaglep3-reporting\EC\2017-10-19-refined-times.txt</v>
      </c>
      <c r="AI178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{"issue":{"subject":"","project_id":79,"tracker_id":40,"status_id":1,"priority_id":2,"assigned_to_id":338,"start_date":"2017-10-19","description":"","custom_fields":[{"id":1,"name":"Subdivision","value":"NW"},{"id":4,"name":"Milepost","value":"0.0839"},{"id":17,"name":"Train ID","value":"818-19"},{"id":16,"name":"Locomotive ID","value":"4043"},{"id":130,"name":"Impact","value":""},{"id":150,"name":"Time of Event (Mountain Time)","value":"11:54:43"},{"id":151,"name":"Denver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82"/>
        <v>start /low /b %USERPROFILE%\Documents\GitHub\eaglep3\Utilities\DownloadLogsFromS3.py --loco 4043 --day 2017-10-19</v>
      </c>
      <c r="AN178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84"/>
        <v>https://d0f6bd738d7f1b3e5a7ca70fe4ff75f0.us-east-1.aws.found.io/app/kibana#/discover/Steve-Slow-Train-Analysis-(2080s-and-2083s)?_g=(refreshInterval:(display:Off,pause:!f,section:0,value:0),time:(from:'2017-10-19T10:25:12-0600',mode:absolute,to:'2017-10-19T12:54:43-0600'))&amp;_a=(columns:!('Message%20ID',Summary),filters:!(),index:'emp_*',interval:auto,query:(query_string:(analyze_wildcard:!t,query:'%22rtdc.l.rtdc.4043%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691</v>
      </c>
      <c r="B179" s="7">
        <v>4044</v>
      </c>
      <c r="C179" s="21" t="s">
        <v>194</v>
      </c>
      <c r="D179" s="21" t="s">
        <v>940</v>
      </c>
      <c r="E179" s="13">
        <v>43027.498738425929</v>
      </c>
      <c r="F179" s="13">
        <v>43027.506412037037</v>
      </c>
      <c r="G179" s="7">
        <v>51</v>
      </c>
      <c r="H179" s="21" t="s">
        <v>479</v>
      </c>
      <c r="I179" s="13">
        <v>43027.516400462962</v>
      </c>
      <c r="J179" s="7">
        <v>0</v>
      </c>
      <c r="K179" s="89" t="str">
        <f t="shared" si="62"/>
        <v>4043/4044</v>
      </c>
      <c r="L179" s="185" t="str">
        <f>VLOOKUP(A179,'Trips&amp;Operators'!$C$1:$G$99911,5,FALSE)</f>
        <v>FORTUNATO FRANK</v>
      </c>
      <c r="M179" s="6">
        <f t="shared" si="63"/>
        <v>9.9884259252576157E-3</v>
      </c>
      <c r="N179" s="7">
        <f t="shared" si="104"/>
        <v>14.383333332370967</v>
      </c>
      <c r="O179" s="7"/>
      <c r="P179" s="7"/>
      <c r="Q179" s="22"/>
      <c r="R179" s="174"/>
      <c r="S179" s="221">
        <f t="shared" si="105"/>
        <v>1</v>
      </c>
      <c r="T179" s="174" t="str">
        <f t="shared" si="64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5"/>
        <v>https://d0f6bd738d7f1b3e5a7ca70fe4ff75f0.us-east-1.aws.found.io/app/kibana#/discover/Steve-Slow-Train-Analysis-(2080s-and-2083s)?_g=(refreshInterval:(display:Off,pause:!f,section:0,value:0),time:(from:'2017-10-19T10:58:11-0600',mode:absolute,to:'2017-10-19T13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204" t="str">
        <f>IF(AA179&lt;VLOOKUP(AG179,Variables!$AC$3:$AD$8,2,FALSE),"Y","N")</f>
        <v>N</v>
      </c>
      <c r="X179" s="204">
        <f t="shared" si="103"/>
        <v>1</v>
      </c>
      <c r="Y179" s="204">
        <f t="shared" si="101"/>
        <v>0.1125</v>
      </c>
      <c r="Z179" s="204">
        <f t="shared" si="102"/>
        <v>5.8983999999999996</v>
      </c>
      <c r="AA179" s="204">
        <f t="shared" si="67"/>
        <v>5.7858999999999998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8"/>
        <v>819</v>
      </c>
      <c r="AE179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79" s="74" t="str">
        <f t="shared" si="70"/>
        <v>"C:\Program Files (x86)\AstroGrep\AstroGrep.exe" /e /r /s /spath="%USERPROFILE%\AppData\Local\Temp\OnboardLogs" /stypes="app*4044*20171019*" /stext=" 18:.+((SYSTEM_STATE.+slice.+state.+changed )|(ment ac)|(multiple cpu faults)|(system.+state.+changed )|(\[timeout)|(PRM\|1\|D)|(kpr)|(kdp)|(train st.+moving)|(\|lc)|(penalty))"</v>
      </c>
      <c r="AG179" s="182" t="str">
        <f t="shared" si="71"/>
        <v>NW</v>
      </c>
      <c r="AH179" s="78" t="str">
        <f t="shared" si="80"/>
        <v>"%USERPROFILE%\Documents\GitHub\eaglep3\Utilities\RefineRTDCRunTimes.py" --tripid 819-19 --locoid 4044 --swversion DE.1.0.9.0 --startMP 204:1125 --initTime 2017-10-19T11:58:11 --startdatetime 2017-10-19T12:09:14 --delay 51 --endMP 300:58984 --enddatetime 2017-10-19T12:23:37 --enforcementcount 0 &gt;&gt;%USERPROFILE%\Documents\GitHub\eaglep3-reporting\EC\2017-10-19-refined-times.txt</v>
      </c>
      <c r="AI179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{"issue":{"subject":"","project_id":79,"tracker_id":40,"status_id":1,"priority_id":2,"assigned_to_id":338,"start_date":"2017-10-19","description":"","custom_fields":[{"id":1,"name":"Subdivision","value":"NW"},{"id":4,"name":"Milepost","value":"5.8984"},{"id":17,"name":"Train ID","value":"819-19"},{"id":16,"name":"Locomotive ID","value":"4044"},{"id":130,"name":"Impact","value":""},{"id":150,"name":"Time of Event (Mountain Time)","value":"12:23:37"},{"id":151,"name":"Denver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82"/>
        <v>start /low /b %USERPROFILE%\Documents\GitHub\eaglep3\Utilities\DownloadLogsFromS3.py --loco 4044 --day 2017-10-19</v>
      </c>
      <c r="AN179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84"/>
        <v>https://d0f6bd738d7f1b3e5a7ca70fe4ff75f0.us-east-1.aws.found.io/app/kibana#/discover/Steve-Slow-Train-Analysis-(2080s-and-2083s)?_g=(refreshInterval:(display:Off,pause:!f,section:0,value:0),time:(from:'2017-10-19T10:58:11-0600',mode:absolute,to:'2017-10-19T13:23:37-0600'))&amp;_a=(columns:!('Message%20ID',Summary),filters:!(),index:'emp_*',interval:auto,query:(query_string:(analyze_wildcard:!t,query:'%22rtdc.l.rtdc.4044%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697</v>
      </c>
      <c r="B180" s="7">
        <v>4043</v>
      </c>
      <c r="C180" s="21" t="s">
        <v>194</v>
      </c>
      <c r="D180" s="21" t="s">
        <v>542</v>
      </c>
      <c r="E180" s="13">
        <v>43027.517685185187</v>
      </c>
      <c r="F180" s="13">
        <v>43027.529953703706</v>
      </c>
      <c r="G180" s="7">
        <v>58</v>
      </c>
      <c r="H180" s="21" t="s">
        <v>946</v>
      </c>
      <c r="I180" s="13">
        <v>43027.538275462961</v>
      </c>
      <c r="J180" s="7">
        <v>0</v>
      </c>
      <c r="K180" s="89" t="str">
        <f t="shared" si="62"/>
        <v>4043/4044</v>
      </c>
      <c r="L180" s="185" t="str">
        <f>VLOOKUP(A180,'Trips&amp;Operators'!$C$1:$G$99911,5,FALSE)</f>
        <v>FORTUNATO FRANK</v>
      </c>
      <c r="M180" s="6">
        <f t="shared" si="63"/>
        <v>8.3217592546134256E-3</v>
      </c>
      <c r="N180" s="7">
        <f t="shared" si="104"/>
        <v>11.983333326643333</v>
      </c>
      <c r="O180" s="7"/>
      <c r="P180" s="7"/>
      <c r="Q180" s="22"/>
      <c r="R180" s="174"/>
      <c r="S180" s="221">
        <f t="shared" si="105"/>
        <v>1</v>
      </c>
      <c r="T180" s="174" t="str">
        <f t="shared" si="64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5"/>
        <v>https://d0f6bd738d7f1b3e5a7ca70fe4ff75f0.us-east-1.aws.found.io/app/kibana#/discover/Steve-Slow-Train-Analysis-(2080s-and-2083s)?_g=(refreshInterval:(display:Off,pause:!f,section:0,value:0),time:(from:'2017-10-19T11:25:28-0600',mode:absolute,to:'2017-10-19T13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204" t="str">
        <f>IF(AA180&lt;VLOOKUP(AG180,Variables!$AC$3:$AD$8,2,FALSE),"Y","N")</f>
        <v>N</v>
      </c>
      <c r="X180" s="204">
        <f t="shared" si="103"/>
        <v>1</v>
      </c>
      <c r="Y180" s="204">
        <f t="shared" si="101"/>
        <v>5.8658000000000001</v>
      </c>
      <c r="Z180" s="204">
        <f t="shared" si="102"/>
        <v>8.3400000000000002E-2</v>
      </c>
      <c r="AA180" s="204">
        <f t="shared" si="67"/>
        <v>5.7824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8"/>
        <v>820</v>
      </c>
      <c r="AE180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80" s="74" t="str">
        <f t="shared" si="70"/>
        <v>"C:\Program Files (x86)\AstroGrep\AstroGrep.exe" /e /r /s /spath="%USERPROFILE%\AppData\Local\Temp\OnboardLogs" /stypes="app*4043*20171019*" /stext=" 18:.+((SYSTEM_STATE.+slice.+state.+changed )|(ment ac)|(multiple cpu faults)|(system.+state.+changed )|(\[timeout)|(PRM\|1\|D)|(kpr)|(kdp)|(train st.+moving)|(\|lc)|(penalty))"</v>
      </c>
      <c r="AG180" s="182" t="str">
        <f t="shared" si="71"/>
        <v>NW</v>
      </c>
      <c r="AH180" s="78" t="str">
        <f t="shared" si="80"/>
        <v>"%USERPROFILE%\Documents\GitHub\eaglep3\Utilities\RefineRTDCRunTimes.py" --tripid 820-19 --locoid 4043 --swversion DE.1.0.9.0 --startMP 300:58658 --initTime 2017-10-19T12:25:28 --startdatetime 2017-10-19T12:43:08 --delay 58 --endMP 204:834 --enddatetime 2017-10-19T12:55:07 --enforcementcount 0 &gt;&gt;%USERPROFILE%\Documents\GitHub\eaglep3-reporting\EC\2017-10-19-refined-times.txt</v>
      </c>
      <c r="AI180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{"issue":{"subject":"","project_id":79,"tracker_id":40,"status_id":1,"priority_id":2,"assigned_to_id":338,"start_date":"2017-10-19","description":"","custom_fields":[{"id":1,"name":"Subdivision","value":"NW"},{"id":4,"name":"Milepost","value":"0.0834"},{"id":17,"name":"Train ID","value":"820-19"},{"id":16,"name":"Locomotive ID","value":"4043"},{"id":130,"name":"Impact","value":""},{"id":150,"name":"Time of Event (Mountain Time)","value":"12:55:07"},{"id":151,"name":"Denver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82"/>
        <v>start /low /b %USERPROFILE%\Documents\GitHub\eaglep3\Utilities\DownloadLogsFromS3.py --loco 4043 --day 2017-10-19</v>
      </c>
      <c r="AN180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84"/>
        <v>https://d0f6bd738d7f1b3e5a7ca70fe4ff75f0.us-east-1.aws.found.io/app/kibana#/discover/Steve-Slow-Train-Analysis-(2080s-and-2083s)?_g=(refreshInterval:(display:Off,pause:!f,section:0,value:0),time:(from:'2017-10-19T11:25:28-0600',mode:absolute,to:'2017-10-19T13:55:07-0600'))&amp;_a=(columns:!('Message%20ID',Summary),filters:!(),index:'emp_*',interval:auto,query:(query_string:(analyze_wildcard:!t,query:'%22rtdc.l.rtdc.4043%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704</v>
      </c>
      <c r="B181" s="7">
        <v>4044</v>
      </c>
      <c r="C181" s="21" t="s">
        <v>194</v>
      </c>
      <c r="D181" s="21" t="s">
        <v>947</v>
      </c>
      <c r="E181" s="13">
        <v>43027.545104166667</v>
      </c>
      <c r="F181" s="13">
        <v>43027.548148148147</v>
      </c>
      <c r="G181" s="7">
        <v>75</v>
      </c>
      <c r="H181" s="21" t="s">
        <v>948</v>
      </c>
      <c r="I181" s="13">
        <v>43027.557175925926</v>
      </c>
      <c r="J181" s="7">
        <v>0</v>
      </c>
      <c r="K181" s="89" t="str">
        <f t="shared" si="62"/>
        <v>4043/4044</v>
      </c>
      <c r="L181" s="185" t="str">
        <f>VLOOKUP(A181,'Trips&amp;Operators'!$C$1:$G$99911,5,FALSE)</f>
        <v>STAMBAUGH JAMES</v>
      </c>
      <c r="M181" s="6">
        <f t="shared" si="63"/>
        <v>9.0277777781011537E-3</v>
      </c>
      <c r="N181" s="7">
        <f t="shared" si="104"/>
        <v>13.000000000465661</v>
      </c>
      <c r="O181" s="7"/>
      <c r="P181" s="7"/>
      <c r="Q181" s="22"/>
      <c r="R181" s="174"/>
      <c r="S181" s="221">
        <f t="shared" si="105"/>
        <v>1</v>
      </c>
      <c r="T181" s="174" t="str">
        <f t="shared" si="64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5"/>
        <v>https://d0f6bd738d7f1b3e5a7ca70fe4ff75f0.us-east-1.aws.found.io/app/kibana#/discover/Steve-Slow-Train-Analysis-(2080s-and-2083s)?_g=(refreshInterval:(display:Off,pause:!f,section:0,value:0),time:(from:'2017-10-19T12:04:57-0600',mode:absolute,to:'2017-10-19T14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204" t="str">
        <f>IF(AA181&lt;VLOOKUP(AG181,Variables!$AC$3:$AD$8,2,FALSE),"Y","N")</f>
        <v>N</v>
      </c>
      <c r="X181" s="204">
        <f t="shared" si="103"/>
        <v>1</v>
      </c>
      <c r="Y181" s="204">
        <f t="shared" si="101"/>
        <v>0.1119</v>
      </c>
      <c r="Z181" s="204">
        <f t="shared" si="102"/>
        <v>5.8944000000000001</v>
      </c>
      <c r="AA181" s="204">
        <f t="shared" si="67"/>
        <v>5.7824999999999998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8"/>
        <v>821</v>
      </c>
      <c r="AE181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81" s="74" t="str">
        <f t="shared" si="70"/>
        <v>"C:\Program Files (x86)\AstroGrep\AstroGrep.exe" /e /r /s /spath="%USERPROFILE%\AppData\Local\Temp\OnboardLogs" /stypes="app*4044*20171019*" /stext=" 19:.+((SYSTEM_STATE.+slice.+state.+changed )|(ment ac)|(multiple cpu faults)|(system.+state.+changed )|(\[timeout)|(PRM\|1\|D)|(kpr)|(kdp)|(train st.+moving)|(\|lc)|(penalty))"</v>
      </c>
      <c r="AG181" s="182" t="str">
        <f t="shared" si="71"/>
        <v>NW</v>
      </c>
      <c r="AH181" s="78" t="str">
        <f t="shared" si="80"/>
        <v>"%USERPROFILE%\Documents\GitHub\eaglep3\Utilities\RefineRTDCRunTimes.py" --tripid 821-19 --locoid 4044 --swversion DE.1.0.9.0 --startMP 204:1119 --initTime 2017-10-19T13:04:57 --startdatetime 2017-10-19T13:09:20 --delay 75 --endMP 300:58944 --enddatetime 2017-10-19T13:22:20 --enforcementcount 0 &gt;&gt;%USERPROFILE%\Documents\GitHub\eaglep3-reporting\EC\2017-10-19-refined-times.txt</v>
      </c>
      <c r="AI181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{"issue":{"subject":"","project_id":79,"tracker_id":40,"status_id":1,"priority_id":2,"assigned_to_id":338,"start_date":"2017-10-19","description":"","custom_fields":[{"id":1,"name":"Subdivision","value":"NW"},{"id":4,"name":"Milepost","value":"5.8944"},{"id":17,"name":"Train ID","value":"821-19"},{"id":16,"name":"Locomotive ID","value":"4044"},{"id":130,"name":"Impact","value":""},{"id":150,"name":"Time of Event (Mountain Time)","value":"13:22:20"},{"id":151,"name":"Denver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82"/>
        <v>start /low /b %USERPROFILE%\Documents\GitHub\eaglep3\Utilities\DownloadLogsFromS3.py --loco 4044 --day 2017-10-19</v>
      </c>
      <c r="AN181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84"/>
        <v>https://d0f6bd738d7f1b3e5a7ca70fe4ff75f0.us-east-1.aws.found.io/app/kibana#/discover/Steve-Slow-Train-Analysis-(2080s-and-2083s)?_g=(refreshInterval:(display:Off,pause:!f,section:0,value:0),time:(from:'2017-10-19T12:04:57-0600',mode:absolute,to:'2017-10-19T14:22:20-0600'))&amp;_a=(columns:!('Message%20ID',Summary),filters:!(),index:'emp_*',interval:auto,query:(query_string:(analyze_wildcard:!t,query:'%22rtdc.l.rtdc.4044%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707</v>
      </c>
      <c r="B182" s="7">
        <v>4043</v>
      </c>
      <c r="C182" s="21" t="s">
        <v>194</v>
      </c>
      <c r="D182" s="21" t="s">
        <v>555</v>
      </c>
      <c r="E182" s="13">
        <v>43027.558483796296</v>
      </c>
      <c r="F182" s="13">
        <v>43027.571585648147</v>
      </c>
      <c r="G182" s="7">
        <v>91</v>
      </c>
      <c r="H182" s="21" t="s">
        <v>556</v>
      </c>
      <c r="I182" s="13">
        <v>43027.579039351855</v>
      </c>
      <c r="J182" s="7">
        <v>0</v>
      </c>
      <c r="K182" s="89" t="str">
        <f t="shared" si="62"/>
        <v>4043/4044</v>
      </c>
      <c r="L182" s="185" t="str">
        <f>VLOOKUP(A182,'Trips&amp;Operators'!$C$1:$G$99911,5,FALSE)</f>
        <v>STAMBAUGH JAMES</v>
      </c>
      <c r="M182" s="6">
        <f t="shared" si="63"/>
        <v>7.4537037071422674E-3</v>
      </c>
      <c r="N182" s="7">
        <f t="shared" si="104"/>
        <v>10.733333338284865</v>
      </c>
      <c r="O182" s="7"/>
      <c r="P182" s="7"/>
      <c r="Q182" s="22"/>
      <c r="R182" s="174"/>
      <c r="S182" s="221">
        <f t="shared" si="105"/>
        <v>1</v>
      </c>
      <c r="T182" s="174" t="str">
        <f t="shared" si="64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5"/>
        <v>https://d0f6bd738d7f1b3e5a7ca70fe4ff75f0.us-east-1.aws.found.io/app/kibana#/discover/Steve-Slow-Train-Analysis-(2080s-and-2083s)?_g=(refreshInterval:(display:Off,pause:!f,section:0,value:0),time:(from:'2017-10-19T12:24:13-0600',mode:absolute,to:'2017-10-19T14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204" t="str">
        <f>IF(AA182&lt;VLOOKUP(AG182,Variables!$AC$3:$AD$8,2,FALSE),"Y","N")</f>
        <v>N</v>
      </c>
      <c r="X182" s="204">
        <f t="shared" si="103"/>
        <v>1</v>
      </c>
      <c r="Y182" s="204">
        <f t="shared" si="101"/>
        <v>5.8625999999999996</v>
      </c>
      <c r="Z182" s="204">
        <f t="shared" si="102"/>
        <v>6.7699999999999996E-2</v>
      </c>
      <c r="AA182" s="204">
        <f t="shared" si="67"/>
        <v>5.7948999999999993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8"/>
        <v>822</v>
      </c>
      <c r="AE182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82" s="74" t="str">
        <f t="shared" si="70"/>
        <v>"C:\Program Files (x86)\AstroGrep\AstroGrep.exe" /e /r /s /spath="%USERPROFILE%\AppData\Local\Temp\OnboardLogs" /stypes="app*4043*20171019*" /stext=" 19:.+((SYSTEM_STATE.+slice.+state.+changed )|(ment ac)|(multiple cpu faults)|(system.+state.+changed )|(\[timeout)|(PRM\|1\|D)|(kpr)|(kdp)|(train st.+moving)|(\|lc)|(penalty))"</v>
      </c>
      <c r="AG182" s="182" t="str">
        <f t="shared" si="71"/>
        <v>NW</v>
      </c>
      <c r="AH182" s="78" t="str">
        <f t="shared" si="80"/>
        <v>"%USERPROFILE%\Documents\GitHub\eaglep3\Utilities\RefineRTDCRunTimes.py" --tripid 822-19 --locoid 4043 --swversion DE.1.0.9.0 --startMP 300:58626 --initTime 2017-10-19T13:24:13 --startdatetime 2017-10-19T13:43:05 --delay 91 --endMP 204:677 --enddatetime 2017-10-19T13:53:49 --enforcementcount 0 &gt;&gt;%USERPROFILE%\Documents\GitHub\eaglep3-reporting\EC\2017-10-19-refined-times.txt</v>
      </c>
      <c r="AI182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{"issue":{"subject":"","project_id":79,"tracker_id":40,"status_id":1,"priority_id":2,"assigned_to_id":338,"start_date":"2017-10-19","description":"","custom_fields":[{"id":1,"name":"Subdivision","value":"NW"},{"id":4,"name":"Milepost","value":"0.0677"},{"id":17,"name":"Train ID","value":"822-19"},{"id":16,"name":"Locomotive ID","value":"4043"},{"id":130,"name":"Impact","value":""},{"id":150,"name":"Time of Event (Mountain Time)","value":"13:53:49"},{"id":151,"name":"Denver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82"/>
        <v>start /low /b %USERPROFILE%\Documents\GitHub\eaglep3\Utilities\DownloadLogsFromS3.py --loco 4043 --day 2017-10-19</v>
      </c>
      <c r="AN182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19:53:49"},{"id":29,"name":"Sharepoint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84"/>
        <v>https://d0f6bd738d7f1b3e5a7ca70fe4ff75f0.us-east-1.aws.found.io/app/kibana#/discover/Steve-Slow-Train-Analysis-(2080s-and-2083s)?_g=(refreshInterval:(display:Off,pause:!f,section:0,value:0),time:(from:'2017-10-19T12:24:13-0600',mode:absolute,to:'2017-10-19T14:53:49-0600'))&amp;_a=(columns:!('Message%20ID',Summary),filters:!(),index:'emp_*',interval:auto,query:(query_string:(analyze_wildcard:!t,query:'%22rtdc.l.rtdc.4043%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712</v>
      </c>
      <c r="B183" s="7">
        <v>4044</v>
      </c>
      <c r="C183" s="21" t="s">
        <v>194</v>
      </c>
      <c r="D183" s="21" t="s">
        <v>949</v>
      </c>
      <c r="E183" s="13">
        <v>43027.58761574074</v>
      </c>
      <c r="F183" s="13">
        <v>43027.589907407404</v>
      </c>
      <c r="G183" s="7">
        <v>58</v>
      </c>
      <c r="H183" s="21" t="s">
        <v>552</v>
      </c>
      <c r="I183" s="13">
        <v>43027.598981481482</v>
      </c>
      <c r="J183" s="7">
        <v>0</v>
      </c>
      <c r="K183" s="89" t="str">
        <f t="shared" si="62"/>
        <v>4043/4044</v>
      </c>
      <c r="L183" s="185" t="str">
        <f>VLOOKUP(A183,'Trips&amp;Operators'!$C$1:$G$99911,5,FALSE)</f>
        <v>STAMBAUGH JAMES</v>
      </c>
      <c r="M183" s="6">
        <f t="shared" si="63"/>
        <v>9.0740740779438056E-3</v>
      </c>
      <c r="N183" s="7">
        <f t="shared" si="104"/>
        <v>13.06666667223908</v>
      </c>
      <c r="O183" s="7"/>
      <c r="P183" s="7"/>
      <c r="Q183" s="22"/>
      <c r="R183" s="174"/>
      <c r="S183" s="221">
        <f t="shared" si="105"/>
        <v>1</v>
      </c>
      <c r="T183" s="174" t="str">
        <f t="shared" si="64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5"/>
        <v>https://d0f6bd738d7f1b3e5a7ca70fe4ff75f0.us-east-1.aws.found.io/app/kibana#/discover/Steve-Slow-Train-Analysis-(2080s-and-2083s)?_g=(refreshInterval:(display:Off,pause:!f,section:0,value:0),time:(from:'2017-10-19T13:06:10-0600',mode:absolute,to:'2017-10-19T15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204" t="str">
        <f>IF(AA183&lt;VLOOKUP(AG183,Variables!$AC$3:$AD$8,2,FALSE),"Y","N")</f>
        <v>N</v>
      </c>
      <c r="X183" s="204">
        <f t="shared" si="103"/>
        <v>1</v>
      </c>
      <c r="Y183" s="204">
        <f t="shared" si="101"/>
        <v>9.4399999999999998E-2</v>
      </c>
      <c r="Z183" s="204">
        <f t="shared" si="102"/>
        <v>5.8949999999999996</v>
      </c>
      <c r="AA183" s="204">
        <f t="shared" si="67"/>
        <v>5.8005999999999993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8"/>
        <v>823</v>
      </c>
      <c r="AE183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83" s="74" t="str">
        <f t="shared" si="70"/>
        <v>"C:\Program Files (x86)\AstroGrep\AstroGrep.exe" /e /r /s /spath="%USERPROFILE%\AppData\Local\Temp\OnboardLogs" /stypes="app*4044*20171019*" /stext=" 20:.+((SYSTEM_STATE.+slice.+state.+changed )|(ment ac)|(multiple cpu faults)|(system.+state.+changed )|(\[timeout)|(PRM\|1\|D)|(kpr)|(kdp)|(train st.+moving)|(\|lc)|(penalty))"</v>
      </c>
      <c r="AG183" s="182" t="str">
        <f t="shared" si="71"/>
        <v>NW</v>
      </c>
      <c r="AH183" s="78" t="str">
        <f t="shared" si="80"/>
        <v>"%USERPROFILE%\Documents\GitHub\eaglep3\Utilities\RefineRTDCRunTimes.py" --tripid 823-19 --locoid 4044 --swversion DE.1.0.9.0 --startMP 204:944 --initTime 2017-10-19T14:06:10 --startdatetime 2017-10-19T14:09:28 --delay 58 --endMP 300:58950 --enddatetime 2017-10-19T14:22:32 --enforcementcount 0 &gt;&gt;%USERPROFILE%\Documents\GitHub\eaglep3-reporting\EC\2017-10-19-refined-times.txt</v>
      </c>
      <c r="AI183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{"issue":{"subject":"","project_id":79,"tracker_id":40,"status_id":1,"priority_id":2,"assigned_to_id":338,"start_date":"2017-10-19","description":"","custom_fields":[{"id":1,"name":"Subdivision","value":"NW"},{"id":4,"name":"Milepost","value":"5.895"},{"id":17,"name":"Train ID","value":"823-19"},{"id":16,"name":"Locomotive ID","value":"4044"},{"id":130,"name":"Impact","value":""},{"id":150,"name":"Time of Event (Mountain Time)","value":"14:22:32"},{"id":151,"name":"Denver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82"/>
        <v>start /low /b %USERPROFILE%\Documents\GitHub\eaglep3\Utilities\DownloadLogsFromS3.py --loco 4044 --day 2017-10-19</v>
      </c>
      <c r="AN183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84"/>
        <v>https://d0f6bd738d7f1b3e5a7ca70fe4ff75f0.us-east-1.aws.found.io/app/kibana#/discover/Steve-Slow-Train-Analysis-(2080s-and-2083s)?_g=(refreshInterval:(display:Off,pause:!f,section:0,value:0),time:(from:'2017-10-19T13:06:10-0600',mode:absolute,to:'2017-10-19T15:22:32-0600'))&amp;_a=(columns:!('Message%20ID',Summary),filters:!(),index:'emp_*',interval:auto,query:(query_string:(analyze_wildcard:!t,query:'%22rtdc.l.rtdc.4044%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585</v>
      </c>
      <c r="B184" s="7">
        <v>4043</v>
      </c>
      <c r="C184" s="21" t="s">
        <v>194</v>
      </c>
      <c r="D184" s="21" t="s">
        <v>553</v>
      </c>
      <c r="E184" s="13">
        <v>43027.600011574075</v>
      </c>
      <c r="F184" s="13">
        <v>43027.612685185188</v>
      </c>
      <c r="G184" s="7">
        <v>88</v>
      </c>
      <c r="H184" s="21" t="s">
        <v>950</v>
      </c>
      <c r="I184" s="13">
        <v>43027.620740740742</v>
      </c>
      <c r="J184" s="7">
        <v>0</v>
      </c>
      <c r="K184" s="89" t="str">
        <f t="shared" si="62"/>
        <v>4043/4044</v>
      </c>
      <c r="L184" s="185" t="str">
        <f>VLOOKUP(A184,'Trips&amp;Operators'!$C$1:$G$99911,5,FALSE)</f>
        <v>STAMBAUGH JAMES</v>
      </c>
      <c r="M184" s="6">
        <f t="shared" si="63"/>
        <v>8.0555555541650392E-3</v>
      </c>
      <c r="N184" s="7">
        <f t="shared" si="104"/>
        <v>11.599999997997656</v>
      </c>
      <c r="O184" s="7"/>
      <c r="P184" s="7"/>
      <c r="Q184" s="22"/>
      <c r="R184" s="174"/>
      <c r="S184" s="221">
        <f t="shared" si="105"/>
        <v>1</v>
      </c>
      <c r="T184" s="174" t="str">
        <f t="shared" si="64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5"/>
        <v>https://d0f6bd738d7f1b3e5a7ca70fe4ff75f0.us-east-1.aws.found.io/app/kibana#/discover/Steve-Slow-Train-Analysis-(2080s-and-2083s)?_g=(refreshInterval:(display:Off,pause:!f,section:0,value:0),time:(from:'2017-10-19T13:24:01-0600',mode:absolute,to:'2017-10-19T15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204" t="str">
        <f>IF(AA184&lt;VLOOKUP(AG184,Variables!$AC$3:$AD$8,2,FALSE),"Y","N")</f>
        <v>N</v>
      </c>
      <c r="X184" s="204">
        <f t="shared" si="103"/>
        <v>1</v>
      </c>
      <c r="Y184" s="204">
        <f t="shared" si="101"/>
        <v>5.8644999999999996</v>
      </c>
      <c r="Z184" s="204">
        <f t="shared" si="102"/>
        <v>6.9800000000000001E-2</v>
      </c>
      <c r="AA184" s="204">
        <f t="shared" si="67"/>
        <v>5.7946999999999997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8"/>
        <v>824</v>
      </c>
      <c r="AE184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84" s="74" t="str">
        <f t="shared" si="70"/>
        <v>"C:\Program Files (x86)\AstroGrep\AstroGrep.exe" /e /r /s /spath="%USERPROFILE%\AppData\Local\Temp\OnboardLogs" /stypes="app*4043*20171019*" /stext=" 20:.+((SYSTEM_STATE.+slice.+state.+changed )|(ment ac)|(multiple cpu faults)|(system.+state.+changed )|(\[timeout)|(PRM\|1\|D)|(kpr)|(kdp)|(train st.+moving)|(\|lc)|(penalty))"</v>
      </c>
      <c r="AG184" s="182" t="str">
        <f t="shared" si="71"/>
        <v>NW</v>
      </c>
      <c r="AH184" s="78" t="str">
        <f t="shared" si="80"/>
        <v>"%USERPROFILE%\Documents\GitHub\eaglep3\Utilities\RefineRTDCRunTimes.py" --tripid 824-19 --locoid 4043 --swversion DE.1.0.9.0 --startMP 300:58645 --initTime 2017-10-19T14:24:01 --startdatetime 2017-10-19T14:42:16 --delay 88 --endMP 204:698 --enddatetime 2017-10-19T14:53:52 --enforcementcount 0 &gt;&gt;%USERPROFILE%\Documents\GitHub\eaglep3-reporting\EC\2017-10-19-refined-times.txt</v>
      </c>
      <c r="AI184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{"issue":{"subject":"","project_id":79,"tracker_id":40,"status_id":1,"priority_id":2,"assigned_to_id":338,"start_date":"2017-10-19","description":"","custom_fields":[{"id":1,"name":"Subdivision","value":"NW"},{"id":4,"name":"Milepost","value":"0.0698"},{"id":17,"name":"Train ID","value":"824-19"},{"id":16,"name":"Locomotive ID","value":"4043"},{"id":130,"name":"Impact","value":""},{"id":150,"name":"Time of Event (Mountain Time)","value":"14:53:52"},{"id":151,"name":"Denver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82"/>
        <v>start /low /b %USERPROFILE%\Documents\GitHub\eaglep3\Utilities\DownloadLogsFromS3.py --loco 4043 --day 2017-10-19</v>
      </c>
      <c r="AN184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84"/>
        <v>https://d0f6bd738d7f1b3e5a7ca70fe4ff75f0.us-east-1.aws.found.io/app/kibana#/discover/Steve-Slow-Train-Analysis-(2080s-and-2083s)?_g=(refreshInterval:(display:Off,pause:!f,section:0,value:0),time:(from:'2017-10-19T13:24:01-0600',mode:absolute,to:'2017-10-19T15:53:52-0600'))&amp;_a=(columns:!('Message%20ID',Summary),filters:!(),index:'emp_*',interval:auto,query:(query_string:(analyze_wildcard:!t,query:'%22rtdc.l.rtdc.4043%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720</v>
      </c>
      <c r="B185" s="7">
        <v>4044</v>
      </c>
      <c r="C185" s="21" t="s">
        <v>194</v>
      </c>
      <c r="D185" s="21" t="s">
        <v>551</v>
      </c>
      <c r="E185" s="13">
        <v>43027.62945601852</v>
      </c>
      <c r="F185" s="13">
        <v>43027.63144675926</v>
      </c>
      <c r="G185" s="7">
        <v>60</v>
      </c>
      <c r="H185" s="21" t="s">
        <v>951</v>
      </c>
      <c r="I185" s="13">
        <v>43027.640729166669</v>
      </c>
      <c r="J185" s="7">
        <v>0</v>
      </c>
      <c r="K185" s="89" t="str">
        <f t="shared" si="62"/>
        <v>4043/4044</v>
      </c>
      <c r="L185" s="185" t="str">
        <f>VLOOKUP(A185,'Trips&amp;Operators'!$C$1:$G$99911,5,FALSE)</f>
        <v>STAMBAUGH JAMES</v>
      </c>
      <c r="M185" s="6">
        <f t="shared" si="63"/>
        <v>9.2824074090458453E-3</v>
      </c>
      <c r="N185" s="7">
        <f t="shared" si="104"/>
        <v>13.366666669026017</v>
      </c>
      <c r="O185" s="7"/>
      <c r="P185" s="7"/>
      <c r="Q185" s="22"/>
      <c r="R185" s="174"/>
      <c r="S185" s="221">
        <f t="shared" si="105"/>
        <v>1</v>
      </c>
      <c r="T185" s="174" t="str">
        <f t="shared" si="64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5"/>
        <v>https://d0f6bd738d7f1b3e5a7ca70fe4ff75f0.us-east-1.aws.found.io/app/kibana#/discover/Steve-Slow-Train-Analysis-(2080s-and-2083s)?_g=(refreshInterval:(display:Off,pause:!f,section:0,value:0),time:(from:'2017-10-19T14:06:25-0600',mode:absolute,to:'2017-10-19T16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204" t="str">
        <f>IF(AA185&lt;VLOOKUP(AG185,Variables!$AC$3:$AD$8,2,FALSE),"Y","N")</f>
        <v>N</v>
      </c>
      <c r="X185" s="204">
        <f t="shared" si="103"/>
        <v>1</v>
      </c>
      <c r="Y185" s="204">
        <f t="shared" si="101"/>
        <v>9.8500000000000004E-2</v>
      </c>
      <c r="Z185" s="204">
        <f t="shared" si="102"/>
        <v>5.8945999999999996</v>
      </c>
      <c r="AA185" s="204">
        <f t="shared" si="67"/>
        <v>5.7961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8"/>
        <v>825</v>
      </c>
      <c r="AE185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85" s="74" t="str">
        <f t="shared" si="70"/>
        <v>"C:\Program Files (x86)\AstroGrep\AstroGrep.exe" /e /r /s /spath="%USERPROFILE%\AppData\Local\Temp\OnboardLogs" /stypes="app*4044*20171019*" /stext=" 21:.+((SYSTEM_STATE.+slice.+state.+changed )|(ment ac)|(multiple cpu faults)|(system.+state.+changed )|(\[timeout)|(PRM\|1\|D)|(kpr)|(kdp)|(train st.+moving)|(\|lc)|(penalty))"</v>
      </c>
      <c r="AG185" s="182" t="str">
        <f t="shared" si="71"/>
        <v>NW</v>
      </c>
      <c r="AH185" s="78" t="str">
        <f t="shared" si="80"/>
        <v>"%USERPROFILE%\Documents\GitHub\eaglep3\Utilities\RefineRTDCRunTimes.py" --tripid 825-19 --locoid 4044 --swversion DE.1.0.9.0 --startMP 204:985 --initTime 2017-10-19T15:06:25 --startdatetime 2017-10-19T15:09:17 --delay 60 --endMP 300:58946 --enddatetime 2017-10-19T15:22:39 --enforcementcount 0 &gt;&gt;%USERPROFILE%\Documents\GitHub\eaglep3-reporting\EC\2017-10-19-refined-times.txt</v>
      </c>
      <c r="AI185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{"issue":{"subject":"","project_id":79,"tracker_id":40,"status_id":1,"priority_id":2,"assigned_to_id":338,"start_date":"2017-10-19","description":"","custom_fields":[{"id":1,"name":"Subdivision","value":"NW"},{"id":4,"name":"Milepost","value":"5.8946"},{"id":17,"name":"Train ID","value":"825-19"},{"id":16,"name":"Locomotive ID","value":"4044"},{"id":130,"name":"Impact","value":""},{"id":150,"name":"Time of Event (Mountain Time)","value":"15:22:39"},{"id":151,"name":"Denver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82"/>
        <v>start /low /b %USERPROFILE%\Documents\GitHub\eaglep3\Utilities\DownloadLogsFromS3.py --loco 4044 --day 2017-10-19</v>
      </c>
      <c r="AN185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84"/>
        <v>https://d0f6bd738d7f1b3e5a7ca70fe4ff75f0.us-east-1.aws.found.io/app/kibana#/discover/Steve-Slow-Train-Analysis-(2080s-and-2083s)?_g=(refreshInterval:(display:Off,pause:!f,section:0,value:0),time:(from:'2017-10-19T14:06:25-0600',mode:absolute,to:'2017-10-19T16:22:39-0600'))&amp;_a=(columns:!('Message%20ID',Summary),filters:!(),index:'emp_*',interval:auto,query:(query_string:(analyze_wildcard:!t,query:'%22rtdc.l.rtdc.4044%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724</v>
      </c>
      <c r="B186" s="7">
        <v>4043</v>
      </c>
      <c r="C186" s="21" t="s">
        <v>194</v>
      </c>
      <c r="D186" s="21" t="s">
        <v>952</v>
      </c>
      <c r="E186" s="13">
        <v>43027.641701388886</v>
      </c>
      <c r="F186" s="13">
        <v>43027.654918981483</v>
      </c>
      <c r="G186" s="7">
        <v>49</v>
      </c>
      <c r="H186" s="21" t="s">
        <v>953</v>
      </c>
      <c r="I186" s="13">
        <v>43027.662638888891</v>
      </c>
      <c r="J186" s="7">
        <v>0</v>
      </c>
      <c r="K186" s="89" t="str">
        <f t="shared" si="62"/>
        <v>4043/4044</v>
      </c>
      <c r="L186" s="185" t="str">
        <f>VLOOKUP(A186,'Trips&amp;Operators'!$C$1:$G$99911,5,FALSE)</f>
        <v>STAMBAUGH JAMES</v>
      </c>
      <c r="M186" s="6">
        <f t="shared" si="63"/>
        <v>7.7199074075906537E-3</v>
      </c>
      <c r="N186" s="7">
        <f t="shared" si="104"/>
        <v>11.116666666930541</v>
      </c>
      <c r="O186" s="7"/>
      <c r="P186" s="7"/>
      <c r="Q186" s="22"/>
      <c r="R186" s="174"/>
      <c r="S186" s="221">
        <f t="shared" si="105"/>
        <v>1</v>
      </c>
      <c r="T186" s="174" t="str">
        <f t="shared" si="64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5"/>
        <v>https://d0f6bd738d7f1b3e5a7ca70fe4ff75f0.us-east-1.aws.found.io/app/kibana#/discover/Steve-Slow-Train-Analysis-(2080s-and-2083s)?_g=(refreshInterval:(display:Off,pause:!f,section:0,value:0),time:(from:'2017-10-19T14:24:03-0600',mode:absolute,to:'2017-10-19T16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204" t="str">
        <f>IF(AA186&lt;VLOOKUP(AG186,Variables!$AC$3:$AD$8,2,FALSE),"Y","N")</f>
        <v>N</v>
      </c>
      <c r="X186" s="204">
        <f t="shared" si="103"/>
        <v>1</v>
      </c>
      <c r="Y186" s="204">
        <f t="shared" si="101"/>
        <v>5.8630000000000004</v>
      </c>
      <c r="Z186" s="204">
        <f t="shared" si="102"/>
        <v>6.7299999999999999E-2</v>
      </c>
      <c r="AA186" s="204">
        <f t="shared" si="67"/>
        <v>5.7957000000000001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8"/>
        <v>826</v>
      </c>
      <c r="AE186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86" s="74" t="str">
        <f t="shared" si="70"/>
        <v>"C:\Program Files (x86)\AstroGrep\AstroGrep.exe" /e /r /s /spath="%USERPROFILE%\AppData\Local\Temp\OnboardLogs" /stypes="app*4043*20171019*" /stext=" 21:.+((SYSTEM_STATE.+slice.+state.+changed )|(ment ac)|(multiple cpu faults)|(system.+state.+changed )|(\[timeout)|(PRM\|1\|D)|(kpr)|(kdp)|(train st.+moving)|(\|lc)|(penalty))"</v>
      </c>
      <c r="AG186" s="182" t="str">
        <f t="shared" si="71"/>
        <v>NW</v>
      </c>
      <c r="AH186" s="78" t="str">
        <f t="shared" si="80"/>
        <v>"%USERPROFILE%\Documents\GitHub\eaglep3\Utilities\RefineRTDCRunTimes.py" --tripid 826-19 --locoid 4043 --swversion DE.1.0.9.0 --startMP 300:58630 --initTime 2017-10-19T15:24:03 --startdatetime 2017-10-19T15:43:05 --delay 49 --endMP 204:673 --enddatetime 2017-10-19T15:54:12 --enforcementcount 0 &gt;&gt;%USERPROFILE%\Documents\GitHub\eaglep3-reporting\EC\2017-10-19-refined-times.txt</v>
      </c>
      <c r="AI186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{"issue":{"subject":"","project_id":79,"tracker_id":40,"status_id":1,"priority_id":2,"assigned_to_id":338,"start_date":"2017-10-19","description":"","custom_fields":[{"id":1,"name":"Subdivision","value":"NW"},{"id":4,"name":"Milepost","value":"0.0673"},{"id":17,"name":"Train ID","value":"826-19"},{"id":16,"name":"Locomotive ID","value":"4043"},{"id":130,"name":"Impact","value":""},{"id":150,"name":"Time of Event (Mountain Time)","value":"15:54:12"},{"id":151,"name":"Denver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82"/>
        <v>start /low /b %USERPROFILE%\Documents\GitHub\eaglep3\Utilities\DownloadLogsFromS3.py --loco 4043 --day 2017-10-19</v>
      </c>
      <c r="AN186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84"/>
        <v>https://d0f6bd738d7f1b3e5a7ca70fe4ff75f0.us-east-1.aws.found.io/app/kibana#/discover/Steve-Slow-Train-Analysis-(2080s-and-2083s)?_g=(refreshInterval:(display:Off,pause:!f,section:0,value:0),time:(from:'2017-10-19T14:24:03-0600',mode:absolute,to:'2017-10-19T16:54:12-0600'))&amp;_a=(columns:!('Message%20ID',Summary),filters:!(),index:'emp_*',interval:auto,query:(query_string:(analyze_wildcard:!t,query:'%22rtdc.l.rtdc.4043%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725</v>
      </c>
      <c r="B187" s="7">
        <v>4024</v>
      </c>
      <c r="C187" s="21" t="s">
        <v>194</v>
      </c>
      <c r="D187" s="21" t="s">
        <v>551</v>
      </c>
      <c r="E187" s="13">
        <v>43027.639664351853</v>
      </c>
      <c r="F187" s="13">
        <v>43027.652233796296</v>
      </c>
      <c r="G187" s="7">
        <v>245</v>
      </c>
      <c r="H187" s="21" t="s">
        <v>954</v>
      </c>
      <c r="I187" s="13">
        <v>43027.662638888891</v>
      </c>
      <c r="J187" s="7">
        <v>0</v>
      </c>
      <c r="K187" s="89" t="str">
        <f t="shared" si="62"/>
        <v>4023/4024</v>
      </c>
      <c r="L187" s="185" t="str">
        <f>VLOOKUP(A187,'Trips&amp;Operators'!$C$1:$G$99911,5,FALSE)</f>
        <v>NEWELL JAMES</v>
      </c>
      <c r="M187" s="6">
        <f t="shared" si="63"/>
        <v>1.0405092594737653E-2</v>
      </c>
      <c r="N187" s="7">
        <f t="shared" si="104"/>
        <v>14.98333333642222</v>
      </c>
      <c r="O187" s="7"/>
      <c r="P187" s="7"/>
      <c r="Q187" s="22"/>
      <c r="R187" s="174"/>
      <c r="S187" s="221">
        <f t="shared" si="105"/>
        <v>1</v>
      </c>
      <c r="T187" s="174" t="str">
        <f t="shared" si="64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5"/>
        <v>https://d0f6bd738d7f1b3e5a7ca70fe4ff75f0.us-east-1.aws.found.io/app/kibana#/discover/Steve-Slow-Train-Analysis-(2080s-and-2083s)?_g=(refreshInterval:(display:Off,pause:!f,section:0,value:0),time:(from:'2017-10-19T14:21:07-0600',mode:absolute,to:'2017-10-19T16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7" s="204" t="str">
        <f>IF(AA187&lt;VLOOKUP(AG187,Variables!$AC$3:$AD$8,2,FALSE),"Y","N")</f>
        <v>N</v>
      </c>
      <c r="X187" s="204">
        <f t="shared" si="103"/>
        <v>1</v>
      </c>
      <c r="Y187" s="204">
        <f t="shared" si="101"/>
        <v>9.8500000000000004E-2</v>
      </c>
      <c r="Z187" s="204">
        <f t="shared" si="102"/>
        <v>5.8924000000000003</v>
      </c>
      <c r="AA187" s="204">
        <f t="shared" si="67"/>
        <v>5.7939000000000007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8"/>
        <v>827</v>
      </c>
      <c r="AE187" s="77" t="str">
        <f t="shared" si="69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187" s="74" t="str">
        <f t="shared" si="70"/>
        <v>"C:\Program Files (x86)\AstroGrep\AstroGrep.exe" /e /r /s /spath="%USERPROFILE%\AppData\Local\Temp\OnboardLogs" /stypes="app*4024*20171019*" /stext=" 21:.+((SYSTEM_STATE.+slice.+state.+changed )|(ment ac)|(multiple cpu faults)|(system.+state.+changed )|(\[timeout)|(PRM\|1\|D)|(kpr)|(kdp)|(train st.+moving)|(\|lc)|(penalty))"</v>
      </c>
      <c r="AG187" s="182" t="str">
        <f t="shared" si="71"/>
        <v>NW</v>
      </c>
      <c r="AH187" s="78" t="str">
        <f t="shared" si="80"/>
        <v>"%USERPROFILE%\Documents\GitHub\eaglep3\Utilities\RefineRTDCRunTimes.py" --tripid 827-19 --locoid 4024 --swversion DE.1.0.9.0 --startMP 204:985 --initTime 2017-10-19T15:21:07 --startdatetime 2017-10-19T15:39:13 --delay 245 --endMP 300:58924 --enddatetime 2017-10-19T15:54:12 --enforcementcount 0 &gt;&gt;%USERPROFILE%\Documents\GitHub\eaglep3-reporting\EC\2017-10-19-refined-times.txt</v>
      </c>
      <c r="AI187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{"issue":{"subject":"","project_id":79,"tracker_id":40,"status_id":1,"priority_id":2,"assigned_to_id":338,"start_date":"2017-10-19","description":"","custom_fields":[{"id":1,"name":"Subdivision","value":"NW"},{"id":4,"name":"Milepost","value":"5.8924"},{"id":17,"name":"Train ID","value":"827-19"},{"id":16,"name":"Locomotive ID","value":"4024"},{"id":130,"name":"Impact","value":""},{"id":150,"name":"Time of Event (Mountain Time)","value":"15:54:12"},{"id":151,"name":"Denver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82"/>
        <v>start /low /b %USERPROFILE%\Documents\GitHub\eaglep3\Utilities\DownloadLogsFromS3.py --loco 4024 --day 2017-10-19</v>
      </c>
      <c r="AN187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84"/>
        <v>https://d0f6bd738d7f1b3e5a7ca70fe4ff75f0.us-east-1.aws.found.io/app/kibana#/discover/Steve-Slow-Train-Analysis-(2080s-and-2083s)?_g=(refreshInterval:(display:Off,pause:!f,section:0,value:0),time:(from:'2017-10-19T14:21:07-0600',mode:absolute,to:'2017-10-19T16:54:12-0600'))&amp;_a=(columns:!('Message%20ID',Summary),filters:!(),index:'emp_*',interval:auto,query:(query_string:(analyze_wildcard:!t,query:'%22rtdc.l.rtdc.4024%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731</v>
      </c>
      <c r="B188" s="7">
        <v>4023</v>
      </c>
      <c r="C188" s="21" t="s">
        <v>194</v>
      </c>
      <c r="D188" s="21" t="s">
        <v>955</v>
      </c>
      <c r="E188" s="13">
        <v>43027.66333333333</v>
      </c>
      <c r="F188" s="13">
        <v>43027.675381944442</v>
      </c>
      <c r="G188" s="7">
        <v>58</v>
      </c>
      <c r="H188" s="21" t="s">
        <v>541</v>
      </c>
      <c r="I188" s="13">
        <v>43027.683993055558</v>
      </c>
      <c r="J188" s="7">
        <v>0</v>
      </c>
      <c r="K188" s="89" t="str">
        <f t="shared" si="62"/>
        <v>4023/4024</v>
      </c>
      <c r="L188" s="185" t="str">
        <f>VLOOKUP(A188,'Trips&amp;Operators'!$C$1:$G$99911,5,FALSE)</f>
        <v>NEWELL JAMES</v>
      </c>
      <c r="M188" s="6">
        <f t="shared" si="63"/>
        <v>8.6111111158970743E-3</v>
      </c>
      <c r="N188" s="7">
        <f t="shared" si="104"/>
        <v>12.400000006891787</v>
      </c>
      <c r="O188" s="7"/>
      <c r="P188" s="7"/>
      <c r="Q188" s="22"/>
      <c r="R188" s="174"/>
      <c r="S188" s="221">
        <f t="shared" si="105"/>
        <v>1</v>
      </c>
      <c r="T188" s="174" t="str">
        <f t="shared" si="64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5"/>
        <v>https://d0f6bd738d7f1b3e5a7ca70fe4ff75f0.us-east-1.aws.found.io/app/kibana#/discover/Steve-Slow-Train-Analysis-(2080s-and-2083s)?_g=(refreshInterval:(display:Off,pause:!f,section:0,value:0),time:(from:'2017-10-19T14:55:12-0600',mode:absolute,to:'2017-10-19T17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8" s="204" t="str">
        <f>IF(AA188&lt;VLOOKUP(AG188,Variables!$AC$3:$AD$8,2,FALSE),"Y","N")</f>
        <v>N</v>
      </c>
      <c r="X188" s="204">
        <f t="shared" si="103"/>
        <v>1</v>
      </c>
      <c r="Y188" s="204">
        <f t="shared" si="101"/>
        <v>5.8609</v>
      </c>
      <c r="Z188" s="204">
        <f t="shared" si="102"/>
        <v>7.0099999999999996E-2</v>
      </c>
      <c r="AA188" s="204">
        <f t="shared" si="67"/>
        <v>5.7907999999999999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8"/>
        <v>828</v>
      </c>
      <c r="AE188" s="77" t="str">
        <f t="shared" si="69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188" s="74" t="str">
        <f t="shared" si="70"/>
        <v>"C:\Program Files (x86)\AstroGrep\AstroGrep.exe" /e /r /s /spath="%USERPROFILE%\AppData\Local\Temp\OnboardLogs" /stypes="app*4023*20171019*" /stext=" 22:.+((SYSTEM_STATE.+slice.+state.+changed )|(ment ac)|(multiple cpu faults)|(system.+state.+changed )|(\[timeout)|(PRM\|1\|D)|(kpr)|(kdp)|(train st.+moving)|(\|lc)|(penalty))"</v>
      </c>
      <c r="AG188" s="182" t="str">
        <f t="shared" si="71"/>
        <v>NW</v>
      </c>
      <c r="AH188" s="78" t="str">
        <f t="shared" si="80"/>
        <v>"%USERPROFILE%\Documents\GitHub\eaglep3\Utilities\RefineRTDCRunTimes.py" --tripid 828-19 --locoid 4023 --swversion DE.1.0.9.0 --startMP 300:58609 --initTime 2017-10-19T15:55:12 --startdatetime 2017-10-19T16:12:33 --delay 58 --endMP 204:701 --enddatetime 2017-10-19T16:24:57 --enforcementcount 0 &gt;&gt;%USERPROFILE%\Documents\GitHub\eaglep3-reporting\EC\2017-10-19-refined-times.txt</v>
      </c>
      <c r="AI188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{"issue":{"subject":"","project_id":79,"tracker_id":40,"status_id":1,"priority_id":2,"assigned_to_id":338,"start_date":"2017-10-19","description":"","custom_fields":[{"id":1,"name":"Subdivision","value":"NW"},{"id":4,"name":"Milepost","value":"0.0701"},{"id":17,"name":"Train ID","value":"828-19"},{"id":16,"name":"Locomotive ID","value":"4023"},{"id":130,"name":"Impact","value":""},{"id":150,"name":"Time of Event (Mountain Time)","value":"16:24:57"},{"id":151,"name":"Denver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82"/>
        <v>start /low /b %USERPROFILE%\Documents\GitHub\eaglep3\Utilities\DownloadLogsFromS3.py --loco 4023 --day 2017-10-19</v>
      </c>
      <c r="AN188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84"/>
        <v>https://d0f6bd738d7f1b3e5a7ca70fe4ff75f0.us-east-1.aws.found.io/app/kibana#/discover/Steve-Slow-Train-Analysis-(2080s-and-2083s)?_g=(refreshInterval:(display:Off,pause:!f,section:0,value:0),time:(from:'2017-10-19T14:55:12-0600',mode:absolute,to:'2017-10-19T17:24:57-0600'))&amp;_a=(columns:!('Message%20ID',Summary),filters:!(),index:'emp_*',interval:auto,query:(query_string:(analyze_wildcard:!t,query:'%22rtdc.l.rtdc.4023%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732</v>
      </c>
      <c r="B189" s="7">
        <v>4044</v>
      </c>
      <c r="C189" s="21" t="s">
        <v>194</v>
      </c>
      <c r="D189" s="21" t="s">
        <v>956</v>
      </c>
      <c r="E189" s="13">
        <v>43027.668171296296</v>
      </c>
      <c r="F189" s="13">
        <v>43027.673125000001</v>
      </c>
      <c r="G189" s="7">
        <v>84</v>
      </c>
      <c r="H189" s="21" t="s">
        <v>481</v>
      </c>
      <c r="I189" s="13">
        <v>43027.68409722222</v>
      </c>
      <c r="J189" s="7">
        <v>0</v>
      </c>
      <c r="K189" s="89" t="str">
        <f t="shared" si="62"/>
        <v>4043/4044</v>
      </c>
      <c r="L189" s="185" t="str">
        <f>VLOOKUP(A189,'Trips&amp;Operators'!$C$1:$G$99911,5,FALSE)</f>
        <v>DE LA ROSA ALEX</v>
      </c>
      <c r="M189" s="6">
        <f t="shared" si="63"/>
        <v>1.0972222218697425E-2</v>
      </c>
      <c r="N189" s="7">
        <f t="shared" si="104"/>
        <v>15.799999994924292</v>
      </c>
      <c r="O189" s="7"/>
      <c r="P189" s="7"/>
      <c r="Q189" s="22"/>
      <c r="R189" s="174"/>
      <c r="S189" s="221">
        <f t="shared" si="105"/>
        <v>1</v>
      </c>
      <c r="T189" s="174" t="str">
        <f t="shared" si="64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5"/>
        <v>https://d0f6bd738d7f1b3e5a7ca70fe4ff75f0.us-east-1.aws.found.io/app/kibana#/discover/Steve-Slow-Train-Analysis-(2080s-and-2083s)?_g=(refreshInterval:(display:Off,pause:!f,section:0,value:0),time:(from:'2017-10-19T15:02:10-0600',mode:absolute,to:'2017-10-19T17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204" t="str">
        <f>IF(AA189&lt;VLOOKUP(AG189,Variables!$AC$3:$AD$8,2,FALSE),"Y","N")</f>
        <v>N</v>
      </c>
      <c r="X189" s="204">
        <f t="shared" si="103"/>
        <v>1</v>
      </c>
      <c r="Y189" s="204">
        <f t="shared" si="101"/>
        <v>9.69E-2</v>
      </c>
      <c r="Z189" s="204">
        <f t="shared" si="102"/>
        <v>5.8958000000000004</v>
      </c>
      <c r="AA189" s="204">
        <f t="shared" si="67"/>
        <v>5.7989000000000006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8"/>
        <v>829</v>
      </c>
      <c r="AE189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89" s="74" t="str">
        <f t="shared" si="70"/>
        <v>"C:\Program Files (x86)\AstroGrep\AstroGrep.exe" /e /r /s /spath="%USERPROFILE%\AppData\Local\Temp\OnboardLogs" /stypes="app*4044*20171019*" /stext=" 22:.+((SYSTEM_STATE.+slice.+state.+changed )|(ment ac)|(multiple cpu faults)|(system.+state.+changed )|(\[timeout)|(PRM\|1\|D)|(kpr)|(kdp)|(train st.+moving)|(\|lc)|(penalty))"</v>
      </c>
      <c r="AG189" s="182" t="str">
        <f t="shared" si="71"/>
        <v>NW</v>
      </c>
      <c r="AH189" s="78" t="str">
        <f t="shared" si="80"/>
        <v>"%USERPROFILE%\Documents\GitHub\eaglep3\Utilities\RefineRTDCRunTimes.py" --tripid 829-19 --locoid 4044 --swversion DE.1.0.9.0 --startMP 204:969 --initTime 2017-10-19T16:02:10 --startdatetime 2017-10-19T16:09:18 --delay 84 --endMP 300:58958 --enddatetime 2017-10-19T16:25:06 --enforcementcount 0 &gt;&gt;%USERPROFILE%\Documents\GitHub\eaglep3-reporting\EC\2017-10-19-refined-times.txt</v>
      </c>
      <c r="AI189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{"issue":{"subject":"","project_id":79,"tracker_id":40,"status_id":1,"priority_id":2,"assigned_to_id":338,"start_date":"2017-10-19","description":"","custom_fields":[{"id":1,"name":"Subdivision","value":"NW"},{"id":4,"name":"Milepost","value":"5.8958"},{"id":17,"name":"Train ID","value":"829-19"},{"id":16,"name":"Locomotive ID","value":"4044"},{"id":130,"name":"Impact","value":""},{"id":150,"name":"Time of Event (Mountain Time)","value":"16:25:06"},{"id":151,"name":"Denver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82"/>
        <v>start /low /b %USERPROFILE%\Documents\GitHub\eaglep3\Utilities\DownloadLogsFromS3.py --loco 4044 --day 2017-10-19</v>
      </c>
      <c r="AN189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84"/>
        <v>https://d0f6bd738d7f1b3e5a7ca70fe4ff75f0.us-east-1.aws.found.io/app/kibana#/discover/Steve-Slow-Train-Analysis-(2080s-and-2083s)?_g=(refreshInterval:(display:Off,pause:!f,section:0,value:0),time:(from:'2017-10-19T15:02:10-0600',mode:absolute,to:'2017-10-19T17:25:06-0600'))&amp;_a=(columns:!('Message%20ID',Summary),filters:!(),index:'emp_*',interval:auto,query:(query_string:(analyze_wildcard:!t,query:'%22rtdc.l.rtdc.4044%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737</v>
      </c>
      <c r="B190" s="7">
        <v>4043</v>
      </c>
      <c r="C190" s="21" t="s">
        <v>194</v>
      </c>
      <c r="D190" s="21" t="s">
        <v>553</v>
      </c>
      <c r="E190" s="13">
        <v>43027.685555555552</v>
      </c>
      <c r="F190" s="13">
        <v>43027.696608796294</v>
      </c>
      <c r="G190" s="7">
        <v>74</v>
      </c>
      <c r="H190" s="21" t="s">
        <v>957</v>
      </c>
      <c r="I190" s="13">
        <v>43027.705717592595</v>
      </c>
      <c r="J190" s="7">
        <v>0</v>
      </c>
      <c r="K190" s="89" t="str">
        <f t="shared" si="62"/>
        <v>4043/4044</v>
      </c>
      <c r="L190" s="185" t="str">
        <f>VLOOKUP(A190,'Trips&amp;Operators'!$C$1:$G$99911,5,FALSE)</f>
        <v>DE LA ROSA ALEX</v>
      </c>
      <c r="M190" s="6">
        <f t="shared" si="63"/>
        <v>9.1087963010068052E-3</v>
      </c>
      <c r="N190" s="7">
        <f t="shared" si="104"/>
        <v>13.116666673449799</v>
      </c>
      <c r="O190" s="7"/>
      <c r="P190" s="7"/>
      <c r="Q190" s="22"/>
      <c r="R190" s="174"/>
      <c r="S190" s="221">
        <f t="shared" si="105"/>
        <v>1</v>
      </c>
      <c r="T190" s="174" t="str">
        <f t="shared" si="64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5"/>
        <v>https://d0f6bd738d7f1b3e5a7ca70fe4ff75f0.us-east-1.aws.found.io/app/kibana#/discover/Steve-Slow-Train-Analysis-(2080s-and-2083s)?_g=(refreshInterval:(display:Off,pause:!f,section:0,value:0),time:(from:'2017-10-19T15:27:12-0600',mode:absolute,to:'2017-10-19T17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204" t="str">
        <f>IF(AA190&lt;VLOOKUP(AG190,Variables!$AC$3:$AD$8,2,FALSE),"Y","N")</f>
        <v>N</v>
      </c>
      <c r="X190" s="204">
        <f t="shared" si="103"/>
        <v>1</v>
      </c>
      <c r="Y190" s="204">
        <f t="shared" si="101"/>
        <v>5.8644999999999996</v>
      </c>
      <c r="Z190" s="204">
        <f t="shared" si="102"/>
        <v>6.4500000000000002E-2</v>
      </c>
      <c r="AA190" s="204">
        <f t="shared" si="67"/>
        <v>5.8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8"/>
        <v>830</v>
      </c>
      <c r="AE190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90" s="74" t="str">
        <f t="shared" si="70"/>
        <v>"C:\Program Files (x86)\AstroGrep\AstroGrep.exe" /e /r /s /spath="%USERPROFILE%\AppData\Local\Temp\OnboardLogs" /stypes="app*4043*20171019*" /stext=" 22:.+((SYSTEM_STATE.+slice.+state.+changed )|(ment ac)|(multiple cpu faults)|(system.+state.+changed )|(\[timeout)|(PRM\|1\|D)|(kpr)|(kdp)|(train st.+moving)|(\|lc)|(penalty))"</v>
      </c>
      <c r="AG190" s="182" t="str">
        <f t="shared" si="71"/>
        <v>NW</v>
      </c>
      <c r="AH190" s="78" t="str">
        <f t="shared" si="80"/>
        <v>"%USERPROFILE%\Documents\GitHub\eaglep3\Utilities\RefineRTDCRunTimes.py" --tripid 830-19 --locoid 4043 --swversion DE.1.0.9.0 --startMP 300:58645 --initTime 2017-10-19T16:27:12 --startdatetime 2017-10-19T16:43:07 --delay 74 --endMP 204:645 --enddatetime 2017-10-19T16:56:14 --enforcementcount 0 &gt;&gt;%USERPROFILE%\Documents\GitHub\eaglep3-reporting\EC\2017-10-19-refined-times.txt</v>
      </c>
      <c r="AI190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{"issue":{"subject":"","project_id":79,"tracker_id":40,"status_id":1,"priority_id":2,"assigned_to_id":338,"start_date":"2017-10-19","description":"","custom_fields":[{"id":1,"name":"Subdivision","value":"NW"},{"id":4,"name":"Milepost","value":"0.0645"},{"id":17,"name":"Train ID","value":"830-19"},{"id":16,"name":"Locomotive ID","value":"4043"},{"id":130,"name":"Impact","value":""},{"id":150,"name":"Time of Event (Mountain Time)","value":"16:56:14"},{"id":151,"name":"Denver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82"/>
        <v>start /low /b %USERPROFILE%\Documents\GitHub\eaglep3\Utilities\DownloadLogsFromS3.py --loco 4043 --day 2017-10-19</v>
      </c>
      <c r="AN190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84"/>
        <v>https://d0f6bd738d7f1b3e5a7ca70fe4ff75f0.us-east-1.aws.found.io/app/kibana#/discover/Steve-Slow-Train-Analysis-(2080s-and-2083s)?_g=(refreshInterval:(display:Off,pause:!f,section:0,value:0),time:(from:'2017-10-19T15:27:12-0600',mode:absolute,to:'2017-10-19T17:56:14-0600'))&amp;_a=(columns:!('Message%20ID',Summary),filters:!(),index:'emp_*',interval:auto,query:(query_string:(analyze_wildcard:!t,query:'%22rtdc.l.rtdc.4043%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738</v>
      </c>
      <c r="B191" s="7">
        <v>4024</v>
      </c>
      <c r="C191" s="21" t="s">
        <v>194</v>
      </c>
      <c r="D191" s="21" t="s">
        <v>958</v>
      </c>
      <c r="E191" s="13">
        <v>43027.687476851854</v>
      </c>
      <c r="F191" s="13">
        <v>43027.694062499999</v>
      </c>
      <c r="G191" s="7">
        <v>64</v>
      </c>
      <c r="H191" s="21" t="s">
        <v>458</v>
      </c>
      <c r="I191" s="13">
        <v>43027.704652777778</v>
      </c>
      <c r="J191" s="7">
        <v>0</v>
      </c>
      <c r="K191" s="89" t="str">
        <f t="shared" si="62"/>
        <v>4023/4024</v>
      </c>
      <c r="L191" s="185" t="str">
        <f>VLOOKUP(A191,'Trips&amp;Operators'!$C$1:$G$99911,5,FALSE)</f>
        <v>BIRKHOLZ NADINE</v>
      </c>
      <c r="M191" s="6">
        <f t="shared" si="63"/>
        <v>1.0590277779556345E-2</v>
      </c>
      <c r="N191" s="7">
        <f t="shared" si="104"/>
        <v>15.250000002561137</v>
      </c>
      <c r="O191" s="7"/>
      <c r="P191" s="7"/>
      <c r="Q191" s="22"/>
      <c r="R191" s="174"/>
      <c r="S191" s="221">
        <f t="shared" si="105"/>
        <v>1</v>
      </c>
      <c r="T191" s="174" t="str">
        <f t="shared" si="64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5"/>
        <v>https://d0f6bd738d7f1b3e5a7ca70fe4ff75f0.us-east-1.aws.found.io/app/kibana#/discover/Steve-Slow-Train-Analysis-(2080s-and-2083s)?_g=(refreshInterval:(display:Off,pause:!f,section:0,value:0),time:(from:'2017-10-19T15:29:58-0600',mode:absolute,to:'2017-10-19T17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1" s="204" t="str">
        <f>IF(AA191&lt;VLOOKUP(AG191,Variables!$AC$3:$AD$8,2,FALSE),"Y","N")</f>
        <v>N</v>
      </c>
      <c r="X191" s="204">
        <f t="shared" si="103"/>
        <v>1</v>
      </c>
      <c r="Y191" s="204">
        <f t="shared" si="101"/>
        <v>0.1002</v>
      </c>
      <c r="Z191" s="204">
        <f t="shared" si="102"/>
        <v>5.8930999999999996</v>
      </c>
      <c r="AA191" s="204">
        <f t="shared" si="67"/>
        <v>5.7928999999999995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8"/>
        <v>831</v>
      </c>
      <c r="AE191" s="77" t="str">
        <f t="shared" si="69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191" s="74" t="str">
        <f t="shared" si="70"/>
        <v>"C:\Program Files (x86)\AstroGrep\AstroGrep.exe" /e /r /s /spath="%USERPROFILE%\AppData\Local\Temp\OnboardLogs" /stypes="app*4024*20171019*" /stext=" 22:.+((SYSTEM_STATE.+slice.+state.+changed )|(ment ac)|(multiple cpu faults)|(system.+state.+changed )|(\[timeout)|(PRM\|1\|D)|(kpr)|(kdp)|(train st.+moving)|(\|lc)|(penalty))"</v>
      </c>
      <c r="AG191" s="182" t="str">
        <f t="shared" si="71"/>
        <v>NW</v>
      </c>
      <c r="AH191" s="78" t="str">
        <f t="shared" si="80"/>
        <v>"%USERPROFILE%\Documents\GitHub\eaglep3\Utilities\RefineRTDCRunTimes.py" --tripid 831-19 --locoid 4024 --swversion DE.1.0.9.0 --startMP 204:1002 --initTime 2017-10-19T16:29:58 --startdatetime 2017-10-19T16:39:27 --delay 64 --endMP 300:58931 --enddatetime 2017-10-19T16:54:42 --enforcementcount 0 &gt;&gt;%USERPROFILE%\Documents\GitHub\eaglep3-reporting\EC\2017-10-19-refined-times.txt</v>
      </c>
      <c r="AI191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{"issue":{"subject":"","project_id":79,"tracker_id":40,"status_id":1,"priority_id":2,"assigned_to_id":338,"start_date":"2017-10-19","description":"","custom_fields":[{"id":1,"name":"Subdivision","value":"NW"},{"id":4,"name":"Milepost","value":"5.8931"},{"id":17,"name":"Train ID","value":"831-19"},{"id":16,"name":"Locomotive ID","value":"4024"},{"id":130,"name":"Impact","value":""},{"id":150,"name":"Time of Event (Mountain Time)","value":"16:54:42"},{"id":151,"name":"Denver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82"/>
        <v>start /low /b %USERPROFILE%\Documents\GitHub\eaglep3\Utilities\DownloadLogsFromS3.py --loco 4024 --day 2017-10-19</v>
      </c>
      <c r="AN191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22:54:42"},{"id":29,"name":"Sharepoint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84"/>
        <v>https://d0f6bd738d7f1b3e5a7ca70fe4ff75f0.us-east-1.aws.found.io/app/kibana#/discover/Steve-Slow-Train-Analysis-(2080s-and-2083s)?_g=(refreshInterval:(display:Off,pause:!f,section:0,value:0),time:(from:'2017-10-19T15:29:58-0600',mode:absolute,to:'2017-10-19T17:54:42-0600'))&amp;_a=(columns:!('Message%20ID',Summary),filters:!(),index:'emp_*',interval:auto,query:(query_string:(analyze_wildcard:!t,query:'%22rtdc.l.rtdc.4024%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744</v>
      </c>
      <c r="B192" s="7">
        <v>4023</v>
      </c>
      <c r="C192" s="21" t="s">
        <v>194</v>
      </c>
      <c r="D192" s="21" t="s">
        <v>554</v>
      </c>
      <c r="E192" s="13">
        <v>43027.706469907411</v>
      </c>
      <c r="F192" s="13">
        <v>43027.717430555553</v>
      </c>
      <c r="G192" s="7">
        <v>67</v>
      </c>
      <c r="H192" s="21" t="s">
        <v>546</v>
      </c>
      <c r="I192" s="13">
        <v>43027.726064814815</v>
      </c>
      <c r="J192" s="7">
        <v>0</v>
      </c>
      <c r="K192" s="89" t="str">
        <f t="shared" si="62"/>
        <v>4023/4024</v>
      </c>
      <c r="L192" s="185" t="str">
        <f>VLOOKUP(A192,'Trips&amp;Operators'!$C$1:$G$99911,5,FALSE)</f>
        <v>BIRKHOLZ NADINE</v>
      </c>
      <c r="M192" s="6">
        <f t="shared" si="63"/>
        <v>8.6342592621804215E-3</v>
      </c>
      <c r="N192" s="7">
        <f t="shared" si="104"/>
        <v>12.433333337539807</v>
      </c>
      <c r="O192" s="7"/>
      <c r="P192" s="7"/>
      <c r="Q192" s="22"/>
      <c r="R192" s="174"/>
      <c r="S192" s="221">
        <f t="shared" si="105"/>
        <v>1</v>
      </c>
      <c r="T192" s="174" t="str">
        <f t="shared" si="64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5"/>
        <v>https://d0f6bd738d7f1b3e5a7ca70fe4ff75f0.us-east-1.aws.found.io/app/kibana#/discover/Steve-Slow-Train-Analysis-(2080s-and-2083s)?_g=(refreshInterval:(display:Off,pause:!f,section:0,value:0),time:(from:'2017-10-19T15:57:19-0600',mode:absolute,to:'2017-10-19T18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2" s="204" t="str">
        <f>IF(AA192&lt;VLOOKUP(AG192,Variables!$AC$3:$AD$8,2,FALSE),"Y","N")</f>
        <v>N</v>
      </c>
      <c r="X192" s="204">
        <f t="shared" si="103"/>
        <v>1</v>
      </c>
      <c r="Y192" s="204">
        <f t="shared" si="101"/>
        <v>5.8615000000000004</v>
      </c>
      <c r="Z192" s="204">
        <f t="shared" si="102"/>
        <v>7.0599999999999996E-2</v>
      </c>
      <c r="AA192" s="204">
        <f t="shared" si="67"/>
        <v>5.7909000000000006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8"/>
        <v>832</v>
      </c>
      <c r="AE192" s="77" t="str">
        <f t="shared" si="69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192" s="74" t="str">
        <f t="shared" si="70"/>
        <v>"C:\Program Files (x86)\AstroGrep\AstroGrep.exe" /e /r /s /spath="%USERPROFILE%\AppData\Local\Temp\OnboardLogs" /stypes="app*4023*20171019*" /stext=" 23:.+((SYSTEM_STATE.+slice.+state.+changed )|(ment ac)|(multiple cpu faults)|(system.+state.+changed )|(\[timeout)|(PRM\|1\|D)|(kpr)|(kdp)|(train st.+moving)|(\|lc)|(penalty))"</v>
      </c>
      <c r="AG192" s="182" t="str">
        <f t="shared" si="71"/>
        <v>NW</v>
      </c>
      <c r="AH192" s="78" t="str">
        <f t="shared" si="80"/>
        <v>"%USERPROFILE%\Documents\GitHub\eaglep3\Utilities\RefineRTDCRunTimes.py" --tripid 832-19 --locoid 4023 --swversion DE.1.0.9.0 --startMP 300:58615 --initTime 2017-10-19T16:57:19 --startdatetime 2017-10-19T17:13:06 --delay 67 --endMP 204:706 --enddatetime 2017-10-19T17:25:32 --enforcementcount 0 &gt;&gt;%USERPROFILE%\Documents\GitHub\eaglep3-reporting\EC\2017-10-19-refined-times.txt</v>
      </c>
      <c r="AI192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{"issue":{"subject":"","project_id":79,"tracker_id":40,"status_id":1,"priority_id":2,"assigned_to_id":338,"start_date":"2017-10-19","description":"","custom_fields":[{"id":1,"name":"Subdivision","value":"NW"},{"id":4,"name":"Milepost","value":"0.0706"},{"id":17,"name":"Train ID","value":"832-19"},{"id":16,"name":"Locomotive ID","value":"4023"},{"id":130,"name":"Impact","value":""},{"id":150,"name":"Time of Event (Mountain Time)","value":"17:25:32"},{"id":151,"name":"Denver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82"/>
        <v>start /low /b %USERPROFILE%\Documents\GitHub\eaglep3\Utilities\DownloadLogsFromS3.py --loco 4023 --day 2017-10-19</v>
      </c>
      <c r="AN192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84"/>
        <v>https://d0f6bd738d7f1b3e5a7ca70fe4ff75f0.us-east-1.aws.found.io/app/kibana#/discover/Steve-Slow-Train-Analysis-(2080s-and-2083s)?_g=(refreshInterval:(display:Off,pause:!f,section:0,value:0),time:(from:'2017-10-19T15:57:19-0600',mode:absolute,to:'2017-10-19T18:25:32-0600'))&amp;_a=(columns:!('Message%20ID',Summary),filters:!(),index:'emp_*',interval:auto,query:(query_string:(analyze_wildcard:!t,query:'%22rtdc.l.rtdc.4023%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746</v>
      </c>
      <c r="B193" s="7">
        <v>4044</v>
      </c>
      <c r="C193" s="21" t="s">
        <v>194</v>
      </c>
      <c r="D193" s="21" t="s">
        <v>959</v>
      </c>
      <c r="E193" s="13">
        <v>43027.712905092594</v>
      </c>
      <c r="F193" s="13">
        <v>43027.715092592596</v>
      </c>
      <c r="G193" s="7">
        <v>82</v>
      </c>
      <c r="H193" s="21" t="s">
        <v>552</v>
      </c>
      <c r="I193" s="13">
        <v>43027.724999999999</v>
      </c>
      <c r="J193" s="7">
        <v>0</v>
      </c>
      <c r="K193" s="89" t="str">
        <f t="shared" si="62"/>
        <v>4043/4044</v>
      </c>
      <c r="L193" s="185" t="str">
        <f>VLOOKUP(A193,'Trips&amp;Operators'!$C$1:$G$99911,5,FALSE)</f>
        <v>STAMBAUGH JAMES</v>
      </c>
      <c r="M193" s="6">
        <f t="shared" si="63"/>
        <v>9.9074074023519643E-3</v>
      </c>
      <c r="N193" s="7">
        <f t="shared" si="104"/>
        <v>14.266666659386829</v>
      </c>
      <c r="O193" s="7"/>
      <c r="P193" s="7"/>
      <c r="Q193" s="22"/>
      <c r="R193" s="174"/>
      <c r="S193" s="221">
        <f t="shared" si="105"/>
        <v>1</v>
      </c>
      <c r="T193" s="174" t="str">
        <f t="shared" si="64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5"/>
        <v>https://d0f6bd738d7f1b3e5a7ca70fe4ff75f0.us-east-1.aws.found.io/app/kibana#/discover/Steve-Slow-Train-Analysis-(2080s-and-2083s)?_g=(refreshInterval:(display:Off,pause:!f,section:0,value:0),time:(from:'2017-10-19T16:06:35-0600',mode:absolute,to:'2017-10-19T18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204" t="str">
        <f>IF(AA193&lt;VLOOKUP(AG193,Variables!$AC$3:$AD$8,2,FALSE),"Y","N")</f>
        <v>N</v>
      </c>
      <c r="X193" s="204">
        <f t="shared" si="103"/>
        <v>1</v>
      </c>
      <c r="Y193" s="204">
        <f t="shared" si="101"/>
        <v>9.3700000000000006E-2</v>
      </c>
      <c r="Z193" s="204">
        <f t="shared" si="102"/>
        <v>5.8949999999999996</v>
      </c>
      <c r="AA193" s="204">
        <f t="shared" si="67"/>
        <v>5.8012999999999995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8"/>
        <v>833</v>
      </c>
      <c r="AE193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93" s="74" t="str">
        <f t="shared" si="70"/>
        <v>"C:\Program Files (x86)\AstroGrep\AstroGrep.exe" /e /r /s /spath="%USERPROFILE%\AppData\Local\Temp\OnboardLogs" /stypes="app*4044*20171019*" /stext=" 23:.+((SYSTEM_STATE.+slice.+state.+changed )|(ment ac)|(multiple cpu faults)|(system.+state.+changed )|(\[timeout)|(PRM\|1\|D)|(kpr)|(kdp)|(train st.+moving)|(\|lc)|(penalty))"</v>
      </c>
      <c r="AG193" s="182" t="str">
        <f t="shared" si="71"/>
        <v>NW</v>
      </c>
      <c r="AH193" s="78" t="str">
        <f t="shared" si="80"/>
        <v>"%USERPROFILE%\Documents\GitHub\eaglep3\Utilities\RefineRTDCRunTimes.py" --tripid 833-19 --locoid 4044 --swversion DE.1.0.9.0 --startMP 204:937 --initTime 2017-10-19T17:06:35 --startdatetime 2017-10-19T17:09:44 --delay 82 --endMP 300:58950 --enddatetime 2017-10-19T17:24:00 --enforcementcount 0 &gt;&gt;%USERPROFILE%\Documents\GitHub\eaglep3-reporting\EC\2017-10-19-refined-times.txt</v>
      </c>
      <c r="AI193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{"issue":{"subject":"","project_id":79,"tracker_id":40,"status_id":1,"priority_id":2,"assigned_to_id":338,"start_date":"2017-10-19","description":"","custom_fields":[{"id":1,"name":"Subdivision","value":"NW"},{"id":4,"name":"Milepost","value":"5.895"},{"id":17,"name":"Train ID","value":"833-19"},{"id":16,"name":"Locomotive ID","value":"4044"},{"id":130,"name":"Impact","value":""},{"id":150,"name":"Time of Event (Mountain Time)","value":"17:24:00"},{"id":151,"name":"Denver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82"/>
        <v>start /low /b %USERPROFILE%\Documents\GitHub\eaglep3\Utilities\DownloadLogsFromS3.py --loco 4044 --day 2017-10-19</v>
      </c>
      <c r="AN193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84"/>
        <v>https://d0f6bd738d7f1b3e5a7ca70fe4ff75f0.us-east-1.aws.found.io/app/kibana#/discover/Steve-Slow-Train-Analysis-(2080s-and-2083s)?_g=(refreshInterval:(display:Off,pause:!f,section:0,value:0),time:(from:'2017-10-19T16:06:35-0600',mode:absolute,to:'2017-10-19T18:24:00-0600'))&amp;_a=(columns:!('Message%20ID',Summary),filters:!(),index:'emp_*',interval:auto,query:(query_string:(analyze_wildcard:!t,query:'%22rtdc.l.rtdc.4044%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751</v>
      </c>
      <c r="B194" s="7">
        <v>4043</v>
      </c>
      <c r="C194" s="21" t="s">
        <v>194</v>
      </c>
      <c r="D194" s="21" t="s">
        <v>952</v>
      </c>
      <c r="E194" s="13">
        <v>43027.727812500001</v>
      </c>
      <c r="F194" s="13">
        <v>43027.738125000003</v>
      </c>
      <c r="G194" s="7">
        <v>65</v>
      </c>
      <c r="H194" s="21" t="s">
        <v>960</v>
      </c>
      <c r="I194" s="13">
        <v>43027.74690972222</v>
      </c>
      <c r="J194" s="7">
        <v>0</v>
      </c>
      <c r="K194" s="89" t="str">
        <f t="shared" si="62"/>
        <v>4043/4044</v>
      </c>
      <c r="L194" s="185" t="str">
        <f>VLOOKUP(A194,'Trips&amp;Operators'!$C$1:$G$99911,5,FALSE)</f>
        <v>STAMBAUGH JAMES</v>
      </c>
      <c r="M194" s="6">
        <f t="shared" si="63"/>
        <v>8.7847222166601568E-3</v>
      </c>
      <c r="N194" s="7">
        <f t="shared" si="104"/>
        <v>12.649999991990626</v>
      </c>
      <c r="O194" s="7"/>
      <c r="P194" s="7"/>
      <c r="Q194" s="22"/>
      <c r="R194" s="174"/>
      <c r="S194" s="221">
        <f t="shared" si="105"/>
        <v>1</v>
      </c>
      <c r="T194" s="174" t="str">
        <f t="shared" si="64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5"/>
        <v>https://d0f6bd738d7f1b3e5a7ca70fe4ff75f0.us-east-1.aws.found.io/app/kibana#/discover/Steve-Slow-Train-Analysis-(2080s-and-2083s)?_g=(refreshInterval:(display:Off,pause:!f,section:0,value:0),time:(from:'2017-10-19T16:28:03-0600',mode:absolute,to:'2017-10-19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204" t="str">
        <f>IF(AA194&lt;VLOOKUP(AG194,Variables!$AC$3:$AD$8,2,FALSE),"Y","N")</f>
        <v>N</v>
      </c>
      <c r="X194" s="204">
        <f t="shared" si="103"/>
        <v>1</v>
      </c>
      <c r="Y194" s="204">
        <f t="shared" si="101"/>
        <v>5.8630000000000004</v>
      </c>
      <c r="Z194" s="204">
        <f t="shared" si="102"/>
        <v>6.6100000000000006E-2</v>
      </c>
      <c r="AA194" s="204">
        <f t="shared" si="67"/>
        <v>5.7969000000000008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8"/>
        <v>834</v>
      </c>
      <c r="AE194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94" s="74" t="str">
        <f t="shared" si="70"/>
        <v>"C:\Program Files (x86)\AstroGrep\AstroGrep.exe" /e /r /s /spath="%USERPROFILE%\AppData\Local\Temp\OnboardLogs" /stypes="app*4043*20171019*" /stext=" 23:.+((SYSTEM_STATE.+slice.+state.+changed )|(ment ac)|(multiple cpu faults)|(system.+state.+changed )|(\[timeout)|(PRM\|1\|D)|(kpr)|(kdp)|(train st.+moving)|(\|lc)|(penalty))"</v>
      </c>
      <c r="AG194" s="182" t="str">
        <f t="shared" si="71"/>
        <v>NW</v>
      </c>
      <c r="AH194" s="78" t="str">
        <f t="shared" si="80"/>
        <v>"%USERPROFILE%\Documents\GitHub\eaglep3\Utilities\RefineRTDCRunTimes.py" --tripid 834-19 --locoid 4043 --swversion DE.1.0.9.0 --startMP 300:58630 --initTime 2017-10-19T17:28:03 --startdatetime 2017-10-19T17:42:54 --delay 65 --endMP 204:661 --enddatetime 2017-10-19T17:55:33 --enforcementcount 0 &gt;&gt;%USERPROFILE%\Documents\GitHub\eaglep3-reporting\EC\2017-10-19-refined-times.txt</v>
      </c>
      <c r="AI194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{"issue":{"subject":"","project_id":79,"tracker_id":40,"status_id":1,"priority_id":2,"assigned_to_id":338,"start_date":"2017-10-19","description":"","custom_fields":[{"id":1,"name":"Subdivision","value":"NW"},{"id":4,"name":"Milepost","value":"0.0661"},{"id":17,"name":"Train ID","value":"834-19"},{"id":16,"name":"Locomotive ID","value":"4043"},{"id":130,"name":"Impact","value":""},{"id":150,"name":"Time of Event (Mountain Time)","value":"17:55:33"},{"id":151,"name":"Denver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82"/>
        <v>start /low /b %USERPROFILE%\Documents\GitHub\eaglep3\Utilities\DownloadLogsFromS3.py --loco 4043 --day 2017-10-19</v>
      </c>
      <c r="AN194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84"/>
        <v>https://d0f6bd738d7f1b3e5a7ca70fe4ff75f0.us-east-1.aws.found.io/app/kibana#/discover/Steve-Slow-Train-Analysis-(2080s-and-2083s)?_g=(refreshInterval:(display:Off,pause:!f,section:0,value:0),time:(from:'2017-10-19T16:28:03-0600',mode:absolute,to:'2017-10-19T18:55:33-0600'))&amp;_a=(columns:!('Message%20ID',Summary),filters:!(),index:'emp_*',interval:auto,query:(query_string:(analyze_wildcard:!t,query:'%22rtdc.l.rtdc.4043%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752</v>
      </c>
      <c r="B195" s="7">
        <v>4024</v>
      </c>
      <c r="C195" s="21" t="s">
        <v>194</v>
      </c>
      <c r="D195" s="21" t="s">
        <v>545</v>
      </c>
      <c r="E195" s="13">
        <v>43027.730902777781</v>
      </c>
      <c r="F195" s="13">
        <v>43027.735752314817</v>
      </c>
      <c r="G195" s="7">
        <v>59</v>
      </c>
      <c r="H195" s="21" t="s">
        <v>961</v>
      </c>
      <c r="I195" s="13">
        <v>43027.746712962966</v>
      </c>
      <c r="J195" s="7">
        <v>0</v>
      </c>
      <c r="K195" s="89" t="str">
        <f t="shared" si="62"/>
        <v>4023/4024</v>
      </c>
      <c r="L195" s="185" t="str">
        <f>VLOOKUP(A195,'Trips&amp;Operators'!$C$1:$G$99911,5,FALSE)</f>
        <v>BIRKHOLZ NADINE</v>
      </c>
      <c r="M195" s="6">
        <f t="shared" si="63"/>
        <v>1.096064814919373E-2</v>
      </c>
      <c r="N195" s="7">
        <f t="shared" si="104"/>
        <v>15.783333334838971</v>
      </c>
      <c r="O195" s="7"/>
      <c r="P195" s="7"/>
      <c r="Q195" s="22"/>
      <c r="R195" s="174"/>
      <c r="S195" s="221">
        <f t="shared" si="105"/>
        <v>1</v>
      </c>
      <c r="T195" s="174" t="str">
        <f t="shared" si="64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5"/>
        <v>https://d0f6bd738d7f1b3e5a7ca70fe4ff75f0.us-east-1.aws.found.io/app/kibana#/discover/Steve-Slow-Train-Analysis-(2080s-and-2083s)?_g=(refreshInterval:(display:Off,pause:!f,section:0,value:0),time:(from:'2017-10-19T16:32:30-0600',mode:absolute,to:'2017-10-19T18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5" s="204" t="str">
        <f>IF(AA195&lt;VLOOKUP(AG195,Variables!$AC$3:$AD$8,2,FALSE),"Y","N")</f>
        <v>N</v>
      </c>
      <c r="X195" s="204">
        <f t="shared" si="103"/>
        <v>1</v>
      </c>
      <c r="Y195" s="204">
        <f t="shared" si="101"/>
        <v>9.9299999999999999E-2</v>
      </c>
      <c r="Z195" s="204">
        <f t="shared" si="102"/>
        <v>5.8935000000000004</v>
      </c>
      <c r="AA195" s="204">
        <f t="shared" si="67"/>
        <v>5.7942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8"/>
        <v>835</v>
      </c>
      <c r="AE195" s="77" t="str">
        <f t="shared" si="69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195" s="74" t="str">
        <f t="shared" si="70"/>
        <v>"C:\Program Files (x86)\AstroGrep\AstroGrep.exe" /e /r /s /spath="%USERPROFILE%\AppData\Local\Temp\OnboardLogs" /stypes="app*4024*20171019*" /stext=" 23:.+((SYSTEM_STATE.+slice.+state.+changed )|(ment ac)|(multiple cpu faults)|(system.+state.+changed )|(\[timeout)|(PRM\|1\|D)|(kpr)|(kdp)|(train st.+moving)|(\|lc)|(penalty))"</v>
      </c>
      <c r="AG195" s="182" t="str">
        <f t="shared" si="71"/>
        <v>NW</v>
      </c>
      <c r="AH195" s="78" t="str">
        <f t="shared" si="80"/>
        <v>"%USERPROFILE%\Documents\GitHub\eaglep3\Utilities\RefineRTDCRunTimes.py" --tripid 835-19 --locoid 4024 --swversion DE.1.0.9.0 --startMP 204:993 --initTime 2017-10-19T17:32:30 --startdatetime 2017-10-19T17:39:29 --delay 59 --endMP 300:58935 --enddatetime 2017-10-19T17:55:16 --enforcementcount 0 &gt;&gt;%USERPROFILE%\Documents\GitHub\eaglep3-reporting\EC\2017-10-19-refined-times.txt</v>
      </c>
      <c r="AI195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{"issue":{"subject":"","project_id":79,"tracker_id":40,"status_id":1,"priority_id":2,"assigned_to_id":338,"start_date":"2017-10-19","description":"","custom_fields":[{"id":1,"name":"Subdivision","value":"NW"},{"id":4,"name":"Milepost","value":"5.8935"},{"id":17,"name":"Train ID","value":"835-19"},{"id":16,"name":"Locomotive ID","value":"4024"},{"id":130,"name":"Impact","value":""},{"id":150,"name":"Time of Event (Mountain Time)","value":"17:55:16"},{"id":151,"name":"Denver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82"/>
        <v>start /low /b %USERPROFILE%\Documents\GitHub\eaglep3\Utilities\DownloadLogsFromS3.py --loco 4024 --day 2017-10-19</v>
      </c>
      <c r="AN195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84"/>
        <v>https://d0f6bd738d7f1b3e5a7ca70fe4ff75f0.us-east-1.aws.found.io/app/kibana#/discover/Steve-Slow-Train-Analysis-(2080s-and-2083s)?_g=(refreshInterval:(display:Off,pause:!f,section:0,value:0),time:(from:'2017-10-19T16:32:30-0600',mode:absolute,to:'2017-10-19T18:55:16-0600'))&amp;_a=(columns:!('Message%20ID',Summary),filters:!(),index:'emp_*',interval:auto,query:(query_string:(analyze_wildcard:!t,query:'%22rtdc.l.rtdc.4024%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760</v>
      </c>
      <c r="B196" s="7">
        <v>4023</v>
      </c>
      <c r="C196" s="21" t="s">
        <v>194</v>
      </c>
      <c r="D196" s="21" t="s">
        <v>962</v>
      </c>
      <c r="E196" s="13">
        <v>43027.749282407407</v>
      </c>
      <c r="F196" s="13">
        <v>43027.751215277778</v>
      </c>
      <c r="G196" s="7">
        <v>61</v>
      </c>
      <c r="H196" s="21" t="s">
        <v>541</v>
      </c>
      <c r="I196" s="13">
        <v>43027.767534722225</v>
      </c>
      <c r="J196" s="7">
        <v>0</v>
      </c>
      <c r="K196" s="89" t="str">
        <f t="shared" si="62"/>
        <v>4023/4024</v>
      </c>
      <c r="L196" s="185" t="str">
        <f>VLOOKUP(A196,'Trips&amp;Operators'!$C$1:$G$99911,5,FALSE)</f>
        <v>BIRKHOLZ NADINE</v>
      </c>
      <c r="M196" s="6">
        <f t="shared" si="63"/>
        <v>1.6319444446708076E-2</v>
      </c>
      <c r="N196" s="7">
        <f t="shared" si="104"/>
        <v>23.500000003259629</v>
      </c>
      <c r="O196" s="7"/>
      <c r="P196" s="7"/>
      <c r="Q196" s="22"/>
      <c r="R196" s="174"/>
      <c r="S196" s="221">
        <f t="shared" si="105"/>
        <v>1</v>
      </c>
      <c r="T196" s="174" t="str">
        <f t="shared" si="64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5"/>
        <v>https://d0f6bd738d7f1b3e5a7ca70fe4ff75f0.us-east-1.aws.found.io/app/kibana#/discover/Steve-Slow-Train-Analysis-(2080s-and-2083s)?_g=(refreshInterval:(display:Off,pause:!f,section:0,value:0),time:(from:'2017-10-19T16:58:58-0600',mode:absolute,to:'2017-10-19T19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6" s="204" t="str">
        <f>IF(AA196&lt;VLOOKUP(AG196,Variables!$AC$3:$AD$8,2,FALSE),"Y","N")</f>
        <v>N</v>
      </c>
      <c r="X196" s="204">
        <f t="shared" si="103"/>
        <v>1</v>
      </c>
      <c r="Y196" s="204">
        <f t="shared" si="101"/>
        <v>5.8616999999999999</v>
      </c>
      <c r="Z196" s="204">
        <f t="shared" si="102"/>
        <v>7.0099999999999996E-2</v>
      </c>
      <c r="AA196" s="204">
        <f t="shared" si="67"/>
        <v>5.7915999999999999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8"/>
        <v>836</v>
      </c>
      <c r="AE196" s="77" t="str">
        <f t="shared" si="69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196" s="74" t="str">
        <f t="shared" si="70"/>
        <v>"C:\Program Files (x86)\AstroGrep\AstroGrep.exe" /e /r /s /spath="%USERPROFILE%\AppData\Local\Temp\OnboardLogs" /stypes="app*4023*20171020*" /stext=" 00:.+((SYSTEM_STATE.+slice.+state.+changed )|(ment ac)|(multiple cpu faults)|(system.+state.+changed )|(\[timeout)|(PRM\|1\|D)|(kpr)|(kdp)|(train st.+moving)|(\|lc)|(penalty))"</v>
      </c>
      <c r="AG196" s="182" t="str">
        <f t="shared" si="71"/>
        <v>NW</v>
      </c>
      <c r="AH196" s="78" t="str">
        <f t="shared" si="80"/>
        <v>"%USERPROFILE%\Documents\GitHub\eaglep3\Utilities\RefineRTDCRunTimes.py" --tripid 836-19 --locoid 4023 --swversion DE.1.0.9.0 --startMP 300:58617 --initTime 2017-10-19T17:58:58 --startdatetime 2017-10-19T18:01:45 --delay 61 --endMP 204:701 --enddatetime 2017-10-19T18:25:15 --enforcementcount 0 &gt;&gt;%USERPROFILE%\Documents\GitHub\eaglep3-reporting\EC\2017-10-19-refined-times.txt</v>
      </c>
      <c r="AI196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{"issue":{"subject":"","project_id":79,"tracker_id":40,"status_id":1,"priority_id":2,"assigned_to_id":338,"start_date":"2017-10-19","description":"","custom_fields":[{"id":1,"name":"Subdivision","value":"NW"},{"id":4,"name":"Milepost","value":"0.0701"},{"id":17,"name":"Train ID","value":"836-19"},{"id":16,"name":"Locomotive ID","value":"4023"},{"id":130,"name":"Impact","value":""},{"id":150,"name":"Time of Event (Mountain Time)","value":"18:25:15"},{"id":151,"name":"Denver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82"/>
        <v>start /low /b %USERPROFILE%\Documents\GitHub\eaglep3\Utilities\DownloadLogsFromS3.py --loco 4023 --day 2017-10-19</v>
      </c>
      <c r="AN196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84"/>
        <v>https://d0f6bd738d7f1b3e5a7ca70fe4ff75f0.us-east-1.aws.found.io/app/kibana#/discover/Steve-Slow-Train-Analysis-(2080s-and-2083s)?_g=(refreshInterval:(display:Off,pause:!f,section:0,value:0),time:(from:'2017-10-19T16:58:58-0600',mode:absolute,to:'2017-10-19T19:25:15-0600'))&amp;_a=(columns:!('Message%20ID',Summary),filters:!(),index:'emp_*',interval:auto,query:(query_string:(analyze_wildcard:!t,query:'%22rtdc.l.rtdc.4023%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587</v>
      </c>
      <c r="B197" s="7">
        <v>4044</v>
      </c>
      <c r="C197" s="21" t="s">
        <v>194</v>
      </c>
      <c r="D197" s="21" t="s">
        <v>963</v>
      </c>
      <c r="E197" s="13">
        <v>43027.754282407404</v>
      </c>
      <c r="F197" s="13">
        <v>43027.756608796299</v>
      </c>
      <c r="G197" s="7">
        <v>67</v>
      </c>
      <c r="H197" s="21" t="s">
        <v>964</v>
      </c>
      <c r="I197" s="13">
        <v>43027.766875000001</v>
      </c>
      <c r="J197" s="7">
        <v>0</v>
      </c>
      <c r="K197" s="89" t="str">
        <f t="shared" si="62"/>
        <v>4043/4044</v>
      </c>
      <c r="L197" s="185" t="str">
        <f>VLOOKUP(A197,'Trips&amp;Operators'!$C$1:$G$99911,5,FALSE)</f>
        <v>STAMBAUGH JAMES</v>
      </c>
      <c r="M197" s="6">
        <f t="shared" si="63"/>
        <v>1.0266203702485655E-2</v>
      </c>
      <c r="N197" s="7">
        <f t="shared" si="104"/>
        <v>14.783333331579342</v>
      </c>
      <c r="O197" s="7"/>
      <c r="P197" s="7"/>
      <c r="Q197" s="22"/>
      <c r="R197" s="174"/>
      <c r="S197" s="221">
        <f t="shared" si="105"/>
        <v>1</v>
      </c>
      <c r="T197" s="174" t="str">
        <f t="shared" si="64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5"/>
        <v>https://d0f6bd738d7f1b3e5a7ca70fe4ff75f0.us-east-1.aws.found.io/app/kibana#/discover/Steve-Slow-Train-Analysis-(2080s-and-2083s)?_g=(refreshInterval:(display:Off,pause:!f,section:0,value:0),time:(from:'2017-10-19T17:06:10-0600',mode:absolute,to:'2017-10-19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204" t="str">
        <f>IF(AA197&lt;VLOOKUP(AG197,Variables!$AC$3:$AD$8,2,FALSE),"Y","N")</f>
        <v>N</v>
      </c>
      <c r="X197" s="204">
        <f t="shared" si="103"/>
        <v>1</v>
      </c>
      <c r="Y197" s="204">
        <f t="shared" si="101"/>
        <v>9.4799999999999995E-2</v>
      </c>
      <c r="Z197" s="204">
        <f t="shared" si="102"/>
        <v>5.8943000000000003</v>
      </c>
      <c r="AA197" s="204">
        <f t="shared" si="67"/>
        <v>5.7995000000000001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8"/>
        <v>837</v>
      </c>
      <c r="AE197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197" s="74" t="str">
        <f t="shared" si="70"/>
        <v>"C:\Program Files (x86)\AstroGrep\AstroGrep.exe" /e /r /s /spath="%USERPROFILE%\AppData\Local\Temp\OnboardLogs" /stypes="app*4044*20171020*" /stext=" 00:.+((SYSTEM_STATE.+slice.+state.+changed )|(ment ac)|(multiple cpu faults)|(system.+state.+changed )|(\[timeout)|(PRM\|1\|D)|(kpr)|(kdp)|(train st.+moving)|(\|lc)|(penalty))"</v>
      </c>
      <c r="AG197" s="182" t="str">
        <f t="shared" si="71"/>
        <v>NW</v>
      </c>
      <c r="AH197" s="78" t="str">
        <f t="shared" si="80"/>
        <v>"%USERPROFILE%\Documents\GitHub\eaglep3\Utilities\RefineRTDCRunTimes.py" --tripid 837-19 --locoid 4044 --swversion DE.1.0.9.0 --startMP 204:948 --initTime 2017-10-19T18:06:10 --startdatetime 2017-10-19T18:09:31 --delay 67 --endMP 300:58943 --enddatetime 2017-10-19T18:24:18 --enforcementcount 0 &gt;&gt;%USERPROFILE%\Documents\GitHub\eaglep3-reporting\EC\2017-10-19-refined-times.txt</v>
      </c>
      <c r="AI197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{"issue":{"subject":"","project_id":79,"tracker_id":40,"status_id":1,"priority_id":2,"assigned_to_id":338,"start_date":"2017-10-19","description":"","custom_fields":[{"id":1,"name":"Subdivision","value":"NW"},{"id":4,"name":"Milepost","value":"5.8943"},{"id":17,"name":"Train ID","value":"837-19"},{"id":16,"name":"Locomotive ID","value":"4044"},{"id":130,"name":"Impact","value":""},{"id":150,"name":"Time of Event (Mountain Time)","value":"18:24:18"},{"id":151,"name":"Denver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82"/>
        <v>start /low /b %USERPROFILE%\Documents\GitHub\eaglep3\Utilities\DownloadLogsFromS3.py --loco 4044 --day 2017-10-19</v>
      </c>
      <c r="AN197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84"/>
        <v>https://d0f6bd738d7f1b3e5a7ca70fe4ff75f0.us-east-1.aws.found.io/app/kibana#/discover/Steve-Slow-Train-Analysis-(2080s-and-2083s)?_g=(refreshInterval:(display:Off,pause:!f,section:0,value:0),time:(from:'2017-10-19T17:06:10-0600',mode:absolute,to:'2017-10-19T19:24:18-0600'))&amp;_a=(columns:!('Message%20ID',Summary),filters:!(),index:'emp_*',interval:auto,query:(query_string:(analyze_wildcard:!t,query:'%22rtdc.l.rtdc.4044%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767</v>
      </c>
      <c r="B198" s="7">
        <v>4043</v>
      </c>
      <c r="C198" s="21" t="s">
        <v>194</v>
      </c>
      <c r="D198" s="21" t="s">
        <v>965</v>
      </c>
      <c r="E198" s="13">
        <v>43027.76798611111</v>
      </c>
      <c r="F198" s="13">
        <v>43027.779988425929</v>
      </c>
      <c r="G198" s="7">
        <v>55</v>
      </c>
      <c r="H198" s="21" t="s">
        <v>546</v>
      </c>
      <c r="I198" s="13">
        <v>43027.78806712963</v>
      </c>
      <c r="J198" s="7">
        <v>0</v>
      </c>
      <c r="K198" s="89" t="str">
        <f t="shared" si="62"/>
        <v>4043/4044</v>
      </c>
      <c r="L198" s="185" t="str">
        <f>VLOOKUP(A198,'Trips&amp;Operators'!$C$1:$G$99911,5,FALSE)</f>
        <v>STAMBAUGH JAMES</v>
      </c>
      <c r="M198" s="6">
        <f t="shared" si="63"/>
        <v>8.0787037004483864E-3</v>
      </c>
      <c r="N198" s="7">
        <f t="shared" si="104"/>
        <v>11.633333328645676</v>
      </c>
      <c r="O198" s="7"/>
      <c r="P198" s="7"/>
      <c r="Q198" s="22"/>
      <c r="R198" s="174"/>
      <c r="S198" s="221">
        <f t="shared" si="105"/>
        <v>1</v>
      </c>
      <c r="T198" s="174" t="str">
        <f t="shared" si="64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5"/>
        <v>https://d0f6bd738d7f1b3e5a7ca70fe4ff75f0.us-east-1.aws.found.io/app/kibana#/discover/Steve-Slow-Train-Analysis-(2080s-and-2083s)?_g=(refreshInterval:(display:Off,pause:!f,section:0,value:0),time:(from:'2017-10-19T17:25:54-0600',mode:absolute,to:'2017-10-19T19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204" t="str">
        <f>IF(AA198&lt;VLOOKUP(AG198,Variables!$AC$3:$AD$8,2,FALSE),"Y","N")</f>
        <v>N</v>
      </c>
      <c r="X198" s="204">
        <f t="shared" si="103"/>
        <v>1</v>
      </c>
      <c r="Y198" s="204">
        <f t="shared" si="101"/>
        <v>5.8624999999999998</v>
      </c>
      <c r="Z198" s="204">
        <f t="shared" si="102"/>
        <v>7.0599999999999996E-2</v>
      </c>
      <c r="AA198" s="204">
        <f t="shared" si="67"/>
        <v>5.7919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8"/>
        <v>838</v>
      </c>
      <c r="AE198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198" s="74" t="str">
        <f t="shared" si="70"/>
        <v>"C:\Program Files (x86)\AstroGrep\AstroGrep.exe" /e /r /s /spath="%USERPROFILE%\AppData\Local\Temp\OnboardLogs" /stypes="app*4043*20171020*" /stext=" 00:.+((SYSTEM_STATE.+slice.+state.+changed )|(ment ac)|(multiple cpu faults)|(system.+state.+changed )|(\[timeout)|(PRM\|1\|D)|(kpr)|(kdp)|(train st.+moving)|(\|lc)|(penalty))"</v>
      </c>
      <c r="AG198" s="182" t="str">
        <f t="shared" si="71"/>
        <v>NW</v>
      </c>
      <c r="AH198" s="78" t="str">
        <f t="shared" si="80"/>
        <v>"%USERPROFILE%\Documents\GitHub\eaglep3\Utilities\RefineRTDCRunTimes.py" --tripid 838-19 --locoid 4043 --swversion DE.1.0.9.0 --startMP 300:58625 --initTime 2017-10-19T18:25:54 --startdatetime 2017-10-19T18:43:11 --delay 55 --endMP 204:706 --enddatetime 2017-10-19T18:54:49 --enforcementcount 0 &gt;&gt;%USERPROFILE%\Documents\GitHub\eaglep3-reporting\EC\2017-10-19-refined-times.txt</v>
      </c>
      <c r="AI198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{"issue":{"subject":"","project_id":79,"tracker_id":40,"status_id":1,"priority_id":2,"assigned_to_id":338,"start_date":"2017-10-19","description":"","custom_fields":[{"id":1,"name":"Subdivision","value":"NW"},{"id":4,"name":"Milepost","value":"0.0706"},{"id":17,"name":"Train ID","value":"838-19"},{"id":16,"name":"Locomotive ID","value":"4043"},{"id":130,"name":"Impact","value":""},{"id":150,"name":"Time of Event (Mountain Time)","value":"18:54:49"},{"id":151,"name":"Denver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82"/>
        <v>start /low /b %USERPROFILE%\Documents\GitHub\eaglep3\Utilities\DownloadLogsFromS3.py --loco 4043 --day 2017-10-19</v>
      </c>
      <c r="AN198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84"/>
        <v>https://d0f6bd738d7f1b3e5a7ca70fe4ff75f0.us-east-1.aws.found.io/app/kibana#/discover/Steve-Slow-Train-Analysis-(2080s-and-2083s)?_g=(refreshInterval:(display:Off,pause:!f,section:0,value:0),time:(from:'2017-10-19T17:25:54-0600',mode:absolute,to:'2017-10-19T19:54:49-0600'))&amp;_a=(columns:!('Message%20ID',Summary),filters:!(),index:'emp_*',interval:auto,query:(query_string:(analyze_wildcard:!t,query:'%22rtdc.l.rtdc.4043%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768</v>
      </c>
      <c r="B199" s="7">
        <v>4024</v>
      </c>
      <c r="C199" s="21" t="s">
        <v>194</v>
      </c>
      <c r="D199" s="21" t="s">
        <v>966</v>
      </c>
      <c r="E199" s="13">
        <v>43027.772581018522</v>
      </c>
      <c r="F199" s="13">
        <v>43027.777303240742</v>
      </c>
      <c r="G199" s="7">
        <v>67</v>
      </c>
      <c r="H199" s="21" t="s">
        <v>954</v>
      </c>
      <c r="I199" s="13">
        <v>43027.787766203706</v>
      </c>
      <c r="J199" s="7">
        <v>0</v>
      </c>
      <c r="K199" s="89" t="str">
        <f t="shared" si="62"/>
        <v>4023/4024</v>
      </c>
      <c r="L199" s="185" t="str">
        <f>VLOOKUP(A199,'Trips&amp;Operators'!$C$1:$G$99911,5,FALSE)</f>
        <v>BIRKHOLZ NADINE</v>
      </c>
      <c r="M199" s="6">
        <f t="shared" si="63"/>
        <v>1.0462962964083999E-2</v>
      </c>
      <c r="N199" s="7">
        <f t="shared" si="104"/>
        <v>15.066666668280959</v>
      </c>
      <c r="O199" s="7"/>
      <c r="P199" s="7"/>
      <c r="Q199" s="22"/>
      <c r="R199" s="174"/>
      <c r="S199" s="221">
        <f t="shared" si="105"/>
        <v>1</v>
      </c>
      <c r="T199" s="174" t="str">
        <f t="shared" si="64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5"/>
        <v>https://d0f6bd738d7f1b3e5a7ca70fe4ff75f0.us-east-1.aws.found.io/app/kibana#/discover/Steve-Slow-Train-Analysis-(2080s-and-2083s)?_g=(refreshInterval:(display:Off,pause:!f,section:0,value:0),time:(from:'2017-10-19T17:32:31-0600',mode:absolute,to:'2017-10-19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9" s="204" t="str">
        <f>IF(AA199&lt;VLOOKUP(AG199,Variables!$AC$3:$AD$8,2,FALSE),"Y","N")</f>
        <v>N</v>
      </c>
      <c r="X199" s="204">
        <f t="shared" si="103"/>
        <v>1</v>
      </c>
      <c r="Y199" s="204">
        <f t="shared" si="101"/>
        <v>9.9199999999999997E-2</v>
      </c>
      <c r="Z199" s="204">
        <f t="shared" si="102"/>
        <v>5.8924000000000003</v>
      </c>
      <c r="AA199" s="204">
        <f t="shared" si="67"/>
        <v>5.7932000000000006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8"/>
        <v>839</v>
      </c>
      <c r="AE199" s="77" t="str">
        <f t="shared" si="69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199" s="74" t="str">
        <f t="shared" si="70"/>
        <v>"C:\Program Files (x86)\AstroGrep\AstroGrep.exe" /e /r /s /spath="%USERPROFILE%\AppData\Local\Temp\OnboardLogs" /stypes="app*4024*20171020*" /stext=" 00:.+((SYSTEM_STATE.+slice.+state.+changed )|(ment ac)|(multiple cpu faults)|(system.+state.+changed )|(\[timeout)|(PRM\|1\|D)|(kpr)|(kdp)|(train st.+moving)|(\|lc)|(penalty))"</v>
      </c>
      <c r="AG199" s="182" t="str">
        <f t="shared" si="71"/>
        <v>NW</v>
      </c>
      <c r="AH199" s="78" t="str">
        <f t="shared" si="80"/>
        <v>"%USERPROFILE%\Documents\GitHub\eaglep3\Utilities\RefineRTDCRunTimes.py" --tripid 839-19 --locoid 4024 --swversion DE.1.0.9.0 --startMP 204:992 --initTime 2017-10-19T18:32:31 --startdatetime 2017-10-19T18:39:19 --delay 67 --endMP 300:58924 --enddatetime 2017-10-19T18:54:23 --enforcementcount 0 &gt;&gt;%USERPROFILE%\Documents\GitHub\eaglep3-reporting\EC\2017-10-19-refined-times.txt</v>
      </c>
      <c r="AI199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{"issue":{"subject":"","project_id":79,"tracker_id":40,"status_id":1,"priority_id":2,"assigned_to_id":338,"start_date":"2017-10-19","description":"","custom_fields":[{"id":1,"name":"Subdivision","value":"NW"},{"id":4,"name":"Milepost","value":"5.8924"},{"id":17,"name":"Train ID","value":"839-19"},{"id":16,"name":"Locomotive ID","value":"4024"},{"id":130,"name":"Impact","value":""},{"id":150,"name":"Time of Event (Mountain Time)","value":"18:54:23"},{"id":151,"name":"Denver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82"/>
        <v>start /low /b %USERPROFILE%\Documents\GitHub\eaglep3\Utilities\DownloadLogsFromS3.py --loco 4024 --day 2017-10-19</v>
      </c>
      <c r="AN199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84"/>
        <v>https://d0f6bd738d7f1b3e5a7ca70fe4ff75f0.us-east-1.aws.found.io/app/kibana#/discover/Steve-Slow-Train-Analysis-(2080s-and-2083s)?_g=(refreshInterval:(display:Off,pause:!f,section:0,value:0),time:(from:'2017-10-19T17:32:31-0600',mode:absolute,to:'2017-10-19T19:54:23-0600'))&amp;_a=(columns:!('Message%20ID',Summary),filters:!(),index:'emp_*',interval:auto,query:(query_string:(analyze_wildcard:!t,query:'%22rtdc.l.rtdc.4024%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776</v>
      </c>
      <c r="B200" s="7">
        <v>4043</v>
      </c>
      <c r="C200" s="21" t="s">
        <v>194</v>
      </c>
      <c r="D200" s="21" t="s">
        <v>967</v>
      </c>
      <c r="E200" s="13">
        <v>43027.809733796297</v>
      </c>
      <c r="F200" s="13">
        <v>43027.821620370371</v>
      </c>
      <c r="G200" s="7">
        <v>70</v>
      </c>
      <c r="H200" s="21" t="s">
        <v>968</v>
      </c>
      <c r="I200" s="13">
        <v>43027.830787037034</v>
      </c>
      <c r="J200" s="7">
        <v>0</v>
      </c>
      <c r="K200" s="89" t="str">
        <f t="shared" si="62"/>
        <v>4043/4044</v>
      </c>
      <c r="L200" s="185" t="str">
        <f>VLOOKUP(A200,'Trips&amp;Operators'!$C$1:$G$99911,5,FALSE)</f>
        <v>DAVIDSON DAVID</v>
      </c>
      <c r="M200" s="6">
        <f t="shared" si="63"/>
        <v>9.1666666630771942E-3</v>
      </c>
      <c r="N200" s="7">
        <f t="shared" si="104"/>
        <v>13.19999999483116</v>
      </c>
      <c r="O200" s="7"/>
      <c r="P200" s="7"/>
      <c r="Q200" s="22"/>
      <c r="R200" s="174"/>
      <c r="S200" s="221">
        <f t="shared" si="105"/>
        <v>1</v>
      </c>
      <c r="T200" s="174" t="str">
        <f t="shared" si="64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5"/>
        <v>https://d0f6bd738d7f1b3e5a7ca70fe4ff75f0.us-east-1.aws.found.io/app/kibana#/discover/Steve-Slow-Train-Analysis-(2080s-and-2083s)?_g=(refreshInterval:(display:Off,pause:!f,section:0,value:0),time:(from:'2017-10-19T18:26:01-0600',mode:absolute,to:'2017-10-19T20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204" t="str">
        <f>IF(AA200&lt;VLOOKUP(AG200,Variables!$AC$3:$AD$8,2,FALSE),"Y","N")</f>
        <v>N</v>
      </c>
      <c r="X200" s="204">
        <f t="shared" si="103"/>
        <v>1</v>
      </c>
      <c r="Y200" s="204">
        <f t="shared" si="101"/>
        <v>5.8611000000000004</v>
      </c>
      <c r="Z200" s="204">
        <f t="shared" si="102"/>
        <v>7.1999999999999995E-2</v>
      </c>
      <c r="AA200" s="204">
        <f t="shared" si="67"/>
        <v>5.7891000000000004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8"/>
        <v>840</v>
      </c>
      <c r="AE200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200" s="74" t="str">
        <f t="shared" si="70"/>
        <v>"C:\Program Files (x86)\AstroGrep\AstroGrep.exe" /e /r /s /spath="%USERPROFILE%\AppData\Local\Temp\OnboardLogs" /stypes="app*4043*20171020*" /stext=" 01:.+((SYSTEM_STATE.+slice.+state.+changed )|(ment ac)|(multiple cpu faults)|(system.+state.+changed )|(\[timeout)|(PRM\|1\|D)|(kpr)|(kdp)|(train st.+moving)|(\|lc)|(penalty))"</v>
      </c>
      <c r="AG200" s="182" t="str">
        <f t="shared" si="71"/>
        <v>NW</v>
      </c>
      <c r="AH200" s="78" t="str">
        <f t="shared" si="80"/>
        <v>"%USERPROFILE%\Documents\GitHub\eaglep3\Utilities\RefineRTDCRunTimes.py" --tripid 840-19 --locoid 4043 --swversion DE.1.0.9.0 --startMP 300:58611 --initTime 2017-10-19T19:26:01 --startdatetime 2017-10-19T19:43:08 --delay 70 --endMP 204:720 --enddatetime 2017-10-19T19:56:20 --enforcementcount 0 &gt;&gt;%USERPROFILE%\Documents\GitHub\eaglep3-reporting\EC\2017-10-19-refined-times.txt</v>
      </c>
      <c r="AI200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{"issue":{"subject":"","project_id":79,"tracker_id":40,"status_id":1,"priority_id":2,"assigned_to_id":338,"start_date":"2017-10-19","description":"","custom_fields":[{"id":1,"name":"Subdivision","value":"NW"},{"id":4,"name":"Milepost","value":"0.072"},{"id":17,"name":"Train ID","value":"840-19"},{"id":16,"name":"Locomotive ID","value":"4043"},{"id":130,"name":"Impact","value":""},{"id":150,"name":"Time of Event (Mountain Time)","value":"19:56:20"},{"id":151,"name":"Denver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82"/>
        <v>start /low /b %USERPROFILE%\Documents\GitHub\eaglep3\Utilities\DownloadLogsFromS3.py --loco 4043 --day 2017-10-19</v>
      </c>
      <c r="AN200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84"/>
        <v>https://d0f6bd738d7f1b3e5a7ca70fe4ff75f0.us-east-1.aws.found.io/app/kibana#/discover/Steve-Slow-Train-Analysis-(2080s-and-2083s)?_g=(refreshInterval:(display:Off,pause:!f,section:0,value:0),time:(from:'2017-10-19T18:26:01-0600',mode:absolute,to:'2017-10-19T20:56:20-0600'))&amp;_a=(columns:!('Message%20ID',Summary),filters:!(),index:'emp_*',interval:auto,query:(query_string:(analyze_wildcard:!t,query:'%22rtdc.l.rtdc.4043%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778</v>
      </c>
      <c r="B201" s="7">
        <v>4044</v>
      </c>
      <c r="C201" s="21" t="s">
        <v>194</v>
      </c>
      <c r="D201" s="21" t="s">
        <v>922</v>
      </c>
      <c r="E201" s="13">
        <v>43027.79482638889</v>
      </c>
      <c r="F201" s="13">
        <v>43027.798125000001</v>
      </c>
      <c r="G201" s="7">
        <v>50</v>
      </c>
      <c r="H201" s="21" t="s">
        <v>969</v>
      </c>
      <c r="I201" s="13">
        <v>43027.808738425927</v>
      </c>
      <c r="J201" s="7">
        <v>0</v>
      </c>
      <c r="K201" s="89" t="str">
        <f t="shared" si="62"/>
        <v>4043/4044</v>
      </c>
      <c r="L201" s="185" t="str">
        <f>VLOOKUP(A201,'Trips&amp;Operators'!$C$1:$G$99911,5,FALSE)</f>
        <v>DAVIDSON DAVID</v>
      </c>
      <c r="M201" s="6">
        <f t="shared" si="63"/>
        <v>1.0613425925839692E-2</v>
      </c>
      <c r="N201" s="7">
        <f t="shared" si="104"/>
        <v>15.283333333209157</v>
      </c>
      <c r="O201" s="7"/>
      <c r="P201" s="7"/>
      <c r="Q201" s="22"/>
      <c r="R201" s="174"/>
      <c r="S201" s="221">
        <f t="shared" si="105"/>
        <v>1</v>
      </c>
      <c r="T201" s="174" t="str">
        <f t="shared" si="64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5"/>
        <v>https://d0f6bd738d7f1b3e5a7ca70fe4ff75f0.us-east-1.aws.found.io/app/kibana#/discover/Steve-Slow-Train-Analysis-(2080s-and-2083s)?_g=(refreshInterval:(display:Off,pause:!f,section:0,value:0),time:(from:'2017-10-19T18:04:33-0600',mode:absolute,to:'2017-10-19T20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204" t="str">
        <f>IF(AA201&lt;VLOOKUP(AG201,Variables!$AC$3:$AD$8,2,FALSE),"Y","N")</f>
        <v>N</v>
      </c>
      <c r="X201" s="204">
        <f t="shared" si="103"/>
        <v>1</v>
      </c>
      <c r="Y201" s="204">
        <f t="shared" si="101"/>
        <v>9.6699999999999994E-2</v>
      </c>
      <c r="Z201" s="204">
        <f t="shared" si="102"/>
        <v>5.8929</v>
      </c>
      <c r="AA201" s="204">
        <f t="shared" si="67"/>
        <v>5.7961999999999998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8"/>
        <v>841</v>
      </c>
      <c r="AE201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201" s="74" t="str">
        <f t="shared" si="70"/>
        <v>"C:\Program Files (x86)\AstroGrep\AstroGrep.exe" /e /r /s /spath="%USERPROFILE%\AppData\Local\Temp\OnboardLogs" /stypes="app*4044*20171020*" /stext=" 01:.+((SYSTEM_STATE.+slice.+state.+changed )|(ment ac)|(multiple cpu faults)|(system.+state.+changed )|(\[timeout)|(PRM\|1\|D)|(kpr)|(kdp)|(train st.+moving)|(\|lc)|(penalty))"</v>
      </c>
      <c r="AG201" s="182" t="str">
        <f t="shared" si="71"/>
        <v>NW</v>
      </c>
      <c r="AH201" s="78" t="str">
        <f t="shared" si="80"/>
        <v>"%USERPROFILE%\Documents\GitHub\eaglep3\Utilities\RefineRTDCRunTimes.py" --tripid 841-19 --locoid 4044 --swversion DE.1.0.9.0 --startMP 204:967 --initTime 2017-10-19T19:04:33 --startdatetime 2017-10-19T19:09:18 --delay 50 --endMP 300:58929 --enddatetime 2017-10-19T19:24:35 --enforcementcount 0 &gt;&gt;%USERPROFILE%\Documents\GitHub\eaglep3-reporting\EC\2017-10-19-refined-times.txt</v>
      </c>
      <c r="AI201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{"issue":{"subject":"","project_id":79,"tracker_id":40,"status_id":1,"priority_id":2,"assigned_to_id":338,"start_date":"2017-10-19","description":"","custom_fields":[{"id":1,"name":"Subdivision","value":"NW"},{"id":4,"name":"Milepost","value":"5.8929"},{"id":17,"name":"Train ID","value":"841-19"},{"id":16,"name":"Locomotive ID","value":"4044"},{"id":130,"name":"Impact","value":""},{"id":150,"name":"Time of Event (Mountain Time)","value":"19:24:35"},{"id":151,"name":"Denver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82"/>
        <v>start /low /b %USERPROFILE%\Documents\GitHub\eaglep3\Utilities\DownloadLogsFromS3.py --loco 4044 --day 2017-10-19</v>
      </c>
      <c r="AN201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84"/>
        <v>https://d0f6bd738d7f1b3e5a7ca70fe4ff75f0.us-east-1.aws.found.io/app/kibana#/discover/Steve-Slow-Train-Analysis-(2080s-and-2083s)?_g=(refreshInterval:(display:Off,pause:!f,section:0,value:0),time:(from:'2017-10-19T18:04:33-0600',mode:absolute,to:'2017-10-19T20:24:35-0600'))&amp;_a=(columns:!('Message%20ID',Summary),filters:!(),index:'emp_*',interval:auto,query:(query_string:(analyze_wildcard:!t,query:'%22rtdc.l.rtdc.4044%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788</v>
      </c>
      <c r="B202" s="7">
        <v>4043</v>
      </c>
      <c r="C202" s="21" t="s">
        <v>194</v>
      </c>
      <c r="D202" s="21" t="s">
        <v>970</v>
      </c>
      <c r="E202" s="13">
        <v>43027.850636574076</v>
      </c>
      <c r="F202" s="13">
        <v>43027.862604166665</v>
      </c>
      <c r="G202" s="7">
        <v>64</v>
      </c>
      <c r="H202" s="21" t="s">
        <v>549</v>
      </c>
      <c r="I202" s="13">
        <v>43027.871747685182</v>
      </c>
      <c r="J202" s="7">
        <v>0</v>
      </c>
      <c r="K202" s="89" t="str">
        <f t="shared" si="62"/>
        <v>4043/4044</v>
      </c>
      <c r="L202" s="185" t="str">
        <f>VLOOKUP(A202,'Trips&amp;Operators'!$C$1:$G$99911,5,FALSE)</f>
        <v>ZEWDU DEREJE</v>
      </c>
      <c r="M202" s="6">
        <f t="shared" si="63"/>
        <v>9.1435185167938471E-3</v>
      </c>
      <c r="N202" s="7">
        <f t="shared" ref="N202:N233" si="106">24*60*SUM($M202:$M202)</f>
        <v>13.16666666418314</v>
      </c>
      <c r="O202" s="7"/>
      <c r="P202" s="7"/>
      <c r="Q202" s="22"/>
      <c r="R202" s="174"/>
      <c r="S202" s="221">
        <f t="shared" ref="S202:S233" si="107">1/IF(AG202="EC",12,1)*SUM(U202:U202)</f>
        <v>1</v>
      </c>
      <c r="T202" s="174" t="str">
        <f t="shared" si="64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5"/>
        <v>https://d0f6bd738d7f1b3e5a7ca70fe4ff75f0.us-east-1.aws.found.io/app/kibana#/discover/Steve-Slow-Train-Analysis-(2080s-and-2083s)?_g=(refreshInterval:(display:Off,pause:!f,section:0,value:0),time:(from:'2017-10-19T19:24:55-0600',mode:absolute,to:'2017-10-19T21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204" t="str">
        <f>IF(AA202&lt;VLOOKUP(AG202,Variables!$AC$3:$AD$8,2,FALSE),"Y","N")</f>
        <v>N</v>
      </c>
      <c r="X202" s="204">
        <f t="shared" si="103"/>
        <v>1</v>
      </c>
      <c r="Y202" s="204">
        <f t="shared" si="101"/>
        <v>5.8657000000000004</v>
      </c>
      <c r="Z202" s="204">
        <f t="shared" si="102"/>
        <v>7.0300000000000001E-2</v>
      </c>
      <c r="AA202" s="204">
        <f t="shared" si="67"/>
        <v>5.7954000000000008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8"/>
        <v>842</v>
      </c>
      <c r="AE202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202" s="74" t="str">
        <f t="shared" si="70"/>
        <v>"C:\Program Files (x86)\AstroGrep\AstroGrep.exe" /e /r /s /spath="%USERPROFILE%\AppData\Local\Temp\OnboardLogs" /stypes="app*4043*20171020*" /stext=" 02:.+((SYSTEM_STATE.+slice.+state.+changed )|(ment ac)|(multiple cpu faults)|(system.+state.+changed )|(\[timeout)|(PRM\|1\|D)|(kpr)|(kdp)|(train st.+moving)|(\|lc)|(penalty))"</v>
      </c>
      <c r="AG202" s="182" t="str">
        <f t="shared" si="71"/>
        <v>NW</v>
      </c>
      <c r="AH202" s="78" t="str">
        <f t="shared" si="80"/>
        <v>"%USERPROFILE%\Documents\GitHub\eaglep3\Utilities\RefineRTDCRunTimes.py" --tripid 842-19 --locoid 4043 --swversion DE.1.0.9.0 --startMP 300:58657 --initTime 2017-10-19T20:24:55 --startdatetime 2017-10-19T20:42:09 --delay 64 --endMP 204:703 --enddatetime 2017-10-19T20:55:19 --enforcementcount 0 &gt;&gt;%USERPROFILE%\Documents\GitHub\eaglep3-reporting\EC\2017-10-19-refined-times.txt</v>
      </c>
      <c r="AI202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{"issue":{"subject":"","project_id":79,"tracker_id":40,"status_id":1,"priority_id":2,"assigned_to_id":338,"start_date":"2017-10-19","description":"","custom_fields":[{"id":1,"name":"Subdivision","value":"NW"},{"id":4,"name":"Milepost","value":"0.0703"},{"id":17,"name":"Train ID","value":"842-19"},{"id":16,"name":"Locomotive ID","value":"4043"},{"id":130,"name":"Impact","value":""},{"id":150,"name":"Time of Event (Mountain Time)","value":"20:55:19"},{"id":151,"name":"Denver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82"/>
        <v>start /low /b %USERPROFILE%\Documents\GitHub\eaglep3\Utilities\DownloadLogsFromS3.py --loco 4043 --day 2017-10-19</v>
      </c>
      <c r="AN202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84"/>
        <v>https://d0f6bd738d7f1b3e5a7ca70fe4ff75f0.us-east-1.aws.found.io/app/kibana#/discover/Steve-Slow-Train-Analysis-(2080s-and-2083s)?_g=(refreshInterval:(display:Off,pause:!f,section:0,value:0),time:(from:'2017-10-19T19:24:55-0600',mode:absolute,to:'2017-10-19T21:55:19-0600'))&amp;_a=(columns:!('Message%20ID',Summary),filters:!(),index:'emp_*',interval:auto,query:(query_string:(analyze_wildcard:!t,query:'%22rtdc.l.rtdc.4043%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785</v>
      </c>
      <c r="B203" s="7">
        <v>4044</v>
      </c>
      <c r="C203" s="21" t="s">
        <v>194</v>
      </c>
      <c r="D203" s="21" t="s">
        <v>970</v>
      </c>
      <c r="E203" s="13">
        <v>43027.850636574076</v>
      </c>
      <c r="F203" s="13">
        <v>43027.839918981481</v>
      </c>
      <c r="G203" s="7">
        <v>64</v>
      </c>
      <c r="H203" s="21" t="s">
        <v>549</v>
      </c>
      <c r="I203" s="13">
        <v>43027.849328703705</v>
      </c>
      <c r="J203" s="7">
        <v>0</v>
      </c>
      <c r="K203" s="89" t="str">
        <f t="shared" si="62"/>
        <v>4043/4044</v>
      </c>
      <c r="L203" s="185" t="str">
        <f>VLOOKUP(A203,'Trips&amp;Operators'!$C$1:$G$99911,5,FALSE)</f>
        <v>ZEWDU DEREJE</v>
      </c>
      <c r="M203" s="6">
        <f t="shared" si="63"/>
        <v>9.4097222245181911E-3</v>
      </c>
      <c r="N203" s="7">
        <f t="shared" si="106"/>
        <v>13.550000003306195</v>
      </c>
      <c r="O203" s="7"/>
      <c r="P203" s="7"/>
      <c r="Q203" s="22"/>
      <c r="R203" s="174"/>
      <c r="S203" s="221">
        <f t="shared" si="107"/>
        <v>1</v>
      </c>
      <c r="T203" s="174" t="str">
        <f t="shared" si="64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5"/>
        <v>https://d0f6bd738d7f1b3e5a7ca70fe4ff75f0.us-east-1.aws.found.io/app/kibana#/discover/Steve-Slow-Train-Analysis-(2080s-and-2083s)?_g=(refreshInterval:(display:Off,pause:!f,section:0,value:0),time:(from:'2017-10-19T19:24:55-0600',mode:absolute,to:'2017-10-19T21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204" t="str">
        <f>IF(AA203&lt;VLOOKUP(AG203,Variables!$AC$3:$AD$8,2,FALSE),"Y","N")</f>
        <v>N</v>
      </c>
      <c r="X203" s="204">
        <f t="shared" ref="X203:X205" si="108">VALUE(LEFT(AD203,4))-VALUE(LEFT(AD202,4))</f>
        <v>1</v>
      </c>
      <c r="Y203" s="204">
        <v>9.6699999999999994E-2</v>
      </c>
      <c r="Z203" s="204">
        <v>5.8929</v>
      </c>
      <c r="AA203" s="204">
        <f t="shared" si="67"/>
        <v>5.7961999999999998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8"/>
        <v>843</v>
      </c>
      <c r="AE203" s="77" t="str">
        <f t="shared" si="69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203" s="74" t="str">
        <f t="shared" si="70"/>
        <v>"C:\Program Files (x86)\AstroGrep\AstroGrep.exe" /e /r /s /spath="%USERPROFILE%\AppData\Local\Temp\OnboardLogs" /stypes="app*4044*20171020*" /stext=" 02:.+((SYSTEM_STATE.+slice.+state.+changed )|(ment ac)|(multiple cpu faults)|(system.+state.+changed )|(\[timeout)|(PRM\|1\|D)|(kpr)|(kdp)|(train st.+moving)|(\|lc)|(penalty))"</v>
      </c>
      <c r="AG203" s="182" t="str">
        <f t="shared" si="71"/>
        <v>NW</v>
      </c>
      <c r="AH203" s="78" t="str">
        <f t="shared" ref="AH203" si="10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843-19 --locoid 4044 --swversion DE.1.0.9.0 --startMP 300:58657 --initTime 2017-10-19T20:24:55 --startdatetime 2017-10-19T20:09:29 --delay 64 --endMP 204:703 --enddatetime 2017-10-19T20:23:02 --enforcementcount 0 &gt;&gt;%USERPROFILE%\Documents\GitHub\eaglep3-reporting\EC\2017-10-19-refined-times.txt</v>
      </c>
      <c r="AI203" s="96" t="str">
        <f t="shared" ref="AI203" si="11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{"issue":{"subject":"","project_id":79,"tracker_id":40,"status_id":1,"priority_id":2,"assigned_to_id":338,"start_date":"2017-10-19","description":"","custom_fields":[{"id":1,"name":"Subdivision","value":"NW"},{"id":4,"name":"Milepost","value":"5.8929"},{"id":17,"name":"Train ID","value":"843-19"},{"id":16,"name":"Locomotive ID","value":"4044"},{"id":130,"name":"Impact","value":""},{"id":150,"name":"Time of Event (Mountain Time)","value":"20:23:02"},{"id":151,"name":"Denver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ref="AM203" si="111">"start /low /b "&amp;dls3logs&amp;" --loco "&amp;B203&amp;" --day "&amp;TEXT(F203,"YYYY-MM-DD")</f>
        <v>start /low /b %USERPROFILE%\Documents\GitHub\eaglep3\Utilities\DownloadLogsFromS3.py --loco 4044 --day 2017-10-19</v>
      </c>
      <c r="AN203" s="151" t="str">
        <f t="shared" ref="AN203" si="112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02:23:02"},{"id":29,"name":"Sharepoint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ref="AO203" si="113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-19T19:24:55-0600',mode:absolute,to:'2017-10-19T21:23:02-0600'))&amp;_a=(columns:!('Message%20ID',Summary),filters:!(),index:'emp_*',interval:auto,query:(query_string:(analyze_wildcard:!t,query:'%22rtdc.l.rtdc.4044%22')),sort:!(Time.ISO8601,asc))</v>
      </c>
    </row>
    <row r="204" spans="1:91" s="20" customFormat="1" x14ac:dyDescent="0.25">
      <c r="A204" s="32" t="s">
        <v>795</v>
      </c>
      <c r="B204" s="7">
        <v>4043</v>
      </c>
      <c r="C204" s="21" t="s">
        <v>194</v>
      </c>
      <c r="D204" s="21" t="s">
        <v>460</v>
      </c>
      <c r="E204" s="13">
        <v>43027.892476851855</v>
      </c>
      <c r="F204" s="13">
        <v>43027.904930555553</v>
      </c>
      <c r="G204" s="7">
        <v>72</v>
      </c>
      <c r="H204" s="21" t="s">
        <v>459</v>
      </c>
      <c r="I204" s="13">
        <v>43027.913865740738</v>
      </c>
      <c r="J204" s="7">
        <v>0</v>
      </c>
      <c r="K204" s="89" t="str">
        <f t="shared" si="62"/>
        <v>4043/4044</v>
      </c>
      <c r="L204" s="185" t="str">
        <f>VLOOKUP(A204,'Trips&amp;Operators'!$C$1:$G$99911,5,FALSE)</f>
        <v>LOPES KIMBERLY</v>
      </c>
      <c r="M204" s="6">
        <f t="shared" si="63"/>
        <v>8.9351851856918074E-3</v>
      </c>
      <c r="N204" s="7">
        <f t="shared" si="106"/>
        <v>12.866666667396203</v>
      </c>
      <c r="O204" s="7"/>
      <c r="P204" s="7"/>
      <c r="Q204" s="22"/>
      <c r="R204" s="174"/>
      <c r="S204" s="221">
        <f t="shared" si="107"/>
        <v>1</v>
      </c>
      <c r="T204" s="174" t="str">
        <f t="shared" si="64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5"/>
        <v>https://d0f6bd738d7f1b3e5a7ca70fe4ff75f0.us-east-1.aws.found.io/app/kibana#/discover/Steve-Slow-Train-Analysis-(2080s-and-2083s)?_g=(refreshInterval:(display:Off,pause:!f,section:0,value:0),time:(from:'2017-10-19T20:25:10-0600',mode:absolute,to:'2017-10-19T22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4" s="204" t="str">
        <f>IF(AA204&lt;VLOOKUP(AG204,Variables!$AC$3:$AD$8,2,FALSE),"Y","N")</f>
        <v>N</v>
      </c>
      <c r="X204" s="204">
        <f t="shared" si="108"/>
        <v>1</v>
      </c>
      <c r="Y204" s="204">
        <f t="shared" ref="Y204:Y245" si="114">RIGHT(D204,LEN(D204)-4)/10000</f>
        <v>5.8638000000000003</v>
      </c>
      <c r="Z204" s="204">
        <f t="shared" ref="Z204:Z245" si="115">RIGHT(H204,LEN(H204)-4)/10000</f>
        <v>6.9199999999999998E-2</v>
      </c>
      <c r="AA204" s="204">
        <f t="shared" si="67"/>
        <v>5.7946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8"/>
        <v>844</v>
      </c>
      <c r="AE204" s="77" t="str">
        <f t="shared" si="69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204" s="74" t="str">
        <f t="shared" si="70"/>
        <v>"C:\Program Files (x86)\AstroGrep\AstroGrep.exe" /e /r /s /spath="%USERPROFILE%\AppData\Local\Temp\OnboardLogs" /stypes="app*4043*20171020*" /stext=" 03:.+((SYSTEM_STATE.+slice.+state.+changed )|(ment ac)|(multiple cpu faults)|(system.+state.+changed )|(\[timeout)|(PRM\|1\|D)|(kpr)|(kdp)|(train st.+moving)|(\|lc)|(penalty))"</v>
      </c>
      <c r="AG204" s="182" t="str">
        <f t="shared" si="71"/>
        <v>NW</v>
      </c>
      <c r="AH204" s="78" t="str">
        <f t="shared" si="80"/>
        <v>"%USERPROFILE%\Documents\GitHub\eaglep3\Utilities\RefineRTDCRunTimes.py" --tripid 844-19 --locoid 4043 --swversion DE.1.0.9.0 --startMP 300:58638 --initTime 2017-10-19T21:25:10 --startdatetime 2017-10-19T21:43:06 --delay 72 --endMP 204:692 --enddatetime 2017-10-19T21:55:58 --enforcementcount 0 &gt;&gt;%USERPROFILE%\Documents\GitHub\eaglep3-reporting\EC\2017-10-19-refined-times.txt</v>
      </c>
      <c r="AI204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{"issue":{"subject":"","project_id":79,"tracker_id":40,"status_id":1,"priority_id":2,"assigned_to_id":338,"start_date":"2017-10-19","description":"","custom_fields":[{"id":1,"name":"Subdivision","value":"NW"},{"id":4,"name":"Milepost","value":"0.0692"},{"id":17,"name":"Train ID","value":"844-19"},{"id":16,"name":"Locomotive ID","value":"4043"},{"id":130,"name":"Impact","value":""},{"id":150,"name":"Time of Event (Mountain Time)","value":"21:55:58"},{"id":151,"name":"Denver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82"/>
        <v>start /low /b %USERPROFILE%\Documents\GitHub\eaglep3\Utilities\DownloadLogsFromS3.py --loco 4043 --day 2017-10-19</v>
      </c>
      <c r="AN204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03:55:58"},{"id":29,"name":"Sharepoint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84"/>
        <v>https://d0f6bd738d7f1b3e5a7ca70fe4ff75f0.us-east-1.aws.found.io/app/kibana#/discover/Steve-Slow-Train-Analysis-(2080s-and-2083s)?_g=(refreshInterval:(display:Off,pause:!f,section:0,value:0),time:(from:'2017-10-19T20:25:10-0600',mode:absolute,to:'2017-10-19T22:55:58-0600'))&amp;_a=(columns:!('Message%20ID',Summary),filters:!(),index:'emp_*',interval:auto,query:(query_string:(analyze_wildcard:!t,query:'%22rtdc.l.rtdc.4043%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790</v>
      </c>
      <c r="B205" s="7">
        <v>4044</v>
      </c>
      <c r="C205" s="21" t="s">
        <v>194</v>
      </c>
      <c r="D205" s="21" t="s">
        <v>971</v>
      </c>
      <c r="E205" s="13">
        <v>43027.873460648145</v>
      </c>
      <c r="F205" s="13">
        <v>43027.881458333337</v>
      </c>
      <c r="G205" s="7">
        <v>78</v>
      </c>
      <c r="H205" s="21" t="s">
        <v>480</v>
      </c>
      <c r="I205" s="13">
        <v>43027.89167824074</v>
      </c>
      <c r="J205" s="7">
        <v>0</v>
      </c>
      <c r="K205" s="89" t="str">
        <f t="shared" ref="K205:K245" si="116">IF(ISEVEN(B205),(B205-1)&amp;"/"&amp;B205,B205&amp;"/"&amp;(B205+1))</f>
        <v>4043/4044</v>
      </c>
      <c r="L205" s="185" t="str">
        <f>VLOOKUP(A205,'Trips&amp;Operators'!$C$1:$G$99911,5,FALSE)</f>
        <v>LOPES KIMBERLY</v>
      </c>
      <c r="M205" s="6">
        <f t="shared" ref="M205:M245" si="117">I205-F205</f>
        <v>1.0219907402643003E-2</v>
      </c>
      <c r="N205" s="7">
        <f t="shared" si="106"/>
        <v>14.716666659805924</v>
      </c>
      <c r="O205" s="7"/>
      <c r="P205" s="7"/>
      <c r="Q205" s="22"/>
      <c r="R205" s="174"/>
      <c r="S205" s="221">
        <f t="shared" si="107"/>
        <v>1</v>
      </c>
      <c r="T205" s="174" t="str">
        <f t="shared" ref="T205:T245" si="118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45" si="11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-19T19:57:47-0600',mode:absolute,to:'2017-10-19T22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204" t="str">
        <f>IF(AA205&lt;VLOOKUP(AG205,Variables!$AC$3:$AD$8,2,FALSE),"Y","N")</f>
        <v>N</v>
      </c>
      <c r="X205" s="204">
        <f t="shared" si="108"/>
        <v>1</v>
      </c>
      <c r="Y205" s="204">
        <f t="shared" si="114"/>
        <v>9.7900000000000001E-2</v>
      </c>
      <c r="Z205" s="204">
        <f t="shared" si="115"/>
        <v>5.8959999999999999</v>
      </c>
      <c r="AA205" s="204">
        <f t="shared" ref="AA205:AA268" si="120">ABS(Z205-Y205)</f>
        <v>5.7980999999999998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45" si="121">VALUE(LEFT(A205,LEN(A205)-3))</f>
        <v>845</v>
      </c>
      <c r="AE205" s="77" t="str">
        <f t="shared" ref="AE205:AE245" si="12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205" s="74" t="str">
        <f t="shared" ref="AF205:AF245" si="12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/stypes="app*4044*20171020*" /stext=" 03:.+((SYSTEM_STATE.+slice.+state.+changed )|(ment ac)|(multiple cpu faults)|(system.+state.+changed )|(\[timeout)|(PRM\|1\|D)|(kpr)|(kdp)|(train st.+moving)|(\|lc)|(penalty))"</v>
      </c>
      <c r="AG205" s="182" t="str">
        <f t="shared" ref="AG205:AG245" si="124">DetSubdiv(A205)</f>
        <v>NW</v>
      </c>
      <c r="AH205" s="78" t="str">
        <f t="shared" si="80"/>
        <v>"%USERPROFILE%\Documents\GitHub\eaglep3\Utilities\RefineRTDCRunTimes.py" --tripid 845-19 --locoid 4044 --swversion DE.1.0.9.0 --startMP 204:979 --initTime 2017-10-19T20:57:47 --startdatetime 2017-10-19T21:09:18 --delay 78 --endMP 300:58960 --enddatetime 2017-10-19T21:24:01 --enforcementcount 0 &gt;&gt;%USERPROFILE%\Documents\GitHub\eaglep3-reporting\EC\2017-10-19-refined-times.txt</v>
      </c>
      <c r="AI205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{"issue":{"subject":"","project_id":79,"tracker_id":40,"status_id":1,"priority_id":2,"assigned_to_id":338,"start_date":"2017-10-19","description":"","custom_fields":[{"id":1,"name":"Subdivision","value":"NW"},{"id":4,"name":"Milepost","value":"5.896"},{"id":17,"name":"Train ID","value":"845-19"},{"id":16,"name":"Locomotive ID","value":"4044"},{"id":130,"name":"Impact","value":""},{"id":150,"name":"Time of Event (Mountain Time)","value":"21:24:01"},{"id":151,"name":"Denver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82"/>
        <v>start /low /b %USERPROFILE%\Documents\GitHub\eaglep3\Utilities\DownloadLogsFromS3.py --loco 4044 --day 2017-10-19</v>
      </c>
      <c r="AN205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84"/>
        <v>https://d0f6bd738d7f1b3e5a7ca70fe4ff75f0.us-east-1.aws.found.io/app/kibana#/discover/Steve-Slow-Train-Analysis-(2080s-and-2083s)?_g=(refreshInterval:(display:Off,pause:!f,section:0,value:0),time:(from:'2017-10-19T19:57:47-0600',mode:absolute,to:'2017-10-19T22:24:01-0600'))&amp;_a=(columns:!('Message%20ID',Summary),filters:!(),index:'emp_*',interval:auto,query:(query_string:(analyze_wildcard:!t,query:'%22rtdc.l.rtdc.4044%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801</v>
      </c>
      <c r="B206" s="7">
        <v>4043</v>
      </c>
      <c r="C206" s="21" t="s">
        <v>194</v>
      </c>
      <c r="D206" s="21" t="s">
        <v>972</v>
      </c>
      <c r="E206" s="13">
        <v>43027.935347222221</v>
      </c>
      <c r="F206" s="13">
        <v>43027.946597222224</v>
      </c>
      <c r="G206" s="7">
        <v>70</v>
      </c>
      <c r="H206" s="21" t="s">
        <v>544</v>
      </c>
      <c r="I206" s="13">
        <v>43027.955243055556</v>
      </c>
      <c r="J206" s="7">
        <v>0</v>
      </c>
      <c r="K206" s="89" t="str">
        <f t="shared" si="116"/>
        <v>4043/4044</v>
      </c>
      <c r="L206" s="185" t="str">
        <f>VLOOKUP(A206,'Trips&amp;Operators'!$C$1:$G$99911,5,FALSE)</f>
        <v>BIRKHOLZ NADINE</v>
      </c>
      <c r="M206" s="6">
        <f t="shared" si="117"/>
        <v>8.6458333316841163E-3</v>
      </c>
      <c r="N206" s="7">
        <f t="shared" si="106"/>
        <v>12.449999997625127</v>
      </c>
      <c r="O206" s="7"/>
      <c r="P206" s="7"/>
      <c r="Q206" s="22"/>
      <c r="R206" s="174"/>
      <c r="S206" s="221">
        <f t="shared" si="107"/>
        <v>1</v>
      </c>
      <c r="T206" s="174" t="str">
        <f t="shared" si="118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19"/>
        <v>https://d0f6bd738d7f1b3e5a7ca70fe4ff75f0.us-east-1.aws.found.io/app/kibana#/discover/Steve-Slow-Train-Analysis-(2080s-and-2083s)?_g=(refreshInterval:(display:Off,pause:!f,section:0,value:0),time:(from:'2017-10-19T21:26:54-0600',mode:absolute,to:'2017-10-19T23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 t="shared" si="114"/>
        <v>5.8620999999999999</v>
      </c>
      <c r="Z206" s="204">
        <f t="shared" si="115"/>
        <v>6.9900000000000004E-2</v>
      </c>
      <c r="AA206" s="204">
        <f t="shared" si="120"/>
        <v>5.7922000000000002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21"/>
        <v>846</v>
      </c>
      <c r="AE206" s="77" t="str">
        <f t="shared" si="122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206" s="74" t="str">
        <f t="shared" si="123"/>
        <v>"C:\Program Files (x86)\AstroGrep\AstroGrep.exe" /e /r /s /spath="%USERPROFILE%\AppData\Local\Temp\OnboardLogs" /stypes="app*4043*20171020*" /stext=" 04:.+((SYSTEM_STATE.+slice.+state.+changed )|(ment ac)|(multiple cpu faults)|(system.+state.+changed )|(\[timeout)|(PRM\|1\|D)|(kpr)|(kdp)|(train st.+moving)|(\|lc)|(penalty))"</v>
      </c>
      <c r="AG206" s="182" t="str">
        <f t="shared" si="124"/>
        <v>NW</v>
      </c>
      <c r="AH206" s="78" t="str">
        <f t="shared" si="80"/>
        <v>"%USERPROFILE%\Documents\GitHub\eaglep3\Utilities\RefineRTDCRunTimes.py" --tripid 846-19 --locoid 4043 --swversion DE.1.0.9.0 --startMP 300:58621 --initTime 2017-10-19T22:26:54 --startdatetime 2017-10-19T22:43:06 --delay 70 --endMP 204:699 --enddatetime 2017-10-19T22:55:33 --enforcementcount 0 &gt;&gt;%USERPROFILE%\Documents\GitHub\eaglep3-reporting\EC\2017-10-19-refined-times.txt</v>
      </c>
      <c r="AI206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{"issue":{"subject":"","project_id":79,"tracker_id":40,"status_id":1,"priority_id":2,"assigned_to_id":338,"start_date":"2017-10-19","description":"","custom_fields":[{"id":1,"name":"Subdivision","value":"NW"},{"id":4,"name":"Milepost","value":"0.0699"},{"id":17,"name":"Train ID","value":"846-19"},{"id":16,"name":"Locomotive ID","value":"4043"},{"id":130,"name":"Impact","value":""},{"id":150,"name":"Time of Event (Mountain Time)","value":"22:55:33"},{"id":151,"name":"Denver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82"/>
        <v>start /low /b %USERPROFILE%\Documents\GitHub\eaglep3\Utilities\DownloadLogsFromS3.py --loco 4043 --day 2017-10-19</v>
      </c>
      <c r="AN206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04:55:33"},{"id":29,"name":"Sharepoint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84"/>
        <v>https://d0f6bd738d7f1b3e5a7ca70fe4ff75f0.us-east-1.aws.found.io/app/kibana#/discover/Steve-Slow-Train-Analysis-(2080s-and-2083s)?_g=(refreshInterval:(display:Off,pause:!f,section:0,value:0),time:(from:'2017-10-19T21:26:54-0600',mode:absolute,to:'2017-10-19T23:55:33-0600'))&amp;_a=(columns:!('Message%20ID',Summary),filters:!(),index:'emp_*',interval:auto,query:(query_string:(analyze_wildcard:!t,query:'%22rtdc.l.rtdc.4043%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798</v>
      </c>
      <c r="B207" s="7">
        <v>4044</v>
      </c>
      <c r="C207" s="21" t="s">
        <v>194</v>
      </c>
      <c r="D207" s="21" t="s">
        <v>972</v>
      </c>
      <c r="E207" s="13">
        <v>43027.935347222221</v>
      </c>
      <c r="F207" s="13">
        <v>43027.92324074074</v>
      </c>
      <c r="G207" s="7">
        <v>70</v>
      </c>
      <c r="H207" s="21" t="s">
        <v>544</v>
      </c>
      <c r="I207" s="13">
        <v>43027.933761574073</v>
      </c>
      <c r="J207" s="7">
        <v>0</v>
      </c>
      <c r="K207" s="89" t="str">
        <f t="shared" si="116"/>
        <v>4043/4044</v>
      </c>
      <c r="L207" s="185" t="str">
        <f>VLOOKUP(A207,'Trips&amp;Operators'!$C$1:$G$99911,5,FALSE)</f>
        <v>BIRKHOLZ NADINE</v>
      </c>
      <c r="M207" s="6">
        <f t="shared" si="117"/>
        <v>1.0520833333430346E-2</v>
      </c>
      <c r="N207" s="7">
        <f t="shared" si="106"/>
        <v>15.150000000139698</v>
      </c>
      <c r="O207" s="7"/>
      <c r="P207" s="7"/>
      <c r="Q207" s="22"/>
      <c r="R207" s="174"/>
      <c r="S207" s="221">
        <f t="shared" si="107"/>
        <v>0</v>
      </c>
      <c r="T207" s="174" t="str">
        <f t="shared" si="118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6" t="str">
        <f t="shared" si="119"/>
        <v>https://d0f6bd738d7f1b3e5a7ca70fe4ff75f0.us-east-1.aws.found.io/app/kibana#/discover/Steve-Slow-Train-Analysis-(2080s-and-2083s)?_g=(refreshInterval:(display:Off,pause:!f,section:0,value:0),time:(from:'2017-10-19T21:26:54-0600',mode:absolute,to:'2017-10-19T23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204" t="str">
        <f>IF(AA207&lt;VLOOKUP(AG207,Variables!$AC$3:$AD$8,2,FALSE),"Y","N")</f>
        <v>N</v>
      </c>
      <c r="X207" s="204">
        <f t="shared" ref="X207:X210" si="125">VALUE(LEFT(AD207,4))-VALUE(LEFT(AD206,4))</f>
        <v>1</v>
      </c>
      <c r="Y207" s="204">
        <f t="shared" si="114"/>
        <v>5.8620999999999999</v>
      </c>
      <c r="Z207" s="204">
        <f t="shared" si="115"/>
        <v>6.9900000000000004E-2</v>
      </c>
      <c r="AA207" s="204">
        <f t="shared" si="120"/>
        <v>5.7922000000000002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21"/>
        <v>847</v>
      </c>
      <c r="AE207" s="77" t="str">
        <f t="shared" si="122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207" s="74" t="str">
        <f t="shared" si="123"/>
        <v>"C:\Program Files (x86)\AstroGrep\AstroGrep.exe" /e /r /s /spath="%USERPROFILE%\AppData\Local\Temp\OnboardLogs" /stypes="app*4044*20171020*" /stext=" 04:.+((SYSTEM_STATE.+slice.+state.+changed )|(ment ac)|(multiple cpu faults)|(system.+state.+changed )|(\[timeout)|(PRM\|1\|D)|(kpr)|(kdp)|(train st.+moving)|(\|lc)|(penalty))"</v>
      </c>
      <c r="AG207" s="182" t="str">
        <f t="shared" si="124"/>
        <v>NW</v>
      </c>
      <c r="AH207" s="78" t="str">
        <f t="shared" ref="AH207" si="126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847-19 --locoid 4044 --swversion DE.1.0.9.0 --startMP 300:58621 --initTime 2017-10-19T22:26:54 --startdatetime 2017-10-19T22:09:28 --delay 70 --endMP 204:699 --enddatetime 2017-10-19T22:24:37 --enforcementcount 0 &gt;&gt;%USERPROFILE%\Documents\GitHub\eaglep3-reporting\EC\2017-10-19-refined-times.txt</v>
      </c>
      <c r="AI207" s="96" t="str">
        <f t="shared" ref="AI207" si="12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{"issue":{"subject":"","project_id":79,"tracker_id":40,"status_id":1,"priority_id":2,"assigned_to_id":338,"start_date":"2017-10-19","description":"","custom_fields":[{"id":1,"name":"Subdivision","value":"NW"},{"id":4,"name":"Milepost","value":"0.0699"},{"id":17,"name":"Train ID","value":"847-19"},{"id":16,"name":"Locomotive ID","value":"4044"},{"id":130,"name":"Impact","value":""},{"id":150,"name":"Time of Event (Mountain Time)","value":"22:24:37"},{"id":151,"name":"Denver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" si="128">"start /low /b "&amp;dls3logs&amp;" --loco "&amp;B207&amp;" --day "&amp;TEXT(F207,"YYYY-MM-DD")</f>
        <v>start /low /b %USERPROFILE%\Documents\GitHub\eaglep3\Utilities\DownloadLogsFromS3.py --loco 4044 --day 2017-10-19</v>
      </c>
      <c r="AN207" s="151" t="str">
        <f t="shared" ref="AN207" si="129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04:24:37"},{"id":29,"name":"Sharepoint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" si="130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-19T21:26:54-0600',mode:absolute,to:'2017-10-19T23:24:37-0600'))&amp;_a=(columns:!('Message%20ID',Summary),filters:!(),index:'emp_*',interval:auto,query:(query_string:(analyze_wildcard:!t,query:'%22rtdc.l.rtdc.4044%22')),sort:!(Time.ISO8601,asc))</v>
      </c>
    </row>
    <row r="208" spans="1:91" s="20" customFormat="1" x14ac:dyDescent="0.25">
      <c r="A208" s="32" t="s">
        <v>804</v>
      </c>
      <c r="B208" s="7">
        <v>4044</v>
      </c>
      <c r="C208" s="21" t="s">
        <v>194</v>
      </c>
      <c r="D208" s="21" t="s">
        <v>966</v>
      </c>
      <c r="E208" s="13">
        <v>43027.960428240738</v>
      </c>
      <c r="F208" s="13">
        <v>43027.964918981481</v>
      </c>
      <c r="G208" s="7">
        <v>53</v>
      </c>
      <c r="H208" s="21" t="s">
        <v>964</v>
      </c>
      <c r="I208" s="13">
        <v>43027.974988425929</v>
      </c>
      <c r="J208" s="7">
        <v>0</v>
      </c>
      <c r="K208" s="89" t="str">
        <f t="shared" si="116"/>
        <v>4043/4044</v>
      </c>
      <c r="L208" s="185" t="str">
        <f>VLOOKUP(A208,'Trips&amp;Operators'!$C$1:$G$99911,5,FALSE)</f>
        <v>BIRKHOLZ NADINE</v>
      </c>
      <c r="M208" s="6">
        <f t="shared" si="117"/>
        <v>1.0069444448163267E-2</v>
      </c>
      <c r="N208" s="7">
        <f t="shared" si="106"/>
        <v>14.500000005355105</v>
      </c>
      <c r="O208" s="7"/>
      <c r="P208" s="7"/>
      <c r="Q208" s="22"/>
      <c r="R208" s="174"/>
      <c r="S208" s="221">
        <f t="shared" si="107"/>
        <v>1</v>
      </c>
      <c r="T208" s="174" t="str">
        <f t="shared" si="118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19"/>
        <v>https://d0f6bd738d7f1b3e5a7ca70fe4ff75f0.us-east-1.aws.found.io/app/kibana#/discover/Steve-Slow-Train-Analysis-(2080s-and-2083s)?_g=(refreshInterval:(display:Off,pause:!f,section:0,value:0),time:(from:'2017-10-19T22:03:01-0600',mode:absolute,to:'2017-10-20T00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204" t="str">
        <f>IF(AA208&lt;VLOOKUP(AG208,Variables!$AC$3:$AD$8,2,FALSE),"Y","N")</f>
        <v>N</v>
      </c>
      <c r="X208" s="204">
        <f t="shared" si="125"/>
        <v>2</v>
      </c>
      <c r="Y208" s="204">
        <f t="shared" si="114"/>
        <v>9.9199999999999997E-2</v>
      </c>
      <c r="Z208" s="204">
        <f t="shared" si="115"/>
        <v>5.8943000000000003</v>
      </c>
      <c r="AA208" s="204">
        <f t="shared" si="120"/>
        <v>5.7951000000000006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21"/>
        <v>849</v>
      </c>
      <c r="AE208" s="77" t="str">
        <f t="shared" si="122"/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AF208" s="74" t="str">
        <f t="shared" si="123"/>
        <v>"C:\Program Files (x86)\AstroGrep\AstroGrep.exe" /e /r /s /spath="%USERPROFILE%\AppData\Local\Temp\OnboardLogs" /stypes="app*4044*20171020*" /stext=" 05:.+((SYSTEM_STATE.+slice.+state.+changed )|(ment ac)|(multiple cpu faults)|(system.+state.+changed )|(\[timeout)|(PRM\|1\|D)|(kpr)|(kdp)|(train st.+moving)|(\|lc)|(penalty))"</v>
      </c>
      <c r="AG208" s="182" t="str">
        <f t="shared" si="124"/>
        <v>NW</v>
      </c>
      <c r="AH208" s="78" t="str">
        <f t="shared" si="80"/>
        <v>"%USERPROFILE%\Documents\GitHub\eaglep3\Utilities\RefineRTDCRunTimes.py" --tripid 849-19 --locoid 4044 --swversion DE.1.0.9.0 --startMP 204:992 --initTime 2017-10-19T23:03:01 --startdatetime 2017-10-19T23:09:29 --delay 53 --endMP 300:58943 --enddatetime 2017-10-19T23:23:59 --enforcementcount 0 &gt;&gt;%USERPROFILE%\Documents\GitHub\eaglep3-reporting\EC\2017-10-19-refined-times.txt</v>
      </c>
      <c r="AI208" s="96" t="str">
        <f t="shared" si="81"/>
        <v>echo {"issue":{"subject":"","project_id":79,"tracker_id":40,"status_id":1,"priority_id":2,"assigned_to_id":338,"start_date":"2017-10-19","description":"","custom_fields":[{"id":1,"name":"Subdivision","value":"NW"},{"id":4,"name":"Milepost","value":"5.8943"},{"id":17,"name":"Train ID","value":"849-19"},{"id":16,"name":"Locomotive ID","value":"4044"},{"id":130,"name":"Impact","value":""},{"id":150,"name":"Time of Event (Mountain Time)","value":"23:23:59"},{"id":151,"name":"Denver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82"/>
        <v>start /low /b %USERPROFILE%\Documents\GitHub\eaglep3\Utilities\DownloadLogsFromS3.py --loco 4044 --day 2017-10-19</v>
      </c>
      <c r="AN208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05:23:59"},{"id":29,"name":"Sharepoint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84"/>
        <v>https://d0f6bd738d7f1b3e5a7ca70fe4ff75f0.us-east-1.aws.found.io/app/kibana#/discover/Steve-Slow-Train-Analysis-(2080s-and-2083s)?_g=(refreshInterval:(display:Off,pause:!f,section:0,value:0),time:(from:'2017-10-19T22:03:01-0600',mode:absolute,to:'2017-10-20T00:23:59-0600'))&amp;_a=(columns:!('Message%20ID',Summary),filters:!(),index:'emp_*',interval:auto,query:(query_string:(analyze_wildcard:!t,query:'%22rtdc.l.rtdc.4044%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770</v>
      </c>
      <c r="B209" s="7">
        <v>4016</v>
      </c>
      <c r="C209" s="21" t="s">
        <v>194</v>
      </c>
      <c r="D209" s="21" t="s">
        <v>535</v>
      </c>
      <c r="E209" s="13">
        <v>43027.776412037034</v>
      </c>
      <c r="F209" s="13">
        <v>43027.777673611112</v>
      </c>
      <c r="G209" s="7">
        <v>50</v>
      </c>
      <c r="H209" s="21" t="s">
        <v>413</v>
      </c>
      <c r="I209" s="13">
        <v>43027.783750000002</v>
      </c>
      <c r="J209" s="7">
        <v>0</v>
      </c>
      <c r="K209" s="89" t="str">
        <f t="shared" si="116"/>
        <v>4015/4016</v>
      </c>
      <c r="L209" s="185" t="str">
        <f>VLOOKUP(A209,'Trips&amp;Operators'!$C$1:$G$99911,5,FALSE)</f>
        <v>LEVIN SCOTT</v>
      </c>
      <c r="M209" s="6">
        <f t="shared" si="117"/>
        <v>6.0763888905057684E-3</v>
      </c>
      <c r="N209" s="7">
        <f t="shared" si="106"/>
        <v>8.7500000023283064</v>
      </c>
      <c r="O209" s="7"/>
      <c r="P209" s="7"/>
      <c r="Q209" s="22"/>
      <c r="R209" s="174"/>
      <c r="S209" s="221">
        <f t="shared" si="107"/>
        <v>1</v>
      </c>
      <c r="T209" s="174" t="str">
        <f t="shared" si="118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9"/>
        <v>https://d0f6bd738d7f1b3e5a7ca70fe4ff75f0.us-east-1.aws.found.io/app/kibana#/discover/Steve-Slow-Train-Analysis-(2080s-and-2083s)?_g=(refreshInterval:(display:Off,pause:!f,section:0,value:0),time:(from:'2017-10-19T17:38:02-0600',mode:absolute,to:'2017-10-19T19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204" t="str">
        <f>IF(AA209&lt;VLOOKUP(AG209,Variables!$AC$3:$AD$8,2,FALSE),"Y","N")</f>
        <v>Y</v>
      </c>
      <c r="X209" s="204">
        <f t="shared" si="125"/>
        <v>-548</v>
      </c>
      <c r="Y209" s="204">
        <f t="shared" si="114"/>
        <v>4.6600000000000003E-2</v>
      </c>
      <c r="Z209" s="204">
        <f t="shared" si="115"/>
        <v>2.3346</v>
      </c>
      <c r="AA209" s="204">
        <f t="shared" si="120"/>
        <v>2.2879999999999998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21"/>
        <v>301</v>
      </c>
      <c r="AE209" s="77" t="str">
        <f t="shared" si="122"/>
        <v>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 &amp; aws s3 cp s3://rtdc.mdm.uploadarchive.raw/RTDC4016/ "%USERPROFILE%\AppData\Local\Temp\OnboardLogs"\RTDC4016\2017-10-20 --exclude "*" --recursive --include "*20171020*" &amp; "%USERPROFILE%\Documents\GitHub\mrs-test-scripts\Headless Mode &amp; Sideloading\WalkAndUnGZ.bat" "%USERPROFILE%\AppData\Local\Temp\OnboardLogs"\RTDC4016\2017-10-20</v>
      </c>
      <c r="AF209" s="74" t="str">
        <f t="shared" si="123"/>
        <v>"C:\Program Files (x86)\AstroGrep\AstroGrep.exe" /e /r /s /spath="%USERPROFILE%\AppData\Local\Temp\OnboardLogs" /stypes="app*4016*20171020*" /stext=" 00:.+((SYSTEM_STATE.+slice.+state.+changed )|(ment ac)|(multiple cpu faults)|(system.+state.+changed )|(\[timeout)|(PRM\|1\|D)|(kpr)|(kdp)|(train st.+moving)|(\|lc)|(penalty))"</v>
      </c>
      <c r="AG209" s="182" t="str">
        <f t="shared" si="124"/>
        <v>Other</v>
      </c>
      <c r="AH209" s="78" t="str">
        <f t="shared" si="80"/>
        <v>"%USERPROFILE%\Documents\GitHub\eaglep3\Utilities\RefineRTDCRunTimes.py" --tripid 301-19 --locoid 4016 --swversion DE.1.0.9.0 --startMP 204:466 --initTime 2017-10-19T18:38:02 --startdatetime 2017-10-19T18:39:51 --delay 50 --endMP 300:23346 --enddatetime 2017-10-19T18:48:36 --enforcementcount 0 &gt;&gt;%USERPROFILE%\Documents\GitHub\eaglep3-reporting\EC\2017-10-19-refined-times.txt</v>
      </c>
      <c r="AI209" s="96" t="str">
        <f t="shared" si="81"/>
        <v>echo {"issue":{"subject":"","project_id":79,"tracker_id":40,"status_id":1,"priority_id":2,"assigned_to_id":338,"start_date":"2017-10-19","description":"","custom_fields":[{"id":1,"name":"Subdivision","value":"Other"},{"id":4,"name":"Milepost","value":"2.3346"},{"id":17,"name":"Train ID","value":"301-19"},{"id":16,"name":"Locomotive ID","value":"4016"},{"id":130,"name":"Impact","value":""},{"id":150,"name":"Time of Event (Mountain Time)","value":"18:48:36"},{"id":151,"name":"Denver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82"/>
        <v>start /low /b %USERPROFILE%\Documents\GitHub\eaglep3\Utilities\DownloadLogsFromS3.py --loco 4016 --day 2017-10-19</v>
      </c>
      <c r="AN209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00:48:36"},{"id":29,"name":"Sharepoint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84"/>
        <v>https://d0f6bd738d7f1b3e5a7ca70fe4ff75f0.us-east-1.aws.found.io/app/kibana#/discover/Steve-Slow-Train-Analysis-(2080s-and-2083s)?_g=(refreshInterval:(display:Off,pause:!f,section:0,value:0),time:(from:'2017-10-19T17:38:02-0600',mode:absolute,to:'2017-10-19T19:48:36-0600'))&amp;_a=(columns:!('Message%20ID',Summary),filters:!(),index:'emp_*',interval:auto,query:(query_string:(analyze_wildcard:!t,query:'%22rtdc.l.rtdc.4016%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595</v>
      </c>
      <c r="B210" s="7">
        <v>4005</v>
      </c>
      <c r="C210" s="21" t="s">
        <v>194</v>
      </c>
      <c r="D210" s="21" t="s">
        <v>878</v>
      </c>
      <c r="E210" s="13">
        <v>43027.140648148146</v>
      </c>
      <c r="F210" s="13">
        <v>43027.145428240743</v>
      </c>
      <c r="G210" s="7">
        <v>82</v>
      </c>
      <c r="H210" s="21" t="s">
        <v>336</v>
      </c>
      <c r="I210" s="13">
        <v>43027.149942129632</v>
      </c>
      <c r="J210" s="7">
        <v>0</v>
      </c>
      <c r="K210" s="89" t="str">
        <f t="shared" si="116"/>
        <v>4005/4006</v>
      </c>
      <c r="L210" s="185" t="str">
        <f>VLOOKUP(A210,'Trips&amp;Operators'!$C$1:$G$99911,5,FALSE)</f>
        <v>MAELZER KURT</v>
      </c>
      <c r="M210" s="6">
        <f t="shared" si="117"/>
        <v>4.5138888890505768E-3</v>
      </c>
      <c r="N210" s="7">
        <f t="shared" si="106"/>
        <v>6.5000000002328306</v>
      </c>
      <c r="O210" s="7"/>
      <c r="P210" s="7"/>
      <c r="Q210" s="22"/>
      <c r="R210" s="174"/>
      <c r="S210" s="221">
        <f t="shared" si="107"/>
        <v>1</v>
      </c>
      <c r="T210" s="174" t="str">
        <f t="shared" si="118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9"/>
        <v>https://d0f6bd738d7f1b3e5a7ca70fe4ff75f0.us-east-1.aws.found.io/app/kibana#/discover/Steve-Slow-Train-Analysis-(2080s-and-2083s)?_g=(refreshInterval:(display:Off,pause:!f,section:0,value:0),time:(from:'2017-10-19T02:22:32-0600',mode:absolute,to:'2017-10-19T04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204" t="str">
        <f>IF(AA210&lt;VLOOKUP(AG210,Variables!$AC$3:$AD$8,2,FALSE),"Y","N")</f>
        <v>Y</v>
      </c>
      <c r="X210" s="204">
        <f t="shared" si="125"/>
        <v>1</v>
      </c>
      <c r="Y210" s="204">
        <f t="shared" si="114"/>
        <v>1.9648000000000001</v>
      </c>
      <c r="Z210" s="204">
        <f t="shared" si="115"/>
        <v>1.49E-2</v>
      </c>
      <c r="AA210" s="204">
        <f t="shared" si="120"/>
        <v>1.9499000000000002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21"/>
        <v>302</v>
      </c>
      <c r="AE210" s="77" t="str">
        <f t="shared" si="122"/>
        <v>aws s3 cp s3://rtdc.mdm.uploadarchive.raw/RTDC4005/ "%USERPROFILE%\AppData\Local\Temp\OnboardLogs"\RTDC4005\2017-10-19 --exclude "*" --recursive --include "*20171019*" &amp; "%USERPROFILE%\Documents\GitHub\mrs-test-scripts\Headless Mode &amp; Sideloading\WalkAndUnGZ.bat" "%USERPROFILE%\AppData\Local\Temp\OnboardLogs"\RTDC4005\2017-10-19 &amp; aws s3 cp s3://rtdc.mdm.uploadarchive.raw/RTDC4005/ "%USERPROFILE%\AppData\Local\Temp\OnboardLogs"\RTDC4005\2017-10-20 --exclude "*" --recursive --include "*20171020*" &amp; "%USERPROFILE%\Documents\GitHub\mrs-test-scripts\Headless Mode &amp; Sideloading\WalkAndUnGZ.bat" "%USERPROFILE%\AppData\Local\Temp\OnboardLogs"\RTDC4005\2017-10-20</v>
      </c>
      <c r="AF210" s="74" t="str">
        <f t="shared" si="123"/>
        <v>"C:\Program Files (x86)\AstroGrep\AstroGrep.exe" /e /r /s /spath="%USERPROFILE%\AppData\Local\Temp\OnboardLogs" /stypes="app*4005*20171019*" /stext=" 09:.+((SYSTEM_STATE.+slice.+state.+changed )|(ment ac)|(multiple cpu faults)|(system.+state.+changed )|(\[timeout)|(PRM\|1\|D)|(kpr)|(kdp)|(train st.+moving)|(\|lc)|(penalty))"</v>
      </c>
      <c r="AG210" s="182" t="str">
        <f t="shared" si="124"/>
        <v>Other</v>
      </c>
      <c r="AH210" s="78" t="str">
        <f t="shared" si="80"/>
        <v>"%USERPROFILE%\Documents\GitHub\eaglep3\Utilities\RefineRTDCRunTimes.py" --tripid 302-19 --locoid 4005 --swversion DE.1.0.9.0 --startMP 300:19648 --initTime 2017-10-19T03:22:32 --startdatetime 2017-10-19T03:29:25 --delay 82 --endMP 204:149 --enddatetime 2017-10-19T03:35:55 --enforcementcount 0 &gt;&gt;%USERPROFILE%\Documents\GitHub\eaglep3-reporting\EC\2017-10-19-refined-times.txt</v>
      </c>
      <c r="AI210" s="96" t="str">
        <f t="shared" si="81"/>
        <v>echo {"issue":{"subject":"","project_id":79,"tracker_id":40,"status_id":1,"priority_id":2,"assigned_to_id":338,"start_date":"2017-10-19","description":"","custom_fields":[{"id":1,"name":"Subdivision","value":"Other"},{"id":4,"name":"Milepost","value":"0.0149"},{"id":17,"name":"Train ID","value":"302-19"},{"id":16,"name":"Locomotive ID","value":"4005"},{"id":130,"name":"Impact","value":""},{"id":150,"name":"Time of Event (Mountain Time)","value":"03:35:55"},{"id":151,"name":"Denver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82"/>
        <v>start /low /b %USERPROFILE%\Documents\GitHub\eaglep3\Utilities\DownloadLogsFromS3.py --loco 4005 --day 2017-10-19</v>
      </c>
      <c r="AN210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09:35:55"},{"id":29,"name":"Sharepoint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84"/>
        <v>https://d0f6bd738d7f1b3e5a7ca70fe4ff75f0.us-east-1.aws.found.io/app/kibana#/discover/Steve-Slow-Train-Analysis-(2080s-and-2083s)?_g=(refreshInterval:(display:Off,pause:!f,section:0,value:0),time:(from:'2017-10-19T02:22:32-0600',mode:absolute,to:'2017-10-19T04:35:55-0600'))&amp;_a=(columns:!('Message%20ID',Summary),filters:!(),index:'emp_*',interval:auto,query:(query_string:(analyze_wildcard:!t,query:'%22rtdc.l.rtdc.4005%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779</v>
      </c>
      <c r="B211" s="7">
        <v>4014</v>
      </c>
      <c r="C211" s="21" t="s">
        <v>194</v>
      </c>
      <c r="D211" s="21" t="s">
        <v>833</v>
      </c>
      <c r="E211" s="13">
        <v>43027.798657407409</v>
      </c>
      <c r="F211" s="13">
        <v>43027.800162037034</v>
      </c>
      <c r="G211" s="7">
        <v>54</v>
      </c>
      <c r="H211" s="21" t="s">
        <v>478</v>
      </c>
      <c r="I211" s="13">
        <v>43027.806226851855</v>
      </c>
      <c r="J211" s="7">
        <v>0</v>
      </c>
      <c r="K211" s="89" t="str">
        <f t="shared" si="116"/>
        <v>4013/4014</v>
      </c>
      <c r="L211" s="185" t="str">
        <f>VLOOKUP(A211,'Trips&amp;Operators'!$C$1:$G$99911,5,FALSE)</f>
        <v>LEVERE CRAIG</v>
      </c>
      <c r="M211" s="6">
        <f t="shared" si="117"/>
        <v>6.0648148210020736E-3</v>
      </c>
      <c r="N211" s="7">
        <f t="shared" si="106"/>
        <v>8.733333342242986</v>
      </c>
      <c r="O211" s="7"/>
      <c r="P211" s="7"/>
      <c r="Q211" s="22"/>
      <c r="R211" s="174"/>
      <c r="S211" s="221">
        <f t="shared" si="107"/>
        <v>1</v>
      </c>
      <c r="T211" s="174" t="str">
        <f t="shared" si="118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19"/>
        <v>https://d0f6bd738d7f1b3e5a7ca70fe4ff75f0.us-east-1.aws.found.io/app/kibana#/discover/Steve-Slow-Train-Analysis-(2080s-and-2083s)?_g=(refreshInterval:(display:Off,pause:!f,section:0,value:0),time:(from:'2017-10-19T18:10:04-0600',mode:absolute,to:'2017-10-19T20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1" s="204" t="str">
        <f>IF(AA211&lt;VLOOKUP(AG211,Variables!$AC$3:$AD$8,2,FALSE),"Y","N")</f>
        <v>Y</v>
      </c>
      <c r="X211" s="204">
        <f t="shared" ref="X211:X245" si="131">VALUE(LEFT(AD211,4))-VALUE(LEFT(AD210,4))</f>
        <v>1</v>
      </c>
      <c r="Y211" s="204">
        <f t="shared" si="114"/>
        <v>4.82E-2</v>
      </c>
      <c r="Z211" s="204">
        <f t="shared" si="115"/>
        <v>2.3302</v>
      </c>
      <c r="AA211" s="204">
        <f t="shared" si="120"/>
        <v>2.282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21"/>
        <v>303</v>
      </c>
      <c r="AE211" s="77" t="str">
        <f t="shared" si="122"/>
        <v>aws s3 cp s3://rtdc.mdm.uploadarchive.raw/RTDC4014/ "%USERPROFILE%\AppData\Local\Temp\OnboardLogs"\RTDC4014\2017-10-19 --exclude "*" --recursive --include "*20171019*" &amp; "%USERPROFILE%\Documents\GitHub\mrs-test-scripts\Headless Mode &amp; Sideloading\WalkAndUnGZ.bat" "%USERPROFILE%\AppData\Local\Temp\OnboardLogs"\RTDC4014\2017-10-19 &amp; aws s3 cp s3://rtdc.mdm.uploadarchive.raw/RTDC4014/ "%USERPROFILE%\AppData\Local\Temp\OnboardLogs"\RTDC4014\2017-10-20 --exclude "*" --recursive --include "*20171020*" &amp; "%USERPROFILE%\Documents\GitHub\mrs-test-scripts\Headless Mode &amp; Sideloading\WalkAndUnGZ.bat" "%USERPROFILE%\AppData\Local\Temp\OnboardLogs"\RTDC4014\2017-10-20</v>
      </c>
      <c r="AF211" s="74" t="str">
        <f t="shared" si="123"/>
        <v>"C:\Program Files (x86)\AstroGrep\AstroGrep.exe" /e /r /s /spath="%USERPROFILE%\AppData\Local\Temp\OnboardLogs" /stypes="app*4014*20171020*" /stext=" 01:.+((SYSTEM_STATE.+slice.+state.+changed )|(ment ac)|(multiple cpu faults)|(system.+state.+changed )|(\[timeout)|(PRM\|1\|D)|(kpr)|(kdp)|(train st.+moving)|(\|lc)|(penalty))"</v>
      </c>
      <c r="AG211" s="182" t="str">
        <f t="shared" si="124"/>
        <v>Other</v>
      </c>
      <c r="AH211" s="78" t="str">
        <f t="shared" si="80"/>
        <v>"%USERPROFILE%\Documents\GitHub\eaglep3\Utilities\RefineRTDCRunTimes.py" --tripid 303-19 --locoid 4014 --swversion DE.1.0.9.0 --startMP 204:482 --initTime 2017-10-19T19:10:04 --startdatetime 2017-10-19T19:12:14 --delay 54 --endMP 300:23302 --enddatetime 2017-10-19T19:20:58 --enforcementcount 0 &gt;&gt;%USERPROFILE%\Documents\GitHub\eaglep3-reporting\EC\2017-10-19-refined-times.txt</v>
      </c>
      <c r="AI211" s="96" t="str">
        <f t="shared" si="81"/>
        <v>echo {"issue":{"subject":"","project_id":79,"tracker_id":40,"status_id":1,"priority_id":2,"assigned_to_id":338,"start_date":"2017-10-19","description":"","custom_fields":[{"id":1,"name":"Subdivision","value":"Other"},{"id":4,"name":"Milepost","value":"2.3302"},{"id":17,"name":"Train ID","value":"303-19"},{"id":16,"name":"Locomotive ID","value":"4014"},{"id":130,"name":"Impact","value":""},{"id":150,"name":"Time of Event (Mountain Time)","value":"19:20:58"},{"id":151,"name":"Denver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82"/>
        <v>start /low /b %USERPROFILE%\Documents\GitHub\eaglep3\Utilities\DownloadLogsFromS3.py --loco 4014 --day 2017-10-19</v>
      </c>
      <c r="AN211" s="151" t="str">
        <f t="shared" si="83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84"/>
        <v>https://d0f6bd738d7f1b3e5a7ca70fe4ff75f0.us-east-1.aws.found.io/app/kibana#/discover/Steve-Slow-Train-Analysis-(2080s-and-2083s)?_g=(refreshInterval:(display:Off,pause:!f,section:0,value:0),time:(from:'2017-10-19T18:10:04-0600',mode:absolute,to:'2017-10-19T20:20:58-0600'))&amp;_a=(columns:!('Message%20ID',Summary),filters:!(),index:'emp_*',interval:auto,query:(query_string:(analyze_wildcard:!t,query:'%22rtdc.l.rtdc.4014%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600</v>
      </c>
      <c r="B212" s="7">
        <v>4057</v>
      </c>
      <c r="C212" s="21" t="s">
        <v>194</v>
      </c>
      <c r="D212" s="21" t="s">
        <v>879</v>
      </c>
      <c r="E212" s="13">
        <v>43027.161192129628</v>
      </c>
      <c r="F212" s="13">
        <v>43027.165601851855</v>
      </c>
      <c r="G212" s="7">
        <v>61</v>
      </c>
      <c r="H212" s="21" t="s">
        <v>339</v>
      </c>
      <c r="I212" s="13">
        <v>43027.171689814815</v>
      </c>
      <c r="J212" s="7">
        <v>0</v>
      </c>
      <c r="K212" s="89" t="str">
        <f t="shared" si="116"/>
        <v>4057/4058</v>
      </c>
      <c r="L212" s="185" t="str">
        <f>VLOOKUP(A212,'Trips&amp;Operators'!$C$1:$G$99911,5,FALSE)</f>
        <v>BONDS REYNALDO</v>
      </c>
      <c r="M212" s="6">
        <f t="shared" si="117"/>
        <v>6.0879629600094631E-3</v>
      </c>
      <c r="N212" s="7">
        <f t="shared" si="106"/>
        <v>8.7666666624136269</v>
      </c>
      <c r="O212" s="7"/>
      <c r="P212" s="7"/>
      <c r="Q212" s="22"/>
      <c r="R212" s="174"/>
      <c r="S212" s="221">
        <f t="shared" si="107"/>
        <v>1</v>
      </c>
      <c r="T212" s="174" t="str">
        <f t="shared" si="118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19"/>
        <v>https://d0f6bd738d7f1b3e5a7ca70fe4ff75f0.us-east-1.aws.found.io/app/kibana#/discover/Steve-Slow-Train-Analysis-(2080s-and-2083s)?_g=(refreshInterval:(display:Off,pause:!f,section:0,value:0),time:(from:'2017-10-19T02:52:07-0600',mode:absolute,to:'2017-10-19T05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2" s="204" t="str">
        <f>IF(AA212&lt;VLOOKUP(AG212,Variables!$AC$3:$AD$8,2,FALSE),"Y","N")</f>
        <v>Y</v>
      </c>
      <c r="X212" s="204">
        <f t="shared" si="131"/>
        <v>1</v>
      </c>
      <c r="Y212" s="204">
        <f t="shared" si="114"/>
        <v>2.3449</v>
      </c>
      <c r="Z212" s="204">
        <f t="shared" si="115"/>
        <v>1.47E-2</v>
      </c>
      <c r="AA212" s="204">
        <f t="shared" si="120"/>
        <v>2.3302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21"/>
        <v>304</v>
      </c>
      <c r="AE212" s="77" t="str">
        <f t="shared" si="122"/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AF212" s="74" t="str">
        <f t="shared" si="123"/>
        <v>"C:\Program Files (x86)\AstroGrep\AstroGrep.exe" /e /r /s /spath="%USERPROFILE%\AppData\Local\Temp\OnboardLogs" /stypes="app*4057*20171019*" /stext=" 10:.+((SYSTEM_STATE.+slice.+state.+changed )|(ment ac)|(multiple cpu faults)|(system.+state.+changed )|(\[timeout)|(PRM\|1\|D)|(kpr)|(kdp)|(train st.+moving)|(\|lc)|(penalty))"</v>
      </c>
      <c r="AG212" s="182" t="str">
        <f t="shared" si="124"/>
        <v>Other</v>
      </c>
      <c r="AH212" s="78" t="str">
        <f t="shared" si="80"/>
        <v>"%USERPROFILE%\Documents\GitHub\eaglep3\Utilities\RefineRTDCRunTimes.py" --tripid 304-19 --locoid 4057 --swversion DE.1.0.9.0 --startMP 300:23449 --initTime 2017-10-19T03:52:07 --startdatetime 2017-10-19T03:58:28 --delay 61 --endMP 204:147 --enddatetime 2017-10-19T04:07:14 --enforcementcount 0 &gt;&gt;%USERPROFILE%\Documents\GitHub\eaglep3-reporting\EC\2017-10-19-refined-times.txt</v>
      </c>
      <c r="AI212" s="96" t="str">
        <f t="shared" si="81"/>
        <v>echo {"issue":{"subject":"","project_id":79,"tracker_id":40,"status_id":1,"priority_id":2,"assigned_to_id":338,"start_date":"2017-10-19","description":"","custom_fields":[{"id":1,"name":"Subdivision","value":"Other"},{"id":4,"name":"Milepost","value":"0.0147"},{"id":17,"name":"Train ID","value":"304-19"},{"id":16,"name":"Locomotive ID","value":"4057"},{"id":130,"name":"Impact","value":""},{"id":150,"name":"Time of Event (Mountain Time)","value":"04:07:14"},{"id":151,"name":"Denver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82"/>
        <v>start /low /b %USERPROFILE%\Documents\GitHub\eaglep3\Utilities\DownloadLogsFromS3.py --loco 4057 --day 2017-10-19</v>
      </c>
      <c r="AN212" s="151" t="str">
        <f t="shared" si="83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10:07:14"},{"id":29,"name":"Sharepoint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84"/>
        <v>https://d0f6bd738d7f1b3e5a7ca70fe4ff75f0.us-east-1.aws.found.io/app/kibana#/discover/Steve-Slow-Train-Analysis-(2080s-and-2083s)?_g=(refreshInterval:(display:Off,pause:!f,section:0,value:0),time:(from:'2017-10-19T02:52:07-0600',mode:absolute,to:'2017-10-19T05:07:14-0600'))&amp;_a=(columns:!('Message%20ID',Summary),filters:!(),index:'emp_*',interval:auto,query:(query_string:(analyze_wildcard:!t,query:'%22rtdc.l.rtdc.4057%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783</v>
      </c>
      <c r="B213" s="7">
        <v>4066</v>
      </c>
      <c r="C213" s="21" t="s">
        <v>194</v>
      </c>
      <c r="D213" s="21" t="s">
        <v>400</v>
      </c>
      <c r="E213" s="13">
        <v>43027.820254629631</v>
      </c>
      <c r="F213" s="13">
        <v>43027.821527777778</v>
      </c>
      <c r="G213" s="7">
        <v>55</v>
      </c>
      <c r="H213" s="21" t="s">
        <v>880</v>
      </c>
      <c r="I213" s="13">
        <v>43027.827638888892</v>
      </c>
      <c r="J213" s="7">
        <v>0</v>
      </c>
      <c r="K213" s="89" t="str">
        <f t="shared" si="116"/>
        <v>4065/4066</v>
      </c>
      <c r="L213" s="185" t="str">
        <f>VLOOKUP(A213,'Trips&amp;Operators'!$C$1:$G$99911,5,FALSE)</f>
        <v>HOLCOMB KAMDEN</v>
      </c>
      <c r="M213" s="6">
        <f t="shared" si="117"/>
        <v>6.1111111135687679E-3</v>
      </c>
      <c r="N213" s="7">
        <f t="shared" si="106"/>
        <v>8.8000000035390258</v>
      </c>
      <c r="O213" s="7"/>
      <c r="P213" s="7"/>
      <c r="Q213" s="22"/>
      <c r="R213" s="174"/>
      <c r="S213" s="221">
        <f t="shared" si="107"/>
        <v>1</v>
      </c>
      <c r="T213" s="174" t="str">
        <f t="shared" si="118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19"/>
        <v>https://d0f6bd738d7f1b3e5a7ca70fe4ff75f0.us-east-1.aws.found.io/app/kibana#/discover/Steve-Slow-Train-Analysis-(2080s-and-2083s)?_g=(refreshInterval:(display:Off,pause:!f,section:0,value:0),time:(from:'2017-10-19T18:41:10-0600',mode:absolute,to:'2017-10-19T20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3" s="204" t="str">
        <f>IF(AA213&lt;VLOOKUP(AG213,Variables!$AC$3:$AD$8,2,FALSE),"Y","N")</f>
        <v>Y</v>
      </c>
      <c r="X213" s="204">
        <f t="shared" si="131"/>
        <v>1</v>
      </c>
      <c r="Y213" s="204">
        <f t="shared" si="114"/>
        <v>4.6399999999999997E-2</v>
      </c>
      <c r="Z213" s="204">
        <f t="shared" si="115"/>
        <v>2.3292999999999999</v>
      </c>
      <c r="AA213" s="204">
        <f t="shared" si="120"/>
        <v>2.2828999999999997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21"/>
        <v>305</v>
      </c>
      <c r="AE213" s="77" t="str">
        <f t="shared" si="122"/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AF213" s="74" t="str">
        <f t="shared" si="123"/>
        <v>"C:\Program Files (x86)\AstroGrep\AstroGrep.exe" /e /r /s /spath="%USERPROFILE%\AppData\Local\Temp\OnboardLogs" /stypes="app*4066*20171020*" /stext=" 01:.+((SYSTEM_STATE.+slice.+state.+changed )|(ment ac)|(multiple cpu faults)|(system.+state.+changed )|(\[timeout)|(PRM\|1\|D)|(kpr)|(kdp)|(train st.+moving)|(\|lc)|(penalty))"</v>
      </c>
      <c r="AG213" s="182" t="str">
        <f t="shared" si="124"/>
        <v>Other</v>
      </c>
      <c r="AH213" s="78" t="str">
        <f t="shared" ref="AH213:AH245" si="132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305-19 --locoid 4066 --swversion DE.1.0.9.0 --startMP 204:464 --initTime 2017-10-19T19:41:10 --startdatetime 2017-10-19T19:43:00 --delay 55 --endMP 300:23293 --enddatetime 2017-10-19T19:51:48 --enforcementcount 0 &gt;&gt;%USERPROFILE%\Documents\GitHub\eaglep3-reporting\EC\2017-10-19-refined-times.txt</v>
      </c>
      <c r="AI213" s="96" t="str">
        <f t="shared" ref="AI213:AI245" si="133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{"issue":{"subject":"","project_id":79,"tracker_id":40,"status_id":1,"priority_id":2,"assigned_to_id":338,"start_date":"2017-10-19","description":"","custom_fields":[{"id":1,"name":"Subdivision","value":"Other"},{"id":4,"name":"Milepost","value":"2.3293"},{"id":17,"name":"Train ID","value":"305-19"},{"id":16,"name":"Locomotive ID","value":"4066"},{"id":130,"name":"Impact","value":""},{"id":150,"name":"Time of Event (Mountain Time)","value":"19:51:48"},{"id":151,"name":"Denver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ref="AM213:AM245" si="134">"start /low /b "&amp;dls3logs&amp;" --loco "&amp;B213&amp;" --day "&amp;TEXT(F213,"YYYY-MM-DD")</f>
        <v>start /low /b %USERPROFILE%\Documents\GitHub\eaglep3\Utilities\DownloadLogsFromS3.py --loco 4066 --day 2017-10-19</v>
      </c>
      <c r="AN213" s="151" t="str">
        <f t="shared" ref="AN213:AN245" si="135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ref="AO213:AO245" si="136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-19T18:41:10-0600',mode:absolute,to:'2017-10-19T20:51:48-0600'))&amp;_a=(columns:!('Message%20ID',Summary),filters:!(),index:'emp_*',interval:auto,query:(query_string:(analyze_wildcard:!t,query:'%22rtdc.l.rtdc.4066%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601</v>
      </c>
      <c r="B214" s="7">
        <v>4017</v>
      </c>
      <c r="C214" s="21" t="s">
        <v>194</v>
      </c>
      <c r="D214" s="21" t="s">
        <v>881</v>
      </c>
      <c r="E214" s="13">
        <v>43027.171863425923</v>
      </c>
      <c r="F214" s="13">
        <v>43027.175752314812</v>
      </c>
      <c r="G214" s="7">
        <v>68</v>
      </c>
      <c r="H214" s="21" t="s">
        <v>363</v>
      </c>
      <c r="I214" s="13">
        <v>43027.181018518517</v>
      </c>
      <c r="J214" s="7">
        <v>0</v>
      </c>
      <c r="K214" s="89" t="str">
        <f t="shared" si="116"/>
        <v>4017/4018</v>
      </c>
      <c r="L214" s="185" t="str">
        <f>VLOOKUP(A214,'Trips&amp;Operators'!$C$1:$G$99911,5,FALSE)</f>
        <v>GEBRETEKLE DAGNEW</v>
      </c>
      <c r="M214" s="6">
        <f t="shared" si="117"/>
        <v>5.2662037051049992E-3</v>
      </c>
      <c r="N214" s="7">
        <f t="shared" si="106"/>
        <v>7.5833333353511989</v>
      </c>
      <c r="O214" s="7"/>
      <c r="P214" s="7"/>
      <c r="Q214" s="22"/>
      <c r="R214" s="174"/>
      <c r="S214" s="221">
        <f t="shared" si="107"/>
        <v>1</v>
      </c>
      <c r="T214" s="174" t="str">
        <f t="shared" si="118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19"/>
        <v>https://d0f6bd738d7f1b3e5a7ca70fe4ff75f0.us-east-1.aws.found.io/app/kibana#/discover/Steve-Slow-Train-Analysis-(2080s-and-2083s)?_g=(refreshInterval:(display:Off,pause:!f,section:0,value:0),time:(from:'2017-10-19T03:07:29-0600',mode:absolute,to:'2017-10-19T05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4" s="204" t="str">
        <f>IF(AA214&lt;VLOOKUP(AG214,Variables!$AC$3:$AD$8,2,FALSE),"Y","N")</f>
        <v>Y</v>
      </c>
      <c r="X214" s="204">
        <f t="shared" si="131"/>
        <v>1</v>
      </c>
      <c r="Y214" s="204">
        <f t="shared" si="114"/>
        <v>2.3677000000000001</v>
      </c>
      <c r="Z214" s="204">
        <f t="shared" si="115"/>
        <v>1.5800000000000002E-2</v>
      </c>
      <c r="AA214" s="204">
        <f t="shared" si="120"/>
        <v>2.3519000000000001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21"/>
        <v>306</v>
      </c>
      <c r="AE214" s="77" t="str">
        <f t="shared" si="122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214" s="74" t="str">
        <f t="shared" si="123"/>
        <v>"C:\Program Files (x86)\AstroGrep\AstroGrep.exe" /e /r /s /spath="%USERPROFILE%\AppData\Local\Temp\OnboardLogs" /stypes="app*4017*20171019*" /stext=" 10:.+((SYSTEM_STATE.+slice.+state.+changed )|(ment ac)|(multiple cpu faults)|(system.+state.+changed )|(\[timeout)|(PRM\|1\|D)|(kpr)|(kdp)|(train st.+moving)|(\|lc)|(penalty))"</v>
      </c>
      <c r="AG214" s="182" t="str">
        <f t="shared" si="124"/>
        <v>Other</v>
      </c>
      <c r="AH214" s="78" t="str">
        <f t="shared" si="132"/>
        <v>"%USERPROFILE%\Documents\GitHub\eaglep3\Utilities\RefineRTDCRunTimes.py" --tripid 306-19 --locoid 4017 --swversion DE.1.0.9.0 --startMP 300:23677 --initTime 2017-10-19T04:07:29 --startdatetime 2017-10-19T04:13:05 --delay 68 --endMP 204:158 --enddatetime 2017-10-19T04:20:40 --enforcementcount 0 &gt;&gt;%USERPROFILE%\Documents\GitHub\eaglep3-reporting\EC\2017-10-19-refined-times.txt</v>
      </c>
      <c r="AI214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{"issue":{"subject":"","project_id":79,"tracker_id":40,"status_id":1,"priority_id":2,"assigned_to_id":338,"start_date":"2017-10-19","description":"","custom_fields":[{"id":1,"name":"Subdivision","value":"Other"},{"id":4,"name":"Milepost","value":"0.0158"},{"id":17,"name":"Train ID","value":"306-19"},{"id":16,"name":"Locomotive ID","value":"4017"},{"id":130,"name":"Impact","value":""},{"id":150,"name":"Time of Event (Mountain Time)","value":"04:20:40"},{"id":151,"name":"Denver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34"/>
        <v>start /low /b %USERPROFILE%\Documents\GitHub\eaglep3\Utilities\DownloadLogsFromS3.py --loco 4017 --day 2017-10-19</v>
      </c>
      <c r="AN214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36"/>
        <v>https://d0f6bd738d7f1b3e5a7ca70fe4ff75f0.us-east-1.aws.found.io/app/kibana#/discover/Steve-Slow-Train-Analysis-(2080s-and-2083s)?_g=(refreshInterval:(display:Off,pause:!f,section:0,value:0),time:(from:'2017-10-19T03:07:29-0600',mode:absolute,to:'2017-10-19T05:20:40-0600'))&amp;_a=(columns:!('Message%20ID',Summary),filters:!(),index:'emp_*',interval:auto,query:(query_string:(analyze_wildcard:!t,query:'%22rtdc.l.rtdc.4017%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814</v>
      </c>
      <c r="B215" s="7">
        <v>4006</v>
      </c>
      <c r="C215" s="21" t="s">
        <v>194</v>
      </c>
      <c r="D215" s="21" t="s">
        <v>385</v>
      </c>
      <c r="E215" s="13">
        <v>43028.046666666669</v>
      </c>
      <c r="F215" s="13">
        <v>43028.048587962963</v>
      </c>
      <c r="G215" s="7">
        <v>80</v>
      </c>
      <c r="H215" s="21" t="s">
        <v>882</v>
      </c>
      <c r="I215" s="13">
        <v>43028.060023148151</v>
      </c>
      <c r="J215" s="7">
        <v>0</v>
      </c>
      <c r="K215" s="89" t="str">
        <f t="shared" si="116"/>
        <v>4005/4006</v>
      </c>
      <c r="L215" s="185" t="str">
        <f>VLOOKUP(A215,'Trips&amp;Operators'!$C$1:$G$99911,5,FALSE)</f>
        <v>LOZA FIDEL</v>
      </c>
      <c r="M215" s="6">
        <f t="shared" si="117"/>
        <v>1.1435185188020114E-2</v>
      </c>
      <c r="N215" s="7">
        <f t="shared" si="106"/>
        <v>16.466666670748964</v>
      </c>
      <c r="O215" s="7"/>
      <c r="P215" s="7"/>
      <c r="Q215" s="22"/>
      <c r="R215" s="174"/>
      <c r="S215" s="221">
        <f t="shared" si="107"/>
        <v>1</v>
      </c>
      <c r="T215" s="174" t="str">
        <f t="shared" si="118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19"/>
        <v>https://d0f6bd738d7f1b3e5a7ca70fe4ff75f0.us-east-1.aws.found.io/app/kibana#/discover/Steve-Slow-Train-Analysis-(2080s-and-2083s)?_g=(refreshInterval:(display:Off,pause:!f,section:0,value:0),time:(from:'2017-10-20T00:07:12-0600',mode:absolute,to:'2017-10-20T02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5" s="204" t="str">
        <f>IF(AA215&lt;VLOOKUP(AG215,Variables!$AC$3:$AD$8,2,FALSE),"Y","N")</f>
        <v>Y</v>
      </c>
      <c r="X215" s="204">
        <f t="shared" si="131"/>
        <v>1</v>
      </c>
      <c r="Y215" s="204">
        <f t="shared" si="114"/>
        <v>4.6699999999999998E-2</v>
      </c>
      <c r="Z215" s="204">
        <f t="shared" si="115"/>
        <v>2.3306</v>
      </c>
      <c r="AA215" s="204">
        <f t="shared" si="120"/>
        <v>2.2839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21"/>
        <v>307</v>
      </c>
      <c r="AE215" s="77" t="str">
        <f t="shared" si="122"/>
        <v>aws s3 cp s3://rtdc.mdm.uploadarchive.raw/RTDC4006/ "%USERPROFILE%\AppData\Local\Temp\OnboardLogs"\RTDC4006\2017-10-20 --exclude "*" --recursive --include "*20171020*" &amp; "%USERPROFILE%\Documents\GitHub\mrs-test-scripts\Headless Mode &amp; Sideloading\WalkAndUnGZ.bat" "%USERPROFILE%\AppData\Local\Temp\OnboardLogs"\RTDC4006\2017-10-20 &amp; aws s3 cp s3://rtdc.mdm.uploadarchive.raw/RTDC4006/ "%USERPROFILE%\AppData\Local\Temp\OnboardLogs"\RTDC4006\2017-10-21 --exclude "*" --recursive --include "*20171021*" &amp; "%USERPROFILE%\Documents\GitHub\mrs-test-scripts\Headless Mode &amp; Sideloading\WalkAndUnGZ.bat" "%USERPROFILE%\AppData\Local\Temp\OnboardLogs"\RTDC4006\2017-10-21</v>
      </c>
      <c r="AF215" s="74" t="str">
        <f t="shared" si="123"/>
        <v>"C:\Program Files (x86)\AstroGrep\AstroGrep.exe" /e /r /s /spath="%USERPROFILE%\AppData\Local\Temp\OnboardLogs" /stypes="app*4006*20171020*" /stext=" 07:.+((SYSTEM_STATE.+slice.+state.+changed )|(ment ac)|(multiple cpu faults)|(system.+state.+changed )|(\[timeout)|(PRM\|1\|D)|(kpr)|(kdp)|(train st.+moving)|(\|lc)|(penalty))"</v>
      </c>
      <c r="AG215" s="182" t="str">
        <f t="shared" si="124"/>
        <v>Other</v>
      </c>
      <c r="AH215" s="78" t="str">
        <f t="shared" si="132"/>
        <v>"%USERPROFILE%\Documents\GitHub\eaglep3\Utilities\RefineRTDCRunTimes.py" --tripid 307-19 --locoid 4006 --swversion DE.1.0.9.0 --startMP 204:467 --initTime 2017-10-20T01:07:12 --startdatetime 2017-10-20T01:09:58 --delay 80 --endMP 300:23306 --enddatetime 2017-10-20T01:26:26 --enforcementcount 0 &gt;&gt;%USERPROFILE%\Documents\GitHub\eaglep3-reporting\EC\2017-10-19-refined-times.txt</v>
      </c>
      <c r="AI215" s="96" t="str">
        <f t="shared" si="133"/>
        <v>echo {"issue":{"subject":"","project_id":79,"tracker_id":40,"status_id":1,"priority_id":2,"assigned_to_id":338,"start_date":"2017-10-20","description":"","custom_fields":[{"id":1,"name":"Subdivision","value":"Other"},{"id":4,"name":"Milepost","value":"2.3306"},{"id":17,"name":"Train ID","value":"307-19"},{"id":16,"name":"Locomotive ID","value":"4006"},{"id":130,"name":"Impact","value":""},{"id":150,"name":"Time of Event (Mountain Time)","value":"01:26:26"},{"id":151,"name":"Denver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34"/>
        <v>start /low /b %USERPROFILE%\Documents\GitHub\eaglep3\Utilities\DownloadLogsFromS3.py --loco 4006 --day 2017-10-20</v>
      </c>
      <c r="AN215" s="151" t="str">
        <f t="shared" si="135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07:26:26"},{"id":29,"name":"Sharepoint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36"/>
        <v>https://d0f6bd738d7f1b3e5a7ca70fe4ff75f0.us-east-1.aws.found.io/app/kibana#/discover/Steve-Slow-Train-Analysis-(2080s-and-2083s)?_g=(refreshInterval:(display:Off,pause:!f,section:0,value:0),time:(from:'2017-10-20T00:07:12-0600',mode:absolute,to:'2017-10-20T02:26:26-0600'))&amp;_a=(columns:!('Message%20ID',Summary),filters:!(),index:'emp_*',interval:auto,query:(query_string:(analyze_wildcard:!t,query:'%22rtdc.l.rtdc.4006%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561</v>
      </c>
      <c r="B216" s="7">
        <v>4015</v>
      </c>
      <c r="C216" s="21" t="s">
        <v>194</v>
      </c>
      <c r="D216" s="21" t="s">
        <v>883</v>
      </c>
      <c r="E216" s="13">
        <v>43027.177083333336</v>
      </c>
      <c r="F216" s="13">
        <v>43027.181388888886</v>
      </c>
      <c r="G216" s="7">
        <v>89</v>
      </c>
      <c r="H216" s="21" t="s">
        <v>884</v>
      </c>
      <c r="I216" s="13">
        <v>43027.182303240741</v>
      </c>
      <c r="J216" s="7">
        <v>0</v>
      </c>
      <c r="K216" s="89" t="str">
        <f t="shared" si="116"/>
        <v>4015/4016</v>
      </c>
      <c r="L216" s="185" t="str">
        <f>VLOOKUP(A216,'Trips&amp;Operators'!$C$1:$G$99911,5,FALSE)</f>
        <v>WILLIAMS DONTE</v>
      </c>
      <c r="M216" s="6">
        <f t="shared" si="117"/>
        <v>9.1435185458976775E-4</v>
      </c>
      <c r="N216" s="7">
        <f t="shared" si="106"/>
        <v>1.3166666706092656</v>
      </c>
      <c r="O216" s="7"/>
      <c r="P216" s="7"/>
      <c r="Q216" s="22"/>
      <c r="R216" s="174"/>
      <c r="S216" s="221">
        <f t="shared" si="107"/>
        <v>0</v>
      </c>
      <c r="T216" s="174" t="str">
        <f t="shared" si="118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19"/>
        <v>https://d0f6bd738d7f1b3e5a7ca70fe4ff75f0.us-east-1.aws.found.io/app/kibana#/discover/Steve-Slow-Train-Analysis-(2080s-and-2083s)?_g=(refreshInterval:(display:Off,pause:!f,section:0,value:0),time:(from:'2017-10-19T03:15:00-0600',mode:absolute,to:'2017-10-19T05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204" t="str">
        <f>IF(AA216&lt;VLOOKUP(AG216,Variables!$AC$3:$AD$8,2,FALSE),"Y","N")</f>
        <v>Y</v>
      </c>
      <c r="X216" s="204">
        <f t="shared" si="131"/>
        <v>1</v>
      </c>
      <c r="Y216" s="204">
        <f t="shared" si="114"/>
        <v>2.3540000000000001</v>
      </c>
      <c r="Z216" s="204">
        <f t="shared" si="115"/>
        <v>2.2808999999999999</v>
      </c>
      <c r="AA216" s="204">
        <f t="shared" si="120"/>
        <v>7.3100000000000165E-2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21"/>
        <v>308</v>
      </c>
      <c r="AE216" s="77" t="str">
        <f t="shared" si="122"/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AF216" s="74" t="str">
        <f t="shared" si="123"/>
        <v>"C:\Program Files (x86)\AstroGrep\AstroGrep.exe" /e /r /s /spath="%USERPROFILE%\AppData\Local\Temp\OnboardLogs" /stypes="app*4015*20171019*" /stext=" 10:.+((SYSTEM_STATE.+slice.+state.+changed )|(ment ac)|(multiple cpu faults)|(system.+state.+changed )|(\[timeout)|(PRM\|1\|D)|(kpr)|(kdp)|(train st.+moving)|(\|lc)|(penalty))"</v>
      </c>
      <c r="AG216" s="182" t="str">
        <f t="shared" si="124"/>
        <v>Other</v>
      </c>
      <c r="AH216" s="78" t="str">
        <f t="shared" si="132"/>
        <v>"%USERPROFILE%\Documents\GitHub\eaglep3\Utilities\RefineRTDCRunTimes.py" --tripid 308-19 --locoid 4015 --swversion DE.1.0.9.0 --startMP 300:23540 --initTime 2017-10-19T04:15:00 --startdatetime 2017-10-19T04:21:12 --delay 89 --endMP 300:22809 --enddatetime 2017-10-19T04:22:31 --enforcementcount 0 &gt;&gt;%USERPROFILE%\Documents\GitHub\eaglep3-reporting\EC\2017-10-19-refined-times.txt</v>
      </c>
      <c r="AI216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{"issue":{"subject":"","project_id":79,"tracker_id":40,"status_id":1,"priority_id":2,"assigned_to_id":338,"start_date":"2017-10-19","description":"","custom_fields":[{"id":1,"name":"Subdivision","value":"Other"},{"id":4,"name":"Milepost","value":"2.2809"},{"id":17,"name":"Train ID","value":"308-19"},{"id":16,"name":"Locomotive ID","value":"4015"},{"id":130,"name":"Impact","value":""},{"id":150,"name":"Time of Event (Mountain Time)","value":"04:22:31"},{"id":151,"name":"Denver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34"/>
        <v>start /low /b %USERPROFILE%\Documents\GitHub\eaglep3\Utilities\DownloadLogsFromS3.py --loco 4015 --day 2017-10-19</v>
      </c>
      <c r="AN216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36"/>
        <v>https://d0f6bd738d7f1b3e5a7ca70fe4ff75f0.us-east-1.aws.found.io/app/kibana#/discover/Steve-Slow-Train-Analysis-(2080s-and-2083s)?_g=(refreshInterval:(display:Off,pause:!f,section:0,value:0),time:(from:'2017-10-19T03:15:00-0600',mode:absolute,to:'2017-10-19T05:22:31-0600'))&amp;_a=(columns:!('Message%20ID',Summary),filters:!(),index:'emp_*',interval:auto,query:(query_string:(analyze_wildcard:!t,query:'%22rtdc.l.rtdc.4015%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816</v>
      </c>
      <c r="B217" s="7">
        <v>4058</v>
      </c>
      <c r="C217" s="21" t="s">
        <v>194</v>
      </c>
      <c r="D217" s="21" t="s">
        <v>400</v>
      </c>
      <c r="E217" s="13">
        <v>43028.067881944444</v>
      </c>
      <c r="F217" s="13">
        <v>43028.069456018522</v>
      </c>
      <c r="G217" s="7">
        <v>60</v>
      </c>
      <c r="H217" s="21" t="s">
        <v>885</v>
      </c>
      <c r="I217" s="13">
        <v>43028.078344907408</v>
      </c>
      <c r="J217" s="7">
        <v>0</v>
      </c>
      <c r="K217" s="89" t="str">
        <f t="shared" si="116"/>
        <v>4057/4058</v>
      </c>
      <c r="L217" s="185" t="str">
        <f>VLOOKUP(A217,'Trips&amp;Operators'!$C$1:$G$99911,5,FALSE)</f>
        <v>ELBAUM MIKE</v>
      </c>
      <c r="M217" s="6">
        <f t="shared" si="117"/>
        <v>8.8888888858491555E-3</v>
      </c>
      <c r="N217" s="7">
        <f t="shared" si="106"/>
        <v>12.799999995622784</v>
      </c>
      <c r="O217" s="7"/>
      <c r="P217" s="7"/>
      <c r="Q217" s="22"/>
      <c r="R217" s="174"/>
      <c r="S217" s="221">
        <f t="shared" si="107"/>
        <v>1</v>
      </c>
      <c r="T217" s="174" t="str">
        <f t="shared" si="118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9"/>
        <v>https://d0f6bd738d7f1b3e5a7ca70fe4ff75f0.us-east-1.aws.found.io/app/kibana#/discover/Steve-Slow-Train-Analysis-(2080s-and-2083s)?_g=(refreshInterval:(display:Off,pause:!f,section:0,value:0),time:(from:'2017-10-20T00:37:45-0600',mode:absolute,to:'2017-10-20T02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7" s="204" t="str">
        <f>IF(AA217&lt;VLOOKUP(AG217,Variables!$AC$3:$AD$8,2,FALSE),"Y","N")</f>
        <v>Y</v>
      </c>
      <c r="X217" s="204">
        <f t="shared" si="131"/>
        <v>1</v>
      </c>
      <c r="Y217" s="204">
        <f t="shared" si="114"/>
        <v>4.6399999999999997E-2</v>
      </c>
      <c r="Z217" s="204">
        <f t="shared" si="115"/>
        <v>2.3304</v>
      </c>
      <c r="AA217" s="204">
        <f t="shared" si="120"/>
        <v>2.2839999999999998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21"/>
        <v>309</v>
      </c>
      <c r="AE217" s="77" t="str">
        <f t="shared" si="122"/>
        <v>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 &amp; aws s3 cp s3://rtdc.mdm.uploadarchive.raw/RTDC4058/ "%USERPROFILE%\AppData\Local\Temp\OnboardLogs"\RTDC4058\2017-10-21 --exclude "*" --recursive --include "*20171021*" &amp; "%USERPROFILE%\Documents\GitHub\mrs-test-scripts\Headless Mode &amp; Sideloading\WalkAndUnGZ.bat" "%USERPROFILE%\AppData\Local\Temp\OnboardLogs"\RTDC4058\2017-10-21</v>
      </c>
      <c r="AF217" s="74" t="str">
        <f t="shared" si="123"/>
        <v>"C:\Program Files (x86)\AstroGrep\AstroGrep.exe" /e /r /s /spath="%USERPROFILE%\AppData\Local\Temp\OnboardLogs" /stypes="app*4058*20171020*" /stext=" 07:.+((SYSTEM_STATE.+slice.+state.+changed )|(ment ac)|(multiple cpu faults)|(system.+state.+changed )|(\[timeout)|(PRM\|1\|D)|(kpr)|(kdp)|(train st.+moving)|(\|lc)|(penalty))"</v>
      </c>
      <c r="AG217" s="182" t="str">
        <f t="shared" si="124"/>
        <v>Other</v>
      </c>
      <c r="AH217" s="78" t="str">
        <f t="shared" si="132"/>
        <v>"%USERPROFILE%\Documents\GitHub\eaglep3\Utilities\RefineRTDCRunTimes.py" --tripid 309-19 --locoid 4058 --swversion DE.1.0.9.0 --startMP 204:464 --initTime 2017-10-20T01:37:45 --startdatetime 2017-10-20T01:40:01 --delay 60 --endMP 300:23304 --enddatetime 2017-10-20T01:52:49 --enforcementcount 0 &gt;&gt;%USERPROFILE%\Documents\GitHub\eaglep3-reporting\EC\2017-10-19-refined-times.txt</v>
      </c>
      <c r="AI217" s="96" t="str">
        <f t="shared" si="133"/>
        <v>echo {"issue":{"subject":"","project_id":79,"tracker_id":40,"status_id":1,"priority_id":2,"assigned_to_id":338,"start_date":"2017-10-20","description":"","custom_fields":[{"id":1,"name":"Subdivision","value":"Other"},{"id":4,"name":"Milepost","value":"2.3304"},{"id":17,"name":"Train ID","value":"309-19"},{"id":16,"name":"Locomotive ID","value":"4058"},{"id":130,"name":"Impact","value":""},{"id":150,"name":"Time of Event (Mountain Time)","value":"01:52:49"},{"id":151,"name":"Denver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34"/>
        <v>start /low /b %USERPROFILE%\Documents\GitHub\eaglep3\Utilities\DownloadLogsFromS3.py --loco 4058 --day 2017-10-20</v>
      </c>
      <c r="AN217" s="151" t="str">
        <f t="shared" si="135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07:52:49"},{"id":29,"name":"Sharepoint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36"/>
        <v>https://d0f6bd738d7f1b3e5a7ca70fe4ff75f0.us-east-1.aws.found.io/app/kibana#/discover/Steve-Slow-Train-Analysis-(2080s-and-2083s)?_g=(refreshInterval:(display:Off,pause:!f,section:0,value:0),time:(from:'2017-10-20T00:37:45-0600',mode:absolute,to:'2017-10-20T02:52:49-0600'))&amp;_a=(columns:!('Message%20ID',Summary),filters:!(),index:'emp_*',interval:auto,query:(query_string:(analyze_wildcard:!t,query:'%22rtdc.l.rtdc.4058%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609</v>
      </c>
      <c r="B218" s="7">
        <v>4013</v>
      </c>
      <c r="C218" s="21" t="s">
        <v>194</v>
      </c>
      <c r="D218" s="21" t="s">
        <v>886</v>
      </c>
      <c r="E218" s="13">
        <v>43027.195856481485</v>
      </c>
      <c r="F218" s="13">
        <v>43027.198865740742</v>
      </c>
      <c r="G218" s="7">
        <v>78</v>
      </c>
      <c r="H218" s="21" t="s">
        <v>360</v>
      </c>
      <c r="I218" s="13">
        <v>43027.204548611109</v>
      </c>
      <c r="J218" s="7">
        <v>0</v>
      </c>
      <c r="K218" s="89" t="str">
        <f t="shared" si="116"/>
        <v>4013/4014</v>
      </c>
      <c r="L218" s="185" t="str">
        <f>VLOOKUP(A218,'Trips&amp;Operators'!$C$1:$G$99911,5,FALSE)</f>
        <v>YANAI IAN</v>
      </c>
      <c r="M218" s="6">
        <f t="shared" si="117"/>
        <v>5.6828703673090786E-3</v>
      </c>
      <c r="N218" s="7">
        <f t="shared" si="106"/>
        <v>8.1833333289250731</v>
      </c>
      <c r="O218" s="7"/>
      <c r="P218" s="7"/>
      <c r="Q218" s="22"/>
      <c r="R218" s="174"/>
      <c r="S218" s="221">
        <f t="shared" si="107"/>
        <v>1</v>
      </c>
      <c r="T218" s="174" t="str">
        <f t="shared" si="118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9"/>
        <v>https://d0f6bd738d7f1b3e5a7ca70fe4ff75f0.us-east-1.aws.found.io/app/kibana#/discover/Steve-Slow-Train-Analysis-(2080s-and-2083s)?_g=(refreshInterval:(display:Off,pause:!f,section:0,value:0),time:(from:'2017-10-19T03:42:02-0600',mode:absolute,to:'2017-10-19T05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204" t="str">
        <f>IF(AA218&lt;VLOOKUP(AG218,Variables!$AC$3:$AD$8,2,FALSE),"Y","N")</f>
        <v>Y</v>
      </c>
      <c r="X218" s="204">
        <f t="shared" si="131"/>
        <v>1</v>
      </c>
      <c r="Y218" s="204">
        <f t="shared" si="114"/>
        <v>2.3622000000000001</v>
      </c>
      <c r="Z218" s="204">
        <f t="shared" si="115"/>
        <v>1.61E-2</v>
      </c>
      <c r="AA218" s="204">
        <f t="shared" si="120"/>
        <v>2.3461000000000003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21"/>
        <v>310</v>
      </c>
      <c r="AE218" s="77" t="str">
        <f t="shared" si="122"/>
        <v>aws s3 cp s3://rtdc.mdm.uploadarchive.raw/RTDC4013/ "%USERPROFILE%\AppData\Local\Temp\OnboardLogs"\RTDC4013\2017-10-19 --exclude "*" --recursive --include "*20171019*" &amp; "%USERPROFILE%\Documents\GitHub\mrs-test-scripts\Headless Mode &amp; Sideloading\WalkAndUnGZ.bat" "%USERPROFILE%\AppData\Local\Temp\OnboardLogs"\RTDC4013\2017-10-19 &amp; aws s3 cp s3://rtdc.mdm.uploadarchive.raw/RTDC4013/ "%USERPROFILE%\AppData\Local\Temp\OnboardLogs"\RTDC4013\2017-10-20 --exclude "*" --recursive --include "*20171020*" &amp; "%USERPROFILE%\Documents\GitHub\mrs-test-scripts\Headless Mode &amp; Sideloading\WalkAndUnGZ.bat" "%USERPROFILE%\AppData\Local\Temp\OnboardLogs"\RTDC4013\2017-10-20</v>
      </c>
      <c r="AF218" s="74" t="str">
        <f t="shared" si="123"/>
        <v>"C:\Program Files (x86)\AstroGrep\AstroGrep.exe" /e /r /s /spath="%USERPROFILE%\AppData\Local\Temp\OnboardLogs" /stypes="app*4013*20171019*" /stext=" 10:.+((SYSTEM_STATE.+slice.+state.+changed )|(ment ac)|(multiple cpu faults)|(system.+state.+changed )|(\[timeout)|(PRM\|1\|D)|(kpr)|(kdp)|(train st.+moving)|(\|lc)|(penalty))"</v>
      </c>
      <c r="AG218" s="182" t="str">
        <f t="shared" si="124"/>
        <v>Other</v>
      </c>
      <c r="AH218" s="78" t="str">
        <f t="shared" si="132"/>
        <v>"%USERPROFILE%\Documents\GitHub\eaglep3\Utilities\RefineRTDCRunTimes.py" --tripid 310-19 --locoid 4013 --swversion DE.1.0.9.0 --startMP 300:23622 --initTime 2017-10-19T04:42:02 --startdatetime 2017-10-19T04:46:22 --delay 78 --endMP 204:161 --enddatetime 2017-10-19T04:54:33 --enforcementcount 0 &gt;&gt;%USERPROFILE%\Documents\GitHub\eaglep3-reporting\EC\2017-10-19-refined-times.txt</v>
      </c>
      <c r="AI218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{"issue":{"subject":"","project_id":79,"tracker_id":40,"status_id":1,"priority_id":2,"assigned_to_id":338,"start_date":"2017-10-19","description":"","custom_fields":[{"id":1,"name":"Subdivision","value":"Other"},{"id":4,"name":"Milepost","value":"0.0161"},{"id":17,"name":"Train ID","value":"310-19"},{"id":16,"name":"Locomotive ID","value":"4013"},{"id":130,"name":"Impact","value":""},{"id":150,"name":"Time of Event (Mountain Time)","value":"04:54:33"},{"id":151,"name":"Denver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34"/>
        <v>start /low /b %USERPROFILE%\Documents\GitHub\eaglep3\Utilities\DownloadLogsFromS3.py --loco 4013 --day 2017-10-19</v>
      </c>
      <c r="AN218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10:54:33"},{"id":29,"name":"Sharepoint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36"/>
        <v>https://d0f6bd738d7f1b3e5a7ca70fe4ff75f0.us-east-1.aws.found.io/app/kibana#/discover/Steve-Slow-Train-Analysis-(2080s-and-2083s)?_g=(refreshInterval:(display:Off,pause:!f,section:0,value:0),time:(from:'2017-10-19T03:42:02-0600',mode:absolute,to:'2017-10-19T05:54:33-0600'))&amp;_a=(columns:!('Message%20ID',Summary),filters:!(),index:'emp_*',interval:auto,query:(query_string:(analyze_wildcard:!t,query:'%22rtdc.l.rtdc.4013%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817</v>
      </c>
      <c r="B219" s="7">
        <v>4018</v>
      </c>
      <c r="C219" s="21" t="s">
        <v>194</v>
      </c>
      <c r="D219" s="21" t="s">
        <v>421</v>
      </c>
      <c r="E219" s="13">
        <v>43028.089143518519</v>
      </c>
      <c r="F219" s="13">
        <v>43028.091354166667</v>
      </c>
      <c r="G219" s="7">
        <v>55</v>
      </c>
      <c r="H219" s="21" t="s">
        <v>887</v>
      </c>
      <c r="I219" s="13">
        <v>43028.101018518515</v>
      </c>
      <c r="J219" s="7">
        <v>0</v>
      </c>
      <c r="K219" s="89" t="str">
        <f t="shared" si="116"/>
        <v>4017/4018</v>
      </c>
      <c r="L219" s="185" t="str">
        <f>VLOOKUP(A219,'Trips&amp;Operators'!$C$1:$G$99911,5,FALSE)</f>
        <v>MCREYNOLDS KYLE</v>
      </c>
      <c r="M219" s="6">
        <f t="shared" si="117"/>
        <v>9.6643518481869251E-3</v>
      </c>
      <c r="N219" s="7">
        <f t="shared" si="106"/>
        <v>13.916666661389172</v>
      </c>
      <c r="O219" s="7"/>
      <c r="P219" s="7"/>
      <c r="Q219" s="22"/>
      <c r="R219" s="174"/>
      <c r="S219" s="221">
        <f t="shared" si="107"/>
        <v>1</v>
      </c>
      <c r="T219" s="174" t="str">
        <f t="shared" si="118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19"/>
        <v>https://d0f6bd738d7f1b3e5a7ca70fe4ff75f0.us-east-1.aws.found.io/app/kibana#/discover/Steve-Slow-Train-Analysis-(2080s-and-2083s)?_g=(refreshInterval:(display:Off,pause:!f,section:0,value:0),time:(from:'2017-10-20T01:08:22-0600',mode:absolute,to:'2017-10-20T03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9" s="204" t="str">
        <f>IF(AA219&lt;VLOOKUP(AG219,Variables!$AC$3:$AD$8,2,FALSE),"Y","N")</f>
        <v>Y</v>
      </c>
      <c r="X219" s="204">
        <f t="shared" si="131"/>
        <v>1</v>
      </c>
      <c r="Y219" s="204">
        <f t="shared" si="114"/>
        <v>4.4400000000000002E-2</v>
      </c>
      <c r="Z219" s="204">
        <f t="shared" si="115"/>
        <v>2.3313999999999999</v>
      </c>
      <c r="AA219" s="204">
        <f t="shared" si="120"/>
        <v>2.2869999999999999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21"/>
        <v>311</v>
      </c>
      <c r="AE219" s="77" t="str">
        <f t="shared" si="122"/>
        <v>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 &amp; aws s3 cp s3://rtdc.mdm.uploadarchive.raw/RTDC4018/ "%USERPROFILE%\AppData\Local\Temp\OnboardLogs"\RTDC4018\2017-10-21 --exclude "*" --recursive --include "*20171021*" &amp; "%USERPROFILE%\Documents\GitHub\mrs-test-scripts\Headless Mode &amp; Sideloading\WalkAndUnGZ.bat" "%USERPROFILE%\AppData\Local\Temp\OnboardLogs"\RTDC4018\2017-10-21</v>
      </c>
      <c r="AF219" s="74" t="str">
        <f t="shared" si="123"/>
        <v>"C:\Program Files (x86)\AstroGrep\AstroGrep.exe" /e /r /s /spath="%USERPROFILE%\AppData\Local\Temp\OnboardLogs" /stypes="app*4018*20171020*" /stext=" 08:.+((SYSTEM_STATE.+slice.+state.+changed )|(ment ac)|(multiple cpu faults)|(system.+state.+changed )|(\[timeout)|(PRM\|1\|D)|(kpr)|(kdp)|(train st.+moving)|(\|lc)|(penalty))"</v>
      </c>
      <c r="AG219" s="182" t="str">
        <f t="shared" si="124"/>
        <v>Other</v>
      </c>
      <c r="AH219" s="78" t="str">
        <f t="shared" si="132"/>
        <v>"%USERPROFILE%\Documents\GitHub\eaglep3\Utilities\RefineRTDCRunTimes.py" --tripid 311-19 --locoid 4018 --swversion DE.1.0.9.0 --startMP 204:444 --initTime 2017-10-20T02:08:22 --startdatetime 2017-10-20T02:11:33 --delay 55 --endMP 300:23314 --enddatetime 2017-10-20T02:25:28 --enforcementcount 0 &gt;&gt;%USERPROFILE%\Documents\GitHub\eaglep3-reporting\EC\2017-10-19-refined-times.txt</v>
      </c>
      <c r="AI219" s="96" t="str">
        <f t="shared" si="133"/>
        <v>echo {"issue":{"subject":"","project_id":79,"tracker_id":40,"status_id":1,"priority_id":2,"assigned_to_id":338,"start_date":"2017-10-20","description":"","custom_fields":[{"id":1,"name":"Subdivision","value":"Other"},{"id":4,"name":"Milepost","value":"2.3314"},{"id":17,"name":"Train ID","value":"311-19"},{"id":16,"name":"Locomotive ID","value":"4018"},{"id":130,"name":"Impact","value":""},{"id":150,"name":"Time of Event (Mountain Time)","value":"02:25:28"},{"id":151,"name":"Denver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34"/>
        <v>start /low /b %USERPROFILE%\Documents\GitHub\eaglep3\Utilities\DownloadLogsFromS3.py --loco 4018 --day 2017-10-20</v>
      </c>
      <c r="AN219" s="151" t="str">
        <f t="shared" si="135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08:25:28"},{"id":29,"name":"Sharepoint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36"/>
        <v>https://d0f6bd738d7f1b3e5a7ca70fe4ff75f0.us-east-1.aws.found.io/app/kibana#/discover/Steve-Slow-Train-Analysis-(2080s-and-2083s)?_g=(refreshInterval:(display:Off,pause:!f,section:0,value:0),time:(from:'2017-10-20T01:08:22-0600',mode:absolute,to:'2017-10-20T03:25:28-0600'))&amp;_a=(columns:!('Message%20ID',Summary),filters:!(),index:'emp_*',interval:auto,query:(query_string:(analyze_wildcard:!t,query:'%22rtdc.l.rtdc.4018%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615</v>
      </c>
      <c r="B220" s="7">
        <v>4065</v>
      </c>
      <c r="C220" s="21" t="s">
        <v>194</v>
      </c>
      <c r="D220" s="21" t="s">
        <v>888</v>
      </c>
      <c r="E220" s="13">
        <v>43027.218761574077</v>
      </c>
      <c r="F220" s="13">
        <v>43027.222361111111</v>
      </c>
      <c r="G220" s="7">
        <v>76</v>
      </c>
      <c r="H220" s="21" t="s">
        <v>363</v>
      </c>
      <c r="I220" s="13">
        <v>43027.231909722221</v>
      </c>
      <c r="J220" s="7">
        <v>0</v>
      </c>
      <c r="K220" s="89" t="str">
        <f t="shared" si="116"/>
        <v>4065/4066</v>
      </c>
      <c r="L220" s="185" t="str">
        <f>VLOOKUP(A220,'Trips&amp;Operators'!$C$1:$G$99911,5,FALSE)</f>
        <v>YANG JAN</v>
      </c>
      <c r="M220" s="6">
        <f t="shared" si="117"/>
        <v>9.5486111094942316E-3</v>
      </c>
      <c r="N220" s="7">
        <f t="shared" si="106"/>
        <v>13.749999997671694</v>
      </c>
      <c r="O220" s="7"/>
      <c r="P220" s="7"/>
      <c r="Q220" s="22"/>
      <c r="R220" s="174"/>
      <c r="S220" s="221">
        <f t="shared" si="107"/>
        <v>1</v>
      </c>
      <c r="T220" s="174" t="str">
        <f t="shared" si="118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19"/>
        <v>https://d0f6bd738d7f1b3e5a7ca70fe4ff75f0.us-east-1.aws.found.io/app/kibana#/discover/Steve-Slow-Train-Analysis-(2080s-and-2083s)?_g=(refreshInterval:(display:Off,pause:!f,section:0,value:0),time:(from:'2017-10-19T04:15:01-0600',mode:absolute,to:'2017-10-19T06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0" s="204" t="str">
        <f>IF(AA220&lt;VLOOKUP(AG220,Variables!$AC$3:$AD$8,2,FALSE),"Y","N")</f>
        <v>Y</v>
      </c>
      <c r="X220" s="204">
        <f t="shared" si="131"/>
        <v>1</v>
      </c>
      <c r="Y220" s="204">
        <f t="shared" si="114"/>
        <v>2.3620000000000001</v>
      </c>
      <c r="Z220" s="204">
        <f t="shared" si="115"/>
        <v>1.5800000000000002E-2</v>
      </c>
      <c r="AA220" s="204">
        <f t="shared" si="120"/>
        <v>2.3462000000000001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21"/>
        <v>312</v>
      </c>
      <c r="AE220" s="77" t="str">
        <f t="shared" si="122"/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AF220" s="74" t="str">
        <f t="shared" si="123"/>
        <v>"C:\Program Files (x86)\AstroGrep\AstroGrep.exe" /e /r /s /spath="%USERPROFILE%\AppData\Local\Temp\OnboardLogs" /stypes="app*4065*20171019*" /stext=" 11:.+((SYSTEM_STATE.+slice.+state.+changed )|(ment ac)|(multiple cpu faults)|(system.+state.+changed )|(\[timeout)|(PRM\|1\|D)|(kpr)|(kdp)|(train st.+moving)|(\|lc)|(penalty))"</v>
      </c>
      <c r="AG220" s="182" t="str">
        <f t="shared" si="124"/>
        <v>Other</v>
      </c>
      <c r="AH220" s="78" t="str">
        <f t="shared" si="132"/>
        <v>"%USERPROFILE%\Documents\GitHub\eaglep3\Utilities\RefineRTDCRunTimes.py" --tripid 312-19 --locoid 4065 --swversion DE.1.0.9.0 --startMP 300:23620 --initTime 2017-10-19T05:15:01 --startdatetime 2017-10-19T05:20:12 --delay 76 --endMP 204:158 --enddatetime 2017-10-19T05:33:57 --enforcementcount 0 &gt;&gt;%USERPROFILE%\Documents\GitHub\eaglep3-reporting\EC\2017-10-19-refined-times.txt</v>
      </c>
      <c r="AI220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{"issue":{"subject":"","project_id":79,"tracker_id":40,"status_id":1,"priority_id":2,"assigned_to_id":338,"start_date":"2017-10-19","description":"","custom_fields":[{"id":1,"name":"Subdivision","value":"Other"},{"id":4,"name":"Milepost","value":"0.0158"},{"id":17,"name":"Train ID","value":"312-19"},{"id":16,"name":"Locomotive ID","value":"4065"},{"id":130,"name":"Impact","value":""},{"id":150,"name":"Time of Event (Mountain Time)","value":"05:33:57"},{"id":151,"name":"Denver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34"/>
        <v>start /low /b %USERPROFILE%\Documents\GitHub\eaglep3\Utilities\DownloadLogsFromS3.py --loco 4065 --day 2017-10-19</v>
      </c>
      <c r="AN220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36"/>
        <v>https://d0f6bd738d7f1b3e5a7ca70fe4ff75f0.us-east-1.aws.found.io/app/kibana#/discover/Steve-Slow-Train-Analysis-(2080s-and-2083s)?_g=(refreshInterval:(display:Off,pause:!f,section:0,value:0),time:(from:'2017-10-19T04:15:01-0600',mode:absolute,to:'2017-10-19T06:33:57-0600'))&amp;_a=(columns:!('Message%20ID',Summary),filters:!(),index:'emp_*',interval:auto,query:(query_string:(analyze_wildcard:!t,query:'%22rtdc.l.rtdc.4065%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812</v>
      </c>
      <c r="B221" s="7">
        <v>4008</v>
      </c>
      <c r="C221" s="21" t="s">
        <v>194</v>
      </c>
      <c r="D221" s="21" t="s">
        <v>538</v>
      </c>
      <c r="E221" s="13">
        <v>43028.030578703707</v>
      </c>
      <c r="F221" s="13">
        <v>43028.033310185187</v>
      </c>
      <c r="G221" s="7">
        <v>89</v>
      </c>
      <c r="H221" s="21" t="s">
        <v>885</v>
      </c>
      <c r="I221" s="13">
        <v>25568.708333333332</v>
      </c>
      <c r="J221" s="7">
        <v>0</v>
      </c>
      <c r="K221" s="89" t="str">
        <f t="shared" si="116"/>
        <v>4007/4008</v>
      </c>
      <c r="L221" s="185" t="str">
        <f>VLOOKUP(A221,'Trips&amp;Operators'!$C$1:$G$99911,5,FALSE)</f>
        <v>ANDERS STEVEN</v>
      </c>
      <c r="M221" s="6">
        <f t="shared" si="117"/>
        <v>-17459.324976851854</v>
      </c>
      <c r="N221" s="7">
        <f t="shared" si="106"/>
        <v>-25141427.966666669</v>
      </c>
      <c r="O221" s="7"/>
      <c r="P221" s="7"/>
      <c r="Q221" s="22"/>
      <c r="R221" s="174"/>
      <c r="S221" s="221">
        <f t="shared" si="107"/>
        <v>1</v>
      </c>
      <c r="T221" s="174" t="str">
        <f t="shared" si="118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19"/>
        <v>https://d0f6bd738d7f1b3e5a7ca70fe4ff75f0.us-east-1.aws.found.io/app/kibana#/discover/Steve-Slow-Train-Analysis-(2080s-and-2083s)?_g=(refreshInterval:(display:Off,pause:!f,section:0,value:0),time:(from:'2017-10-19T23:44:02-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204" t="str">
        <f>IF(AA221&lt;VLOOKUP(AG221,Variables!$AC$3:$AD$8,2,FALSE),"Y","N")</f>
        <v>Y</v>
      </c>
      <c r="X221" s="204">
        <f t="shared" si="131"/>
        <v>1</v>
      </c>
      <c r="Y221" s="204">
        <f t="shared" si="114"/>
        <v>4.8399999999999999E-2</v>
      </c>
      <c r="Z221" s="204">
        <f t="shared" si="115"/>
        <v>2.3304</v>
      </c>
      <c r="AA221" s="204">
        <f t="shared" si="120"/>
        <v>2.282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21"/>
        <v>313</v>
      </c>
      <c r="AE221" s="77" t="str">
        <f t="shared" si="122"/>
        <v>aws s3 cp s3://rtdc.mdm.uploadarchive.raw/RTDC4008/ "%USERPROFILE%\AppData\Local\Temp\OnboardLogs"\RTDC4008\2017-10-20 --exclude "*" --recursive --include "*20171020*" &amp; "%USERPROFILE%\Documents\GitHub\mrs-test-scripts\Headless Mode &amp; Sideloading\WalkAndUnGZ.bat" "%USERPROFILE%\AppData\Local\Temp\OnboardLogs"\RTDC4008\2017-10-20 &amp; aws s3 cp s3://rtdc.mdm.uploadarchive.raw/RTDC4008/ "%USERPROFILE%\AppData\Local\Temp\OnboardLogs"\RTDC4008\2017-10-21 --exclude "*" --recursive --include "*20171021*" &amp; "%USERPROFILE%\Documents\GitHub\mrs-test-scripts\Headless Mode &amp; Sideloading\WalkAndUnGZ.bat" "%USERPROFILE%\AppData\Local\Temp\OnboardLogs"\RTDC4008\2017-10-21</v>
      </c>
      <c r="AF221" s="74" t="str">
        <f t="shared" si="123"/>
        <v>"C:\Program Files (x86)\AstroGrep\AstroGrep.exe" /e /r /s /spath="%USERPROFILE%\AppData\Local\Temp\OnboardLogs" /stypes="app*4008*19691231*" /stext=" 23:.+((SYSTEM_STATE.+slice.+state.+changed )|(ment ac)|(multiple cpu faults)|(system.+state.+changed )|(\[timeout)|(PRM\|1\|D)|(kpr)|(kdp)|(train st.+moving)|(\|lc)|(penalty))"</v>
      </c>
      <c r="AG221" s="182" t="str">
        <f t="shared" si="124"/>
        <v>Other</v>
      </c>
      <c r="AH221" s="78" t="str">
        <f t="shared" si="132"/>
        <v>"%USERPROFILE%\Documents\GitHub\eaglep3\Utilities\RefineRTDCRunTimes.py" --tripid 313-19 --locoid 4008 --swversion DE.1.0.9.0 --startMP 204:484 --initTime 2017-10-20T00:44:02 --startdatetime 2017-10-20T00:47:58 --delay 89 --endMP 300:23304 --enddatetime 1969-12-31T17:00:00 --enforcementcount 0 &gt;&gt;%USERPROFILE%\Documents\GitHub\eaglep3-reporting\EC\2017-10-19-refined-times.txt</v>
      </c>
      <c r="AI221" s="96" t="str">
        <f t="shared" si="133"/>
        <v>echo {"issue":{"subject":"","project_id":79,"tracker_id":40,"status_id":1,"priority_id":2,"assigned_to_id":338,"start_date":"1969-12-31","description":"","custom_fields":[{"id":1,"name":"Subdivision","value":"Other"},{"id":4,"name":"Milepost","value":"2.3304"},{"id":17,"name":"Train ID","value":"313-19"},{"id":16,"name":"Locomotive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34"/>
        <v>start /low /b %USERPROFILE%\Documents\GitHub\eaglep3\Utilities\DownloadLogsFromS3.py --loco 4008 --day 2017-10-20</v>
      </c>
      <c r="AN221" s="151" t="str">
        <f t="shared" si="13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36"/>
        <v>https://d0f6bd738d7f1b3e5a7ca70fe4ff75f0.us-east-1.aws.found.io/app/kibana#/discover/Steve-Slow-Train-Analysis-(2080s-and-2083s)?_g=(refreshInterval:(display:Off,pause:!f,section:0,value:0),time:(from:'2017-10-19T23:44:02-0600',mode:absolute,to:'1969-12-31T18:00:00-0600'))&amp;_a=(columns:!('Message%20ID',Summary),filters:!(),index:'emp_*',interval:auto,query:(query_string:(analyze_wildcard:!t,query:'%22rtdc.l.rtdc.4008%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565</v>
      </c>
      <c r="B222" s="7">
        <v>4024</v>
      </c>
      <c r="C222" s="21" t="s">
        <v>194</v>
      </c>
      <c r="D222" s="21" t="s">
        <v>973</v>
      </c>
      <c r="E222" s="13">
        <v>43027.202476851853</v>
      </c>
      <c r="F222" s="13">
        <v>43027.207685185182</v>
      </c>
      <c r="G222" s="7">
        <v>75</v>
      </c>
      <c r="H222" s="21" t="s">
        <v>547</v>
      </c>
      <c r="I222" s="13">
        <v>43027.213506944441</v>
      </c>
      <c r="J222" s="7">
        <v>0</v>
      </c>
      <c r="K222" s="89" t="str">
        <f t="shared" si="116"/>
        <v>4023/4024</v>
      </c>
      <c r="L222" s="185" t="str">
        <f>VLOOKUP(A222,'Trips&amp;Operators'!$C$1:$G$99911,5,FALSE)</f>
        <v>DAVIS WENDY</v>
      </c>
      <c r="M222" s="6">
        <f t="shared" si="117"/>
        <v>5.8217592595610768E-3</v>
      </c>
      <c r="N222" s="7">
        <f t="shared" si="106"/>
        <v>8.3833333337679505</v>
      </c>
      <c r="O222" s="7"/>
      <c r="P222" s="7"/>
      <c r="Q222" s="22"/>
      <c r="R222" s="174"/>
      <c r="S222" s="221">
        <f t="shared" si="107"/>
        <v>0</v>
      </c>
      <c r="T222" s="174" t="str">
        <f t="shared" si="118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19"/>
        <v>https://d0f6bd738d7f1b3e5a7ca70fe4ff75f0.us-east-1.aws.found.io/app/kibana#/discover/Steve-Slow-Train-Analysis-(2080s-and-2083s)?_g=(refreshInterval:(display:Off,pause:!f,section:0,value:0),time:(from:'2017-10-19T03:51:34-0600',mode:absolute,to:'2017-10-19T06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2" s="204" t="str">
        <f>IF(AA222&lt;VLOOKUP(AG222,Variables!$AC$3:$AD$8,2,FALSE),"Y","N")</f>
        <v>Y</v>
      </c>
      <c r="X222" s="204">
        <f t="shared" si="131"/>
        <v>588</v>
      </c>
      <c r="Y222" s="204">
        <f t="shared" si="114"/>
        <v>3.0358000000000001</v>
      </c>
      <c r="Z222" s="204">
        <f t="shared" si="115"/>
        <v>5.8967000000000001</v>
      </c>
      <c r="AA222" s="204">
        <f t="shared" si="120"/>
        <v>2.8609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21"/>
        <v>901</v>
      </c>
      <c r="AE222" s="77" t="str">
        <f t="shared" si="122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222" s="74" t="str">
        <f t="shared" si="123"/>
        <v>"C:\Program Files (x86)\AstroGrep\AstroGrep.exe" /e /r /s /spath="%USERPROFILE%\AppData\Local\Temp\OnboardLogs" /stypes="app*4024*20171019*" /stext=" 11:.+((SYSTEM_STATE.+slice.+state.+changed )|(ment ac)|(multiple cpu faults)|(system.+state.+changed )|(\[timeout)|(PRM\|1\|D)|(kpr)|(kdp)|(train st.+moving)|(\|lc)|(penalty))"</v>
      </c>
      <c r="AG222" s="182" t="str">
        <f t="shared" si="124"/>
        <v>Other</v>
      </c>
      <c r="AH222" s="78" t="str">
        <f t="shared" si="132"/>
        <v>"%USERPROFILE%\Documents\GitHub\eaglep3\Utilities\RefineRTDCRunTimes.py" --tripid 901-19 --locoid 4024 --swversion DE.1.0.9.0 --startMP 300:30358 --initTime 2017-10-19T04:51:34 --startdatetime 2017-10-19T04:59:04 --delay 75 --endMP 300:58967 --enddatetime 2017-10-19T05:07:27 --enforcementcount 0 &gt;&gt;%USERPROFILE%\Documents\GitHub\eaglep3-reporting\EC\2017-10-19-refined-times.txt</v>
      </c>
      <c r="AI222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{"issue":{"subject":"","project_id":79,"tracker_id":40,"status_id":1,"priority_id":2,"assigned_to_id":338,"start_date":"2017-10-19","description":"","custom_fields":[{"id":1,"name":"Subdivision","value":"Other"},{"id":4,"name":"Milepost","value":"5.8967"},{"id":17,"name":"Train ID","value":"901-19"},{"id":16,"name":"Locomotive ID","value":"4024"},{"id":130,"name":"Impact","value":""},{"id":150,"name":"Time of Event (Mountain Time)","value":"05:07:27"},{"id":151,"name":"Denver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34"/>
        <v>start /low /b %USERPROFILE%\Documents\GitHub\eaglep3\Utilities\DownloadLogsFromS3.py --loco 4024 --day 2017-10-19</v>
      </c>
      <c r="AN222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36"/>
        <v>https://d0f6bd738d7f1b3e5a7ca70fe4ff75f0.us-east-1.aws.found.io/app/kibana#/discover/Steve-Slow-Train-Analysis-(2080s-and-2083s)?_g=(refreshInterval:(display:Off,pause:!f,section:0,value:0),time:(from:'2017-10-19T03:51:34-0600',mode:absolute,to:'2017-10-19T06:07:27-0600'))&amp;_a=(columns:!('Message%20ID',Summary),filters:!(),index:'emp_*',interval:auto,query:(query_string:(analyze_wildcard:!t,query:'%22rtdc.l.rtdc.4024%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620</v>
      </c>
      <c r="B223" s="7">
        <v>4043</v>
      </c>
      <c r="C223" s="21" t="s">
        <v>194</v>
      </c>
      <c r="D223" s="21" t="s">
        <v>974</v>
      </c>
      <c r="E223" s="13">
        <v>43027.236157407409</v>
      </c>
      <c r="F223" s="13">
        <v>43027.240069444444</v>
      </c>
      <c r="G223" s="7">
        <v>70</v>
      </c>
      <c r="H223" s="21" t="s">
        <v>550</v>
      </c>
      <c r="I223" s="13">
        <v>43027.245729166665</v>
      </c>
      <c r="J223" s="7">
        <v>0</v>
      </c>
      <c r="K223" s="89" t="str">
        <f t="shared" si="116"/>
        <v>4043/4044</v>
      </c>
      <c r="L223" s="185" t="str">
        <f>VLOOKUP(A223,'Trips&amp;Operators'!$C$1:$G$99911,5,FALSE)</f>
        <v>FORTUNATO FRANK</v>
      </c>
      <c r="M223" s="6">
        <f t="shared" si="117"/>
        <v>5.6597222210257314E-3</v>
      </c>
      <c r="N223" s="7">
        <f t="shared" si="106"/>
        <v>8.1499999982770532</v>
      </c>
      <c r="O223" s="7"/>
      <c r="P223" s="7"/>
      <c r="Q223" s="22"/>
      <c r="R223" s="174"/>
      <c r="S223" s="221">
        <f t="shared" si="107"/>
        <v>1</v>
      </c>
      <c r="T223" s="174" t="str">
        <f t="shared" si="118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19"/>
        <v>https://d0f6bd738d7f1b3e5a7ca70fe4ff75f0.us-east-1.aws.found.io/app/kibana#/discover/Steve-Slow-Train-Analysis-(2080s-and-2083s)?_g=(refreshInterval:(display:Off,pause:!f,section:0,value:0),time:(from:'2017-10-19T04:40:04-0600',mode:absolute,to:'2017-10-19T06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204" t="str">
        <f>IF(AA223&lt;VLOOKUP(AG223,Variables!$AC$3:$AD$8,2,FALSE),"Y","N")</f>
        <v>Y</v>
      </c>
      <c r="X223" s="204">
        <f t="shared" si="131"/>
        <v>1</v>
      </c>
      <c r="Y223" s="204">
        <f t="shared" si="114"/>
        <v>2.3763999999999998</v>
      </c>
      <c r="Z223" s="204">
        <f t="shared" si="115"/>
        <v>7.1300000000000002E-2</v>
      </c>
      <c r="AA223" s="204">
        <f t="shared" si="120"/>
        <v>2.3050999999999999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21"/>
        <v>902</v>
      </c>
      <c r="AE223" s="77" t="str">
        <f t="shared" si="122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223" s="74" t="str">
        <f t="shared" si="123"/>
        <v>"C:\Program Files (x86)\AstroGrep\AstroGrep.exe" /e /r /s /spath="%USERPROFILE%\AppData\Local\Temp\OnboardLogs" /stypes="app*4043*20171019*" /stext=" 11:.+((SYSTEM_STATE.+slice.+state.+changed )|(ment ac)|(multiple cpu faults)|(system.+state.+changed )|(\[timeout)|(PRM\|1\|D)|(kpr)|(kdp)|(train st.+moving)|(\|lc)|(penalty))"</v>
      </c>
      <c r="AG223" s="182" t="str">
        <f t="shared" si="124"/>
        <v>Other</v>
      </c>
      <c r="AH223" s="78" t="str">
        <f t="shared" si="132"/>
        <v>"%USERPROFILE%\Documents\GitHub\eaglep3\Utilities\RefineRTDCRunTimes.py" --tripid 902-19 --locoid 4043 --swversion DE.1.0.9.0 --startMP 300:23764 --initTime 2017-10-19T05:40:04 --startdatetime 2017-10-19T05:45:42 --delay 70 --endMP 204:713 --enddatetime 2017-10-19T05:53:51 --enforcementcount 0 &gt;&gt;%USERPROFILE%\Documents\GitHub\eaglep3-reporting\EC\2017-10-19-refined-times.txt</v>
      </c>
      <c r="AI223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{"issue":{"subject":"","project_id":79,"tracker_id":40,"status_id":1,"priority_id":2,"assigned_to_id":338,"start_date":"2017-10-19","description":"","custom_fields":[{"id":1,"name":"Subdivision","value":"Other"},{"id":4,"name":"Milepost","value":"0.0713"},{"id":17,"name":"Train ID","value":"902-19"},{"id":16,"name":"Locomotive ID","value":"4043"},{"id":130,"name":"Impact","value":""},{"id":150,"name":"Time of Event (Mountain Time)","value":"05:53:51"},{"id":151,"name":"Denver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34"/>
        <v>start /low /b %USERPROFILE%\Documents\GitHub\eaglep3\Utilities\DownloadLogsFromS3.py --loco 4043 --day 2017-10-19</v>
      </c>
      <c r="AN223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36"/>
        <v>https://d0f6bd738d7f1b3e5a7ca70fe4ff75f0.us-east-1.aws.found.io/app/kibana#/discover/Steve-Slow-Train-Analysis-(2080s-and-2083s)?_g=(refreshInterval:(display:Off,pause:!f,section:0,value:0),time:(from:'2017-10-19T04:40:04-0600',mode:absolute,to:'2017-10-19T06:53:51-0600'))&amp;_a=(columns:!('Message%20ID',Summary),filters:!(),index:'emp_*',interval:auto,query:(query_string:(analyze_wildcard:!t,query:'%22rtdc.l.rtdc.4043%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654</v>
      </c>
      <c r="B224" s="7">
        <v>4024</v>
      </c>
      <c r="C224" s="21" t="s">
        <v>194</v>
      </c>
      <c r="D224" s="21" t="s">
        <v>367</v>
      </c>
      <c r="E224" s="13">
        <v>43027.354016203702</v>
      </c>
      <c r="F224" s="13">
        <v>43027.35565972222</v>
      </c>
      <c r="G224" s="7">
        <v>56</v>
      </c>
      <c r="H224" s="21" t="s">
        <v>975</v>
      </c>
      <c r="I224" s="13">
        <v>43027.361493055556</v>
      </c>
      <c r="J224" s="7">
        <v>0</v>
      </c>
      <c r="K224" s="89" t="str">
        <f t="shared" si="116"/>
        <v>4023/4024</v>
      </c>
      <c r="L224" s="185" t="str">
        <f>VLOOKUP(A224,'Trips&amp;Operators'!$C$1:$G$99911,5,FALSE)</f>
        <v>DAVIS WENDY</v>
      </c>
      <c r="M224" s="6">
        <f t="shared" si="117"/>
        <v>5.8333333363407291E-3</v>
      </c>
      <c r="N224" s="7">
        <f t="shared" si="106"/>
        <v>8.40000000433065</v>
      </c>
      <c r="O224" s="7"/>
      <c r="P224" s="7"/>
      <c r="Q224" s="22"/>
      <c r="R224" s="174"/>
      <c r="S224" s="221">
        <f t="shared" si="107"/>
        <v>1</v>
      </c>
      <c r="T224" s="174" t="str">
        <f t="shared" si="118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119"/>
        <v>https://d0f6bd738d7f1b3e5a7ca70fe4ff75f0.us-east-1.aws.found.io/app/kibana#/discover/Steve-Slow-Train-Analysis-(2080s-and-2083s)?_g=(refreshInterval:(display:Off,pause:!f,section:0,value:0),time:(from:'2017-10-19T07:29:47-0600',mode:absolute,to:'2017-10-19T09:40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4" s="204" t="str">
        <f>IF(AA224&lt;VLOOKUP(AG224,Variables!$AC$3:$AD$8,2,FALSE),"Y","N")</f>
        <v>Y</v>
      </c>
      <c r="X224" s="204">
        <f t="shared" si="131"/>
        <v>1</v>
      </c>
      <c r="Y224" s="204">
        <f t="shared" si="114"/>
        <v>4.5100000000000001E-2</v>
      </c>
      <c r="Z224" s="204">
        <f t="shared" si="115"/>
        <v>2.4220000000000002</v>
      </c>
      <c r="AA224" s="204">
        <f t="shared" si="120"/>
        <v>2.3769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21"/>
        <v>903</v>
      </c>
      <c r="AE224" s="77" t="str">
        <f t="shared" si="122"/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AF224" s="74" t="str">
        <f t="shared" si="123"/>
        <v>"C:\Program Files (x86)\AstroGrep\AstroGrep.exe" /e /r /s /spath="%USERPROFILE%\AppData\Local\Temp\OnboardLogs" /stypes="app*4024*20171019*" /stext=" 14:.+((SYSTEM_STATE.+slice.+state.+changed )|(ment ac)|(multiple cpu faults)|(system.+state.+changed )|(\[timeout)|(PRM\|1\|D)|(kpr)|(kdp)|(train st.+moving)|(\|lc)|(penalty))"</v>
      </c>
      <c r="AG224" s="182" t="str">
        <f t="shared" si="124"/>
        <v>Other</v>
      </c>
      <c r="AH224" s="78" t="str">
        <f t="shared" si="132"/>
        <v>"%USERPROFILE%\Documents\GitHub\eaglep3\Utilities\RefineRTDCRunTimes.py" --tripid 903-19 --locoid 4024 --swversion DE.1.0.9.0 --startMP 204:451 --initTime 2017-10-19T08:29:47 --startdatetime 2017-10-19T08:32:09 --delay 56 --endMP 300:24220 --enddatetime 2017-10-19T08:40:33 --enforcementcount 0 &gt;&gt;%USERPROFILE%\Documents\GitHub\eaglep3-reporting\EC\2017-10-19-refined-times.txt</v>
      </c>
      <c r="AI224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{"issue":{"subject":"","project_id":79,"tracker_id":40,"status_id":1,"priority_id":2,"assigned_to_id":338,"start_date":"2017-10-19","description":"","custom_fields":[{"id":1,"name":"Subdivision","value":"Other"},{"id":4,"name":"Milepost","value":"2.422"},{"id":17,"name":"Train ID","value":"903-19"},{"id":16,"name":"Locomotive ID","value":"4024"},{"id":130,"name":"Impact","value":""},{"id":150,"name":"Time of Event (Mountain Time)","value":"08:40:33"},{"id":151,"name":"Denver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34"/>
        <v>start /low /b %USERPROFILE%\Documents\GitHub\eaglep3\Utilities\DownloadLogsFromS3.py --loco 4024 --day 2017-10-19</v>
      </c>
      <c r="AN224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14:40:33"},{"id":29,"name":"Sharepoint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36"/>
        <v>https://d0f6bd738d7f1b3e5a7ca70fe4ff75f0.us-east-1.aws.found.io/app/kibana#/discover/Steve-Slow-Train-Analysis-(2080s-and-2083s)?_g=(refreshInterval:(display:Off,pause:!f,section:0,value:0),time:(from:'2017-10-19T07:29:47-0600',mode:absolute,to:'2017-10-19T09:40:33-0600'))&amp;_a=(columns:!('Message%20ID',Summary),filters:!(),index:'emp_*',interval:auto,query:(query_string:(analyze_wildcard:!t,query:'%22rtdc.l.rtdc.4024%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719</v>
      </c>
      <c r="B225" s="7">
        <v>4023</v>
      </c>
      <c r="C225" s="21" t="s">
        <v>194</v>
      </c>
      <c r="D225" s="21" t="s">
        <v>881</v>
      </c>
      <c r="E225" s="13">
        <v>43027.626655092594</v>
      </c>
      <c r="F225" s="13">
        <v>43027.631157407406</v>
      </c>
      <c r="G225" s="7">
        <v>135</v>
      </c>
      <c r="H225" s="21" t="s">
        <v>976</v>
      </c>
      <c r="I225" s="13">
        <v>43027.637187499997</v>
      </c>
      <c r="J225" s="7">
        <v>0</v>
      </c>
      <c r="K225" s="89" t="str">
        <f t="shared" si="116"/>
        <v>4023/4024</v>
      </c>
      <c r="L225" s="185" t="str">
        <f>VLOOKUP(A225,'Trips&amp;Operators'!$C$1:$G$99911,5,FALSE)</f>
        <v>BIRKHOLZ NADINE</v>
      </c>
      <c r="M225" s="6">
        <f t="shared" si="117"/>
        <v>6.0300925906631164E-3</v>
      </c>
      <c r="N225" s="7">
        <f t="shared" si="106"/>
        <v>8.6833333305548877</v>
      </c>
      <c r="O225" s="7"/>
      <c r="P225" s="7"/>
      <c r="Q225" s="22"/>
      <c r="R225" s="174"/>
      <c r="S225" s="221">
        <f t="shared" si="107"/>
        <v>1</v>
      </c>
      <c r="T225" s="174" t="str">
        <f t="shared" si="118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19"/>
        <v>https://d0f6bd738d7f1b3e5a7ca70fe4ff75f0.us-east-1.aws.found.io/app/kibana#/discover/Steve-Slow-Train-Analysis-(2080s-and-2083s)?_g=(refreshInterval:(display:Off,pause:!f,section:0,value:0),time:(from:'2017-10-19T14:02:23-0600',mode:absolute,to:'2017-10-19T16:17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5" s="204" t="str">
        <f>IF(AA225&lt;VLOOKUP(AG225,Variables!$AC$3:$AD$8,2,FALSE),"Y","N")</f>
        <v>Y</v>
      </c>
      <c r="X225" s="204">
        <f t="shared" si="131"/>
        <v>1</v>
      </c>
      <c r="Y225" s="204">
        <f t="shared" si="114"/>
        <v>2.3677000000000001</v>
      </c>
      <c r="Z225" s="204">
        <f t="shared" si="115"/>
        <v>6.7799999999999999E-2</v>
      </c>
      <c r="AA225" s="204">
        <f t="shared" si="120"/>
        <v>2.2999000000000001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21"/>
        <v>904</v>
      </c>
      <c r="AE225" s="77" t="str">
        <f t="shared" si="122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225" s="74" t="str">
        <f t="shared" si="123"/>
        <v>"C:\Program Files (x86)\AstroGrep\AstroGrep.exe" /e /r /s /spath="%USERPROFILE%\AppData\Local\Temp\OnboardLogs" /stypes="app*4023*20171019*" /stext=" 21:.+((SYSTEM_STATE.+slice.+state.+changed )|(ment ac)|(multiple cpu faults)|(system.+state.+changed )|(\[timeout)|(PRM\|1\|D)|(kpr)|(kdp)|(train st.+moving)|(\|lc)|(penalty))"</v>
      </c>
      <c r="AG225" s="182" t="str">
        <f t="shared" si="124"/>
        <v>Other</v>
      </c>
      <c r="AH225" s="78" t="str">
        <f t="shared" si="132"/>
        <v>"%USERPROFILE%\Documents\GitHub\eaglep3\Utilities\RefineRTDCRunTimes.py" --tripid 904-19 --locoid 4023 --swversion DE.1.0.9.0 --startMP 300:23677 --initTime 2017-10-19T15:02:23 --startdatetime 2017-10-19T15:08:52 --delay 135 --endMP 204:678 --enddatetime 2017-10-19T15:17:33 --enforcementcount 0 &gt;&gt;%USERPROFILE%\Documents\GitHub\eaglep3-reporting\EC\2017-10-19-refined-times.txt</v>
      </c>
      <c r="AI225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{"issue":{"subject":"","project_id":79,"tracker_id":40,"status_id":1,"priority_id":2,"assigned_to_id":338,"start_date":"2017-10-19","description":"","custom_fields":[{"id":1,"name":"Subdivision","value":"Other"},{"id":4,"name":"Milepost","value":"0.0678"},{"id":17,"name":"Train ID","value":"904-19"},{"id":16,"name":"Locomotive ID","value":"4023"},{"id":130,"name":"Impact","value":""},{"id":150,"name":"Time of Event (Mountain Time)","value":"15:17:33"},{"id":151,"name":"Denver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34"/>
        <v>start /low /b %USERPROFILE%\Documents\GitHub\eaglep3\Utilities\DownloadLogsFromS3.py --loco 4023 --day 2017-10-19</v>
      </c>
      <c r="AN225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21:17:33"},{"id":29,"name":"Sharepoint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36"/>
        <v>https://d0f6bd738d7f1b3e5a7ca70fe4ff75f0.us-east-1.aws.found.io/app/kibana#/discover/Steve-Slow-Train-Analysis-(2080s-and-2083s)?_g=(refreshInterval:(display:Off,pause:!f,section:0,value:0),time:(from:'2017-10-19T14:02:23-0600',mode:absolute,to:'2017-10-19T16:17:33-0600'))&amp;_a=(columns:!('Message%20ID',Summary),filters:!(),index:'emp_*',interval:auto,query:(query_string:(analyze_wildcard:!t,query:'%22rtdc.l.rtdc.4023%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775</v>
      </c>
      <c r="B226" s="7">
        <v>4023</v>
      </c>
      <c r="C226" s="21" t="s">
        <v>194</v>
      </c>
      <c r="D226" s="21" t="s">
        <v>977</v>
      </c>
      <c r="E226" s="13">
        <v>43027.789097222223</v>
      </c>
      <c r="F226" s="13">
        <v>43027.791030092594</v>
      </c>
      <c r="G226" s="7">
        <v>65</v>
      </c>
      <c r="H226" s="21" t="s">
        <v>557</v>
      </c>
      <c r="I226" s="13">
        <v>43027.79792824074</v>
      </c>
      <c r="J226" s="7">
        <v>0</v>
      </c>
      <c r="K226" s="89" t="str">
        <f t="shared" si="116"/>
        <v>4023/4024</v>
      </c>
      <c r="L226" s="185" t="str">
        <f>VLOOKUP(A226,'Trips&amp;Operators'!$C$1:$G$99911,5,FALSE)</f>
        <v>BIRKHOLZ NADINE</v>
      </c>
      <c r="M226" s="6">
        <f t="shared" si="117"/>
        <v>6.8981481454102322E-3</v>
      </c>
      <c r="N226" s="7">
        <f t="shared" si="106"/>
        <v>9.9333333293907344</v>
      </c>
      <c r="O226" s="7"/>
      <c r="P226" s="7"/>
      <c r="Q226" s="22"/>
      <c r="R226" s="174"/>
      <c r="S226" s="221">
        <f t="shared" si="107"/>
        <v>0</v>
      </c>
      <c r="T226" s="174" t="str">
        <f t="shared" si="118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19"/>
        <v>https://d0f6bd738d7f1b3e5a7ca70fe4ff75f0.us-east-1.aws.found.io/app/kibana#/discover/Steve-Slow-Train-Analysis-(2080s-and-2083s)?_g=(refreshInterval:(display:Off,pause:!f,section:0,value:0),time:(from:'2017-10-19T17:56:18-0600',mode:absolute,to:'2017-10-19T20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>IF(AA226&lt;VLOOKUP(AG226,Variables!$AC$3:$AD$8,2,FALSE),"Y","N")</f>
        <v>Y</v>
      </c>
      <c r="X226" s="204">
        <f t="shared" si="131"/>
        <v>2</v>
      </c>
      <c r="Y226" s="204">
        <f t="shared" si="114"/>
        <v>5.86</v>
      </c>
      <c r="Z226" s="204">
        <f t="shared" si="115"/>
        <v>2.8778000000000001</v>
      </c>
      <c r="AA226" s="204">
        <f t="shared" si="120"/>
        <v>2.9822000000000002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21"/>
        <v>906</v>
      </c>
      <c r="AE226" s="77" t="str">
        <f t="shared" si="122"/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AF226" s="74" t="str">
        <f t="shared" si="123"/>
        <v>"C:\Program Files (x86)\AstroGrep\AstroGrep.exe" /e /r /s /spath="%USERPROFILE%\AppData\Local\Temp\OnboardLogs" /stypes="app*4023*20171020*" /stext=" 01:.+((SYSTEM_STATE.+slice.+state.+changed )|(ment ac)|(multiple cpu faults)|(system.+state.+changed )|(\[timeout)|(PRM\|1\|D)|(kpr)|(kdp)|(train st.+moving)|(\|lc)|(penalty))"</v>
      </c>
      <c r="AG226" s="182" t="str">
        <f t="shared" si="124"/>
        <v>Other</v>
      </c>
      <c r="AH226" s="78" t="str">
        <f t="shared" si="132"/>
        <v>"%USERPROFILE%\Documents\GitHub\eaglep3\Utilities\RefineRTDCRunTimes.py" --tripid 906-19 --locoid 4023 --swversion DE.1.0.9.0 --startMP 300:58600 --initTime 2017-10-19T18:56:18 --startdatetime 2017-10-19T18:59:05 --delay 65 --endMP 300:28778 --enddatetime 2017-10-19T19:09:01 --enforcementcount 0 &gt;&gt;%USERPROFILE%\Documents\GitHub\eaglep3-reporting\EC\2017-10-19-refined-times.txt</v>
      </c>
      <c r="AI226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{"issue":{"subject":"","project_id":79,"tracker_id":40,"status_id":1,"priority_id":2,"assigned_to_id":338,"start_date":"2017-10-19","description":"","custom_fields":[{"id":1,"name":"Subdivision","value":"Other"},{"id":4,"name":"Milepost","value":"2.8778"},{"id":17,"name":"Train ID","value":"906-19"},{"id":16,"name":"Locomotive ID","value":"4023"},{"id":130,"name":"Impact","value":""},{"id":150,"name":"Time of Event (Mountain Time)","value":"19:09:01"},{"id":151,"name":"Denver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34"/>
        <v>start /low /b %USERPROFILE%\Documents\GitHub\eaglep3\Utilities\DownloadLogsFromS3.py --loco 4023 --day 2017-10-19</v>
      </c>
      <c r="AN226" s="151" t="str">
        <f t="shared" si="135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01:09:01"},{"id":29,"name":"Sharepoint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36"/>
        <v>https://d0f6bd738d7f1b3e5a7ca70fe4ff75f0.us-east-1.aws.found.io/app/kibana#/discover/Steve-Slow-Train-Analysis-(2080s-and-2083s)?_g=(refreshInterval:(display:Off,pause:!f,section:0,value:0),time:(from:'2017-10-19T17:56:18-0600',mode:absolute,to:'2017-10-19T20:09:01-0600'))&amp;_a=(columns:!('Message%20ID',Summary),filters:!(),index:'emp_*',interval:auto,query:(query_string:(analyze_wildcard:!t,query:'%22rtdc.l.rtdc.4023%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806</v>
      </c>
      <c r="B227" s="7">
        <v>4043</v>
      </c>
      <c r="C227" s="21" t="s">
        <v>194</v>
      </c>
      <c r="D227" s="21" t="s">
        <v>978</v>
      </c>
      <c r="E227" s="13">
        <v>43027.976145833331</v>
      </c>
      <c r="F227" s="13">
        <v>43027.977789351855</v>
      </c>
      <c r="G227" s="7">
        <v>56</v>
      </c>
      <c r="H227" s="21" t="s">
        <v>979</v>
      </c>
      <c r="I227" s="13">
        <v>43027.986712962964</v>
      </c>
      <c r="J227" s="7">
        <v>0</v>
      </c>
      <c r="K227" s="89" t="str">
        <f t="shared" si="116"/>
        <v>4043/4044</v>
      </c>
      <c r="L227" s="185" t="str">
        <f>VLOOKUP(A227,'Trips&amp;Operators'!$C$1:$G$99911,5,FALSE)</f>
        <v>BIRKHOLZ NADINE</v>
      </c>
      <c r="M227" s="6">
        <f t="shared" si="117"/>
        <v>8.923611108912155E-3</v>
      </c>
      <c r="N227" s="7">
        <f t="shared" si="106"/>
        <v>12.849999996833503</v>
      </c>
      <c r="O227" s="7"/>
      <c r="P227" s="7"/>
      <c r="Q227" s="22"/>
      <c r="R227" s="174"/>
      <c r="S227" s="221">
        <f t="shared" si="107"/>
        <v>0</v>
      </c>
      <c r="T227" s="174" t="str">
        <f t="shared" si="118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119"/>
        <v>https://d0f6bd738d7f1b3e5a7ca70fe4ff75f0.us-east-1.aws.found.io/app/kibana#/discover/Steve-Slow-Train-Analysis-(2080s-and-2083s)?_g=(refreshInterval:(display:Off,pause:!f,section:0,value:0),time:(from:'2017-10-19T22:25:39-0600',mode:absolute,to:'2017-10-20T00:40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7" s="204" t="str">
        <f>IF(AA227&lt;VLOOKUP(AG227,Variables!$AC$3:$AD$8,2,FALSE),"Y","N")</f>
        <v>Y</v>
      </c>
      <c r="X227" s="204">
        <f t="shared" si="131"/>
        <v>2</v>
      </c>
      <c r="Y227" s="204">
        <f t="shared" si="114"/>
        <v>5.8624000000000001</v>
      </c>
      <c r="Z227" s="204">
        <f t="shared" si="115"/>
        <v>2.8793000000000002</v>
      </c>
      <c r="AA227" s="204">
        <f t="shared" si="120"/>
        <v>2.9830999999999999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21"/>
        <v>908</v>
      </c>
      <c r="AE227" s="77" t="str">
        <f t="shared" si="122"/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AF227" s="74" t="str">
        <f t="shared" si="123"/>
        <v>"C:\Program Files (x86)\AstroGrep\AstroGrep.exe" /e /r /s /spath="%USERPROFILE%\AppData\Local\Temp\OnboardLogs" /stypes="app*4043*20171020*" /stext=" 05:.+((SYSTEM_STATE.+slice.+state.+changed )|(ment ac)|(multiple cpu faults)|(system.+state.+changed )|(\[timeout)|(PRM\|1\|D)|(kpr)|(kdp)|(train st.+moving)|(\|lc)|(penalty))"</v>
      </c>
      <c r="AG227" s="182" t="str">
        <f t="shared" si="124"/>
        <v>Other</v>
      </c>
      <c r="AH227" s="78" t="str">
        <f t="shared" si="132"/>
        <v>"%USERPROFILE%\Documents\GitHub\eaglep3\Utilities\RefineRTDCRunTimes.py" --tripid 908-19 --locoid 4043 --swversion DE.1.0.9.0 --startMP 300:58624 --initTime 2017-10-19T23:25:39 --startdatetime 2017-10-19T23:28:01 --delay 56 --endMP 300:28793 --enddatetime 2017-10-19T23:40:52 --enforcementcount 0 &gt;&gt;%USERPROFILE%\Documents\GitHub\eaglep3-reporting\EC\2017-10-19-refined-times.txt</v>
      </c>
      <c r="AI227" s="96" t="str">
        <f t="shared" si="133"/>
        <v>echo {"issue":{"subject":"","project_id":79,"tracker_id":40,"status_id":1,"priority_id":2,"assigned_to_id":338,"start_date":"2017-10-19","description":"","custom_fields":[{"id":1,"name":"Subdivision","value":"Other"},{"id":4,"name":"Milepost","value":"2.8793"},{"id":17,"name":"Train ID","value":"908-19"},{"id":16,"name":"Locomotive ID","value":"4043"},{"id":130,"name":"Impact","value":""},{"id":150,"name":"Time of Event (Mountain Time)","value":"23:40:52"},{"id":151,"name":"Denver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34"/>
        <v>start /low /b %USERPROFILE%\Documents\GitHub\eaglep3\Utilities\DownloadLogsFromS3.py --loco 4043 --day 2017-10-19</v>
      </c>
      <c r="AN227" s="151" t="str">
        <f t="shared" si="135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05:40:52"},{"id":29,"name":"Sharepoint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36"/>
        <v>https://d0f6bd738d7f1b3e5a7ca70fe4ff75f0.us-east-1.aws.found.io/app/kibana#/discover/Steve-Slow-Train-Analysis-(2080s-and-2083s)?_g=(refreshInterval:(display:Off,pause:!f,section:0,value:0),time:(from:'2017-10-19T22:25:39-0600',mode:absolute,to:'2017-10-20T00:40:52-0600'))&amp;_a=(columns:!('Message%20ID',Summary),filters:!(),index:'emp_*',interval:auto,query:(query_string:(analyze_wildcard:!t,query:'%22rtdc.l.rtdc.4043%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591</v>
      </c>
      <c r="B228" s="7">
        <v>4052</v>
      </c>
      <c r="C228" s="21" t="s">
        <v>194</v>
      </c>
      <c r="D228" s="21" t="s">
        <v>889</v>
      </c>
      <c r="E228" s="13">
        <v>43027.126319444447</v>
      </c>
      <c r="F228" s="13">
        <v>43027.137337962966</v>
      </c>
      <c r="G228" s="7">
        <v>67</v>
      </c>
      <c r="H228" s="21" t="s">
        <v>890</v>
      </c>
      <c r="I228" s="13">
        <v>43027.139363425929</v>
      </c>
      <c r="J228" s="7">
        <v>0</v>
      </c>
      <c r="K228" s="89" t="str">
        <f t="shared" si="116"/>
        <v>4051/4052</v>
      </c>
      <c r="L228" s="185" t="str">
        <f>VLOOKUP(A228,'Trips&amp;Operators'!$C$1:$G$99911,5,FALSE)</f>
        <v>SPECTOR MICHAEL</v>
      </c>
      <c r="M228" s="6">
        <f t="shared" si="117"/>
        <v>2.0254629635019228E-3</v>
      </c>
      <c r="N228" s="7">
        <f t="shared" si="106"/>
        <v>2.9166666674427688</v>
      </c>
      <c r="O228" s="7"/>
      <c r="P228" s="7"/>
      <c r="Q228" s="22"/>
      <c r="R228" s="174"/>
      <c r="S228" s="221">
        <f t="shared" si="107"/>
        <v>0</v>
      </c>
      <c r="T228" s="174" t="str">
        <f t="shared" si="118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19"/>
        <v>https://d0f6bd738d7f1b3e5a7ca70fe4ff75f0.us-east-1.aws.found.io/app/kibana#/discover/Steve-Slow-Train-Analysis-(2080s-and-2083s)?_g=(refreshInterval:(display:Off,pause:!f,section:0,value:0),time:(from:'2017-10-19T02:01:54-0600',mode:absolute,to:'2017-10-19T04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8" s="204" t="str">
        <f>IF(AA228&lt;VLOOKUP(AG228,Variables!$AC$3:$AD$8,2,FALSE),"Y","N")</f>
        <v>Y</v>
      </c>
      <c r="X228" s="204">
        <f t="shared" si="131"/>
        <v>-857</v>
      </c>
      <c r="Y228" s="204">
        <f t="shared" si="114"/>
        <v>4.2200000000000001E-2</v>
      </c>
      <c r="Z228" s="204">
        <f t="shared" si="115"/>
        <v>0.35420000000000001</v>
      </c>
      <c r="AA228" s="204">
        <f t="shared" si="120"/>
        <v>0.312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21"/>
        <v>51</v>
      </c>
      <c r="AE228" s="77" t="str">
        <f t="shared" si="122"/>
        <v>aws s3 cp s3://rtdc.mdm.uploadarchive.raw/RTDC4052/ "%USERPROFILE%\AppData\Local\Temp\OnboardLogs"\RTDC4052\2017-10-19 --exclude "*" --recursive --include "*20171019*" &amp; "%USERPROFILE%\Documents\GitHub\mrs-test-scripts\Headless Mode &amp; Sideloading\WalkAndUnGZ.bat" "%USERPROFILE%\AppData\Local\Temp\OnboardLogs"\RTDC4052\2017-10-19 &amp; 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</v>
      </c>
      <c r="AF228" s="74" t="str">
        <f t="shared" si="123"/>
        <v>"C:\Program Files (x86)\AstroGrep\AstroGrep.exe" /e /r /s /spath="%USERPROFILE%\AppData\Local\Temp\OnboardLogs" /stypes="app*4052*20171019*" /stext=" 09:.+((SYSTEM_STATE.+slice.+state.+changed )|(ment ac)|(multiple cpu faults)|(system.+state.+changed )|(\[timeout)|(PRM\|1\|D)|(kpr)|(kdp)|(train st.+moving)|(\|lc)|(penalty))"</v>
      </c>
      <c r="AG228" s="182" t="str">
        <f t="shared" si="124"/>
        <v>Shuttle/Test</v>
      </c>
      <c r="AH228" s="78" t="str">
        <f t="shared" si="132"/>
        <v>"%USERPROFILE%\Documents\GitHub\eaglep3\Utilities\RefineRTDCRunTimes.py" --tripid 51-19 --locoid 4052 --swversion DE.1.0.9.0 --startMP 204:422 --initTime 2017-10-19T03:01:54 --startdatetime 2017-10-19T03:17:46 --delay 67 --endMP 204:3542 --enddatetime 2017-10-19T03:20:41 --enforcementcount 0 &gt;&gt;%USERPROFILE%\Documents\GitHub\eaglep3-reporting\EC\2017-10-19-refined-times.txt</v>
      </c>
      <c r="AI228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0.3542"},{"id":17,"name":"Train ID","value":"51-19"},{"id":16,"name":"Locomotive ID","value":"4052"},{"id":130,"name":"Impact","value":""},{"id":150,"name":"Time of Event (Mountain Time)","value":"03:20:41"},{"id":151,"name":"Denver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34"/>
        <v>start /low /b %USERPROFILE%\Documents\GitHub\eaglep3\Utilities\DownloadLogsFromS3.py --loco 4052 --day 2017-10-19</v>
      </c>
      <c r="AN228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09:20:41"},{"id":29,"name":"Sharepoint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36"/>
        <v>https://d0f6bd738d7f1b3e5a7ca70fe4ff75f0.us-east-1.aws.found.io/app/kibana#/discover/Steve-Slow-Train-Analysis-(2080s-and-2083s)?_g=(refreshInterval:(display:Off,pause:!f,section:0,value:0),time:(from:'2017-10-19T02:01:54-0600',mode:absolute,to:'2017-10-19T04:20:41-0600'))&amp;_a=(columns:!('Message%20ID',Summary),filters:!(),index:'emp_*',interval:auto,query:(query_string:(analyze_wildcard:!t,query:'%22rtdc.l.rtdc.4052%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594</v>
      </c>
      <c r="B229" s="7">
        <v>4051</v>
      </c>
      <c r="C229" s="21" t="s">
        <v>194</v>
      </c>
      <c r="D229" s="21" t="s">
        <v>891</v>
      </c>
      <c r="E229" s="13">
        <v>43027.140393518515</v>
      </c>
      <c r="F229" s="13">
        <v>43027.141863425924</v>
      </c>
      <c r="G229" s="7">
        <v>72</v>
      </c>
      <c r="H229" s="21" t="s">
        <v>892</v>
      </c>
      <c r="I229" s="13">
        <v>43027.142905092594</v>
      </c>
      <c r="J229" s="7">
        <v>0</v>
      </c>
      <c r="K229" s="89" t="str">
        <f t="shared" si="116"/>
        <v>4051/4052</v>
      </c>
      <c r="L229" s="185" t="str">
        <f>VLOOKUP(A229,'Trips&amp;Operators'!$C$1:$G$99911,5,FALSE)</f>
        <v>SPECTOR MICHAEL</v>
      </c>
      <c r="M229" s="6">
        <f t="shared" si="117"/>
        <v>1.0416666700621136E-3</v>
      </c>
      <c r="N229" s="7">
        <f t="shared" si="106"/>
        <v>1.5000000048894435</v>
      </c>
      <c r="O229" s="7"/>
      <c r="P229" s="7"/>
      <c r="Q229" s="22"/>
      <c r="R229" s="174"/>
      <c r="S229" s="221">
        <f t="shared" si="107"/>
        <v>0</v>
      </c>
      <c r="T229" s="174" t="str">
        <f t="shared" si="118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19"/>
        <v>https://d0f6bd738d7f1b3e5a7ca70fe4ff75f0.us-east-1.aws.found.io/app/kibana#/discover/Steve-Slow-Train-Analysis-(2080s-and-2083s)?_g=(refreshInterval:(display:Off,pause:!f,section:0,value:0),time:(from:'2017-10-19T02:22:10-0600',mode:absolute,to:'2017-10-19T04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9" s="204" t="str">
        <f>IF(AA229&lt;VLOOKUP(AG229,Variables!$AC$3:$AD$8,2,FALSE),"Y","N")</f>
        <v>Y</v>
      </c>
      <c r="X229" s="204">
        <f t="shared" si="131"/>
        <v>1</v>
      </c>
      <c r="Y229" s="204">
        <f t="shared" si="114"/>
        <v>0.32050000000000001</v>
      </c>
      <c r="Z229" s="204">
        <f t="shared" si="115"/>
        <v>0.1171</v>
      </c>
      <c r="AA229" s="204">
        <f t="shared" si="120"/>
        <v>0.20340000000000003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21"/>
        <v>52</v>
      </c>
      <c r="AE229" s="77" t="str">
        <f t="shared" si="122"/>
        <v>aws s3 cp s3://rtdc.mdm.uploadarchive.raw/RTDC4051/ "%USERPROFILE%\AppData\Local\Temp\OnboardLogs"\RTDC4051\2017-10-19 --exclude "*" --recursive --include "*20171019*" &amp; "%USERPROFILE%\Documents\GitHub\mrs-test-scripts\Headless Mode &amp; Sideloading\WalkAndUnGZ.bat" "%USERPROFILE%\AppData\Local\Temp\OnboardLogs"\RTDC4051\2017-10-19 &amp; aws s3 cp s3://rtdc.mdm.uploadarchive.raw/RTDC4051/ "%USERPROFILE%\AppData\Local\Temp\OnboardLogs"\RTDC4051\2017-10-20 --exclude "*" --recursive --include "*20171020*" &amp; "%USERPROFILE%\Documents\GitHub\mrs-test-scripts\Headless Mode &amp; Sideloading\WalkAndUnGZ.bat" "%USERPROFILE%\AppData\Local\Temp\OnboardLogs"\RTDC4051\2017-10-20</v>
      </c>
      <c r="AF229" s="74" t="str">
        <f t="shared" si="123"/>
        <v>"C:\Program Files (x86)\AstroGrep\AstroGrep.exe" /e /r /s /spath="%USERPROFILE%\AppData\Local\Temp\OnboardLogs" /stypes="app*4051*20171019*" /stext=" 09:.+((SYSTEM_STATE.+slice.+state.+changed )|(ment ac)|(multiple cpu faults)|(system.+state.+changed )|(\[timeout)|(PRM\|1\|D)|(kpr)|(kdp)|(train st.+moving)|(\|lc)|(penalty))"</v>
      </c>
      <c r="AG229" s="182" t="str">
        <f t="shared" si="124"/>
        <v>Shuttle/Test</v>
      </c>
      <c r="AH229" s="78" t="str">
        <f t="shared" si="132"/>
        <v>"%USERPROFILE%\Documents\GitHub\eaglep3\Utilities\RefineRTDCRunTimes.py" --tripid 52-19 --locoid 4051 --swversion DE.1.0.9.0 --startMP 204:3205 --initTime 2017-10-19T03:22:10 --startdatetime 2017-10-19T03:24:17 --delay 72 --endMP 204:1171 --enddatetime 2017-10-19T03:25:47 --enforcementcount 0 &gt;&gt;%USERPROFILE%\Documents\GitHub\eaglep3-reporting\EC\2017-10-19-refined-times.txt</v>
      </c>
      <c r="AI229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0.1171"},{"id":17,"name":"Train ID","value":"52-19"},{"id":16,"name":"Locomotive ID","value":"4051"},{"id":130,"name":"Impact","value":""},{"id":150,"name":"Time of Event (Mountain Time)","value":"03:25:47"},{"id":151,"name":"Denver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34"/>
        <v>start /low /b %USERPROFILE%\Documents\GitHub\eaglep3\Utilities\DownloadLogsFromS3.py --loco 4051 --day 2017-10-19</v>
      </c>
      <c r="AN229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09:25:47"},{"id":29,"name":"Sharepoint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36"/>
        <v>https://d0f6bd738d7f1b3e5a7ca70fe4ff75f0.us-east-1.aws.found.io/app/kibana#/discover/Steve-Slow-Train-Analysis-(2080s-and-2083s)?_g=(refreshInterval:(display:Off,pause:!f,section:0,value:0),time:(from:'2017-10-19T02:22:10-0600',mode:absolute,to:'2017-10-19T04:25:47-0600'))&amp;_a=(columns:!('Message%20ID',Summary),filters:!(),index:'emp_*',interval:auto,query:(query_string:(analyze_wildcard:!t,query:'%22rtdc.l.rtdc.4051%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667</v>
      </c>
      <c r="B230" s="7">
        <v>4021</v>
      </c>
      <c r="C230" s="21" t="s">
        <v>194</v>
      </c>
      <c r="D230" s="21" t="s">
        <v>893</v>
      </c>
      <c r="E230" s="13">
        <v>43027.404699074075</v>
      </c>
      <c r="F230" s="13">
        <v>43027.41064814815</v>
      </c>
      <c r="G230" s="7">
        <v>134</v>
      </c>
      <c r="H230" s="21" t="s">
        <v>894</v>
      </c>
      <c r="I230" s="13">
        <v>43027.416296296295</v>
      </c>
      <c r="J230" s="7">
        <v>0</v>
      </c>
      <c r="K230" s="89" t="str">
        <f t="shared" si="116"/>
        <v>4021/4022</v>
      </c>
      <c r="L230" s="185" t="str">
        <f>VLOOKUP(A230,'Trips&amp;Operators'!$C$1:$G$99911,5,FALSE)</f>
        <v>DAVIS WENDY</v>
      </c>
      <c r="M230" s="6">
        <f t="shared" si="117"/>
        <v>5.648148144246079E-3</v>
      </c>
      <c r="N230" s="7">
        <f t="shared" si="106"/>
        <v>8.1333333277143538</v>
      </c>
      <c r="O230" s="7"/>
      <c r="P230" s="7"/>
      <c r="Q230" s="22"/>
      <c r="R230" s="174"/>
      <c r="S230" s="221">
        <f t="shared" si="107"/>
        <v>1</v>
      </c>
      <c r="T230" s="174" t="str">
        <f t="shared" si="118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119"/>
        <v>https://d0f6bd738d7f1b3e5a7ca70fe4ff75f0.us-east-1.aws.found.io/app/kibana#/discover/Steve-Slow-Train-Analysis-(2080s-and-2083s)?_g=(refreshInterval:(display:Off,pause:!f,section:0,value:0),time:(from:'2017-10-19T08:42:46-0600',mode:absolute,to:'2017-10-19T10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0" s="204" t="str">
        <f>IF(AA230&lt;VLOOKUP(AG230,Variables!$AC$3:$AD$8,2,FALSE),"Y","N")</f>
        <v>Y</v>
      </c>
      <c r="X230" s="204">
        <f t="shared" si="131"/>
        <v>8</v>
      </c>
      <c r="Y230" s="204">
        <f t="shared" si="114"/>
        <v>2.2705000000000002</v>
      </c>
      <c r="Z230" s="204">
        <f t="shared" si="115"/>
        <v>1.5100000000000001E-2</v>
      </c>
      <c r="AA230" s="204">
        <f t="shared" si="120"/>
        <v>2.2554000000000003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21"/>
        <v>60</v>
      </c>
      <c r="AE230" s="77" t="str">
        <f t="shared" si="122"/>
        <v>aws s3 cp s3://rtdc.mdm.uploadarchive.raw/RTDC4021/ "%USERPROFILE%\AppData\Local\Temp\OnboardLogs"\RTDC4021\2017-10-19 --exclude "*" --recursive --include "*20171019*" &amp; "%USERPROFILE%\Documents\GitHub\mrs-test-scripts\Headless Mode &amp; Sideloading\WalkAndUnGZ.bat" "%USERPROFILE%\AppData\Local\Temp\OnboardLogs"\RTDC4021\2017-10-19 &amp; aws s3 cp s3://rtdc.mdm.uploadarchive.raw/RTDC4021/ "%USERPROFILE%\AppData\Local\Temp\OnboardLogs"\RTDC4021\2017-10-20 --exclude "*" --recursive --include "*20171020*" &amp; "%USERPROFILE%\Documents\GitHub\mrs-test-scripts\Headless Mode &amp; Sideloading\WalkAndUnGZ.bat" "%USERPROFILE%\AppData\Local\Temp\OnboardLogs"\RTDC4021\2017-10-20</v>
      </c>
      <c r="AF230" s="74" t="str">
        <f t="shared" si="123"/>
        <v>"C:\Program Files (x86)\AstroGrep\AstroGrep.exe" /e /r /s /spath="%USERPROFILE%\AppData\Local\Temp\OnboardLogs" /stypes="app*4021*20171019*" /stext=" 15:.+((SYSTEM_STATE.+slice.+state.+changed )|(ment ac)|(multiple cpu faults)|(system.+state.+changed )|(\[timeout)|(PRM\|1\|D)|(kpr)|(kdp)|(train st.+moving)|(\|lc)|(penalty))"</v>
      </c>
      <c r="AG230" s="182" t="str">
        <f t="shared" si="124"/>
        <v>Shuttle/Test</v>
      </c>
      <c r="AH230" s="78" t="str">
        <f t="shared" si="132"/>
        <v>"%USERPROFILE%\Documents\GitHub\eaglep3\Utilities\RefineRTDCRunTimes.py" --tripid 60-19 --locoid 4021 --swversion DE.1.0.9.0 --startMP 300:22705 --initTime 2017-10-19T09:42:46 --startdatetime 2017-10-19T09:51:20 --delay 134 --endMP 204:151 --enddatetime 2017-10-19T09:59:28 --enforcementcount 0 &gt;&gt;%USERPROFILE%\Documents\GitHub\eaglep3-reporting\EC\2017-10-19-refined-times.txt</v>
      </c>
      <c r="AI230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0.0151"},{"id":17,"name":"Train ID","value":"60-19"},{"id":16,"name":"Locomotive ID","value":"4021"},{"id":130,"name":"Impact","value":""},{"id":150,"name":"Time of Event (Mountain Time)","value":"09:59:28"},{"id":151,"name":"Denver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34"/>
        <v>start /low /b %USERPROFILE%\Documents\GitHub\eaglep3\Utilities\DownloadLogsFromS3.py --loco 4021 --day 2017-10-19</v>
      </c>
      <c r="AN230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15:59:28"},{"id":29,"name":"Sharepoint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36"/>
        <v>https://d0f6bd738d7f1b3e5a7ca70fe4ff75f0.us-east-1.aws.found.io/app/kibana#/discover/Steve-Slow-Train-Analysis-(2080s-and-2083s)?_g=(refreshInterval:(display:Off,pause:!f,section:0,value:0),time:(from:'2017-10-19T08:42:46-0600',mode:absolute,to:'2017-10-19T10:59:28-0600'))&amp;_a=(columns:!('Message%20ID',Summary),filters:!(),index:'emp_*',interval:auto,query:(query_string:(analyze_wildcard:!t,query:'%22rtdc.l.rtdc.4021%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577</v>
      </c>
      <c r="B231" s="7">
        <v>4022</v>
      </c>
      <c r="C231" s="21" t="s">
        <v>194</v>
      </c>
      <c r="D231" s="21" t="s">
        <v>367</v>
      </c>
      <c r="E231" s="13">
        <v>43027.421770833331</v>
      </c>
      <c r="F231" s="13">
        <v>43027.452986111108</v>
      </c>
      <c r="G231" s="7">
        <v>72</v>
      </c>
      <c r="H231" s="21" t="s">
        <v>895</v>
      </c>
      <c r="I231" s="13">
        <v>43027.45821759259</v>
      </c>
      <c r="J231" s="7">
        <v>0</v>
      </c>
      <c r="K231" s="89" t="str">
        <f t="shared" si="116"/>
        <v>4021/4022</v>
      </c>
      <c r="L231" s="185" t="str">
        <f>VLOOKUP(A231,'Trips&amp;Operators'!$C$1:$G$99911,5,FALSE)</f>
        <v>ACKERMAN JARED</v>
      </c>
      <c r="M231" s="6">
        <f t="shared" si="117"/>
        <v>5.2314814820419997E-3</v>
      </c>
      <c r="N231" s="7">
        <f t="shared" si="106"/>
        <v>7.5333333341404796</v>
      </c>
      <c r="O231" s="7"/>
      <c r="P231" s="7"/>
      <c r="Q231" s="22"/>
      <c r="R231" s="174"/>
      <c r="S231" s="221">
        <f t="shared" si="107"/>
        <v>1</v>
      </c>
      <c r="T231" s="174" t="str">
        <f t="shared" si="118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119"/>
        <v>https://d0f6bd738d7f1b3e5a7ca70fe4ff75f0.us-east-1.aws.found.io/app/kibana#/discover/Steve-Slow-Train-Analysis-(2080s-and-2083s)?_g=(refreshInterval:(display:Off,pause:!f,section:0,value:0),time:(from:'2017-10-19T09:07:21-0600',mode:absolute,to:'2017-10-19T11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1" s="204" t="str">
        <f>IF(AA231&lt;VLOOKUP(AG231,Variables!$AC$3:$AD$8,2,FALSE),"Y","N")</f>
        <v>Y</v>
      </c>
      <c r="X231" s="204">
        <f t="shared" si="131"/>
        <v>1</v>
      </c>
      <c r="Y231" s="204">
        <f t="shared" si="114"/>
        <v>4.5100000000000001E-2</v>
      </c>
      <c r="Z231" s="204">
        <f t="shared" si="115"/>
        <v>2.4218000000000002</v>
      </c>
      <c r="AA231" s="204">
        <f t="shared" si="120"/>
        <v>2.3767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21"/>
        <v>61</v>
      </c>
      <c r="AE231" s="77" t="str">
        <f t="shared" si="122"/>
        <v>aws s3 cp s3://rtdc.mdm.uploadarchive.raw/RTDC4022/ "%USERPROFILE%\AppData\Local\Temp\OnboardLogs"\RTDC4022\2017-10-19 --exclude "*" --recursive --include "*20171019*" &amp; "%USERPROFILE%\Documents\GitHub\mrs-test-scripts\Headless Mode &amp; Sideloading\WalkAndUnGZ.bat" "%USERPROFILE%\AppData\Local\Temp\OnboardLogs"\RTDC4022\2017-10-19 &amp; aws s3 cp s3://rtdc.mdm.uploadarchive.raw/RTDC4022/ "%USERPROFILE%\AppData\Local\Temp\OnboardLogs"\RTDC4022\2017-10-20 --exclude "*" --recursive --include "*20171020*" &amp; "%USERPROFILE%\Documents\GitHub\mrs-test-scripts\Headless Mode &amp; Sideloading\WalkAndUnGZ.bat" "%USERPROFILE%\AppData\Local\Temp\OnboardLogs"\RTDC4022\2017-10-20</v>
      </c>
      <c r="AF231" s="74" t="str">
        <f t="shared" si="123"/>
        <v>"C:\Program Files (x86)\AstroGrep\AstroGrep.exe" /e /r /s /spath="%USERPROFILE%\AppData\Local\Temp\OnboardLogs" /stypes="app*4022*20171019*" /stext=" 16:.+((SYSTEM_STATE.+slice.+state.+changed )|(ment ac)|(multiple cpu faults)|(system.+state.+changed )|(\[timeout)|(PRM\|1\|D)|(kpr)|(kdp)|(train st.+moving)|(\|lc)|(penalty))"</v>
      </c>
      <c r="AG231" s="182" t="str">
        <f t="shared" si="124"/>
        <v>Shuttle/Test</v>
      </c>
      <c r="AH231" s="78" t="str">
        <f t="shared" si="132"/>
        <v>"%USERPROFILE%\Documents\GitHub\eaglep3\Utilities\RefineRTDCRunTimes.py" --tripid 61-19 --locoid 4022 --swversion DE.1.0.9.0 --startMP 204:451 --initTime 2017-10-19T10:07:21 --startdatetime 2017-10-19T10:52:18 --delay 72 --endMP 300:24218 --enddatetime 2017-10-19T10:59:50 --enforcementcount 0 &gt;&gt;%USERPROFILE%\Documents\GitHub\eaglep3-reporting\EC\2017-10-19-refined-times.txt</v>
      </c>
      <c r="AI231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2.4218"},{"id":17,"name":"Train ID","value":"61-19"},{"id":16,"name":"Locomotive ID","value":"4022"},{"id":130,"name":"Impact","value":""},{"id":150,"name":"Time of Event (Mountain Time)","value":"10:59:50"},{"id":151,"name":"Denver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34"/>
        <v>start /low /b %USERPROFILE%\Documents\GitHub\eaglep3\Utilities\DownloadLogsFromS3.py --loco 4022 --day 2017-10-19</v>
      </c>
      <c r="AN231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16:59:50"},{"id":29,"name":"Sharepoint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36"/>
        <v>https://d0f6bd738d7f1b3e5a7ca70fe4ff75f0.us-east-1.aws.found.io/app/kibana#/discover/Steve-Slow-Train-Analysis-(2080s-and-2083s)?_g=(refreshInterval:(display:Off,pause:!f,section:0,value:0),time:(from:'2017-10-19T09:07:21-0600',mode:absolute,to:'2017-10-19T11:59:50-0600'))&amp;_a=(columns:!('Message%20ID',Summary),filters:!(),index:'emp_*',interval:auto,query:(query_string:(analyze_wildcard:!t,query:'%22rtdc.l.rtdc.4022%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577</v>
      </c>
      <c r="B232" s="7">
        <v>4021</v>
      </c>
      <c r="C232" s="21" t="s">
        <v>194</v>
      </c>
      <c r="D232" s="21" t="s">
        <v>896</v>
      </c>
      <c r="E232" s="13">
        <v>43027.445092592592</v>
      </c>
      <c r="F232" s="13">
        <v>43027.477800925924</v>
      </c>
      <c r="G232" s="7">
        <v>310</v>
      </c>
      <c r="H232" s="21" t="s">
        <v>897</v>
      </c>
      <c r="I232" s="13">
        <v>43027.483865740738</v>
      </c>
      <c r="J232" s="7">
        <v>0</v>
      </c>
      <c r="K232" s="89" t="str">
        <f t="shared" si="116"/>
        <v>4021/4022</v>
      </c>
      <c r="L232" s="185" t="str">
        <f>VLOOKUP(A232,'Trips&amp;Operators'!$C$1:$G$99911,5,FALSE)</f>
        <v>ACKERMAN JARED</v>
      </c>
      <c r="M232" s="6">
        <f t="shared" si="117"/>
        <v>6.064814813726116E-3</v>
      </c>
      <c r="N232" s="7">
        <f t="shared" si="106"/>
        <v>8.733333331765607</v>
      </c>
      <c r="O232" s="7"/>
      <c r="P232" s="7"/>
      <c r="Q232" s="22"/>
      <c r="R232" s="174"/>
      <c r="S232" s="221">
        <f t="shared" si="107"/>
        <v>0</v>
      </c>
      <c r="T232" s="174" t="str">
        <f t="shared" si="118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19"/>
        <v>https://d0f6bd738d7f1b3e5a7ca70fe4ff75f0.us-east-1.aws.found.io/app/kibana#/discover/Steve-Slow-Train-Analysis-(2080s-and-2083s)?_g=(refreshInterval:(display:Off,pause:!f,section:0,value:0),time:(from:'2017-10-19T09:40:56-0600',mode:absolute,to:'2017-10-19T12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204" t="str">
        <f>IF(AA232&lt;VLOOKUP(AG232,Variables!$AC$3:$AD$8,2,FALSE),"Y","N")</f>
        <v>Y</v>
      </c>
      <c r="X232" s="204">
        <f t="shared" si="131"/>
        <v>0</v>
      </c>
      <c r="Y232" s="204">
        <f t="shared" si="114"/>
        <v>2.2848999999999999</v>
      </c>
      <c r="Z232" s="204">
        <f t="shared" si="115"/>
        <v>9.7299999999999998E-2</v>
      </c>
      <c r="AA232" s="204">
        <f t="shared" si="120"/>
        <v>2.1875999999999998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21"/>
        <v>61</v>
      </c>
      <c r="AE232" s="77" t="str">
        <f t="shared" si="122"/>
        <v>aws s3 cp s3://rtdc.mdm.uploadarchive.raw/RTDC4021/ "%USERPROFILE%\AppData\Local\Temp\OnboardLogs"\RTDC4021\2017-10-19 --exclude "*" --recursive --include "*20171019*" &amp; "%USERPROFILE%\Documents\GitHub\mrs-test-scripts\Headless Mode &amp; Sideloading\WalkAndUnGZ.bat" "%USERPROFILE%\AppData\Local\Temp\OnboardLogs"\RTDC4021\2017-10-19 &amp; aws s3 cp s3://rtdc.mdm.uploadarchive.raw/RTDC4021/ "%USERPROFILE%\AppData\Local\Temp\OnboardLogs"\RTDC4021\2017-10-20 --exclude "*" --recursive --include "*20171020*" &amp; "%USERPROFILE%\Documents\GitHub\mrs-test-scripts\Headless Mode &amp; Sideloading\WalkAndUnGZ.bat" "%USERPROFILE%\AppData\Local\Temp\OnboardLogs"\RTDC4021\2017-10-20</v>
      </c>
      <c r="AF232" s="74" t="str">
        <f t="shared" si="123"/>
        <v>"C:\Program Files (x86)\AstroGrep\AstroGrep.exe" /e /r /s /spath="%USERPROFILE%\AppData\Local\Temp\OnboardLogs" /stypes="app*4021*20171019*" /stext=" 17:.+((SYSTEM_STATE.+slice.+state.+changed )|(ment ac)|(multiple cpu faults)|(system.+state.+changed )|(\[timeout)|(PRM\|1\|D)|(kpr)|(kdp)|(train st.+moving)|(\|lc)|(penalty))"</v>
      </c>
      <c r="AG232" s="182" t="str">
        <f t="shared" si="124"/>
        <v>Shuttle/Test</v>
      </c>
      <c r="AH232" s="78" t="str">
        <f t="shared" si="132"/>
        <v>"%USERPROFILE%\Documents\GitHub\eaglep3\Utilities\RefineRTDCRunTimes.py" --tripid 61-19 --locoid 4021 --swversion DE.1.0.9.0 --startMP 300:22849 --initTime 2017-10-19T10:40:56 --startdatetime 2017-10-19T11:28:02 --delay 310 --endMP 204:973 --enddatetime 2017-10-19T11:36:46 --enforcementcount 0 &gt;&gt;%USERPROFILE%\Documents\GitHub\eaglep3-reporting\EC\2017-10-19-refined-times.txt</v>
      </c>
      <c r="AI232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0.0973"},{"id":17,"name":"Train ID","value":"61-19"},{"id":16,"name":"Locomotive ID","value":"4021"},{"id":130,"name":"Impact","value":""},{"id":150,"name":"Time of Event (Mountain Time)","value":"11:36:46"},{"id":151,"name":"Denver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34"/>
        <v>start /low /b %USERPROFILE%\Documents\GitHub\eaglep3\Utilities\DownloadLogsFromS3.py --loco 4021 --day 2017-10-19</v>
      </c>
      <c r="AN232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36"/>
        <v>https://d0f6bd738d7f1b3e5a7ca70fe4ff75f0.us-east-1.aws.found.io/app/kibana#/discover/Steve-Slow-Train-Analysis-(2080s-and-2083s)?_g=(refreshInterval:(display:Off,pause:!f,section:0,value:0),time:(from:'2017-10-19T09:40:56-0600',mode:absolute,to:'2017-10-19T12:36:46-0600'))&amp;_a=(columns:!('Message%20ID',Summary),filters:!(),index:'emp_*',interval:auto,query:(query_string:(analyze_wildcard:!t,query:'%22rtdc.l.rtdc.4021%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577</v>
      </c>
      <c r="B233" s="7">
        <v>4021</v>
      </c>
      <c r="C233" s="21" t="s">
        <v>194</v>
      </c>
      <c r="D233" s="21" t="s">
        <v>896</v>
      </c>
      <c r="E233" s="13">
        <v>43027.449594907404</v>
      </c>
      <c r="F233" s="13">
        <v>43027.477800925924</v>
      </c>
      <c r="G233" s="7">
        <v>84</v>
      </c>
      <c r="H233" s="21" t="s">
        <v>897</v>
      </c>
      <c r="I233" s="13">
        <v>43027.483865740738</v>
      </c>
      <c r="J233" s="7">
        <v>0</v>
      </c>
      <c r="K233" s="89" t="str">
        <f t="shared" si="116"/>
        <v>4021/4022</v>
      </c>
      <c r="L233" s="185" t="str">
        <f>VLOOKUP(A233,'Trips&amp;Operators'!$C$1:$G$99911,5,FALSE)</f>
        <v>ACKERMAN JARED</v>
      </c>
      <c r="M233" s="6">
        <f t="shared" si="117"/>
        <v>6.064814813726116E-3</v>
      </c>
      <c r="N233" s="7">
        <f t="shared" si="106"/>
        <v>8.733333331765607</v>
      </c>
      <c r="O233" s="7"/>
      <c r="P233" s="7"/>
      <c r="Q233" s="22"/>
      <c r="R233" s="174"/>
      <c r="S233" s="221">
        <f t="shared" si="107"/>
        <v>0</v>
      </c>
      <c r="T233" s="174" t="str">
        <f t="shared" si="118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19"/>
        <v>https://d0f6bd738d7f1b3e5a7ca70fe4ff75f0.us-east-1.aws.found.io/app/kibana#/discover/Steve-Slow-Train-Analysis-(2080s-and-2083s)?_g=(refreshInterval:(display:Off,pause:!f,section:0,value:0),time:(from:'2017-10-19T09:47:25-0600',mode:absolute,to:'2017-10-19T12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204" t="str">
        <f>IF(AA233&lt;VLOOKUP(AG233,Variables!$AC$3:$AD$8,2,FALSE),"Y","N")</f>
        <v>Y</v>
      </c>
      <c r="X233" s="204">
        <f t="shared" si="131"/>
        <v>0</v>
      </c>
      <c r="Y233" s="204">
        <f t="shared" si="114"/>
        <v>2.2848999999999999</v>
      </c>
      <c r="Z233" s="204">
        <f t="shared" si="115"/>
        <v>9.7299999999999998E-2</v>
      </c>
      <c r="AA233" s="204">
        <f t="shared" si="120"/>
        <v>2.1875999999999998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21"/>
        <v>61</v>
      </c>
      <c r="AE233" s="77" t="str">
        <f t="shared" si="122"/>
        <v>aws s3 cp s3://rtdc.mdm.uploadarchive.raw/RTDC4021/ "%USERPROFILE%\AppData\Local\Temp\OnboardLogs"\RTDC4021\2017-10-19 --exclude "*" --recursive --include "*20171019*" &amp; "%USERPROFILE%\Documents\GitHub\mrs-test-scripts\Headless Mode &amp; Sideloading\WalkAndUnGZ.bat" "%USERPROFILE%\AppData\Local\Temp\OnboardLogs"\RTDC4021\2017-10-19 &amp; aws s3 cp s3://rtdc.mdm.uploadarchive.raw/RTDC4021/ "%USERPROFILE%\AppData\Local\Temp\OnboardLogs"\RTDC4021\2017-10-20 --exclude "*" --recursive --include "*20171020*" &amp; "%USERPROFILE%\Documents\GitHub\mrs-test-scripts\Headless Mode &amp; Sideloading\WalkAndUnGZ.bat" "%USERPROFILE%\AppData\Local\Temp\OnboardLogs"\RTDC4021\2017-10-20</v>
      </c>
      <c r="AF233" s="74" t="str">
        <f t="shared" si="123"/>
        <v>"C:\Program Files (x86)\AstroGrep\AstroGrep.exe" /e /r /s /spath="%USERPROFILE%\AppData\Local\Temp\OnboardLogs" /stypes="app*4021*20171019*" /stext=" 17:.+((SYSTEM_STATE.+slice.+state.+changed )|(ment ac)|(multiple cpu faults)|(system.+state.+changed )|(\[timeout)|(PRM\|1\|D)|(kpr)|(kdp)|(train st.+moving)|(\|lc)|(penalty))"</v>
      </c>
      <c r="AG233" s="182" t="str">
        <f t="shared" si="124"/>
        <v>Shuttle/Test</v>
      </c>
      <c r="AH233" s="78" t="str">
        <f t="shared" si="132"/>
        <v>"%USERPROFILE%\Documents\GitHub\eaglep3\Utilities\RefineRTDCRunTimes.py" --tripid 61-19 --locoid 4021 --swversion DE.1.0.9.0 --startMP 300:22849 --initTime 2017-10-19T10:47:25 --startdatetime 2017-10-19T11:28:02 --delay 84 --endMP 204:973 --enddatetime 2017-10-19T11:36:46 --enforcementcount 0 &gt;&gt;%USERPROFILE%\Documents\GitHub\eaglep3-reporting\EC\2017-10-19-refined-times.txt</v>
      </c>
      <c r="AI233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0.0973"},{"id":17,"name":"Train ID","value":"61-19"},{"id":16,"name":"Locomotive ID","value":"4021"},{"id":130,"name":"Impact","value":""},{"id":150,"name":"Time of Event (Mountain Time)","value":"11:36:46"},{"id":151,"name":"Denver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34"/>
        <v>start /low /b %USERPROFILE%\Documents\GitHub\eaglep3\Utilities\DownloadLogsFromS3.py --loco 4021 --day 2017-10-19</v>
      </c>
      <c r="AN233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36"/>
        <v>https://d0f6bd738d7f1b3e5a7ca70fe4ff75f0.us-east-1.aws.found.io/app/kibana#/discover/Steve-Slow-Train-Analysis-(2080s-and-2083s)?_g=(refreshInterval:(display:Off,pause:!f,section:0,value:0),time:(from:'2017-10-19T09:47:25-0600',mode:absolute,to:'2017-10-19T12:36:46-0600'))&amp;_a=(columns:!('Message%20ID',Summary),filters:!(),index:'emp_*',interval:auto,query:(query_string:(analyze_wildcard:!t,query:'%22rtdc.l.rtdc.4021%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577</v>
      </c>
      <c r="B234" s="7">
        <v>4022</v>
      </c>
      <c r="C234" s="21" t="s">
        <v>194</v>
      </c>
      <c r="D234" s="21" t="s">
        <v>898</v>
      </c>
      <c r="E234" s="13">
        <v>43027.471099537041</v>
      </c>
      <c r="F234" s="13">
        <v>43027.477800925924</v>
      </c>
      <c r="G234" s="7">
        <v>69</v>
      </c>
      <c r="H234" s="21" t="s">
        <v>899</v>
      </c>
      <c r="I234" s="13">
        <v>43027.483865740738</v>
      </c>
      <c r="J234" s="7">
        <v>0</v>
      </c>
      <c r="K234" s="89" t="str">
        <f t="shared" si="116"/>
        <v>4021/4022</v>
      </c>
      <c r="L234" s="185" t="str">
        <f>VLOOKUP(A234,'Trips&amp;Operators'!$C$1:$G$99911,5,FALSE)</f>
        <v>ACKERMAN JARED</v>
      </c>
      <c r="M234" s="6">
        <f t="shared" si="117"/>
        <v>6.064814813726116E-3</v>
      </c>
      <c r="N234" s="7">
        <f t="shared" ref="N234:N245" si="137">24*60*SUM($M234:$M234)</f>
        <v>8.733333331765607</v>
      </c>
      <c r="O234" s="7"/>
      <c r="P234" s="7"/>
      <c r="Q234" s="22"/>
      <c r="R234" s="174"/>
      <c r="S234" s="221">
        <f t="shared" ref="S234:S245" si="138">1/IF(AG234="EC",12,1)*SUM(U234:U234)</f>
        <v>1</v>
      </c>
      <c r="T234" s="174" t="str">
        <f t="shared" si="118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19"/>
        <v>https://d0f6bd738d7f1b3e5a7ca70fe4ff75f0.us-east-1.aws.found.io/app/kibana#/discover/Steve-Slow-Train-Analysis-(2080s-and-2083s)?_g=(refreshInterval:(display:Off,pause:!f,section:0,value:0),time:(from:'2017-10-19T10:18:23-0600',mode:absolute,to:'2017-10-19T12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4" s="204" t="str">
        <f>IF(AA234&lt;VLOOKUP(AG234,Variables!$AC$3:$AD$8,2,FALSE),"Y","N")</f>
        <v>Y</v>
      </c>
      <c r="X234" s="204">
        <f t="shared" si="131"/>
        <v>0</v>
      </c>
      <c r="Y234" s="204">
        <f t="shared" si="114"/>
        <v>0.129</v>
      </c>
      <c r="Z234" s="204">
        <f t="shared" si="115"/>
        <v>2.2528000000000001</v>
      </c>
      <c r="AA234" s="204">
        <f t="shared" si="120"/>
        <v>2.1238000000000001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21"/>
        <v>61</v>
      </c>
      <c r="AE234" s="77" t="str">
        <f t="shared" si="122"/>
        <v>aws s3 cp s3://rtdc.mdm.uploadarchive.raw/RTDC4022/ "%USERPROFILE%\AppData\Local\Temp\OnboardLogs"\RTDC4022\2017-10-19 --exclude "*" --recursive --include "*20171019*" &amp; "%USERPROFILE%\Documents\GitHub\mrs-test-scripts\Headless Mode &amp; Sideloading\WalkAndUnGZ.bat" "%USERPROFILE%\AppData\Local\Temp\OnboardLogs"\RTDC4022\2017-10-19 &amp; aws s3 cp s3://rtdc.mdm.uploadarchive.raw/RTDC4022/ "%USERPROFILE%\AppData\Local\Temp\OnboardLogs"\RTDC4022\2017-10-20 --exclude "*" --recursive --include "*20171020*" &amp; "%USERPROFILE%\Documents\GitHub\mrs-test-scripts\Headless Mode &amp; Sideloading\WalkAndUnGZ.bat" "%USERPROFILE%\AppData\Local\Temp\OnboardLogs"\RTDC4022\2017-10-20</v>
      </c>
      <c r="AF234" s="74" t="str">
        <f t="shared" si="123"/>
        <v>"C:\Program Files (x86)\AstroGrep\AstroGrep.exe" /e /r /s /spath="%USERPROFILE%\AppData\Local\Temp\OnboardLogs" /stypes="app*4022*20171019*" /stext=" 17:.+((SYSTEM_STATE.+slice.+state.+changed )|(ment ac)|(multiple cpu faults)|(system.+state.+changed )|(\[timeout)|(PRM\|1\|D)|(kpr)|(kdp)|(train st.+moving)|(\|lc)|(penalty))"</v>
      </c>
      <c r="AG234" s="182" t="str">
        <f t="shared" si="124"/>
        <v>Shuttle/Test</v>
      </c>
      <c r="AH234" s="78" t="str">
        <f t="shared" si="132"/>
        <v>"%USERPROFILE%\Documents\GitHub\eaglep3\Utilities\RefineRTDCRunTimes.py" --tripid 61-19 --locoid 4022 --swversion DE.1.0.9.0 --startMP 204:1290 --initTime 2017-10-19T11:18:23 --startdatetime 2017-10-19T11:28:02 --delay 69 --endMP 300:22528 --enddatetime 2017-10-19T11:36:46 --enforcementcount 0 &gt;&gt;%USERPROFILE%\Documents\GitHub\eaglep3-reporting\EC\2017-10-19-refined-times.txt</v>
      </c>
      <c r="AI234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2.2528"},{"id":17,"name":"Train ID","value":"61-19"},{"id":16,"name":"Locomotive ID","value":"4022"},{"id":130,"name":"Impact","value":""},{"id":150,"name":"Time of Event (Mountain Time)","value":"11:36:46"},{"id":151,"name":"Denver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34"/>
        <v>start /low /b %USERPROFILE%\Documents\GitHub\eaglep3\Utilities\DownloadLogsFromS3.py --loco 4022 --day 2017-10-19</v>
      </c>
      <c r="AN234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36"/>
        <v>https://d0f6bd738d7f1b3e5a7ca70fe4ff75f0.us-east-1.aws.found.io/app/kibana#/discover/Steve-Slow-Train-Analysis-(2080s-and-2083s)?_g=(refreshInterval:(display:Off,pause:!f,section:0,value:0),time:(from:'2017-10-19T10:18:23-0600',mode:absolute,to:'2017-10-19T12:36:46-0600'))&amp;_a=(columns:!('Message%20ID',Summary),filters:!(),index:'emp_*',interval:auto,query:(query_string:(analyze_wildcard:!t,query:'%22rtdc.l.rtdc.4022%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559</v>
      </c>
      <c r="B235" s="7">
        <v>4059</v>
      </c>
      <c r="C235" s="21" t="s">
        <v>194</v>
      </c>
      <c r="D235" s="21" t="s">
        <v>900</v>
      </c>
      <c r="E235" s="13">
        <v>43027.117476851854</v>
      </c>
      <c r="F235" s="13">
        <v>43027.122835648152</v>
      </c>
      <c r="G235" s="7">
        <v>55</v>
      </c>
      <c r="H235" s="21" t="s">
        <v>901</v>
      </c>
      <c r="I235" s="13">
        <v>43027.126921296294</v>
      </c>
      <c r="J235" s="7">
        <v>0</v>
      </c>
      <c r="K235" s="89" t="str">
        <f t="shared" si="116"/>
        <v>4059/4060</v>
      </c>
      <c r="L235" s="185" t="str">
        <f>VLOOKUP(A235,'Trips&amp;Operators'!$C$1:$G$99911,5,FALSE)</f>
        <v>ROCHA YAOTL</v>
      </c>
      <c r="M235" s="6">
        <f t="shared" si="117"/>
        <v>4.0856481427908875E-3</v>
      </c>
      <c r="N235" s="7">
        <f t="shared" si="137"/>
        <v>5.883333325618878</v>
      </c>
      <c r="O235" s="7"/>
      <c r="P235" s="7"/>
      <c r="Q235" s="22"/>
      <c r="R235" s="174"/>
      <c r="S235" s="221">
        <f t="shared" si="138"/>
        <v>1</v>
      </c>
      <c r="T235" s="174" t="str">
        <f t="shared" si="118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19"/>
        <v>https://d0f6bd738d7f1b3e5a7ca70fe4ff75f0.us-east-1.aws.found.io/app/kibana#/discover/Steve-Slow-Train-Analysis-(2080s-and-2083s)?_g=(refreshInterval:(display:Off,pause:!f,section:0,value:0),time:(from:'2017-10-19T01:49:10-0600',mode:absolute,to:'2017-10-19T04:02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5" s="204" t="str">
        <f>IF(AA235&lt;VLOOKUP(AG235,Variables!$AC$3:$AD$8,2,FALSE),"Y","N")</f>
        <v>Y</v>
      </c>
      <c r="X235" s="204">
        <f t="shared" si="131"/>
        <v>1</v>
      </c>
      <c r="Y235" s="204">
        <f t="shared" si="114"/>
        <v>1.8108</v>
      </c>
      <c r="Z235" s="204">
        <f t="shared" si="115"/>
        <v>0.15579999999999999</v>
      </c>
      <c r="AA235" s="204">
        <f t="shared" si="120"/>
        <v>1.655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21"/>
        <v>62</v>
      </c>
      <c r="AE235" s="77" t="str">
        <f t="shared" si="122"/>
        <v>aws s3 cp s3://rtdc.mdm.uploadarchive.raw/RTDC4059/ "%USERPROFILE%\AppData\Local\Temp\OnboardLogs"\RTDC4059\2017-10-19 --exclude "*" --recursive --include "*20171019*" &amp; "%USERPROFILE%\Documents\GitHub\mrs-test-scripts\Headless Mode &amp; Sideloading\WalkAndUnGZ.bat" "%USERPROFILE%\AppData\Local\Temp\OnboardLogs"\RTDC4059\2017-10-19 &amp; 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</v>
      </c>
      <c r="AF235" s="74" t="str">
        <f t="shared" si="123"/>
        <v>"C:\Program Files (x86)\AstroGrep\AstroGrep.exe" /e /r /s /spath="%USERPROFILE%\AppData\Local\Temp\OnboardLogs" /stypes="app*4059*20171019*" /stext=" 09:.+((SYSTEM_STATE.+slice.+state.+changed )|(ment ac)|(multiple cpu faults)|(system.+state.+changed )|(\[timeout)|(PRM\|1\|D)|(kpr)|(kdp)|(train st.+moving)|(\|lc)|(penalty))"</v>
      </c>
      <c r="AG235" s="182" t="str">
        <f t="shared" si="124"/>
        <v>Shuttle/Test</v>
      </c>
      <c r="AH235" s="78" t="str">
        <f t="shared" si="132"/>
        <v>"%USERPROFILE%\Documents\GitHub\eaglep3\Utilities\RefineRTDCRunTimes.py" --tripid 62-19 --locoid 4059 --swversion DE.1.0.9.0 --startMP 300:18108 --initTime 2017-10-19T02:49:10 --startdatetime 2017-10-19T02:56:53 --delay 55 --endMP 204:1558 --enddatetime 2017-10-19T03:02:46 --enforcementcount 0 &gt;&gt;%USERPROFILE%\Documents\GitHub\eaglep3-reporting\EC\2017-10-19-refined-times.txt</v>
      </c>
      <c r="AI235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0.1558"},{"id":17,"name":"Train ID","value":"62-19"},{"id":16,"name":"Locomotive ID","value":"4059"},{"id":130,"name":"Impact","value":""},{"id":150,"name":"Time of Event (Mountain Time)","value":"03:02:46"},{"id":151,"name":"Denver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134"/>
        <v>start /low /b %USERPROFILE%\Documents\GitHub\eaglep3\Utilities\DownloadLogsFromS3.py --loco 4059 --day 2017-10-19</v>
      </c>
      <c r="AN235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09:02:46"},{"id":29,"name":"Sharepoint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36"/>
        <v>https://d0f6bd738d7f1b3e5a7ca70fe4ff75f0.us-east-1.aws.found.io/app/kibana#/discover/Steve-Slow-Train-Analysis-(2080s-and-2083s)?_g=(refreshInterval:(display:Off,pause:!f,section:0,value:0),time:(from:'2017-10-19T01:49:10-0600',mode:absolute,to:'2017-10-19T04:02:46-0600'))&amp;_a=(columns:!('Message%20ID',Summary),filters:!(),index:'emp_*',interval:auto,query:(query_string:(analyze_wildcard:!t,query:'%22rtdc.l.rtdc.4059%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579</v>
      </c>
      <c r="B236" s="7">
        <v>4031</v>
      </c>
      <c r="C236" s="21" t="s">
        <v>194</v>
      </c>
      <c r="D236" s="21" t="s">
        <v>902</v>
      </c>
      <c r="E236" s="13">
        <v>43027.474930555552</v>
      </c>
      <c r="F236" s="13">
        <v>43027.479328703703</v>
      </c>
      <c r="G236" s="7">
        <v>228</v>
      </c>
      <c r="H236" s="21" t="s">
        <v>903</v>
      </c>
      <c r="I236" s="13">
        <v>43027.485706018517</v>
      </c>
      <c r="J236" s="7">
        <v>0</v>
      </c>
      <c r="K236" s="89" t="str">
        <f t="shared" si="116"/>
        <v>4031/4032</v>
      </c>
      <c r="L236" s="185" t="str">
        <f>VLOOKUP(A236,'Trips&amp;Operators'!$C$1:$G$99911,5,FALSE)</f>
        <v>BERLING GARY</v>
      </c>
      <c r="M236" s="6">
        <f t="shared" si="117"/>
        <v>6.3773148140171543E-3</v>
      </c>
      <c r="N236" s="7">
        <f t="shared" si="137"/>
        <v>9.1833333321847022</v>
      </c>
      <c r="O236" s="7"/>
      <c r="P236" s="7"/>
      <c r="Q236" s="22"/>
      <c r="R236" s="174"/>
      <c r="S236" s="221">
        <f t="shared" si="138"/>
        <v>0</v>
      </c>
      <c r="T236" s="174" t="str">
        <f t="shared" si="118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19"/>
        <v>https://d0f6bd738d7f1b3e5a7ca70fe4ff75f0.us-east-1.aws.found.io/app/kibana#/discover/Steve-Slow-Train-Analysis-(2080s-and-2083s)?_g=(refreshInterval:(display:Off,pause:!f,section:0,value:0),time:(from:'2017-10-19T10:23:54-0600',mode:absolute,to:'2017-10-19T12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6" s="204" t="str">
        <f>IF(AA236&lt;VLOOKUP(AG236,Variables!$AC$3:$AD$8,2,FALSE),"Y","N")</f>
        <v>Y</v>
      </c>
      <c r="X236" s="204">
        <f t="shared" si="131"/>
        <v>1</v>
      </c>
      <c r="Y236" s="204">
        <f t="shared" si="114"/>
        <v>2.3616000000000001</v>
      </c>
      <c r="Z236" s="204">
        <f t="shared" si="115"/>
        <v>7.4999999999999997E-3</v>
      </c>
      <c r="AA236" s="204">
        <f t="shared" si="120"/>
        <v>2.3541000000000003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21"/>
        <v>63</v>
      </c>
      <c r="AE236" s="77" t="str">
        <f t="shared" si="122"/>
        <v>aws s3 cp s3://rtdc.mdm.uploadarchive.raw/RTDC4031/ "%USERPROFILE%\AppData\Local\Temp\OnboardLogs"\RTDC4031\2017-10-19 --exclude "*" --recursive --include "*20171019*" &amp; "%USERPROFILE%\Documents\GitHub\mrs-test-scripts\Headless Mode &amp; Sideloading\WalkAndUnGZ.bat" "%USERPROFILE%\AppData\Local\Temp\OnboardLogs"\RTDC4031\2017-10-19 &amp; 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</v>
      </c>
      <c r="AF236" s="74" t="str">
        <f t="shared" si="123"/>
        <v>"C:\Program Files (x86)\AstroGrep\AstroGrep.exe" /e /r /s /spath="%USERPROFILE%\AppData\Local\Temp\OnboardLogs" /stypes="app*4031*20171019*" /stext=" 17:.+((SYSTEM_STATE.+slice.+state.+changed )|(ment ac)|(multiple cpu faults)|(system.+state.+changed )|(\[timeout)|(PRM\|1\|D)|(kpr)|(kdp)|(train st.+moving)|(\|lc)|(penalty))"</v>
      </c>
      <c r="AG236" s="182" t="str">
        <f t="shared" si="124"/>
        <v>Shuttle/Test</v>
      </c>
      <c r="AH236" s="78" t="str">
        <f t="shared" si="132"/>
        <v>"%USERPROFILE%\Documents\GitHub\eaglep3\Utilities\RefineRTDCRunTimes.py" --tripid 63-19 --locoid 4031 --swversion DE.1.0.9.0 --startMP 300:23616 --initTime 2017-10-19T11:23:54 --startdatetime 2017-10-19T11:30:14 --delay 228 --endMP 204:75 --enddatetime 2017-10-19T11:39:25 --enforcementcount 0 &gt;&gt;%USERPROFILE%\Documents\GitHub\eaglep3-reporting\EC\2017-10-19-refined-times.txt</v>
      </c>
      <c r="AI236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0.0075"},{"id":17,"name":"Train ID","value":"63-19"},{"id":16,"name":"Locomotive ID","value":"4031"},{"id":130,"name":"Impact","value":""},{"id":150,"name":"Time of Event (Mountain Time)","value":"11:39:25"},{"id":151,"name":"Denver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134"/>
        <v>start /low /b %USERPROFILE%\Documents\GitHub\eaglep3\Utilities\DownloadLogsFromS3.py --loco 4031 --day 2017-10-19</v>
      </c>
      <c r="AN236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17:39:25"},{"id":29,"name":"Sharepoint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36"/>
        <v>https://d0f6bd738d7f1b3e5a7ca70fe4ff75f0.us-east-1.aws.found.io/app/kibana#/discover/Steve-Slow-Train-Analysis-(2080s-and-2083s)?_g=(refreshInterval:(display:Off,pause:!f,section:0,value:0),time:(from:'2017-10-19T10:23:54-0600',mode:absolute,to:'2017-10-19T12:39:25-0600'))&amp;_a=(columns:!('Message%20ID',Summary),filters:!(),index:'emp_*',interval:auto,query:(query_string:(analyze_wildcard:!t,query:'%22rtdc.l.rtdc.4031%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700</v>
      </c>
      <c r="B237" s="7">
        <v>4022</v>
      </c>
      <c r="C237" s="21" t="s">
        <v>194</v>
      </c>
      <c r="D237" s="21" t="s">
        <v>904</v>
      </c>
      <c r="E237" s="13">
        <v>43027.530219907407</v>
      </c>
      <c r="F237" s="13">
        <v>43027.531759259262</v>
      </c>
      <c r="G237" s="7">
        <v>71</v>
      </c>
      <c r="H237" s="21" t="s">
        <v>905</v>
      </c>
      <c r="I237" s="13">
        <v>43027.540601851855</v>
      </c>
      <c r="J237" s="7">
        <v>0</v>
      </c>
      <c r="K237" s="89" t="str">
        <f t="shared" si="116"/>
        <v>4021/4022</v>
      </c>
      <c r="L237" s="185" t="str">
        <f>VLOOKUP(A237,'Trips&amp;Operators'!$C$1:$G$99911,5,FALSE)</f>
        <v>YANG JAN</v>
      </c>
      <c r="M237" s="6">
        <f t="shared" si="117"/>
        <v>8.8425925932824612E-3</v>
      </c>
      <c r="N237" s="7">
        <f t="shared" si="137"/>
        <v>12.733333334326744</v>
      </c>
      <c r="O237" s="7"/>
      <c r="P237" s="7"/>
      <c r="Q237" s="22"/>
      <c r="R237" s="174"/>
      <c r="S237" s="221">
        <f t="shared" si="138"/>
        <v>0</v>
      </c>
      <c r="T237" s="174" t="str">
        <f t="shared" si="118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119"/>
        <v>https://d0f6bd738d7f1b3e5a7ca70fe4ff75f0.us-east-1.aws.found.io/app/kibana#/discover/Steve-Slow-Train-Analysis-(2080s-and-2083s)?_g=(refreshInterval:(display:Off,pause:!f,section:0,value:0),time:(from:'2017-10-19T11:43:31-0600',mode:absolute,to:'2017-10-19T13:58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7" s="204" t="str">
        <f>IF(AA237&lt;VLOOKUP(AG237,Variables!$AC$3:$AD$8,2,FALSE),"Y","N")</f>
        <v>Y</v>
      </c>
      <c r="X237" s="204">
        <f t="shared" si="131"/>
        <v>1</v>
      </c>
      <c r="Y237" s="204">
        <f t="shared" si="114"/>
        <v>0.1147</v>
      </c>
      <c r="Z237" s="204">
        <f t="shared" si="115"/>
        <v>2.4226999999999999</v>
      </c>
      <c r="AA237" s="204">
        <f t="shared" si="120"/>
        <v>2.3079999999999998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21"/>
        <v>64</v>
      </c>
      <c r="AE237" s="77" t="str">
        <f t="shared" si="122"/>
        <v>aws s3 cp s3://rtdc.mdm.uploadarchive.raw/RTDC4022/ "%USERPROFILE%\AppData\Local\Temp\OnboardLogs"\RTDC4022\2017-10-19 --exclude "*" --recursive --include "*20171019*" &amp; "%USERPROFILE%\Documents\GitHub\mrs-test-scripts\Headless Mode &amp; Sideloading\WalkAndUnGZ.bat" "%USERPROFILE%\AppData\Local\Temp\OnboardLogs"\RTDC4022\2017-10-19 &amp; aws s3 cp s3://rtdc.mdm.uploadarchive.raw/RTDC4022/ "%USERPROFILE%\AppData\Local\Temp\OnboardLogs"\RTDC4022\2017-10-20 --exclude "*" --recursive --include "*20171020*" &amp; "%USERPROFILE%\Documents\GitHub\mrs-test-scripts\Headless Mode &amp; Sideloading\WalkAndUnGZ.bat" "%USERPROFILE%\AppData\Local\Temp\OnboardLogs"\RTDC4022\2017-10-20</v>
      </c>
      <c r="AF237" s="74" t="str">
        <f t="shared" si="123"/>
        <v>"C:\Program Files (x86)\AstroGrep\AstroGrep.exe" /e /r /s /spath="%USERPROFILE%\AppData\Local\Temp\OnboardLogs" /stypes="app*4022*20171019*" /stext=" 18:.+((SYSTEM_STATE.+slice.+state.+changed )|(ment ac)|(multiple cpu faults)|(system.+state.+changed )|(\[timeout)|(PRM\|1\|D)|(kpr)|(kdp)|(train st.+moving)|(\|lc)|(penalty))"</v>
      </c>
      <c r="AG237" s="182" t="str">
        <f t="shared" si="124"/>
        <v>Shuttle/Test</v>
      </c>
      <c r="AH237" s="78" t="str">
        <f t="shared" si="132"/>
        <v>"%USERPROFILE%\Documents\GitHub\eaglep3\Utilities\RefineRTDCRunTimes.py" --tripid 64-19 --locoid 4022 --swversion DE.1.0.9.0 --startMP 204:1147 --initTime 2017-10-19T12:43:31 --startdatetime 2017-10-19T12:45:44 --delay 71 --endMP 300:24227 --enddatetime 2017-10-19T12:58:28 --enforcementcount 0 &gt;&gt;%USERPROFILE%\Documents\GitHub\eaglep3-reporting\EC\2017-10-19-refined-times.txt</v>
      </c>
      <c r="AI237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2.4227"},{"id":17,"name":"Train ID","value":"64-19"},{"id":16,"name":"Locomotive ID","value":"4022"},{"id":130,"name":"Impact","value":""},{"id":150,"name":"Time of Event (Mountain Time)","value":"12:58:28"},{"id":151,"name":"Denver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134"/>
        <v>start /low /b %USERPROFILE%\Documents\GitHub\eaglep3\Utilities\DownloadLogsFromS3.py --loco 4022 --day 2017-10-19</v>
      </c>
      <c r="AN237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18:58:28"},{"id":29,"name":"Sharepoint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36"/>
        <v>https://d0f6bd738d7f1b3e5a7ca70fe4ff75f0.us-east-1.aws.found.io/app/kibana#/discover/Steve-Slow-Train-Analysis-(2080s-and-2083s)?_g=(refreshInterval:(display:Off,pause:!f,section:0,value:0),time:(from:'2017-10-19T11:43:31-0600',mode:absolute,to:'2017-10-19T13:58:28-0600'))&amp;_a=(columns:!('Message%20ID',Summary),filters:!(),index:'emp_*',interval:auto,query:(query_string:(analyze_wildcard:!t,query:'%22rtdc.l.rtdc.4022%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32" t="s">
        <v>693</v>
      </c>
      <c r="B238" s="7">
        <v>4032</v>
      </c>
      <c r="C238" s="21" t="s">
        <v>194</v>
      </c>
      <c r="D238" s="21" t="s">
        <v>906</v>
      </c>
      <c r="E238" s="13">
        <v>43027.502685185187</v>
      </c>
      <c r="F238" s="13">
        <v>43027.505324074074</v>
      </c>
      <c r="G238" s="7">
        <v>171</v>
      </c>
      <c r="H238" s="21" t="s">
        <v>907</v>
      </c>
      <c r="I238" s="13">
        <v>43027.512187499997</v>
      </c>
      <c r="J238" s="7">
        <v>0</v>
      </c>
      <c r="K238" s="89" t="str">
        <f t="shared" si="116"/>
        <v>4031/4032</v>
      </c>
      <c r="L238" s="185" t="str">
        <f>VLOOKUP(A238,'Trips&amp;Operators'!$C$1:$G$99911,5,FALSE)</f>
        <v>DAVIS WENDY</v>
      </c>
      <c r="M238" s="6">
        <f t="shared" si="117"/>
        <v>6.8634259223472327E-3</v>
      </c>
      <c r="N238" s="7">
        <f t="shared" si="137"/>
        <v>9.8833333281800151</v>
      </c>
      <c r="O238" s="7"/>
      <c r="P238" s="7"/>
      <c r="Q238" s="22"/>
      <c r="R238" s="174"/>
      <c r="S238" s="221">
        <f t="shared" si="138"/>
        <v>1</v>
      </c>
      <c r="T238" s="174" t="str">
        <f t="shared" si="118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119"/>
        <v>https://d0f6bd738d7f1b3e5a7ca70fe4ff75f0.us-east-1.aws.found.io/app/kibana#/discover/Steve-Slow-Train-Analysis-(2080s-and-2083s)?_g=(refreshInterval:(display:Off,pause:!f,section:0,value:0),time:(from:'2017-10-19T11:03:52-0600',mode:absolute,to:'2017-10-19T13:17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8" s="204" t="str">
        <f>IF(AA238&lt;VLOOKUP(AG238,Variables!$AC$3:$AD$8,2,FALSE),"Y","N")</f>
        <v>Y</v>
      </c>
      <c r="X238" s="204">
        <f t="shared" si="131"/>
        <v>1</v>
      </c>
      <c r="Y238" s="204">
        <f t="shared" si="114"/>
        <v>3.8800000000000001E-2</v>
      </c>
      <c r="Z238" s="204">
        <f t="shared" si="115"/>
        <v>2.4243999999999999</v>
      </c>
      <c r="AA238" s="204">
        <f t="shared" si="120"/>
        <v>2.3855999999999997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21"/>
        <v>65</v>
      </c>
      <c r="AE238" s="77" t="str">
        <f t="shared" si="122"/>
        <v>aws s3 cp s3://rtdc.mdm.uploadarchive.raw/RTDC4032/ "%USERPROFILE%\AppData\Local\Temp\OnboardLogs"\RTDC4032\2017-10-19 --exclude "*" --recursive --include "*20171019*" &amp; "%USERPROFILE%\Documents\GitHub\mrs-test-scripts\Headless Mode &amp; Sideloading\WalkAndUnGZ.bat" "%USERPROFILE%\AppData\Local\Temp\OnboardLogs"\RTDC4032\2017-10-19 &amp; aws s3 cp s3://rtdc.mdm.uploadarchive.raw/RTDC4032/ "%USERPROFILE%\AppData\Local\Temp\OnboardLogs"\RTDC4032\2017-10-20 --exclude "*" --recursive --include "*20171020*" &amp; "%USERPROFILE%\Documents\GitHub\mrs-test-scripts\Headless Mode &amp; Sideloading\WalkAndUnGZ.bat" "%USERPROFILE%\AppData\Local\Temp\OnboardLogs"\RTDC4032\2017-10-20</v>
      </c>
      <c r="AF238" s="74" t="str">
        <f t="shared" si="123"/>
        <v>"C:\Program Files (x86)\AstroGrep\AstroGrep.exe" /e /r /s /spath="%USERPROFILE%\AppData\Local\Temp\OnboardLogs" /stypes="app*4032*20171019*" /stext=" 18:.+((SYSTEM_STATE.+slice.+state.+changed )|(ment ac)|(multiple cpu faults)|(system.+state.+changed )|(\[timeout)|(PRM\|1\|D)|(kpr)|(kdp)|(train st.+moving)|(\|lc)|(penalty))"</v>
      </c>
      <c r="AG238" s="182" t="str">
        <f t="shared" si="124"/>
        <v>Shuttle/Test</v>
      </c>
      <c r="AH238" s="78" t="str">
        <f t="shared" si="132"/>
        <v>"%USERPROFILE%\Documents\GitHub\eaglep3\Utilities\RefineRTDCRunTimes.py" --tripid 65-19 --locoid 4032 --swversion DE.1.0.9.0 --startMP 204:388 --initTime 2017-10-19T12:03:52 --startdatetime 2017-10-19T12:07:40 --delay 171 --endMP 300:24244 --enddatetime 2017-10-19T12:17:33 --enforcementcount 0 &gt;&gt;%USERPROFILE%\Documents\GitHub\eaglep3-reporting\EC\2017-10-19-refined-times.txt</v>
      </c>
      <c r="AI238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2.4244"},{"id":17,"name":"Train ID","value":"65-19"},{"id":16,"name":"Locomotive ID","value":"4032"},{"id":130,"name":"Impact","value":""},{"id":150,"name":"Time of Event (Mountain Time)","value":"12:17:33"},{"id":151,"name":"Denver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134"/>
        <v>start /low /b %USERPROFILE%\Documents\GitHub\eaglep3\Utilities\DownloadLogsFromS3.py --loco 4032 --day 2017-10-19</v>
      </c>
      <c r="AN238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18:17:33"},{"id":29,"name":"Sharepoint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36"/>
        <v>https://d0f6bd738d7f1b3e5a7ca70fe4ff75f0.us-east-1.aws.found.io/app/kibana#/discover/Steve-Slow-Train-Analysis-(2080s-and-2083s)?_g=(refreshInterval:(display:Off,pause:!f,section:0,value:0),time:(from:'2017-10-19T11:03:52-0600',mode:absolute,to:'2017-10-19T13:17:33-0600'))&amp;_a=(columns:!('Message%20ID',Summary),filters:!(),index:'emp_*',interval:auto,query:(query_string:(analyze_wildcard:!t,query:'%22rtdc.l.rtdc.4032%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581</v>
      </c>
      <c r="B239" s="7">
        <v>4021</v>
      </c>
      <c r="C239" s="21" t="s">
        <v>194</v>
      </c>
      <c r="D239" s="21" t="s">
        <v>908</v>
      </c>
      <c r="E239" s="13">
        <v>43027.49181712963</v>
      </c>
      <c r="F239" s="13">
        <v>43027.494328703702</v>
      </c>
      <c r="G239" s="7">
        <v>87</v>
      </c>
      <c r="H239" s="21" t="s">
        <v>909</v>
      </c>
      <c r="I239" s="13">
        <v>25568.708333333332</v>
      </c>
      <c r="J239" s="7">
        <v>0</v>
      </c>
      <c r="K239" s="89" t="str">
        <f t="shared" si="116"/>
        <v>4021/4022</v>
      </c>
      <c r="L239" s="185" t="str">
        <f>VLOOKUP(A239,'Trips&amp;Operators'!$C$1:$G$99911,5,FALSE)</f>
        <v>KILLION DAVID</v>
      </c>
      <c r="M239" s="6">
        <f t="shared" si="117"/>
        <v>-17458.78599537037</v>
      </c>
      <c r="N239" s="7">
        <f t="shared" si="137"/>
        <v>-25140651.833333332</v>
      </c>
      <c r="O239" s="7"/>
      <c r="P239" s="7"/>
      <c r="Q239" s="22"/>
      <c r="R239" s="174"/>
      <c r="S239" s="221">
        <f t="shared" si="138"/>
        <v>0</v>
      </c>
      <c r="T239" s="174" t="str">
        <f t="shared" si="118"/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119"/>
        <v>https://d0f6bd738d7f1b3e5a7ca70fe4ff75f0.us-east-1.aws.found.io/app/kibana#/discover/Steve-Slow-Train-Analysis-(2080s-and-2083s)?_g=(refreshInterval:(display:Off,pause:!f,section:0,value:0),time:(from:'2017-10-19T10:48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9" s="204" t="str">
        <f>IF(AA239&lt;VLOOKUP(AG239,Variables!$AC$3:$AD$8,2,FALSE),"Y","N")</f>
        <v>Y</v>
      </c>
      <c r="X239" s="204">
        <f t="shared" si="131"/>
        <v>1</v>
      </c>
      <c r="Y239" s="204">
        <f t="shared" si="114"/>
        <v>2.3624999999999998</v>
      </c>
      <c r="Z239" s="204">
        <f t="shared" si="115"/>
        <v>2.3169</v>
      </c>
      <c r="AA239" s="204">
        <f t="shared" si="120"/>
        <v>4.5599999999999863E-2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21"/>
        <v>66</v>
      </c>
      <c r="AE239" s="77" t="str">
        <f t="shared" si="122"/>
        <v>aws s3 cp s3://rtdc.mdm.uploadarchive.raw/RTDC4021/ "%USERPROFILE%\AppData\Local\Temp\OnboardLogs"\RTDC4021\2017-10-19 --exclude "*" --recursive --include "*20171019*" &amp; "%USERPROFILE%\Documents\GitHub\mrs-test-scripts\Headless Mode &amp; Sideloading\WalkAndUnGZ.bat" "%USERPROFILE%\AppData\Local\Temp\OnboardLogs"\RTDC4021\2017-10-19 &amp; aws s3 cp s3://rtdc.mdm.uploadarchive.raw/RTDC4021/ "%USERPROFILE%\AppData\Local\Temp\OnboardLogs"\RTDC4021\2017-10-20 --exclude "*" --recursive --include "*20171020*" &amp; "%USERPROFILE%\Documents\GitHub\mrs-test-scripts\Headless Mode &amp; Sideloading\WalkAndUnGZ.bat" "%USERPROFILE%\AppData\Local\Temp\OnboardLogs"\RTDC4021\2017-10-20</v>
      </c>
      <c r="AF239" s="74" t="str">
        <f t="shared" si="123"/>
        <v>"C:\Program Files (x86)\AstroGrep\AstroGrep.exe" /e /r /s /spath="%USERPROFILE%\AppData\Local\Temp\OnboardLogs" /stypes="app*4021*19691231*" /stext=" 23:.+((SYSTEM_STATE.+slice.+state.+changed )|(ment ac)|(multiple cpu faults)|(system.+state.+changed )|(\[timeout)|(PRM\|1\|D)|(kpr)|(kdp)|(train st.+moving)|(\|lc)|(penalty))"</v>
      </c>
      <c r="AG239" s="182" t="str">
        <f t="shared" si="124"/>
        <v>Shuttle/Test</v>
      </c>
      <c r="AH239" s="78" t="str">
        <f t="shared" si="132"/>
        <v>"%USERPROFILE%\Documents\GitHub\eaglep3\Utilities\RefineRTDCRunTimes.py" --tripid 66-19 --locoid 4021 --swversion DE.1.0.9.0 --startMP 300:23625 --initTime 2017-10-19T11:48:13 --startdatetime 2017-10-19T11:51:50 --delay 87 --endMP 300:23169 --enddatetime 1969-12-31T17:00:00 --enforcementcount 0 &gt;&gt;%USERPROFILE%\Documents\GitHub\eaglep3-reporting\EC\2017-10-19-refined-times.txt</v>
      </c>
      <c r="AI239" s="96" t="str">
        <f t="shared" si="133"/>
        <v>echo {"issue":{"subject":"","project_id":79,"tracker_id":40,"status_id":1,"priority_id":2,"assigned_to_id":338,"start_date":"1969-12-31","description":"","custom_fields":[{"id":1,"name":"Subdivision","value":"Shuttle/Test"},{"id":4,"name":"Milepost","value":"2.3169"},{"id":17,"name":"Train ID","value":"66-19"},{"id":16,"name":"Locomotive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134"/>
        <v>start /low /b %USERPROFILE%\Documents\GitHub\eaglep3\Utilities\DownloadLogsFromS3.py --loco 4021 --day 2017-10-19</v>
      </c>
      <c r="AN239" s="151" t="str">
        <f t="shared" si="13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36"/>
        <v>https://d0f6bd738d7f1b3e5a7ca70fe4ff75f0.us-east-1.aws.found.io/app/kibana#/discover/Steve-Slow-Train-Analysis-(2080s-and-2083s)?_g=(refreshInterval:(display:Off,pause:!f,section:0,value:0),time:(from:'2017-10-19T10:48:13-0600',mode:absolute,to:'1969-12-31T18:00:00-0600'))&amp;_a=(columns:!('Message%20ID',Summary),filters:!(),index:'emp_*',interval:auto,query:(query_string:(analyze_wildcard:!t,query:'%22rtdc.l.rtdc.4021%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743</v>
      </c>
      <c r="B240" s="7">
        <v>4052</v>
      </c>
      <c r="C240" s="21" t="s">
        <v>194</v>
      </c>
      <c r="D240" s="21" t="s">
        <v>910</v>
      </c>
      <c r="E240" s="13">
        <v>43027.702465277776</v>
      </c>
      <c r="F240" s="13">
        <v>43027.71199074074</v>
      </c>
      <c r="G240" s="7">
        <v>376</v>
      </c>
      <c r="H240" s="21" t="s">
        <v>539</v>
      </c>
      <c r="I240" s="13">
        <v>43027.723263888889</v>
      </c>
      <c r="J240" s="7">
        <v>0</v>
      </c>
      <c r="K240" s="89" t="str">
        <f t="shared" si="116"/>
        <v>4051/4052</v>
      </c>
      <c r="L240" s="185" t="str">
        <f>VLOOKUP(A240,'Trips&amp;Operators'!$C$1:$G$99911,5,FALSE)</f>
        <v>MOSES BRADLEY</v>
      </c>
      <c r="M240" s="6">
        <f t="shared" si="117"/>
        <v>1.1273148149484769E-2</v>
      </c>
      <c r="N240" s="7">
        <f t="shared" si="137"/>
        <v>16.233333335258067</v>
      </c>
      <c r="O240" s="7"/>
      <c r="P240" s="7"/>
      <c r="Q240" s="22"/>
      <c r="R240" s="174"/>
      <c r="S240" s="221">
        <f t="shared" si="138"/>
        <v>1</v>
      </c>
      <c r="T240" s="174" t="str">
        <f t="shared" si="118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 t="shared" si="119"/>
        <v>https://d0f6bd738d7f1b3e5a7ca70fe4ff75f0.us-east-1.aws.found.io/app/kibana#/discover/Steve-Slow-Train-Analysis-(2080s-and-2083s)?_g=(refreshInterval:(display:Off,pause:!f,section:0,value:0),time:(from:'2017-10-19T15:51:33-0600',mode:absolute,to:'2017-10-19T18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0" s="204" t="str">
        <f>IF(AA240&lt;VLOOKUP(AG240,Variables!$AC$3:$AD$8,2,FALSE),"Y","N")</f>
        <v>Y</v>
      </c>
      <c r="X240" s="204">
        <f t="shared" si="131"/>
        <v>9</v>
      </c>
      <c r="Y240" s="204">
        <f t="shared" si="114"/>
        <v>0.15049999999999999</v>
      </c>
      <c r="Z240" s="204">
        <f t="shared" si="115"/>
        <v>2.3311999999999999</v>
      </c>
      <c r="AA240" s="204">
        <f t="shared" si="120"/>
        <v>2.1806999999999999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21"/>
        <v>75</v>
      </c>
      <c r="AE240" s="77" t="str">
        <f t="shared" si="122"/>
        <v>aws s3 cp s3://rtdc.mdm.uploadarchive.raw/RTDC4052/ "%USERPROFILE%\AppData\Local\Temp\OnboardLogs"\RTDC4052\2017-10-19 --exclude "*" --recursive --include "*20171019*" &amp; "%USERPROFILE%\Documents\GitHub\mrs-test-scripts\Headless Mode &amp; Sideloading\WalkAndUnGZ.bat" "%USERPROFILE%\AppData\Local\Temp\OnboardLogs"\RTDC4052\2017-10-19 &amp; aws s3 cp s3://rtdc.mdm.uploadarchive.raw/RTDC4052/ "%USERPROFILE%\AppData\Local\Temp\OnboardLogs"\RTDC4052\2017-10-20 --exclude "*" --recursive --include "*20171020*" &amp; "%USERPROFILE%\Documents\GitHub\mrs-test-scripts\Headless Mode &amp; Sideloading\WalkAndUnGZ.bat" "%USERPROFILE%\AppData\Local\Temp\OnboardLogs"\RTDC4052\2017-10-20</v>
      </c>
      <c r="AF240" s="74" t="str">
        <f t="shared" si="123"/>
        <v>"C:\Program Files (x86)\AstroGrep\AstroGrep.exe" /e /r /s /spath="%USERPROFILE%\AppData\Local\Temp\OnboardLogs" /stypes="app*4052*20171019*" /stext=" 23:.+((SYSTEM_STATE.+slice.+state.+changed )|(ment ac)|(multiple cpu faults)|(system.+state.+changed )|(\[timeout)|(PRM\|1\|D)|(kpr)|(kdp)|(train st.+moving)|(\|lc)|(penalty))"</v>
      </c>
      <c r="AG240" s="182" t="str">
        <f t="shared" si="124"/>
        <v>Shuttle/Test</v>
      </c>
      <c r="AH240" s="78" t="str">
        <f t="shared" si="132"/>
        <v>"%USERPROFILE%\Documents\GitHub\eaglep3\Utilities\RefineRTDCRunTimes.py" --tripid 75-19 --locoid 4052 --swversion DE.1.0.9.0 --startMP 204:1505 --initTime 2017-10-19T16:51:33 --startdatetime 2017-10-19T17:05:16 --delay 376 --endMP 300:23312 --enddatetime 2017-10-19T17:21:30 --enforcementcount 0 &gt;&gt;%USERPROFILE%\Documents\GitHub\eaglep3-reporting\EC\2017-10-19-refined-times.txt</v>
      </c>
      <c r="AI240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2.3312"},{"id":17,"name":"Train ID","value":"75-19"},{"id":16,"name":"Locomotive ID","value":"4052"},{"id":130,"name":"Impact","value":""},{"id":150,"name":"Time of Event (Mountain Time)","value":"17:21:30"},{"id":151,"name":"Denver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134"/>
        <v>start /low /b %USERPROFILE%\Documents\GitHub\eaglep3\Utilities\DownloadLogsFromS3.py --loco 4052 --day 2017-10-19</v>
      </c>
      <c r="AN240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36"/>
        <v>https://d0f6bd738d7f1b3e5a7ca70fe4ff75f0.us-east-1.aws.found.io/app/kibana#/discover/Steve-Slow-Train-Analysis-(2080s-and-2083s)?_g=(refreshInterval:(display:Off,pause:!f,section:0,value:0),time:(from:'2017-10-19T15:51:33-0600',mode:absolute,to:'2017-10-19T18:21:30-0600'))&amp;_a=(columns:!('Message%20ID',Summary),filters:!(),index:'emp_*',interval:auto,query:(query_string:(analyze_wildcard:!t,query:'%22rtdc.l.rtdc.4052%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743</v>
      </c>
      <c r="B241" s="7">
        <v>4017</v>
      </c>
      <c r="C241" s="21" t="s">
        <v>194</v>
      </c>
      <c r="D241" s="21" t="s">
        <v>911</v>
      </c>
      <c r="E241" s="13">
        <v>43027.904594907406</v>
      </c>
      <c r="F241" s="13">
        <v>43027.906134259261</v>
      </c>
      <c r="G241" s="7">
        <v>66</v>
      </c>
      <c r="H241" s="21" t="s">
        <v>339</v>
      </c>
      <c r="I241" s="13">
        <v>43027.907604166663</v>
      </c>
      <c r="J241" s="7">
        <v>0</v>
      </c>
      <c r="K241" s="89" t="str">
        <f t="shared" si="116"/>
        <v>4017/4018</v>
      </c>
      <c r="L241" s="185" t="str">
        <f>VLOOKUP(A241,'Trips&amp;Operators'!$C$1:$G$99911,5,FALSE)</f>
        <v>MOSES BRADLEY</v>
      </c>
      <c r="M241" s="6">
        <f t="shared" si="117"/>
        <v>1.4699074017698877E-3</v>
      </c>
      <c r="N241" s="7">
        <f t="shared" si="137"/>
        <v>2.1166666585486382</v>
      </c>
      <c r="O241" s="7"/>
      <c r="P241" s="7"/>
      <c r="Q241" s="22"/>
      <c r="R241" s="174"/>
      <c r="S241" s="221">
        <f t="shared" si="138"/>
        <v>0</v>
      </c>
      <c r="T241" s="174" t="str">
        <f t="shared" si="118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 t="shared" si="119"/>
        <v>https://d0f6bd738d7f1b3e5a7ca70fe4ff75f0.us-east-1.aws.found.io/app/kibana#/discover/Steve-Slow-Train-Analysis-(2080s-and-2083s)?_g=(refreshInterval:(display:Off,pause:!f,section:0,value:0),time:(from:'2017-10-19T20:42:37-0600',mode:absolute,to:'2017-10-19T22:46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1" s="204" t="str">
        <f>IF(AA241&lt;VLOOKUP(AG241,Variables!$AC$3:$AD$8,2,FALSE),"Y","N")</f>
        <v>Y</v>
      </c>
      <c r="X241" s="204">
        <f t="shared" si="131"/>
        <v>0</v>
      </c>
      <c r="Y241" s="204">
        <f t="shared" si="114"/>
        <v>0.30930000000000002</v>
      </c>
      <c r="Z241" s="204">
        <f t="shared" si="115"/>
        <v>1.47E-2</v>
      </c>
      <c r="AA241" s="204">
        <f t="shared" si="120"/>
        <v>0.29460000000000003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21"/>
        <v>75</v>
      </c>
      <c r="AE241" s="77" t="str">
        <f t="shared" si="122"/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AF241" s="74" t="str">
        <f t="shared" si="123"/>
        <v>"C:\Program Files (x86)\AstroGrep\AstroGrep.exe" /e /r /s /spath="%USERPROFILE%\AppData\Local\Temp\OnboardLogs" /stypes="app*4017*20171020*" /stext=" 03:.+((SYSTEM_STATE.+slice.+state.+changed )|(ment ac)|(multiple cpu faults)|(system.+state.+changed )|(\[timeout)|(PRM\|1\|D)|(kpr)|(kdp)|(train st.+moving)|(\|lc)|(penalty))"</v>
      </c>
      <c r="AG241" s="182" t="str">
        <f t="shared" si="124"/>
        <v>Shuttle/Test</v>
      </c>
      <c r="AH241" s="78" t="str">
        <f t="shared" si="132"/>
        <v>"%USERPROFILE%\Documents\GitHub\eaglep3\Utilities\RefineRTDCRunTimes.py" --tripid 75-19 --locoid 4017 --swversion DE.1.0.9.0 --startMP 204:3093 --initTime 2017-10-19T21:42:37 --startdatetime 2017-10-19T21:44:50 --delay 66 --endMP 204:147 --enddatetime 2017-10-19T21:46:57 --enforcementcount 0 &gt;&gt;%USERPROFILE%\Documents\GitHub\eaglep3-reporting\EC\2017-10-19-refined-times.txt</v>
      </c>
      <c r="AI241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0.0147"},{"id":17,"name":"Train ID","value":"75-19"},{"id":16,"name":"Locomotive ID","value":"4017"},{"id":130,"name":"Impact","value":""},{"id":150,"name":"Time of Event (Mountain Time)","value":"21:46:57"},{"id":151,"name":"Denver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134"/>
        <v>start /low /b %USERPROFILE%\Documents\GitHub\eaglep3\Utilities\DownloadLogsFromS3.py --loco 4017 --day 2017-10-19</v>
      </c>
      <c r="AN241" s="151" t="str">
        <f t="shared" si="135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03:46:57"},{"id":29,"name":"Sharepoint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36"/>
        <v>https://d0f6bd738d7f1b3e5a7ca70fe4ff75f0.us-east-1.aws.found.io/app/kibana#/discover/Steve-Slow-Train-Analysis-(2080s-and-2083s)?_g=(refreshInterval:(display:Off,pause:!f,section:0,value:0),time:(from:'2017-10-19T20:42:37-0600',mode:absolute,to:'2017-10-19T22:46:57-0600'))&amp;_a=(columns:!('Message%20ID',Summary),filters:!(),index:'emp_*',interval:auto,query:(query_string:(analyze_wildcard:!t,query:'%22rtdc.l.rtdc.4017%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32" t="s">
        <v>743</v>
      </c>
      <c r="B242" s="7">
        <v>4010</v>
      </c>
      <c r="C242" s="21" t="s">
        <v>194</v>
      </c>
      <c r="D242" s="21" t="s">
        <v>482</v>
      </c>
      <c r="E242" s="13">
        <v>43027.82435185185</v>
      </c>
      <c r="F242" s="13">
        <v>43027.831585648149</v>
      </c>
      <c r="G242" s="7">
        <v>88</v>
      </c>
      <c r="H242" s="21" t="s">
        <v>912</v>
      </c>
      <c r="I242" s="13">
        <v>43027.833645833336</v>
      </c>
      <c r="J242" s="7">
        <v>0</v>
      </c>
      <c r="K242" s="89" t="str">
        <f t="shared" si="116"/>
        <v>4009/4010</v>
      </c>
      <c r="L242" s="185" t="str">
        <f>VLOOKUP(A242,'Trips&amp;Operators'!$C$1:$G$99911,5,FALSE)</f>
        <v>MOSES BRADLEY</v>
      </c>
      <c r="M242" s="6">
        <f t="shared" si="117"/>
        <v>2.0601851865649223E-3</v>
      </c>
      <c r="N242" s="7">
        <f t="shared" si="137"/>
        <v>2.9666666686534882</v>
      </c>
      <c r="O242" s="7"/>
      <c r="P242" s="7"/>
      <c r="Q242" s="22"/>
      <c r="R242" s="174"/>
      <c r="S242" s="221">
        <f t="shared" si="138"/>
        <v>0</v>
      </c>
      <c r="T242" s="174" t="str">
        <f t="shared" si="118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119"/>
        <v>https://d0f6bd738d7f1b3e5a7ca70fe4ff75f0.us-east-1.aws.found.io/app/kibana#/discover/Steve-Slow-Train-Analysis-(2080s-and-2083s)?_g=(refreshInterval:(display:Off,pause:!f,section:0,value:0),time:(from:'2017-10-19T18:47:04-0600',mode:absolute,to:'2017-10-19T21:00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2" s="204" t="str">
        <f>IF(AA242&lt;VLOOKUP(AG242,Variables!$AC$3:$AD$8,2,FALSE),"Y","N")</f>
        <v>Y</v>
      </c>
      <c r="X242" s="204">
        <f t="shared" si="131"/>
        <v>0</v>
      </c>
      <c r="Y242" s="204">
        <f t="shared" si="114"/>
        <v>0.1152</v>
      </c>
      <c r="Z242" s="204">
        <f t="shared" si="115"/>
        <v>0.3584</v>
      </c>
      <c r="AA242" s="204">
        <f t="shared" si="120"/>
        <v>0.2432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21"/>
        <v>75</v>
      </c>
      <c r="AE242" s="77" t="str">
        <f t="shared" si="122"/>
        <v>aws s3 cp s3://rtdc.mdm.uploadarchive.raw/RTDC4010/ "%USERPROFILE%\AppData\Local\Temp\OnboardLogs"\RTDC4010\2017-10-19 --exclude "*" --recursive --include "*20171019*" &amp; "%USERPROFILE%\Documents\GitHub\mrs-test-scripts\Headless Mode &amp; Sideloading\WalkAndUnGZ.bat" "%USERPROFILE%\AppData\Local\Temp\OnboardLogs"\RTDC4010\2017-10-19 &amp; aws s3 cp s3://rtdc.mdm.uploadarchive.raw/RTDC4010/ "%USERPROFILE%\AppData\Local\Temp\OnboardLogs"\RTDC4010\2017-10-20 --exclude "*" --recursive --include "*20171020*" &amp; "%USERPROFILE%\Documents\GitHub\mrs-test-scripts\Headless Mode &amp; Sideloading\WalkAndUnGZ.bat" "%USERPROFILE%\AppData\Local\Temp\OnboardLogs"\RTDC4010\2017-10-20</v>
      </c>
      <c r="AF242" s="74" t="str">
        <f t="shared" si="123"/>
        <v>"C:\Program Files (x86)\AstroGrep\AstroGrep.exe" /e /r /s /spath="%USERPROFILE%\AppData\Local\Temp\OnboardLogs" /stypes="app*4010*20171020*" /stext=" 02:.+((SYSTEM_STATE.+slice.+state.+changed )|(ment ac)|(multiple cpu faults)|(system.+state.+changed )|(\[timeout)|(PRM\|1\|D)|(kpr)|(kdp)|(train st.+moving)|(\|lc)|(penalty))"</v>
      </c>
      <c r="AG242" s="182" t="str">
        <f t="shared" si="124"/>
        <v>Shuttle/Test</v>
      </c>
      <c r="AH242" s="78" t="str">
        <f t="shared" si="132"/>
        <v>"%USERPROFILE%\Documents\GitHub\eaglep3\Utilities\RefineRTDCRunTimes.py" --tripid 75-19 --locoid 4010 --swversion DE.1.0.9.0 --startMP 204:1152 --initTime 2017-10-19T19:47:04 --startdatetime 2017-10-19T19:57:29 --delay 88 --endMP 204:3584 --enddatetime 2017-10-19T20:00:27 --enforcementcount 0 &gt;&gt;%USERPROFILE%\Documents\GitHub\eaglep3-reporting\EC\2017-10-19-refined-times.txt</v>
      </c>
      <c r="AI242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0.3584"},{"id":17,"name":"Train ID","value":"75-19"},{"id":16,"name":"Locomotive ID","value":"4010"},{"id":130,"name":"Impact","value":""},{"id":150,"name":"Time of Event (Mountain Time)","value":"20:00:27"},{"id":151,"name":"Denver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134"/>
        <v>start /low /b %USERPROFILE%\Documents\GitHub\eaglep3\Utilities\DownloadLogsFromS3.py --loco 4010 --day 2017-10-19</v>
      </c>
      <c r="AN242" s="151" t="str">
        <f t="shared" si="135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02:00:27"},{"id":29,"name":"Sharepoint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36"/>
        <v>https://d0f6bd738d7f1b3e5a7ca70fe4ff75f0.us-east-1.aws.found.io/app/kibana#/discover/Steve-Slow-Train-Analysis-(2080s-and-2083s)?_g=(refreshInterval:(display:Off,pause:!f,section:0,value:0),time:(from:'2017-10-19T18:47:04-0600',mode:absolute,to:'2017-10-19T21:00:27-0600'))&amp;_a=(columns:!('Message%20ID',Summary),filters:!(),index:'emp_*',interval:auto,query:(query_string:(analyze_wildcard:!t,query:'%22rtdc.l.rtdc.4010%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 s="32" t="s">
        <v>743</v>
      </c>
      <c r="B243" s="7">
        <v>4018</v>
      </c>
      <c r="C243" s="21" t="s">
        <v>194</v>
      </c>
      <c r="D243" s="21" t="s">
        <v>913</v>
      </c>
      <c r="E243" s="13">
        <v>43027.900891203702</v>
      </c>
      <c r="F243" s="13">
        <v>43027.906134259261</v>
      </c>
      <c r="G243" s="7">
        <v>83</v>
      </c>
      <c r="H243" s="21" t="s">
        <v>914</v>
      </c>
      <c r="I243" s="13">
        <v>43027.907604166663</v>
      </c>
      <c r="J243" s="7">
        <v>0</v>
      </c>
      <c r="K243" s="89" t="str">
        <f t="shared" si="116"/>
        <v>4017/4018</v>
      </c>
      <c r="L243" s="185" t="str">
        <f>VLOOKUP(A243,'Trips&amp;Operators'!$C$1:$G$99911,5,FALSE)</f>
        <v>MOSES BRADLEY</v>
      </c>
      <c r="M243" s="6">
        <f t="shared" si="117"/>
        <v>1.4699074017698877E-3</v>
      </c>
      <c r="N243" s="7">
        <f t="shared" si="137"/>
        <v>2.1166666585486382</v>
      </c>
      <c r="O243" s="7"/>
      <c r="P243" s="7"/>
      <c r="Q243" s="22"/>
      <c r="R243" s="174"/>
      <c r="S243" s="221">
        <f t="shared" si="138"/>
        <v>0</v>
      </c>
      <c r="T243" s="174" t="str">
        <f t="shared" si="118"/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 t="shared" si="119"/>
        <v>https://d0f6bd738d7f1b3e5a7ca70fe4ff75f0.us-east-1.aws.found.io/app/kibana#/discover/Steve-Slow-Train-Analysis-(2080s-and-2083s)?_g=(refreshInterval:(display:Off,pause:!f,section:0,value:0),time:(from:'2017-10-19T20:37:17-0600',mode:absolute,to:'2017-10-19T22:46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3" s="204" t="str">
        <f>IF(AA243&lt;VLOOKUP(AG243,Variables!$AC$3:$AD$8,2,FALSE),"Y","N")</f>
        <v>Y</v>
      </c>
      <c r="X243" s="204">
        <f t="shared" si="131"/>
        <v>0</v>
      </c>
      <c r="Y243" s="204">
        <f t="shared" si="114"/>
        <v>0.1164</v>
      </c>
      <c r="Z243" s="204">
        <f t="shared" si="115"/>
        <v>0.34320000000000001</v>
      </c>
      <c r="AA243" s="204">
        <f t="shared" si="120"/>
        <v>0.2268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 t="shared" si="121"/>
        <v>75</v>
      </c>
      <c r="AE243" s="77" t="str">
        <f t="shared" si="122"/>
        <v>aws s3 cp s3://rtdc.mdm.uploadarchive.raw/RTDC4018/ "%USERPROFILE%\AppData\Local\Temp\OnboardLogs"\RTDC4018\2017-10-19 --exclude "*" --recursive --include "*20171019*" &amp; "%USERPROFILE%\Documents\GitHub\mrs-test-scripts\Headless Mode &amp; Sideloading\WalkAndUnGZ.bat" "%USERPROFILE%\AppData\Local\Temp\OnboardLogs"\RTDC4018\2017-10-19 &amp; aws s3 cp s3://rtdc.mdm.uploadarchive.raw/RTDC4018/ "%USERPROFILE%\AppData\Local\Temp\OnboardLogs"\RTDC4018\2017-10-20 --exclude "*" --recursive --include "*20171020*" &amp; "%USERPROFILE%\Documents\GitHub\mrs-test-scripts\Headless Mode &amp; Sideloading\WalkAndUnGZ.bat" "%USERPROFILE%\AppData\Local\Temp\OnboardLogs"\RTDC4018\2017-10-20</v>
      </c>
      <c r="AF243" s="74" t="str">
        <f t="shared" si="123"/>
        <v>"C:\Program Files (x86)\AstroGrep\AstroGrep.exe" /e /r /s /spath="%USERPROFILE%\AppData\Local\Temp\OnboardLogs" /stypes="app*4018*20171020*" /stext=" 03:.+((SYSTEM_STATE.+slice.+state.+changed )|(ment ac)|(multiple cpu faults)|(system.+state.+changed )|(\[timeout)|(PRM\|1\|D)|(kpr)|(kdp)|(train st.+moving)|(\|lc)|(penalty))"</v>
      </c>
      <c r="AG243" s="182" t="str">
        <f t="shared" si="124"/>
        <v>Shuttle/Test</v>
      </c>
      <c r="AH243" s="78" t="str">
        <f t="shared" si="132"/>
        <v>"%USERPROFILE%\Documents\GitHub\eaglep3\Utilities\RefineRTDCRunTimes.py" --tripid 75-19 --locoid 4018 --swversion DE.1.0.9.0 --startMP 204:1164 --initTime 2017-10-19T21:37:17 --startdatetime 2017-10-19T21:44:50 --delay 83 --endMP 204:3432 --enddatetime 2017-10-19T21:46:57 --enforcementcount 0 &gt;&gt;%USERPROFILE%\Documents\GitHub\eaglep3-reporting\EC\2017-10-19-refined-times.txt</v>
      </c>
      <c r="AI243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0.3432"},{"id":17,"name":"Train ID","value":"75-19"},{"id":16,"name":"Locomotive ID","value":"4018"},{"id":130,"name":"Impact","value":""},{"id":150,"name":"Time of Event (Mountain Time)","value":"21:46:57"},{"id":151,"name":"Denver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134"/>
        <v>start /low /b %USERPROFILE%\Documents\GitHub\eaglep3\Utilities\DownloadLogsFromS3.py --loco 4018 --day 2017-10-19</v>
      </c>
      <c r="AN243" s="151" t="str">
        <f t="shared" si="135"/>
        <v>echo {"issue":{"subject":"","project_id":30,"tracker_id":4,"status_id":1,"priority_id":1,"assigned_to_id":10,"start_date":"2017-10-20","description":"","custom_fields":[{"id":30,"name":"Category","value":"Issue"},{"id":3,"name":"Functional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UTC","value":"2017-10-20 03:46:57"},{"id":29,"name":"Sharepoint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136"/>
        <v>https://d0f6bd738d7f1b3e5a7ca70fe4ff75f0.us-east-1.aws.found.io/app/kibana#/discover/Steve-Slow-Train-Analysis-(2080s-and-2083s)?_g=(refreshInterval:(display:Off,pause:!f,section:0,value:0),time:(from:'2017-10-19T20:37:17-0600',mode:absolute,to:'2017-10-19T22:46:57-0600'))&amp;_a=(columns:!('Message%20ID',Summary),filters:!(),index:'emp_*',interval:auto,query:(query_string:(analyze_wildcard:!t,query:'%22rtdc.l.rtdc.4018%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32" t="s">
        <v>748</v>
      </c>
      <c r="B244" s="7">
        <v>4060</v>
      </c>
      <c r="C244" s="21" t="s">
        <v>194</v>
      </c>
      <c r="D244" s="21" t="s">
        <v>540</v>
      </c>
      <c r="E244" s="13">
        <v>43027.717488425929</v>
      </c>
      <c r="F244" s="13">
        <v>43027.723877314813</v>
      </c>
      <c r="G244" s="7">
        <v>191</v>
      </c>
      <c r="H244" s="21" t="s">
        <v>915</v>
      </c>
      <c r="I244" s="13">
        <v>43027.728784722225</v>
      </c>
      <c r="J244" s="7">
        <v>0</v>
      </c>
      <c r="K244" s="89" t="str">
        <f t="shared" si="116"/>
        <v>4059/4060</v>
      </c>
      <c r="L244" s="185" t="str">
        <f>VLOOKUP(A244,'Trips&amp;Operators'!$C$1:$G$99911,5,FALSE)</f>
        <v>ROBINSON KADDIBA</v>
      </c>
      <c r="M244" s="6">
        <f t="shared" si="117"/>
        <v>4.9074074122472666E-3</v>
      </c>
      <c r="N244" s="7">
        <f t="shared" si="137"/>
        <v>7.0666666736360639</v>
      </c>
      <c r="O244" s="7"/>
      <c r="P244" s="7"/>
      <c r="Q244" s="22"/>
      <c r="R244" s="174"/>
      <c r="S244" s="221">
        <f t="shared" si="138"/>
        <v>1</v>
      </c>
      <c r="T244" s="174" t="str">
        <f t="shared" si="118"/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 t="shared" si="119"/>
        <v>https://d0f6bd738d7f1b3e5a7ca70fe4ff75f0.us-east-1.aws.found.io/app/kibana#/discover/Steve-Slow-Train-Analysis-(2080s-and-2083s)?_g=(refreshInterval:(display:Off,pause:!f,section:0,value:0),time:(from:'2017-10-19T16:13:11-0600',mode:absolute,to:'2017-10-19T18:29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4" s="204" t="str">
        <f>IF(AA244&lt;VLOOKUP(AG244,Variables!$AC$3:$AD$8,2,FALSE),"Y","N")</f>
        <v>Y</v>
      </c>
      <c r="X244" s="204">
        <f t="shared" si="131"/>
        <v>2</v>
      </c>
      <c r="Y244" s="204">
        <f t="shared" si="114"/>
        <v>0.1148</v>
      </c>
      <c r="Z244" s="204">
        <f t="shared" si="115"/>
        <v>2.3296999999999999</v>
      </c>
      <c r="AA244" s="204">
        <f t="shared" si="120"/>
        <v>2.2149000000000001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 t="shared" si="121"/>
        <v>77</v>
      </c>
      <c r="AE244" s="77" t="str">
        <f t="shared" si="122"/>
        <v>aws s3 cp s3://rtdc.mdm.uploadarchive.raw/RTDC4060/ "%USERPROFILE%\AppData\Local\Temp\OnboardLogs"\RTDC4060\2017-10-19 --exclude "*" --recursive --include "*20171019*" &amp; "%USERPROFILE%\Documents\GitHub\mrs-test-scripts\Headless Mode &amp; Sideloading\WalkAndUnGZ.bat" "%USERPROFILE%\AppData\Local\Temp\OnboardLogs"\RTDC4060\2017-10-19 &amp; aws s3 cp s3://rtdc.mdm.uploadarchive.raw/RTDC4060/ "%USERPROFILE%\AppData\Local\Temp\OnboardLogs"\RTDC4060\2017-10-20 --exclude "*" --recursive --include "*20171020*" &amp; "%USERPROFILE%\Documents\GitHub\mrs-test-scripts\Headless Mode &amp; Sideloading\WalkAndUnGZ.bat" "%USERPROFILE%\AppData\Local\Temp\OnboardLogs"\RTDC4060\2017-10-20</v>
      </c>
      <c r="AF244" s="74" t="str">
        <f t="shared" si="123"/>
        <v>"C:\Program Files (x86)\AstroGrep\AstroGrep.exe" /e /r /s /spath="%USERPROFILE%\AppData\Local\Temp\OnboardLogs" /stypes="app*4060*20171019*" /stext=" 23:.+((SYSTEM_STATE.+slice.+state.+changed )|(ment ac)|(multiple cpu faults)|(system.+state.+changed )|(\[timeout)|(PRM\|1\|D)|(kpr)|(kdp)|(train st.+moving)|(\|lc)|(penalty))"</v>
      </c>
      <c r="AG244" s="182" t="str">
        <f t="shared" si="124"/>
        <v>Shuttle/Test</v>
      </c>
      <c r="AH244" s="78" t="str">
        <f t="shared" si="132"/>
        <v>"%USERPROFILE%\Documents\GitHub\eaglep3\Utilities\RefineRTDCRunTimes.py" --tripid 77-19 --locoid 4060 --swversion DE.1.0.9.0 --startMP 204:1148 --initTime 2017-10-19T17:13:11 --startdatetime 2017-10-19T17:22:23 --delay 191 --endMP 300:23297 --enddatetime 2017-10-19T17:29:27 --enforcementcount 0 &gt;&gt;%USERPROFILE%\Documents\GitHub\eaglep3-reporting\EC\2017-10-19-refined-times.txt</v>
      </c>
      <c r="AI244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2.3297"},{"id":17,"name":"Train ID","value":"77-19"},{"id":16,"name":"Locomotive ID","value":"4060"},{"id":130,"name":"Impact","value":""},{"id":150,"name":"Time of Event (Mountain Time)","value":"17:29:27"},{"id":151,"name":"Denver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134"/>
        <v>start /low /b %USERPROFILE%\Documents\GitHub\eaglep3\Utilities\DownloadLogsFromS3.py --loco 4060 --day 2017-10-19</v>
      </c>
      <c r="AN244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23:29:27"},{"id":29,"name":"Sharepoint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136"/>
        <v>https://d0f6bd738d7f1b3e5a7ca70fe4ff75f0.us-east-1.aws.found.io/app/kibana#/discover/Steve-Slow-Train-Analysis-(2080s-and-2083s)?_g=(refreshInterval:(display:Off,pause:!f,section:0,value:0),time:(from:'2017-10-19T16:13:11-0600',mode:absolute,to:'2017-10-19T18:29:27-0600'))&amp;_a=(columns:!('Message%20ID',Summary),filters:!(),index:'emp_*',interval:auto,query:(query_string:(analyze_wildcard:!t,query:'%22rtdc.l.rtdc.4060%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32" t="s">
        <v>755</v>
      </c>
      <c r="B245" s="7">
        <v>4009</v>
      </c>
      <c r="C245" s="21" t="s">
        <v>194</v>
      </c>
      <c r="D245" s="21" t="s">
        <v>916</v>
      </c>
      <c r="E245" s="13">
        <v>43027.740694444445</v>
      </c>
      <c r="F245" s="13">
        <v>43027.744803240741</v>
      </c>
      <c r="G245" s="7">
        <v>212</v>
      </c>
      <c r="H245" s="21" t="s">
        <v>917</v>
      </c>
      <c r="I245" s="13">
        <v>43027.749641203707</v>
      </c>
      <c r="J245" s="7">
        <v>0</v>
      </c>
      <c r="K245" s="89" t="str">
        <f t="shared" si="116"/>
        <v>4009/4010</v>
      </c>
      <c r="L245" s="185" t="str">
        <f>VLOOKUP(A245,'Trips&amp;Operators'!$C$1:$G$99911,5,FALSE)</f>
        <v>NICHOLSON WESLEY</v>
      </c>
      <c r="M245" s="6">
        <f t="shared" si="117"/>
        <v>4.8379629661212675E-3</v>
      </c>
      <c r="N245" s="7">
        <f t="shared" si="137"/>
        <v>6.9666666712146252</v>
      </c>
      <c r="O245" s="7"/>
      <c r="P245" s="7"/>
      <c r="Q245" s="22"/>
      <c r="R245" s="174"/>
      <c r="S245" s="221">
        <f t="shared" si="138"/>
        <v>0</v>
      </c>
      <c r="T245" s="174" t="str">
        <f t="shared" si="118"/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16" t="str">
        <f t="shared" si="119"/>
        <v>https://d0f6bd738d7f1b3e5a7ca70fe4ff75f0.us-east-1.aws.found.io/app/kibana#/discover/Steve-Slow-Train-Analysis-(2080s-and-2083s)?_g=(refreshInterval:(display:Off,pause:!f,section:0,value:0),time:(from:'2017-10-19T16:46:36-0600',mode:absolute,to:'2017-10-19T18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5" s="204" t="str">
        <f>IF(AA245&lt;VLOOKUP(AG245,Variables!$AC$3:$AD$8,2,FALSE),"Y","N")</f>
        <v>Y</v>
      </c>
      <c r="X245" s="204">
        <f t="shared" si="131"/>
        <v>2</v>
      </c>
      <c r="Y245" s="204">
        <f t="shared" si="114"/>
        <v>2.2311999999999999</v>
      </c>
      <c r="Z245" s="204">
        <f t="shared" si="115"/>
        <v>0.1867</v>
      </c>
      <c r="AA245" s="204">
        <f t="shared" si="120"/>
        <v>2.0444999999999998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 t="shared" si="121"/>
        <v>79</v>
      </c>
      <c r="AE245" s="77" t="str">
        <f t="shared" si="122"/>
        <v>aws s3 cp s3://rtdc.mdm.uploadarchive.raw/RTDC4009/ "%USERPROFILE%\AppData\Local\Temp\OnboardLogs"\RTDC4009\2017-10-19 --exclude "*" --recursive --include "*20171019*" &amp; "%USERPROFILE%\Documents\GitHub\mrs-test-scripts\Headless Mode &amp; Sideloading\WalkAndUnGZ.bat" "%USERPROFILE%\AppData\Local\Temp\OnboardLogs"\RTDC4009\2017-10-19 &amp; aws s3 cp s3://rtdc.mdm.uploadarchive.raw/RTDC4009/ "%USERPROFILE%\AppData\Local\Temp\OnboardLogs"\RTDC4009\2017-10-20 --exclude "*" --recursive --include "*20171020*" &amp; "%USERPROFILE%\Documents\GitHub\mrs-test-scripts\Headless Mode &amp; Sideloading\WalkAndUnGZ.bat" "%USERPROFILE%\AppData\Local\Temp\OnboardLogs"\RTDC4009\2017-10-20</v>
      </c>
      <c r="AF245" s="74" t="str">
        <f t="shared" si="123"/>
        <v>"C:\Program Files (x86)\AstroGrep\AstroGrep.exe" /e /r /s /spath="%USERPROFILE%\AppData\Local\Temp\OnboardLogs" /stypes="app*4009*20171019*" /stext=" 23:.+((SYSTEM_STATE.+slice.+state.+changed )|(ment ac)|(multiple cpu faults)|(system.+state.+changed )|(\[timeout)|(PRM\|1\|D)|(kpr)|(kdp)|(train st.+moving)|(\|lc)|(penalty))"</v>
      </c>
      <c r="AG245" s="182" t="str">
        <f t="shared" si="124"/>
        <v>Shuttle/Test</v>
      </c>
      <c r="AH245" s="78" t="str">
        <f t="shared" si="132"/>
        <v>"%USERPROFILE%\Documents\GitHub\eaglep3\Utilities\RefineRTDCRunTimes.py" --tripid 79-19 --locoid 4009 --swversion DE.1.0.9.0 --startMP 300:22312 --initTime 2017-10-19T17:46:36 --startdatetime 2017-10-19T17:52:31 --delay 212 --endMP 204:1867 --enddatetime 2017-10-19T17:59:29 --enforcementcount 0 &gt;&gt;%USERPROFILE%\Documents\GitHub\eaglep3-reporting\EC\2017-10-19-refined-times.txt</v>
      </c>
      <c r="AI245" s="96" t="str">
        <f t="shared" si="133"/>
        <v>echo {"issue":{"subject":"","project_id":79,"tracker_id":40,"status_id":1,"priority_id":2,"assigned_to_id":338,"start_date":"2017-10-19","description":"","custom_fields":[{"id":1,"name":"Subdivision","value":"Shuttle/Test"},{"id":4,"name":"Milepost","value":"0.1867"},{"id":17,"name":"Train ID","value":"79-19"},{"id":16,"name":"Locomotive ID","value":"4009"},{"id":130,"name":"Impact","value":""},{"id":150,"name":"Time of Event (Mountain Time)","value":"17:59:29"},{"id":151,"name":"Denver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134"/>
        <v>start /low /b %USERPROFILE%\Documents\GitHub\eaglep3\Utilities\DownloadLogsFromS3.py --loco 4009 --day 2017-10-19</v>
      </c>
      <c r="AN245" s="151" t="str">
        <f t="shared" si="135"/>
        <v>echo {"issue":{"subject":"","project_id":30,"tracker_id":4,"status_id":1,"priority_id":1,"assigned_to_id":10,"start_date":"2017-10-19","description":"","custom_fields":[{"id":30,"name":"Category","value":"Issue"},{"id":3,"name":"Functional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UTC","value":"2017-10-19 23:59:29"},{"id":29,"name":"Sharepoint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136"/>
        <v>https://d0f6bd738d7f1b3e5a7ca70fe4ff75f0.us-east-1.aws.found.io/app/kibana#/discover/Steve-Slow-Train-Analysis-(2080s-and-2083s)?_g=(refreshInterval:(display:Off,pause:!f,section:0,value:0),time:(from:'2017-10-19T16:46:36-0600',mode:absolute,to:'2017-10-19T18:59:29-0600'))&amp;_a=(columns:!('Message%20ID',Summary),filters:!(),index:'emp_*',interval:auto,query:(query_string:(analyze_wildcard:!t,query:'%22rtdc.l.rtdc.4009%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4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4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4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4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4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4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4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4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4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4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4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4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4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4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4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4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4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</sheetData>
  <autoFilter ref="A12:AG396">
    <sortState ref="A13:AG396">
      <sortCondition ref="AG13:AG245"/>
      <sortCondition ref="AD13:AD245"/>
    </sortState>
  </autoFilter>
  <sortState ref="A13:AN301">
    <sortCondition ref="AG13:AG301"/>
    <sortCondition ref="AD13:AD301"/>
  </sortState>
  <mergeCells count="1">
    <mergeCell ref="A11:P11"/>
  </mergeCells>
  <conditionalFormatting sqref="W11:W12 W402:X1048576 W13:X245">
    <cfRule type="cellIs" dxfId="10" priority="457" operator="equal">
      <formula>"Y"</formula>
    </cfRule>
  </conditionalFormatting>
  <conditionalFormatting sqref="X402:X1048576 X13:X245">
    <cfRule type="cellIs" dxfId="9" priority="440" operator="greaterThan">
      <formula>1</formula>
    </cfRule>
  </conditionalFormatting>
  <conditionalFormatting sqref="X402:X1048576 X12:X245">
    <cfRule type="cellIs" dxfId="8" priority="437" operator="equal">
      <formula>0</formula>
    </cfRule>
  </conditionalFormatting>
  <conditionalFormatting sqref="A13:S245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7"/>
  <sheetViews>
    <sheetView tabSelected="1" topLeftCell="A2" zoomScale="85" zoomScaleNormal="85" workbookViewId="0">
      <selection activeCell="A6" sqref="A6:AE4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COUNTIF($O$7:$O$241,"=Y")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COUNTA($O$7:$O$241)-O2</f>
        <v>28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6" t="str">
        <f>"Eagle P3 Braking Events - "&amp;TEXT(Variables!$A$2,"YYYY-mm-dd")</f>
        <v>Eagle P3 Braking Events - 2017-10-19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43027.535324074073</v>
      </c>
      <c r="B7" s="30" t="s">
        <v>487</v>
      </c>
      <c r="C7" s="30" t="s">
        <v>582</v>
      </c>
      <c r="D7" s="30" t="s">
        <v>95</v>
      </c>
      <c r="E7" s="30" t="s">
        <v>185</v>
      </c>
      <c r="F7" s="42">
        <v>0</v>
      </c>
      <c r="G7" s="42">
        <v>149</v>
      </c>
      <c r="H7" s="42">
        <v>63266</v>
      </c>
      <c r="I7" s="42">
        <v>63124</v>
      </c>
      <c r="J7" s="30" t="s">
        <v>186</v>
      </c>
      <c r="K7" s="42">
        <v>63309</v>
      </c>
      <c r="L7" s="131" t="s">
        <v>51</v>
      </c>
      <c r="M7" s="132">
        <f>CONVERT((I7-K7)/10000,"mi","ft")*IF(L7="Increasing Mileposts (1)",-1,1)</f>
        <v>-97.68</v>
      </c>
      <c r="N7" s="133" t="str">
        <f>VLOOKUP(C7,'Trips&amp;Operators'!$C$1:$G$99911,5,FALSE)</f>
        <v>STEWART MICHAEL</v>
      </c>
      <c r="O7" s="176" t="s">
        <v>178</v>
      </c>
      <c r="P7" s="134" t="s">
        <v>356</v>
      </c>
      <c r="Q7" s="30"/>
      <c r="R7" s="81" t="str">
        <f>VLOOKUP(C7,'Train Runs'!$A$13:$AE$10055,31,0)</f>
        <v>aws s3 cp s3://rtdc.mdm.uploadarchive.raw/RTDC4017/ "%USERPROFILE%\AppData\Local\Temp\OnboardLogs"\RTDC4017\2017-10-19 --exclude "*" --recursive --include "*20171019*" &amp; "%USERPROFILE%\Documents\GitHub\mrs-test-scripts\Headless Mode &amp; Sideloading\WalkAndUnGZ.bat" "%USERPROFILE%\AppData\Local\Temp\OnboardLogs"\RTDC4017\2017-10-19 &amp; aws s3 cp s3://rtdc.mdm.uploadarchive.raw/RTDC4017/ "%USERPROFILE%\AppData\Local\Temp\OnboardLogs"\RTDC4017\2017-10-20 --exclude "*" --recursive --include "*20171020*" &amp; "%USERPROFILE%\Documents\GitHub\mrs-test-scripts\Headless Mode &amp; Sideloading\WalkAndUnGZ.bat" "%USERPROFILE%\AppData\Local\Temp\OnboardLogs"\RTDC4017\2017-10-20</v>
      </c>
      <c r="S7" s="84" t="str">
        <f>VLOOKUP(C7,'Train Runs'!$A$13:$AE$10055,22,0)</f>
        <v>https://d0f6bd738d7f1b3e5a7ca70fe4ff75f0.us-east-1.aws.found.io/app/kibana#/discover/Steve-Slow-Train-Analysis-(2080s-and-2083s)?_g=(refreshInterval:(display:Off,pause:!f,section:0,value:0),time:(from:'2017-10-19T11:21:40-0600',mode:absolute,to:'2017-10-19T14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/stypes="*4017*201710191*" /stext=" 18:.+((SYSTEM_STATE.+slice.+state.+changed )|(ment ac)|(multiple cpu faults)|(system.+state.+changed )|(\[timeout)|(PRM\|1\|D)|(kpr)|(kdp)|(train st.+moving)|(\|lc)|(penalty))"</v>
      </c>
      <c r="U7" s="9" t="str">
        <f>MID(B7,13,4)</f>
        <v>4017</v>
      </c>
      <c r="V7" s="31">
        <f>A7-utc_offset/24</f>
        <v>43027.785324074073</v>
      </c>
      <c r="W7" s="45" t="str">
        <f>DetSubdiv(C7)</f>
        <v>EC</v>
      </c>
      <c r="X7" s="22">
        <f>VALUE(LEFT(C7,LEN(C7)-3))</f>
        <v>164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Arrival","project_id":79,"tracker_id":40,"status_id":1,"priority_id":2,"assigned_to_id":338,"start_date":"2017-10-19","description":"","custom_fields":[{"id":1,"name":"Subdivision","value":"EC"},{"id":4,"name":"Milepost","value":"6.3309"},{"id":17,"name":"Train ID","value":"164-19"},{"id":16,"name":"Locomotive ID","value":"4017"},{"id":130,"name":"Impact","value":""},{"id":150,"name":"Time of Event (Mountain Time)","value":"12:50:52"},{"id":151,"name":"Denver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/c/Users/stu/AppData/Local/Temp/OnboardLogs/RTDC4017 --include="*4017*201710191*"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"%USERPROFILE%\AppData\Local\Temp\OnboardLogs"\RTDC4017\*4017*201710191* &gt;&gt; 2017-10-19-SliceDisagreementCheck.txt</v>
      </c>
      <c r="AE7" s="145" t="str">
        <f>"start /low /b "&amp;dls3logs&amp;" --loco "&amp;U7&amp;" --day "&amp;TEXT(V7,"YYYY-MM-DD")</f>
        <v>start /low /b %USERPROFILE%\Documents\GitHub\eaglep3\Utilities\DownloadLogsFromS3.py --loco 4017 --day 2017-10-19</v>
      </c>
    </row>
    <row r="8" spans="1:32" s="1" customFormat="1" x14ac:dyDescent="0.25">
      <c r="A8" s="31">
        <v>43027.398506944446</v>
      </c>
      <c r="B8" s="30" t="s">
        <v>562</v>
      </c>
      <c r="C8" s="30" t="s">
        <v>572</v>
      </c>
      <c r="D8" s="30" t="s">
        <v>49</v>
      </c>
      <c r="E8" s="30" t="s">
        <v>192</v>
      </c>
      <c r="F8" s="42">
        <v>400</v>
      </c>
      <c r="G8" s="42">
        <v>505</v>
      </c>
      <c r="H8" s="42">
        <v>17364</v>
      </c>
      <c r="I8" s="42">
        <v>18149</v>
      </c>
      <c r="J8" s="30" t="s">
        <v>193</v>
      </c>
      <c r="K8" s="42">
        <v>17867</v>
      </c>
      <c r="L8" s="131" t="s">
        <v>50</v>
      </c>
      <c r="M8" s="132">
        <f>CONVERT((I8-K8)/10000,"mi","ft")*IF(L8="Increasing Mileposts (1)",-1,1)</f>
        <v>-148.89599999999999</v>
      </c>
      <c r="N8" s="133" t="str">
        <f>VLOOKUP(C8,'Trips&amp;Operators'!$C$1:$G$99911,5,FALSE)</f>
        <v>BONDS REYNALDO</v>
      </c>
      <c r="O8" s="176" t="s">
        <v>178</v>
      </c>
      <c r="P8" s="134"/>
      <c r="Q8" s="30"/>
      <c r="R8" s="81" t="str">
        <f>VLOOKUP(C8,'Train Runs'!$A$13:$AE$10055,31,0)</f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S8" s="84" t="str">
        <f>VLOOKUP(C8,'Train Runs'!$A$13:$AE$10055,22,0)</f>
        <v>https://d0f6bd738d7f1b3e5a7ca70fe4ff75f0.us-east-1.aws.found.io/app/kibana#/discover/Steve-Slow-Train-Analysis-(2080s-and-2083s)?_g=(refreshInterval:(display:Off,pause:!f,section:0,value:0),time:(from:'2017-10-19T08:24:46-0600',mode:absolute,to:'2017-10-19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/stypes="*4058*201710191*" /stext=" 15:.+((SYSTEM_STATE.+slice.+state.+changed )|(ment ac)|(multiple cpu faults)|(system.+state.+changed )|(\[timeout)|(PRM\|1\|D)|(kpr)|(kdp)|(train st.+moving)|(\|lc)|(penalty))"</v>
      </c>
      <c r="U8" s="9" t="str">
        <f>MID(B8,13,4)</f>
        <v>4058</v>
      </c>
      <c r="V8" s="31">
        <f>A8-utc_offset/24</f>
        <v>43027.648506944446</v>
      </c>
      <c r="W8" s="45" t="str">
        <f>DetSubdiv(C8)</f>
        <v>EC</v>
      </c>
      <c r="X8" s="22">
        <f>VALUE(LEFT(C8,LEN(C8)-3))</f>
        <v>147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{"issue":{"subject":"","project_id":79,"tracker_id":40,"status_id":1,"priority_id":2,"assigned_to_id":338,"start_date":"2017-10-19","description":"","custom_fields":[{"id":1,"name":"Subdivision","value":"EC"},{"id":4,"name":"Milepost","value":"1.7867"},{"id":17,"name":"Train ID","value":"147-19"},{"id":16,"name":"Locomotive ID","value":"4058"},{"id":130,"name":"Impact","value":""},{"id":150,"name":"Time of Event (Mountain Time)","value":"09:33:51"},{"id":151,"name":"Denver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/c/Users/stu/AppData/Local/Temp/OnboardLogs/RTDC4058 --include="*4058*201710191*"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"%USERPROFILE%\AppData\Local\Temp\OnboardLogs"\RTDC4058\*4058*201710191* &gt;&gt; 2017-10-19-SliceDisagreementCheck.txt</v>
      </c>
      <c r="AE8" s="145" t="str">
        <f>"start /low /b "&amp;dls3logs&amp;" --loco "&amp;U8&amp;" --day "&amp;TEXT(V8,"YYYY-MM-DD")</f>
        <v>start /low /b %USERPROFILE%\Documents\GitHub\eaglep3\Utilities\DownloadLogsFromS3.py --loco 4058 --day 2017-10-19</v>
      </c>
    </row>
    <row r="9" spans="1:32" s="1" customFormat="1" x14ac:dyDescent="0.25">
      <c r="A9" s="31">
        <v>43027.617962962962</v>
      </c>
      <c r="B9" s="30" t="s">
        <v>485</v>
      </c>
      <c r="C9" s="30" t="s">
        <v>584</v>
      </c>
      <c r="D9" s="30" t="s">
        <v>95</v>
      </c>
      <c r="E9" s="30" t="s">
        <v>192</v>
      </c>
      <c r="F9" s="42">
        <v>700</v>
      </c>
      <c r="G9" s="42">
        <v>752</v>
      </c>
      <c r="H9" s="42">
        <v>179813</v>
      </c>
      <c r="I9" s="42">
        <v>176284</v>
      </c>
      <c r="J9" s="30" t="s">
        <v>193</v>
      </c>
      <c r="K9" s="42">
        <v>183829</v>
      </c>
      <c r="L9" s="131" t="s">
        <v>51</v>
      </c>
      <c r="M9" s="132">
        <f>CONVERT((I9-K9)/10000,"mi","ft")*IF(L9="Increasing Mileposts (1)",-1,1)</f>
        <v>-3983.76</v>
      </c>
      <c r="N9" s="133" t="str">
        <f>VLOOKUP(C9,'Trips&amp;Operators'!$C$1:$G$99911,5,FALSE)</f>
        <v>BERLING GARY</v>
      </c>
      <c r="O9" s="176" t="s">
        <v>178</v>
      </c>
      <c r="P9" s="134"/>
      <c r="Q9" s="30"/>
      <c r="R9" s="81" t="str">
        <f>VLOOKUP(C9,'Train Runs'!$A$13:$AE$10055,31,0)</f>
        <v>aws s3 cp s3://rtdc.mdm.uploadarchive.raw/RTDC4007/ "%USERPROFILE%\AppData\Local\Temp\OnboardLogs"\RTDC4007\2017-10-19 --exclude "*" --recursive --include "*20171019*" &amp; "%USERPROFILE%\Documents\GitHub\mrs-test-scripts\Headless Mode &amp; Sideloading\WalkAndUnGZ.bat" "%USERPROFILE%\AppData\Local\Temp\OnboardLogs"\RTDC4007\2017-10-19 &amp; aws s3 cp s3://rtdc.mdm.uploadarchive.raw/RTDC4007/ "%USERPROFILE%\AppData\Local\Temp\OnboardLogs"\RTDC4007\2017-10-20 --exclude "*" --recursive --include "*20171020*" &amp; "%USERPROFILE%\Documents\GitHub\mrs-test-scripts\Headless Mode &amp; Sideloading\WalkAndUnGZ.bat" "%USERPROFILE%\AppData\Local\Temp\OnboardLogs"\RTDC4007\2017-10-20</v>
      </c>
      <c r="S9" s="84" t="str">
        <f>VLOOKUP(C9,'Train Runs'!$A$13:$AE$10055,22,0)</f>
        <v>https://d0f6bd738d7f1b3e5a7ca70fe4ff75f0.us-east-1.aws.found.io/app/kibana#/discover/Steve-Slow-Train-Analysis-(2080s-and-2083s)?_g=(refreshInterval:(display:Off,pause:!f,section:0,value:0),time:(from:'2017-10-19T13:36:05-0600',mode:absolute,to:'2017-10-19T16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/stypes="*4007*201710192*" /stext=" 20:.+((SYSTEM_STATE.+slice.+state.+changed )|(ment ac)|(multiple cpu faults)|(system.+state.+changed )|(\[timeout)|(PRM\|1\|D)|(kpr)|(kdp)|(train st.+moving)|(\|lc)|(penalty))"</v>
      </c>
      <c r="U9" s="9" t="str">
        <f>MID(B9,13,4)</f>
        <v>4007</v>
      </c>
      <c r="V9" s="31">
        <f>A9-utc_offset/24</f>
        <v>43027.867962962962</v>
      </c>
      <c r="W9" s="45" t="str">
        <f>DetSubdiv(C9)</f>
        <v>EC</v>
      </c>
      <c r="X9" s="22">
        <f>VALUE(LEFT(C9,LEN(C9)-3))</f>
        <v>182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{"issue":{"subject":"","project_id":79,"tracker_id":40,"status_id":1,"priority_id":2,"assigned_to_id":338,"start_date":"2017-10-19","description":"","custom_fields":[{"id":1,"name":"Subdivision","value":"EC"},{"id":4,"name":"Milepost","value":"18.3829"},{"id":17,"name":"Train ID","value":"182-19"},{"id":16,"name":"Locomotive ID","value":"4007"},{"id":130,"name":"Impact","value":""},{"id":150,"name":"Time of Event (Mountain Time)","value":"14:49:52"},{"id":151,"name":"Denver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/c/Users/stu/AppData/Local/Temp/OnboardLogs/RTDC4007 --include="*4007*201710192*"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"%USERPROFILE%\AppData\Local\Temp\OnboardLogs"\RTDC4007\*4007*201710192* &gt;&gt; 2017-10-19-SliceDisagreementCheck.txt</v>
      </c>
      <c r="AE9" s="145" t="str">
        <f>"start /low /b "&amp;dls3logs&amp;" --loco "&amp;U9&amp;" --day "&amp;TEXT(V9,"YYYY-MM-DD")</f>
        <v>start /low /b %USERPROFILE%\Documents\GitHub\eaglep3\Utilities\DownloadLogsFromS3.py --loco 4007 --day 2017-10-19</v>
      </c>
    </row>
    <row r="10" spans="1:32" s="1" customFormat="1" x14ac:dyDescent="0.25">
      <c r="A10" s="31">
        <v>43027.413634259261</v>
      </c>
      <c r="B10" s="30" t="s">
        <v>562</v>
      </c>
      <c r="C10" s="30" t="s">
        <v>572</v>
      </c>
      <c r="D10" s="30" t="s">
        <v>49</v>
      </c>
      <c r="E10" s="30" t="s">
        <v>414</v>
      </c>
      <c r="F10" s="42">
        <v>0</v>
      </c>
      <c r="G10" s="42">
        <v>787</v>
      </c>
      <c r="H10" s="42">
        <v>143971</v>
      </c>
      <c r="I10" s="42">
        <v>148167</v>
      </c>
      <c r="J10" s="30" t="s">
        <v>415</v>
      </c>
      <c r="K10" s="42">
        <v>144300</v>
      </c>
      <c r="L10" s="131" t="s">
        <v>50</v>
      </c>
      <c r="M10" s="132">
        <f>CONVERT((I10-K10)/10000,"mi","ft")*IF(L10="Increasing Mileposts (1)",-1,1)</f>
        <v>-2041.7760000000001</v>
      </c>
      <c r="N10" s="133" t="str">
        <f>VLOOKUP(C10,'Trips&amp;Operators'!$C$1:$G$99911,5,FALSE)</f>
        <v>BONDS REYNALDO</v>
      </c>
      <c r="O10" s="176" t="s">
        <v>375</v>
      </c>
      <c r="P10" s="134" t="s">
        <v>427</v>
      </c>
      <c r="Q10" s="30"/>
      <c r="R10" s="81" t="str">
        <f>VLOOKUP(C10,'Train Runs'!$A$13:$AE$10055,31,0)</f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S10" s="84" t="str">
        <f>VLOOKUP(C10,'Train Runs'!$A$13:$AE$10055,22,0)</f>
        <v>https://d0f6bd738d7f1b3e5a7ca70fe4ff75f0.us-east-1.aws.found.io/app/kibana#/discover/Steve-Slow-Train-Analysis-(2080s-and-2083s)?_g=(refreshInterval:(display:Off,pause:!f,section:0,value:0),time:(from:'2017-10-19T08:24:46-0600',mode:absolute,to:'2017-10-19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/stypes="*4058*201710191*" /stext=" 15:.+((SYSTEM_STATE.+slice.+state.+changed )|(ment ac)|(multiple cpu faults)|(system.+state.+changed )|(\[timeout)|(PRM\|1\|D)|(kpr)|(kdp)|(train st.+moving)|(\|lc)|(penalty))"</v>
      </c>
      <c r="U10" s="9" t="str">
        <f>MID(B10,13,4)</f>
        <v>4058</v>
      </c>
      <c r="V10" s="31">
        <f>A10-utc_offset/24</f>
        <v>43027.663634259261</v>
      </c>
      <c r="W10" s="45" t="str">
        <f>DetSubdiv(C10)</f>
        <v>EC</v>
      </c>
      <c r="X10" s="22">
        <f>VALUE(LEFT(C10,LEN(C10)-3))</f>
        <v>147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drop","project_id":79,"tracker_id":40,"status_id":1,"priority_id":2,"assigned_to_id":338,"start_date":"2017-10-19","description":"","custom_fields":[{"id":1,"name":"Subdivision","value":"EC"},{"id":4,"name":"Milepost","value":"14.43"},{"id":17,"name":"Train ID","value":"147-19"},{"id":16,"name":"Locomotive ID","value":"4058"},{"id":130,"name":"Impact","value":""},{"id":150,"name":"Time of Event (Mountain Time)","value":"09:55:38"},{"id":151,"name":"Denver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/c/Users/stu/AppData/Local/Temp/OnboardLogs/RTDC4058 --include="*4058*201710191*"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"%USERPROFILE%\AppData\Local\Temp\OnboardLogs"\RTDC4058\*4058*201710191* &gt;&gt; 2017-10-19-SliceDisagreementCheck.txt</v>
      </c>
      <c r="AE10" s="145" t="str">
        <f>"start /low /b "&amp;dls3logs&amp;" --loco "&amp;U10&amp;" --day "&amp;TEXT(V10,"YYYY-MM-DD")</f>
        <v>start /low /b %USERPROFILE%\Documents\GitHub\eaglep3\Utilities\DownloadLogsFromS3.py --loco 4058 --day 2017-10-19</v>
      </c>
    </row>
    <row r="11" spans="1:32" s="1" customFormat="1" x14ac:dyDescent="0.25">
      <c r="A11" s="31">
        <v>43027.461689814816</v>
      </c>
      <c r="B11" s="30" t="s">
        <v>574</v>
      </c>
      <c r="C11" s="30" t="s">
        <v>575</v>
      </c>
      <c r="D11" s="30" t="s">
        <v>49</v>
      </c>
      <c r="E11" s="30" t="s">
        <v>179</v>
      </c>
      <c r="F11" s="42">
        <v>0</v>
      </c>
      <c r="G11" s="42">
        <v>41</v>
      </c>
      <c r="H11" s="42">
        <v>134</v>
      </c>
      <c r="I11" s="42">
        <v>107</v>
      </c>
      <c r="J11" s="30" t="s">
        <v>180</v>
      </c>
      <c r="K11" s="42">
        <v>1</v>
      </c>
      <c r="L11" s="131" t="s">
        <v>51</v>
      </c>
      <c r="M11" s="132">
        <f>CONVERT((I11-K11)/10000,"mi","ft")*IF(L11="Increasing Mileposts (1)",-1,1)</f>
        <v>55.968000000000004</v>
      </c>
      <c r="N11" s="133" t="str">
        <f>VLOOKUP(C11,'Trips&amp;Operators'!$C$1:$G$99911,5,FALSE)</f>
        <v>BONDS REYNALDO</v>
      </c>
      <c r="O11" s="176" t="s">
        <v>178</v>
      </c>
      <c r="P11" s="134"/>
      <c r="Q11" s="30"/>
      <c r="R11" s="81" t="str">
        <f>VLOOKUP(C11,'Train Runs'!$A$13:$AE$10055,31,0)</f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S11" s="84" t="str">
        <f>VLOOKUP(C11,'Train Runs'!$A$13:$AE$10055,22,0)</f>
        <v>https://d0f6bd738d7f1b3e5a7ca70fe4ff75f0.us-east-1.aws.found.io/app/kibana#/discover/Steve-Slow-Train-Analysis-(2080s-and-2083s)?_g=(refreshInterval:(display:Off,pause:!f,section:0,value:0),time:(from:'2017-10-19T09:21:22-0600',mode:absolute,to:'2017-10-19T12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/stypes="*4057*201710191*" /stext=" 17:.+((SYSTEM_STATE.+slice.+state.+changed )|(ment ac)|(multiple cpu faults)|(system.+state.+changed )|(\[timeout)|(PRM\|1\|D)|(kpr)|(kdp)|(train st.+moving)|(\|lc)|(penalty))"</v>
      </c>
      <c r="U11" s="9" t="str">
        <f>MID(B11,13,4)</f>
        <v>4057</v>
      </c>
      <c r="V11" s="31">
        <f>A11-utc_offset/24</f>
        <v>43027.711689814816</v>
      </c>
      <c r="W11" s="45" t="str">
        <f>DetSubdiv(C11)</f>
        <v>EC</v>
      </c>
      <c r="X11" s="22">
        <f>VALUE(LEFT(C11,LEN(C11)-3))</f>
        <v>148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{"issue":{"subject":"","project_id":79,"tracker_id":40,"status_id":1,"priority_id":2,"assigned_to_id":338,"start_date":"2017-10-19","description":"","custom_fields":[{"id":1,"name":"Subdivision","value":"EC"},{"id":4,"name":"Milepost","value":"0.0001"},{"id":17,"name":"Train ID","value":"148-19"},{"id":16,"name":"Locomotive ID","value":"4057"},{"id":130,"name":"Impact","value":""},{"id":150,"name":"Time of Event (Mountain Time)","value":"11:04:50"},{"id":151,"name":"Denver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/c/Users/stu/AppData/Local/Temp/OnboardLogs/RTDC4057 --include="*4057*201710191*"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"%USERPROFILE%\AppData\Local\Temp\OnboardLogs"\RTDC4057\*4057*201710191* &gt;&gt; 2017-10-19-SliceDisagreementCheck.txt</v>
      </c>
      <c r="AE11" s="145" t="str">
        <f>"start /low /b "&amp;dls3logs&amp;" --loco "&amp;U11&amp;" --day "&amp;TEXT(V11,"YYYY-MM-DD")</f>
        <v>start /low /b %USERPROFILE%\Documents\GitHub\eaglep3\Utilities\DownloadLogsFromS3.py --loco 4057 --day 2017-10-19</v>
      </c>
    </row>
    <row r="12" spans="1:32" x14ac:dyDescent="0.25">
      <c r="A12" s="31">
        <v>43027.597650462965</v>
      </c>
      <c r="B12" s="30" t="s">
        <v>394</v>
      </c>
      <c r="C12" s="30" t="s">
        <v>583</v>
      </c>
      <c r="D12" s="30" t="s">
        <v>49</v>
      </c>
      <c r="E12" s="30" t="s">
        <v>179</v>
      </c>
      <c r="F12" s="42">
        <v>0</v>
      </c>
      <c r="G12" s="42">
        <v>45</v>
      </c>
      <c r="H12" s="42">
        <v>161</v>
      </c>
      <c r="I12" s="42">
        <v>125</v>
      </c>
      <c r="J12" s="30" t="s">
        <v>180</v>
      </c>
      <c r="K12" s="42">
        <v>1</v>
      </c>
      <c r="L12" s="131" t="s">
        <v>51</v>
      </c>
      <c r="M12" s="132">
        <f>CONVERT((I12-K12)/10000,"mi","ft")*IF(L12="Increasing Mileposts (1)",-1,1)</f>
        <v>65.471999999999994</v>
      </c>
      <c r="N12" s="133" t="str">
        <f>VLOOKUP(C12,'Trips&amp;Operators'!$C$1:$G$99911,5,FALSE)</f>
        <v>KILLION DAVID</v>
      </c>
      <c r="O12" s="176" t="s">
        <v>178</v>
      </c>
      <c r="P12" s="134"/>
      <c r="Q12" s="30"/>
      <c r="R12" s="81" t="str">
        <f>VLOOKUP(C12,'Train Runs'!$A$13:$AE$10055,31,0)</f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S12" s="84" t="str">
        <f>VLOOKUP(C12,'Train Runs'!$A$13:$AE$10055,22,0)</f>
        <v>https://d0f6bd738d7f1b3e5a7ca70fe4ff75f0.us-east-1.aws.found.io/app/kibana#/discover/Steve-Slow-Train-Analysis-(2080s-and-2083s)?_g=(refreshInterval:(display:Off,pause:!f,section:0,value:0),time:(from:'2017-10-19T12:30:09-0600',mode:absolute,to:'2017-10-19T15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/stypes="*4065*201710192*" /stext=" 20:.+((SYSTEM_STATE.+slice.+state.+changed )|(ment ac)|(multiple cpu faults)|(system.+state.+changed )|(\[timeout)|(PRM\|1\|D)|(kpr)|(kdp)|(train st.+moving)|(\|lc)|(penalty))"</v>
      </c>
      <c r="U12" s="9" t="str">
        <f>MID(B12,13,4)</f>
        <v>4065</v>
      </c>
      <c r="V12" s="31">
        <f>A12-utc_offset/24</f>
        <v>43027.847650462965</v>
      </c>
      <c r="W12" s="45" t="str">
        <f>DetSubdiv(C12)</f>
        <v>EC</v>
      </c>
      <c r="X12" s="22">
        <f>VALUE(LEFT(C12,LEN(C12)-3))</f>
        <v>174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{"issue":{"subject":"","project_id":79,"tracker_id":40,"status_id":1,"priority_id":2,"assigned_to_id":338,"start_date":"2017-10-19","description":"","custom_fields":[{"id":1,"name":"Subdivision","value":"EC"},{"id":4,"name":"Milepost","value":"0.0001"},{"id":17,"name":"Train ID","value":"174-19"},{"id":16,"name":"Locomotive ID","value":"4065"},{"id":130,"name":"Impact","value":""},{"id":150,"name":"Time of Event (Mountain Time)","value":"14:20:37"},{"id":151,"name":"Denver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/c/Users/stu/AppData/Local/Temp/OnboardLogs/RTDC4065 --include="*4065*201710192*"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"%USERPROFILE%\AppData\Local\Temp\OnboardLogs"\RTDC4065\*4065*201710192* &gt;&gt; 2017-10-19-SliceDisagreementCheck.txt</v>
      </c>
      <c r="AE12" s="145" t="str">
        <f>"start /low /b "&amp;dls3logs&amp;" --loco "&amp;U12&amp;" --day "&amp;TEXT(V12,"YYYY-MM-DD")</f>
        <v>start /low /b %USERPROFILE%\Documents\GitHub\eaglep3\Utilities\DownloadLogsFromS3.py --loco 4065 --day 2017-10-19</v>
      </c>
      <c r="AF12" s="1"/>
    </row>
    <row r="13" spans="1:32" x14ac:dyDescent="0.25">
      <c r="A13" s="31">
        <v>43027.818148148152</v>
      </c>
      <c r="B13" s="30" t="s">
        <v>394</v>
      </c>
      <c r="C13" s="30" t="s">
        <v>589</v>
      </c>
      <c r="D13" s="30" t="s">
        <v>49</v>
      </c>
      <c r="E13" s="30" t="s">
        <v>179</v>
      </c>
      <c r="F13" s="42">
        <v>0</v>
      </c>
      <c r="G13" s="42">
        <v>56</v>
      </c>
      <c r="H13" s="42">
        <v>200</v>
      </c>
      <c r="I13" s="42">
        <v>138</v>
      </c>
      <c r="J13" s="30" t="s">
        <v>180</v>
      </c>
      <c r="K13" s="42">
        <v>1</v>
      </c>
      <c r="L13" s="131" t="s">
        <v>51</v>
      </c>
      <c r="M13" s="132">
        <f>CONVERT((I13-K13)/10000,"mi","ft")*IF(L13="Increasing Mileposts (1)",-1,1)</f>
        <v>72.335999999999999</v>
      </c>
      <c r="N13" s="133" t="str">
        <f>VLOOKUP(C13,'Trips&amp;Operators'!$C$1:$G$99911,5,FALSE)</f>
        <v>HOLCOMB KAMDEN</v>
      </c>
      <c r="O13" s="176" t="s">
        <v>178</v>
      </c>
      <c r="P13" s="134"/>
      <c r="Q13" s="30"/>
      <c r="R13" s="81" t="str">
        <f>VLOOKUP(C13,'Train Runs'!$A$13:$AE$10055,31,0)</f>
        <v>aws s3 cp s3://rtdc.mdm.uploadarchive.raw/RTDC4065/ "%USERPROFILE%\AppData\Local\Temp\OnboardLogs"\RTDC4065\2017-10-19 --exclude "*" --recursive --include "*20171019*" &amp; "%USERPROFILE%\Documents\GitHub\mrs-test-scripts\Headless Mode &amp; Sideloading\WalkAndUnGZ.bat" "%USERPROFILE%\AppData\Local\Temp\OnboardLogs"\RTDC4065\2017-10-19 &amp; aws s3 cp s3://rtdc.mdm.uploadarchive.raw/RTDC4065/ "%USERPROFILE%\AppData\Local\Temp\OnboardLogs"\RTDC4065\2017-10-20 --exclude "*" --recursive --include "*20171020*" &amp; "%USERPROFILE%\Documents\GitHub\mrs-test-scripts\Headless Mode &amp; Sideloading\WalkAndUnGZ.bat" "%USERPROFILE%\AppData\Local\Temp\OnboardLogs"\RTDC4065\2017-10-20</v>
      </c>
      <c r="S13" s="84" t="str">
        <f>VLOOKUP(C13,'Train Runs'!$A$13:$AE$10055,22,0)</f>
        <v>https://d0f6bd738d7f1b3e5a7ca70fe4ff75f0.us-east-1.aws.found.io/app/kibana#/discover/Steve-Slow-Train-Analysis-(2080s-and-2083s)?_g=(refreshInterval:(display:Off,pause:!f,section:0,value:0),time:(from:'2017-10-19T17:49:46-0600',mode:absolute,to:'2017-10-19T20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/stypes="*4065*201710200*" /stext=" 01:.+((SYSTEM_STATE.+slice.+state.+changed )|(ment ac)|(multiple cpu faults)|(system.+state.+changed )|(\[timeout)|(PRM\|1\|D)|(kpr)|(kdp)|(train st.+moving)|(\|lc)|(penalty))"</v>
      </c>
      <c r="U13" s="9" t="str">
        <f>MID(B13,13,4)</f>
        <v>4065</v>
      </c>
      <c r="V13" s="31">
        <f>A13-utc_offset/24</f>
        <v>43028.068148148152</v>
      </c>
      <c r="W13" s="45" t="str">
        <f>DetSubdiv(C13)</f>
        <v>EC</v>
      </c>
      <c r="X13" s="22">
        <f>VALUE(LEFT(C13,LEN(C13)-3))</f>
        <v>216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{"issue":{"subject":"","project_id":79,"tracker_id":40,"status_id":1,"priority_id":2,"assigned_to_id":338,"start_date":"2017-10-19","description":"","custom_fields":[{"id":1,"name":"Subdivision","value":"EC"},{"id":4,"name":"Milepost","value":"0.0001"},{"id":17,"name":"Train ID","value":"216-19"},{"id":16,"name":"Locomotive ID","value":"4065"},{"id":130,"name":"Impact","value":""},{"id":150,"name":"Time of Event (Mountain Time)","value":"19:38:08"},{"id":151,"name":"Denver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/c/Users/stu/AppData/Local/Temp/OnboardLogs/RTDC4065 --include="*4065*201710200*"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"%USERPROFILE%\AppData\Local\Temp\OnboardLogs"\RTDC4065\*4065*201710200* &gt;&gt; 2017-10-19-SliceDisagreementCheck.txt</v>
      </c>
      <c r="AE13" s="145" t="str">
        <f>"start /low /b "&amp;dls3logs&amp;" --loco "&amp;U13&amp;" --day "&amp;TEXT(V13,"YYYY-MM-DD")</f>
        <v>start /low /b %USERPROFILE%\Documents\GitHub\eaglep3\Utilities\DownloadLogsFromS3.py --loco 4065 --day 2017-10-20</v>
      </c>
      <c r="AF13" s="1"/>
    </row>
    <row r="14" spans="1:32" x14ac:dyDescent="0.25">
      <c r="A14" s="31">
        <v>43027.899282407408</v>
      </c>
      <c r="B14" s="30" t="s">
        <v>574</v>
      </c>
      <c r="C14" s="30" t="s">
        <v>590</v>
      </c>
      <c r="D14" s="30" t="s">
        <v>49</v>
      </c>
      <c r="E14" s="30" t="s">
        <v>179</v>
      </c>
      <c r="F14" s="42">
        <v>0</v>
      </c>
      <c r="G14" s="42">
        <v>58</v>
      </c>
      <c r="H14" s="42">
        <v>189</v>
      </c>
      <c r="I14" s="42">
        <v>152</v>
      </c>
      <c r="J14" s="30" t="s">
        <v>180</v>
      </c>
      <c r="K14" s="42">
        <v>1</v>
      </c>
      <c r="L14" s="131" t="s">
        <v>51</v>
      </c>
      <c r="M14" s="132">
        <f>CONVERT((I14-K14)/10000,"mi","ft")*IF(L14="Increasing Mileposts (1)",-1,1)</f>
        <v>79.727999999999994</v>
      </c>
      <c r="N14" s="133" t="str">
        <f>VLOOKUP(C14,'Trips&amp;Operators'!$C$1:$G$99911,5,FALSE)</f>
        <v>ELBAUM MIKE</v>
      </c>
      <c r="O14" s="176" t="s">
        <v>178</v>
      </c>
      <c r="P14" s="134"/>
      <c r="Q14" s="30"/>
      <c r="R14" s="81" t="str">
        <f>VLOOKUP(C14,'Train Runs'!$A$13:$AE$10055,31,0)</f>
        <v>aws s3 cp s3://rtdc.mdm.uploadarchive.raw/RTDC4057/ "%USERPROFILE%\AppData\Local\Temp\OnboardLogs"\RTDC4057\2017-10-19 --exclude "*" --recursive --include "*20171019*" &amp; "%USERPROFILE%\Documents\GitHub\mrs-test-scripts\Headless Mode &amp; Sideloading\WalkAndUnGZ.bat" "%USERPROFILE%\AppData\Local\Temp\OnboardLogs"\RTDC4057\2017-10-19 &amp; aws s3 cp s3://rtdc.mdm.uploadarchive.raw/RTDC4057/ "%USERPROFILE%\AppData\Local\Temp\OnboardLogs"\RTDC4057\2017-10-20 --exclude "*" --recursive --include "*20171020*" &amp; "%USERPROFILE%\Documents\GitHub\mrs-test-scripts\Headless Mode &amp; Sideloading\WalkAndUnGZ.bat" "%USERPROFILE%\AppData\Local\Temp\OnboardLogs"\RTDC4057\2017-10-20</v>
      </c>
      <c r="S14" s="84" t="str">
        <f>VLOOKUP(C14,'Train Runs'!$A$13:$AE$10055,22,0)</f>
        <v>https://d0f6bd738d7f1b3e5a7ca70fe4ff75f0.us-east-1.aws.found.io/app/kibana#/discover/Steve-Slow-Train-Analysis-(2080s-and-2083s)?_g=(refreshInterval:(display:Off,pause:!f,section:0,value:0),time:(from:'2017-10-19T19:37:20-0600',mode:absolute,to:'2017-10-19T22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/stypes="*4057*201710200*" /stext=" 03:.+((SYSTEM_STATE.+slice.+state.+changed )|(ment ac)|(multiple cpu faults)|(system.+state.+changed )|(\[timeout)|(PRM\|1\|D)|(kpr)|(kdp)|(train st.+moving)|(\|lc)|(penalty))"</v>
      </c>
      <c r="U14" s="9" t="str">
        <f>MID(B14,13,4)</f>
        <v>4057</v>
      </c>
      <c r="V14" s="31">
        <f>A14-utc_offset/24</f>
        <v>43028.149282407408</v>
      </c>
      <c r="W14" s="45" t="str">
        <f>DetSubdiv(C14)</f>
        <v>EC</v>
      </c>
      <c r="X14" s="22">
        <f>VALUE(LEFT(C14,LEN(C14)-3))</f>
        <v>226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{"issue":{"subject":"","project_id":79,"tracker_id":40,"status_id":1,"priority_id":2,"assigned_to_id":338,"start_date":"2017-10-19","description":"","custom_fields":[{"id":1,"name":"Subdivision","value":"EC"},{"id":4,"name":"Milepost","value":"0.0001"},{"id":17,"name":"Train ID","value":"226-19"},{"id":16,"name":"Locomotive ID","value":"4057"},{"id":130,"name":"Impact","value":""},{"id":150,"name":"Time of Event (Mountain Time)","value":"21:34:58"},{"id":151,"name":"Denver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/c/Users/stu/AppData/Local/Temp/OnboardLogs/RTDC4057 --include="*4057*201710200*"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"%USERPROFILE%\AppData\Local\Temp\OnboardLogs"\RTDC4057\*4057*201710200* &gt;&gt; 2017-10-19-SliceDisagreementCheck.txt</v>
      </c>
      <c r="AE14" s="145" t="str">
        <f>"start /low /b "&amp;dls3logs&amp;" --loco "&amp;U14&amp;" --day "&amp;TEXT(V14,"YYYY-MM-DD")</f>
        <v>start /low /b %USERPROFILE%\Documents\GitHub\eaglep3\Utilities\DownloadLogsFromS3.py --loco 4057 --day 2017-10-20</v>
      </c>
      <c r="AF14" s="1"/>
    </row>
    <row r="15" spans="1:32" x14ac:dyDescent="0.25">
      <c r="A15" s="31">
        <v>43027.202141203707</v>
      </c>
      <c r="B15" s="30" t="s">
        <v>562</v>
      </c>
      <c r="C15" s="30" t="s">
        <v>563</v>
      </c>
      <c r="D15" s="30" t="s">
        <v>49</v>
      </c>
      <c r="E15" s="30" t="s">
        <v>179</v>
      </c>
      <c r="F15" s="42">
        <v>0</v>
      </c>
      <c r="G15" s="42">
        <v>51</v>
      </c>
      <c r="H15" s="42">
        <v>233297</v>
      </c>
      <c r="I15" s="42">
        <v>233337</v>
      </c>
      <c r="J15" s="30" t="s">
        <v>180</v>
      </c>
      <c r="K15" s="42">
        <v>233491</v>
      </c>
      <c r="L15" s="131" t="s">
        <v>50</v>
      </c>
      <c r="M15" s="132">
        <f>CONVERT((I15-K15)/10000,"mi","ft")*IF(L15="Increasing Mileposts (1)",-1,1)</f>
        <v>81.311999999999998</v>
      </c>
      <c r="N15" s="133" t="str">
        <f>VLOOKUP(C15,'Trips&amp;Operators'!$C$1:$G$99911,5,FALSE)</f>
        <v>BONDS REYNALDO</v>
      </c>
      <c r="O15" s="176" t="s">
        <v>178</v>
      </c>
      <c r="P15" s="134"/>
      <c r="Q15" s="30"/>
      <c r="R15" s="81" t="str">
        <f>VLOOKUP(C15,'Train Runs'!$A$13:$AE$10055,31,0)</f>
        <v>aws s3 cp s3://rtdc.mdm.uploadarchive.raw/RTDC4058/ "%USERPROFILE%\AppData\Local\Temp\OnboardLogs"\RTDC4058\2017-10-19 --exclude "*" --recursive --include "*20171019*" &amp; "%USERPROFILE%\Documents\GitHub\mrs-test-scripts\Headless Mode &amp; Sideloading\WalkAndUnGZ.bat" "%USERPROFILE%\AppData\Local\Temp\OnboardLogs"\RTDC4058\2017-10-19 &amp; aws s3 cp s3://rtdc.mdm.uploadarchive.raw/RTDC4058/ "%USERPROFILE%\AppData\Local\Temp\OnboardLogs"\RTDC4058\2017-10-20 --exclude "*" --recursive --include "*20171020*" &amp; "%USERPROFILE%\Documents\GitHub\mrs-test-scripts\Headless Mode &amp; Sideloading\WalkAndUnGZ.bat" "%USERPROFILE%\AppData\Local\Temp\OnboardLogs"\RTDC4058\2017-10-20</v>
      </c>
      <c r="S15" s="84" t="str">
        <f>VLOOKUP(C15,'Train Runs'!$A$13:$AE$10055,22,0)</f>
        <v>https://d0f6bd738d7f1b3e5a7ca70fe4ff75f0.us-east-1.aws.found.io/app/kibana#/discover/Steve-Slow-Train-Analysis-(2080s-and-2083s)?_g=(refreshInterval:(display:Off,pause:!f,section:0,value:0),time:(from:'2017-10-19T03:10:22-0600',mode:absolute,to:'2017-10-19T05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/stypes="*4058*201710191*" /stext=" 10:.+((SYSTEM_STATE.+slice.+state.+changed )|(ment ac)|(multiple cpu faults)|(system.+state.+changed )|(\[timeout)|(PRM\|1\|D)|(kpr)|(kdp)|(train st.+moving)|(\|lc)|(penalty))"</v>
      </c>
      <c r="U15" s="9" t="str">
        <f>MID(B15,13,4)</f>
        <v>4058</v>
      </c>
      <c r="V15" s="31">
        <f>A15-utc_offset/24</f>
        <v>43027.452141203707</v>
      </c>
      <c r="W15" s="45" t="str">
        <f>DetSubdiv(C15)</f>
        <v>EC</v>
      </c>
      <c r="X15" s="22">
        <f>VALUE(LEFT(C15,LEN(C15)-3))</f>
        <v>105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{"issue":{"subject":"","project_id":79,"tracker_id":40,"status_id":1,"priority_id":2,"assigned_to_id":338,"start_date":"2017-10-19","description":"","custom_fields":[{"id":1,"name":"Subdivision","value":"EC"},{"id":4,"name":"Milepost","value":"23.3491"},{"id":17,"name":"Train ID","value":"105-19"},{"id":16,"name":"Locomotive ID","value":"4058"},{"id":130,"name":"Impact","value":""},{"id":150,"name":"Time of Event (Mountain Time)","value":"04:51:05"},{"id":151,"name":"Denver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/c/Users/stu/AppData/Local/Temp/OnboardLogs/RTDC4058 --include="*4058*201710191*"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"%USERPROFILE%\AppData\Local\Temp\OnboardLogs"\RTDC4058\*4058*201710191* &gt;&gt; 2017-10-19-SliceDisagreementCheck.txt</v>
      </c>
      <c r="AE15" s="145" t="str">
        <f>"start /low /b "&amp;dls3logs&amp;" --loco "&amp;U15&amp;" --day "&amp;TEXT(V15,"YYYY-MM-DD")</f>
        <v>start /low /b %USERPROFILE%\Documents\GitHub\eaglep3\Utilities\DownloadLogsFromS3.py --loco 4058 --day 2017-10-19</v>
      </c>
      <c r="AF15" s="1"/>
    </row>
    <row r="16" spans="1:32" x14ac:dyDescent="0.25">
      <c r="A16" s="31">
        <v>43027.62940972222</v>
      </c>
      <c r="B16" s="30" t="s">
        <v>393</v>
      </c>
      <c r="C16" s="30" t="s">
        <v>586</v>
      </c>
      <c r="D16" s="30" t="s">
        <v>49</v>
      </c>
      <c r="E16" s="30" t="s">
        <v>179</v>
      </c>
      <c r="F16" s="42">
        <v>0</v>
      </c>
      <c r="G16" s="42">
        <v>65</v>
      </c>
      <c r="H16" s="42">
        <v>233229</v>
      </c>
      <c r="I16" s="42">
        <v>233289</v>
      </c>
      <c r="J16" s="30" t="s">
        <v>180</v>
      </c>
      <c r="K16" s="42">
        <v>233491</v>
      </c>
      <c r="L16" s="131" t="s">
        <v>50</v>
      </c>
      <c r="M16" s="132">
        <f>CONVERT((I16-K16)/10000,"mi","ft")*IF(L16="Increasing Mileposts (1)",-1,1)</f>
        <v>106.65600000000001</v>
      </c>
      <c r="N16" s="133" t="str">
        <f>VLOOKUP(C16,'Trips&amp;Operators'!$C$1:$G$99911,5,FALSE)</f>
        <v>KILLION DAVID</v>
      </c>
      <c r="O16" s="176" t="s">
        <v>178</v>
      </c>
      <c r="P16" s="134"/>
      <c r="Q16" s="30"/>
      <c r="R16" s="81" t="str">
        <f>VLOOKUP(C16,'Train Runs'!$A$13:$AE$10055,31,0)</f>
        <v>aws s3 cp s3://rtdc.mdm.uploadarchive.raw/RTDC4066/ "%USERPROFILE%\AppData\Local\Temp\OnboardLogs"\RTDC4066\2017-10-19 --exclude "*" --recursive --include "*20171019*" &amp; "%USERPROFILE%\Documents\GitHub\mrs-test-scripts\Headless Mode &amp; Sideloading\WalkAndUnGZ.bat" "%USERPROFILE%\AppData\Local\Temp\OnboardLogs"\RTDC4066\2017-10-19 &amp; aws s3 cp s3://rtdc.mdm.uploadarchive.raw/RTDC4066/ "%USERPROFILE%\AppData\Local\Temp\OnboardLogs"\RTDC4066\2017-10-20 --exclude "*" --recursive --include "*20171020*" &amp; "%USERPROFILE%\Documents\GitHub\mrs-test-scripts\Headless Mode &amp; Sideloading\WalkAndUnGZ.bat" "%USERPROFILE%\AppData\Local\Temp\OnboardLogs"\RTDC4066\2017-10-20</v>
      </c>
      <c r="S16" s="84" t="str">
        <f>VLOOKUP(C16,'Train Runs'!$A$13:$AE$10055,22,0)</f>
        <v>https://d0f6bd738d7f1b3e5a7ca70fe4ff75f0.us-east-1.aws.found.io/app/kibana#/discover/Steve-Slow-Train-Analysis-(2080s-and-2083s)?_g=(refreshInterval:(display:Off,pause:!f,section:0,value:0),time:(from:'2017-10-19T13:23:45-0600',mode:absolute,to:'2017-10-19T16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/stypes="*4066*201710192*" /stext=" 21:.+((SYSTEM_STATE.+slice.+state.+changed )|(ment ac)|(multiple cpu faults)|(system.+state.+changed )|(\[timeout)|(PRM\|1\|D)|(kpr)|(kdp)|(train st.+moving)|(\|lc)|(penalty))"</v>
      </c>
      <c r="U16" s="9" t="str">
        <f>MID(B16,13,4)</f>
        <v>4066</v>
      </c>
      <c r="V16" s="31">
        <f>A16-utc_offset/24</f>
        <v>43027.87940972222</v>
      </c>
      <c r="W16" s="45" t="str">
        <f>DetSubdiv(C16)</f>
        <v>EC</v>
      </c>
      <c r="X16" s="22">
        <f>VALUE(LEFT(C16,LEN(C16)-3))</f>
        <v>187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{"issue":{"subject":"","project_id":79,"tracker_id":40,"status_id":1,"priority_id":2,"assigned_to_id":338,"start_date":"2017-10-19","description":"","custom_fields":[{"id":1,"name":"Subdivision","value":"EC"},{"id":4,"name":"Milepost","value":"23.3491"},{"id":17,"name":"Train ID","value":"187-19"},{"id":16,"name":"Locomotive ID","value":"4066"},{"id":130,"name":"Impact","value":""},{"id":150,"name":"Time of Event (Mountain Time)","value":"15:06:21"},{"id":151,"name":"Denver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/c/Users/stu/AppData/Local/Temp/OnboardLogs/RTDC4066 --include="*4066*201710192*"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"%USERPROFILE%\AppData\Local\Temp\OnboardLogs"\RTDC4066\*4066*201710192* &gt;&gt; 2017-10-19-SliceDisagreementCheck.txt</v>
      </c>
      <c r="AE16" s="145" t="str">
        <f>"start /low /b "&amp;dls3logs&amp;" --loco "&amp;U16&amp;" --day "&amp;TEXT(V16,"YYYY-MM-DD")</f>
        <v>start /low /b %USERPROFILE%\Documents\GitHub\eaglep3\Utilities\DownloadLogsFromS3.py --loco 4066 --day 2017-10-19</v>
      </c>
      <c r="AF16" s="1"/>
    </row>
    <row r="17" spans="1:32" x14ac:dyDescent="0.25">
      <c r="A17" s="31">
        <v>43027.238726851851</v>
      </c>
      <c r="B17" s="30" t="s">
        <v>564</v>
      </c>
      <c r="C17" s="30" t="s">
        <v>568</v>
      </c>
      <c r="D17" s="30" t="s">
        <v>49</v>
      </c>
      <c r="E17" s="30" t="s">
        <v>185</v>
      </c>
      <c r="F17" s="42">
        <v>30</v>
      </c>
      <c r="G17" s="42">
        <v>167</v>
      </c>
      <c r="H17" s="42">
        <v>10202</v>
      </c>
      <c r="I17" s="42">
        <v>10543</v>
      </c>
      <c r="J17" s="30" t="s">
        <v>186</v>
      </c>
      <c r="K17" s="42">
        <v>10714</v>
      </c>
      <c r="L17" s="131" t="s">
        <v>50</v>
      </c>
      <c r="M17" s="132">
        <f>CONVERT((I17-K17)/10000,"mi","ft")*IF(L17="Increasing Mileposts (1)",-1,1)</f>
        <v>90.287999999999997</v>
      </c>
      <c r="N17" s="133" t="str">
        <f>VLOOKUP(C17,'Trips&amp;Operators'!$C$1:$G$99911,5,FALSE)</f>
        <v>DAVIS WENDY</v>
      </c>
      <c r="O17" s="176" t="s">
        <v>178</v>
      </c>
      <c r="P17" s="134" t="s">
        <v>356</v>
      </c>
      <c r="Q17" s="30"/>
      <c r="R17" s="81" t="str">
        <f>VLOOKUP(C17,'Train Runs'!$A$13:$AE$10055,31,0)</f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S17" s="84" t="str">
        <f>VLOOKUP(C17,'Train Runs'!$A$13:$AE$10055,22,0)</f>
        <v>https://d0f6bd738d7f1b3e5a7ca70fe4ff75f0.us-east-1.aws.found.io/app/kibana#/discover/Steve-Slow-Train-Analysis-(2080s-and-2083s)?_g=(refreshInterval:(display:Off,pause:!f,section:0,value:0),time:(from:'2017-10-19T04:10:21-0600',mode:absolute,to:'2017-10-19T06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/stypes="*4024*201710191*" /stext=" 11:.+((SYSTEM_STATE.+slice.+state.+changed )|(ment ac)|(multiple cpu faults)|(system.+state.+changed )|(\[timeout)|(PRM\|1\|D)|(kpr)|(kdp)|(train st.+moving)|(\|lc)|(penalty))"</v>
      </c>
      <c r="U17" s="9" t="str">
        <f>MID(B17,13,4)</f>
        <v>4024</v>
      </c>
      <c r="V17" s="31">
        <f>A17-utc_offset/24</f>
        <v>43027.488726851851</v>
      </c>
      <c r="W17" s="45" t="str">
        <f>DetSubdiv(C17)</f>
        <v>NW</v>
      </c>
      <c r="X17" s="22">
        <f>VALUE(LEFT(C17,LEN(C17)-3))</f>
        <v>801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Arrival","project_id":79,"tracker_id":40,"status_id":1,"priority_id":2,"assigned_to_id":338,"start_date":"2017-10-19","description":"","custom_fields":[{"id":1,"name":"Subdivision","value":"NW"},{"id":4,"name":"Milepost","value":"1.0714"},{"id":17,"name":"Train ID","value":"801-19"},{"id":16,"name":"Locomotive ID","value":"4024"},{"id":130,"name":"Impact","value":""},{"id":150,"name":"Time of Event (Mountain Time)","value":"05:43:46"},{"id":151,"name":"Denver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/c/Users/stu/AppData/Local/Temp/OnboardLogs/RTDC4024 --include="*4024*201710191*"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"%USERPROFILE%\AppData\Local\Temp\OnboardLogs"\RTDC4024\*4024*201710191* &gt;&gt; 2017-10-19-SliceDisagreementCheck.txt</v>
      </c>
      <c r="AE17" s="145" t="str">
        <f>"start /low /b "&amp;dls3logs&amp;" --loco "&amp;U17&amp;" --day "&amp;TEXT(V17,"YYYY-MM-DD")</f>
        <v>start /low /b %USERPROFILE%\Documents\GitHub\eaglep3\Utilities\DownloadLogsFromS3.py --loco 4024 --day 2017-10-19</v>
      </c>
      <c r="AF17" s="1"/>
    </row>
    <row r="18" spans="1:32" x14ac:dyDescent="0.25">
      <c r="A18" s="31">
        <v>43027.319513888891</v>
      </c>
      <c r="B18" s="30" t="s">
        <v>564</v>
      </c>
      <c r="C18" s="30" t="s">
        <v>571</v>
      </c>
      <c r="D18" s="30" t="s">
        <v>95</v>
      </c>
      <c r="E18" s="30" t="s">
        <v>414</v>
      </c>
      <c r="F18" s="42">
        <v>0</v>
      </c>
      <c r="G18" s="42">
        <v>79</v>
      </c>
      <c r="H18" s="42">
        <v>1813</v>
      </c>
      <c r="I18" s="42">
        <v>1899</v>
      </c>
      <c r="J18" s="30" t="s">
        <v>415</v>
      </c>
      <c r="K18" s="42">
        <v>1725</v>
      </c>
      <c r="L18" s="131" t="s">
        <v>50</v>
      </c>
      <c r="M18" s="132">
        <f>CONVERT((I18-K18)/10000,"mi","ft")*IF(L18="Increasing Mileposts (1)",-1,1)</f>
        <v>-91.872</v>
      </c>
      <c r="N18" s="133" t="str">
        <f>VLOOKUP(C18,'Trips&amp;Operators'!$C$1:$G$99911,5,FALSE)</f>
        <v>DAVIS WENDY</v>
      </c>
      <c r="O18" s="176" t="s">
        <v>375</v>
      </c>
      <c r="P18" s="134" t="s">
        <v>461</v>
      </c>
      <c r="Q18" s="30"/>
      <c r="R18" s="81" t="str">
        <f>VLOOKUP(C18,'Train Runs'!$A$13:$AE$10055,31,0)</f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S18" s="84" t="str">
        <f>VLOOKUP(C18,'Train Runs'!$A$13:$AE$10055,22,0)</f>
        <v>https://d0f6bd738d7f1b3e5a7ca70fe4ff75f0.us-east-1.aws.found.io/app/kibana#/discover/Steve-Slow-Train-Analysis-(2080s-and-2083s)?_g=(refreshInterval:(display:Off,pause:!f,section:0,value:0),time:(from:'2017-10-19T06:35:54-0600',mode:absolute,to:'2017-10-19T08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/stypes="*4024*201710191*" /stext=" 13:.+((SYSTEM_STATE.+slice.+state.+changed )|(ment ac)|(multiple cpu faults)|(system.+state.+changed )|(\[timeout)|(PRM\|1\|D)|(kpr)|(kdp)|(train st.+moving)|(\|lc)|(penalty))"</v>
      </c>
      <c r="U18" s="9" t="str">
        <f>MID(B18,13,4)</f>
        <v>4024</v>
      </c>
      <c r="V18" s="31">
        <f>A18-utc_offset/24</f>
        <v>43027.569513888891</v>
      </c>
      <c r="W18" s="45" t="str">
        <f>DetSubdiv(C18)</f>
        <v>NW</v>
      </c>
      <c r="X18" s="22">
        <f>VALUE(LEFT(C18,LEN(C18)-3))</f>
        <v>809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DUS","project_id":79,"tracker_id":40,"status_id":1,"priority_id":2,"assigned_to_id":338,"start_date":"2017-10-19","description":"","custom_fields":[{"id":1,"name":"Subdivision","value":"NW"},{"id":4,"name":"Milepost","value":"0.1725"},{"id":17,"name":"Train ID","value":"809-19"},{"id":16,"name":"Locomotive ID","value":"4024"},{"id":130,"name":"Impact","value":""},{"id":150,"name":"Time of Event (Mountain Time)","value":"07:40:06"},{"id":151,"name":"Denver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/c/Users/stu/AppData/Local/Temp/OnboardLogs/RTDC4024 --include="*4024*201710191*"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"%USERPROFILE%\AppData\Local\Temp\OnboardLogs"\RTDC4024\*4024*201710191* &gt;&gt; 2017-10-19-SliceDisagreementCheck.txt</v>
      </c>
      <c r="AE18" s="145" t="str">
        <f>"start /low /b "&amp;dls3logs&amp;" --loco "&amp;U18&amp;" --day "&amp;TEXT(V18,"YYYY-MM-DD")</f>
        <v>start /low /b %USERPROFILE%\Documents\GitHub\eaglep3\Utilities\DownloadLogsFromS3.py --loco 4024 --day 2017-10-19</v>
      </c>
      <c r="AF18" s="1"/>
    </row>
    <row r="19" spans="1:32" x14ac:dyDescent="0.25">
      <c r="A19" s="31">
        <v>43027.757349537038</v>
      </c>
      <c r="B19" s="30" t="s">
        <v>492</v>
      </c>
      <c r="C19" s="30" t="s">
        <v>587</v>
      </c>
      <c r="D19" s="30" t="s">
        <v>49</v>
      </c>
      <c r="E19" s="30" t="s">
        <v>588</v>
      </c>
      <c r="F19" s="42">
        <v>100</v>
      </c>
      <c r="G19" s="42">
        <v>154</v>
      </c>
      <c r="H19" s="42">
        <v>3382</v>
      </c>
      <c r="I19" s="42">
        <v>3630</v>
      </c>
      <c r="J19" s="30" t="s">
        <v>186</v>
      </c>
      <c r="K19" s="42">
        <v>3900</v>
      </c>
      <c r="L19" s="131" t="s">
        <v>50</v>
      </c>
      <c r="M19" s="132">
        <f>CONVERT((I19-K19)/10000,"mi","ft")*IF(L19="Increasing Mileposts (1)",-1,1)</f>
        <v>142.56</v>
      </c>
      <c r="N19" s="133" t="str">
        <f>VLOOKUP(C19,'Trips&amp;Operators'!$C$1:$G$99911,5,FALSE)</f>
        <v>STAMBAUGH JAMES</v>
      </c>
      <c r="O19" s="176" t="s">
        <v>178</v>
      </c>
      <c r="P19" s="134"/>
      <c r="Q19" s="30"/>
      <c r="R19" s="81" t="str">
        <f>VLOOKUP(C19,'Train Runs'!$A$13:$AE$10055,31,0)</f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S19" s="84" t="str">
        <f>VLOOKUP(C19,'Train Runs'!$A$13:$AE$10055,22,0)</f>
        <v>https://d0f6bd738d7f1b3e5a7ca70fe4ff75f0.us-east-1.aws.found.io/app/kibana#/discover/Steve-Slow-Train-Analysis-(2080s-and-2083s)?_g=(refreshInterval:(display:Off,pause:!f,section:0,value:0),time:(from:'2017-10-19T17:06:10-0600',mode:absolute,to:'2017-10-19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/stypes="*4044*201710200*" /stext=" 00:.+((SYSTEM_STATE.+slice.+state.+changed )|(ment ac)|(multiple cpu faults)|(system.+state.+changed )|(\[timeout)|(PRM\|1\|D)|(kpr)|(kdp)|(train st.+moving)|(\|lc)|(penalty))"</v>
      </c>
      <c r="U19" s="9" t="str">
        <f>MID(B19,13,4)</f>
        <v>4044</v>
      </c>
      <c r="V19" s="31">
        <f>A19-utc_offset/24</f>
        <v>43028.007349537038</v>
      </c>
      <c r="W19" s="45" t="str">
        <f>DetSubdiv(C19)</f>
        <v>NW</v>
      </c>
      <c r="X19" s="22">
        <f>VALUE(LEFT(C19,LEN(C19)-3))</f>
        <v>837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{"issue":{"subject":"","project_id":79,"tracker_id":40,"status_id":1,"priority_id":2,"assigned_to_id":338,"start_date":"2017-10-19","description":"","custom_fields":[{"id":1,"name":"Subdivision","value":"NW"},{"id":4,"name":"Milepost","value":"0.39"},{"id":17,"name":"Train ID","value":"837-19"},{"id":16,"name":"Locomotive ID","value":"4044"},{"id":130,"name":"Impact","value":""},{"id":150,"name":"Time of Event (Mountain Time)","value":"18:10:35"},{"id":151,"name":"Denver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/c/Users/stu/AppData/Local/Temp/OnboardLogs/RTDC4044 --include="*4044*201710200*"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"%USERPROFILE%\AppData\Local\Temp\OnboardLogs"\RTDC4044\*4044*201710200* &gt;&gt; 2017-10-19-SliceDisagreementCheck.txt</v>
      </c>
      <c r="AE19" s="145" t="str">
        <f>"start /low /b "&amp;dls3logs&amp;" --loco "&amp;U19&amp;" --day "&amp;TEXT(V19,"YYYY-MM-DD")</f>
        <v>start /low /b %USERPROFILE%\Documents\GitHub\eaglep3\Utilities\DownloadLogsFromS3.py --loco 4044 --day 2017-10-20</v>
      </c>
      <c r="AF19" s="1"/>
    </row>
    <row r="20" spans="1:32" x14ac:dyDescent="0.25">
      <c r="A20" s="31">
        <v>43027.226493055554</v>
      </c>
      <c r="B20" s="30" t="s">
        <v>566</v>
      </c>
      <c r="C20" s="30" t="s">
        <v>567</v>
      </c>
      <c r="D20" s="30" t="s">
        <v>49</v>
      </c>
      <c r="E20" s="30" t="s">
        <v>179</v>
      </c>
      <c r="F20" s="42">
        <v>0</v>
      </c>
      <c r="G20" s="42">
        <v>17</v>
      </c>
      <c r="H20" s="42">
        <v>633</v>
      </c>
      <c r="I20" s="42">
        <v>624</v>
      </c>
      <c r="J20" s="30" t="s">
        <v>180</v>
      </c>
      <c r="K20" s="42">
        <v>575</v>
      </c>
      <c r="L20" s="131" t="s">
        <v>51</v>
      </c>
      <c r="M20" s="132">
        <f>CONVERT((I20-K20)/10000,"mi","ft")*IF(L20="Increasing Mileposts (1)",-1,1)</f>
        <v>25.872</v>
      </c>
      <c r="N20" s="133" t="str">
        <f>VLOOKUP(C20,'Trips&amp;Operators'!$C$1:$G$99911,5,FALSE)</f>
        <v>DAVIS WENDY</v>
      </c>
      <c r="O20" s="176" t="s">
        <v>178</v>
      </c>
      <c r="P20" s="134"/>
      <c r="Q20" s="30"/>
      <c r="R20" s="81" t="str">
        <f>VLOOKUP(C20,'Train Runs'!$A$13:$AE$10055,31,0)</f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S20" s="84" t="str">
        <f>VLOOKUP(C20,'Train Runs'!$A$13:$AE$10055,22,0)</f>
        <v>https://d0f6bd738d7f1b3e5a7ca70fe4ff75f0.us-east-1.aws.found.io/app/kibana#/discover/Steve-Slow-Train-Analysis-(2080s-and-2083s)?_g=(refreshInterval:(display:Off,pause:!f,section:0,value:0),time:(from:'2017-10-19T04:10:21-0600',mode:absolute,to:'2017-10-19T06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/stypes="*4023*201710191*" /stext=" 11:.+((SYSTEM_STATE.+slice.+state.+changed )|(ment ac)|(multiple cpu faults)|(system.+state.+changed )|(\[timeout)|(PRM\|1\|D)|(kpr)|(kdp)|(train st.+moving)|(\|lc)|(penalty))"</v>
      </c>
      <c r="U20" s="9" t="str">
        <f>MID(B20,13,4)</f>
        <v>4023</v>
      </c>
      <c r="V20" s="31">
        <f>A20-utc_offset/24</f>
        <v>43027.476493055554</v>
      </c>
      <c r="W20" s="45" t="str">
        <f>DetSubdiv(C20)</f>
        <v>NW</v>
      </c>
      <c r="X20" s="22">
        <f>VALUE(LEFT(C20,LEN(C20)-3))</f>
        <v>800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{"issue":{"subject":"","project_id":79,"tracker_id":40,"status_id":1,"priority_id":2,"assigned_to_id":338,"start_date":"2017-10-19","description":"","custom_fields":[{"id":1,"name":"Subdivision","value":"NW"},{"id":4,"name":"Milepost","value":"0.0575"},{"id":17,"name":"Train ID","value":"800-19"},{"id":16,"name":"Locomotive ID","value":"4023"},{"id":130,"name":"Impact","value":""},{"id":150,"name":"Time of Event (Mountain Time)","value":"05:26:09"},{"id":151,"name":"Denver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/c/Users/stu/AppData/Local/Temp/OnboardLogs/RTDC4023 --include="*4023*201710191*"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"%USERPROFILE%\AppData\Local\Temp\OnboardLogs"\RTDC4023\*4023*201710191* &gt;&gt; 2017-10-19-SliceDisagreementCheck.txt</v>
      </c>
      <c r="AE20" s="145" t="str">
        <f>"start /low /b "&amp;dls3logs&amp;" --loco "&amp;U20&amp;" --day "&amp;TEXT(V20,"YYYY-MM-DD")</f>
        <v>start /low /b %USERPROFILE%\Documents\GitHub\eaglep3\Utilities\DownloadLogsFromS3.py --loco 4023 --day 2017-10-19</v>
      </c>
      <c r="AF20" s="1"/>
    </row>
    <row r="21" spans="1:32" x14ac:dyDescent="0.25">
      <c r="A21" s="31">
        <v>43027.309328703705</v>
      </c>
      <c r="B21" s="30" t="s">
        <v>566</v>
      </c>
      <c r="C21" s="30" t="s">
        <v>570</v>
      </c>
      <c r="D21" s="30" t="s">
        <v>49</v>
      </c>
      <c r="E21" s="30" t="s">
        <v>179</v>
      </c>
      <c r="F21" s="42">
        <v>0</v>
      </c>
      <c r="G21" s="42">
        <v>16</v>
      </c>
      <c r="H21" s="42">
        <v>617</v>
      </c>
      <c r="I21" s="42">
        <v>607</v>
      </c>
      <c r="J21" s="30" t="s">
        <v>180</v>
      </c>
      <c r="K21" s="42">
        <v>575</v>
      </c>
      <c r="L21" s="131" t="s">
        <v>51</v>
      </c>
      <c r="M21" s="132">
        <f>CONVERT((I21-K21)/10000,"mi","ft")*IF(L21="Increasing Mileposts (1)",-1,1)</f>
        <v>16.896000000000001</v>
      </c>
      <c r="N21" s="133" t="str">
        <f>VLOOKUP(C21,'Trips&amp;Operators'!$C$1:$G$99911,5,FALSE)</f>
        <v>DAVIS WENDY</v>
      </c>
      <c r="O21" s="176" t="s">
        <v>178</v>
      </c>
      <c r="P21" s="134"/>
      <c r="Q21" s="30"/>
      <c r="R21" s="81" t="str">
        <f>VLOOKUP(C21,'Train Runs'!$A$13:$AE$10055,31,0)</f>
        <v>aws s3 cp s3://rtdc.mdm.uploadarchive.raw/RTDC4023/ "%USERPROFILE%\AppData\Local\Temp\OnboardLogs"\RTDC4023\2017-10-19 --exclude "*" --recursive --include "*20171019*" &amp; "%USERPROFILE%\Documents\GitHub\mrs-test-scripts\Headless Mode &amp; Sideloading\WalkAndUnGZ.bat" "%USERPROFILE%\AppData\Local\Temp\OnboardLogs"\RTDC4023\2017-10-19 &amp; aws s3 cp s3://rtdc.mdm.uploadarchive.raw/RTDC4023/ "%USERPROFILE%\AppData\Local\Temp\OnboardLogs"\RTDC4023\2017-10-20 --exclude "*" --recursive --include "*20171020*" &amp; "%USERPROFILE%\Documents\GitHub\mrs-test-scripts\Headless Mode &amp; Sideloading\WalkAndUnGZ.bat" "%USERPROFILE%\AppData\Local\Temp\OnboardLogs"\RTDC4023\2017-10-20</v>
      </c>
      <c r="S21" s="84" t="str">
        <f>VLOOKUP(C21,'Train Runs'!$A$13:$AE$10055,22,0)</f>
        <v>https://d0f6bd738d7f1b3e5a7ca70fe4ff75f0.us-east-1.aws.found.io/app/kibana#/discover/Steve-Slow-Train-Analysis-(2080s-and-2083s)?_g=(refreshInterval:(display:Off,pause:!f,section:0,value:0),time:(from:'2017-10-19T05:56:27-0600',mode:absolute,to:'2017-10-19T08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/stypes="*4023*201710191*" /stext=" 13:.+((SYSTEM_STATE.+slice.+state.+changed )|(ment ac)|(multiple cpu faults)|(system.+state.+changed )|(\[timeout)|(PRM\|1\|D)|(kpr)|(kdp)|(train st.+moving)|(\|lc)|(penalty))"</v>
      </c>
      <c r="U21" s="9" t="str">
        <f>MID(B21,13,4)</f>
        <v>4023</v>
      </c>
      <c r="V21" s="31">
        <f>A21-utc_offset/24</f>
        <v>43027.559328703705</v>
      </c>
      <c r="W21" s="45" t="str">
        <f>DetSubdiv(C21)</f>
        <v>NW</v>
      </c>
      <c r="X21" s="22">
        <f>VALUE(LEFT(C21,LEN(C21)-3))</f>
        <v>806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{"issue":{"subject":"","project_id":79,"tracker_id":40,"status_id":1,"priority_id":2,"assigned_to_id":338,"start_date":"2017-10-19","description":"","custom_fields":[{"id":1,"name":"Subdivision","value":"NW"},{"id":4,"name":"Milepost","value":"0.0575"},{"id":17,"name":"Train ID","value":"806-19"},{"id":16,"name":"Locomotive ID","value":"4023"},{"id":130,"name":"Impact","value":""},{"id":150,"name":"Time of Event (Mountain Time)","value":"07:25:26"},{"id":151,"name":"Denver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/c/Users/stu/AppData/Local/Temp/OnboardLogs/RTDC4023 --include="*4023*201710191*"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"%USERPROFILE%\AppData\Local\Temp\OnboardLogs"\RTDC4023\*4023*201710191* &gt;&gt; 2017-10-19-SliceDisagreementCheck.txt</v>
      </c>
      <c r="AE21" s="145" t="str">
        <f>"start /low /b "&amp;dls3logs&amp;" --loco "&amp;U21&amp;" --day "&amp;TEXT(V21,"YYYY-MM-DD")</f>
        <v>start /low /b %USERPROFILE%\Documents\GitHub\eaglep3\Utilities\DownloadLogsFromS3.py --loco 4023 --day 2017-10-19</v>
      </c>
      <c r="AF21" s="1"/>
    </row>
    <row r="22" spans="1:32" x14ac:dyDescent="0.25">
      <c r="A22" s="31">
        <v>43027.620740740742</v>
      </c>
      <c r="B22" s="30" t="s">
        <v>491</v>
      </c>
      <c r="C22" s="30" t="s">
        <v>585</v>
      </c>
      <c r="D22" s="30" t="s">
        <v>49</v>
      </c>
      <c r="E22" s="30" t="s">
        <v>179</v>
      </c>
      <c r="F22" s="42">
        <v>0</v>
      </c>
      <c r="G22" s="42">
        <v>44</v>
      </c>
      <c r="H22" s="42">
        <v>727</v>
      </c>
      <c r="I22" s="42">
        <v>678</v>
      </c>
      <c r="J22" s="30" t="s">
        <v>180</v>
      </c>
      <c r="K22" s="42">
        <v>575</v>
      </c>
      <c r="L22" s="131" t="s">
        <v>51</v>
      </c>
      <c r="M22" s="132">
        <f>CONVERT((I22-K22)/10000,"mi","ft")*IF(L22="Increasing Mileposts (1)",-1,1)</f>
        <v>54.384</v>
      </c>
      <c r="N22" s="133" t="str">
        <f>VLOOKUP(C22,'Trips&amp;Operators'!$C$1:$G$99911,5,FALSE)</f>
        <v>STAMBAUGH JAMES</v>
      </c>
      <c r="O22" s="176" t="s">
        <v>178</v>
      </c>
      <c r="P22" s="134"/>
      <c r="Q22" s="30"/>
      <c r="R22" s="81" t="str">
        <f>VLOOKUP(C22,'Train Runs'!$A$13:$AE$10055,31,0)</f>
        <v>aws s3 cp s3://rtdc.mdm.uploadarchive.raw/RTDC4043/ "%USERPROFILE%\AppData\Local\Temp\OnboardLogs"\RTDC4043\2017-10-19 --exclude "*" --recursive --include "*20171019*" &amp; "%USERPROFILE%\Documents\GitHub\mrs-test-scripts\Headless Mode &amp; Sideloading\WalkAndUnGZ.bat" "%USERPROFILE%\AppData\Local\Temp\OnboardLogs"\RTDC4043\2017-10-19 &amp; aws s3 cp s3://rtdc.mdm.uploadarchive.raw/RTDC4043/ "%USERPROFILE%\AppData\Local\Temp\OnboardLogs"\RTDC4043\2017-10-20 --exclude "*" --recursive --include "*20171020*" &amp; "%USERPROFILE%\Documents\GitHub\mrs-test-scripts\Headless Mode &amp; Sideloading\WalkAndUnGZ.bat" "%USERPROFILE%\AppData\Local\Temp\OnboardLogs"\RTDC4043\2017-10-20</v>
      </c>
      <c r="S22" s="84" t="str">
        <f>VLOOKUP(C22,'Train Runs'!$A$13:$AE$10055,22,0)</f>
        <v>https://d0f6bd738d7f1b3e5a7ca70fe4ff75f0.us-east-1.aws.found.io/app/kibana#/discover/Steve-Slow-Train-Analysis-(2080s-and-2083s)?_g=(refreshInterval:(display:Off,pause:!f,section:0,value:0),time:(from:'2017-10-19T13:24:01-0600',mode:absolute,to:'2017-10-19T15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/stypes="*4043*201710192*" /stext=" 20:.+((SYSTEM_STATE.+slice.+state.+changed )|(ment ac)|(multiple cpu faults)|(system.+state.+changed )|(\[timeout)|(PRM\|1\|D)|(kpr)|(kdp)|(train st.+moving)|(\|lc)|(penalty))"</v>
      </c>
      <c r="U22" s="9" t="str">
        <f>MID(B22,13,4)</f>
        <v>4043</v>
      </c>
      <c r="V22" s="31">
        <f>A22-utc_offset/24</f>
        <v>43027.870740740742</v>
      </c>
      <c r="W22" s="45" t="str">
        <f>DetSubdiv(C22)</f>
        <v>NW</v>
      </c>
      <c r="X22" s="22">
        <f>VALUE(LEFT(C22,LEN(C22)-3))</f>
        <v>824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{"issue":{"subject":"","project_id":79,"tracker_id":40,"status_id":1,"priority_id":2,"assigned_to_id":338,"start_date":"2017-10-19","description":"","custom_fields":[{"id":1,"name":"Subdivision","value":"NW"},{"id":4,"name":"Milepost","value":"0.0575"},{"id":17,"name":"Train ID","value":"824-19"},{"id":16,"name":"Locomotive ID","value":"4043"},{"id":130,"name":"Impact","value":""},{"id":150,"name":"Time of Event (Mountain Time)","value":"14:53:52"},{"id":151,"name":"Denver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/c/Users/stu/AppData/Local/Temp/OnboardLogs/RTDC4043 --include="*4043*201710192*"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"%USERPROFILE%\AppData\Local\Temp\OnboardLogs"\RTDC4043\*4043*201710192* &gt;&gt; 2017-10-19-SliceDisagreementCheck.txt</v>
      </c>
      <c r="AE22" s="145" t="str">
        <f>"start /low /b "&amp;dls3logs&amp;" --loco "&amp;U22&amp;" --day "&amp;TEXT(V22,"YYYY-MM-DD")</f>
        <v>start /low /b %USERPROFILE%\Documents\GitHub\eaglep3\Utilities\DownloadLogsFromS3.py --loco 4043 --day 2017-10-19</v>
      </c>
      <c r="AF22" s="1"/>
    </row>
    <row r="23" spans="1:32" x14ac:dyDescent="0.25">
      <c r="A23" s="31">
        <v>43027.247141203705</v>
      </c>
      <c r="B23" s="30" t="s">
        <v>564</v>
      </c>
      <c r="C23" s="30" t="s">
        <v>568</v>
      </c>
      <c r="D23" s="30" t="s">
        <v>95</v>
      </c>
      <c r="E23" s="30" t="s">
        <v>179</v>
      </c>
      <c r="F23" s="42">
        <v>0</v>
      </c>
      <c r="G23" s="42">
        <v>4</v>
      </c>
      <c r="H23" s="42">
        <v>59048</v>
      </c>
      <c r="I23" s="42">
        <v>0</v>
      </c>
      <c r="J23" s="30" t="s">
        <v>180</v>
      </c>
      <c r="K23" s="42">
        <v>59048</v>
      </c>
      <c r="L23" s="131" t="s">
        <v>50</v>
      </c>
      <c r="M23" s="132">
        <f>CONVERT((I23-K23)/10000,"mi","ft")*IF(L23="Increasing Mileposts (1)",-1,1)</f>
        <v>31177.344000000001</v>
      </c>
      <c r="N23" s="133" t="str">
        <f>VLOOKUP(C23,'Trips&amp;Operators'!$C$1:$G$99911,5,FALSE)</f>
        <v>DAVIS WENDY</v>
      </c>
      <c r="O23" s="176" t="s">
        <v>178</v>
      </c>
      <c r="P23" s="134"/>
      <c r="Q23" s="30"/>
      <c r="R23" s="81" t="str">
        <f>VLOOKUP(C23,'Train Runs'!$A$13:$AE$10055,31,0)</f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S23" s="84" t="str">
        <f>VLOOKUP(C23,'Train Runs'!$A$13:$AE$10055,22,0)</f>
        <v>https://d0f6bd738d7f1b3e5a7ca70fe4ff75f0.us-east-1.aws.found.io/app/kibana#/discover/Steve-Slow-Train-Analysis-(2080s-and-2083s)?_g=(refreshInterval:(display:Off,pause:!f,section:0,value:0),time:(from:'2017-10-19T04:10:21-0600',mode:absolute,to:'2017-10-19T06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/stypes="*4024*201710191*" /stext=" 11:.+((SYSTEM_STATE.+slice.+state.+changed )|(ment ac)|(multiple cpu faults)|(system.+state.+changed )|(\[timeout)|(PRM\|1\|D)|(kpr)|(kdp)|(train st.+moving)|(\|lc)|(penalty))"</v>
      </c>
      <c r="U23" s="9" t="str">
        <f>MID(B23,13,4)</f>
        <v>4024</v>
      </c>
      <c r="V23" s="31">
        <f>A23-utc_offset/24</f>
        <v>43027.497141203705</v>
      </c>
      <c r="W23" s="45" t="str">
        <f>DetSubdiv(C23)</f>
        <v>NW</v>
      </c>
      <c r="X23" s="22">
        <f>VALUE(LEFT(C23,LEN(C23)-3))</f>
        <v>801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{"issue":{"subject":"","project_id":79,"tracker_id":40,"status_id":1,"priority_id":2,"assigned_to_id":338,"start_date":"2017-10-19","description":"","custom_fields":[{"id":1,"name":"Subdivision","value":"NW"},{"id":4,"name":"Milepost","value":"5.9048"},{"id":17,"name":"Train ID","value":"801-19"},{"id":16,"name":"Locomotive ID","value":"4024"},{"id":130,"name":"Impact","value":""},{"id":150,"name":"Time of Event (Mountain Time)","value":"05:55:53"},{"id":151,"name":"Denver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/c/Users/stu/AppData/Local/Temp/OnboardLogs/RTDC4024 --include="*4024*201710191*"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"%USERPROFILE%\AppData\Local\Temp\OnboardLogs"\RTDC4024\*4024*201710191* &gt;&gt; 2017-10-19-SliceDisagreementCheck.txt</v>
      </c>
      <c r="AE23" s="145" t="str">
        <f>"start /low /b "&amp;dls3logs&amp;" --loco "&amp;U23&amp;" --day "&amp;TEXT(V23,"YYYY-MM-DD")</f>
        <v>start /low /b %USERPROFILE%\Documents\GitHub\eaglep3\Utilities\DownloadLogsFromS3.py --loco 4024 --day 2017-10-19</v>
      </c>
      <c r="AF23" s="1"/>
    </row>
    <row r="24" spans="1:32" x14ac:dyDescent="0.25">
      <c r="A24" s="31">
        <v>43027.288194444445</v>
      </c>
      <c r="B24" s="30" t="s">
        <v>564</v>
      </c>
      <c r="C24" s="30" t="s">
        <v>569</v>
      </c>
      <c r="D24" s="30" t="s">
        <v>95</v>
      </c>
      <c r="E24" s="30" t="s">
        <v>179</v>
      </c>
      <c r="F24" s="42">
        <v>0</v>
      </c>
      <c r="G24" s="42">
        <v>7</v>
      </c>
      <c r="H24" s="42">
        <v>59048</v>
      </c>
      <c r="I24" s="42">
        <v>0</v>
      </c>
      <c r="J24" s="30" t="s">
        <v>180</v>
      </c>
      <c r="K24" s="42">
        <v>59048</v>
      </c>
      <c r="L24" s="131" t="s">
        <v>50</v>
      </c>
      <c r="M24" s="132">
        <f>CONVERT((I24-K24)/10000,"mi","ft")*IF(L24="Increasing Mileposts (1)",-1,1)</f>
        <v>31177.344000000001</v>
      </c>
      <c r="N24" s="133" t="str">
        <f>VLOOKUP(C24,'Trips&amp;Operators'!$C$1:$G$99911,5,FALSE)</f>
        <v>DAVIS WENDY</v>
      </c>
      <c r="O24" s="176" t="s">
        <v>178</v>
      </c>
      <c r="P24" s="134"/>
      <c r="Q24" s="30"/>
      <c r="R24" s="81" t="str">
        <f>VLOOKUP(C24,'Train Runs'!$A$13:$AE$10055,31,0)</f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S24" s="84" t="str">
        <f>VLOOKUP(C24,'Train Runs'!$A$13:$AE$10055,22,0)</f>
        <v>https://d0f6bd738d7f1b3e5a7ca70fe4ff75f0.us-east-1.aws.found.io/app/kibana#/discover/Steve-Slow-Train-Analysis-(2080s-and-2083s)?_g=(refreshInterval:(display:Off,pause:!f,section:0,value:0),time:(from:'2017-10-19T05:26:20-0600',mode:absolute,to:'2017-10-19T07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/stypes="*4024*201710191*" /stext=" 12:.+((SYSTEM_STATE.+slice.+state.+changed )|(ment ac)|(multiple cpu faults)|(system.+state.+changed )|(\[timeout)|(PRM\|1\|D)|(kpr)|(kdp)|(train st.+moving)|(\|lc)|(penalty))"</v>
      </c>
      <c r="U24" s="9" t="str">
        <f>MID(B24,13,4)</f>
        <v>4024</v>
      </c>
      <c r="V24" s="31">
        <f>A24-utc_offset/24</f>
        <v>43027.538194444445</v>
      </c>
      <c r="W24" s="45" t="str">
        <f>DetSubdiv(C24)</f>
        <v>NW</v>
      </c>
      <c r="X24" s="22">
        <f>VALUE(LEFT(C24,LEN(C24)-3))</f>
        <v>805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{"issue":{"subject":"","project_id":79,"tracker_id":40,"status_id":1,"priority_id":2,"assigned_to_id":338,"start_date":"2017-10-19","description":"","custom_fields":[{"id":1,"name":"Subdivision","value":"NW"},{"id":4,"name":"Milepost","value":"5.9048"},{"id":17,"name":"Train ID","value":"805-19"},{"id":16,"name":"Locomotive ID","value":"4024"},{"id":130,"name":"Impact","value":""},{"id":150,"name":"Time of Event (Mountain Time)","value":"06:55:00"},{"id":151,"name":"Denver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/c/Users/stu/AppData/Local/Temp/OnboardLogs/RTDC4024 --include="*4024*201710191*"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"%USERPROFILE%\AppData\Local\Temp\OnboardLogs"\RTDC4024\*4024*201710191* &gt;&gt; 2017-10-19-SliceDisagreementCheck.txt</v>
      </c>
      <c r="AE24" s="145" t="str">
        <f>"start /low /b "&amp;dls3logs&amp;" --loco "&amp;U24&amp;" --day "&amp;TEXT(V24,"YYYY-MM-DD")</f>
        <v>start /low /b %USERPROFILE%\Documents\GitHub\eaglep3\Utilities\DownloadLogsFromS3.py --loco 4024 --day 2017-10-19</v>
      </c>
      <c r="AF24" s="1"/>
    </row>
    <row r="25" spans="1:32" x14ac:dyDescent="0.25">
      <c r="A25" s="31">
        <v>43027.433009259257</v>
      </c>
      <c r="B25" s="30" t="s">
        <v>492</v>
      </c>
      <c r="C25" s="30" t="s">
        <v>573</v>
      </c>
      <c r="D25" s="30" t="s">
        <v>49</v>
      </c>
      <c r="E25" s="30" t="s">
        <v>179</v>
      </c>
      <c r="F25" s="42">
        <v>0</v>
      </c>
      <c r="G25" s="42">
        <v>59</v>
      </c>
      <c r="H25" s="42">
        <v>58858</v>
      </c>
      <c r="I25" s="42">
        <v>58912</v>
      </c>
      <c r="J25" s="30" t="s">
        <v>180</v>
      </c>
      <c r="K25" s="42">
        <v>59048</v>
      </c>
      <c r="L25" s="131" t="s">
        <v>50</v>
      </c>
      <c r="M25" s="132">
        <f>CONVERT((I25-K25)/10000,"mi","ft")*IF(L25="Increasing Mileposts (1)",-1,1)</f>
        <v>71.808000000000007</v>
      </c>
      <c r="N25" s="133" t="str">
        <f>VLOOKUP(C25,'Trips&amp;Operators'!$C$1:$G$99911,5,FALSE)</f>
        <v>FORTUNATO FRANK</v>
      </c>
      <c r="O25" s="176" t="s">
        <v>178</v>
      </c>
      <c r="P25" s="134"/>
      <c r="Q25" s="30"/>
      <c r="R25" s="81" t="str">
        <f>VLOOKUP(C25,'Train Runs'!$A$13:$AE$10055,31,0)</f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S25" s="84" t="str">
        <f>VLOOKUP(C25,'Train Runs'!$A$13:$AE$10055,22,0)</f>
        <v>https://d0f6bd738d7f1b3e5a7ca70fe4ff75f0.us-east-1.aws.found.io/app/kibana#/discover/Steve-Slow-Train-Analysis-(2080s-and-2083s)?_g=(refreshInterval:(display:Off,pause:!f,section:0,value:0),time:(from:'2017-10-19T08:57:41-0600',mode:absolute,to:'2017-10-19T11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/stypes="*4044*201710191*" /stext=" 16:.+((SYSTEM_STATE.+slice.+state.+changed )|(ment ac)|(multiple cpu faults)|(system.+state.+changed )|(\[timeout)|(PRM\|1\|D)|(kpr)|(kdp)|(train st.+moving)|(\|lc)|(penalty))"</v>
      </c>
      <c r="U25" s="9" t="str">
        <f>MID(B25,13,4)</f>
        <v>4044</v>
      </c>
      <c r="V25" s="31">
        <f>A25-utc_offset/24</f>
        <v>43027.683009259257</v>
      </c>
      <c r="W25" s="45" t="str">
        <f>DetSubdiv(C25)</f>
        <v>NW</v>
      </c>
      <c r="X25" s="22">
        <f>VALUE(LEFT(C25,LEN(C25)-3))</f>
        <v>815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{"issue":{"subject":"","project_id":79,"tracker_id":40,"status_id":1,"priority_id":2,"assigned_to_id":338,"start_date":"2017-10-19","description":"","custom_fields":[{"id":1,"name":"Subdivision","value":"NW"},{"id":4,"name":"Milepost","value":"5.9048"},{"id":17,"name":"Train ID","value":"815-19"},{"id":16,"name":"Locomotive ID","value":"4044"},{"id":130,"name":"Impact","value":""},{"id":150,"name":"Time of Event (Mountain Time)","value":"10:23:32"},{"id":151,"name":"Denver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/c/Users/stu/AppData/Local/Temp/OnboardLogs/RTDC4044 --include="*4044*201710191*"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"%USERPROFILE%\AppData\Local\Temp\OnboardLogs"\RTDC4044\*4044*201710191* &gt;&gt; 2017-10-19-SliceDisagreementCheck.txt</v>
      </c>
      <c r="AE25" s="145" t="str">
        <f>"start /low /b "&amp;dls3logs&amp;" --loco "&amp;U25&amp;" --day "&amp;TEXT(V25,"YYYY-MM-DD")</f>
        <v>start /low /b %USERPROFILE%\Documents\GitHub\eaglep3\Utilities\DownloadLogsFromS3.py --loco 4044 --day 2017-10-19</v>
      </c>
      <c r="AF25" s="1"/>
    </row>
    <row r="26" spans="1:32" x14ac:dyDescent="0.25">
      <c r="A26" s="31">
        <v>43027.433356481481</v>
      </c>
      <c r="B26" s="30" t="s">
        <v>492</v>
      </c>
      <c r="C26" s="30" t="s">
        <v>573</v>
      </c>
      <c r="D26" s="30" t="s">
        <v>49</v>
      </c>
      <c r="E26" s="30" t="s">
        <v>179</v>
      </c>
      <c r="F26" s="42">
        <v>0</v>
      </c>
      <c r="G26" s="42">
        <v>43</v>
      </c>
      <c r="H26" s="42">
        <v>58946</v>
      </c>
      <c r="I26" s="42">
        <v>58975</v>
      </c>
      <c r="J26" s="30" t="s">
        <v>180</v>
      </c>
      <c r="K26" s="42">
        <v>59048</v>
      </c>
      <c r="L26" s="131" t="s">
        <v>50</v>
      </c>
      <c r="M26" s="132">
        <f>CONVERT((I26-K26)/10000,"mi","ft")*IF(L26="Increasing Mileposts (1)",-1,1)</f>
        <v>38.543999999999997</v>
      </c>
      <c r="N26" s="133" t="str">
        <f>VLOOKUP(C26,'Trips&amp;Operators'!$C$1:$G$99911,5,FALSE)</f>
        <v>FORTUNATO FRANK</v>
      </c>
      <c r="O26" s="176" t="s">
        <v>178</v>
      </c>
      <c r="P26" s="134"/>
      <c r="Q26" s="30"/>
      <c r="R26" s="81" t="str">
        <f>VLOOKUP(C26,'Train Runs'!$A$13:$AE$10055,31,0)</f>
        <v>aws s3 cp s3://rtdc.mdm.uploadarchive.raw/RTDC4044/ "%USERPROFILE%\AppData\Local\Temp\OnboardLogs"\RTDC4044\2017-10-19 --exclude "*" --recursive --include "*20171019*" &amp; "%USERPROFILE%\Documents\GitHub\mrs-test-scripts\Headless Mode &amp; Sideloading\WalkAndUnGZ.bat" "%USERPROFILE%\AppData\Local\Temp\OnboardLogs"\RTDC4044\2017-10-19 &amp; aws s3 cp s3://rtdc.mdm.uploadarchive.raw/RTDC4044/ "%USERPROFILE%\AppData\Local\Temp\OnboardLogs"\RTDC4044\2017-10-20 --exclude "*" --recursive --include "*20171020*" &amp; "%USERPROFILE%\Documents\GitHub\mrs-test-scripts\Headless Mode &amp; Sideloading\WalkAndUnGZ.bat" "%USERPROFILE%\AppData\Local\Temp\OnboardLogs"\RTDC4044\2017-10-20</v>
      </c>
      <c r="S26" s="84" t="str">
        <f>VLOOKUP(C26,'Train Runs'!$A$13:$AE$10055,22,0)</f>
        <v>https://d0f6bd738d7f1b3e5a7ca70fe4ff75f0.us-east-1.aws.found.io/app/kibana#/discover/Steve-Slow-Train-Analysis-(2080s-and-2083s)?_g=(refreshInterval:(display:Off,pause:!f,section:0,value:0),time:(from:'2017-10-19T08:57:41-0600',mode:absolute,to:'2017-10-19T11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/stypes="*4044*201710191*" /stext=" 16:.+((SYSTEM_STATE.+slice.+state.+changed )|(ment ac)|(multiple cpu faults)|(system.+state.+changed )|(\[timeout)|(PRM\|1\|D)|(kpr)|(kdp)|(train st.+moving)|(\|lc)|(penalty))"</v>
      </c>
      <c r="U26" s="9" t="str">
        <f>MID(B26,13,4)</f>
        <v>4044</v>
      </c>
      <c r="V26" s="31">
        <f>A26-utc_offset/24</f>
        <v>43027.683356481481</v>
      </c>
      <c r="W26" s="45" t="str">
        <f>DetSubdiv(C26)</f>
        <v>NW</v>
      </c>
      <c r="X26" s="22">
        <f>VALUE(LEFT(C26,LEN(C26)-3))</f>
        <v>815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{"issue":{"subject":"","project_id":79,"tracker_id":40,"status_id":1,"priority_id":2,"assigned_to_id":338,"start_date":"2017-10-19","description":"","custom_fields":[{"id":1,"name":"Subdivision","value":"NW"},{"id":4,"name":"Milepost","value":"5.9048"},{"id":17,"name":"Train ID","value":"815-19"},{"id":16,"name":"Locomotive ID","value":"4044"},{"id":130,"name":"Impact","value":""},{"id":150,"name":"Time of Event (Mountain Time)","value":"10:24:02"},{"id":151,"name":"Denver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/c/Users/stu/AppData/Local/Temp/OnboardLogs/RTDC4044 --include="*4044*201710191*"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"%USERPROFILE%\AppData\Local\Temp\OnboardLogs"\RTDC4044\*4044*201710191* &gt;&gt; 2017-10-19-SliceDisagreementCheck.txt</v>
      </c>
      <c r="AE26" s="145" t="str">
        <f>"start /low /b "&amp;dls3logs&amp;" --loco "&amp;U26&amp;" --day "&amp;TEXT(V26,"YYYY-MM-DD")</f>
        <v>start /low /b %USERPROFILE%\Documents\GitHub\eaglep3\Utilities\DownloadLogsFromS3.py --loco 4044 --day 2017-10-19</v>
      </c>
      <c r="AF26" s="1"/>
    </row>
    <row r="27" spans="1:32" x14ac:dyDescent="0.25">
      <c r="A27" s="31">
        <v>43027.122881944444</v>
      </c>
      <c r="B27" s="30" t="s">
        <v>403</v>
      </c>
      <c r="C27" s="30" t="s">
        <v>517</v>
      </c>
      <c r="D27" s="30" t="s">
        <v>95</v>
      </c>
      <c r="E27" s="30" t="s">
        <v>414</v>
      </c>
      <c r="F27" s="42">
        <v>0</v>
      </c>
      <c r="G27" s="42">
        <v>165</v>
      </c>
      <c r="H27" s="42">
        <v>4752</v>
      </c>
      <c r="I27" s="42">
        <v>4442</v>
      </c>
      <c r="J27" s="30" t="s">
        <v>415</v>
      </c>
      <c r="K27" s="42">
        <v>4790</v>
      </c>
      <c r="L27" s="131" t="s">
        <v>51</v>
      </c>
      <c r="M27" s="132">
        <f>CONVERT((I27-K27)/10000,"mi","ft")*IF(L27="Increasing Mileposts (1)",-1,1)</f>
        <v>-183.744</v>
      </c>
      <c r="N27" s="133" t="str">
        <f>VLOOKUP(C27,'Trips&amp;Operators'!$C$1:$G$99911,5,FALSE)</f>
        <v>YORK EDGAR</v>
      </c>
      <c r="O27" s="176" t="s">
        <v>178</v>
      </c>
      <c r="P27" s="134"/>
      <c r="Q27" s="30"/>
      <c r="R27" s="81" t="e">
        <f>VLOOKUP(C27,'Train Runs'!$A$13:$AE$10055,31,0)</f>
        <v>#N/A</v>
      </c>
      <c r="S27" s="84" t="e">
        <f>VLOOKUP(C27,'Train Runs'!$A$13:$AE$10055,22,0)</f>
        <v>#N/A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/stypes="*4051*201710190*" /stext=" 08:.+((SYSTEM_STATE.+slice.+state.+changed )|(ment ac)|(multiple cpu faults)|(system.+state.+changed )|(\[timeout)|(PRM\|1\|D)|(kpr)|(kdp)|(train st.+moving)|(\|lc)|(penalty))"</v>
      </c>
      <c r="U27" s="9" t="str">
        <f>MID(B27,13,4)</f>
        <v>4051</v>
      </c>
      <c r="V27" s="31">
        <f>A27-utc_offset/24</f>
        <v>43027.372881944444</v>
      </c>
      <c r="W27" s="45" t="str">
        <f>DetSubdiv(C27)</f>
        <v>Other</v>
      </c>
      <c r="X27" s="22">
        <f>VALUE(LEFT(C27,LEN(C27)-3))</f>
        <v>300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{"issue":{"subject":"","project_id":79,"tracker_id":40,"status_id":1,"priority_id":2,"assigned_to_id":338,"start_date":"2017-10-19","description":"","custom_fields":[{"id":1,"name":"Subdivision","value":"Other"},{"id":4,"name":"Milepost","value":"0.479"},{"id":17,"name":"Train ID","value":"300-19"},{"id":16,"name":"Locomotive ID","value":"4051"},{"id":130,"name":"Impact","value":""},{"id":150,"name":"Time of Event (Mountain Time)","value":"02:56:57"},{"id":151,"name":"Denver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/c/Users/stu/AppData/Local/Temp/OnboardLogs/RTDC4051 --include="*4051*201710190*"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"%USERPROFILE%\AppData\Local\Temp\OnboardLogs"\RTDC4051\*4051*201710190* &gt;&gt; 2017-10-19-SliceDisagreementCheck.txt</v>
      </c>
      <c r="AE27" s="145" t="str">
        <f>"start /low /b "&amp;dls3logs&amp;" --loco "&amp;U27&amp;" --day "&amp;TEXT(V27,"YYYY-MM-DD")</f>
        <v>start /low /b %USERPROFILE%\Documents\GitHub\eaglep3\Utilities\DownloadLogsFromS3.py --loco 4051 --day 2017-10-19</v>
      </c>
      <c r="AF27" s="1"/>
    </row>
    <row r="28" spans="1:32" x14ac:dyDescent="0.25">
      <c r="A28" s="31">
        <v>43027.118923611109</v>
      </c>
      <c r="B28" s="30" t="s">
        <v>403</v>
      </c>
      <c r="C28" s="30" t="s">
        <v>517</v>
      </c>
      <c r="D28" s="30" t="s">
        <v>49</v>
      </c>
      <c r="E28" s="30" t="s">
        <v>414</v>
      </c>
      <c r="F28" s="42">
        <v>0</v>
      </c>
      <c r="G28" s="42">
        <v>359</v>
      </c>
      <c r="H28" s="42">
        <v>8955</v>
      </c>
      <c r="I28" s="42">
        <v>8160</v>
      </c>
      <c r="J28" s="30" t="s">
        <v>415</v>
      </c>
      <c r="K28" s="42">
        <v>6799</v>
      </c>
      <c r="L28" s="131" t="s">
        <v>51</v>
      </c>
      <c r="M28" s="132">
        <f>CONVERT((I28-K28)/10000,"mi","ft")*IF(L28="Increasing Mileposts (1)",-1,1)</f>
        <v>718.60799999999995</v>
      </c>
      <c r="N28" s="133" t="str">
        <f>VLOOKUP(C28,'Trips&amp;Operators'!$C$1:$G$99911,5,FALSE)</f>
        <v>YORK EDGAR</v>
      </c>
      <c r="O28" s="176" t="s">
        <v>178</v>
      </c>
      <c r="P28" s="134"/>
      <c r="Q28" s="30"/>
      <c r="R28" s="81" t="e">
        <f>VLOOKUP(C28,'Train Runs'!$A$13:$AE$10055,31,0)</f>
        <v>#N/A</v>
      </c>
      <c r="S28" s="84" t="e">
        <f>VLOOKUP(C28,'Train Runs'!$A$13:$AE$10055,22,0)</f>
        <v>#N/A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/stypes="*4051*201710190*" /stext=" 08:.+((SYSTEM_STATE.+slice.+state.+changed )|(ment ac)|(multiple cpu faults)|(system.+state.+changed )|(\[timeout)|(PRM\|1\|D)|(kpr)|(kdp)|(train st.+moving)|(\|lc)|(penalty))"</v>
      </c>
      <c r="U28" s="9" t="str">
        <f>MID(B28,13,4)</f>
        <v>4051</v>
      </c>
      <c r="V28" s="31">
        <f>A28-utc_offset/24</f>
        <v>43027.368923611109</v>
      </c>
      <c r="W28" s="45" t="str">
        <f>DetSubdiv(C28)</f>
        <v>Other</v>
      </c>
      <c r="X28" s="22">
        <f>VALUE(LEFT(C28,LEN(C28)-3))</f>
        <v>300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{"issue":{"subject":"","project_id":79,"tracker_id":40,"status_id":1,"priority_id":2,"assigned_to_id":338,"start_date":"2017-10-19","description":"","custom_fields":[{"id":1,"name":"Subdivision","value":"Other"},{"id":4,"name":"Milepost","value":"0.6799"},{"id":17,"name":"Train ID","value":"300-19"},{"id":16,"name":"Locomotive ID","value":"4051"},{"id":130,"name":"Impact","value":""},{"id":150,"name":"Time of Event (Mountain Time)","value":"02:51:15"},{"id":151,"name":"Denver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/c/Users/stu/AppData/Local/Temp/OnboardLogs/RTDC4051 --include="*4051*201710190*"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"%USERPROFILE%\AppData\Local\Temp\OnboardLogs"\RTDC4051\*4051*201710190* &gt;&gt; 2017-10-19-SliceDisagreementCheck.txt</v>
      </c>
      <c r="AE28" s="145" t="str">
        <f>"start /low /b "&amp;dls3logs&amp;" --loco "&amp;U28&amp;" --day "&amp;TEXT(V28,"YYYY-MM-DD")</f>
        <v>start /low /b %USERPROFILE%\Documents\GitHub\eaglep3\Utilities\DownloadLogsFromS3.py --loco 4051 --day 2017-10-19</v>
      </c>
      <c r="AF28" s="1"/>
    </row>
    <row r="29" spans="1:32" x14ac:dyDescent="0.25">
      <c r="A29" s="31">
        <v>43027.181585648148</v>
      </c>
      <c r="B29" s="30" t="s">
        <v>560</v>
      </c>
      <c r="C29" s="30" t="s">
        <v>561</v>
      </c>
      <c r="D29" s="30" t="s">
        <v>95</v>
      </c>
      <c r="E29" s="30" t="s">
        <v>414</v>
      </c>
      <c r="F29" s="42">
        <v>0</v>
      </c>
      <c r="G29" s="42">
        <v>125</v>
      </c>
      <c r="H29" s="42">
        <v>23101</v>
      </c>
      <c r="I29" s="42">
        <v>22828</v>
      </c>
      <c r="J29" s="30" t="s">
        <v>415</v>
      </c>
      <c r="K29" s="42">
        <v>24161</v>
      </c>
      <c r="L29" s="131" t="s">
        <v>51</v>
      </c>
      <c r="M29" s="132">
        <f>CONVERT((I29-K29)/10000,"mi","ft")*IF(L29="Increasing Mileposts (1)",-1,1)</f>
        <v>-703.82399999999996</v>
      </c>
      <c r="N29" s="133" t="str">
        <f>VLOOKUP(C29,'Trips&amp;Operators'!$C$1:$G$99911,5,FALSE)</f>
        <v>WILLIAMS DONTE</v>
      </c>
      <c r="O29" s="176" t="s">
        <v>178</v>
      </c>
      <c r="P29" s="134"/>
      <c r="Q29" s="30"/>
      <c r="R29" s="81" t="str">
        <f>VLOOKUP(C29,'Train Runs'!$A$13:$AE$10055,31,0)</f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S29" s="84" t="str">
        <f>VLOOKUP(C29,'Train Runs'!$A$13:$AE$10055,22,0)</f>
        <v>https://d0f6bd738d7f1b3e5a7ca70fe4ff75f0.us-east-1.aws.found.io/app/kibana#/discover/Steve-Slow-Train-Analysis-(2080s-and-2083s)?_g=(refreshInterval:(display:Off,pause:!f,section:0,value:0),time:(from:'2017-10-19T03:15:00-0600',mode:absolute,to:'2017-10-19T05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/stypes="*4015*201710191*" /stext=" 10:.+((SYSTEM_STATE.+slice.+state.+changed )|(ment ac)|(multiple cpu faults)|(system.+state.+changed )|(\[timeout)|(PRM\|1\|D)|(kpr)|(kdp)|(train st.+moving)|(\|lc)|(penalty))"</v>
      </c>
      <c r="U29" s="9" t="str">
        <f>MID(B29,13,4)</f>
        <v>4015</v>
      </c>
      <c r="V29" s="31">
        <f>A29-utc_offset/24</f>
        <v>43027.431585648148</v>
      </c>
      <c r="W29" s="45" t="str">
        <f>DetSubdiv(C29)</f>
        <v>Other</v>
      </c>
      <c r="X29" s="22">
        <f>VALUE(LEFT(C29,LEN(C29)-3))</f>
        <v>308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{"issue":{"subject":"","project_id":79,"tracker_id":40,"status_id":1,"priority_id":2,"assigned_to_id":338,"start_date":"2017-10-19","description":"","custom_fields":[{"id":1,"name":"Subdivision","value":"Other"},{"id":4,"name":"Milepost","value":"2.4161"},{"id":17,"name":"Train ID","value":"308-19"},{"id":16,"name":"Locomotive ID","value":"4015"},{"id":130,"name":"Impact","value":""},{"id":150,"name":"Time of Event (Mountain Time)","value":"04:21:29"},{"id":151,"name":"Denver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/c/Users/stu/AppData/Local/Temp/OnboardLogs/RTDC4015 --include="*4015*201710191*"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"%USERPROFILE%\AppData\Local\Temp\OnboardLogs"\RTDC4015\*4015*201710191* &gt;&gt; 2017-10-19-SliceDisagreementCheck.txt</v>
      </c>
      <c r="AE29" s="145" t="str">
        <f>"start /low /b "&amp;dls3logs&amp;" --loco "&amp;U29&amp;" --day "&amp;TEXT(V29,"YYYY-MM-DD")</f>
        <v>start /low /b %USERPROFILE%\Documents\GitHub\eaglep3\Utilities\DownloadLogsFromS3.py --loco 4015 --day 2017-10-19</v>
      </c>
      <c r="AF29" s="1"/>
    </row>
    <row r="30" spans="1:32" x14ac:dyDescent="0.25">
      <c r="A30" s="31">
        <v>43027.182291666664</v>
      </c>
      <c r="B30" s="30" t="s">
        <v>560</v>
      </c>
      <c r="C30" s="30" t="s">
        <v>561</v>
      </c>
      <c r="D30" s="30" t="s">
        <v>95</v>
      </c>
      <c r="E30" s="30" t="s">
        <v>414</v>
      </c>
      <c r="F30" s="42">
        <v>0</v>
      </c>
      <c r="G30" s="42">
        <v>12</v>
      </c>
      <c r="H30" s="42">
        <v>22821</v>
      </c>
      <c r="I30" s="42">
        <v>22770</v>
      </c>
      <c r="J30" s="30" t="s">
        <v>415</v>
      </c>
      <c r="K30" s="42">
        <v>24161</v>
      </c>
      <c r="L30" s="131" t="s">
        <v>51</v>
      </c>
      <c r="M30" s="132">
        <f>CONVERT((I30-K30)/10000,"mi","ft")*IF(L30="Increasing Mileposts (1)",-1,1)</f>
        <v>-734.44799999999998</v>
      </c>
      <c r="N30" s="133" t="str">
        <f>VLOOKUP(C30,'Trips&amp;Operators'!$C$1:$G$99911,5,FALSE)</f>
        <v>WILLIAMS DONTE</v>
      </c>
      <c r="O30" s="176" t="s">
        <v>178</v>
      </c>
      <c r="P30" s="134"/>
      <c r="Q30" s="30"/>
      <c r="R30" s="81" t="str">
        <f>VLOOKUP(C30,'Train Runs'!$A$13:$AE$10055,31,0)</f>
        <v>aws s3 cp s3://rtdc.mdm.uploadarchive.raw/RTDC4015/ "%USERPROFILE%\AppData\Local\Temp\OnboardLogs"\RTDC4015\2017-10-19 --exclude "*" --recursive --include "*20171019*" &amp; "%USERPROFILE%\Documents\GitHub\mrs-test-scripts\Headless Mode &amp; Sideloading\WalkAndUnGZ.bat" "%USERPROFILE%\AppData\Local\Temp\OnboardLogs"\RTDC4015\2017-10-19 &amp; aws s3 cp s3://rtdc.mdm.uploadarchive.raw/RTDC4015/ "%USERPROFILE%\AppData\Local\Temp\OnboardLogs"\RTDC4015\2017-10-20 --exclude "*" --recursive --include "*20171020*" &amp; "%USERPROFILE%\Documents\GitHub\mrs-test-scripts\Headless Mode &amp; Sideloading\WalkAndUnGZ.bat" "%USERPROFILE%\AppData\Local\Temp\OnboardLogs"\RTDC4015\2017-10-20</v>
      </c>
      <c r="S30" s="84" t="str">
        <f>VLOOKUP(C30,'Train Runs'!$A$13:$AE$10055,22,0)</f>
        <v>https://d0f6bd738d7f1b3e5a7ca70fe4ff75f0.us-east-1.aws.found.io/app/kibana#/discover/Steve-Slow-Train-Analysis-(2080s-and-2083s)?_g=(refreshInterval:(display:Off,pause:!f,section:0,value:0),time:(from:'2017-10-19T03:15:00-0600',mode:absolute,to:'2017-10-19T05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/stypes="*4015*201710191*" /stext=" 10:.+((SYSTEM_STATE.+slice.+state.+changed )|(ment ac)|(multiple cpu faults)|(system.+state.+changed )|(\[timeout)|(PRM\|1\|D)|(kpr)|(kdp)|(train st.+moving)|(\|lc)|(penalty))"</v>
      </c>
      <c r="U30" s="9" t="str">
        <f>MID(B30,13,4)</f>
        <v>4015</v>
      </c>
      <c r="V30" s="31">
        <f>A30-utc_offset/24</f>
        <v>43027.432291666664</v>
      </c>
      <c r="W30" s="45" t="str">
        <f>DetSubdiv(C30)</f>
        <v>Other</v>
      </c>
      <c r="X30" s="22">
        <f>VALUE(LEFT(C30,LEN(C30)-3))</f>
        <v>308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{"issue":{"subject":"","project_id":79,"tracker_id":40,"status_id":1,"priority_id":2,"assigned_to_id":338,"start_date":"2017-10-19","description":"","custom_fields":[{"id":1,"name":"Subdivision","value":"Other"},{"id":4,"name":"Milepost","value":"2.4161"},{"id":17,"name":"Train ID","value":"308-19"},{"id":16,"name":"Locomotive ID","value":"4015"},{"id":130,"name":"Impact","value":""},{"id":150,"name":"Time of Event (Mountain Time)","value":"04:22:30"},{"id":151,"name":"Denver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/c/Users/stu/AppData/Local/Temp/OnboardLogs/RTDC4015 --include="*4015*201710191*"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"%USERPROFILE%\AppData\Local\Temp\OnboardLogs"\RTDC4015\*4015*201710191* &gt;&gt; 2017-10-19-SliceDisagreementCheck.txt</v>
      </c>
      <c r="AE30" s="145" t="str">
        <f>"start /low /b "&amp;dls3logs&amp;" --loco "&amp;U30&amp;" --day "&amp;TEXT(V30,"YYYY-MM-DD")</f>
        <v>start /low /b %USERPROFILE%\Documents\GitHub\eaglep3\Utilities\DownloadLogsFromS3.py --loco 4015 --day 2017-10-19</v>
      </c>
      <c r="AF30" s="1"/>
    </row>
    <row r="31" spans="1:32" x14ac:dyDescent="0.25">
      <c r="A31" s="31">
        <v>43027.213506944441</v>
      </c>
      <c r="B31" s="30" t="s">
        <v>564</v>
      </c>
      <c r="C31" s="30" t="s">
        <v>565</v>
      </c>
      <c r="D31" s="30" t="s">
        <v>49</v>
      </c>
      <c r="E31" s="30" t="s">
        <v>179</v>
      </c>
      <c r="F31" s="42">
        <v>0</v>
      </c>
      <c r="G31" s="42">
        <v>25</v>
      </c>
      <c r="H31" s="42">
        <v>58978</v>
      </c>
      <c r="I31" s="42">
        <v>58995</v>
      </c>
      <c r="J31" s="30" t="s">
        <v>180</v>
      </c>
      <c r="K31" s="42">
        <v>59048</v>
      </c>
      <c r="L31" s="131" t="s">
        <v>50</v>
      </c>
      <c r="M31" s="132">
        <f>CONVERT((I31-K31)/10000,"mi","ft")*IF(L31="Increasing Mileposts (1)",-1,1)</f>
        <v>27.984000000000002</v>
      </c>
      <c r="N31" s="133" t="str">
        <f>VLOOKUP(C31,'Trips&amp;Operators'!$C$1:$G$99911,5,FALSE)</f>
        <v>DAVIS WENDY</v>
      </c>
      <c r="O31" s="176" t="s">
        <v>178</v>
      </c>
      <c r="P31" s="134"/>
      <c r="Q31" s="30"/>
      <c r="R31" s="81" t="str">
        <f>VLOOKUP(C31,'Train Runs'!$A$13:$AE$10055,31,0)</f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S31" s="84" t="str">
        <f>VLOOKUP(C31,'Train Runs'!$A$13:$AE$10055,22,0)</f>
        <v>https://d0f6bd738d7f1b3e5a7ca70fe4ff75f0.us-east-1.aws.found.io/app/kibana#/discover/Steve-Slow-Train-Analysis-(2080s-and-2083s)?_g=(refreshInterval:(display:Off,pause:!f,section:0,value:0),time:(from:'2017-10-19T03:51:34-0600',mode:absolute,to:'2017-10-19T06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/stypes="*4024*201710191*" /stext=" 11:.+((SYSTEM_STATE.+slice.+state.+changed )|(ment ac)|(multiple cpu faults)|(system.+state.+changed )|(\[timeout)|(PRM\|1\|D)|(kpr)|(kdp)|(train st.+moving)|(\|lc)|(penalty))"</v>
      </c>
      <c r="U31" s="9" t="str">
        <f>MID(B31,13,4)</f>
        <v>4024</v>
      </c>
      <c r="V31" s="31">
        <f>A31-utc_offset/24</f>
        <v>43027.463506944441</v>
      </c>
      <c r="W31" s="45" t="str">
        <f>DetSubdiv(C31)</f>
        <v>Other</v>
      </c>
      <c r="X31" s="22">
        <f>VALUE(LEFT(C31,LEN(C31)-3))</f>
        <v>901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{"issue":{"subject":"","project_id":79,"tracker_id":40,"status_id":1,"priority_id":2,"assigned_to_id":338,"start_date":"2017-10-19","description":"","custom_fields":[{"id":1,"name":"Subdivision","value":"Other"},{"id":4,"name":"Milepost","value":"5.9048"},{"id":17,"name":"Train ID","value":"901-19"},{"id":16,"name":"Locomotive ID","value":"4024"},{"id":130,"name":"Impact","value":""},{"id":150,"name":"Time of Event (Mountain Time)","value":"05:07:27"},{"id":151,"name":"Denver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/c/Users/stu/AppData/Local/Temp/OnboardLogs/RTDC4024 --include="*4024*201710191*"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"%USERPROFILE%\AppData\Local\Temp\OnboardLogs"\RTDC4024\*4024*201710191* &gt;&gt; 2017-10-19-SliceDisagreementCheck.txt</v>
      </c>
      <c r="AE31" s="145" t="str">
        <f>"start /low /b "&amp;dls3logs&amp;" --loco "&amp;U31&amp;" --day "&amp;TEXT(V31,"YYYY-MM-DD")</f>
        <v>start /low /b %USERPROFILE%\Documents\GitHub\eaglep3\Utilities\DownloadLogsFromS3.py --loco 4024 --day 2017-10-19</v>
      </c>
      <c r="AF31" s="1"/>
    </row>
    <row r="32" spans="1:32" x14ac:dyDescent="0.25">
      <c r="A32" s="31">
        <v>43027.214166666665</v>
      </c>
      <c r="B32" s="30" t="s">
        <v>564</v>
      </c>
      <c r="C32" s="30" t="s">
        <v>565</v>
      </c>
      <c r="D32" s="30" t="s">
        <v>95</v>
      </c>
      <c r="E32" s="30" t="s">
        <v>179</v>
      </c>
      <c r="F32" s="42">
        <v>0</v>
      </c>
      <c r="G32" s="42">
        <v>9</v>
      </c>
      <c r="H32" s="42">
        <v>59048</v>
      </c>
      <c r="I32" s="42">
        <v>0</v>
      </c>
      <c r="J32" s="30" t="s">
        <v>180</v>
      </c>
      <c r="K32" s="42">
        <v>59048</v>
      </c>
      <c r="L32" s="131" t="s">
        <v>50</v>
      </c>
      <c r="M32" s="132">
        <f>CONVERT((I32-K32)/10000,"mi","ft")*IF(L32="Increasing Mileposts (1)",-1,1)</f>
        <v>31177.344000000001</v>
      </c>
      <c r="N32" s="133" t="str">
        <f>VLOOKUP(C32,'Trips&amp;Operators'!$C$1:$G$99911,5,FALSE)</f>
        <v>DAVIS WENDY</v>
      </c>
      <c r="O32" s="176" t="s">
        <v>178</v>
      </c>
      <c r="P32" s="134"/>
      <c r="Q32" s="30"/>
      <c r="R32" s="81" t="str">
        <f>VLOOKUP(C32,'Train Runs'!$A$13:$AE$10055,31,0)</f>
        <v>aws s3 cp s3://rtdc.mdm.uploadarchive.raw/RTDC4024/ "%USERPROFILE%\AppData\Local\Temp\OnboardLogs"\RTDC4024\2017-10-19 --exclude "*" --recursive --include "*20171019*" &amp; "%USERPROFILE%\Documents\GitHub\mrs-test-scripts\Headless Mode &amp; Sideloading\WalkAndUnGZ.bat" "%USERPROFILE%\AppData\Local\Temp\OnboardLogs"\RTDC4024\2017-10-19 &amp; aws s3 cp s3://rtdc.mdm.uploadarchive.raw/RTDC4024/ "%USERPROFILE%\AppData\Local\Temp\OnboardLogs"\RTDC4024\2017-10-20 --exclude "*" --recursive --include "*20171020*" &amp; "%USERPROFILE%\Documents\GitHub\mrs-test-scripts\Headless Mode &amp; Sideloading\WalkAndUnGZ.bat" "%USERPROFILE%\AppData\Local\Temp\OnboardLogs"\RTDC4024\2017-10-20</v>
      </c>
      <c r="S32" s="84" t="str">
        <f>VLOOKUP(C32,'Train Runs'!$A$13:$AE$10055,22,0)</f>
        <v>https://d0f6bd738d7f1b3e5a7ca70fe4ff75f0.us-east-1.aws.found.io/app/kibana#/discover/Steve-Slow-Train-Analysis-(2080s-and-2083s)?_g=(refreshInterval:(display:Off,pause:!f,section:0,value:0),time:(from:'2017-10-19T03:51:34-0600',mode:absolute,to:'2017-10-19T06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/stypes="*4024*201710191*" /stext=" 11:.+((SYSTEM_STATE.+slice.+state.+changed )|(ment ac)|(multiple cpu faults)|(system.+state.+changed )|(\[timeout)|(PRM\|1\|D)|(kpr)|(kdp)|(train st.+moving)|(\|lc)|(penalty))"</v>
      </c>
      <c r="U32" s="9" t="str">
        <f>MID(B32,13,4)</f>
        <v>4024</v>
      </c>
      <c r="V32" s="31">
        <f>A32-utc_offset/24</f>
        <v>43027.464166666665</v>
      </c>
      <c r="W32" s="45" t="str">
        <f>DetSubdiv(C32)</f>
        <v>Other</v>
      </c>
      <c r="X32" s="22">
        <f>VALUE(LEFT(C32,LEN(C32)-3))</f>
        <v>901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{"issue":{"subject":"","project_id":79,"tracker_id":40,"status_id":1,"priority_id":2,"assigned_to_id":338,"start_date":"2017-10-19","description":"","custom_fields":[{"id":1,"name":"Subdivision","value":"Other"},{"id":4,"name":"Milepost","value":"5.9048"},{"id":17,"name":"Train ID","value":"901-19"},{"id":16,"name":"Locomotive ID","value":"4024"},{"id":130,"name":"Impact","value":""},{"id":150,"name":"Time of Event (Mountain Time)","value":"05:08:24"},{"id":151,"name":"Denver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/c/Users/stu/AppData/Local/Temp/OnboardLogs/RTDC4024 --include="*4024*201710191*"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"%USERPROFILE%\AppData\Local\Temp\OnboardLogs"\RTDC4024\*4024*201710191* &gt;&gt; 2017-10-19-SliceDisagreementCheck.txt</v>
      </c>
      <c r="AE32" s="145" t="str">
        <f>"start /low /b "&amp;dls3logs&amp;" --loco "&amp;U32&amp;" --day "&amp;TEXT(V32,"YYYY-MM-DD")</f>
        <v>start /low /b %USERPROFILE%\Documents\GitHub\eaglep3\Utilities\DownloadLogsFromS3.py --loco 4024 --day 2017-10-19</v>
      </c>
      <c r="AF32" s="1"/>
    </row>
    <row r="33" spans="1:32" x14ac:dyDescent="0.25">
      <c r="A33" s="31">
        <v>43027.123113425929</v>
      </c>
      <c r="B33" s="30" t="s">
        <v>435</v>
      </c>
      <c r="C33" s="30" t="s">
        <v>559</v>
      </c>
      <c r="D33" s="30" t="s">
        <v>95</v>
      </c>
      <c r="E33" s="30" t="s">
        <v>414</v>
      </c>
      <c r="F33" s="42">
        <v>200</v>
      </c>
      <c r="G33" s="42">
        <v>254</v>
      </c>
      <c r="H33" s="42">
        <v>17287</v>
      </c>
      <c r="I33" s="42">
        <v>16368</v>
      </c>
      <c r="J33" s="30" t="s">
        <v>415</v>
      </c>
      <c r="K33" s="42">
        <v>19000</v>
      </c>
      <c r="L33" s="131" t="s">
        <v>51</v>
      </c>
      <c r="M33" s="132">
        <f>CONVERT((I33-K33)/10000,"mi","ft")*IF(L33="Increasing Mileposts (1)",-1,1)</f>
        <v>-1389.6959999999999</v>
      </c>
      <c r="N33" s="133" t="str">
        <f>VLOOKUP(C33,'Trips&amp;Operators'!$C$1:$G$99911,5,FALSE)</f>
        <v>ROCHA YAOTL</v>
      </c>
      <c r="O33" s="176" t="s">
        <v>178</v>
      </c>
      <c r="P33" s="134"/>
      <c r="Q33" s="30"/>
      <c r="R33" s="81" t="str">
        <f>VLOOKUP(C33,'Train Runs'!$A$13:$AE$10055,31,0)</f>
        <v>aws s3 cp s3://rtdc.mdm.uploadarchive.raw/RTDC4059/ "%USERPROFILE%\AppData\Local\Temp\OnboardLogs"\RTDC4059\2017-10-19 --exclude "*" --recursive --include "*20171019*" &amp; "%USERPROFILE%\Documents\GitHub\mrs-test-scripts\Headless Mode &amp; Sideloading\WalkAndUnGZ.bat" "%USERPROFILE%\AppData\Local\Temp\OnboardLogs"\RTDC4059\2017-10-19 &amp; aws s3 cp s3://rtdc.mdm.uploadarchive.raw/RTDC4059/ "%USERPROFILE%\AppData\Local\Temp\OnboardLogs"\RTDC4059\2017-10-20 --exclude "*" --recursive --include "*20171020*" &amp; "%USERPROFILE%\Documents\GitHub\mrs-test-scripts\Headless Mode &amp; Sideloading\WalkAndUnGZ.bat" "%USERPROFILE%\AppData\Local\Temp\OnboardLogs"\RTDC4059\2017-10-20</v>
      </c>
      <c r="S33" s="84" t="str">
        <f>VLOOKUP(C33,'Train Runs'!$A$13:$AE$10055,22,0)</f>
        <v>https://d0f6bd738d7f1b3e5a7ca70fe4ff75f0.us-east-1.aws.found.io/app/kibana#/discover/Steve-Slow-Train-Analysis-(2080s-and-2083s)?_g=(refreshInterval:(display:Off,pause:!f,section:0,value:0),time:(from:'2017-10-19T01:49:10-0600',mode:absolute,to:'2017-10-19T04:02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/stypes="*4059*201710190*" /stext=" 08:.+((SYSTEM_STATE.+slice.+state.+changed )|(ment ac)|(multiple cpu faults)|(system.+state.+changed )|(\[timeout)|(PRM\|1\|D)|(kpr)|(kdp)|(train st.+moving)|(\|lc)|(penalty))"</v>
      </c>
      <c r="U33" s="9" t="str">
        <f>MID(B33,13,4)</f>
        <v>4059</v>
      </c>
      <c r="V33" s="31">
        <f>A33-utc_offset/24</f>
        <v>43027.373113425929</v>
      </c>
      <c r="W33" s="45" t="str">
        <f>DetSubdiv(C33)</f>
        <v>Shuttle/Test</v>
      </c>
      <c r="X33" s="22">
        <f>VALUE(LEFT(C33,LEN(C33)-3))</f>
        <v>62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Shuttle/Test"},{"id":4,"name":"Milepost","value":"1.9"},{"id":17,"name":"Train ID","value":"62-19"},{"id":16,"name":"Locomotive ID","value":"4059"},{"id":130,"name":"Impact","value":""},{"id":150,"name":"Time of Event (Mountain Time)","value":"02:57:17"},{"id":151,"name":"Denver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/c/Users/stu/AppData/Local/Temp/OnboardLogs/RTDC4059 --include="*4059*201710190*"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"%USERPROFILE%\AppData\Local\Temp\OnboardLogs"\RTDC4059\*4059*201710190* &gt;&gt; 2017-10-19-SliceDisagreementCheck.txt</v>
      </c>
      <c r="AE33" s="145" t="str">
        <f>"start /low /b "&amp;dls3logs&amp;" --loco "&amp;U33&amp;" --day "&amp;TEXT(V33,"YYYY-MM-DD")</f>
        <v>start /low /b %USERPROFILE%\Documents\GitHub\eaglep3\Utilities\DownloadLogsFromS3.py --loco 4059 --day 2017-10-19</v>
      </c>
      <c r="AF33" s="1"/>
    </row>
    <row r="34" spans="1:32" x14ac:dyDescent="0.25">
      <c r="A34" s="31">
        <v>43027.483865740738</v>
      </c>
      <c r="B34" s="30" t="s">
        <v>576</v>
      </c>
      <c r="C34" s="30" t="s">
        <v>577</v>
      </c>
      <c r="D34" s="30" t="s">
        <v>49</v>
      </c>
      <c r="E34" s="30" t="s">
        <v>414</v>
      </c>
      <c r="F34" s="42">
        <v>0</v>
      </c>
      <c r="G34" s="42">
        <v>134</v>
      </c>
      <c r="H34" s="42">
        <v>22113</v>
      </c>
      <c r="I34" s="42">
        <v>22553</v>
      </c>
      <c r="J34" s="30" t="s">
        <v>415</v>
      </c>
      <c r="K34" s="42">
        <v>22206</v>
      </c>
      <c r="L34" s="131" t="s">
        <v>50</v>
      </c>
      <c r="M34" s="132">
        <f>CONVERT((I34-K34)/10000,"mi","ft")*IF(L34="Increasing Mileposts (1)",-1,1)</f>
        <v>-183.21600000000001</v>
      </c>
      <c r="N34" s="133" t="str">
        <f>VLOOKUP(C34,'Trips&amp;Operators'!$C$1:$G$99911,5,FALSE)</f>
        <v>ACKERMAN JARED</v>
      </c>
      <c r="O34" s="176" t="s">
        <v>178</v>
      </c>
      <c r="P34" s="134"/>
      <c r="Q34" s="30"/>
      <c r="R34" s="81" t="str">
        <f>VLOOKUP(C34,'Train Runs'!$A$13:$AE$10055,31,0)</f>
        <v>aws s3 cp s3://rtdc.mdm.uploadarchive.raw/RTDC4022/ "%USERPROFILE%\AppData\Local\Temp\OnboardLogs"\RTDC4022\2017-10-19 --exclude "*" --recursive --include "*20171019*" &amp; "%USERPROFILE%\Documents\GitHub\mrs-test-scripts\Headless Mode &amp; Sideloading\WalkAndUnGZ.bat" "%USERPROFILE%\AppData\Local\Temp\OnboardLogs"\RTDC4022\2017-10-19 &amp; aws s3 cp s3://rtdc.mdm.uploadarchive.raw/RTDC4022/ "%USERPROFILE%\AppData\Local\Temp\OnboardLogs"\RTDC4022\2017-10-20 --exclude "*" --recursive --include "*20171020*" &amp; "%USERPROFILE%\Documents\GitHub\mrs-test-scripts\Headless Mode &amp; Sideloading\WalkAndUnGZ.bat" "%USERPROFILE%\AppData\Local\Temp\OnboardLogs"\RTDC4022\2017-10-20</v>
      </c>
      <c r="S34" s="84" t="str">
        <f>VLOOKUP(C34,'Train Runs'!$A$13:$AE$10055,22,0)</f>
        <v>https://d0f6bd738d7f1b3e5a7ca70fe4ff75f0.us-east-1.aws.found.io/app/kibana#/discover/Steve-Slow-Train-Analysis-(2080s-and-2083s)?_g=(refreshInterval:(display:Off,pause:!f,section:0,value:0),time:(from:'2017-10-19T09:07:21-0600',mode:absolute,to:'2017-10-19T11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/stypes="*4022*201710191*" /stext=" 17:.+((SYSTEM_STATE.+slice.+state.+changed )|(ment ac)|(multiple cpu faults)|(system.+state.+changed )|(\[timeout)|(PRM\|1\|D)|(kpr)|(kdp)|(train st.+moving)|(\|lc)|(penalty))"</v>
      </c>
      <c r="U34" s="9" t="str">
        <f>MID(B34,13,4)</f>
        <v>4022</v>
      </c>
      <c r="V34" s="31">
        <f>A34-utc_offset/24</f>
        <v>43027.733865740738</v>
      </c>
      <c r="W34" s="45" t="str">
        <f>DetSubdiv(C34)</f>
        <v>Shuttle/Test</v>
      </c>
      <c r="X34" s="22">
        <f>VALUE(LEFT(C34,LEN(C34)-3))</f>
        <v>61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Shuttle/Test"},{"id":4,"name":"Milepost","value":"2.2206"},{"id":17,"name":"Train ID","value":"61-19"},{"id":16,"name":"Locomotive ID","value":"4022"},{"id":130,"name":"Impact","value":""},{"id":150,"name":"Time of Event (Mountain Time)","value":"11:36:46"},{"id":151,"name":"Denver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/c/Users/stu/AppData/Local/Temp/OnboardLogs/RTDC4022 --include="*4022*201710191*"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"%USERPROFILE%\AppData\Local\Temp\OnboardLogs"\RTDC4022\*4022*201710191* &gt;&gt; 2017-10-19-SliceDisagreementCheck.txt</v>
      </c>
      <c r="AE34" s="145" t="str">
        <f>"start /low /b "&amp;dls3logs&amp;" --loco "&amp;U34&amp;" --day "&amp;TEXT(V34,"YYYY-MM-DD")</f>
        <v>start /low /b %USERPROFILE%\Documents\GitHub\eaglep3\Utilities\DownloadLogsFromS3.py --loco 4022 --day 2017-10-19</v>
      </c>
      <c r="AF34" s="1"/>
    </row>
    <row r="35" spans="1:32" x14ac:dyDescent="0.25">
      <c r="A35" s="31">
        <v>43027.494328703702</v>
      </c>
      <c r="B35" s="30" t="s">
        <v>580</v>
      </c>
      <c r="C35" s="30" t="s">
        <v>581</v>
      </c>
      <c r="D35" s="30" t="s">
        <v>95</v>
      </c>
      <c r="E35" s="30" t="s">
        <v>488</v>
      </c>
      <c r="F35" s="42">
        <v>0</v>
      </c>
      <c r="G35" s="42">
        <v>82</v>
      </c>
      <c r="H35" s="42">
        <v>23250</v>
      </c>
      <c r="I35" s="42">
        <v>23135</v>
      </c>
      <c r="J35" s="30" t="s">
        <v>486</v>
      </c>
      <c r="K35" s="42">
        <v>24235</v>
      </c>
      <c r="L35" s="131" t="s">
        <v>51</v>
      </c>
      <c r="M35" s="132">
        <f>CONVERT((I35-K35)/10000,"mi","ft")*IF(L35="Increasing Mileposts (1)",-1,1)</f>
        <v>-580.79999999999995</v>
      </c>
      <c r="N35" s="133" t="str">
        <f>VLOOKUP(C35,'Trips&amp;Operators'!$C$1:$G$99911,5,FALSE)</f>
        <v>KILLION DAVID</v>
      </c>
      <c r="O35" s="176" t="s">
        <v>178</v>
      </c>
      <c r="P35" s="134"/>
      <c r="Q35" s="30"/>
      <c r="R35" s="81" t="str">
        <f>VLOOKUP(C35,'Train Runs'!$A$13:$AE$10055,31,0)</f>
        <v>aws s3 cp s3://rtdc.mdm.uploadarchive.raw/RTDC4021/ "%USERPROFILE%\AppData\Local\Temp\OnboardLogs"\RTDC4021\2017-10-19 --exclude "*" --recursive --include "*20171019*" &amp; "%USERPROFILE%\Documents\GitHub\mrs-test-scripts\Headless Mode &amp; Sideloading\WalkAndUnGZ.bat" "%USERPROFILE%\AppData\Local\Temp\OnboardLogs"\RTDC4021\2017-10-19 &amp; aws s3 cp s3://rtdc.mdm.uploadarchive.raw/RTDC4021/ "%USERPROFILE%\AppData\Local\Temp\OnboardLogs"\RTDC4021\2017-10-20 --exclude "*" --recursive --include "*20171020*" &amp; "%USERPROFILE%\Documents\GitHub\mrs-test-scripts\Headless Mode &amp; Sideloading\WalkAndUnGZ.bat" "%USERPROFILE%\AppData\Local\Temp\OnboardLogs"\RTDC4021\2017-10-20</v>
      </c>
      <c r="S35" s="84" t="str">
        <f>VLOOKUP(C35,'Train Runs'!$A$13:$AE$10055,22,0)</f>
        <v>https://d0f6bd738d7f1b3e5a7ca70fe4ff75f0.us-east-1.aws.found.io/app/kibana#/discover/Steve-Slow-Train-Analysis-(2080s-and-2083s)?_g=(refreshInterval:(display:Off,pause:!f,section:0,value:0),time:(from:'2017-10-19T10:48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/stypes="*4021*201710191*" /stext=" 17:.+((SYSTEM_STATE.+slice.+state.+changed )|(ment ac)|(multiple cpu faults)|(system.+state.+changed )|(\[timeout)|(PRM\|1\|D)|(kpr)|(kdp)|(train st.+moving)|(\|lc)|(penalty))"</v>
      </c>
      <c r="U35" s="9" t="str">
        <f>MID(B35,13,4)</f>
        <v>4021</v>
      </c>
      <c r="V35" s="31">
        <f>A35-utc_offset/24</f>
        <v>43027.744328703702</v>
      </c>
      <c r="W35" s="45" t="str">
        <f>DetSubdiv(C35)</f>
        <v>Shuttle/Test</v>
      </c>
      <c r="X35" s="22">
        <f>VALUE(LEFT(C35,LEN(C35)-3))</f>
        <v>66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Shuttle/Test"},{"id":4,"name":"Milepost","value":"2.4235"},{"id":17,"name":"Train ID","value":"66-19"},{"id":16,"name":"Locomotive ID","value":"4021"},{"id":130,"name":"Impact","value":""},{"id":150,"name":"Time of Event (Mountain Time)","value":"11:51:50"},{"id":151,"name":"Denver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/c/Users/stu/AppData/Local/Temp/OnboardLogs/RTDC4021 --include="*4021*201710191*"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"%USERPROFILE%\AppData\Local\Temp\OnboardLogs"\RTDC4021\*4021*201710191* &gt;&gt; 2017-10-19-SliceDisagreementCheck.txt</v>
      </c>
      <c r="AE35" s="145" t="str">
        <f>"start /low /b "&amp;dls3logs&amp;" --loco "&amp;U35&amp;" --day "&amp;TEXT(V35,"YYYY-MM-DD")</f>
        <v>start /low /b %USERPROFILE%\Documents\GitHub\eaglep3\Utilities\DownloadLogsFromS3.py --loco 4021 --day 2017-10-19</v>
      </c>
      <c r="AF35" s="1"/>
    </row>
    <row r="36" spans="1:32" x14ac:dyDescent="0.25">
      <c r="A36" s="31">
        <v>43027.485694444447</v>
      </c>
      <c r="B36" s="30" t="s">
        <v>578</v>
      </c>
      <c r="C36" s="30" t="s">
        <v>579</v>
      </c>
      <c r="D36" s="30" t="s">
        <v>49</v>
      </c>
      <c r="E36" s="30" t="s">
        <v>179</v>
      </c>
      <c r="F36" s="42">
        <v>0</v>
      </c>
      <c r="G36" s="42">
        <v>17</v>
      </c>
      <c r="H36" s="42">
        <v>64</v>
      </c>
      <c r="I36" s="42">
        <v>44</v>
      </c>
      <c r="J36" s="30" t="s">
        <v>180</v>
      </c>
      <c r="K36" s="42">
        <v>1</v>
      </c>
      <c r="L36" s="131" t="s">
        <v>51</v>
      </c>
      <c r="M36" s="132">
        <f>CONVERT((I36-K36)/10000,"mi","ft")*IF(L36="Increasing Mileposts (1)",-1,1)</f>
        <v>22.704000000000001</v>
      </c>
      <c r="N36" s="133" t="str">
        <f>VLOOKUP(C36,'Trips&amp;Operators'!$C$1:$G$99911,5,FALSE)</f>
        <v>BERLING GARY</v>
      </c>
      <c r="O36" s="176" t="s">
        <v>178</v>
      </c>
      <c r="P36" s="134"/>
      <c r="Q36" s="30"/>
      <c r="R36" s="81" t="str">
        <f>VLOOKUP(C36,'Train Runs'!$A$13:$AE$10055,31,0)</f>
        <v>aws s3 cp s3://rtdc.mdm.uploadarchive.raw/RTDC4031/ "%USERPROFILE%\AppData\Local\Temp\OnboardLogs"\RTDC4031\2017-10-19 --exclude "*" --recursive --include "*20171019*" &amp; "%USERPROFILE%\Documents\GitHub\mrs-test-scripts\Headless Mode &amp; Sideloading\WalkAndUnGZ.bat" "%USERPROFILE%\AppData\Local\Temp\OnboardLogs"\RTDC4031\2017-10-19 &amp; aws s3 cp s3://rtdc.mdm.uploadarchive.raw/RTDC4031/ "%USERPROFILE%\AppData\Local\Temp\OnboardLogs"\RTDC4031\2017-10-20 --exclude "*" --recursive --include "*20171020*" &amp; "%USERPROFILE%\Documents\GitHub\mrs-test-scripts\Headless Mode &amp; Sideloading\WalkAndUnGZ.bat" "%USERPROFILE%\AppData\Local\Temp\OnboardLogs"\RTDC4031\2017-10-20</v>
      </c>
      <c r="S36" s="84" t="str">
        <f>VLOOKUP(C36,'Train Runs'!$A$13:$AE$10055,22,0)</f>
        <v>https://d0f6bd738d7f1b3e5a7ca70fe4ff75f0.us-east-1.aws.found.io/app/kibana#/discover/Steve-Slow-Train-Analysis-(2080s-and-2083s)?_g=(refreshInterval:(display:Off,pause:!f,section:0,value:0),time:(from:'2017-10-19T10:23:54-0600',mode:absolute,to:'2017-10-19T12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/stypes="*4031*201710191*" /stext=" 17:.+((SYSTEM_STATE.+slice.+state.+changed )|(ment ac)|(multiple cpu faults)|(system.+state.+changed )|(\[timeout)|(PRM\|1\|D)|(kpr)|(kdp)|(train st.+moving)|(\|lc)|(penalty))"</v>
      </c>
      <c r="U36" s="9" t="str">
        <f>MID(B36,13,4)</f>
        <v>4031</v>
      </c>
      <c r="V36" s="31">
        <f>A36-utc_offset/24</f>
        <v>43027.735694444447</v>
      </c>
      <c r="W36" s="45" t="str">
        <f>DetSubdiv(C36)</f>
        <v>Shuttle/Test</v>
      </c>
      <c r="X36" s="22">
        <f>VALUE(LEFT(C36,LEN(C36)-3))</f>
        <v>63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-19","description":"","custom_fields":[{"id":1,"name":"Subdivision","value":"Shuttle/Test"},{"id":4,"name":"Milepost","value":"0.0001"},{"id":17,"name":"Train ID","value":"63-19"},{"id":16,"name":"Locomotive ID","value":"4031"},{"id":130,"name":"Impact","value":""},{"id":150,"name":"Time of Event (Mountain Time)","value":"11:39:24"},{"id":151,"name":"Denver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/c/Users/stu/AppData/Local/Temp/OnboardLogs/RTDC4031 --include="*4031*201710191*"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"%USERPROFILE%\AppData\Local\Temp\OnboardLogs"\RTDC4031\*4031*201710191* &gt;&gt; 2017-10-19-SliceDisagreementCheck.txt</v>
      </c>
      <c r="AE36" s="145" t="str">
        <f>"start /low /b "&amp;dls3logs&amp;" --loco "&amp;U36&amp;" --day "&amp;TEXT(V36,"YYYY-MM-DD")</f>
        <v>start /low /b %USERPROFILE%\Documents\GitHub\eaglep3\Utilities\DownloadLogsFromS3.py --loco 4031 --day 2017-10-19</v>
      </c>
      <c r="AF36" s="1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  <c r="AF42" s="1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  <c r="AF47" s="1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  <c r="AF48" s="1"/>
    </row>
    <row r="49" spans="1:32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</sheetData>
  <autoFilter ref="A6:AC40">
    <sortState ref="A7:AC40">
      <sortCondition ref="W7:W49"/>
      <sortCondition ref="E7:E49"/>
      <sortCondition ref="K7:K49"/>
      <sortCondition ref="F7:F49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8:O1048576 O7:O3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6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AA7:AA36</xm:sqref>
        </x14:dataValidation>
        <x14:dataValidation type="list" allowBlank="1" showInputMessage="1" showErrorMessage="1">
          <x14:formula1>
            <xm:f>'Redmine List Values'!$C$2:$C$15</xm:f>
          </x14:formula1>
          <xm:sqref>AB7:AB36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11.2851562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7" t="str">
        <f>"Trips that did not appear in PTC Data "&amp;TEXT(Variables!$A$2,"YYYY-mm-dd")</f>
        <v>Trips that did not appear in PTC Data 2017-10-19</v>
      </c>
      <c r="C1" s="227"/>
      <c r="D1" s="227"/>
      <c r="E1" s="227"/>
      <c r="F1" s="227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-19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3" s="30" t="e">
        <f>VLOOKUP(B3,'Train Runs'!$A$13:$A$100052,1,FALSE)</f>
        <v>#N/A</v>
      </c>
    </row>
    <row r="4" spans="1:10" x14ac:dyDescent="0.25">
      <c r="A4" s="198"/>
      <c r="B4" s="42" t="str">
        <f>A4&amp;"-"&amp;IF(DAY(Variables!$A$2)&lt;10,0,"")&amp;DAY(Variables!$A$2)</f>
        <v>-19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4" s="30" t="e">
        <f>VLOOKUP(B4,'Train Runs'!$A$13:$A$100052,1,FALSE)</f>
        <v>#N/A</v>
      </c>
    </row>
    <row r="5" spans="1:10" x14ac:dyDescent="0.25">
      <c r="A5" s="198"/>
      <c r="B5" s="42" t="str">
        <f>A5&amp;"-"&amp;IF(DAY(Variables!$A$2)&lt;10,0,"")&amp;DAY(Variables!$A$2)</f>
        <v>-19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5" s="30" t="e">
        <f>VLOOKUP(B5,'Train Runs'!$A$13:$A$100052,1,FALSE)</f>
        <v>#N/A</v>
      </c>
    </row>
    <row r="6" spans="1:10" x14ac:dyDescent="0.25">
      <c r="A6" s="198"/>
      <c r="B6" s="42" t="str">
        <f>A6&amp;"-"&amp;IF(DAY(Variables!$A$2)&lt;10,0,"")&amp;DAY(Variables!$A$2)</f>
        <v>-19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6" s="30" t="e">
        <f>VLOOKUP(B6,'Train Runs'!$A$13:$A$100052,1,FALSE)</f>
        <v>#N/A</v>
      </c>
    </row>
    <row r="7" spans="1:10" x14ac:dyDescent="0.25">
      <c r="A7" s="198"/>
      <c r="B7" s="42" t="str">
        <f>A7&amp;"-"&amp;IF(DAY(Variables!$A$2)&lt;10,0,"")&amp;DAY(Variables!$A$2)</f>
        <v>-19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7" s="30" t="e">
        <f>VLOOKUP(B7,'Train Runs'!$A$13:$A$100052,1,FALSE)</f>
        <v>#N/A</v>
      </c>
    </row>
    <row r="8" spans="1:10" x14ac:dyDescent="0.25">
      <c r="A8" s="198"/>
      <c r="B8" s="42" t="str">
        <f>A8&amp;"-"&amp;IF(DAY(Variables!$A$2)&lt;10,0,"")&amp;DAY(Variables!$A$2)</f>
        <v>-19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8" s="30" t="e">
        <f>VLOOKUP(B8,'Train Runs'!$A$13:$A$100052,1,FALSE)</f>
        <v>#N/A</v>
      </c>
    </row>
    <row r="9" spans="1:10" x14ac:dyDescent="0.25">
      <c r="A9" s="198"/>
      <c r="B9" s="42" t="str">
        <f>A9&amp;"-"&amp;IF(DAY(Variables!$A$2)&lt;10,0,"")&amp;DAY(Variables!$A$2)</f>
        <v>-19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9" s="30" t="e">
        <f>VLOOKUP(B9,'Train Runs'!$A$13:$A$100052,1,FALSE)</f>
        <v>#N/A</v>
      </c>
    </row>
    <row r="10" spans="1:10" x14ac:dyDescent="0.25">
      <c r="A10" s="198"/>
      <c r="B10" s="42" t="str">
        <f>A10&amp;"-"&amp;IF(DAY(Variables!$A$2)&lt;10,0,"")&amp;DAY(Variables!$A$2)</f>
        <v>-19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0" s="30" t="e">
        <f>VLOOKUP(B10,'Train Runs'!$A$13:$A$100052,1,FALSE)</f>
        <v>#N/A</v>
      </c>
    </row>
    <row r="11" spans="1:10" x14ac:dyDescent="0.25">
      <c r="A11" s="198"/>
      <c r="B11" s="42" t="str">
        <f>A11&amp;"-"&amp;IF(DAY(Variables!$A$2)&lt;10,0,"")&amp;DAY(Variables!$A$2)</f>
        <v>-19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1" s="30" t="e">
        <f>VLOOKUP(B11,'Train Runs'!$A$13:$A$100052,1,FALSE)</f>
        <v>#N/A</v>
      </c>
    </row>
    <row r="12" spans="1:10" x14ac:dyDescent="0.25">
      <c r="A12" s="198"/>
      <c r="B12" s="42" t="str">
        <f>A12&amp;"-"&amp;IF(DAY(Variables!$A$2)&lt;10,0,"")&amp;DAY(Variables!$A$2)</f>
        <v>-19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2" s="30" t="e">
        <f>VLOOKUP(B12,'Train Runs'!$A$13:$A$100052,1,FALSE)</f>
        <v>#N/A</v>
      </c>
    </row>
    <row r="13" spans="1:10" x14ac:dyDescent="0.25">
      <c r="A13" s="198"/>
      <c r="B13" s="42" t="str">
        <f>A13&amp;"-"&amp;IF(DAY(Variables!$A$2)&lt;10,0,"")&amp;DAY(Variables!$A$2)</f>
        <v>-19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3" s="30" t="e">
        <f>VLOOKUP(B13,'Train Runs'!$A$13:$A$100052,1,FALSE)</f>
        <v>#N/A</v>
      </c>
    </row>
    <row r="14" spans="1:10" x14ac:dyDescent="0.25">
      <c r="A14" s="198"/>
      <c r="B14" s="42" t="str">
        <f>A14&amp;"-"&amp;IF(DAY(Variables!$A$2)&lt;10,0,"")&amp;DAY(Variables!$A$2)</f>
        <v>-19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4" s="30" t="e">
        <f>VLOOKUP(B14,'Train Runs'!$A$13:$A$100052,1,FALSE)</f>
        <v>#N/A</v>
      </c>
    </row>
    <row r="15" spans="1:10" x14ac:dyDescent="0.25">
      <c r="A15" s="198"/>
      <c r="B15" s="42" t="str">
        <f>A15&amp;"-"&amp;IF(DAY(Variables!$A$2)&lt;10,0,"")&amp;DAY(Variables!$A$2)</f>
        <v>-19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5" s="30" t="e">
        <f>VLOOKUP(B15,'Train Runs'!$A$13:$A$100052,1,FALSE)</f>
        <v>#N/A</v>
      </c>
    </row>
    <row r="16" spans="1:10" x14ac:dyDescent="0.25">
      <c r="A16" s="198"/>
      <c r="B16" s="42" t="str">
        <f>A16&amp;"-"&amp;IF(DAY(Variables!$A$2)&lt;10,0,"")&amp;DAY(Variables!$A$2)</f>
        <v>-19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6" s="30" t="e">
        <f>VLOOKUP(B16,'Train Runs'!$A$13:$A$100052,1,FALSE)</f>
        <v>#N/A</v>
      </c>
    </row>
    <row r="17" spans="1:10" x14ac:dyDescent="0.25">
      <c r="A17" s="198"/>
      <c r="B17" s="42" t="str">
        <f>A17&amp;"-"&amp;IF(DAY(Variables!$A$2)&lt;10,0,"")&amp;DAY(Variables!$A$2)</f>
        <v>-19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7" s="30" t="e">
        <f>VLOOKUP(B17,'Train Runs'!$A$13:$A$100052,1,FALSE)</f>
        <v>#N/A</v>
      </c>
    </row>
    <row r="18" spans="1:10" x14ac:dyDescent="0.25">
      <c r="A18" s="198"/>
      <c r="B18" s="42" t="str">
        <f>A18&amp;"-"&amp;IF(DAY(Variables!$A$2)&lt;10,0,"")&amp;DAY(Variables!$A$2)</f>
        <v>-19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-19%22)),sort:!(Time.ISO8601,asc))</v>
      </c>
      <c r="J18" s="30" t="e">
        <f>VLOOKUP(B18,'Train Runs'!$A$13:$A$100052,1,FALSE)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289" workbookViewId="0">
      <selection activeCell="H273" sqref="H273:H31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43027.038159722222</v>
      </c>
      <c r="B2" s="20" t="s">
        <v>490</v>
      </c>
      <c r="C2" s="20" t="s">
        <v>512</v>
      </c>
      <c r="D2" s="138">
        <v>890000</v>
      </c>
      <c r="E2" s="20" t="s">
        <v>358</v>
      </c>
      <c r="F2" s="20" t="s">
        <v>359</v>
      </c>
      <c r="G2" s="8" t="str">
        <f>E2&amp;" "&amp;F2</f>
        <v>LOZA FIDEL</v>
      </c>
      <c r="H2" t="str">
        <f>MID(B2,13,4)</f>
        <v>4039</v>
      </c>
    </row>
    <row r="3" spans="1:8" x14ac:dyDescent="0.25">
      <c r="A3" s="8">
        <v>43027.038159722222</v>
      </c>
      <c r="B3" s="20" t="s">
        <v>490</v>
      </c>
      <c r="C3" s="20" t="s">
        <v>512</v>
      </c>
      <c r="D3" s="138">
        <v>890000</v>
      </c>
      <c r="E3" s="20" t="s">
        <v>358</v>
      </c>
      <c r="F3" s="20" t="s">
        <v>359</v>
      </c>
      <c r="G3" s="8" t="str">
        <f t="shared" ref="G3:G66" si="0">E3&amp;" "&amp;F3</f>
        <v>LOZA FIDEL</v>
      </c>
      <c r="H3" s="20" t="str">
        <f t="shared" ref="H3:H66" si="1">MID(B3,13,4)</f>
        <v>4039</v>
      </c>
    </row>
    <row r="4" spans="1:8" x14ac:dyDescent="0.25">
      <c r="A4" s="8">
        <v>43027.046354166669</v>
      </c>
      <c r="B4" s="20" t="s">
        <v>434</v>
      </c>
      <c r="C4" s="20" t="s">
        <v>513</v>
      </c>
      <c r="D4" s="138">
        <v>2680000</v>
      </c>
      <c r="E4" s="20" t="s">
        <v>364</v>
      </c>
      <c r="F4" s="20" t="s">
        <v>365</v>
      </c>
      <c r="G4" s="8" t="str">
        <f t="shared" si="0"/>
        <v>DUNCAN SHEILA</v>
      </c>
      <c r="H4" s="20" t="str">
        <f t="shared" si="1"/>
        <v>4020</v>
      </c>
    </row>
    <row r="5" spans="1:8" x14ac:dyDescent="0.25">
      <c r="A5" s="8">
        <v>43027.046354166669</v>
      </c>
      <c r="B5" s="20" t="s">
        <v>434</v>
      </c>
      <c r="C5" s="20" t="s">
        <v>513</v>
      </c>
      <c r="D5" s="138">
        <v>2680000</v>
      </c>
      <c r="E5" s="20" t="s">
        <v>364</v>
      </c>
      <c r="F5" s="20" t="s">
        <v>365</v>
      </c>
      <c r="G5" s="8" t="str">
        <f t="shared" si="0"/>
        <v>DUNCAN SHEILA</v>
      </c>
      <c r="H5" s="20" t="str">
        <f t="shared" si="1"/>
        <v>4020</v>
      </c>
    </row>
    <row r="6" spans="1:8" x14ac:dyDescent="0.25">
      <c r="A6" s="8">
        <v>43027.049861111111</v>
      </c>
      <c r="B6" s="20" t="s">
        <v>416</v>
      </c>
      <c r="C6" s="20" t="s">
        <v>514</v>
      </c>
      <c r="D6" s="138">
        <v>3310000</v>
      </c>
      <c r="E6" s="20" t="s">
        <v>382</v>
      </c>
      <c r="F6" s="20" t="s">
        <v>383</v>
      </c>
      <c r="G6" s="8" t="str">
        <f t="shared" si="0"/>
        <v>ANDERS STEVEN</v>
      </c>
      <c r="H6" s="20" t="str">
        <f t="shared" si="1"/>
        <v>4001</v>
      </c>
    </row>
    <row r="7" spans="1:8" x14ac:dyDescent="0.25">
      <c r="A7" s="8">
        <v>43027.049861111111</v>
      </c>
      <c r="B7" s="20" t="s">
        <v>416</v>
      </c>
      <c r="C7" s="20" t="s">
        <v>514</v>
      </c>
      <c r="D7" s="138">
        <v>3310000</v>
      </c>
      <c r="E7" s="20" t="s">
        <v>382</v>
      </c>
      <c r="F7" s="20" t="s">
        <v>383</v>
      </c>
      <c r="G7" s="8" t="str">
        <f t="shared" si="0"/>
        <v>ANDERS STEVEN</v>
      </c>
      <c r="H7" s="20" t="str">
        <f t="shared" si="1"/>
        <v>4001</v>
      </c>
    </row>
    <row r="8" spans="1:8" x14ac:dyDescent="0.25">
      <c r="A8" s="8">
        <v>43027.069328703707</v>
      </c>
      <c r="B8" s="20" t="s">
        <v>379</v>
      </c>
      <c r="C8" s="20" t="s">
        <v>515</v>
      </c>
      <c r="D8" s="138">
        <v>890000</v>
      </c>
      <c r="E8" s="20" t="s">
        <v>358</v>
      </c>
      <c r="F8" s="20" t="s">
        <v>359</v>
      </c>
      <c r="G8" s="8" t="str">
        <f t="shared" si="0"/>
        <v>LOZA FIDEL</v>
      </c>
      <c r="H8" s="20" t="str">
        <f t="shared" si="1"/>
        <v>4040</v>
      </c>
    </row>
    <row r="9" spans="1:8" ht="15.75" thickBot="1" x14ac:dyDescent="0.3">
      <c r="A9" s="24">
        <v>43027.069328703707</v>
      </c>
      <c r="B9" s="20" t="s">
        <v>379</v>
      </c>
      <c r="C9" s="20" t="s">
        <v>515</v>
      </c>
      <c r="D9" s="138">
        <v>890000</v>
      </c>
      <c r="E9" s="20" t="s">
        <v>358</v>
      </c>
      <c r="F9" s="20" t="s">
        <v>359</v>
      </c>
      <c r="G9" s="8" t="str">
        <f t="shared" si="0"/>
        <v>LOZA FIDEL</v>
      </c>
      <c r="H9" s="20" t="str">
        <f t="shared" si="1"/>
        <v>4040</v>
      </c>
    </row>
    <row r="10" spans="1:8" x14ac:dyDescent="0.25">
      <c r="A10" s="8">
        <v>43027.089432870373</v>
      </c>
      <c r="B10" s="20" t="s">
        <v>417</v>
      </c>
      <c r="C10" s="20" t="s">
        <v>489</v>
      </c>
      <c r="D10" s="138">
        <v>3310000</v>
      </c>
      <c r="E10" s="20" t="s">
        <v>382</v>
      </c>
      <c r="F10" s="20" t="s">
        <v>383</v>
      </c>
      <c r="G10" s="8" t="str">
        <f t="shared" si="0"/>
        <v>ANDERS STEVEN</v>
      </c>
      <c r="H10" s="20" t="str">
        <f t="shared" si="1"/>
        <v>4002</v>
      </c>
    </row>
    <row r="11" spans="1:8" x14ac:dyDescent="0.25">
      <c r="A11" s="8">
        <v>43027.089432870373</v>
      </c>
      <c r="B11" s="20" t="s">
        <v>417</v>
      </c>
      <c r="C11" s="20" t="s">
        <v>489</v>
      </c>
      <c r="D11" s="138">
        <v>3310000</v>
      </c>
      <c r="E11" s="20" t="s">
        <v>382</v>
      </c>
      <c r="F11" s="20" t="s">
        <v>383</v>
      </c>
      <c r="G11" s="8" t="str">
        <f t="shared" si="0"/>
        <v>ANDERS STEVEN</v>
      </c>
      <c r="H11" s="20" t="str">
        <f t="shared" si="1"/>
        <v>4002</v>
      </c>
    </row>
    <row r="12" spans="1:8" x14ac:dyDescent="0.25">
      <c r="A12" s="8">
        <v>43027.114016203705</v>
      </c>
      <c r="B12" s="20" t="s">
        <v>435</v>
      </c>
      <c r="C12" s="20" t="s">
        <v>516</v>
      </c>
      <c r="D12" s="138">
        <v>900000</v>
      </c>
      <c r="E12" s="20" t="s">
        <v>380</v>
      </c>
      <c r="F12" s="20" t="s">
        <v>381</v>
      </c>
      <c r="G12" s="8" t="str">
        <f t="shared" si="0"/>
        <v>ROCHA YAOTL</v>
      </c>
      <c r="H12" s="20" t="str">
        <f t="shared" si="1"/>
        <v>4059</v>
      </c>
    </row>
    <row r="13" spans="1:8" x14ac:dyDescent="0.25">
      <c r="A13" s="8">
        <v>43027.114016203705</v>
      </c>
      <c r="B13" s="20" t="s">
        <v>435</v>
      </c>
      <c r="C13" s="20" t="s">
        <v>516</v>
      </c>
      <c r="D13" s="138">
        <v>900000</v>
      </c>
      <c r="E13" s="20" t="s">
        <v>380</v>
      </c>
      <c r="F13" s="20" t="s">
        <v>381</v>
      </c>
      <c r="G13" s="8" t="str">
        <f t="shared" si="0"/>
        <v>ROCHA YAOTL</v>
      </c>
      <c r="H13" s="20" t="str">
        <f t="shared" si="1"/>
        <v>4059</v>
      </c>
    </row>
    <row r="14" spans="1:8" x14ac:dyDescent="0.25">
      <c r="A14" s="8">
        <v>43027.114305555559</v>
      </c>
      <c r="B14" s="20" t="s">
        <v>403</v>
      </c>
      <c r="C14" s="20" t="s">
        <v>517</v>
      </c>
      <c r="D14" s="138">
        <v>1830000</v>
      </c>
      <c r="E14" s="20" t="s">
        <v>373</v>
      </c>
      <c r="F14" s="20" t="s">
        <v>374</v>
      </c>
      <c r="G14" s="8" t="str">
        <f t="shared" si="0"/>
        <v>YORK EDGAR</v>
      </c>
      <c r="H14" s="20" t="str">
        <f t="shared" si="1"/>
        <v>4051</v>
      </c>
    </row>
    <row r="15" spans="1:8" x14ac:dyDescent="0.25">
      <c r="A15" s="8">
        <v>43027.114305555559</v>
      </c>
      <c r="B15" s="20" t="s">
        <v>403</v>
      </c>
      <c r="C15" s="20" t="s">
        <v>517</v>
      </c>
      <c r="D15" s="138">
        <v>1830000</v>
      </c>
      <c r="E15" s="20" t="s">
        <v>373</v>
      </c>
      <c r="F15" s="20" t="s">
        <v>374</v>
      </c>
      <c r="G15" s="8" t="str">
        <f t="shared" si="0"/>
        <v>YORK EDGAR</v>
      </c>
      <c r="H15" s="20" t="str">
        <f t="shared" si="1"/>
        <v>4051</v>
      </c>
    </row>
    <row r="16" spans="1:8" x14ac:dyDescent="0.25">
      <c r="A16" s="8">
        <v>43027.115405092591</v>
      </c>
      <c r="B16" s="20" t="s">
        <v>435</v>
      </c>
      <c r="C16" s="20" t="s">
        <v>516</v>
      </c>
      <c r="D16" s="138">
        <v>900000</v>
      </c>
      <c r="E16" s="20" t="s">
        <v>380</v>
      </c>
      <c r="F16" s="20" t="s">
        <v>381</v>
      </c>
      <c r="G16" s="8" t="str">
        <f t="shared" si="0"/>
        <v>ROCHA YAOTL</v>
      </c>
      <c r="H16" s="20" t="str">
        <f t="shared" si="1"/>
        <v>4059</v>
      </c>
    </row>
    <row r="17" spans="1:8" x14ac:dyDescent="0.25">
      <c r="A17" s="8">
        <v>43027.115405092591</v>
      </c>
      <c r="B17" s="20" t="s">
        <v>435</v>
      </c>
      <c r="C17" s="20" t="s">
        <v>516</v>
      </c>
      <c r="D17" s="138">
        <v>900000</v>
      </c>
      <c r="E17" s="20" t="s">
        <v>380</v>
      </c>
      <c r="F17" s="20" t="s">
        <v>381</v>
      </c>
      <c r="G17" s="8" t="str">
        <f t="shared" si="0"/>
        <v>ROCHA YAOTL</v>
      </c>
      <c r="H17" s="20" t="str">
        <f t="shared" si="1"/>
        <v>4059</v>
      </c>
    </row>
    <row r="18" spans="1:8" x14ac:dyDescent="0.25">
      <c r="A18" s="8">
        <v>43027.116585648146</v>
      </c>
      <c r="B18" s="20" t="s">
        <v>435</v>
      </c>
      <c r="C18" s="20" t="s">
        <v>516</v>
      </c>
      <c r="D18" s="138">
        <v>900000</v>
      </c>
      <c r="E18" s="20" t="s">
        <v>380</v>
      </c>
      <c r="F18" s="20" t="s">
        <v>381</v>
      </c>
      <c r="G18" s="8" t="str">
        <f t="shared" si="0"/>
        <v>ROCHA YAOTL</v>
      </c>
      <c r="H18" s="20" t="str">
        <f t="shared" si="1"/>
        <v>4059</v>
      </c>
    </row>
    <row r="19" spans="1:8" x14ac:dyDescent="0.25">
      <c r="A19" s="8">
        <v>43027.116585648146</v>
      </c>
      <c r="B19" s="20" t="s">
        <v>435</v>
      </c>
      <c r="C19" s="20" t="s">
        <v>516</v>
      </c>
      <c r="D19" s="138">
        <v>900000</v>
      </c>
      <c r="E19" s="20" t="s">
        <v>380</v>
      </c>
      <c r="F19" s="20" t="s">
        <v>381</v>
      </c>
      <c r="G19" s="8" t="str">
        <f t="shared" si="0"/>
        <v>ROCHA YAOTL</v>
      </c>
      <c r="H19" s="20" t="str">
        <f t="shared" si="1"/>
        <v>4059</v>
      </c>
    </row>
    <row r="20" spans="1:8" x14ac:dyDescent="0.25">
      <c r="A20" s="8">
        <v>43027.117800925924</v>
      </c>
      <c r="B20" s="20" t="s">
        <v>435</v>
      </c>
      <c r="C20" s="20" t="s">
        <v>559</v>
      </c>
      <c r="D20" s="138">
        <v>900000</v>
      </c>
      <c r="E20" s="20" t="s">
        <v>380</v>
      </c>
      <c r="F20" s="20" t="s">
        <v>381</v>
      </c>
      <c r="G20" s="8" t="str">
        <f t="shared" si="0"/>
        <v>ROCHA YAOTL</v>
      </c>
      <c r="H20" s="20" t="str">
        <f t="shared" si="1"/>
        <v>4059</v>
      </c>
    </row>
    <row r="21" spans="1:8" x14ac:dyDescent="0.25">
      <c r="A21" s="8">
        <v>43027.117800925924</v>
      </c>
      <c r="B21" s="20" t="s">
        <v>435</v>
      </c>
      <c r="C21" s="20" t="s">
        <v>559</v>
      </c>
      <c r="D21" s="138">
        <v>900000</v>
      </c>
      <c r="E21" s="20" t="s">
        <v>380</v>
      </c>
      <c r="F21" s="20" t="s">
        <v>381</v>
      </c>
      <c r="G21" s="8" t="str">
        <f t="shared" si="0"/>
        <v>ROCHA YAOTL</v>
      </c>
      <c r="H21" s="20" t="str">
        <f t="shared" si="1"/>
        <v>4059</v>
      </c>
    </row>
    <row r="22" spans="1:8" x14ac:dyDescent="0.25">
      <c r="A22" s="26">
        <v>43027.126863425925</v>
      </c>
      <c r="B22" s="20" t="s">
        <v>402</v>
      </c>
      <c r="C22" s="20" t="s">
        <v>591</v>
      </c>
      <c r="D22" s="138">
        <v>1090000</v>
      </c>
      <c r="E22" s="20" t="s">
        <v>592</v>
      </c>
      <c r="F22" s="20" t="s">
        <v>388</v>
      </c>
      <c r="G22" s="8" t="str">
        <f t="shared" si="0"/>
        <v>SPECTOR MICHAEL</v>
      </c>
      <c r="H22" s="20" t="str">
        <f t="shared" si="1"/>
        <v>4052</v>
      </c>
    </row>
    <row r="23" spans="1:8" x14ac:dyDescent="0.25">
      <c r="A23" s="8">
        <v>43027.126863425925</v>
      </c>
      <c r="B23" s="20" t="s">
        <v>402</v>
      </c>
      <c r="C23" s="20" t="s">
        <v>591</v>
      </c>
      <c r="D23" s="138">
        <v>1090000</v>
      </c>
      <c r="E23" s="20" t="s">
        <v>592</v>
      </c>
      <c r="F23" s="20" t="s">
        <v>388</v>
      </c>
      <c r="G23" s="8" t="str">
        <f t="shared" si="0"/>
        <v>SPECTOR MICHAEL</v>
      </c>
      <c r="H23" s="20" t="str">
        <f t="shared" si="1"/>
        <v>4052</v>
      </c>
    </row>
    <row r="24" spans="1:8" x14ac:dyDescent="0.25">
      <c r="A24" s="8">
        <v>43027.128009259257</v>
      </c>
      <c r="B24" s="20" t="s">
        <v>428</v>
      </c>
      <c r="C24" s="20" t="s">
        <v>593</v>
      </c>
      <c r="D24" s="138">
        <v>1830000</v>
      </c>
      <c r="E24" s="20" t="s">
        <v>373</v>
      </c>
      <c r="F24" s="20" t="s">
        <v>374</v>
      </c>
      <c r="G24" s="8" t="str">
        <f t="shared" si="0"/>
        <v>YORK EDGAR</v>
      </c>
      <c r="H24" s="20" t="str">
        <f t="shared" si="1"/>
        <v>4008</v>
      </c>
    </row>
    <row r="25" spans="1:8" x14ac:dyDescent="0.25">
      <c r="A25" s="8">
        <v>43027.128009259257</v>
      </c>
      <c r="B25" s="20" t="s">
        <v>428</v>
      </c>
      <c r="C25" s="20" t="s">
        <v>593</v>
      </c>
      <c r="D25" s="138">
        <v>1830000</v>
      </c>
      <c r="E25" s="20" t="s">
        <v>373</v>
      </c>
      <c r="F25" s="20" t="s">
        <v>374</v>
      </c>
      <c r="G25" s="8" t="str">
        <f t="shared" si="0"/>
        <v>YORK EDGAR</v>
      </c>
      <c r="H25" s="20" t="str">
        <f t="shared" si="1"/>
        <v>4008</v>
      </c>
    </row>
    <row r="26" spans="1:8" x14ac:dyDescent="0.25">
      <c r="A26" s="8">
        <v>43027.140856481485</v>
      </c>
      <c r="B26" s="20" t="s">
        <v>403</v>
      </c>
      <c r="C26" s="20" t="s">
        <v>594</v>
      </c>
      <c r="D26" s="138">
        <v>1090000</v>
      </c>
      <c r="E26" s="20" t="s">
        <v>592</v>
      </c>
      <c r="F26" s="20" t="s">
        <v>388</v>
      </c>
      <c r="G26" s="8" t="str">
        <f t="shared" si="0"/>
        <v>SPECTOR MICHAEL</v>
      </c>
      <c r="H26" s="20" t="str">
        <f t="shared" si="1"/>
        <v>4051</v>
      </c>
    </row>
    <row r="27" spans="1:8" x14ac:dyDescent="0.25">
      <c r="A27" s="8">
        <v>43027.140856481485</v>
      </c>
      <c r="B27" s="20" t="s">
        <v>403</v>
      </c>
      <c r="C27" s="20" t="s">
        <v>594</v>
      </c>
      <c r="D27" s="138">
        <v>1090000</v>
      </c>
      <c r="E27" s="20" t="s">
        <v>592</v>
      </c>
      <c r="F27" s="20" t="s">
        <v>388</v>
      </c>
      <c r="G27" s="8" t="str">
        <f t="shared" si="0"/>
        <v>SPECTOR MICHAEL</v>
      </c>
      <c r="H27" s="20" t="str">
        <f t="shared" si="1"/>
        <v>4051</v>
      </c>
    </row>
    <row r="28" spans="1:8" x14ac:dyDescent="0.25">
      <c r="A28" s="8">
        <v>43027.141331018516</v>
      </c>
      <c r="B28" s="20" t="s">
        <v>484</v>
      </c>
      <c r="C28" s="20" t="s">
        <v>595</v>
      </c>
      <c r="D28" s="138">
        <v>2010000</v>
      </c>
      <c r="E28" s="20" t="s">
        <v>596</v>
      </c>
      <c r="F28" s="20" t="s">
        <v>597</v>
      </c>
      <c r="G28" s="8" t="str">
        <f t="shared" si="0"/>
        <v>MAELZER KURT</v>
      </c>
      <c r="H28" s="20" t="str">
        <f t="shared" si="1"/>
        <v>4005</v>
      </c>
    </row>
    <row r="29" spans="1:8" x14ac:dyDescent="0.25">
      <c r="A29" s="8">
        <v>43027.141331018516</v>
      </c>
      <c r="B29" s="20" t="s">
        <v>484</v>
      </c>
      <c r="C29" s="20" t="s">
        <v>595</v>
      </c>
      <c r="D29" s="138">
        <v>2010000</v>
      </c>
      <c r="E29" s="20" t="s">
        <v>596</v>
      </c>
      <c r="F29" s="20" t="s">
        <v>597</v>
      </c>
      <c r="G29" s="8" t="str">
        <f t="shared" si="0"/>
        <v>MAELZER KURT</v>
      </c>
      <c r="H29" s="20" t="str">
        <f t="shared" si="1"/>
        <v>4005</v>
      </c>
    </row>
    <row r="30" spans="1:8" x14ac:dyDescent="0.25">
      <c r="A30" s="8">
        <v>43027.152268518519</v>
      </c>
      <c r="B30" s="20" t="s">
        <v>503</v>
      </c>
      <c r="C30" s="20" t="s">
        <v>598</v>
      </c>
      <c r="D30" s="138">
        <v>2010000</v>
      </c>
      <c r="E30" s="20" t="s">
        <v>596</v>
      </c>
      <c r="F30" s="20" t="s">
        <v>597</v>
      </c>
      <c r="G30" s="8" t="str">
        <f t="shared" si="0"/>
        <v>MAELZER KURT</v>
      </c>
      <c r="H30" s="20" t="str">
        <f t="shared" si="1"/>
        <v>4006</v>
      </c>
    </row>
    <row r="31" spans="1:8" x14ac:dyDescent="0.25">
      <c r="A31" s="8">
        <v>43027.152268518519</v>
      </c>
      <c r="B31" s="20" t="s">
        <v>503</v>
      </c>
      <c r="C31" s="20" t="s">
        <v>598</v>
      </c>
      <c r="D31" s="138">
        <v>2010000</v>
      </c>
      <c r="E31" s="20" t="s">
        <v>596</v>
      </c>
      <c r="F31" s="20" t="s">
        <v>597</v>
      </c>
      <c r="G31" s="8" t="str">
        <f t="shared" si="0"/>
        <v>MAELZER KURT</v>
      </c>
      <c r="H31" s="20" t="str">
        <f t="shared" si="1"/>
        <v>4006</v>
      </c>
    </row>
    <row r="32" spans="1:8" x14ac:dyDescent="0.25">
      <c r="A32" s="8">
        <v>43027.161180555559</v>
      </c>
      <c r="B32" s="20" t="s">
        <v>485</v>
      </c>
      <c r="C32" s="20" t="s">
        <v>599</v>
      </c>
      <c r="D32" s="138">
        <v>1830000</v>
      </c>
      <c r="E32" s="20" t="s">
        <v>373</v>
      </c>
      <c r="F32" s="20" t="s">
        <v>374</v>
      </c>
      <c r="G32" s="8" t="str">
        <f t="shared" si="0"/>
        <v>YORK EDGAR</v>
      </c>
      <c r="H32" s="20" t="str">
        <f t="shared" si="1"/>
        <v>4007</v>
      </c>
    </row>
    <row r="33" spans="1:8" x14ac:dyDescent="0.25">
      <c r="A33" s="8">
        <v>43027.161180555559</v>
      </c>
      <c r="B33" s="20" t="s">
        <v>485</v>
      </c>
      <c r="C33" s="20" t="s">
        <v>599</v>
      </c>
      <c r="D33" s="138">
        <v>1830000</v>
      </c>
      <c r="E33" s="20" t="s">
        <v>373</v>
      </c>
      <c r="F33" s="20" t="s">
        <v>374</v>
      </c>
      <c r="G33" s="8" t="str">
        <f t="shared" si="0"/>
        <v>YORK EDGAR</v>
      </c>
      <c r="H33" s="20" t="str">
        <f t="shared" si="1"/>
        <v>4007</v>
      </c>
    </row>
    <row r="34" spans="1:8" x14ac:dyDescent="0.25">
      <c r="A34" s="8">
        <v>43027.161689814813</v>
      </c>
      <c r="B34" s="20" t="s">
        <v>574</v>
      </c>
      <c r="C34" s="20" t="s">
        <v>600</v>
      </c>
      <c r="D34" s="138">
        <v>940000</v>
      </c>
      <c r="E34" s="20" t="s">
        <v>462</v>
      </c>
      <c r="F34" s="20" t="s">
        <v>463</v>
      </c>
      <c r="G34" s="8" t="str">
        <f t="shared" si="0"/>
        <v>BONDS REYNALDO</v>
      </c>
      <c r="H34" s="20" t="str">
        <f t="shared" si="1"/>
        <v>4057</v>
      </c>
    </row>
    <row r="35" spans="1:8" x14ac:dyDescent="0.25">
      <c r="A35" s="8">
        <v>43027.161689814813</v>
      </c>
      <c r="B35" s="20" t="s">
        <v>574</v>
      </c>
      <c r="C35" s="20" t="s">
        <v>600</v>
      </c>
      <c r="D35" s="138">
        <v>940000</v>
      </c>
      <c r="E35" s="20" t="s">
        <v>462</v>
      </c>
      <c r="F35" s="20" t="s">
        <v>463</v>
      </c>
      <c r="G35" s="8" t="str">
        <f t="shared" si="0"/>
        <v>BONDS REYNALDO</v>
      </c>
      <c r="H35" s="20" t="str">
        <f t="shared" si="1"/>
        <v>4057</v>
      </c>
    </row>
    <row r="36" spans="1:8" x14ac:dyDescent="0.25">
      <c r="A36" s="8">
        <v>43027.172418981485</v>
      </c>
      <c r="B36" s="20" t="s">
        <v>487</v>
      </c>
      <c r="C36" s="20" t="s">
        <v>601</v>
      </c>
      <c r="D36" s="138">
        <v>1100000</v>
      </c>
      <c r="E36" s="20" t="s">
        <v>497</v>
      </c>
      <c r="F36" s="20" t="s">
        <v>498</v>
      </c>
      <c r="G36" s="8" t="str">
        <f t="shared" si="0"/>
        <v>GEBRETEKLE DAGNEW</v>
      </c>
      <c r="H36" s="20" t="str">
        <f t="shared" si="1"/>
        <v>4017</v>
      </c>
    </row>
    <row r="37" spans="1:8" x14ac:dyDescent="0.25">
      <c r="A37" s="8">
        <v>43027.172418981485</v>
      </c>
      <c r="B37" s="20" t="s">
        <v>487</v>
      </c>
      <c r="C37" s="20" t="s">
        <v>601</v>
      </c>
      <c r="D37" s="138">
        <v>1100000</v>
      </c>
      <c r="E37" s="20" t="s">
        <v>497</v>
      </c>
      <c r="F37" s="20" t="s">
        <v>498</v>
      </c>
      <c r="G37" s="8" t="str">
        <f t="shared" si="0"/>
        <v>GEBRETEKLE DAGNEW</v>
      </c>
      <c r="H37" s="20" t="str">
        <f t="shared" si="1"/>
        <v>4017</v>
      </c>
    </row>
    <row r="38" spans="1:8" x14ac:dyDescent="0.25">
      <c r="A38" s="8">
        <v>43027.174340277779</v>
      </c>
      <c r="B38" s="20" t="s">
        <v>562</v>
      </c>
      <c r="C38" s="20" t="s">
        <v>563</v>
      </c>
      <c r="D38" s="138">
        <v>940000</v>
      </c>
      <c r="E38" s="20" t="s">
        <v>462</v>
      </c>
      <c r="F38" s="20" t="s">
        <v>463</v>
      </c>
      <c r="G38" s="8" t="str">
        <f t="shared" si="0"/>
        <v>BONDS REYNALDO</v>
      </c>
      <c r="H38" s="20" t="str">
        <f t="shared" si="1"/>
        <v>4058</v>
      </c>
    </row>
    <row r="39" spans="1:8" x14ac:dyDescent="0.25">
      <c r="A39" s="8">
        <v>43027.174340277779</v>
      </c>
      <c r="B39" s="20" t="s">
        <v>562</v>
      </c>
      <c r="C39" s="20" t="s">
        <v>563</v>
      </c>
      <c r="D39" s="138">
        <v>940000</v>
      </c>
      <c r="E39" s="20" t="s">
        <v>462</v>
      </c>
      <c r="F39" s="20" t="s">
        <v>463</v>
      </c>
      <c r="G39" s="8" t="str">
        <f t="shared" si="0"/>
        <v>BONDS REYNALDO</v>
      </c>
      <c r="H39" s="20" t="str">
        <f t="shared" si="1"/>
        <v>4058</v>
      </c>
    </row>
    <row r="40" spans="1:8" x14ac:dyDescent="0.25">
      <c r="A40" s="8">
        <v>43027.177870370368</v>
      </c>
      <c r="B40" s="25" t="s">
        <v>560</v>
      </c>
      <c r="C40" s="20" t="s">
        <v>561</v>
      </c>
      <c r="D40" s="138">
        <v>3040000</v>
      </c>
      <c r="E40" s="20" t="s">
        <v>602</v>
      </c>
      <c r="F40" s="20" t="s">
        <v>603</v>
      </c>
      <c r="G40" s="8" t="str">
        <f t="shared" si="0"/>
        <v>WILLIAMS DONTE</v>
      </c>
      <c r="H40" s="20" t="str">
        <f t="shared" si="1"/>
        <v>4015</v>
      </c>
    </row>
    <row r="41" spans="1:8" x14ac:dyDescent="0.25">
      <c r="A41" s="8">
        <v>43027.177870370368</v>
      </c>
      <c r="B41" s="20" t="s">
        <v>560</v>
      </c>
      <c r="C41" s="20" t="s">
        <v>561</v>
      </c>
      <c r="D41" s="138">
        <v>3040000</v>
      </c>
      <c r="E41" s="20" t="s">
        <v>602</v>
      </c>
      <c r="F41" s="20" t="s">
        <v>603</v>
      </c>
      <c r="G41" s="8" t="str">
        <f t="shared" si="0"/>
        <v>WILLIAMS DONTE</v>
      </c>
      <c r="H41" s="20" t="str">
        <f t="shared" si="1"/>
        <v>4015</v>
      </c>
    </row>
    <row r="42" spans="1:8" x14ac:dyDescent="0.25">
      <c r="A42" s="8">
        <v>43027.184050925927</v>
      </c>
      <c r="B42" s="20" t="s">
        <v>483</v>
      </c>
      <c r="C42" s="20" t="s">
        <v>604</v>
      </c>
      <c r="D42" s="138">
        <v>1100000</v>
      </c>
      <c r="E42" s="20" t="s">
        <v>497</v>
      </c>
      <c r="F42" s="20" t="s">
        <v>498</v>
      </c>
      <c r="G42" s="8" t="str">
        <f t="shared" si="0"/>
        <v>GEBRETEKLE DAGNEW</v>
      </c>
      <c r="H42" s="20" t="str">
        <f t="shared" si="1"/>
        <v>4018</v>
      </c>
    </row>
    <row r="43" spans="1:8" x14ac:dyDescent="0.25">
      <c r="A43" s="8">
        <v>43027.184050925927</v>
      </c>
      <c r="B43" s="20" t="s">
        <v>483</v>
      </c>
      <c r="C43" s="20" t="s">
        <v>604</v>
      </c>
      <c r="D43" s="138">
        <v>1100000</v>
      </c>
      <c r="E43" s="20" t="s">
        <v>497</v>
      </c>
      <c r="F43" s="20" t="s">
        <v>498</v>
      </c>
      <c r="G43" s="8" t="str">
        <f t="shared" si="0"/>
        <v>GEBRETEKLE DAGNEW</v>
      </c>
      <c r="H43" s="20" t="str">
        <f t="shared" si="1"/>
        <v>4018</v>
      </c>
    </row>
    <row r="44" spans="1:8" x14ac:dyDescent="0.25">
      <c r="A44" s="8">
        <v>43027.186342592591</v>
      </c>
      <c r="B44" s="20" t="s">
        <v>484</v>
      </c>
      <c r="C44" s="20" t="s">
        <v>605</v>
      </c>
      <c r="D44" s="138">
        <v>2010000</v>
      </c>
      <c r="E44" s="20" t="s">
        <v>596</v>
      </c>
      <c r="F44" s="20" t="s">
        <v>597</v>
      </c>
      <c r="G44" s="8" t="str">
        <f t="shared" si="0"/>
        <v>MAELZER KURT</v>
      </c>
      <c r="H44" s="20" t="str">
        <f t="shared" si="1"/>
        <v>4005</v>
      </c>
    </row>
    <row r="45" spans="1:8" x14ac:dyDescent="0.25">
      <c r="A45" s="8">
        <v>43027.186342592591</v>
      </c>
      <c r="B45" s="20" t="s">
        <v>484</v>
      </c>
      <c r="C45" s="20" t="s">
        <v>605</v>
      </c>
      <c r="D45" s="138">
        <v>2010000</v>
      </c>
      <c r="E45" s="20" t="s">
        <v>596</v>
      </c>
      <c r="F45" s="20" t="s">
        <v>597</v>
      </c>
      <c r="G45" s="8" t="str">
        <f t="shared" si="0"/>
        <v>MAELZER KURT</v>
      </c>
      <c r="H45" s="20" t="str">
        <f t="shared" si="1"/>
        <v>4005</v>
      </c>
    </row>
    <row r="46" spans="1:8" x14ac:dyDescent="0.25">
      <c r="A46" s="8">
        <v>43027.196168981478</v>
      </c>
      <c r="B46" s="20" t="s">
        <v>606</v>
      </c>
      <c r="C46" s="20" t="s">
        <v>607</v>
      </c>
      <c r="D46" s="138">
        <v>3040000</v>
      </c>
      <c r="E46" s="20" t="s">
        <v>602</v>
      </c>
      <c r="F46" s="20" t="s">
        <v>603</v>
      </c>
      <c r="G46" s="8" t="str">
        <f t="shared" si="0"/>
        <v>WILLIAMS DONTE</v>
      </c>
      <c r="H46" s="20" t="str">
        <f t="shared" si="1"/>
        <v>4016</v>
      </c>
    </row>
    <row r="47" spans="1:8" x14ac:dyDescent="0.25">
      <c r="A47" s="8">
        <v>43027.196168981478</v>
      </c>
      <c r="B47" s="20" t="s">
        <v>606</v>
      </c>
      <c r="C47" s="20" t="s">
        <v>607</v>
      </c>
      <c r="D47" s="138">
        <v>3040000</v>
      </c>
      <c r="E47" s="20" t="s">
        <v>602</v>
      </c>
      <c r="F47" s="20" t="s">
        <v>603</v>
      </c>
      <c r="G47" s="8" t="str">
        <f t="shared" si="0"/>
        <v>WILLIAMS DONTE</v>
      </c>
      <c r="H47" s="20" t="str">
        <f t="shared" si="1"/>
        <v>4016</v>
      </c>
    </row>
    <row r="48" spans="1:8" x14ac:dyDescent="0.25">
      <c r="A48" s="8">
        <v>43027.196423611109</v>
      </c>
      <c r="B48" s="20" t="s">
        <v>608</v>
      </c>
      <c r="C48" s="20" t="s">
        <v>609</v>
      </c>
      <c r="D48" s="138">
        <v>1230000</v>
      </c>
      <c r="E48" s="20" t="s">
        <v>440</v>
      </c>
      <c r="F48" s="20" t="s">
        <v>441</v>
      </c>
      <c r="G48" s="8" t="str">
        <f t="shared" si="0"/>
        <v>YANAI IAN</v>
      </c>
      <c r="H48" s="20" t="str">
        <f t="shared" si="1"/>
        <v>4013</v>
      </c>
    </row>
    <row r="49" spans="1:8" x14ac:dyDescent="0.25">
      <c r="A49" s="8">
        <v>43027.196423611109</v>
      </c>
      <c r="B49" s="20" t="s">
        <v>608</v>
      </c>
      <c r="C49" s="20" t="s">
        <v>609</v>
      </c>
      <c r="D49" s="138">
        <v>1230000</v>
      </c>
      <c r="E49" s="20" t="s">
        <v>440</v>
      </c>
      <c r="F49" s="20" t="s">
        <v>441</v>
      </c>
      <c r="G49" s="8" t="str">
        <f t="shared" si="0"/>
        <v>YANAI IAN</v>
      </c>
      <c r="H49" s="20" t="str">
        <f t="shared" si="1"/>
        <v>4013</v>
      </c>
    </row>
    <row r="50" spans="1:8" x14ac:dyDescent="0.25">
      <c r="A50" s="8">
        <v>43027.202523148146</v>
      </c>
      <c r="B50" s="20" t="s">
        <v>428</v>
      </c>
      <c r="C50" s="20" t="s">
        <v>610</v>
      </c>
      <c r="D50" s="138">
        <v>1830000</v>
      </c>
      <c r="E50" s="20" t="s">
        <v>373</v>
      </c>
      <c r="F50" s="20" t="s">
        <v>374</v>
      </c>
      <c r="G50" s="8" t="str">
        <f t="shared" si="0"/>
        <v>YORK EDGAR</v>
      </c>
      <c r="H50" s="20" t="str">
        <f t="shared" si="1"/>
        <v>4008</v>
      </c>
    </row>
    <row r="51" spans="1:8" x14ac:dyDescent="0.25">
      <c r="A51" s="8">
        <v>43027.202523148146</v>
      </c>
      <c r="B51" s="20" t="s">
        <v>428</v>
      </c>
      <c r="C51" s="20" t="s">
        <v>610</v>
      </c>
      <c r="D51" s="138">
        <v>1830000</v>
      </c>
      <c r="E51" s="20" t="s">
        <v>373</v>
      </c>
      <c r="F51" s="20" t="s">
        <v>374</v>
      </c>
      <c r="G51" s="8" t="str">
        <f t="shared" si="0"/>
        <v>YORK EDGAR</v>
      </c>
      <c r="H51" s="20" t="str">
        <f t="shared" si="1"/>
        <v>4008</v>
      </c>
    </row>
    <row r="52" spans="1:8" x14ac:dyDescent="0.25">
      <c r="A52" s="8">
        <v>43027.2030787037</v>
      </c>
      <c r="B52" s="20" t="s">
        <v>564</v>
      </c>
      <c r="C52" s="20" t="s">
        <v>565</v>
      </c>
      <c r="D52" s="138">
        <v>1990000</v>
      </c>
      <c r="E52" s="20" t="s">
        <v>493</v>
      </c>
      <c r="F52" s="20" t="s">
        <v>494</v>
      </c>
      <c r="G52" s="8" t="str">
        <f t="shared" si="0"/>
        <v>DAVIS WENDY</v>
      </c>
      <c r="H52" s="20" t="str">
        <f t="shared" si="1"/>
        <v>4024</v>
      </c>
    </row>
    <row r="53" spans="1:8" x14ac:dyDescent="0.25">
      <c r="A53" s="8">
        <v>43027.2030787037</v>
      </c>
      <c r="B53" s="20" t="s">
        <v>564</v>
      </c>
      <c r="C53" s="20" t="s">
        <v>565</v>
      </c>
      <c r="D53" s="138">
        <v>1990000</v>
      </c>
      <c r="E53" s="20" t="s">
        <v>493</v>
      </c>
      <c r="F53" s="20" t="s">
        <v>494</v>
      </c>
      <c r="G53" s="8" t="str">
        <f t="shared" si="0"/>
        <v>DAVIS WENDY</v>
      </c>
      <c r="H53" s="20" t="str">
        <f t="shared" si="1"/>
        <v>4024</v>
      </c>
    </row>
    <row r="54" spans="1:8" x14ac:dyDescent="0.25">
      <c r="A54" s="8">
        <v>43027.205914351849</v>
      </c>
      <c r="B54" s="20" t="s">
        <v>611</v>
      </c>
      <c r="C54" s="20" t="s">
        <v>612</v>
      </c>
      <c r="D54" s="138">
        <v>1230000</v>
      </c>
      <c r="E54" s="20" t="s">
        <v>440</v>
      </c>
      <c r="F54" s="20" t="s">
        <v>441</v>
      </c>
      <c r="G54" s="8" t="str">
        <f t="shared" si="0"/>
        <v>YANAI IAN</v>
      </c>
      <c r="H54" s="20" t="str">
        <f t="shared" si="1"/>
        <v>4014</v>
      </c>
    </row>
    <row r="55" spans="1:8" x14ac:dyDescent="0.25">
      <c r="A55" s="8">
        <v>43027.205914351849</v>
      </c>
      <c r="B55" s="20" t="s">
        <v>611</v>
      </c>
      <c r="C55" s="20" t="s">
        <v>612</v>
      </c>
      <c r="D55" s="138">
        <v>1230000</v>
      </c>
      <c r="E55" s="20" t="s">
        <v>440</v>
      </c>
      <c r="F55" s="20" t="s">
        <v>441</v>
      </c>
      <c r="G55" s="8" t="str">
        <f t="shared" si="0"/>
        <v>YANAI IAN</v>
      </c>
      <c r="H55" s="20" t="str">
        <f t="shared" si="1"/>
        <v>4014</v>
      </c>
    </row>
    <row r="56" spans="1:8" x14ac:dyDescent="0.25">
      <c r="A56" s="8">
        <v>43027.213865740741</v>
      </c>
      <c r="B56" s="20" t="s">
        <v>487</v>
      </c>
      <c r="C56" s="20" t="s">
        <v>604</v>
      </c>
      <c r="D56" s="138">
        <v>1100000</v>
      </c>
      <c r="E56" s="20" t="s">
        <v>497</v>
      </c>
      <c r="F56" s="20" t="s">
        <v>498</v>
      </c>
      <c r="G56" s="8" t="str">
        <f t="shared" si="0"/>
        <v>GEBRETEKLE DAGNEW</v>
      </c>
      <c r="H56" s="20" t="str">
        <f t="shared" si="1"/>
        <v>4017</v>
      </c>
    </row>
    <row r="57" spans="1:8" x14ac:dyDescent="0.25">
      <c r="A57" s="8">
        <v>43027.213865740741</v>
      </c>
      <c r="B57" s="20" t="s">
        <v>487</v>
      </c>
      <c r="C57" s="20" t="s">
        <v>604</v>
      </c>
      <c r="D57" s="138">
        <v>1100000</v>
      </c>
      <c r="E57" s="20" t="s">
        <v>497</v>
      </c>
      <c r="F57" s="20" t="s">
        <v>498</v>
      </c>
      <c r="G57" s="8" t="str">
        <f t="shared" si="0"/>
        <v>GEBRETEKLE DAGNEW</v>
      </c>
      <c r="H57" s="20" t="str">
        <f t="shared" si="1"/>
        <v>4017</v>
      </c>
    </row>
    <row r="58" spans="1:8" x14ac:dyDescent="0.25">
      <c r="A58" s="8">
        <v>43027.214525462965</v>
      </c>
      <c r="B58" s="20" t="s">
        <v>487</v>
      </c>
      <c r="C58" s="20" t="s">
        <v>613</v>
      </c>
      <c r="D58" s="138">
        <v>1100000</v>
      </c>
      <c r="E58" s="20" t="s">
        <v>497</v>
      </c>
      <c r="F58" s="20" t="s">
        <v>498</v>
      </c>
      <c r="G58" s="8" t="str">
        <f t="shared" si="0"/>
        <v>GEBRETEKLE DAGNEW</v>
      </c>
      <c r="H58" s="20" t="str">
        <f t="shared" si="1"/>
        <v>4017</v>
      </c>
    </row>
    <row r="59" spans="1:8" x14ac:dyDescent="0.25">
      <c r="A59" s="8">
        <v>43027.214525462965</v>
      </c>
      <c r="B59" s="20" t="s">
        <v>487</v>
      </c>
      <c r="C59" s="20" t="s">
        <v>613</v>
      </c>
      <c r="D59" s="138">
        <v>1100000</v>
      </c>
      <c r="E59" s="20" t="s">
        <v>497</v>
      </c>
      <c r="F59" s="20" t="s">
        <v>498</v>
      </c>
      <c r="G59" s="8" t="str">
        <f t="shared" si="0"/>
        <v>GEBRETEKLE DAGNEW</v>
      </c>
      <c r="H59" s="20" t="str">
        <f t="shared" si="1"/>
        <v>4017</v>
      </c>
    </row>
    <row r="60" spans="1:8" x14ac:dyDescent="0.25">
      <c r="A60" s="8">
        <v>43027.214537037034</v>
      </c>
      <c r="B60" s="20" t="s">
        <v>574</v>
      </c>
      <c r="C60" s="20" t="s">
        <v>614</v>
      </c>
      <c r="D60" s="138">
        <v>940000</v>
      </c>
      <c r="E60" s="20" t="s">
        <v>462</v>
      </c>
      <c r="F60" s="20" t="s">
        <v>463</v>
      </c>
      <c r="G60" s="8" t="str">
        <f t="shared" si="0"/>
        <v>BONDS REYNALDO</v>
      </c>
      <c r="H60" s="20" t="str">
        <f t="shared" si="1"/>
        <v>4057</v>
      </c>
    </row>
    <row r="61" spans="1:8" x14ac:dyDescent="0.25">
      <c r="A61" s="8">
        <v>43027.214537037034</v>
      </c>
      <c r="B61" s="20" t="s">
        <v>574</v>
      </c>
      <c r="C61" s="20" t="s">
        <v>614</v>
      </c>
      <c r="D61" s="138">
        <v>940000</v>
      </c>
      <c r="E61" s="20" t="s">
        <v>462</v>
      </c>
      <c r="F61" s="20" t="s">
        <v>463</v>
      </c>
      <c r="G61" s="8" t="str">
        <f t="shared" si="0"/>
        <v>BONDS REYNALDO</v>
      </c>
      <c r="H61" s="20" t="str">
        <f t="shared" si="1"/>
        <v>4057</v>
      </c>
    </row>
    <row r="62" spans="1:8" x14ac:dyDescent="0.25">
      <c r="A62" s="8">
        <v>43027.216041666667</v>
      </c>
      <c r="B62" s="20" t="s">
        <v>566</v>
      </c>
      <c r="C62" s="20" t="s">
        <v>567</v>
      </c>
      <c r="D62" s="138">
        <v>1990000</v>
      </c>
      <c r="E62" s="20" t="s">
        <v>493</v>
      </c>
      <c r="F62" s="20" t="s">
        <v>494</v>
      </c>
      <c r="G62" s="8" t="str">
        <f t="shared" si="0"/>
        <v>DAVIS WENDY</v>
      </c>
      <c r="H62" s="20" t="str">
        <f t="shared" si="1"/>
        <v>4023</v>
      </c>
    </row>
    <row r="63" spans="1:8" x14ac:dyDescent="0.25">
      <c r="A63" s="8">
        <v>43027.216041666667</v>
      </c>
      <c r="B63" s="20" t="s">
        <v>566</v>
      </c>
      <c r="C63" s="20" t="s">
        <v>567</v>
      </c>
      <c r="D63" s="138">
        <v>1990000</v>
      </c>
      <c r="E63" s="20" t="s">
        <v>493</v>
      </c>
      <c r="F63" s="20" t="s">
        <v>494</v>
      </c>
      <c r="G63" s="8" t="str">
        <f t="shared" si="0"/>
        <v>DAVIS WENDY</v>
      </c>
      <c r="H63" s="20" t="str">
        <f t="shared" si="1"/>
        <v>4023</v>
      </c>
    </row>
    <row r="64" spans="1:8" x14ac:dyDescent="0.25">
      <c r="A64" s="26">
        <v>43027.219351851854</v>
      </c>
      <c r="B64" s="20" t="s">
        <v>394</v>
      </c>
      <c r="C64" s="20" t="s">
        <v>615</v>
      </c>
      <c r="D64" s="138">
        <v>2730000</v>
      </c>
      <c r="E64" s="20" t="s">
        <v>437</v>
      </c>
      <c r="F64" s="20" t="s">
        <v>438</v>
      </c>
      <c r="G64" s="8" t="str">
        <f t="shared" si="0"/>
        <v>YANG JAN</v>
      </c>
      <c r="H64" s="20" t="str">
        <f t="shared" si="1"/>
        <v>4065</v>
      </c>
    </row>
    <row r="65" spans="1:8" x14ac:dyDescent="0.25">
      <c r="A65" s="8">
        <v>43027.219351851854</v>
      </c>
      <c r="B65" s="20" t="s">
        <v>394</v>
      </c>
      <c r="C65" s="20" t="s">
        <v>615</v>
      </c>
      <c r="D65" s="138">
        <v>2730000</v>
      </c>
      <c r="E65" s="20" t="s">
        <v>437</v>
      </c>
      <c r="F65" s="20" t="s">
        <v>438</v>
      </c>
      <c r="G65" s="8" t="str">
        <f t="shared" si="0"/>
        <v>YANG JAN</v>
      </c>
      <c r="H65" s="20" t="str">
        <f t="shared" si="1"/>
        <v>4065</v>
      </c>
    </row>
    <row r="66" spans="1:8" x14ac:dyDescent="0.25">
      <c r="A66" s="8">
        <v>43027.225243055553</v>
      </c>
      <c r="B66" s="20" t="s">
        <v>503</v>
      </c>
      <c r="C66" s="20" t="s">
        <v>616</v>
      </c>
      <c r="D66" s="138">
        <v>2010000</v>
      </c>
      <c r="E66" s="20" t="s">
        <v>596</v>
      </c>
      <c r="F66" s="20" t="s">
        <v>597</v>
      </c>
      <c r="G66" s="8" t="str">
        <f t="shared" si="0"/>
        <v>MAELZER KURT</v>
      </c>
      <c r="H66" s="20" t="str">
        <f t="shared" si="1"/>
        <v>4006</v>
      </c>
    </row>
    <row r="67" spans="1:8" x14ac:dyDescent="0.25">
      <c r="A67" s="8">
        <v>43027.225243055553</v>
      </c>
      <c r="B67" s="20" t="s">
        <v>503</v>
      </c>
      <c r="C67" s="20" t="s">
        <v>616</v>
      </c>
      <c r="D67" s="138">
        <v>2010000</v>
      </c>
      <c r="E67" s="20" t="s">
        <v>596</v>
      </c>
      <c r="F67" s="20" t="s">
        <v>597</v>
      </c>
      <c r="G67" s="8" t="str">
        <f t="shared" ref="G67:G130" si="2">E67&amp;" "&amp;F67</f>
        <v>MAELZER KURT</v>
      </c>
      <c r="H67" s="20" t="str">
        <f t="shared" ref="H67:H130" si="3">MID(B67,13,4)</f>
        <v>4006</v>
      </c>
    </row>
    <row r="68" spans="1:8" x14ac:dyDescent="0.25">
      <c r="A68" s="8">
        <v>43027.228518518517</v>
      </c>
      <c r="B68" s="20" t="s">
        <v>564</v>
      </c>
      <c r="C68" s="20" t="s">
        <v>568</v>
      </c>
      <c r="D68" s="138">
        <v>1990000</v>
      </c>
      <c r="E68" s="20" t="s">
        <v>493</v>
      </c>
      <c r="F68" s="20" t="s">
        <v>494</v>
      </c>
      <c r="G68" s="8" t="str">
        <f t="shared" si="2"/>
        <v>DAVIS WENDY</v>
      </c>
      <c r="H68" s="20" t="str">
        <f t="shared" si="3"/>
        <v>4024</v>
      </c>
    </row>
    <row r="69" spans="1:8" x14ac:dyDescent="0.25">
      <c r="A69" s="8">
        <v>43027.228518518517</v>
      </c>
      <c r="B69" s="20" t="s">
        <v>564</v>
      </c>
      <c r="C69" s="20" t="s">
        <v>568</v>
      </c>
      <c r="D69" s="138">
        <v>1990000</v>
      </c>
      <c r="E69" s="20" t="s">
        <v>493</v>
      </c>
      <c r="F69" s="20" t="s">
        <v>494</v>
      </c>
      <c r="G69" s="8" t="str">
        <f t="shared" si="2"/>
        <v>DAVIS WENDY</v>
      </c>
      <c r="H69" s="20" t="str">
        <f t="shared" si="3"/>
        <v>4024</v>
      </c>
    </row>
    <row r="70" spans="1:8" x14ac:dyDescent="0.25">
      <c r="A70" s="8">
        <v>43027.234363425923</v>
      </c>
      <c r="B70" s="20" t="s">
        <v>560</v>
      </c>
      <c r="C70" s="20" t="s">
        <v>617</v>
      </c>
      <c r="D70" s="138">
        <v>3040000</v>
      </c>
      <c r="E70" s="20" t="s">
        <v>602</v>
      </c>
      <c r="F70" s="20" t="s">
        <v>603</v>
      </c>
      <c r="G70" s="8" t="str">
        <f t="shared" si="2"/>
        <v>WILLIAMS DONTE</v>
      </c>
      <c r="H70" s="20" t="str">
        <f t="shared" si="3"/>
        <v>4015</v>
      </c>
    </row>
    <row r="71" spans="1:8" x14ac:dyDescent="0.25">
      <c r="A71" s="8">
        <v>43027.234363425923</v>
      </c>
      <c r="B71" s="20" t="s">
        <v>560</v>
      </c>
      <c r="C71" s="20" t="s">
        <v>617</v>
      </c>
      <c r="D71" s="138">
        <v>3040000</v>
      </c>
      <c r="E71" s="20" t="s">
        <v>602</v>
      </c>
      <c r="F71" s="20" t="s">
        <v>603</v>
      </c>
      <c r="G71" s="8" t="str">
        <f t="shared" si="2"/>
        <v>WILLIAMS DONTE</v>
      </c>
      <c r="H71" s="20" t="str">
        <f t="shared" si="3"/>
        <v>4015</v>
      </c>
    </row>
    <row r="72" spans="1:8" x14ac:dyDescent="0.25">
      <c r="A72" s="8">
        <v>43027.234988425924</v>
      </c>
      <c r="B72" s="20" t="s">
        <v>393</v>
      </c>
      <c r="C72" s="20" t="s">
        <v>618</v>
      </c>
      <c r="D72" s="138">
        <v>2730000</v>
      </c>
      <c r="E72" s="20" t="s">
        <v>437</v>
      </c>
      <c r="F72" s="20" t="s">
        <v>438</v>
      </c>
      <c r="G72" s="8" t="str">
        <f t="shared" si="2"/>
        <v>YANG JAN</v>
      </c>
      <c r="H72" s="20" t="str">
        <f t="shared" si="3"/>
        <v>4066</v>
      </c>
    </row>
    <row r="73" spans="1:8" x14ac:dyDescent="0.25">
      <c r="A73" s="8">
        <v>43027.234988425924</v>
      </c>
      <c r="B73" s="20" t="s">
        <v>393</v>
      </c>
      <c r="C73" s="20" t="s">
        <v>618</v>
      </c>
      <c r="D73" s="138">
        <v>2730000</v>
      </c>
      <c r="E73" s="20" t="s">
        <v>437</v>
      </c>
      <c r="F73" s="20" t="s">
        <v>438</v>
      </c>
      <c r="G73" s="8" t="str">
        <f t="shared" si="2"/>
        <v>YANG JAN</v>
      </c>
      <c r="H73" s="20" t="str">
        <f t="shared" si="3"/>
        <v>4066</v>
      </c>
    </row>
    <row r="74" spans="1:8" x14ac:dyDescent="0.25">
      <c r="A74" s="8">
        <v>43027.235138888886</v>
      </c>
      <c r="B74" s="20" t="s">
        <v>485</v>
      </c>
      <c r="C74" s="20" t="s">
        <v>619</v>
      </c>
      <c r="D74" s="138">
        <v>1830000</v>
      </c>
      <c r="E74" s="20" t="s">
        <v>373</v>
      </c>
      <c r="F74" s="20" t="s">
        <v>374</v>
      </c>
      <c r="G74" s="8" t="str">
        <f t="shared" si="2"/>
        <v>YORK EDGAR</v>
      </c>
      <c r="H74" s="20" t="str">
        <f t="shared" si="3"/>
        <v>4007</v>
      </c>
    </row>
    <row r="75" spans="1:8" x14ac:dyDescent="0.25">
      <c r="A75" s="8">
        <v>43027.235138888886</v>
      </c>
      <c r="B75" s="20" t="s">
        <v>485</v>
      </c>
      <c r="C75" s="20" t="s">
        <v>619</v>
      </c>
      <c r="D75" s="138">
        <v>1830000</v>
      </c>
      <c r="E75" s="20" t="s">
        <v>373</v>
      </c>
      <c r="F75" s="20" t="s">
        <v>374</v>
      </c>
      <c r="G75" s="8" t="str">
        <f t="shared" si="2"/>
        <v>YORK EDGAR</v>
      </c>
      <c r="H75" s="20" t="str">
        <f t="shared" si="3"/>
        <v>4007</v>
      </c>
    </row>
    <row r="76" spans="1:8" x14ac:dyDescent="0.25">
      <c r="A76" s="8">
        <v>43027.236770833333</v>
      </c>
      <c r="B76" s="20" t="s">
        <v>491</v>
      </c>
      <c r="C76" s="20" t="s">
        <v>620</v>
      </c>
      <c r="D76" s="138">
        <v>3000000</v>
      </c>
      <c r="E76" s="20" t="s">
        <v>495</v>
      </c>
      <c r="F76" s="20" t="s">
        <v>496</v>
      </c>
      <c r="G76" s="8" t="str">
        <f t="shared" si="2"/>
        <v>FORTUNATO FRANK</v>
      </c>
      <c r="H76" s="20" t="str">
        <f t="shared" si="3"/>
        <v>4043</v>
      </c>
    </row>
    <row r="77" spans="1:8" x14ac:dyDescent="0.25">
      <c r="A77" s="8">
        <v>43027.236770833333</v>
      </c>
      <c r="B77" s="20" t="s">
        <v>491</v>
      </c>
      <c r="C77" s="20" t="s">
        <v>620</v>
      </c>
      <c r="D77" s="138">
        <v>3000000</v>
      </c>
      <c r="E77" s="20" t="s">
        <v>495</v>
      </c>
      <c r="F77" s="20" t="s">
        <v>496</v>
      </c>
      <c r="G77" s="8" t="str">
        <f t="shared" si="2"/>
        <v>FORTUNATO FRANK</v>
      </c>
      <c r="H77" s="20" t="str">
        <f t="shared" si="3"/>
        <v>4043</v>
      </c>
    </row>
    <row r="78" spans="1:8" x14ac:dyDescent="0.25">
      <c r="A78" s="8">
        <v>43027.245115740741</v>
      </c>
      <c r="B78" s="20" t="s">
        <v>608</v>
      </c>
      <c r="C78" s="20" t="s">
        <v>621</v>
      </c>
      <c r="D78" s="138">
        <v>1230000</v>
      </c>
      <c r="E78" s="20" t="s">
        <v>440</v>
      </c>
      <c r="F78" s="20" t="s">
        <v>441</v>
      </c>
      <c r="G78" s="8" t="str">
        <f t="shared" si="2"/>
        <v>YANAI IAN</v>
      </c>
      <c r="H78" s="20" t="str">
        <f t="shared" si="3"/>
        <v>4013</v>
      </c>
    </row>
    <row r="79" spans="1:8" x14ac:dyDescent="0.25">
      <c r="A79" s="8">
        <v>43027.245115740741</v>
      </c>
      <c r="B79" s="20" t="s">
        <v>608</v>
      </c>
      <c r="C79" s="20" t="s">
        <v>621</v>
      </c>
      <c r="D79" s="138">
        <v>1230000</v>
      </c>
      <c r="E79" s="20" t="s">
        <v>440</v>
      </c>
      <c r="F79" s="20" t="s">
        <v>441</v>
      </c>
      <c r="G79" s="8" t="str">
        <f t="shared" si="2"/>
        <v>YANAI IAN</v>
      </c>
      <c r="H79" s="20" t="str">
        <f t="shared" si="3"/>
        <v>4013</v>
      </c>
    </row>
    <row r="80" spans="1:8" x14ac:dyDescent="0.25">
      <c r="A80" s="8">
        <v>43027.24628472222</v>
      </c>
      <c r="B80" s="20" t="s">
        <v>562</v>
      </c>
      <c r="C80" s="20" t="s">
        <v>622</v>
      </c>
      <c r="D80" s="138">
        <v>940000</v>
      </c>
      <c r="E80" s="20" t="s">
        <v>462</v>
      </c>
      <c r="F80" s="20" t="s">
        <v>463</v>
      </c>
      <c r="G80" s="8" t="str">
        <f t="shared" si="2"/>
        <v>BONDS REYNALDO</v>
      </c>
      <c r="H80" s="20" t="str">
        <f t="shared" si="3"/>
        <v>4058</v>
      </c>
    </row>
    <row r="81" spans="1:8" x14ac:dyDescent="0.25">
      <c r="A81" s="8">
        <v>43027.24628472222</v>
      </c>
      <c r="B81" s="20" t="s">
        <v>562</v>
      </c>
      <c r="C81" s="20" t="s">
        <v>622</v>
      </c>
      <c r="D81" s="138">
        <v>940000</v>
      </c>
      <c r="E81" s="20" t="s">
        <v>462</v>
      </c>
      <c r="F81" s="20" t="s">
        <v>463</v>
      </c>
      <c r="G81" s="8" t="str">
        <f t="shared" si="2"/>
        <v>BONDS REYNALDO</v>
      </c>
      <c r="H81" s="20" t="str">
        <f t="shared" si="3"/>
        <v>4058</v>
      </c>
    </row>
    <row r="82" spans="1:8" x14ac:dyDescent="0.25">
      <c r="A82" s="8">
        <v>43027.24763888889</v>
      </c>
      <c r="B82" s="20" t="s">
        <v>492</v>
      </c>
      <c r="C82" s="20" t="s">
        <v>623</v>
      </c>
      <c r="D82" s="138">
        <v>3000000</v>
      </c>
      <c r="E82" s="20" t="s">
        <v>495</v>
      </c>
      <c r="F82" s="20" t="s">
        <v>496</v>
      </c>
      <c r="G82" s="8" t="str">
        <f t="shared" si="2"/>
        <v>FORTUNATO FRANK</v>
      </c>
      <c r="H82" s="20" t="str">
        <f t="shared" si="3"/>
        <v>4044</v>
      </c>
    </row>
    <row r="83" spans="1:8" x14ac:dyDescent="0.25">
      <c r="A83" s="8">
        <v>43027.24763888889</v>
      </c>
      <c r="B83" s="20" t="s">
        <v>492</v>
      </c>
      <c r="C83" s="20" t="s">
        <v>623</v>
      </c>
      <c r="D83" s="138">
        <v>3000000</v>
      </c>
      <c r="E83" s="20" t="s">
        <v>495</v>
      </c>
      <c r="F83" s="20" t="s">
        <v>496</v>
      </c>
      <c r="G83" s="8" t="str">
        <f t="shared" si="2"/>
        <v>FORTUNATO FRANK</v>
      </c>
      <c r="H83" s="20" t="str">
        <f t="shared" si="3"/>
        <v>4044</v>
      </c>
    </row>
    <row r="84" spans="1:8" x14ac:dyDescent="0.25">
      <c r="A84" s="8">
        <v>43027.248715277776</v>
      </c>
      <c r="B84" s="20" t="s">
        <v>566</v>
      </c>
      <c r="C84" s="20" t="s">
        <v>624</v>
      </c>
      <c r="D84" s="138">
        <v>1990000</v>
      </c>
      <c r="E84" s="20" t="s">
        <v>493</v>
      </c>
      <c r="F84" s="20" t="s">
        <v>494</v>
      </c>
      <c r="G84" s="8" t="str">
        <f t="shared" si="2"/>
        <v>DAVIS WENDY</v>
      </c>
      <c r="H84" s="20" t="str">
        <f t="shared" si="3"/>
        <v>4023</v>
      </c>
    </row>
    <row r="85" spans="1:8" x14ac:dyDescent="0.25">
      <c r="A85" s="8">
        <v>43027.248715277776</v>
      </c>
      <c r="B85" s="20" t="s">
        <v>566</v>
      </c>
      <c r="C85" s="20" t="s">
        <v>624</v>
      </c>
      <c r="D85" s="138">
        <v>1990000</v>
      </c>
      <c r="E85" s="20" t="s">
        <v>493</v>
      </c>
      <c r="F85" s="20" t="s">
        <v>494</v>
      </c>
      <c r="G85" s="8" t="str">
        <f t="shared" si="2"/>
        <v>DAVIS WENDY</v>
      </c>
      <c r="H85" s="20" t="str">
        <f t="shared" si="3"/>
        <v>4023</v>
      </c>
    </row>
    <row r="86" spans="1:8" x14ac:dyDescent="0.25">
      <c r="A86" s="8">
        <v>43027.256886574076</v>
      </c>
      <c r="B86" s="20" t="s">
        <v>483</v>
      </c>
      <c r="C86" s="20" t="s">
        <v>625</v>
      </c>
      <c r="D86" s="138">
        <v>1100000</v>
      </c>
      <c r="E86" s="20" t="s">
        <v>497</v>
      </c>
      <c r="F86" s="20" t="s">
        <v>498</v>
      </c>
      <c r="G86" s="8" t="str">
        <f t="shared" si="2"/>
        <v>GEBRETEKLE DAGNEW</v>
      </c>
      <c r="H86" s="20" t="str">
        <f t="shared" si="3"/>
        <v>4018</v>
      </c>
    </row>
    <row r="87" spans="1:8" x14ac:dyDescent="0.25">
      <c r="A87" s="8">
        <v>43027.256886574076</v>
      </c>
      <c r="B87" s="20" t="s">
        <v>483</v>
      </c>
      <c r="C87" s="20" t="s">
        <v>625</v>
      </c>
      <c r="D87" s="138">
        <v>1100000</v>
      </c>
      <c r="E87" s="20" t="s">
        <v>497</v>
      </c>
      <c r="F87" s="20" t="s">
        <v>498</v>
      </c>
      <c r="G87" s="8" t="str">
        <f t="shared" si="2"/>
        <v>GEBRETEKLE DAGNEW</v>
      </c>
      <c r="H87" s="20" t="str">
        <f t="shared" si="3"/>
        <v>4018</v>
      </c>
    </row>
    <row r="88" spans="1:8" x14ac:dyDescent="0.25">
      <c r="A88" s="8">
        <v>43027.264849537038</v>
      </c>
      <c r="B88" s="20" t="s">
        <v>484</v>
      </c>
      <c r="C88" s="20" t="s">
        <v>626</v>
      </c>
      <c r="D88" s="138">
        <v>2010000</v>
      </c>
      <c r="E88" s="20" t="s">
        <v>596</v>
      </c>
      <c r="F88" s="20" t="s">
        <v>597</v>
      </c>
      <c r="G88" s="8" t="str">
        <f t="shared" si="2"/>
        <v>MAELZER KURT</v>
      </c>
      <c r="H88" s="20" t="str">
        <f t="shared" si="3"/>
        <v>4005</v>
      </c>
    </row>
    <row r="89" spans="1:8" x14ac:dyDescent="0.25">
      <c r="A89" s="8">
        <v>43027.264849537038</v>
      </c>
      <c r="B89" s="20" t="s">
        <v>484</v>
      </c>
      <c r="C89" s="20" t="s">
        <v>626</v>
      </c>
      <c r="D89" s="138">
        <v>2010000</v>
      </c>
      <c r="E89" s="20" t="s">
        <v>596</v>
      </c>
      <c r="F89" s="20" t="s">
        <v>597</v>
      </c>
      <c r="G89" s="8" t="str">
        <f t="shared" si="2"/>
        <v>MAELZER KURT</v>
      </c>
      <c r="H89" s="20" t="str">
        <f t="shared" si="3"/>
        <v>4005</v>
      </c>
    </row>
    <row r="90" spans="1:8" x14ac:dyDescent="0.25">
      <c r="A90" s="8">
        <v>43027.26866898148</v>
      </c>
      <c r="B90" s="20" t="s">
        <v>491</v>
      </c>
      <c r="C90" s="20" t="s">
        <v>627</v>
      </c>
      <c r="D90" s="138">
        <v>3000000</v>
      </c>
      <c r="E90" s="20" t="s">
        <v>495</v>
      </c>
      <c r="F90" s="20" t="s">
        <v>496</v>
      </c>
      <c r="G90" s="8" t="str">
        <f t="shared" si="2"/>
        <v>FORTUNATO FRANK</v>
      </c>
      <c r="H90" s="20" t="str">
        <f t="shared" si="3"/>
        <v>4043</v>
      </c>
    </row>
    <row r="91" spans="1:8" x14ac:dyDescent="0.25">
      <c r="A91" s="8">
        <v>43027.26866898148</v>
      </c>
      <c r="B91" s="20" t="s">
        <v>491</v>
      </c>
      <c r="C91" s="20" t="s">
        <v>627</v>
      </c>
      <c r="D91" s="138">
        <v>3000000</v>
      </c>
      <c r="E91" s="20" t="s">
        <v>495</v>
      </c>
      <c r="F91" s="20" t="s">
        <v>496</v>
      </c>
      <c r="G91" s="8" t="str">
        <f t="shared" si="2"/>
        <v>FORTUNATO FRANK</v>
      </c>
      <c r="H91" s="20" t="str">
        <f t="shared" si="3"/>
        <v>4043</v>
      </c>
    </row>
    <row r="92" spans="1:8" x14ac:dyDescent="0.25">
      <c r="A92" s="8">
        <v>43027.268738425926</v>
      </c>
      <c r="B92" s="20" t="s">
        <v>606</v>
      </c>
      <c r="C92" s="20" t="s">
        <v>628</v>
      </c>
      <c r="D92" s="138">
        <v>3040000</v>
      </c>
      <c r="E92" s="20" t="s">
        <v>602</v>
      </c>
      <c r="F92" s="20" t="s">
        <v>603</v>
      </c>
      <c r="G92" s="8" t="str">
        <f t="shared" si="2"/>
        <v>WILLIAMS DONTE</v>
      </c>
      <c r="H92" s="20" t="str">
        <f t="shared" si="3"/>
        <v>4016</v>
      </c>
    </row>
    <row r="93" spans="1:8" x14ac:dyDescent="0.25">
      <c r="A93" s="8">
        <v>43027.268738425926</v>
      </c>
      <c r="B93" s="20" t="s">
        <v>606</v>
      </c>
      <c r="C93" s="20" t="s">
        <v>628</v>
      </c>
      <c r="D93" s="138">
        <v>3040000</v>
      </c>
      <c r="E93" s="20" t="s">
        <v>602</v>
      </c>
      <c r="F93" s="20" t="s">
        <v>603</v>
      </c>
      <c r="G93" s="8" t="str">
        <f t="shared" si="2"/>
        <v>WILLIAMS DONTE</v>
      </c>
      <c r="H93" s="20" t="str">
        <f t="shared" si="3"/>
        <v>4016</v>
      </c>
    </row>
    <row r="94" spans="1:8" x14ac:dyDescent="0.25">
      <c r="A94" s="8">
        <v>43027.269965277781</v>
      </c>
      <c r="B94" s="20" t="s">
        <v>564</v>
      </c>
      <c r="C94" s="20" t="s">
        <v>569</v>
      </c>
      <c r="D94" s="138">
        <v>1990000</v>
      </c>
      <c r="E94" s="20" t="s">
        <v>493</v>
      </c>
      <c r="F94" s="20" t="s">
        <v>494</v>
      </c>
      <c r="G94" s="8" t="str">
        <f t="shared" si="2"/>
        <v>DAVIS WENDY</v>
      </c>
      <c r="H94" s="20" t="str">
        <f t="shared" si="3"/>
        <v>4024</v>
      </c>
    </row>
    <row r="95" spans="1:8" x14ac:dyDescent="0.25">
      <c r="A95" s="8">
        <v>43027.269965277781</v>
      </c>
      <c r="B95" s="20" t="s">
        <v>564</v>
      </c>
      <c r="C95" s="20" t="s">
        <v>569</v>
      </c>
      <c r="D95" s="138">
        <v>1990000</v>
      </c>
      <c r="E95" s="20" t="s">
        <v>493</v>
      </c>
      <c r="F95" s="20" t="s">
        <v>494</v>
      </c>
      <c r="G95" s="8" t="str">
        <f t="shared" si="2"/>
        <v>DAVIS WENDY</v>
      </c>
      <c r="H95" s="20" t="str">
        <f t="shared" si="3"/>
        <v>4024</v>
      </c>
    </row>
    <row r="96" spans="1:8" x14ac:dyDescent="0.25">
      <c r="A96" s="8">
        <v>43027.274884259263</v>
      </c>
      <c r="B96" s="20" t="s">
        <v>394</v>
      </c>
      <c r="C96" s="20" t="s">
        <v>629</v>
      </c>
      <c r="D96" s="138">
        <v>2730000</v>
      </c>
      <c r="E96" s="20" t="s">
        <v>437</v>
      </c>
      <c r="F96" s="20" t="s">
        <v>438</v>
      </c>
      <c r="G96" s="8" t="str">
        <f t="shared" si="2"/>
        <v>YANG JAN</v>
      </c>
      <c r="H96" s="20" t="str">
        <f t="shared" si="3"/>
        <v>4065</v>
      </c>
    </row>
    <row r="97" spans="1:8" x14ac:dyDescent="0.25">
      <c r="A97" s="8">
        <v>43027.274884259263</v>
      </c>
      <c r="B97" s="20" t="s">
        <v>394</v>
      </c>
      <c r="C97" s="20" t="s">
        <v>629</v>
      </c>
      <c r="D97" s="138">
        <v>2730000</v>
      </c>
      <c r="E97" s="20" t="s">
        <v>437</v>
      </c>
      <c r="F97" s="20" t="s">
        <v>438</v>
      </c>
      <c r="G97" s="8" t="str">
        <f t="shared" si="2"/>
        <v>YANG JAN</v>
      </c>
      <c r="H97" s="20" t="str">
        <f t="shared" si="3"/>
        <v>4065</v>
      </c>
    </row>
    <row r="98" spans="1:8" x14ac:dyDescent="0.25">
      <c r="A98" s="8">
        <v>43027.276192129626</v>
      </c>
      <c r="B98" s="20" t="s">
        <v>428</v>
      </c>
      <c r="C98" s="20" t="s">
        <v>630</v>
      </c>
      <c r="D98" s="138">
        <v>1830000</v>
      </c>
      <c r="E98" s="20" t="s">
        <v>373</v>
      </c>
      <c r="F98" s="20" t="s">
        <v>374</v>
      </c>
      <c r="G98" s="8" t="str">
        <f t="shared" si="2"/>
        <v>YORK EDGAR</v>
      </c>
      <c r="H98" s="20" t="str">
        <f t="shared" si="3"/>
        <v>4008</v>
      </c>
    </row>
    <row r="99" spans="1:8" x14ac:dyDescent="0.25">
      <c r="A99" s="8">
        <v>43027.276192129626</v>
      </c>
      <c r="B99" s="20" t="s">
        <v>428</v>
      </c>
      <c r="C99" s="20" t="s">
        <v>630</v>
      </c>
      <c r="D99" s="138">
        <v>1830000</v>
      </c>
      <c r="E99" s="20" t="s">
        <v>373</v>
      </c>
      <c r="F99" s="20" t="s">
        <v>374</v>
      </c>
      <c r="G99" s="8" t="str">
        <f t="shared" si="2"/>
        <v>YORK EDGAR</v>
      </c>
      <c r="H99" s="20" t="str">
        <f t="shared" si="3"/>
        <v>4008</v>
      </c>
    </row>
    <row r="100" spans="1:8" x14ac:dyDescent="0.25">
      <c r="A100" s="8">
        <v>43027.286550925928</v>
      </c>
      <c r="B100" s="20" t="s">
        <v>487</v>
      </c>
      <c r="C100" s="20" t="s">
        <v>631</v>
      </c>
      <c r="D100" s="138">
        <v>1100000</v>
      </c>
      <c r="E100" s="20" t="s">
        <v>497</v>
      </c>
      <c r="F100" s="20" t="s">
        <v>498</v>
      </c>
      <c r="G100" s="8" t="str">
        <f t="shared" si="2"/>
        <v>GEBRETEKLE DAGNEW</v>
      </c>
      <c r="H100" s="20" t="str">
        <f t="shared" si="3"/>
        <v>4017</v>
      </c>
    </row>
    <row r="101" spans="1:8" x14ac:dyDescent="0.25">
      <c r="A101" s="8">
        <v>43027.286550925928</v>
      </c>
      <c r="B101" s="20" t="s">
        <v>487</v>
      </c>
      <c r="C101" s="20" t="s">
        <v>631</v>
      </c>
      <c r="D101" s="138">
        <v>1100000</v>
      </c>
      <c r="E101" s="20" t="s">
        <v>497</v>
      </c>
      <c r="F101" s="20" t="s">
        <v>498</v>
      </c>
      <c r="G101" s="8" t="str">
        <f t="shared" si="2"/>
        <v>GEBRETEKLE DAGNEW</v>
      </c>
      <c r="H101" s="20" t="str">
        <f t="shared" si="3"/>
        <v>4017</v>
      </c>
    </row>
    <row r="102" spans="1:8" x14ac:dyDescent="0.25">
      <c r="A102" s="8">
        <v>43027.286747685182</v>
      </c>
      <c r="B102" s="20" t="s">
        <v>574</v>
      </c>
      <c r="C102" s="20" t="s">
        <v>632</v>
      </c>
      <c r="D102" s="138">
        <v>940000</v>
      </c>
      <c r="E102" s="20" t="s">
        <v>462</v>
      </c>
      <c r="F102" s="20" t="s">
        <v>463</v>
      </c>
      <c r="G102" s="8" t="str">
        <f t="shared" si="2"/>
        <v>BONDS REYNALDO</v>
      </c>
      <c r="H102" s="20" t="str">
        <f t="shared" si="3"/>
        <v>4057</v>
      </c>
    </row>
    <row r="103" spans="1:8" x14ac:dyDescent="0.25">
      <c r="A103" s="8">
        <v>43027.286747685182</v>
      </c>
      <c r="B103" s="20" t="s">
        <v>574</v>
      </c>
      <c r="C103" s="20" t="s">
        <v>632</v>
      </c>
      <c r="D103" s="138">
        <v>940000</v>
      </c>
      <c r="E103" s="20" t="s">
        <v>462</v>
      </c>
      <c r="F103" s="20" t="s">
        <v>463</v>
      </c>
      <c r="G103" s="8" t="str">
        <f t="shared" si="2"/>
        <v>BONDS REYNALDO</v>
      </c>
      <c r="H103" s="20" t="str">
        <f t="shared" si="3"/>
        <v>4057</v>
      </c>
    </row>
    <row r="104" spans="1:8" x14ac:dyDescent="0.25">
      <c r="A104" s="8">
        <v>43027.287083333336</v>
      </c>
      <c r="B104" s="20" t="s">
        <v>611</v>
      </c>
      <c r="C104" s="20" t="s">
        <v>633</v>
      </c>
      <c r="D104" s="138">
        <v>3330000</v>
      </c>
      <c r="E104" s="20" t="s">
        <v>634</v>
      </c>
      <c r="F104" s="20" t="s">
        <v>635</v>
      </c>
      <c r="G104" s="8" t="str">
        <f t="shared" si="2"/>
        <v>GONZALEZ ARMANDO</v>
      </c>
      <c r="H104" s="20" t="str">
        <f t="shared" si="3"/>
        <v>4014</v>
      </c>
    </row>
    <row r="105" spans="1:8" x14ac:dyDescent="0.25">
      <c r="A105" s="8">
        <v>43027.287083333336</v>
      </c>
      <c r="B105" s="20" t="s">
        <v>611</v>
      </c>
      <c r="C105" s="20" t="s">
        <v>633</v>
      </c>
      <c r="D105" s="138">
        <v>3330000</v>
      </c>
      <c r="E105" s="20" t="s">
        <v>634</v>
      </c>
      <c r="F105" s="20" t="s">
        <v>635</v>
      </c>
      <c r="G105" s="8" t="str">
        <f t="shared" si="2"/>
        <v>GONZALEZ ARMANDO</v>
      </c>
      <c r="H105" s="20" t="str">
        <f t="shared" si="3"/>
        <v>4014</v>
      </c>
    </row>
    <row r="106" spans="1:8" x14ac:dyDescent="0.25">
      <c r="A106" s="8">
        <v>43027.289502314816</v>
      </c>
      <c r="B106" s="20" t="s">
        <v>492</v>
      </c>
      <c r="C106" s="20" t="s">
        <v>636</v>
      </c>
      <c r="D106" s="138">
        <v>3000000</v>
      </c>
      <c r="E106" s="20" t="s">
        <v>495</v>
      </c>
      <c r="F106" s="20" t="s">
        <v>496</v>
      </c>
      <c r="G106" s="8" t="str">
        <f t="shared" si="2"/>
        <v>FORTUNATO FRANK</v>
      </c>
      <c r="H106" s="20" t="str">
        <f t="shared" si="3"/>
        <v>4044</v>
      </c>
    </row>
    <row r="107" spans="1:8" x14ac:dyDescent="0.25">
      <c r="A107" s="8">
        <v>43027.289502314816</v>
      </c>
      <c r="B107" s="20" t="s">
        <v>492</v>
      </c>
      <c r="C107" s="20" t="s">
        <v>636</v>
      </c>
      <c r="D107" s="138">
        <v>3000000</v>
      </c>
      <c r="E107" s="20" t="s">
        <v>495</v>
      </c>
      <c r="F107" s="20" t="s">
        <v>496</v>
      </c>
      <c r="G107" s="8" t="str">
        <f t="shared" si="2"/>
        <v>FORTUNATO FRANK</v>
      </c>
      <c r="H107" s="20" t="str">
        <f t="shared" si="3"/>
        <v>4044</v>
      </c>
    </row>
    <row r="108" spans="1:8" x14ac:dyDescent="0.25">
      <c r="A108" s="8">
        <v>43027.289560185185</v>
      </c>
      <c r="B108" s="20" t="s">
        <v>566</v>
      </c>
      <c r="C108" s="20" t="s">
        <v>570</v>
      </c>
      <c r="D108" s="138">
        <v>1990000</v>
      </c>
      <c r="E108" s="20" t="s">
        <v>493</v>
      </c>
      <c r="F108" s="20" t="s">
        <v>494</v>
      </c>
      <c r="G108" s="8" t="str">
        <f t="shared" si="2"/>
        <v>DAVIS WENDY</v>
      </c>
      <c r="H108" s="20" t="str">
        <f t="shared" si="3"/>
        <v>4023</v>
      </c>
    </row>
    <row r="109" spans="1:8" x14ac:dyDescent="0.25">
      <c r="A109" s="8">
        <v>43027.289560185185</v>
      </c>
      <c r="B109" s="20" t="s">
        <v>566</v>
      </c>
      <c r="C109" s="20" t="s">
        <v>570</v>
      </c>
      <c r="D109" s="138">
        <v>1990000</v>
      </c>
      <c r="E109" s="20" t="s">
        <v>493</v>
      </c>
      <c r="F109" s="20" t="s">
        <v>494</v>
      </c>
      <c r="G109" s="8" t="str">
        <f t="shared" si="2"/>
        <v>DAVIS WENDY</v>
      </c>
      <c r="H109" s="20" t="str">
        <f t="shared" si="3"/>
        <v>4023</v>
      </c>
    </row>
    <row r="110" spans="1:8" x14ac:dyDescent="0.25">
      <c r="A110" s="8">
        <v>43027.297986111109</v>
      </c>
      <c r="B110" s="20" t="s">
        <v>503</v>
      </c>
      <c r="C110" s="20" t="s">
        <v>637</v>
      </c>
      <c r="D110" s="138">
        <v>3260000</v>
      </c>
      <c r="E110" s="20" t="s">
        <v>499</v>
      </c>
      <c r="F110" s="20" t="s">
        <v>500</v>
      </c>
      <c r="G110" s="8" t="str">
        <f t="shared" si="2"/>
        <v>PAGE MARCUS</v>
      </c>
      <c r="H110" s="20" t="str">
        <f t="shared" si="3"/>
        <v>4006</v>
      </c>
    </row>
    <row r="111" spans="1:8" x14ac:dyDescent="0.25">
      <c r="A111" s="8">
        <v>43027.297986111109</v>
      </c>
      <c r="B111" s="20" t="s">
        <v>503</v>
      </c>
      <c r="C111" s="20" t="s">
        <v>637</v>
      </c>
      <c r="D111" s="138">
        <v>3260000</v>
      </c>
      <c r="E111" s="20" t="s">
        <v>499</v>
      </c>
      <c r="F111" s="20" t="s">
        <v>500</v>
      </c>
      <c r="G111" s="8" t="str">
        <f t="shared" si="2"/>
        <v>PAGE MARCUS</v>
      </c>
      <c r="H111" s="20" t="str">
        <f t="shared" si="3"/>
        <v>4006</v>
      </c>
    </row>
    <row r="112" spans="1:8" x14ac:dyDescent="0.25">
      <c r="A112" s="8">
        <v>43027.305972222224</v>
      </c>
      <c r="B112" s="20" t="s">
        <v>560</v>
      </c>
      <c r="C112" s="20" t="s">
        <v>638</v>
      </c>
      <c r="D112" s="138">
        <v>3040000</v>
      </c>
      <c r="E112" s="20" t="s">
        <v>602</v>
      </c>
      <c r="F112" s="20" t="s">
        <v>603</v>
      </c>
      <c r="G112" s="8" t="str">
        <f t="shared" si="2"/>
        <v>WILLIAMS DONTE</v>
      </c>
      <c r="H112" s="20" t="str">
        <f t="shared" si="3"/>
        <v>4015</v>
      </c>
    </row>
    <row r="113" spans="1:8" x14ac:dyDescent="0.25">
      <c r="A113" s="8">
        <v>43027.305972222224</v>
      </c>
      <c r="B113" s="20" t="s">
        <v>560</v>
      </c>
      <c r="C113" s="20" t="s">
        <v>638</v>
      </c>
      <c r="D113" s="138">
        <v>3040000</v>
      </c>
      <c r="E113" s="20" t="s">
        <v>602</v>
      </c>
      <c r="F113" s="20" t="s">
        <v>603</v>
      </c>
      <c r="G113" s="8" t="str">
        <f t="shared" si="2"/>
        <v>WILLIAMS DONTE</v>
      </c>
      <c r="H113" s="20" t="str">
        <f t="shared" si="3"/>
        <v>4015</v>
      </c>
    </row>
    <row r="114" spans="1:8" x14ac:dyDescent="0.25">
      <c r="A114" s="8">
        <v>43027.307314814818</v>
      </c>
      <c r="B114" s="20" t="s">
        <v>485</v>
      </c>
      <c r="C114" s="20" t="s">
        <v>639</v>
      </c>
      <c r="D114" s="138">
        <v>1830000</v>
      </c>
      <c r="E114" s="20" t="s">
        <v>373</v>
      </c>
      <c r="F114" s="20" t="s">
        <v>374</v>
      </c>
      <c r="G114" s="8" t="str">
        <f t="shared" si="2"/>
        <v>YORK EDGAR</v>
      </c>
      <c r="H114" s="20" t="str">
        <f t="shared" si="3"/>
        <v>4007</v>
      </c>
    </row>
    <row r="115" spans="1:8" x14ac:dyDescent="0.25">
      <c r="A115" s="8">
        <v>43027.307314814818</v>
      </c>
      <c r="B115" s="20" t="s">
        <v>485</v>
      </c>
      <c r="C115" s="20" t="s">
        <v>639</v>
      </c>
      <c r="D115" s="138">
        <v>1830000</v>
      </c>
      <c r="E115" s="20" t="s">
        <v>373</v>
      </c>
      <c r="F115" s="20" t="s">
        <v>374</v>
      </c>
      <c r="G115" s="8" t="str">
        <f t="shared" si="2"/>
        <v>YORK EDGAR</v>
      </c>
      <c r="H115" s="20" t="str">
        <f t="shared" si="3"/>
        <v>4007</v>
      </c>
    </row>
    <row r="116" spans="1:8" x14ac:dyDescent="0.25">
      <c r="A116" s="8">
        <v>43027.30914351852</v>
      </c>
      <c r="B116" s="20" t="s">
        <v>393</v>
      </c>
      <c r="C116" s="20" t="s">
        <v>640</v>
      </c>
      <c r="D116" s="138">
        <v>2730000</v>
      </c>
      <c r="E116" s="20" t="s">
        <v>437</v>
      </c>
      <c r="F116" s="20" t="s">
        <v>438</v>
      </c>
      <c r="G116" s="8" t="str">
        <f t="shared" si="2"/>
        <v>YANG JAN</v>
      </c>
      <c r="H116" s="20" t="str">
        <f t="shared" si="3"/>
        <v>4066</v>
      </c>
    </row>
    <row r="117" spans="1:8" x14ac:dyDescent="0.25">
      <c r="A117" s="8">
        <v>43027.30914351852</v>
      </c>
      <c r="B117" s="20" t="s">
        <v>393</v>
      </c>
      <c r="C117" s="20" t="s">
        <v>640</v>
      </c>
      <c r="D117" s="138">
        <v>2730000</v>
      </c>
      <c r="E117" s="20" t="s">
        <v>437</v>
      </c>
      <c r="F117" s="20" t="s">
        <v>438</v>
      </c>
      <c r="G117" s="8" t="str">
        <f t="shared" si="2"/>
        <v>YANG JAN</v>
      </c>
      <c r="H117" s="20" t="str">
        <f t="shared" si="3"/>
        <v>4066</v>
      </c>
    </row>
    <row r="118" spans="1:8" x14ac:dyDescent="0.25">
      <c r="A118" s="8">
        <v>43027.310243055559</v>
      </c>
      <c r="B118" s="20" t="s">
        <v>491</v>
      </c>
      <c r="C118" s="20" t="s">
        <v>641</v>
      </c>
      <c r="D118" s="138">
        <v>3000000</v>
      </c>
      <c r="E118" s="20" t="s">
        <v>495</v>
      </c>
      <c r="F118" s="20" t="s">
        <v>496</v>
      </c>
      <c r="G118" s="8" t="str">
        <f t="shared" si="2"/>
        <v>FORTUNATO FRANK</v>
      </c>
      <c r="H118" s="20" t="str">
        <f t="shared" si="3"/>
        <v>4043</v>
      </c>
    </row>
    <row r="119" spans="1:8" x14ac:dyDescent="0.25">
      <c r="A119" s="8">
        <v>43027.310243055559</v>
      </c>
      <c r="B119" s="20" t="s">
        <v>491</v>
      </c>
      <c r="C119" s="20" t="s">
        <v>641</v>
      </c>
      <c r="D119" s="138">
        <v>3000000</v>
      </c>
      <c r="E119" s="20" t="s">
        <v>495</v>
      </c>
      <c r="F119" s="20" t="s">
        <v>496</v>
      </c>
      <c r="G119" s="8" t="str">
        <f t="shared" si="2"/>
        <v>FORTUNATO FRANK</v>
      </c>
      <c r="H119" s="20" t="str">
        <f t="shared" si="3"/>
        <v>4043</v>
      </c>
    </row>
    <row r="120" spans="1:8" x14ac:dyDescent="0.25">
      <c r="A120" s="8">
        <v>43027.315567129626</v>
      </c>
      <c r="B120" s="20" t="s">
        <v>564</v>
      </c>
      <c r="C120" s="20" t="s">
        <v>571</v>
      </c>
      <c r="D120" s="138">
        <v>1990000</v>
      </c>
      <c r="E120" s="20" t="s">
        <v>493</v>
      </c>
      <c r="F120" s="20" t="s">
        <v>494</v>
      </c>
      <c r="G120" s="8" t="str">
        <f t="shared" si="2"/>
        <v>DAVIS WENDY</v>
      </c>
      <c r="H120" s="20" t="str">
        <f t="shared" si="3"/>
        <v>4024</v>
      </c>
    </row>
    <row r="121" spans="1:8" x14ac:dyDescent="0.25">
      <c r="A121" s="8">
        <v>43027.315567129626</v>
      </c>
      <c r="B121" s="20" t="s">
        <v>564</v>
      </c>
      <c r="C121" s="20" t="s">
        <v>571</v>
      </c>
      <c r="D121" s="138">
        <v>1990000</v>
      </c>
      <c r="E121" s="20" t="s">
        <v>493</v>
      </c>
      <c r="F121" s="20" t="s">
        <v>494</v>
      </c>
      <c r="G121" s="8" t="str">
        <f t="shared" si="2"/>
        <v>DAVIS WENDY</v>
      </c>
      <c r="H121" s="20" t="str">
        <f t="shared" si="3"/>
        <v>4024</v>
      </c>
    </row>
    <row r="122" spans="1:8" x14ac:dyDescent="0.25">
      <c r="A122" s="8">
        <v>43027.317048611112</v>
      </c>
      <c r="B122" s="25" t="s">
        <v>564</v>
      </c>
      <c r="C122" s="20" t="s">
        <v>571</v>
      </c>
      <c r="D122" s="138">
        <v>1990000</v>
      </c>
      <c r="E122" s="20" t="s">
        <v>493</v>
      </c>
      <c r="F122" s="20" t="s">
        <v>494</v>
      </c>
      <c r="G122" s="8" t="str">
        <f t="shared" si="2"/>
        <v>DAVIS WENDY</v>
      </c>
      <c r="H122" s="20" t="str">
        <f t="shared" si="3"/>
        <v>4024</v>
      </c>
    </row>
    <row r="123" spans="1:8" x14ac:dyDescent="0.25">
      <c r="A123" s="8">
        <v>43027.317048611112</v>
      </c>
      <c r="B123" s="20" t="s">
        <v>564</v>
      </c>
      <c r="C123" s="20" t="s">
        <v>571</v>
      </c>
      <c r="D123" s="138">
        <v>1990000</v>
      </c>
      <c r="E123" s="20" t="s">
        <v>493</v>
      </c>
      <c r="F123" s="20" t="s">
        <v>494</v>
      </c>
      <c r="G123" s="8" t="str">
        <f t="shared" si="2"/>
        <v>DAVIS WENDY</v>
      </c>
      <c r="H123" s="20" t="str">
        <f t="shared" si="3"/>
        <v>4024</v>
      </c>
    </row>
    <row r="124" spans="1:8" x14ac:dyDescent="0.25">
      <c r="A124" s="8">
        <v>43027.31858796296</v>
      </c>
      <c r="B124" s="20" t="s">
        <v>562</v>
      </c>
      <c r="C124" s="20" t="s">
        <v>642</v>
      </c>
      <c r="D124" s="138">
        <v>1110000</v>
      </c>
      <c r="E124" s="20" t="s">
        <v>442</v>
      </c>
      <c r="F124" s="20" t="s">
        <v>443</v>
      </c>
      <c r="G124" s="8" t="str">
        <f t="shared" si="2"/>
        <v>STARKS ANGELINA</v>
      </c>
      <c r="H124" s="20" t="str">
        <f t="shared" si="3"/>
        <v>4058</v>
      </c>
    </row>
    <row r="125" spans="1:8" x14ac:dyDescent="0.25">
      <c r="A125" s="8">
        <v>43027.31858796296</v>
      </c>
      <c r="B125" s="20" t="s">
        <v>562</v>
      </c>
      <c r="C125" s="20" t="s">
        <v>642</v>
      </c>
      <c r="D125" s="138">
        <v>1110000</v>
      </c>
      <c r="E125" s="20" t="s">
        <v>442</v>
      </c>
      <c r="F125" s="20" t="s">
        <v>443</v>
      </c>
      <c r="G125" s="8" t="str">
        <f t="shared" si="2"/>
        <v>STARKS ANGELINA</v>
      </c>
      <c r="H125" s="20" t="str">
        <f t="shared" si="3"/>
        <v>4058</v>
      </c>
    </row>
    <row r="126" spans="1:8" x14ac:dyDescent="0.25">
      <c r="A126" s="8">
        <v>43027.327048611114</v>
      </c>
      <c r="B126" s="20" t="s">
        <v>608</v>
      </c>
      <c r="C126" s="20" t="s">
        <v>643</v>
      </c>
      <c r="D126" s="138">
        <v>3330000</v>
      </c>
      <c r="E126" s="20" t="s">
        <v>634</v>
      </c>
      <c r="F126" s="20" t="s">
        <v>635</v>
      </c>
      <c r="G126" s="8" t="str">
        <f t="shared" si="2"/>
        <v>GONZALEZ ARMANDO</v>
      </c>
      <c r="H126" s="20" t="str">
        <f t="shared" si="3"/>
        <v>4013</v>
      </c>
    </row>
    <row r="127" spans="1:8" x14ac:dyDescent="0.25">
      <c r="A127" s="8">
        <v>43027.327048611114</v>
      </c>
      <c r="B127" s="20" t="s">
        <v>608</v>
      </c>
      <c r="C127" s="20" t="s">
        <v>643</v>
      </c>
      <c r="D127" s="138">
        <v>3330000</v>
      </c>
      <c r="E127" s="20" t="s">
        <v>634</v>
      </c>
      <c r="F127" s="20" t="s">
        <v>635</v>
      </c>
      <c r="G127" s="8" t="str">
        <f t="shared" si="2"/>
        <v>GONZALEZ ARMANDO</v>
      </c>
      <c r="H127" s="20" t="str">
        <f t="shared" si="3"/>
        <v>4013</v>
      </c>
    </row>
    <row r="128" spans="1:8" x14ac:dyDescent="0.25">
      <c r="A128" s="8">
        <v>43027.329444444447</v>
      </c>
      <c r="B128" s="20" t="s">
        <v>483</v>
      </c>
      <c r="C128" s="20" t="s">
        <v>644</v>
      </c>
      <c r="D128" s="138">
        <v>900000</v>
      </c>
      <c r="E128" s="20" t="s">
        <v>380</v>
      </c>
      <c r="F128" s="20" t="s">
        <v>381</v>
      </c>
      <c r="G128" s="8" t="str">
        <f t="shared" si="2"/>
        <v>ROCHA YAOTL</v>
      </c>
      <c r="H128" s="20" t="str">
        <f t="shared" si="3"/>
        <v>4018</v>
      </c>
    </row>
    <row r="129" spans="1:8" x14ac:dyDescent="0.25">
      <c r="A129" s="8">
        <v>43027.329444444447</v>
      </c>
      <c r="B129" s="20" t="s">
        <v>483</v>
      </c>
      <c r="C129" s="20" t="s">
        <v>644</v>
      </c>
      <c r="D129" s="138">
        <v>900000</v>
      </c>
      <c r="E129" s="20" t="s">
        <v>380</v>
      </c>
      <c r="F129" s="20" t="s">
        <v>381</v>
      </c>
      <c r="G129" s="8" t="str">
        <f t="shared" si="2"/>
        <v>ROCHA YAOTL</v>
      </c>
      <c r="H129" s="20" t="str">
        <f t="shared" si="3"/>
        <v>4018</v>
      </c>
    </row>
    <row r="130" spans="1:8" x14ac:dyDescent="0.25">
      <c r="A130" s="8">
        <v>43027.330752314818</v>
      </c>
      <c r="B130" s="20" t="s">
        <v>566</v>
      </c>
      <c r="C130" s="20" t="s">
        <v>645</v>
      </c>
      <c r="D130" s="138">
        <v>1990000</v>
      </c>
      <c r="E130" s="20" t="s">
        <v>493</v>
      </c>
      <c r="F130" s="20" t="s">
        <v>494</v>
      </c>
      <c r="G130" s="8" t="str">
        <f t="shared" si="2"/>
        <v>DAVIS WENDY</v>
      </c>
      <c r="H130" s="20" t="str">
        <f t="shared" si="3"/>
        <v>4023</v>
      </c>
    </row>
    <row r="131" spans="1:8" x14ac:dyDescent="0.25">
      <c r="A131" s="8">
        <v>43027.330752314818</v>
      </c>
      <c r="B131" s="20" t="s">
        <v>566</v>
      </c>
      <c r="C131" s="20" t="s">
        <v>645</v>
      </c>
      <c r="D131" s="138">
        <v>1990000</v>
      </c>
      <c r="E131" s="20" t="s">
        <v>493</v>
      </c>
      <c r="F131" s="20" t="s">
        <v>494</v>
      </c>
      <c r="G131" s="8" t="str">
        <f t="shared" ref="G131:G194" si="4">E131&amp;" "&amp;F131</f>
        <v>DAVIS WENDY</v>
      </c>
      <c r="H131" s="20" t="str">
        <f t="shared" ref="H131:H194" si="5">MID(B131,13,4)</f>
        <v>4023</v>
      </c>
    </row>
    <row r="132" spans="1:8" x14ac:dyDescent="0.25">
      <c r="A132" s="8">
        <v>43027.335729166669</v>
      </c>
      <c r="B132" s="20" t="s">
        <v>492</v>
      </c>
      <c r="C132" s="20" t="s">
        <v>646</v>
      </c>
      <c r="D132" s="138">
        <v>3180000</v>
      </c>
      <c r="E132" s="20" t="s">
        <v>647</v>
      </c>
      <c r="F132" s="20" t="s">
        <v>648</v>
      </c>
      <c r="G132" s="8" t="str">
        <f t="shared" si="4"/>
        <v>HUFFSMITH MONTY</v>
      </c>
      <c r="H132" s="20" t="str">
        <f t="shared" si="5"/>
        <v>4044</v>
      </c>
    </row>
    <row r="133" spans="1:8" x14ac:dyDescent="0.25">
      <c r="A133" s="8">
        <v>43027.338807870372</v>
      </c>
      <c r="B133" s="20" t="s">
        <v>484</v>
      </c>
      <c r="C133" s="20" t="s">
        <v>649</v>
      </c>
      <c r="D133" s="138">
        <v>3260000</v>
      </c>
      <c r="E133" s="20" t="s">
        <v>499</v>
      </c>
      <c r="F133" s="20" t="s">
        <v>500</v>
      </c>
      <c r="G133" s="8" t="str">
        <f t="shared" si="4"/>
        <v>PAGE MARCUS</v>
      </c>
      <c r="H133" s="20" t="str">
        <f t="shared" si="5"/>
        <v>4005</v>
      </c>
    </row>
    <row r="134" spans="1:8" x14ac:dyDescent="0.25">
      <c r="A134" s="8">
        <v>43027.339583333334</v>
      </c>
      <c r="B134" s="20" t="s">
        <v>606</v>
      </c>
      <c r="C134" s="20" t="s">
        <v>650</v>
      </c>
      <c r="D134" s="138">
        <v>3040000</v>
      </c>
      <c r="E134" s="20" t="s">
        <v>602</v>
      </c>
      <c r="F134" s="20" t="s">
        <v>603</v>
      </c>
      <c r="G134" s="8" t="str">
        <f t="shared" si="4"/>
        <v>WILLIAMS DONTE</v>
      </c>
      <c r="H134" s="20" t="str">
        <f t="shared" si="5"/>
        <v>4016</v>
      </c>
    </row>
    <row r="135" spans="1:8" x14ac:dyDescent="0.25">
      <c r="A135" s="8">
        <v>43027.345810185187</v>
      </c>
      <c r="B135" s="20" t="s">
        <v>394</v>
      </c>
      <c r="C135" s="20" t="s">
        <v>651</v>
      </c>
      <c r="D135" s="138">
        <v>2730000</v>
      </c>
      <c r="E135" s="20" t="s">
        <v>437</v>
      </c>
      <c r="F135" s="20" t="s">
        <v>438</v>
      </c>
      <c r="G135" s="8" t="str">
        <f t="shared" si="4"/>
        <v>YANG JAN</v>
      </c>
      <c r="H135" s="20" t="str">
        <f t="shared" si="5"/>
        <v>4065</v>
      </c>
    </row>
    <row r="136" spans="1:8" x14ac:dyDescent="0.25">
      <c r="A136" s="8">
        <v>43027.348449074074</v>
      </c>
      <c r="B136" s="20" t="s">
        <v>428</v>
      </c>
      <c r="C136" s="20" t="s">
        <v>652</v>
      </c>
      <c r="D136" s="138">
        <v>1830000</v>
      </c>
      <c r="E136" s="20" t="s">
        <v>373</v>
      </c>
      <c r="F136" s="20" t="s">
        <v>374</v>
      </c>
      <c r="G136" s="8" t="str">
        <f t="shared" si="4"/>
        <v>YORK EDGAR</v>
      </c>
      <c r="H136" s="20" t="str">
        <f t="shared" si="5"/>
        <v>4008</v>
      </c>
    </row>
    <row r="137" spans="1:8" x14ac:dyDescent="0.25">
      <c r="A137" s="8">
        <v>43027.352997685186</v>
      </c>
      <c r="B137" s="20" t="s">
        <v>491</v>
      </c>
      <c r="C137" s="20" t="s">
        <v>653</v>
      </c>
      <c r="D137" s="138">
        <v>3180000</v>
      </c>
      <c r="E137" s="20" t="s">
        <v>647</v>
      </c>
      <c r="F137" s="20" t="s">
        <v>648</v>
      </c>
      <c r="G137" s="8" t="str">
        <f t="shared" si="4"/>
        <v>HUFFSMITH MONTY</v>
      </c>
      <c r="H137" s="20" t="str">
        <f t="shared" si="5"/>
        <v>4043</v>
      </c>
    </row>
    <row r="138" spans="1:8" x14ac:dyDescent="0.25">
      <c r="A138" s="8">
        <v>43027.354444444441</v>
      </c>
      <c r="B138" s="20" t="s">
        <v>564</v>
      </c>
      <c r="C138" s="20" t="s">
        <v>654</v>
      </c>
      <c r="D138" s="138">
        <v>1990000</v>
      </c>
      <c r="E138" s="20" t="s">
        <v>493</v>
      </c>
      <c r="F138" s="20" t="s">
        <v>494</v>
      </c>
      <c r="G138" s="8" t="str">
        <f t="shared" si="4"/>
        <v>DAVIS WENDY</v>
      </c>
      <c r="H138" s="20" t="str">
        <f t="shared" si="5"/>
        <v>4024</v>
      </c>
    </row>
    <row r="139" spans="1:8" x14ac:dyDescent="0.25">
      <c r="A139" s="8">
        <v>43027.359652777777</v>
      </c>
      <c r="B139" s="20" t="s">
        <v>574</v>
      </c>
      <c r="C139" s="20" t="s">
        <v>655</v>
      </c>
      <c r="D139" s="138">
        <v>1110000</v>
      </c>
      <c r="E139" s="20" t="s">
        <v>442</v>
      </c>
      <c r="F139" s="20" t="s">
        <v>443</v>
      </c>
      <c r="G139" s="8" t="str">
        <f t="shared" si="4"/>
        <v>STARKS ANGELINA</v>
      </c>
      <c r="H139" s="20" t="str">
        <f t="shared" si="5"/>
        <v>4057</v>
      </c>
    </row>
    <row r="140" spans="1:8" x14ac:dyDescent="0.25">
      <c r="A140" s="8">
        <v>43027.360393518517</v>
      </c>
      <c r="B140" s="20" t="s">
        <v>487</v>
      </c>
      <c r="C140" s="20" t="s">
        <v>656</v>
      </c>
      <c r="D140" s="138">
        <v>900000</v>
      </c>
      <c r="E140" s="20" t="s">
        <v>380</v>
      </c>
      <c r="F140" s="20" t="s">
        <v>381</v>
      </c>
      <c r="G140" s="8" t="str">
        <f t="shared" si="4"/>
        <v>ROCHA YAOTL</v>
      </c>
      <c r="H140" s="20" t="str">
        <f t="shared" si="5"/>
        <v>4017</v>
      </c>
    </row>
    <row r="141" spans="1:8" x14ac:dyDescent="0.25">
      <c r="A141" s="8">
        <v>43027.360451388886</v>
      </c>
      <c r="B141" s="20" t="s">
        <v>611</v>
      </c>
      <c r="C141" s="20" t="s">
        <v>657</v>
      </c>
      <c r="D141" s="138">
        <v>1230000</v>
      </c>
      <c r="E141" s="20" t="s">
        <v>440</v>
      </c>
      <c r="F141" s="20" t="s">
        <v>441</v>
      </c>
      <c r="G141" s="8" t="str">
        <f t="shared" si="4"/>
        <v>YANAI IAN</v>
      </c>
      <c r="H141" s="20" t="str">
        <f t="shared" si="5"/>
        <v>4014</v>
      </c>
    </row>
    <row r="142" spans="1:8" x14ac:dyDescent="0.25">
      <c r="A142" s="8">
        <v>43027.372152777774</v>
      </c>
      <c r="B142" s="20" t="s">
        <v>503</v>
      </c>
      <c r="C142" s="20" t="s">
        <v>658</v>
      </c>
      <c r="D142" s="138">
        <v>2010000</v>
      </c>
      <c r="E142" s="20" t="s">
        <v>596</v>
      </c>
      <c r="F142" s="20" t="s">
        <v>597</v>
      </c>
      <c r="G142" s="8" t="str">
        <f t="shared" si="4"/>
        <v>MAELZER KURT</v>
      </c>
      <c r="H142" s="20" t="str">
        <f t="shared" si="5"/>
        <v>4006</v>
      </c>
    </row>
    <row r="143" spans="1:8" x14ac:dyDescent="0.25">
      <c r="A143" s="8">
        <v>43027.376944444448</v>
      </c>
      <c r="B143" s="20" t="s">
        <v>492</v>
      </c>
      <c r="C143" s="20" t="s">
        <v>659</v>
      </c>
      <c r="D143" s="138">
        <v>3000000</v>
      </c>
      <c r="E143" s="20" t="s">
        <v>495</v>
      </c>
      <c r="F143" s="20" t="s">
        <v>496</v>
      </c>
      <c r="G143" s="8" t="str">
        <f t="shared" si="4"/>
        <v>FORTUNATO FRANK</v>
      </c>
      <c r="H143" s="20" t="str">
        <f t="shared" si="5"/>
        <v>4044</v>
      </c>
    </row>
    <row r="144" spans="1:8" x14ac:dyDescent="0.25">
      <c r="A144" s="8">
        <v>43027.379490740743</v>
      </c>
      <c r="B144" s="20" t="s">
        <v>560</v>
      </c>
      <c r="C144" s="20" t="s">
        <v>660</v>
      </c>
      <c r="D144" s="138">
        <v>3040000</v>
      </c>
      <c r="E144" s="20" t="s">
        <v>602</v>
      </c>
      <c r="F144" s="20" t="s">
        <v>603</v>
      </c>
      <c r="G144" s="8" t="str">
        <f t="shared" si="4"/>
        <v>WILLIAMS DONTE</v>
      </c>
      <c r="H144" s="20" t="str">
        <f t="shared" si="5"/>
        <v>4015</v>
      </c>
    </row>
    <row r="145" spans="1:8" x14ac:dyDescent="0.25">
      <c r="A145" s="8">
        <v>43027.381273148145</v>
      </c>
      <c r="B145" s="20" t="s">
        <v>393</v>
      </c>
      <c r="C145" s="20" t="s">
        <v>661</v>
      </c>
      <c r="D145" s="138">
        <v>2730000</v>
      </c>
      <c r="E145" s="20" t="s">
        <v>437</v>
      </c>
      <c r="F145" s="20" t="s">
        <v>438</v>
      </c>
      <c r="G145" s="8" t="str">
        <f t="shared" si="4"/>
        <v>YANG JAN</v>
      </c>
      <c r="H145" s="20" t="str">
        <f t="shared" si="5"/>
        <v>4066</v>
      </c>
    </row>
    <row r="146" spans="1:8" x14ac:dyDescent="0.25">
      <c r="A146" s="8">
        <v>43027.390231481484</v>
      </c>
      <c r="B146" s="20" t="s">
        <v>608</v>
      </c>
      <c r="C146" s="20" t="s">
        <v>662</v>
      </c>
      <c r="D146" s="138">
        <v>1230000</v>
      </c>
      <c r="E146" s="20" t="s">
        <v>440</v>
      </c>
      <c r="F146" s="20" t="s">
        <v>441</v>
      </c>
      <c r="G146" s="8" t="str">
        <f t="shared" si="4"/>
        <v>YANAI IAN</v>
      </c>
      <c r="H146" s="20" t="str">
        <f t="shared" si="5"/>
        <v>4013</v>
      </c>
    </row>
    <row r="147" spans="1:8" x14ac:dyDescent="0.25">
      <c r="A147" s="8">
        <v>43027.391006944446</v>
      </c>
      <c r="B147" s="20" t="s">
        <v>485</v>
      </c>
      <c r="C147" s="20" t="s">
        <v>663</v>
      </c>
      <c r="D147" s="138">
        <v>1830000</v>
      </c>
      <c r="E147" s="20" t="s">
        <v>373</v>
      </c>
      <c r="F147" s="20" t="s">
        <v>374</v>
      </c>
      <c r="G147" s="8" t="str">
        <f t="shared" si="4"/>
        <v>YORK EDGAR</v>
      </c>
      <c r="H147" s="20" t="str">
        <f t="shared" si="5"/>
        <v>4007</v>
      </c>
    </row>
    <row r="148" spans="1:8" x14ac:dyDescent="0.25">
      <c r="A148" s="8">
        <v>43027.39298611111</v>
      </c>
      <c r="B148" s="20" t="s">
        <v>491</v>
      </c>
      <c r="C148" s="20" t="s">
        <v>664</v>
      </c>
      <c r="D148" s="138">
        <v>3000000</v>
      </c>
      <c r="E148" s="20" t="s">
        <v>495</v>
      </c>
      <c r="F148" s="20" t="s">
        <v>496</v>
      </c>
      <c r="G148" s="8" t="str">
        <f t="shared" si="4"/>
        <v>FORTUNATO FRANK</v>
      </c>
      <c r="H148" s="20" t="str">
        <f t="shared" si="5"/>
        <v>4043</v>
      </c>
    </row>
    <row r="149" spans="1:8" x14ac:dyDescent="0.25">
      <c r="A149" s="8">
        <v>43027.393391203703</v>
      </c>
      <c r="B149" s="20" t="s">
        <v>562</v>
      </c>
      <c r="C149" s="20" t="s">
        <v>572</v>
      </c>
      <c r="D149" s="138">
        <v>940000</v>
      </c>
      <c r="E149" s="20" t="s">
        <v>462</v>
      </c>
      <c r="F149" s="20" t="s">
        <v>463</v>
      </c>
      <c r="G149" s="8" t="str">
        <f t="shared" si="4"/>
        <v>BONDS REYNALDO</v>
      </c>
      <c r="H149" s="20" t="str">
        <f t="shared" si="5"/>
        <v>4058</v>
      </c>
    </row>
    <row r="150" spans="1:8" x14ac:dyDescent="0.25">
      <c r="A150" s="8">
        <v>43027.402708333335</v>
      </c>
      <c r="B150" s="20" t="s">
        <v>483</v>
      </c>
      <c r="C150" s="20" t="s">
        <v>665</v>
      </c>
      <c r="D150" s="138">
        <v>1100000</v>
      </c>
      <c r="E150" s="20" t="s">
        <v>497</v>
      </c>
      <c r="F150" s="20" t="s">
        <v>498</v>
      </c>
      <c r="G150" s="8" t="str">
        <f t="shared" si="4"/>
        <v>GEBRETEKLE DAGNEW</v>
      </c>
      <c r="H150" s="20" t="str">
        <f t="shared" si="5"/>
        <v>4018</v>
      </c>
    </row>
    <row r="151" spans="1:8" x14ac:dyDescent="0.25">
      <c r="A151" s="8">
        <v>43027.405300925922</v>
      </c>
      <c r="B151" s="20" t="s">
        <v>484</v>
      </c>
      <c r="C151" s="20" t="s">
        <v>666</v>
      </c>
      <c r="D151" s="138">
        <v>2010000</v>
      </c>
      <c r="E151" s="20" t="s">
        <v>596</v>
      </c>
      <c r="F151" s="20" t="s">
        <v>597</v>
      </c>
      <c r="G151" s="8" t="str">
        <f t="shared" si="4"/>
        <v>MAELZER KURT</v>
      </c>
      <c r="H151" s="20" t="str">
        <f t="shared" si="5"/>
        <v>4005</v>
      </c>
    </row>
    <row r="152" spans="1:8" x14ac:dyDescent="0.25">
      <c r="A152" s="8">
        <v>43027.405925925923</v>
      </c>
      <c r="B152" s="20" t="s">
        <v>580</v>
      </c>
      <c r="C152" s="20" t="s">
        <v>667</v>
      </c>
      <c r="D152" s="138">
        <v>1990000</v>
      </c>
      <c r="E152" s="20" t="s">
        <v>493</v>
      </c>
      <c r="F152" s="20" t="s">
        <v>494</v>
      </c>
      <c r="G152" s="8" t="str">
        <f t="shared" si="4"/>
        <v>DAVIS WENDY</v>
      </c>
      <c r="H152" s="20" t="str">
        <f t="shared" si="5"/>
        <v>4021</v>
      </c>
    </row>
    <row r="153" spans="1:8" x14ac:dyDescent="0.25">
      <c r="A153" s="8">
        <v>43027.413437499999</v>
      </c>
      <c r="B153" s="20" t="s">
        <v>606</v>
      </c>
      <c r="C153" s="20" t="s">
        <v>668</v>
      </c>
      <c r="D153" s="138">
        <v>3040000</v>
      </c>
      <c r="E153" s="20" t="s">
        <v>602</v>
      </c>
      <c r="F153" s="20" t="s">
        <v>603</v>
      </c>
      <c r="G153" s="8" t="str">
        <f t="shared" si="4"/>
        <v>WILLIAMS DONTE</v>
      </c>
      <c r="H153" s="20" t="str">
        <f t="shared" si="5"/>
        <v>4016</v>
      </c>
    </row>
    <row r="154" spans="1:8" x14ac:dyDescent="0.25">
      <c r="A154" s="8">
        <v>43027.415520833332</v>
      </c>
      <c r="B154" s="20" t="s">
        <v>492</v>
      </c>
      <c r="C154" s="20" t="s">
        <v>573</v>
      </c>
      <c r="D154" s="138">
        <v>3000000</v>
      </c>
      <c r="E154" s="20" t="s">
        <v>495</v>
      </c>
      <c r="F154" s="20" t="s">
        <v>496</v>
      </c>
      <c r="G154" s="8" t="str">
        <f t="shared" si="4"/>
        <v>FORTUNATO FRANK</v>
      </c>
      <c r="H154" s="20" t="str">
        <f t="shared" si="5"/>
        <v>4044</v>
      </c>
    </row>
    <row r="155" spans="1:8" x14ac:dyDescent="0.25">
      <c r="A155" s="8">
        <v>43027.419282407405</v>
      </c>
      <c r="B155" s="20" t="s">
        <v>394</v>
      </c>
      <c r="C155" s="20" t="s">
        <v>669</v>
      </c>
      <c r="D155" s="138">
        <v>2730000</v>
      </c>
      <c r="E155" s="20" t="s">
        <v>437</v>
      </c>
      <c r="F155" s="20" t="s">
        <v>438</v>
      </c>
      <c r="G155" s="8" t="str">
        <f t="shared" si="4"/>
        <v>YANG JAN</v>
      </c>
      <c r="H155" s="20" t="str">
        <f t="shared" si="5"/>
        <v>4065</v>
      </c>
    </row>
    <row r="156" spans="1:8" x14ac:dyDescent="0.25">
      <c r="A156" s="8">
        <v>43027.422337962962</v>
      </c>
      <c r="B156" s="20" t="s">
        <v>576</v>
      </c>
      <c r="C156" s="20" t="s">
        <v>577</v>
      </c>
      <c r="D156" s="138">
        <v>1260000</v>
      </c>
      <c r="E156" s="20" t="s">
        <v>501</v>
      </c>
      <c r="F156" s="20" t="s">
        <v>502</v>
      </c>
      <c r="G156" s="8" t="str">
        <f t="shared" si="4"/>
        <v>ACKERMAN JARED</v>
      </c>
      <c r="H156" s="20" t="str">
        <f t="shared" si="5"/>
        <v>4022</v>
      </c>
    </row>
    <row r="157" spans="1:8" x14ac:dyDescent="0.25">
      <c r="A157" s="8">
        <v>43027.42359953704</v>
      </c>
      <c r="B157" s="20" t="s">
        <v>428</v>
      </c>
      <c r="C157" s="20" t="s">
        <v>670</v>
      </c>
      <c r="D157" s="138">
        <v>1990000</v>
      </c>
      <c r="E157" s="20" t="s">
        <v>493</v>
      </c>
      <c r="F157" s="20" t="s">
        <v>494</v>
      </c>
      <c r="G157" s="8" t="str">
        <f t="shared" si="4"/>
        <v>DAVIS WENDY</v>
      </c>
      <c r="H157" s="20" t="str">
        <f t="shared" si="5"/>
        <v>4008</v>
      </c>
    </row>
    <row r="158" spans="1:8" x14ac:dyDescent="0.25">
      <c r="A158" s="8">
        <v>43027.431157407409</v>
      </c>
      <c r="B158" s="20" t="s">
        <v>611</v>
      </c>
      <c r="C158" s="20" t="s">
        <v>671</v>
      </c>
      <c r="D158" s="138">
        <v>1230000</v>
      </c>
      <c r="E158" s="20" t="s">
        <v>440</v>
      </c>
      <c r="F158" s="20" t="s">
        <v>441</v>
      </c>
      <c r="G158" s="8" t="str">
        <f t="shared" si="4"/>
        <v>YANAI IAN</v>
      </c>
      <c r="H158" s="20" t="str">
        <f t="shared" si="5"/>
        <v>4014</v>
      </c>
    </row>
    <row r="159" spans="1:8" x14ac:dyDescent="0.25">
      <c r="A159" s="8">
        <v>43027.432060185187</v>
      </c>
      <c r="B159" s="20" t="s">
        <v>574</v>
      </c>
      <c r="C159" s="20" t="s">
        <v>575</v>
      </c>
      <c r="D159" s="138">
        <v>940000</v>
      </c>
      <c r="E159" s="20" t="s">
        <v>462</v>
      </c>
      <c r="F159" s="20" t="s">
        <v>463</v>
      </c>
      <c r="G159" s="8" t="str">
        <f t="shared" si="4"/>
        <v>BONDS REYNALDO</v>
      </c>
      <c r="H159" s="20" t="str">
        <f t="shared" si="5"/>
        <v>4057</v>
      </c>
    </row>
    <row r="160" spans="1:8" x14ac:dyDescent="0.25">
      <c r="A160" s="8">
        <v>43027.433344907404</v>
      </c>
      <c r="B160" s="20" t="s">
        <v>487</v>
      </c>
      <c r="C160" s="20" t="s">
        <v>672</v>
      </c>
      <c r="D160" s="138">
        <v>1100000</v>
      </c>
      <c r="E160" s="20" t="s">
        <v>497</v>
      </c>
      <c r="F160" s="20" t="s">
        <v>498</v>
      </c>
      <c r="G160" s="8" t="str">
        <f t="shared" si="4"/>
        <v>GEBRETEKLE DAGNEW</v>
      </c>
      <c r="H160" s="20" t="str">
        <f t="shared" si="5"/>
        <v>4017</v>
      </c>
    </row>
    <row r="161" spans="1:8" x14ac:dyDescent="0.25">
      <c r="A161" s="8">
        <v>43027.43509259259</v>
      </c>
      <c r="B161" s="20" t="s">
        <v>491</v>
      </c>
      <c r="C161" s="20" t="s">
        <v>673</v>
      </c>
      <c r="D161" s="138">
        <v>3000000</v>
      </c>
      <c r="E161" s="20" t="s">
        <v>495</v>
      </c>
      <c r="F161" s="20" t="s">
        <v>496</v>
      </c>
      <c r="G161" s="8" t="str">
        <f t="shared" si="4"/>
        <v>FORTUNATO FRANK</v>
      </c>
      <c r="H161" s="20" t="str">
        <f t="shared" si="5"/>
        <v>4043</v>
      </c>
    </row>
    <row r="162" spans="1:8" x14ac:dyDescent="0.25">
      <c r="A162" s="8">
        <v>43027.444398148145</v>
      </c>
      <c r="B162" s="20" t="s">
        <v>503</v>
      </c>
      <c r="C162" s="20" t="s">
        <v>674</v>
      </c>
      <c r="D162" s="138">
        <v>2550000</v>
      </c>
      <c r="E162" s="20" t="s">
        <v>675</v>
      </c>
      <c r="F162" s="20" t="s">
        <v>676</v>
      </c>
      <c r="G162" s="8" t="str">
        <f t="shared" si="4"/>
        <v>BADERTSCHER DIANE</v>
      </c>
      <c r="H162" s="20" t="str">
        <f t="shared" si="5"/>
        <v>4006</v>
      </c>
    </row>
    <row r="163" spans="1:8" x14ac:dyDescent="0.25">
      <c r="A163" s="8">
        <v>43027.448472222219</v>
      </c>
      <c r="B163" s="20" t="s">
        <v>580</v>
      </c>
      <c r="C163" s="20" t="s">
        <v>577</v>
      </c>
      <c r="D163" s="138">
        <v>2370000</v>
      </c>
      <c r="E163" s="20" t="s">
        <v>508</v>
      </c>
      <c r="F163" s="20" t="s">
        <v>509</v>
      </c>
      <c r="G163" s="8" t="str">
        <f t="shared" si="4"/>
        <v>DELGADO DIANAH</v>
      </c>
      <c r="H163" s="20" t="str">
        <f t="shared" si="5"/>
        <v>4021</v>
      </c>
    </row>
    <row r="164" spans="1:8" x14ac:dyDescent="0.25">
      <c r="A164" s="8">
        <v>43027.450266203705</v>
      </c>
      <c r="B164" s="20" t="s">
        <v>580</v>
      </c>
      <c r="C164" s="20" t="s">
        <v>577</v>
      </c>
      <c r="D164" s="138">
        <v>2370000</v>
      </c>
      <c r="E164" s="20" t="s">
        <v>508</v>
      </c>
      <c r="F164" s="20" t="s">
        <v>509</v>
      </c>
      <c r="G164" s="8" t="str">
        <f t="shared" si="4"/>
        <v>DELGADO DIANAH</v>
      </c>
      <c r="H164" s="20" t="str">
        <f t="shared" si="5"/>
        <v>4021</v>
      </c>
    </row>
    <row r="165" spans="1:8" x14ac:dyDescent="0.25">
      <c r="A165" s="8">
        <v>43027.452384259261</v>
      </c>
      <c r="B165" s="20" t="s">
        <v>560</v>
      </c>
      <c r="C165" s="20" t="s">
        <v>677</v>
      </c>
      <c r="D165" s="138">
        <v>3040000</v>
      </c>
      <c r="E165" s="20" t="s">
        <v>602</v>
      </c>
      <c r="F165" s="20" t="s">
        <v>603</v>
      </c>
      <c r="G165" s="8" t="str">
        <f t="shared" si="4"/>
        <v>WILLIAMS DONTE</v>
      </c>
      <c r="H165" s="20" t="str">
        <f t="shared" si="5"/>
        <v>4015</v>
      </c>
    </row>
    <row r="166" spans="1:8" x14ac:dyDescent="0.25">
      <c r="A166" s="8">
        <v>43027.454039351855</v>
      </c>
      <c r="B166" s="20" t="s">
        <v>393</v>
      </c>
      <c r="C166" s="20" t="s">
        <v>678</v>
      </c>
      <c r="D166" s="138">
        <v>2730000</v>
      </c>
      <c r="E166" s="20" t="s">
        <v>437</v>
      </c>
      <c r="F166" s="20" t="s">
        <v>438</v>
      </c>
      <c r="G166" s="8" t="str">
        <f t="shared" si="4"/>
        <v>YANG JAN</v>
      </c>
      <c r="H166" s="20" t="str">
        <f t="shared" si="5"/>
        <v>4066</v>
      </c>
    </row>
    <row r="167" spans="1:8" x14ac:dyDescent="0.25">
      <c r="A167" s="8">
        <v>43027.456319444442</v>
      </c>
      <c r="B167" s="20" t="s">
        <v>492</v>
      </c>
      <c r="C167" s="20" t="s">
        <v>679</v>
      </c>
      <c r="D167" s="138">
        <v>3000000</v>
      </c>
      <c r="E167" s="20" t="s">
        <v>495</v>
      </c>
      <c r="F167" s="20" t="s">
        <v>496</v>
      </c>
      <c r="G167" s="8" t="str">
        <f t="shared" si="4"/>
        <v>FORTUNATO FRANK</v>
      </c>
      <c r="H167" s="20" t="str">
        <f t="shared" si="5"/>
        <v>4044</v>
      </c>
    </row>
    <row r="168" spans="1:8" x14ac:dyDescent="0.25">
      <c r="A168" s="8">
        <v>43027.456944444442</v>
      </c>
      <c r="B168" s="20" t="s">
        <v>485</v>
      </c>
      <c r="C168" s="20" t="s">
        <v>680</v>
      </c>
      <c r="D168" s="138">
        <v>1990000</v>
      </c>
      <c r="E168" s="20" t="s">
        <v>493</v>
      </c>
      <c r="F168" s="20" t="s">
        <v>494</v>
      </c>
      <c r="G168" s="8" t="str">
        <f t="shared" si="4"/>
        <v>DAVIS WENDY</v>
      </c>
      <c r="H168" s="20" t="str">
        <f t="shared" si="5"/>
        <v>4007</v>
      </c>
    </row>
    <row r="169" spans="1:8" x14ac:dyDescent="0.25">
      <c r="A169" s="8">
        <v>43027.463819444441</v>
      </c>
      <c r="B169" s="20" t="s">
        <v>608</v>
      </c>
      <c r="C169" s="20" t="s">
        <v>681</v>
      </c>
      <c r="D169" s="138">
        <v>1230000</v>
      </c>
      <c r="E169" s="20" t="s">
        <v>440</v>
      </c>
      <c r="F169" s="20" t="s">
        <v>441</v>
      </c>
      <c r="G169" s="8" t="str">
        <f t="shared" si="4"/>
        <v>YANAI IAN</v>
      </c>
      <c r="H169" s="20" t="str">
        <f t="shared" si="5"/>
        <v>4013</v>
      </c>
    </row>
    <row r="170" spans="1:8" x14ac:dyDescent="0.25">
      <c r="A170" s="8">
        <v>43027.466782407406</v>
      </c>
      <c r="B170" s="20" t="s">
        <v>562</v>
      </c>
      <c r="C170" s="20" t="s">
        <v>682</v>
      </c>
      <c r="D170" s="138">
        <v>1770000</v>
      </c>
      <c r="E170" s="20" t="s">
        <v>467</v>
      </c>
      <c r="F170" s="20" t="s">
        <v>468</v>
      </c>
      <c r="G170" s="8" t="str">
        <f t="shared" si="4"/>
        <v>BRUDER RICHARD</v>
      </c>
      <c r="H170" s="20" t="str">
        <f t="shared" si="5"/>
        <v>4058</v>
      </c>
    </row>
    <row r="171" spans="1:8" x14ac:dyDescent="0.25">
      <c r="A171" s="8">
        <v>43027.471666666665</v>
      </c>
      <c r="B171" s="20" t="s">
        <v>576</v>
      </c>
      <c r="C171" s="20" t="s">
        <v>577</v>
      </c>
      <c r="D171" s="138">
        <v>940000</v>
      </c>
      <c r="E171" s="20" t="s">
        <v>462</v>
      </c>
      <c r="F171" s="20" t="s">
        <v>463</v>
      </c>
      <c r="G171" s="8" t="str">
        <f t="shared" si="4"/>
        <v>BONDS REYNALDO</v>
      </c>
      <c r="H171" s="20" t="str">
        <f t="shared" si="5"/>
        <v>4022</v>
      </c>
    </row>
    <row r="172" spans="1:8" x14ac:dyDescent="0.25">
      <c r="A172" s="8">
        <v>43027.47619212963</v>
      </c>
      <c r="B172" s="20" t="s">
        <v>483</v>
      </c>
      <c r="C172" s="20" t="s">
        <v>683</v>
      </c>
      <c r="D172" s="138">
        <v>880000</v>
      </c>
      <c r="E172" s="20" t="s">
        <v>404</v>
      </c>
      <c r="F172" s="20" t="s">
        <v>388</v>
      </c>
      <c r="G172" s="8" t="str">
        <f t="shared" si="4"/>
        <v>STEWART MICHAEL</v>
      </c>
      <c r="H172" s="20" t="str">
        <f t="shared" si="5"/>
        <v>4018</v>
      </c>
    </row>
    <row r="173" spans="1:8" x14ac:dyDescent="0.25">
      <c r="A173" s="8">
        <v>43027.476203703707</v>
      </c>
      <c r="B173" s="20" t="s">
        <v>491</v>
      </c>
      <c r="C173" s="20" t="s">
        <v>684</v>
      </c>
      <c r="D173" s="138">
        <v>3000000</v>
      </c>
      <c r="E173" s="20" t="s">
        <v>495</v>
      </c>
      <c r="F173" s="20" t="s">
        <v>496</v>
      </c>
      <c r="G173" s="8" t="str">
        <f t="shared" si="4"/>
        <v>FORTUNATO FRANK</v>
      </c>
      <c r="H173" s="20" t="str">
        <f t="shared" si="5"/>
        <v>4043</v>
      </c>
    </row>
    <row r="174" spans="1:8" x14ac:dyDescent="0.25">
      <c r="A174" s="8">
        <v>43027.477349537039</v>
      </c>
      <c r="B174" s="20" t="s">
        <v>578</v>
      </c>
      <c r="C174" s="20" t="s">
        <v>579</v>
      </c>
      <c r="D174" s="138">
        <v>2350000</v>
      </c>
      <c r="E174" s="20" t="s">
        <v>504</v>
      </c>
      <c r="F174" s="20" t="s">
        <v>505</v>
      </c>
      <c r="G174" s="8" t="str">
        <f t="shared" si="4"/>
        <v>BERLING GARY</v>
      </c>
      <c r="H174" s="20" t="str">
        <f t="shared" si="5"/>
        <v>4031</v>
      </c>
    </row>
    <row r="175" spans="1:8" x14ac:dyDescent="0.25">
      <c r="A175" s="8">
        <v>43027.480740740742</v>
      </c>
      <c r="B175" s="20" t="s">
        <v>484</v>
      </c>
      <c r="C175" s="20" t="s">
        <v>685</v>
      </c>
      <c r="D175" s="138">
        <v>2550000</v>
      </c>
      <c r="E175" s="20" t="s">
        <v>675</v>
      </c>
      <c r="F175" s="20" t="s">
        <v>676</v>
      </c>
      <c r="G175" s="8" t="str">
        <f t="shared" si="4"/>
        <v>BADERTSCHER DIANE</v>
      </c>
      <c r="H175" s="20" t="str">
        <f t="shared" si="5"/>
        <v>4005</v>
      </c>
    </row>
    <row r="176" spans="1:8" x14ac:dyDescent="0.25">
      <c r="A176" s="8">
        <v>43027.487372685187</v>
      </c>
      <c r="B176" s="20" t="s">
        <v>606</v>
      </c>
      <c r="C176" s="20" t="s">
        <v>686</v>
      </c>
      <c r="D176" s="138">
        <v>1300000</v>
      </c>
      <c r="E176" s="20" t="s">
        <v>446</v>
      </c>
      <c r="F176" s="20" t="s">
        <v>447</v>
      </c>
      <c r="G176" s="8" t="str">
        <f t="shared" si="4"/>
        <v>LEVIN SCOTT</v>
      </c>
      <c r="H176" s="20" t="str">
        <f t="shared" si="5"/>
        <v>4016</v>
      </c>
    </row>
    <row r="177" spans="1:8" x14ac:dyDescent="0.25">
      <c r="A177" s="8">
        <v>43027.491678240738</v>
      </c>
      <c r="B177" s="20" t="s">
        <v>394</v>
      </c>
      <c r="C177" s="20" t="s">
        <v>687</v>
      </c>
      <c r="D177" s="138">
        <v>2730000</v>
      </c>
      <c r="E177" s="20" t="s">
        <v>437</v>
      </c>
      <c r="F177" s="20" t="s">
        <v>438</v>
      </c>
      <c r="G177" s="8" t="str">
        <f t="shared" si="4"/>
        <v>YANG JAN</v>
      </c>
      <c r="H177" s="20" t="str">
        <f t="shared" si="5"/>
        <v>4065</v>
      </c>
    </row>
    <row r="178" spans="1:8" x14ac:dyDescent="0.25">
      <c r="A178" s="8">
        <v>43027.492337962962</v>
      </c>
      <c r="B178" s="20" t="s">
        <v>580</v>
      </c>
      <c r="C178" s="20" t="s">
        <v>581</v>
      </c>
      <c r="D178" s="138">
        <v>2030000</v>
      </c>
      <c r="E178" s="20" t="s">
        <v>688</v>
      </c>
      <c r="F178" s="20" t="s">
        <v>689</v>
      </c>
      <c r="G178" s="8" t="str">
        <f t="shared" si="4"/>
        <v>KILLION DAVID</v>
      </c>
      <c r="H178" s="20" t="str">
        <f t="shared" si="5"/>
        <v>4021</v>
      </c>
    </row>
    <row r="179" spans="1:8" x14ac:dyDescent="0.25">
      <c r="A179" s="8">
        <v>43027.497129629628</v>
      </c>
      <c r="B179" s="20" t="s">
        <v>428</v>
      </c>
      <c r="C179" s="20" t="s">
        <v>690</v>
      </c>
      <c r="D179" s="138">
        <v>2350000</v>
      </c>
      <c r="E179" s="20" t="s">
        <v>504</v>
      </c>
      <c r="F179" s="20" t="s">
        <v>505</v>
      </c>
      <c r="G179" s="8" t="str">
        <f t="shared" si="4"/>
        <v>BERLING GARY</v>
      </c>
      <c r="H179" s="20" t="str">
        <f t="shared" si="5"/>
        <v>4008</v>
      </c>
    </row>
    <row r="180" spans="1:8" x14ac:dyDescent="0.25">
      <c r="A180" s="8">
        <v>43027.499108796299</v>
      </c>
      <c r="B180" s="20" t="s">
        <v>492</v>
      </c>
      <c r="C180" s="20" t="s">
        <v>691</v>
      </c>
      <c r="D180" s="138">
        <v>3000000</v>
      </c>
      <c r="E180" s="20" t="s">
        <v>495</v>
      </c>
      <c r="F180" s="20" t="s">
        <v>496</v>
      </c>
      <c r="G180" s="8" t="str">
        <f t="shared" si="4"/>
        <v>FORTUNATO FRANK</v>
      </c>
      <c r="H180" s="20" t="str">
        <f t="shared" si="5"/>
        <v>4044</v>
      </c>
    </row>
    <row r="181" spans="1:8" x14ac:dyDescent="0.25">
      <c r="A181" s="8">
        <v>43027.504270833335</v>
      </c>
      <c r="B181" s="20" t="s">
        <v>692</v>
      </c>
      <c r="C181" s="20" t="s">
        <v>693</v>
      </c>
      <c r="D181" s="138">
        <v>1990000</v>
      </c>
      <c r="E181" s="20" t="s">
        <v>493</v>
      </c>
      <c r="F181" s="20" t="s">
        <v>494</v>
      </c>
      <c r="G181" s="8" t="str">
        <f t="shared" si="4"/>
        <v>DAVIS WENDY</v>
      </c>
      <c r="H181" s="20" t="str">
        <f t="shared" si="5"/>
        <v>4032</v>
      </c>
    </row>
    <row r="182" spans="1:8" x14ac:dyDescent="0.25">
      <c r="A182" s="8">
        <v>43027.506423611114</v>
      </c>
      <c r="B182" s="20" t="s">
        <v>574</v>
      </c>
      <c r="C182" s="20" t="s">
        <v>694</v>
      </c>
      <c r="D182" s="138">
        <v>1770000</v>
      </c>
      <c r="E182" s="20" t="s">
        <v>467</v>
      </c>
      <c r="F182" s="20" t="s">
        <v>468</v>
      </c>
      <c r="G182" s="8" t="str">
        <f t="shared" si="4"/>
        <v>BRUDER RICHARD</v>
      </c>
      <c r="H182" s="20" t="str">
        <f t="shared" si="5"/>
        <v>4057</v>
      </c>
    </row>
    <row r="183" spans="1:8" x14ac:dyDescent="0.25">
      <c r="A183" s="8">
        <v>43027.506979166668</v>
      </c>
      <c r="B183" s="20" t="s">
        <v>611</v>
      </c>
      <c r="C183" s="20" t="s">
        <v>695</v>
      </c>
      <c r="D183" s="138">
        <v>1180000</v>
      </c>
      <c r="E183" s="20" t="s">
        <v>444</v>
      </c>
      <c r="F183" s="20" t="s">
        <v>445</v>
      </c>
      <c r="G183" s="8" t="str">
        <f t="shared" si="4"/>
        <v>LEVERE CRAIG</v>
      </c>
      <c r="H183" s="20" t="str">
        <f t="shared" si="5"/>
        <v>4014</v>
      </c>
    </row>
    <row r="184" spans="1:8" x14ac:dyDescent="0.25">
      <c r="A184" s="8">
        <v>43027.515694444446</v>
      </c>
      <c r="B184" s="20" t="s">
        <v>487</v>
      </c>
      <c r="C184" s="20" t="s">
        <v>582</v>
      </c>
      <c r="D184" s="138">
        <v>880000</v>
      </c>
      <c r="E184" s="20" t="s">
        <v>404</v>
      </c>
      <c r="F184" s="20" t="s">
        <v>388</v>
      </c>
      <c r="G184" s="8" t="str">
        <f t="shared" si="4"/>
        <v>STEWART MICHAEL</v>
      </c>
      <c r="H184" s="20" t="str">
        <f t="shared" si="5"/>
        <v>4017</v>
      </c>
    </row>
    <row r="185" spans="1:8" x14ac:dyDescent="0.25">
      <c r="A185" s="8">
        <v>43027.51730324074</v>
      </c>
      <c r="B185" s="20" t="s">
        <v>503</v>
      </c>
      <c r="C185" s="20" t="s">
        <v>696</v>
      </c>
      <c r="D185" s="138">
        <v>2550000</v>
      </c>
      <c r="E185" s="20" t="s">
        <v>675</v>
      </c>
      <c r="F185" s="20" t="s">
        <v>676</v>
      </c>
      <c r="G185" s="8" t="str">
        <f t="shared" si="4"/>
        <v>BADERTSCHER DIANE</v>
      </c>
      <c r="H185" s="20" t="str">
        <f t="shared" si="5"/>
        <v>4006</v>
      </c>
    </row>
    <row r="186" spans="1:8" x14ac:dyDescent="0.25">
      <c r="A186" s="8">
        <v>43027.518067129633</v>
      </c>
      <c r="B186" s="20" t="s">
        <v>491</v>
      </c>
      <c r="C186" s="20" t="s">
        <v>697</v>
      </c>
      <c r="D186" s="138">
        <v>3000000</v>
      </c>
      <c r="E186" s="20" t="s">
        <v>495</v>
      </c>
      <c r="F186" s="20" t="s">
        <v>496</v>
      </c>
      <c r="G186" s="8" t="str">
        <f t="shared" si="4"/>
        <v>FORTUNATO FRANK</v>
      </c>
      <c r="H186" s="20" t="str">
        <f t="shared" si="5"/>
        <v>4043</v>
      </c>
    </row>
    <row r="187" spans="1:8" x14ac:dyDescent="0.25">
      <c r="A187" s="8">
        <v>43027.522650462961</v>
      </c>
      <c r="B187" s="20" t="s">
        <v>560</v>
      </c>
      <c r="C187" s="20" t="s">
        <v>698</v>
      </c>
      <c r="D187" s="138">
        <v>1300000</v>
      </c>
      <c r="E187" s="20" t="s">
        <v>446</v>
      </c>
      <c r="F187" s="20" t="s">
        <v>447</v>
      </c>
      <c r="G187" s="8" t="str">
        <f t="shared" si="4"/>
        <v>LEVIN SCOTT</v>
      </c>
      <c r="H187" s="20" t="str">
        <f t="shared" si="5"/>
        <v>4015</v>
      </c>
    </row>
    <row r="188" spans="1:8" x14ac:dyDescent="0.25">
      <c r="A188" s="8">
        <v>43027.526666666665</v>
      </c>
      <c r="B188" s="20" t="s">
        <v>393</v>
      </c>
      <c r="C188" s="20" t="s">
        <v>699</v>
      </c>
      <c r="D188" s="138">
        <v>2030000</v>
      </c>
      <c r="E188" s="20" t="s">
        <v>688</v>
      </c>
      <c r="F188" s="20" t="s">
        <v>689</v>
      </c>
      <c r="G188" s="8" t="str">
        <f t="shared" si="4"/>
        <v>KILLION DAVID</v>
      </c>
      <c r="H188" s="20" t="str">
        <f t="shared" si="5"/>
        <v>4066</v>
      </c>
    </row>
    <row r="189" spans="1:8" x14ac:dyDescent="0.25">
      <c r="A189" s="8">
        <v>43027.530740740738</v>
      </c>
      <c r="B189" s="20" t="s">
        <v>576</v>
      </c>
      <c r="C189" s="20" t="s">
        <v>700</v>
      </c>
      <c r="D189" s="138">
        <v>2730000</v>
      </c>
      <c r="E189" s="20" t="s">
        <v>437</v>
      </c>
      <c r="F189" s="20" t="s">
        <v>438</v>
      </c>
      <c r="G189" s="8" t="str">
        <f t="shared" si="4"/>
        <v>YANG JAN</v>
      </c>
      <c r="H189" s="20" t="str">
        <f t="shared" si="5"/>
        <v>4022</v>
      </c>
    </row>
    <row r="190" spans="1:8" x14ac:dyDescent="0.25">
      <c r="A190" s="8">
        <v>43027.533993055556</v>
      </c>
      <c r="B190" s="20" t="s">
        <v>485</v>
      </c>
      <c r="C190" s="20" t="s">
        <v>701</v>
      </c>
      <c r="D190" s="138">
        <v>2350000</v>
      </c>
      <c r="E190" s="20" t="s">
        <v>504</v>
      </c>
      <c r="F190" s="20" t="s">
        <v>505</v>
      </c>
      <c r="G190" s="8" t="str">
        <f t="shared" si="4"/>
        <v>BERLING GARY</v>
      </c>
      <c r="H190" s="20" t="str">
        <f t="shared" si="5"/>
        <v>4007</v>
      </c>
    </row>
    <row r="191" spans="1:8" x14ac:dyDescent="0.25">
      <c r="A191" s="8">
        <v>43027.537824074076</v>
      </c>
      <c r="B191" s="20" t="s">
        <v>562</v>
      </c>
      <c r="C191" s="20" t="s">
        <v>702</v>
      </c>
      <c r="D191" s="138">
        <v>1770000</v>
      </c>
      <c r="E191" s="20" t="s">
        <v>467</v>
      </c>
      <c r="F191" s="20" t="s">
        <v>468</v>
      </c>
      <c r="G191" s="8" t="str">
        <f t="shared" si="4"/>
        <v>BRUDER RICHARD</v>
      </c>
      <c r="H191" s="20" t="str">
        <f t="shared" si="5"/>
        <v>4058</v>
      </c>
    </row>
    <row r="192" spans="1:8" x14ac:dyDescent="0.25">
      <c r="A192" s="8">
        <v>43027.543993055559</v>
      </c>
      <c r="B192" s="20" t="s">
        <v>608</v>
      </c>
      <c r="C192" s="20" t="s">
        <v>703</v>
      </c>
      <c r="D192" s="138">
        <v>1180000</v>
      </c>
      <c r="E192" s="20" t="s">
        <v>444</v>
      </c>
      <c r="F192" s="20" t="s">
        <v>445</v>
      </c>
      <c r="G192" s="8" t="str">
        <f t="shared" si="4"/>
        <v>LEVERE CRAIG</v>
      </c>
      <c r="H192" s="20" t="str">
        <f t="shared" si="5"/>
        <v>4013</v>
      </c>
    </row>
    <row r="193" spans="1:8" x14ac:dyDescent="0.25">
      <c r="A193" s="8">
        <v>43027.545752314814</v>
      </c>
      <c r="B193" s="20" t="s">
        <v>492</v>
      </c>
      <c r="C193" s="20" t="s">
        <v>704</v>
      </c>
      <c r="D193" s="138">
        <v>2000000</v>
      </c>
      <c r="E193" s="20" t="s">
        <v>370</v>
      </c>
      <c r="F193" s="20" t="s">
        <v>361</v>
      </c>
      <c r="G193" s="8" t="str">
        <f t="shared" si="4"/>
        <v>STAMBAUGH JAMES</v>
      </c>
      <c r="H193" s="20" t="str">
        <f t="shared" si="5"/>
        <v>4044</v>
      </c>
    </row>
    <row r="194" spans="1:8" x14ac:dyDescent="0.25">
      <c r="A194" s="8">
        <v>43027.548715277779</v>
      </c>
      <c r="B194" s="20" t="s">
        <v>483</v>
      </c>
      <c r="C194" s="20" t="s">
        <v>705</v>
      </c>
      <c r="D194" s="138">
        <v>2040000</v>
      </c>
      <c r="E194" s="20" t="s">
        <v>471</v>
      </c>
      <c r="F194" s="20" t="s">
        <v>472</v>
      </c>
      <c r="G194" s="8" t="str">
        <f t="shared" si="4"/>
        <v>MOSES BRADLEY</v>
      </c>
      <c r="H194" s="20" t="str">
        <f t="shared" si="5"/>
        <v>4018</v>
      </c>
    </row>
    <row r="195" spans="1:8" x14ac:dyDescent="0.25">
      <c r="A195" s="8">
        <v>43027.554432870369</v>
      </c>
      <c r="B195" s="20" t="s">
        <v>484</v>
      </c>
      <c r="C195" s="20" t="s">
        <v>706</v>
      </c>
      <c r="D195" s="138">
        <v>2550000</v>
      </c>
      <c r="E195" s="20" t="s">
        <v>675</v>
      </c>
      <c r="F195" s="20" t="s">
        <v>676</v>
      </c>
      <c r="G195" s="8" t="str">
        <f t="shared" ref="G195:G258" si="6">E195&amp;" "&amp;F195</f>
        <v>BADERTSCHER DIANE</v>
      </c>
      <c r="H195" s="20" t="str">
        <f t="shared" ref="H195:H258" si="7">MID(B195,13,4)</f>
        <v>4005</v>
      </c>
    </row>
    <row r="196" spans="1:8" x14ac:dyDescent="0.25">
      <c r="A196" s="8">
        <v>43027.559317129628</v>
      </c>
      <c r="B196" s="20" t="s">
        <v>491</v>
      </c>
      <c r="C196" s="20" t="s">
        <v>707</v>
      </c>
      <c r="D196" s="138">
        <v>2000000</v>
      </c>
      <c r="E196" s="20" t="s">
        <v>370</v>
      </c>
      <c r="F196" s="20" t="s">
        <v>361</v>
      </c>
      <c r="G196" s="8" t="str">
        <f t="shared" si="6"/>
        <v>STAMBAUGH JAMES</v>
      </c>
      <c r="H196" s="20" t="str">
        <f t="shared" si="7"/>
        <v>4043</v>
      </c>
    </row>
    <row r="197" spans="1:8" x14ac:dyDescent="0.25">
      <c r="A197" s="8">
        <v>43027.559918981482</v>
      </c>
      <c r="B197" s="20" t="s">
        <v>606</v>
      </c>
      <c r="C197" s="20" t="s">
        <v>708</v>
      </c>
      <c r="D197" s="138">
        <v>1300000</v>
      </c>
      <c r="E197" s="20" t="s">
        <v>446</v>
      </c>
      <c r="F197" s="20" t="s">
        <v>447</v>
      </c>
      <c r="G197" s="8" t="str">
        <f t="shared" si="6"/>
        <v>LEVIN SCOTT</v>
      </c>
      <c r="H197" s="20" t="str">
        <f t="shared" si="7"/>
        <v>4016</v>
      </c>
    </row>
    <row r="198" spans="1:8" x14ac:dyDescent="0.25">
      <c r="A198" s="8">
        <v>43027.563136574077</v>
      </c>
      <c r="B198" s="20" t="s">
        <v>394</v>
      </c>
      <c r="C198" s="20" t="s">
        <v>583</v>
      </c>
      <c r="D198" s="138">
        <v>2030000</v>
      </c>
      <c r="E198" s="20" t="s">
        <v>688</v>
      </c>
      <c r="F198" s="20" t="s">
        <v>689</v>
      </c>
      <c r="G198" s="8" t="str">
        <f t="shared" si="6"/>
        <v>KILLION DAVID</v>
      </c>
      <c r="H198" s="20" t="str">
        <f t="shared" si="7"/>
        <v>4065</v>
      </c>
    </row>
    <row r="199" spans="1:8" x14ac:dyDescent="0.25">
      <c r="A199" s="8">
        <v>43027.568993055553</v>
      </c>
      <c r="B199" s="20" t="s">
        <v>428</v>
      </c>
      <c r="C199" s="20" t="s">
        <v>709</v>
      </c>
      <c r="D199" s="138">
        <v>2350000</v>
      </c>
      <c r="E199" s="20" t="s">
        <v>504</v>
      </c>
      <c r="F199" s="20" t="s">
        <v>505</v>
      </c>
      <c r="G199" s="8" t="str">
        <f t="shared" si="6"/>
        <v>BERLING GARY</v>
      </c>
      <c r="H199" s="20" t="str">
        <f t="shared" si="7"/>
        <v>4008</v>
      </c>
    </row>
    <row r="200" spans="1:8" x14ac:dyDescent="0.25">
      <c r="A200" s="8">
        <v>43027.579189814816</v>
      </c>
      <c r="B200" s="20" t="s">
        <v>574</v>
      </c>
      <c r="C200" s="20" t="s">
        <v>710</v>
      </c>
      <c r="D200" s="138">
        <v>1770000</v>
      </c>
      <c r="E200" s="20" t="s">
        <v>467</v>
      </c>
      <c r="F200" s="20" t="s">
        <v>468</v>
      </c>
      <c r="G200" s="8" t="str">
        <f t="shared" si="6"/>
        <v>BRUDER RICHARD</v>
      </c>
      <c r="H200" s="20" t="str">
        <f t="shared" si="7"/>
        <v>4057</v>
      </c>
    </row>
    <row r="201" spans="1:8" x14ac:dyDescent="0.25">
      <c r="A201" s="8">
        <v>43027.579629629632</v>
      </c>
      <c r="B201" s="20" t="s">
        <v>611</v>
      </c>
      <c r="C201" s="20" t="s">
        <v>711</v>
      </c>
      <c r="D201" s="138">
        <v>1180000</v>
      </c>
      <c r="E201" s="20" t="s">
        <v>444</v>
      </c>
      <c r="F201" s="20" t="s">
        <v>445</v>
      </c>
      <c r="G201" s="8" t="str">
        <f t="shared" si="6"/>
        <v>LEVERE CRAIG</v>
      </c>
      <c r="H201" s="20" t="str">
        <f t="shared" si="7"/>
        <v>4014</v>
      </c>
    </row>
    <row r="202" spans="1:8" x14ac:dyDescent="0.25">
      <c r="A202" s="26">
        <v>43027.588078703702</v>
      </c>
      <c r="B202" s="20" t="s">
        <v>492</v>
      </c>
      <c r="C202" s="20" t="s">
        <v>712</v>
      </c>
      <c r="D202" s="138">
        <v>2000000</v>
      </c>
      <c r="E202" s="20" t="s">
        <v>370</v>
      </c>
      <c r="F202" s="20" t="s">
        <v>361</v>
      </c>
      <c r="G202" s="8" t="str">
        <f t="shared" si="6"/>
        <v>STAMBAUGH JAMES</v>
      </c>
      <c r="H202" s="20" t="str">
        <f t="shared" si="7"/>
        <v>4044</v>
      </c>
    </row>
    <row r="203" spans="1:8" x14ac:dyDescent="0.25">
      <c r="A203" s="8">
        <v>43027.589895833335</v>
      </c>
      <c r="B203" s="20" t="s">
        <v>503</v>
      </c>
      <c r="C203" s="20" t="s">
        <v>713</v>
      </c>
      <c r="D203" s="138">
        <v>2550000</v>
      </c>
      <c r="E203" s="20" t="s">
        <v>675</v>
      </c>
      <c r="F203" s="20" t="s">
        <v>676</v>
      </c>
      <c r="G203" s="8" t="str">
        <f t="shared" si="6"/>
        <v>BADERTSCHER DIANE</v>
      </c>
      <c r="H203" s="20" t="str">
        <f t="shared" si="7"/>
        <v>4006</v>
      </c>
    </row>
    <row r="204" spans="1:8" x14ac:dyDescent="0.25">
      <c r="A204" s="8">
        <v>43027.590254629627</v>
      </c>
      <c r="B204" s="20" t="s">
        <v>487</v>
      </c>
      <c r="C204" s="20" t="s">
        <v>714</v>
      </c>
      <c r="D204" s="138">
        <v>2040000</v>
      </c>
      <c r="E204" s="20" t="s">
        <v>471</v>
      </c>
      <c r="F204" s="20" t="s">
        <v>472</v>
      </c>
      <c r="G204" s="8" t="str">
        <f t="shared" si="6"/>
        <v>MOSES BRADLEY</v>
      </c>
      <c r="H204" s="20" t="str">
        <f t="shared" si="7"/>
        <v>4017</v>
      </c>
    </row>
    <row r="205" spans="1:8" x14ac:dyDescent="0.25">
      <c r="A205" s="8">
        <v>43027.593368055554</v>
      </c>
      <c r="B205" s="20" t="s">
        <v>560</v>
      </c>
      <c r="C205" s="20" t="s">
        <v>715</v>
      </c>
      <c r="D205" s="138">
        <v>1300000</v>
      </c>
      <c r="E205" s="20" t="s">
        <v>446</v>
      </c>
      <c r="F205" s="20" t="s">
        <v>447</v>
      </c>
      <c r="G205" s="8" t="str">
        <f t="shared" si="6"/>
        <v>LEVIN SCOTT</v>
      </c>
      <c r="H205" s="20" t="str">
        <f t="shared" si="7"/>
        <v>4015</v>
      </c>
    </row>
    <row r="206" spans="1:8" x14ac:dyDescent="0.25">
      <c r="A206" s="8">
        <v>43027.600439814814</v>
      </c>
      <c r="B206" s="20" t="s">
        <v>393</v>
      </c>
      <c r="C206" s="20" t="s">
        <v>586</v>
      </c>
      <c r="D206" s="138">
        <v>2030000</v>
      </c>
      <c r="E206" s="20" t="s">
        <v>688</v>
      </c>
      <c r="F206" s="20" t="s">
        <v>689</v>
      </c>
      <c r="G206" s="8" t="str">
        <f t="shared" si="6"/>
        <v>KILLION DAVID</v>
      </c>
      <c r="H206" s="20" t="str">
        <f t="shared" si="7"/>
        <v>4066</v>
      </c>
    </row>
    <row r="207" spans="1:8" x14ac:dyDescent="0.25">
      <c r="A207" s="8">
        <v>43027.600752314815</v>
      </c>
      <c r="B207" s="20" t="s">
        <v>491</v>
      </c>
      <c r="C207" s="20" t="s">
        <v>585</v>
      </c>
      <c r="D207" s="138">
        <v>2000000</v>
      </c>
      <c r="E207" s="20" t="s">
        <v>370</v>
      </c>
      <c r="F207" s="20" t="s">
        <v>361</v>
      </c>
      <c r="G207" s="8" t="str">
        <f t="shared" si="6"/>
        <v>STAMBAUGH JAMES</v>
      </c>
      <c r="H207" s="20" t="str">
        <f t="shared" si="7"/>
        <v>4043</v>
      </c>
    </row>
    <row r="208" spans="1:8" x14ac:dyDescent="0.25">
      <c r="A208" s="8">
        <v>43027.608784722222</v>
      </c>
      <c r="B208" s="20" t="s">
        <v>485</v>
      </c>
      <c r="C208" s="20" t="s">
        <v>584</v>
      </c>
      <c r="D208" s="138">
        <v>2350000</v>
      </c>
      <c r="E208" s="20" t="s">
        <v>504</v>
      </c>
      <c r="F208" s="20" t="s">
        <v>505</v>
      </c>
      <c r="G208" s="8" t="str">
        <f t="shared" si="6"/>
        <v>BERLING GARY</v>
      </c>
      <c r="H208" s="20" t="str">
        <f t="shared" si="7"/>
        <v>4007</v>
      </c>
    </row>
    <row r="209" spans="1:8" x14ac:dyDescent="0.25">
      <c r="A209" s="8">
        <v>43027.611284722225</v>
      </c>
      <c r="B209" s="20" t="s">
        <v>562</v>
      </c>
      <c r="C209" s="20" t="s">
        <v>716</v>
      </c>
      <c r="D209" s="138">
        <v>1770000</v>
      </c>
      <c r="E209" s="20" t="s">
        <v>467</v>
      </c>
      <c r="F209" s="20" t="s">
        <v>468</v>
      </c>
      <c r="G209" s="8" t="str">
        <f t="shared" si="6"/>
        <v>BRUDER RICHARD</v>
      </c>
      <c r="H209" s="20" t="str">
        <f t="shared" si="7"/>
        <v>4058</v>
      </c>
    </row>
    <row r="210" spans="1:8" x14ac:dyDescent="0.25">
      <c r="A210" s="8">
        <v>43027.618449074071</v>
      </c>
      <c r="B210" s="20" t="s">
        <v>608</v>
      </c>
      <c r="C210" s="20" t="s">
        <v>717</v>
      </c>
      <c r="D210" s="138">
        <v>1180000</v>
      </c>
      <c r="E210" s="20" t="s">
        <v>444</v>
      </c>
      <c r="F210" s="20" t="s">
        <v>445</v>
      </c>
      <c r="G210" s="8" t="str">
        <f t="shared" si="6"/>
        <v>LEVERE CRAIG</v>
      </c>
      <c r="H210" s="20" t="str">
        <f t="shared" si="7"/>
        <v>4013</v>
      </c>
    </row>
    <row r="211" spans="1:8" x14ac:dyDescent="0.25">
      <c r="A211" s="8">
        <v>43027.621365740742</v>
      </c>
      <c r="B211" s="20" t="s">
        <v>483</v>
      </c>
      <c r="C211" s="20" t="s">
        <v>718</v>
      </c>
      <c r="D211" s="138">
        <v>880000</v>
      </c>
      <c r="E211" s="20" t="s">
        <v>404</v>
      </c>
      <c r="F211" s="20" t="s">
        <v>388</v>
      </c>
      <c r="G211" s="8" t="str">
        <f t="shared" si="6"/>
        <v>STEWART MICHAEL</v>
      </c>
      <c r="H211" s="20" t="str">
        <f t="shared" si="7"/>
        <v>4018</v>
      </c>
    </row>
    <row r="212" spans="1:8" x14ac:dyDescent="0.25">
      <c r="A212" s="8">
        <v>43027.627986111111</v>
      </c>
      <c r="B212" s="20" t="s">
        <v>566</v>
      </c>
      <c r="C212" s="20" t="s">
        <v>719</v>
      </c>
      <c r="D212" s="138">
        <v>3280000</v>
      </c>
      <c r="E212" s="20" t="s">
        <v>473</v>
      </c>
      <c r="F212" s="20" t="s">
        <v>474</v>
      </c>
      <c r="G212" s="8" t="str">
        <f t="shared" si="6"/>
        <v>BIRKHOLZ NADINE</v>
      </c>
      <c r="H212" s="20" t="str">
        <f t="shared" si="7"/>
        <v>4023</v>
      </c>
    </row>
    <row r="213" spans="1:8" x14ac:dyDescent="0.25">
      <c r="A213" s="8">
        <v>43027.629907407405</v>
      </c>
      <c r="B213" s="20" t="s">
        <v>492</v>
      </c>
      <c r="C213" s="20" t="s">
        <v>720</v>
      </c>
      <c r="D213" s="138">
        <v>2000000</v>
      </c>
      <c r="E213" s="20" t="s">
        <v>370</v>
      </c>
      <c r="F213" s="20" t="s">
        <v>361</v>
      </c>
      <c r="G213" s="8" t="str">
        <f t="shared" si="6"/>
        <v>STAMBAUGH JAMES</v>
      </c>
      <c r="H213" s="20" t="str">
        <f t="shared" si="7"/>
        <v>4044</v>
      </c>
    </row>
    <row r="214" spans="1:8" x14ac:dyDescent="0.25">
      <c r="A214" s="8">
        <v>43027.629988425928</v>
      </c>
      <c r="B214" s="20" t="s">
        <v>484</v>
      </c>
      <c r="C214" s="20" t="s">
        <v>721</v>
      </c>
      <c r="D214" s="138">
        <v>2550000</v>
      </c>
      <c r="E214" s="20" t="s">
        <v>675</v>
      </c>
      <c r="F214" s="20" t="s">
        <v>676</v>
      </c>
      <c r="G214" s="8" t="str">
        <f t="shared" si="6"/>
        <v>BADERTSCHER DIANE</v>
      </c>
      <c r="H214" s="20" t="str">
        <f t="shared" si="7"/>
        <v>4005</v>
      </c>
    </row>
    <row r="215" spans="1:8" x14ac:dyDescent="0.25">
      <c r="A215" s="8">
        <v>43027.632592592592</v>
      </c>
      <c r="B215" s="20" t="s">
        <v>606</v>
      </c>
      <c r="C215" s="20" t="s">
        <v>722</v>
      </c>
      <c r="D215" s="138">
        <v>1300000</v>
      </c>
      <c r="E215" s="20" t="s">
        <v>446</v>
      </c>
      <c r="F215" s="20" t="s">
        <v>447</v>
      </c>
      <c r="G215" s="8" t="str">
        <f t="shared" si="6"/>
        <v>LEVIN SCOTT</v>
      </c>
      <c r="H215" s="20" t="str">
        <f t="shared" si="7"/>
        <v>4016</v>
      </c>
    </row>
    <row r="216" spans="1:8" x14ac:dyDescent="0.25">
      <c r="A216" s="8">
        <v>43027.635370370372</v>
      </c>
      <c r="B216" s="20" t="s">
        <v>394</v>
      </c>
      <c r="C216" s="20" t="s">
        <v>723</v>
      </c>
      <c r="D216" s="138">
        <v>2030000</v>
      </c>
      <c r="E216" s="20" t="s">
        <v>688</v>
      </c>
      <c r="F216" s="20" t="s">
        <v>689</v>
      </c>
      <c r="G216" s="8" t="str">
        <f t="shared" si="6"/>
        <v>KILLION DAVID</v>
      </c>
      <c r="H216" s="20" t="str">
        <f t="shared" si="7"/>
        <v>4065</v>
      </c>
    </row>
    <row r="217" spans="1:8" x14ac:dyDescent="0.25">
      <c r="A217" s="8">
        <v>43027.642048611109</v>
      </c>
      <c r="B217" s="20" t="s">
        <v>491</v>
      </c>
      <c r="C217" s="20" t="s">
        <v>724</v>
      </c>
      <c r="D217" s="138">
        <v>2000000</v>
      </c>
      <c r="E217" s="20" t="s">
        <v>370</v>
      </c>
      <c r="F217" s="20" t="s">
        <v>361</v>
      </c>
      <c r="G217" s="8" t="str">
        <f t="shared" si="6"/>
        <v>STAMBAUGH JAMES</v>
      </c>
      <c r="H217" s="20" t="str">
        <f t="shared" si="7"/>
        <v>4043</v>
      </c>
    </row>
    <row r="218" spans="1:8" x14ac:dyDescent="0.25">
      <c r="A218" s="8">
        <v>43027.642268518517</v>
      </c>
      <c r="B218" s="20" t="s">
        <v>564</v>
      </c>
      <c r="C218" s="20" t="s">
        <v>725</v>
      </c>
      <c r="D218" s="138">
        <v>1810000</v>
      </c>
      <c r="E218" s="20" t="s">
        <v>466</v>
      </c>
      <c r="F218" s="20" t="s">
        <v>361</v>
      </c>
      <c r="G218" s="8" t="str">
        <f t="shared" si="6"/>
        <v>NEWELL JAMES</v>
      </c>
      <c r="H218" s="20" t="str">
        <f t="shared" si="7"/>
        <v>4024</v>
      </c>
    </row>
    <row r="219" spans="1:8" x14ac:dyDescent="0.25">
      <c r="A219" s="8">
        <v>43027.64340277778</v>
      </c>
      <c r="B219" s="20" t="s">
        <v>428</v>
      </c>
      <c r="C219" s="20" t="s">
        <v>726</v>
      </c>
      <c r="D219" s="138">
        <v>2140000</v>
      </c>
      <c r="E219" s="20" t="s">
        <v>469</v>
      </c>
      <c r="F219" s="20" t="s">
        <v>470</v>
      </c>
      <c r="G219" s="8" t="str">
        <f t="shared" si="6"/>
        <v>ROBINSON KADDIBA</v>
      </c>
      <c r="H219" s="20" t="str">
        <f t="shared" si="7"/>
        <v>4008</v>
      </c>
    </row>
    <row r="220" spans="1:8" x14ac:dyDescent="0.25">
      <c r="A220" s="8">
        <v>43027.651759259257</v>
      </c>
      <c r="B220" s="20" t="s">
        <v>574</v>
      </c>
      <c r="C220" s="20" t="s">
        <v>727</v>
      </c>
      <c r="D220" s="138">
        <v>1770000</v>
      </c>
      <c r="E220" s="20" t="s">
        <v>467</v>
      </c>
      <c r="F220" s="20" t="s">
        <v>468</v>
      </c>
      <c r="G220" s="8" t="str">
        <f t="shared" si="6"/>
        <v>BRUDER RICHARD</v>
      </c>
      <c r="H220" s="20" t="str">
        <f t="shared" si="7"/>
        <v>4057</v>
      </c>
    </row>
    <row r="221" spans="1:8" x14ac:dyDescent="0.25">
      <c r="A221" s="8">
        <v>43027.65315972222</v>
      </c>
      <c r="B221" s="20" t="s">
        <v>611</v>
      </c>
      <c r="C221" s="20" t="s">
        <v>728</v>
      </c>
      <c r="D221" s="138">
        <v>1180000</v>
      </c>
      <c r="E221" s="20" t="s">
        <v>444</v>
      </c>
      <c r="F221" s="20" t="s">
        <v>445</v>
      </c>
      <c r="G221" s="8" t="str">
        <f t="shared" si="6"/>
        <v>LEVERE CRAIG</v>
      </c>
      <c r="H221" s="20" t="str">
        <f t="shared" si="7"/>
        <v>4014</v>
      </c>
    </row>
    <row r="222" spans="1:8" x14ac:dyDescent="0.25">
      <c r="A222" s="8">
        <v>43027.660358796296</v>
      </c>
      <c r="B222" s="20" t="s">
        <v>487</v>
      </c>
      <c r="C222" s="20" t="s">
        <v>729</v>
      </c>
      <c r="D222" s="138">
        <v>880000</v>
      </c>
      <c r="E222" s="20" t="s">
        <v>404</v>
      </c>
      <c r="F222" s="20" t="s">
        <v>388</v>
      </c>
      <c r="G222" s="8" t="str">
        <f t="shared" si="6"/>
        <v>STEWART MICHAEL</v>
      </c>
      <c r="H222" s="20" t="str">
        <f t="shared" si="7"/>
        <v>4017</v>
      </c>
    </row>
    <row r="223" spans="1:8" x14ac:dyDescent="0.25">
      <c r="A223" s="8">
        <v>43027.662476851852</v>
      </c>
      <c r="B223" s="20" t="s">
        <v>503</v>
      </c>
      <c r="C223" s="20" t="s">
        <v>730</v>
      </c>
      <c r="D223" s="138">
        <v>2550000</v>
      </c>
      <c r="E223" s="20" t="s">
        <v>675</v>
      </c>
      <c r="F223" s="20" t="s">
        <v>676</v>
      </c>
      <c r="G223" s="8" t="str">
        <f t="shared" si="6"/>
        <v>BADERTSCHER DIANE</v>
      </c>
      <c r="H223" s="20" t="str">
        <f t="shared" si="7"/>
        <v>4006</v>
      </c>
    </row>
    <row r="224" spans="1:8" x14ac:dyDescent="0.25">
      <c r="A224" s="8">
        <v>43027.663784722223</v>
      </c>
      <c r="B224" t="s">
        <v>566</v>
      </c>
      <c r="C224" t="s">
        <v>731</v>
      </c>
      <c r="D224" s="138">
        <v>1810000</v>
      </c>
      <c r="E224" t="s">
        <v>466</v>
      </c>
      <c r="F224" s="20" t="s">
        <v>361</v>
      </c>
      <c r="G224" s="8" t="str">
        <f t="shared" si="6"/>
        <v>NEWELL JAMES</v>
      </c>
      <c r="H224" s="20" t="str">
        <f t="shared" si="7"/>
        <v>4023</v>
      </c>
    </row>
    <row r="225" spans="1:8" x14ac:dyDescent="0.25">
      <c r="A225" s="8">
        <v>43027.668888888889</v>
      </c>
      <c r="B225" t="s">
        <v>492</v>
      </c>
      <c r="C225" t="s">
        <v>732</v>
      </c>
      <c r="D225" s="138">
        <v>1780000</v>
      </c>
      <c r="E225" t="s">
        <v>464</v>
      </c>
      <c r="F225" s="20" t="s">
        <v>465</v>
      </c>
      <c r="G225" s="8" t="str">
        <f t="shared" si="6"/>
        <v>DE LA ROSA ALEX</v>
      </c>
      <c r="H225" s="20" t="str">
        <f t="shared" si="7"/>
        <v>4044</v>
      </c>
    </row>
    <row r="226" spans="1:8" x14ac:dyDescent="0.25">
      <c r="A226" s="8">
        <v>43027.6721875</v>
      </c>
      <c r="B226" t="s">
        <v>560</v>
      </c>
      <c r="C226" t="s">
        <v>733</v>
      </c>
      <c r="D226" s="138">
        <v>1300000</v>
      </c>
      <c r="E226" t="s">
        <v>446</v>
      </c>
      <c r="F226" s="20" t="s">
        <v>447</v>
      </c>
      <c r="G226" s="8" t="str">
        <f t="shared" si="6"/>
        <v>LEVIN SCOTT</v>
      </c>
      <c r="H226" s="20" t="str">
        <f t="shared" si="7"/>
        <v>4015</v>
      </c>
    </row>
    <row r="227" spans="1:8" x14ac:dyDescent="0.25">
      <c r="A227" s="8">
        <v>43027.672303240739</v>
      </c>
      <c r="B227" t="s">
        <v>393</v>
      </c>
      <c r="C227" t="s">
        <v>734</v>
      </c>
      <c r="D227" s="138">
        <v>3130000</v>
      </c>
      <c r="E227" t="s">
        <v>510</v>
      </c>
      <c r="F227" s="20" t="s">
        <v>511</v>
      </c>
      <c r="G227" s="8" t="str">
        <f t="shared" si="6"/>
        <v>ZEWDU DEREJE</v>
      </c>
      <c r="H227" s="20" t="str">
        <f t="shared" si="7"/>
        <v>4066</v>
      </c>
    </row>
    <row r="228" spans="1:8" x14ac:dyDescent="0.25">
      <c r="A228" s="8">
        <v>43027.682824074072</v>
      </c>
      <c r="B228" t="s">
        <v>485</v>
      </c>
      <c r="C228" t="s">
        <v>735</v>
      </c>
      <c r="D228" s="138">
        <v>2140000</v>
      </c>
      <c r="E228" t="s">
        <v>469</v>
      </c>
      <c r="F228" s="20" t="s">
        <v>470</v>
      </c>
      <c r="G228" s="8" t="str">
        <f t="shared" si="6"/>
        <v>ROBINSON KADDIBA</v>
      </c>
      <c r="H228" s="20" t="str">
        <f t="shared" si="7"/>
        <v>4007</v>
      </c>
    </row>
    <row r="229" spans="1:8" x14ac:dyDescent="0.25">
      <c r="A229" s="8">
        <v>43027.683298611111</v>
      </c>
      <c r="B229" t="s">
        <v>562</v>
      </c>
      <c r="C229" t="s">
        <v>736</v>
      </c>
      <c r="D229" s="138">
        <v>1770000</v>
      </c>
      <c r="E229" t="s">
        <v>467</v>
      </c>
      <c r="F229" s="20" t="s">
        <v>468</v>
      </c>
      <c r="G229" s="8" t="str">
        <f t="shared" si="6"/>
        <v>BRUDER RICHARD</v>
      </c>
      <c r="H229" s="20" t="str">
        <f t="shared" si="7"/>
        <v>4058</v>
      </c>
    </row>
    <row r="230" spans="1:8" x14ac:dyDescent="0.25">
      <c r="A230" s="8">
        <v>43027.686180555553</v>
      </c>
      <c r="B230" t="s">
        <v>491</v>
      </c>
      <c r="C230" t="s">
        <v>737</v>
      </c>
      <c r="D230" s="138">
        <v>1780000</v>
      </c>
      <c r="E230" t="s">
        <v>464</v>
      </c>
      <c r="F230" s="20" t="s">
        <v>465</v>
      </c>
      <c r="G230" s="8" t="str">
        <f t="shared" si="6"/>
        <v>DE LA ROSA ALEX</v>
      </c>
      <c r="H230" s="20" t="str">
        <f t="shared" si="7"/>
        <v>4043</v>
      </c>
    </row>
    <row r="231" spans="1:8" x14ac:dyDescent="0.25">
      <c r="A231" s="8">
        <v>43027.687986111108</v>
      </c>
      <c r="B231" t="s">
        <v>564</v>
      </c>
      <c r="C231" t="s">
        <v>738</v>
      </c>
      <c r="D231" s="138">
        <v>3280000</v>
      </c>
      <c r="E231" t="s">
        <v>473</v>
      </c>
      <c r="F231" s="20" t="s">
        <v>474</v>
      </c>
      <c r="G231" s="8" t="str">
        <f t="shared" si="6"/>
        <v>BIRKHOLZ NADINE</v>
      </c>
      <c r="H231" s="20" t="str">
        <f t="shared" si="7"/>
        <v>4024</v>
      </c>
    </row>
    <row r="232" spans="1:8" x14ac:dyDescent="0.25">
      <c r="A232" s="8">
        <v>43027.689965277779</v>
      </c>
      <c r="B232" t="s">
        <v>608</v>
      </c>
      <c r="C232" t="s">
        <v>739</v>
      </c>
      <c r="D232" s="138">
        <v>1180000</v>
      </c>
      <c r="E232" t="s">
        <v>444</v>
      </c>
      <c r="F232" s="20" t="s">
        <v>445</v>
      </c>
      <c r="G232" s="8" t="str">
        <f t="shared" si="6"/>
        <v>LEVERE CRAIG</v>
      </c>
      <c r="H232" s="20" t="str">
        <f t="shared" si="7"/>
        <v>4013</v>
      </c>
    </row>
    <row r="233" spans="1:8" x14ac:dyDescent="0.25">
      <c r="A233" s="8">
        <v>43027.693796296298</v>
      </c>
      <c r="B233" t="s">
        <v>483</v>
      </c>
      <c r="C233" t="s">
        <v>740</v>
      </c>
      <c r="D233" s="138">
        <v>880000</v>
      </c>
      <c r="E233" t="s">
        <v>404</v>
      </c>
      <c r="F233" s="20" t="s">
        <v>388</v>
      </c>
      <c r="G233" s="8" t="str">
        <f t="shared" si="6"/>
        <v>STEWART MICHAEL</v>
      </c>
      <c r="H233" s="20" t="str">
        <f t="shared" si="7"/>
        <v>4018</v>
      </c>
    </row>
    <row r="234" spans="1:8" x14ac:dyDescent="0.25">
      <c r="A234" s="8">
        <v>43027.695462962962</v>
      </c>
      <c r="B234" t="s">
        <v>484</v>
      </c>
      <c r="C234" t="s">
        <v>741</v>
      </c>
      <c r="D234" s="138">
        <v>2550000</v>
      </c>
      <c r="E234" t="s">
        <v>675</v>
      </c>
      <c r="F234" s="20" t="s">
        <v>676</v>
      </c>
      <c r="G234" s="8" t="str">
        <f t="shared" si="6"/>
        <v>BADERTSCHER DIANE</v>
      </c>
      <c r="H234" s="20" t="str">
        <f t="shared" si="7"/>
        <v>4005</v>
      </c>
    </row>
    <row r="235" spans="1:8" x14ac:dyDescent="0.25">
      <c r="A235" s="8">
        <v>43027.696817129632</v>
      </c>
      <c r="B235" t="s">
        <v>484</v>
      </c>
      <c r="C235" t="s">
        <v>741</v>
      </c>
      <c r="D235" s="138">
        <v>2550000</v>
      </c>
      <c r="E235" t="s">
        <v>675</v>
      </c>
      <c r="F235" s="20" t="s">
        <v>676</v>
      </c>
      <c r="G235" s="8" t="str">
        <f t="shared" si="6"/>
        <v>BADERTSCHER DIANE</v>
      </c>
      <c r="H235" s="20" t="str">
        <f t="shared" si="7"/>
        <v>4005</v>
      </c>
    </row>
    <row r="236" spans="1:8" x14ac:dyDescent="0.25">
      <c r="A236" s="8">
        <v>43027.702488425923</v>
      </c>
      <c r="B236" t="s">
        <v>606</v>
      </c>
      <c r="C236" t="s">
        <v>742</v>
      </c>
      <c r="D236" s="138">
        <v>1300000</v>
      </c>
      <c r="E236" t="s">
        <v>446</v>
      </c>
      <c r="F236" s="20" t="s">
        <v>447</v>
      </c>
      <c r="G236" s="8" t="str">
        <f t="shared" si="6"/>
        <v>LEVIN SCOTT</v>
      </c>
      <c r="H236" s="20" t="str">
        <f t="shared" si="7"/>
        <v>4016</v>
      </c>
    </row>
    <row r="237" spans="1:8" x14ac:dyDescent="0.25">
      <c r="A237" s="8">
        <v>43027.706550925926</v>
      </c>
      <c r="B237" t="s">
        <v>402</v>
      </c>
      <c r="C237" t="s">
        <v>743</v>
      </c>
      <c r="D237" s="138">
        <v>2040000</v>
      </c>
      <c r="E237" t="s">
        <v>471</v>
      </c>
      <c r="F237" s="20" t="s">
        <v>472</v>
      </c>
      <c r="G237" s="8" t="str">
        <f t="shared" si="6"/>
        <v>MOSES BRADLEY</v>
      </c>
      <c r="H237" s="20" t="str">
        <f t="shared" si="7"/>
        <v>4052</v>
      </c>
    </row>
    <row r="238" spans="1:8" x14ac:dyDescent="0.25">
      <c r="A238" s="8">
        <v>43027.707002314812</v>
      </c>
      <c r="B238" t="s">
        <v>566</v>
      </c>
      <c r="C238" t="s">
        <v>744</v>
      </c>
      <c r="D238" s="138">
        <v>3280000</v>
      </c>
      <c r="E238" t="s">
        <v>473</v>
      </c>
      <c r="F238" s="20" t="s">
        <v>474</v>
      </c>
      <c r="G238" s="8" t="str">
        <f t="shared" si="6"/>
        <v>BIRKHOLZ NADINE</v>
      </c>
      <c r="H238" s="20" t="str">
        <f t="shared" si="7"/>
        <v>4023</v>
      </c>
    </row>
    <row r="239" spans="1:8" x14ac:dyDescent="0.25">
      <c r="A239" s="8">
        <v>43027.713194444441</v>
      </c>
      <c r="B239" t="s">
        <v>394</v>
      </c>
      <c r="C239" t="s">
        <v>745</v>
      </c>
      <c r="D239" s="138">
        <v>3130000</v>
      </c>
      <c r="E239" t="s">
        <v>510</v>
      </c>
      <c r="F239" s="20" t="s">
        <v>511</v>
      </c>
      <c r="G239" s="8" t="str">
        <f t="shared" si="6"/>
        <v>ZEWDU DEREJE</v>
      </c>
      <c r="H239" s="20" t="str">
        <f t="shared" si="7"/>
        <v>4065</v>
      </c>
    </row>
    <row r="240" spans="1:8" x14ac:dyDescent="0.25">
      <c r="A240" s="8">
        <v>43027.713576388887</v>
      </c>
      <c r="B240" t="s">
        <v>492</v>
      </c>
      <c r="C240" t="s">
        <v>746</v>
      </c>
      <c r="D240" s="138">
        <v>2000000</v>
      </c>
      <c r="E240" t="s">
        <v>370</v>
      </c>
      <c r="F240" s="20" t="s">
        <v>361</v>
      </c>
      <c r="G240" s="8" t="str">
        <f t="shared" si="6"/>
        <v>STAMBAUGH JAMES</v>
      </c>
      <c r="H240" s="20" t="str">
        <f t="shared" si="7"/>
        <v>4044</v>
      </c>
    </row>
    <row r="241" spans="1:8" x14ac:dyDescent="0.25">
      <c r="A241" s="8">
        <v>43027.714999999997</v>
      </c>
      <c r="B241" t="s">
        <v>428</v>
      </c>
      <c r="C241" t="s">
        <v>747</v>
      </c>
      <c r="D241" s="138">
        <v>2350000</v>
      </c>
      <c r="E241" t="s">
        <v>504</v>
      </c>
      <c r="F241" s="20" t="s">
        <v>505</v>
      </c>
      <c r="G241" s="8" t="str">
        <f t="shared" si="6"/>
        <v>BERLING GARY</v>
      </c>
      <c r="H241" s="20" t="str">
        <f t="shared" si="7"/>
        <v>4008</v>
      </c>
    </row>
    <row r="242" spans="1:8" x14ac:dyDescent="0.25">
      <c r="A242" s="8">
        <v>43027.71947916667</v>
      </c>
      <c r="B242" t="s">
        <v>433</v>
      </c>
      <c r="C242" t="s">
        <v>748</v>
      </c>
      <c r="D242" s="138">
        <v>2140000</v>
      </c>
      <c r="E242" t="s">
        <v>469</v>
      </c>
      <c r="F242" s="20" t="s">
        <v>470</v>
      </c>
      <c r="G242" s="8" t="str">
        <f t="shared" si="6"/>
        <v>ROBINSON KADDIBA</v>
      </c>
      <c r="H242" s="20" t="str">
        <f t="shared" si="7"/>
        <v>4060</v>
      </c>
    </row>
    <row r="243" spans="1:8" x14ac:dyDescent="0.25">
      <c r="A243" s="8">
        <v>43027.721967592595</v>
      </c>
      <c r="B243" t="s">
        <v>574</v>
      </c>
      <c r="C243" t="s">
        <v>749</v>
      </c>
      <c r="D243" s="138">
        <v>1770000</v>
      </c>
      <c r="E243" t="s">
        <v>467</v>
      </c>
      <c r="F243" s="20" t="s">
        <v>468</v>
      </c>
      <c r="G243" s="8" t="str">
        <f t="shared" si="6"/>
        <v>BRUDER RICHARD</v>
      </c>
      <c r="H243" s="20" t="str">
        <f t="shared" si="7"/>
        <v>4057</v>
      </c>
    </row>
    <row r="244" spans="1:8" x14ac:dyDescent="0.25">
      <c r="A244" s="8">
        <v>43027.726064814815</v>
      </c>
      <c r="B244" t="s">
        <v>611</v>
      </c>
      <c r="C244" t="s">
        <v>750</v>
      </c>
      <c r="D244" s="138">
        <v>1180000</v>
      </c>
      <c r="E244" t="s">
        <v>444</v>
      </c>
      <c r="F244" s="20" t="s">
        <v>445</v>
      </c>
      <c r="G244" s="8" t="str">
        <f t="shared" si="6"/>
        <v>LEVERE CRAIG</v>
      </c>
      <c r="H244" s="20" t="str">
        <f t="shared" si="7"/>
        <v>4014</v>
      </c>
    </row>
    <row r="245" spans="1:8" x14ac:dyDescent="0.25">
      <c r="A245" s="8">
        <v>43027.728333333333</v>
      </c>
      <c r="B245" t="s">
        <v>491</v>
      </c>
      <c r="C245" t="s">
        <v>751</v>
      </c>
      <c r="D245" s="138">
        <v>2000000</v>
      </c>
      <c r="E245" t="s">
        <v>370</v>
      </c>
      <c r="F245" s="20" t="s">
        <v>361</v>
      </c>
      <c r="G245" s="8" t="str">
        <f t="shared" si="6"/>
        <v>STAMBAUGH JAMES</v>
      </c>
      <c r="H245" s="20" t="str">
        <f t="shared" si="7"/>
        <v>4043</v>
      </c>
    </row>
    <row r="246" spans="1:8" x14ac:dyDescent="0.25">
      <c r="A246" s="8">
        <v>43027.731342592589</v>
      </c>
      <c r="B246" t="s">
        <v>564</v>
      </c>
      <c r="C246" t="s">
        <v>752</v>
      </c>
      <c r="D246" s="138">
        <v>3280000</v>
      </c>
      <c r="E246" t="s">
        <v>473</v>
      </c>
      <c r="F246" s="20" t="s">
        <v>474</v>
      </c>
      <c r="G246" s="8" t="str">
        <f t="shared" si="6"/>
        <v>BIRKHOLZ NADINE</v>
      </c>
      <c r="H246" s="20" t="str">
        <f t="shared" si="7"/>
        <v>4024</v>
      </c>
    </row>
    <row r="247" spans="1:8" x14ac:dyDescent="0.25">
      <c r="A247" s="8">
        <v>43027.733668981484</v>
      </c>
      <c r="B247" t="s">
        <v>487</v>
      </c>
      <c r="C247" t="s">
        <v>753</v>
      </c>
      <c r="D247" s="138">
        <v>880000</v>
      </c>
      <c r="E247" t="s">
        <v>404</v>
      </c>
      <c r="F247" s="20" t="s">
        <v>388</v>
      </c>
      <c r="G247" s="8" t="str">
        <f t="shared" si="6"/>
        <v>STEWART MICHAEL</v>
      </c>
      <c r="H247" s="20" t="str">
        <f t="shared" si="7"/>
        <v>4017</v>
      </c>
    </row>
    <row r="248" spans="1:8" x14ac:dyDescent="0.25">
      <c r="A248" s="8">
        <v>43027.737650462965</v>
      </c>
      <c r="B248" t="s">
        <v>503</v>
      </c>
      <c r="C248" t="s">
        <v>754</v>
      </c>
      <c r="D248" s="138">
        <v>890000</v>
      </c>
      <c r="E248" t="s">
        <v>358</v>
      </c>
      <c r="F248" s="20" t="s">
        <v>359</v>
      </c>
      <c r="G248" s="8" t="str">
        <f t="shared" si="6"/>
        <v>LOZA FIDEL</v>
      </c>
      <c r="H248" s="20" t="str">
        <f t="shared" si="7"/>
        <v>4006</v>
      </c>
    </row>
    <row r="249" spans="1:8" x14ac:dyDescent="0.25">
      <c r="A249" s="8">
        <v>43027.742488425924</v>
      </c>
      <c r="B249" t="s">
        <v>436</v>
      </c>
      <c r="C249" t="s">
        <v>755</v>
      </c>
      <c r="D249" s="138">
        <v>3320000</v>
      </c>
      <c r="E249" t="s">
        <v>756</v>
      </c>
      <c r="F249" s="20" t="s">
        <v>757</v>
      </c>
      <c r="G249" s="8" t="str">
        <f t="shared" si="6"/>
        <v>NICHOLSON WESLEY</v>
      </c>
      <c r="H249" s="20" t="str">
        <f t="shared" si="7"/>
        <v>4009</v>
      </c>
    </row>
    <row r="250" spans="1:8" x14ac:dyDescent="0.25">
      <c r="A250" s="8">
        <v>43027.746655092589</v>
      </c>
      <c r="B250" t="s">
        <v>560</v>
      </c>
      <c r="C250" t="s">
        <v>758</v>
      </c>
      <c r="D250" s="138">
        <v>1300000</v>
      </c>
      <c r="E250" t="s">
        <v>446</v>
      </c>
      <c r="F250" s="20" t="s">
        <v>447</v>
      </c>
      <c r="G250" s="8" t="str">
        <f t="shared" si="6"/>
        <v>LEVIN SCOTT</v>
      </c>
      <c r="H250" s="20" t="str">
        <f t="shared" si="7"/>
        <v>4015</v>
      </c>
    </row>
    <row r="251" spans="1:8" x14ac:dyDescent="0.25">
      <c r="A251" s="8">
        <v>43027.748310185183</v>
      </c>
      <c r="B251" t="s">
        <v>393</v>
      </c>
      <c r="C251" t="s">
        <v>759</v>
      </c>
      <c r="D251" s="138">
        <v>2420000</v>
      </c>
      <c r="E251" t="s">
        <v>506</v>
      </c>
      <c r="F251" s="20" t="s">
        <v>507</v>
      </c>
      <c r="G251" s="8" t="str">
        <f t="shared" si="6"/>
        <v>HOLCOMB KAMDEN</v>
      </c>
      <c r="H251" s="20" t="str">
        <f t="shared" si="7"/>
        <v>4066</v>
      </c>
    </row>
    <row r="252" spans="1:8" x14ac:dyDescent="0.25">
      <c r="A252" s="8">
        <v>43027.749768518515</v>
      </c>
      <c r="B252" t="s">
        <v>566</v>
      </c>
      <c r="C252" t="s">
        <v>760</v>
      </c>
      <c r="D252" s="138">
        <v>3280000</v>
      </c>
      <c r="E252" t="s">
        <v>473</v>
      </c>
      <c r="F252" s="20" t="s">
        <v>474</v>
      </c>
      <c r="G252" s="8" t="str">
        <f t="shared" si="6"/>
        <v>BIRKHOLZ NADINE</v>
      </c>
      <c r="H252" s="20" t="str">
        <f t="shared" si="7"/>
        <v>4023</v>
      </c>
    </row>
    <row r="253" spans="1:8" x14ac:dyDescent="0.25">
      <c r="A253" s="8">
        <v>43027.753298611111</v>
      </c>
      <c r="B253" t="s">
        <v>485</v>
      </c>
      <c r="C253" t="s">
        <v>761</v>
      </c>
      <c r="D253" s="138">
        <v>2350000</v>
      </c>
      <c r="E253" t="s">
        <v>504</v>
      </c>
      <c r="F253" s="20" t="s">
        <v>505</v>
      </c>
      <c r="G253" s="8" t="str">
        <f t="shared" si="6"/>
        <v>BERLING GARY</v>
      </c>
      <c r="H253" s="20" t="str">
        <f t="shared" si="7"/>
        <v>4007</v>
      </c>
    </row>
    <row r="254" spans="1:8" x14ac:dyDescent="0.25">
      <c r="A254" s="8">
        <v>43027.754791666666</v>
      </c>
      <c r="B254" t="s">
        <v>492</v>
      </c>
      <c r="C254" t="s">
        <v>587</v>
      </c>
      <c r="D254" s="138">
        <v>2000000</v>
      </c>
      <c r="E254" t="s">
        <v>370</v>
      </c>
      <c r="F254" s="20" t="s">
        <v>361</v>
      </c>
      <c r="G254" s="8" t="str">
        <f t="shared" si="6"/>
        <v>STAMBAUGH JAMES</v>
      </c>
      <c r="H254" s="20" t="str">
        <f t="shared" si="7"/>
        <v>4044</v>
      </c>
    </row>
    <row r="255" spans="1:8" x14ac:dyDescent="0.25">
      <c r="A255" s="8">
        <v>43027.756620370368</v>
      </c>
      <c r="B255" t="s">
        <v>562</v>
      </c>
      <c r="C255" t="s">
        <v>762</v>
      </c>
      <c r="D255" s="138">
        <v>3340000</v>
      </c>
      <c r="E255" t="s">
        <v>763</v>
      </c>
      <c r="F255" s="20" t="s">
        <v>764</v>
      </c>
      <c r="G255" s="8" t="str">
        <f t="shared" si="6"/>
        <v>ELBAUM MIKE</v>
      </c>
      <c r="H255" s="20" t="str">
        <f t="shared" si="7"/>
        <v>4058</v>
      </c>
    </row>
    <row r="256" spans="1:8" x14ac:dyDescent="0.25">
      <c r="A256" s="8">
        <v>43027.762291666666</v>
      </c>
      <c r="B256" t="s">
        <v>608</v>
      </c>
      <c r="C256" t="s">
        <v>765</v>
      </c>
      <c r="D256" s="138">
        <v>1180000</v>
      </c>
      <c r="E256" t="s">
        <v>444</v>
      </c>
      <c r="F256" s="20" t="s">
        <v>445</v>
      </c>
      <c r="G256" s="8" t="str">
        <f t="shared" si="6"/>
        <v>LEVERE CRAIG</v>
      </c>
      <c r="H256" s="20" t="str">
        <f t="shared" si="7"/>
        <v>4013</v>
      </c>
    </row>
    <row r="257" spans="1:8" x14ac:dyDescent="0.25">
      <c r="A257" s="8">
        <v>43027.767002314817</v>
      </c>
      <c r="B257" t="s">
        <v>483</v>
      </c>
      <c r="C257" t="s">
        <v>766</v>
      </c>
      <c r="D257" s="138">
        <v>2540000</v>
      </c>
      <c r="E257" t="s">
        <v>395</v>
      </c>
      <c r="F257" s="20" t="s">
        <v>396</v>
      </c>
      <c r="G257" s="8" t="str">
        <f t="shared" si="6"/>
        <v>MCREYNOLDS KYLE</v>
      </c>
      <c r="H257" s="20" t="str">
        <f t="shared" si="7"/>
        <v>4018</v>
      </c>
    </row>
    <row r="258" spans="1:8" x14ac:dyDescent="0.25">
      <c r="A258" s="8">
        <v>43027.768379629626</v>
      </c>
      <c r="B258" t="s">
        <v>491</v>
      </c>
      <c r="C258" t="s">
        <v>767</v>
      </c>
      <c r="D258" s="138">
        <v>2000000</v>
      </c>
      <c r="E258" t="s">
        <v>370</v>
      </c>
      <c r="F258" s="20" t="s">
        <v>361</v>
      </c>
      <c r="G258" s="8" t="str">
        <f t="shared" si="6"/>
        <v>STAMBAUGH JAMES</v>
      </c>
      <c r="H258" s="20" t="str">
        <f t="shared" si="7"/>
        <v>4043</v>
      </c>
    </row>
    <row r="259" spans="1:8" x14ac:dyDescent="0.25">
      <c r="A259" s="8">
        <v>43027.773113425923</v>
      </c>
      <c r="B259" t="s">
        <v>564</v>
      </c>
      <c r="C259" t="s">
        <v>768</v>
      </c>
      <c r="D259" s="138">
        <v>3280000</v>
      </c>
      <c r="E259" t="s">
        <v>473</v>
      </c>
      <c r="F259" s="20" t="s">
        <v>474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25">
      <c r="A260" s="8">
        <v>43027.773506944446</v>
      </c>
      <c r="B260" t="s">
        <v>484</v>
      </c>
      <c r="C260" t="s">
        <v>769</v>
      </c>
      <c r="D260" s="138">
        <v>890000</v>
      </c>
      <c r="E260" t="s">
        <v>358</v>
      </c>
      <c r="F260" s="20" t="s">
        <v>359</v>
      </c>
      <c r="G260" s="8" t="str">
        <f t="shared" si="8"/>
        <v>LOZA FIDEL</v>
      </c>
      <c r="H260" s="20" t="str">
        <f t="shared" si="9"/>
        <v>4005</v>
      </c>
    </row>
    <row r="261" spans="1:8" x14ac:dyDescent="0.25">
      <c r="A261" s="8">
        <v>43027.776759259257</v>
      </c>
      <c r="B261" t="s">
        <v>606</v>
      </c>
      <c r="C261" t="s">
        <v>770</v>
      </c>
      <c r="D261" s="138">
        <v>1300000</v>
      </c>
      <c r="E261" t="s">
        <v>446</v>
      </c>
      <c r="F261" s="20" t="s">
        <v>447</v>
      </c>
      <c r="G261" s="8" t="str">
        <f t="shared" si="8"/>
        <v>LEVIN SCOTT</v>
      </c>
      <c r="H261" s="20" t="str">
        <f t="shared" si="9"/>
        <v>4016</v>
      </c>
    </row>
    <row r="262" spans="1:8" x14ac:dyDescent="0.25">
      <c r="A262" s="8">
        <v>43027.785277777781</v>
      </c>
      <c r="B262" t="s">
        <v>394</v>
      </c>
      <c r="C262" t="s">
        <v>589</v>
      </c>
      <c r="D262" s="138">
        <v>2420000</v>
      </c>
      <c r="E262" t="s">
        <v>506</v>
      </c>
      <c r="F262" s="20" t="s">
        <v>507</v>
      </c>
      <c r="G262" s="8" t="str">
        <f t="shared" si="8"/>
        <v>HOLCOMB KAMDEN</v>
      </c>
      <c r="H262" s="20" t="str">
        <f t="shared" si="9"/>
        <v>4065</v>
      </c>
    </row>
    <row r="263" spans="1:8" x14ac:dyDescent="0.25">
      <c r="A263" s="8">
        <v>43027.787210648145</v>
      </c>
      <c r="B263" t="s">
        <v>574</v>
      </c>
      <c r="C263" t="s">
        <v>771</v>
      </c>
      <c r="D263" s="138">
        <v>3340000</v>
      </c>
      <c r="E263" t="s">
        <v>763</v>
      </c>
      <c r="F263" s="20" t="s">
        <v>764</v>
      </c>
      <c r="G263" s="8" t="str">
        <f t="shared" si="8"/>
        <v>ELBAUM MIKE</v>
      </c>
      <c r="H263" s="20" t="str">
        <f t="shared" si="9"/>
        <v>4057</v>
      </c>
    </row>
    <row r="264" spans="1:8" x14ac:dyDescent="0.25">
      <c r="A264" s="8">
        <v>43027.787766203706</v>
      </c>
      <c r="B264" t="s">
        <v>428</v>
      </c>
      <c r="C264" t="s">
        <v>772</v>
      </c>
      <c r="D264" s="138">
        <v>1360000</v>
      </c>
      <c r="E264" t="s">
        <v>773</v>
      </c>
      <c r="F264" s="20" t="s">
        <v>774</v>
      </c>
      <c r="G264" s="8" t="str">
        <f t="shared" si="8"/>
        <v>SANTIZO D. EDY</v>
      </c>
      <c r="H264" s="20" t="str">
        <f t="shared" si="9"/>
        <v>4008</v>
      </c>
    </row>
    <row r="265" spans="1:8" x14ac:dyDescent="0.25">
      <c r="A265" s="8">
        <v>43027.789629629631</v>
      </c>
      <c r="B265" t="s">
        <v>566</v>
      </c>
      <c r="C265" t="s">
        <v>775</v>
      </c>
      <c r="D265" s="138">
        <v>3280000</v>
      </c>
      <c r="E265" t="s">
        <v>473</v>
      </c>
      <c r="F265" s="20" t="s">
        <v>474</v>
      </c>
      <c r="G265" s="8" t="str">
        <f t="shared" si="8"/>
        <v>BIRKHOLZ NADINE</v>
      </c>
      <c r="H265" s="20" t="str">
        <f t="shared" si="9"/>
        <v>4023</v>
      </c>
    </row>
    <row r="266" spans="1:8" x14ac:dyDescent="0.25">
      <c r="A266" s="8">
        <v>43027.793182870373</v>
      </c>
      <c r="B266" t="s">
        <v>492</v>
      </c>
      <c r="C266" t="s">
        <v>776</v>
      </c>
      <c r="D266" s="138">
        <v>2600000</v>
      </c>
      <c r="E266" t="s">
        <v>777</v>
      </c>
      <c r="F266" s="20" t="s">
        <v>689</v>
      </c>
      <c r="G266" s="8" t="str">
        <f t="shared" si="8"/>
        <v>DAVIDSON DAVID</v>
      </c>
      <c r="H266" s="20" t="str">
        <f t="shared" si="9"/>
        <v>4044</v>
      </c>
    </row>
    <row r="267" spans="1:8" x14ac:dyDescent="0.25">
      <c r="A267" s="8">
        <v>43027.794131944444</v>
      </c>
      <c r="B267" t="s">
        <v>492</v>
      </c>
      <c r="C267" t="s">
        <v>776</v>
      </c>
      <c r="D267" s="138">
        <v>2600000</v>
      </c>
      <c r="E267" t="s">
        <v>777</v>
      </c>
      <c r="F267" s="20" t="s">
        <v>689</v>
      </c>
      <c r="G267" s="8" t="str">
        <f t="shared" si="8"/>
        <v>DAVIDSON DAVID</v>
      </c>
      <c r="H267" s="20" t="str">
        <f t="shared" si="9"/>
        <v>4044</v>
      </c>
    </row>
    <row r="268" spans="1:8" x14ac:dyDescent="0.25">
      <c r="A268" s="8">
        <v>43027.795173611114</v>
      </c>
      <c r="B268" t="s">
        <v>492</v>
      </c>
      <c r="C268" t="s">
        <v>778</v>
      </c>
      <c r="D268" s="138">
        <v>2600000</v>
      </c>
      <c r="E268" t="s">
        <v>777</v>
      </c>
      <c r="F268" s="20" t="s">
        <v>689</v>
      </c>
      <c r="G268" s="8" t="str">
        <f t="shared" si="8"/>
        <v>DAVIDSON DAVID</v>
      </c>
      <c r="H268" s="20" t="str">
        <f t="shared" si="9"/>
        <v>4044</v>
      </c>
    </row>
    <row r="269" spans="1:8" x14ac:dyDescent="0.25">
      <c r="A269" s="8">
        <v>43027.799062500002</v>
      </c>
      <c r="B269" t="s">
        <v>611</v>
      </c>
      <c r="C269" t="s">
        <v>779</v>
      </c>
      <c r="D269" s="138">
        <v>1180000</v>
      </c>
      <c r="E269" t="s">
        <v>444</v>
      </c>
      <c r="F269" s="20" t="s">
        <v>445</v>
      </c>
      <c r="G269" s="8" t="str">
        <f t="shared" si="8"/>
        <v>LEVERE CRAIG</v>
      </c>
      <c r="H269" s="20" t="str">
        <f t="shared" si="9"/>
        <v>4014</v>
      </c>
    </row>
    <row r="270" spans="1:8" x14ac:dyDescent="0.25">
      <c r="A270" s="8">
        <v>43027.800520833334</v>
      </c>
      <c r="B270" t="s">
        <v>394</v>
      </c>
      <c r="C270" t="s">
        <v>589</v>
      </c>
      <c r="D270" s="138">
        <v>2420000</v>
      </c>
      <c r="E270" t="s">
        <v>506</v>
      </c>
      <c r="F270" s="20" t="s">
        <v>507</v>
      </c>
      <c r="G270" s="8" t="str">
        <f t="shared" si="8"/>
        <v>HOLCOMB KAMDEN</v>
      </c>
      <c r="H270" s="20" t="str">
        <f t="shared" si="9"/>
        <v>4065</v>
      </c>
    </row>
    <row r="271" spans="1:8" x14ac:dyDescent="0.25">
      <c r="A271" s="8">
        <v>43027.804224537038</v>
      </c>
      <c r="B271" t="s">
        <v>487</v>
      </c>
      <c r="C271" t="s">
        <v>780</v>
      </c>
      <c r="D271" s="138">
        <v>2540000</v>
      </c>
      <c r="E271" t="s">
        <v>395</v>
      </c>
      <c r="F271" s="20" t="s">
        <v>396</v>
      </c>
      <c r="G271" s="8" t="str">
        <f t="shared" si="8"/>
        <v>MCREYNOLDS KYLE</v>
      </c>
      <c r="H271" s="20" t="str">
        <f t="shared" si="9"/>
        <v>4017</v>
      </c>
    </row>
    <row r="272" spans="1:8" x14ac:dyDescent="0.25">
      <c r="A272" s="8">
        <v>43027.810300925928</v>
      </c>
      <c r="B272" t="s">
        <v>491</v>
      </c>
      <c r="C272" t="s">
        <v>776</v>
      </c>
      <c r="D272" s="138">
        <v>2600000</v>
      </c>
      <c r="E272" t="s">
        <v>777</v>
      </c>
      <c r="F272" s="20" t="s">
        <v>689</v>
      </c>
      <c r="G272" s="8" t="str">
        <f t="shared" si="8"/>
        <v>DAVIDSON DAVID</v>
      </c>
      <c r="H272" s="20" t="str">
        <f t="shared" si="9"/>
        <v>4043</v>
      </c>
    </row>
    <row r="273" spans="1:8" x14ac:dyDescent="0.25">
      <c r="A273" s="8">
        <v>43027.810370370367</v>
      </c>
      <c r="B273" t="s">
        <v>503</v>
      </c>
      <c r="C273" t="s">
        <v>781</v>
      </c>
      <c r="D273" s="138">
        <v>890000</v>
      </c>
      <c r="E273" t="s">
        <v>358</v>
      </c>
      <c r="F273" s="20" t="s">
        <v>359</v>
      </c>
      <c r="G273" s="8" t="str">
        <f t="shared" si="8"/>
        <v>LOZA FIDEL</v>
      </c>
      <c r="H273" s="20" t="str">
        <f t="shared" si="9"/>
        <v>4006</v>
      </c>
    </row>
    <row r="274" spans="1:8" x14ac:dyDescent="0.25">
      <c r="A274" s="8">
        <v>43027.819351851853</v>
      </c>
      <c r="B274" t="s">
        <v>485</v>
      </c>
      <c r="C274" t="s">
        <v>782</v>
      </c>
      <c r="D274" s="138">
        <v>1360000</v>
      </c>
      <c r="E274" t="s">
        <v>773</v>
      </c>
      <c r="F274" s="20" t="s">
        <v>774</v>
      </c>
      <c r="G274" s="8" t="str">
        <f t="shared" si="8"/>
        <v>SANTIZO D. EDY</v>
      </c>
      <c r="H274" s="20" t="str">
        <f t="shared" si="9"/>
        <v>4007</v>
      </c>
    </row>
    <row r="275" spans="1:8" x14ac:dyDescent="0.25">
      <c r="A275" s="8">
        <v>43027.82068287037</v>
      </c>
      <c r="B275" t="s">
        <v>393</v>
      </c>
      <c r="C275" t="s">
        <v>783</v>
      </c>
      <c r="D275" s="138">
        <v>2420000</v>
      </c>
      <c r="E275" t="s">
        <v>506</v>
      </c>
      <c r="F275" s="20" t="s">
        <v>507</v>
      </c>
      <c r="G275" s="8" t="str">
        <f t="shared" si="8"/>
        <v>HOLCOMB KAMDEN</v>
      </c>
      <c r="H275" s="20" t="str">
        <f t="shared" si="9"/>
        <v>4066</v>
      </c>
    </row>
    <row r="276" spans="1:8" x14ac:dyDescent="0.25">
      <c r="A276" s="8">
        <v>43027.825115740743</v>
      </c>
      <c r="B276" t="s">
        <v>439</v>
      </c>
      <c r="C276" t="s">
        <v>743</v>
      </c>
      <c r="D276" s="138">
        <v>3320000</v>
      </c>
      <c r="E276" t="s">
        <v>756</v>
      </c>
      <c r="F276" s="20" t="s">
        <v>757</v>
      </c>
      <c r="G276" s="8" t="str">
        <f t="shared" si="8"/>
        <v>NICHOLSON WESLEY</v>
      </c>
      <c r="H276" s="20" t="str">
        <f t="shared" si="9"/>
        <v>4010</v>
      </c>
    </row>
    <row r="277" spans="1:8" x14ac:dyDescent="0.25">
      <c r="A277" s="8">
        <v>43027.827708333331</v>
      </c>
      <c r="B277" t="s">
        <v>562</v>
      </c>
      <c r="C277" t="s">
        <v>784</v>
      </c>
      <c r="D277" s="138">
        <v>3340000</v>
      </c>
      <c r="E277" t="s">
        <v>763</v>
      </c>
      <c r="F277" s="20" t="s">
        <v>764</v>
      </c>
      <c r="G277" s="8" t="str">
        <f t="shared" si="8"/>
        <v>ELBAUM MIKE</v>
      </c>
      <c r="H277" s="20" t="str">
        <f t="shared" si="9"/>
        <v>4058</v>
      </c>
    </row>
    <row r="278" spans="1:8" x14ac:dyDescent="0.25">
      <c r="A278" s="8">
        <v>43027.830347222225</v>
      </c>
      <c r="B278" t="s">
        <v>436</v>
      </c>
      <c r="C278" t="s">
        <v>743</v>
      </c>
      <c r="D278" s="138">
        <v>3320000</v>
      </c>
      <c r="E278" t="s">
        <v>756</v>
      </c>
      <c r="F278" s="20" t="s">
        <v>757</v>
      </c>
      <c r="G278" s="8" t="str">
        <f t="shared" si="8"/>
        <v>NICHOLSON WESLEY</v>
      </c>
      <c r="H278" s="20" t="str">
        <f t="shared" si="9"/>
        <v>4009</v>
      </c>
    </row>
    <row r="279" spans="1:8" x14ac:dyDescent="0.25">
      <c r="A279" s="8">
        <v>43027.836145833331</v>
      </c>
      <c r="B279" t="s">
        <v>492</v>
      </c>
      <c r="C279" t="s">
        <v>785</v>
      </c>
      <c r="D279" s="138">
        <v>3130000</v>
      </c>
      <c r="E279" t="s">
        <v>510</v>
      </c>
      <c r="F279" s="20" t="s">
        <v>511</v>
      </c>
      <c r="G279" s="8" t="str">
        <f t="shared" si="8"/>
        <v>ZEWDU DEREJE</v>
      </c>
      <c r="H279" s="20" t="str">
        <f t="shared" si="9"/>
        <v>4044</v>
      </c>
    </row>
    <row r="280" spans="1:8" x14ac:dyDescent="0.25">
      <c r="A280" s="8">
        <v>43027.849907407406</v>
      </c>
      <c r="B280" t="s">
        <v>484</v>
      </c>
      <c r="C280" t="s">
        <v>786</v>
      </c>
      <c r="D280" s="138">
        <v>890000</v>
      </c>
      <c r="E280" t="s">
        <v>358</v>
      </c>
      <c r="F280" s="20" t="s">
        <v>359</v>
      </c>
      <c r="G280" s="8" t="str">
        <f t="shared" si="8"/>
        <v>LOZA FIDEL</v>
      </c>
      <c r="H280" s="20" t="str">
        <f t="shared" si="9"/>
        <v>4005</v>
      </c>
    </row>
    <row r="281" spans="1:8" x14ac:dyDescent="0.25">
      <c r="A281" s="8">
        <v>43027.850057870368</v>
      </c>
      <c r="B281" t="s">
        <v>439</v>
      </c>
      <c r="C281" t="s">
        <v>787</v>
      </c>
      <c r="D281" s="138">
        <v>2540000</v>
      </c>
      <c r="E281" t="s">
        <v>395</v>
      </c>
      <c r="F281" s="20" t="s">
        <v>396</v>
      </c>
      <c r="G281" s="8" t="str">
        <f t="shared" si="8"/>
        <v>MCREYNOLDS KYLE</v>
      </c>
      <c r="H281" s="20" t="str">
        <f t="shared" si="9"/>
        <v>4010</v>
      </c>
    </row>
    <row r="282" spans="1:8" x14ac:dyDescent="0.25">
      <c r="A282" s="8">
        <v>43027.851134259261</v>
      </c>
      <c r="B282" t="s">
        <v>491</v>
      </c>
      <c r="C282" t="s">
        <v>788</v>
      </c>
      <c r="D282" s="138">
        <v>3130000</v>
      </c>
      <c r="E282" t="s">
        <v>510</v>
      </c>
      <c r="F282" s="20" t="s">
        <v>511</v>
      </c>
      <c r="G282" s="8" t="str">
        <f t="shared" si="8"/>
        <v>ZEWDU DEREJE</v>
      </c>
      <c r="H282" s="20" t="str">
        <f t="shared" si="9"/>
        <v>4043</v>
      </c>
    </row>
    <row r="283" spans="1:8" x14ac:dyDescent="0.25">
      <c r="A283" s="8">
        <v>43027.859826388885</v>
      </c>
      <c r="B283" t="s">
        <v>574</v>
      </c>
      <c r="C283" t="s">
        <v>590</v>
      </c>
      <c r="D283" s="138">
        <v>3340000</v>
      </c>
      <c r="E283" t="s">
        <v>763</v>
      </c>
      <c r="F283" s="20" t="s">
        <v>764</v>
      </c>
      <c r="G283" s="8" t="str">
        <f t="shared" si="8"/>
        <v>ELBAUM MIKE</v>
      </c>
      <c r="H283" s="20" t="str">
        <f t="shared" si="9"/>
        <v>4057</v>
      </c>
    </row>
    <row r="284" spans="1:8" x14ac:dyDescent="0.25">
      <c r="A284" s="8">
        <v>43027.871770833335</v>
      </c>
      <c r="B284" t="s">
        <v>428</v>
      </c>
      <c r="C284" t="s">
        <v>789</v>
      </c>
      <c r="D284" s="138">
        <v>3310000</v>
      </c>
      <c r="E284" t="s">
        <v>382</v>
      </c>
      <c r="F284" s="20" t="s">
        <v>383</v>
      </c>
      <c r="G284" s="8" t="str">
        <f t="shared" si="8"/>
        <v>ANDERS STEVEN</v>
      </c>
      <c r="H284" s="20" t="str">
        <f t="shared" si="9"/>
        <v>4008</v>
      </c>
    </row>
    <row r="285" spans="1:8" x14ac:dyDescent="0.25">
      <c r="A285" s="8">
        <v>43027.874143518522</v>
      </c>
      <c r="B285" t="s">
        <v>492</v>
      </c>
      <c r="C285" t="s">
        <v>790</v>
      </c>
      <c r="D285" s="138">
        <v>2440000</v>
      </c>
      <c r="E285" t="s">
        <v>791</v>
      </c>
      <c r="F285" s="20" t="s">
        <v>792</v>
      </c>
      <c r="G285" s="8" t="str">
        <f t="shared" si="8"/>
        <v>LOPES KIMBERLY</v>
      </c>
      <c r="H285" s="20" t="str">
        <f t="shared" si="9"/>
        <v>4044</v>
      </c>
    </row>
    <row r="286" spans="1:8" x14ac:dyDescent="0.25">
      <c r="A286" s="8">
        <v>43027.888333333336</v>
      </c>
      <c r="B286" t="s">
        <v>503</v>
      </c>
      <c r="C286" t="s">
        <v>793</v>
      </c>
      <c r="D286" s="138">
        <v>3320000</v>
      </c>
      <c r="E286" t="s">
        <v>756</v>
      </c>
      <c r="F286" s="20" t="s">
        <v>757</v>
      </c>
      <c r="G286" s="8" t="str">
        <f t="shared" si="8"/>
        <v>NICHOLSON WESLEY</v>
      </c>
      <c r="H286" s="20" t="str">
        <f t="shared" si="9"/>
        <v>4006</v>
      </c>
    </row>
    <row r="287" spans="1:8" x14ac:dyDescent="0.25">
      <c r="A287" s="8">
        <v>43027.888518518521</v>
      </c>
      <c r="B287" t="s">
        <v>436</v>
      </c>
      <c r="C287" t="s">
        <v>794</v>
      </c>
      <c r="D287" s="138">
        <v>2540000</v>
      </c>
      <c r="E287" t="s">
        <v>395</v>
      </c>
      <c r="F287" s="20" t="s">
        <v>396</v>
      </c>
      <c r="G287" s="8" t="str">
        <f t="shared" si="8"/>
        <v>MCREYNOLDS KYLE</v>
      </c>
      <c r="H287" s="20" t="str">
        <f t="shared" si="9"/>
        <v>4009</v>
      </c>
    </row>
    <row r="288" spans="1:8" x14ac:dyDescent="0.25">
      <c r="A288" s="8">
        <v>43027.893078703702</v>
      </c>
      <c r="B288" t="s">
        <v>491</v>
      </c>
      <c r="C288" t="s">
        <v>795</v>
      </c>
      <c r="D288" s="138">
        <v>2440000</v>
      </c>
      <c r="E288" t="s">
        <v>791</v>
      </c>
      <c r="F288" s="20" t="s">
        <v>792</v>
      </c>
      <c r="G288" s="8" t="str">
        <f t="shared" si="8"/>
        <v>LOPES KIMBERLY</v>
      </c>
      <c r="H288" s="20" t="str">
        <f t="shared" si="9"/>
        <v>4043</v>
      </c>
    </row>
    <row r="289" spans="1:8" x14ac:dyDescent="0.25">
      <c r="A289" s="8">
        <v>43027.900636574072</v>
      </c>
      <c r="B289" t="s">
        <v>562</v>
      </c>
      <c r="C289" t="s">
        <v>796</v>
      </c>
      <c r="D289" s="138">
        <v>3340000</v>
      </c>
      <c r="E289" t="s">
        <v>763</v>
      </c>
      <c r="F289" s="20" t="s">
        <v>764</v>
      </c>
      <c r="G289" s="8" t="str">
        <f t="shared" si="8"/>
        <v>ELBAUM MIKE</v>
      </c>
      <c r="H289" s="20" t="str">
        <f t="shared" si="9"/>
        <v>4058</v>
      </c>
    </row>
    <row r="290" spans="1:8" x14ac:dyDescent="0.25">
      <c r="A290" s="8">
        <v>43027.90148148148</v>
      </c>
      <c r="B290" t="s">
        <v>483</v>
      </c>
      <c r="C290" t="s">
        <v>743</v>
      </c>
      <c r="D290" s="138">
        <v>2600000</v>
      </c>
      <c r="E290" t="s">
        <v>777</v>
      </c>
      <c r="F290" s="20" t="s">
        <v>689</v>
      </c>
      <c r="G290" s="8" t="str">
        <f t="shared" si="8"/>
        <v>DAVIDSON DAVID</v>
      </c>
      <c r="H290" s="20" t="str">
        <f t="shared" si="9"/>
        <v>4018</v>
      </c>
    </row>
    <row r="291" spans="1:8" x14ac:dyDescent="0.25">
      <c r="A291" s="8">
        <v>43027.905092592591</v>
      </c>
      <c r="B291" t="s">
        <v>487</v>
      </c>
      <c r="C291" t="s">
        <v>743</v>
      </c>
      <c r="D291" s="138">
        <v>2600000</v>
      </c>
      <c r="E291" t="s">
        <v>777</v>
      </c>
      <c r="F291" s="20" t="s">
        <v>689</v>
      </c>
      <c r="G291" s="8" t="str">
        <f t="shared" si="8"/>
        <v>DAVIDSON DAVID</v>
      </c>
      <c r="H291" s="20" t="str">
        <f t="shared" si="9"/>
        <v>4017</v>
      </c>
    </row>
    <row r="292" spans="1:8" x14ac:dyDescent="0.25">
      <c r="A292" s="8">
        <v>43027.912083333336</v>
      </c>
      <c r="B292" t="s">
        <v>485</v>
      </c>
      <c r="C292" t="s">
        <v>797</v>
      </c>
      <c r="D292" s="138">
        <v>3310000</v>
      </c>
      <c r="E292" t="s">
        <v>382</v>
      </c>
      <c r="F292" s="20" t="s">
        <v>383</v>
      </c>
      <c r="G292" s="8" t="str">
        <f t="shared" si="8"/>
        <v>ANDERS STEVEN</v>
      </c>
      <c r="H292" s="20" t="str">
        <f t="shared" si="9"/>
        <v>4007</v>
      </c>
    </row>
    <row r="293" spans="1:8" x14ac:dyDescent="0.25">
      <c r="A293" s="8">
        <v>43027.919351851851</v>
      </c>
      <c r="B293" t="s">
        <v>492</v>
      </c>
      <c r="C293" t="s">
        <v>798</v>
      </c>
      <c r="D293" s="138">
        <v>3280000</v>
      </c>
      <c r="E293" t="s">
        <v>473</v>
      </c>
      <c r="F293" s="20" t="s">
        <v>474</v>
      </c>
      <c r="G293" s="8" t="str">
        <f t="shared" si="8"/>
        <v>BIRKHOLZ NADINE</v>
      </c>
      <c r="H293" s="20" t="str">
        <f t="shared" si="9"/>
        <v>4044</v>
      </c>
    </row>
    <row r="294" spans="1:8" x14ac:dyDescent="0.25">
      <c r="A294" s="8">
        <v>43027.926724537036</v>
      </c>
      <c r="B294" t="s">
        <v>484</v>
      </c>
      <c r="C294" t="s">
        <v>799</v>
      </c>
      <c r="D294" s="138">
        <v>3320000</v>
      </c>
      <c r="E294" t="s">
        <v>756</v>
      </c>
      <c r="F294" s="20" t="s">
        <v>757</v>
      </c>
      <c r="G294" s="8" t="str">
        <f t="shared" si="8"/>
        <v>NICHOLSON WESLEY</v>
      </c>
      <c r="H294" s="20" t="str">
        <f t="shared" si="9"/>
        <v>4005</v>
      </c>
    </row>
    <row r="295" spans="1:8" x14ac:dyDescent="0.25">
      <c r="A295" s="8">
        <v>43027.933495370373</v>
      </c>
      <c r="B295" t="s">
        <v>483</v>
      </c>
      <c r="C295" t="s">
        <v>800</v>
      </c>
      <c r="D295" s="138">
        <v>2540000</v>
      </c>
      <c r="E295" t="s">
        <v>395</v>
      </c>
      <c r="F295" s="20" t="s">
        <v>396</v>
      </c>
      <c r="G295" s="8" t="str">
        <f t="shared" si="8"/>
        <v>MCREYNOLDS KYLE</v>
      </c>
      <c r="H295" s="20" t="str">
        <f t="shared" si="9"/>
        <v>4018</v>
      </c>
    </row>
    <row r="296" spans="1:8" x14ac:dyDescent="0.25">
      <c r="A296" s="8">
        <v>43027.935891203706</v>
      </c>
      <c r="B296" t="s">
        <v>491</v>
      </c>
      <c r="C296" t="s">
        <v>801</v>
      </c>
      <c r="D296" s="138">
        <v>3280000</v>
      </c>
      <c r="E296" t="s">
        <v>473</v>
      </c>
      <c r="F296" s="20" t="s">
        <v>474</v>
      </c>
      <c r="G296" s="8" t="str">
        <f t="shared" si="8"/>
        <v>BIRKHOLZ NADINE</v>
      </c>
      <c r="H296" s="20" t="str">
        <f t="shared" si="9"/>
        <v>4043</v>
      </c>
    </row>
    <row r="297" spans="1:8" x14ac:dyDescent="0.25">
      <c r="A297" s="8">
        <v>43027.94259259259</v>
      </c>
      <c r="B297" t="s">
        <v>574</v>
      </c>
      <c r="C297" t="s">
        <v>802</v>
      </c>
      <c r="D297" s="138">
        <v>3340000</v>
      </c>
      <c r="E297" t="s">
        <v>763</v>
      </c>
      <c r="F297" s="20" t="s">
        <v>764</v>
      </c>
      <c r="G297" s="8" t="str">
        <f t="shared" si="8"/>
        <v>ELBAUM MIKE</v>
      </c>
      <c r="H297" s="20" t="str">
        <f t="shared" si="9"/>
        <v>4057</v>
      </c>
    </row>
    <row r="298" spans="1:8" x14ac:dyDescent="0.25">
      <c r="A298" s="8">
        <v>43027.956400462965</v>
      </c>
      <c r="B298" t="s">
        <v>428</v>
      </c>
      <c r="C298" t="s">
        <v>803</v>
      </c>
      <c r="D298" s="138">
        <v>3310000</v>
      </c>
      <c r="E298" t="s">
        <v>382</v>
      </c>
      <c r="F298" s="20" t="s">
        <v>383</v>
      </c>
      <c r="G298" s="8" t="str">
        <f t="shared" si="8"/>
        <v>ANDERS STEVEN</v>
      </c>
      <c r="H298" s="20" t="str">
        <f t="shared" si="9"/>
        <v>4008</v>
      </c>
    </row>
    <row r="299" spans="1:8" x14ac:dyDescent="0.25">
      <c r="A299" s="8">
        <v>43027.960833333331</v>
      </c>
      <c r="B299" t="s">
        <v>492</v>
      </c>
      <c r="C299" t="s">
        <v>804</v>
      </c>
      <c r="D299" s="138">
        <v>3280000</v>
      </c>
      <c r="E299" t="s">
        <v>473</v>
      </c>
      <c r="F299" s="20" t="s">
        <v>474</v>
      </c>
      <c r="G299" s="8" t="str">
        <f t="shared" si="8"/>
        <v>BIRKHOLZ NADINE</v>
      </c>
      <c r="H299" s="20" t="str">
        <f t="shared" si="9"/>
        <v>4044</v>
      </c>
    </row>
    <row r="300" spans="1:8" x14ac:dyDescent="0.25">
      <c r="A300" s="8">
        <v>43027.97184027778</v>
      </c>
      <c r="B300" t="s">
        <v>487</v>
      </c>
      <c r="C300" t="s">
        <v>805</v>
      </c>
      <c r="D300" s="138">
        <v>2540000</v>
      </c>
      <c r="E300" t="s">
        <v>395</v>
      </c>
      <c r="F300" s="20" t="s">
        <v>396</v>
      </c>
      <c r="G300" s="8" t="str">
        <f t="shared" si="8"/>
        <v>MCREYNOLDS KYLE</v>
      </c>
      <c r="H300" s="20" t="str">
        <f t="shared" si="9"/>
        <v>4017</v>
      </c>
    </row>
    <row r="301" spans="1:8" x14ac:dyDescent="0.25">
      <c r="A301" s="8">
        <v>43027.976574074077</v>
      </c>
      <c r="B301" t="s">
        <v>491</v>
      </c>
      <c r="C301" t="s">
        <v>806</v>
      </c>
      <c r="D301" s="138">
        <v>3280000</v>
      </c>
      <c r="E301" t="s">
        <v>473</v>
      </c>
      <c r="F301" s="20" t="s">
        <v>474</v>
      </c>
      <c r="G301" s="8" t="str">
        <f t="shared" si="8"/>
        <v>BIRKHOLZ NADINE</v>
      </c>
      <c r="H301" s="20" t="str">
        <f t="shared" si="9"/>
        <v>4043</v>
      </c>
    </row>
    <row r="302" spans="1:8" x14ac:dyDescent="0.25">
      <c r="A302" s="8">
        <v>43027.978032407409</v>
      </c>
      <c r="B302" t="s">
        <v>503</v>
      </c>
      <c r="C302" t="s">
        <v>807</v>
      </c>
      <c r="D302" s="138">
        <v>890000</v>
      </c>
      <c r="E302" t="s">
        <v>358</v>
      </c>
      <c r="F302" s="20" t="s">
        <v>359</v>
      </c>
      <c r="G302" s="8" t="str">
        <f t="shared" si="8"/>
        <v>LOZA FIDEL</v>
      </c>
      <c r="H302" s="20" t="str">
        <f t="shared" si="9"/>
        <v>4006</v>
      </c>
    </row>
    <row r="303" spans="1:8" x14ac:dyDescent="0.25">
      <c r="A303" s="8">
        <v>43027.984525462962</v>
      </c>
      <c r="B303" t="s">
        <v>562</v>
      </c>
      <c r="C303" t="s">
        <v>808</v>
      </c>
      <c r="D303" s="138">
        <v>3340000</v>
      </c>
      <c r="E303" t="s">
        <v>763</v>
      </c>
      <c r="F303" s="20" t="s">
        <v>764</v>
      </c>
      <c r="G303" s="8" t="str">
        <f t="shared" si="8"/>
        <v>ELBAUM MIKE</v>
      </c>
      <c r="H303" s="20" t="str">
        <f t="shared" si="9"/>
        <v>4058</v>
      </c>
    </row>
    <row r="304" spans="1:8" x14ac:dyDescent="0.25">
      <c r="A304" s="8">
        <v>43027.994988425926</v>
      </c>
      <c r="B304" t="s">
        <v>485</v>
      </c>
      <c r="C304" t="s">
        <v>809</v>
      </c>
      <c r="D304" s="138">
        <v>3310000</v>
      </c>
      <c r="E304" t="s">
        <v>382</v>
      </c>
      <c r="F304" s="20" t="s">
        <v>383</v>
      </c>
      <c r="G304" s="8" t="str">
        <f t="shared" si="8"/>
        <v>ANDERS STEVEN</v>
      </c>
      <c r="H304" s="20" t="str">
        <f t="shared" si="9"/>
        <v>4007</v>
      </c>
    </row>
    <row r="305" spans="1:8" x14ac:dyDescent="0.25">
      <c r="A305" s="8">
        <v>43028.010069444441</v>
      </c>
      <c r="B305" t="s">
        <v>483</v>
      </c>
      <c r="C305" t="s">
        <v>810</v>
      </c>
      <c r="D305" s="138">
        <v>2540000</v>
      </c>
      <c r="E305" t="s">
        <v>395</v>
      </c>
      <c r="F305" s="20" t="s">
        <v>396</v>
      </c>
      <c r="G305" s="8" t="str">
        <f t="shared" si="8"/>
        <v>MCREYNOLDS KYLE</v>
      </c>
      <c r="H305" s="20" t="str">
        <f t="shared" si="9"/>
        <v>4018</v>
      </c>
    </row>
    <row r="306" spans="1:8" x14ac:dyDescent="0.25">
      <c r="A306" s="8">
        <v>43028.014560185184</v>
      </c>
      <c r="B306" t="s">
        <v>484</v>
      </c>
      <c r="C306" t="s">
        <v>811</v>
      </c>
      <c r="D306" s="138">
        <v>890000</v>
      </c>
      <c r="E306" t="s">
        <v>358</v>
      </c>
      <c r="F306" s="20" t="s">
        <v>359</v>
      </c>
      <c r="G306" s="8" t="str">
        <f t="shared" si="8"/>
        <v>LOZA FIDEL</v>
      </c>
      <c r="H306" s="20" t="str">
        <f t="shared" si="9"/>
        <v>4005</v>
      </c>
    </row>
    <row r="307" spans="1:8" x14ac:dyDescent="0.25">
      <c r="A307" s="8">
        <v>43028.031365740739</v>
      </c>
      <c r="B307" t="s">
        <v>428</v>
      </c>
      <c r="C307" t="s">
        <v>812</v>
      </c>
      <c r="D307" s="138">
        <v>3310000</v>
      </c>
      <c r="E307" t="s">
        <v>382</v>
      </c>
      <c r="F307" s="20" t="s">
        <v>383</v>
      </c>
      <c r="G307" s="8" t="str">
        <f t="shared" si="8"/>
        <v>ANDERS STEVEN</v>
      </c>
      <c r="H307" s="20" t="str">
        <f t="shared" si="9"/>
        <v>4008</v>
      </c>
    </row>
    <row r="308" spans="1:8" x14ac:dyDescent="0.25">
      <c r="A308" s="8">
        <v>43028.038553240738</v>
      </c>
      <c r="B308" t="s">
        <v>574</v>
      </c>
      <c r="C308" t="s">
        <v>813</v>
      </c>
      <c r="D308" s="138">
        <v>3340000</v>
      </c>
      <c r="E308" t="s">
        <v>763</v>
      </c>
      <c r="F308" s="20" t="s">
        <v>764</v>
      </c>
      <c r="G308" s="8" t="str">
        <f t="shared" si="8"/>
        <v>ELBAUM MIKE</v>
      </c>
      <c r="H308" s="20" t="str">
        <f t="shared" si="9"/>
        <v>4057</v>
      </c>
    </row>
    <row r="309" spans="1:8" x14ac:dyDescent="0.25">
      <c r="A309" s="8">
        <v>43028.047349537039</v>
      </c>
      <c r="B309" t="s">
        <v>503</v>
      </c>
      <c r="C309" t="s">
        <v>814</v>
      </c>
      <c r="D309" s="138">
        <v>890000</v>
      </c>
      <c r="E309" t="s">
        <v>358</v>
      </c>
      <c r="F309" s="20" t="s">
        <v>359</v>
      </c>
      <c r="G309" s="8" t="str">
        <f t="shared" si="8"/>
        <v>LOZA FIDEL</v>
      </c>
      <c r="H309" s="20" t="str">
        <f t="shared" si="9"/>
        <v>4006</v>
      </c>
    </row>
    <row r="310" spans="1:8" x14ac:dyDescent="0.25">
      <c r="A310" s="8">
        <v>43028.053391203706</v>
      </c>
      <c r="B310" t="s">
        <v>487</v>
      </c>
      <c r="C310" t="s">
        <v>815</v>
      </c>
      <c r="D310" s="138">
        <v>2540000</v>
      </c>
      <c r="E310" t="s">
        <v>395</v>
      </c>
      <c r="F310" s="20" t="s">
        <v>396</v>
      </c>
      <c r="G310" s="8" t="str">
        <f t="shared" si="8"/>
        <v>MCREYNOLDS KYLE</v>
      </c>
      <c r="H310" s="20" t="str">
        <f t="shared" si="9"/>
        <v>4017</v>
      </c>
    </row>
    <row r="311" spans="1:8" x14ac:dyDescent="0.25">
      <c r="A311" s="8">
        <v>43028.068229166667</v>
      </c>
      <c r="B311" t="s">
        <v>562</v>
      </c>
      <c r="C311" t="s">
        <v>816</v>
      </c>
      <c r="D311" s="138">
        <v>3340000</v>
      </c>
      <c r="E311" t="s">
        <v>763</v>
      </c>
      <c r="F311" s="20" t="s">
        <v>764</v>
      </c>
      <c r="G311" s="8" t="str">
        <f t="shared" si="8"/>
        <v>ELBAUM MIKE</v>
      </c>
      <c r="H311" s="20" t="str">
        <f t="shared" si="9"/>
        <v>4058</v>
      </c>
    </row>
    <row r="312" spans="1:8" x14ac:dyDescent="0.25">
      <c r="A312" s="8">
        <v>43028.089571759258</v>
      </c>
      <c r="B312" t="s">
        <v>483</v>
      </c>
      <c r="C312" t="s">
        <v>817</v>
      </c>
      <c r="D312" s="138">
        <v>2540000</v>
      </c>
      <c r="E312" t="s">
        <v>395</v>
      </c>
      <c r="F312" s="20" t="s">
        <v>396</v>
      </c>
      <c r="G312" s="8" t="str">
        <f t="shared" si="8"/>
        <v>MCREYNOLDS KYLE</v>
      </c>
      <c r="H312" s="20" t="str">
        <f t="shared" si="9"/>
        <v>4018</v>
      </c>
    </row>
    <row r="313" spans="1:8" x14ac:dyDescent="0.25">
      <c r="A313" s="8">
        <v>43028.111273148148</v>
      </c>
      <c r="B313" t="s">
        <v>387</v>
      </c>
      <c r="C313" t="s">
        <v>818</v>
      </c>
      <c r="D313" s="138">
        <v>1830000</v>
      </c>
      <c r="E313" t="s">
        <v>373</v>
      </c>
      <c r="F313" s="20" t="s">
        <v>374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342</v>
      </c>
      <c r="O1" s="218" t="s">
        <v>154</v>
      </c>
      <c r="P1" s="218" t="s">
        <v>161</v>
      </c>
      <c r="Q1" s="218" t="s">
        <v>343</v>
      </c>
      <c r="R1" s="218" t="s">
        <v>158</v>
      </c>
      <c r="S1"/>
      <c r="T1"/>
    </row>
    <row r="2" spans="1:20" x14ac:dyDescent="0.25">
      <c r="A2" s="196">
        <v>49.1</v>
      </c>
      <c r="B2" s="196">
        <v>0.02</v>
      </c>
      <c r="C2" s="196">
        <v>24.02</v>
      </c>
      <c r="D2" s="8">
        <v>43027</v>
      </c>
      <c r="E2" s="196">
        <v>0.37</v>
      </c>
      <c r="F2" s="196" t="s">
        <v>391</v>
      </c>
      <c r="G2" s="196">
        <v>283.05</v>
      </c>
      <c r="H2" s="196">
        <v>0</v>
      </c>
      <c r="I2" s="196">
        <v>0</v>
      </c>
      <c r="J2" s="196">
        <v>1015.16</v>
      </c>
      <c r="K2" s="196" t="s">
        <v>392</v>
      </c>
      <c r="L2" s="196">
        <v>49.1</v>
      </c>
      <c r="M2" s="196">
        <v>1508392800</v>
      </c>
      <c r="N2" s="196">
        <v>0</v>
      </c>
      <c r="O2" s="196">
        <v>5.99</v>
      </c>
      <c r="P2" s="196">
        <v>197</v>
      </c>
      <c r="Q2" s="196">
        <v>3.84</v>
      </c>
      <c r="R2" s="196">
        <v>1.94</v>
      </c>
      <c r="S2"/>
      <c r="T2"/>
    </row>
    <row r="3" spans="1:20" x14ac:dyDescent="0.25">
      <c r="A3" s="196">
        <v>48.36</v>
      </c>
      <c r="B3" s="196">
        <v>0.02</v>
      </c>
      <c r="C3" s="196">
        <v>23.41</v>
      </c>
      <c r="D3" s="8">
        <v>43027.041666666664</v>
      </c>
      <c r="E3" s="196">
        <v>0.37</v>
      </c>
      <c r="F3" s="196" t="s">
        <v>391</v>
      </c>
      <c r="G3" s="196">
        <v>280.95999999999998</v>
      </c>
      <c r="H3" s="196">
        <v>0</v>
      </c>
      <c r="I3" s="196">
        <v>0</v>
      </c>
      <c r="J3" s="196">
        <v>1015.4</v>
      </c>
      <c r="K3" s="196" t="s">
        <v>392</v>
      </c>
      <c r="L3" s="196">
        <v>48.36</v>
      </c>
      <c r="M3" s="196">
        <v>1508396400</v>
      </c>
      <c r="N3" s="196">
        <v>0</v>
      </c>
      <c r="O3" s="196">
        <v>5.44</v>
      </c>
      <c r="P3" s="196">
        <v>190</v>
      </c>
      <c r="Q3" s="196">
        <v>4.05</v>
      </c>
      <c r="R3" s="196">
        <v>1.77</v>
      </c>
      <c r="S3"/>
      <c r="T3"/>
    </row>
    <row r="4" spans="1:20" x14ac:dyDescent="0.25">
      <c r="A4" s="196">
        <v>46.98</v>
      </c>
      <c r="B4" s="196">
        <v>0.02</v>
      </c>
      <c r="C4" s="196">
        <v>24.27</v>
      </c>
      <c r="D4" s="8">
        <v>43027.083333333336</v>
      </c>
      <c r="E4" s="196">
        <v>0.41</v>
      </c>
      <c r="F4" s="196" t="s">
        <v>391</v>
      </c>
      <c r="G4" s="196">
        <v>278.16000000000003</v>
      </c>
      <c r="H4" s="196">
        <v>0</v>
      </c>
      <c r="I4" s="196">
        <v>0</v>
      </c>
      <c r="J4" s="196">
        <v>1015.45</v>
      </c>
      <c r="K4" s="196" t="s">
        <v>392</v>
      </c>
      <c r="L4" s="196">
        <v>46.98</v>
      </c>
      <c r="M4" s="196">
        <v>1508400000</v>
      </c>
      <c r="N4" s="196">
        <v>0</v>
      </c>
      <c r="O4" s="196">
        <v>9.68</v>
      </c>
      <c r="P4" s="196">
        <v>209</v>
      </c>
      <c r="Q4" s="196">
        <v>2.86</v>
      </c>
      <c r="R4" s="196">
        <v>1.38</v>
      </c>
      <c r="S4"/>
      <c r="T4"/>
    </row>
    <row r="5" spans="1:20" x14ac:dyDescent="0.25">
      <c r="A5" s="196">
        <v>45.13</v>
      </c>
      <c r="B5" s="196">
        <v>0.02</v>
      </c>
      <c r="C5" s="196">
        <v>23.97</v>
      </c>
      <c r="D5" s="8">
        <v>43027.125</v>
      </c>
      <c r="E5" s="196">
        <v>0.43</v>
      </c>
      <c r="F5" s="196" t="s">
        <v>391</v>
      </c>
      <c r="G5" s="196">
        <v>275.42</v>
      </c>
      <c r="H5" s="196">
        <v>0</v>
      </c>
      <c r="I5" s="196">
        <v>0</v>
      </c>
      <c r="J5" s="196">
        <v>1014.18</v>
      </c>
      <c r="K5" s="196" t="s">
        <v>392</v>
      </c>
      <c r="L5" s="196">
        <v>45.13</v>
      </c>
      <c r="M5" s="196">
        <v>1508403600</v>
      </c>
      <c r="N5" s="196">
        <v>0</v>
      </c>
      <c r="O5" s="196">
        <v>10</v>
      </c>
      <c r="P5" s="196">
        <v>220</v>
      </c>
      <c r="Q5" s="196">
        <v>2.2400000000000002</v>
      </c>
      <c r="R5" s="196">
        <v>1.26</v>
      </c>
      <c r="S5"/>
      <c r="T5"/>
    </row>
    <row r="6" spans="1:20" x14ac:dyDescent="0.25">
      <c r="A6" s="196">
        <v>43.56</v>
      </c>
      <c r="B6" s="196">
        <v>0.02</v>
      </c>
      <c r="C6" s="196">
        <v>24.67</v>
      </c>
      <c r="D6" s="8">
        <v>43027.166666666664</v>
      </c>
      <c r="E6" s="196">
        <v>0.47</v>
      </c>
      <c r="F6" s="196" t="s">
        <v>391</v>
      </c>
      <c r="G6" s="196">
        <v>272.75</v>
      </c>
      <c r="H6" s="196">
        <v>0</v>
      </c>
      <c r="I6" s="196">
        <v>0</v>
      </c>
      <c r="J6" s="196">
        <v>1014.39</v>
      </c>
      <c r="K6" s="196" t="s">
        <v>392</v>
      </c>
      <c r="L6" s="196">
        <v>43.56</v>
      </c>
      <c r="M6" s="196">
        <v>1508407200</v>
      </c>
      <c r="N6" s="196">
        <v>0</v>
      </c>
      <c r="O6" s="196">
        <v>2.92</v>
      </c>
      <c r="P6" s="196">
        <v>205</v>
      </c>
      <c r="Q6" s="196">
        <v>2.27</v>
      </c>
      <c r="R6" s="196">
        <v>0.85</v>
      </c>
      <c r="S6"/>
      <c r="T6"/>
    </row>
    <row r="7" spans="1:20" x14ac:dyDescent="0.25">
      <c r="A7" s="196">
        <v>42.48</v>
      </c>
      <c r="B7" s="196">
        <v>0.02</v>
      </c>
      <c r="C7" s="196">
        <v>24.62</v>
      </c>
      <c r="D7" s="8">
        <v>43027.208333333336</v>
      </c>
      <c r="E7" s="196">
        <v>0.49</v>
      </c>
      <c r="F7" s="196" t="s">
        <v>391</v>
      </c>
      <c r="G7" s="196">
        <v>270.27999999999997</v>
      </c>
      <c r="H7" s="196">
        <v>0</v>
      </c>
      <c r="I7" s="196">
        <v>0</v>
      </c>
      <c r="J7" s="196">
        <v>1014.43</v>
      </c>
      <c r="K7" s="196" t="s">
        <v>392</v>
      </c>
      <c r="L7" s="196">
        <v>42.48</v>
      </c>
      <c r="M7" s="196">
        <v>1508410800</v>
      </c>
      <c r="N7" s="196">
        <v>0</v>
      </c>
      <c r="O7" s="196">
        <v>2.98</v>
      </c>
      <c r="P7" s="196">
        <v>188</v>
      </c>
      <c r="Q7" s="196">
        <v>2.63</v>
      </c>
      <c r="R7" s="196">
        <v>0.79</v>
      </c>
      <c r="S7"/>
      <c r="T7"/>
    </row>
    <row r="8" spans="1:20" x14ac:dyDescent="0.25">
      <c r="A8" s="196">
        <v>41.07</v>
      </c>
      <c r="B8" s="196">
        <v>0.02</v>
      </c>
      <c r="C8" s="196">
        <v>24.85</v>
      </c>
      <c r="D8" s="8">
        <v>43027.25</v>
      </c>
      <c r="E8" s="196">
        <v>0.52</v>
      </c>
      <c r="F8" s="196" t="s">
        <v>391</v>
      </c>
      <c r="G8" s="196">
        <v>268.41000000000003</v>
      </c>
      <c r="H8" s="196">
        <v>0</v>
      </c>
      <c r="I8" s="196">
        <v>0</v>
      </c>
      <c r="J8" s="196">
        <v>1014.79</v>
      </c>
      <c r="K8" s="196" t="s">
        <v>392</v>
      </c>
      <c r="L8" s="196">
        <v>41.07</v>
      </c>
      <c r="M8" s="196">
        <v>1508414400</v>
      </c>
      <c r="N8" s="196">
        <v>0</v>
      </c>
      <c r="O8" s="196">
        <v>3.33</v>
      </c>
      <c r="P8" s="196">
        <v>225</v>
      </c>
      <c r="Q8" s="196">
        <v>2.4300000000000002</v>
      </c>
      <c r="R8" s="196">
        <v>0.52</v>
      </c>
      <c r="S8"/>
      <c r="T8"/>
    </row>
    <row r="9" spans="1:20" x14ac:dyDescent="0.25">
      <c r="A9" s="196">
        <v>40.06</v>
      </c>
      <c r="B9" s="196">
        <v>0.03</v>
      </c>
      <c r="C9" s="196">
        <v>25.48</v>
      </c>
      <c r="D9" s="8">
        <v>43027.291666666664</v>
      </c>
      <c r="E9" s="196">
        <v>0.56000000000000005</v>
      </c>
      <c r="F9" s="196" t="s">
        <v>391</v>
      </c>
      <c r="G9" s="196">
        <v>267.39999999999998</v>
      </c>
      <c r="H9" s="196">
        <v>0</v>
      </c>
      <c r="I9" s="196">
        <v>0</v>
      </c>
      <c r="J9" s="196">
        <v>1015.43</v>
      </c>
      <c r="K9" s="196" t="s">
        <v>392</v>
      </c>
      <c r="L9" s="196">
        <v>40.06</v>
      </c>
      <c r="M9" s="196">
        <v>1508418000</v>
      </c>
      <c r="N9" s="196">
        <v>0</v>
      </c>
      <c r="O9" s="196">
        <v>3.33</v>
      </c>
      <c r="P9" s="196">
        <v>227</v>
      </c>
      <c r="Q9" s="196">
        <v>2.09</v>
      </c>
      <c r="R9" s="196">
        <v>0.55000000000000004</v>
      </c>
      <c r="S9"/>
      <c r="T9"/>
    </row>
    <row r="10" spans="1:20" x14ac:dyDescent="0.25">
      <c r="A10" s="196">
        <v>41.56</v>
      </c>
      <c r="B10" s="196">
        <v>0.03</v>
      </c>
      <c r="C10" s="196">
        <v>26.37</v>
      </c>
      <c r="D10" s="8">
        <v>43027.333333333336</v>
      </c>
      <c r="E10" s="196">
        <v>0.54</v>
      </c>
      <c r="F10" s="196" t="s">
        <v>407</v>
      </c>
      <c r="G10" s="196">
        <v>266.89</v>
      </c>
      <c r="H10" s="196">
        <v>0</v>
      </c>
      <c r="I10" s="196">
        <v>0</v>
      </c>
      <c r="J10" s="196">
        <v>1015.51</v>
      </c>
      <c r="K10" s="196" t="s">
        <v>392</v>
      </c>
      <c r="L10" s="196">
        <v>41.56</v>
      </c>
      <c r="M10" s="196">
        <v>1508421600</v>
      </c>
      <c r="N10" s="196">
        <v>1</v>
      </c>
      <c r="O10" s="196">
        <v>3.34</v>
      </c>
      <c r="P10" s="196">
        <v>189</v>
      </c>
      <c r="Q10" s="196">
        <v>2.2200000000000002</v>
      </c>
      <c r="R10" s="196">
        <v>0.65</v>
      </c>
      <c r="S10"/>
      <c r="T10"/>
    </row>
    <row r="11" spans="1:20" x14ac:dyDescent="0.25">
      <c r="A11" s="196">
        <v>49.26</v>
      </c>
      <c r="B11" s="196">
        <v>0.13</v>
      </c>
      <c r="C11" s="196">
        <v>27.43</v>
      </c>
      <c r="D11" s="8">
        <v>43027.375</v>
      </c>
      <c r="E11" s="196">
        <v>0.42</v>
      </c>
      <c r="F11" s="196" t="s">
        <v>407</v>
      </c>
      <c r="G11" s="196">
        <v>266.62</v>
      </c>
      <c r="H11" s="196">
        <v>0</v>
      </c>
      <c r="I11" s="196">
        <v>0</v>
      </c>
      <c r="J11" s="196">
        <v>1015.35</v>
      </c>
      <c r="K11" s="196" t="s">
        <v>392</v>
      </c>
      <c r="L11" s="196">
        <v>49.26</v>
      </c>
      <c r="M11" s="196">
        <v>1508425200</v>
      </c>
      <c r="N11" s="196">
        <v>1</v>
      </c>
      <c r="O11" s="196">
        <v>4.8600000000000003</v>
      </c>
      <c r="P11" s="196">
        <v>209</v>
      </c>
      <c r="Q11" s="196">
        <v>2.23</v>
      </c>
      <c r="R11" s="196">
        <v>0.9</v>
      </c>
      <c r="S11"/>
      <c r="T11"/>
    </row>
    <row r="12" spans="1:20" x14ac:dyDescent="0.25">
      <c r="A12" s="196">
        <v>58.34</v>
      </c>
      <c r="B12" s="196">
        <v>0.26</v>
      </c>
      <c r="C12" s="196">
        <v>26.66</v>
      </c>
      <c r="D12" s="8">
        <v>43027.416666666664</v>
      </c>
      <c r="E12" s="196">
        <v>0.3</v>
      </c>
      <c r="F12" s="196" t="s">
        <v>819</v>
      </c>
      <c r="G12" s="196">
        <v>266.36</v>
      </c>
      <c r="H12" s="196">
        <v>0</v>
      </c>
      <c r="I12" s="196">
        <v>0</v>
      </c>
      <c r="J12" s="196">
        <v>1013.94</v>
      </c>
      <c r="K12" s="196" t="s">
        <v>820</v>
      </c>
      <c r="L12" s="196">
        <v>58.34</v>
      </c>
      <c r="M12" s="196">
        <v>1508428800</v>
      </c>
      <c r="N12" s="196">
        <v>2</v>
      </c>
      <c r="O12" s="196">
        <v>3.42</v>
      </c>
      <c r="P12" s="196">
        <v>178</v>
      </c>
      <c r="Q12" s="196">
        <v>4.6900000000000004</v>
      </c>
      <c r="R12" s="196">
        <v>1.57</v>
      </c>
      <c r="S12"/>
      <c r="T12"/>
    </row>
    <row r="13" spans="1:20" x14ac:dyDescent="0.25">
      <c r="A13" s="196">
        <v>65.040000000000006</v>
      </c>
      <c r="B13" s="196">
        <v>0.31</v>
      </c>
      <c r="C13" s="196">
        <v>26.01</v>
      </c>
      <c r="D13" s="8">
        <v>43027.458333333336</v>
      </c>
      <c r="E13" s="196">
        <v>0.23</v>
      </c>
      <c r="F13" s="196" t="s">
        <v>819</v>
      </c>
      <c r="G13" s="196">
        <v>266.10000000000002</v>
      </c>
      <c r="H13" s="196">
        <v>0</v>
      </c>
      <c r="I13" s="196">
        <v>0</v>
      </c>
      <c r="J13" s="196">
        <v>1012.95</v>
      </c>
      <c r="K13" s="196" t="s">
        <v>820</v>
      </c>
      <c r="L13" s="196">
        <v>65.040000000000006</v>
      </c>
      <c r="M13" s="196">
        <v>1508432400</v>
      </c>
      <c r="N13" s="196">
        <v>3</v>
      </c>
      <c r="O13" s="196">
        <v>4.8600000000000003</v>
      </c>
      <c r="P13" s="196">
        <v>209</v>
      </c>
      <c r="Q13" s="196">
        <v>4.3499999999999996</v>
      </c>
      <c r="R13" s="196">
        <v>0.99</v>
      </c>
      <c r="S13"/>
      <c r="T13"/>
    </row>
    <row r="14" spans="1:20" x14ac:dyDescent="0.25">
      <c r="A14" s="196">
        <v>69.81</v>
      </c>
      <c r="B14" s="196">
        <v>0.25</v>
      </c>
      <c r="C14" s="196">
        <v>24.77</v>
      </c>
      <c r="D14" s="8">
        <v>43027.5</v>
      </c>
      <c r="E14" s="196">
        <v>0.18</v>
      </c>
      <c r="F14" s="196" t="s">
        <v>819</v>
      </c>
      <c r="G14" s="196">
        <v>267.95999999999998</v>
      </c>
      <c r="H14" s="196">
        <v>0</v>
      </c>
      <c r="I14" s="196">
        <v>0</v>
      </c>
      <c r="J14" s="196">
        <v>1011.45</v>
      </c>
      <c r="K14" s="196" t="s">
        <v>820</v>
      </c>
      <c r="L14" s="196">
        <v>69.81</v>
      </c>
      <c r="M14" s="196">
        <v>1508436000</v>
      </c>
      <c r="N14" s="196">
        <v>4</v>
      </c>
      <c r="O14" s="196">
        <v>3.83</v>
      </c>
      <c r="P14" s="196">
        <v>264</v>
      </c>
      <c r="Q14" s="196">
        <v>4.0599999999999996</v>
      </c>
      <c r="R14" s="196">
        <v>0.38</v>
      </c>
      <c r="S14"/>
      <c r="T14"/>
    </row>
    <row r="15" spans="1:20" x14ac:dyDescent="0.25">
      <c r="A15" s="196">
        <v>72.75</v>
      </c>
      <c r="B15" s="196">
        <v>0.13</v>
      </c>
      <c r="C15" s="196">
        <v>24.61</v>
      </c>
      <c r="D15" s="8">
        <v>43027.541666666664</v>
      </c>
      <c r="E15" s="196">
        <v>0.16</v>
      </c>
      <c r="F15" s="196" t="s">
        <v>407</v>
      </c>
      <c r="G15" s="196">
        <v>268.82</v>
      </c>
      <c r="H15" s="196">
        <v>0</v>
      </c>
      <c r="I15" s="196">
        <v>0</v>
      </c>
      <c r="J15" s="196">
        <v>1010</v>
      </c>
      <c r="K15" s="196" t="s">
        <v>392</v>
      </c>
      <c r="L15" s="196">
        <v>72.75</v>
      </c>
      <c r="M15" s="196">
        <v>1508439600</v>
      </c>
      <c r="N15" s="196">
        <v>4</v>
      </c>
      <c r="O15" s="196">
        <v>3.9</v>
      </c>
      <c r="P15" s="196">
        <v>21</v>
      </c>
      <c r="Q15" s="196">
        <v>4.57</v>
      </c>
      <c r="R15" s="196">
        <v>0.63</v>
      </c>
      <c r="S15"/>
      <c r="T15"/>
    </row>
    <row r="16" spans="1:20" x14ac:dyDescent="0.25">
      <c r="A16" s="196">
        <v>73.569999999999993</v>
      </c>
      <c r="B16" s="196">
        <v>0.06</v>
      </c>
      <c r="C16" s="196">
        <v>24.91</v>
      </c>
      <c r="D16" s="8">
        <v>43027.583333333336</v>
      </c>
      <c r="E16" s="196">
        <v>0.16</v>
      </c>
      <c r="F16" s="196" t="s">
        <v>407</v>
      </c>
      <c r="G16" s="196">
        <v>269.93</v>
      </c>
      <c r="H16" s="196">
        <v>0</v>
      </c>
      <c r="I16" s="196">
        <v>0</v>
      </c>
      <c r="J16" s="196">
        <v>1008.57</v>
      </c>
      <c r="K16" s="196" t="s">
        <v>392</v>
      </c>
      <c r="L16" s="196">
        <v>73.569999999999993</v>
      </c>
      <c r="M16" s="196">
        <v>1508443200</v>
      </c>
      <c r="N16" s="196">
        <v>4</v>
      </c>
      <c r="O16" s="196">
        <v>4</v>
      </c>
      <c r="P16" s="196">
        <v>31</v>
      </c>
      <c r="Q16" s="196">
        <v>5.71</v>
      </c>
      <c r="R16" s="196">
        <v>1.6</v>
      </c>
      <c r="S16"/>
      <c r="T16"/>
    </row>
    <row r="17" spans="1:20" x14ac:dyDescent="0.25">
      <c r="A17" s="196">
        <v>74.25</v>
      </c>
      <c r="B17" s="196">
        <v>7.0000000000000007E-2</v>
      </c>
      <c r="C17" s="196">
        <v>26.75</v>
      </c>
      <c r="D17" s="8">
        <v>43027.625</v>
      </c>
      <c r="E17" s="196">
        <v>0.17</v>
      </c>
      <c r="F17" s="196" t="s">
        <v>407</v>
      </c>
      <c r="G17" s="196">
        <v>270.92</v>
      </c>
      <c r="H17" s="196">
        <v>0</v>
      </c>
      <c r="I17" s="196">
        <v>0</v>
      </c>
      <c r="J17" s="196">
        <v>1007.55</v>
      </c>
      <c r="K17" s="196" t="s">
        <v>392</v>
      </c>
      <c r="L17" s="196">
        <v>74.25</v>
      </c>
      <c r="M17" s="196">
        <v>1508446800</v>
      </c>
      <c r="N17" s="196">
        <v>3</v>
      </c>
      <c r="O17" s="196">
        <v>4</v>
      </c>
      <c r="P17" s="196">
        <v>12</v>
      </c>
      <c r="Q17" s="196">
        <v>7.72</v>
      </c>
      <c r="R17" s="196">
        <v>2.57</v>
      </c>
      <c r="S17"/>
      <c r="T17"/>
    </row>
    <row r="18" spans="1:20" x14ac:dyDescent="0.25">
      <c r="A18" s="196">
        <v>73.56</v>
      </c>
      <c r="B18" s="196">
        <v>0.08</v>
      </c>
      <c r="C18" s="196">
        <v>27.77</v>
      </c>
      <c r="D18" s="8">
        <v>43027.666666666664</v>
      </c>
      <c r="E18" s="196">
        <v>0.18</v>
      </c>
      <c r="F18" s="196" t="s">
        <v>407</v>
      </c>
      <c r="G18" s="196">
        <v>271.89999999999998</v>
      </c>
      <c r="H18" s="196">
        <v>0</v>
      </c>
      <c r="I18" s="196">
        <v>0</v>
      </c>
      <c r="J18" s="196">
        <v>1007.55</v>
      </c>
      <c r="K18" s="196" t="s">
        <v>392</v>
      </c>
      <c r="L18" s="196">
        <v>73.56</v>
      </c>
      <c r="M18" s="196">
        <v>1508450400</v>
      </c>
      <c r="N18" s="196">
        <v>1</v>
      </c>
      <c r="O18" s="196">
        <v>3.84</v>
      </c>
      <c r="P18" s="196">
        <v>15</v>
      </c>
      <c r="Q18" s="196">
        <v>7.97</v>
      </c>
      <c r="R18" s="196">
        <v>2.91</v>
      </c>
      <c r="S18"/>
      <c r="T18"/>
    </row>
    <row r="19" spans="1:20" x14ac:dyDescent="0.25">
      <c r="A19" s="196">
        <v>71.540000000000006</v>
      </c>
      <c r="B19" s="196">
        <v>0.14000000000000001</v>
      </c>
      <c r="C19" s="196">
        <v>29.4</v>
      </c>
      <c r="D19" s="8">
        <v>43027.708333333336</v>
      </c>
      <c r="E19" s="196">
        <v>0.21</v>
      </c>
      <c r="F19" s="196" t="s">
        <v>407</v>
      </c>
      <c r="G19" s="196">
        <v>272.88</v>
      </c>
      <c r="H19" s="196">
        <v>0</v>
      </c>
      <c r="I19" s="196">
        <v>0</v>
      </c>
      <c r="J19" s="196">
        <v>1007.83</v>
      </c>
      <c r="K19" s="196" t="s">
        <v>392</v>
      </c>
      <c r="L19" s="196">
        <v>71.540000000000006</v>
      </c>
      <c r="M19" s="196">
        <v>1508454000</v>
      </c>
      <c r="N19" s="196">
        <v>1</v>
      </c>
      <c r="O19" s="196">
        <v>3.84</v>
      </c>
      <c r="P19" s="196">
        <v>3</v>
      </c>
      <c r="Q19" s="196">
        <v>6.8</v>
      </c>
      <c r="R19" s="196">
        <v>2.38</v>
      </c>
      <c r="S19"/>
      <c r="T19"/>
    </row>
    <row r="20" spans="1:20" x14ac:dyDescent="0.25">
      <c r="A20" s="196">
        <v>67.44</v>
      </c>
      <c r="B20" s="196">
        <v>0.2</v>
      </c>
      <c r="C20" s="196">
        <v>31.15</v>
      </c>
      <c r="D20" s="8">
        <v>43027.75</v>
      </c>
      <c r="E20" s="196">
        <v>0.26</v>
      </c>
      <c r="F20" s="196" t="s">
        <v>407</v>
      </c>
      <c r="G20" s="196">
        <v>273.25</v>
      </c>
      <c r="H20" s="196">
        <v>0</v>
      </c>
      <c r="I20" s="196">
        <v>0</v>
      </c>
      <c r="J20" s="196">
        <v>1008.19</v>
      </c>
      <c r="K20" s="196" t="s">
        <v>392</v>
      </c>
      <c r="L20" s="196">
        <v>67.44</v>
      </c>
      <c r="M20" s="196">
        <v>1508457600</v>
      </c>
      <c r="N20" s="196">
        <v>0</v>
      </c>
      <c r="O20" s="196">
        <v>3.84</v>
      </c>
      <c r="P20" s="196">
        <v>5</v>
      </c>
      <c r="Q20" s="196">
        <v>3.35</v>
      </c>
      <c r="R20" s="196">
        <v>0.93</v>
      </c>
      <c r="S20"/>
      <c r="T20"/>
    </row>
    <row r="21" spans="1:20" x14ac:dyDescent="0.25">
      <c r="A21" s="196">
        <v>61.27</v>
      </c>
      <c r="B21" s="196">
        <v>0.18</v>
      </c>
      <c r="C21" s="196">
        <v>32.68</v>
      </c>
      <c r="D21" s="8">
        <v>43027.791666666664</v>
      </c>
      <c r="E21" s="196">
        <v>0.34</v>
      </c>
      <c r="F21" s="196" t="s">
        <v>391</v>
      </c>
      <c r="G21" s="196">
        <v>273.25</v>
      </c>
      <c r="H21" s="196">
        <v>0</v>
      </c>
      <c r="I21" s="196">
        <v>0</v>
      </c>
      <c r="J21" s="196">
        <v>1008.82</v>
      </c>
      <c r="K21" s="196" t="s">
        <v>392</v>
      </c>
      <c r="L21" s="196">
        <v>61.27</v>
      </c>
      <c r="M21" s="196">
        <v>1508461200</v>
      </c>
      <c r="N21" s="196">
        <v>0</v>
      </c>
      <c r="O21" s="196">
        <v>2.94</v>
      </c>
      <c r="P21" s="196">
        <v>264</v>
      </c>
      <c r="Q21" s="196">
        <v>2.31</v>
      </c>
      <c r="R21" s="196">
        <v>0.22</v>
      </c>
      <c r="S21"/>
      <c r="T21"/>
    </row>
    <row r="22" spans="1:20" x14ac:dyDescent="0.25">
      <c r="A22" s="196">
        <v>56.49</v>
      </c>
      <c r="B22" s="196">
        <v>0.21</v>
      </c>
      <c r="C22" s="196">
        <v>33.04</v>
      </c>
      <c r="D22" s="8">
        <v>43027.833333333336</v>
      </c>
      <c r="E22" s="196">
        <v>0.41</v>
      </c>
      <c r="F22" s="196" t="s">
        <v>391</v>
      </c>
      <c r="G22" s="196">
        <v>272.77</v>
      </c>
      <c r="H22" s="196">
        <v>0</v>
      </c>
      <c r="I22" s="196">
        <v>0</v>
      </c>
      <c r="J22" s="196">
        <v>1008.82</v>
      </c>
      <c r="K22" s="196" t="s">
        <v>392</v>
      </c>
      <c r="L22" s="196">
        <v>56.49</v>
      </c>
      <c r="M22" s="196">
        <v>1508464800</v>
      </c>
      <c r="N22" s="196">
        <v>0</v>
      </c>
      <c r="O22" s="196">
        <v>2.62</v>
      </c>
      <c r="P22" s="196">
        <v>212</v>
      </c>
      <c r="Q22" s="196">
        <v>2.39</v>
      </c>
      <c r="R22" s="196">
        <v>0.65</v>
      </c>
      <c r="S22"/>
      <c r="T22"/>
    </row>
    <row r="23" spans="1:20" x14ac:dyDescent="0.25">
      <c r="A23" s="196">
        <v>53.69</v>
      </c>
      <c r="B23" s="196">
        <v>0.3</v>
      </c>
      <c r="C23" s="196">
        <v>33.08</v>
      </c>
      <c r="D23" s="8">
        <v>43027.875</v>
      </c>
      <c r="E23" s="196">
        <v>0.45</v>
      </c>
      <c r="F23" s="196" t="s">
        <v>821</v>
      </c>
      <c r="G23" s="196">
        <v>272.39999999999998</v>
      </c>
      <c r="H23" s="196">
        <v>0</v>
      </c>
      <c r="I23" s="196">
        <v>0</v>
      </c>
      <c r="J23" s="196">
        <v>1008.73</v>
      </c>
      <c r="K23" s="196" t="s">
        <v>820</v>
      </c>
      <c r="L23" s="196">
        <v>53.69</v>
      </c>
      <c r="M23" s="196">
        <v>1508468400</v>
      </c>
      <c r="N23" s="196">
        <v>0</v>
      </c>
      <c r="O23" s="196">
        <v>2.3199999999999998</v>
      </c>
      <c r="P23" s="196">
        <v>195</v>
      </c>
      <c r="Q23" s="196">
        <v>2.65</v>
      </c>
      <c r="R23" s="196">
        <v>0.84</v>
      </c>
      <c r="S23"/>
      <c r="T23"/>
    </row>
    <row r="24" spans="1:20" x14ac:dyDescent="0.25">
      <c r="A24" s="196">
        <v>52.07</v>
      </c>
      <c r="B24" s="196">
        <v>7.0000000000000007E-2</v>
      </c>
      <c r="C24" s="196">
        <v>32.86</v>
      </c>
      <c r="D24" s="8">
        <v>43027.916666666664</v>
      </c>
      <c r="E24" s="196">
        <v>0.48</v>
      </c>
      <c r="F24" s="196" t="s">
        <v>391</v>
      </c>
      <c r="G24" s="196">
        <v>272.04000000000002</v>
      </c>
      <c r="H24" s="196">
        <v>0</v>
      </c>
      <c r="I24" s="196">
        <v>0</v>
      </c>
      <c r="J24" s="196">
        <v>1007.77</v>
      </c>
      <c r="K24" s="196" t="s">
        <v>392</v>
      </c>
      <c r="L24" s="196">
        <v>52.07</v>
      </c>
      <c r="M24" s="196">
        <v>1508472000</v>
      </c>
      <c r="N24" s="196">
        <v>0</v>
      </c>
      <c r="O24" s="196">
        <v>3.18</v>
      </c>
      <c r="P24" s="196">
        <v>185</v>
      </c>
      <c r="Q24" s="196">
        <v>2.4900000000000002</v>
      </c>
      <c r="R24" s="196">
        <v>1.01</v>
      </c>
      <c r="S24"/>
      <c r="T24"/>
    </row>
    <row r="25" spans="1:20" x14ac:dyDescent="0.25">
      <c r="A25" s="196">
        <v>50.75</v>
      </c>
      <c r="B25" s="196">
        <v>0.04</v>
      </c>
      <c r="C25" s="196">
        <v>32.83</v>
      </c>
      <c r="D25" s="8">
        <v>43027.958333333336</v>
      </c>
      <c r="E25" s="196">
        <v>0.5</v>
      </c>
      <c r="F25" s="196" t="s">
        <v>391</v>
      </c>
      <c r="G25" s="196">
        <v>271.55</v>
      </c>
      <c r="H25" s="196">
        <v>0</v>
      </c>
      <c r="I25" s="196">
        <v>0</v>
      </c>
      <c r="J25" s="196">
        <v>1006.95</v>
      </c>
      <c r="K25" s="196" t="s">
        <v>392</v>
      </c>
      <c r="L25" s="196">
        <v>50.75</v>
      </c>
      <c r="M25" s="196">
        <v>1508475600</v>
      </c>
      <c r="N25" s="196">
        <v>0</v>
      </c>
      <c r="O25" s="196">
        <v>3.39</v>
      </c>
      <c r="P25" s="196">
        <v>188</v>
      </c>
      <c r="Q25" s="196">
        <v>2.3199999999999998</v>
      </c>
      <c r="R25" s="196">
        <v>0.74</v>
      </c>
      <c r="S25"/>
      <c r="T25"/>
    </row>
    <row r="26" spans="1:20" x14ac:dyDescent="0.25">
      <c r="A26" s="196">
        <v>49.48</v>
      </c>
      <c r="B26" s="196">
        <v>0.05</v>
      </c>
      <c r="C26" s="196">
        <v>32.130000000000003</v>
      </c>
      <c r="D26" s="8">
        <v>43028</v>
      </c>
      <c r="E26" s="196">
        <v>0.51</v>
      </c>
      <c r="F26" s="196" t="s">
        <v>391</v>
      </c>
      <c r="G26" s="196">
        <v>271.43</v>
      </c>
      <c r="H26" s="196">
        <v>0</v>
      </c>
      <c r="I26" s="196">
        <v>0</v>
      </c>
      <c r="J26" s="196">
        <v>1006.22</v>
      </c>
      <c r="K26" s="196" t="s">
        <v>392</v>
      </c>
      <c r="L26" s="196">
        <v>49.48</v>
      </c>
      <c r="M26" s="196">
        <v>1508479200</v>
      </c>
      <c r="N26" s="196">
        <v>0</v>
      </c>
      <c r="O26" s="196">
        <v>3.02</v>
      </c>
      <c r="P26" s="196">
        <v>189</v>
      </c>
      <c r="Q26" s="196">
        <v>2.85</v>
      </c>
      <c r="R26" s="196">
        <v>1.1399999999999999</v>
      </c>
      <c r="S26"/>
      <c r="T26"/>
    </row>
    <row r="27" spans="1:20" x14ac:dyDescent="0.25">
      <c r="A27" s="196">
        <v>48.32</v>
      </c>
      <c r="B27" s="196">
        <v>0.05</v>
      </c>
      <c r="C27" s="196">
        <v>31.98</v>
      </c>
      <c r="D27" s="8">
        <v>43028.041666666664</v>
      </c>
      <c r="E27" s="196">
        <v>0.53</v>
      </c>
      <c r="F27" s="196" t="s">
        <v>391</v>
      </c>
      <c r="G27" s="196">
        <v>271.55</v>
      </c>
      <c r="H27" s="196">
        <v>0</v>
      </c>
      <c r="I27" s="196">
        <v>0</v>
      </c>
      <c r="J27" s="196">
        <v>1005.29</v>
      </c>
      <c r="K27" s="196" t="s">
        <v>392</v>
      </c>
      <c r="L27" s="196">
        <v>48.32</v>
      </c>
      <c r="M27" s="196">
        <v>1508482800</v>
      </c>
      <c r="N27" s="196">
        <v>0</v>
      </c>
      <c r="O27" s="196">
        <v>2.5499999999999998</v>
      </c>
      <c r="P27" s="196">
        <v>188</v>
      </c>
      <c r="Q27" s="196">
        <v>3</v>
      </c>
      <c r="R27" s="196">
        <v>0.88</v>
      </c>
      <c r="S27"/>
      <c r="T27"/>
    </row>
    <row r="28" spans="1:20" x14ac:dyDescent="0.25">
      <c r="A28" s="196">
        <v>47.61</v>
      </c>
      <c r="B28" s="196">
        <v>0.02</v>
      </c>
      <c r="C28" s="196">
        <v>31.66</v>
      </c>
      <c r="D28" s="8">
        <v>43028.083333333336</v>
      </c>
      <c r="E28" s="196">
        <v>0.54</v>
      </c>
      <c r="F28" s="196" t="s">
        <v>391</v>
      </c>
      <c r="G28" s="196">
        <v>271.8</v>
      </c>
      <c r="H28" s="196">
        <v>0</v>
      </c>
      <c r="I28" s="196">
        <v>0</v>
      </c>
      <c r="J28" s="196">
        <v>1005</v>
      </c>
      <c r="K28" s="196" t="s">
        <v>392</v>
      </c>
      <c r="L28" s="196">
        <v>47.61</v>
      </c>
      <c r="M28" s="196">
        <v>1508486400</v>
      </c>
      <c r="N28" s="196">
        <v>0</v>
      </c>
      <c r="O28" s="196">
        <v>3.31</v>
      </c>
      <c r="P28" s="196">
        <v>176</v>
      </c>
      <c r="Q28" s="196">
        <v>2.84</v>
      </c>
      <c r="R28" s="196">
        <v>0.88</v>
      </c>
      <c r="S28"/>
      <c r="T28"/>
    </row>
    <row r="29" spans="1:20" x14ac:dyDescent="0.25">
      <c r="A29" s="196">
        <v>46.68</v>
      </c>
      <c r="B29" s="196">
        <v>0.02</v>
      </c>
      <c r="C29" s="196">
        <v>31.44</v>
      </c>
      <c r="D29" s="8">
        <v>43028.125</v>
      </c>
      <c r="E29" s="196">
        <v>0.55000000000000004</v>
      </c>
      <c r="F29" s="196" t="s">
        <v>391</v>
      </c>
      <c r="G29" s="196">
        <v>271.56</v>
      </c>
      <c r="H29" s="196">
        <v>0</v>
      </c>
      <c r="I29" s="196">
        <v>0</v>
      </c>
      <c r="J29" s="196">
        <v>1004.33</v>
      </c>
      <c r="K29" s="196" t="s">
        <v>392</v>
      </c>
      <c r="L29" s="196">
        <v>46.68</v>
      </c>
      <c r="M29" s="196">
        <v>1508490000</v>
      </c>
      <c r="N29" s="196">
        <v>0</v>
      </c>
      <c r="O29" s="196">
        <v>3.34</v>
      </c>
      <c r="P29" s="196">
        <v>181</v>
      </c>
      <c r="Q29" s="196">
        <v>3.15</v>
      </c>
      <c r="R29" s="196">
        <v>1.02</v>
      </c>
      <c r="S29"/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7" workbookViewId="0">
      <selection activeCell="C18" sqref="C18:C3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43027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377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980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981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982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983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984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985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986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987</v>
      </c>
      <c r="J25" s="140" t="s">
        <v>144</v>
      </c>
      <c r="M25" s="154" t="b">
        <v>1</v>
      </c>
    </row>
    <row r="26" spans="3:24" x14ac:dyDescent="0.25">
      <c r="C26" t="s">
        <v>988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%USERPROFILE%\Documents\GitHub\eaglep3-reporting\EC\2017-10-19-refined-times.txt</v>
      </c>
    </row>
    <row r="27" spans="3:24" x14ac:dyDescent="0.25">
      <c r="C27" t="s">
        <v>989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%USERPROFILE%\Documents\GitHub\eaglep3-reporting\EC\2017-10-19-Enforcements.txt</v>
      </c>
    </row>
    <row r="28" spans="3:24" x14ac:dyDescent="0.25">
      <c r="C28" t="s">
        <v>990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%USERPROFILE%\Documents\GitHub\eaglep3-reporting\EC\2017-10-19-Runs-refined.txt</v>
      </c>
    </row>
    <row r="29" spans="3:24" x14ac:dyDescent="0.25">
      <c r="C29" t="s">
        <v>991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%USERPROFILE%\Documents\GitHub\eaglep3-reporting\EC\2017-10-19-Trips.txt</v>
      </c>
    </row>
    <row r="30" spans="3:24" x14ac:dyDescent="0.25">
      <c r="C30" t="s">
        <v>992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%USERPROFILE%\Documents\GitHub\eaglep3-reporting\EC\2017-10-19-Weather.txt</v>
      </c>
    </row>
    <row r="31" spans="3:24" x14ac:dyDescent="0.25">
      <c r="C31" t="s">
        <v>993</v>
      </c>
      <c r="J31" s="140" t="s">
        <v>190</v>
      </c>
      <c r="M31" s="154" t="s">
        <v>191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398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2017-10-20T15:39:23Z</dcterms:modified>
</cp:coreProperties>
</file>