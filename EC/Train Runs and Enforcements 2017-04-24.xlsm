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Enforcements!$A$6:$AC$66</definedName>
    <definedName name="_xlnm._FilterDatabase" localSheetId="2" hidden="1">'Missing Trips'!$A$2:$J$83</definedName>
    <definedName name="_xlnm._FilterDatabase" localSheetId="0" hidden="1">'Train Runs'!$A$12:$AG$272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25" i="1" l="1"/>
  <c r="L125" i="1"/>
  <c r="M125" i="1"/>
  <c r="P125" i="1" s="1"/>
  <c r="V125" i="1"/>
  <c r="Y125" i="1"/>
  <c r="Z125" i="1"/>
  <c r="AA125" i="1" s="1"/>
  <c r="AB125" i="1"/>
  <c r="AC125" i="1"/>
  <c r="AD125" i="1"/>
  <c r="T125" i="1" s="1"/>
  <c r="AE125" i="1"/>
  <c r="AF125" i="1"/>
  <c r="AH125" i="1"/>
  <c r="AM125" i="1"/>
  <c r="AN125" i="1"/>
  <c r="K57" i="1"/>
  <c r="L57" i="1"/>
  <c r="M57" i="1"/>
  <c r="P57" i="1" s="1"/>
  <c r="V57" i="1"/>
  <c r="AA57" i="1"/>
  <c r="AB57" i="1"/>
  <c r="AC57" i="1"/>
  <c r="AD57" i="1"/>
  <c r="T57" i="1" s="1"/>
  <c r="AE57" i="1"/>
  <c r="AF57" i="1"/>
  <c r="AH57" i="1"/>
  <c r="AM57" i="1"/>
  <c r="AN57" i="1"/>
  <c r="K47" i="1"/>
  <c r="L47" i="1"/>
  <c r="M47" i="1"/>
  <c r="P47" i="1" s="1"/>
  <c r="V47" i="1"/>
  <c r="AA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P48" i="1" s="1"/>
  <c r="V48" i="1"/>
  <c r="AA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P49" i="1" s="1"/>
  <c r="V49" i="1"/>
  <c r="AA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P50" i="1" s="1"/>
  <c r="V50" i="1"/>
  <c r="AA50" i="1"/>
  <c r="AB50" i="1"/>
  <c r="AC50" i="1"/>
  <c r="AD50" i="1"/>
  <c r="T50" i="1" s="1"/>
  <c r="AE50" i="1"/>
  <c r="AF50" i="1"/>
  <c r="AH50" i="1"/>
  <c r="AM50" i="1"/>
  <c r="AN50" i="1"/>
  <c r="K43" i="1"/>
  <c r="L43" i="1"/>
  <c r="M43" i="1"/>
  <c r="P43" i="1" s="1"/>
  <c r="V43" i="1"/>
  <c r="AA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P44" i="1" s="1"/>
  <c r="V44" i="1"/>
  <c r="AA44" i="1"/>
  <c r="AB44" i="1"/>
  <c r="AC44" i="1"/>
  <c r="AD44" i="1"/>
  <c r="T44" i="1" s="1"/>
  <c r="AE44" i="1"/>
  <c r="AF44" i="1"/>
  <c r="AH44" i="1"/>
  <c r="AM44" i="1"/>
  <c r="AN44" i="1"/>
  <c r="P34" i="1"/>
  <c r="K34" i="1"/>
  <c r="L34" i="1"/>
  <c r="M34" i="1"/>
  <c r="V34" i="1"/>
  <c r="AA34" i="1"/>
  <c r="AB34" i="1"/>
  <c r="AC34" i="1"/>
  <c r="AD34" i="1"/>
  <c r="AE34" i="1"/>
  <c r="AF34" i="1"/>
  <c r="AH34" i="1"/>
  <c r="AM34" i="1"/>
  <c r="AN34" i="1"/>
  <c r="K35" i="1"/>
  <c r="L35" i="1"/>
  <c r="M35" i="1"/>
  <c r="P35" i="1" s="1"/>
  <c r="V35" i="1"/>
  <c r="AA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P36" i="1" s="1"/>
  <c r="V36" i="1"/>
  <c r="AA36" i="1"/>
  <c r="AB36" i="1"/>
  <c r="AC36" i="1"/>
  <c r="AD36" i="1"/>
  <c r="AG36" i="1" s="1"/>
  <c r="AE36" i="1"/>
  <c r="AF36" i="1"/>
  <c r="AH36" i="1"/>
  <c r="AM36" i="1"/>
  <c r="AN36" i="1"/>
  <c r="K30" i="1"/>
  <c r="L30" i="1"/>
  <c r="M30" i="1"/>
  <c r="P30" i="1" s="1"/>
  <c r="V30" i="1"/>
  <c r="AA30" i="1"/>
  <c r="AB30" i="1"/>
  <c r="AC30" i="1"/>
  <c r="AD30" i="1"/>
  <c r="T30" i="1" s="1"/>
  <c r="AE30" i="1"/>
  <c r="AF30" i="1"/>
  <c r="AH30" i="1"/>
  <c r="AM30" i="1"/>
  <c r="AN30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T22" i="1"/>
  <c r="V22" i="1"/>
  <c r="Y22" i="1"/>
  <c r="Z22" i="1"/>
  <c r="AB22" i="1"/>
  <c r="AC22" i="1"/>
  <c r="AD22" i="1"/>
  <c r="AG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S12" i="3" s="1"/>
  <c r="Y24" i="1"/>
  <c r="Z24" i="1"/>
  <c r="AB24" i="1"/>
  <c r="AC24" i="1"/>
  <c r="AD24" i="1"/>
  <c r="T24" i="1" s="1"/>
  <c r="AE24" i="1"/>
  <c r="R12" i="3" s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G26" i="1"/>
  <c r="AI26" i="1" s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X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 s="1"/>
  <c r="AB28" i="1"/>
  <c r="AC28" i="1"/>
  <c r="AD28" i="1"/>
  <c r="T28" i="1" s="1"/>
  <c r="AE28" i="1"/>
  <c r="AF28" i="1"/>
  <c r="AG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7" i="1"/>
  <c r="L37" i="1"/>
  <c r="M37" i="1"/>
  <c r="N37" i="1" s="1"/>
  <c r="V37" i="1"/>
  <c r="Y37" i="1"/>
  <c r="Z37" i="1"/>
  <c r="AB37" i="1"/>
  <c r="AC37" i="1"/>
  <c r="AD37" i="1"/>
  <c r="X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51" i="1"/>
  <c r="L51" i="1"/>
  <c r="M51" i="1"/>
  <c r="N51" i="1" s="1"/>
  <c r="V51" i="1"/>
  <c r="Y51" i="1"/>
  <c r="Z51" i="1"/>
  <c r="AB51" i="1"/>
  <c r="AC51" i="1"/>
  <c r="AD51" i="1"/>
  <c r="AE51" i="1"/>
  <c r="R21" i="3" s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S13" i="3" s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R11" i="3" s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S18" i="3" s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S20" i="3" s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S17" i="3" s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S19" i="3" s="1"/>
  <c r="Y82" i="1"/>
  <c r="Z82" i="1"/>
  <c r="AB82" i="1"/>
  <c r="AC82" i="1"/>
  <c r="AD82" i="1"/>
  <c r="AE82" i="1"/>
  <c r="R9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R26" i="3" s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A88" i="1" s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A91" i="1" s="1"/>
  <c r="AB91" i="1"/>
  <c r="AC91" i="1"/>
  <c r="AD91" i="1"/>
  <c r="T91" i="1" s="1"/>
  <c r="AE91" i="1"/>
  <c r="AF91" i="1"/>
  <c r="AG91" i="1"/>
  <c r="AH91" i="1"/>
  <c r="AM91" i="1"/>
  <c r="AN91" i="1"/>
  <c r="K92" i="1"/>
  <c r="L92" i="1"/>
  <c r="M92" i="1"/>
  <c r="N92" i="1" s="1"/>
  <c r="V92" i="1"/>
  <c r="X92" i="1"/>
  <c r="Y92" i="1"/>
  <c r="Z92" i="1"/>
  <c r="AA92" i="1" s="1"/>
  <c r="AB92" i="1"/>
  <c r="AC92" i="1"/>
  <c r="AD92" i="1"/>
  <c r="T92" i="1" s="1"/>
  <c r="AE92" i="1"/>
  <c r="R32" i="3" s="1"/>
  <c r="AF92" i="1"/>
  <c r="AG92" i="1"/>
  <c r="AH92" i="1"/>
  <c r="AM92" i="1"/>
  <c r="AN92" i="1"/>
  <c r="K93" i="1"/>
  <c r="L93" i="1"/>
  <c r="M93" i="1"/>
  <c r="N93" i="1" s="1"/>
  <c r="V93" i="1"/>
  <c r="Y93" i="1"/>
  <c r="AA93" i="1" s="1"/>
  <c r="Z93" i="1"/>
  <c r="AB93" i="1"/>
  <c r="AC93" i="1"/>
  <c r="AD93" i="1"/>
  <c r="AG93" i="1" s="1"/>
  <c r="AI93" i="1" s="1"/>
  <c r="AE93" i="1"/>
  <c r="AF93" i="1"/>
  <c r="AH93" i="1"/>
  <c r="AM93" i="1"/>
  <c r="AN93" i="1"/>
  <c r="K94" i="1"/>
  <c r="L94" i="1"/>
  <c r="M94" i="1"/>
  <c r="N94" i="1" s="1"/>
  <c r="V94" i="1"/>
  <c r="S29" i="3" s="1"/>
  <c r="Y94" i="1"/>
  <c r="Z94" i="1"/>
  <c r="AB94" i="1"/>
  <c r="AC94" i="1"/>
  <c r="AD94" i="1"/>
  <c r="AE94" i="1"/>
  <c r="R29" i="3" s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R28" i="3" s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S34" i="3" s="1"/>
  <c r="Y103" i="1"/>
  <c r="Z103" i="1"/>
  <c r="AB103" i="1"/>
  <c r="AC103" i="1"/>
  <c r="AD103" i="1"/>
  <c r="T103" i="1" s="1"/>
  <c r="AE103" i="1"/>
  <c r="R34" i="3" s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S22" i="3" s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A107" i="1" s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S30" i="3" s="1"/>
  <c r="Y109" i="1"/>
  <c r="Z109" i="1"/>
  <c r="AB109" i="1"/>
  <c r="AC109" i="1"/>
  <c r="AD109" i="1"/>
  <c r="AG109" i="1" s="1"/>
  <c r="AE109" i="1"/>
  <c r="R30" i="3" s="1"/>
  <c r="AF109" i="1"/>
  <c r="AH109" i="1"/>
  <c r="AM109" i="1"/>
  <c r="AN109" i="1"/>
  <c r="K110" i="1"/>
  <c r="L110" i="1"/>
  <c r="M110" i="1"/>
  <c r="N110" i="1" s="1"/>
  <c r="V110" i="1"/>
  <c r="S23" i="3" s="1"/>
  <c r="Y110" i="1"/>
  <c r="Z110" i="1"/>
  <c r="AA110" i="1" s="1"/>
  <c r="AB110" i="1"/>
  <c r="AC110" i="1"/>
  <c r="AD110" i="1"/>
  <c r="AE110" i="1"/>
  <c r="R23" i="3" s="1"/>
  <c r="AF110" i="1"/>
  <c r="AH110" i="1"/>
  <c r="AM110" i="1"/>
  <c r="AN110" i="1"/>
  <c r="K111" i="1"/>
  <c r="L111" i="1"/>
  <c r="M111" i="1"/>
  <c r="P111" i="1" s="1"/>
  <c r="V111" i="1"/>
  <c r="Y111" i="1"/>
  <c r="Z111" i="1"/>
  <c r="AB111" i="1"/>
  <c r="AC111" i="1"/>
  <c r="AD111" i="1"/>
  <c r="AG111" i="1" s="1"/>
  <c r="AE111" i="1"/>
  <c r="AF111" i="1"/>
  <c r="AH111" i="1"/>
  <c r="AM111" i="1"/>
  <c r="AN111" i="1"/>
  <c r="K112" i="1"/>
  <c r="L112" i="1"/>
  <c r="M112" i="1"/>
  <c r="V112" i="1"/>
  <c r="Y112" i="1"/>
  <c r="Z112" i="1"/>
  <c r="AB112" i="1"/>
  <c r="AC112" i="1"/>
  <c r="AD112" i="1"/>
  <c r="T112" i="1" s="1"/>
  <c r="AE112" i="1"/>
  <c r="R31" i="3" s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R27" i="3" s="1"/>
  <c r="AF113" i="1"/>
  <c r="AH113" i="1"/>
  <c r="AM113" i="1"/>
  <c r="AN113" i="1"/>
  <c r="K114" i="1"/>
  <c r="L114" i="1"/>
  <c r="M114" i="1"/>
  <c r="N114" i="1" s="1"/>
  <c r="V114" i="1"/>
  <c r="Y114" i="1"/>
  <c r="Z114" i="1"/>
  <c r="AA114" i="1" s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A117" i="1" s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I118" i="1" s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A119" i="1" s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T120" i="1"/>
  <c r="V120" i="1"/>
  <c r="Y120" i="1"/>
  <c r="Z120" i="1"/>
  <c r="AB120" i="1"/>
  <c r="AC120" i="1"/>
  <c r="AD120" i="1"/>
  <c r="AG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S25" i="3" s="1"/>
  <c r="Y122" i="1"/>
  <c r="Z122" i="1"/>
  <c r="AB122" i="1"/>
  <c r="AC122" i="1"/>
  <c r="AD122" i="1"/>
  <c r="AE122" i="1"/>
  <c r="R25" i="3" s="1"/>
  <c r="AF122" i="1"/>
  <c r="AH122" i="1"/>
  <c r="AM122" i="1"/>
  <c r="AN122" i="1"/>
  <c r="K123" i="1"/>
  <c r="L123" i="1"/>
  <c r="M123" i="1"/>
  <c r="N123" i="1" s="1"/>
  <c r="V123" i="1"/>
  <c r="S10" i="3" s="1"/>
  <c r="Y123" i="1"/>
  <c r="Z123" i="1"/>
  <c r="AB123" i="1"/>
  <c r="AC123" i="1"/>
  <c r="AD123" i="1"/>
  <c r="T123" i="1" s="1"/>
  <c r="AE123" i="1"/>
  <c r="R10" i="3" s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6" i="1"/>
  <c r="L126" i="1"/>
  <c r="M126" i="1"/>
  <c r="N126" i="1" s="1"/>
  <c r="V126" i="1"/>
  <c r="Y126" i="1"/>
  <c r="Z126" i="1"/>
  <c r="AB126" i="1"/>
  <c r="AC126" i="1"/>
  <c r="AD126" i="1"/>
  <c r="X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R35" i="3" s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R36" i="3" s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S33" i="3" s="1"/>
  <c r="Y133" i="1"/>
  <c r="Z133" i="1"/>
  <c r="AB133" i="1"/>
  <c r="AC133" i="1"/>
  <c r="AD133" i="1"/>
  <c r="T133" i="1" s="1"/>
  <c r="AE133" i="1"/>
  <c r="R33" i="3" s="1"/>
  <c r="AF133" i="1"/>
  <c r="AH133" i="1"/>
  <c r="AM133" i="1"/>
  <c r="AN133" i="1"/>
  <c r="K134" i="1"/>
  <c r="L134" i="1"/>
  <c r="M134" i="1"/>
  <c r="N134" i="1"/>
  <c r="V134" i="1"/>
  <c r="S24" i="3" s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S8" i="3" s="1"/>
  <c r="Y135" i="1"/>
  <c r="AA135" i="1" s="1"/>
  <c r="Z135" i="1"/>
  <c r="AB135" i="1"/>
  <c r="AC135" i="1"/>
  <c r="AD135" i="1"/>
  <c r="AG135" i="1" s="1"/>
  <c r="AE135" i="1"/>
  <c r="R8" i="3" s="1"/>
  <c r="AF135" i="1"/>
  <c r="AH135" i="1"/>
  <c r="AI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S7" i="3" s="1"/>
  <c r="Y142" i="1"/>
  <c r="Z142" i="1"/>
  <c r="AB142" i="1"/>
  <c r="AC142" i="1"/>
  <c r="AD142" i="1"/>
  <c r="X143" i="1" s="1"/>
  <c r="AE142" i="1"/>
  <c r="R7" i="3" s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G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T146" i="1"/>
  <c r="V146" i="1"/>
  <c r="S38" i="3" s="1"/>
  <c r="Y146" i="1"/>
  <c r="Z146" i="1"/>
  <c r="AI146" i="1" s="1"/>
  <c r="AB146" i="1"/>
  <c r="AC146" i="1"/>
  <c r="AD146" i="1"/>
  <c r="AG146" i="1" s="1"/>
  <c r="AE146" i="1"/>
  <c r="R38" i="3" s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X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S14" i="3" s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A154" i="1" s="1"/>
  <c r="W154" i="1" s="1"/>
  <c r="AB154" i="1"/>
  <c r="AC154" i="1"/>
  <c r="AD154" i="1"/>
  <c r="AG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205" i="1"/>
  <c r="L205" i="1"/>
  <c r="M205" i="1"/>
  <c r="N205" i="1" s="1"/>
  <c r="V205" i="1"/>
  <c r="Y205" i="1"/>
  <c r="Z205" i="1"/>
  <c r="AA205" i="1" s="1"/>
  <c r="W205" i="1" s="1"/>
  <c r="AB205" i="1"/>
  <c r="AC205" i="1"/>
  <c r="AD205" i="1"/>
  <c r="AG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A210" i="1" s="1"/>
  <c r="AB210" i="1"/>
  <c r="AC210" i="1"/>
  <c r="AD210" i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/>
  <c r="V213" i="1"/>
  <c r="Y213" i="1"/>
  <c r="Z213" i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70" i="1"/>
  <c r="AM170" i="1"/>
  <c r="AN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4" i="1"/>
  <c r="AM174" i="1"/>
  <c r="AN174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75" i="1"/>
  <c r="AM175" i="1"/>
  <c r="AN175" i="1"/>
  <c r="K159" i="1"/>
  <c r="L159" i="1"/>
  <c r="M159" i="1"/>
  <c r="N159" i="1" s="1"/>
  <c r="V159" i="1"/>
  <c r="S47" i="3" s="1"/>
  <c r="Y159" i="1"/>
  <c r="Z159" i="1"/>
  <c r="AB159" i="1"/>
  <c r="AC159" i="1"/>
  <c r="AD159" i="1"/>
  <c r="AE159" i="1"/>
  <c r="R47" i="3" s="1"/>
  <c r="AF159" i="1"/>
  <c r="AH176" i="1"/>
  <c r="AM176" i="1"/>
  <c r="AN176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77" i="1"/>
  <c r="AM177" i="1"/>
  <c r="AN177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78" i="1"/>
  <c r="AM178" i="1"/>
  <c r="AN178" i="1"/>
  <c r="K162" i="1"/>
  <c r="L162" i="1"/>
  <c r="M162" i="1"/>
  <c r="N162" i="1" s="1"/>
  <c r="V162" i="1"/>
  <c r="Y162" i="1"/>
  <c r="AA162" i="1" s="1"/>
  <c r="Z162" i="1"/>
  <c r="AB162" i="1"/>
  <c r="AC162" i="1"/>
  <c r="AD162" i="1"/>
  <c r="T162" i="1" s="1"/>
  <c r="AE162" i="1"/>
  <c r="AF162" i="1"/>
  <c r="AH179" i="1"/>
  <c r="AM179" i="1"/>
  <c r="AN179" i="1"/>
  <c r="K163" i="1"/>
  <c r="L163" i="1"/>
  <c r="M163" i="1"/>
  <c r="N163" i="1" s="1"/>
  <c r="V163" i="1"/>
  <c r="S48" i="3" s="1"/>
  <c r="Y163" i="1"/>
  <c r="Z163" i="1"/>
  <c r="AB163" i="1"/>
  <c r="AC163" i="1"/>
  <c r="AD163" i="1"/>
  <c r="AE163" i="1"/>
  <c r="R41" i="3" s="1"/>
  <c r="AF163" i="1"/>
  <c r="AH180" i="1"/>
  <c r="AM180" i="1"/>
  <c r="AN180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1" i="1"/>
  <c r="AM181" i="1"/>
  <c r="AN181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82" i="1"/>
  <c r="AM182" i="1"/>
  <c r="AN182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3" i="1"/>
  <c r="AM183" i="1"/>
  <c r="AN183" i="1"/>
  <c r="K167" i="1"/>
  <c r="L167" i="1"/>
  <c r="M167" i="1"/>
  <c r="N167" i="1" s="1"/>
  <c r="V167" i="1"/>
  <c r="S49" i="3" s="1"/>
  <c r="Y167" i="1"/>
  <c r="Z167" i="1"/>
  <c r="AB167" i="1"/>
  <c r="AC167" i="1"/>
  <c r="AD167" i="1"/>
  <c r="T167" i="1" s="1"/>
  <c r="AE167" i="1"/>
  <c r="R49" i="3" s="1"/>
  <c r="AF167" i="1"/>
  <c r="AH184" i="1"/>
  <c r="AM184" i="1"/>
  <c r="AN184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185" i="1"/>
  <c r="AM185" i="1"/>
  <c r="AN185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86" i="1"/>
  <c r="AM186" i="1"/>
  <c r="AN186" i="1"/>
  <c r="K168" i="1"/>
  <c r="L168" i="1"/>
  <c r="M168" i="1"/>
  <c r="N168" i="1" s="1"/>
  <c r="V168" i="1"/>
  <c r="S42" i="3" s="1"/>
  <c r="Y168" i="1"/>
  <c r="Z168" i="1"/>
  <c r="AB168" i="1"/>
  <c r="AC168" i="1"/>
  <c r="AD168" i="1"/>
  <c r="AG168" i="1" s="1"/>
  <c r="AE168" i="1"/>
  <c r="R42" i="3" s="1"/>
  <c r="AF168" i="1"/>
  <c r="AH187" i="1"/>
  <c r="AM187" i="1"/>
  <c r="AN187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88" i="1"/>
  <c r="AM188" i="1"/>
  <c r="AN188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89" i="1"/>
  <c r="AM189" i="1"/>
  <c r="AN189" i="1"/>
  <c r="K171" i="1"/>
  <c r="L171" i="1"/>
  <c r="M171" i="1"/>
  <c r="N171" i="1" s="1"/>
  <c r="V171" i="1"/>
  <c r="Y171" i="1"/>
  <c r="Z171" i="1"/>
  <c r="AA171" i="1" s="1"/>
  <c r="W171" i="1" s="1"/>
  <c r="AB171" i="1"/>
  <c r="AC171" i="1"/>
  <c r="AD171" i="1"/>
  <c r="AG171" i="1" s="1"/>
  <c r="AE171" i="1"/>
  <c r="AF171" i="1"/>
  <c r="AH190" i="1"/>
  <c r="AM190" i="1"/>
  <c r="AN190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1" i="1"/>
  <c r="AM191" i="1"/>
  <c r="AN191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92" i="1"/>
  <c r="AM192" i="1"/>
  <c r="AN192" i="1"/>
  <c r="K174" i="1"/>
  <c r="L174" i="1"/>
  <c r="M174" i="1"/>
  <c r="N174" i="1" s="1"/>
  <c r="V174" i="1"/>
  <c r="S43" i="3" s="1"/>
  <c r="Y174" i="1"/>
  <c r="Z174" i="1"/>
  <c r="AB174" i="1"/>
  <c r="AC174" i="1"/>
  <c r="AD174" i="1"/>
  <c r="AG174" i="1" s="1"/>
  <c r="AE174" i="1"/>
  <c r="R43" i="3" s="1"/>
  <c r="AF174" i="1"/>
  <c r="AH193" i="1"/>
  <c r="AM193" i="1"/>
  <c r="AN193" i="1"/>
  <c r="K175" i="1"/>
  <c r="L175" i="1"/>
  <c r="M175" i="1"/>
  <c r="N175" i="1" s="1"/>
  <c r="V175" i="1"/>
  <c r="S39" i="3" s="1"/>
  <c r="Y175" i="1"/>
  <c r="Z175" i="1"/>
  <c r="AB175" i="1"/>
  <c r="AC175" i="1"/>
  <c r="AD175" i="1"/>
  <c r="AG175" i="1" s="1"/>
  <c r="AE175" i="1"/>
  <c r="R39" i="3" s="1"/>
  <c r="AF175" i="1"/>
  <c r="AH194" i="1"/>
  <c r="AM194" i="1"/>
  <c r="AN194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5" i="1"/>
  <c r="AM195" i="1"/>
  <c r="AN195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96" i="1"/>
  <c r="AM196" i="1"/>
  <c r="AN196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97" i="1"/>
  <c r="AM197" i="1"/>
  <c r="AN197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98" i="1"/>
  <c r="AM198" i="1"/>
  <c r="AN198" i="1"/>
  <c r="K180" i="1"/>
  <c r="L180" i="1"/>
  <c r="M180" i="1"/>
  <c r="N180" i="1" s="1"/>
  <c r="V180" i="1"/>
  <c r="S44" i="3" s="1"/>
  <c r="Y180" i="1"/>
  <c r="Z180" i="1"/>
  <c r="AB180" i="1"/>
  <c r="AC180" i="1"/>
  <c r="AD180" i="1"/>
  <c r="AE180" i="1"/>
  <c r="AF180" i="1"/>
  <c r="AH199" i="1"/>
  <c r="AM199" i="1"/>
  <c r="AN199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0" i="1"/>
  <c r="AM200" i="1"/>
  <c r="AN200" i="1"/>
  <c r="K182" i="1"/>
  <c r="L182" i="1"/>
  <c r="M182" i="1"/>
  <c r="N182" i="1"/>
  <c r="V182" i="1"/>
  <c r="Y182" i="1"/>
  <c r="Z182" i="1"/>
  <c r="AB182" i="1"/>
  <c r="AC182" i="1"/>
  <c r="AD182" i="1"/>
  <c r="AG182" i="1" s="1"/>
  <c r="AE182" i="1"/>
  <c r="AF182" i="1"/>
  <c r="AH201" i="1"/>
  <c r="AM201" i="1"/>
  <c r="AN201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2" i="1"/>
  <c r="AM202" i="1"/>
  <c r="AN202" i="1"/>
  <c r="K184" i="1"/>
  <c r="L184" i="1"/>
  <c r="M184" i="1"/>
  <c r="N184" i="1" s="1"/>
  <c r="V184" i="1"/>
  <c r="S45" i="3" s="1"/>
  <c r="Y184" i="1"/>
  <c r="Z184" i="1"/>
  <c r="AB184" i="1"/>
  <c r="AC184" i="1"/>
  <c r="AD184" i="1"/>
  <c r="T184" i="1" s="1"/>
  <c r="AE184" i="1"/>
  <c r="AF184" i="1"/>
  <c r="AH203" i="1"/>
  <c r="AM203" i="1"/>
  <c r="AN203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4" i="1"/>
  <c r="AM204" i="1"/>
  <c r="AN204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05" i="1"/>
  <c r="AM205" i="1"/>
  <c r="AN205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06" i="1"/>
  <c r="AM206" i="1"/>
  <c r="AN206" i="1"/>
  <c r="K230" i="1"/>
  <c r="L230" i="1"/>
  <c r="M230" i="1"/>
  <c r="N230" i="1" s="1"/>
  <c r="V230" i="1"/>
  <c r="Y230" i="1"/>
  <c r="Z230" i="1"/>
  <c r="AB230" i="1"/>
  <c r="AC230" i="1"/>
  <c r="AD230" i="1"/>
  <c r="AG230" i="1" s="1"/>
  <c r="AE230" i="1"/>
  <c r="AF230" i="1"/>
  <c r="AH207" i="1"/>
  <c r="AM207" i="1"/>
  <c r="AN207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208" i="1"/>
  <c r="AM208" i="1"/>
  <c r="AN208" i="1"/>
  <c r="K188" i="1"/>
  <c r="L188" i="1"/>
  <c r="M188" i="1"/>
  <c r="N188" i="1" s="1"/>
  <c r="V188" i="1"/>
  <c r="S46" i="3" s="1"/>
  <c r="Y188" i="1"/>
  <c r="Z188" i="1"/>
  <c r="AB188" i="1"/>
  <c r="AC188" i="1"/>
  <c r="AD188" i="1"/>
  <c r="T188" i="1" s="1"/>
  <c r="AE188" i="1"/>
  <c r="AF188" i="1"/>
  <c r="AH209" i="1"/>
  <c r="AM209" i="1"/>
  <c r="AN209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0" i="1"/>
  <c r="AM210" i="1"/>
  <c r="AN210" i="1"/>
  <c r="K190" i="1"/>
  <c r="L190" i="1"/>
  <c r="M190" i="1"/>
  <c r="N190" i="1" s="1"/>
  <c r="V190" i="1"/>
  <c r="S40" i="3" s="1"/>
  <c r="Y190" i="1"/>
  <c r="Z190" i="1"/>
  <c r="AA190" i="1" s="1"/>
  <c r="AB190" i="1"/>
  <c r="AC190" i="1"/>
  <c r="AD190" i="1"/>
  <c r="AG190" i="1" s="1"/>
  <c r="AE190" i="1"/>
  <c r="AF190" i="1"/>
  <c r="AH211" i="1"/>
  <c r="AM211" i="1"/>
  <c r="AN211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2" i="1"/>
  <c r="AM212" i="1"/>
  <c r="AN212" i="1"/>
  <c r="K192" i="1"/>
  <c r="L192" i="1"/>
  <c r="M192" i="1"/>
  <c r="N192" i="1" s="1"/>
  <c r="V192" i="1"/>
  <c r="Y192" i="1"/>
  <c r="Z192" i="1"/>
  <c r="AA192" i="1" s="1"/>
  <c r="AB192" i="1"/>
  <c r="AC192" i="1"/>
  <c r="AD192" i="1"/>
  <c r="T192" i="1" s="1"/>
  <c r="AE192" i="1"/>
  <c r="AF192" i="1"/>
  <c r="AH213" i="1"/>
  <c r="AM213" i="1"/>
  <c r="AN213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14" i="1"/>
  <c r="AM214" i="1"/>
  <c r="AN214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15" i="1"/>
  <c r="AM215" i="1"/>
  <c r="AN215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6" i="1"/>
  <c r="AM216" i="1"/>
  <c r="AN216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7" i="1"/>
  <c r="AM217" i="1"/>
  <c r="AN217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18" i="1"/>
  <c r="AM218" i="1"/>
  <c r="AN218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19" i="1"/>
  <c r="AM219" i="1"/>
  <c r="AN219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0" i="1"/>
  <c r="AM220" i="1"/>
  <c r="AN220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1" i="1"/>
  <c r="AM221" i="1"/>
  <c r="AN221" i="1"/>
  <c r="K201" i="1"/>
  <c r="L201" i="1"/>
  <c r="M201" i="1"/>
  <c r="N201" i="1" s="1"/>
  <c r="V201" i="1"/>
  <c r="S50" i="3" s="1"/>
  <c r="Y201" i="1"/>
  <c r="Z201" i="1"/>
  <c r="AB201" i="1"/>
  <c r="AC201" i="1"/>
  <c r="AD201" i="1"/>
  <c r="AE201" i="1"/>
  <c r="AF201" i="1"/>
  <c r="AH222" i="1"/>
  <c r="AM222" i="1"/>
  <c r="AN222" i="1"/>
  <c r="K202" i="1"/>
  <c r="L202" i="1"/>
  <c r="M202" i="1"/>
  <c r="N202" i="1" s="1"/>
  <c r="V202" i="1"/>
  <c r="Y202" i="1"/>
  <c r="Z202" i="1"/>
  <c r="AA202" i="1" s="1"/>
  <c r="AB202" i="1"/>
  <c r="AC202" i="1"/>
  <c r="AD202" i="1"/>
  <c r="AG202" i="1" s="1"/>
  <c r="AE202" i="1"/>
  <c r="AF202" i="1"/>
  <c r="AH223" i="1"/>
  <c r="AM223" i="1"/>
  <c r="AN223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4" i="1"/>
  <c r="AM224" i="1"/>
  <c r="AN224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H225" i="1"/>
  <c r="AM225" i="1"/>
  <c r="AN225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26" i="1"/>
  <c r="AM226" i="1"/>
  <c r="AN226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27" i="1"/>
  <c r="AM227" i="1"/>
  <c r="AN227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8" i="1"/>
  <c r="AM228" i="1"/>
  <c r="AN228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9" i="1"/>
  <c r="AM229" i="1"/>
  <c r="AN229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30" i="1"/>
  <c r="AM230" i="1"/>
  <c r="AN230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231" i="1"/>
  <c r="AM231" i="1"/>
  <c r="AN231" i="1"/>
  <c r="M47" i="3"/>
  <c r="U47" i="3"/>
  <c r="T47" i="3" s="1"/>
  <c r="V47" i="3"/>
  <c r="W47" i="3"/>
  <c r="X47" i="3"/>
  <c r="M12" i="3"/>
  <c r="U12" i="3"/>
  <c r="T12" i="3" s="1"/>
  <c r="V12" i="3"/>
  <c r="W12" i="3"/>
  <c r="X12" i="3"/>
  <c r="AC12" i="3"/>
  <c r="M41" i="3"/>
  <c r="S41" i="3"/>
  <c r="U41" i="3"/>
  <c r="AC41" i="3" s="1"/>
  <c r="V41" i="3"/>
  <c r="W41" i="3"/>
  <c r="X41" i="3"/>
  <c r="M48" i="3"/>
  <c r="R48" i="3"/>
  <c r="U48" i="3"/>
  <c r="AC48" i="3" s="1"/>
  <c r="V48" i="3"/>
  <c r="W48" i="3"/>
  <c r="X48" i="3"/>
  <c r="M49" i="3"/>
  <c r="U49" i="3"/>
  <c r="AC49" i="3" s="1"/>
  <c r="V49" i="3"/>
  <c r="W49" i="3"/>
  <c r="X49" i="3"/>
  <c r="M42" i="3"/>
  <c r="U42" i="3"/>
  <c r="T42" i="3" s="1"/>
  <c r="V42" i="3"/>
  <c r="W42" i="3"/>
  <c r="X42" i="3"/>
  <c r="M21" i="3"/>
  <c r="S21" i="3"/>
  <c r="U21" i="3"/>
  <c r="AC21" i="3" s="1"/>
  <c r="V21" i="3"/>
  <c r="W21" i="3"/>
  <c r="X21" i="3"/>
  <c r="M13" i="3"/>
  <c r="R13" i="3"/>
  <c r="U13" i="3"/>
  <c r="AC13" i="3" s="1"/>
  <c r="V13" i="3"/>
  <c r="W13" i="3"/>
  <c r="X13" i="3"/>
  <c r="M43" i="3"/>
  <c r="U43" i="3"/>
  <c r="AC43" i="3" s="1"/>
  <c r="V43" i="3"/>
  <c r="W43" i="3"/>
  <c r="X43" i="3"/>
  <c r="M11" i="3"/>
  <c r="S11" i="3"/>
  <c r="U11" i="3"/>
  <c r="T11" i="3" s="1"/>
  <c r="V11" i="3"/>
  <c r="W11" i="3"/>
  <c r="X11" i="3"/>
  <c r="AC11" i="3"/>
  <c r="M39" i="3"/>
  <c r="U39" i="3"/>
  <c r="AC39" i="3" s="1"/>
  <c r="V39" i="3"/>
  <c r="W39" i="3"/>
  <c r="X39" i="3"/>
  <c r="M18" i="3"/>
  <c r="R18" i="3"/>
  <c r="U18" i="3"/>
  <c r="AC18" i="3" s="1"/>
  <c r="V18" i="3"/>
  <c r="W18" i="3"/>
  <c r="X18" i="3"/>
  <c r="M20" i="3"/>
  <c r="R20" i="3"/>
  <c r="U20" i="3"/>
  <c r="AC20" i="3" s="1"/>
  <c r="V20" i="3"/>
  <c r="W20" i="3"/>
  <c r="X20" i="3"/>
  <c r="AD20" i="3"/>
  <c r="M17" i="3"/>
  <c r="R17" i="3"/>
  <c r="U17" i="3"/>
  <c r="AD17" i="3" s="1"/>
  <c r="V17" i="3"/>
  <c r="W17" i="3"/>
  <c r="X17" i="3"/>
  <c r="AC17" i="3"/>
  <c r="M19" i="3"/>
  <c r="U19" i="3"/>
  <c r="AC19" i="3" s="1"/>
  <c r="V19" i="3"/>
  <c r="W19" i="3"/>
  <c r="X19" i="3"/>
  <c r="M9" i="3"/>
  <c r="S9" i="3"/>
  <c r="U9" i="3"/>
  <c r="AC9" i="3" s="1"/>
  <c r="V9" i="3"/>
  <c r="W9" i="3"/>
  <c r="X9" i="3"/>
  <c r="M44" i="3"/>
  <c r="R44" i="3"/>
  <c r="U44" i="3"/>
  <c r="AC44" i="3" s="1"/>
  <c r="V44" i="3"/>
  <c r="W44" i="3"/>
  <c r="X44" i="3"/>
  <c r="M26" i="3"/>
  <c r="S26" i="3"/>
  <c r="U26" i="3"/>
  <c r="T26" i="3" s="1"/>
  <c r="V26" i="3"/>
  <c r="W26" i="3"/>
  <c r="X26" i="3"/>
  <c r="AC26" i="3"/>
  <c r="M28" i="3"/>
  <c r="S28" i="3"/>
  <c r="U28" i="3"/>
  <c r="AC28" i="3" s="1"/>
  <c r="V28" i="3"/>
  <c r="W28" i="3"/>
  <c r="Y28" i="3" s="1"/>
  <c r="X28" i="3"/>
  <c r="M29" i="3"/>
  <c r="U29" i="3"/>
  <c r="AC29" i="3" s="1"/>
  <c r="V29" i="3"/>
  <c r="W29" i="3"/>
  <c r="X29" i="3"/>
  <c r="M32" i="3"/>
  <c r="S32" i="3"/>
  <c r="U32" i="3"/>
  <c r="AC32" i="3" s="1"/>
  <c r="V32" i="3"/>
  <c r="W32" i="3"/>
  <c r="X32" i="3"/>
  <c r="M34" i="3"/>
  <c r="U34" i="3"/>
  <c r="T34" i="3" s="1"/>
  <c r="V34" i="3"/>
  <c r="W34" i="3"/>
  <c r="X34" i="3"/>
  <c r="AC34" i="3"/>
  <c r="M45" i="3"/>
  <c r="R45" i="3"/>
  <c r="U45" i="3"/>
  <c r="AC45" i="3" s="1"/>
  <c r="V45" i="3"/>
  <c r="W45" i="3"/>
  <c r="X45" i="3"/>
  <c r="M31" i="3"/>
  <c r="S31" i="3"/>
  <c r="U31" i="3"/>
  <c r="AC31" i="3" s="1"/>
  <c r="V31" i="3"/>
  <c r="W31" i="3"/>
  <c r="X31" i="3"/>
  <c r="M30" i="3"/>
  <c r="U30" i="3"/>
  <c r="AC30" i="3" s="1"/>
  <c r="V30" i="3"/>
  <c r="W30" i="3"/>
  <c r="X30" i="3"/>
  <c r="M22" i="3"/>
  <c r="R22" i="3"/>
  <c r="U22" i="3"/>
  <c r="T22" i="3" s="1"/>
  <c r="V22" i="3"/>
  <c r="W22" i="3"/>
  <c r="X22" i="3"/>
  <c r="AC22" i="3"/>
  <c r="M46" i="3"/>
  <c r="R46" i="3"/>
  <c r="U46" i="3"/>
  <c r="V46" i="3"/>
  <c r="W46" i="3"/>
  <c r="X46" i="3"/>
  <c r="AC46" i="3"/>
  <c r="M23" i="3"/>
  <c r="U23" i="3"/>
  <c r="AC23" i="3" s="1"/>
  <c r="V23" i="3"/>
  <c r="W23" i="3"/>
  <c r="X23" i="3"/>
  <c r="M25" i="3"/>
  <c r="U25" i="3"/>
  <c r="AC25" i="3" s="1"/>
  <c r="V25" i="3"/>
  <c r="W25" i="3"/>
  <c r="X25" i="3"/>
  <c r="M40" i="3"/>
  <c r="R40" i="3"/>
  <c r="U40" i="3"/>
  <c r="T40" i="3" s="1"/>
  <c r="V40" i="3"/>
  <c r="W40" i="3"/>
  <c r="X40" i="3"/>
  <c r="AC40" i="3"/>
  <c r="M27" i="3"/>
  <c r="S27" i="3"/>
  <c r="U27" i="3"/>
  <c r="V27" i="3"/>
  <c r="W27" i="3"/>
  <c r="X27" i="3"/>
  <c r="M16" i="3"/>
  <c r="S16" i="3"/>
  <c r="U16" i="3"/>
  <c r="AC16" i="3" s="1"/>
  <c r="V16" i="3"/>
  <c r="W16" i="3"/>
  <c r="X16" i="3"/>
  <c r="M10" i="3"/>
  <c r="U10" i="3"/>
  <c r="AC10" i="3" s="1"/>
  <c r="V10" i="3"/>
  <c r="W10" i="3"/>
  <c r="X10" i="3"/>
  <c r="M35" i="3"/>
  <c r="S35" i="3"/>
  <c r="U35" i="3"/>
  <c r="T35" i="3" s="1"/>
  <c r="V35" i="3"/>
  <c r="W35" i="3"/>
  <c r="X35" i="3"/>
  <c r="AC35" i="3"/>
  <c r="M36" i="3"/>
  <c r="S36" i="3"/>
  <c r="U36" i="3"/>
  <c r="V36" i="3"/>
  <c r="W36" i="3"/>
  <c r="X36" i="3"/>
  <c r="M24" i="3"/>
  <c r="R24" i="3"/>
  <c r="U24" i="3"/>
  <c r="AC24" i="3" s="1"/>
  <c r="V24" i="3"/>
  <c r="W24" i="3"/>
  <c r="X24" i="3"/>
  <c r="M37" i="3"/>
  <c r="R37" i="3"/>
  <c r="U37" i="3"/>
  <c r="AC37" i="3" s="1"/>
  <c r="V37" i="3"/>
  <c r="W37" i="3"/>
  <c r="X37" i="3"/>
  <c r="M33" i="3"/>
  <c r="U33" i="3"/>
  <c r="V33" i="3"/>
  <c r="W33" i="3"/>
  <c r="X33" i="3"/>
  <c r="AC33" i="3"/>
  <c r="M8" i="3"/>
  <c r="U8" i="3"/>
  <c r="V8" i="3"/>
  <c r="W8" i="3"/>
  <c r="X8" i="3"/>
  <c r="M50" i="3"/>
  <c r="R50" i="3"/>
  <c r="U50" i="3"/>
  <c r="AC50" i="3" s="1"/>
  <c r="V50" i="3"/>
  <c r="W50" i="3"/>
  <c r="X50" i="3"/>
  <c r="M7" i="3"/>
  <c r="U7" i="3"/>
  <c r="AC7" i="3" s="1"/>
  <c r="V7" i="3"/>
  <c r="W7" i="3"/>
  <c r="X7" i="3"/>
  <c r="M38" i="3"/>
  <c r="U38" i="3"/>
  <c r="T38" i="3" s="1"/>
  <c r="V38" i="3"/>
  <c r="W38" i="3"/>
  <c r="X38" i="3"/>
  <c r="M14" i="3"/>
  <c r="R14" i="3"/>
  <c r="U14" i="3"/>
  <c r="V14" i="3"/>
  <c r="W14" i="3"/>
  <c r="X14" i="3"/>
  <c r="AC14" i="3"/>
  <c r="AC38" i="3" l="1"/>
  <c r="AD41" i="3"/>
  <c r="AD40" i="3"/>
  <c r="AD12" i="3"/>
  <c r="X231" i="1"/>
  <c r="AA188" i="1"/>
  <c r="AA161" i="1"/>
  <c r="W161" i="1" s="1"/>
  <c r="AA227" i="1"/>
  <c r="W227" i="1" s="1"/>
  <c r="AA132" i="1"/>
  <c r="X128" i="1"/>
  <c r="AA126" i="1"/>
  <c r="AA123" i="1"/>
  <c r="AA70" i="1"/>
  <c r="AA59" i="1"/>
  <c r="AA24" i="1"/>
  <c r="X16" i="1"/>
  <c r="AG188" i="1"/>
  <c r="AA180" i="1"/>
  <c r="X207" i="1"/>
  <c r="AA122" i="1"/>
  <c r="AA99" i="1"/>
  <c r="AA42" i="1"/>
  <c r="X31" i="1"/>
  <c r="X45" i="1"/>
  <c r="AG50" i="1"/>
  <c r="AA71" i="1"/>
  <c r="AA63" i="1"/>
  <c r="X51" i="1"/>
  <c r="AA37" i="1"/>
  <c r="X23" i="1"/>
  <c r="X36" i="1"/>
  <c r="X42" i="1"/>
  <c r="T41" i="1"/>
  <c r="AA40" i="1"/>
  <c r="AA38" i="1"/>
  <c r="AA33" i="1"/>
  <c r="W33" i="1" s="1"/>
  <c r="AI22" i="1"/>
  <c r="AA20" i="1"/>
  <c r="T49" i="1"/>
  <c r="X166" i="1"/>
  <c r="AG115" i="1"/>
  <c r="U115" i="1" s="1"/>
  <c r="AA98" i="1"/>
  <c r="X58" i="1"/>
  <c r="X127" i="1"/>
  <c r="AG204" i="1"/>
  <c r="X173" i="1"/>
  <c r="AG172" i="1"/>
  <c r="AA221" i="1"/>
  <c r="W221" i="1" s="1"/>
  <c r="AA219" i="1"/>
  <c r="AG200" i="1"/>
  <c r="AA176" i="1"/>
  <c r="T168" i="1"/>
  <c r="AA229" i="1"/>
  <c r="W229" i="1" s="1"/>
  <c r="AA213" i="1"/>
  <c r="W213" i="1" s="1"/>
  <c r="AI139" i="1"/>
  <c r="AG20" i="1"/>
  <c r="W20" i="1" s="1"/>
  <c r="X34" i="1"/>
  <c r="X35" i="1"/>
  <c r="X49" i="1"/>
  <c r="AG107" i="1"/>
  <c r="AI107" i="1" s="1"/>
  <c r="AA102" i="1"/>
  <c r="W102" i="1" s="1"/>
  <c r="AA97" i="1"/>
  <c r="X87" i="1"/>
  <c r="AA87" i="1"/>
  <c r="AA79" i="1"/>
  <c r="AA46" i="1"/>
  <c r="W46" i="1" s="1"/>
  <c r="X32" i="1"/>
  <c r="AG31" i="1"/>
  <c r="AI31" i="1" s="1"/>
  <c r="AG24" i="1"/>
  <c r="X19" i="1"/>
  <c r="T18" i="1"/>
  <c r="AI15" i="1"/>
  <c r="X18" i="1"/>
  <c r="AG34" i="1"/>
  <c r="X38" i="1"/>
  <c r="AG48" i="1"/>
  <c r="U48" i="1" s="1"/>
  <c r="S48" i="1" s="1"/>
  <c r="X125" i="1"/>
  <c r="AG125" i="1"/>
  <c r="T18" i="3"/>
  <c r="AD48" i="3"/>
  <c r="R19" i="3"/>
  <c r="Y48" i="3"/>
  <c r="AG57" i="1"/>
  <c r="X57" i="1"/>
  <c r="W50" i="1"/>
  <c r="U49" i="1"/>
  <c r="S49" i="1" s="1"/>
  <c r="AI49" i="1"/>
  <c r="W49" i="1"/>
  <c r="U50" i="1"/>
  <c r="S50" i="1" s="1"/>
  <c r="X50" i="1"/>
  <c r="AG47" i="1"/>
  <c r="W47" i="1" s="1"/>
  <c r="AI50" i="1"/>
  <c r="X47" i="1"/>
  <c r="X48" i="1"/>
  <c r="R16" i="3"/>
  <c r="S37" i="3"/>
  <c r="Y24" i="3"/>
  <c r="AC42" i="3"/>
  <c r="Y8" i="3"/>
  <c r="Y27" i="3"/>
  <c r="AG43" i="1"/>
  <c r="AG44" i="1"/>
  <c r="W44" i="1" s="1"/>
  <c r="X43" i="1"/>
  <c r="X44" i="1"/>
  <c r="T13" i="3"/>
  <c r="T9" i="3"/>
  <c r="Y36" i="3"/>
  <c r="Y30" i="3"/>
  <c r="AD24" i="3"/>
  <c r="Y41" i="3"/>
  <c r="T34" i="1"/>
  <c r="U34" i="1" s="1"/>
  <c r="S34" i="1" s="1"/>
  <c r="W34" i="1"/>
  <c r="AI36" i="1"/>
  <c r="W36" i="1"/>
  <c r="T36" i="1"/>
  <c r="U36" i="1" s="1"/>
  <c r="S36" i="1" s="1"/>
  <c r="AG35" i="1"/>
  <c r="AI34" i="1"/>
  <c r="AG30" i="1"/>
  <c r="X30" i="1"/>
  <c r="AD50" i="3"/>
  <c r="AD42" i="3"/>
  <c r="Y13" i="3"/>
  <c r="AD28" i="3"/>
  <c r="T29" i="3"/>
  <c r="Y23" i="3"/>
  <c r="Y31" i="3"/>
  <c r="Y29" i="3"/>
  <c r="AE23" i="3"/>
  <c r="AD34" i="3"/>
  <c r="AD29" i="3"/>
  <c r="Y40" i="3"/>
  <c r="AE32" i="3"/>
  <c r="Y26" i="3"/>
  <c r="Y9" i="3"/>
  <c r="Y20" i="3"/>
  <c r="Y12" i="3"/>
  <c r="AG196" i="1"/>
  <c r="U196" i="1" s="1"/>
  <c r="S196" i="1" s="1"/>
  <c r="AI179" i="1"/>
  <c r="X177" i="1"/>
  <c r="AG176" i="1"/>
  <c r="W176" i="1" s="1"/>
  <c r="X159" i="1"/>
  <c r="AG158" i="1"/>
  <c r="AG211" i="1"/>
  <c r="AA86" i="1"/>
  <c r="W86" i="1" s="1"/>
  <c r="X79" i="1"/>
  <c r="X72" i="1"/>
  <c r="AG71" i="1"/>
  <c r="AI71" i="1" s="1"/>
  <c r="AA61" i="1"/>
  <c r="W61" i="1" s="1"/>
  <c r="AA55" i="1"/>
  <c r="W55" i="1" s="1"/>
  <c r="AA54" i="1"/>
  <c r="AA29" i="1"/>
  <c r="AA25" i="1"/>
  <c r="AI18" i="1"/>
  <c r="AA15" i="1"/>
  <c r="Y35" i="3"/>
  <c r="Y19" i="3"/>
  <c r="Y39" i="3"/>
  <c r="Y50" i="3"/>
  <c r="AE44" i="3"/>
  <c r="AE41" i="3"/>
  <c r="T30" i="3"/>
  <c r="AD30" i="3"/>
  <c r="AE11" i="3"/>
  <c r="T48" i="3"/>
  <c r="AD9" i="3"/>
  <c r="AG221" i="1"/>
  <c r="AA200" i="1"/>
  <c r="AA198" i="1"/>
  <c r="W198" i="1" s="1"/>
  <c r="AG192" i="1"/>
  <c r="W192" i="1" s="1"/>
  <c r="AA230" i="1"/>
  <c r="AI182" i="1"/>
  <c r="X176" i="1"/>
  <c r="AI174" i="1"/>
  <c r="AG166" i="1"/>
  <c r="X163" i="1"/>
  <c r="AG162" i="1"/>
  <c r="AI162" i="1" s="1"/>
  <c r="AG224" i="1"/>
  <c r="AI224" i="1" s="1"/>
  <c r="AA216" i="1"/>
  <c r="X214" i="1"/>
  <c r="X210" i="1"/>
  <c r="AA206" i="1"/>
  <c r="W206" i="1" s="1"/>
  <c r="AG151" i="1"/>
  <c r="X151" i="1"/>
  <c r="AG148" i="1"/>
  <c r="AI148" i="1" s="1"/>
  <c r="AA146" i="1"/>
  <c r="W146" i="1" s="1"/>
  <c r="T128" i="1"/>
  <c r="AA127" i="1"/>
  <c r="W127" i="1" s="1"/>
  <c r="U120" i="1"/>
  <c r="S120" i="1" s="1"/>
  <c r="AI117" i="1"/>
  <c r="T111" i="1"/>
  <c r="AA108" i="1"/>
  <c r="X88" i="1"/>
  <c r="X84" i="1"/>
  <c r="AA78" i="1"/>
  <c r="AD44" i="3"/>
  <c r="AD38" i="3"/>
  <c r="AE19" i="3"/>
  <c r="AA223" i="1"/>
  <c r="AA196" i="1"/>
  <c r="AA194" i="1"/>
  <c r="T165" i="1"/>
  <c r="U165" i="1" s="1"/>
  <c r="S165" i="1" s="1"/>
  <c r="X162" i="1"/>
  <c r="AA226" i="1"/>
  <c r="W226" i="1" s="1"/>
  <c r="T213" i="1"/>
  <c r="AA209" i="1"/>
  <c r="W209" i="1" s="1"/>
  <c r="X206" i="1"/>
  <c r="AA150" i="1"/>
  <c r="W150" i="1" s="1"/>
  <c r="X140" i="1"/>
  <c r="W135" i="1"/>
  <c r="AA130" i="1"/>
  <c r="W130" i="1" s="1"/>
  <c r="AA118" i="1"/>
  <c r="W118" i="1" s="1"/>
  <c r="AA105" i="1"/>
  <c r="AI102" i="1"/>
  <c r="AI91" i="1"/>
  <c r="X91" i="1"/>
  <c r="T90" i="1"/>
  <c r="AA89" i="1"/>
  <c r="AA74" i="1"/>
  <c r="X55" i="1"/>
  <c r="AA31" i="1"/>
  <c r="AA26" i="1"/>
  <c r="W26" i="1" s="1"/>
  <c r="AA22" i="1"/>
  <c r="W22" i="1" s="1"/>
  <c r="AA18" i="1"/>
  <c r="W18" i="1" s="1"/>
  <c r="T230" i="1"/>
  <c r="X186" i="1"/>
  <c r="X180" i="1"/>
  <c r="AI158" i="1"/>
  <c r="W216" i="1"/>
  <c r="X211" i="1"/>
  <c r="X118" i="1"/>
  <c r="U111" i="1"/>
  <c r="X102" i="1"/>
  <c r="W92" i="1"/>
  <c r="W91" i="1"/>
  <c r="X61" i="1"/>
  <c r="W54" i="1"/>
  <c r="T52" i="1"/>
  <c r="U52" i="1" s="1"/>
  <c r="S52" i="1" s="1"/>
  <c r="AA51" i="1"/>
  <c r="AG39" i="1"/>
  <c r="X39" i="1"/>
  <c r="AG33" i="1"/>
  <c r="U33" i="1" s="1"/>
  <c r="S33" i="1" s="1"/>
  <c r="U28" i="1"/>
  <c r="S28" i="1" s="1"/>
  <c r="U24" i="1"/>
  <c r="W15" i="1"/>
  <c r="AI204" i="1"/>
  <c r="AA222" i="1"/>
  <c r="AA203" i="1"/>
  <c r="AA201" i="1"/>
  <c r="AI198" i="1"/>
  <c r="AA195" i="1"/>
  <c r="AA193" i="1"/>
  <c r="AI190" i="1"/>
  <c r="T231" i="1"/>
  <c r="X230" i="1"/>
  <c r="AA185" i="1"/>
  <c r="AA184" i="1"/>
  <c r="AA182" i="1"/>
  <c r="W182" i="1" s="1"/>
  <c r="AG180" i="1"/>
  <c r="W180" i="1" s="1"/>
  <c r="AA179" i="1"/>
  <c r="W179" i="1" s="1"/>
  <c r="T179" i="1"/>
  <c r="U179" i="1" s="1"/>
  <c r="S179" i="1" s="1"/>
  <c r="AA178" i="1"/>
  <c r="AA174" i="1"/>
  <c r="W174" i="1" s="1"/>
  <c r="AA228" i="1"/>
  <c r="W228" i="1" s="1"/>
  <c r="AA164" i="1"/>
  <c r="AA160" i="1"/>
  <c r="AA215" i="1"/>
  <c r="AG155" i="1"/>
  <c r="AI155" i="1" s="1"/>
  <c r="X155" i="1"/>
  <c r="AI154" i="1"/>
  <c r="AA151" i="1"/>
  <c r="AI150" i="1"/>
  <c r="AA145" i="1"/>
  <c r="AA140" i="1"/>
  <c r="W140" i="1" s="1"/>
  <c r="AA139" i="1"/>
  <c r="W139" i="1" s="1"/>
  <c r="AA134" i="1"/>
  <c r="AA129" i="1"/>
  <c r="T127" i="1"/>
  <c r="AG121" i="1"/>
  <c r="X121" i="1"/>
  <c r="X107" i="1"/>
  <c r="AA103" i="1"/>
  <c r="AA95" i="1"/>
  <c r="AI86" i="1"/>
  <c r="AA84" i="1"/>
  <c r="AG80" i="1"/>
  <c r="AI80" i="1" s="1"/>
  <c r="X80" i="1"/>
  <c r="AA77" i="1"/>
  <c r="X76" i="1"/>
  <c r="X71" i="1"/>
  <c r="AA68" i="1"/>
  <c r="AG64" i="1"/>
  <c r="U64" i="1" s="1"/>
  <c r="S64" i="1" s="1"/>
  <c r="X64" i="1"/>
  <c r="AA60" i="1"/>
  <c r="W60" i="1" s="1"/>
  <c r="AA56" i="1"/>
  <c r="AI55" i="1"/>
  <c r="AA32" i="1"/>
  <c r="W32" i="1" s="1"/>
  <c r="T32" i="1"/>
  <c r="AA27" i="1"/>
  <c r="T27" i="1"/>
  <c r="AA23" i="1"/>
  <c r="T23" i="1"/>
  <c r="AA19" i="1"/>
  <c r="T19" i="1"/>
  <c r="W230" i="1"/>
  <c r="AA41" i="1"/>
  <c r="W41" i="1" s="1"/>
  <c r="AA39" i="1"/>
  <c r="T15" i="1"/>
  <c r="AA220" i="1"/>
  <c r="AA218" i="1"/>
  <c r="AA199" i="1"/>
  <c r="AA197" i="1"/>
  <c r="AI194" i="1"/>
  <c r="AA191" i="1"/>
  <c r="AA189" i="1"/>
  <c r="AG231" i="1"/>
  <c r="X185" i="1"/>
  <c r="AA183" i="1"/>
  <c r="X179" i="1"/>
  <c r="AA177" i="1"/>
  <c r="AA175" i="1"/>
  <c r="W175" i="1" s="1"/>
  <c r="AA172" i="1"/>
  <c r="W172" i="1" s="1"/>
  <c r="AI170" i="1"/>
  <c r="AA163" i="1"/>
  <c r="AA158" i="1"/>
  <c r="AA217" i="1"/>
  <c r="W217" i="1" s="1"/>
  <c r="AG152" i="1"/>
  <c r="AA149" i="1"/>
  <c r="T147" i="1"/>
  <c r="AG144" i="1"/>
  <c r="U144" i="1" s="1"/>
  <c r="S144" i="1" s="1"/>
  <c r="AG140" i="1"/>
  <c r="AI140" i="1" s="1"/>
  <c r="T139" i="1"/>
  <c r="T136" i="1"/>
  <c r="U136" i="1" s="1"/>
  <c r="S136" i="1" s="1"/>
  <c r="AG133" i="1"/>
  <c r="AI133" i="1" s="1"/>
  <c r="X133" i="1"/>
  <c r="AA131" i="1"/>
  <c r="AG124" i="1"/>
  <c r="U124" i="1" s="1"/>
  <c r="S124" i="1" s="1"/>
  <c r="X124" i="1"/>
  <c r="AG103" i="1"/>
  <c r="AI103" i="1" s="1"/>
  <c r="X103" i="1"/>
  <c r="AA90" i="1"/>
  <c r="W90" i="1" s="1"/>
  <c r="AA83" i="1"/>
  <c r="T76" i="1"/>
  <c r="AA75" i="1"/>
  <c r="AG68" i="1"/>
  <c r="U68" i="1" s="1"/>
  <c r="S68" i="1" s="1"/>
  <c r="AA67" i="1"/>
  <c r="AA64" i="1"/>
  <c r="AG63" i="1"/>
  <c r="AI63" i="1" s="1"/>
  <c r="AG32" i="1"/>
  <c r="AI32" i="1" s="1"/>
  <c r="AG27" i="1"/>
  <c r="AI27" i="1" s="1"/>
  <c r="AG23" i="1"/>
  <c r="AA21" i="1"/>
  <c r="AG19" i="1"/>
  <c r="W19" i="1" s="1"/>
  <c r="AA17" i="1"/>
  <c r="W200" i="1"/>
  <c r="X223" i="1"/>
  <c r="AG220" i="1"/>
  <c r="U220" i="1" s="1"/>
  <c r="S220" i="1" s="1"/>
  <c r="X220" i="1"/>
  <c r="X219" i="1"/>
  <c r="AG203" i="1"/>
  <c r="U203" i="1" s="1"/>
  <c r="X203" i="1"/>
  <c r="X202" i="1"/>
  <c r="AG199" i="1"/>
  <c r="X199" i="1"/>
  <c r="X198" i="1"/>
  <c r="AG195" i="1"/>
  <c r="W195" i="1" s="1"/>
  <c r="X195" i="1"/>
  <c r="X194" i="1"/>
  <c r="AG191" i="1"/>
  <c r="U191" i="1" s="1"/>
  <c r="S191" i="1" s="1"/>
  <c r="X191" i="1"/>
  <c r="X190" i="1"/>
  <c r="AA231" i="1"/>
  <c r="AA187" i="1"/>
  <c r="AA186" i="1"/>
  <c r="T186" i="1"/>
  <c r="AG185" i="1"/>
  <c r="X183" i="1"/>
  <c r="AG181" i="1"/>
  <c r="U181" i="1" s="1"/>
  <c r="S181" i="1" s="1"/>
  <c r="X181" i="1"/>
  <c r="T180" i="1"/>
  <c r="U180" i="1" s="1"/>
  <c r="S180" i="1" s="1"/>
  <c r="T175" i="1"/>
  <c r="U175" i="1" s="1"/>
  <c r="S175" i="1" s="1"/>
  <c r="AA170" i="1"/>
  <c r="W170" i="1" s="1"/>
  <c r="AA167" i="1"/>
  <c r="T161" i="1"/>
  <c r="U161" i="1" s="1"/>
  <c r="S161" i="1" s="1"/>
  <c r="W158" i="1"/>
  <c r="U211" i="1"/>
  <c r="S211" i="1" s="1"/>
  <c r="AA208" i="1"/>
  <c r="AA207" i="1"/>
  <c r="T206" i="1"/>
  <c r="U206" i="1" s="1"/>
  <c r="S206" i="1" s="1"/>
  <c r="AA157" i="1"/>
  <c r="AA156" i="1"/>
  <c r="W151" i="1"/>
  <c r="T150" i="1"/>
  <c r="U150" i="1" s="1"/>
  <c r="S150" i="1" s="1"/>
  <c r="W93" i="1"/>
  <c r="T210" i="1"/>
  <c r="T207" i="1"/>
  <c r="U151" i="1"/>
  <c r="S151" i="1" s="1"/>
  <c r="AA147" i="1"/>
  <c r="T223" i="1"/>
  <c r="U223" i="1" s="1"/>
  <c r="S223" i="1" s="1"/>
  <c r="T219" i="1"/>
  <c r="T202" i="1"/>
  <c r="U202" i="1" s="1"/>
  <c r="S202" i="1" s="1"/>
  <c r="T198" i="1"/>
  <c r="U198" i="1" s="1"/>
  <c r="S198" i="1" s="1"/>
  <c r="T194" i="1"/>
  <c r="U194" i="1" s="1"/>
  <c r="S194" i="1" s="1"/>
  <c r="T190" i="1"/>
  <c r="AG186" i="1"/>
  <c r="AI186" i="1" s="1"/>
  <c r="AA181" i="1"/>
  <c r="X175" i="1"/>
  <c r="AG169" i="1"/>
  <c r="AI169" i="1" s="1"/>
  <c r="X169" i="1"/>
  <c r="AA168" i="1"/>
  <c r="W168" i="1" s="1"/>
  <c r="AG167" i="1"/>
  <c r="AI167" i="1" s="1"/>
  <c r="X167" i="1"/>
  <c r="AA166" i="1"/>
  <c r="W166" i="1" s="1"/>
  <c r="AA165" i="1"/>
  <c r="W165" i="1" s="1"/>
  <c r="X161" i="1"/>
  <c r="AG225" i="1"/>
  <c r="X225" i="1"/>
  <c r="AA224" i="1"/>
  <c r="AG215" i="1"/>
  <c r="AI215" i="1" s="1"/>
  <c r="X215" i="1"/>
  <c r="AA214" i="1"/>
  <c r="AA212" i="1"/>
  <c r="AA211" i="1"/>
  <c r="W211" i="1" s="1"/>
  <c r="AG210" i="1"/>
  <c r="W210" i="1" s="1"/>
  <c r="T209" i="1"/>
  <c r="U209" i="1" s="1"/>
  <c r="S209" i="1" s="1"/>
  <c r="AG207" i="1"/>
  <c r="U205" i="1"/>
  <c r="S205" i="1" s="1"/>
  <c r="T205" i="1"/>
  <c r="AG156" i="1"/>
  <c r="U156" i="1" s="1"/>
  <c r="S156" i="1" s="1"/>
  <c r="AA155" i="1"/>
  <c r="W155" i="1" s="1"/>
  <c r="T154" i="1"/>
  <c r="U154" i="1" s="1"/>
  <c r="S154" i="1" s="1"/>
  <c r="AG147" i="1"/>
  <c r="U146" i="1"/>
  <c r="S146" i="1" s="1"/>
  <c r="AA143" i="1"/>
  <c r="W143" i="1" s="1"/>
  <c r="AA142" i="1"/>
  <c r="T140" i="1"/>
  <c r="U140" i="1" s="1"/>
  <c r="S140" i="1" s="1"/>
  <c r="T132" i="1"/>
  <c r="AG132" i="1"/>
  <c r="W132" i="1" s="1"/>
  <c r="W204" i="1"/>
  <c r="W199" i="1"/>
  <c r="W188" i="1"/>
  <c r="U176" i="1"/>
  <c r="S176" i="1" s="1"/>
  <c r="U166" i="1"/>
  <c r="S166" i="1" s="1"/>
  <c r="AG214" i="1"/>
  <c r="U214" i="1" s="1"/>
  <c r="AI166" i="1"/>
  <c r="U155" i="1"/>
  <c r="S155" i="1" s="1"/>
  <c r="AA153" i="1"/>
  <c r="AI151" i="1"/>
  <c r="U143" i="1"/>
  <c r="S143" i="1" s="1"/>
  <c r="AG142" i="1"/>
  <c r="T142" i="1"/>
  <c r="AI130" i="1"/>
  <c r="AI61" i="1"/>
  <c r="AG123" i="1"/>
  <c r="W117" i="1"/>
  <c r="AA111" i="1"/>
  <c r="W111" i="1" s="1"/>
  <c r="X111" i="1"/>
  <c r="AA109" i="1"/>
  <c r="W109" i="1" s="1"/>
  <c r="AG99" i="1"/>
  <c r="AG95" i="1"/>
  <c r="U95" i="1" s="1"/>
  <c r="S95" i="1" s="1"/>
  <c r="AI90" i="1"/>
  <c r="T87" i="1"/>
  <c r="T84" i="1"/>
  <c r="AG83" i="1"/>
  <c r="T79" i="1"/>
  <c r="W77" i="1"/>
  <c r="AG75" i="1"/>
  <c r="AA73" i="1"/>
  <c r="AA72" i="1"/>
  <c r="AG67" i="1"/>
  <c r="AG65" i="1"/>
  <c r="AI65" i="1" s="1"/>
  <c r="AA62" i="1"/>
  <c r="AI60" i="1"/>
  <c r="AG56" i="1"/>
  <c r="W56" i="1" s="1"/>
  <c r="AG53" i="1"/>
  <c r="AI53" i="1" s="1"/>
  <c r="X53" i="1"/>
  <c r="AA52" i="1"/>
  <c r="AA45" i="1"/>
  <c r="T42" i="1"/>
  <c r="AG38" i="1"/>
  <c r="AA16" i="1"/>
  <c r="T16" i="1"/>
  <c r="AA136" i="1"/>
  <c r="W136" i="1" s="1"/>
  <c r="AA128" i="1"/>
  <c r="AA124" i="1"/>
  <c r="X123" i="1"/>
  <c r="T118" i="1"/>
  <c r="U118" i="1" s="1"/>
  <c r="S118" i="1" s="1"/>
  <c r="AA115" i="1"/>
  <c r="W115" i="1" s="1"/>
  <c r="AG112" i="1"/>
  <c r="AI112" i="1" s="1"/>
  <c r="X112" i="1"/>
  <c r="AG108" i="1"/>
  <c r="W108" i="1" s="1"/>
  <c r="X108" i="1"/>
  <c r="T106" i="1"/>
  <c r="U106" i="1" s="1"/>
  <c r="S106" i="1" s="1"/>
  <c r="T102" i="1"/>
  <c r="AA100" i="1"/>
  <c r="U92" i="1"/>
  <c r="S92" i="1" s="1"/>
  <c r="X90" i="1"/>
  <c r="AG87" i="1"/>
  <c r="X86" i="1"/>
  <c r="AG84" i="1"/>
  <c r="AG79" i="1"/>
  <c r="W79" i="1" s="1"/>
  <c r="X75" i="1"/>
  <c r="T72" i="1"/>
  <c r="U71" i="1"/>
  <c r="S71" i="1" s="1"/>
  <c r="X68" i="1"/>
  <c r="W64" i="1"/>
  <c r="U63" i="1"/>
  <c r="S63" i="1" s="1"/>
  <c r="T61" i="1"/>
  <c r="U61" i="1" s="1"/>
  <c r="S61" i="1" s="1"/>
  <c r="X56" i="1"/>
  <c r="T55" i="1"/>
  <c r="W39" i="1"/>
  <c r="U26" i="1"/>
  <c r="S26" i="1" s="1"/>
  <c r="U18" i="1"/>
  <c r="S18" i="1" s="1"/>
  <c r="AA14" i="1"/>
  <c r="AA141" i="1"/>
  <c r="AA138" i="1"/>
  <c r="AG129" i="1"/>
  <c r="U129" i="1" s="1"/>
  <c r="X129" i="1"/>
  <c r="AG128" i="1"/>
  <c r="AI127" i="1"/>
  <c r="AA120" i="1"/>
  <c r="W120" i="1" s="1"/>
  <c r="X120" i="1"/>
  <c r="AI115" i="1"/>
  <c r="AA106" i="1"/>
  <c r="W106" i="1" s="1"/>
  <c r="X100" i="1"/>
  <c r="AA94" i="1"/>
  <c r="AA82" i="1"/>
  <c r="AG76" i="1"/>
  <c r="AI76" i="1" s="1"/>
  <c r="AG72" i="1"/>
  <c r="AA66" i="1"/>
  <c r="T60" i="1"/>
  <c r="U60" i="1" s="1"/>
  <c r="S60" i="1" s="1"/>
  <c r="AG45" i="1"/>
  <c r="AG42" i="1"/>
  <c r="W42" i="1" s="1"/>
  <c r="AI41" i="1"/>
  <c r="AG16" i="1"/>
  <c r="U103" i="1"/>
  <c r="S103" i="1" s="1"/>
  <c r="U91" i="1"/>
  <c r="S91" i="1" s="1"/>
  <c r="T86" i="1"/>
  <c r="W23" i="1"/>
  <c r="U22" i="1"/>
  <c r="S22" i="1" s="1"/>
  <c r="AI231" i="1"/>
  <c r="U200" i="1"/>
  <c r="S200" i="1" s="1"/>
  <c r="AI223" i="1"/>
  <c r="W223" i="1"/>
  <c r="W219" i="1"/>
  <c r="W202" i="1"/>
  <c r="W194" i="1"/>
  <c r="W190" i="1"/>
  <c r="AI219" i="1"/>
  <c r="U190" i="1"/>
  <c r="S190" i="1" s="1"/>
  <c r="AI211" i="1"/>
  <c r="AI227" i="1"/>
  <c r="U219" i="1"/>
  <c r="S219" i="1" s="1"/>
  <c r="U230" i="1"/>
  <c r="S230" i="1" s="1"/>
  <c r="AI207" i="1"/>
  <c r="U204" i="1"/>
  <c r="S204" i="1" s="1"/>
  <c r="T160" i="1"/>
  <c r="X160" i="1"/>
  <c r="T159" i="1"/>
  <c r="AI172" i="1"/>
  <c r="U224" i="1"/>
  <c r="S224" i="1" s="1"/>
  <c r="AI152" i="1"/>
  <c r="X150" i="1"/>
  <c r="T149" i="1"/>
  <c r="X149" i="1"/>
  <c r="AG149" i="1"/>
  <c r="W149" i="1" s="1"/>
  <c r="X146" i="1"/>
  <c r="T145" i="1"/>
  <c r="X145" i="1"/>
  <c r="AG145" i="1"/>
  <c r="X142" i="1"/>
  <c r="X141" i="1"/>
  <c r="T141" i="1"/>
  <c r="AG141" i="1"/>
  <c r="W141" i="1" s="1"/>
  <c r="T138" i="1"/>
  <c r="X138" i="1"/>
  <c r="AG138" i="1"/>
  <c r="AG114" i="1"/>
  <c r="W114" i="1" s="1"/>
  <c r="T114" i="1"/>
  <c r="X115" i="1"/>
  <c r="X114" i="1"/>
  <c r="U221" i="1"/>
  <c r="S221" i="1" s="1"/>
  <c r="U188" i="1"/>
  <c r="S188" i="1" s="1"/>
  <c r="T173" i="1"/>
  <c r="U168" i="1"/>
  <c r="S168" i="1" s="1"/>
  <c r="X204" i="1"/>
  <c r="X200" i="1"/>
  <c r="AI220" i="1"/>
  <c r="AG197" i="1"/>
  <c r="W197" i="1" s="1"/>
  <c r="X196" i="1"/>
  <c r="AI216" i="1"/>
  <c r="X192" i="1"/>
  <c r="AG189" i="1"/>
  <c r="AI189" i="1" s="1"/>
  <c r="AG183" i="1"/>
  <c r="AI183" i="1" s="1"/>
  <c r="T183" i="1"/>
  <c r="T178" i="1"/>
  <c r="X178" i="1"/>
  <c r="T177" i="1"/>
  <c r="AG173" i="1"/>
  <c r="U172" i="1"/>
  <c r="S172" i="1" s="1"/>
  <c r="X168" i="1"/>
  <c r="T229" i="1"/>
  <c r="U229" i="1" s="1"/>
  <c r="S229" i="1" s="1"/>
  <c r="X165" i="1"/>
  <c r="T164" i="1"/>
  <c r="X164" i="1"/>
  <c r="T163" i="1"/>
  <c r="AG160" i="1"/>
  <c r="W160" i="1" s="1"/>
  <c r="AG159" i="1"/>
  <c r="AI159" i="1" s="1"/>
  <c r="U158" i="1"/>
  <c r="S158" i="1" s="1"/>
  <c r="X224" i="1"/>
  <c r="T217" i="1"/>
  <c r="U217" i="1" s="1"/>
  <c r="S217" i="1" s="1"/>
  <c r="X213" i="1"/>
  <c r="T212" i="1"/>
  <c r="X212" i="1"/>
  <c r="U152" i="1"/>
  <c r="S152" i="1" s="1"/>
  <c r="W134" i="1"/>
  <c r="AG131" i="1"/>
  <c r="W131" i="1" s="1"/>
  <c r="X131" i="1"/>
  <c r="T131" i="1"/>
  <c r="X132" i="1"/>
  <c r="U128" i="1"/>
  <c r="S128" i="1" s="1"/>
  <c r="AI101" i="1"/>
  <c r="T174" i="1"/>
  <c r="U174" i="1" s="1"/>
  <c r="S174" i="1" s="1"/>
  <c r="X174" i="1"/>
  <c r="AI188" i="1"/>
  <c r="AG222" i="1"/>
  <c r="W222" i="1" s="1"/>
  <c r="X221" i="1"/>
  <c r="AI228" i="1"/>
  <c r="AG218" i="1"/>
  <c r="AG201" i="1"/>
  <c r="AI201" i="1" s="1"/>
  <c r="AG193" i="1"/>
  <c r="W193" i="1" s="1"/>
  <c r="X188" i="1"/>
  <c r="AG187" i="1"/>
  <c r="AI187" i="1" s="1"/>
  <c r="X222" i="1"/>
  <c r="T222" i="1"/>
  <c r="AI229" i="1"/>
  <c r="X218" i="1"/>
  <c r="T218" i="1"/>
  <c r="AI225" i="1"/>
  <c r="X201" i="1"/>
  <c r="T201" i="1"/>
  <c r="AI221" i="1"/>
  <c r="X197" i="1"/>
  <c r="T197" i="1"/>
  <c r="AI217" i="1"/>
  <c r="X193" i="1"/>
  <c r="T193" i="1"/>
  <c r="AI213" i="1"/>
  <c r="X189" i="1"/>
  <c r="T189" i="1"/>
  <c r="AI209" i="1"/>
  <c r="X187" i="1"/>
  <c r="T187" i="1"/>
  <c r="AI205" i="1"/>
  <c r="AG184" i="1"/>
  <c r="T182" i="1"/>
  <c r="U182" i="1" s="1"/>
  <c r="S182" i="1" s="1"/>
  <c r="X182" i="1"/>
  <c r="AG178" i="1"/>
  <c r="AI178" i="1" s="1"/>
  <c r="AG177" i="1"/>
  <c r="X172" i="1"/>
  <c r="T171" i="1"/>
  <c r="U171" i="1" s="1"/>
  <c r="S171" i="1" s="1"/>
  <c r="AA169" i="1"/>
  <c r="W169" i="1" s="1"/>
  <c r="U169" i="1"/>
  <c r="S169" i="1" s="1"/>
  <c r="X229" i="1"/>
  <c r="T228" i="1"/>
  <c r="U228" i="1" s="1"/>
  <c r="S228" i="1" s="1"/>
  <c r="X228" i="1"/>
  <c r="AG164" i="1"/>
  <c r="AG163" i="1"/>
  <c r="X158" i="1"/>
  <c r="T227" i="1"/>
  <c r="U227" i="1" s="1"/>
  <c r="S227" i="1" s="1"/>
  <c r="AI173" i="1"/>
  <c r="AA225" i="1"/>
  <c r="W225" i="1" s="1"/>
  <c r="U225" i="1"/>
  <c r="S225" i="1" s="1"/>
  <c r="AI171" i="1"/>
  <c r="X217" i="1"/>
  <c r="T216" i="1"/>
  <c r="U216" i="1" s="1"/>
  <c r="S216" i="1" s="1"/>
  <c r="X216" i="1"/>
  <c r="AG212" i="1"/>
  <c r="AI212" i="1" s="1"/>
  <c r="X209" i="1"/>
  <c r="T208" i="1"/>
  <c r="X208" i="1"/>
  <c r="AG208" i="1"/>
  <c r="AI208" i="1" s="1"/>
  <c r="X205" i="1"/>
  <c r="T157" i="1"/>
  <c r="X157" i="1"/>
  <c r="AG157" i="1"/>
  <c r="W157" i="1" s="1"/>
  <c r="AA152" i="1"/>
  <c r="W152" i="1" s="1"/>
  <c r="U148" i="1"/>
  <c r="S148" i="1" s="1"/>
  <c r="X184" i="1"/>
  <c r="AI200" i="1"/>
  <c r="AA173" i="1"/>
  <c r="W173" i="1" s="1"/>
  <c r="AI191" i="1"/>
  <c r="X171" i="1"/>
  <c r="T170" i="1"/>
  <c r="U170" i="1" s="1"/>
  <c r="S170" i="1" s="1"/>
  <c r="X170" i="1"/>
  <c r="AI184" i="1"/>
  <c r="AA159" i="1"/>
  <c r="AI175" i="1"/>
  <c r="X227" i="1"/>
  <c r="T226" i="1"/>
  <c r="U226" i="1" s="1"/>
  <c r="S226" i="1" s="1"/>
  <c r="X226" i="1"/>
  <c r="AI168" i="1"/>
  <c r="U213" i="1"/>
  <c r="S213" i="1" s="1"/>
  <c r="AI164" i="1"/>
  <c r="X154" i="1"/>
  <c r="T153" i="1"/>
  <c r="X153" i="1"/>
  <c r="AG153" i="1"/>
  <c r="AA148" i="1"/>
  <c r="AA144" i="1"/>
  <c r="W144" i="1" s="1"/>
  <c r="X139" i="1"/>
  <c r="X137" i="1"/>
  <c r="AG137" i="1"/>
  <c r="AI134" i="1"/>
  <c r="X156" i="1"/>
  <c r="X152" i="1"/>
  <c r="X148" i="1"/>
  <c r="AI147" i="1"/>
  <c r="X144" i="1"/>
  <c r="AI143" i="1"/>
  <c r="AI128" i="1"/>
  <c r="T126" i="1"/>
  <c r="T122" i="1"/>
  <c r="X122" i="1"/>
  <c r="AG122" i="1"/>
  <c r="AI121" i="1"/>
  <c r="U121" i="1"/>
  <c r="S121" i="1" s="1"/>
  <c r="T119" i="1"/>
  <c r="U112" i="1"/>
  <c r="AI109" i="1"/>
  <c r="T96" i="1"/>
  <c r="X96" i="1"/>
  <c r="AG96" i="1"/>
  <c r="U139" i="1"/>
  <c r="S139" i="1" s="1"/>
  <c r="X136" i="1"/>
  <c r="T135" i="1"/>
  <c r="U135" i="1" s="1"/>
  <c r="S135" i="1" s="1"/>
  <c r="AA133" i="1"/>
  <c r="W133" i="1" s="1"/>
  <c r="T130" i="1"/>
  <c r="U130" i="1" s="1"/>
  <c r="S130" i="1" s="1"/>
  <c r="X130" i="1"/>
  <c r="AG126" i="1"/>
  <c r="W126" i="1" s="1"/>
  <c r="AI124" i="1"/>
  <c r="AI120" i="1"/>
  <c r="X116" i="1"/>
  <c r="AG116" i="1"/>
  <c r="AA101" i="1"/>
  <c r="W101" i="1" s="1"/>
  <c r="AG94" i="1"/>
  <c r="W94" i="1" s="1"/>
  <c r="X94" i="1"/>
  <c r="X95" i="1"/>
  <c r="T94" i="1"/>
  <c r="AA137" i="1"/>
  <c r="AI136" i="1"/>
  <c r="X135" i="1"/>
  <c r="T134" i="1"/>
  <c r="U134" i="1" s="1"/>
  <c r="S134" i="1" s="1"/>
  <c r="X134" i="1"/>
  <c r="U127" i="1"/>
  <c r="S127" i="1" s="1"/>
  <c r="AG119" i="1"/>
  <c r="W119" i="1" s="1"/>
  <c r="X119" i="1"/>
  <c r="T113" i="1"/>
  <c r="X113" i="1"/>
  <c r="AG113" i="1"/>
  <c r="T82" i="1"/>
  <c r="X82" i="1"/>
  <c r="AG82" i="1"/>
  <c r="X83" i="1"/>
  <c r="T105" i="1"/>
  <c r="X105" i="1"/>
  <c r="AG105" i="1"/>
  <c r="T100" i="1"/>
  <c r="AG98" i="1"/>
  <c r="W98" i="1" s="1"/>
  <c r="T98" i="1"/>
  <c r="X99" i="1"/>
  <c r="T97" i="1"/>
  <c r="X97" i="1"/>
  <c r="T85" i="1"/>
  <c r="X85" i="1"/>
  <c r="AG85" i="1"/>
  <c r="U80" i="1"/>
  <c r="S80" i="1" s="1"/>
  <c r="U76" i="1"/>
  <c r="S76" i="1" s="1"/>
  <c r="T66" i="1"/>
  <c r="X66" i="1"/>
  <c r="AG66" i="1"/>
  <c r="W66" i="1" s="1"/>
  <c r="X67" i="1"/>
  <c r="AA121" i="1"/>
  <c r="W121" i="1" s="1"/>
  <c r="T117" i="1"/>
  <c r="U117" i="1" s="1"/>
  <c r="S117" i="1" s="1"/>
  <c r="X117" i="1"/>
  <c r="S115" i="1"/>
  <c r="S111" i="1"/>
  <c r="AI111" i="1"/>
  <c r="AI106" i="1"/>
  <c r="AA104" i="1"/>
  <c r="AG100" i="1"/>
  <c r="AG97" i="1"/>
  <c r="W95" i="1"/>
  <c r="AI81" i="1"/>
  <c r="T69" i="1"/>
  <c r="X69" i="1"/>
  <c r="AG69" i="1"/>
  <c r="AA116" i="1"/>
  <c r="AA113" i="1"/>
  <c r="AG110" i="1"/>
  <c r="X110" i="1"/>
  <c r="T110" i="1"/>
  <c r="X106" i="1"/>
  <c r="X104" i="1"/>
  <c r="AG104" i="1"/>
  <c r="T101" i="1"/>
  <c r="U101" i="1" s="1"/>
  <c r="S101" i="1" s="1"/>
  <c r="X101" i="1"/>
  <c r="X98" i="1"/>
  <c r="AI95" i="1"/>
  <c r="X63" i="1"/>
  <c r="X62" i="1"/>
  <c r="T62" i="1"/>
  <c r="AG62" i="1"/>
  <c r="AI92" i="1"/>
  <c r="U90" i="1"/>
  <c r="S90" i="1" s="1"/>
  <c r="AA85" i="1"/>
  <c r="T81" i="1"/>
  <c r="U81" i="1" s="1"/>
  <c r="S81" i="1" s="1"/>
  <c r="X81" i="1"/>
  <c r="AA80" i="1"/>
  <c r="T78" i="1"/>
  <c r="X78" i="1"/>
  <c r="AG78" i="1"/>
  <c r="AI77" i="1"/>
  <c r="AI72" i="1"/>
  <c r="AA69" i="1"/>
  <c r="AA65" i="1"/>
  <c r="T59" i="1"/>
  <c r="X59" i="1"/>
  <c r="AG59" i="1"/>
  <c r="W59" i="1" s="1"/>
  <c r="AI52" i="1"/>
  <c r="AG51" i="1"/>
  <c r="T51" i="1"/>
  <c r="X52" i="1"/>
  <c r="T89" i="1"/>
  <c r="X89" i="1"/>
  <c r="T88" i="1"/>
  <c r="T73" i="1"/>
  <c r="X73" i="1"/>
  <c r="T70" i="1"/>
  <c r="X70" i="1"/>
  <c r="AG70" i="1"/>
  <c r="W70" i="1" s="1"/>
  <c r="U45" i="1"/>
  <c r="S45" i="1" s="1"/>
  <c r="U39" i="1"/>
  <c r="S39" i="1" s="1"/>
  <c r="U15" i="1"/>
  <c r="S15" i="1" s="1"/>
  <c r="AA112" i="1"/>
  <c r="W112" i="1" s="1"/>
  <c r="T109" i="1"/>
  <c r="U109" i="1" s="1"/>
  <c r="S109" i="1" s="1"/>
  <c r="X109" i="1"/>
  <c r="U102" i="1"/>
  <c r="S102" i="1" s="1"/>
  <c r="AA96" i="1"/>
  <c r="T93" i="1"/>
  <c r="U93" i="1" s="1"/>
  <c r="S93" i="1" s="1"/>
  <c r="X93" i="1"/>
  <c r="AG89" i="1"/>
  <c r="W89" i="1" s="1"/>
  <c r="AG88" i="1"/>
  <c r="W88" i="1" s="1"/>
  <c r="U86" i="1"/>
  <c r="S86" i="1" s="1"/>
  <c r="AI84" i="1"/>
  <c r="AA81" i="1"/>
  <c r="W81" i="1" s="1"/>
  <c r="T77" i="1"/>
  <c r="U77" i="1" s="1"/>
  <c r="S77" i="1" s="1"/>
  <c r="X77" i="1"/>
  <c r="AA76" i="1"/>
  <c r="T74" i="1"/>
  <c r="X74" i="1"/>
  <c r="AG74" i="1"/>
  <c r="AG73" i="1"/>
  <c r="W73" i="1" s="1"/>
  <c r="AI68" i="1"/>
  <c r="X60" i="1"/>
  <c r="AG58" i="1"/>
  <c r="AI54" i="1"/>
  <c r="W52" i="1"/>
  <c r="X65" i="1"/>
  <c r="AI64" i="1"/>
  <c r="U55" i="1"/>
  <c r="S55" i="1" s="1"/>
  <c r="AI46" i="1"/>
  <c r="W45" i="1"/>
  <c r="X41" i="1"/>
  <c r="T40" i="1"/>
  <c r="X40" i="1"/>
  <c r="W28" i="1"/>
  <c r="W24" i="1"/>
  <c r="AA53" i="1"/>
  <c r="T46" i="1"/>
  <c r="U46" i="1" s="1"/>
  <c r="S46" i="1" s="1"/>
  <c r="X46" i="1"/>
  <c r="AG40" i="1"/>
  <c r="AI39" i="1"/>
  <c r="T37" i="1"/>
  <c r="AG37" i="1"/>
  <c r="W37" i="1" s="1"/>
  <c r="T29" i="1"/>
  <c r="X29" i="1"/>
  <c r="AG29" i="1"/>
  <c r="W29" i="1" s="1"/>
  <c r="X26" i="1"/>
  <c r="T25" i="1"/>
  <c r="X25" i="1"/>
  <c r="AG25" i="1"/>
  <c r="W25" i="1" s="1"/>
  <c r="X22" i="1"/>
  <c r="T21" i="1"/>
  <c r="X21" i="1"/>
  <c r="AG21" i="1"/>
  <c r="W21" i="1" s="1"/>
  <c r="T17" i="1"/>
  <c r="AG17" i="1"/>
  <c r="W17" i="1" s="1"/>
  <c r="X15" i="1"/>
  <c r="T14" i="1"/>
  <c r="AG14" i="1"/>
  <c r="AA58" i="1"/>
  <c r="T54" i="1"/>
  <c r="U54" i="1" s="1"/>
  <c r="S54" i="1" s="1"/>
  <c r="X54" i="1"/>
  <c r="AI45" i="1"/>
  <c r="U41" i="1"/>
  <c r="S41" i="1" s="1"/>
  <c r="AI28" i="1"/>
  <c r="S24" i="1"/>
  <c r="AI24" i="1"/>
  <c r="X33" i="1"/>
  <c r="X28" i="1"/>
  <c r="X24" i="1"/>
  <c r="AI23" i="1"/>
  <c r="X20" i="1"/>
  <c r="T25" i="3"/>
  <c r="AD25" i="3"/>
  <c r="AE25" i="3"/>
  <c r="AE9" i="3"/>
  <c r="AD49" i="3"/>
  <c r="AE49" i="3"/>
  <c r="AD46" i="3"/>
  <c r="T37" i="3"/>
  <c r="Y16" i="3"/>
  <c r="Y25" i="3"/>
  <c r="Y22" i="3"/>
  <c r="AD32" i="3"/>
  <c r="AE29" i="3"/>
  <c r="AE27" i="3"/>
  <c r="T17" i="3"/>
  <c r="Y18" i="3"/>
  <c r="Y11" i="3"/>
  <c r="AD16" i="3"/>
  <c r="AD13" i="3"/>
  <c r="AE13" i="3"/>
  <c r="Y47" i="3"/>
  <c r="Y14" i="3"/>
  <c r="Y7" i="3"/>
  <c r="AD45" i="3"/>
  <c r="AC36" i="3"/>
  <c r="AE36" i="3"/>
  <c r="Y45" i="3"/>
  <c r="Y32" i="3"/>
  <c r="AE17" i="3"/>
  <c r="Y21" i="3"/>
  <c r="Y49" i="3"/>
  <c r="AD36" i="3"/>
  <c r="AD21" i="3"/>
  <c r="AE21" i="3"/>
  <c r="AD8" i="3"/>
  <c r="Y38" i="3"/>
  <c r="AE48" i="3"/>
  <c r="AC8" i="3"/>
  <c r="T33" i="3"/>
  <c r="Y37" i="3"/>
  <c r="T10" i="3"/>
  <c r="AD37" i="3"/>
  <c r="AE37" i="3"/>
  <c r="AD33" i="3"/>
  <c r="AE33" i="3"/>
  <c r="Y34" i="3"/>
  <c r="AE28" i="3"/>
  <c r="T44" i="3"/>
  <c r="Y17" i="3"/>
  <c r="AE20" i="3"/>
  <c r="T43" i="3"/>
  <c r="Y42" i="3"/>
  <c r="AE12" i="3"/>
  <c r="Y33" i="3"/>
  <c r="Y10" i="3"/>
  <c r="Y44" i="3"/>
  <c r="Y43" i="3"/>
  <c r="T7" i="3"/>
  <c r="AE45" i="3"/>
  <c r="AE40" i="3"/>
  <c r="AC27" i="3"/>
  <c r="T32" i="3"/>
  <c r="AE24" i="3"/>
  <c r="T20" i="3"/>
  <c r="AE16" i="3"/>
  <c r="T49" i="3"/>
  <c r="AE39" i="3"/>
  <c r="AE35" i="3"/>
  <c r="T23" i="3"/>
  <c r="Y46" i="3"/>
  <c r="AE50" i="3"/>
  <c r="T14" i="3"/>
  <c r="AD47" i="3"/>
  <c r="AE46" i="3"/>
  <c r="T8" i="3"/>
  <c r="AD43" i="3"/>
  <c r="AE42" i="3"/>
  <c r="T36" i="3"/>
  <c r="AD39" i="3"/>
  <c r="AE38" i="3"/>
  <c r="T27" i="3"/>
  <c r="AD35" i="3"/>
  <c r="AE34" i="3"/>
  <c r="T46" i="3"/>
  <c r="AD31" i="3"/>
  <c r="AE30" i="3"/>
  <c r="T45" i="3"/>
  <c r="AD27" i="3"/>
  <c r="AE26" i="3"/>
  <c r="T28" i="3"/>
  <c r="AD23" i="3"/>
  <c r="AE22" i="3"/>
  <c r="T19" i="3"/>
  <c r="AD19" i="3"/>
  <c r="AE18" i="3"/>
  <c r="T39" i="3"/>
  <c r="AE14" i="3"/>
  <c r="T21" i="3"/>
  <c r="AD11" i="3"/>
  <c r="AE10" i="3"/>
  <c r="T41" i="3"/>
  <c r="AC47" i="3"/>
  <c r="AE47" i="3"/>
  <c r="T50" i="3"/>
  <c r="AE43" i="3"/>
  <c r="T24" i="3"/>
  <c r="T16" i="3"/>
  <c r="AE31" i="3"/>
  <c r="T31" i="3"/>
  <c r="AD26" i="3"/>
  <c r="AD22" i="3"/>
  <c r="AD18" i="3"/>
  <c r="AD14" i="3"/>
  <c r="AD10" i="3"/>
  <c r="AE8" i="3"/>
  <c r="AI20" i="1" l="1"/>
  <c r="AI33" i="1"/>
  <c r="W53" i="1"/>
  <c r="AI42" i="1"/>
  <c r="W122" i="1"/>
  <c r="U192" i="1"/>
  <c r="S192" i="1" s="1"/>
  <c r="U31" i="1"/>
  <c r="S31" i="1" s="1"/>
  <c r="W87" i="1"/>
  <c r="W123" i="1"/>
  <c r="U20" i="1"/>
  <c r="S20" i="1" s="1"/>
  <c r="W31" i="1"/>
  <c r="W48" i="1"/>
  <c r="AI19" i="1"/>
  <c r="W65" i="1"/>
  <c r="AI108" i="1"/>
  <c r="U107" i="1"/>
  <c r="S107" i="1" s="1"/>
  <c r="W124" i="1"/>
  <c r="W142" i="1"/>
  <c r="W196" i="1"/>
  <c r="AI48" i="1"/>
  <c r="W14" i="1"/>
  <c r="U65" i="1"/>
  <c r="S65" i="1" s="1"/>
  <c r="W164" i="1"/>
  <c r="W145" i="1"/>
  <c r="W84" i="1"/>
  <c r="W224" i="1"/>
  <c r="W191" i="1"/>
  <c r="W138" i="1"/>
  <c r="AI156" i="1"/>
  <c r="W159" i="1"/>
  <c r="U186" i="1"/>
  <c r="S186" i="1" s="1"/>
  <c r="W107" i="1"/>
  <c r="W76" i="1"/>
  <c r="W75" i="1"/>
  <c r="U210" i="1"/>
  <c r="S210" i="1" s="1"/>
  <c r="AI125" i="1"/>
  <c r="U125" i="1"/>
  <c r="S125" i="1" s="1"/>
  <c r="W125" i="1"/>
  <c r="AI57" i="1"/>
  <c r="U57" i="1"/>
  <c r="S57" i="1" s="1"/>
  <c r="W57" i="1"/>
  <c r="AI47" i="1"/>
  <c r="U47" i="1"/>
  <c r="S47" i="1" s="1"/>
  <c r="AI43" i="1"/>
  <c r="U43" i="1"/>
  <c r="S43" i="1" s="1"/>
  <c r="U44" i="1"/>
  <c r="S44" i="1" s="1"/>
  <c r="AI44" i="1"/>
  <c r="W43" i="1"/>
  <c r="U35" i="1"/>
  <c r="S35" i="1" s="1"/>
  <c r="AI35" i="1"/>
  <c r="W35" i="1"/>
  <c r="AI30" i="1"/>
  <c r="U30" i="1"/>
  <c r="S30" i="1" s="1"/>
  <c r="W30" i="1"/>
  <c r="W80" i="1"/>
  <c r="W113" i="1"/>
  <c r="U108" i="1"/>
  <c r="S108" i="1" s="1"/>
  <c r="U132" i="1"/>
  <c r="S132" i="1" s="1"/>
  <c r="AI144" i="1"/>
  <c r="W231" i="1"/>
  <c r="U19" i="1"/>
  <c r="S19" i="1" s="1"/>
  <c r="U32" i="1"/>
  <c r="S32" i="1" s="1"/>
  <c r="W162" i="1"/>
  <c r="U53" i="1"/>
  <c r="S53" i="1" s="1"/>
  <c r="W148" i="1"/>
  <c r="U133" i="1"/>
  <c r="S133" i="1" s="1"/>
  <c r="U72" i="1"/>
  <c r="S72" i="1" s="1"/>
  <c r="W27" i="1"/>
  <c r="W72" i="1"/>
  <c r="U162" i="1"/>
  <c r="S162" i="1" s="1"/>
  <c r="W71" i="1"/>
  <c r="W51" i="1"/>
  <c r="W82" i="1"/>
  <c r="AI132" i="1"/>
  <c r="W207" i="1"/>
  <c r="U23" i="1"/>
  <c r="S23" i="1" s="1"/>
  <c r="W58" i="1"/>
  <c r="W85" i="1"/>
  <c r="U147" i="1"/>
  <c r="S147" i="1" s="1"/>
  <c r="U27" i="1"/>
  <c r="S27" i="1" s="1"/>
  <c r="W68" i="1"/>
  <c r="W103" i="1"/>
  <c r="W69" i="1"/>
  <c r="W116" i="1"/>
  <c r="W16" i="1"/>
  <c r="W181" i="1"/>
  <c r="U231" i="1"/>
  <c r="S231" i="1" s="1"/>
  <c r="W63" i="1"/>
  <c r="W163" i="1"/>
  <c r="AI163" i="1"/>
  <c r="AI129" i="1"/>
  <c r="AI193" i="1"/>
  <c r="U75" i="1"/>
  <c r="S75" i="1" s="1"/>
  <c r="AI75" i="1"/>
  <c r="U99" i="1"/>
  <c r="S99" i="1" s="1"/>
  <c r="AI99" i="1"/>
  <c r="U142" i="1"/>
  <c r="S142" i="1" s="1"/>
  <c r="AI142" i="1"/>
  <c r="W214" i="1"/>
  <c r="U215" i="1"/>
  <c r="S215" i="1" s="1"/>
  <c r="W186" i="1"/>
  <c r="U195" i="1"/>
  <c r="S195" i="1" s="1"/>
  <c r="AI195" i="1"/>
  <c r="W203" i="1"/>
  <c r="W96" i="1"/>
  <c r="S129" i="1"/>
  <c r="W129" i="1"/>
  <c r="AI160" i="1"/>
  <c r="S203" i="1"/>
  <c r="S214" i="1"/>
  <c r="U16" i="1"/>
  <c r="S16" i="1" s="1"/>
  <c r="AI16" i="1"/>
  <c r="U87" i="1"/>
  <c r="S87" i="1" s="1"/>
  <c r="AI87" i="1"/>
  <c r="U56" i="1"/>
  <c r="S56" i="1" s="1"/>
  <c r="AI56" i="1"/>
  <c r="U67" i="1"/>
  <c r="S67" i="1" s="1"/>
  <c r="AI67" i="1"/>
  <c r="U123" i="1"/>
  <c r="S123" i="1" s="1"/>
  <c r="AI123" i="1"/>
  <c r="W67" i="1"/>
  <c r="W99" i="1"/>
  <c r="U167" i="1"/>
  <c r="W220" i="1"/>
  <c r="U79" i="1"/>
  <c r="S79" i="1" s="1"/>
  <c r="AI79" i="1"/>
  <c r="W215" i="1"/>
  <c r="W167" i="1"/>
  <c r="U185" i="1"/>
  <c r="S185" i="1" s="1"/>
  <c r="AI185" i="1"/>
  <c r="S167" i="1"/>
  <c r="U42" i="1"/>
  <c r="S42" i="1" s="1"/>
  <c r="U84" i="1"/>
  <c r="S84" i="1" s="1"/>
  <c r="W128" i="1"/>
  <c r="U38" i="1"/>
  <c r="S38" i="1" s="1"/>
  <c r="AI38" i="1"/>
  <c r="U83" i="1"/>
  <c r="S83" i="1" s="1"/>
  <c r="AI83" i="1"/>
  <c r="W83" i="1"/>
  <c r="U207" i="1"/>
  <c r="S207" i="1" s="1"/>
  <c r="W38" i="1"/>
  <c r="W147" i="1"/>
  <c r="W156" i="1"/>
  <c r="U199" i="1"/>
  <c r="S199" i="1" s="1"/>
  <c r="AI199" i="1"/>
  <c r="W185" i="1"/>
  <c r="U40" i="1"/>
  <c r="S40" i="1" s="1"/>
  <c r="AI40" i="1"/>
  <c r="AI14" i="1"/>
  <c r="U14" i="1"/>
  <c r="S14" i="1" s="1"/>
  <c r="AI17" i="1"/>
  <c r="U17" i="1"/>
  <c r="S17" i="1" s="1"/>
  <c r="AI21" i="1"/>
  <c r="U21" i="1"/>
  <c r="S21" i="1" s="1"/>
  <c r="AI25" i="1"/>
  <c r="U25" i="1"/>
  <c r="S25" i="1" s="1"/>
  <c r="AI29" i="1"/>
  <c r="U29" i="1"/>
  <c r="S29" i="1" s="1"/>
  <c r="U37" i="1"/>
  <c r="S37" i="1" s="1"/>
  <c r="AI37" i="1"/>
  <c r="AI58" i="1"/>
  <c r="U58" i="1"/>
  <c r="S58" i="1" s="1"/>
  <c r="U74" i="1"/>
  <c r="S74" i="1" s="1"/>
  <c r="AI74" i="1"/>
  <c r="W74" i="1"/>
  <c r="U70" i="1"/>
  <c r="S70" i="1" s="1"/>
  <c r="AI70" i="1"/>
  <c r="AI59" i="1"/>
  <c r="U59" i="1"/>
  <c r="S59" i="1" s="1"/>
  <c r="AI69" i="1"/>
  <c r="U69" i="1"/>
  <c r="S69" i="1" s="1"/>
  <c r="AI97" i="1"/>
  <c r="U97" i="1"/>
  <c r="S97" i="1" s="1"/>
  <c r="U105" i="1"/>
  <c r="S105" i="1" s="1"/>
  <c r="AI105" i="1"/>
  <c r="W105" i="1"/>
  <c r="W137" i="1"/>
  <c r="W97" i="1"/>
  <c r="AI161" i="1"/>
  <c r="U208" i="1"/>
  <c r="S208" i="1" s="1"/>
  <c r="AI196" i="1"/>
  <c r="U177" i="1"/>
  <c r="S177" i="1" s="1"/>
  <c r="AI206" i="1"/>
  <c r="U187" i="1"/>
  <c r="S187" i="1" s="1"/>
  <c r="AI226" i="1"/>
  <c r="U218" i="1"/>
  <c r="S218" i="1" s="1"/>
  <c r="AI210" i="1"/>
  <c r="U189" i="1"/>
  <c r="S189" i="1" s="1"/>
  <c r="U114" i="1"/>
  <c r="S114" i="1" s="1"/>
  <c r="AI114" i="1"/>
  <c r="W177" i="1"/>
  <c r="W189" i="1"/>
  <c r="W218" i="1"/>
  <c r="U51" i="1"/>
  <c r="S51" i="1" s="1"/>
  <c r="AI51" i="1"/>
  <c r="U110" i="1"/>
  <c r="S110" i="1" s="1"/>
  <c r="AI110" i="1"/>
  <c r="AI100" i="1"/>
  <c r="U100" i="1"/>
  <c r="S100" i="1" s="1"/>
  <c r="U82" i="1"/>
  <c r="S82" i="1" s="1"/>
  <c r="AI82" i="1"/>
  <c r="W110" i="1"/>
  <c r="U94" i="1"/>
  <c r="S94" i="1" s="1"/>
  <c r="AI94" i="1"/>
  <c r="AI137" i="1"/>
  <c r="U137" i="1"/>
  <c r="S137" i="1" s="1"/>
  <c r="U212" i="1"/>
  <c r="S212" i="1" s="1"/>
  <c r="AI165" i="1"/>
  <c r="AI197" i="1"/>
  <c r="U178" i="1"/>
  <c r="S178" i="1" s="1"/>
  <c r="U184" i="1"/>
  <c r="S184" i="1" s="1"/>
  <c r="AI203" i="1"/>
  <c r="AI192" i="1"/>
  <c r="U173" i="1"/>
  <c r="S173" i="1" s="1"/>
  <c r="AI218" i="1"/>
  <c r="U197" i="1"/>
  <c r="S197" i="1" s="1"/>
  <c r="AI141" i="1"/>
  <c r="U141" i="1"/>
  <c r="S141" i="1" s="1"/>
  <c r="AI145" i="1"/>
  <c r="U145" i="1"/>
  <c r="S145" i="1" s="1"/>
  <c r="AI149" i="1"/>
  <c r="U149" i="1"/>
  <c r="S149" i="1" s="1"/>
  <c r="AI88" i="1"/>
  <c r="U88" i="1"/>
  <c r="S88" i="1" s="1"/>
  <c r="AI62" i="1"/>
  <c r="U62" i="1"/>
  <c r="S62" i="1" s="1"/>
  <c r="AI104" i="1"/>
  <c r="U104" i="1"/>
  <c r="S104" i="1" s="1"/>
  <c r="W104" i="1"/>
  <c r="U66" i="1"/>
  <c r="S66" i="1" s="1"/>
  <c r="AI66" i="1"/>
  <c r="U85" i="1"/>
  <c r="S85" i="1" s="1"/>
  <c r="AI85" i="1"/>
  <c r="U98" i="1"/>
  <c r="S98" i="1" s="1"/>
  <c r="AI98" i="1"/>
  <c r="AI113" i="1"/>
  <c r="U113" i="1"/>
  <c r="S113" i="1" s="1"/>
  <c r="U126" i="1"/>
  <c r="S126" i="1" s="1"/>
  <c r="AI126" i="1"/>
  <c r="AI96" i="1"/>
  <c r="U96" i="1"/>
  <c r="S96" i="1" s="1"/>
  <c r="AI153" i="1"/>
  <c r="U153" i="1"/>
  <c r="S153" i="1" s="1"/>
  <c r="W153" i="1"/>
  <c r="AI180" i="1"/>
  <c r="U163" i="1"/>
  <c r="S163" i="1" s="1"/>
  <c r="AI222" i="1"/>
  <c r="U201" i="1"/>
  <c r="S201" i="1" s="1"/>
  <c r="AI176" i="1"/>
  <c r="U159" i="1"/>
  <c r="S159" i="1" s="1"/>
  <c r="U183" i="1"/>
  <c r="S183" i="1" s="1"/>
  <c r="AI202" i="1"/>
  <c r="AI138" i="1"/>
  <c r="U138" i="1"/>
  <c r="S138" i="1" s="1"/>
  <c r="W187" i="1"/>
  <c r="W201" i="1"/>
  <c r="W183" i="1"/>
  <c r="W178" i="1"/>
  <c r="AI73" i="1"/>
  <c r="U73" i="1"/>
  <c r="S73" i="1" s="1"/>
  <c r="U89" i="1"/>
  <c r="S89" i="1" s="1"/>
  <c r="AI89" i="1"/>
  <c r="W40" i="1"/>
  <c r="W62" i="1"/>
  <c r="U78" i="1"/>
  <c r="S78" i="1" s="1"/>
  <c r="AI78" i="1"/>
  <c r="W78" i="1"/>
  <c r="U119" i="1"/>
  <c r="S119" i="1" s="1"/>
  <c r="AI119" i="1"/>
  <c r="AI116" i="1"/>
  <c r="U116" i="1"/>
  <c r="S116" i="1" s="1"/>
  <c r="U122" i="1"/>
  <c r="S122" i="1" s="1"/>
  <c r="AI122" i="1"/>
  <c r="AI157" i="1"/>
  <c r="U157" i="1"/>
  <c r="S157" i="1" s="1"/>
  <c r="U164" i="1"/>
  <c r="S164" i="1" s="1"/>
  <c r="AI181" i="1"/>
  <c r="AI214" i="1"/>
  <c r="U193" i="1"/>
  <c r="S193" i="1" s="1"/>
  <c r="AI230" i="1"/>
  <c r="U222" i="1"/>
  <c r="S222" i="1" s="1"/>
  <c r="W100" i="1"/>
  <c r="U131" i="1"/>
  <c r="S131" i="1" s="1"/>
  <c r="AI131" i="1"/>
  <c r="W208" i="1"/>
  <c r="AI177" i="1"/>
  <c r="U160" i="1"/>
  <c r="S160" i="1" s="1"/>
  <c r="W212" i="1"/>
  <c r="W184" i="1"/>
  <c r="S15" i="3"/>
  <c r="M15" i="3"/>
  <c r="R15" i="3"/>
  <c r="U15" i="3"/>
  <c r="V15" i="3"/>
  <c r="W15" i="3"/>
  <c r="X15" i="3"/>
  <c r="Y15" i="3" l="1"/>
  <c r="AE15" i="3"/>
  <c r="AD15" i="3"/>
  <c r="AC15" i="3"/>
  <c r="T15" i="3"/>
  <c r="M28" i="5" l="1"/>
  <c r="M23" i="5" l="1"/>
  <c r="AD7" i="3" l="1"/>
  <c r="AN13" i="1"/>
  <c r="AE7" i="3" l="1"/>
  <c r="K13" i="1" l="1"/>
  <c r="M13" i="1"/>
  <c r="N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N12" i="3" s="1"/>
  <c r="G44" i="4"/>
  <c r="N47" i="3" s="1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N49" i="3" s="1"/>
  <c r="G84" i="4"/>
  <c r="G85" i="4"/>
  <c r="G86" i="4"/>
  <c r="G87" i="4"/>
  <c r="N42" i="3" s="1"/>
  <c r="G88" i="4"/>
  <c r="G89" i="4"/>
  <c r="N21" i="3" s="1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N13" i="3" s="1"/>
  <c r="G104" i="4"/>
  <c r="G105" i="4"/>
  <c r="G106" i="4"/>
  <c r="G107" i="4"/>
  <c r="G108" i="4"/>
  <c r="G109" i="4"/>
  <c r="G110" i="4"/>
  <c r="G111" i="4"/>
  <c r="G112" i="4"/>
  <c r="G113" i="4"/>
  <c r="G114" i="4"/>
  <c r="G115" i="4"/>
  <c r="N43" i="3" s="1"/>
  <c r="G116" i="4"/>
  <c r="N11" i="3" s="1"/>
  <c r="G117" i="4"/>
  <c r="G118" i="4"/>
  <c r="G119" i="4"/>
  <c r="G120" i="4"/>
  <c r="N39" i="3" s="1"/>
  <c r="G121" i="4"/>
  <c r="G122" i="4"/>
  <c r="G123" i="4"/>
  <c r="G124" i="4"/>
  <c r="G125" i="4"/>
  <c r="N18" i="3" s="1"/>
  <c r="G126" i="4"/>
  <c r="G127" i="4"/>
  <c r="G128" i="4"/>
  <c r="G129" i="4"/>
  <c r="G130" i="4"/>
  <c r="G131" i="4"/>
  <c r="G132" i="4"/>
  <c r="G133" i="4"/>
  <c r="N20" i="3" s="1"/>
  <c r="G134" i="4"/>
  <c r="G135" i="4"/>
  <c r="G136" i="4"/>
  <c r="N17" i="3" s="1"/>
  <c r="G137" i="4"/>
  <c r="G138" i="4"/>
  <c r="G139" i="4"/>
  <c r="G140" i="4"/>
  <c r="G141" i="4"/>
  <c r="G142" i="4"/>
  <c r="G143" i="4"/>
  <c r="G144" i="4"/>
  <c r="G145" i="4"/>
  <c r="N26" i="3" s="1"/>
  <c r="G146" i="4"/>
  <c r="N44" i="3" s="1"/>
  <c r="G147" i="4"/>
  <c r="G148" i="4"/>
  <c r="G149" i="4"/>
  <c r="N28" i="3" s="1"/>
  <c r="G150" i="4"/>
  <c r="G151" i="4"/>
  <c r="G152" i="4"/>
  <c r="N32" i="3" s="1"/>
  <c r="G153" i="4"/>
  <c r="G154" i="4"/>
  <c r="G155" i="4"/>
  <c r="G156" i="4"/>
  <c r="N29" i="3" s="1"/>
  <c r="G157" i="4"/>
  <c r="G158" i="4"/>
  <c r="N15" i="3" s="1"/>
  <c r="G159" i="4"/>
  <c r="N34" i="3" s="1"/>
  <c r="G160" i="4"/>
  <c r="G161" i="4"/>
  <c r="G162" i="4"/>
  <c r="G163" i="4"/>
  <c r="G164" i="4"/>
  <c r="G165" i="4"/>
  <c r="G166" i="4"/>
  <c r="G167" i="4"/>
  <c r="N45" i="3" s="1"/>
  <c r="G168" i="4"/>
  <c r="G169" i="4"/>
  <c r="N30" i="3" s="1"/>
  <c r="G170" i="4"/>
  <c r="G171" i="4"/>
  <c r="G172" i="4"/>
  <c r="N22" i="3" s="1"/>
  <c r="G173" i="4"/>
  <c r="N31" i="3" s="1"/>
  <c r="G174" i="4"/>
  <c r="G175" i="4"/>
  <c r="G176" i="4"/>
  <c r="G177" i="4"/>
  <c r="G178" i="4"/>
  <c r="G179" i="4"/>
  <c r="N23" i="3" s="1"/>
  <c r="G180" i="4"/>
  <c r="G181" i="4"/>
  <c r="G182" i="4"/>
  <c r="N46" i="3" s="1"/>
  <c r="G183" i="4"/>
  <c r="G184" i="4"/>
  <c r="N27" i="3" s="1"/>
  <c r="G185" i="4"/>
  <c r="G186" i="4"/>
  <c r="N40" i="3" s="1"/>
  <c r="G187" i="4"/>
  <c r="G188" i="4"/>
  <c r="N25" i="3" s="1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N35" i="3" s="1"/>
  <c r="G202" i="4"/>
  <c r="G203" i="4"/>
  <c r="G204" i="4"/>
  <c r="N36" i="3" s="1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N33" i="3" s="1"/>
  <c r="G219" i="4"/>
  <c r="G220" i="4"/>
  <c r="G221" i="4"/>
  <c r="G222" i="4"/>
  <c r="G223" i="4"/>
  <c r="N8" i="3" s="1"/>
  <c r="G224" i="4"/>
  <c r="G225" i="4"/>
  <c r="G226" i="4"/>
  <c r="G227" i="4"/>
  <c r="N50" i="3" s="1"/>
  <c r="G228" i="4"/>
  <c r="G229" i="4"/>
  <c r="G230" i="4"/>
  <c r="G231" i="4"/>
  <c r="N7" i="3" s="1"/>
  <c r="G232" i="4"/>
  <c r="G233" i="4"/>
  <c r="G234" i="4"/>
  <c r="G235" i="4"/>
  <c r="G236" i="4"/>
  <c r="G237" i="4"/>
  <c r="N38" i="3" s="1"/>
  <c r="G238" i="4"/>
  <c r="G239" i="4"/>
  <c r="G240" i="4"/>
  <c r="G241" i="4"/>
  <c r="G242" i="4"/>
  <c r="G243" i="4"/>
  <c r="G244" i="4"/>
  <c r="G245" i="4"/>
  <c r="G246" i="4"/>
  <c r="G247" i="4"/>
  <c r="G248" i="4"/>
  <c r="G249" i="4"/>
  <c r="N14" i="3" s="1"/>
  <c r="G250" i="4"/>
  <c r="G251" i="4"/>
  <c r="G252" i="4"/>
  <c r="G253" i="4"/>
  <c r="G254" i="4"/>
  <c r="G255" i="4"/>
  <c r="G256" i="4"/>
  <c r="G257" i="4"/>
  <c r="G258" i="4"/>
  <c r="G2" i="4"/>
  <c r="N16" i="3" l="1"/>
  <c r="N10" i="3"/>
  <c r="N24" i="3"/>
  <c r="N37" i="3"/>
  <c r="N19" i="3"/>
  <c r="N9" i="3"/>
  <c r="N41" i="3"/>
  <c r="N48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B4" i="6"/>
  <c r="J3" i="6"/>
  <c r="G3" i="6"/>
  <c r="H3" i="6"/>
  <c r="I4" i="6" l="1"/>
  <c r="F4" i="6"/>
  <c r="H4" i="6"/>
  <c r="J4" i="6"/>
  <c r="G4" i="6"/>
  <c r="B5" i="6"/>
  <c r="I5" i="6" l="1"/>
  <c r="F5" i="6"/>
  <c r="B6" i="6"/>
  <c r="G5" i="6"/>
  <c r="J5" i="6"/>
  <c r="H5" i="6"/>
  <c r="I6" i="6" l="1"/>
  <c r="F6" i="6"/>
  <c r="G6" i="6"/>
  <c r="H6" i="6"/>
  <c r="J6" i="6"/>
  <c r="B7" i="6"/>
  <c r="I7" i="6" l="1"/>
  <c r="F7" i="6"/>
  <c r="J7" i="6"/>
  <c r="G7" i="6"/>
  <c r="H7" i="6"/>
  <c r="B8" i="6"/>
  <c r="I8" i="6" l="1"/>
  <c r="F8" i="6"/>
  <c r="G8" i="6"/>
  <c r="H8" i="6"/>
  <c r="J8" i="6"/>
  <c r="B9" i="6"/>
  <c r="I9" i="6" l="1"/>
  <c r="F9" i="6"/>
  <c r="B10" i="6"/>
  <c r="J9" i="6"/>
  <c r="H9" i="6"/>
  <c r="G9" i="6"/>
  <c r="I10" i="6" l="1"/>
  <c r="F10" i="6"/>
  <c r="J10" i="6"/>
  <c r="G10" i="6"/>
  <c r="H10" i="6"/>
  <c r="B11" i="6"/>
  <c r="I11" i="6" l="1"/>
  <c r="F11" i="6"/>
  <c r="B12" i="6"/>
  <c r="G11" i="6"/>
  <c r="J11" i="6"/>
  <c r="H11" i="6"/>
  <c r="I12" i="6" l="1"/>
  <c r="F12" i="6"/>
  <c r="G12" i="6"/>
  <c r="J12" i="6"/>
  <c r="H12" i="6"/>
  <c r="B74" i="6" l="1"/>
  <c r="I74" i="6" l="1"/>
  <c r="F74" i="6"/>
  <c r="B75" i="6"/>
  <c r="H74" i="6"/>
  <c r="G74" i="6"/>
  <c r="J74" i="6"/>
  <c r="I75" i="6" l="1"/>
  <c r="F75" i="6"/>
  <c r="B76" i="6"/>
  <c r="J75" i="6"/>
  <c r="G75" i="6"/>
  <c r="H75" i="6"/>
  <c r="I76" i="6" l="1"/>
  <c r="F76" i="6"/>
  <c r="H76" i="6"/>
  <c r="G76" i="6"/>
  <c r="J76" i="6"/>
  <c r="B77" i="6"/>
  <c r="I77" i="6" l="1"/>
  <c r="F77" i="6"/>
  <c r="H77" i="6"/>
  <c r="J77" i="6"/>
  <c r="G77" i="6"/>
  <c r="B78" i="6"/>
  <c r="I78" i="6" l="1"/>
  <c r="F78" i="6"/>
  <c r="G78" i="6"/>
  <c r="J78" i="6"/>
  <c r="H78" i="6"/>
  <c r="B79" i="6"/>
  <c r="I79" i="6" l="1"/>
  <c r="F79" i="6"/>
  <c r="B80" i="6"/>
  <c r="H79" i="6"/>
  <c r="J79" i="6"/>
  <c r="G79" i="6"/>
  <c r="I80" i="6" l="1"/>
  <c r="F80" i="6"/>
  <c r="B81" i="6"/>
  <c r="J80" i="6"/>
  <c r="H80" i="6"/>
  <c r="G80" i="6"/>
  <c r="I81" i="6" l="1"/>
  <c r="F81" i="6"/>
  <c r="B83" i="6"/>
  <c r="B82" i="6"/>
  <c r="G81" i="6"/>
  <c r="H81" i="6"/>
  <c r="J81" i="6"/>
  <c r="I82" i="6" l="1"/>
  <c r="F82" i="6"/>
  <c r="I83" i="6"/>
  <c r="F83" i="6"/>
  <c r="G82" i="6"/>
  <c r="H82" i="6"/>
  <c r="J82" i="6"/>
  <c r="J83" i="6"/>
  <c r="G83" i="6"/>
  <c r="H8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<sst xmlns="http://schemas.openxmlformats.org/spreadsheetml/2006/main" count="2865" uniqueCount="978">
  <si>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</si>
  <si>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</si>
  <si>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</si>
  <si>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</si>
  <si>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</si>
  <si>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</si>
  <si>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</si>
  <si>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</si>
  <si>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</si>
  <si>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</si>
  <si>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</si>
  <si>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</si>
  <si>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</si>
  <si>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</si>
  <si>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</si>
  <si>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</si>
  <si>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</si>
  <si>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</si>
  <si>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</si>
  <si>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</si>
  <si>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</si>
  <si>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</si>
  <si>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</si>
  <si>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</si>
  <si>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</si>
  <si>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</si>
  <si>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</si>
  <si>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</si>
  <si>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</si>
  <si>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</si>
  <si>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</si>
  <si>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</si>
  <si>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</si>
  <si>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</si>
  <si>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</si>
  <si>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</si>
  <si>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</si>
  <si>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</si>
  <si>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</si>
  <si>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</si>
  <si>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</si>
  <si>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</si>
  <si>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</si>
  <si>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</si>
  <si>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</si>
  <si>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</si>
  <si>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</si>
  <si>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</si>
  <si>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</si>
  <si>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</si>
  <si>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</si>
  <si>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</si>
  <si>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</si>
  <si>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</si>
  <si>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</si>
  <si>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</si>
  <si>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</si>
  <si>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</si>
  <si>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</si>
  <si>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</si>
  <si>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</si>
  <si>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</si>
  <si>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</si>
  <si>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</si>
  <si>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</si>
  <si>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</si>
  <si>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</si>
  <si>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</si>
  <si>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</si>
  <si>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</si>
  <si>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</si>
  <si>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</si>
  <si>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</si>
  <si>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</si>
  <si>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</si>
  <si>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</si>
  <si>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</si>
  <si>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</si>
  <si>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</si>
  <si>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</si>
  <si>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</si>
  <si>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</si>
  <si>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</si>
  <si>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</si>
  <si>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</si>
  <si>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</si>
  <si>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</si>
  <si>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</si>
  <si>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</si>
  <si>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</si>
  <si>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</si>
  <si>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</si>
  <si>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</si>
  <si>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</si>
  <si>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</si>
  <si>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</si>
  <si>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</si>
  <si>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</si>
  <si>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</si>
  <si>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</si>
  <si>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</si>
  <si>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</si>
  <si>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</si>
  <si>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</si>
  <si>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</si>
  <si>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</si>
  <si>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</si>
  <si>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</si>
  <si>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</si>
  <si>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</si>
  <si>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</si>
  <si>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</si>
  <si>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</si>
  <si>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</si>
  <si>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</si>
  <si>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</si>
  <si>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</si>
  <si>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</si>
  <si>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</si>
  <si>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</si>
  <si>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</si>
  <si>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</si>
  <si>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</si>
  <si>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</si>
  <si>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</si>
  <si>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</si>
  <si>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</si>
  <si>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</si>
  <si>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</si>
  <si>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</si>
  <si>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</si>
  <si>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</si>
  <si>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</si>
  <si>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</si>
  <si>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</si>
  <si>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</si>
  <si>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</si>
  <si>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</si>
  <si>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</si>
  <si>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</si>
  <si>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</si>
  <si>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</si>
  <si>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</si>
  <si>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</si>
  <si>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</si>
  <si>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</si>
  <si>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</si>
  <si>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</si>
  <si>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</si>
  <si>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</si>
  <si>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</si>
  <si>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</si>
  <si>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</si>
  <si>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</si>
  <si>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</si>
  <si>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</si>
  <si>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</si>
  <si>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</si>
  <si>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</si>
  <si>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</si>
  <si>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</si>
  <si>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</si>
  <si>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</si>
  <si>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</si>
  <si>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</si>
  <si>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</si>
  <si>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</si>
  <si>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</si>
  <si>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</si>
  <si>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</si>
  <si>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</si>
  <si>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</si>
  <si>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</si>
  <si>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</si>
  <si>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</si>
  <si>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</si>
  <si>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</si>
  <si>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</si>
  <si>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</si>
  <si>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</si>
  <si>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</si>
  <si>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</si>
  <si>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</si>
  <si>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</si>
  <si>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</si>
  <si>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</si>
  <si>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</si>
  <si>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</si>
  <si>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</si>
  <si>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</si>
  <si>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</si>
  <si>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</si>
  <si>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</si>
  <si>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</si>
  <si>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</si>
  <si>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</si>
  <si>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</si>
  <si>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</si>
  <si>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</si>
  <si>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</si>
  <si>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</si>
  <si>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</si>
  <si>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</si>
  <si>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</si>
  <si>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204:457</t>
  </si>
  <si>
    <t>204:460</t>
  </si>
  <si>
    <t>BROWN</t>
  </si>
  <si>
    <t>JACOB</t>
  </si>
  <si>
    <t>204:455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</si>
  <si>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</si>
  <si>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</si>
  <si>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</si>
  <si>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</si>
  <si>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</si>
  <si>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</si>
  <si>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</si>
  <si>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</si>
  <si>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</si>
  <si>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</si>
  <si>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</si>
  <si>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</si>
  <si>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</si>
  <si>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</si>
  <si>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</si>
  <si>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</si>
  <si>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</si>
  <si>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</si>
  <si>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</si>
  <si>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</si>
  <si>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</si>
  <si>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</si>
  <si>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</si>
  <si>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</si>
  <si>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</si>
  <si>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</si>
  <si>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</si>
  <si>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</si>
  <si>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</si>
  <si>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</si>
  <si>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</si>
  <si>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</si>
  <si>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</si>
  <si>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</si>
  <si>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</si>
  <si>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</si>
  <si>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</si>
  <si>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</si>
  <si>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</si>
  <si>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</si>
  <si>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</si>
  <si>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</si>
  <si>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</si>
  <si>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</si>
  <si>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</si>
  <si>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</si>
  <si>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</si>
  <si>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</si>
  <si>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</si>
  <si>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</si>
  <si>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</si>
  <si>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</si>
  <si>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</si>
  <si>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</si>
  <si>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</si>
  <si>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</si>
  <si>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</si>
  <si>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</si>
  <si>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</si>
  <si>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</si>
  <si>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</si>
  <si>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</si>
  <si>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</si>
  <si>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</si>
  <si>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</si>
  <si>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</si>
  <si>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</si>
  <si>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</si>
  <si>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</si>
  <si>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</si>
  <si>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</si>
  <si>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</si>
  <si>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</si>
  <si>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</si>
  <si>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</si>
  <si>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</si>
  <si>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</si>
  <si>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</si>
  <si>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</si>
  <si>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</si>
  <si>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</si>
  <si>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</si>
  <si>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</si>
  <si>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</si>
  <si>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</si>
  <si>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</si>
  <si>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</si>
  <si>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</si>
  <si>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</si>
  <si>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</si>
  <si>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</si>
  <si>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</si>
  <si>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</si>
  <si>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</si>
  <si>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</si>
  <si>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</si>
  <si>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</si>
  <si>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</si>
  <si>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</si>
  <si>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</si>
  <si>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</si>
  <si>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</si>
  <si>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</si>
  <si>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</si>
  <si>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</si>
  <si>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</si>
  <si>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</si>
  <si>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</si>
  <si>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</si>
  <si>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</si>
  <si>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</si>
  <si>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</si>
  <si>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</si>
  <si>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</si>
  <si>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</si>
  <si>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</si>
  <si>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</si>
  <si>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</si>
  <si>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</si>
  <si>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</si>
  <si>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</si>
  <si>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</si>
  <si>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</si>
  <si>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</si>
  <si>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</si>
  <si>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</si>
  <si>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</si>
  <si>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</si>
  <si>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</si>
  <si>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</si>
  <si>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</si>
  <si>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</si>
  <si>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</si>
  <si>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</si>
  <si>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</si>
  <si>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</si>
  <si>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</si>
  <si>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</si>
  <si>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</si>
  <si>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</si>
  <si>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</si>
  <si>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</si>
  <si>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</si>
  <si>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</si>
  <si>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</si>
  <si>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</si>
  <si>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</si>
  <si>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</si>
  <si>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</si>
  <si>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</si>
  <si>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</si>
  <si>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</si>
  <si>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</si>
  <si>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</si>
  <si>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</si>
  <si>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</si>
  <si>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</si>
  <si>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</si>
  <si>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</si>
  <si>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</si>
  <si>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</si>
  <si>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</si>
  <si>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</si>
  <si>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</si>
  <si>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</si>
  <si>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</si>
  <si>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</si>
  <si>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</si>
  <si>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</si>
  <si>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204:138</t>
  </si>
  <si>
    <t>204:141</t>
  </si>
  <si>
    <t>WCR Redmine cURL</t>
  </si>
  <si>
    <t>27f4683f8c668ceb395ce0223286e38dfe180cf8</t>
  </si>
  <si>
    <t>https://ptcsupport.wabtec.com/issues.json</t>
  </si>
  <si>
    <t>rtdc.l.rtdc.4010:itc</t>
  </si>
  <si>
    <t>204:462</t>
  </si>
  <si>
    <t>204:232989</t>
  </si>
  <si>
    <t>204:446</t>
  </si>
  <si>
    <t>rtdc.l.rtdc.4009:itc</t>
  </si>
  <si>
    <t>rtdc.l.rtdc.4045:itc</t>
  </si>
  <si>
    <t>204:145</t>
  </si>
  <si>
    <t>204:160</t>
  </si>
  <si>
    <t>DUNCAN</t>
  </si>
  <si>
    <t>SHEILA</t>
  </si>
  <si>
    <t>204:458</t>
  </si>
  <si>
    <t>rtdc.l.rtdc.4041:itc</t>
  </si>
  <si>
    <t>rtdc.l.rtdc.4004:itc</t>
  </si>
  <si>
    <t>rtdc.l.rtdc.4003:itc</t>
  </si>
  <si>
    <t>rtdc.l.rtdc.4042:itc</t>
  </si>
  <si>
    <t>GUZMAN</t>
  </si>
  <si>
    <t>DANNY</t>
  </si>
  <si>
    <t>81-04</t>
  </si>
  <si>
    <t>82-04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</si>
  <si>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</si>
  <si>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</si>
  <si>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</si>
  <si>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</si>
  <si>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</si>
  <si>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</si>
  <si>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</si>
  <si>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</si>
  <si>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</si>
  <si>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</si>
  <si>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204:467</t>
  </si>
  <si>
    <t>204:233291</t>
  </si>
  <si>
    <t>rtdc.l.rtdc.4054:itc</t>
  </si>
  <si>
    <t>204:150</t>
  </si>
  <si>
    <t>204:447</t>
  </si>
  <si>
    <t>204:473</t>
  </si>
  <si>
    <t>rtdc.l.rtdc.4006:itc</t>
  </si>
  <si>
    <t>partly-cloudy-night</t>
  </si>
  <si>
    <t>204:149</t>
  </si>
  <si>
    <t>204:143</t>
  </si>
  <si>
    <t>204:475</t>
  </si>
  <si>
    <t>204:139</t>
  </si>
  <si>
    <t>204:163</t>
  </si>
  <si>
    <t>rtdc.l.rtdc.4026:itc</t>
  </si>
  <si>
    <t>rtdc.l.rtdc.4025:itc</t>
  </si>
  <si>
    <t>Y</t>
  </si>
  <si>
    <t>partly-cloudy-day</t>
  </si>
  <si>
    <t>204:466</t>
  </si>
  <si>
    <t>204:233315</t>
  </si>
  <si>
    <t>204:444</t>
  </si>
  <si>
    <t>204:136</t>
  </si>
  <si>
    <t>204:233000</t>
  </si>
  <si>
    <t>rtdc.l.rtdc.4015:itc</t>
  </si>
  <si>
    <t>SWITCH UNKNOWN</t>
  </si>
  <si>
    <t>Track device (7)</t>
  </si>
  <si>
    <t>rtdc.l.rtdc.4023:itc</t>
  </si>
  <si>
    <t>rtdc.l.rtdc.4024:itc</t>
  </si>
  <si>
    <t>300:58933</t>
  </si>
  <si>
    <t>204:438</t>
  </si>
  <si>
    <t>300:23304</t>
  </si>
  <si>
    <t>SIGNAL</t>
  </si>
  <si>
    <t>Signal based authority (5)</t>
  </si>
  <si>
    <t>Mostly Cloudy</t>
  </si>
  <si>
    <t>204:469</t>
  </si>
  <si>
    <t>204:232981</t>
  </si>
  <si>
    <t>204:972</t>
  </si>
  <si>
    <t>rtdc.l.rtdc.4039:itc</t>
  </si>
  <si>
    <t>rtdc.l.rtdc.4040:itc</t>
  </si>
  <si>
    <t>YANG</t>
  </si>
  <si>
    <t>JAN</t>
  </si>
  <si>
    <t>204:232994</t>
  </si>
  <si>
    <t>204:451</t>
  </si>
  <si>
    <t>204:233301</t>
  </si>
  <si>
    <t>204:134</t>
  </si>
  <si>
    <t>204:232972</t>
  </si>
  <si>
    <t>300:23346</t>
  </si>
  <si>
    <t>300:58939</t>
  </si>
  <si>
    <t>300:58636</t>
  </si>
  <si>
    <t>rtdc.l.rtdc.4007:itc</t>
  </si>
  <si>
    <t>rtdc.l.rtdc.4018:itc</t>
  </si>
  <si>
    <t>rtdc.l.rtdc.4008:itc</t>
  </si>
  <si>
    <t>precipType</t>
  </si>
  <si>
    <t>rain</t>
  </si>
  <si>
    <t>Drizzle</t>
  </si>
  <si>
    <t>204:232985</t>
  </si>
  <si>
    <t>204:233297</t>
  </si>
  <si>
    <t>204:233282</t>
  </si>
  <si>
    <t>204:132</t>
  </si>
  <si>
    <t>300:58615</t>
  </si>
  <si>
    <t>JOHN</t>
  </si>
  <si>
    <t>THOMAS</t>
  </si>
  <si>
    <t>204:233314</t>
  </si>
  <si>
    <t>204:232988</t>
  </si>
  <si>
    <t>204:233289</t>
  </si>
  <si>
    <t>204:464</t>
  </si>
  <si>
    <t>204:233302</t>
  </si>
  <si>
    <t>204:232968</t>
  </si>
  <si>
    <t>204:233305</t>
  </si>
  <si>
    <t>204:232965</t>
  </si>
  <si>
    <t>204:232955</t>
  </si>
  <si>
    <t>204:233280</t>
  </si>
  <si>
    <t>204:232979</t>
  </si>
  <si>
    <t>204:232986</t>
  </si>
  <si>
    <t>204:232993</t>
  </si>
  <si>
    <t>300:23306</t>
  </si>
  <si>
    <t>300:58617</t>
  </si>
  <si>
    <t>300:58937</t>
  </si>
  <si>
    <t>rtdc.l.rtdc.4016:itc</t>
  </si>
  <si>
    <t>rtdc.l.rtdc.4063:itc</t>
  </si>
  <si>
    <t>rtdc.l.rtdc.4055:itc</t>
  </si>
  <si>
    <t>rtdc.l.rtdc.4064:itc</t>
  </si>
  <si>
    <t>MAELZER</t>
  </si>
  <si>
    <t>KURT</t>
  </si>
  <si>
    <t>DAVIS</t>
  </si>
  <si>
    <t>WENDY</t>
  </si>
  <si>
    <t>SHOOK</t>
  </si>
  <si>
    <t>STEWART</t>
  </si>
  <si>
    <t>NELSON</t>
  </si>
  <si>
    <t>ARIANE</t>
  </si>
  <si>
    <t>LEVIN</t>
  </si>
  <si>
    <t>SCOTT</t>
  </si>
  <si>
    <t>BRANDNER</t>
  </si>
  <si>
    <t>MELINDA</t>
  </si>
  <si>
    <t>LALONDE</t>
  </si>
  <si>
    <t>GREGORY</t>
  </si>
  <si>
    <t>242-23</t>
  </si>
  <si>
    <t>309-23</t>
  </si>
  <si>
    <t>244-23</t>
  </si>
  <si>
    <t>311-23</t>
  </si>
  <si>
    <t>313-23</t>
  </si>
  <si>
    <t>Clear</t>
  </si>
  <si>
    <t>204:748</t>
  </si>
  <si>
    <t>204:232679</t>
  </si>
  <si>
    <t>204:232996</t>
  </si>
  <si>
    <t>204:427</t>
  </si>
  <si>
    <t>204:233004</t>
  </si>
  <si>
    <t>204:233017</t>
  </si>
  <si>
    <t>204:233021</t>
  </si>
  <si>
    <t>204:233028</t>
  </si>
  <si>
    <t>204:233300</t>
  </si>
  <si>
    <t>204:440</t>
  </si>
  <si>
    <t>204:232991</t>
  </si>
  <si>
    <t>204:471</t>
  </si>
  <si>
    <t>204:233397</t>
  </si>
  <si>
    <t>300:58619</t>
  </si>
  <si>
    <t>204:233308</t>
  </si>
  <si>
    <t>300:58623</t>
  </si>
  <si>
    <t>300:58935</t>
  </si>
  <si>
    <t>300:58931</t>
  </si>
  <si>
    <t>204:233378</t>
  </si>
  <si>
    <t>204:233346</t>
  </si>
  <si>
    <t>204:233023</t>
  </si>
  <si>
    <t>204:232967</t>
  </si>
  <si>
    <t>204:233288</t>
  </si>
  <si>
    <t>204:431</t>
  </si>
  <si>
    <t>204:233272</t>
  </si>
  <si>
    <t>204:232974</t>
  </si>
  <si>
    <t>204:233285</t>
  </si>
  <si>
    <t>204:232970</t>
  </si>
  <si>
    <t>300:23297</t>
  </si>
  <si>
    <t>Early arrival</t>
  </si>
  <si>
    <t>Wi-MAX data drop</t>
  </si>
  <si>
    <t>rtdc.l.rtdc.4011:itc</t>
  </si>
  <si>
    <t>104-24</t>
  </si>
  <si>
    <t>801-24</t>
  </si>
  <si>
    <t>112-24</t>
  </si>
  <si>
    <t>805-24</t>
  </si>
  <si>
    <t>809-24</t>
  </si>
  <si>
    <t>rtdc.l.rtdc.4053:itc</t>
  </si>
  <si>
    <t>810-24</t>
  </si>
  <si>
    <t>139-24</t>
  </si>
  <si>
    <t>147-24</t>
  </si>
  <si>
    <t>816-24</t>
  </si>
  <si>
    <t>152-24</t>
  </si>
  <si>
    <t>817-24</t>
  </si>
  <si>
    <t>158-24</t>
  </si>
  <si>
    <t>164-24</t>
  </si>
  <si>
    <t>166-24</t>
  </si>
  <si>
    <t>170-24</t>
  </si>
  <si>
    <t>822-24</t>
  </si>
  <si>
    <t>174-24</t>
  </si>
  <si>
    <t>183-24</t>
  </si>
  <si>
    <t>182-24</t>
  </si>
  <si>
    <t>180-24</t>
  </si>
  <si>
    <t>191-24</t>
  </si>
  <si>
    <t>826-24</t>
  </si>
  <si>
    <t>199-24</t>
  </si>
  <si>
    <t>197-24</t>
  </si>
  <si>
    <t>194-24</t>
  </si>
  <si>
    <t>830-24</t>
  </si>
  <si>
    <t>198-24</t>
  </si>
  <si>
    <t>209-24</t>
  </si>
  <si>
    <t>832-24</t>
  </si>
  <si>
    <t>200-24</t>
  </si>
  <si>
    <t>210-24</t>
  </si>
  <si>
    <t>215-24</t>
  </si>
  <si>
    <t>217-24</t>
  </si>
  <si>
    <t>221-24</t>
  </si>
  <si>
    <t>220-24</t>
  </si>
  <si>
    <t>222-24</t>
  </si>
  <si>
    <t>843-24</t>
  </si>
  <si>
    <t>229-24</t>
  </si>
  <si>
    <t>233-24</t>
  </si>
  <si>
    <t>239-24</t>
  </si>
  <si>
    <t>302-24</t>
  </si>
  <si>
    <t>FORTUNATO</t>
  </si>
  <si>
    <t>FRANK</t>
  </si>
  <si>
    <t>101-24</t>
  </si>
  <si>
    <t>304-24</t>
  </si>
  <si>
    <t>103-24</t>
  </si>
  <si>
    <t>306-24</t>
  </si>
  <si>
    <t>STARKS</t>
  </si>
  <si>
    <t>ANGELINA</t>
  </si>
  <si>
    <t>102-24</t>
  </si>
  <si>
    <t>308-24</t>
  </si>
  <si>
    <t>BIRENBAUM</t>
  </si>
  <si>
    <t>105-24</t>
  </si>
  <si>
    <t>310-24</t>
  </si>
  <si>
    <t>107-24</t>
  </si>
  <si>
    <t>109-24</t>
  </si>
  <si>
    <t>901-24</t>
  </si>
  <si>
    <t>111-24</t>
  </si>
  <si>
    <t>113-24</t>
  </si>
  <si>
    <t>106-24</t>
  </si>
  <si>
    <t>800-24</t>
  </si>
  <si>
    <t>108-24</t>
  </si>
  <si>
    <t>115-24</t>
  </si>
  <si>
    <t>MENGES</t>
  </si>
  <si>
    <t>BRAD</t>
  </si>
  <si>
    <t>110-24</t>
  </si>
  <si>
    <t>117-24</t>
  </si>
  <si>
    <t>114-24</t>
  </si>
  <si>
    <t>119-24</t>
  </si>
  <si>
    <t>YANAI</t>
  </si>
  <si>
    <t>IAN</t>
  </si>
  <si>
    <t>902-24</t>
  </si>
  <si>
    <t>ZEWDU</t>
  </si>
  <si>
    <t>DEREJE</t>
  </si>
  <si>
    <t>802-24</t>
  </si>
  <si>
    <t>121-24</t>
  </si>
  <si>
    <t>803-24</t>
  </si>
  <si>
    <t>116-24</t>
  </si>
  <si>
    <t>123-24</t>
  </si>
  <si>
    <t>118-24</t>
  </si>
  <si>
    <t>804-24</t>
  </si>
  <si>
    <t>120-24</t>
  </si>
  <si>
    <t>125-24</t>
  </si>
  <si>
    <t>127-24</t>
  </si>
  <si>
    <t>122-24</t>
  </si>
  <si>
    <t>807-24</t>
  </si>
  <si>
    <t>806-24</t>
  </si>
  <si>
    <t>129-24</t>
  </si>
  <si>
    <t>124-24</t>
  </si>
  <si>
    <t>131-24</t>
  </si>
  <si>
    <t>126-24</t>
  </si>
  <si>
    <t>808-24</t>
  </si>
  <si>
    <t>133-24</t>
  </si>
  <si>
    <t>128-24</t>
  </si>
  <si>
    <t>135-24</t>
  </si>
  <si>
    <t>811-24</t>
  </si>
  <si>
    <t>130-24</t>
  </si>
  <si>
    <t>137-24</t>
  </si>
  <si>
    <t>132-24</t>
  </si>
  <si>
    <t>903-24</t>
  </si>
  <si>
    <t>812-24</t>
  </si>
  <si>
    <t>134-24</t>
  </si>
  <si>
    <t>136-24</t>
  </si>
  <si>
    <t>141-24</t>
  </si>
  <si>
    <t>138-24</t>
  </si>
  <si>
    <t>143-24</t>
  </si>
  <si>
    <t>813-24</t>
  </si>
  <si>
    <t>140-24</t>
  </si>
  <si>
    <t>145-24</t>
  </si>
  <si>
    <t>142-24</t>
  </si>
  <si>
    <t>814-24</t>
  </si>
  <si>
    <t>149-24</t>
  </si>
  <si>
    <t>144-24</t>
  </si>
  <si>
    <t>151-24</t>
  </si>
  <si>
    <t>50-24</t>
  </si>
  <si>
    <t>MAYBERRY</t>
  </si>
  <si>
    <t>BILL</t>
  </si>
  <si>
    <t>815-24</t>
  </si>
  <si>
    <t>153-24</t>
  </si>
  <si>
    <t>146-24</t>
  </si>
  <si>
    <t>148-24</t>
  </si>
  <si>
    <t>150-24</t>
  </si>
  <si>
    <t>155-24</t>
  </si>
  <si>
    <t>157-24</t>
  </si>
  <si>
    <t>154-24</t>
  </si>
  <si>
    <t>159-24</t>
  </si>
  <si>
    <t>161-24</t>
  </si>
  <si>
    <t>51-24</t>
  </si>
  <si>
    <t>156-24</t>
  </si>
  <si>
    <t>163-24</t>
  </si>
  <si>
    <t>CLARK</t>
  </si>
  <si>
    <t>KATHLEEN</t>
  </si>
  <si>
    <t>818-24</t>
  </si>
  <si>
    <t>165-24</t>
  </si>
  <si>
    <t>LAMAR</t>
  </si>
  <si>
    <t>NEKESHA</t>
  </si>
  <si>
    <t>160-24</t>
  </si>
  <si>
    <t>167-24</t>
  </si>
  <si>
    <t>162-24</t>
  </si>
  <si>
    <t>169-24</t>
  </si>
  <si>
    <t>THOMPSON</t>
  </si>
  <si>
    <t>LESTER</t>
  </si>
  <si>
    <t>819-24</t>
  </si>
  <si>
    <t>171-24</t>
  </si>
  <si>
    <t>820-24</t>
  </si>
  <si>
    <t>173-24</t>
  </si>
  <si>
    <t>SULLIVAN</t>
  </si>
  <si>
    <t>BRANDON</t>
  </si>
  <si>
    <t>168-24</t>
  </si>
  <si>
    <t>175-24</t>
  </si>
  <si>
    <t>177-24</t>
  </si>
  <si>
    <t>821-24</t>
  </si>
  <si>
    <t>172-24</t>
  </si>
  <si>
    <t>179-24</t>
  </si>
  <si>
    <t>176-24</t>
  </si>
  <si>
    <t>181-24</t>
  </si>
  <si>
    <t>178-24</t>
  </si>
  <si>
    <t>185-24</t>
  </si>
  <si>
    <t>823-24</t>
  </si>
  <si>
    <t>187-24</t>
  </si>
  <si>
    <t>824-24</t>
  </si>
  <si>
    <t>189-24</t>
  </si>
  <si>
    <t>184-24</t>
  </si>
  <si>
    <t>186-24</t>
  </si>
  <si>
    <t>193-24</t>
  </si>
  <si>
    <t>904-24</t>
  </si>
  <si>
    <t>825-24</t>
  </si>
  <si>
    <t>188-24</t>
  </si>
  <si>
    <t>195-24</t>
  </si>
  <si>
    <t>190-24</t>
  </si>
  <si>
    <t>827-24</t>
  </si>
  <si>
    <t>192-24</t>
  </si>
  <si>
    <t>828-24</t>
  </si>
  <si>
    <t>201-24</t>
  </si>
  <si>
    <t>829-24</t>
  </si>
  <si>
    <t>196-24</t>
  </si>
  <si>
    <t>203-24</t>
  </si>
  <si>
    <t>831-24</t>
  </si>
  <si>
    <t>205-24</t>
  </si>
  <si>
    <t>207-24</t>
  </si>
  <si>
    <t>202-24</t>
  </si>
  <si>
    <t>PERKINS</t>
  </si>
  <si>
    <t>DARREN</t>
  </si>
  <si>
    <t>833-24</t>
  </si>
  <si>
    <t>66-24</t>
  </si>
  <si>
    <t>204-24</t>
  </si>
  <si>
    <t>211-24</t>
  </si>
  <si>
    <t>835-24</t>
  </si>
  <si>
    <t>206-24</t>
  </si>
  <si>
    <t>834-24</t>
  </si>
  <si>
    <t>52-24</t>
  </si>
  <si>
    <t>213-24</t>
  </si>
  <si>
    <t>208-24</t>
  </si>
  <si>
    <t>836-24</t>
  </si>
  <si>
    <t>837-24</t>
  </si>
  <si>
    <t>212-24</t>
  </si>
  <si>
    <t>219-24</t>
  </si>
  <si>
    <t>839-24</t>
  </si>
  <si>
    <t>214-24</t>
  </si>
  <si>
    <t>838-24</t>
  </si>
  <si>
    <t>303-24</t>
  </si>
  <si>
    <t>216-24</t>
  </si>
  <si>
    <t>906-24</t>
  </si>
  <si>
    <t>218-24</t>
  </si>
  <si>
    <t>305-24</t>
  </si>
  <si>
    <t>841-24</t>
  </si>
  <si>
    <t>80-24</t>
  </si>
  <si>
    <t>223-24</t>
  </si>
  <si>
    <t>840-24</t>
  </si>
  <si>
    <t>307-24</t>
  </si>
  <si>
    <t>225-24</t>
  </si>
  <si>
    <t>81-24</t>
  </si>
  <si>
    <t>224-24</t>
  </si>
  <si>
    <t>227-24</t>
  </si>
  <si>
    <t>842-24</t>
  </si>
  <si>
    <t>226-24</t>
  </si>
  <si>
    <t>845-24</t>
  </si>
  <si>
    <t>231-24</t>
  </si>
  <si>
    <t>228-24</t>
  </si>
  <si>
    <t>844-24</t>
  </si>
  <si>
    <t>230-24</t>
  </si>
  <si>
    <t>847-24</t>
  </si>
  <si>
    <t>232-24</t>
  </si>
  <si>
    <t>235-24</t>
  </si>
  <si>
    <t>83-24</t>
  </si>
  <si>
    <t>908-24</t>
  </si>
  <si>
    <t>234-24</t>
  </si>
  <si>
    <t>237-24</t>
  </si>
  <si>
    <t>236-24</t>
  </si>
  <si>
    <t>238-24</t>
  </si>
  <si>
    <t>241-24</t>
  </si>
  <si>
    <t>243-24</t>
  </si>
  <si>
    <t>240-24</t>
  </si>
  <si>
    <t>315-24</t>
  </si>
  <si>
    <t>242-24</t>
  </si>
  <si>
    <t>309-24</t>
  </si>
  <si>
    <t>244-24</t>
  </si>
  <si>
    <t>311-24</t>
  </si>
  <si>
    <t>313-24</t>
  </si>
  <si>
    <t>clear-day</t>
  </si>
  <si>
    <t>Light Rain</t>
  </si>
  <si>
    <t>204:713</t>
  </si>
  <si>
    <t>204:233293</t>
  </si>
  <si>
    <t>204:232651</t>
  </si>
  <si>
    <t>204:765</t>
  </si>
  <si>
    <t>204:233325</t>
  </si>
  <si>
    <t>204:156</t>
  </si>
  <si>
    <t>204:752</t>
  </si>
  <si>
    <t>204:232662</t>
  </si>
  <si>
    <t>204:2264</t>
  </si>
  <si>
    <t>204:233284</t>
  </si>
  <si>
    <t>204:233038</t>
  </si>
  <si>
    <t>204:232962</t>
  </si>
  <si>
    <t>204:1150</t>
  </si>
  <si>
    <t>204:232936</t>
  </si>
  <si>
    <t>204:233310</t>
  </si>
  <si>
    <t>204:233287</t>
  </si>
  <si>
    <t>204:233309</t>
  </si>
  <si>
    <t>204:233298</t>
  </si>
  <si>
    <t>204:233342</t>
  </si>
  <si>
    <t>204:233324</t>
  </si>
  <si>
    <t>204:232998</t>
  </si>
  <si>
    <t>204:233019</t>
  </si>
  <si>
    <t>204:233311</t>
  </si>
  <si>
    <t>204:161</t>
  </si>
  <si>
    <t>204:174</t>
  </si>
  <si>
    <t>204:232957</t>
  </si>
  <si>
    <t>204:196</t>
  </si>
  <si>
    <t>204:233402</t>
  </si>
  <si>
    <t>204:233077</t>
  </si>
  <si>
    <t>204:233359</t>
  </si>
  <si>
    <t>204:233353</t>
  </si>
  <si>
    <t>204:233345</t>
  </si>
  <si>
    <t>204:233009</t>
  </si>
  <si>
    <t>204:495</t>
  </si>
  <si>
    <t>204:232987</t>
  </si>
  <si>
    <t>204:183</t>
  </si>
  <si>
    <t>204:233069</t>
  </si>
  <si>
    <t>204:258</t>
  </si>
  <si>
    <t>204:233321</t>
  </si>
  <si>
    <t>204:232963</t>
  </si>
  <si>
    <t>204:233338</t>
  </si>
  <si>
    <t>204:537</t>
  </si>
  <si>
    <t>204:232971</t>
  </si>
  <si>
    <t>204:212</t>
  </si>
  <si>
    <t>204:546</t>
  </si>
  <si>
    <t>204:233398</t>
  </si>
  <si>
    <t>204:233079</t>
  </si>
  <si>
    <t>204:233380</t>
  </si>
  <si>
    <t>204:233036</t>
  </si>
  <si>
    <t>204:233306</t>
  </si>
  <si>
    <t>204:19141</t>
  </si>
  <si>
    <t>204:233253</t>
  </si>
  <si>
    <t>204:429</t>
  </si>
  <si>
    <t>204:2232</t>
  </si>
  <si>
    <t>204:176</t>
  </si>
  <si>
    <t>204:509</t>
  </si>
  <si>
    <t>204:232976</t>
  </si>
  <si>
    <t>204:232982</t>
  </si>
  <si>
    <t>204:118</t>
  </si>
  <si>
    <t>204:233393</t>
  </si>
  <si>
    <t>204:233111</t>
  </si>
  <si>
    <t>204:233113</t>
  </si>
  <si>
    <t>204:232800</t>
  </si>
  <si>
    <t>204:169</t>
  </si>
  <si>
    <t>204:313</t>
  </si>
  <si>
    <t>204:233459</t>
  </si>
  <si>
    <t>204:233151</t>
  </si>
  <si>
    <t>204:167</t>
  </si>
  <si>
    <t>204:604</t>
  </si>
  <si>
    <t>204:233002</t>
  </si>
  <si>
    <t>204:233057</t>
  </si>
  <si>
    <t>300:23495</t>
  </si>
  <si>
    <t>300:23324</t>
  </si>
  <si>
    <t>300:22618</t>
  </si>
  <si>
    <t>300:23002</t>
  </si>
  <si>
    <t>300:23512</t>
  </si>
  <si>
    <t>300:22779</t>
  </si>
  <si>
    <t>300:23302</t>
  </si>
  <si>
    <t>204:1236</t>
  </si>
  <si>
    <t>300:22284</t>
  </si>
  <si>
    <t>204:2867</t>
  </si>
  <si>
    <t>204:1479</t>
  </si>
  <si>
    <t>300:23301</t>
  </si>
  <si>
    <t>204:190091</t>
  </si>
  <si>
    <t>300:58687</t>
  </si>
  <si>
    <t>204:657</t>
  </si>
  <si>
    <t>204:937</t>
  </si>
  <si>
    <t>300:59018</t>
  </si>
  <si>
    <t>300:58700</t>
  </si>
  <si>
    <t>204:643</t>
  </si>
  <si>
    <t>204:929</t>
  </si>
  <si>
    <t>300:58965</t>
  </si>
  <si>
    <t>300:58645</t>
  </si>
  <si>
    <t>204:694</t>
  </si>
  <si>
    <t>300:58992</t>
  </si>
  <si>
    <t>204:640</t>
  </si>
  <si>
    <t>204:967</t>
  </si>
  <si>
    <t>300:58621</t>
  </si>
  <si>
    <t>204:936</t>
  </si>
  <si>
    <t>300:58980</t>
  </si>
  <si>
    <t>204:190406</t>
  </si>
  <si>
    <t>204:233286</t>
  </si>
  <si>
    <t>300:58664</t>
  </si>
  <si>
    <t>204:955</t>
  </si>
  <si>
    <t>204:701</t>
  </si>
  <si>
    <t>204:999</t>
  </si>
  <si>
    <t>300:58928</t>
  </si>
  <si>
    <t>204:691</t>
  </si>
  <si>
    <t>204:983</t>
  </si>
  <si>
    <t>300:58624</t>
  </si>
  <si>
    <t>204:654</t>
  </si>
  <si>
    <t>204:946</t>
  </si>
  <si>
    <t>300:58926</t>
  </si>
  <si>
    <t>300:58602</t>
  </si>
  <si>
    <t>204:652</t>
  </si>
  <si>
    <t>300:58973</t>
  </si>
  <si>
    <t>300:58655</t>
  </si>
  <si>
    <t>204:976</t>
  </si>
  <si>
    <t>300:58604</t>
  </si>
  <si>
    <t>204:638</t>
  </si>
  <si>
    <t>300:58634</t>
  </si>
  <si>
    <t>204:615</t>
  </si>
  <si>
    <t>204:913</t>
  </si>
  <si>
    <t>300:58958</t>
  </si>
  <si>
    <t>204:603</t>
  </si>
  <si>
    <t>204:953</t>
  </si>
  <si>
    <t>300:58929</t>
  </si>
  <si>
    <t>204:678</t>
  </si>
  <si>
    <t>300:58978</t>
  </si>
  <si>
    <t>204:144</t>
  </si>
  <si>
    <t>300:58670</t>
  </si>
  <si>
    <t>204:629</t>
  </si>
  <si>
    <t>204:974</t>
  </si>
  <si>
    <t>204:689</t>
  </si>
  <si>
    <t>300:58961</t>
  </si>
  <si>
    <t>300:58651</t>
  </si>
  <si>
    <t>204:622</t>
  </si>
  <si>
    <t>204:922</t>
  </si>
  <si>
    <t>300:58988</t>
  </si>
  <si>
    <t>300:58660</t>
  </si>
  <si>
    <t>204:612</t>
  </si>
  <si>
    <t>300:58658</t>
  </si>
  <si>
    <t>204:645</t>
  </si>
  <si>
    <t>204:909</t>
  </si>
  <si>
    <t>300:58641</t>
  </si>
  <si>
    <t>204:624</t>
  </si>
  <si>
    <t>300:58954</t>
  </si>
  <si>
    <t>204:680</t>
  </si>
  <si>
    <t>204:930</t>
  </si>
  <si>
    <t>300:29896</t>
  </si>
  <si>
    <t>300:59003</t>
  </si>
  <si>
    <t>300:23338</t>
  </si>
  <si>
    <t>204:656</t>
  </si>
  <si>
    <t>300:25434</t>
  </si>
  <si>
    <t>300:23233</t>
  </si>
  <si>
    <t>204:664</t>
  </si>
  <si>
    <t>300:28774</t>
  </si>
  <si>
    <t>300:21769</t>
  </si>
  <si>
    <t>start /low /b %USERPROFILE%\Documents\GitHub\eaglep3\Utilities\DownloadLogsFromS3.py --loco 4011 --day 2017-04-24</t>
  </si>
  <si>
    <t>start /low /b %USERPROFILE%\Documents\GitHub\eaglep3\Utilities\DownloadLogsFromS3.py --loco 4026 --day 2017-04-24</t>
  </si>
  <si>
    <t>start /low /b %USERPROFILE%\Documents\GitHub\eaglep3\Utilities\DownloadLogsFromS3.py --loco 4024 --day 2017-04-25</t>
  </si>
  <si>
    <t>start /low /b %USERPROFILE%\Documents\GitHub\eaglep3\Utilities\DownloadLogsFromS3.py --loco 4023 --day 2017-04-25</t>
  </si>
  <si>
    <t>start /low /b %USERPROFILE%\Documents\GitHub\eaglep3\Utilities\DownloadLogsFromS3.py --loco 4009 --day 2017-04-24</t>
  </si>
  <si>
    <t>start /low /b %USERPROFILE%\Documents\GitHub\eaglep3\Utilities\DownloadLogsFromS3.py --loco 4029 --day 2017-04-24</t>
  </si>
  <si>
    <t>start /low /b %USERPROFILE%\Documents\GitHub\eaglep3\Utilities\DownloadLogsFromS3.py --loco 4023 --day 2017-04-24</t>
  </si>
  <si>
    <t>start /low /b %USERPROFILE%\Documents\GitHub\eaglep3\Utilities\DownloadLogsFromS3.py --loco 4012 --day 2017-04-24</t>
  </si>
  <si>
    <t>start /low /b %USERPROFILE%\Documents\GitHub\eaglep3\Utilities\DownloadLogsFromS3.py --loco 4026 --day 2017-04-25</t>
  </si>
  <si>
    <t>start /low /b %USERPROFILE%\Documents\GitHub\eaglep3\Utilities\DownloadLogsFromS3.py --loco 4025 --day 2017-04-24</t>
  </si>
  <si>
    <t>start /low /b %USERPROFILE%\Documents\GitHub\eaglep3\Utilities\DownloadLogsFromS3.py --loco 4027 --day 2017-04-24</t>
  </si>
  <si>
    <t>start /low /b %USERPROFILE%\Documents\GitHub\eaglep3\Utilities\DownloadLogsFromS3.py --loco 4024 --day 2017-04-24</t>
  </si>
  <si>
    <t>start /low /b %USERPROFILE%\Documents\GitHub\eaglep3\Utilities\DownloadLogsFromS3.py --loco 4039 --day 2017-04-24</t>
  </si>
  <si>
    <t>start /low /b %USERPROFILE%\Documents\GitHub\eaglep3\Utilities\DownloadLogsFromS3.py --loco 4010 --day 2017-04-24</t>
  </si>
  <si>
    <t>start /low /b %USERPROFILE%\Documents\GitHub\eaglep3\Utilities\DownloadLogsFromS3.py --loco 4027 --day 2017-04-25</t>
  </si>
  <si>
    <t>start /low /b %USERPROFILE%\Documents\GitHub\eaglep3\Utilities\DownloadLogsFromS3.py --loco 4028 --day 2017-04-24</t>
  </si>
  <si>
    <t>start /low /b %USERPROFILE%\Documents\GitHub\eaglep3\Utilities\DownloadLogsFromS3.py --loco 4040 --day 2017-04-25</t>
  </si>
  <si>
    <t>start /low /b %USERPROFILE%\Documents\GitHub\eaglep3\Utilities\DownloadLogsFromS3.py --loco 4012 --day 2017-04-25</t>
  </si>
  <si>
    <t>start /low /b %USERPROFILE%\Documents\GitHub\eaglep3\Utilities\DownloadLogsFromS3.py --loco 4064 --day 2017-04-24</t>
  </si>
  <si>
    <t>start /low /b %USERPROFILE%\Documents\GitHub\eaglep3\Utilities\DownloadLogsFromS3.py --loco 4053 --day 2017-04-24</t>
  </si>
  <si>
    <t>start /low /b %USERPROFILE%\Documents\GitHub\eaglep3\Utilities\DownloadLogsFromS3.py --loco 4054 --day 2017-04-24</t>
  </si>
  <si>
    <t>start /low /b %USERPROFILE%\Documents\GitHub\eaglep3\Utilities\DownloadLogsFromS3.py --loco 4063 --day 2017-04-24</t>
  </si>
  <si>
    <t>start /low /b %USERPROFILE%\Documents\GitHub\eaglep3\Utilities\DownloadLogsFromS3.py --loco 4064 --day 2017-04-25</t>
  </si>
  <si>
    <t>Onboard in-route failure</t>
  </si>
  <si>
    <t>TMDS bulletin retrieval failure</t>
  </si>
  <si>
    <t>http://stevetu21.github.io/eaglep3/load_kml.html?kml=http://rtdc.gmaps-snips.s3.amazonaws.com/1336d499-3195-455f-bb14-8a90658c75d9.kml</t>
  </si>
  <si>
    <t>DUS 28S STOP</t>
  </si>
  <si>
    <t>Early arrival; operator given 5 seconds of warning</t>
  </si>
  <si>
    <t>Early arrival; 40s programmed station dwell time - 37s actual station dwell time = early arrival by 3s</t>
  </si>
  <si>
    <t>Early arrival; 40s programmed station dwell time - 35s actual station dwell time = early arrival by 5s</t>
  </si>
  <si>
    <t>:.+((SYSTEM_STATE.+slice.+state.+changed )|(ment ac)|(multiple cpu faults)|(system.+state.+changed )|(\[timeout)|(PRM\|1\|D)|(kpr)|(kdp)|(train.+moving)|(\|lc)|(penalty))</t>
  </si>
  <si>
    <t>Early arrival; 40s programmed station dwell time - 33s actual station dwell time = early arrival by 7s</t>
  </si>
  <si>
    <t>Early arrival; accelerated before clearing crossing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</si>
</sst>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1" xfId="0" applyNumberForma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8"/>
  <sheetViews>
    <sheetView topLeftCell="A10" zoomScaleNormal="100" workbookViewId="0">
      <selection activeCell="V19" sqref="V17:V19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5" customWidth="1"/>
    <col min="20" max="20" width="3.85546875" style="168" customWidth="1"/>
    <col min="21" max="21" width="5" style="168" customWidth="1"/>
    <col min="22" max="22" width="5.7109375" style="194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3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42849</v>
      </c>
      <c r="J2" s="61"/>
      <c r="K2" s="62"/>
      <c r="L2" s="62"/>
      <c r="M2" s="63" t="s">
        <v>8</v>
      </c>
      <c r="N2" s="64"/>
      <c r="O2" s="65"/>
      <c r="P2" s="2"/>
      <c r="R2" s="170">
        <f>Variables!$A$2</f>
        <v>42849</v>
      </c>
      <c r="S2" s="198"/>
      <c r="T2" s="171"/>
      <c r="U2" s="171"/>
      <c r="V2" s="172" t="s">
        <v>8</v>
      </c>
      <c r="W2" s="173"/>
      <c r="X2" s="174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5" t="s">
        <v>10</v>
      </c>
      <c r="S3" s="199"/>
      <c r="T3" s="176"/>
      <c r="U3" s="176"/>
      <c r="V3" s="177" t="s">
        <v>11</v>
      </c>
      <c r="W3" s="178" t="s">
        <v>12</v>
      </c>
      <c r="X3" s="179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33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8" t="s">
        <v>14</v>
      </c>
      <c r="S4" s="200">
        <f>SUM(S5:S7)</f>
        <v>47</v>
      </c>
      <c r="T4" s="180"/>
      <c r="U4" s="180"/>
      <c r="V4" s="177" t="s">
        <v>15</v>
      </c>
      <c r="W4" s="178" t="s">
        <v>15</v>
      </c>
      <c r="X4" s="179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COUNTIFS($N$13:$N$9337,"&gt;0",$AG$13:$AG$9337,I1)</f>
        <v>131</v>
      </c>
      <c r="K5" s="39"/>
      <c r="L5" s="39"/>
      <c r="M5" s="40">
        <f>AVERAGEIFS($N$13:$N$9337,$AG$13:$AG$9337,I1)</f>
        <v>38.761323155605993</v>
      </c>
      <c r="N5" s="38">
        <f t="array" ref="N5">MIN(IF($AG$13:$AG$9337=I1,IF(ISNUMBER($N$13:$N$9337),IF($N$13:$N$9337&gt;0,$N$13:$N$9337))))</f>
        <v>34.61666667019017</v>
      </c>
      <c r="O5" s="3">
        <f t="array" ref="O5">MAX(IF($AG$13:$AG$9337=I1,IF(ISNUMBER($N$13:$N$9337),IF($N$13:$N$9337&gt;0,$N$13:$N$9337))))</f>
        <v>44.01666666730307</v>
      </c>
      <c r="P5" s="2"/>
      <c r="R5" s="178" t="s">
        <v>17</v>
      </c>
      <c r="S5" s="200">
        <f>COUNTIFS($N$13:$N$9337,"&gt;0",$AG$13:$AG$9337,R1)</f>
        <v>47</v>
      </c>
      <c r="T5" s="180"/>
      <c r="U5" s="180"/>
      <c r="V5" s="177">
        <f>AVERAGEIFS($N$13:$N$9337,$AG$13:$AG$9337,R1)</f>
        <v>15.05460993010313</v>
      </c>
      <c r="W5" s="178">
        <f t="array" ref="W5">MIN(IF($AG$13:$AG$9337=R1,IF(ISNUMBER($N$13:$N$9337),IF($N$13:$N$9337&gt;0,$N$13:$N$9337))))</f>
        <v>12.433333337539807</v>
      </c>
      <c r="X5" s="179">
        <f t="array" ref="X5">MAX(IF($AG$13:$AG$9337=R1,IF(ISNUMBER($N$13:$N$9337),IF($N$13:$N$9337&gt;0,$N$13:$N$9337))))</f>
        <v>19.666666674893349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COUNT($O$13:$O$119)</f>
        <v>0</v>
      </c>
      <c r="K6" s="39"/>
      <c r="L6" s="39"/>
      <c r="M6" s="40">
        <f>IFERROR(AVERAGE($O$13:$O$119),0)</f>
        <v>0</v>
      </c>
      <c r="N6" s="38">
        <f>MIN($O$13:$O$119)</f>
        <v>0</v>
      </c>
      <c r="O6" s="3">
        <f>MAX($O$13:$O$119)</f>
        <v>0</v>
      </c>
      <c r="P6" s="2"/>
      <c r="R6" s="181" t="s">
        <v>43</v>
      </c>
      <c r="S6" s="200">
        <f>COUNT($O$13:$O$119)</f>
        <v>0</v>
      </c>
      <c r="T6" s="180"/>
      <c r="U6" s="180"/>
      <c r="V6" s="177">
        <f>IFERROR(AVERAGE($O$13:$O$119),0)</f>
        <v>0</v>
      </c>
      <c r="W6" s="178">
        <f>MIN($O$13:$O$119)</f>
        <v>0</v>
      </c>
      <c r="X6" s="179">
        <f>MAX($O$13:$O$119)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COUNTIFS($P$13:$P$9337,"&gt;0",$AG$13:$AG$9337,I1)</f>
        <v>13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2" t="s">
        <v>9</v>
      </c>
      <c r="S7" s="200">
        <f>COUNTIFS($P$13:$P$9337,"&gt;0",$AG$13:$AG$9337,R1)</f>
        <v>0</v>
      </c>
      <c r="T7" s="180"/>
      <c r="U7" s="180"/>
      <c r="V7" s="177" t="s">
        <v>15</v>
      </c>
      <c r="W7" s="178" t="s">
        <v>15</v>
      </c>
      <c r="X7" s="179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131</v>
      </c>
      <c r="K8" s="39"/>
      <c r="L8" s="39"/>
      <c r="M8" s="40">
        <f>M5</f>
        <v>38.761323155605993</v>
      </c>
      <c r="N8" s="38">
        <f>N5</f>
        <v>34.61666667019017</v>
      </c>
      <c r="O8" s="3">
        <f>O5</f>
        <v>44.01666666730307</v>
      </c>
      <c r="P8" s="2"/>
      <c r="R8" s="178" t="s">
        <v>16</v>
      </c>
      <c r="S8" s="200">
        <f>S5</f>
        <v>47</v>
      </c>
      <c r="T8" s="180"/>
      <c r="U8" s="180"/>
      <c r="V8" s="177">
        <f>V5</f>
        <v>15.05460993010313</v>
      </c>
      <c r="W8" s="178">
        <f>W5</f>
        <v>12.433333337539807</v>
      </c>
      <c r="X8" s="179">
        <f>X5</f>
        <v>19.666666674893349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0.90972222222222221</v>
      </c>
      <c r="K9" s="41"/>
      <c r="L9" s="41"/>
      <c r="M9" s="72"/>
      <c r="N9" s="36"/>
      <c r="O9" s="73"/>
      <c r="P9" s="2"/>
      <c r="R9" s="178" t="s">
        <v>19</v>
      </c>
      <c r="S9" s="204">
        <f>S8/S4</f>
        <v>1</v>
      </c>
      <c r="T9" s="166"/>
      <c r="U9" s="166"/>
      <c r="V9" s="184"/>
      <c r="W9" s="166"/>
      <c r="X9" s="185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1"/>
      <c r="T10" s="168"/>
      <c r="U10" s="168"/>
      <c r="V10" s="186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5" t="str">
        <f>"Eagle P3 System Performance - "&amp;TEXT(Variables!A2,"yyyy-mm-dd")</f>
        <v>Eagle P3 System Performance - 2017-04-24</v>
      </c>
      <c r="B11" s="205"/>
      <c r="C11" s="205"/>
      <c r="D11" s="205"/>
      <c r="E11" s="205"/>
      <c r="F11" s="205"/>
      <c r="G11" s="205"/>
      <c r="H11" s="205"/>
      <c r="I11" s="205"/>
      <c r="J11" s="205"/>
      <c r="K11" s="205"/>
      <c r="L11" s="205"/>
      <c r="M11" s="205"/>
      <c r="N11" s="205"/>
      <c r="O11" s="205"/>
      <c r="P11" s="205"/>
      <c r="S11" s="201">
        <f>AVERAGE(S13:S91)</f>
        <v>0.86075949367088611</v>
      </c>
      <c r="V11" s="186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7" t="s">
        <v>24</v>
      </c>
      <c r="S12" s="196" t="s">
        <v>63</v>
      </c>
      <c r="T12" s="188" t="s">
        <v>64</v>
      </c>
      <c r="U12" s="188" t="s">
        <v>65</v>
      </c>
      <c r="V12" s="189" t="s">
        <v>45</v>
      </c>
      <c r="W12" s="190" t="s">
        <v>23</v>
      </c>
      <c r="X12" s="190" t="s">
        <v>48</v>
      </c>
      <c r="Y12" s="190" t="s">
        <v>20</v>
      </c>
      <c r="Z12" s="190" t="s">
        <v>21</v>
      </c>
      <c r="AA12" s="190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200</v>
      </c>
      <c r="AN12" s="46" t="s">
        <v>380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589</v>
      </c>
      <c r="B13" s="7">
        <v>4024</v>
      </c>
      <c r="C13" s="21" t="s">
        <v>212</v>
      </c>
      <c r="D13" s="21" t="s">
        <v>787</v>
      </c>
      <c r="E13" s="13">
        <v>42849.132395833331</v>
      </c>
      <c r="F13" s="13">
        <v>42849.135659722226</v>
      </c>
      <c r="G13" s="7">
        <v>1</v>
      </c>
      <c r="H13" s="21" t="s">
        <v>788</v>
      </c>
      <c r="I13" s="13">
        <v>42849.162268518521</v>
      </c>
      <c r="J13" s="7">
        <v>0</v>
      </c>
      <c r="K13" s="92" t="str">
        <f t="shared" ref="K13:K33" si="0">IF(ISEVEN(B13),(B13-1)&amp;"/"&amp;B13,B13&amp;"/"&amp;(B13+1))</f>
        <v>4023/4024</v>
      </c>
      <c r="L13" s="21" t="str">
        <f>VLOOKUP(A13,'Trips&amp;Operators'!$C$1:$G$99999,5,FALSE)</f>
        <v>FORTUNATO FRANK</v>
      </c>
      <c r="M13" s="6">
        <f t="shared" ref="M13:M33" si="1">I13-F13</f>
        <v>2.6608796295477077E-2</v>
      </c>
      <c r="N13" s="7">
        <f t="shared" ref="N13:N29" si="2">24*60*SUM($M13:$M13)</f>
        <v>38.316666665486991</v>
      </c>
      <c r="O13" s="7"/>
      <c r="P13" s="7"/>
      <c r="Q13" s="22"/>
      <c r="R13" s="191"/>
      <c r="S13" s="197">
        <f t="shared" ref="S13:S33" si="3">SUM(U13:U13)/IF(AG13="EC",12,1)</f>
        <v>1</v>
      </c>
      <c r="T13" s="191" t="str">
        <f t="shared" ref="T13:T33" si="4">IF(ISEVEN(LEFT(AD13,4)),"Southbound","NorthBound")</f>
        <v>NorthBound</v>
      </c>
      <c r="U13" s="19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2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-24T02:10:39-0600',mode:absolute,to:'2017-04-24T04:53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" s="193" t="str">
        <f t="shared" ref="W13:W33" si="6">IF(AA13&lt;IF(AG13="EC",23,5.65),"Y","N")</f>
        <v>N</v>
      </c>
      <c r="X13" s="193" t="e">
        <f>VALUE(LEFT(AD13,4))-VALUE(LEFT(AD12,4))</f>
        <v>#VALUE!</v>
      </c>
      <c r="Y13" s="193">
        <f t="shared" ref="Y13:Y29" si="7">RIGHT(D13,LEN(D13)-4)/10000</f>
        <v>7.1300000000000002E-2</v>
      </c>
      <c r="Z13" s="193">
        <f t="shared" ref="Z13:Z29" si="8">RIGHT(H13,LEN(H13)-4)/10000</f>
        <v>23.3293</v>
      </c>
      <c r="AA13" s="193">
        <f t="shared" ref="AA13:AA33" si="9">ABS(Z13-Y13)</f>
        <v>23.257999999999999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33" si="10">IF(LEN(A13)=6,"0"&amp;A13,A13)</f>
        <v>0101-24</v>
      </c>
      <c r="AE13" s="80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s3://rtdc.mdm.uploadarchive.raw/RTDC4024/ "%USERPROFILE%\AppData\Local\Temp\OnboardLogs"\RTDC4024\2017-04-24 --exclude "*" --recursive --include "*20170424*" &amp; "%USERPROFILE%\Documents\GitHub\mrs-test-scripts\Headless Mode &amp; Sideloading\WalkAndUnGZ.bat" "%USERPROFILE%\AppData\Local\Temp\OnboardLogs"\RTDC4024\2017-04-24 &amp; aws s3 cp s3://rtdc.mdm.uploadarchive.raw/RTDC4024/ "%USERPROFILE%\AppData\Local\Temp\OnboardLogs"\RTDC4024\2017-04-25 --exclude "*" --recursive --include "*20170425*" &amp; "%USERPROFILE%\Documents\GitHub\mrs-test-scripts\Headless Mode &amp; Sideloading\WalkAndUnGZ.bat" "%USERPROFILE%\AppData\Local\Temp\OnboardLogs"\RTDC4024\2017-04-25</v>
      </c>
      <c r="AF13" s="77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/stypes="app*4024*20170424*" /stext=" 09:.+((SYSTEM_STATE.+slice.+state.+changed )|(ment ac)|(multiple cpu faults)|(system.+state.+changed )|(\[timeout)|(PRM\|1\|D)|(kpr)|(kdp)|(train.+moving)|(\|lc)|(penalty))"</v>
      </c>
      <c r="AG13" s="1" t="str">
        <f t="shared" ref="AG13:AG33" si="13">IFERROR(IF(VALUE(LEFT(AD13,2))&lt;=2,"EC",IF(OR(VALUE(LEFT(AD13,2))=8,VALUE(LEFT(AD13,2))=18),"NW","Other")),"Other")</f>
        <v>EC</v>
      </c>
      <c r="AH13" s="81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101-24 --locoid 4024 --swversion DE.1.0.9.0 --startMP 204:713 --initTime 2017-04-24T03:10:39 --startdatetime 2017-04-24T03:15:21 --delay 1 --endMP 204:233293 --enddatetime 2017-04-24T03:53:40 --enforcementcount 0 &gt;&gt;C:\Users\stu\Documents\GitHub\eaglep3-reporting\EC\2017-04-24-refined-times.txt</v>
      </c>
      <c r="AI13" s="99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{"issue":{"subject":"","project_id":79,"tracker_id":40,"status_id":1,"priority_id":2,"assigned_to_id":23,"start_date":"2017-04-24","description":"","custom_fields":[{"id":1,"name":"Subdivision","value":"EC"},{"id":4,"name":"Milepost","value":"23.3293"},{"id":17,"name":"Train ID","value":"101-24"},{"id":16,"name":"Locomotive ID","value":"4024"},{"id":130,"name":"Impact","value":""},{"id":150,"name":"Time of Event (Mountain Time)","value":"03:53:40"},{"id":151,"name":"Denver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6">"start /low /b "&amp;dls3logs&amp;" --loco "&amp;B13&amp;" --day "&amp;TEXT(F13,"YYYY-MM-DD")</f>
        <v>start /low /b %USERPROFILE%\Documents\GitHub\eaglep3\Utilities\DownloadLogsFromS3.py --loco 4024 --day 2017-04-24</v>
      </c>
      <c r="AN13" s="154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09:53:40"},{"id":29,"name":"Sharepoint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595</v>
      </c>
      <c r="B14" s="7">
        <v>4009</v>
      </c>
      <c r="C14" s="21" t="s">
        <v>212</v>
      </c>
      <c r="D14" s="21" t="s">
        <v>789</v>
      </c>
      <c r="E14" s="13">
        <v>42849.172349537039</v>
      </c>
      <c r="F14" s="13">
        <v>42849.17454861111</v>
      </c>
      <c r="G14" s="7">
        <v>1</v>
      </c>
      <c r="H14" s="21" t="s">
        <v>197</v>
      </c>
      <c r="I14" s="13">
        <v>42849.20511574074</v>
      </c>
      <c r="J14" s="7">
        <v>0</v>
      </c>
      <c r="K14" s="92" t="str">
        <f t="shared" si="0"/>
        <v>4009/4010</v>
      </c>
      <c r="L14" s="21" t="str">
        <f>VLOOKUP(A14,'Trips&amp;Operators'!$C$1:$G$99999,5,FALSE)</f>
        <v>FORTUNATO FRANK</v>
      </c>
      <c r="M14" s="6">
        <f t="shared" si="1"/>
        <v>3.0567129630071577E-2</v>
      </c>
      <c r="N14" s="7">
        <f t="shared" si="2"/>
        <v>44.01666666730307</v>
      </c>
      <c r="O14" s="7"/>
      <c r="P14" s="7"/>
      <c r="Q14" s="22"/>
      <c r="R14" s="191"/>
      <c r="S14" s="197">
        <f t="shared" si="3"/>
        <v>1</v>
      </c>
      <c r="T14" s="191" t="str">
        <f t="shared" si="4"/>
        <v>Southbound</v>
      </c>
      <c r="U14" s="19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2" t="str">
        <f t="shared" si="5"/>
        <v>https://d0f6bd738d7f1b3e5a7ca70fe4ff75f0.us-east-1.aws.found.io/app/kibana#/discover/Steve-Slow-Train-Analysis-(2080s-and-2083s)?_g=(refreshInterval:(display:Off,pause:!f,section:0,value:0),time:(from:'2017-04-24T03:08:11-0600',mode:absolute,to:'2017-04-24T05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" s="193" t="str">
        <f t="shared" si="6"/>
        <v>N</v>
      </c>
      <c r="X14" s="193">
        <f>VALUE(LEFT(AD14,4))-VALUE(LEFT(AD13,4))</f>
        <v>1</v>
      </c>
      <c r="Y14" s="193">
        <f t="shared" si="7"/>
        <v>23.2651</v>
      </c>
      <c r="Z14" s="193">
        <f t="shared" si="8"/>
        <v>1.52E-2</v>
      </c>
      <c r="AA14" s="193">
        <f t="shared" si="9"/>
        <v>23.2499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0"/>
        <v>0102-24</v>
      </c>
      <c r="AE14" s="80" t="str">
        <f t="shared" si="11"/>
        <v>aws s3 cp s3://rtdc.mdm.uploadarchive.raw/RTDC4009/ "%USERPROFILE%\AppData\Local\Temp\OnboardLogs"\RTDC4009\2017-04-24 --exclude "*" --recursive --include "*20170424*" &amp; "%USERPROFILE%\Documents\GitHub\mrs-test-scripts\Headless Mode &amp; Sideloading\WalkAndUnGZ.bat" "%USERPROFILE%\AppData\Local\Temp\OnboardLogs"\RTDC4009\2017-04-24 &amp; aws s3 cp s3://rtdc.mdm.uploadarchive.raw/RTDC4009/ "%USERPROFILE%\AppData\Local\Temp\OnboardLogs"\RTDC4009\2017-04-25 --exclude "*" --recursive --include "*20170425*" &amp; "%USERPROFILE%\Documents\GitHub\mrs-test-scripts\Headless Mode &amp; Sideloading\WalkAndUnGZ.bat" "%USERPROFILE%\AppData\Local\Temp\OnboardLogs"\RTDC4009\2017-04-25</v>
      </c>
      <c r="AF14" s="77" t="str">
        <f t="shared" si="12"/>
        <v>"C:\Program Files (x86)\AstroGrep\AstroGrep.exe" /e /r /s /spath="%USERPROFILE%\AppData\Local\Temp\OnboardLogs" /stypes="app*4009*20170424*" /stext=" 10:.+((SYSTEM_STATE.+slice.+state.+changed )|(ment ac)|(multiple cpu faults)|(system.+state.+changed )|(\[timeout)|(PRM\|1\|D)|(kpr)|(kdp)|(train.+moving)|(\|lc)|(penalty))"</v>
      </c>
      <c r="AG14" s="1" t="str">
        <f t="shared" si="13"/>
        <v>EC</v>
      </c>
      <c r="AH14" s="81" t="str">
        <f t="shared" ref="AH14:AH8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102-24 --locoid 4009 --swversion DE.1.0.9.0 --startMP 204:232651 --initTime 2017-04-24T04:08:11 --startdatetime 2017-04-24T04:11:21 --delay 1 --endMP 204:152 --enddatetime 2017-04-24T04:55:22 --enforcementcount 0 &gt;&gt;C:\Users\stu\Documents\GitHub\eaglep3-reporting\EC\2017-04-24-refined-times.txt</v>
      </c>
      <c r="AI14" s="99" t="str">
        <f t="shared" ref="AI14:AI8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{"issue":{"subject":"","project_id":79,"tracker_id":40,"status_id":1,"priority_id":2,"assigned_to_id":23,"start_date":"2017-04-24","description":"","custom_fields":[{"id":1,"name":"Subdivision","value":"EC"},{"id":4,"name":"Milepost","value":"0.0152"},{"id":17,"name":"Train ID","value":"102-24"},{"id":16,"name":"Locomotive ID","value":"4009"},{"id":130,"name":"Impact","value":""},{"id":150,"name":"Time of Event (Mountain Time)","value":"04:55:22"},{"id":151,"name":"Denver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87" si="20">"start /low /b "&amp;dls3logs&amp;" --loco "&amp;B14&amp;" --day "&amp;TEXT(F14,"YYYY-MM-DD")</f>
        <v>start /low /b %USERPROFILE%\Documents\GitHub\eaglep3\Utilities\DownloadLogsFromS3.py --loco 4009 --day 2017-04-24</v>
      </c>
      <c r="AN14" s="154" t="str">
        <f t="shared" ref="AN14:AN8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10:55:22"},{"id":29,"name":"Sharepoint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591</v>
      </c>
      <c r="B15" s="7">
        <v>4040</v>
      </c>
      <c r="C15" s="21" t="s">
        <v>212</v>
      </c>
      <c r="D15" s="21" t="s">
        <v>790</v>
      </c>
      <c r="E15" s="13">
        <v>42849.150416666664</v>
      </c>
      <c r="F15" s="13">
        <v>42849.1565162037</v>
      </c>
      <c r="G15" s="7">
        <v>1</v>
      </c>
      <c r="H15" s="21" t="s">
        <v>791</v>
      </c>
      <c r="I15" s="13">
        <v>42849.181712962964</v>
      </c>
      <c r="J15" s="7">
        <v>0</v>
      </c>
      <c r="K15" s="92" t="str">
        <f t="shared" si="0"/>
        <v>4039/4040</v>
      </c>
      <c r="L15" s="21" t="str">
        <f>VLOOKUP(A15,'Trips&amp;Operators'!$C$1:$G$99999,5,FALSE)</f>
        <v>MAELZER KURT</v>
      </c>
      <c r="M15" s="6">
        <f t="shared" si="1"/>
        <v>2.5196759263053536E-2</v>
      </c>
      <c r="N15" s="7">
        <f t="shared" si="2"/>
        <v>36.283333338797092</v>
      </c>
      <c r="O15" s="7"/>
      <c r="P15" s="7"/>
      <c r="Q15" s="22"/>
      <c r="R15" s="191"/>
      <c r="S15" s="197">
        <f t="shared" si="3"/>
        <v>1</v>
      </c>
      <c r="T15" s="191" t="str">
        <f t="shared" si="4"/>
        <v>NorthBound</v>
      </c>
      <c r="U15" s="19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2" t="str">
        <f t="shared" si="5"/>
        <v>https://d0f6bd738d7f1b3e5a7ca70fe4ff75f0.us-east-1.aws.found.io/app/kibana#/discover/Steve-Slow-Train-Analysis-(2080s-and-2083s)?_g=(refreshInterval:(display:Off,pause:!f,section:0,value:0),time:(from:'2017-04-24T02:36:36-0600',mode:absolute,to:'2017-04-24T05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" s="193" t="str">
        <f t="shared" si="6"/>
        <v>N</v>
      </c>
      <c r="X15" s="193">
        <f>VALUE(LEFT(AD15,4))-VALUE(LEFT(AD14,4))</f>
        <v>1</v>
      </c>
      <c r="Y15" s="193">
        <f t="shared" si="7"/>
        <v>7.6499999999999999E-2</v>
      </c>
      <c r="Z15" s="193">
        <f t="shared" si="8"/>
        <v>23.3325</v>
      </c>
      <c r="AA15" s="193">
        <f t="shared" si="9"/>
        <v>23.256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0"/>
        <v>0103-24</v>
      </c>
      <c r="AE15" s="80" t="str">
        <f t="shared" si="11"/>
        <v>aws s3 cp s3://rtdc.mdm.uploadarchive.raw/RTDC4040/ "%USERPROFILE%\AppData\Local\Temp\OnboardLogs"\RTDC4040\2017-04-24 --exclude "*" --recursive --include "*20170424*" &amp; "%USERPROFILE%\Documents\GitHub\mrs-test-scripts\Headless Mode &amp; Sideloading\WalkAndUnGZ.bat" "%USERPROFILE%\AppData\Local\Temp\OnboardLogs"\RTDC4040\2017-04-24 &amp; aws s3 cp s3://rtdc.mdm.uploadarchive.raw/RTDC4040/ "%USERPROFILE%\AppData\Local\Temp\OnboardLogs"\RTDC4040\2017-04-25 --exclude "*" --recursive --include "*20170425*" &amp; "%USERPROFILE%\Documents\GitHub\mrs-test-scripts\Headless Mode &amp; Sideloading\WalkAndUnGZ.bat" "%USERPROFILE%\AppData\Local\Temp\OnboardLogs"\RTDC4040\2017-04-25</v>
      </c>
      <c r="AF15" s="77" t="str">
        <f t="shared" si="12"/>
        <v>"C:\Program Files (x86)\AstroGrep\AstroGrep.exe" /e /r /s /spath="%USERPROFILE%\AppData\Local\Temp\OnboardLogs" /stypes="app*4040*20170424*" /stext=" 10:.+((SYSTEM_STATE.+slice.+state.+changed )|(ment ac)|(multiple cpu faults)|(system.+state.+changed )|(\[timeout)|(PRM\|1\|D)|(kpr)|(kdp)|(train.+moving)|(\|lc)|(penalty))"</v>
      </c>
      <c r="AG15" s="1" t="str">
        <f t="shared" si="13"/>
        <v>EC</v>
      </c>
      <c r="AH15" s="81" t="str">
        <f t="shared" si="18"/>
        <v>"%USERPROFILE%\Documents\GitHub\eaglep3\Utilities\RefineRTDCRunTimes.py" --tripid 103-24 --locoid 4040 --swversion DE.1.0.9.0 --startMP 204:765 --initTime 2017-04-24T03:36:36 --startdatetime 2017-04-24T03:45:23 --delay 1 --endMP 204:233325 --enddatetime 2017-04-24T04:21:40 --enforcementcount 0 &gt;&gt;C:\Users\stu\Documents\GitHub\eaglep3-reporting\EC\2017-04-24-refined-times.txt</v>
      </c>
      <c r="AI15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{"issue":{"subject":"","project_id":79,"tracker_id":40,"status_id":1,"priority_id":2,"assigned_to_id":23,"start_date":"2017-04-24","description":"","custom_fields":[{"id":1,"name":"Subdivision","value":"EC"},{"id":4,"name":"Milepost","value":"23.3325"},{"id":17,"name":"Train ID","value":"103-24"},{"id":16,"name":"Locomotive ID","value":"4040"},{"id":130,"name":"Impact","value":""},{"id":150,"name":"Time of Event (Mountain Time)","value":"04:21:40"},{"id":151,"name":"Denver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0"/>
        <v>start /low /b %USERPROFILE%\Documents\GitHub\eaglep3\Utilities\DownloadLogsFromS3.py --loco 4040 --day 2017-04-24</v>
      </c>
      <c r="AN15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10:21:40"},{"id":29,"name":"Sharepoint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545</v>
      </c>
      <c r="B16" s="7">
        <v>4011</v>
      </c>
      <c r="C16" s="21" t="s">
        <v>212</v>
      </c>
      <c r="D16" s="21" t="s">
        <v>514</v>
      </c>
      <c r="E16" s="13">
        <v>42849.197384259256</v>
      </c>
      <c r="F16" s="13">
        <v>42849.200196759259</v>
      </c>
      <c r="G16" s="7">
        <v>1</v>
      </c>
      <c r="H16" s="21" t="s">
        <v>792</v>
      </c>
      <c r="I16" s="13">
        <v>42849.228125000001</v>
      </c>
      <c r="J16" s="7">
        <v>0</v>
      </c>
      <c r="K16" s="92" t="str">
        <f t="shared" si="0"/>
        <v>4011/4012</v>
      </c>
      <c r="L16" s="21" t="str">
        <f>VLOOKUP(A16,'Trips&amp;Operators'!$C$1:$G$99999,5,FALSE)</f>
        <v>MAELZER KURT</v>
      </c>
      <c r="M16" s="6">
        <f t="shared" si="1"/>
        <v>2.792824074276723E-2</v>
      </c>
      <c r="N16" s="7">
        <f t="shared" si="2"/>
        <v>40.216666669584811</v>
      </c>
      <c r="O16" s="7"/>
      <c r="P16" s="7"/>
      <c r="Q16" s="22"/>
      <c r="R16" s="191"/>
      <c r="S16" s="197">
        <f t="shared" si="3"/>
        <v>1</v>
      </c>
      <c r="T16" s="191" t="str">
        <f t="shared" si="4"/>
        <v>Southbound</v>
      </c>
      <c r="U16" s="19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2" t="str">
        <f t="shared" si="5"/>
        <v>https://d0f6bd738d7f1b3e5a7ca70fe4ff75f0.us-east-1.aws.found.io/app/kibana#/discover/Steve-Slow-Train-Analysis-(2080s-and-2083s)?_g=(refreshInterval:(display:Off,pause:!f,section:0,value:0),time:(from:'2017-04-24T03:44:14-0600',mode:absolute,to:'2017-04-24T06:28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" s="193" t="str">
        <f t="shared" si="6"/>
        <v>N</v>
      </c>
      <c r="X16" s="193">
        <f t="shared" ref="X16:X18" si="22">VALUE(LEFT(AD16,4))-VALUE(LEFT(AD15,4))</f>
        <v>1</v>
      </c>
      <c r="Y16" s="193">
        <f t="shared" si="7"/>
        <v>23.267900000000001</v>
      </c>
      <c r="Z16" s="193">
        <f t="shared" si="8"/>
        <v>1.5599999999999999E-2</v>
      </c>
      <c r="AA16" s="193">
        <f t="shared" si="9"/>
        <v>23.252300000000002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0"/>
        <v>0104-24</v>
      </c>
      <c r="AE16" s="80" t="str">
        <f t="shared" si="11"/>
        <v>aws s3 cp s3://rtdc.mdm.uploadarchive.raw/RTDC4011/ "%USERPROFILE%\AppData\Local\Temp\OnboardLogs"\RTDC4011\2017-04-24 --exclude "*" --recursive --include "*20170424*" &amp; "%USERPROFILE%\Documents\GitHub\mrs-test-scripts\Headless Mode &amp; Sideloading\WalkAndUnGZ.bat" "%USERPROFILE%\AppData\Local\Temp\OnboardLogs"\RTDC4011\2017-04-24 &amp; aws s3 cp s3://rtdc.mdm.uploadarchive.raw/RTDC4011/ "%USERPROFILE%\AppData\Local\Temp\OnboardLogs"\RTDC4011\2017-04-25 --exclude "*" --recursive --include "*20170425*" &amp; "%USERPROFILE%\Documents\GitHub\mrs-test-scripts\Headless Mode &amp; Sideloading\WalkAndUnGZ.bat" "%USERPROFILE%\AppData\Local\Temp\OnboardLogs"\RTDC4011\2017-04-25</v>
      </c>
      <c r="AF16" s="77" t="str">
        <f t="shared" si="12"/>
        <v>"C:\Program Files (x86)\AstroGrep\AstroGrep.exe" /e /r /s /spath="%USERPROFILE%\AppData\Local\Temp\OnboardLogs" /stypes="app*4011*20170424*" /stext=" 11:.+((SYSTEM_STATE.+slice.+state.+changed )|(ment ac)|(multiple cpu faults)|(system.+state.+changed )|(\[timeout)|(PRM\|1\|D)|(kpr)|(kdp)|(train.+moving)|(\|lc)|(penalty))"</v>
      </c>
      <c r="AG16" s="1" t="str">
        <f t="shared" si="13"/>
        <v>EC</v>
      </c>
      <c r="AH16" s="81" t="str">
        <f t="shared" si="18"/>
        <v>"%USERPROFILE%\Documents\GitHub\eaglep3\Utilities\RefineRTDCRunTimes.py" --tripid 104-24 --locoid 4011 --swversion DE.1.0.9.0 --startMP 204:232679 --initTime 2017-04-24T04:44:14 --startdatetime 2017-04-24T04:48:17 --delay 1 --endMP 204:156 --enddatetime 2017-04-24T05:28:30 --enforcementcount 0 &gt;&gt;C:\Users\stu\Documents\GitHub\eaglep3-reporting\EC\2017-04-24-refined-times.txt</v>
      </c>
      <c r="AI16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{"issue":{"subject":"","project_id":79,"tracker_id":40,"status_id":1,"priority_id":2,"assigned_to_id":23,"start_date":"2017-04-24","description":"","custom_fields":[{"id":1,"name":"Subdivision","value":"EC"},{"id":4,"name":"Milepost","value":"0.0156"},{"id":17,"name":"Train ID","value":"104-24"},{"id":16,"name":"Locomotive ID","value":"4011"},{"id":130,"name":"Impact","value":""},{"id":150,"name":"Time of Event (Mountain Time)","value":"05:28:30"},{"id":151,"name":"Denver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0"/>
        <v>start /low /b %USERPROFILE%\Documents\GitHub\eaglep3\Utilities\DownloadLogsFromS3.py --loco 4011 --day 2017-04-24</v>
      </c>
      <c r="AN16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11:28:30"},{"id":29,"name":"Sharepoint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598</v>
      </c>
      <c r="B17" s="7">
        <v>4018</v>
      </c>
      <c r="C17" s="21" t="s">
        <v>212</v>
      </c>
      <c r="D17" s="21" t="s">
        <v>793</v>
      </c>
      <c r="E17" s="13">
        <v>42849.172731481478</v>
      </c>
      <c r="F17" s="13">
        <v>42849.177314814813</v>
      </c>
      <c r="G17" s="7">
        <v>1</v>
      </c>
      <c r="H17" s="21" t="s">
        <v>527</v>
      </c>
      <c r="I17" s="13">
        <v>42849.206516203703</v>
      </c>
      <c r="J17" s="7">
        <v>0</v>
      </c>
      <c r="K17" s="92" t="str">
        <f t="shared" si="0"/>
        <v>4017/4018</v>
      </c>
      <c r="L17" s="21" t="str">
        <f>VLOOKUP(A17,'Trips&amp;Operators'!$C$1:$G$99999,5,FALSE)</f>
        <v>STARKS ANGELINA</v>
      </c>
      <c r="M17" s="6">
        <f t="shared" si="1"/>
        <v>2.920138889021473E-2</v>
      </c>
      <c r="N17" s="7">
        <f t="shared" si="2"/>
        <v>42.050000001909211</v>
      </c>
      <c r="O17" s="7"/>
      <c r="P17" s="7"/>
      <c r="Q17" s="22"/>
      <c r="R17" s="191"/>
      <c r="S17" s="197">
        <f t="shared" si="3"/>
        <v>1</v>
      </c>
      <c r="T17" s="191" t="str">
        <f t="shared" si="4"/>
        <v>NorthBound</v>
      </c>
      <c r="U17" s="19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2" t="str">
        <f t="shared" si="5"/>
        <v>https://d0f6bd738d7f1b3e5a7ca70fe4ff75f0.us-east-1.aws.found.io/app/kibana#/discover/Steve-Slow-Train-Analysis-(2080s-and-2083s)?_g=(refreshInterval:(display:Off,pause:!f,section:0,value:0),time:(from:'2017-04-24T03:08:44-0600',mode:absolute,to:'2017-04-24T05:57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" s="193" t="str">
        <f t="shared" si="6"/>
        <v>N</v>
      </c>
      <c r="X17" s="193">
        <f t="shared" si="22"/>
        <v>1</v>
      </c>
      <c r="Y17" s="193">
        <f t="shared" si="7"/>
        <v>7.5200000000000003E-2</v>
      </c>
      <c r="Z17" s="193">
        <f t="shared" si="8"/>
        <v>23.3308</v>
      </c>
      <c r="AA17" s="193">
        <f t="shared" si="9"/>
        <v>23.255600000000001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0"/>
        <v>0105-24</v>
      </c>
      <c r="AE17" s="80" t="str">
        <f t="shared" si="11"/>
        <v>aws s3 cp s3://rtdc.mdm.uploadarchive.raw/RTDC4018/ "%USERPROFILE%\AppData\Local\Temp\OnboardLogs"\RTDC4018\2017-04-24 --exclude "*" --recursive --include "*20170424*" &amp; "%USERPROFILE%\Documents\GitHub\mrs-test-scripts\Headless Mode &amp; Sideloading\WalkAndUnGZ.bat" "%USERPROFILE%\AppData\Local\Temp\OnboardLogs"\RTDC4018\2017-04-24 &amp; aws s3 cp s3://rtdc.mdm.uploadarchive.raw/RTDC4018/ "%USERPROFILE%\AppData\Local\Temp\OnboardLogs"\RTDC4018\2017-04-25 --exclude "*" --recursive --include "*20170425*" &amp; "%USERPROFILE%\Documents\GitHub\mrs-test-scripts\Headless Mode &amp; Sideloading\WalkAndUnGZ.bat" "%USERPROFILE%\AppData\Local\Temp\OnboardLogs"\RTDC4018\2017-04-25</v>
      </c>
      <c r="AF17" s="77" t="str">
        <f t="shared" si="12"/>
        <v>"C:\Program Files (x86)\AstroGrep\AstroGrep.exe" /e /r /s /spath="%USERPROFILE%\AppData\Local\Temp\OnboardLogs" /stypes="app*4018*20170424*" /stext=" 10:.+((SYSTEM_STATE.+slice.+state.+changed )|(ment ac)|(multiple cpu faults)|(system.+state.+changed )|(\[timeout)|(PRM\|1\|D)|(kpr)|(kdp)|(train.+moving)|(\|lc)|(penalty))"</v>
      </c>
      <c r="AG17" s="1" t="str">
        <f t="shared" si="13"/>
        <v>EC</v>
      </c>
      <c r="AH17" s="81" t="str">
        <f t="shared" si="18"/>
        <v>"%USERPROFILE%\Documents\GitHub\eaglep3\Utilities\RefineRTDCRunTimes.py" --tripid 105-24 --locoid 4018 --swversion DE.1.0.9.0 --startMP 204:752 --initTime 2017-04-24T04:08:44 --startdatetime 2017-04-24T04:15:20 --delay 1 --endMP 204:233308 --enddatetime 2017-04-24T04:57:23 --enforcementcount 0 &gt;&gt;C:\Users\stu\Documents\GitHub\eaglep3-reporting\EC\2017-04-24-refined-times.txt</v>
      </c>
      <c r="AI17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{"issue":{"subject":"","project_id":79,"tracker_id":40,"status_id":1,"priority_id":2,"assigned_to_id":23,"start_date":"2017-04-24","description":"","custom_fields":[{"id":1,"name":"Subdivision","value":"EC"},{"id":4,"name":"Milepost","value":"23.3308"},{"id":17,"name":"Train ID","value":"105-24"},{"id":16,"name":"Locomotive ID","value":"4018"},{"id":130,"name":"Impact","value":""},{"id":150,"name":"Time of Event (Mountain Time)","value":"04:57:23"},{"id":151,"name":"Denver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0"/>
        <v>start /low /b %USERPROFILE%\Documents\GitHub\eaglep3\Utilities\DownloadLogsFromS3.py --loco 4018 --day 2017-04-24</v>
      </c>
      <c r="AN17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10:57:23"},{"id":29,"name":"Sharepoint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605</v>
      </c>
      <c r="B18" s="7">
        <v>4055</v>
      </c>
      <c r="C18" s="21" t="s">
        <v>212</v>
      </c>
      <c r="D18" s="21" t="s">
        <v>794</v>
      </c>
      <c r="E18" s="13">
        <v>42849.216122685182</v>
      </c>
      <c r="F18" s="13">
        <v>42849.21670138889</v>
      </c>
      <c r="G18" s="7">
        <v>0</v>
      </c>
      <c r="H18" s="21" t="s">
        <v>795</v>
      </c>
      <c r="I18" s="13">
        <v>42849.245509259257</v>
      </c>
      <c r="J18" s="7">
        <v>0</v>
      </c>
      <c r="K18" s="92" t="str">
        <f t="shared" si="0"/>
        <v>4055/4056</v>
      </c>
      <c r="L18" s="21" t="str">
        <f>VLOOKUP(A18,'Trips&amp;Operators'!$C$1:$G$99999,5,FALSE)</f>
        <v>STARKS ANGELINA</v>
      </c>
      <c r="M18" s="6">
        <f t="shared" si="1"/>
        <v>2.880787036701804E-2</v>
      </c>
      <c r="N18" s="7">
        <f t="shared" si="2"/>
        <v>41.483333328505978</v>
      </c>
      <c r="O18" s="7"/>
      <c r="P18" s="7"/>
      <c r="Q18" s="22"/>
      <c r="R18" s="191"/>
      <c r="S18" s="197">
        <f t="shared" si="3"/>
        <v>1</v>
      </c>
      <c r="T18" s="191" t="str">
        <f t="shared" si="4"/>
        <v>Southbound</v>
      </c>
      <c r="U18" s="19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2" t="str">
        <f t="shared" si="5"/>
        <v>https://d0f6bd738d7f1b3e5a7ca70fe4ff75f0.us-east-1.aws.found.io/app/kibana#/discover/Steve-Slow-Train-Analysis-(2080s-and-2083s)?_g=(refreshInterval:(display:Off,pause:!f,section:0,value:0),time:(from:'2017-04-24T04:11:13-0600',mode:absolute,to:'2017-04-24T06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" s="193" t="str">
        <f t="shared" si="6"/>
        <v>N</v>
      </c>
      <c r="X18" s="193">
        <f t="shared" si="22"/>
        <v>1</v>
      </c>
      <c r="Y18" s="193">
        <f t="shared" si="7"/>
        <v>23.266200000000001</v>
      </c>
      <c r="Z18" s="193">
        <f t="shared" si="8"/>
        <v>0.22639999999999999</v>
      </c>
      <c r="AA18" s="193">
        <f t="shared" si="9"/>
        <v>23.0398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0"/>
        <v>0106-24</v>
      </c>
      <c r="AE18" s="80" t="str">
        <f t="shared" si="11"/>
        <v>aws s3 cp s3://rtdc.mdm.uploadarchive.raw/RTDC4055/ "%USERPROFILE%\AppData\Local\Temp\OnboardLogs"\RTDC4055\2017-04-24 --exclude "*" --recursive --include "*20170424*" &amp; "%USERPROFILE%\Documents\GitHub\mrs-test-scripts\Headless Mode &amp; Sideloading\WalkAndUnGZ.bat" "%USERPROFILE%\AppData\Local\Temp\OnboardLogs"\RTDC4055\2017-04-24 &amp; aws s3 cp s3://rtdc.mdm.uploadarchive.raw/RTDC4055/ "%USERPROFILE%\AppData\Local\Temp\OnboardLogs"\RTDC4055\2017-04-25 --exclude "*" --recursive --include "*20170425*" &amp; "%USERPROFILE%\Documents\GitHub\mrs-test-scripts\Headless Mode &amp; Sideloading\WalkAndUnGZ.bat" "%USERPROFILE%\AppData\Local\Temp\OnboardLogs"\RTDC4055\2017-04-25</v>
      </c>
      <c r="AF18" s="77" t="str">
        <f t="shared" si="12"/>
        <v>"C:\Program Files (x86)\AstroGrep\AstroGrep.exe" /e /r /s /spath="%USERPROFILE%\AppData\Local\Temp\OnboardLogs" /stypes="app*4055*20170424*" /stext=" 11:.+((SYSTEM_STATE.+slice.+state.+changed )|(ment ac)|(multiple cpu faults)|(system.+state.+changed )|(\[timeout)|(PRM\|1\|D)|(kpr)|(kdp)|(train.+moving)|(\|lc)|(penalty))"</v>
      </c>
      <c r="AG18" s="1" t="str">
        <f t="shared" si="13"/>
        <v>EC</v>
      </c>
      <c r="AH18" s="81" t="str">
        <f t="shared" si="18"/>
        <v>"%USERPROFILE%\Documents\GitHub\eaglep3\Utilities\RefineRTDCRunTimes.py" --tripid 106-24 --locoid 4055 --swversion DE.1.0.9.0 --startMP 204:232662 --initTime 2017-04-24T05:11:13 --startdatetime 2017-04-24T05:12:03 --delay 0 --endMP 204:2264 --enddatetime 2017-04-24T05:53:32 --enforcementcount 0 &gt;&gt;C:\Users\stu\Documents\GitHub\eaglep3-reporting\EC\2017-04-24-refined-times.txt</v>
      </c>
      <c r="AI18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{"issue":{"subject":"","project_id":79,"tracker_id":40,"status_id":1,"priority_id":2,"assigned_to_id":23,"start_date":"2017-04-24","description":"","custom_fields":[{"id":1,"name":"Subdivision","value":"EC"},{"id":4,"name":"Milepost","value":"0.2264"},{"id":17,"name":"Train ID","value":"106-24"},{"id":16,"name":"Locomotive ID","value":"4055"},{"id":130,"name":"Impact","value":""},{"id":150,"name":"Time of Event (Mountain Time)","value":"05:53:32"},{"id":151,"name":"Denver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0"/>
        <v>start /low /b %USERPROFILE%\Documents\GitHub\eaglep3\Utilities\DownloadLogsFromS3.py --loco 4055 --day 2017-04-24</v>
      </c>
      <c r="AN18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11:53:32"},{"id":29,"name":"Sharepoint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600</v>
      </c>
      <c r="B19" s="7">
        <v>4028</v>
      </c>
      <c r="C19" s="21" t="s">
        <v>212</v>
      </c>
      <c r="D19" s="21" t="s">
        <v>416</v>
      </c>
      <c r="E19" s="13">
        <v>42849.184074074074</v>
      </c>
      <c r="F19" s="13">
        <v>42849.187662037039</v>
      </c>
      <c r="G19" s="7">
        <v>0</v>
      </c>
      <c r="H19" s="21" t="s">
        <v>796</v>
      </c>
      <c r="I19" s="13">
        <v>42849.215798611112</v>
      </c>
      <c r="J19" s="7">
        <v>0</v>
      </c>
      <c r="K19" s="92" t="str">
        <f t="shared" si="0"/>
        <v>4027/4028</v>
      </c>
      <c r="L19" s="21" t="str">
        <f>VLOOKUP(A19,'Trips&amp;Operators'!$C$1:$G$99999,5,FALSE)</f>
        <v>BIRENBAUM THOMAS</v>
      </c>
      <c r="M19" s="6">
        <f t="shared" si="1"/>
        <v>2.8136574073869269E-2</v>
      </c>
      <c r="N19" s="7">
        <f t="shared" si="2"/>
        <v>40.516666666371748</v>
      </c>
      <c r="O19" s="7"/>
      <c r="P19" s="7"/>
      <c r="Q19" s="22"/>
      <c r="R19" s="191"/>
      <c r="S19" s="197">
        <f t="shared" si="3"/>
        <v>1</v>
      </c>
      <c r="T19" s="191" t="str">
        <f t="shared" si="4"/>
        <v>NorthBound</v>
      </c>
      <c r="U19" s="19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2" t="str">
        <f t="shared" si="5"/>
        <v>https://d0f6bd738d7f1b3e5a7ca70fe4ff75f0.us-east-1.aws.found.io/app/kibana#/discover/Steve-Slow-Train-Analysis-(2080s-and-2083s)?_g=(refreshInterval:(display:Off,pause:!f,section:0,value:0),time:(from:'2017-04-24T03:25:04-0600',mode:absolute,to:'2017-04-24T06:10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" s="193" t="str">
        <f t="shared" si="6"/>
        <v>N</v>
      </c>
      <c r="X19" s="193">
        <f t="shared" ref="X19:X33" si="23">VALUE(LEFT(AD19,4))-VALUE(LEFT(AD18,4))</f>
        <v>1</v>
      </c>
      <c r="Y19" s="193">
        <f t="shared" si="7"/>
        <v>4.4699999999999997E-2</v>
      </c>
      <c r="Z19" s="193">
        <f t="shared" si="8"/>
        <v>23.328399999999998</v>
      </c>
      <c r="AA19" s="193">
        <f t="shared" si="9"/>
        <v>23.2837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0"/>
        <v>0107-24</v>
      </c>
      <c r="AE19" s="80" t="str">
        <f t="shared" si="11"/>
        <v>aws s3 cp s3://rtdc.mdm.uploadarchive.raw/RTDC4028/ "%USERPROFILE%\AppData\Local\Temp\OnboardLogs"\RTDC4028\2017-04-24 --exclude "*" --recursive --include "*20170424*" &amp; "%USERPROFILE%\Documents\GitHub\mrs-test-scripts\Headless Mode &amp; Sideloading\WalkAndUnGZ.bat" "%USERPROFILE%\AppData\Local\Temp\OnboardLogs"\RTDC4028\2017-04-24 &amp; aws s3 cp s3://rtdc.mdm.uploadarchive.raw/RTDC4028/ "%USERPROFILE%\AppData\Local\Temp\OnboardLogs"\RTDC4028\2017-04-25 --exclude "*" --recursive --include "*20170425*" &amp; "%USERPROFILE%\Documents\GitHub\mrs-test-scripts\Headless Mode &amp; Sideloading\WalkAndUnGZ.bat" "%USERPROFILE%\AppData\Local\Temp\OnboardLogs"\RTDC4028\2017-04-25</v>
      </c>
      <c r="AF19" s="77" t="str">
        <f t="shared" si="12"/>
        <v>"C:\Program Files (x86)\AstroGrep\AstroGrep.exe" /e /r /s /spath="%USERPROFILE%\AppData\Local\Temp\OnboardLogs" /stypes="app*4028*20170424*" /stext=" 11:.+((SYSTEM_STATE.+slice.+state.+changed )|(ment ac)|(multiple cpu faults)|(system.+state.+changed )|(\[timeout)|(PRM\|1\|D)|(kpr)|(kdp)|(train.+moving)|(\|lc)|(penalty))"</v>
      </c>
      <c r="AG19" s="1" t="str">
        <f t="shared" si="13"/>
        <v>EC</v>
      </c>
      <c r="AH19" s="81" t="str">
        <f t="shared" si="18"/>
        <v>"%USERPROFILE%\Documents\GitHub\eaglep3\Utilities\RefineRTDCRunTimes.py" --tripid 107-24 --locoid 4028 --swversion DE.1.0.9.0 --startMP 204:447 --initTime 2017-04-24T04:25:04 --startdatetime 2017-04-24T04:30:14 --delay 0 --endMP 204:233284 --enddatetime 2017-04-24T05:10:45 --enforcementcount 0 &gt;&gt;C:\Users\stu\Documents\GitHub\eaglep3-reporting\EC\2017-04-24-refined-times.txt</v>
      </c>
      <c r="AI19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{"issue":{"subject":"","project_id":79,"tracker_id":40,"status_id":1,"priority_id":2,"assigned_to_id":23,"start_date":"2017-04-24","description":"","custom_fields":[{"id":1,"name":"Subdivision","value":"EC"},{"id":4,"name":"Milepost","value":"23.3284"},{"id":17,"name":"Train ID","value":"107-24"},{"id":16,"name":"Locomotive ID","value":"4028"},{"id":130,"name":"Impact","value":""},{"id":150,"name":"Time of Event (Mountain Time)","value":"05:10:45"},{"id":151,"name":"Denver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0"/>
        <v>start /low /b %USERPROFILE%\Documents\GitHub\eaglep3\Utilities\DownloadLogsFromS3.py --loco 4028 --day 2017-04-24</v>
      </c>
      <c r="AN19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11:10:45"},{"id":29,"name":"Sharepoint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607</v>
      </c>
      <c r="B20" s="7">
        <v>4027</v>
      </c>
      <c r="C20" s="21" t="s">
        <v>212</v>
      </c>
      <c r="D20" s="21" t="s">
        <v>534</v>
      </c>
      <c r="E20" s="13">
        <v>42849.217858796299</v>
      </c>
      <c r="F20" s="13">
        <v>42849.226678240739</v>
      </c>
      <c r="G20" s="7">
        <v>1</v>
      </c>
      <c r="H20" s="21" t="s">
        <v>198</v>
      </c>
      <c r="I20" s="13">
        <v>42849.254583333335</v>
      </c>
      <c r="J20" s="7">
        <v>0</v>
      </c>
      <c r="K20" s="92" t="str">
        <f t="shared" si="0"/>
        <v>4027/4028</v>
      </c>
      <c r="L20" s="21" t="str">
        <f>VLOOKUP(A20,'Trips&amp;Operators'!$C$1:$G$99999,5,FALSE)</f>
        <v>BIRENBAUM THOMAS</v>
      </c>
      <c r="M20" s="6">
        <f t="shared" si="1"/>
        <v>2.7905092596483883E-2</v>
      </c>
      <c r="N20" s="7">
        <f t="shared" si="2"/>
        <v>40.183333338936791</v>
      </c>
      <c r="O20" s="7"/>
      <c r="P20" s="7"/>
      <c r="Q20" s="22"/>
      <c r="R20" s="191"/>
      <c r="S20" s="197">
        <f t="shared" si="3"/>
        <v>1</v>
      </c>
      <c r="T20" s="191" t="str">
        <f t="shared" si="4"/>
        <v>Southbound</v>
      </c>
      <c r="U20" s="19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2" t="str">
        <f t="shared" si="5"/>
        <v>https://d0f6bd738d7f1b3e5a7ca70fe4ff75f0.us-east-1.aws.found.io/app/kibana#/discover/Steve-Slow-Train-Analysis-(2080s-and-2083s)?_g=(refreshInterval:(display:Off,pause:!f,section:0,value:0),time:(from:'2017-04-24T04:13:43-0600',mode:absolute,to:'2017-04-24T07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" s="193" t="str">
        <f t="shared" si="6"/>
        <v>N</v>
      </c>
      <c r="X20" s="193">
        <f t="shared" si="23"/>
        <v>1</v>
      </c>
      <c r="Y20" s="193">
        <f t="shared" si="7"/>
        <v>23.296700000000001</v>
      </c>
      <c r="Z20" s="193">
        <f t="shared" si="8"/>
        <v>1.5800000000000002E-2</v>
      </c>
      <c r="AA20" s="193">
        <f t="shared" si="9"/>
        <v>23.280900000000003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0"/>
        <v>0108-24</v>
      </c>
      <c r="AE20" s="80" t="str">
        <f t="shared" si="11"/>
        <v>aws s3 cp s3://rtdc.mdm.uploadarchive.raw/RTDC4027/ "%USERPROFILE%\AppData\Local\Temp\OnboardLogs"\RTDC4027\2017-04-24 --exclude "*" --recursive --include "*20170424*" &amp; "%USERPROFILE%\Documents\GitHub\mrs-test-scripts\Headless Mode &amp; Sideloading\WalkAndUnGZ.bat" "%USERPROFILE%\AppData\Local\Temp\OnboardLogs"\RTDC4027\2017-04-24 &amp; aws s3 cp s3://rtdc.mdm.uploadarchive.raw/RTDC4027/ "%USERPROFILE%\AppData\Local\Temp\OnboardLogs"\RTDC4027\2017-04-25 --exclude "*" --recursive --include "*20170425*" &amp; "%USERPROFILE%\Documents\GitHub\mrs-test-scripts\Headless Mode &amp; Sideloading\WalkAndUnGZ.bat" "%USERPROFILE%\AppData\Local\Temp\OnboardLogs"\RTDC4027\2017-04-25</v>
      </c>
      <c r="AF20" s="77" t="str">
        <f t="shared" si="12"/>
        <v>"C:\Program Files (x86)\AstroGrep\AstroGrep.exe" /e /r /s /spath="%USERPROFILE%\AppData\Local\Temp\OnboardLogs" /stypes="app*4027*20170424*" /stext=" 12:.+((SYSTEM_STATE.+slice.+state.+changed )|(ment ac)|(multiple cpu faults)|(system.+state.+changed )|(\[timeout)|(PRM\|1\|D)|(kpr)|(kdp)|(train.+moving)|(\|lc)|(penalty))"</v>
      </c>
      <c r="AG20" s="1" t="str">
        <f t="shared" si="13"/>
        <v>EC</v>
      </c>
      <c r="AH20" s="81" t="str">
        <f t="shared" si="18"/>
        <v>"%USERPROFILE%\Documents\GitHub\eaglep3\Utilities\RefineRTDCRunTimes.py" --tripid 108-24 --locoid 4027 --swversion DE.1.0.9.0 --startMP 204:232967 --initTime 2017-04-24T05:13:43 --startdatetime 2017-04-24T05:26:25 --delay 1 --endMP 204:158 --enddatetime 2017-04-24T06:06:36 --enforcementcount 0 &gt;&gt;C:\Users\stu\Documents\GitHub\eaglep3-reporting\EC\2017-04-24-refined-times.txt</v>
      </c>
      <c r="AI20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{"issue":{"subject":"","project_id":79,"tracker_id":40,"status_id":1,"priority_id":2,"assigned_to_id":23,"start_date":"2017-04-24","description":"","custom_fields":[{"id":1,"name":"Subdivision","value":"EC"},{"id":4,"name":"Milepost","value":"0.0158"},{"id":17,"name":"Train ID","value":"108-24"},{"id":16,"name":"Locomotive ID","value":"4027"},{"id":130,"name":"Impact","value":""},{"id":150,"name":"Time of Event (Mountain Time)","value":"06:06:36"},{"id":151,"name":"Denver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0"/>
        <v>start /low /b %USERPROFILE%\Documents\GitHub\eaglep3\Utilities\DownloadLogsFromS3.py --loco 4027 --day 2017-04-24</v>
      </c>
      <c r="AN20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12:06:36"},{"id":29,"name":"Sharepoint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601</v>
      </c>
      <c r="B21" s="7">
        <v>4030</v>
      </c>
      <c r="C21" s="21" t="s">
        <v>212</v>
      </c>
      <c r="D21" s="21" t="s">
        <v>431</v>
      </c>
      <c r="E21" s="13">
        <v>42849.18822916667</v>
      </c>
      <c r="F21" s="13">
        <v>42849.198101851849</v>
      </c>
      <c r="G21" s="7">
        <v>1</v>
      </c>
      <c r="H21" s="21" t="s">
        <v>467</v>
      </c>
      <c r="I21" s="13">
        <v>42849.226678240739</v>
      </c>
      <c r="J21" s="7">
        <v>0</v>
      </c>
      <c r="K21" s="92" t="str">
        <f t="shared" si="0"/>
        <v>4029/4030</v>
      </c>
      <c r="L21" s="21" t="str">
        <f>VLOOKUP(A21,'Trips&amp;Operators'!$C$1:$G$99999,5,FALSE)</f>
        <v>SHOOK JOHN</v>
      </c>
      <c r="M21" s="6">
        <f t="shared" si="1"/>
        <v>2.8576388889632653E-2</v>
      </c>
      <c r="N21" s="7">
        <f t="shared" si="2"/>
        <v>41.150000001071021</v>
      </c>
      <c r="O21" s="7"/>
      <c r="P21" s="7"/>
      <c r="Q21" s="22"/>
      <c r="R21" s="191"/>
      <c r="S21" s="197">
        <f t="shared" si="3"/>
        <v>1</v>
      </c>
      <c r="T21" s="191" t="str">
        <f t="shared" si="4"/>
        <v>NorthBound</v>
      </c>
      <c r="U21" s="19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2" t="str">
        <f t="shared" si="5"/>
        <v>https://d0f6bd738d7f1b3e5a7ca70fe4ff75f0.us-east-1.aws.found.io/app/kibana#/discover/Steve-Slow-Train-Analysis-(2080s-and-2083s)?_g=(refreshInterval:(display:Off,pause:!f,section:0,value:0),time:(from:'2017-04-24T03:31:03-0600',mode:absolute,to:'2017-04-24T06:26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" s="193" t="str">
        <f t="shared" si="6"/>
        <v>N</v>
      </c>
      <c r="X21" s="193">
        <f t="shared" si="23"/>
        <v>1</v>
      </c>
      <c r="Y21" s="193">
        <f t="shared" si="7"/>
        <v>4.4400000000000002E-2</v>
      </c>
      <c r="Z21" s="193">
        <f t="shared" si="8"/>
        <v>23.329699999999999</v>
      </c>
      <c r="AA21" s="193">
        <f t="shared" si="9"/>
        <v>23.285299999999999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0"/>
        <v>0109-24</v>
      </c>
      <c r="AE21" s="80" t="str">
        <f t="shared" si="11"/>
        <v>aws s3 cp s3://rtdc.mdm.uploadarchive.raw/RTDC4030/ "%USERPROFILE%\AppData\Local\Temp\OnboardLogs"\RTDC4030\2017-04-24 --exclude "*" --recursive --include "*20170424*" &amp; "%USERPROFILE%\Documents\GitHub\mrs-test-scripts\Headless Mode &amp; Sideloading\WalkAndUnGZ.bat" "%USERPROFILE%\AppData\Local\Temp\OnboardLogs"\RTDC4030\2017-04-24 &amp; aws s3 cp s3://rtdc.mdm.uploadarchive.raw/RTDC4030/ "%USERPROFILE%\AppData\Local\Temp\OnboardLogs"\RTDC4030\2017-04-25 --exclude "*" --recursive --include "*20170425*" &amp; "%USERPROFILE%\Documents\GitHub\mrs-test-scripts\Headless Mode &amp; Sideloading\WalkAndUnGZ.bat" "%USERPROFILE%\AppData\Local\Temp\OnboardLogs"\RTDC4030\2017-04-25</v>
      </c>
      <c r="AF21" s="77" t="str">
        <f t="shared" si="12"/>
        <v>"C:\Program Files (x86)\AstroGrep\AstroGrep.exe" /e /r /s /spath="%USERPROFILE%\AppData\Local\Temp\OnboardLogs" /stypes="app*4030*20170424*" /stext=" 11:.+((SYSTEM_STATE.+slice.+state.+changed )|(ment ac)|(multiple cpu faults)|(system.+state.+changed )|(\[timeout)|(PRM\|1\|D)|(kpr)|(kdp)|(train.+moving)|(\|lc)|(penalty))"</v>
      </c>
      <c r="AG21" s="1" t="str">
        <f t="shared" si="13"/>
        <v>EC</v>
      </c>
      <c r="AH21" s="81" t="str">
        <f t="shared" si="18"/>
        <v>"%USERPROFILE%\Documents\GitHub\eaglep3\Utilities\RefineRTDCRunTimes.py" --tripid 109-24 --locoid 4030 --swversion DE.1.0.9.0 --startMP 204:444 --initTime 2017-04-24T04:31:03 --startdatetime 2017-04-24T04:45:16 --delay 1 --endMP 204:233297 --enddatetime 2017-04-24T05:26:25 --enforcementcount 0 &gt;&gt;C:\Users\stu\Documents\GitHub\eaglep3-reporting\EC\2017-04-24-refined-times.txt</v>
      </c>
      <c r="AI21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{"issue":{"subject":"","project_id":79,"tracker_id":40,"status_id":1,"priority_id":2,"assigned_to_id":23,"start_date":"2017-04-24","description":"","custom_fields":[{"id":1,"name":"Subdivision","value":"EC"},{"id":4,"name":"Milepost","value":"23.3297"},{"id":17,"name":"Train ID","value":"109-24"},{"id":16,"name":"Locomotive ID","value":"4030"},{"id":130,"name":"Impact","value":""},{"id":150,"name":"Time of Event (Mountain Time)","value":"05:26:25"},{"id":151,"name":"Denver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0"/>
        <v>start /low /b %USERPROFILE%\Documents\GitHub\eaglep3\Utilities\DownloadLogsFromS3.py --loco 4030 --day 2017-04-24</v>
      </c>
      <c r="AN21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11:26:25"},{"id":29,"name":"Sharepoint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611</v>
      </c>
      <c r="B22" s="7">
        <v>4029</v>
      </c>
      <c r="C22" s="21" t="s">
        <v>212</v>
      </c>
      <c r="D22" s="21" t="s">
        <v>797</v>
      </c>
      <c r="E22" s="13">
        <v>42849.228171296294</v>
      </c>
      <c r="F22" s="13">
        <v>42849.237002314818</v>
      </c>
      <c r="G22" s="7">
        <v>1</v>
      </c>
      <c r="H22" s="21" t="s">
        <v>203</v>
      </c>
      <c r="I22" s="13">
        <v>42849.265879629631</v>
      </c>
      <c r="J22" s="7">
        <v>0</v>
      </c>
      <c r="K22" s="92" t="str">
        <f t="shared" si="0"/>
        <v>4029/4030</v>
      </c>
      <c r="L22" s="21" t="str">
        <f>VLOOKUP(A22,'Trips&amp;Operators'!$C$1:$G$99999,5,FALSE)</f>
        <v>SHOOK JOHN</v>
      </c>
      <c r="M22" s="6">
        <f t="shared" si="1"/>
        <v>2.8877314813144039E-2</v>
      </c>
      <c r="N22" s="7">
        <f t="shared" si="2"/>
        <v>41.583333330927417</v>
      </c>
      <c r="O22" s="7"/>
      <c r="P22" s="7"/>
      <c r="Q22" s="22"/>
      <c r="R22" s="191"/>
      <c r="S22" s="197">
        <f t="shared" si="3"/>
        <v>1</v>
      </c>
      <c r="T22" s="191" t="str">
        <f t="shared" si="4"/>
        <v>Southbound</v>
      </c>
      <c r="U22" s="19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2" t="str">
        <f t="shared" si="5"/>
        <v>https://d0f6bd738d7f1b3e5a7ca70fe4ff75f0.us-east-1.aws.found.io/app/kibana#/discover/Steve-Slow-Train-Analysis-(2080s-and-2083s)?_g=(refreshInterval:(display:Off,pause:!f,section:0,value:0),time:(from:'2017-04-24T04:28:34-0600',mode:absolute,to:'2017-04-24T07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" s="193" t="str">
        <f t="shared" si="6"/>
        <v>N</v>
      </c>
      <c r="X22" s="193">
        <f t="shared" si="23"/>
        <v>1</v>
      </c>
      <c r="Y22" s="193">
        <f t="shared" si="7"/>
        <v>23.303799999999999</v>
      </c>
      <c r="Z22" s="193">
        <f t="shared" si="8"/>
        <v>1.54E-2</v>
      </c>
      <c r="AA22" s="193">
        <f t="shared" si="9"/>
        <v>23.288399999999999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0"/>
        <v>0110-24</v>
      </c>
      <c r="AE22" s="80" t="str">
        <f t="shared" si="11"/>
        <v>aws s3 cp s3://rtdc.mdm.uploadarchive.raw/RTDC4029/ "%USERPROFILE%\AppData\Local\Temp\OnboardLogs"\RTDC4029\2017-04-24 --exclude "*" --recursive --include "*20170424*" &amp; "%USERPROFILE%\Documents\GitHub\mrs-test-scripts\Headless Mode &amp; Sideloading\WalkAndUnGZ.bat" "%USERPROFILE%\AppData\Local\Temp\OnboardLogs"\RTDC4029\2017-04-24 &amp; aws s3 cp s3://rtdc.mdm.uploadarchive.raw/RTDC4029/ "%USERPROFILE%\AppData\Local\Temp\OnboardLogs"\RTDC4029\2017-04-25 --exclude "*" --recursive --include "*20170425*" &amp; "%USERPROFILE%\Documents\GitHub\mrs-test-scripts\Headless Mode &amp; Sideloading\WalkAndUnGZ.bat" "%USERPROFILE%\AppData\Local\Temp\OnboardLogs"\RTDC4029\2017-04-25</v>
      </c>
      <c r="AF22" s="77" t="str">
        <f t="shared" si="12"/>
        <v>"C:\Program Files (x86)\AstroGrep\AstroGrep.exe" /e /r /s /spath="%USERPROFILE%\AppData\Local\Temp\OnboardLogs" /stypes="app*4029*20170424*" /stext=" 12:.+((SYSTEM_STATE.+slice.+state.+changed )|(ment ac)|(multiple cpu faults)|(system.+state.+changed )|(\[timeout)|(PRM\|1\|D)|(kpr)|(kdp)|(train.+moving)|(\|lc)|(penalty))"</v>
      </c>
      <c r="AG22" s="1" t="str">
        <f t="shared" si="13"/>
        <v>EC</v>
      </c>
      <c r="AH22" s="81" t="str">
        <f t="shared" si="18"/>
        <v>"%USERPROFILE%\Documents\GitHub\eaglep3\Utilities\RefineRTDCRunTimes.py" --tripid 110-24 --locoid 4029 --swversion DE.1.0.9.0 --startMP 204:233038 --initTime 2017-04-24T05:28:34 --startdatetime 2017-04-24T05:41:17 --delay 1 --endMP 204:154 --enddatetime 2017-04-24T06:22:52 --enforcementcount 0 &gt;&gt;C:\Users\stu\Documents\GitHub\eaglep3-reporting\EC\2017-04-24-refined-times.txt</v>
      </c>
      <c r="AI22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{"issue":{"subject":"","project_id":79,"tracker_id":40,"status_id":1,"priority_id":2,"assigned_to_id":23,"start_date":"2017-04-24","description":"","custom_fields":[{"id":1,"name":"Subdivision","value":"EC"},{"id":4,"name":"Milepost","value":"0.0154"},{"id":17,"name":"Train ID","value":"110-24"},{"id":16,"name":"Locomotive ID","value":"4029"},{"id":130,"name":"Impact","value":""},{"id":150,"name":"Time of Event (Mountain Time)","value":"06:22:52"},{"id":151,"name":"Denver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0"/>
        <v>start /low /b %USERPROFILE%\Documents\GitHub\eaglep3\Utilities\DownloadLogsFromS3.py --loco 4029 --day 2017-04-24</v>
      </c>
      <c r="AN22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12:22:52"},{"id":29,"name":"Sharepoint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603</v>
      </c>
      <c r="B23" s="7">
        <v>4024</v>
      </c>
      <c r="C23" s="21" t="s">
        <v>212</v>
      </c>
      <c r="D23" s="21" t="s">
        <v>790</v>
      </c>
      <c r="E23" s="13">
        <v>42849.20722222222</v>
      </c>
      <c r="F23" s="13">
        <v>42849.208969907406</v>
      </c>
      <c r="G23" s="7">
        <v>1</v>
      </c>
      <c r="H23" s="21" t="s">
        <v>468</v>
      </c>
      <c r="I23" s="13">
        <v>42849.233310185184</v>
      </c>
      <c r="J23" s="7">
        <v>0</v>
      </c>
      <c r="K23" s="92" t="str">
        <f t="shared" si="0"/>
        <v>4023/4024</v>
      </c>
      <c r="L23" s="21" t="str">
        <f>VLOOKUP(A23,'Trips&amp;Operators'!$C$1:$G$99999,5,FALSE)</f>
        <v>GUZMAN DANNY</v>
      </c>
      <c r="M23" s="6">
        <f t="shared" si="1"/>
        <v>2.4340277777810115E-2</v>
      </c>
      <c r="N23" s="7">
        <f t="shared" si="2"/>
        <v>35.050000000046566</v>
      </c>
      <c r="O23" s="7"/>
      <c r="P23" s="7"/>
      <c r="Q23" s="22"/>
      <c r="R23" s="191"/>
      <c r="S23" s="197">
        <f t="shared" si="3"/>
        <v>1</v>
      </c>
      <c r="T23" s="191" t="str">
        <f t="shared" si="4"/>
        <v>NorthBound</v>
      </c>
      <c r="U23" s="19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2" t="str">
        <f t="shared" si="5"/>
        <v>https://d0f6bd738d7f1b3e5a7ca70fe4ff75f0.us-east-1.aws.found.io/app/kibana#/discover/Steve-Slow-Train-Analysis-(2080s-and-2083s)?_g=(refreshInterval:(display:Off,pause:!f,section:0,value:0),time:(from:'2017-04-24T03:58:24-0600',mode:absolute,to:'2017-04-24T06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" s="193" t="str">
        <f t="shared" si="6"/>
        <v>N</v>
      </c>
      <c r="X23" s="193">
        <f t="shared" si="23"/>
        <v>1</v>
      </c>
      <c r="Y23" s="193">
        <f t="shared" si="7"/>
        <v>7.6499999999999999E-2</v>
      </c>
      <c r="Z23" s="193">
        <f t="shared" si="8"/>
        <v>23.328199999999999</v>
      </c>
      <c r="AA23" s="193">
        <f t="shared" si="9"/>
        <v>23.2517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0"/>
        <v>0111-24</v>
      </c>
      <c r="AE23" s="80" t="str">
        <f t="shared" si="11"/>
        <v>aws s3 cp s3://rtdc.mdm.uploadarchive.raw/RTDC4024/ "%USERPROFILE%\AppData\Local\Temp\OnboardLogs"\RTDC4024\2017-04-24 --exclude "*" --recursive --include "*20170424*" &amp; "%USERPROFILE%\Documents\GitHub\mrs-test-scripts\Headless Mode &amp; Sideloading\WalkAndUnGZ.bat" "%USERPROFILE%\AppData\Local\Temp\OnboardLogs"\RTDC4024\2017-04-24 &amp; aws s3 cp s3://rtdc.mdm.uploadarchive.raw/RTDC4024/ "%USERPROFILE%\AppData\Local\Temp\OnboardLogs"\RTDC4024\2017-04-25 --exclude "*" --recursive --include "*20170425*" &amp; "%USERPROFILE%\Documents\GitHub\mrs-test-scripts\Headless Mode &amp; Sideloading\WalkAndUnGZ.bat" "%USERPROFILE%\AppData\Local\Temp\OnboardLogs"\RTDC4024\2017-04-25</v>
      </c>
      <c r="AF23" s="77" t="str">
        <f t="shared" si="12"/>
        <v>"C:\Program Files (x86)\AstroGrep\AstroGrep.exe" /e /r /s /spath="%USERPROFILE%\AppData\Local\Temp\OnboardLogs" /stypes="app*4024*20170424*" /stext=" 11:.+((SYSTEM_STATE.+slice.+state.+changed )|(ment ac)|(multiple cpu faults)|(system.+state.+changed )|(\[timeout)|(PRM\|1\|D)|(kpr)|(kdp)|(train.+moving)|(\|lc)|(penalty))"</v>
      </c>
      <c r="AG23" s="1" t="str">
        <f t="shared" si="13"/>
        <v>EC</v>
      </c>
      <c r="AH23" s="81" t="str">
        <f t="shared" si="18"/>
        <v>"%USERPROFILE%\Documents\GitHub\eaglep3\Utilities\RefineRTDCRunTimes.py" --tripid 111-24 --locoid 4024 --swversion DE.1.0.9.0 --startMP 204:765 --initTime 2017-04-24T04:58:24 --startdatetime 2017-04-24T05:00:55 --delay 1 --endMP 204:233282 --enddatetime 2017-04-24T05:35:58 --enforcementcount 0 &gt;&gt;C:\Users\stu\Documents\GitHub\eaglep3-reporting\EC\2017-04-24-refined-times.txt</v>
      </c>
      <c r="AI23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{"issue":{"subject":"","project_id":79,"tracker_id":40,"status_id":1,"priority_id":2,"assigned_to_id":23,"start_date":"2017-04-24","description":"","custom_fields":[{"id":1,"name":"Subdivision","value":"EC"},{"id":4,"name":"Milepost","value":"23.3282"},{"id":17,"name":"Train ID","value":"111-24"},{"id":16,"name":"Locomotive ID","value":"4024"},{"id":130,"name":"Impact","value":""},{"id":150,"name":"Time of Event (Mountain Time)","value":"05:35:58"},{"id":151,"name":"Denver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0"/>
        <v>start /low /b %USERPROFILE%\Documents\GitHub\eaglep3\Utilities\DownloadLogsFromS3.py --loco 4024 --day 2017-04-24</v>
      </c>
      <c r="AN23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11:35:58"},{"id":29,"name":"Sharepoint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547</v>
      </c>
      <c r="B24" s="7">
        <v>4023</v>
      </c>
      <c r="C24" s="21" t="s">
        <v>212</v>
      </c>
      <c r="D24" s="21" t="s">
        <v>480</v>
      </c>
      <c r="E24" s="13">
        <v>42849.234155092592</v>
      </c>
      <c r="F24" s="13">
        <v>42849.247395833336</v>
      </c>
      <c r="G24" s="7">
        <v>1</v>
      </c>
      <c r="H24" s="21" t="s">
        <v>424</v>
      </c>
      <c r="I24" s="13">
        <v>42849.275023148148</v>
      </c>
      <c r="J24" s="7">
        <v>0</v>
      </c>
      <c r="K24" s="92" t="str">
        <f t="shared" si="0"/>
        <v>4023/4024</v>
      </c>
      <c r="L24" s="21" t="str">
        <f>VLOOKUP(A24,'Trips&amp;Operators'!$C$1:$G$99999,5,FALSE)</f>
        <v>GUZMAN DANNY</v>
      </c>
      <c r="M24" s="6">
        <f t="shared" si="1"/>
        <v>2.7627314811979886E-2</v>
      </c>
      <c r="N24" s="7">
        <f t="shared" si="2"/>
        <v>39.783333329251036</v>
      </c>
      <c r="O24" s="7"/>
      <c r="P24" s="7"/>
      <c r="Q24" s="22"/>
      <c r="R24" s="191"/>
      <c r="S24" s="197">
        <f t="shared" si="3"/>
        <v>1</v>
      </c>
      <c r="T24" s="191" t="str">
        <f t="shared" si="4"/>
        <v>Southbound</v>
      </c>
      <c r="U24" s="19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2" t="str">
        <f t="shared" si="5"/>
        <v>https://d0f6bd738d7f1b3e5a7ca70fe4ff75f0.us-east-1.aws.found.io/app/kibana#/discover/Steve-Slow-Train-Analysis-(2080s-and-2083s)?_g=(refreshInterval:(display:Off,pause:!f,section:0,value:0),time:(from:'2017-04-24T04:37:11-0600',mode:absolute,to:'2017-04-24T07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4" s="193" t="str">
        <f t="shared" si="6"/>
        <v>N</v>
      </c>
      <c r="X24" s="193">
        <f t="shared" si="23"/>
        <v>1</v>
      </c>
      <c r="Y24" s="193">
        <f t="shared" si="7"/>
        <v>23.296500000000002</v>
      </c>
      <c r="Z24" s="193">
        <f t="shared" si="8"/>
        <v>1.6299999999999999E-2</v>
      </c>
      <c r="AA24" s="193">
        <f t="shared" si="9"/>
        <v>23.280200000000001</v>
      </c>
      <c r="AB24" s="57" t="str">
        <f>VLOOKUP(A24,Enforcements!$C$7:$K$13,8,0)</f>
        <v>Bulletin (2)</v>
      </c>
      <c r="AC24" s="53" t="str">
        <f>VLOOKUP(A24,Enforcements!$C$7:$E$13,3,0)</f>
        <v>GRADE CROSSING</v>
      </c>
      <c r="AD24" s="54" t="str">
        <f t="shared" si="10"/>
        <v>0112-24</v>
      </c>
      <c r="AE24" s="80" t="str">
        <f t="shared" si="11"/>
        <v>aws s3 cp s3://rtdc.mdm.uploadarchive.raw/RTDC4023/ "%USERPROFILE%\AppData\Local\Temp\OnboardLogs"\RTDC4023\2017-04-24 --exclude "*" --recursive --include "*20170424*" &amp; "%USERPROFILE%\Documents\GitHub\mrs-test-scripts\Headless Mode &amp; Sideloading\WalkAndUnGZ.bat" "%USERPROFILE%\AppData\Local\Temp\OnboardLogs"\RTDC4023\2017-04-24 &amp; aws s3 cp s3://rtdc.mdm.uploadarchive.raw/RTDC4023/ "%USERPROFILE%\AppData\Local\Temp\OnboardLogs"\RTDC4023\2017-04-25 --exclude "*" --recursive --include "*20170425*" &amp; "%USERPROFILE%\Documents\GitHub\mrs-test-scripts\Headless Mode &amp; Sideloading\WalkAndUnGZ.bat" "%USERPROFILE%\AppData\Local\Temp\OnboardLogs"\RTDC4023\2017-04-25</v>
      </c>
      <c r="AF24" s="77" t="str">
        <f t="shared" si="12"/>
        <v>"C:\Program Files (x86)\AstroGrep\AstroGrep.exe" /e /r /s /spath="%USERPROFILE%\AppData\Local\Temp\OnboardLogs" /stypes="app*4023*20170424*" /stext=" 12:.+((SYSTEM_STATE.+slice.+state.+changed )|(ment ac)|(multiple cpu faults)|(system.+state.+changed )|(\[timeout)|(PRM\|1\|D)|(kpr)|(kdp)|(train.+moving)|(\|lc)|(penalty))"</v>
      </c>
      <c r="AG24" s="1" t="str">
        <f t="shared" si="13"/>
        <v>EC</v>
      </c>
      <c r="AH24" s="81" t="str">
        <f t="shared" si="18"/>
        <v>"%USERPROFILE%\Documents\GitHub\eaglep3\Utilities\RefineRTDCRunTimes.py" --tripid 112-24 --locoid 4023 --swversion DE.1.0.9.0 --startMP 204:232965 --initTime 2017-04-24T05:37:11 --startdatetime 2017-04-24T05:56:15 --delay 1 --endMP 204:163 --enddatetime 2017-04-24T06:36:02 --enforcementcount 0 &gt;&gt;C:\Users\stu\Documents\GitHub\eaglep3-reporting\EC\2017-04-24-refined-times.txt</v>
      </c>
      <c r="AI24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{"issue":{"subject":"","project_id":79,"tracker_id":40,"status_id":1,"priority_id":2,"assigned_to_id":23,"start_date":"2017-04-24","description":"","custom_fields":[{"id":1,"name":"Subdivision","value":"EC"},{"id":4,"name":"Milepost","value":"0.0163"},{"id":17,"name":"Train ID","value":"112-24"},{"id":16,"name":"Locomotive ID","value":"4023"},{"id":130,"name":"Impact","value":""},{"id":150,"name":"Time of Event (Mountain Time)","value":"06:36:02"},{"id":151,"name":"Denver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0"/>
        <v>start /low /b %USERPROFILE%\Documents\GitHub\eaglep3\Utilities\DownloadLogsFromS3.py --loco 4023 --day 2017-04-24</v>
      </c>
      <c r="AN24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12:36:02"},{"id":29,"name":"Sharepoint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604</v>
      </c>
      <c r="B25" s="7">
        <v>4010</v>
      </c>
      <c r="C25" s="21" t="s">
        <v>212</v>
      </c>
      <c r="D25" s="21" t="s">
        <v>440</v>
      </c>
      <c r="E25" s="13">
        <v>42849.2108912037</v>
      </c>
      <c r="F25" s="13">
        <v>42849.2190625</v>
      </c>
      <c r="G25" s="7">
        <v>1</v>
      </c>
      <c r="H25" s="21" t="s">
        <v>482</v>
      </c>
      <c r="I25" s="13">
        <v>42849.244537037041</v>
      </c>
      <c r="J25" s="7">
        <v>0</v>
      </c>
      <c r="K25" s="92" t="str">
        <f t="shared" si="0"/>
        <v>4009/4010</v>
      </c>
      <c r="L25" s="21" t="str">
        <f>VLOOKUP(A25,'Trips&amp;Operators'!$C$1:$G$99999,5,FALSE)</f>
        <v>FORTUNATO FRANK</v>
      </c>
      <c r="M25" s="6">
        <f t="shared" si="1"/>
        <v>2.5474537040281575E-2</v>
      </c>
      <c r="N25" s="7">
        <f t="shared" si="2"/>
        <v>36.683333338005468</v>
      </c>
      <c r="O25" s="7"/>
      <c r="P25" s="7"/>
      <c r="Q25" s="22"/>
      <c r="R25" s="191"/>
      <c r="S25" s="197">
        <f t="shared" si="3"/>
        <v>1</v>
      </c>
      <c r="T25" s="191" t="str">
        <f t="shared" si="4"/>
        <v>NorthBound</v>
      </c>
      <c r="U25" s="19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2" t="str">
        <f t="shared" si="5"/>
        <v>https://d0f6bd738d7f1b3e5a7ca70fe4ff75f0.us-east-1.aws.found.io/app/kibana#/discover/Steve-Slow-Train-Analysis-(2080s-and-2083s)?_g=(refreshInterval:(display:Off,pause:!f,section:0,value:0),time:(from:'2017-04-24T04:03:41-0600',mode:absolute,to:'2017-04-24T06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5" s="193" t="str">
        <f t="shared" si="6"/>
        <v>N</v>
      </c>
      <c r="X25" s="193">
        <f t="shared" si="23"/>
        <v>1</v>
      </c>
      <c r="Y25" s="193">
        <f t="shared" si="7"/>
        <v>4.3799999999999999E-2</v>
      </c>
      <c r="Z25" s="193">
        <f t="shared" si="8"/>
        <v>23.327999999999999</v>
      </c>
      <c r="AA25" s="193">
        <f t="shared" si="9"/>
        <v>23.284199999999998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0"/>
        <v>0113-24</v>
      </c>
      <c r="AE25" s="80" t="str">
        <f t="shared" si="11"/>
        <v>aws s3 cp s3://rtdc.mdm.uploadarchive.raw/RTDC4010/ "%USERPROFILE%\AppData\Local\Temp\OnboardLogs"\RTDC4010\2017-04-24 --exclude "*" --recursive --include "*20170424*" &amp; "%USERPROFILE%\Documents\GitHub\mrs-test-scripts\Headless Mode &amp; Sideloading\WalkAndUnGZ.bat" "%USERPROFILE%\AppData\Local\Temp\OnboardLogs"\RTDC4010\2017-04-24 &amp; aws s3 cp s3://rtdc.mdm.uploadarchive.raw/RTDC4010/ "%USERPROFILE%\AppData\Local\Temp\OnboardLogs"\RTDC4010\2017-04-25 --exclude "*" --recursive --include "*20170425*" &amp; "%USERPROFILE%\Documents\GitHub\mrs-test-scripts\Headless Mode &amp; Sideloading\WalkAndUnGZ.bat" "%USERPROFILE%\AppData\Local\Temp\OnboardLogs"\RTDC4010\2017-04-25</v>
      </c>
      <c r="AF25" s="77" t="str">
        <f t="shared" si="12"/>
        <v>"C:\Program Files (x86)\AstroGrep\AstroGrep.exe" /e /r /s /spath="%USERPROFILE%\AppData\Local\Temp\OnboardLogs" /stypes="app*4010*20170424*" /stext=" 11:.+((SYSTEM_STATE.+slice.+state.+changed )|(ment ac)|(multiple cpu faults)|(system.+state.+changed )|(\[timeout)|(PRM\|1\|D)|(kpr)|(kdp)|(train.+moving)|(\|lc)|(penalty))"</v>
      </c>
      <c r="AG25" s="1" t="str">
        <f t="shared" si="13"/>
        <v>EC</v>
      </c>
      <c r="AH25" s="81" t="str">
        <f t="shared" si="18"/>
        <v>"%USERPROFILE%\Documents\GitHub\eaglep3\Utilities\RefineRTDCRunTimes.py" --tripid 113-24 --locoid 4010 --swversion DE.1.0.9.0 --startMP 204:438 --initTime 2017-04-24T05:03:41 --startdatetime 2017-04-24T05:15:27 --delay 1 --endMP 204:233280 --enddatetime 2017-04-24T05:52:08 --enforcementcount 0 &gt;&gt;C:\Users\stu\Documents\GitHub\eaglep3-reporting\EC\2017-04-24-refined-times.txt</v>
      </c>
      <c r="AI25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{"issue":{"subject":"","project_id":79,"tracker_id":40,"status_id":1,"priority_id":2,"assigned_to_id":23,"start_date":"2017-04-24","description":"","custom_fields":[{"id":1,"name":"Subdivision","value":"EC"},{"id":4,"name":"Milepost","value":"23.328"},{"id":17,"name":"Train ID","value":"113-24"},{"id":16,"name":"Locomotive ID","value":"4010"},{"id":130,"name":"Impact","value":""},{"id":150,"name":"Time of Event (Mountain Time)","value":"05:52:08"},{"id":151,"name":"Denver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0"/>
        <v>start /low /b %USERPROFILE%\Documents\GitHub\eaglep3\Utilities\DownloadLogsFromS3.py --loco 4010 --day 2017-04-24</v>
      </c>
      <c r="AN25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11:52:08"},{"id":29,"name":"Sharepoint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613</v>
      </c>
      <c r="B26" s="7">
        <v>4009</v>
      </c>
      <c r="C26" s="21" t="s">
        <v>212</v>
      </c>
      <c r="D26" s="21" t="s">
        <v>798</v>
      </c>
      <c r="E26" s="13">
        <v>42849.245810185188</v>
      </c>
      <c r="F26" s="13">
        <v>42849.257847222223</v>
      </c>
      <c r="G26" s="7">
        <v>1</v>
      </c>
      <c r="H26" s="21" t="s">
        <v>415</v>
      </c>
      <c r="I26" s="13">
        <v>42849.283692129633</v>
      </c>
      <c r="J26" s="7">
        <v>0</v>
      </c>
      <c r="K26" s="92" t="str">
        <f t="shared" si="0"/>
        <v>4009/4010</v>
      </c>
      <c r="L26" s="21" t="str">
        <f>VLOOKUP(A26,'Trips&amp;Operators'!$C$1:$G$99999,5,FALSE)</f>
        <v>FORTUNATO FRANK</v>
      </c>
      <c r="M26" s="6">
        <f t="shared" si="1"/>
        <v>2.584490740991896E-2</v>
      </c>
      <c r="N26" s="7">
        <f t="shared" si="2"/>
        <v>37.216666670283303</v>
      </c>
      <c r="O26" s="7"/>
      <c r="P26" s="7"/>
      <c r="Q26" s="22"/>
      <c r="R26" s="191"/>
      <c r="S26" s="197">
        <f t="shared" si="3"/>
        <v>1</v>
      </c>
      <c r="T26" s="191" t="str">
        <f t="shared" si="4"/>
        <v>Southbound</v>
      </c>
      <c r="U26" s="19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2" t="str">
        <f t="shared" si="5"/>
        <v>https://d0f6bd738d7f1b3e5a7ca70fe4ff75f0.us-east-1.aws.found.io/app/kibana#/discover/Steve-Slow-Train-Analysis-(2080s-and-2083s)?_g=(refreshInterval:(display:Off,pause:!f,section:0,value:0),time:(from:'2017-04-24T04:53:58-0600',mode:absolute,to:'2017-04-24T07:48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6" s="193" t="str">
        <f t="shared" si="6"/>
        <v>N</v>
      </c>
      <c r="X26" s="193">
        <f t="shared" si="23"/>
        <v>1</v>
      </c>
      <c r="Y26" s="193">
        <f t="shared" si="7"/>
        <v>23.296199999999999</v>
      </c>
      <c r="Z26" s="193">
        <f t="shared" si="8"/>
        <v>1.4999999999999999E-2</v>
      </c>
      <c r="AA26" s="193">
        <f t="shared" si="9"/>
        <v>23.281199999999998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0"/>
        <v>0114-24</v>
      </c>
      <c r="AE26" s="80" t="str">
        <f t="shared" si="11"/>
        <v>aws s3 cp s3://rtdc.mdm.uploadarchive.raw/RTDC4009/ "%USERPROFILE%\AppData\Local\Temp\OnboardLogs"\RTDC4009\2017-04-24 --exclude "*" --recursive --include "*20170424*" &amp; "%USERPROFILE%\Documents\GitHub\mrs-test-scripts\Headless Mode &amp; Sideloading\WalkAndUnGZ.bat" "%USERPROFILE%\AppData\Local\Temp\OnboardLogs"\RTDC4009\2017-04-24 &amp; aws s3 cp s3://rtdc.mdm.uploadarchive.raw/RTDC4009/ "%USERPROFILE%\AppData\Local\Temp\OnboardLogs"\RTDC4009\2017-04-25 --exclude "*" --recursive --include "*20170425*" &amp; "%USERPROFILE%\Documents\GitHub\mrs-test-scripts\Headless Mode &amp; Sideloading\WalkAndUnGZ.bat" "%USERPROFILE%\AppData\Local\Temp\OnboardLogs"\RTDC4009\2017-04-25</v>
      </c>
      <c r="AF26" s="77" t="str">
        <f t="shared" si="12"/>
        <v>"C:\Program Files (x86)\AstroGrep\AstroGrep.exe" /e /r /s /spath="%USERPROFILE%\AppData\Local\Temp\OnboardLogs" /stypes="app*4009*20170424*" /stext=" 12:.+((SYSTEM_STATE.+slice.+state.+changed )|(ment ac)|(multiple cpu faults)|(system.+state.+changed )|(\[timeout)|(PRM\|1\|D)|(kpr)|(kdp)|(train.+moving)|(\|lc)|(penalty))"</v>
      </c>
      <c r="AG26" s="1" t="str">
        <f t="shared" si="13"/>
        <v>EC</v>
      </c>
      <c r="AH26" s="81" t="str">
        <f t="shared" si="18"/>
        <v>"%USERPROFILE%\Documents\GitHub\eaglep3\Utilities\RefineRTDCRunTimes.py" --tripid 114-24 --locoid 4009 --swversion DE.1.0.9.0 --startMP 204:232962 --initTime 2017-04-24T05:53:58 --startdatetime 2017-04-24T06:11:18 --delay 1 --endMP 204:150 --enddatetime 2017-04-24T06:48:31 --enforcementcount 0 &gt;&gt;C:\Users\stu\Documents\GitHub\eaglep3-reporting\EC\2017-04-24-refined-times.txt</v>
      </c>
      <c r="AI26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{"issue":{"subject":"","project_id":79,"tracker_id":40,"status_id":1,"priority_id":2,"assigned_to_id":23,"start_date":"2017-04-24","description":"","custom_fields":[{"id":1,"name":"Subdivision","value":"EC"},{"id":4,"name":"Milepost","value":"0.015"},{"id":17,"name":"Train ID","value":"114-24"},{"id":16,"name":"Locomotive ID","value":"4009"},{"id":130,"name":"Impact","value":""},{"id":150,"name":"Time of Event (Mountain Time)","value":"06:48:31"},{"id":151,"name":"Denver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0"/>
        <v>start /low /b %USERPROFILE%\Documents\GitHub\eaglep3\Utilities\DownloadLogsFromS3.py --loco 4009 --day 2017-04-24</v>
      </c>
      <c r="AN26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12:48:31"},{"id":29,"name":"Sharepoint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608</v>
      </c>
      <c r="B27" s="7">
        <v>4026</v>
      </c>
      <c r="C27" s="21" t="s">
        <v>212</v>
      </c>
      <c r="D27" s="21" t="s">
        <v>799</v>
      </c>
      <c r="E27" s="13">
        <v>42849.22384259259</v>
      </c>
      <c r="F27" s="13">
        <v>42849.22934027778</v>
      </c>
      <c r="G27" s="7">
        <v>2</v>
      </c>
      <c r="H27" s="21" t="s">
        <v>537</v>
      </c>
      <c r="I27" s="13">
        <v>42849.254537037035</v>
      </c>
      <c r="J27" s="7">
        <v>0</v>
      </c>
      <c r="K27" s="92" t="str">
        <f t="shared" si="0"/>
        <v>4025/4026</v>
      </c>
      <c r="L27" s="21" t="str">
        <f>VLOOKUP(A27,'Trips&amp;Operators'!$C$1:$G$99999,5,FALSE)</f>
        <v>MENGES BRAD</v>
      </c>
      <c r="M27" s="6">
        <f t="shared" si="1"/>
        <v>2.5196759255777579E-2</v>
      </c>
      <c r="N27" s="7">
        <f t="shared" si="2"/>
        <v>36.283333328319713</v>
      </c>
      <c r="O27" s="7"/>
      <c r="P27" s="7"/>
      <c r="Q27" s="22"/>
      <c r="R27" s="191"/>
      <c r="S27" s="197">
        <f t="shared" si="3"/>
        <v>1</v>
      </c>
      <c r="T27" s="191" t="str">
        <f t="shared" si="4"/>
        <v>NorthBound</v>
      </c>
      <c r="U27" s="19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2" t="str">
        <f t="shared" si="5"/>
        <v>https://d0f6bd738d7f1b3e5a7ca70fe4ff75f0.us-east-1.aws.found.io/app/kibana#/discover/Steve-Slow-Train-Analysis-(2080s-and-2083s)?_g=(refreshInterval:(display:Off,pause:!f,section:0,value:0),time:(from:'2017-04-24T04:22:20-0600',mode:absolute,to:'2017-04-24T07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7" s="193" t="str">
        <f t="shared" si="6"/>
        <v>N</v>
      </c>
      <c r="X27" s="193">
        <f t="shared" si="23"/>
        <v>1</v>
      </c>
      <c r="Y27" s="193">
        <f t="shared" si="7"/>
        <v>0.115</v>
      </c>
      <c r="Z27" s="193">
        <f t="shared" si="8"/>
        <v>23.327200000000001</v>
      </c>
      <c r="AA27" s="193">
        <f t="shared" si="9"/>
        <v>23.212200000000003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0"/>
        <v>0115-24</v>
      </c>
      <c r="AE27" s="80" t="str">
        <f t="shared" si="11"/>
        <v>aws s3 cp s3://rtdc.mdm.uploadarchive.raw/RTDC4026/ "%USERPROFILE%\AppData\Local\Temp\OnboardLogs"\RTDC4026\2017-04-24 --exclude "*" --recursive --include "*20170424*" &amp; "%USERPROFILE%\Documents\GitHub\mrs-test-scripts\Headless Mode &amp; Sideloading\WalkAndUnGZ.bat" "%USERPROFILE%\AppData\Local\Temp\OnboardLogs"\RTDC4026\2017-04-24 &amp; aws s3 cp s3://rtdc.mdm.uploadarchive.raw/RTDC4026/ "%USERPROFILE%\AppData\Local\Temp\OnboardLogs"\RTDC4026\2017-04-25 --exclude "*" --recursive --include "*20170425*" &amp; "%USERPROFILE%\Documents\GitHub\mrs-test-scripts\Headless Mode &amp; Sideloading\WalkAndUnGZ.bat" "%USERPROFILE%\AppData\Local\Temp\OnboardLogs"\RTDC4026\2017-04-25</v>
      </c>
      <c r="AF27" s="77" t="str">
        <f t="shared" si="12"/>
        <v>"C:\Program Files (x86)\AstroGrep\AstroGrep.exe" /e /r /s /spath="%USERPROFILE%\AppData\Local\Temp\OnboardLogs" /stypes="app*4026*20170424*" /stext=" 12:.+((SYSTEM_STATE.+slice.+state.+changed )|(ment ac)|(multiple cpu faults)|(system.+state.+changed )|(\[timeout)|(PRM\|1\|D)|(kpr)|(kdp)|(train.+moving)|(\|lc)|(penalty))"</v>
      </c>
      <c r="AG27" s="1" t="str">
        <f t="shared" si="13"/>
        <v>EC</v>
      </c>
      <c r="AH27" s="81" t="str">
        <f t="shared" si="18"/>
        <v>"%USERPROFILE%\Documents\GitHub\eaglep3\Utilities\RefineRTDCRunTimes.py" --tripid 115-24 --locoid 4026 --swversion DE.1.0.9.0 --startMP 204:1150 --initTime 2017-04-24T05:22:20 --startdatetime 2017-04-24T05:30:15 --delay 2 --endMP 204:233272 --enddatetime 2017-04-24T06:06:32 --enforcementcount 0 &gt;&gt;C:\Users\stu\Documents\GitHub\eaglep3-reporting\EC\2017-04-24-refined-times.txt</v>
      </c>
      <c r="AI27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{"issue":{"subject":"","project_id":79,"tracker_id":40,"status_id":1,"priority_id":2,"assigned_to_id":23,"start_date":"2017-04-24","description":"","custom_fields":[{"id":1,"name":"Subdivision","value":"EC"},{"id":4,"name":"Milepost","value":"23.3272"},{"id":17,"name":"Train ID","value":"115-24"},{"id":16,"name":"Locomotive ID","value":"4026"},{"id":130,"name":"Impact","value":""},{"id":150,"name":"Time of Event (Mountain Time)","value":"06:06:32"},{"id":151,"name":"Denver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0"/>
        <v>start /low /b %USERPROFILE%\Documents\GitHub\eaglep3\Utilities\DownloadLogsFromS3.py --loco 4026 --day 2017-04-24</v>
      </c>
      <c r="AN27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12:06:32"},{"id":29,"name":"Sharepoint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623</v>
      </c>
      <c r="B28" s="7">
        <v>4025</v>
      </c>
      <c r="C28" s="21" t="s">
        <v>212</v>
      </c>
      <c r="D28" s="21" t="s">
        <v>800</v>
      </c>
      <c r="E28" s="13">
        <v>42849.264687499999</v>
      </c>
      <c r="F28" s="13">
        <v>42849.268229166664</v>
      </c>
      <c r="G28" s="7">
        <v>1</v>
      </c>
      <c r="H28" s="21" t="s">
        <v>792</v>
      </c>
      <c r="I28" s="13">
        <v>42849.296006944445</v>
      </c>
      <c r="J28" s="7">
        <v>0</v>
      </c>
      <c r="K28" s="92" t="str">
        <f t="shared" si="0"/>
        <v>4025/4026</v>
      </c>
      <c r="L28" s="21" t="str">
        <f>VLOOKUP(A28,'Trips&amp;Operators'!$C$1:$G$99999,5,FALSE)</f>
        <v>MENGES BRAD</v>
      </c>
      <c r="M28" s="6">
        <f t="shared" si="1"/>
        <v>2.7777777781011537E-2</v>
      </c>
      <c r="N28" s="7">
        <f t="shared" si="2"/>
        <v>40.000000004656613</v>
      </c>
      <c r="O28" s="7"/>
      <c r="P28" s="7"/>
      <c r="Q28" s="22"/>
      <c r="R28" s="191"/>
      <c r="S28" s="197">
        <f t="shared" si="3"/>
        <v>1</v>
      </c>
      <c r="T28" s="191" t="str">
        <f t="shared" si="4"/>
        <v>Southbound</v>
      </c>
      <c r="U28" s="19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2" t="str">
        <f t="shared" si="5"/>
        <v>https://d0f6bd738d7f1b3e5a7ca70fe4ff75f0.us-east-1.aws.found.io/app/kibana#/discover/Steve-Slow-Train-Analysis-(2080s-and-2083s)?_g=(refreshInterval:(display:Off,pause:!f,section:0,value:0),time:(from:'2017-04-24T05:21:09-0600',mode:absolute,to:'2017-04-24T08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8" s="193" t="str">
        <f t="shared" si="6"/>
        <v>N</v>
      </c>
      <c r="X28" s="193">
        <f t="shared" si="23"/>
        <v>1</v>
      </c>
      <c r="Y28" s="193">
        <f t="shared" si="7"/>
        <v>23.293600000000001</v>
      </c>
      <c r="Z28" s="193">
        <f t="shared" si="8"/>
        <v>1.5599999999999999E-2</v>
      </c>
      <c r="AA28" s="193">
        <f t="shared" si="9"/>
        <v>23.278000000000002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0"/>
        <v>0116-24</v>
      </c>
      <c r="AE28" s="80" t="str">
        <f t="shared" si="11"/>
        <v>aws s3 cp s3://rtdc.mdm.uploadarchive.raw/RTDC4025/ "%USERPROFILE%\AppData\Local\Temp\OnboardLogs"\RTDC4025\2017-04-24 --exclude "*" --recursive --include "*20170424*" &amp; "%USERPROFILE%\Documents\GitHub\mrs-test-scripts\Headless Mode &amp; Sideloading\WalkAndUnGZ.bat" "%USERPROFILE%\AppData\Local\Temp\OnboardLogs"\RTDC4025\2017-04-24 &amp; aws s3 cp s3://rtdc.mdm.uploadarchive.raw/RTDC4025/ "%USERPROFILE%\AppData\Local\Temp\OnboardLogs"\RTDC4025\2017-04-25 --exclude "*" --recursive --include "*20170425*" &amp; "%USERPROFILE%\Documents\GitHub\mrs-test-scripts\Headless Mode &amp; Sideloading\WalkAndUnGZ.bat" "%USERPROFILE%\AppData\Local\Temp\OnboardLogs"\RTDC4025\2017-04-25</v>
      </c>
      <c r="AF28" s="77" t="str">
        <f t="shared" si="12"/>
        <v>"C:\Program Files (x86)\AstroGrep\AstroGrep.exe" /e /r /s /spath="%USERPROFILE%\AppData\Local\Temp\OnboardLogs" /stypes="app*4025*20170424*" /stext=" 13:.+((SYSTEM_STATE.+slice.+state.+changed )|(ment ac)|(multiple cpu faults)|(system.+state.+changed )|(\[timeout)|(PRM\|1\|D)|(kpr)|(kdp)|(train.+moving)|(\|lc)|(penalty))"</v>
      </c>
      <c r="AG28" s="1" t="str">
        <f t="shared" si="13"/>
        <v>EC</v>
      </c>
      <c r="AH28" s="81" t="str">
        <f t="shared" si="18"/>
        <v>"%USERPROFILE%\Documents\GitHub\eaglep3\Utilities\RefineRTDCRunTimes.py" --tripid 116-24 --locoid 4025 --swversion DE.1.0.9.0 --startMP 204:232936 --initTime 2017-04-24T06:21:09 --startdatetime 2017-04-24T06:26:15 --delay 1 --endMP 204:156 --enddatetime 2017-04-24T07:06:15 --enforcementcount 0 &gt;&gt;C:\Users\stu\Documents\GitHub\eaglep3-reporting\EC\2017-04-24-refined-times.txt</v>
      </c>
      <c r="AI28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{"issue":{"subject":"","project_id":79,"tracker_id":40,"status_id":1,"priority_id":2,"assigned_to_id":23,"start_date":"2017-04-24","description":"","custom_fields":[{"id":1,"name":"Subdivision","value":"EC"},{"id":4,"name":"Milepost","value":"0.0156"},{"id":17,"name":"Train ID","value":"116-24"},{"id":16,"name":"Locomotive ID","value":"4025"},{"id":130,"name":"Impact","value":""},{"id":150,"name":"Time of Event (Mountain Time)","value":"07:06:15"},{"id":151,"name":"Denver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0"/>
        <v>start /low /b %USERPROFILE%\Documents\GitHub\eaglep3\Utilities\DownloadLogsFromS3.py --loco 4025 --day 2017-04-24</v>
      </c>
      <c r="AN28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13:06:15"},{"id":29,"name":"Sharepoint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612</v>
      </c>
      <c r="B29" s="7">
        <v>4040</v>
      </c>
      <c r="C29" s="21" t="s">
        <v>212</v>
      </c>
      <c r="D29" s="21" t="s">
        <v>513</v>
      </c>
      <c r="E29" s="13">
        <v>42849.233553240738</v>
      </c>
      <c r="F29" s="13">
        <v>42849.240046296298</v>
      </c>
      <c r="G29" s="7">
        <v>1</v>
      </c>
      <c r="H29" s="21" t="s">
        <v>801</v>
      </c>
      <c r="I29" s="13">
        <v>42849.264687499999</v>
      </c>
      <c r="J29" s="7">
        <v>0</v>
      </c>
      <c r="K29" s="92" t="str">
        <f t="shared" si="0"/>
        <v>4039/4040</v>
      </c>
      <c r="L29" s="21" t="str">
        <f>VLOOKUP(A29,'Trips&amp;Operators'!$C$1:$G$99999,5,FALSE)</f>
        <v>MAELZER KURT</v>
      </c>
      <c r="M29" s="6">
        <f t="shared" si="1"/>
        <v>2.4641203701321501E-2</v>
      </c>
      <c r="N29" s="7">
        <f t="shared" si="2"/>
        <v>35.483333329902962</v>
      </c>
      <c r="O29" s="7"/>
      <c r="P29" s="7"/>
      <c r="Q29" s="22"/>
      <c r="R29" s="191"/>
      <c r="S29" s="197">
        <f t="shared" si="3"/>
        <v>1</v>
      </c>
      <c r="T29" s="191" t="str">
        <f t="shared" si="4"/>
        <v>NorthBound</v>
      </c>
      <c r="U29" s="19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2" t="str">
        <f t="shared" si="5"/>
        <v>https://d0f6bd738d7f1b3e5a7ca70fe4ff75f0.us-east-1.aws.found.io/app/kibana#/discover/Steve-Slow-Train-Analysis-(2080s-and-2083s)?_g=(refreshInterval:(display:Off,pause:!f,section:0,value:0),time:(from:'2017-04-24T04:36:19-0600',mode:absolute,to:'2017-04-24T07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9" s="193" t="str">
        <f t="shared" si="6"/>
        <v>N</v>
      </c>
      <c r="X29" s="193">
        <f t="shared" si="23"/>
        <v>1</v>
      </c>
      <c r="Y29" s="193">
        <f t="shared" si="7"/>
        <v>7.4800000000000005E-2</v>
      </c>
      <c r="Z29" s="193">
        <f t="shared" si="8"/>
        <v>23.331</v>
      </c>
      <c r="AA29" s="193">
        <f t="shared" si="9"/>
        <v>23.2562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0"/>
        <v>0117-24</v>
      </c>
      <c r="AE29" s="80" t="str">
        <f t="shared" si="11"/>
        <v>aws s3 cp s3://rtdc.mdm.uploadarchive.raw/RTDC4040/ "%USERPROFILE%\AppData\Local\Temp\OnboardLogs"\RTDC4040\2017-04-24 --exclude "*" --recursive --include "*20170424*" &amp; "%USERPROFILE%\Documents\GitHub\mrs-test-scripts\Headless Mode &amp; Sideloading\WalkAndUnGZ.bat" "%USERPROFILE%\AppData\Local\Temp\OnboardLogs"\RTDC4040\2017-04-24 &amp; aws s3 cp s3://rtdc.mdm.uploadarchive.raw/RTDC4040/ "%USERPROFILE%\AppData\Local\Temp\OnboardLogs"\RTDC4040\2017-04-25 --exclude "*" --recursive --include "*20170425*" &amp; "%USERPROFILE%\Documents\GitHub\mrs-test-scripts\Headless Mode &amp; Sideloading\WalkAndUnGZ.bat" "%USERPROFILE%\AppData\Local\Temp\OnboardLogs"\RTDC4040\2017-04-25</v>
      </c>
      <c r="AF29" s="77" t="str">
        <f t="shared" si="12"/>
        <v>"C:\Program Files (x86)\AstroGrep\AstroGrep.exe" /e /r /s /spath="%USERPROFILE%\AppData\Local\Temp\OnboardLogs" /stypes="app*4040*20170424*" /stext=" 12:.+((SYSTEM_STATE.+slice.+state.+changed )|(ment ac)|(multiple cpu faults)|(system.+state.+changed )|(\[timeout)|(PRM\|1\|D)|(kpr)|(kdp)|(train.+moving)|(\|lc)|(penalty))"</v>
      </c>
      <c r="AG29" s="1" t="str">
        <f t="shared" si="13"/>
        <v>EC</v>
      </c>
      <c r="AH29" s="81" t="str">
        <f t="shared" si="18"/>
        <v>"%USERPROFILE%\Documents\GitHub\eaglep3\Utilities\RefineRTDCRunTimes.py" --tripid 117-24 --locoid 4040 --swversion DE.1.0.9.0 --startMP 204:748 --initTime 2017-04-24T05:36:19 --startdatetime 2017-04-24T05:45:40 --delay 1 --endMP 204:233310 --enddatetime 2017-04-24T06:21:09 --enforcementcount 0 &gt;&gt;C:\Users\stu\Documents\GitHub\eaglep3-reporting\EC\2017-04-24-refined-times.txt</v>
      </c>
      <c r="AI29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{"issue":{"subject":"","project_id":79,"tracker_id":40,"status_id":1,"priority_id":2,"assigned_to_id":23,"start_date":"2017-04-24","description":"","custom_fields":[{"id":1,"name":"Subdivision","value":"EC"},{"id":4,"name":"Milepost","value":"23.331"},{"id":17,"name":"Train ID","value":"117-24"},{"id":16,"name":"Locomotive ID","value":"4040"},{"id":130,"name":"Impact","value":""},{"id":150,"name":"Time of Event (Mountain Time)","value":"06:21:09"},{"id":151,"name":"Denver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0"/>
        <v>start /low /b %USERPROFILE%\Documents\GitHub\eaglep3\Utilities\DownloadLogsFromS3.py --loco 4040 --day 2017-04-24</v>
      </c>
      <c r="AN29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12:21:09"},{"id":29,"name":"Sharepoint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625</v>
      </c>
      <c r="B30" s="7">
        <v>4039</v>
      </c>
      <c r="C30" s="21" t="s">
        <v>212</v>
      </c>
      <c r="D30" s="21" t="s">
        <v>513</v>
      </c>
      <c r="E30" s="13">
        <v>42849.233553240738</v>
      </c>
      <c r="F30" s="13">
        <v>42849.273159722223</v>
      </c>
      <c r="G30" s="7">
        <v>1</v>
      </c>
      <c r="H30" s="21" t="s">
        <v>801</v>
      </c>
      <c r="I30" s="13">
        <v>42849.286400462966</v>
      </c>
      <c r="J30" s="7">
        <v>0</v>
      </c>
      <c r="K30" s="92" t="str">
        <f t="shared" si="0"/>
        <v>4039/4040</v>
      </c>
      <c r="L30" s="21" t="str">
        <f>VLOOKUP(A30,'Trips&amp;Operators'!$C$1:$G$99999,5,FALSE)</f>
        <v>MAELZER KURT</v>
      </c>
      <c r="M30" s="6">
        <f t="shared" si="1"/>
        <v>1.3240740743640345E-2</v>
      </c>
      <c r="N30" s="7"/>
      <c r="O30" s="7"/>
      <c r="P30" s="7">
        <f>24*60*SUM($M30:$M30)</f>
        <v>19.066666670842096</v>
      </c>
      <c r="Q30" s="22"/>
      <c r="R30" s="191" t="s">
        <v>969</v>
      </c>
      <c r="S30" s="197">
        <f t="shared" si="3"/>
        <v>0</v>
      </c>
      <c r="T30" s="191" t="str">
        <f t="shared" si="4"/>
        <v>Southbound</v>
      </c>
      <c r="U30" s="19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0</v>
      </c>
      <c r="V30" s="192" t="str">
        <f t="shared" si="5"/>
        <v>https://d0f6bd738d7f1b3e5a7ca70fe4ff75f0.us-east-1.aws.found.io/app/kibana#/discover/Steve-Slow-Train-Analysis-(2080s-and-2083s)?_g=(refreshInterval:(display:Off,pause:!f,section:0,value:0),time:(from:'2017-04-24T04:36:19-0600',mode:absolute,to:'2017-04-24T07:52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0" s="193" t="str">
        <f t="shared" si="6"/>
        <v>Y</v>
      </c>
      <c r="X30" s="193">
        <f t="shared" si="23"/>
        <v>1</v>
      </c>
      <c r="Y30" s="193">
        <v>0</v>
      </c>
      <c r="Z30" s="193">
        <v>0</v>
      </c>
      <c r="AA30" s="193">
        <f t="shared" si="9"/>
        <v>0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0"/>
        <v>0118-24</v>
      </c>
      <c r="AE30" s="80" t="str">
        <f t="shared" si="11"/>
        <v>aws s3 cp s3://rtdc.mdm.uploadarchive.raw/RTDC4039/ "%USERPROFILE%\AppData\Local\Temp\OnboardLogs"\RTDC4039\2017-04-24 --exclude "*" --recursive --include "*20170424*" &amp; "%USERPROFILE%\Documents\GitHub\mrs-test-scripts\Headless Mode &amp; Sideloading\WalkAndUnGZ.bat" "%USERPROFILE%\AppData\Local\Temp\OnboardLogs"\RTDC4039\2017-04-24 &amp; aws s3 cp s3://rtdc.mdm.uploadarchive.raw/RTDC4039/ "%USERPROFILE%\AppData\Local\Temp\OnboardLogs"\RTDC4039\2017-04-25 --exclude "*" --recursive --include "*20170425*" &amp; "%USERPROFILE%\Documents\GitHub\mrs-test-scripts\Headless Mode &amp; Sideloading\WalkAndUnGZ.bat" "%USERPROFILE%\AppData\Local\Temp\OnboardLogs"\RTDC4039\2017-04-25</v>
      </c>
      <c r="AF30" s="77" t="str">
        <f t="shared" si="12"/>
        <v>"C:\Program Files (x86)\AstroGrep\AstroGrep.exe" /e /r /s /spath="%USERPROFILE%\AppData\Local\Temp\OnboardLogs" /stypes="app*4039*20170424*" /stext=" 12:.+((SYSTEM_STATE.+slice.+state.+changed )|(ment ac)|(multiple cpu faults)|(system.+state.+changed )|(\[timeout)|(PRM\|1\|D)|(kpr)|(kdp)|(train.+moving)|(\|lc)|(penalty))"</v>
      </c>
      <c r="AG30" s="1" t="str">
        <f t="shared" si="13"/>
        <v>EC</v>
      </c>
      <c r="AH30" s="81" t="str">
        <f t="shared" ref="AH30" si="24">refinertdcruntimes&amp;" --tripid "&amp;A30&amp;" --locoid "&amp;B30&amp;" --swversion "&amp;C30&amp;" --startMP "&amp;D30&amp;" --initTime "&amp;TEXT(E30,"yyyy-mm-ddTHH:MM:SS")&amp;" --startdatetime "&amp;TEXT(F30,"yyyy-mm-ddTHH:MM:SS")&amp;" --delay "&amp;G30&amp;" --endMP "&amp;H30&amp;" --enddatetime "&amp;TEXT(I30,"yyyy-mm-ddTHH:MM:SS")&amp;" --enforcementcount "&amp;J30&amp;IF(outputrefinedruntimes," &gt;&gt;"&amp;RefinedRTDCRunTimesOutputFile,"")</f>
        <v>"%USERPROFILE%\Documents\GitHub\eaglep3\Utilities\RefineRTDCRunTimes.py" --tripid 118-24 --locoid 4039 --swversion DE.1.0.9.0 --startMP 204:748 --initTime 2017-04-24T05:36:19 --startdatetime 2017-04-24T06:33:21 --delay 1 --endMP 204:233310 --enddatetime 2017-04-24T06:52:25 --enforcementcount 0 &gt;&gt;C:\Users\stu\Documents\GitHub\eaglep3-reporting\EC\2017-04-24-refined-times.txt</v>
      </c>
      <c r="AI30" s="99" t="str">
        <f t="shared" ref="AI30" si="25">"echo {""issue"":{""subject"":"""&amp;R30&amp;""",""project_id"":79,""tracker_id"":40,""status_id"":"&amp;redmine_status&amp;",""priority_id"":"&amp;redmine_priority&amp;",""assigned_to_id"":"&amp;redmine_assignee&amp;",""start_date"":"""&amp;TEXT(I30,"YYYY-mm-dd")&amp;""",""description"":"""&amp;AJ30&amp;""",""custom_fields"":[{""id"":1,""name"":""Subdivision"",""value"":"""&amp;AG30&amp;"""},{""id"":4,""name"":""Milepost"",""value"":"""&amp;Z30&amp;"""},{""id"":17,""name"":""Train ID"",""value"":"""&amp;A30&amp;"""},{""id"":16,""name"":""Locomotive ID"",""value"":"""&amp;B30&amp;"""},{""id"":130,""name"":""Impact"",""value"":"""&amp;AK30&amp;"""},{""id"":150,""name"":""Time of Event (Mountain Time)"",""value"":"""&amp;TEXT(I30,"hh:mm:ss")&amp;"""},{""id"":151,""name"":""Denver Issue ID"",""value"":"""&amp;"""},{""id"":178,""name"":""Operational Impact"",""value"":"""&amp;redmine_op_impact&amp;"""},{""id"":179,""name"":""Denver Segment Assigned"",""value"":"""&amp;AL30&amp;"""}]}}"&amp;" | curl -X POST -H ""Content-Type: application/json"" -H ""X-Redmine-API-Key: "&amp;redm_api_key&amp;""" "&amp;redm_url&amp;" --data @-"</f>
        <v>echo {"issue":{"subject":"TMDS bulletin retrieval failure","project_id":79,"tracker_id":40,"status_id":1,"priority_id":2,"assigned_to_id":23,"start_date":"2017-04-24","description":"","custom_fields":[{"id":1,"name":"Subdivision","value":"EC"},{"id":4,"name":"Milepost","value":"0"},{"id":17,"name":"Train ID","value":"118-24"},{"id":16,"name":"Locomotive ID","value":"4039"},{"id":130,"name":"Impact","value":""},{"id":150,"name":"Time of Event (Mountain Time)","value":"06:52:25"},{"id":151,"name":"Denver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ref="AM30" si="26">"start /low /b "&amp;dls3logs&amp;" --loco "&amp;B30&amp;" --day "&amp;TEXT(F30,"YYYY-MM-DD")</f>
        <v>start /low /b %USERPROFILE%\Documents\GitHub\eaglep3\Utilities\DownloadLogsFromS3.py --loco 4039 --day 2017-04-24</v>
      </c>
      <c r="AN30" s="154" t="str">
        <f t="shared" ref="AN30" si="27">"echo {""issue"":{""subject"":"""&amp;R30&amp;""",""project_id"":30,""tracker_id"":4,""status_id"":"&amp;redmine_status_wcr&amp;",""priority_id"":"&amp;redmine_priority_wcr&amp;",""assigned_to_id"":"&amp;redmine_assignee_wcr&amp;",""start_date"":"""&amp;TEXT(I30-utc_offset/24,"YYYY-mm-dd")&amp;""",""description"":"""&amp;AJ30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{"issue":{"subject":"TMDS bulletin retrieval failure","project_id":30,"tracker_id":4,"status_id":1,"priority_id":1,"assigned_to_id":10,"start_date":"2017-04-24","description":"","custom_fields":[{"id":30,"name":"Category","value":"Issue"},{"id":3,"name":"Functional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12:52:25"},{"id":29,"name":"Sharepoint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</row>
    <row r="31" spans="1:91" s="1" customFormat="1" x14ac:dyDescent="0.25">
      <c r="A31" s="32" t="s">
        <v>614</v>
      </c>
      <c r="B31" s="7">
        <v>4012</v>
      </c>
      <c r="C31" s="21" t="s">
        <v>212</v>
      </c>
      <c r="D31" s="21" t="s">
        <v>204</v>
      </c>
      <c r="E31" s="13">
        <v>42849.247465277775</v>
      </c>
      <c r="F31" s="13">
        <v>42849.2502662037</v>
      </c>
      <c r="G31" s="7">
        <v>1</v>
      </c>
      <c r="H31" s="21" t="s">
        <v>479</v>
      </c>
      <c r="I31" s="13">
        <v>42849.274548611109</v>
      </c>
      <c r="J31" s="7">
        <v>0</v>
      </c>
      <c r="K31" s="92" t="str">
        <f t="shared" si="0"/>
        <v>4011/4012</v>
      </c>
      <c r="L31" s="21" t="str">
        <f>VLOOKUP(A31,'Trips&amp;Operators'!$C$1:$G$99999,5,FALSE)</f>
        <v>YANAI IAN</v>
      </c>
      <c r="M31" s="6">
        <f t="shared" si="1"/>
        <v>2.4282407408463769E-2</v>
      </c>
      <c r="N31" s="7">
        <f>24*60*SUM($M31:$M31)</f>
        <v>34.966666668187827</v>
      </c>
      <c r="O31" s="7"/>
      <c r="P31" s="7"/>
      <c r="Q31" s="22"/>
      <c r="R31" s="191"/>
      <c r="S31" s="197">
        <f t="shared" si="3"/>
        <v>1</v>
      </c>
      <c r="T31" s="191" t="str">
        <f t="shared" si="4"/>
        <v>NorthBound</v>
      </c>
      <c r="U31" s="19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2" t="str">
        <f t="shared" si="5"/>
        <v>https://d0f6bd738d7f1b3e5a7ca70fe4ff75f0.us-east-1.aws.found.io/app/kibana#/discover/Steve-Slow-Train-Analysis-(2080s-and-2083s)?_g=(refreshInterval:(display:Off,pause:!f,section:0,value:0),time:(from:'2017-04-24T04:56:21-0600',mode:absolute,to:'2017-04-24T07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1" s="193" t="str">
        <f t="shared" si="6"/>
        <v>N</v>
      </c>
      <c r="X31" s="193">
        <f t="shared" si="23"/>
        <v>1</v>
      </c>
      <c r="Y31" s="193">
        <f>RIGHT(D31,LEN(D31)-4)/10000</f>
        <v>4.5699999999999998E-2</v>
      </c>
      <c r="Z31" s="193">
        <f>RIGHT(H31,LEN(H31)-4)/10000</f>
        <v>23.330500000000001</v>
      </c>
      <c r="AA31" s="193">
        <f t="shared" si="9"/>
        <v>23.284800000000001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0"/>
        <v>0119-24</v>
      </c>
      <c r="AE31" s="80" t="str">
        <f t="shared" si="11"/>
        <v>aws s3 cp s3://rtdc.mdm.uploadarchive.raw/RTDC4012/ "%USERPROFILE%\AppData\Local\Temp\OnboardLogs"\RTDC4012\2017-04-24 --exclude "*" --recursive --include "*20170424*" &amp; "%USERPROFILE%\Documents\GitHub\mrs-test-scripts\Headless Mode &amp; Sideloading\WalkAndUnGZ.bat" "%USERPROFILE%\AppData\Local\Temp\OnboardLogs"\RTDC4012\2017-04-24 &amp; aws s3 cp s3://rtdc.mdm.uploadarchive.raw/RTDC4012/ "%USERPROFILE%\AppData\Local\Temp\OnboardLogs"\RTDC4012\2017-04-25 --exclude "*" --recursive --include "*20170425*" &amp; "%USERPROFILE%\Documents\GitHub\mrs-test-scripts\Headless Mode &amp; Sideloading\WalkAndUnGZ.bat" "%USERPROFILE%\AppData\Local\Temp\OnboardLogs"\RTDC4012\2017-04-25</v>
      </c>
      <c r="AF31" s="77" t="str">
        <f t="shared" si="12"/>
        <v>"C:\Program Files (x86)\AstroGrep\AstroGrep.exe" /e /r /s /spath="%USERPROFILE%\AppData\Local\Temp\OnboardLogs" /stypes="app*4012*20170424*" /stext=" 12:.+((SYSTEM_STATE.+slice.+state.+changed )|(ment ac)|(multiple cpu faults)|(system.+state.+changed )|(\[timeout)|(PRM\|1\|D)|(kpr)|(kdp)|(train.+moving)|(\|lc)|(penalty))"</v>
      </c>
      <c r="AG31" s="1" t="str">
        <f t="shared" si="13"/>
        <v>EC</v>
      </c>
      <c r="AH31" s="81" t="str">
        <f t="shared" si="18"/>
        <v>"%USERPROFILE%\Documents\GitHub\eaglep3\Utilities\RefineRTDCRunTimes.py" --tripid 119-24 --locoid 4012 --swversion DE.1.0.9.0 --startMP 204:457 --initTime 2017-04-24T05:56:21 --startdatetime 2017-04-24T06:00:23 --delay 1 --endMP 204:233305 --enddatetime 2017-04-24T06:35:21 --enforcementcount 0 &gt;&gt;C:\Users\stu\Documents\GitHub\eaglep3-reporting\EC\2017-04-24-refined-times.txt</v>
      </c>
      <c r="AI31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{"issue":{"subject":"","project_id":79,"tracker_id":40,"status_id":1,"priority_id":2,"assigned_to_id":23,"start_date":"2017-04-24","description":"","custom_fields":[{"id":1,"name":"Subdivision","value":"EC"},{"id":4,"name":"Milepost","value":"23.3305"},{"id":17,"name":"Train ID","value":"119-24"},{"id":16,"name":"Locomotive ID","value":"4012"},{"id":130,"name":"Impact","value":""},{"id":150,"name":"Time of Event (Mountain Time)","value":"06:35:21"},{"id":151,"name":"Denver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0"/>
        <v>start /low /b %USERPROFILE%\Documents\GitHub\eaglep3\Utilities\DownloadLogsFromS3.py --loco 4012 --day 2017-04-24</v>
      </c>
      <c r="AN31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12:35:21"},{"id":29,"name":"Sharepoint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627</v>
      </c>
      <c r="B32" s="7">
        <v>4011</v>
      </c>
      <c r="C32" s="21" t="s">
        <v>212</v>
      </c>
      <c r="D32" s="21" t="s">
        <v>452</v>
      </c>
      <c r="E32" s="13">
        <v>42849.276319444441</v>
      </c>
      <c r="F32" s="13">
        <v>42849.289340277777</v>
      </c>
      <c r="G32" s="7">
        <v>1</v>
      </c>
      <c r="H32" s="21" t="s">
        <v>455</v>
      </c>
      <c r="I32" s="13">
        <v>42849.31585648148</v>
      </c>
      <c r="J32" s="7">
        <v>0</v>
      </c>
      <c r="K32" s="92" t="str">
        <f t="shared" si="0"/>
        <v>4011/4012</v>
      </c>
      <c r="L32" s="21" t="str">
        <f>VLOOKUP(A32,'Trips&amp;Operators'!$C$1:$G$99999,5,FALSE)</f>
        <v>YANAI IAN</v>
      </c>
      <c r="M32" s="6">
        <f t="shared" si="1"/>
        <v>2.6516203703067731E-2</v>
      </c>
      <c r="N32" s="7">
        <f>24*60*SUM($M32:$M32)</f>
        <v>38.183333332417533</v>
      </c>
      <c r="O32" s="7"/>
      <c r="P32" s="7"/>
      <c r="Q32" s="22"/>
      <c r="R32" s="191"/>
      <c r="S32" s="197">
        <f t="shared" si="3"/>
        <v>1</v>
      </c>
      <c r="T32" s="191" t="str">
        <f t="shared" si="4"/>
        <v>Southbound</v>
      </c>
      <c r="U32" s="19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2" t="str">
        <f t="shared" si="5"/>
        <v>https://d0f6bd738d7f1b3e5a7ca70fe4ff75f0.us-east-1.aws.found.io/app/kibana#/discover/Steve-Slow-Train-Analysis-(2080s-and-2083s)?_g=(refreshInterval:(display:Off,pause:!f,section:0,value:0),time:(from:'2017-04-24T05:37:54-0600',mode:absolute,to:'2017-04-24T08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2" s="193" t="str">
        <f t="shared" si="6"/>
        <v>N</v>
      </c>
      <c r="X32" s="193">
        <f t="shared" si="23"/>
        <v>1</v>
      </c>
      <c r="Y32" s="193">
        <f>RIGHT(D32,LEN(D32)-4)/10000</f>
        <v>23.299399999999999</v>
      </c>
      <c r="Z32" s="193">
        <f>RIGHT(H32,LEN(H32)-4)/10000</f>
        <v>1.34E-2</v>
      </c>
      <c r="AA32" s="193">
        <f t="shared" si="9"/>
        <v>23.285999999999998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0"/>
        <v>0120-24</v>
      </c>
      <c r="AE32" s="80" t="str">
        <f t="shared" si="11"/>
        <v>aws s3 cp s3://rtdc.mdm.uploadarchive.raw/RTDC4011/ "%USERPROFILE%\AppData\Local\Temp\OnboardLogs"\RTDC4011\2017-04-24 --exclude "*" --recursive --include "*20170424*" &amp; "%USERPROFILE%\Documents\GitHub\mrs-test-scripts\Headless Mode &amp; Sideloading\WalkAndUnGZ.bat" "%USERPROFILE%\AppData\Local\Temp\OnboardLogs"\RTDC4011\2017-04-24 &amp; aws s3 cp s3://rtdc.mdm.uploadarchive.raw/RTDC4011/ "%USERPROFILE%\AppData\Local\Temp\OnboardLogs"\RTDC4011\2017-04-25 --exclude "*" --recursive --include "*20170425*" &amp; "%USERPROFILE%\Documents\GitHub\mrs-test-scripts\Headless Mode &amp; Sideloading\WalkAndUnGZ.bat" "%USERPROFILE%\AppData\Local\Temp\OnboardLogs"\RTDC4011\2017-04-25</v>
      </c>
      <c r="AF32" s="77" t="str">
        <f t="shared" si="12"/>
        <v>"C:\Program Files (x86)\AstroGrep\AstroGrep.exe" /e /r /s /spath="%USERPROFILE%\AppData\Local\Temp\OnboardLogs" /stypes="app*4011*20170424*" /stext=" 13:.+((SYSTEM_STATE.+slice.+state.+changed )|(ment ac)|(multiple cpu faults)|(system.+state.+changed )|(\[timeout)|(PRM\|1\|D)|(kpr)|(kdp)|(train.+moving)|(\|lc)|(penalty))"</v>
      </c>
      <c r="AG32" s="1" t="str">
        <f t="shared" si="13"/>
        <v>EC</v>
      </c>
      <c r="AH32" s="81" t="str">
        <f t="shared" si="18"/>
        <v>"%USERPROFILE%\Documents\GitHub\eaglep3\Utilities\RefineRTDCRunTimes.py" --tripid 120-24 --locoid 4011 --swversion DE.1.0.9.0 --startMP 204:232994 --initTime 2017-04-24T06:37:54 --startdatetime 2017-04-24T06:56:39 --delay 1 --endMP 204:134 --enddatetime 2017-04-24T07:34:50 --enforcementcount 0 &gt;&gt;C:\Users\stu\Documents\GitHub\eaglep3-reporting\EC\2017-04-24-refined-times.txt</v>
      </c>
      <c r="AI32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{"issue":{"subject":"","project_id":79,"tracker_id":40,"status_id":1,"priority_id":2,"assigned_to_id":23,"start_date":"2017-04-24","description":"","custom_fields":[{"id":1,"name":"Subdivision","value":"EC"},{"id":4,"name":"Milepost","value":"0.0134"},{"id":17,"name":"Train ID","value":"120-24"},{"id":16,"name":"Locomotive ID","value":"4011"},{"id":130,"name":"Impact","value":""},{"id":150,"name":"Time of Event (Mountain Time)","value":"07:34:50"},{"id":151,"name":"Denver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0"/>
        <v>start /low /b %USERPROFILE%\Documents\GitHub\eaglep3\Utilities\DownloadLogsFromS3.py --loco 4011 --day 2017-04-24</v>
      </c>
      <c r="AN32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13:34:50"},{"id":29,"name":"Sharepoint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621</v>
      </c>
      <c r="B33" s="7">
        <v>4028</v>
      </c>
      <c r="C33" s="21" t="s">
        <v>212</v>
      </c>
      <c r="D33" s="21" t="s">
        <v>205</v>
      </c>
      <c r="E33" s="13">
        <v>42849.255995370368</v>
      </c>
      <c r="F33" s="13">
        <v>42849.260775462964</v>
      </c>
      <c r="G33" s="7">
        <v>1</v>
      </c>
      <c r="H33" s="21" t="s">
        <v>802</v>
      </c>
      <c r="I33" s="13">
        <v>42849.286365740743</v>
      </c>
      <c r="J33" s="7">
        <v>0</v>
      </c>
      <c r="K33" s="92" t="str">
        <f t="shared" si="0"/>
        <v>4027/4028</v>
      </c>
      <c r="L33" s="21" t="str">
        <f>VLOOKUP(A33,'Trips&amp;Operators'!$C$1:$G$99999,5,FALSE)</f>
        <v>BIRENBAUM THOMAS</v>
      </c>
      <c r="M33" s="6">
        <f t="shared" si="1"/>
        <v>2.5590277778974269E-2</v>
      </c>
      <c r="N33" s="7">
        <f>24*60*SUM($M33:$M33)</f>
        <v>36.850000001722947</v>
      </c>
      <c r="O33" s="7"/>
      <c r="P33" s="7"/>
      <c r="Q33" s="22"/>
      <c r="R33" s="191"/>
      <c r="S33" s="197">
        <f t="shared" si="3"/>
        <v>1</v>
      </c>
      <c r="T33" s="191" t="str">
        <f t="shared" si="4"/>
        <v>NorthBound</v>
      </c>
      <c r="U33" s="19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2" t="str">
        <f t="shared" si="5"/>
        <v>https://d0f6bd738d7f1b3e5a7ca70fe4ff75f0.us-east-1.aws.found.io/app/kibana#/discover/Steve-Slow-Train-Analysis-(2080s-and-2083s)?_g=(refreshInterval:(display:Off,pause:!f,section:0,value:0),time:(from:'2017-04-24T05:08:38-0600',mode:absolute,to:'2017-04-24T07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3" s="193" t="str">
        <f t="shared" si="6"/>
        <v>N</v>
      </c>
      <c r="X33" s="193">
        <f t="shared" si="23"/>
        <v>1</v>
      </c>
      <c r="Y33" s="193">
        <f>RIGHT(D33,LEN(D33)-4)/10000</f>
        <v>4.5999999999999999E-2</v>
      </c>
      <c r="Z33" s="193">
        <f>RIGHT(H33,LEN(H33)-4)/10000</f>
        <v>23.328700000000001</v>
      </c>
      <c r="AA33" s="193">
        <f t="shared" si="9"/>
        <v>23.282700000000002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0"/>
        <v>0121-24</v>
      </c>
      <c r="AE33" s="80" t="str">
        <f t="shared" si="11"/>
        <v>aws s3 cp s3://rtdc.mdm.uploadarchive.raw/RTDC4028/ "%USERPROFILE%\AppData\Local\Temp\OnboardLogs"\RTDC4028\2017-04-24 --exclude "*" --recursive --include "*20170424*" &amp; "%USERPROFILE%\Documents\GitHub\mrs-test-scripts\Headless Mode &amp; Sideloading\WalkAndUnGZ.bat" "%USERPROFILE%\AppData\Local\Temp\OnboardLogs"\RTDC4028\2017-04-24 &amp; aws s3 cp s3://rtdc.mdm.uploadarchive.raw/RTDC4028/ "%USERPROFILE%\AppData\Local\Temp\OnboardLogs"\RTDC4028\2017-04-25 --exclude "*" --recursive --include "*20170425*" &amp; "%USERPROFILE%\Documents\GitHub\mrs-test-scripts\Headless Mode &amp; Sideloading\WalkAndUnGZ.bat" "%USERPROFILE%\AppData\Local\Temp\OnboardLogs"\RTDC4028\2017-04-25</v>
      </c>
      <c r="AF33" s="77" t="str">
        <f t="shared" si="12"/>
        <v>"C:\Program Files (x86)\AstroGrep\AstroGrep.exe" /e /r /s /spath="%USERPROFILE%\AppData\Local\Temp\OnboardLogs" /stypes="app*4028*20170424*" /stext=" 12:.+((SYSTEM_STATE.+slice.+state.+changed )|(ment ac)|(multiple cpu faults)|(system.+state.+changed )|(\[timeout)|(PRM\|1\|D)|(kpr)|(kdp)|(train.+moving)|(\|lc)|(penalty))"</v>
      </c>
      <c r="AG33" s="1" t="str">
        <f t="shared" si="13"/>
        <v>EC</v>
      </c>
      <c r="AH33" s="81" t="str">
        <f t="shared" si="18"/>
        <v>"%USERPROFILE%\Documents\GitHub\eaglep3\Utilities\RefineRTDCRunTimes.py" --tripid 121-24 --locoid 4028 --swversion DE.1.0.9.0 --startMP 204:460 --initTime 2017-04-24T06:08:38 --startdatetime 2017-04-24T06:15:31 --delay 1 --endMP 204:233287 --enddatetime 2017-04-24T06:52:22 --enforcementcount 0 &gt;&gt;C:\Users\stu\Documents\GitHub\eaglep3-reporting\EC\2017-04-24-refined-times.txt</v>
      </c>
      <c r="AI33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{"issue":{"subject":"","project_id":79,"tracker_id":40,"status_id":1,"priority_id":2,"assigned_to_id":23,"start_date":"2017-04-24","description":"","custom_fields":[{"id":1,"name":"Subdivision","value":"EC"},{"id":4,"name":"Milepost","value":"23.3287"},{"id":17,"name":"Train ID","value":"121-24"},{"id":16,"name":"Locomotive ID","value":"4028"},{"id":130,"name":"Impact","value":""},{"id":150,"name":"Time of Event (Mountain Time)","value":"06:52:22"},{"id":151,"name":"Denver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0"/>
        <v>start /low /b %USERPROFILE%\Documents\GitHub\eaglep3\Utilities\DownloadLogsFromS3.py --loco 4028 --day 2017-04-24</v>
      </c>
      <c r="AN33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12:52:22"},{"id":29,"name":"Sharepoint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630</v>
      </c>
      <c r="B34" s="7">
        <v>4027</v>
      </c>
      <c r="C34" s="21" t="s">
        <v>212</v>
      </c>
      <c r="D34" s="21" t="s">
        <v>205</v>
      </c>
      <c r="E34" s="13">
        <v>42849.255995370368</v>
      </c>
      <c r="F34" s="13">
        <v>42849.288738425923</v>
      </c>
      <c r="G34" s="7">
        <v>1</v>
      </c>
      <c r="H34" s="21" t="s">
        <v>802</v>
      </c>
      <c r="I34" s="13">
        <v>42849.301990740743</v>
      </c>
      <c r="J34" s="7">
        <v>0</v>
      </c>
      <c r="K34" s="92" t="str">
        <f t="shared" ref="K34:K36" si="28">IF(ISEVEN(B34),(B34-1)&amp;"/"&amp;B34,B34&amp;"/"&amp;(B34+1))</f>
        <v>4027/4028</v>
      </c>
      <c r="L34" s="21" t="str">
        <f>VLOOKUP(A34,'Trips&amp;Operators'!$C$1:$G$99999,5,FALSE)</f>
        <v>BIRENBAUM THOMAS</v>
      </c>
      <c r="M34" s="6">
        <f t="shared" ref="M34:M36" si="29">I34-F34</f>
        <v>1.3252314820419997E-2</v>
      </c>
      <c r="N34" s="7"/>
      <c r="O34" s="7"/>
      <c r="P34" s="7">
        <f t="shared" ref="P34:P36" si="30">24*60*SUM($M34:$M34)</f>
        <v>19.083333341404796</v>
      </c>
      <c r="Q34" s="22"/>
      <c r="R34" s="191" t="s">
        <v>969</v>
      </c>
      <c r="S34" s="197">
        <f t="shared" ref="S34:S36" si="31">SUM(U34:U34)/IF(AG34="EC",12,1)</f>
        <v>0</v>
      </c>
      <c r="T34" s="191" t="str">
        <f t="shared" ref="T34:T36" si="32">IF(ISEVEN(LEFT(AD34,4)),"Southbound","NorthBound")</f>
        <v>Southbound</v>
      </c>
      <c r="U34" s="19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0</v>
      </c>
      <c r="V34" s="192" t="str">
        <f t="shared" si="5"/>
        <v>https://d0f6bd738d7f1b3e5a7ca70fe4ff75f0.us-east-1.aws.found.io/app/kibana#/discover/Steve-Slow-Train-Analysis-(2080s-and-2083s)?_g=(refreshInterval:(display:Off,pause:!f,section:0,value:0),time:(from:'2017-04-24T05:08:38-0600',mode:absolute,to:'2017-04-24T08:14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4" s="193" t="str">
        <f t="shared" ref="W34:W36" si="33">IF(AA34&lt;IF(AG34="EC",23,5.65),"Y","N")</f>
        <v>Y</v>
      </c>
      <c r="X34" s="193">
        <f t="shared" ref="X34:X38" si="34">VALUE(LEFT(AD34,4))-VALUE(LEFT(AD33,4))</f>
        <v>1</v>
      </c>
      <c r="Y34" s="193">
        <v>0</v>
      </c>
      <c r="Z34" s="193">
        <v>0</v>
      </c>
      <c r="AA34" s="193">
        <f t="shared" ref="AA34:AA36" si="35">ABS(Z34-Y34)</f>
        <v>0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ref="AD34:AD36" si="36">IF(LEN(A34)=6,"0"&amp;A34,A34)</f>
        <v>0122-24</v>
      </c>
      <c r="AE34" s="80" t="str">
        <f t="shared" si="11"/>
        <v>aws s3 cp s3://rtdc.mdm.uploadarchive.raw/RTDC4027/ "%USERPROFILE%\AppData\Local\Temp\OnboardLogs"\RTDC4027\2017-04-24 --exclude "*" --recursive --include "*20170424*" &amp; "%USERPROFILE%\Documents\GitHub\mrs-test-scripts\Headless Mode &amp; Sideloading\WalkAndUnGZ.bat" "%USERPROFILE%\AppData\Local\Temp\OnboardLogs"\RTDC4027\2017-04-24 &amp; aws s3 cp s3://rtdc.mdm.uploadarchive.raw/RTDC4027/ "%USERPROFILE%\AppData\Local\Temp\OnboardLogs"\RTDC4027\2017-04-25 --exclude "*" --recursive --include "*20170425*" &amp; "%USERPROFILE%\Documents\GitHub\mrs-test-scripts\Headless Mode &amp; Sideloading\WalkAndUnGZ.bat" "%USERPROFILE%\AppData\Local\Temp\OnboardLogs"\RTDC4027\2017-04-25</v>
      </c>
      <c r="AF34" s="77" t="str">
        <f t="shared" si="12"/>
        <v>"C:\Program Files (x86)\AstroGrep\AstroGrep.exe" /e /r /s /spath="%USERPROFILE%\AppData\Local\Temp\OnboardLogs" /stypes="app*4027*20170424*" /stext=" 13:.+((SYSTEM_STATE.+slice.+state.+changed )|(ment ac)|(multiple cpu faults)|(system.+state.+changed )|(\[timeout)|(PRM\|1\|D)|(kpr)|(kdp)|(train.+moving)|(\|lc)|(penalty))"</v>
      </c>
      <c r="AG34" s="1" t="str">
        <f t="shared" ref="AG34:AG36" si="37">IFERROR(IF(VALUE(LEFT(AD34,2))&lt;=2,"EC",IF(OR(VALUE(LEFT(AD34,2))=8,VALUE(LEFT(AD34,2))=18),"NW","Other")),"Other")</f>
        <v>EC</v>
      </c>
      <c r="AH34" s="81" t="str">
        <f t="shared" ref="AH34:AH36" si="38">refinertdcruntimes&amp;" --tripid "&amp;A34&amp;" --locoid "&amp;B34&amp;" --swversion "&amp;C34&amp;" --startMP "&amp;D34&amp;" --initTime "&amp;TEXT(E34,"yyyy-mm-ddTHH:MM:SS")&amp;" --startdatetime "&amp;TEXT(F34,"yyyy-mm-ddTHH:MM:SS")&amp;" --delay "&amp;G34&amp;" --endMP "&amp;H34&amp;" --enddatetime "&amp;TEXT(I34,"yyyy-mm-ddTHH:MM:SS")&amp;" --enforcementcount "&amp;J34&amp;IF(outputrefinedruntimes," &gt;&gt;"&amp;RefinedRTDCRunTimesOutputFile,"")</f>
        <v>"%USERPROFILE%\Documents\GitHub\eaglep3\Utilities\RefineRTDCRunTimes.py" --tripid 122-24 --locoid 4027 --swversion DE.1.0.9.0 --startMP 204:460 --initTime 2017-04-24T06:08:38 --startdatetime 2017-04-24T06:55:47 --delay 1 --endMP 204:233287 --enddatetime 2017-04-24T07:14:52 --enforcementcount 0 &gt;&gt;C:\Users\stu\Documents\GitHub\eaglep3-reporting\EC\2017-04-24-refined-times.txt</v>
      </c>
      <c r="AI34" s="99" t="str">
        <f t="shared" ref="AI34:AI36" si="39">"echo {""issue"":{""subject"":"""&amp;R34&amp;""",""project_id"":79,""tracker_id"":40,""status_id"":"&amp;redmine_status&amp;",""priority_id"":"&amp;redmine_priority&amp;",""assigned_to_id"":"&amp;redmine_assignee&amp;",""start_date"":"""&amp;TEXT(I34,"YYYY-mm-dd")&amp;""",""description"":"""&amp;AJ34&amp;""",""custom_fields"":[{""id"":1,""name"":""Subdivision"",""value"":"""&amp;AG34&amp;"""},{""id"":4,""name"":""Milepost"",""value"":"""&amp;Z34&amp;"""},{""id"":17,""name"":""Train ID"",""value"":"""&amp;A34&amp;"""},{""id"":16,""name"":""Locomotive ID"",""value"":"""&amp;B34&amp;"""},{""id"":130,""name"":""Impact"",""value"":"""&amp;AK34&amp;"""},{""id"":150,""name"":""Time of Event (Mountain Time)"",""value"":"""&amp;TEXT(I34,"hh:mm:ss")&amp;"""},{""id"":151,""name"":""Denver Issue ID"",""value"":"""&amp;"""},{""id"":178,""name"":""Operational Impact"",""value"":"""&amp;redmine_op_impact&amp;"""},{""id"":179,""name"":""Denver Segment Assigned"",""value"":"""&amp;AL34&amp;"""}]}}"&amp;" | curl -X POST -H ""Content-Type: application/json"" -H ""X-Redmine-API-Key: "&amp;redm_api_key&amp;""" "&amp;redm_url&amp;" --data @-"</f>
        <v>echo {"issue":{"subject":"TMDS bulletin retrieval failure","project_id":79,"tracker_id":40,"status_id":1,"priority_id":2,"assigned_to_id":23,"start_date":"2017-04-24","description":"","custom_fields":[{"id":1,"name":"Subdivision","value":"EC"},{"id":4,"name":"Milepost","value":"0"},{"id":17,"name":"Train ID","value":"122-24"},{"id":16,"name":"Locomotive ID","value":"4027"},{"id":130,"name":"Impact","value":""},{"id":150,"name":"Time of Event (Mountain Time)","value":"07:14:52"},{"id":151,"name":"Denver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ref="AM34:AM36" si="40">"start /low /b "&amp;dls3logs&amp;" --loco "&amp;B34&amp;" --day "&amp;TEXT(F34,"YYYY-MM-DD")</f>
        <v>start /low /b %USERPROFILE%\Documents\GitHub\eaglep3\Utilities\DownloadLogsFromS3.py --loco 4027 --day 2017-04-24</v>
      </c>
      <c r="AN34" s="154" t="str">
        <f t="shared" ref="AN34:AN36" si="41">"echo {""issue"":{""subject"":"""&amp;R34&amp;""",""project_id"":30,""tracker_id"":4,""status_id"":"&amp;redmine_status_wcr&amp;",""priority_id"":"&amp;redmine_priority_wcr&amp;",""assigned_to_id"":"&amp;redmine_assignee_wcr&amp;",""start_date"":"""&amp;TEXT(I34-utc_offset/24,"YYYY-mm-dd")&amp;""",""description"":"""&amp;AJ34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{"issue":{"subject":"TMDS bulletin retrieval failure","project_id":30,"tracker_id":4,"status_id":1,"priority_id":1,"assigned_to_id":10,"start_date":"2017-04-24","description":"","custom_fields":[{"id":30,"name":"Category","value":"Issue"},{"id":3,"name":"Functional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13:14:52"},{"id":29,"name":"Sharepoint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</row>
    <row r="35" spans="1:91" s="1" customFormat="1" x14ac:dyDescent="0.25">
      <c r="A35" s="32" t="s">
        <v>624</v>
      </c>
      <c r="B35" s="7">
        <v>4030</v>
      </c>
      <c r="C35" s="21" t="s">
        <v>212</v>
      </c>
      <c r="D35" s="21" t="s">
        <v>205</v>
      </c>
      <c r="E35" s="13">
        <v>42849.255995370368</v>
      </c>
      <c r="F35" s="13">
        <v>42849.267893518518</v>
      </c>
      <c r="G35" s="7">
        <v>1</v>
      </c>
      <c r="H35" s="21" t="s">
        <v>802</v>
      </c>
      <c r="I35" s="13">
        <v>42849.276400462964</v>
      </c>
      <c r="J35" s="7">
        <v>0</v>
      </c>
      <c r="K35" s="92" t="str">
        <f t="shared" si="28"/>
        <v>4029/4030</v>
      </c>
      <c r="L35" s="21" t="str">
        <f>VLOOKUP(A35,'Trips&amp;Operators'!$C$1:$G$99999,5,FALSE)</f>
        <v>SHOOK JOHN</v>
      </c>
      <c r="M35" s="6">
        <f t="shared" si="29"/>
        <v>8.5069444467080757E-3</v>
      </c>
      <c r="N35" s="7"/>
      <c r="O35" s="7"/>
      <c r="P35" s="7">
        <f t="shared" si="30"/>
        <v>12.250000003259629</v>
      </c>
      <c r="Q35" s="22"/>
      <c r="R35" s="191" t="s">
        <v>969</v>
      </c>
      <c r="S35" s="197">
        <f t="shared" si="31"/>
        <v>0</v>
      </c>
      <c r="T35" s="191" t="str">
        <f t="shared" si="32"/>
        <v>NorthBound</v>
      </c>
      <c r="U35" s="19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0</v>
      </c>
      <c r="V35" s="192" t="str">
        <f t="shared" si="5"/>
        <v>https://d0f6bd738d7f1b3e5a7ca70fe4ff75f0.us-east-1.aws.found.io/app/kibana#/discover/Steve-Slow-Train-Analysis-(2080s-and-2083s)?_g=(refreshInterval:(display:Off,pause:!f,section:0,value:0),time:(from:'2017-04-24T05:08:38-0600',mode:absolute,to:'2017-04-24T07:38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5" s="193" t="str">
        <f t="shared" si="33"/>
        <v>Y</v>
      </c>
      <c r="X35" s="193">
        <f t="shared" si="34"/>
        <v>1</v>
      </c>
      <c r="Y35" s="193">
        <v>0</v>
      </c>
      <c r="Z35" s="193">
        <v>0</v>
      </c>
      <c r="AA35" s="193">
        <f t="shared" si="35"/>
        <v>0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36"/>
        <v>0123-24</v>
      </c>
      <c r="AE35" s="80" t="str">
        <f t="shared" si="11"/>
        <v>aws s3 cp s3://rtdc.mdm.uploadarchive.raw/RTDC4030/ "%USERPROFILE%\AppData\Local\Temp\OnboardLogs"\RTDC4030\2017-04-24 --exclude "*" --recursive --include "*20170424*" &amp; "%USERPROFILE%\Documents\GitHub\mrs-test-scripts\Headless Mode &amp; Sideloading\WalkAndUnGZ.bat" "%USERPROFILE%\AppData\Local\Temp\OnboardLogs"\RTDC4030\2017-04-24 &amp; aws s3 cp s3://rtdc.mdm.uploadarchive.raw/RTDC4030/ "%USERPROFILE%\AppData\Local\Temp\OnboardLogs"\RTDC4030\2017-04-25 --exclude "*" --recursive --include "*20170425*" &amp; "%USERPROFILE%\Documents\GitHub\mrs-test-scripts\Headless Mode &amp; Sideloading\WalkAndUnGZ.bat" "%USERPROFILE%\AppData\Local\Temp\OnboardLogs"\RTDC4030\2017-04-25</v>
      </c>
      <c r="AF35" s="77" t="str">
        <f t="shared" si="12"/>
        <v>"C:\Program Files (x86)\AstroGrep\AstroGrep.exe" /e /r /s /spath="%USERPROFILE%\AppData\Local\Temp\OnboardLogs" /stypes="app*4030*20170424*" /stext=" 12:.+((SYSTEM_STATE.+slice.+state.+changed )|(ment ac)|(multiple cpu faults)|(system.+state.+changed )|(\[timeout)|(PRM\|1\|D)|(kpr)|(kdp)|(train.+moving)|(\|lc)|(penalty))"</v>
      </c>
      <c r="AG35" s="1" t="str">
        <f t="shared" si="37"/>
        <v>EC</v>
      </c>
      <c r="AH35" s="81" t="str">
        <f t="shared" si="38"/>
        <v>"%USERPROFILE%\Documents\GitHub\eaglep3\Utilities\RefineRTDCRunTimes.py" --tripid 123-24 --locoid 4030 --swversion DE.1.0.9.0 --startMP 204:460 --initTime 2017-04-24T06:08:38 --startdatetime 2017-04-24T06:25:46 --delay 1 --endMP 204:233287 --enddatetime 2017-04-24T06:38:01 --enforcementcount 0 &gt;&gt;C:\Users\stu\Documents\GitHub\eaglep3-reporting\EC\2017-04-24-refined-times.txt</v>
      </c>
      <c r="AI35" s="99" t="str">
        <f t="shared" si="39"/>
        <v>echo {"issue":{"subject":"TMDS bulletin retrieval failure","project_id":79,"tracker_id":40,"status_id":1,"priority_id":2,"assigned_to_id":23,"start_date":"2017-04-24","description":"","custom_fields":[{"id":1,"name":"Subdivision","value":"EC"},{"id":4,"name":"Milepost","value":"0"},{"id":17,"name":"Train ID","value":"123-24"},{"id":16,"name":"Locomotive ID","value":"4030"},{"id":130,"name":"Impact","value":""},{"id":150,"name":"Time of Event (Mountain Time)","value":"06:38:01"},{"id":151,"name":"Denver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40"/>
        <v>start /low /b %USERPROFILE%\Documents\GitHub\eaglep3\Utilities\DownloadLogsFromS3.py --loco 4030 --day 2017-04-24</v>
      </c>
      <c r="AN35" s="154" t="str">
        <f t="shared" si="41"/>
        <v>echo {"issue":{"subject":"TMDS bulletin retrieval failure","project_id":30,"tracker_id":4,"status_id":1,"priority_id":1,"assigned_to_id":10,"start_date":"2017-04-24","description":"","custom_fields":[{"id":30,"name":"Category","value":"Issue"},{"id":3,"name":"Functional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12:38:01"},{"id":29,"name":"Sharepoint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  <c r="BI35" s="20"/>
      <c r="BJ35" s="20"/>
      <c r="BK35" s="20"/>
      <c r="BL35" s="20"/>
      <c r="BM35" s="20"/>
      <c r="BN35" s="20"/>
      <c r="BO35" s="20"/>
      <c r="BP35" s="20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</row>
    <row r="36" spans="1:91" s="1" customFormat="1" x14ac:dyDescent="0.25">
      <c r="A36" s="32" t="s">
        <v>634</v>
      </c>
      <c r="B36" s="7">
        <v>4029</v>
      </c>
      <c r="C36" s="21" t="s">
        <v>212</v>
      </c>
      <c r="D36" s="21" t="s">
        <v>205</v>
      </c>
      <c r="E36" s="13">
        <v>42849.255995370368</v>
      </c>
      <c r="F36" s="13">
        <v>42849.30097222222</v>
      </c>
      <c r="G36" s="7">
        <v>1</v>
      </c>
      <c r="H36" s="21" t="s">
        <v>802</v>
      </c>
      <c r="I36" s="13">
        <v>42849.308831018519</v>
      </c>
      <c r="J36" s="7">
        <v>0</v>
      </c>
      <c r="K36" s="92" t="str">
        <f t="shared" si="28"/>
        <v>4029/4030</v>
      </c>
      <c r="L36" s="21" t="str">
        <f>VLOOKUP(A36,'Trips&amp;Operators'!$C$1:$G$99999,5,FALSE)</f>
        <v>SHOOK JOHN</v>
      </c>
      <c r="M36" s="6">
        <f t="shared" si="29"/>
        <v>7.8587962998426519E-3</v>
      </c>
      <c r="N36" s="7"/>
      <c r="O36" s="7"/>
      <c r="P36" s="7">
        <f t="shared" si="30"/>
        <v>11.316666671773419</v>
      </c>
      <c r="Q36" s="22"/>
      <c r="R36" s="191" t="s">
        <v>969</v>
      </c>
      <c r="S36" s="197">
        <f t="shared" si="31"/>
        <v>0</v>
      </c>
      <c r="T36" s="191" t="str">
        <f t="shared" si="32"/>
        <v>Southbound</v>
      </c>
      <c r="U36" s="19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0</v>
      </c>
      <c r="V36" s="192" t="str">
        <f t="shared" si="5"/>
        <v>https://d0f6bd738d7f1b3e5a7ca70fe4ff75f0.us-east-1.aws.found.io/app/kibana#/discover/Steve-Slow-Train-Analysis-(2080s-and-2083s)?_g=(refreshInterval:(display:Off,pause:!f,section:0,value:0),time:(from:'2017-04-24T05:08:38-0600',mode:absolute,to:'2017-04-24T08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6" s="193" t="str">
        <f t="shared" si="33"/>
        <v>Y</v>
      </c>
      <c r="X36" s="193">
        <f t="shared" si="34"/>
        <v>1</v>
      </c>
      <c r="Y36" s="193">
        <v>0</v>
      </c>
      <c r="Z36" s="193">
        <v>0</v>
      </c>
      <c r="AA36" s="193">
        <f t="shared" si="35"/>
        <v>0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36"/>
        <v>0124-24</v>
      </c>
      <c r="AE36" s="80" t="str">
        <f t="shared" si="11"/>
        <v>aws s3 cp s3://rtdc.mdm.uploadarchive.raw/RTDC4029/ "%USERPROFILE%\AppData\Local\Temp\OnboardLogs"\RTDC4029\2017-04-24 --exclude "*" --recursive --include "*20170424*" &amp; "%USERPROFILE%\Documents\GitHub\mrs-test-scripts\Headless Mode &amp; Sideloading\WalkAndUnGZ.bat" "%USERPROFILE%\AppData\Local\Temp\OnboardLogs"\RTDC4029\2017-04-24 &amp; aws s3 cp s3://rtdc.mdm.uploadarchive.raw/RTDC4029/ "%USERPROFILE%\AppData\Local\Temp\OnboardLogs"\RTDC4029\2017-04-25 --exclude "*" --recursive --include "*20170425*" &amp; "%USERPROFILE%\Documents\GitHub\mrs-test-scripts\Headless Mode &amp; Sideloading\WalkAndUnGZ.bat" "%USERPROFILE%\AppData\Local\Temp\OnboardLogs"\RTDC4029\2017-04-25</v>
      </c>
      <c r="AF36" s="77" t="str">
        <f t="shared" si="12"/>
        <v>"C:\Program Files (x86)\AstroGrep\AstroGrep.exe" /e /r /s /spath="%USERPROFILE%\AppData\Local\Temp\OnboardLogs" /stypes="app*4029*20170424*" /stext=" 13:.+((SYSTEM_STATE.+slice.+state.+changed )|(ment ac)|(multiple cpu faults)|(system.+state.+changed )|(\[timeout)|(PRM\|1\|D)|(kpr)|(kdp)|(train.+moving)|(\|lc)|(penalty))"</v>
      </c>
      <c r="AG36" s="1" t="str">
        <f t="shared" si="37"/>
        <v>EC</v>
      </c>
      <c r="AH36" s="81" t="str">
        <f t="shared" si="38"/>
        <v>"%USERPROFILE%\Documents\GitHub\eaglep3\Utilities\RefineRTDCRunTimes.py" --tripid 124-24 --locoid 4029 --swversion DE.1.0.9.0 --startMP 204:460 --initTime 2017-04-24T06:08:38 --startdatetime 2017-04-24T07:13:24 --delay 1 --endMP 204:233287 --enddatetime 2017-04-24T07:24:43 --enforcementcount 0 &gt;&gt;C:\Users\stu\Documents\GitHub\eaglep3-reporting\EC\2017-04-24-refined-times.txt</v>
      </c>
      <c r="AI36" s="99" t="str">
        <f t="shared" si="39"/>
        <v>echo {"issue":{"subject":"TMDS bulletin retrieval failure","project_id":79,"tracker_id":40,"status_id":1,"priority_id":2,"assigned_to_id":23,"start_date":"2017-04-24","description":"","custom_fields":[{"id":1,"name":"Subdivision","value":"EC"},{"id":4,"name":"Milepost","value":"0"},{"id":17,"name":"Train ID","value":"124-24"},{"id":16,"name":"Locomotive ID","value":"4029"},{"id":130,"name":"Impact","value":""},{"id":150,"name":"Time of Event (Mountain Time)","value":"07:24:43"},{"id":151,"name":"Denver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40"/>
        <v>start /low /b %USERPROFILE%\Documents\GitHub\eaglep3\Utilities\DownloadLogsFromS3.py --loco 4029 --day 2017-04-24</v>
      </c>
      <c r="AN36" s="154" t="str">
        <f t="shared" si="41"/>
        <v>echo {"issue":{"subject":"TMDS bulletin retrieval failure","project_id":30,"tracker_id":4,"status_id":1,"priority_id":1,"assigned_to_id":10,"start_date":"2017-04-24","description":"","custom_fields":[{"id":30,"name":"Category","value":"Issue"},{"id":3,"name":"Functional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13:24:43"},{"id":29,"name":"Sharepoint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0"/>
      <c r="BP36" s="20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</row>
    <row r="37" spans="1:91" s="1" customFormat="1" x14ac:dyDescent="0.25">
      <c r="A37" s="32" t="s">
        <v>628</v>
      </c>
      <c r="B37" s="7">
        <v>4024</v>
      </c>
      <c r="C37" s="21" t="s">
        <v>212</v>
      </c>
      <c r="D37" s="21" t="s">
        <v>476</v>
      </c>
      <c r="E37" s="13">
        <v>42849.276550925926</v>
      </c>
      <c r="F37" s="13">
        <v>42849.281736111108</v>
      </c>
      <c r="G37" s="7">
        <v>1</v>
      </c>
      <c r="H37" s="21" t="s">
        <v>477</v>
      </c>
      <c r="I37" s="13">
        <v>42849.307881944442</v>
      </c>
      <c r="J37" s="7">
        <v>0</v>
      </c>
      <c r="K37" s="92" t="str">
        <f t="shared" ref="K37:K42" si="42">IF(ISEVEN(B37),(B37-1)&amp;"/"&amp;B37,B37&amp;"/"&amp;(B37+1))</f>
        <v>4023/4024</v>
      </c>
      <c r="L37" s="21" t="str">
        <f>VLOOKUP(A37,'Trips&amp;Operators'!$C$1:$G$99999,5,FALSE)</f>
        <v>GUZMAN DANNY</v>
      </c>
      <c r="M37" s="6">
        <f t="shared" ref="M37:M42" si="43">I37-F37</f>
        <v>2.6145833333430346E-2</v>
      </c>
      <c r="N37" s="7">
        <f t="shared" ref="N37:N42" si="44">24*60*SUM($M37:$M37)</f>
        <v>37.650000000139698</v>
      </c>
      <c r="O37" s="7"/>
      <c r="P37" s="7"/>
      <c r="Q37" s="22"/>
      <c r="R37" s="191"/>
      <c r="S37" s="197">
        <f t="shared" ref="S37:S42" si="45">SUM(U37:U37)/IF(AG37="EC",12,1)</f>
        <v>1</v>
      </c>
      <c r="T37" s="191" t="str">
        <f t="shared" ref="T37:T42" si="46">IF(ISEVEN(LEFT(AD37,4)),"Southbound","NorthBound")</f>
        <v>NorthBound</v>
      </c>
      <c r="U37" s="19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2" t="str">
        <f t="shared" si="5"/>
        <v>https://d0f6bd738d7f1b3e5a7ca70fe4ff75f0.us-east-1.aws.found.io/app/kibana#/discover/Steve-Slow-Train-Analysis-(2080s-and-2083s)?_g=(refreshInterval:(display:Off,pause:!f,section:0,value:0),time:(from:'2017-04-24T05:38:14-0600',mode:absolute,to:'2017-04-24T08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7" s="193" t="str">
        <f t="shared" ref="W37:W42" si="47">IF(AA37&lt;IF(AG37="EC",23,5.65),"Y","N")</f>
        <v>N</v>
      </c>
      <c r="X37" s="193">
        <f t="shared" si="34"/>
        <v>1</v>
      </c>
      <c r="Y37" s="193">
        <f t="shared" ref="Y37:Y42" si="48">RIGHT(D37,LEN(D37)-4)/10000</f>
        <v>4.6399999999999997E-2</v>
      </c>
      <c r="Z37" s="193">
        <f t="shared" ref="Z37:Z42" si="49">RIGHT(H37,LEN(H37)-4)/10000</f>
        <v>23.330200000000001</v>
      </c>
      <c r="AA37" s="193">
        <f t="shared" ref="AA37:AA42" si="50">ABS(Z37-Y37)</f>
        <v>23.283800000000003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ref="AD37:AD42" si="51">IF(LEN(A37)=6,"0"&amp;A37,A37)</f>
        <v>0125-24</v>
      </c>
      <c r="AE37" s="80" t="str">
        <f t="shared" si="11"/>
        <v>aws s3 cp s3://rtdc.mdm.uploadarchive.raw/RTDC4024/ "%USERPROFILE%\AppData\Local\Temp\OnboardLogs"\RTDC4024\2017-04-24 --exclude "*" --recursive --include "*20170424*" &amp; "%USERPROFILE%\Documents\GitHub\mrs-test-scripts\Headless Mode &amp; Sideloading\WalkAndUnGZ.bat" "%USERPROFILE%\AppData\Local\Temp\OnboardLogs"\RTDC4024\2017-04-24 &amp; aws s3 cp s3://rtdc.mdm.uploadarchive.raw/RTDC4024/ "%USERPROFILE%\AppData\Local\Temp\OnboardLogs"\RTDC4024\2017-04-25 --exclude "*" --recursive --include "*20170425*" &amp; "%USERPROFILE%\Documents\GitHub\mrs-test-scripts\Headless Mode &amp; Sideloading\WalkAndUnGZ.bat" "%USERPROFILE%\AppData\Local\Temp\OnboardLogs"\RTDC4024\2017-04-25</v>
      </c>
      <c r="AF37" s="77" t="str">
        <f t="shared" si="12"/>
        <v>"C:\Program Files (x86)\AstroGrep\AstroGrep.exe" /e /r /s /spath="%USERPROFILE%\AppData\Local\Temp\OnboardLogs" /stypes="app*4024*20170424*" /stext=" 13:.+((SYSTEM_STATE.+slice.+state.+changed )|(ment ac)|(multiple cpu faults)|(system.+state.+changed )|(\[timeout)|(PRM\|1\|D)|(kpr)|(kdp)|(train.+moving)|(\|lc)|(penalty))"</v>
      </c>
      <c r="AG37" s="1" t="str">
        <f t="shared" ref="AG37:AG42" si="52">IFERROR(IF(VALUE(LEFT(AD37,2))&lt;=2,"EC",IF(OR(VALUE(LEFT(AD37,2))=8,VALUE(LEFT(AD37,2))=18),"NW","Other")),"Other")</f>
        <v>EC</v>
      </c>
      <c r="AH37" s="81" t="str">
        <f t="shared" si="18"/>
        <v>"%USERPROFILE%\Documents\GitHub\eaglep3\Utilities\RefineRTDCRunTimes.py" --tripid 125-24 --locoid 4024 --swversion DE.1.0.9.0 --startMP 204:464 --initTime 2017-04-24T06:38:14 --startdatetime 2017-04-24T06:45:42 --delay 1 --endMP 204:233302 --enddatetime 2017-04-24T07:23:21 --enforcementcount 0 &gt;&gt;C:\Users\stu\Documents\GitHub\eaglep3-reporting\EC\2017-04-24-refined-times.txt</v>
      </c>
      <c r="AI37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{"issue":{"subject":"","project_id":79,"tracker_id":40,"status_id":1,"priority_id":2,"assigned_to_id":23,"start_date":"2017-04-24","description":"","custom_fields":[{"id":1,"name":"Subdivision","value":"EC"},{"id":4,"name":"Milepost","value":"23.3302"},{"id":17,"name":"Train ID","value":"125-24"},{"id":16,"name":"Locomotive ID","value":"4024"},{"id":130,"name":"Impact","value":""},{"id":150,"name":"Time of Event (Mountain Time)","value":"07:23:21"},{"id":151,"name":"Denver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0"/>
        <v>start /low /b %USERPROFILE%\Documents\GitHub\eaglep3\Utilities\DownloadLogsFromS3.py --loco 4024 --day 2017-04-24</v>
      </c>
      <c r="AN37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13:23:21"},{"id":29,"name":"Sharepoint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636</v>
      </c>
      <c r="B38" s="7">
        <v>4023</v>
      </c>
      <c r="C38" s="21" t="s">
        <v>212</v>
      </c>
      <c r="D38" s="21" t="s">
        <v>538</v>
      </c>
      <c r="E38" s="13">
        <v>42849.308888888889</v>
      </c>
      <c r="F38" s="13">
        <v>42849.3203587963</v>
      </c>
      <c r="G38" s="7">
        <v>1</v>
      </c>
      <c r="H38" s="21" t="s">
        <v>203</v>
      </c>
      <c r="I38" s="13">
        <v>42849.347384259258</v>
      </c>
      <c r="J38" s="7">
        <v>0</v>
      </c>
      <c r="K38" s="92" t="str">
        <f t="shared" si="42"/>
        <v>4023/4024</v>
      </c>
      <c r="L38" s="21" t="str">
        <f>VLOOKUP(A38,'Trips&amp;Operators'!$C$1:$G$99999,5,FALSE)</f>
        <v>GUZMAN DANNY</v>
      </c>
      <c r="M38" s="6">
        <f t="shared" si="43"/>
        <v>2.7025462957681157E-2</v>
      </c>
      <c r="N38" s="7">
        <f t="shared" si="44"/>
        <v>38.916666659060866</v>
      </c>
      <c r="O38" s="7"/>
      <c r="P38" s="7"/>
      <c r="Q38" s="22"/>
      <c r="R38" s="191"/>
      <c r="S38" s="197">
        <f t="shared" si="45"/>
        <v>1</v>
      </c>
      <c r="T38" s="191" t="str">
        <f t="shared" si="46"/>
        <v>Southbound</v>
      </c>
      <c r="U38" s="19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2" t="str">
        <f t="shared" si="5"/>
        <v>https://d0f6bd738d7f1b3e5a7ca70fe4ff75f0.us-east-1.aws.found.io/app/kibana#/discover/Steve-Slow-Train-Analysis-(2080s-and-2083s)?_g=(refreshInterval:(display:Off,pause:!f,section:0,value:0),time:(from:'2017-04-24T06:24:48-0600',mode:absolute,to:'2017-04-24T09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8" s="193" t="str">
        <f t="shared" si="47"/>
        <v>N</v>
      </c>
      <c r="X38" s="193">
        <f t="shared" si="34"/>
        <v>1</v>
      </c>
      <c r="Y38" s="193">
        <f t="shared" si="48"/>
        <v>23.2974</v>
      </c>
      <c r="Z38" s="193">
        <f t="shared" si="49"/>
        <v>1.54E-2</v>
      </c>
      <c r="AA38" s="193">
        <f t="shared" si="50"/>
        <v>23.282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51"/>
        <v>0126-24</v>
      </c>
      <c r="AE38" s="80" t="str">
        <f t="shared" si="11"/>
        <v>aws s3 cp s3://rtdc.mdm.uploadarchive.raw/RTDC4023/ "%USERPROFILE%\AppData\Local\Temp\OnboardLogs"\RTDC4023\2017-04-24 --exclude "*" --recursive --include "*20170424*" &amp; "%USERPROFILE%\Documents\GitHub\mrs-test-scripts\Headless Mode &amp; Sideloading\WalkAndUnGZ.bat" "%USERPROFILE%\AppData\Local\Temp\OnboardLogs"\RTDC4023\2017-04-24 &amp; aws s3 cp s3://rtdc.mdm.uploadarchive.raw/RTDC4023/ "%USERPROFILE%\AppData\Local\Temp\OnboardLogs"\RTDC4023\2017-04-25 --exclude "*" --recursive --include "*20170425*" &amp; "%USERPROFILE%\Documents\GitHub\mrs-test-scripts\Headless Mode &amp; Sideloading\WalkAndUnGZ.bat" "%USERPROFILE%\AppData\Local\Temp\OnboardLogs"\RTDC4023\2017-04-25</v>
      </c>
      <c r="AF38" s="77" t="str">
        <f t="shared" si="12"/>
        <v>"C:\Program Files (x86)\AstroGrep\AstroGrep.exe" /e /r /s /spath="%USERPROFILE%\AppData\Local\Temp\OnboardLogs" /stypes="app*4023*20170424*" /stext=" 14:.+((SYSTEM_STATE.+slice.+state.+changed )|(ment ac)|(multiple cpu faults)|(system.+state.+changed )|(\[timeout)|(PRM\|1\|D)|(kpr)|(kdp)|(train.+moving)|(\|lc)|(penalty))"</v>
      </c>
      <c r="AG38" s="1" t="str">
        <f t="shared" si="52"/>
        <v>EC</v>
      </c>
      <c r="AH38" s="81" t="str">
        <f t="shared" si="18"/>
        <v>"%USERPROFILE%\Documents\GitHub\eaglep3\Utilities\RefineRTDCRunTimes.py" --tripid 126-24 --locoid 4023 --swversion DE.1.0.9.0 --startMP 204:232974 --initTime 2017-04-24T07:24:48 --startdatetime 2017-04-24T07:41:19 --delay 1 --endMP 204:154 --enddatetime 2017-04-24T08:20:14 --enforcementcount 0 &gt;&gt;C:\Users\stu\Documents\GitHub\eaglep3-reporting\EC\2017-04-24-refined-times.txt</v>
      </c>
      <c r="AI38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{"issue":{"subject":"","project_id":79,"tracker_id":40,"status_id":1,"priority_id":2,"assigned_to_id":23,"start_date":"2017-04-24","description":"","custom_fields":[{"id":1,"name":"Subdivision","value":"EC"},{"id":4,"name":"Milepost","value":"0.0154"},{"id":17,"name":"Train ID","value":"126-24"},{"id":16,"name":"Locomotive ID","value":"4023"},{"id":130,"name":"Impact","value":""},{"id":150,"name":"Time of Event (Mountain Time)","value":"08:20:14"},{"id":151,"name":"Denver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0"/>
        <v>start /low /b %USERPROFILE%\Documents\GitHub\eaglep3\Utilities\DownloadLogsFromS3.py --loco 4023 --day 2017-04-24</v>
      </c>
      <c r="AN38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14:20:14"},{"id":29,"name":"Sharepoint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629</v>
      </c>
      <c r="B39" s="7">
        <v>4010</v>
      </c>
      <c r="C39" s="21" t="s">
        <v>212</v>
      </c>
      <c r="D39" s="21" t="s">
        <v>208</v>
      </c>
      <c r="E39" s="13">
        <v>42849.28502314815</v>
      </c>
      <c r="F39" s="13">
        <v>42849.292025462964</v>
      </c>
      <c r="G39" s="7">
        <v>1</v>
      </c>
      <c r="H39" s="21" t="s">
        <v>803</v>
      </c>
      <c r="I39" s="13">
        <v>42849.317129629628</v>
      </c>
      <c r="J39" s="7">
        <v>0</v>
      </c>
      <c r="K39" s="92" t="str">
        <f t="shared" si="42"/>
        <v>4009/4010</v>
      </c>
      <c r="L39" s="21" t="str">
        <f>VLOOKUP(A39,'Trips&amp;Operators'!$C$1:$G$99999,5,FALSE)</f>
        <v>FORTUNATO FRANK</v>
      </c>
      <c r="M39" s="6">
        <f t="shared" si="43"/>
        <v>2.5104166663368233E-2</v>
      </c>
      <c r="N39" s="7">
        <f t="shared" si="44"/>
        <v>36.149999995250255</v>
      </c>
      <c r="O39" s="7"/>
      <c r="P39" s="7"/>
      <c r="Q39" s="22"/>
      <c r="R39" s="191"/>
      <c r="S39" s="197">
        <f t="shared" si="45"/>
        <v>1</v>
      </c>
      <c r="T39" s="191" t="str">
        <f t="shared" si="46"/>
        <v>NorthBound</v>
      </c>
      <c r="U39" s="19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2" t="str">
        <f t="shared" si="5"/>
        <v>https://d0f6bd738d7f1b3e5a7ca70fe4ff75f0.us-east-1.aws.found.io/app/kibana#/discover/Steve-Slow-Train-Analysis-(2080s-and-2083s)?_g=(refreshInterval:(display:Off,pause:!f,section:0,value:0),time:(from:'2017-04-24T05:50:26-0600',mode:absolute,to:'2017-04-24T08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9" s="193" t="str">
        <f t="shared" si="47"/>
        <v>N</v>
      </c>
      <c r="X39" s="193">
        <f>VALUE(LEFT(AD39,4))-VALUE(LEFT(AD38,4))</f>
        <v>1</v>
      </c>
      <c r="Y39" s="193">
        <f t="shared" si="48"/>
        <v>4.5499999999999999E-2</v>
      </c>
      <c r="Z39" s="193">
        <f t="shared" si="49"/>
        <v>23.3309</v>
      </c>
      <c r="AA39" s="193">
        <f t="shared" si="50"/>
        <v>23.285399999999999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51"/>
        <v>0127-24</v>
      </c>
      <c r="AE39" s="80" t="str">
        <f t="shared" si="11"/>
        <v>aws s3 cp s3://rtdc.mdm.uploadarchive.raw/RTDC4010/ "%USERPROFILE%\AppData\Local\Temp\OnboardLogs"\RTDC4010\2017-04-24 --exclude "*" --recursive --include "*20170424*" &amp; "%USERPROFILE%\Documents\GitHub\mrs-test-scripts\Headless Mode &amp; Sideloading\WalkAndUnGZ.bat" "%USERPROFILE%\AppData\Local\Temp\OnboardLogs"\RTDC4010\2017-04-24 &amp; aws s3 cp s3://rtdc.mdm.uploadarchive.raw/RTDC4010/ "%USERPROFILE%\AppData\Local\Temp\OnboardLogs"\RTDC4010\2017-04-25 --exclude "*" --recursive --include "*20170425*" &amp; "%USERPROFILE%\Documents\GitHub\mrs-test-scripts\Headless Mode &amp; Sideloading\WalkAndUnGZ.bat" "%USERPROFILE%\AppData\Local\Temp\OnboardLogs"\RTDC4010\2017-04-25</v>
      </c>
      <c r="AF39" s="77" t="str">
        <f t="shared" si="12"/>
        <v>"C:\Program Files (x86)\AstroGrep\AstroGrep.exe" /e /r /s /spath="%USERPROFILE%\AppData\Local\Temp\OnboardLogs" /stypes="app*4010*20170424*" /stext=" 13:.+((SYSTEM_STATE.+slice.+state.+changed )|(ment ac)|(multiple cpu faults)|(system.+state.+changed )|(\[timeout)|(PRM\|1\|D)|(kpr)|(kdp)|(train.+moving)|(\|lc)|(penalty))"</v>
      </c>
      <c r="AG39" s="1" t="str">
        <f t="shared" si="52"/>
        <v>EC</v>
      </c>
      <c r="AH39" s="81" t="str">
        <f t="shared" si="18"/>
        <v>"%USERPROFILE%\Documents\GitHub\eaglep3\Utilities\RefineRTDCRunTimes.py" --tripid 127-24 --locoid 4010 --swversion DE.1.0.9.0 --startMP 204:455 --initTime 2017-04-24T06:50:26 --startdatetime 2017-04-24T07:00:31 --delay 1 --endMP 204:233309 --enddatetime 2017-04-24T07:36:40 --enforcementcount 0 &gt;&gt;C:\Users\stu\Documents\GitHub\eaglep3-reporting\EC\2017-04-24-refined-times.txt</v>
      </c>
      <c r="AI39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{"issue":{"subject":"","project_id":79,"tracker_id":40,"status_id":1,"priority_id":2,"assigned_to_id":23,"start_date":"2017-04-24","description":"","custom_fields":[{"id":1,"name":"Subdivision","value":"EC"},{"id":4,"name":"Milepost","value":"23.3309"},{"id":17,"name":"Train ID","value":"127-24"},{"id":16,"name":"Locomotive ID","value":"4010"},{"id":130,"name":"Impact","value":""},{"id":150,"name":"Time of Event (Mountain Time)","value":"07:36:40"},{"id":151,"name":"Denver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0"/>
        <v>start /low /b %USERPROFILE%\Documents\GitHub\eaglep3\Utilities\DownloadLogsFromS3.py --loco 4010 --day 2017-04-24</v>
      </c>
      <c r="AN39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13:36:40"},{"id":29,"name":"Sharepoint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639</v>
      </c>
      <c r="B40" s="7">
        <v>4009</v>
      </c>
      <c r="C40" s="21" t="s">
        <v>212</v>
      </c>
      <c r="D40" s="21" t="s">
        <v>375</v>
      </c>
      <c r="E40" s="13">
        <v>42849.318460648145</v>
      </c>
      <c r="F40" s="13">
        <v>42849.33079861111</v>
      </c>
      <c r="G40" s="7">
        <v>1</v>
      </c>
      <c r="H40" s="21" t="s">
        <v>379</v>
      </c>
      <c r="I40" s="13">
        <v>42849.358506944445</v>
      </c>
      <c r="J40" s="7">
        <v>0</v>
      </c>
      <c r="K40" s="92" t="str">
        <f t="shared" si="42"/>
        <v>4009/4010</v>
      </c>
      <c r="L40" s="21" t="str">
        <f>VLOOKUP(A40,'Trips&amp;Operators'!$C$1:$G$99999,5,FALSE)</f>
        <v>FORTUNATO FRANK</v>
      </c>
      <c r="M40" s="6">
        <f t="shared" si="43"/>
        <v>2.7708333334885538E-2</v>
      </c>
      <c r="N40" s="7">
        <f t="shared" si="44"/>
        <v>39.900000002235174</v>
      </c>
      <c r="O40" s="7"/>
      <c r="P40" s="7"/>
      <c r="Q40" s="22"/>
      <c r="R40" s="191"/>
      <c r="S40" s="197">
        <f t="shared" si="45"/>
        <v>1</v>
      </c>
      <c r="T40" s="191" t="str">
        <f t="shared" si="46"/>
        <v>Southbound</v>
      </c>
      <c r="U40" s="19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2" t="str">
        <f t="shared" si="5"/>
        <v>https://d0f6bd738d7f1b3e5a7ca70fe4ff75f0.us-east-1.aws.found.io/app/kibana#/discover/Steve-Slow-Train-Analysis-(2080s-and-2083s)?_g=(refreshInterval:(display:Off,pause:!f,section:0,value:0),time:(from:'2017-04-24T06:38:35-0600',mode:absolute,to:'2017-04-24T09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0" s="193" t="str">
        <f t="shared" si="47"/>
        <v>N</v>
      </c>
      <c r="X40" s="193">
        <f>VALUE(LEFT(AD40,4))-VALUE(LEFT(AD39,4))</f>
        <v>1</v>
      </c>
      <c r="Y40" s="193">
        <f t="shared" si="48"/>
        <v>23.297699999999999</v>
      </c>
      <c r="Z40" s="193">
        <f t="shared" si="49"/>
        <v>1.41E-2</v>
      </c>
      <c r="AA40" s="193">
        <f t="shared" si="50"/>
        <v>23.2836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51"/>
        <v>0128-24</v>
      </c>
      <c r="AE40" s="80" t="str">
        <f t="shared" si="11"/>
        <v>aws s3 cp s3://rtdc.mdm.uploadarchive.raw/RTDC4009/ "%USERPROFILE%\AppData\Local\Temp\OnboardLogs"\RTDC4009\2017-04-24 --exclude "*" --recursive --include "*20170424*" &amp; "%USERPROFILE%\Documents\GitHub\mrs-test-scripts\Headless Mode &amp; Sideloading\WalkAndUnGZ.bat" "%USERPROFILE%\AppData\Local\Temp\OnboardLogs"\RTDC4009\2017-04-24 &amp; aws s3 cp s3://rtdc.mdm.uploadarchive.raw/RTDC4009/ "%USERPROFILE%\AppData\Local\Temp\OnboardLogs"\RTDC4009\2017-04-25 --exclude "*" --recursive --include "*20170425*" &amp; "%USERPROFILE%\Documents\GitHub\mrs-test-scripts\Headless Mode &amp; Sideloading\WalkAndUnGZ.bat" "%USERPROFILE%\AppData\Local\Temp\OnboardLogs"\RTDC4009\2017-04-25</v>
      </c>
      <c r="AF40" s="77" t="str">
        <f t="shared" si="12"/>
        <v>"C:\Program Files (x86)\AstroGrep\AstroGrep.exe" /e /r /s /spath="%USERPROFILE%\AppData\Local\Temp\OnboardLogs" /stypes="app*4009*20170424*" /stext=" 14:.+((SYSTEM_STATE.+slice.+state.+changed )|(ment ac)|(multiple cpu faults)|(system.+state.+changed )|(\[timeout)|(PRM\|1\|D)|(kpr)|(kdp)|(train.+moving)|(\|lc)|(penalty))"</v>
      </c>
      <c r="AG40" s="1" t="str">
        <f t="shared" si="52"/>
        <v>EC</v>
      </c>
      <c r="AH40" s="81" t="str">
        <f t="shared" si="18"/>
        <v>"%USERPROFILE%\Documents\GitHub\eaglep3\Utilities\RefineRTDCRunTimes.py" --tripid 128-24 --locoid 4009 --swversion DE.1.0.9.0 --startMP 204:232977 --initTime 2017-04-24T07:38:35 --startdatetime 2017-04-24T07:56:21 --delay 1 --endMP 204:141 --enddatetime 2017-04-24T08:36:15 --enforcementcount 0 &gt;&gt;C:\Users\stu\Documents\GitHub\eaglep3-reporting\EC\2017-04-24-refined-times.txt</v>
      </c>
      <c r="AI40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{"issue":{"subject":"","project_id":79,"tracker_id":40,"status_id":1,"priority_id":2,"assigned_to_id":23,"start_date":"2017-04-24","description":"","custom_fields":[{"id":1,"name":"Subdivision","value":"EC"},{"id":4,"name":"Milepost","value":"0.0141"},{"id":17,"name":"Train ID","value":"128-24"},{"id":16,"name":"Locomotive ID","value":"4009"},{"id":130,"name":"Impact","value":""},{"id":150,"name":"Time of Event (Mountain Time)","value":"08:36:15"},{"id":151,"name":"Denver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0"/>
        <v>start /low /b %USERPROFILE%\Documents\GitHub\eaglep3\Utilities\DownloadLogsFromS3.py --loco 4009 --day 2017-04-24</v>
      </c>
      <c r="AN40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14:36:15"},{"id":29,"name":"Sharepoint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633</v>
      </c>
      <c r="B41" s="7">
        <v>4026</v>
      </c>
      <c r="C41" s="21" t="s">
        <v>212</v>
      </c>
      <c r="D41" s="21" t="s">
        <v>429</v>
      </c>
      <c r="E41" s="13">
        <v>42849.298657407409</v>
      </c>
      <c r="F41" s="13">
        <v>42849.302361111113</v>
      </c>
      <c r="G41" s="7">
        <v>2</v>
      </c>
      <c r="H41" s="21" t="s">
        <v>804</v>
      </c>
      <c r="I41" s="13">
        <v>42849.3278125</v>
      </c>
      <c r="J41" s="7">
        <v>0</v>
      </c>
      <c r="K41" s="92" t="str">
        <f t="shared" si="42"/>
        <v>4025/4026</v>
      </c>
      <c r="L41" s="21" t="str">
        <f>VLOOKUP(A41,'Trips&amp;Operators'!$C$1:$G$99999,5,FALSE)</f>
        <v>MENGES BRAD</v>
      </c>
      <c r="M41" s="6">
        <f t="shared" si="43"/>
        <v>2.545138888672227E-2</v>
      </c>
      <c r="N41" s="7">
        <f t="shared" si="44"/>
        <v>36.649999996880069</v>
      </c>
      <c r="O41" s="7"/>
      <c r="P41" s="7"/>
      <c r="Q41" s="22"/>
      <c r="R41" s="191"/>
      <c r="S41" s="197">
        <f t="shared" si="45"/>
        <v>1</v>
      </c>
      <c r="T41" s="191" t="str">
        <f t="shared" si="46"/>
        <v>NorthBound</v>
      </c>
      <c r="U41" s="19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2" t="str">
        <f t="shared" si="5"/>
        <v>https://d0f6bd738d7f1b3e5a7ca70fe4ff75f0.us-east-1.aws.found.io/app/kibana#/discover/Steve-Slow-Train-Analysis-(2080s-and-2083s)?_g=(refreshInterval:(display:Off,pause:!f,section:0,value:0),time:(from:'2017-04-24T06:10:04-0600',mode:absolute,to:'2017-04-24T08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1" s="193" t="str">
        <f t="shared" si="47"/>
        <v>N</v>
      </c>
      <c r="X41" s="193">
        <f>VALUE(LEFT(AD41,4))-VALUE(LEFT(AD40,4))</f>
        <v>1</v>
      </c>
      <c r="Y41" s="193">
        <f t="shared" si="48"/>
        <v>4.6600000000000003E-2</v>
      </c>
      <c r="Z41" s="193">
        <f t="shared" si="49"/>
        <v>23.329799999999999</v>
      </c>
      <c r="AA41" s="193">
        <f t="shared" si="50"/>
        <v>23.283199999999997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51"/>
        <v>0129-24</v>
      </c>
      <c r="AE41" s="80" t="str">
        <f t="shared" si="11"/>
        <v>aws s3 cp s3://rtdc.mdm.uploadarchive.raw/RTDC4026/ "%USERPROFILE%\AppData\Local\Temp\OnboardLogs"\RTDC4026\2017-04-24 --exclude "*" --recursive --include "*20170424*" &amp; "%USERPROFILE%\Documents\GitHub\mrs-test-scripts\Headless Mode &amp; Sideloading\WalkAndUnGZ.bat" "%USERPROFILE%\AppData\Local\Temp\OnboardLogs"\RTDC4026\2017-04-24 &amp; aws s3 cp s3://rtdc.mdm.uploadarchive.raw/RTDC4026/ "%USERPROFILE%\AppData\Local\Temp\OnboardLogs"\RTDC4026\2017-04-25 --exclude "*" --recursive --include "*20170425*" &amp; "%USERPROFILE%\Documents\GitHub\mrs-test-scripts\Headless Mode &amp; Sideloading\WalkAndUnGZ.bat" "%USERPROFILE%\AppData\Local\Temp\OnboardLogs"\RTDC4026\2017-04-25</v>
      </c>
      <c r="AF41" s="77" t="str">
        <f t="shared" si="12"/>
        <v>"C:\Program Files (x86)\AstroGrep\AstroGrep.exe" /e /r /s /spath="%USERPROFILE%\AppData\Local\Temp\OnboardLogs" /stypes="app*4026*20170424*" /stext=" 13:.+((SYSTEM_STATE.+slice.+state.+changed )|(ment ac)|(multiple cpu faults)|(system.+state.+changed )|(\[timeout)|(PRM\|1\|D)|(kpr)|(kdp)|(train.+moving)|(\|lc)|(penalty))"</v>
      </c>
      <c r="AG41" s="1" t="str">
        <f t="shared" si="52"/>
        <v>EC</v>
      </c>
      <c r="AH41" s="81" t="str">
        <f t="shared" si="18"/>
        <v>"%USERPROFILE%\Documents\GitHub\eaglep3\Utilities\RefineRTDCRunTimes.py" --tripid 129-24 --locoid 4026 --swversion DE.1.0.9.0 --startMP 204:466 --initTime 2017-04-24T07:10:04 --startdatetime 2017-04-24T07:15:24 --delay 2 --endMP 204:233298 --enddatetime 2017-04-24T07:52:03 --enforcementcount 0 &gt;&gt;C:\Users\stu\Documents\GitHub\eaglep3-reporting\EC\2017-04-24-refined-times.txt</v>
      </c>
      <c r="AI41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{"issue":{"subject":"","project_id":79,"tracker_id":40,"status_id":1,"priority_id":2,"assigned_to_id":23,"start_date":"2017-04-24","description":"","custom_fields":[{"id":1,"name":"Subdivision","value":"EC"},{"id":4,"name":"Milepost","value":"23.3298"},{"id":17,"name":"Train ID","value":"129-24"},{"id":16,"name":"Locomotive ID","value":"4026"},{"id":130,"name":"Impact","value":""},{"id":150,"name":"Time of Event (Mountain Time)","value":"07:52:03"},{"id":151,"name":"Denver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0"/>
        <v>start /low /b %USERPROFILE%\Documents\GitHub\eaglep3\Utilities\DownloadLogsFromS3.py --loco 4026 --day 2017-04-24</v>
      </c>
      <c r="AN41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13:52:03"},{"id":29,"name":"Sharepoint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642</v>
      </c>
      <c r="B42" s="7">
        <v>4025</v>
      </c>
      <c r="C42" s="21" t="s">
        <v>212</v>
      </c>
      <c r="D42" s="21" t="s">
        <v>540</v>
      </c>
      <c r="E42" s="13">
        <v>42849.336331018516</v>
      </c>
      <c r="F42" s="13">
        <v>42849.341180555559</v>
      </c>
      <c r="G42" s="7">
        <v>1</v>
      </c>
      <c r="H42" s="21" t="s">
        <v>390</v>
      </c>
      <c r="I42" s="13">
        <v>42849.368067129632</v>
      </c>
      <c r="J42" s="7">
        <v>0</v>
      </c>
      <c r="K42" s="92" t="str">
        <f t="shared" si="42"/>
        <v>4025/4026</v>
      </c>
      <c r="L42" s="21" t="str">
        <f>VLOOKUP(A42,'Trips&amp;Operators'!$C$1:$G$99999,5,FALSE)</f>
        <v>MENGES BRAD</v>
      </c>
      <c r="M42" s="6">
        <f t="shared" si="43"/>
        <v>2.6886574072705116E-2</v>
      </c>
      <c r="N42" s="7">
        <f t="shared" si="44"/>
        <v>38.716666664695367</v>
      </c>
      <c r="O42" s="7"/>
      <c r="P42" s="7"/>
      <c r="Q42" s="22"/>
      <c r="R42" s="191"/>
      <c r="S42" s="197">
        <f t="shared" si="45"/>
        <v>1</v>
      </c>
      <c r="T42" s="191" t="str">
        <f t="shared" si="46"/>
        <v>Southbound</v>
      </c>
      <c r="U42" s="19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2" t="str">
        <f t="shared" si="5"/>
        <v>https://d0f6bd738d7f1b3e5a7ca70fe4ff75f0.us-east-1.aws.found.io/app/kibana#/discover/Steve-Slow-Train-Analysis-(2080s-and-2083s)?_g=(refreshInterval:(display:Off,pause:!f,section:0,value:0),time:(from:'2017-04-24T07:04:19-0600',mode:absolute,to:'2017-04-24T09:50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2" s="193" t="str">
        <f t="shared" si="47"/>
        <v>N</v>
      </c>
      <c r="X42" s="193">
        <f>VALUE(LEFT(AD42,4))-VALUE(LEFT(AD41,4))</f>
        <v>1</v>
      </c>
      <c r="Y42" s="193">
        <f t="shared" si="48"/>
        <v>23.297000000000001</v>
      </c>
      <c r="Z42" s="193">
        <f t="shared" si="49"/>
        <v>1.6E-2</v>
      </c>
      <c r="AA42" s="193">
        <f t="shared" si="50"/>
        <v>23.281000000000002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51"/>
        <v>0130-24</v>
      </c>
      <c r="AE42" s="80" t="str">
        <f t="shared" si="11"/>
        <v>aws s3 cp s3://rtdc.mdm.uploadarchive.raw/RTDC4025/ "%USERPROFILE%\AppData\Local\Temp\OnboardLogs"\RTDC4025\2017-04-24 --exclude "*" --recursive --include "*20170424*" &amp; "%USERPROFILE%\Documents\GitHub\mrs-test-scripts\Headless Mode &amp; Sideloading\WalkAndUnGZ.bat" "%USERPROFILE%\AppData\Local\Temp\OnboardLogs"\RTDC4025\2017-04-24 &amp; aws s3 cp s3://rtdc.mdm.uploadarchive.raw/RTDC4025/ "%USERPROFILE%\AppData\Local\Temp\OnboardLogs"\RTDC4025\2017-04-25 --exclude "*" --recursive --include "*20170425*" &amp; "%USERPROFILE%\Documents\GitHub\mrs-test-scripts\Headless Mode &amp; Sideloading\WalkAndUnGZ.bat" "%USERPROFILE%\AppData\Local\Temp\OnboardLogs"\RTDC4025\2017-04-25</v>
      </c>
      <c r="AF42" s="77" t="str">
        <f t="shared" si="12"/>
        <v>"C:\Program Files (x86)\AstroGrep\AstroGrep.exe" /e /r /s /spath="%USERPROFILE%\AppData\Local\Temp\OnboardLogs" /stypes="app*4025*20170424*" /stext=" 14:.+((SYSTEM_STATE.+slice.+state.+changed )|(ment ac)|(multiple cpu faults)|(system.+state.+changed )|(\[timeout)|(PRM\|1\|D)|(kpr)|(kdp)|(train.+moving)|(\|lc)|(penalty))"</v>
      </c>
      <c r="AG42" s="1" t="str">
        <f t="shared" si="52"/>
        <v>EC</v>
      </c>
      <c r="AH42" s="81" t="str">
        <f t="shared" si="18"/>
        <v>"%USERPROFILE%\Documents\GitHub\eaglep3\Utilities\RefineRTDCRunTimes.py" --tripid 130-24 --locoid 4025 --swversion DE.1.0.9.0 --startMP 204:232970 --initTime 2017-04-24T08:04:19 --startdatetime 2017-04-24T08:11:18 --delay 1 --endMP 204:160 --enddatetime 2017-04-24T08:50:01 --enforcementcount 0 &gt;&gt;C:\Users\stu\Documents\GitHub\eaglep3-reporting\EC\2017-04-24-refined-times.txt</v>
      </c>
      <c r="AI42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{"issue":{"subject":"","project_id":79,"tracker_id":40,"status_id":1,"priority_id":2,"assigned_to_id":23,"start_date":"2017-04-24","description":"","custom_fields":[{"id":1,"name":"Subdivision","value":"EC"},{"id":4,"name":"Milepost","value":"0.016"},{"id":17,"name":"Train ID","value":"130-24"},{"id":16,"name":"Locomotive ID","value":"4025"},{"id":130,"name":"Impact","value":""},{"id":150,"name":"Time of Event (Mountain Time)","value":"08:50:01"},{"id":151,"name":"Denver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0"/>
        <v>start /low /b %USERPROFILE%\Documents\GitHub\eaglep3\Utilities\DownloadLogsFromS3.py --loco 4025 --day 2017-04-24</v>
      </c>
      <c r="AN42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14:50:01"},{"id":29,"name":"Sharepoint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635</v>
      </c>
      <c r="B43" s="7">
        <v>4040</v>
      </c>
      <c r="C43" s="21" t="s">
        <v>212</v>
      </c>
      <c r="D43" s="21" t="s">
        <v>540</v>
      </c>
      <c r="E43" s="13">
        <v>42849.336331018516</v>
      </c>
      <c r="F43" s="13">
        <v>42849.307256944441</v>
      </c>
      <c r="G43" s="7">
        <v>1</v>
      </c>
      <c r="H43" s="21" t="s">
        <v>390</v>
      </c>
      <c r="I43" s="13">
        <v>42849.309687499997</v>
      </c>
      <c r="J43" s="7">
        <v>0</v>
      </c>
      <c r="K43" s="92" t="str">
        <f t="shared" ref="K43:K44" si="53">IF(ISEVEN(B43),(B43-1)&amp;"/"&amp;B43,B43&amp;"/"&amp;(B43+1))</f>
        <v>4039/4040</v>
      </c>
      <c r="L43" s="21" t="str">
        <f>VLOOKUP(A43,'Trips&amp;Operators'!$C$1:$G$99999,5,FALSE)</f>
        <v>MAELZER KURT</v>
      </c>
      <c r="M43" s="6">
        <f t="shared" ref="M43:M44" si="54">I43-F43</f>
        <v>2.4305555562023073E-3</v>
      </c>
      <c r="N43" s="7"/>
      <c r="O43" s="7"/>
      <c r="P43" s="7">
        <f t="shared" ref="P43:P44" si="55">24*60*SUM($M43:$M43)</f>
        <v>3.5000000009313226</v>
      </c>
      <c r="Q43" s="22"/>
      <c r="R43" s="191" t="s">
        <v>969</v>
      </c>
      <c r="S43" s="197">
        <f t="shared" ref="S43:S44" si="56">SUM(U43:U43)/IF(AG43="EC",12,1)</f>
        <v>0</v>
      </c>
      <c r="T43" s="191" t="str">
        <f t="shared" ref="T43:T44" si="57">IF(ISEVEN(LEFT(AD43,4)),"Southbound","NorthBound")</f>
        <v>NorthBound</v>
      </c>
      <c r="U43" s="19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0</v>
      </c>
      <c r="V43" s="192" t="str">
        <f t="shared" si="5"/>
        <v>https://d0f6bd738d7f1b3e5a7ca70fe4ff75f0.us-east-1.aws.found.io/app/kibana#/discover/Steve-Slow-Train-Analysis-(2080s-and-2083s)?_g=(refreshInterval:(display:Off,pause:!f,section:0,value:0),time:(from:'2017-04-24T07:04:19-0600',mode:absolute,to:'2017-04-24T08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3" s="193" t="str">
        <f t="shared" ref="W43:W44" si="58">IF(AA43&lt;IF(AG43="EC",23,5.65),"Y","N")</f>
        <v>Y</v>
      </c>
      <c r="X43" s="193">
        <f t="shared" ref="X43:X45" si="59">VALUE(LEFT(AD43,4))-VALUE(LEFT(AD42,4))</f>
        <v>1</v>
      </c>
      <c r="Y43" s="193">
        <v>0</v>
      </c>
      <c r="Z43" s="193">
        <v>0</v>
      </c>
      <c r="AA43" s="193">
        <f t="shared" ref="AA43:AA44" si="60">ABS(Z43-Y43)</f>
        <v>0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ref="AD43:AD44" si="61">IF(LEN(A43)=6,"0"&amp;A43,A43)</f>
        <v>0131-24</v>
      </c>
      <c r="AE43" s="80" t="str">
        <f t="shared" si="11"/>
        <v>aws s3 cp s3://rtdc.mdm.uploadarchive.raw/RTDC4040/ "%USERPROFILE%\AppData\Local\Temp\OnboardLogs"\RTDC4040\2017-04-24 --exclude "*" --recursive --include "*20170424*" &amp; "%USERPROFILE%\Documents\GitHub\mrs-test-scripts\Headless Mode &amp; Sideloading\WalkAndUnGZ.bat" "%USERPROFILE%\AppData\Local\Temp\OnboardLogs"\RTDC4040\2017-04-24 &amp; aws s3 cp s3://rtdc.mdm.uploadarchive.raw/RTDC4040/ "%USERPROFILE%\AppData\Local\Temp\OnboardLogs"\RTDC4040\2017-04-25 --exclude "*" --recursive --include "*20170425*" &amp; "%USERPROFILE%\Documents\GitHub\mrs-test-scripts\Headless Mode &amp; Sideloading\WalkAndUnGZ.bat" "%USERPROFILE%\AppData\Local\Temp\OnboardLogs"\RTDC4040\2017-04-25</v>
      </c>
      <c r="AF43" s="77" t="str">
        <f t="shared" si="12"/>
        <v>"C:\Program Files (x86)\AstroGrep\AstroGrep.exe" /e /r /s /spath="%USERPROFILE%\AppData\Local\Temp\OnboardLogs" /stypes="app*4040*20170424*" /stext=" 13:.+((SYSTEM_STATE.+slice.+state.+changed )|(ment ac)|(multiple cpu faults)|(system.+state.+changed )|(\[timeout)|(PRM\|1\|D)|(kpr)|(kdp)|(train.+moving)|(\|lc)|(penalty))"</v>
      </c>
      <c r="AG43" s="1" t="str">
        <f t="shared" ref="AG43:AG44" si="62">IFERROR(IF(VALUE(LEFT(AD43,2))&lt;=2,"EC",IF(OR(VALUE(LEFT(AD43,2))=8,VALUE(LEFT(AD43,2))=18),"NW","Other")),"Other")</f>
        <v>EC</v>
      </c>
      <c r="AH43" s="81" t="str">
        <f t="shared" ref="AH43:AH44" si="63">refinertdcruntimes&amp;" --tripid "&amp;A43&amp;" --locoid "&amp;B43&amp;" --swversion "&amp;C43&amp;" --startMP "&amp;D43&amp;" --initTime "&amp;TEXT(E43,"yyyy-mm-ddTHH:MM:SS")&amp;" --startdatetime "&amp;TEXT(F43,"yyyy-mm-ddTHH:MM:SS")&amp;" --delay "&amp;G43&amp;" --endMP "&amp;H43&amp;" --enddatetime "&amp;TEXT(I43,"yyyy-mm-ddTHH:MM:SS")&amp;" --enforcementcount "&amp;J43&amp;IF(outputrefinedruntimes," &gt;&gt;"&amp;RefinedRTDCRunTimesOutputFile,"")</f>
        <v>"%USERPROFILE%\Documents\GitHub\eaglep3\Utilities\RefineRTDCRunTimes.py" --tripid 131-24 --locoid 4040 --swversion DE.1.0.9.0 --startMP 204:232970 --initTime 2017-04-24T08:04:19 --startdatetime 2017-04-24T07:22:27 --delay 1 --endMP 204:160 --enddatetime 2017-04-24T07:25:57 --enforcementcount 0 &gt;&gt;C:\Users\stu\Documents\GitHub\eaglep3-reporting\EC\2017-04-24-refined-times.txt</v>
      </c>
      <c r="AI43" s="99" t="str">
        <f t="shared" ref="AI43:AI44" si="64">"echo {""issue"":{""subject"":"""&amp;R43&amp;""",""project_id"":79,""tracker_id"":40,""status_id"":"&amp;redmine_status&amp;",""priority_id"":"&amp;redmine_priority&amp;",""assigned_to_id"":"&amp;redmine_assignee&amp;",""start_date"":"""&amp;TEXT(I43,"YYYY-mm-dd")&amp;""",""description"":"""&amp;AJ43&amp;""",""custom_fields"":[{""id"":1,""name"":""Subdivision"",""value"":"""&amp;AG43&amp;"""},{""id"":4,""name"":""Milepost"",""value"":"""&amp;Z43&amp;"""},{""id"":17,""name"":""Train ID"",""value"":"""&amp;A43&amp;"""},{""id"":16,""name"":""Locomotive ID"",""value"":"""&amp;B43&amp;"""},{""id"":130,""name"":""Impact"",""value"":"""&amp;AK43&amp;"""},{""id"":150,""name"":""Time of Event (Mountain Time)"",""value"":"""&amp;TEXT(I43,"hh:mm:ss")&amp;"""},{""id"":151,""name"":""Denver Issue ID"",""value"":"""&amp;"""},{""id"":178,""name"":""Operational Impact"",""value"":"""&amp;redmine_op_impact&amp;"""},{""id"":179,""name"":""Denver Segment Assigned"",""value"":"""&amp;AL43&amp;"""}]}}"&amp;" | curl -X POST -H ""Content-Type: application/json"" -H ""X-Redmine-API-Key: "&amp;redm_api_key&amp;""" "&amp;redm_url&amp;" --data @-"</f>
        <v>echo {"issue":{"subject":"TMDS bulletin retrieval failure","project_id":79,"tracker_id":40,"status_id":1,"priority_id":2,"assigned_to_id":23,"start_date":"2017-04-24","description":"","custom_fields":[{"id":1,"name":"Subdivision","value":"EC"},{"id":4,"name":"Milepost","value":"0"},{"id":17,"name":"Train ID","value":"131-24"},{"id":16,"name":"Locomotive ID","value":"4040"},{"id":130,"name":"Impact","value":""},{"id":150,"name":"Time of Event (Mountain Time)","value":"07:25:57"},{"id":151,"name":"Denver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ref="AM43:AM44" si="65">"start /low /b "&amp;dls3logs&amp;" --loco "&amp;B43&amp;" --day "&amp;TEXT(F43,"YYYY-MM-DD")</f>
        <v>start /low /b %USERPROFILE%\Documents\GitHub\eaglep3\Utilities\DownloadLogsFromS3.py --loco 4040 --day 2017-04-24</v>
      </c>
      <c r="AN43" s="154" t="str">
        <f t="shared" ref="AN43:AN44" si="66">"echo {""issue"":{""subject"":"""&amp;R43&amp;""",""project_id"":30,""tracker_id"":4,""status_id"":"&amp;redmine_status_wcr&amp;",""priority_id"":"&amp;redmine_priority_wcr&amp;",""assigned_to_id"":"&amp;redmine_assignee_wcr&amp;",""start_date"":"""&amp;TEXT(I43-utc_offset/24,"YYYY-mm-dd")&amp;""",""description"":"""&amp;AJ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{"issue":{"subject":"TMDS bulletin retrieval failure","project_id":30,"tracker_id":4,"status_id":1,"priority_id":1,"assigned_to_id":10,"start_date":"2017-04-24","description":"","custom_fields":[{"id":30,"name":"Category","value":"Issue"},{"id":3,"name":"Functional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13:25:57"},{"id":29,"name":"Sharepoint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20"/>
      <c r="CB43" s="20"/>
      <c r="CC43" s="20"/>
      <c r="CD43" s="20"/>
      <c r="CE43" s="20"/>
      <c r="CF43" s="20"/>
      <c r="CG43" s="20"/>
      <c r="CH43" s="20"/>
      <c r="CI43" s="20"/>
      <c r="CJ43" s="20"/>
      <c r="CK43" s="20"/>
      <c r="CL43" s="20"/>
      <c r="CM43" s="20"/>
    </row>
    <row r="44" spans="1:91" s="1" customFormat="1" x14ac:dyDescent="0.25">
      <c r="A44" s="32" t="s">
        <v>644</v>
      </c>
      <c r="B44" s="7">
        <v>4039</v>
      </c>
      <c r="C44" s="21" t="s">
        <v>212</v>
      </c>
      <c r="D44" s="21" t="s">
        <v>540</v>
      </c>
      <c r="E44" s="13">
        <v>42849.336331018516</v>
      </c>
      <c r="F44" s="13">
        <v>42849.349328703705</v>
      </c>
      <c r="G44" s="7">
        <v>1</v>
      </c>
      <c r="H44" s="21" t="s">
        <v>390</v>
      </c>
      <c r="I44" s="13">
        <v>42849.349583333336</v>
      </c>
      <c r="J44" s="7">
        <v>0</v>
      </c>
      <c r="K44" s="92" t="str">
        <f t="shared" si="53"/>
        <v>4039/4040</v>
      </c>
      <c r="L44" s="21" t="str">
        <f>VLOOKUP(A44,'Trips&amp;Operators'!$C$1:$G$99999,5,FALSE)</f>
        <v>MAELZER KURT</v>
      </c>
      <c r="M44" s="6">
        <f t="shared" si="54"/>
        <v>2.546296309446916E-4</v>
      </c>
      <c r="N44" s="7"/>
      <c r="O44" s="7"/>
      <c r="P44" s="7">
        <f t="shared" si="55"/>
        <v>0.3666666685603559</v>
      </c>
      <c r="Q44" s="22"/>
      <c r="R44" s="191" t="s">
        <v>969</v>
      </c>
      <c r="S44" s="197">
        <f t="shared" si="56"/>
        <v>0</v>
      </c>
      <c r="T44" s="191" t="str">
        <f t="shared" si="57"/>
        <v>Southbound</v>
      </c>
      <c r="U44" s="19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0</v>
      </c>
      <c r="V44" s="192" t="str">
        <f t="shared" si="5"/>
        <v>https://d0f6bd738d7f1b3e5a7ca70fe4ff75f0.us-east-1.aws.found.io/app/kibana#/discover/Steve-Slow-Train-Analysis-(2080s-and-2083s)?_g=(refreshInterval:(display:Off,pause:!f,section:0,value:0),time:(from:'2017-04-24T07:04:19-0600',mode:absolute,to:'2017-04-24T09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4" s="193" t="str">
        <f t="shared" si="58"/>
        <v>Y</v>
      </c>
      <c r="X44" s="193">
        <f t="shared" si="59"/>
        <v>1</v>
      </c>
      <c r="Y44" s="193">
        <v>0</v>
      </c>
      <c r="Z44" s="193">
        <v>0</v>
      </c>
      <c r="AA44" s="193">
        <f t="shared" si="60"/>
        <v>0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61"/>
        <v>0132-24</v>
      </c>
      <c r="AE44" s="80" t="str">
        <f t="shared" si="11"/>
        <v>aws s3 cp s3://rtdc.mdm.uploadarchive.raw/RTDC4039/ "%USERPROFILE%\AppData\Local\Temp\OnboardLogs"\RTDC4039\2017-04-24 --exclude "*" --recursive --include "*20170424*" &amp; "%USERPROFILE%\Documents\GitHub\mrs-test-scripts\Headless Mode &amp; Sideloading\WalkAndUnGZ.bat" "%USERPROFILE%\AppData\Local\Temp\OnboardLogs"\RTDC4039\2017-04-24 &amp; aws s3 cp s3://rtdc.mdm.uploadarchive.raw/RTDC4039/ "%USERPROFILE%\AppData\Local\Temp\OnboardLogs"\RTDC4039\2017-04-25 --exclude "*" --recursive --include "*20170425*" &amp; "%USERPROFILE%\Documents\GitHub\mrs-test-scripts\Headless Mode &amp; Sideloading\WalkAndUnGZ.bat" "%USERPROFILE%\AppData\Local\Temp\OnboardLogs"\RTDC4039\2017-04-25</v>
      </c>
      <c r="AF44" s="77" t="str">
        <f t="shared" si="12"/>
        <v>"C:\Program Files (x86)\AstroGrep\AstroGrep.exe" /e /r /s /spath="%USERPROFILE%\AppData\Local\Temp\OnboardLogs" /stypes="app*4039*20170424*" /stext=" 14:.+((SYSTEM_STATE.+slice.+state.+changed )|(ment ac)|(multiple cpu faults)|(system.+state.+changed )|(\[timeout)|(PRM\|1\|D)|(kpr)|(kdp)|(train.+moving)|(\|lc)|(penalty))"</v>
      </c>
      <c r="AG44" s="1" t="str">
        <f t="shared" si="62"/>
        <v>EC</v>
      </c>
      <c r="AH44" s="81" t="str">
        <f t="shared" si="63"/>
        <v>"%USERPROFILE%\Documents\GitHub\eaglep3\Utilities\RefineRTDCRunTimes.py" --tripid 132-24 --locoid 4039 --swversion DE.1.0.9.0 --startMP 204:232970 --initTime 2017-04-24T08:04:19 --startdatetime 2017-04-24T08:23:02 --delay 1 --endMP 204:160 --enddatetime 2017-04-24T08:23:24 --enforcementcount 0 &gt;&gt;C:\Users\stu\Documents\GitHub\eaglep3-reporting\EC\2017-04-24-refined-times.txt</v>
      </c>
      <c r="AI44" s="99" t="str">
        <f t="shared" si="64"/>
        <v>echo {"issue":{"subject":"TMDS bulletin retrieval failure","project_id":79,"tracker_id":40,"status_id":1,"priority_id":2,"assigned_to_id":23,"start_date":"2017-04-24","description":"","custom_fields":[{"id":1,"name":"Subdivision","value":"EC"},{"id":4,"name":"Milepost","value":"0"},{"id":17,"name":"Train ID","value":"132-24"},{"id":16,"name":"Locomotive ID","value":"4039"},{"id":130,"name":"Impact","value":""},{"id":150,"name":"Time of Event (Mountain Time)","value":"08:23:24"},{"id":151,"name":"Denver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65"/>
        <v>start /low /b %USERPROFILE%\Documents\GitHub\eaglep3\Utilities\DownloadLogsFromS3.py --loco 4039 --day 2017-04-24</v>
      </c>
      <c r="AN44" s="154" t="str">
        <f t="shared" si="66"/>
        <v>echo {"issue":{"subject":"TMDS bulletin retrieval failure","project_id":30,"tracker_id":4,"status_id":1,"priority_id":1,"assigned_to_id":10,"start_date":"2017-04-24","description":"","custom_fields":[{"id":30,"name":"Category","value":"Issue"},{"id":3,"name":"Functional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14:23:24"},{"id":29,"name":"Sharepoint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0"/>
      <c r="BP44" s="2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0"/>
      <c r="CD44" s="20"/>
      <c r="CE44" s="20"/>
      <c r="CF44" s="20"/>
      <c r="CG44" s="20"/>
      <c r="CH44" s="20"/>
      <c r="CI44" s="20"/>
      <c r="CJ44" s="20"/>
      <c r="CK44" s="20"/>
      <c r="CL44" s="20"/>
      <c r="CM44" s="20"/>
    </row>
    <row r="45" spans="1:91" s="1" customFormat="1" x14ac:dyDescent="0.25">
      <c r="A45" s="32" t="s">
        <v>638</v>
      </c>
      <c r="B45" s="7">
        <v>4012</v>
      </c>
      <c r="C45" s="21" t="s">
        <v>212</v>
      </c>
      <c r="D45" s="21" t="s">
        <v>524</v>
      </c>
      <c r="E45" s="13">
        <v>42849.317662037036</v>
      </c>
      <c r="F45" s="13">
        <v>42849.323437500003</v>
      </c>
      <c r="G45" s="7">
        <v>1</v>
      </c>
      <c r="H45" s="21" t="s">
        <v>477</v>
      </c>
      <c r="I45" s="13">
        <v>42849.348344907405</v>
      </c>
      <c r="J45" s="7">
        <v>0</v>
      </c>
      <c r="K45" s="92" t="str">
        <f>IF(ISEVEN(B45),(B45-1)&amp;"/"&amp;B45,B45&amp;"/"&amp;(B45+1))</f>
        <v>4011/4012</v>
      </c>
      <c r="L45" s="21" t="str">
        <f>VLOOKUP(A45,'Trips&amp;Operators'!$C$1:$G$99999,5,FALSE)</f>
        <v>STARKS ANGELINA</v>
      </c>
      <c r="M45" s="6">
        <f>I45-F45</f>
        <v>2.4907407401769888E-2</v>
      </c>
      <c r="N45" s="7">
        <f>24*60*SUM($M45:$M45)</f>
        <v>35.866666658548638</v>
      </c>
      <c r="O45" s="7"/>
      <c r="P45" s="7"/>
      <c r="Q45" s="22"/>
      <c r="R45" s="191"/>
      <c r="S45" s="197">
        <f>SUM(U45:U45)/IF(AG45="EC",12,1)</f>
        <v>1</v>
      </c>
      <c r="T45" s="191" t="str">
        <f>IF(ISEVEN(LEFT(AD45,4)),"Southbound","NorthBound")</f>
        <v>NorthBound</v>
      </c>
      <c r="U45" s="19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2" t="str">
        <f t="shared" si="5"/>
        <v>https://d0f6bd738d7f1b3e5a7ca70fe4ff75f0.us-east-1.aws.found.io/app/kibana#/discover/Steve-Slow-Train-Analysis-(2080s-and-2083s)?_g=(refreshInterval:(display:Off,pause:!f,section:0,value:0),time:(from:'2017-04-24T06:37:26-0600',mode:absolute,to:'2017-04-24T09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5" s="193" t="str">
        <f>IF(AA45&lt;IF(AG45="EC",23,5.65),"Y","N")</f>
        <v>N</v>
      </c>
      <c r="X45" s="193">
        <f t="shared" si="59"/>
        <v>1</v>
      </c>
      <c r="Y45" s="193">
        <f>RIGHT(D45,LEN(D45)-4)/10000</f>
        <v>4.7100000000000003E-2</v>
      </c>
      <c r="Z45" s="193">
        <f>RIGHT(H45,LEN(H45)-4)/10000</f>
        <v>23.330200000000001</v>
      </c>
      <c r="AA45" s="193">
        <f>ABS(Z45-Y45)</f>
        <v>23.283100000000001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>IF(LEN(A45)=6,"0"&amp;A45,A45)</f>
        <v>0133-24</v>
      </c>
      <c r="AE45" s="80" t="str">
        <f t="shared" si="11"/>
        <v>aws s3 cp s3://rtdc.mdm.uploadarchive.raw/RTDC4012/ "%USERPROFILE%\AppData\Local\Temp\OnboardLogs"\RTDC4012\2017-04-24 --exclude "*" --recursive --include "*20170424*" &amp; "%USERPROFILE%\Documents\GitHub\mrs-test-scripts\Headless Mode &amp; Sideloading\WalkAndUnGZ.bat" "%USERPROFILE%\AppData\Local\Temp\OnboardLogs"\RTDC4012\2017-04-24 &amp; aws s3 cp s3://rtdc.mdm.uploadarchive.raw/RTDC4012/ "%USERPROFILE%\AppData\Local\Temp\OnboardLogs"\RTDC4012\2017-04-25 --exclude "*" --recursive --include "*20170425*" &amp; "%USERPROFILE%\Documents\GitHub\mrs-test-scripts\Headless Mode &amp; Sideloading\WalkAndUnGZ.bat" "%USERPROFILE%\AppData\Local\Temp\OnboardLogs"\RTDC4012\2017-04-25</v>
      </c>
      <c r="AF45" s="77" t="str">
        <f t="shared" si="12"/>
        <v>"C:\Program Files (x86)\AstroGrep\AstroGrep.exe" /e /r /s /spath="%USERPROFILE%\AppData\Local\Temp\OnboardLogs" /stypes="app*4012*20170424*" /stext=" 14:.+((SYSTEM_STATE.+slice.+state.+changed )|(ment ac)|(multiple cpu faults)|(system.+state.+changed )|(\[timeout)|(PRM\|1\|D)|(kpr)|(kdp)|(train.+moving)|(\|lc)|(penalty))"</v>
      </c>
      <c r="AG45" s="1" t="str">
        <f>IFERROR(IF(VALUE(LEFT(AD45,2))&lt;=2,"EC",IF(OR(VALUE(LEFT(AD45,2))=8,VALUE(LEFT(AD45,2))=18),"NW","Other")),"Other")</f>
        <v>EC</v>
      </c>
      <c r="AH45" s="81" t="str">
        <f t="shared" si="18"/>
        <v>"%USERPROFILE%\Documents\GitHub\eaglep3\Utilities\RefineRTDCRunTimes.py" --tripid 133-24 --locoid 4012 --swversion DE.1.0.9.0 --startMP 204:471 --initTime 2017-04-24T07:37:26 --startdatetime 2017-04-24T07:45:45 --delay 1 --endMP 204:233302 --enddatetime 2017-04-24T08:21:37 --enforcementcount 0 &gt;&gt;C:\Users\stu\Documents\GitHub\eaglep3-reporting\EC\2017-04-24-refined-times.txt</v>
      </c>
      <c r="AI45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{"issue":{"subject":"","project_id":79,"tracker_id":40,"status_id":1,"priority_id":2,"assigned_to_id":23,"start_date":"2017-04-24","description":"","custom_fields":[{"id":1,"name":"Subdivision","value":"EC"},{"id":4,"name":"Milepost","value":"23.3302"},{"id":17,"name":"Train ID","value":"133-24"},{"id":16,"name":"Locomotive ID","value":"4012"},{"id":130,"name":"Impact","value":""},{"id":150,"name":"Time of Event (Mountain Time)","value":"08:21:37"},{"id":151,"name":"Denver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0"/>
        <v>start /low /b %USERPROFILE%\Documents\GitHub\eaglep3\Utilities\DownloadLogsFromS3.py --loco 4012 --day 2017-04-24</v>
      </c>
      <c r="AN45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14:21:37"},{"id":29,"name":"Sharepoint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647</v>
      </c>
      <c r="B46" s="7">
        <v>4011</v>
      </c>
      <c r="C46" s="21" t="s">
        <v>212</v>
      </c>
      <c r="D46" s="21" t="s">
        <v>375</v>
      </c>
      <c r="E46" s="13">
        <v>42849.358298611114</v>
      </c>
      <c r="F46" s="13">
        <v>42849.36215277778</v>
      </c>
      <c r="G46" s="7">
        <v>1</v>
      </c>
      <c r="H46" s="21" t="s">
        <v>432</v>
      </c>
      <c r="I46" s="13">
        <v>42849.390486111108</v>
      </c>
      <c r="J46" s="7">
        <v>0</v>
      </c>
      <c r="K46" s="92" t="str">
        <f>IF(ISEVEN(B46),(B46-1)&amp;"/"&amp;B46,B46&amp;"/"&amp;(B46+1))</f>
        <v>4011/4012</v>
      </c>
      <c r="L46" s="21" t="str">
        <f>VLOOKUP(A46,'Trips&amp;Operators'!$C$1:$G$99999,5,FALSE)</f>
        <v>STARKS ANGELINA</v>
      </c>
      <c r="M46" s="6">
        <f>I46-F46</f>
        <v>2.8333333328191657E-2</v>
      </c>
      <c r="N46" s="7">
        <f>24*60*SUM($M46:$M46)</f>
        <v>40.799999992595986</v>
      </c>
      <c r="O46" s="7"/>
      <c r="P46" s="7"/>
      <c r="Q46" s="22"/>
      <c r="R46" s="191"/>
      <c r="S46" s="197">
        <f>SUM(U46:U46)/IF(AG46="EC",12,1)</f>
        <v>1</v>
      </c>
      <c r="T46" s="191" t="str">
        <f>IF(ISEVEN(LEFT(AD46,4)),"Southbound","NorthBound")</f>
        <v>Southbound</v>
      </c>
      <c r="U46" s="19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2" t="str">
        <f t="shared" si="5"/>
        <v>https://d0f6bd738d7f1b3e5a7ca70fe4ff75f0.us-east-1.aws.found.io/app/kibana#/discover/Steve-Slow-Train-Analysis-(2080s-and-2083s)?_g=(refreshInterval:(display:Off,pause:!f,section:0,value:0),time:(from:'2017-04-24T07:35:57-0600',mode:absolute,to:'2017-04-24T10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6" s="193" t="str">
        <f>IF(AA46&lt;IF(AG46="EC",23,5.65),"Y","N")</f>
        <v>N</v>
      </c>
      <c r="X46" s="193">
        <f>VALUE(LEFT(AD46,4))-VALUE(LEFT(AD45,4))</f>
        <v>1</v>
      </c>
      <c r="Y46" s="193">
        <f>RIGHT(D46,LEN(D46)-4)/10000</f>
        <v>23.297699999999999</v>
      </c>
      <c r="Z46" s="193">
        <f>RIGHT(H46,LEN(H46)-4)/10000</f>
        <v>1.3599999999999999E-2</v>
      </c>
      <c r="AA46" s="193">
        <f>ABS(Z46-Y46)</f>
        <v>23.284099999999999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>IF(LEN(A46)=6,"0"&amp;A46,A46)</f>
        <v>0134-24</v>
      </c>
      <c r="AE46" s="80" t="str">
        <f t="shared" si="11"/>
        <v>aws s3 cp s3://rtdc.mdm.uploadarchive.raw/RTDC4011/ "%USERPROFILE%\AppData\Local\Temp\OnboardLogs"\RTDC4011\2017-04-24 --exclude "*" --recursive --include "*20170424*" &amp; "%USERPROFILE%\Documents\GitHub\mrs-test-scripts\Headless Mode &amp; Sideloading\WalkAndUnGZ.bat" "%USERPROFILE%\AppData\Local\Temp\OnboardLogs"\RTDC4011\2017-04-24 &amp; aws s3 cp s3://rtdc.mdm.uploadarchive.raw/RTDC4011/ "%USERPROFILE%\AppData\Local\Temp\OnboardLogs"\RTDC4011\2017-04-25 --exclude "*" --recursive --include "*20170425*" &amp; "%USERPROFILE%\Documents\GitHub\mrs-test-scripts\Headless Mode &amp; Sideloading\WalkAndUnGZ.bat" "%USERPROFILE%\AppData\Local\Temp\OnboardLogs"\RTDC4011\2017-04-25</v>
      </c>
      <c r="AF46" s="77" t="str">
        <f t="shared" si="12"/>
        <v>"C:\Program Files (x86)\AstroGrep\AstroGrep.exe" /e /r /s /spath="%USERPROFILE%\AppData\Local\Temp\OnboardLogs" /stypes="app*4011*20170424*" /stext=" 15:.+((SYSTEM_STATE.+slice.+state.+changed )|(ment ac)|(multiple cpu faults)|(system.+state.+changed )|(\[timeout)|(PRM\|1\|D)|(kpr)|(kdp)|(train.+moving)|(\|lc)|(penalty))"</v>
      </c>
      <c r="AG46" s="1" t="str">
        <f>IFERROR(IF(VALUE(LEFT(AD46,2))&lt;=2,"EC",IF(OR(VALUE(LEFT(AD46,2))=8,VALUE(LEFT(AD46,2))=18),"NW","Other")),"Other")</f>
        <v>EC</v>
      </c>
      <c r="AH46" s="81" t="str">
        <f t="shared" si="18"/>
        <v>"%USERPROFILE%\Documents\GitHub\eaglep3\Utilities\RefineRTDCRunTimes.py" --tripid 134-24 --locoid 4011 --swversion DE.1.0.9.0 --startMP 204:232977 --initTime 2017-04-24T08:35:57 --startdatetime 2017-04-24T08:41:30 --delay 1 --endMP 204:136 --enddatetime 2017-04-24T09:22:18 --enforcementcount 0 &gt;&gt;C:\Users\stu\Documents\GitHub\eaglep3-reporting\EC\2017-04-24-refined-times.txt</v>
      </c>
      <c r="AI46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{"issue":{"subject":"","project_id":79,"tracker_id":40,"status_id":1,"priority_id":2,"assigned_to_id":23,"start_date":"2017-04-24","description":"","custom_fields":[{"id":1,"name":"Subdivision","value":"EC"},{"id":4,"name":"Milepost","value":"0.0136"},{"id":17,"name":"Train ID","value":"134-24"},{"id":16,"name":"Locomotive ID","value":"4011"},{"id":130,"name":"Impact","value":""},{"id":150,"name":"Time of Event (Mountain Time)","value":"09:22:18"},{"id":151,"name":"Denver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0"/>
        <v>start /low /b %USERPROFILE%\Documents\GitHub\eaglep3\Utilities\DownloadLogsFromS3.py --loco 4011 --day 2017-04-24</v>
      </c>
      <c r="AN46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15:22:18"},{"id":29,"name":"Sharepoint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640</v>
      </c>
      <c r="B47" s="7">
        <v>4028</v>
      </c>
      <c r="C47" s="21" t="s">
        <v>212</v>
      </c>
      <c r="D47" s="21" t="s">
        <v>375</v>
      </c>
      <c r="E47" s="13">
        <v>42849.358298611114</v>
      </c>
      <c r="F47" s="13">
        <v>42849.331377314818</v>
      </c>
      <c r="G47" s="7">
        <v>1</v>
      </c>
      <c r="H47" s="21" t="s">
        <v>432</v>
      </c>
      <c r="I47" s="13">
        <v>42849.33153935185</v>
      </c>
      <c r="J47" s="7">
        <v>0</v>
      </c>
      <c r="K47" s="92" t="str">
        <f t="shared" ref="K47:K50" si="67">IF(ISEVEN(B47),(B47-1)&amp;"/"&amp;B47,B47&amp;"/"&amp;(B47+1))</f>
        <v>4027/4028</v>
      </c>
      <c r="L47" s="21" t="str">
        <f>VLOOKUP(A47,'Trips&amp;Operators'!$C$1:$G$99999,5,FALSE)</f>
        <v>BIRENBAUM THOMAS</v>
      </c>
      <c r="M47" s="6">
        <f t="shared" ref="M47:M50" si="68">I47-F47</f>
        <v>1.6203703125938773E-4</v>
      </c>
      <c r="N47" s="7"/>
      <c r="O47" s="7"/>
      <c r="P47" s="7">
        <f t="shared" ref="P47:P50" si="69">24*60*SUM($M47:$M47)</f>
        <v>0.23333332501351833</v>
      </c>
      <c r="Q47" s="22"/>
      <c r="R47" s="191" t="s">
        <v>969</v>
      </c>
      <c r="S47" s="197">
        <f t="shared" ref="S47:S50" si="70">SUM(U47:U47)/IF(AG47="EC",12,1)</f>
        <v>0</v>
      </c>
      <c r="T47" s="191" t="str">
        <f t="shared" ref="T47:T50" si="71">IF(ISEVEN(LEFT(AD47,4)),"Southbound","NorthBound")</f>
        <v>NorthBound</v>
      </c>
      <c r="U47" s="19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0</v>
      </c>
      <c r="V47" s="192" t="str">
        <f t="shared" si="5"/>
        <v>https://d0f6bd738d7f1b3e5a7ca70fe4ff75f0.us-east-1.aws.found.io/app/kibana#/discover/Steve-Slow-Train-Analysis-(2080s-and-2083s)?_g=(refreshInterval:(display:Off,pause:!f,section:0,value:0),time:(from:'2017-04-24T07:35:57-0600',mode:absolute,to:'2017-04-24T08:57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7" s="193" t="str">
        <f t="shared" ref="W47:W50" si="72">IF(AA47&lt;IF(AG47="EC",23,5.65),"Y","N")</f>
        <v>Y</v>
      </c>
      <c r="X47" s="193">
        <f t="shared" ref="X47:X51" si="73">VALUE(LEFT(AD47,4))-VALUE(LEFT(AD46,4))</f>
        <v>1</v>
      </c>
      <c r="Y47" s="193">
        <v>0</v>
      </c>
      <c r="Z47" s="193">
        <v>0</v>
      </c>
      <c r="AA47" s="193">
        <f t="shared" ref="AA47:AA50" si="74">ABS(Z47-Y47)</f>
        <v>0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ref="AD47:AD50" si="75">IF(LEN(A47)=6,"0"&amp;A47,A47)</f>
        <v>0135-24</v>
      </c>
      <c r="AE47" s="80" t="str">
        <f t="shared" si="11"/>
        <v>aws s3 cp s3://rtdc.mdm.uploadarchive.raw/RTDC4028/ "%USERPROFILE%\AppData\Local\Temp\OnboardLogs"\RTDC4028\2017-04-24 --exclude "*" --recursive --include "*20170424*" &amp; "%USERPROFILE%\Documents\GitHub\mrs-test-scripts\Headless Mode &amp; Sideloading\WalkAndUnGZ.bat" "%USERPROFILE%\AppData\Local\Temp\OnboardLogs"\RTDC4028\2017-04-24 &amp; aws s3 cp s3://rtdc.mdm.uploadarchive.raw/RTDC4028/ "%USERPROFILE%\AppData\Local\Temp\OnboardLogs"\RTDC4028\2017-04-25 --exclude "*" --recursive --include "*20170425*" &amp; "%USERPROFILE%\Documents\GitHub\mrs-test-scripts\Headless Mode &amp; Sideloading\WalkAndUnGZ.bat" "%USERPROFILE%\AppData\Local\Temp\OnboardLogs"\RTDC4028\2017-04-25</v>
      </c>
      <c r="AF47" s="77" t="str">
        <f t="shared" si="12"/>
        <v>"C:\Program Files (x86)\AstroGrep\AstroGrep.exe" /e /r /s /spath="%USERPROFILE%\AppData\Local\Temp\OnboardLogs" /stypes="app*4028*20170424*" /stext=" 13:.+((SYSTEM_STATE.+slice.+state.+changed )|(ment ac)|(multiple cpu faults)|(system.+state.+changed )|(\[timeout)|(PRM\|1\|D)|(kpr)|(kdp)|(train.+moving)|(\|lc)|(penalty))"</v>
      </c>
      <c r="AG47" s="1" t="str">
        <f t="shared" ref="AG47:AG50" si="76">IFERROR(IF(VALUE(LEFT(AD47,2))&lt;=2,"EC",IF(OR(VALUE(LEFT(AD47,2))=8,VALUE(LEFT(AD47,2))=18),"NW","Other")),"Other")</f>
        <v>EC</v>
      </c>
      <c r="AH47" s="81" t="str">
        <f t="shared" ref="AH47:AH50" si="77">refinertdcruntimes&amp;" --tripid "&amp;A47&amp;" --locoid "&amp;B47&amp;" --swversion "&amp;C47&amp;" --startMP "&amp;D47&amp;" --initTime "&amp;TEXT(E47,"yyyy-mm-ddTHH:MM:SS")&amp;" --startdatetime "&amp;TEXT(F47,"yyyy-mm-ddTHH:MM:SS")&amp;" --delay "&amp;G47&amp;" --endMP "&amp;H47&amp;" --enddatetime "&amp;TEXT(I47,"yyyy-mm-ddTHH:MM:SS")&amp;" --enforcementcount "&amp;J47&amp;IF(outputrefinedruntimes," &gt;&gt;"&amp;RefinedRTDCRunTimesOutputFile,"")</f>
        <v>"%USERPROFILE%\Documents\GitHub\eaglep3\Utilities\RefineRTDCRunTimes.py" --tripid 135-24 --locoid 4028 --swversion DE.1.0.9.0 --startMP 204:232977 --initTime 2017-04-24T08:35:57 --startdatetime 2017-04-24T07:57:11 --delay 1 --endMP 204:136 --enddatetime 2017-04-24T07:57:25 --enforcementcount 0 &gt;&gt;C:\Users\stu\Documents\GitHub\eaglep3-reporting\EC\2017-04-24-refined-times.txt</v>
      </c>
      <c r="AI47" s="99" t="str">
        <f t="shared" ref="AI47:AI50" si="78">"echo {""issue"":{""subject"":"""&amp;R47&amp;""",""project_id"":79,""tracker_id"":40,""status_id"":"&amp;redmine_status&amp;",""priority_id"":"&amp;redmine_priority&amp;",""assigned_to_id"":"&amp;redmine_assignee&amp;",""start_date"":"""&amp;TEXT(I47,"YYYY-mm-dd")&amp;""",""description"":"""&amp;AJ47&amp;""",""custom_fields"":[{""id"":1,""name"":""Subdivision"",""value"":"""&amp;AG47&amp;"""},{""id"":4,""name"":""Milepost"",""value"":"""&amp;Z47&amp;"""},{""id"":17,""name"":""Train ID"",""value"":"""&amp;A47&amp;"""},{""id"":16,""name"":""Locomotive ID"",""value"":"""&amp;B47&amp;"""},{""id"":130,""name"":""Impact"",""value"":"""&amp;AK47&amp;"""},{""id"":150,""name"":""Time of Event (Mountain Time)"",""value"":"""&amp;TEXT(I47,"hh:mm:ss")&amp;"""},{""id"":151,""name"":""Denver Issue ID"",""value"":"""&amp;"""},{""id"":178,""name"":""Operational Impact"",""value"":"""&amp;redmine_op_impact&amp;"""},{""id"":179,""name"":""Denver Segment Assigned"",""value"":"""&amp;AL47&amp;"""}]}}"&amp;" | curl -X POST -H ""Content-Type: application/json"" -H ""X-Redmine-API-Key: "&amp;redm_api_key&amp;""" "&amp;redm_url&amp;" --data @-"</f>
        <v>echo {"issue":{"subject":"TMDS bulletin retrieval failure","project_id":79,"tracker_id":40,"status_id":1,"priority_id":2,"assigned_to_id":23,"start_date":"2017-04-24","description":"","custom_fields":[{"id":1,"name":"Subdivision","value":"EC"},{"id":4,"name":"Milepost","value":"0"},{"id":17,"name":"Train ID","value":"135-24"},{"id":16,"name":"Locomotive ID","value":"4028"},{"id":130,"name":"Impact","value":""},{"id":150,"name":"Time of Event (Mountain Time)","value":"07:57:25"},{"id":151,"name":"Denver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ref="AM47:AM50" si="79">"start /low /b "&amp;dls3logs&amp;" --loco "&amp;B47&amp;" --day "&amp;TEXT(F47,"YYYY-MM-DD")</f>
        <v>start /low /b %USERPROFILE%\Documents\GitHub\eaglep3\Utilities\DownloadLogsFromS3.py --loco 4028 --day 2017-04-24</v>
      </c>
      <c r="AN47" s="154" t="str">
        <f t="shared" ref="AN47:AN50" si="80">"echo {""issue"":{""subject"":"""&amp;R47&amp;""",""project_id"":30,""tracker_id"":4,""status_id"":"&amp;redmine_status_wcr&amp;",""priority_id"":"&amp;redmine_priority_wcr&amp;",""assigned_to_id"":"&amp;redmine_assignee_wcr&amp;",""start_date"":"""&amp;TEXT(I47-utc_offset/24,"YYYY-mm-dd")&amp;""",""description"":"""&amp;AJ47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{"issue":{"subject":"TMDS bulletin retrieval failure","project_id":30,"tracker_id":4,"status_id":1,"priority_id":1,"assigned_to_id":10,"start_date":"2017-04-24","description":"","custom_fields":[{"id":30,"name":"Category","value":"Issue"},{"id":3,"name":"Functional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13:57:25"},{"id":29,"name":"Sharepoint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  <c r="BO47" s="20"/>
      <c r="BP47" s="20"/>
      <c r="BQ47" s="20"/>
      <c r="BR47" s="20"/>
      <c r="BS47" s="20"/>
      <c r="BT47" s="20"/>
      <c r="BU47" s="20"/>
      <c r="BV47" s="20"/>
      <c r="BW47" s="20"/>
      <c r="BX47" s="20"/>
      <c r="BY47" s="20"/>
      <c r="BZ47" s="20"/>
      <c r="CA47" s="20"/>
      <c r="CB47" s="20"/>
      <c r="CC47" s="20"/>
      <c r="CD47" s="20"/>
      <c r="CE47" s="20"/>
      <c r="CF47" s="20"/>
      <c r="CG47" s="20"/>
      <c r="CH47" s="20"/>
      <c r="CI47" s="20"/>
      <c r="CJ47" s="20"/>
      <c r="CK47" s="20"/>
      <c r="CL47" s="20"/>
      <c r="CM47" s="20"/>
    </row>
    <row r="48" spans="1:91" s="1" customFormat="1" x14ac:dyDescent="0.25">
      <c r="A48" s="32" t="s">
        <v>648</v>
      </c>
      <c r="B48" s="7">
        <v>4027</v>
      </c>
      <c r="C48" s="21" t="s">
        <v>212</v>
      </c>
      <c r="D48" s="21" t="s">
        <v>375</v>
      </c>
      <c r="E48" s="13">
        <v>42849.358298611114</v>
      </c>
      <c r="F48" s="13">
        <v>42849.360081018516</v>
      </c>
      <c r="G48" s="7">
        <v>1</v>
      </c>
      <c r="H48" s="21" t="s">
        <v>432</v>
      </c>
      <c r="I48" s="13">
        <v>42849.360266203701</v>
      </c>
      <c r="J48" s="7">
        <v>0</v>
      </c>
      <c r="K48" s="92" t="str">
        <f t="shared" si="67"/>
        <v>4027/4028</v>
      </c>
      <c r="L48" s="21" t="str">
        <f>VLOOKUP(A48,'Trips&amp;Operators'!$C$1:$G$99999,5,FALSE)</f>
        <v>BIRENBAUM THOMAS</v>
      </c>
      <c r="M48" s="6">
        <f t="shared" si="68"/>
        <v>1.8518518481869251E-4</v>
      </c>
      <c r="N48" s="7"/>
      <c r="O48" s="7"/>
      <c r="P48" s="7">
        <f t="shared" si="69"/>
        <v>0.26666666613891721</v>
      </c>
      <c r="Q48" s="22"/>
      <c r="R48" s="191" t="s">
        <v>969</v>
      </c>
      <c r="S48" s="197">
        <f t="shared" si="70"/>
        <v>0</v>
      </c>
      <c r="T48" s="191" t="str">
        <f t="shared" si="71"/>
        <v>Southbound</v>
      </c>
      <c r="U48" s="19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0</v>
      </c>
      <c r="V48" s="192" t="str">
        <f t="shared" si="5"/>
        <v>https://d0f6bd738d7f1b3e5a7ca70fe4ff75f0.us-east-1.aws.found.io/app/kibana#/discover/Steve-Slow-Train-Analysis-(2080s-and-2083s)?_g=(refreshInterval:(display:Off,pause:!f,section:0,value:0),time:(from:'2017-04-24T07:35:57-0600',mode:absolute,to:'2017-04-24T09:38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8" s="193" t="str">
        <f t="shared" si="72"/>
        <v>Y</v>
      </c>
      <c r="X48" s="193">
        <f t="shared" si="73"/>
        <v>1</v>
      </c>
      <c r="Y48" s="193">
        <v>0</v>
      </c>
      <c r="Z48" s="193">
        <v>0</v>
      </c>
      <c r="AA48" s="193">
        <f t="shared" si="74"/>
        <v>0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75"/>
        <v>0136-24</v>
      </c>
      <c r="AE48" s="80" t="str">
        <f t="shared" si="11"/>
        <v>aws s3 cp s3://rtdc.mdm.uploadarchive.raw/RTDC4027/ "%USERPROFILE%\AppData\Local\Temp\OnboardLogs"\RTDC4027\2017-04-24 --exclude "*" --recursive --include "*20170424*" &amp; "%USERPROFILE%\Documents\GitHub\mrs-test-scripts\Headless Mode &amp; Sideloading\WalkAndUnGZ.bat" "%USERPROFILE%\AppData\Local\Temp\OnboardLogs"\RTDC4027\2017-04-24 &amp; aws s3 cp s3://rtdc.mdm.uploadarchive.raw/RTDC4027/ "%USERPROFILE%\AppData\Local\Temp\OnboardLogs"\RTDC4027\2017-04-25 --exclude "*" --recursive --include "*20170425*" &amp; "%USERPROFILE%\Documents\GitHub\mrs-test-scripts\Headless Mode &amp; Sideloading\WalkAndUnGZ.bat" "%USERPROFILE%\AppData\Local\Temp\OnboardLogs"\RTDC4027\2017-04-25</v>
      </c>
      <c r="AF48" s="77" t="str">
        <f t="shared" si="12"/>
        <v>"C:\Program Files (x86)\AstroGrep\AstroGrep.exe" /e /r /s /spath="%USERPROFILE%\AppData\Local\Temp\OnboardLogs" /stypes="app*4027*20170424*" /stext=" 14:.+((SYSTEM_STATE.+slice.+state.+changed )|(ment ac)|(multiple cpu faults)|(system.+state.+changed )|(\[timeout)|(PRM\|1\|D)|(kpr)|(kdp)|(train.+moving)|(\|lc)|(penalty))"</v>
      </c>
      <c r="AG48" s="1" t="str">
        <f t="shared" si="76"/>
        <v>EC</v>
      </c>
      <c r="AH48" s="81" t="str">
        <f t="shared" si="77"/>
        <v>"%USERPROFILE%\Documents\GitHub\eaglep3\Utilities\RefineRTDCRunTimes.py" --tripid 136-24 --locoid 4027 --swversion DE.1.0.9.0 --startMP 204:232977 --initTime 2017-04-24T08:35:57 --startdatetime 2017-04-24T08:38:31 --delay 1 --endMP 204:136 --enddatetime 2017-04-24T08:38:47 --enforcementcount 0 &gt;&gt;C:\Users\stu\Documents\GitHub\eaglep3-reporting\EC\2017-04-24-refined-times.txt</v>
      </c>
      <c r="AI48" s="99" t="str">
        <f t="shared" si="78"/>
        <v>echo {"issue":{"subject":"TMDS bulletin retrieval failure","project_id":79,"tracker_id":40,"status_id":1,"priority_id":2,"assigned_to_id":23,"start_date":"2017-04-24","description":"","custom_fields":[{"id":1,"name":"Subdivision","value":"EC"},{"id":4,"name":"Milepost","value":"0"},{"id":17,"name":"Train ID","value":"136-24"},{"id":16,"name":"Locomotive ID","value":"4027"},{"id":130,"name":"Impact","value":""},{"id":150,"name":"Time of Event (Mountain Time)","value":"08:38:47"},{"id":151,"name":"Denver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79"/>
        <v>start /low /b %USERPROFILE%\Documents\GitHub\eaglep3\Utilities\DownloadLogsFromS3.py --loco 4027 --day 2017-04-24</v>
      </c>
      <c r="AN48" s="154" t="str">
        <f t="shared" si="80"/>
        <v>echo {"issue":{"subject":"TMDS bulletin retrieval failure","project_id":30,"tracker_id":4,"status_id":1,"priority_id":1,"assigned_to_id":10,"start_date":"2017-04-24","description":"","custom_fields":[{"id":30,"name":"Category","value":"Issue"},{"id":3,"name":"Functional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14:38:47"},{"id":29,"name":"Sharepoint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0"/>
      <c r="BP48" s="20"/>
      <c r="BQ48" s="20"/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B48" s="20"/>
      <c r="CC48" s="20"/>
      <c r="CD48" s="20"/>
      <c r="CE48" s="20"/>
      <c r="CF48" s="20"/>
      <c r="CG48" s="20"/>
      <c r="CH48" s="20"/>
      <c r="CI48" s="20"/>
      <c r="CJ48" s="20"/>
      <c r="CK48" s="20"/>
      <c r="CL48" s="20"/>
      <c r="CM48" s="20"/>
    </row>
    <row r="49" spans="1:91" s="1" customFormat="1" x14ac:dyDescent="0.25">
      <c r="A49" s="32" t="s">
        <v>643</v>
      </c>
      <c r="B49" s="7">
        <v>4030</v>
      </c>
      <c r="C49" s="21" t="s">
        <v>212</v>
      </c>
      <c r="D49" s="21" t="s">
        <v>375</v>
      </c>
      <c r="E49" s="13">
        <v>42849.358298611114</v>
      </c>
      <c r="F49" s="13">
        <v>42849.339166666665</v>
      </c>
      <c r="G49" s="7">
        <v>1</v>
      </c>
      <c r="H49" s="21" t="s">
        <v>432</v>
      </c>
      <c r="I49" s="13">
        <v>42849.339409722219</v>
      </c>
      <c r="J49" s="7">
        <v>0</v>
      </c>
      <c r="K49" s="92" t="str">
        <f t="shared" si="67"/>
        <v>4029/4030</v>
      </c>
      <c r="L49" s="21" t="str">
        <f>VLOOKUP(A49,'Trips&amp;Operators'!$C$1:$G$99999,5,FALSE)</f>
        <v>SHOOK JOHN</v>
      </c>
      <c r="M49" s="6">
        <f t="shared" si="68"/>
        <v>2.4305555416503921E-4</v>
      </c>
      <c r="N49" s="7"/>
      <c r="O49" s="7"/>
      <c r="P49" s="7">
        <f t="shared" si="69"/>
        <v>0.34999999799765646</v>
      </c>
      <c r="Q49" s="22"/>
      <c r="R49" s="191" t="s">
        <v>969</v>
      </c>
      <c r="S49" s="197">
        <f t="shared" si="70"/>
        <v>0</v>
      </c>
      <c r="T49" s="191" t="str">
        <f t="shared" si="71"/>
        <v>NorthBound</v>
      </c>
      <c r="U49" s="19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0</v>
      </c>
      <c r="V49" s="192" t="str">
        <f t="shared" si="5"/>
        <v>https://d0f6bd738d7f1b3e5a7ca70fe4ff75f0.us-east-1.aws.found.io/app/kibana#/discover/Steve-Slow-Train-Analysis-(2080s-and-2083s)?_g=(refreshInterval:(display:Off,pause:!f,section:0,value:0),time:(from:'2017-04-24T07:35:57-0600',mode:absolute,to:'2017-04-24T09:08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9" s="193" t="str">
        <f t="shared" si="72"/>
        <v>Y</v>
      </c>
      <c r="X49" s="193">
        <f t="shared" si="73"/>
        <v>1</v>
      </c>
      <c r="Y49" s="193">
        <v>0</v>
      </c>
      <c r="Z49" s="193">
        <v>0</v>
      </c>
      <c r="AA49" s="193">
        <f t="shared" si="74"/>
        <v>0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75"/>
        <v>0137-24</v>
      </c>
      <c r="AE49" s="80" t="str">
        <f t="shared" si="11"/>
        <v>aws s3 cp s3://rtdc.mdm.uploadarchive.raw/RTDC4030/ "%USERPROFILE%\AppData\Local\Temp\OnboardLogs"\RTDC4030\2017-04-24 --exclude "*" --recursive --include "*20170424*" &amp; "%USERPROFILE%\Documents\GitHub\mrs-test-scripts\Headless Mode &amp; Sideloading\WalkAndUnGZ.bat" "%USERPROFILE%\AppData\Local\Temp\OnboardLogs"\RTDC4030\2017-04-24 &amp; aws s3 cp s3://rtdc.mdm.uploadarchive.raw/RTDC4030/ "%USERPROFILE%\AppData\Local\Temp\OnboardLogs"\RTDC4030\2017-04-25 --exclude "*" --recursive --include "*20170425*" &amp; "%USERPROFILE%\Documents\GitHub\mrs-test-scripts\Headless Mode &amp; Sideloading\WalkAndUnGZ.bat" "%USERPROFILE%\AppData\Local\Temp\OnboardLogs"\RTDC4030\2017-04-25</v>
      </c>
      <c r="AF49" s="77" t="str">
        <f t="shared" si="12"/>
        <v>"C:\Program Files (x86)\AstroGrep\AstroGrep.exe" /e /r /s /spath="%USERPROFILE%\AppData\Local\Temp\OnboardLogs" /stypes="app*4030*20170424*" /stext=" 14:.+((SYSTEM_STATE.+slice.+state.+changed )|(ment ac)|(multiple cpu faults)|(system.+state.+changed )|(\[timeout)|(PRM\|1\|D)|(kpr)|(kdp)|(train.+moving)|(\|lc)|(penalty))"</v>
      </c>
      <c r="AG49" s="1" t="str">
        <f t="shared" si="76"/>
        <v>EC</v>
      </c>
      <c r="AH49" s="81" t="str">
        <f t="shared" si="77"/>
        <v>"%USERPROFILE%\Documents\GitHub\eaglep3\Utilities\RefineRTDCRunTimes.py" --tripid 137-24 --locoid 4030 --swversion DE.1.0.9.0 --startMP 204:232977 --initTime 2017-04-24T08:35:57 --startdatetime 2017-04-24T08:08:24 --delay 1 --endMP 204:136 --enddatetime 2017-04-24T08:08:45 --enforcementcount 0 &gt;&gt;C:\Users\stu\Documents\GitHub\eaglep3-reporting\EC\2017-04-24-refined-times.txt</v>
      </c>
      <c r="AI49" s="99" t="str">
        <f t="shared" si="78"/>
        <v>echo {"issue":{"subject":"TMDS bulletin retrieval failure","project_id":79,"tracker_id":40,"status_id":1,"priority_id":2,"assigned_to_id":23,"start_date":"2017-04-24","description":"","custom_fields":[{"id":1,"name":"Subdivision","value":"EC"},{"id":4,"name":"Milepost","value":"0"},{"id":17,"name":"Train ID","value":"137-24"},{"id":16,"name":"Locomotive ID","value":"4030"},{"id":130,"name":"Impact","value":""},{"id":150,"name":"Time of Event (Mountain Time)","value":"08:08:45"},{"id":151,"name":"Denver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79"/>
        <v>start /low /b %USERPROFILE%\Documents\GitHub\eaglep3\Utilities\DownloadLogsFromS3.py --loco 4030 --day 2017-04-24</v>
      </c>
      <c r="AN49" s="154" t="str">
        <f t="shared" si="80"/>
        <v>echo {"issue":{"subject":"TMDS bulletin retrieval failure","project_id":30,"tracker_id":4,"status_id":1,"priority_id":1,"assigned_to_id":10,"start_date":"2017-04-24","description":"","custom_fields":[{"id":30,"name":"Category","value":"Issue"},{"id":3,"name":"Functional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14:08:45"},{"id":29,"name":"Sharepoint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0"/>
      <c r="CD49" s="20"/>
      <c r="CE49" s="20"/>
      <c r="CF49" s="20"/>
      <c r="CG49" s="20"/>
      <c r="CH49" s="20"/>
      <c r="CI49" s="20"/>
      <c r="CJ49" s="20"/>
      <c r="CK49" s="20"/>
      <c r="CL49" s="20"/>
      <c r="CM49" s="20"/>
    </row>
    <row r="50" spans="1:91" s="1" customFormat="1" x14ac:dyDescent="0.25">
      <c r="A50" s="32" t="s">
        <v>650</v>
      </c>
      <c r="B50" s="7">
        <v>4029</v>
      </c>
      <c r="C50" s="21" t="s">
        <v>212</v>
      </c>
      <c r="D50" s="21" t="s">
        <v>375</v>
      </c>
      <c r="E50" s="13">
        <v>42849.358298611114</v>
      </c>
      <c r="F50" s="13">
        <v>42849.370706018519</v>
      </c>
      <c r="G50" s="7">
        <v>1</v>
      </c>
      <c r="H50" s="21" t="s">
        <v>432</v>
      </c>
      <c r="I50" s="13">
        <v>42849.379733796297</v>
      </c>
      <c r="J50" s="7">
        <v>0</v>
      </c>
      <c r="K50" s="92" t="str">
        <f t="shared" si="67"/>
        <v>4029/4030</v>
      </c>
      <c r="L50" s="21" t="str">
        <f>VLOOKUP(A50,'Trips&amp;Operators'!$C$1:$G$99999,5,FALSE)</f>
        <v>SHOOK JOHN</v>
      </c>
      <c r="M50" s="6">
        <f t="shared" si="68"/>
        <v>9.0277777781011537E-3</v>
      </c>
      <c r="N50" s="7"/>
      <c r="O50" s="7"/>
      <c r="P50" s="7">
        <f t="shared" si="69"/>
        <v>13.000000000465661</v>
      </c>
      <c r="Q50" s="22"/>
      <c r="R50" s="191" t="s">
        <v>969</v>
      </c>
      <c r="S50" s="197">
        <f t="shared" si="70"/>
        <v>0</v>
      </c>
      <c r="T50" s="191" t="str">
        <f t="shared" si="71"/>
        <v>Southbound</v>
      </c>
      <c r="U50" s="19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0</v>
      </c>
      <c r="V50" s="192" t="str">
        <f t="shared" si="5"/>
        <v>https://d0f6bd738d7f1b3e5a7ca70fe4ff75f0.us-east-1.aws.found.io/app/kibana#/discover/Steve-Slow-Train-Analysis-(2080s-and-2083s)?_g=(refreshInterval:(display:Off,pause:!f,section:0,value:0),time:(from:'2017-04-24T07:35:57-0600',mode:absolute,to:'2017-04-24T10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0" s="193" t="str">
        <f t="shared" si="72"/>
        <v>Y</v>
      </c>
      <c r="X50" s="193">
        <f t="shared" si="73"/>
        <v>1</v>
      </c>
      <c r="Y50" s="193">
        <v>0</v>
      </c>
      <c r="Z50" s="193">
        <v>0</v>
      </c>
      <c r="AA50" s="193">
        <f t="shared" si="74"/>
        <v>0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75"/>
        <v>0138-24</v>
      </c>
      <c r="AE50" s="80" t="str">
        <f t="shared" si="11"/>
        <v>aws s3 cp s3://rtdc.mdm.uploadarchive.raw/RTDC4029/ "%USERPROFILE%\AppData\Local\Temp\OnboardLogs"\RTDC4029\2017-04-24 --exclude "*" --recursive --include "*20170424*" &amp; "%USERPROFILE%\Documents\GitHub\mrs-test-scripts\Headless Mode &amp; Sideloading\WalkAndUnGZ.bat" "%USERPROFILE%\AppData\Local\Temp\OnboardLogs"\RTDC4029\2017-04-24 &amp; aws s3 cp s3://rtdc.mdm.uploadarchive.raw/RTDC4029/ "%USERPROFILE%\AppData\Local\Temp\OnboardLogs"\RTDC4029\2017-04-25 --exclude "*" --recursive --include "*20170425*" &amp; "%USERPROFILE%\Documents\GitHub\mrs-test-scripts\Headless Mode &amp; Sideloading\WalkAndUnGZ.bat" "%USERPROFILE%\AppData\Local\Temp\OnboardLogs"\RTDC4029\2017-04-25</v>
      </c>
      <c r="AF50" s="77" t="str">
        <f t="shared" si="12"/>
        <v>"C:\Program Files (x86)\AstroGrep\AstroGrep.exe" /e /r /s /spath="%USERPROFILE%\AppData\Local\Temp\OnboardLogs" /stypes="app*4029*20170424*" /stext=" 15:.+((SYSTEM_STATE.+slice.+state.+changed )|(ment ac)|(multiple cpu faults)|(system.+state.+changed )|(\[timeout)|(PRM\|1\|D)|(kpr)|(kdp)|(train.+moving)|(\|lc)|(penalty))"</v>
      </c>
      <c r="AG50" s="1" t="str">
        <f t="shared" si="76"/>
        <v>EC</v>
      </c>
      <c r="AH50" s="81" t="str">
        <f t="shared" si="77"/>
        <v>"%USERPROFILE%\Documents\GitHub\eaglep3\Utilities\RefineRTDCRunTimes.py" --tripid 138-24 --locoid 4029 --swversion DE.1.0.9.0 --startMP 204:232977 --initTime 2017-04-24T08:35:57 --startdatetime 2017-04-24T08:53:49 --delay 1 --endMP 204:136 --enddatetime 2017-04-24T09:06:49 --enforcementcount 0 &gt;&gt;C:\Users\stu\Documents\GitHub\eaglep3-reporting\EC\2017-04-24-refined-times.txt</v>
      </c>
      <c r="AI50" s="99" t="str">
        <f t="shared" si="78"/>
        <v>echo {"issue":{"subject":"TMDS bulletin retrieval failure","project_id":79,"tracker_id":40,"status_id":1,"priority_id":2,"assigned_to_id":23,"start_date":"2017-04-24","description":"","custom_fields":[{"id":1,"name":"Subdivision","value":"EC"},{"id":4,"name":"Milepost","value":"0"},{"id":17,"name":"Train ID","value":"138-24"},{"id":16,"name":"Locomotive ID","value":"4029"},{"id":130,"name":"Impact","value":""},{"id":150,"name":"Time of Event (Mountain Time)","value":"09:06:49"},{"id":151,"name":"Denver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79"/>
        <v>start /low /b %USERPROFILE%\Documents\GitHub\eaglep3\Utilities\DownloadLogsFromS3.py --loco 4029 --day 2017-04-24</v>
      </c>
      <c r="AN50" s="154" t="str">
        <f t="shared" si="80"/>
        <v>echo {"issue":{"subject":"TMDS bulletin retrieval failure","project_id":30,"tracker_id":4,"status_id":1,"priority_id":1,"assigned_to_id":10,"start_date":"2017-04-24","description":"","custom_fields":[{"id":30,"name":"Category","value":"Issue"},{"id":3,"name":"Functional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15:06:49"},{"id":29,"name":"Sharepoint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0"/>
      <c r="BP50" s="20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0"/>
      <c r="CD50" s="20"/>
      <c r="CE50" s="20"/>
      <c r="CF50" s="20"/>
      <c r="CG50" s="20"/>
      <c r="CH50" s="20"/>
      <c r="CI50" s="20"/>
      <c r="CJ50" s="20"/>
      <c r="CK50" s="20"/>
      <c r="CL50" s="20"/>
      <c r="CM50" s="20"/>
    </row>
    <row r="51" spans="1:91" s="1" customFormat="1" x14ac:dyDescent="0.25">
      <c r="A51" s="32" t="s">
        <v>552</v>
      </c>
      <c r="B51" s="7">
        <v>4024</v>
      </c>
      <c r="C51" s="21" t="s">
        <v>212</v>
      </c>
      <c r="D51" s="21" t="s">
        <v>429</v>
      </c>
      <c r="E51" s="13">
        <v>42849.34878472222</v>
      </c>
      <c r="F51" s="13">
        <v>42849.35460648148</v>
      </c>
      <c r="G51" s="7">
        <v>1</v>
      </c>
      <c r="H51" s="21" t="s">
        <v>467</v>
      </c>
      <c r="I51" s="13">
        <v>42849.378645833334</v>
      </c>
      <c r="J51" s="7">
        <v>0</v>
      </c>
      <c r="K51" s="92" t="str">
        <f t="shared" ref="K51:K82" si="81">IF(ISEVEN(B51),(B51-1)&amp;"/"&amp;B51,B51&amp;"/"&amp;(B51+1))</f>
        <v>4023/4024</v>
      </c>
      <c r="L51" s="21" t="str">
        <f>VLOOKUP(A51,'Trips&amp;Operators'!$C$1:$G$99999,5,FALSE)</f>
        <v>GUZMAN DANNY</v>
      </c>
      <c r="M51" s="6">
        <f t="shared" ref="M51:M82" si="82">I51-F51</f>
        <v>2.4039351854298729E-2</v>
      </c>
      <c r="N51" s="7">
        <f t="shared" ref="N51:N56" si="83">24*60*SUM($M51:$M51)</f>
        <v>34.61666667019017</v>
      </c>
      <c r="O51" s="7"/>
      <c r="P51" s="7"/>
      <c r="Q51" s="22"/>
      <c r="R51" s="191"/>
      <c r="S51" s="197">
        <f t="shared" ref="S51:S82" si="84">SUM(U51:U51)/IF(AG51="EC",12,1)</f>
        <v>1</v>
      </c>
      <c r="T51" s="191" t="str">
        <f t="shared" ref="T51:T82" si="85">IF(ISEVEN(LEFT(AD51,4)),"Southbound","NorthBound")</f>
        <v>NorthBound</v>
      </c>
      <c r="U51" s="19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2" t="str">
        <f t="shared" si="5"/>
        <v>https://d0f6bd738d7f1b3e5a7ca70fe4ff75f0.us-east-1.aws.found.io/app/kibana#/discover/Steve-Slow-Train-Analysis-(2080s-and-2083s)?_g=(refreshInterval:(display:Off,pause:!f,section:0,value:0),time:(from:'2017-04-24T07:22:15-0600',mode:absolute,to:'2017-04-24T10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1" s="193" t="str">
        <f t="shared" ref="W51:W82" si="86">IF(AA51&lt;IF(AG51="EC",23,5.65),"Y","N")</f>
        <v>N</v>
      </c>
      <c r="X51" s="193">
        <f t="shared" si="73"/>
        <v>1</v>
      </c>
      <c r="Y51" s="193">
        <f t="shared" ref="Y51:Y56" si="87">RIGHT(D51,LEN(D51)-4)/10000</f>
        <v>4.6600000000000003E-2</v>
      </c>
      <c r="Z51" s="193">
        <f t="shared" ref="Z51:Z56" si="88">RIGHT(H51,LEN(H51)-4)/10000</f>
        <v>23.329699999999999</v>
      </c>
      <c r="AA51" s="193">
        <f t="shared" ref="AA51:AA82" si="89">ABS(Z51-Y51)</f>
        <v>23.283099999999997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ref="AD51:AD82" si="90">IF(LEN(A51)=6,"0"&amp;A51,A51)</f>
        <v>0139-24</v>
      </c>
      <c r="AE51" s="80" t="str">
        <f t="shared" si="11"/>
        <v>aws s3 cp s3://rtdc.mdm.uploadarchive.raw/RTDC4024/ "%USERPROFILE%\AppData\Local\Temp\OnboardLogs"\RTDC4024\2017-04-24 --exclude "*" --recursive --include "*20170424*" &amp; "%USERPROFILE%\Documents\GitHub\mrs-test-scripts\Headless Mode &amp; Sideloading\WalkAndUnGZ.bat" "%USERPROFILE%\AppData\Local\Temp\OnboardLogs"\RTDC4024\2017-04-24 &amp; aws s3 cp s3://rtdc.mdm.uploadarchive.raw/RTDC4024/ "%USERPROFILE%\AppData\Local\Temp\OnboardLogs"\RTDC4024\2017-04-25 --exclude "*" --recursive --include "*20170425*" &amp; "%USERPROFILE%\Documents\GitHub\mrs-test-scripts\Headless Mode &amp; Sideloading\WalkAndUnGZ.bat" "%USERPROFILE%\AppData\Local\Temp\OnboardLogs"\RTDC4024\2017-04-25</v>
      </c>
      <c r="AF51" s="77" t="str">
        <f t="shared" si="12"/>
        <v>"C:\Program Files (x86)\AstroGrep\AstroGrep.exe" /e /r /s /spath="%USERPROFILE%\AppData\Local\Temp\OnboardLogs" /stypes="app*4024*20170424*" /stext=" 15:.+((SYSTEM_STATE.+slice.+state.+changed )|(ment ac)|(multiple cpu faults)|(system.+state.+changed )|(\[timeout)|(PRM\|1\|D)|(kpr)|(kdp)|(train.+moving)|(\|lc)|(penalty))"</v>
      </c>
      <c r="AG51" s="1" t="str">
        <f t="shared" ref="AG51:AG82" si="91">IFERROR(IF(VALUE(LEFT(AD51,2))&lt;=2,"EC",IF(OR(VALUE(LEFT(AD51,2))=8,VALUE(LEFT(AD51,2))=18),"NW","Other")),"Other")</f>
        <v>EC</v>
      </c>
      <c r="AH51" s="81" t="str">
        <f t="shared" si="18"/>
        <v>"%USERPROFILE%\Documents\GitHub\eaglep3\Utilities\RefineRTDCRunTimes.py" --tripid 139-24 --locoid 4024 --swversion DE.1.0.9.0 --startMP 204:466 --initTime 2017-04-24T08:22:15 --startdatetime 2017-04-24T08:30:38 --delay 1 --endMP 204:233297 --enddatetime 2017-04-24T09:05:15 --enforcementcount 0 &gt;&gt;C:\Users\stu\Documents\GitHub\eaglep3-reporting\EC\2017-04-24-refined-times.txt</v>
      </c>
      <c r="AI51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{"issue":{"subject":"","project_id":79,"tracker_id":40,"status_id":1,"priority_id":2,"assigned_to_id":23,"start_date":"2017-04-24","description":"","custom_fields":[{"id":1,"name":"Subdivision","value":"EC"},{"id":4,"name":"Milepost","value":"23.3297"},{"id":17,"name":"Train ID","value":"139-24"},{"id":16,"name":"Locomotive ID","value":"4024"},{"id":130,"name":"Impact","value":""},{"id":150,"name":"Time of Event (Mountain Time)","value":"09:05:15"},{"id":151,"name":"Denver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0"/>
        <v>start /low /b %USERPROFILE%\Documents\GitHub\eaglep3\Utilities\DownloadLogsFromS3.py --loco 4024 --day 2017-04-24</v>
      </c>
      <c r="AN51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15:05:15"},{"id":29,"name":"Sharepoint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653</v>
      </c>
      <c r="B52" s="7">
        <v>4023</v>
      </c>
      <c r="C52" s="21" t="s">
        <v>212</v>
      </c>
      <c r="D52" s="21" t="s">
        <v>484</v>
      </c>
      <c r="E52" s="13">
        <v>42849.379513888889</v>
      </c>
      <c r="F52" s="13">
        <v>42849.393796296295</v>
      </c>
      <c r="G52" s="7">
        <v>1</v>
      </c>
      <c r="H52" s="21" t="s">
        <v>390</v>
      </c>
      <c r="I52" s="13">
        <v>42849.419664351852</v>
      </c>
      <c r="J52" s="7">
        <v>0</v>
      </c>
      <c r="K52" s="92" t="str">
        <f t="shared" si="81"/>
        <v>4023/4024</v>
      </c>
      <c r="L52" s="21" t="str">
        <f>VLOOKUP(A52,'Trips&amp;Operators'!$C$1:$G$99999,5,FALSE)</f>
        <v>GUZMAN DANNY</v>
      </c>
      <c r="M52" s="6">
        <f t="shared" si="82"/>
        <v>2.5868055556202307E-2</v>
      </c>
      <c r="N52" s="7">
        <f t="shared" si="83"/>
        <v>37.250000000931323</v>
      </c>
      <c r="O52" s="7"/>
      <c r="P52" s="7"/>
      <c r="Q52" s="22"/>
      <c r="R52" s="191"/>
      <c r="S52" s="197">
        <f t="shared" si="84"/>
        <v>1</v>
      </c>
      <c r="T52" s="191" t="str">
        <f t="shared" si="85"/>
        <v>Southbound</v>
      </c>
      <c r="U52" s="19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2" t="str">
        <f t="shared" si="5"/>
        <v>https://d0f6bd738d7f1b3e5a7ca70fe4ff75f0.us-east-1.aws.found.io/app/kibana#/discover/Steve-Slow-Train-Analysis-(2080s-and-2083s)?_g=(refreshInterval:(display:Off,pause:!f,section:0,value:0),time:(from:'2017-04-24T08:06:30-0600',mode:absolute,to:'2017-04-24T11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2" s="193" t="str">
        <f t="shared" si="86"/>
        <v>N</v>
      </c>
      <c r="X52" s="193">
        <f t="shared" ref="X52:X83" si="92">VALUE(LEFT(AD52,4))-VALUE(LEFT(AD51,4))</f>
        <v>1</v>
      </c>
      <c r="Y52" s="193">
        <f t="shared" si="87"/>
        <v>23.2986</v>
      </c>
      <c r="Z52" s="193">
        <f t="shared" si="88"/>
        <v>1.6E-2</v>
      </c>
      <c r="AA52" s="193">
        <f t="shared" si="89"/>
        <v>23.282600000000002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90"/>
        <v>0140-24</v>
      </c>
      <c r="AE52" s="80" t="str">
        <f t="shared" si="11"/>
        <v>aws s3 cp s3://rtdc.mdm.uploadarchive.raw/RTDC4023/ "%USERPROFILE%\AppData\Local\Temp\OnboardLogs"\RTDC4023\2017-04-24 --exclude "*" --recursive --include "*20170424*" &amp; "%USERPROFILE%\Documents\GitHub\mrs-test-scripts\Headless Mode &amp; Sideloading\WalkAndUnGZ.bat" "%USERPROFILE%\AppData\Local\Temp\OnboardLogs"\RTDC4023\2017-04-24 &amp; aws s3 cp s3://rtdc.mdm.uploadarchive.raw/RTDC4023/ "%USERPROFILE%\AppData\Local\Temp\OnboardLogs"\RTDC4023\2017-04-25 --exclude "*" --recursive --include "*20170425*" &amp; "%USERPROFILE%\Documents\GitHub\mrs-test-scripts\Headless Mode &amp; Sideloading\WalkAndUnGZ.bat" "%USERPROFILE%\AppData\Local\Temp\OnboardLogs"\RTDC4023\2017-04-25</v>
      </c>
      <c r="AF52" s="77" t="str">
        <f t="shared" si="12"/>
        <v>"C:\Program Files (x86)\AstroGrep\AstroGrep.exe" /e /r /s /spath="%USERPROFILE%\AppData\Local\Temp\OnboardLogs" /stypes="app*4023*20170424*" /stext=" 16:.+((SYSTEM_STATE.+slice.+state.+changed )|(ment ac)|(multiple cpu faults)|(system.+state.+changed )|(\[timeout)|(PRM\|1\|D)|(kpr)|(kdp)|(train.+moving)|(\|lc)|(penalty))"</v>
      </c>
      <c r="AG52" s="1" t="str">
        <f t="shared" si="91"/>
        <v>EC</v>
      </c>
      <c r="AH52" s="81" t="str">
        <f t="shared" si="18"/>
        <v>"%USERPROFILE%\Documents\GitHub\eaglep3\Utilities\RefineRTDCRunTimes.py" --tripid 140-24 --locoid 4023 --swversion DE.1.0.9.0 --startMP 204:232986 --initTime 2017-04-24T09:06:30 --startdatetime 2017-04-24T09:27:04 --delay 1 --endMP 204:160 --enddatetime 2017-04-24T10:04:19 --enforcementcount 0 &gt;&gt;C:\Users\stu\Documents\GitHub\eaglep3-reporting\EC\2017-04-24-refined-times.txt</v>
      </c>
      <c r="AI52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{"issue":{"subject":"","project_id":79,"tracker_id":40,"status_id":1,"priority_id":2,"assigned_to_id":23,"start_date":"2017-04-24","description":"","custom_fields":[{"id":1,"name":"Subdivision","value":"EC"},{"id":4,"name":"Milepost","value":"0.016"},{"id":17,"name":"Train ID","value":"140-24"},{"id":16,"name":"Locomotive ID","value":"4023"},{"id":130,"name":"Impact","value":""},{"id":150,"name":"Time of Event (Mountain Time)","value":"10:04:19"},{"id":151,"name":"Denver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0"/>
        <v>start /low /b %USERPROFILE%\Documents\GitHub\eaglep3\Utilities\DownloadLogsFromS3.py --loco 4023 --day 2017-04-24</v>
      </c>
      <c r="AN52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16:04:19"},{"id":29,"name":"Sharepoint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649</v>
      </c>
      <c r="B53" s="7">
        <v>4010</v>
      </c>
      <c r="C53" s="21" t="s">
        <v>212</v>
      </c>
      <c r="D53" s="21" t="s">
        <v>369</v>
      </c>
      <c r="E53" s="13">
        <v>42849.359722222223</v>
      </c>
      <c r="F53" s="13">
        <v>42849.364791666667</v>
      </c>
      <c r="G53" s="7">
        <v>1</v>
      </c>
      <c r="H53" s="21" t="s">
        <v>805</v>
      </c>
      <c r="I53" s="13">
        <v>42849.390011574076</v>
      </c>
      <c r="J53" s="7">
        <v>0</v>
      </c>
      <c r="K53" s="92" t="str">
        <f t="shared" si="81"/>
        <v>4009/4010</v>
      </c>
      <c r="L53" s="21" t="str">
        <f>VLOOKUP(A53,'Trips&amp;Operators'!$C$1:$G$99999,5,FALSE)</f>
        <v>FORTUNATO FRANK</v>
      </c>
      <c r="M53" s="6">
        <f t="shared" si="82"/>
        <v>2.5219907409336884E-2</v>
      </c>
      <c r="N53" s="7">
        <f t="shared" si="83"/>
        <v>36.316666669445112</v>
      </c>
      <c r="O53" s="7"/>
      <c r="P53" s="7"/>
      <c r="Q53" s="22"/>
      <c r="R53" s="191"/>
      <c r="S53" s="197">
        <f t="shared" si="84"/>
        <v>1</v>
      </c>
      <c r="T53" s="191" t="str">
        <f t="shared" si="85"/>
        <v>NorthBound</v>
      </c>
      <c r="U53" s="19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2" t="str">
        <f t="shared" si="5"/>
        <v>https://d0f6bd738d7f1b3e5a7ca70fe4ff75f0.us-east-1.aws.found.io/app/kibana#/discover/Steve-Slow-Train-Analysis-(2080s-and-2083s)?_g=(refreshInterval:(display:Off,pause:!f,section:0,value:0),time:(from:'2017-04-24T07:38:00-0600',mode:absolute,to:'2017-04-24T10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3" s="193" t="str">
        <f t="shared" si="86"/>
        <v>N</v>
      </c>
      <c r="X53" s="193">
        <f t="shared" si="92"/>
        <v>1</v>
      </c>
      <c r="Y53" s="193">
        <f t="shared" si="87"/>
        <v>4.4900000000000002E-2</v>
      </c>
      <c r="Z53" s="193">
        <f t="shared" si="88"/>
        <v>23.334199999999999</v>
      </c>
      <c r="AA53" s="193">
        <f t="shared" si="89"/>
        <v>23.289300000000001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90"/>
        <v>0141-24</v>
      </c>
      <c r="AE53" s="80" t="str">
        <f t="shared" si="11"/>
        <v>aws s3 cp s3://rtdc.mdm.uploadarchive.raw/RTDC4010/ "%USERPROFILE%\AppData\Local\Temp\OnboardLogs"\RTDC4010\2017-04-24 --exclude "*" --recursive --include "*20170424*" &amp; "%USERPROFILE%\Documents\GitHub\mrs-test-scripts\Headless Mode &amp; Sideloading\WalkAndUnGZ.bat" "%USERPROFILE%\AppData\Local\Temp\OnboardLogs"\RTDC4010\2017-04-24 &amp; aws s3 cp s3://rtdc.mdm.uploadarchive.raw/RTDC4010/ "%USERPROFILE%\AppData\Local\Temp\OnboardLogs"\RTDC4010\2017-04-25 --exclude "*" --recursive --include "*20170425*" &amp; "%USERPROFILE%\Documents\GitHub\mrs-test-scripts\Headless Mode &amp; Sideloading\WalkAndUnGZ.bat" "%USERPROFILE%\AppData\Local\Temp\OnboardLogs"\RTDC4010\2017-04-25</v>
      </c>
      <c r="AF53" s="77" t="str">
        <f t="shared" si="12"/>
        <v>"C:\Program Files (x86)\AstroGrep\AstroGrep.exe" /e /r /s /spath="%USERPROFILE%\AppData\Local\Temp\OnboardLogs" /stypes="app*4010*20170424*" /stext=" 15:.+((SYSTEM_STATE.+slice.+state.+changed )|(ment ac)|(multiple cpu faults)|(system.+state.+changed )|(\[timeout)|(PRM\|1\|D)|(kpr)|(kdp)|(train.+moving)|(\|lc)|(penalty))"</v>
      </c>
      <c r="AG53" s="1" t="str">
        <f t="shared" si="91"/>
        <v>EC</v>
      </c>
      <c r="AH53" s="81" t="str">
        <f t="shared" si="18"/>
        <v>"%USERPROFILE%\Documents\GitHub\eaglep3\Utilities\RefineRTDCRunTimes.py" --tripid 141-24 --locoid 4010 --swversion DE.1.0.9.0 --startMP 204:449 --initTime 2017-04-24T08:38:00 --startdatetime 2017-04-24T08:45:18 --delay 1 --endMP 204:233342 --enddatetime 2017-04-24T09:21:37 --enforcementcount 0 &gt;&gt;C:\Users\stu\Documents\GitHub\eaglep3-reporting\EC\2017-04-24-refined-times.txt</v>
      </c>
      <c r="AI53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{"issue":{"subject":"","project_id":79,"tracker_id":40,"status_id":1,"priority_id":2,"assigned_to_id":23,"start_date":"2017-04-24","description":"","custom_fields":[{"id":1,"name":"Subdivision","value":"EC"},{"id":4,"name":"Milepost","value":"23.3342"},{"id":17,"name":"Train ID","value":"141-24"},{"id":16,"name":"Locomotive ID","value":"4010"},{"id":130,"name":"Impact","value":""},{"id":150,"name":"Time of Event (Mountain Time)","value":"09:21:37"},{"id":151,"name":"Denver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0"/>
        <v>start /low /b %USERPROFILE%\Documents\GitHub\eaglep3\Utilities\DownloadLogsFromS3.py --loco 4010 --day 2017-04-24</v>
      </c>
      <c r="AN53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15:21:37"},{"id":29,"name":"Sharepoint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655</v>
      </c>
      <c r="B54" s="7">
        <v>4009</v>
      </c>
      <c r="C54" s="21" t="s">
        <v>212</v>
      </c>
      <c r="D54" s="21" t="s">
        <v>519</v>
      </c>
      <c r="E54" s="13">
        <v>42849.391388888886</v>
      </c>
      <c r="F54" s="13">
        <v>42849.403622685182</v>
      </c>
      <c r="G54" s="7">
        <v>1</v>
      </c>
      <c r="H54" s="21" t="s">
        <v>420</v>
      </c>
      <c r="I54" s="13">
        <v>42849.431527777779</v>
      </c>
      <c r="J54" s="7">
        <v>0</v>
      </c>
      <c r="K54" s="92" t="str">
        <f t="shared" si="81"/>
        <v>4009/4010</v>
      </c>
      <c r="L54" s="21" t="str">
        <f>VLOOKUP(A54,'Trips&amp;Operators'!$C$1:$G$99999,5,FALSE)</f>
        <v>FORTUNATO FRANK</v>
      </c>
      <c r="M54" s="6">
        <f t="shared" si="82"/>
        <v>2.7905092596483883E-2</v>
      </c>
      <c r="N54" s="7">
        <f t="shared" si="83"/>
        <v>40.183333338936791</v>
      </c>
      <c r="O54" s="7"/>
      <c r="P54" s="7"/>
      <c r="Q54" s="22"/>
      <c r="R54" s="191"/>
      <c r="S54" s="197">
        <f t="shared" si="84"/>
        <v>1</v>
      </c>
      <c r="T54" s="191" t="str">
        <f t="shared" si="85"/>
        <v>Southbound</v>
      </c>
      <c r="U54" s="19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2" t="str">
        <f t="shared" si="5"/>
        <v>https://d0f6bd738d7f1b3e5a7ca70fe4ff75f0.us-east-1.aws.found.io/app/kibana#/discover/Steve-Slow-Train-Analysis-(2080s-and-2083s)?_g=(refreshInterval:(display:Off,pause:!f,section:0,value:0),time:(from:'2017-04-24T08:23:36-0600',mode:absolute,to:'2017-04-24T11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4" s="193" t="str">
        <f t="shared" si="86"/>
        <v>N</v>
      </c>
      <c r="X54" s="193">
        <f t="shared" si="92"/>
        <v>1</v>
      </c>
      <c r="Y54" s="193">
        <f t="shared" si="87"/>
        <v>23.302099999999999</v>
      </c>
      <c r="Z54" s="193">
        <f t="shared" si="88"/>
        <v>1.49E-2</v>
      </c>
      <c r="AA54" s="193">
        <f t="shared" si="89"/>
        <v>23.287199999999999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90"/>
        <v>0142-24</v>
      </c>
      <c r="AE54" s="80" t="str">
        <f t="shared" si="11"/>
        <v>aws s3 cp s3://rtdc.mdm.uploadarchive.raw/RTDC4009/ "%USERPROFILE%\AppData\Local\Temp\OnboardLogs"\RTDC4009\2017-04-24 --exclude "*" --recursive --include "*20170424*" &amp; "%USERPROFILE%\Documents\GitHub\mrs-test-scripts\Headless Mode &amp; Sideloading\WalkAndUnGZ.bat" "%USERPROFILE%\AppData\Local\Temp\OnboardLogs"\RTDC4009\2017-04-24 &amp; aws s3 cp s3://rtdc.mdm.uploadarchive.raw/RTDC4009/ "%USERPROFILE%\AppData\Local\Temp\OnboardLogs"\RTDC4009\2017-04-25 --exclude "*" --recursive --include "*20170425*" &amp; "%USERPROFILE%\Documents\GitHub\mrs-test-scripts\Headless Mode &amp; Sideloading\WalkAndUnGZ.bat" "%USERPROFILE%\AppData\Local\Temp\OnboardLogs"\RTDC4009\2017-04-25</v>
      </c>
      <c r="AF54" s="77" t="str">
        <f t="shared" si="12"/>
        <v>"C:\Program Files (x86)\AstroGrep\AstroGrep.exe" /e /r /s /spath="%USERPROFILE%\AppData\Local\Temp\OnboardLogs" /stypes="app*4009*20170424*" /stext=" 16:.+((SYSTEM_STATE.+slice.+state.+changed )|(ment ac)|(multiple cpu faults)|(system.+state.+changed )|(\[timeout)|(PRM\|1\|D)|(kpr)|(kdp)|(train.+moving)|(\|lc)|(penalty))"</v>
      </c>
      <c r="AG54" s="1" t="str">
        <f t="shared" si="91"/>
        <v>EC</v>
      </c>
      <c r="AH54" s="81" t="str">
        <f t="shared" si="18"/>
        <v>"%USERPROFILE%\Documents\GitHub\eaglep3\Utilities\RefineRTDCRunTimes.py" --tripid 142-24 --locoid 4009 --swversion DE.1.0.9.0 --startMP 204:233021 --initTime 2017-04-24T09:23:36 --startdatetime 2017-04-24T09:41:13 --delay 1 --endMP 204:149 --enddatetime 2017-04-24T10:21:24 --enforcementcount 0 &gt;&gt;C:\Users\stu\Documents\GitHub\eaglep3-reporting\EC\2017-04-24-refined-times.txt</v>
      </c>
      <c r="AI54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{"issue":{"subject":"","project_id":79,"tracker_id":40,"status_id":1,"priority_id":2,"assigned_to_id":23,"start_date":"2017-04-24","description":"","custom_fields":[{"id":1,"name":"Subdivision","value":"EC"},{"id":4,"name":"Milepost","value":"0.0149"},{"id":17,"name":"Train ID","value":"142-24"},{"id":16,"name":"Locomotive ID","value":"4009"},{"id":130,"name":"Impact","value":""},{"id":150,"name":"Time of Event (Mountain Time)","value":"10:21:24"},{"id":151,"name":"Denver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0"/>
        <v>start /low /b %USERPROFILE%\Documents\GitHub\eaglep3\Utilities\DownloadLogsFromS3.py --loco 4009 --day 2017-04-24</v>
      </c>
      <c r="AN54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16:21:24"},{"id":29,"name":"Sharepoint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651</v>
      </c>
      <c r="B55" s="7">
        <v>4026</v>
      </c>
      <c r="C55" s="21" t="s">
        <v>212</v>
      </c>
      <c r="D55" s="21" t="s">
        <v>384</v>
      </c>
      <c r="E55" s="13">
        <v>42849.371932870374</v>
      </c>
      <c r="F55" s="13">
        <v>42849.375173611108</v>
      </c>
      <c r="G55" s="7">
        <v>1</v>
      </c>
      <c r="H55" s="21" t="s">
        <v>806</v>
      </c>
      <c r="I55" s="13">
        <v>42849.399907407409</v>
      </c>
      <c r="J55" s="7">
        <v>0</v>
      </c>
      <c r="K55" s="92" t="str">
        <f t="shared" si="81"/>
        <v>4025/4026</v>
      </c>
      <c r="L55" s="21" t="str">
        <f>VLOOKUP(A55,'Trips&amp;Operators'!$C$1:$G$99999,5,FALSE)</f>
        <v>MENGES BRAD</v>
      </c>
      <c r="M55" s="6">
        <f t="shared" si="82"/>
        <v>2.4733796301006805E-2</v>
      </c>
      <c r="N55" s="7">
        <f t="shared" si="83"/>
        <v>35.616666673449799</v>
      </c>
      <c r="O55" s="7"/>
      <c r="P55" s="7"/>
      <c r="Q55" s="22"/>
      <c r="R55" s="191"/>
      <c r="S55" s="197">
        <f t="shared" si="84"/>
        <v>1</v>
      </c>
      <c r="T55" s="191" t="str">
        <f t="shared" si="85"/>
        <v>NorthBound</v>
      </c>
      <c r="U55" s="19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2" t="str">
        <f t="shared" si="5"/>
        <v>https://d0f6bd738d7f1b3e5a7ca70fe4ff75f0.us-east-1.aws.found.io/app/kibana#/discover/Steve-Slow-Train-Analysis-(2080s-and-2083s)?_g=(refreshInterval:(display:Off,pause:!f,section:0,value:0),time:(from:'2017-04-24T07:55:35-0600',mode:absolute,to:'2017-04-24T10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5" s="193" t="str">
        <f t="shared" si="86"/>
        <v>N</v>
      </c>
      <c r="X55" s="193">
        <f t="shared" si="92"/>
        <v>1</v>
      </c>
      <c r="Y55" s="193">
        <f t="shared" si="87"/>
        <v>4.6199999999999998E-2</v>
      </c>
      <c r="Z55" s="193">
        <f t="shared" si="88"/>
        <v>23.3324</v>
      </c>
      <c r="AA55" s="193">
        <f t="shared" si="89"/>
        <v>23.286200000000001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90"/>
        <v>0143-24</v>
      </c>
      <c r="AE55" s="80" t="str">
        <f t="shared" si="11"/>
        <v>aws s3 cp s3://rtdc.mdm.uploadarchive.raw/RTDC4026/ "%USERPROFILE%\AppData\Local\Temp\OnboardLogs"\RTDC4026\2017-04-24 --exclude "*" --recursive --include "*20170424*" &amp; "%USERPROFILE%\Documents\GitHub\mrs-test-scripts\Headless Mode &amp; Sideloading\WalkAndUnGZ.bat" "%USERPROFILE%\AppData\Local\Temp\OnboardLogs"\RTDC4026\2017-04-24 &amp; aws s3 cp s3://rtdc.mdm.uploadarchive.raw/RTDC4026/ "%USERPROFILE%\AppData\Local\Temp\OnboardLogs"\RTDC4026\2017-04-25 --exclude "*" --recursive --include "*20170425*" &amp; "%USERPROFILE%\Documents\GitHub\mrs-test-scripts\Headless Mode &amp; Sideloading\WalkAndUnGZ.bat" "%USERPROFILE%\AppData\Local\Temp\OnboardLogs"\RTDC4026\2017-04-25</v>
      </c>
      <c r="AF55" s="77" t="str">
        <f t="shared" si="12"/>
        <v>"C:\Program Files (x86)\AstroGrep\AstroGrep.exe" /e /r /s /spath="%USERPROFILE%\AppData\Local\Temp\OnboardLogs" /stypes="app*4026*20170424*" /stext=" 15:.+((SYSTEM_STATE.+slice.+state.+changed )|(ment ac)|(multiple cpu faults)|(system.+state.+changed )|(\[timeout)|(PRM\|1\|D)|(kpr)|(kdp)|(train.+moving)|(\|lc)|(penalty))"</v>
      </c>
      <c r="AG55" s="1" t="str">
        <f t="shared" si="91"/>
        <v>EC</v>
      </c>
      <c r="AH55" s="81" t="str">
        <f t="shared" si="18"/>
        <v>"%USERPROFILE%\Documents\GitHub\eaglep3\Utilities\RefineRTDCRunTimes.py" --tripid 143-24 --locoid 4026 --swversion DE.1.0.9.0 --startMP 204:462 --initTime 2017-04-24T08:55:35 --startdatetime 2017-04-24T09:00:15 --delay 1 --endMP 204:233324 --enddatetime 2017-04-24T09:35:52 --enforcementcount 0 &gt;&gt;C:\Users\stu\Documents\GitHub\eaglep3-reporting\EC\2017-04-24-refined-times.txt</v>
      </c>
      <c r="AI55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{"issue":{"subject":"","project_id":79,"tracker_id":40,"status_id":1,"priority_id":2,"assigned_to_id":23,"start_date":"2017-04-24","description":"","custom_fields":[{"id":1,"name":"Subdivision","value":"EC"},{"id":4,"name":"Milepost","value":"23.3324"},{"id":17,"name":"Train ID","value":"143-24"},{"id":16,"name":"Locomotive ID","value":"4026"},{"id":130,"name":"Impact","value":""},{"id":150,"name":"Time of Event (Mountain Time)","value":"09:35:52"},{"id":151,"name":"Denver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0"/>
        <v>start /low /b %USERPROFILE%\Documents\GitHub\eaglep3\Utilities\DownloadLogsFromS3.py --loco 4026 --day 2017-04-24</v>
      </c>
      <c r="AN55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15:35:52"},{"id":29,"name":"Sharepoint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658</v>
      </c>
      <c r="B56" s="7">
        <v>4025</v>
      </c>
      <c r="C56" s="21" t="s">
        <v>212</v>
      </c>
      <c r="D56" s="21" t="s">
        <v>807</v>
      </c>
      <c r="E56" s="13">
        <v>42849.4062037037</v>
      </c>
      <c r="F56" s="13">
        <v>42849.414050925923</v>
      </c>
      <c r="G56" s="7">
        <v>1</v>
      </c>
      <c r="H56" s="21" t="s">
        <v>197</v>
      </c>
      <c r="I56" s="13">
        <v>42849.442071759258</v>
      </c>
      <c r="J56" s="7">
        <v>0</v>
      </c>
      <c r="K56" s="92" t="str">
        <f t="shared" si="81"/>
        <v>4025/4026</v>
      </c>
      <c r="L56" s="21" t="str">
        <f>VLOOKUP(A56,'Trips&amp;Operators'!$C$1:$G$99999,5,FALSE)</f>
        <v>MENGES BRAD</v>
      </c>
      <c r="M56" s="6">
        <f t="shared" si="82"/>
        <v>2.8020833335176576E-2</v>
      </c>
      <c r="N56" s="7">
        <f t="shared" si="83"/>
        <v>40.350000002654269</v>
      </c>
      <c r="O56" s="7"/>
      <c r="P56" s="7"/>
      <c r="Q56" s="22"/>
      <c r="R56" s="191"/>
      <c r="S56" s="197">
        <f t="shared" si="84"/>
        <v>1</v>
      </c>
      <c r="T56" s="191" t="str">
        <f t="shared" si="85"/>
        <v>Southbound</v>
      </c>
      <c r="U56" s="19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2" t="str">
        <f t="shared" si="5"/>
        <v>https://d0f6bd738d7f1b3e5a7ca70fe4ff75f0.us-east-1.aws.found.io/app/kibana#/discover/Steve-Slow-Train-Analysis-(2080s-and-2083s)?_g=(refreshInterval:(display:Off,pause:!f,section:0,value:0),time:(from:'2017-04-24T08:44:56-0600',mode:absolute,to:'2017-04-24T11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6" s="193" t="str">
        <f t="shared" si="86"/>
        <v>N</v>
      </c>
      <c r="X56" s="193">
        <f t="shared" si="92"/>
        <v>1</v>
      </c>
      <c r="Y56" s="193">
        <f t="shared" si="87"/>
        <v>23.299800000000001</v>
      </c>
      <c r="Z56" s="193">
        <f t="shared" si="88"/>
        <v>1.52E-2</v>
      </c>
      <c r="AA56" s="193">
        <f t="shared" si="89"/>
        <v>23.284600000000001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90"/>
        <v>0144-24</v>
      </c>
      <c r="AE56" s="80" t="str">
        <f t="shared" si="11"/>
        <v>aws s3 cp s3://rtdc.mdm.uploadarchive.raw/RTDC4025/ "%USERPROFILE%\AppData\Local\Temp\OnboardLogs"\RTDC4025\2017-04-24 --exclude "*" --recursive --include "*20170424*" &amp; "%USERPROFILE%\Documents\GitHub\mrs-test-scripts\Headless Mode &amp; Sideloading\WalkAndUnGZ.bat" "%USERPROFILE%\AppData\Local\Temp\OnboardLogs"\RTDC4025\2017-04-24 &amp; aws s3 cp s3://rtdc.mdm.uploadarchive.raw/RTDC4025/ "%USERPROFILE%\AppData\Local\Temp\OnboardLogs"\RTDC4025\2017-04-25 --exclude "*" --recursive --include "*20170425*" &amp; "%USERPROFILE%\Documents\GitHub\mrs-test-scripts\Headless Mode &amp; Sideloading\WalkAndUnGZ.bat" "%USERPROFILE%\AppData\Local\Temp\OnboardLogs"\RTDC4025\2017-04-25</v>
      </c>
      <c r="AF56" s="77" t="str">
        <f t="shared" si="12"/>
        <v>"C:\Program Files (x86)\AstroGrep\AstroGrep.exe" /e /r /s /spath="%USERPROFILE%\AppData\Local\Temp\OnboardLogs" /stypes="app*4025*20170424*" /stext=" 16:.+((SYSTEM_STATE.+slice.+state.+changed )|(ment ac)|(multiple cpu faults)|(system.+state.+changed )|(\[timeout)|(PRM\|1\|D)|(kpr)|(kdp)|(train.+moving)|(\|lc)|(penalty))"</v>
      </c>
      <c r="AG56" s="1" t="str">
        <f t="shared" si="91"/>
        <v>EC</v>
      </c>
      <c r="AH56" s="81" t="str">
        <f t="shared" si="18"/>
        <v>"%USERPROFILE%\Documents\GitHub\eaglep3\Utilities\RefineRTDCRunTimes.py" --tripid 144-24 --locoid 4025 --swversion DE.1.0.9.0 --startMP 204:232998 --initTime 2017-04-24T09:44:56 --startdatetime 2017-04-24T09:56:14 --delay 1 --endMP 204:152 --enddatetime 2017-04-24T10:36:35 --enforcementcount 0 &gt;&gt;C:\Users\stu\Documents\GitHub\eaglep3-reporting\EC\2017-04-24-refined-times.txt</v>
      </c>
      <c r="AI56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{"issue":{"subject":"","project_id":79,"tracker_id":40,"status_id":1,"priority_id":2,"assigned_to_id":23,"start_date":"2017-04-24","description":"","custom_fields":[{"id":1,"name":"Subdivision","value":"EC"},{"id":4,"name":"Milepost","value":"0.0152"},{"id":17,"name":"Train ID","value":"144-24"},{"id":16,"name":"Locomotive ID","value":"4025"},{"id":130,"name":"Impact","value":""},{"id":150,"name":"Time of Event (Mountain Time)","value":"10:36:35"},{"id":151,"name":"Denver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0"/>
        <v>start /low /b %USERPROFILE%\Documents\GitHub\eaglep3\Utilities\DownloadLogsFromS3.py --loco 4025 --day 2017-04-24</v>
      </c>
      <c r="AN56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16:36:35"},{"id":29,"name":"Sharepoint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654</v>
      </c>
      <c r="B57" s="7">
        <v>4040</v>
      </c>
      <c r="C57" s="21" t="s">
        <v>212</v>
      </c>
      <c r="D57" s="21" t="s">
        <v>807</v>
      </c>
      <c r="E57" s="13">
        <v>42849.4062037037</v>
      </c>
      <c r="F57" s="13">
        <v>42849.381481481483</v>
      </c>
      <c r="G57" s="7">
        <v>1</v>
      </c>
      <c r="H57" s="21" t="s">
        <v>197</v>
      </c>
      <c r="I57" s="13">
        <v>42849.381643518522</v>
      </c>
      <c r="J57" s="7">
        <v>0</v>
      </c>
      <c r="K57" s="92" t="str">
        <f t="shared" si="81"/>
        <v>4039/4040</v>
      </c>
      <c r="L57" s="21" t="str">
        <f>VLOOKUP(A57,'Trips&amp;Operators'!$C$1:$G$99999,5,FALSE)</f>
        <v>MAELZER KURT</v>
      </c>
      <c r="M57" s="6">
        <f t="shared" si="82"/>
        <v>1.6203703853534535E-4</v>
      </c>
      <c r="N57" s="7"/>
      <c r="O57" s="7"/>
      <c r="P57" s="7">
        <f>24*60*SUM($M57:$M57)</f>
        <v>0.2333333354908973</v>
      </c>
      <c r="Q57" s="22"/>
      <c r="R57" s="191" t="s">
        <v>969</v>
      </c>
      <c r="S57" s="197">
        <f t="shared" si="84"/>
        <v>0</v>
      </c>
      <c r="T57" s="191" t="str">
        <f t="shared" si="85"/>
        <v>NorthBound</v>
      </c>
      <c r="U57" s="19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0</v>
      </c>
      <c r="V57" s="192" t="str">
        <f t="shared" si="5"/>
        <v>https://d0f6bd738d7f1b3e5a7ca70fe4ff75f0.us-east-1.aws.found.io/app/kibana#/discover/Steve-Slow-Train-Analysis-(2080s-and-2083s)?_g=(refreshInterval:(display:Off,pause:!f,section:0,value:0),time:(from:'2017-04-24T08:44:56-0600',mode:absolute,to:'2017-04-24T10:09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7" s="193" t="str">
        <f t="shared" si="86"/>
        <v>Y</v>
      </c>
      <c r="X57" s="193">
        <f t="shared" si="92"/>
        <v>1</v>
      </c>
      <c r="Y57" s="193">
        <v>0</v>
      </c>
      <c r="Z57" s="193">
        <v>0</v>
      </c>
      <c r="AA57" s="193">
        <f t="shared" si="89"/>
        <v>0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90"/>
        <v>0145-24</v>
      </c>
      <c r="AE57" s="80" t="str">
        <f t="shared" si="11"/>
        <v>aws s3 cp s3://rtdc.mdm.uploadarchive.raw/RTDC4040/ "%USERPROFILE%\AppData\Local\Temp\OnboardLogs"\RTDC4040\2017-04-24 --exclude "*" --recursive --include "*20170424*" &amp; "%USERPROFILE%\Documents\GitHub\mrs-test-scripts\Headless Mode &amp; Sideloading\WalkAndUnGZ.bat" "%USERPROFILE%\AppData\Local\Temp\OnboardLogs"\RTDC4040\2017-04-24 &amp; aws s3 cp s3://rtdc.mdm.uploadarchive.raw/RTDC4040/ "%USERPROFILE%\AppData\Local\Temp\OnboardLogs"\RTDC4040\2017-04-25 --exclude "*" --recursive --include "*20170425*" &amp; "%USERPROFILE%\Documents\GitHub\mrs-test-scripts\Headless Mode &amp; Sideloading\WalkAndUnGZ.bat" "%USERPROFILE%\AppData\Local\Temp\OnboardLogs"\RTDC4040\2017-04-25</v>
      </c>
      <c r="AF57" s="77" t="str">
        <f t="shared" si="12"/>
        <v>"C:\Program Files (x86)\AstroGrep\AstroGrep.exe" /e /r /s /spath="%USERPROFILE%\AppData\Local\Temp\OnboardLogs" /stypes="app*4040*20170424*" /stext=" 15:.+((SYSTEM_STATE.+slice.+state.+changed )|(ment ac)|(multiple cpu faults)|(system.+state.+changed )|(\[timeout)|(PRM\|1\|D)|(kpr)|(kdp)|(train.+moving)|(\|lc)|(penalty))"</v>
      </c>
      <c r="AG57" s="1" t="str">
        <f t="shared" si="91"/>
        <v>EC</v>
      </c>
      <c r="AH57" s="81" t="str">
        <f t="shared" ref="AH57" si="93">refinertdcruntimes&amp;" --tripid "&amp;A57&amp;" --locoid "&amp;B57&amp;" --swversion "&amp;C57&amp;" --startMP "&amp;D57&amp;" --initTime "&amp;TEXT(E57,"yyyy-mm-ddTHH:MM:SS")&amp;" --startdatetime "&amp;TEXT(F57,"yyyy-mm-ddTHH:MM:SS")&amp;" --delay "&amp;G57&amp;" --endMP "&amp;H57&amp;" --enddatetime "&amp;TEXT(I57,"yyyy-mm-ddTHH:MM:SS")&amp;" --enforcementcount "&amp;J57&amp;IF(outputrefinedruntimes," &gt;&gt;"&amp;RefinedRTDCRunTimesOutputFile,"")</f>
        <v>"%USERPROFILE%\Documents\GitHub\eaglep3\Utilities\RefineRTDCRunTimes.py" --tripid 145-24 --locoid 4040 --swversion DE.1.0.9.0 --startMP 204:232998 --initTime 2017-04-24T09:44:56 --startdatetime 2017-04-24T09:09:20 --delay 1 --endMP 204:152 --enddatetime 2017-04-24T09:09:34 --enforcementcount 0 &gt;&gt;C:\Users\stu\Documents\GitHub\eaglep3-reporting\EC\2017-04-24-refined-times.txt</v>
      </c>
      <c r="AI57" s="99" t="str">
        <f t="shared" ref="AI57" si="94">"echo {""issue"":{""subject"":"""&amp;R57&amp;""",""project_id"":79,""tracker_id"":40,""status_id"":"&amp;redmine_status&amp;",""priority_id"":"&amp;redmine_priority&amp;",""assigned_to_id"":"&amp;redmine_assignee&amp;",""start_date"":"""&amp;TEXT(I57,"YYYY-mm-dd")&amp;""",""description"":"""&amp;AJ57&amp;""",""custom_fields"":[{""id"":1,""name"":""Subdivision"",""value"":"""&amp;AG57&amp;"""},{""id"":4,""name"":""Milepost"",""value"":"""&amp;Z57&amp;"""},{""id"":17,""name"":""Train ID"",""value"":"""&amp;A57&amp;"""},{""id"":16,""name"":""Locomotive ID"",""value"":"""&amp;B57&amp;"""},{""id"":130,""name"":""Impact"",""value"":"""&amp;AK57&amp;"""},{""id"":150,""name"":""Time of Event (Mountain Time)"",""value"":"""&amp;TEXT(I57,"hh:mm:ss")&amp;"""},{""id"":151,""name"":""Denver Issue ID"",""value"":"""&amp;"""},{""id"":178,""name"":""Operational Impact"",""value"":"""&amp;redmine_op_impact&amp;"""},{""id"":179,""name"":""Denver Segment Assigned"",""value"":"""&amp;AL57&amp;"""}]}}"&amp;" | curl -X POST -H ""Content-Type: application/json"" -H ""X-Redmine-API-Key: "&amp;redm_api_key&amp;""" "&amp;redm_url&amp;" --data @-"</f>
        <v>echo {"issue":{"subject":"TMDS bulletin retrieval failure","project_id":79,"tracker_id":40,"status_id":1,"priority_id":2,"assigned_to_id":23,"start_date":"2017-04-24","description":"","custom_fields":[{"id":1,"name":"Subdivision","value":"EC"},{"id":4,"name":"Milepost","value":"0"},{"id":17,"name":"Train ID","value":"145-24"},{"id":16,"name":"Locomotive ID","value":"4040"},{"id":130,"name":"Impact","value":""},{"id":150,"name":"Time of Event (Mountain Time)","value":"09:09:34"},{"id":151,"name":"Denver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ref="AM57" si="95">"start /low /b "&amp;dls3logs&amp;" --loco "&amp;B57&amp;" --day "&amp;TEXT(F57,"YYYY-MM-DD")</f>
        <v>start /low /b %USERPROFILE%\Documents\GitHub\eaglep3\Utilities\DownloadLogsFromS3.py --loco 4040 --day 2017-04-24</v>
      </c>
      <c r="AN57" s="154" t="str">
        <f t="shared" ref="AN57" si="96">"echo {""issue"":{""subject"":"""&amp;R57&amp;""",""project_id"":30,""tracker_id"":4,""status_id"":"&amp;redmine_status_wcr&amp;",""priority_id"":"&amp;redmine_priority_wcr&amp;",""assigned_to_id"":"&amp;redmine_assignee_wcr&amp;",""start_date"":"""&amp;TEXT(I57-utc_offset/24,"YYYY-mm-dd")&amp;""",""description"":"""&amp;AJ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{"issue":{"subject":"TMDS bulletin retrieval failure","project_id":30,"tracker_id":4,"status_id":1,"priority_id":1,"assigned_to_id":10,"start_date":"2017-04-24","description":"","custom_fields":[{"id":30,"name":"Category","value":"Issue"},{"id":3,"name":"Functional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15:09:34"},{"id":29,"name":"Sharepoint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  <c r="BO57" s="20"/>
      <c r="BP57" s="20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0"/>
      <c r="CD57" s="20"/>
      <c r="CE57" s="20"/>
      <c r="CF57" s="20"/>
      <c r="CG57" s="20"/>
      <c r="CH57" s="20"/>
      <c r="CI57" s="20"/>
      <c r="CJ57" s="20"/>
      <c r="CK57" s="20"/>
      <c r="CL57" s="20"/>
      <c r="CM57" s="20"/>
    </row>
    <row r="58" spans="1:91" s="1" customFormat="1" x14ac:dyDescent="0.25">
      <c r="A58" s="32" t="s">
        <v>665</v>
      </c>
      <c r="B58" s="7">
        <v>4039</v>
      </c>
      <c r="C58" s="21" t="s">
        <v>212</v>
      </c>
      <c r="D58" s="21" t="s">
        <v>808</v>
      </c>
      <c r="E58" s="13">
        <v>42849.4219212963</v>
      </c>
      <c r="F58" s="13">
        <v>42849.42460648148</v>
      </c>
      <c r="G58" s="7">
        <v>0</v>
      </c>
      <c r="H58" s="21" t="s">
        <v>209</v>
      </c>
      <c r="I58" s="13">
        <v>42849.452349537038</v>
      </c>
      <c r="J58" s="7">
        <v>0</v>
      </c>
      <c r="K58" s="92" t="str">
        <f t="shared" si="81"/>
        <v>4039/4040</v>
      </c>
      <c r="L58" s="21" t="str">
        <f>VLOOKUP(A58,'Trips&amp;Operators'!$C$1:$G$99999,5,FALSE)</f>
        <v>MAELZER KURT</v>
      </c>
      <c r="M58" s="6">
        <f t="shared" si="82"/>
        <v>2.7743055557948537E-2</v>
      </c>
      <c r="N58" s="7">
        <f t="shared" ref="N58:N89" si="97">24*60*SUM($M58:$M58)</f>
        <v>39.950000003445894</v>
      </c>
      <c r="O58" s="7"/>
      <c r="P58" s="7"/>
      <c r="Q58" s="22"/>
      <c r="R58" s="191"/>
      <c r="S58" s="197">
        <f t="shared" si="84"/>
        <v>1</v>
      </c>
      <c r="T58" s="191" t="str">
        <f t="shared" si="85"/>
        <v>Southbound</v>
      </c>
      <c r="U58" s="19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2" t="str">
        <f t="shared" si="5"/>
        <v>https://d0f6bd738d7f1b3e5a7ca70fe4ff75f0.us-east-1.aws.found.io/app/kibana#/discover/Steve-Slow-Train-Analysis-(2080s-and-2083s)?_g=(refreshInterval:(display:Off,pause:!f,section:0,value:0),time:(from:'2017-04-24T09:07:34-0600',mode:absolute,to:'2017-04-24T11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8" s="193" t="str">
        <f t="shared" si="86"/>
        <v>N</v>
      </c>
      <c r="X58" s="193">
        <f t="shared" si="92"/>
        <v>1</v>
      </c>
      <c r="Y58" s="193">
        <f t="shared" ref="Y58:Y89" si="98">RIGHT(D58,LEN(D58)-4)/10000</f>
        <v>23.3019</v>
      </c>
      <c r="Z58" s="193">
        <f t="shared" ref="Z58:Z89" si="99">RIGHT(H58,LEN(H58)-4)/10000</f>
        <v>1.47E-2</v>
      </c>
      <c r="AA58" s="193">
        <f t="shared" si="89"/>
        <v>23.287199999999999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90"/>
        <v>0146-24</v>
      </c>
      <c r="AE58" s="80" t="str">
        <f t="shared" si="11"/>
        <v>aws s3 cp s3://rtdc.mdm.uploadarchive.raw/RTDC4039/ "%USERPROFILE%\AppData\Local\Temp\OnboardLogs"\RTDC4039\2017-04-24 --exclude "*" --recursive --include "*20170424*" &amp; "%USERPROFILE%\Documents\GitHub\mrs-test-scripts\Headless Mode &amp; Sideloading\WalkAndUnGZ.bat" "%USERPROFILE%\AppData\Local\Temp\OnboardLogs"\RTDC4039\2017-04-24 &amp; aws s3 cp s3://rtdc.mdm.uploadarchive.raw/RTDC4039/ "%USERPROFILE%\AppData\Local\Temp\OnboardLogs"\RTDC4039\2017-04-25 --exclude "*" --recursive --include "*20170425*" &amp; "%USERPROFILE%\Documents\GitHub\mrs-test-scripts\Headless Mode &amp; Sideloading\WalkAndUnGZ.bat" "%USERPROFILE%\AppData\Local\Temp\OnboardLogs"\RTDC4039\2017-04-25</v>
      </c>
      <c r="AF58" s="77" t="str">
        <f t="shared" si="12"/>
        <v>"C:\Program Files (x86)\AstroGrep\AstroGrep.exe" /e /r /s /spath="%USERPROFILE%\AppData\Local\Temp\OnboardLogs" /stypes="app*4039*20170424*" /stext=" 16:.+((SYSTEM_STATE.+slice.+state.+changed )|(ment ac)|(multiple cpu faults)|(system.+state.+changed )|(\[timeout)|(PRM\|1\|D)|(kpr)|(kdp)|(train.+moving)|(\|lc)|(penalty))"</v>
      </c>
      <c r="AG58" s="1" t="str">
        <f t="shared" si="91"/>
        <v>EC</v>
      </c>
      <c r="AH58" s="81" t="str">
        <f t="shared" si="18"/>
        <v>"%USERPROFILE%\Documents\GitHub\eaglep3\Utilities\RefineRTDCRunTimes.py" --tripid 146-24 --locoid 4039 --swversion DE.1.0.9.0 --startMP 204:233019 --initTime 2017-04-24T10:07:34 --startdatetime 2017-04-24T10:11:26 --delay 0 --endMP 204:147 --enddatetime 2017-04-24T10:51:23 --enforcementcount 0 &gt;&gt;C:\Users\stu\Documents\GitHub\eaglep3-reporting\EC\2017-04-24-refined-times.txt</v>
      </c>
      <c r="AI58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{"issue":{"subject":"","project_id":79,"tracker_id":40,"status_id":1,"priority_id":2,"assigned_to_id":23,"start_date":"2017-04-24","description":"","custom_fields":[{"id":1,"name":"Subdivision","value":"EC"},{"id":4,"name":"Milepost","value":"0.0147"},{"id":17,"name":"Train ID","value":"146-24"},{"id":16,"name":"Locomotive ID","value":"4039"},{"id":130,"name":"Impact","value":""},{"id":150,"name":"Time of Event (Mountain Time)","value":"10:51:23"},{"id":151,"name":"Denver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0"/>
        <v>start /low /b %USERPROFILE%\Documents\GitHub\eaglep3\Utilities\DownloadLogsFromS3.py --loco 4039 --day 2017-04-24</v>
      </c>
      <c r="AN58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16:51:23"},{"id":29,"name":"Sharepoint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553</v>
      </c>
      <c r="B59" s="7">
        <v>4012</v>
      </c>
      <c r="C59" s="21" t="s">
        <v>212</v>
      </c>
      <c r="D59" s="21" t="s">
        <v>393</v>
      </c>
      <c r="E59" s="13">
        <v>42849.393472222226</v>
      </c>
      <c r="F59" s="13">
        <v>42849.396689814814</v>
      </c>
      <c r="G59" s="7">
        <v>1</v>
      </c>
      <c r="H59" s="21" t="s">
        <v>454</v>
      </c>
      <c r="I59" s="13">
        <v>42849.42328703704</v>
      </c>
      <c r="J59" s="7">
        <v>0</v>
      </c>
      <c r="K59" s="92" t="str">
        <f t="shared" si="81"/>
        <v>4011/4012</v>
      </c>
      <c r="L59" s="21" t="str">
        <f>VLOOKUP(A59,'Trips&amp;Operators'!$C$1:$G$99999,5,FALSE)</f>
        <v>STARKS ANGELINA</v>
      </c>
      <c r="M59" s="6">
        <f t="shared" si="82"/>
        <v>2.6597222225973383E-2</v>
      </c>
      <c r="N59" s="7">
        <f t="shared" si="97"/>
        <v>38.300000005401671</v>
      </c>
      <c r="O59" s="7"/>
      <c r="P59" s="7"/>
      <c r="Q59" s="22"/>
      <c r="R59" s="191"/>
      <c r="S59" s="197">
        <f t="shared" si="84"/>
        <v>1</v>
      </c>
      <c r="T59" s="191" t="str">
        <f t="shared" si="85"/>
        <v>NorthBound</v>
      </c>
      <c r="U59" s="19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2" t="str">
        <f t="shared" si="5"/>
        <v>https://d0f6bd738d7f1b3e5a7ca70fe4ff75f0.us-east-1.aws.found.io/app/kibana#/discover/Steve-Slow-Train-Analysis-(2080s-and-2083s)?_g=(refreshInterval:(display:Off,pause:!f,section:0,value:0),time:(from:'2017-04-24T08:26:36-0600',mode:absolute,to:'2017-04-24T11:09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9" s="193" t="str">
        <f t="shared" si="86"/>
        <v>N</v>
      </c>
      <c r="X59" s="193">
        <f t="shared" si="92"/>
        <v>1</v>
      </c>
      <c r="Y59" s="193">
        <f t="shared" si="98"/>
        <v>4.58E-2</v>
      </c>
      <c r="Z59" s="193">
        <f t="shared" si="99"/>
        <v>23.330100000000002</v>
      </c>
      <c r="AA59" s="193">
        <f t="shared" si="89"/>
        <v>23.284300000000002</v>
      </c>
      <c r="AB59" s="57" t="str">
        <f>VLOOKUP(A59,Enforcements!$C$7:$K$13,8,0)</f>
        <v>Bulletin (2)</v>
      </c>
      <c r="AC59" s="53" t="str">
        <f>VLOOKUP(A59,Enforcements!$C$7:$E$13,3,0)</f>
        <v>GRADE CROSSING</v>
      </c>
      <c r="AD59" s="54" t="str">
        <f t="shared" si="90"/>
        <v>0147-24</v>
      </c>
      <c r="AE59" s="80" t="str">
        <f t="shared" si="11"/>
        <v>aws s3 cp s3://rtdc.mdm.uploadarchive.raw/RTDC4012/ "%USERPROFILE%\AppData\Local\Temp\OnboardLogs"\RTDC4012\2017-04-24 --exclude "*" --recursive --include "*20170424*" &amp; "%USERPROFILE%\Documents\GitHub\mrs-test-scripts\Headless Mode &amp; Sideloading\WalkAndUnGZ.bat" "%USERPROFILE%\AppData\Local\Temp\OnboardLogs"\RTDC4012\2017-04-24 &amp; aws s3 cp s3://rtdc.mdm.uploadarchive.raw/RTDC4012/ "%USERPROFILE%\AppData\Local\Temp\OnboardLogs"\RTDC4012\2017-04-25 --exclude "*" --recursive --include "*20170425*" &amp; "%USERPROFILE%\Documents\GitHub\mrs-test-scripts\Headless Mode &amp; Sideloading\WalkAndUnGZ.bat" "%USERPROFILE%\AppData\Local\Temp\OnboardLogs"\RTDC4012\2017-04-25</v>
      </c>
      <c r="AF59" s="77" t="str">
        <f t="shared" si="12"/>
        <v>"C:\Program Files (x86)\AstroGrep\AstroGrep.exe" /e /r /s /spath="%USERPROFILE%\AppData\Local\Temp\OnboardLogs" /stypes="app*4012*20170424*" /stext=" 16:.+((SYSTEM_STATE.+slice.+state.+changed )|(ment ac)|(multiple cpu faults)|(system.+state.+changed )|(\[timeout)|(PRM\|1\|D)|(kpr)|(kdp)|(train.+moving)|(\|lc)|(penalty))"</v>
      </c>
      <c r="AG59" s="1" t="str">
        <f t="shared" si="91"/>
        <v>EC</v>
      </c>
      <c r="AH59" s="81" t="str">
        <f t="shared" si="18"/>
        <v>"%USERPROFILE%\Documents\GitHub\eaglep3\Utilities\RefineRTDCRunTimes.py" --tripid 147-24 --locoid 4012 --swversion DE.1.0.9.0 --startMP 204:458 --initTime 2017-04-24T09:26:36 --startdatetime 2017-04-24T09:31:14 --delay 1 --endMP 204:233301 --enddatetime 2017-04-24T10:09:32 --enforcementcount 0 &gt;&gt;C:\Users\stu\Documents\GitHub\eaglep3-reporting\EC\2017-04-24-refined-times.txt</v>
      </c>
      <c r="AI59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{"issue":{"subject":"","project_id":79,"tracker_id":40,"status_id":1,"priority_id":2,"assigned_to_id":23,"start_date":"2017-04-24","description":"","custom_fields":[{"id":1,"name":"Subdivision","value":"EC"},{"id":4,"name":"Milepost","value":"23.3301"},{"id":17,"name":"Train ID","value":"147-24"},{"id":16,"name":"Locomotive ID","value":"4012"},{"id":130,"name":"Impact","value":""},{"id":150,"name":"Time of Event (Mountain Time)","value":"10:09:32"},{"id":151,"name":"Denver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0"/>
        <v>start /low /b %USERPROFILE%\Documents\GitHub\eaglep3\Utilities\DownloadLogsFromS3.py --loco 4012 --day 2017-04-24</v>
      </c>
      <c r="AN59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16:09:32"},{"id":29,"name":"Sharepoint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666</v>
      </c>
      <c r="B60" s="7">
        <v>4011</v>
      </c>
      <c r="C60" s="21" t="s">
        <v>212</v>
      </c>
      <c r="D60" s="21" t="s">
        <v>534</v>
      </c>
      <c r="E60" s="13">
        <v>42849.428020833337</v>
      </c>
      <c r="F60" s="13">
        <v>42849.434907407405</v>
      </c>
      <c r="G60" s="7">
        <v>1</v>
      </c>
      <c r="H60" s="21" t="s">
        <v>421</v>
      </c>
      <c r="I60" s="13">
        <v>42849.462743055556</v>
      </c>
      <c r="J60" s="7">
        <v>0</v>
      </c>
      <c r="K60" s="92" t="str">
        <f t="shared" si="81"/>
        <v>4011/4012</v>
      </c>
      <c r="L60" s="21" t="str">
        <f>VLOOKUP(A60,'Trips&amp;Operators'!$C$1:$G$99999,5,FALSE)</f>
        <v>STARKS ANGELINA</v>
      </c>
      <c r="M60" s="6">
        <f t="shared" si="82"/>
        <v>2.7835648150357883E-2</v>
      </c>
      <c r="N60" s="7">
        <f t="shared" si="97"/>
        <v>40.083333336515352</v>
      </c>
      <c r="O60" s="7"/>
      <c r="P60" s="7"/>
      <c r="Q60" s="22"/>
      <c r="R60" s="191"/>
      <c r="S60" s="197">
        <f t="shared" si="84"/>
        <v>1</v>
      </c>
      <c r="T60" s="191" t="str">
        <f t="shared" si="85"/>
        <v>Southbound</v>
      </c>
      <c r="U60" s="19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2" t="str">
        <f t="shared" si="5"/>
        <v>https://d0f6bd738d7f1b3e5a7ca70fe4ff75f0.us-east-1.aws.found.io/app/kibana#/discover/Steve-Slow-Train-Analysis-(2080s-and-2083s)?_g=(refreshInterval:(display:Off,pause:!f,section:0,value:0),time:(from:'2017-04-24T09:16:21-0600',mode:absolute,to:'2017-04-24T12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0" s="193" t="str">
        <f t="shared" si="86"/>
        <v>N</v>
      </c>
      <c r="X60" s="193">
        <f t="shared" si="92"/>
        <v>1</v>
      </c>
      <c r="Y60" s="193">
        <f t="shared" si="98"/>
        <v>23.296700000000001</v>
      </c>
      <c r="Z60" s="193">
        <f t="shared" si="99"/>
        <v>1.43E-2</v>
      </c>
      <c r="AA60" s="193">
        <f t="shared" si="89"/>
        <v>23.282400000000003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90"/>
        <v>0148-24</v>
      </c>
      <c r="AE60" s="80" t="str">
        <f t="shared" si="11"/>
        <v>aws s3 cp s3://rtdc.mdm.uploadarchive.raw/RTDC4011/ "%USERPROFILE%\AppData\Local\Temp\OnboardLogs"\RTDC4011\2017-04-24 --exclude "*" --recursive --include "*20170424*" &amp; "%USERPROFILE%\Documents\GitHub\mrs-test-scripts\Headless Mode &amp; Sideloading\WalkAndUnGZ.bat" "%USERPROFILE%\AppData\Local\Temp\OnboardLogs"\RTDC4011\2017-04-24 &amp; aws s3 cp s3://rtdc.mdm.uploadarchive.raw/RTDC4011/ "%USERPROFILE%\AppData\Local\Temp\OnboardLogs"\RTDC4011\2017-04-25 --exclude "*" --recursive --include "*20170425*" &amp; "%USERPROFILE%\Documents\GitHub\mrs-test-scripts\Headless Mode &amp; Sideloading\WalkAndUnGZ.bat" "%USERPROFILE%\AppData\Local\Temp\OnboardLogs"\RTDC4011\2017-04-25</v>
      </c>
      <c r="AF60" s="77" t="str">
        <f t="shared" si="12"/>
        <v>"C:\Program Files (x86)\AstroGrep\AstroGrep.exe" /e /r /s /spath="%USERPROFILE%\AppData\Local\Temp\OnboardLogs" /stypes="app*4011*20170424*" /stext=" 17:.+((SYSTEM_STATE.+slice.+state.+changed )|(ment ac)|(multiple cpu faults)|(system.+state.+changed )|(\[timeout)|(PRM\|1\|D)|(kpr)|(kdp)|(train.+moving)|(\|lc)|(penalty))"</v>
      </c>
      <c r="AG60" s="1" t="str">
        <f t="shared" si="91"/>
        <v>EC</v>
      </c>
      <c r="AH60" s="81" t="str">
        <f t="shared" si="18"/>
        <v>"%USERPROFILE%\Documents\GitHub\eaglep3\Utilities\RefineRTDCRunTimes.py" --tripid 148-24 --locoid 4011 --swversion DE.1.0.9.0 --startMP 204:232967 --initTime 2017-04-24T10:16:21 --startdatetime 2017-04-24T10:26:16 --delay 1 --endMP 204:143 --enddatetime 2017-04-24T11:06:21 --enforcementcount 0 &gt;&gt;C:\Users\stu\Documents\GitHub\eaglep3-reporting\EC\2017-04-24-refined-times.txt</v>
      </c>
      <c r="AI60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{"issue":{"subject":"","project_id":79,"tracker_id":40,"status_id":1,"priority_id":2,"assigned_to_id":23,"start_date":"2017-04-24","description":"","custom_fields":[{"id":1,"name":"Subdivision","value":"EC"},{"id":4,"name":"Milepost","value":"0.0143"},{"id":17,"name":"Train ID","value":"148-24"},{"id":16,"name":"Locomotive ID","value":"4011"},{"id":130,"name":"Impact","value":""},{"id":150,"name":"Time of Event (Mountain Time)","value":"11:06:21"},{"id":151,"name":"Denver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0"/>
        <v>start /low /b %USERPROFILE%\Documents\GitHub\eaglep3\Utilities\DownloadLogsFromS3.py --loco 4011 --day 2017-04-24</v>
      </c>
      <c r="AN60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17:06:21"},{"id":29,"name":"Sharepoint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657</v>
      </c>
      <c r="B61" s="7">
        <v>4028</v>
      </c>
      <c r="C61" s="21" t="s">
        <v>212</v>
      </c>
      <c r="D61" s="21" t="s">
        <v>429</v>
      </c>
      <c r="E61" s="13">
        <v>42849.400370370371</v>
      </c>
      <c r="F61" s="13">
        <v>42849.406446759262</v>
      </c>
      <c r="G61" s="7">
        <v>1</v>
      </c>
      <c r="H61" s="21" t="s">
        <v>521</v>
      </c>
      <c r="I61" s="13">
        <v>42849.432500000003</v>
      </c>
      <c r="J61" s="7">
        <v>0</v>
      </c>
      <c r="K61" s="92" t="str">
        <f t="shared" si="81"/>
        <v>4027/4028</v>
      </c>
      <c r="L61" s="21" t="str">
        <f>VLOOKUP(A61,'Trips&amp;Operators'!$C$1:$G$99999,5,FALSE)</f>
        <v>BIRENBAUM THOMAS</v>
      </c>
      <c r="M61" s="6">
        <f t="shared" si="82"/>
        <v>2.6053240741021E-2</v>
      </c>
      <c r="N61" s="7">
        <f t="shared" si="97"/>
        <v>37.51666666707024</v>
      </c>
      <c r="O61" s="7"/>
      <c r="P61" s="7"/>
      <c r="Q61" s="22"/>
      <c r="R61" s="191"/>
      <c r="S61" s="197">
        <f t="shared" si="84"/>
        <v>1</v>
      </c>
      <c r="T61" s="191" t="str">
        <f t="shared" si="85"/>
        <v>NorthBound</v>
      </c>
      <c r="U61" s="19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2" t="str">
        <f t="shared" si="5"/>
        <v>https://d0f6bd738d7f1b3e5a7ca70fe4ff75f0.us-east-1.aws.found.io/app/kibana#/discover/Steve-Slow-Train-Analysis-(2080s-and-2083s)?_g=(refreshInterval:(display:Off,pause:!f,section:0,value:0),time:(from:'2017-04-24T08:36:32-0600',mode:absolute,to:'2017-04-24T11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1" s="193" t="str">
        <f t="shared" si="86"/>
        <v>N</v>
      </c>
      <c r="X61" s="193">
        <f t="shared" si="92"/>
        <v>1</v>
      </c>
      <c r="Y61" s="193">
        <f t="shared" si="98"/>
        <v>4.6600000000000003E-2</v>
      </c>
      <c r="Z61" s="193">
        <f t="shared" si="99"/>
        <v>23.33</v>
      </c>
      <c r="AA61" s="193">
        <f t="shared" si="89"/>
        <v>23.283399999999997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90"/>
        <v>0149-24</v>
      </c>
      <c r="AE61" s="80" t="str">
        <f t="shared" si="11"/>
        <v>aws s3 cp s3://rtdc.mdm.uploadarchive.raw/RTDC4028/ "%USERPROFILE%\AppData\Local\Temp\OnboardLogs"\RTDC4028\2017-04-24 --exclude "*" --recursive --include "*20170424*" &amp; "%USERPROFILE%\Documents\GitHub\mrs-test-scripts\Headless Mode &amp; Sideloading\WalkAndUnGZ.bat" "%USERPROFILE%\AppData\Local\Temp\OnboardLogs"\RTDC4028\2017-04-24 &amp; aws s3 cp s3://rtdc.mdm.uploadarchive.raw/RTDC4028/ "%USERPROFILE%\AppData\Local\Temp\OnboardLogs"\RTDC4028\2017-04-25 --exclude "*" --recursive --include "*20170425*" &amp; "%USERPROFILE%\Documents\GitHub\mrs-test-scripts\Headless Mode &amp; Sideloading\WalkAndUnGZ.bat" "%USERPROFILE%\AppData\Local\Temp\OnboardLogs"\RTDC4028\2017-04-25</v>
      </c>
      <c r="AF61" s="77" t="str">
        <f t="shared" si="12"/>
        <v>"C:\Program Files (x86)\AstroGrep\AstroGrep.exe" /e /r /s /spath="%USERPROFILE%\AppData\Local\Temp\OnboardLogs" /stypes="app*4028*20170424*" /stext=" 16:.+((SYSTEM_STATE.+slice.+state.+changed )|(ment ac)|(multiple cpu faults)|(system.+state.+changed )|(\[timeout)|(PRM\|1\|D)|(kpr)|(kdp)|(train.+moving)|(\|lc)|(penalty))"</v>
      </c>
      <c r="AG61" s="1" t="str">
        <f t="shared" si="91"/>
        <v>EC</v>
      </c>
      <c r="AH61" s="81" t="str">
        <f t="shared" si="18"/>
        <v>"%USERPROFILE%\Documents\GitHub\eaglep3\Utilities\RefineRTDCRunTimes.py" --tripid 149-24 --locoid 4028 --swversion DE.1.0.9.0 --startMP 204:466 --initTime 2017-04-24T09:36:32 --startdatetime 2017-04-24T09:45:17 --delay 1 --endMP 204:233300 --enddatetime 2017-04-24T10:22:48 --enforcementcount 0 &gt;&gt;C:\Users\stu\Documents\GitHub\eaglep3-reporting\EC\2017-04-24-refined-times.txt</v>
      </c>
      <c r="AI61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{"issue":{"subject":"","project_id":79,"tracker_id":40,"status_id":1,"priority_id":2,"assigned_to_id":23,"start_date":"2017-04-24","description":"","custom_fields":[{"id":1,"name":"Subdivision","value":"EC"},{"id":4,"name":"Milepost","value":"23.33"},{"id":17,"name":"Train ID","value":"149-24"},{"id":16,"name":"Locomotive ID","value":"4028"},{"id":130,"name":"Impact","value":""},{"id":150,"name":"Time of Event (Mountain Time)","value":"10:22:48"},{"id":151,"name":"Denver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0"/>
        <v>start /low /b %USERPROFILE%\Documents\GitHub\eaglep3\Utilities\DownloadLogsFromS3.py --loco 4028 --day 2017-04-24</v>
      </c>
      <c r="AN61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16:22:48"},{"id":29,"name":"Sharepoint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667</v>
      </c>
      <c r="B62" s="7">
        <v>4027</v>
      </c>
      <c r="C62" s="21" t="s">
        <v>212</v>
      </c>
      <c r="D62" s="21" t="s">
        <v>385</v>
      </c>
      <c r="E62" s="13">
        <v>42849.434398148151</v>
      </c>
      <c r="F62" s="13">
        <v>42849.445254629631</v>
      </c>
      <c r="G62" s="7">
        <v>1</v>
      </c>
      <c r="H62" s="21" t="s">
        <v>209</v>
      </c>
      <c r="I62" s="13">
        <v>42849.472685185188</v>
      </c>
      <c r="J62" s="7">
        <v>0</v>
      </c>
      <c r="K62" s="92" t="str">
        <f t="shared" si="81"/>
        <v>4027/4028</v>
      </c>
      <c r="L62" s="21" t="str">
        <f>VLOOKUP(A62,'Trips&amp;Operators'!$C$1:$G$99999,5,FALSE)</f>
        <v>BIRENBAUM THOMAS</v>
      </c>
      <c r="M62" s="6">
        <f t="shared" si="82"/>
        <v>2.7430555557657499E-2</v>
      </c>
      <c r="N62" s="7">
        <f t="shared" si="97"/>
        <v>39.500000003026798</v>
      </c>
      <c r="O62" s="7"/>
      <c r="P62" s="7"/>
      <c r="Q62" s="22"/>
      <c r="R62" s="191"/>
      <c r="S62" s="197">
        <f t="shared" si="84"/>
        <v>1</v>
      </c>
      <c r="T62" s="191" t="str">
        <f t="shared" si="85"/>
        <v>Southbound</v>
      </c>
      <c r="U62" s="19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2" t="str">
        <f t="shared" si="5"/>
        <v>https://d0f6bd738d7f1b3e5a7ca70fe4ff75f0.us-east-1.aws.found.io/app/kibana#/discover/Steve-Slow-Train-Analysis-(2080s-and-2083s)?_g=(refreshInterval:(display:Off,pause:!f,section:0,value:0),time:(from:'2017-04-24T09:25:32-0600',mode:absolute,to:'2017-04-24T12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2" s="193" t="str">
        <f t="shared" si="86"/>
        <v>N</v>
      </c>
      <c r="X62" s="193">
        <f t="shared" si="92"/>
        <v>1</v>
      </c>
      <c r="Y62" s="193">
        <f t="shared" si="98"/>
        <v>23.2989</v>
      </c>
      <c r="Z62" s="193">
        <f t="shared" si="99"/>
        <v>1.47E-2</v>
      </c>
      <c r="AA62" s="193">
        <f t="shared" si="89"/>
        <v>23.284199999999998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90"/>
        <v>0150-24</v>
      </c>
      <c r="AE62" s="80" t="str">
        <f t="shared" si="11"/>
        <v>aws s3 cp s3://rtdc.mdm.uploadarchive.raw/RTDC4027/ "%USERPROFILE%\AppData\Local\Temp\OnboardLogs"\RTDC4027\2017-04-24 --exclude "*" --recursive --include "*20170424*" &amp; "%USERPROFILE%\Documents\GitHub\mrs-test-scripts\Headless Mode &amp; Sideloading\WalkAndUnGZ.bat" "%USERPROFILE%\AppData\Local\Temp\OnboardLogs"\RTDC4027\2017-04-24 &amp; aws s3 cp s3://rtdc.mdm.uploadarchive.raw/RTDC4027/ "%USERPROFILE%\AppData\Local\Temp\OnboardLogs"\RTDC4027\2017-04-25 --exclude "*" --recursive --include "*20170425*" &amp; "%USERPROFILE%\Documents\GitHub\mrs-test-scripts\Headless Mode &amp; Sideloading\WalkAndUnGZ.bat" "%USERPROFILE%\AppData\Local\Temp\OnboardLogs"\RTDC4027\2017-04-25</v>
      </c>
      <c r="AF62" s="77" t="str">
        <f t="shared" si="12"/>
        <v>"C:\Program Files (x86)\AstroGrep\AstroGrep.exe" /e /r /s /spath="%USERPROFILE%\AppData\Local\Temp\OnboardLogs" /stypes="app*4027*20170424*" /stext=" 17:.+((SYSTEM_STATE.+slice.+state.+changed )|(ment ac)|(multiple cpu faults)|(system.+state.+changed )|(\[timeout)|(PRM\|1\|D)|(kpr)|(kdp)|(train.+moving)|(\|lc)|(penalty))"</v>
      </c>
      <c r="AG62" s="1" t="str">
        <f t="shared" si="91"/>
        <v>EC</v>
      </c>
      <c r="AH62" s="81" t="str">
        <f t="shared" si="18"/>
        <v>"%USERPROFILE%\Documents\GitHub\eaglep3\Utilities\RefineRTDCRunTimes.py" --tripid 150-24 --locoid 4027 --swversion DE.1.0.9.0 --startMP 204:232989 --initTime 2017-04-24T10:25:32 --startdatetime 2017-04-24T10:41:10 --delay 1 --endMP 204:147 --enddatetime 2017-04-24T11:20:40 --enforcementcount 0 &gt;&gt;C:\Users\stu\Documents\GitHub\eaglep3-reporting\EC\2017-04-24-refined-times.txt</v>
      </c>
      <c r="AI62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{"issue":{"subject":"","project_id":79,"tracker_id":40,"status_id":1,"priority_id":2,"assigned_to_id":23,"start_date":"2017-04-24","description":"","custom_fields":[{"id":1,"name":"Subdivision","value":"EC"},{"id":4,"name":"Milepost","value":"0.0147"},{"id":17,"name":"Train ID","value":"150-24"},{"id":16,"name":"Locomotive ID","value":"4027"},{"id":130,"name":"Impact","value":""},{"id":150,"name":"Time of Event (Mountain Time)","value":"11:20:40"},{"id":151,"name":"Denver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0"/>
        <v>start /low /b %USERPROFILE%\Documents\GitHub\eaglep3\Utilities\DownloadLogsFromS3.py --loco 4027 --day 2017-04-24</v>
      </c>
      <c r="AN62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17:20:40"},{"id":29,"name":"Sharepoint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659</v>
      </c>
      <c r="B63" s="7">
        <v>4030</v>
      </c>
      <c r="C63" s="21" t="s">
        <v>212</v>
      </c>
      <c r="D63" s="21" t="s">
        <v>208</v>
      </c>
      <c r="E63" s="13">
        <v>42849.411307870374</v>
      </c>
      <c r="F63" s="13">
        <v>42849.41684027778</v>
      </c>
      <c r="G63" s="7">
        <v>2</v>
      </c>
      <c r="H63" s="21" t="s">
        <v>809</v>
      </c>
      <c r="I63" s="13">
        <v>42849.441643518519</v>
      </c>
      <c r="J63" s="7">
        <v>0</v>
      </c>
      <c r="K63" s="92" t="str">
        <f t="shared" si="81"/>
        <v>4029/4030</v>
      </c>
      <c r="L63" s="21" t="str">
        <f>VLOOKUP(A63,'Trips&amp;Operators'!$C$1:$G$99999,5,FALSE)</f>
        <v>SHOOK JOHN</v>
      </c>
      <c r="M63" s="6">
        <f t="shared" si="82"/>
        <v>2.4803240739856847E-2</v>
      </c>
      <c r="N63" s="7">
        <f t="shared" si="97"/>
        <v>35.716666665393859</v>
      </c>
      <c r="O63" s="7"/>
      <c r="P63" s="7"/>
      <c r="Q63" s="22"/>
      <c r="R63" s="191"/>
      <c r="S63" s="197">
        <f t="shared" si="84"/>
        <v>1</v>
      </c>
      <c r="T63" s="191" t="str">
        <f t="shared" si="85"/>
        <v>NorthBound</v>
      </c>
      <c r="U63" s="19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2" t="str">
        <f t="shared" si="5"/>
        <v>https://d0f6bd738d7f1b3e5a7ca70fe4ff75f0.us-east-1.aws.found.io/app/kibana#/discover/Steve-Slow-Train-Analysis-(2080s-and-2083s)?_g=(refreshInterval:(display:Off,pause:!f,section:0,value:0),time:(from:'2017-04-24T08:52:17-0600',mode:absolute,to:'2017-04-24T11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3" s="193" t="str">
        <f t="shared" si="86"/>
        <v>N</v>
      </c>
      <c r="X63" s="193">
        <f t="shared" si="92"/>
        <v>1</v>
      </c>
      <c r="Y63" s="193">
        <f t="shared" si="98"/>
        <v>4.5499999999999999E-2</v>
      </c>
      <c r="Z63" s="193">
        <f t="shared" si="99"/>
        <v>23.331099999999999</v>
      </c>
      <c r="AA63" s="193">
        <f t="shared" si="89"/>
        <v>23.285599999999999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90"/>
        <v>0151-24</v>
      </c>
      <c r="AE63" s="80" t="str">
        <f t="shared" si="11"/>
        <v>aws s3 cp s3://rtdc.mdm.uploadarchive.raw/RTDC4030/ "%USERPROFILE%\AppData\Local\Temp\OnboardLogs"\RTDC4030\2017-04-24 --exclude "*" --recursive --include "*20170424*" &amp; "%USERPROFILE%\Documents\GitHub\mrs-test-scripts\Headless Mode &amp; Sideloading\WalkAndUnGZ.bat" "%USERPROFILE%\AppData\Local\Temp\OnboardLogs"\RTDC4030\2017-04-24 &amp; aws s3 cp s3://rtdc.mdm.uploadarchive.raw/RTDC4030/ "%USERPROFILE%\AppData\Local\Temp\OnboardLogs"\RTDC4030\2017-04-25 --exclude "*" --recursive --include "*20170425*" &amp; "%USERPROFILE%\Documents\GitHub\mrs-test-scripts\Headless Mode &amp; Sideloading\WalkAndUnGZ.bat" "%USERPROFILE%\AppData\Local\Temp\OnboardLogs"\RTDC4030\2017-04-25</v>
      </c>
      <c r="AF63" s="77" t="str">
        <f t="shared" si="12"/>
        <v>"C:\Program Files (x86)\AstroGrep\AstroGrep.exe" /e /r /s /spath="%USERPROFILE%\AppData\Local\Temp\OnboardLogs" /stypes="app*4030*20170424*" /stext=" 16:.+((SYSTEM_STATE.+slice.+state.+changed )|(ment ac)|(multiple cpu faults)|(system.+state.+changed )|(\[timeout)|(PRM\|1\|D)|(kpr)|(kdp)|(train.+moving)|(\|lc)|(penalty))"</v>
      </c>
      <c r="AG63" s="1" t="str">
        <f t="shared" si="91"/>
        <v>EC</v>
      </c>
      <c r="AH63" s="81" t="str">
        <f t="shared" si="18"/>
        <v>"%USERPROFILE%\Documents\GitHub\eaglep3\Utilities\RefineRTDCRunTimes.py" --tripid 151-24 --locoid 4030 --swversion DE.1.0.9.0 --startMP 204:455 --initTime 2017-04-24T09:52:17 --startdatetime 2017-04-24T10:00:15 --delay 2 --endMP 204:233311 --enddatetime 2017-04-24T10:35:58 --enforcementcount 0 &gt;&gt;C:\Users\stu\Documents\GitHub\eaglep3-reporting\EC\2017-04-24-refined-times.txt</v>
      </c>
      <c r="AI63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{"issue":{"subject":"","project_id":79,"tracker_id":40,"status_id":1,"priority_id":2,"assigned_to_id":23,"start_date":"2017-04-24","description":"","custom_fields":[{"id":1,"name":"Subdivision","value":"EC"},{"id":4,"name":"Milepost","value":"23.3311"},{"id":17,"name":"Train ID","value":"151-24"},{"id":16,"name":"Locomotive ID","value":"4030"},{"id":130,"name":"Impact","value":""},{"id":150,"name":"Time of Event (Mountain Time)","value":"10:35:58"},{"id":151,"name":"Denver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0"/>
        <v>start /low /b %USERPROFILE%\Documents\GitHub\eaglep3\Utilities\DownloadLogsFromS3.py --loco 4030 --day 2017-04-24</v>
      </c>
      <c r="AN63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16:35:58"},{"id":29,"name":"Sharepoint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555</v>
      </c>
      <c r="B64" s="7">
        <v>4029</v>
      </c>
      <c r="C64" s="21" t="s">
        <v>212</v>
      </c>
      <c r="D64" s="21" t="s">
        <v>515</v>
      </c>
      <c r="E64" s="13">
        <v>42849.443344907406</v>
      </c>
      <c r="F64" s="13">
        <v>42849.455740740741</v>
      </c>
      <c r="G64" s="7">
        <v>1</v>
      </c>
      <c r="H64" s="21" t="s">
        <v>198</v>
      </c>
      <c r="I64" s="13">
        <v>42849.48400462963</v>
      </c>
      <c r="J64" s="7">
        <v>0</v>
      </c>
      <c r="K64" s="92" t="str">
        <f t="shared" si="81"/>
        <v>4029/4030</v>
      </c>
      <c r="L64" s="21" t="str">
        <f>VLOOKUP(A64,'Trips&amp;Operators'!$C$1:$G$99999,5,FALSE)</f>
        <v>SHOOK JOHN</v>
      </c>
      <c r="M64" s="6">
        <f t="shared" si="82"/>
        <v>2.8263888889341615E-2</v>
      </c>
      <c r="N64" s="7">
        <f t="shared" si="97"/>
        <v>40.700000000651926</v>
      </c>
      <c r="O64" s="7"/>
      <c r="P64" s="7"/>
      <c r="Q64" s="22"/>
      <c r="R64" s="191"/>
      <c r="S64" s="197">
        <f t="shared" si="84"/>
        <v>1</v>
      </c>
      <c r="T64" s="191" t="str">
        <f t="shared" si="85"/>
        <v>Southbound</v>
      </c>
      <c r="U64" s="19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2" t="str">
        <f t="shared" si="5"/>
        <v>https://d0f6bd738d7f1b3e5a7ca70fe4ff75f0.us-east-1.aws.found.io/app/kibana#/discover/Steve-Slow-Train-Analysis-(2080s-and-2083s)?_g=(refreshInterval:(display:Off,pause:!f,section:0,value:0),time:(from:'2017-04-24T09:38:25-0600',mode:absolute,to:'2017-04-24T12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4" s="193" t="str">
        <f t="shared" si="86"/>
        <v>N</v>
      </c>
      <c r="X64" s="193">
        <f t="shared" si="92"/>
        <v>1</v>
      </c>
      <c r="Y64" s="193">
        <f t="shared" si="98"/>
        <v>23.299600000000002</v>
      </c>
      <c r="Z64" s="193">
        <f t="shared" si="99"/>
        <v>1.5800000000000002E-2</v>
      </c>
      <c r="AA64" s="193">
        <f t="shared" si="89"/>
        <v>23.283800000000003</v>
      </c>
      <c r="AB64" s="57" t="str">
        <f>VLOOKUP(A64,Enforcements!$C$7:$K$13,8,0)</f>
        <v>Bulletin (2)</v>
      </c>
      <c r="AC64" s="53" t="str">
        <f>VLOOKUP(A64,Enforcements!$C$7:$E$13,3,0)</f>
        <v>GRADE CROSSING</v>
      </c>
      <c r="AD64" s="54" t="str">
        <f t="shared" si="90"/>
        <v>0152-24</v>
      </c>
      <c r="AE64" s="80" t="str">
        <f t="shared" si="11"/>
        <v>aws s3 cp s3://rtdc.mdm.uploadarchive.raw/RTDC4029/ "%USERPROFILE%\AppData\Local\Temp\OnboardLogs"\RTDC4029\2017-04-24 --exclude "*" --recursive --include "*20170424*" &amp; "%USERPROFILE%\Documents\GitHub\mrs-test-scripts\Headless Mode &amp; Sideloading\WalkAndUnGZ.bat" "%USERPROFILE%\AppData\Local\Temp\OnboardLogs"\RTDC4029\2017-04-24 &amp; aws s3 cp s3://rtdc.mdm.uploadarchive.raw/RTDC4029/ "%USERPROFILE%\AppData\Local\Temp\OnboardLogs"\RTDC4029\2017-04-25 --exclude "*" --recursive --include "*20170425*" &amp; "%USERPROFILE%\Documents\GitHub\mrs-test-scripts\Headless Mode &amp; Sideloading\WalkAndUnGZ.bat" "%USERPROFILE%\AppData\Local\Temp\OnboardLogs"\RTDC4029\2017-04-25</v>
      </c>
      <c r="AF64" s="77" t="str">
        <f t="shared" si="12"/>
        <v>"C:\Program Files (x86)\AstroGrep\AstroGrep.exe" /e /r /s /spath="%USERPROFILE%\AppData\Local\Temp\OnboardLogs" /stypes="app*4029*20170424*" /stext=" 17:.+((SYSTEM_STATE.+slice.+state.+changed )|(ment ac)|(multiple cpu faults)|(system.+state.+changed )|(\[timeout)|(PRM\|1\|D)|(kpr)|(kdp)|(train.+moving)|(\|lc)|(penalty))"</v>
      </c>
      <c r="AG64" s="1" t="str">
        <f t="shared" si="91"/>
        <v>EC</v>
      </c>
      <c r="AH64" s="81" t="str">
        <f t="shared" si="18"/>
        <v>"%USERPROFILE%\Documents\GitHub\eaglep3\Utilities\RefineRTDCRunTimes.py" --tripid 152-24 --locoid 4029 --swversion DE.1.0.9.0 --startMP 204:232996 --initTime 2017-04-24T10:38:25 --startdatetime 2017-04-24T10:56:16 --delay 1 --endMP 204:158 --enddatetime 2017-04-24T11:36:58 --enforcementcount 0 &gt;&gt;C:\Users\stu\Documents\GitHub\eaglep3-reporting\EC\2017-04-24-refined-times.txt</v>
      </c>
      <c r="AI64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{"issue":{"subject":"","project_id":79,"tracker_id":40,"status_id":1,"priority_id":2,"assigned_to_id":23,"start_date":"2017-04-24","description":"","custom_fields":[{"id":1,"name":"Subdivision","value":"EC"},{"id":4,"name":"Milepost","value":"0.0158"},{"id":17,"name":"Train ID","value":"152-24"},{"id":16,"name":"Locomotive ID","value":"4029"},{"id":130,"name":"Impact","value":""},{"id":150,"name":"Time of Event (Mountain Time)","value":"11:36:58"},{"id":151,"name":"Denver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0"/>
        <v>start /low /b %USERPROFILE%\Documents\GitHub\eaglep3\Utilities\DownloadLogsFromS3.py --loco 4029 --day 2017-04-24</v>
      </c>
      <c r="AN64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17:36:58"},{"id":29,"name":"Sharepoint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664</v>
      </c>
      <c r="B65" s="7">
        <v>4024</v>
      </c>
      <c r="C65" s="21" t="s">
        <v>212</v>
      </c>
      <c r="D65" s="21" t="s">
        <v>412</v>
      </c>
      <c r="E65" s="13">
        <v>42849.420578703706</v>
      </c>
      <c r="F65" s="13">
        <v>42849.42728009259</v>
      </c>
      <c r="G65" s="7">
        <v>1</v>
      </c>
      <c r="H65" s="21" t="s">
        <v>801</v>
      </c>
      <c r="I65" s="13">
        <v>42849.452164351853</v>
      </c>
      <c r="J65" s="7">
        <v>0</v>
      </c>
      <c r="K65" s="92" t="str">
        <f t="shared" si="81"/>
        <v>4023/4024</v>
      </c>
      <c r="L65" s="21" t="str">
        <f>VLOOKUP(A65,'Trips&amp;Operators'!$C$1:$G$99999,5,FALSE)</f>
        <v>GUZMAN DANNY</v>
      </c>
      <c r="M65" s="6">
        <f t="shared" si="82"/>
        <v>2.4884259262762498E-2</v>
      </c>
      <c r="N65" s="7">
        <f t="shared" si="97"/>
        <v>35.833333338377997</v>
      </c>
      <c r="O65" s="7"/>
      <c r="P65" s="7"/>
      <c r="Q65" s="22"/>
      <c r="R65" s="191"/>
      <c r="S65" s="197">
        <f t="shared" si="84"/>
        <v>1</v>
      </c>
      <c r="T65" s="191" t="str">
        <f t="shared" si="85"/>
        <v>NorthBound</v>
      </c>
      <c r="U65" s="19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2" t="str">
        <f t="shared" si="5"/>
        <v>https://d0f6bd738d7f1b3e5a7ca70fe4ff75f0.us-east-1.aws.found.io/app/kibana#/discover/Steve-Slow-Train-Analysis-(2080s-and-2083s)?_g=(refreshInterval:(display:Off,pause:!f,section:0,value:0),time:(from:'2017-04-24T09:05:38-0600',mode:absolute,to:'2017-04-24T11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5" s="193" t="str">
        <f t="shared" si="86"/>
        <v>N</v>
      </c>
      <c r="X65" s="193">
        <f t="shared" si="92"/>
        <v>1</v>
      </c>
      <c r="Y65" s="193">
        <f t="shared" si="98"/>
        <v>4.6699999999999998E-2</v>
      </c>
      <c r="Z65" s="193">
        <f t="shared" si="99"/>
        <v>23.331</v>
      </c>
      <c r="AA65" s="193">
        <f t="shared" si="89"/>
        <v>23.284299999999998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90"/>
        <v>0153-24</v>
      </c>
      <c r="AE65" s="80" t="str">
        <f t="shared" si="11"/>
        <v>aws s3 cp s3://rtdc.mdm.uploadarchive.raw/RTDC4024/ "%USERPROFILE%\AppData\Local\Temp\OnboardLogs"\RTDC4024\2017-04-24 --exclude "*" --recursive --include "*20170424*" &amp; "%USERPROFILE%\Documents\GitHub\mrs-test-scripts\Headless Mode &amp; Sideloading\WalkAndUnGZ.bat" "%USERPROFILE%\AppData\Local\Temp\OnboardLogs"\RTDC4024\2017-04-24 &amp; aws s3 cp s3://rtdc.mdm.uploadarchive.raw/RTDC4024/ "%USERPROFILE%\AppData\Local\Temp\OnboardLogs"\RTDC4024\2017-04-25 --exclude "*" --recursive --include "*20170425*" &amp; "%USERPROFILE%\Documents\GitHub\mrs-test-scripts\Headless Mode &amp; Sideloading\WalkAndUnGZ.bat" "%USERPROFILE%\AppData\Local\Temp\OnboardLogs"\RTDC4024\2017-04-25</v>
      </c>
      <c r="AF65" s="77" t="str">
        <f t="shared" si="12"/>
        <v>"C:\Program Files (x86)\AstroGrep\AstroGrep.exe" /e /r /s /spath="%USERPROFILE%\AppData\Local\Temp\OnboardLogs" /stypes="app*4024*20170424*" /stext=" 16:.+((SYSTEM_STATE.+slice.+state.+changed )|(ment ac)|(multiple cpu faults)|(system.+state.+changed )|(\[timeout)|(PRM\|1\|D)|(kpr)|(kdp)|(train.+moving)|(\|lc)|(penalty))"</v>
      </c>
      <c r="AG65" s="1" t="str">
        <f t="shared" si="91"/>
        <v>EC</v>
      </c>
      <c r="AH65" s="81" t="str">
        <f t="shared" si="18"/>
        <v>"%USERPROFILE%\Documents\GitHub\eaglep3\Utilities\RefineRTDCRunTimes.py" --tripid 153-24 --locoid 4024 --swversion DE.1.0.9.0 --startMP 204:467 --initTime 2017-04-24T10:05:38 --startdatetime 2017-04-24T10:15:17 --delay 1 --endMP 204:233310 --enddatetime 2017-04-24T10:51:07 --enforcementcount 0 &gt;&gt;C:\Users\stu\Documents\GitHub\eaglep3-reporting\EC\2017-04-24-refined-times.txt</v>
      </c>
      <c r="AI65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{"issue":{"subject":"","project_id":79,"tracker_id":40,"status_id":1,"priority_id":2,"assigned_to_id":23,"start_date":"2017-04-24","description":"","custom_fields":[{"id":1,"name":"Subdivision","value":"EC"},{"id":4,"name":"Milepost","value":"23.331"},{"id":17,"name":"Train ID","value":"153-24"},{"id":16,"name":"Locomotive ID","value":"4024"},{"id":130,"name":"Impact","value":""},{"id":150,"name":"Time of Event (Mountain Time)","value":"10:51:07"},{"id":151,"name":"Denver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0"/>
        <v>start /low /b %USERPROFILE%\Documents\GitHub\eaglep3\Utilities\DownloadLogsFromS3.py --loco 4024 --day 2017-04-24</v>
      </c>
      <c r="AN65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16:51:07"},{"id":29,"name":"Sharepoint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670</v>
      </c>
      <c r="B66" s="7">
        <v>4023</v>
      </c>
      <c r="C66" s="21" t="s">
        <v>212</v>
      </c>
      <c r="D66" s="21" t="s">
        <v>452</v>
      </c>
      <c r="E66" s="13">
        <v>42849.453113425923</v>
      </c>
      <c r="F66" s="13">
        <v>42849.466215277775</v>
      </c>
      <c r="G66" s="7">
        <v>1</v>
      </c>
      <c r="H66" s="21" t="s">
        <v>810</v>
      </c>
      <c r="I66" s="13">
        <v>42849.493263888886</v>
      </c>
      <c r="J66" s="7">
        <v>0</v>
      </c>
      <c r="K66" s="92" t="str">
        <f t="shared" si="81"/>
        <v>4023/4024</v>
      </c>
      <c r="L66" s="21" t="str">
        <f>VLOOKUP(A66,'Trips&amp;Operators'!$C$1:$G$99999,5,FALSE)</f>
        <v>GUZMAN DANNY</v>
      </c>
      <c r="M66" s="6">
        <f t="shared" si="82"/>
        <v>2.7048611111240461E-2</v>
      </c>
      <c r="N66" s="7">
        <f t="shared" si="97"/>
        <v>38.950000000186265</v>
      </c>
      <c r="O66" s="7"/>
      <c r="P66" s="7"/>
      <c r="Q66" s="22"/>
      <c r="R66" s="191"/>
      <c r="S66" s="197">
        <f t="shared" si="84"/>
        <v>1</v>
      </c>
      <c r="T66" s="191" t="str">
        <f t="shared" si="85"/>
        <v>Southbound</v>
      </c>
      <c r="U66" s="19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2" t="str">
        <f t="shared" si="5"/>
        <v>https://d0f6bd738d7f1b3e5a7ca70fe4ff75f0.us-east-1.aws.found.io/app/kibana#/discover/Steve-Slow-Train-Analysis-(2080s-and-2083s)?_g=(refreshInterval:(display:Off,pause:!f,section:0,value:0),time:(from:'2017-04-24T09:52:29-0600',mode:absolute,to:'2017-04-24T12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6" s="193" t="str">
        <f t="shared" si="86"/>
        <v>N</v>
      </c>
      <c r="X66" s="193">
        <f t="shared" si="92"/>
        <v>1</v>
      </c>
      <c r="Y66" s="193">
        <f t="shared" si="98"/>
        <v>23.299399999999999</v>
      </c>
      <c r="Z66" s="193">
        <f t="shared" si="99"/>
        <v>1.61E-2</v>
      </c>
      <c r="AA66" s="193">
        <f t="shared" si="89"/>
        <v>23.283299999999997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90"/>
        <v>0154-24</v>
      </c>
      <c r="AE66" s="80" t="str">
        <f t="shared" si="11"/>
        <v>aws s3 cp s3://rtdc.mdm.uploadarchive.raw/RTDC4023/ "%USERPROFILE%\AppData\Local\Temp\OnboardLogs"\RTDC4023\2017-04-24 --exclude "*" --recursive --include "*20170424*" &amp; "%USERPROFILE%\Documents\GitHub\mrs-test-scripts\Headless Mode &amp; Sideloading\WalkAndUnGZ.bat" "%USERPROFILE%\AppData\Local\Temp\OnboardLogs"\RTDC4023\2017-04-24 &amp; aws s3 cp s3://rtdc.mdm.uploadarchive.raw/RTDC4023/ "%USERPROFILE%\AppData\Local\Temp\OnboardLogs"\RTDC4023\2017-04-25 --exclude "*" --recursive --include "*20170425*" &amp; "%USERPROFILE%\Documents\GitHub\mrs-test-scripts\Headless Mode &amp; Sideloading\WalkAndUnGZ.bat" "%USERPROFILE%\AppData\Local\Temp\OnboardLogs"\RTDC4023\2017-04-25</v>
      </c>
      <c r="AF66" s="77" t="str">
        <f t="shared" si="12"/>
        <v>"C:\Program Files (x86)\AstroGrep\AstroGrep.exe" /e /r /s /spath="%USERPROFILE%\AppData\Local\Temp\OnboardLogs" /stypes="app*4023*20170424*" /stext=" 17:.+((SYSTEM_STATE.+slice.+state.+changed )|(ment ac)|(multiple cpu faults)|(system.+state.+changed )|(\[timeout)|(PRM\|1\|D)|(kpr)|(kdp)|(train.+moving)|(\|lc)|(penalty))"</v>
      </c>
      <c r="AG66" s="1" t="str">
        <f t="shared" si="91"/>
        <v>EC</v>
      </c>
      <c r="AH66" s="81" t="str">
        <f t="shared" si="18"/>
        <v>"%USERPROFILE%\Documents\GitHub\eaglep3\Utilities\RefineRTDCRunTimes.py" --tripid 154-24 --locoid 4023 --swversion DE.1.0.9.0 --startMP 204:232994 --initTime 2017-04-24T10:52:29 --startdatetime 2017-04-24T11:11:21 --delay 1 --endMP 204:161 --enddatetime 2017-04-24T11:50:18 --enforcementcount 0 &gt;&gt;C:\Users\stu\Documents\GitHub\eaglep3-reporting\EC\2017-04-24-refined-times.txt</v>
      </c>
      <c r="AI66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{"issue":{"subject":"","project_id":79,"tracker_id":40,"status_id":1,"priority_id":2,"assigned_to_id":23,"start_date":"2017-04-24","description":"","custom_fields":[{"id":1,"name":"Subdivision","value":"EC"},{"id":4,"name":"Milepost","value":"0.0161"},{"id":17,"name":"Train ID","value":"154-24"},{"id":16,"name":"Locomotive ID","value":"4023"},{"id":130,"name":"Impact","value":""},{"id":150,"name":"Time of Event (Mountain Time)","value":"11:50:18"},{"id":151,"name":"Denver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0"/>
        <v>start /low /b %USERPROFILE%\Documents\GitHub\eaglep3\Utilities\DownloadLogsFromS3.py --loco 4023 --day 2017-04-24</v>
      </c>
      <c r="AN66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17:50:18"},{"id":29,"name":"Sharepoint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668</v>
      </c>
      <c r="B67" s="7">
        <v>4010</v>
      </c>
      <c r="C67" s="21" t="s">
        <v>212</v>
      </c>
      <c r="D67" s="21" t="s">
        <v>205</v>
      </c>
      <c r="E67" s="13">
        <v>42849.434652777774</v>
      </c>
      <c r="F67" s="13">
        <v>42849.437650462962</v>
      </c>
      <c r="G67" s="7">
        <v>1</v>
      </c>
      <c r="H67" s="21" t="s">
        <v>809</v>
      </c>
      <c r="I67" s="13">
        <v>42849.462962962964</v>
      </c>
      <c r="J67" s="7">
        <v>0</v>
      </c>
      <c r="K67" s="92" t="str">
        <f t="shared" si="81"/>
        <v>4009/4010</v>
      </c>
      <c r="L67" s="21" t="str">
        <f>VLOOKUP(A67,'Trips&amp;Operators'!$C$1:$G$99999,5,FALSE)</f>
        <v>DAVIS WENDY</v>
      </c>
      <c r="M67" s="6">
        <f t="shared" si="82"/>
        <v>2.531250000174623E-2</v>
      </c>
      <c r="N67" s="7">
        <f t="shared" si="97"/>
        <v>36.450000002514571</v>
      </c>
      <c r="O67" s="7"/>
      <c r="P67" s="7"/>
      <c r="Q67" s="22"/>
      <c r="R67" s="191"/>
      <c r="S67" s="197">
        <f t="shared" si="84"/>
        <v>1</v>
      </c>
      <c r="T67" s="191" t="str">
        <f t="shared" si="85"/>
        <v>NorthBound</v>
      </c>
      <c r="U67" s="19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2" t="str">
        <f t="shared" si="5"/>
        <v>https://d0f6bd738d7f1b3e5a7ca70fe4ff75f0.us-east-1.aws.found.io/app/kibana#/discover/Steve-Slow-Train-Analysis-(2080s-and-2083s)?_g=(refreshInterval:(display:Off,pause:!f,section:0,value:0),time:(from:'2017-04-24T09:25:54-0600',mode:absolute,to:'2017-04-24T12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7" s="193" t="str">
        <f t="shared" si="86"/>
        <v>N</v>
      </c>
      <c r="X67" s="193">
        <f t="shared" si="92"/>
        <v>1</v>
      </c>
      <c r="Y67" s="193">
        <f t="shared" si="98"/>
        <v>4.5999999999999999E-2</v>
      </c>
      <c r="Z67" s="193">
        <f t="shared" si="99"/>
        <v>23.331099999999999</v>
      </c>
      <c r="AA67" s="193">
        <f t="shared" si="89"/>
        <v>23.2851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90"/>
        <v>0155-24</v>
      </c>
      <c r="AE67" s="80" t="str">
        <f t="shared" si="11"/>
        <v>aws s3 cp s3://rtdc.mdm.uploadarchive.raw/RTDC4010/ "%USERPROFILE%\AppData\Local\Temp\OnboardLogs"\RTDC4010\2017-04-24 --exclude "*" --recursive --include "*20170424*" &amp; "%USERPROFILE%\Documents\GitHub\mrs-test-scripts\Headless Mode &amp; Sideloading\WalkAndUnGZ.bat" "%USERPROFILE%\AppData\Local\Temp\OnboardLogs"\RTDC4010\2017-04-24 &amp; aws s3 cp s3://rtdc.mdm.uploadarchive.raw/RTDC4010/ "%USERPROFILE%\AppData\Local\Temp\OnboardLogs"\RTDC4010\2017-04-25 --exclude "*" --recursive --include "*20170425*" &amp; "%USERPROFILE%\Documents\GitHub\mrs-test-scripts\Headless Mode &amp; Sideloading\WalkAndUnGZ.bat" "%USERPROFILE%\AppData\Local\Temp\OnboardLogs"\RTDC4010\2017-04-25</v>
      </c>
      <c r="AF67" s="77" t="str">
        <f t="shared" si="12"/>
        <v>"C:\Program Files (x86)\AstroGrep\AstroGrep.exe" /e /r /s /spath="%USERPROFILE%\AppData\Local\Temp\OnboardLogs" /stypes="app*4010*20170424*" /stext=" 17:.+((SYSTEM_STATE.+slice.+state.+changed )|(ment ac)|(multiple cpu faults)|(system.+state.+changed )|(\[timeout)|(PRM\|1\|D)|(kpr)|(kdp)|(train.+moving)|(\|lc)|(penalty))"</v>
      </c>
      <c r="AG67" s="1" t="str">
        <f t="shared" si="91"/>
        <v>EC</v>
      </c>
      <c r="AH67" s="81" t="str">
        <f t="shared" si="18"/>
        <v>"%USERPROFILE%\Documents\GitHub\eaglep3\Utilities\RefineRTDCRunTimes.py" --tripid 155-24 --locoid 4010 --swversion DE.1.0.9.0 --startMP 204:460 --initTime 2017-04-24T10:25:54 --startdatetime 2017-04-24T10:30:13 --delay 1 --endMP 204:233311 --enddatetime 2017-04-24T11:06:40 --enforcementcount 0 &gt;&gt;C:\Users\stu\Documents\GitHub\eaglep3-reporting\EC\2017-04-24-refined-times.txt</v>
      </c>
      <c r="AI67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{"issue":{"subject":"","project_id":79,"tracker_id":40,"status_id":1,"priority_id":2,"assigned_to_id":23,"start_date":"2017-04-24","description":"","custom_fields":[{"id":1,"name":"Subdivision","value":"EC"},{"id":4,"name":"Milepost","value":"23.3311"},{"id":17,"name":"Train ID","value":"155-24"},{"id":16,"name":"Locomotive ID","value":"4010"},{"id":130,"name":"Impact","value":""},{"id":150,"name":"Time of Event (Mountain Time)","value":"11:06:40"},{"id":151,"name":"Denver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0"/>
        <v>start /low /b %USERPROFILE%\Documents\GitHub\eaglep3\Utilities\DownloadLogsFromS3.py --loco 4010 --day 2017-04-24</v>
      </c>
      <c r="AN67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17:06:40"},{"id":29,"name":"Sharepoint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674</v>
      </c>
      <c r="B68" s="7">
        <v>4009</v>
      </c>
      <c r="C68" s="21" t="s">
        <v>212</v>
      </c>
      <c r="D68" s="21" t="s">
        <v>484</v>
      </c>
      <c r="E68" s="13">
        <v>42849.474282407406</v>
      </c>
      <c r="F68" s="13">
        <v>42849.476527777777</v>
      </c>
      <c r="G68" s="7">
        <v>1</v>
      </c>
      <c r="H68" s="21" t="s">
        <v>203</v>
      </c>
      <c r="I68" s="13">
        <v>42849.504594907405</v>
      </c>
      <c r="J68" s="7">
        <v>0</v>
      </c>
      <c r="K68" s="92" t="str">
        <f t="shared" si="81"/>
        <v>4009/4010</v>
      </c>
      <c r="L68" s="21" t="str">
        <f>VLOOKUP(A68,'Trips&amp;Operators'!$C$1:$G$99999,5,FALSE)</f>
        <v>DAVIS WENDY</v>
      </c>
      <c r="M68" s="6">
        <f t="shared" si="82"/>
        <v>2.806712962774327E-2</v>
      </c>
      <c r="N68" s="7">
        <f t="shared" si="97"/>
        <v>40.416666663950309</v>
      </c>
      <c r="O68" s="7"/>
      <c r="P68" s="7"/>
      <c r="Q68" s="22"/>
      <c r="R68" s="191"/>
      <c r="S68" s="197">
        <f t="shared" si="84"/>
        <v>1</v>
      </c>
      <c r="T68" s="191" t="str">
        <f t="shared" si="85"/>
        <v>Southbound</v>
      </c>
      <c r="U68" s="19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2" t="str">
        <f t="shared" si="5"/>
        <v>https://d0f6bd738d7f1b3e5a7ca70fe4ff75f0.us-east-1.aws.found.io/app/kibana#/discover/Steve-Slow-Train-Analysis-(2080s-and-2083s)?_g=(refreshInterval:(display:Off,pause:!f,section:0,value:0),time:(from:'2017-04-24T10:22:58-0600',mode:absolute,to:'2017-04-24T13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8" s="193" t="str">
        <f t="shared" si="86"/>
        <v>N</v>
      </c>
      <c r="X68" s="193">
        <f t="shared" si="92"/>
        <v>1</v>
      </c>
      <c r="Y68" s="193">
        <f t="shared" si="98"/>
        <v>23.2986</v>
      </c>
      <c r="Z68" s="193">
        <f t="shared" si="99"/>
        <v>1.54E-2</v>
      </c>
      <c r="AA68" s="193">
        <f t="shared" si="89"/>
        <v>23.283200000000001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90"/>
        <v>0156-24</v>
      </c>
      <c r="AE68" s="80" t="str">
        <f t="shared" si="11"/>
        <v>aws s3 cp s3://rtdc.mdm.uploadarchive.raw/RTDC4009/ "%USERPROFILE%\AppData\Local\Temp\OnboardLogs"\RTDC4009\2017-04-24 --exclude "*" --recursive --include "*20170424*" &amp; "%USERPROFILE%\Documents\GitHub\mrs-test-scripts\Headless Mode &amp; Sideloading\WalkAndUnGZ.bat" "%USERPROFILE%\AppData\Local\Temp\OnboardLogs"\RTDC4009\2017-04-24 &amp; aws s3 cp s3://rtdc.mdm.uploadarchive.raw/RTDC4009/ "%USERPROFILE%\AppData\Local\Temp\OnboardLogs"\RTDC4009\2017-04-25 --exclude "*" --recursive --include "*20170425*" &amp; "%USERPROFILE%\Documents\GitHub\mrs-test-scripts\Headless Mode &amp; Sideloading\WalkAndUnGZ.bat" "%USERPROFILE%\AppData\Local\Temp\OnboardLogs"\RTDC4009\2017-04-25</v>
      </c>
      <c r="AF68" s="77" t="str">
        <f t="shared" si="12"/>
        <v>"C:\Program Files (x86)\AstroGrep\AstroGrep.exe" /e /r /s /spath="%USERPROFILE%\AppData\Local\Temp\OnboardLogs" /stypes="app*4009*20170424*" /stext=" 18:.+((SYSTEM_STATE.+slice.+state.+changed )|(ment ac)|(multiple cpu faults)|(system.+state.+changed )|(\[timeout)|(PRM\|1\|D)|(kpr)|(kdp)|(train.+moving)|(\|lc)|(penalty))"</v>
      </c>
      <c r="AG68" s="1" t="str">
        <f t="shared" si="91"/>
        <v>EC</v>
      </c>
      <c r="AH68" s="81" t="str">
        <f t="shared" si="18"/>
        <v>"%USERPROFILE%\Documents\GitHub\eaglep3\Utilities\RefineRTDCRunTimes.py" --tripid 156-24 --locoid 4009 --swversion DE.1.0.9.0 --startMP 204:232986 --initTime 2017-04-24T11:22:58 --startdatetime 2017-04-24T11:26:12 --delay 1 --endMP 204:154 --enddatetime 2017-04-24T12:06:37 --enforcementcount 0 &gt;&gt;C:\Users\stu\Documents\GitHub\eaglep3-reporting\EC\2017-04-24-refined-times.txt</v>
      </c>
      <c r="AI68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{"issue":{"subject":"","project_id":79,"tracker_id":40,"status_id":1,"priority_id":2,"assigned_to_id":23,"start_date":"2017-04-24","description":"","custom_fields":[{"id":1,"name":"Subdivision","value":"EC"},{"id":4,"name":"Milepost","value":"0.0154"},{"id":17,"name":"Train ID","value":"156-24"},{"id":16,"name":"Locomotive ID","value":"4009"},{"id":130,"name":"Impact","value":""},{"id":150,"name":"Time of Event (Mountain Time)","value":"12:06:37"},{"id":151,"name":"Denver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0"/>
        <v>start /low /b %USERPROFILE%\Documents\GitHub\eaglep3\Utilities\DownloadLogsFromS3.py --loco 4009 --day 2017-04-24</v>
      </c>
      <c r="AN68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18:06:37"},{"id":29,"name":"Sharepoint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669</v>
      </c>
      <c r="B69" s="7">
        <v>4026</v>
      </c>
      <c r="C69" s="21" t="s">
        <v>212</v>
      </c>
      <c r="D69" s="21" t="s">
        <v>393</v>
      </c>
      <c r="E69" s="13">
        <v>42849.443969907406</v>
      </c>
      <c r="F69" s="13">
        <v>42849.448136574072</v>
      </c>
      <c r="G69" s="7">
        <v>1</v>
      </c>
      <c r="H69" s="21" t="s">
        <v>527</v>
      </c>
      <c r="I69" s="13">
        <v>42849.473043981481</v>
      </c>
      <c r="J69" s="7">
        <v>0</v>
      </c>
      <c r="K69" s="92" t="str">
        <f t="shared" si="81"/>
        <v>4025/4026</v>
      </c>
      <c r="L69" s="21" t="str">
        <f>VLOOKUP(A69,'Trips&amp;Operators'!$C$1:$G$99999,5,FALSE)</f>
        <v>MENGES BRAD</v>
      </c>
      <c r="M69" s="6">
        <f t="shared" si="82"/>
        <v>2.4907407409045845E-2</v>
      </c>
      <c r="N69" s="7">
        <f t="shared" si="97"/>
        <v>35.866666669026017</v>
      </c>
      <c r="O69" s="7"/>
      <c r="P69" s="7"/>
      <c r="Q69" s="22"/>
      <c r="R69" s="191"/>
      <c r="S69" s="197">
        <f t="shared" si="84"/>
        <v>1</v>
      </c>
      <c r="T69" s="191" t="str">
        <f t="shared" si="85"/>
        <v>NorthBound</v>
      </c>
      <c r="U69" s="19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2" t="str">
        <f t="shared" si="5"/>
        <v>https://d0f6bd738d7f1b3e5a7ca70fe4ff75f0.us-east-1.aws.found.io/app/kibana#/discover/Steve-Slow-Train-Analysis-(2080s-and-2083s)?_g=(refreshInterval:(display:Off,pause:!f,section:0,value:0),time:(from:'2017-04-24T09:39:19-0600',mode:absolute,to:'2017-04-24T12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9" s="193" t="str">
        <f t="shared" si="86"/>
        <v>N</v>
      </c>
      <c r="X69" s="193">
        <f t="shared" si="92"/>
        <v>1</v>
      </c>
      <c r="Y69" s="193">
        <f t="shared" si="98"/>
        <v>4.58E-2</v>
      </c>
      <c r="Z69" s="193">
        <f t="shared" si="99"/>
        <v>23.3308</v>
      </c>
      <c r="AA69" s="193">
        <f t="shared" si="89"/>
        <v>23.285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90"/>
        <v>0157-24</v>
      </c>
      <c r="AE69" s="80" t="str">
        <f t="shared" si="11"/>
        <v>aws s3 cp s3://rtdc.mdm.uploadarchive.raw/RTDC4026/ "%USERPROFILE%\AppData\Local\Temp\OnboardLogs"\RTDC4026\2017-04-24 --exclude "*" --recursive --include "*20170424*" &amp; "%USERPROFILE%\Documents\GitHub\mrs-test-scripts\Headless Mode &amp; Sideloading\WalkAndUnGZ.bat" "%USERPROFILE%\AppData\Local\Temp\OnboardLogs"\RTDC4026\2017-04-24 &amp; aws s3 cp s3://rtdc.mdm.uploadarchive.raw/RTDC4026/ "%USERPROFILE%\AppData\Local\Temp\OnboardLogs"\RTDC4026\2017-04-25 --exclude "*" --recursive --include "*20170425*" &amp; "%USERPROFILE%\Documents\GitHub\mrs-test-scripts\Headless Mode &amp; Sideloading\WalkAndUnGZ.bat" "%USERPROFILE%\AppData\Local\Temp\OnboardLogs"\RTDC4026\2017-04-25</v>
      </c>
      <c r="AF69" s="77" t="str">
        <f t="shared" si="12"/>
        <v>"C:\Program Files (x86)\AstroGrep\AstroGrep.exe" /e /r /s /spath="%USERPROFILE%\AppData\Local\Temp\OnboardLogs" /stypes="app*4026*20170424*" /stext=" 17:.+((SYSTEM_STATE.+slice.+state.+changed )|(ment ac)|(multiple cpu faults)|(system.+state.+changed )|(\[timeout)|(PRM\|1\|D)|(kpr)|(kdp)|(train.+moving)|(\|lc)|(penalty))"</v>
      </c>
      <c r="AG69" s="1" t="str">
        <f t="shared" si="91"/>
        <v>EC</v>
      </c>
      <c r="AH69" s="81" t="str">
        <f t="shared" si="18"/>
        <v>"%USERPROFILE%\Documents\GitHub\eaglep3\Utilities\RefineRTDCRunTimes.py" --tripid 157-24 --locoid 4026 --swversion DE.1.0.9.0 --startMP 204:458 --initTime 2017-04-24T10:39:19 --startdatetime 2017-04-24T10:45:19 --delay 1 --endMP 204:233308 --enddatetime 2017-04-24T11:21:11 --enforcementcount 0 &gt;&gt;C:\Users\stu\Documents\GitHub\eaglep3-reporting\EC\2017-04-24-refined-times.txt</v>
      </c>
      <c r="AI69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{"issue":{"subject":"","project_id":79,"tracker_id":40,"status_id":1,"priority_id":2,"assigned_to_id":23,"start_date":"2017-04-24","description":"","custom_fields":[{"id":1,"name":"Subdivision","value":"EC"},{"id":4,"name":"Milepost","value":"23.3308"},{"id":17,"name":"Train ID","value":"157-24"},{"id":16,"name":"Locomotive ID","value":"4026"},{"id":130,"name":"Impact","value":""},{"id":150,"name":"Time of Event (Mountain Time)","value":"11:21:11"},{"id":151,"name":"Denver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0"/>
        <v>start /low /b %USERPROFILE%\Documents\GitHub\eaglep3\Utilities\DownloadLogsFromS3.py --loco 4026 --day 2017-04-24</v>
      </c>
      <c r="AN69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17:21:11"},{"id":29,"name":"Sharepoint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557</v>
      </c>
      <c r="B70" s="7">
        <v>4025</v>
      </c>
      <c r="C70" s="21" t="s">
        <v>212</v>
      </c>
      <c r="D70" s="21" t="s">
        <v>375</v>
      </c>
      <c r="E70" s="13">
        <v>42849.481805555559</v>
      </c>
      <c r="F70" s="13">
        <v>42849.487002314818</v>
      </c>
      <c r="G70" s="7">
        <v>1</v>
      </c>
      <c r="H70" s="21" t="s">
        <v>811</v>
      </c>
      <c r="I70" s="13">
        <v>42849.515231481484</v>
      </c>
      <c r="J70" s="7">
        <v>0</v>
      </c>
      <c r="K70" s="92" t="str">
        <f t="shared" si="81"/>
        <v>4025/4026</v>
      </c>
      <c r="L70" s="21" t="str">
        <f>VLOOKUP(A70,'Trips&amp;Operators'!$C$1:$G$99999,5,FALSE)</f>
        <v>MENGES BRAD</v>
      </c>
      <c r="M70" s="6">
        <f t="shared" si="82"/>
        <v>2.8229166666278616E-2</v>
      </c>
      <c r="N70" s="7">
        <f t="shared" si="97"/>
        <v>40.649999999441206</v>
      </c>
      <c r="O70" s="7"/>
      <c r="P70" s="7"/>
      <c r="Q70" s="22"/>
      <c r="R70" s="191"/>
      <c r="S70" s="197">
        <f t="shared" si="84"/>
        <v>1</v>
      </c>
      <c r="T70" s="191" t="str">
        <f t="shared" si="85"/>
        <v>Southbound</v>
      </c>
      <c r="U70" s="19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2" t="str">
        <f t="shared" si="5"/>
        <v>https://d0f6bd738d7f1b3e5a7ca70fe4ff75f0.us-east-1.aws.found.io/app/kibana#/discover/Steve-Slow-Train-Analysis-(2080s-and-2083s)?_g=(refreshInterval:(display:Off,pause:!f,section:0,value:0),time:(from:'2017-04-24T10:33:48-0600',mode:absolute,to:'2017-04-24T13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0" s="193" t="str">
        <f t="shared" si="86"/>
        <v>N</v>
      </c>
      <c r="X70" s="193">
        <f t="shared" si="92"/>
        <v>1</v>
      </c>
      <c r="Y70" s="193">
        <f t="shared" si="98"/>
        <v>23.297699999999999</v>
      </c>
      <c r="Z70" s="193">
        <f t="shared" si="99"/>
        <v>1.7399999999999999E-2</v>
      </c>
      <c r="AA70" s="193">
        <f t="shared" si="89"/>
        <v>23.2803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90"/>
        <v>0158-24</v>
      </c>
      <c r="AE70" s="80" t="str">
        <f t="shared" si="11"/>
        <v>aws s3 cp s3://rtdc.mdm.uploadarchive.raw/RTDC4025/ "%USERPROFILE%\AppData\Local\Temp\OnboardLogs"\RTDC4025\2017-04-24 --exclude "*" --recursive --include "*20170424*" &amp; "%USERPROFILE%\Documents\GitHub\mrs-test-scripts\Headless Mode &amp; Sideloading\WalkAndUnGZ.bat" "%USERPROFILE%\AppData\Local\Temp\OnboardLogs"\RTDC4025\2017-04-24 &amp; aws s3 cp s3://rtdc.mdm.uploadarchive.raw/RTDC4025/ "%USERPROFILE%\AppData\Local\Temp\OnboardLogs"\RTDC4025\2017-04-25 --exclude "*" --recursive --include "*20170425*" &amp; "%USERPROFILE%\Documents\GitHub\mrs-test-scripts\Headless Mode &amp; Sideloading\WalkAndUnGZ.bat" "%USERPROFILE%\AppData\Local\Temp\OnboardLogs"\RTDC4025\2017-04-25</v>
      </c>
      <c r="AF70" s="77" t="str">
        <f t="shared" si="12"/>
        <v>"C:\Program Files (x86)\AstroGrep\AstroGrep.exe" /e /r /s /spath="%USERPROFILE%\AppData\Local\Temp\OnboardLogs" /stypes="app*4025*20170424*" /stext=" 18:.+((SYSTEM_STATE.+slice.+state.+changed )|(ment ac)|(multiple cpu faults)|(system.+state.+changed )|(\[timeout)|(PRM\|1\|D)|(kpr)|(kdp)|(train.+moving)|(\|lc)|(penalty))"</v>
      </c>
      <c r="AG70" s="1" t="str">
        <f t="shared" si="91"/>
        <v>EC</v>
      </c>
      <c r="AH70" s="81" t="str">
        <f t="shared" si="18"/>
        <v>"%USERPROFILE%\Documents\GitHub\eaglep3\Utilities\RefineRTDCRunTimes.py" --tripid 158-24 --locoid 4025 --swversion DE.1.0.9.0 --startMP 204:232977 --initTime 2017-04-24T11:33:48 --startdatetime 2017-04-24T11:41:17 --delay 1 --endMP 204:174 --enddatetime 2017-04-24T12:21:56 --enforcementcount 0 &gt;&gt;C:\Users\stu\Documents\GitHub\eaglep3-reporting\EC\2017-04-24-refined-times.txt</v>
      </c>
      <c r="AI70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{"issue":{"subject":"","project_id":79,"tracker_id":40,"status_id":1,"priority_id":2,"assigned_to_id":23,"start_date":"2017-04-24","description":"","custom_fields":[{"id":1,"name":"Subdivision","value":"EC"},{"id":4,"name":"Milepost","value":"0.0174"},{"id":17,"name":"Train ID","value":"158-24"},{"id":16,"name":"Locomotive ID","value":"4025"},{"id":130,"name":"Impact","value":""},{"id":150,"name":"Time of Event (Mountain Time)","value":"12:21:56"},{"id":151,"name":"Denver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0"/>
        <v>start /low /b %USERPROFILE%\Documents\GitHub\eaglep3\Utilities\DownloadLogsFromS3.py --loco 4025 --day 2017-04-24</v>
      </c>
      <c r="AN70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18:21:56"},{"id":29,"name":"Sharepoint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671</v>
      </c>
      <c r="B71" s="7">
        <v>4040</v>
      </c>
      <c r="C71" s="21" t="s">
        <v>212</v>
      </c>
      <c r="D71" s="21" t="s">
        <v>204</v>
      </c>
      <c r="E71" s="13">
        <v>42849.455127314817</v>
      </c>
      <c r="F71" s="13">
        <v>42849.458506944444</v>
      </c>
      <c r="G71" s="7">
        <v>3</v>
      </c>
      <c r="H71" s="21" t="s">
        <v>796</v>
      </c>
      <c r="I71" s="13">
        <v>42849.483182870368</v>
      </c>
      <c r="J71" s="7">
        <v>0</v>
      </c>
      <c r="K71" s="92" t="str">
        <f t="shared" si="81"/>
        <v>4039/4040</v>
      </c>
      <c r="L71" s="21" t="str">
        <f>VLOOKUP(A71,'Trips&amp;Operators'!$C$1:$G$99999,5,FALSE)</f>
        <v>STEWART MICHAEL</v>
      </c>
      <c r="M71" s="6">
        <f t="shared" si="82"/>
        <v>2.4675925924384501E-2</v>
      </c>
      <c r="N71" s="7">
        <f t="shared" si="97"/>
        <v>35.533333331113681</v>
      </c>
      <c r="O71" s="7"/>
      <c r="P71" s="7"/>
      <c r="Q71" s="22"/>
      <c r="R71" s="191"/>
      <c r="S71" s="197">
        <f t="shared" si="84"/>
        <v>1</v>
      </c>
      <c r="T71" s="191" t="str">
        <f t="shared" si="85"/>
        <v>NorthBound</v>
      </c>
      <c r="U71" s="19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2" t="str">
        <f t="shared" si="5"/>
        <v>https://d0f6bd738d7f1b3e5a7ca70fe4ff75f0.us-east-1.aws.found.io/app/kibana#/discover/Steve-Slow-Train-Analysis-(2080s-and-2083s)?_g=(refreshInterval:(display:Off,pause:!f,section:0,value:0),time:(from:'2017-04-24T09:55:23-0600',mode:absolute,to:'2017-04-24T12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1" s="193" t="str">
        <f t="shared" si="86"/>
        <v>N</v>
      </c>
      <c r="X71" s="193">
        <f t="shared" si="92"/>
        <v>1</v>
      </c>
      <c r="Y71" s="193">
        <f t="shared" si="98"/>
        <v>4.5699999999999998E-2</v>
      </c>
      <c r="Z71" s="193">
        <f t="shared" si="99"/>
        <v>23.328399999999998</v>
      </c>
      <c r="AA71" s="193">
        <f t="shared" si="89"/>
        <v>23.282699999999998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90"/>
        <v>0159-24</v>
      </c>
      <c r="AE71" s="80" t="str">
        <f t="shared" si="11"/>
        <v>aws s3 cp s3://rtdc.mdm.uploadarchive.raw/RTDC4040/ "%USERPROFILE%\AppData\Local\Temp\OnboardLogs"\RTDC4040\2017-04-24 --exclude "*" --recursive --include "*20170424*" &amp; "%USERPROFILE%\Documents\GitHub\mrs-test-scripts\Headless Mode &amp; Sideloading\WalkAndUnGZ.bat" "%USERPROFILE%\AppData\Local\Temp\OnboardLogs"\RTDC4040\2017-04-24 &amp; aws s3 cp s3://rtdc.mdm.uploadarchive.raw/RTDC4040/ "%USERPROFILE%\AppData\Local\Temp\OnboardLogs"\RTDC4040\2017-04-25 --exclude "*" --recursive --include "*20170425*" &amp; "%USERPROFILE%\Documents\GitHub\mrs-test-scripts\Headless Mode &amp; Sideloading\WalkAndUnGZ.bat" "%USERPROFILE%\AppData\Local\Temp\OnboardLogs"\RTDC4040\2017-04-25</v>
      </c>
      <c r="AF71" s="77" t="str">
        <f t="shared" si="12"/>
        <v>"C:\Program Files (x86)\AstroGrep\AstroGrep.exe" /e /r /s /spath="%USERPROFILE%\AppData\Local\Temp\OnboardLogs" /stypes="app*4040*20170424*" /stext=" 17:.+((SYSTEM_STATE.+slice.+state.+changed )|(ment ac)|(multiple cpu faults)|(system.+state.+changed )|(\[timeout)|(PRM\|1\|D)|(kpr)|(kdp)|(train.+moving)|(\|lc)|(penalty))"</v>
      </c>
      <c r="AG71" s="1" t="str">
        <f t="shared" si="91"/>
        <v>EC</v>
      </c>
      <c r="AH71" s="81" t="str">
        <f t="shared" si="18"/>
        <v>"%USERPROFILE%\Documents\GitHub\eaglep3\Utilities\RefineRTDCRunTimes.py" --tripid 159-24 --locoid 4040 --swversion DE.1.0.9.0 --startMP 204:457 --initTime 2017-04-24T10:55:23 --startdatetime 2017-04-24T11:00:15 --delay 3 --endMP 204:233284 --enddatetime 2017-04-24T11:35:47 --enforcementcount 0 &gt;&gt;C:\Users\stu\Documents\GitHub\eaglep3-reporting\EC\2017-04-24-refined-times.txt</v>
      </c>
      <c r="AI71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{"issue":{"subject":"","project_id":79,"tracker_id":40,"status_id":1,"priority_id":2,"assigned_to_id":23,"start_date":"2017-04-24","description":"","custom_fields":[{"id":1,"name":"Subdivision","value":"EC"},{"id":4,"name":"Milepost","value":"23.3284"},{"id":17,"name":"Train ID","value":"159-24"},{"id":16,"name":"Locomotive ID","value":"4040"},{"id":130,"name":"Impact","value":""},{"id":150,"name":"Time of Event (Mountain Time)","value":"11:35:47"},{"id":151,"name":"Denver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0"/>
        <v>start /low /b %USERPROFILE%\Documents\GitHub\eaglep3\Utilities\DownloadLogsFromS3.py --loco 4040 --day 2017-04-24</v>
      </c>
      <c r="AN71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17:35:47"},{"id":29,"name":"Sharepoint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682</v>
      </c>
      <c r="B72" s="7">
        <v>4039</v>
      </c>
      <c r="C72" s="21" t="s">
        <v>212</v>
      </c>
      <c r="D72" s="21" t="s">
        <v>480</v>
      </c>
      <c r="E72" s="13">
        <v>42849.493333333332</v>
      </c>
      <c r="F72" s="13">
        <v>42849.497453703705</v>
      </c>
      <c r="G72" s="7">
        <v>2</v>
      </c>
      <c r="H72" s="21" t="s">
        <v>390</v>
      </c>
      <c r="I72" s="13">
        <v>42849.524837962963</v>
      </c>
      <c r="J72" s="7">
        <v>0</v>
      </c>
      <c r="K72" s="92" t="str">
        <f t="shared" si="81"/>
        <v>4039/4040</v>
      </c>
      <c r="L72" s="21" t="str">
        <f>VLOOKUP(A72,'Trips&amp;Operators'!$C$1:$G$99999,5,FALSE)</f>
        <v>STEWART MICHAEL</v>
      </c>
      <c r="M72" s="6">
        <f t="shared" si="82"/>
        <v>2.7384259257814847E-2</v>
      </c>
      <c r="N72" s="7">
        <f t="shared" si="97"/>
        <v>39.43333333125338</v>
      </c>
      <c r="O72" s="7"/>
      <c r="P72" s="7"/>
      <c r="Q72" s="22"/>
      <c r="R72" s="191"/>
      <c r="S72" s="197">
        <f t="shared" si="84"/>
        <v>1</v>
      </c>
      <c r="T72" s="191" t="str">
        <f t="shared" si="85"/>
        <v>Southbound</v>
      </c>
      <c r="U72" s="19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2" t="str">
        <f t="shared" si="5"/>
        <v>https://d0f6bd738d7f1b3e5a7ca70fe4ff75f0.us-east-1.aws.found.io/app/kibana#/discover/Steve-Slow-Train-Analysis-(2080s-and-2083s)?_g=(refreshInterval:(display:Off,pause:!f,section:0,value:0),time:(from:'2017-04-24T10:50:24-0600',mode:absolute,to:'2017-04-24T13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2" s="193" t="str">
        <f t="shared" si="86"/>
        <v>N</v>
      </c>
      <c r="X72" s="193">
        <f t="shared" si="92"/>
        <v>1</v>
      </c>
      <c r="Y72" s="193">
        <f t="shared" si="98"/>
        <v>23.296500000000002</v>
      </c>
      <c r="Z72" s="193">
        <f t="shared" si="99"/>
        <v>1.6E-2</v>
      </c>
      <c r="AA72" s="193">
        <f t="shared" si="89"/>
        <v>23.280500000000004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90"/>
        <v>0160-24</v>
      </c>
      <c r="AE72" s="80" t="str">
        <f t="shared" si="11"/>
        <v>aws s3 cp s3://rtdc.mdm.uploadarchive.raw/RTDC4039/ "%USERPROFILE%\AppData\Local\Temp\OnboardLogs"\RTDC4039\2017-04-24 --exclude "*" --recursive --include "*20170424*" &amp; "%USERPROFILE%\Documents\GitHub\mrs-test-scripts\Headless Mode &amp; Sideloading\WalkAndUnGZ.bat" "%USERPROFILE%\AppData\Local\Temp\OnboardLogs"\RTDC4039\2017-04-24 &amp; aws s3 cp s3://rtdc.mdm.uploadarchive.raw/RTDC4039/ "%USERPROFILE%\AppData\Local\Temp\OnboardLogs"\RTDC4039\2017-04-25 --exclude "*" --recursive --include "*20170425*" &amp; "%USERPROFILE%\Documents\GitHub\mrs-test-scripts\Headless Mode &amp; Sideloading\WalkAndUnGZ.bat" "%USERPROFILE%\AppData\Local\Temp\OnboardLogs"\RTDC4039\2017-04-25</v>
      </c>
      <c r="AF72" s="77" t="str">
        <f t="shared" si="12"/>
        <v>"C:\Program Files (x86)\AstroGrep\AstroGrep.exe" /e /r /s /spath="%USERPROFILE%\AppData\Local\Temp\OnboardLogs" /stypes="app*4039*20170424*" /stext=" 18:.+((SYSTEM_STATE.+slice.+state.+changed )|(ment ac)|(multiple cpu faults)|(system.+state.+changed )|(\[timeout)|(PRM\|1\|D)|(kpr)|(kdp)|(train.+moving)|(\|lc)|(penalty))"</v>
      </c>
      <c r="AG72" s="1" t="str">
        <f t="shared" si="91"/>
        <v>EC</v>
      </c>
      <c r="AH72" s="81" t="str">
        <f t="shared" si="18"/>
        <v>"%USERPROFILE%\Documents\GitHub\eaglep3\Utilities\RefineRTDCRunTimes.py" --tripid 160-24 --locoid 4039 --swversion DE.1.0.9.0 --startMP 204:232965 --initTime 2017-04-24T11:50:24 --startdatetime 2017-04-24T11:56:20 --delay 2 --endMP 204:160 --enddatetime 2017-04-24T12:35:46 --enforcementcount 0 &gt;&gt;C:\Users\stu\Documents\GitHub\eaglep3-reporting\EC\2017-04-24-refined-times.txt</v>
      </c>
      <c r="AI72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{"issue":{"subject":"","project_id":79,"tracker_id":40,"status_id":1,"priority_id":2,"assigned_to_id":23,"start_date":"2017-04-24","description":"","custom_fields":[{"id":1,"name":"Subdivision","value":"EC"},{"id":4,"name":"Milepost","value":"0.016"},{"id":17,"name":"Train ID","value":"160-24"},{"id":16,"name":"Locomotive ID","value":"4039"},{"id":130,"name":"Impact","value":""},{"id":150,"name":"Time of Event (Mountain Time)","value":"12:35:46"},{"id":151,"name":"Denver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0"/>
        <v>start /low /b %USERPROFILE%\Documents\GitHub\eaglep3\Utilities\DownloadLogsFromS3.py --loco 4039 --day 2017-04-24</v>
      </c>
      <c r="AN72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18:35:46"},{"id":29,"name":"Sharepoint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672</v>
      </c>
      <c r="B73" s="7">
        <v>4012</v>
      </c>
      <c r="C73" s="21" t="s">
        <v>212</v>
      </c>
      <c r="D73" s="21" t="s">
        <v>412</v>
      </c>
      <c r="E73" s="13">
        <v>42849.466504629629</v>
      </c>
      <c r="F73" s="13">
        <v>42849.469108796293</v>
      </c>
      <c r="G73" s="7">
        <v>1</v>
      </c>
      <c r="H73" s="21" t="s">
        <v>430</v>
      </c>
      <c r="I73" s="13">
        <v>42849.495347222219</v>
      </c>
      <c r="J73" s="7">
        <v>0</v>
      </c>
      <c r="K73" s="92" t="str">
        <f t="shared" si="81"/>
        <v>4011/4012</v>
      </c>
      <c r="L73" s="21" t="str">
        <f>VLOOKUP(A73,'Trips&amp;Operators'!$C$1:$G$99999,5,FALSE)</f>
        <v>DAVIS MICHAEL</v>
      </c>
      <c r="M73" s="6">
        <f t="shared" si="82"/>
        <v>2.6238425925839692E-2</v>
      </c>
      <c r="N73" s="7">
        <f t="shared" si="97"/>
        <v>37.783333333209157</v>
      </c>
      <c r="O73" s="7"/>
      <c r="P73" s="7"/>
      <c r="Q73" s="22"/>
      <c r="R73" s="191"/>
      <c r="S73" s="197">
        <f t="shared" si="84"/>
        <v>1</v>
      </c>
      <c r="T73" s="191" t="str">
        <f t="shared" si="85"/>
        <v>NorthBound</v>
      </c>
      <c r="U73" s="19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2" t="str">
        <f t="shared" si="5"/>
        <v>https://d0f6bd738d7f1b3e5a7ca70fe4ff75f0.us-east-1.aws.found.io/app/kibana#/discover/Steve-Slow-Train-Analysis-(2080s-and-2083s)?_g=(refreshInterval:(display:Off,pause:!f,section:0,value:0),time:(from:'2017-04-24T10:11:46-0600',mode:absolute,to:'2017-04-24T12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3" s="193" t="str">
        <f t="shared" si="86"/>
        <v>N</v>
      </c>
      <c r="X73" s="193">
        <f t="shared" si="92"/>
        <v>1</v>
      </c>
      <c r="Y73" s="193">
        <f t="shared" si="98"/>
        <v>4.6699999999999998E-2</v>
      </c>
      <c r="Z73" s="193">
        <f t="shared" si="99"/>
        <v>23.331499999999998</v>
      </c>
      <c r="AA73" s="193">
        <f t="shared" si="89"/>
        <v>23.284799999999997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90"/>
        <v>0161-24</v>
      </c>
      <c r="AE73" s="80" t="str">
        <f t="shared" si="11"/>
        <v>aws s3 cp s3://rtdc.mdm.uploadarchive.raw/RTDC4012/ "%USERPROFILE%\AppData\Local\Temp\OnboardLogs"\RTDC4012\2017-04-24 --exclude "*" --recursive --include "*20170424*" &amp; "%USERPROFILE%\Documents\GitHub\mrs-test-scripts\Headless Mode &amp; Sideloading\WalkAndUnGZ.bat" "%USERPROFILE%\AppData\Local\Temp\OnboardLogs"\RTDC4012\2017-04-24 &amp; aws s3 cp s3://rtdc.mdm.uploadarchive.raw/RTDC4012/ "%USERPROFILE%\AppData\Local\Temp\OnboardLogs"\RTDC4012\2017-04-25 --exclude "*" --recursive --include "*20170425*" &amp; "%USERPROFILE%\Documents\GitHub\mrs-test-scripts\Headless Mode &amp; Sideloading\WalkAndUnGZ.bat" "%USERPROFILE%\AppData\Local\Temp\OnboardLogs"\RTDC4012\2017-04-25</v>
      </c>
      <c r="AF73" s="77" t="str">
        <f t="shared" si="12"/>
        <v>"C:\Program Files (x86)\AstroGrep\AstroGrep.exe" /e /r /s /spath="%USERPROFILE%\AppData\Local\Temp\OnboardLogs" /stypes="app*4012*20170424*" /stext=" 17:.+((SYSTEM_STATE.+slice.+state.+changed )|(ment ac)|(multiple cpu faults)|(system.+state.+changed )|(\[timeout)|(PRM\|1\|D)|(kpr)|(kdp)|(train.+moving)|(\|lc)|(penalty))"</v>
      </c>
      <c r="AG73" s="1" t="str">
        <f t="shared" si="91"/>
        <v>EC</v>
      </c>
      <c r="AH73" s="81" t="str">
        <f t="shared" si="18"/>
        <v>"%USERPROFILE%\Documents\GitHub\eaglep3\Utilities\RefineRTDCRunTimes.py" --tripid 161-24 --locoid 4012 --swversion DE.1.0.9.0 --startMP 204:467 --initTime 2017-04-24T11:11:46 --startdatetime 2017-04-24T11:15:31 --delay 1 --endMP 204:233315 --enddatetime 2017-04-24T11:53:18 --enforcementcount 0 &gt;&gt;C:\Users\stu\Documents\GitHub\eaglep3-reporting\EC\2017-04-24-refined-times.txt</v>
      </c>
      <c r="AI73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{"issue":{"subject":"","project_id":79,"tracker_id":40,"status_id":1,"priority_id":2,"assigned_to_id":23,"start_date":"2017-04-24","description":"","custom_fields":[{"id":1,"name":"Subdivision","value":"EC"},{"id":4,"name":"Milepost","value":"23.3315"},{"id":17,"name":"Train ID","value":"161-24"},{"id":16,"name":"Locomotive ID","value":"4012"},{"id":130,"name":"Impact","value":""},{"id":150,"name":"Time of Event (Mountain Time)","value":"11:53:18"},{"id":151,"name":"Denver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0"/>
        <v>start /low /b %USERPROFILE%\Documents\GitHub\eaglep3\Utilities\DownloadLogsFromS3.py --loco 4012 --day 2017-04-24</v>
      </c>
      <c r="AN73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17:53:18"},{"id":29,"name":"Sharepoint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684</v>
      </c>
      <c r="B74" s="7">
        <v>4011</v>
      </c>
      <c r="C74" s="21" t="s">
        <v>212</v>
      </c>
      <c r="D74" s="21" t="s">
        <v>452</v>
      </c>
      <c r="E74" s="13">
        <v>42849.504849537036</v>
      </c>
      <c r="F74" s="13">
        <v>42849.5080787037</v>
      </c>
      <c r="G74" s="7">
        <v>1</v>
      </c>
      <c r="H74" s="21" t="s">
        <v>197</v>
      </c>
      <c r="I74" s="13">
        <v>42849.535636574074</v>
      </c>
      <c r="J74" s="7">
        <v>0</v>
      </c>
      <c r="K74" s="92" t="str">
        <f t="shared" si="81"/>
        <v>4011/4012</v>
      </c>
      <c r="L74" s="21" t="str">
        <f>VLOOKUP(A74,'Trips&amp;Operators'!$C$1:$G$99999,5,FALSE)</f>
        <v>DAVIS MICHAEL</v>
      </c>
      <c r="M74" s="6">
        <f t="shared" si="82"/>
        <v>2.7557870373129845E-2</v>
      </c>
      <c r="N74" s="7">
        <f t="shared" si="97"/>
        <v>39.683333337306976</v>
      </c>
      <c r="O74" s="7"/>
      <c r="P74" s="7"/>
      <c r="Q74" s="22"/>
      <c r="R74" s="191"/>
      <c r="S74" s="197">
        <f t="shared" si="84"/>
        <v>1</v>
      </c>
      <c r="T74" s="191" t="str">
        <f t="shared" si="85"/>
        <v>Southbound</v>
      </c>
      <c r="U74" s="19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2" t="str">
        <f t="shared" si="5"/>
        <v>https://d0f6bd738d7f1b3e5a7ca70fe4ff75f0.us-east-1.aws.found.io/app/kibana#/discover/Steve-Slow-Train-Analysis-(2080s-and-2083s)?_g=(refreshInterval:(display:Off,pause:!f,section:0,value:0),time:(from:'2017-04-24T11:06:59-0600',mode:absolute,to:'2017-04-24T13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4" s="193" t="str">
        <f t="shared" si="86"/>
        <v>N</v>
      </c>
      <c r="X74" s="193">
        <f t="shared" si="92"/>
        <v>1</v>
      </c>
      <c r="Y74" s="193">
        <f t="shared" si="98"/>
        <v>23.299399999999999</v>
      </c>
      <c r="Z74" s="193">
        <f t="shared" si="99"/>
        <v>1.52E-2</v>
      </c>
      <c r="AA74" s="193">
        <f t="shared" si="89"/>
        <v>23.284199999999998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90"/>
        <v>0162-24</v>
      </c>
      <c r="AE74" s="80" t="str">
        <f t="shared" si="11"/>
        <v>aws s3 cp s3://rtdc.mdm.uploadarchive.raw/RTDC4011/ "%USERPROFILE%\AppData\Local\Temp\OnboardLogs"\RTDC4011\2017-04-24 --exclude "*" --recursive --include "*20170424*" &amp; "%USERPROFILE%\Documents\GitHub\mrs-test-scripts\Headless Mode &amp; Sideloading\WalkAndUnGZ.bat" "%USERPROFILE%\AppData\Local\Temp\OnboardLogs"\RTDC4011\2017-04-24 &amp; aws s3 cp s3://rtdc.mdm.uploadarchive.raw/RTDC4011/ "%USERPROFILE%\AppData\Local\Temp\OnboardLogs"\RTDC4011\2017-04-25 --exclude "*" --recursive --include "*20170425*" &amp; "%USERPROFILE%\Documents\GitHub\mrs-test-scripts\Headless Mode &amp; Sideloading\WalkAndUnGZ.bat" "%USERPROFILE%\AppData\Local\Temp\OnboardLogs"\RTDC4011\2017-04-25</v>
      </c>
      <c r="AF74" s="77" t="str">
        <f t="shared" si="12"/>
        <v>"C:\Program Files (x86)\AstroGrep\AstroGrep.exe" /e /r /s /spath="%USERPROFILE%\AppData\Local\Temp\OnboardLogs" /stypes="app*4011*20170424*" /stext=" 18:.+((SYSTEM_STATE.+slice.+state.+changed )|(ment ac)|(multiple cpu faults)|(system.+state.+changed )|(\[timeout)|(PRM\|1\|D)|(kpr)|(kdp)|(train.+moving)|(\|lc)|(penalty))"</v>
      </c>
      <c r="AG74" s="1" t="str">
        <f t="shared" si="91"/>
        <v>EC</v>
      </c>
      <c r="AH74" s="81" t="str">
        <f t="shared" si="18"/>
        <v>"%USERPROFILE%\Documents\GitHub\eaglep3\Utilities\RefineRTDCRunTimes.py" --tripid 162-24 --locoid 4011 --swversion DE.1.0.9.0 --startMP 204:232994 --initTime 2017-04-24T12:06:59 --startdatetime 2017-04-24T12:11:38 --delay 1 --endMP 204:152 --enddatetime 2017-04-24T12:51:19 --enforcementcount 0 &gt;&gt;C:\Users\stu\Documents\GitHub\eaglep3-reporting\EC\2017-04-24-refined-times.txt</v>
      </c>
      <c r="AI74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{"issue":{"subject":"","project_id":79,"tracker_id":40,"status_id":1,"priority_id":2,"assigned_to_id":23,"start_date":"2017-04-24","description":"","custom_fields":[{"id":1,"name":"Subdivision","value":"EC"},{"id":4,"name":"Milepost","value":"0.0152"},{"id":17,"name":"Train ID","value":"162-24"},{"id":16,"name":"Locomotive ID","value":"4011"},{"id":130,"name":"Impact","value":""},{"id":150,"name":"Time of Event (Mountain Time)","value":"12:51:19"},{"id":151,"name":"Denver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0"/>
        <v>start /low /b %USERPROFILE%\Documents\GitHub\eaglep3\Utilities\DownloadLogsFromS3.py --loco 4011 --day 2017-04-24</v>
      </c>
      <c r="AN74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18:51:19"},{"id":29,"name":"Sharepoint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675</v>
      </c>
      <c r="B75" s="7">
        <v>4028</v>
      </c>
      <c r="C75" s="21" t="s">
        <v>212</v>
      </c>
      <c r="D75" s="21" t="s">
        <v>453</v>
      </c>
      <c r="E75" s="13">
        <v>42849.474247685182</v>
      </c>
      <c r="F75" s="13">
        <v>42849.479317129626</v>
      </c>
      <c r="G75" s="7">
        <v>1</v>
      </c>
      <c r="H75" s="21" t="s">
        <v>482</v>
      </c>
      <c r="I75" s="13">
        <v>42849.504884259259</v>
      </c>
      <c r="J75" s="7">
        <v>0</v>
      </c>
      <c r="K75" s="92" t="str">
        <f t="shared" si="81"/>
        <v>4027/4028</v>
      </c>
      <c r="L75" s="21" t="str">
        <f>VLOOKUP(A75,'Trips&amp;Operators'!$C$1:$G$99999,5,FALSE)</f>
        <v>CLARK KATHLEEN</v>
      </c>
      <c r="M75" s="6">
        <f t="shared" si="82"/>
        <v>2.5567129632690921E-2</v>
      </c>
      <c r="N75" s="7">
        <f t="shared" si="97"/>
        <v>36.816666671074927</v>
      </c>
      <c r="O75" s="7"/>
      <c r="P75" s="7"/>
      <c r="Q75" s="22"/>
      <c r="R75" s="191"/>
      <c r="S75" s="197">
        <f t="shared" si="84"/>
        <v>1</v>
      </c>
      <c r="T75" s="191" t="str">
        <f t="shared" si="85"/>
        <v>NorthBound</v>
      </c>
      <c r="U75" s="19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2" t="str">
        <f t="shared" si="5"/>
        <v>https://d0f6bd738d7f1b3e5a7ca70fe4ff75f0.us-east-1.aws.found.io/app/kibana#/discover/Steve-Slow-Train-Analysis-(2080s-and-2083s)?_g=(refreshInterval:(display:Off,pause:!f,section:0,value:0),time:(from:'2017-04-24T10:22:55-0600',mode:absolute,to:'2017-04-24T13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5" s="193" t="str">
        <f t="shared" si="86"/>
        <v>N</v>
      </c>
      <c r="X75" s="193">
        <f t="shared" si="92"/>
        <v>1</v>
      </c>
      <c r="Y75" s="193">
        <f t="shared" si="98"/>
        <v>4.5100000000000001E-2</v>
      </c>
      <c r="Z75" s="193">
        <f t="shared" si="99"/>
        <v>23.327999999999999</v>
      </c>
      <c r="AA75" s="193">
        <f t="shared" si="89"/>
        <v>23.282899999999998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90"/>
        <v>0163-24</v>
      </c>
      <c r="AE75" s="80" t="str">
        <f t="shared" si="11"/>
        <v>aws s3 cp s3://rtdc.mdm.uploadarchive.raw/RTDC4028/ "%USERPROFILE%\AppData\Local\Temp\OnboardLogs"\RTDC4028\2017-04-24 --exclude "*" --recursive --include "*20170424*" &amp; "%USERPROFILE%\Documents\GitHub\mrs-test-scripts\Headless Mode &amp; Sideloading\WalkAndUnGZ.bat" "%USERPROFILE%\AppData\Local\Temp\OnboardLogs"\RTDC4028\2017-04-24 &amp; aws s3 cp s3://rtdc.mdm.uploadarchive.raw/RTDC4028/ "%USERPROFILE%\AppData\Local\Temp\OnboardLogs"\RTDC4028\2017-04-25 --exclude "*" --recursive --include "*20170425*" &amp; "%USERPROFILE%\Documents\GitHub\mrs-test-scripts\Headless Mode &amp; Sideloading\WalkAndUnGZ.bat" "%USERPROFILE%\AppData\Local\Temp\OnboardLogs"\RTDC4028\2017-04-25</v>
      </c>
      <c r="AF75" s="77" t="str">
        <f t="shared" si="12"/>
        <v>"C:\Program Files (x86)\AstroGrep\AstroGrep.exe" /e /r /s /spath="%USERPROFILE%\AppData\Local\Temp\OnboardLogs" /stypes="app*4028*20170424*" /stext=" 18:.+((SYSTEM_STATE.+slice.+state.+changed )|(ment ac)|(multiple cpu faults)|(system.+state.+changed )|(\[timeout)|(PRM\|1\|D)|(kpr)|(kdp)|(train.+moving)|(\|lc)|(penalty))"</v>
      </c>
      <c r="AG75" s="1" t="str">
        <f t="shared" si="91"/>
        <v>EC</v>
      </c>
      <c r="AH75" s="81" t="str">
        <f t="shared" si="18"/>
        <v>"%USERPROFILE%\Documents\GitHub\eaglep3\Utilities\RefineRTDCRunTimes.py" --tripid 163-24 --locoid 4028 --swversion DE.1.0.9.0 --startMP 204:451 --initTime 2017-04-24T11:22:55 --startdatetime 2017-04-24T11:30:13 --delay 1 --endMP 204:233280 --enddatetime 2017-04-24T12:07:02 --enforcementcount 0 &gt;&gt;C:\Users\stu\Documents\GitHub\eaglep3-reporting\EC\2017-04-24-refined-times.txt</v>
      </c>
      <c r="AI75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{"issue":{"subject":"","project_id":79,"tracker_id":40,"status_id":1,"priority_id":2,"assigned_to_id":23,"start_date":"2017-04-24","description":"","custom_fields":[{"id":1,"name":"Subdivision","value":"EC"},{"id":4,"name":"Milepost","value":"23.328"},{"id":17,"name":"Train ID","value":"163-24"},{"id":16,"name":"Locomotive ID","value":"4028"},{"id":130,"name":"Impact","value":""},{"id":150,"name":"Time of Event (Mountain Time)","value":"12:07:02"},{"id":151,"name":"Denver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0"/>
        <v>start /low /b %USERPROFILE%\Documents\GitHub\eaglep3\Utilities\DownloadLogsFromS3.py --loco 4028 --day 2017-04-24</v>
      </c>
      <c r="AN75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18:07:02"},{"id":29,"name":"Sharepoint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558</v>
      </c>
      <c r="B76" s="7">
        <v>4027</v>
      </c>
      <c r="C76" s="21" t="s">
        <v>212</v>
      </c>
      <c r="D76" s="21" t="s">
        <v>812</v>
      </c>
      <c r="E76" s="13">
        <v>42849.514305555553</v>
      </c>
      <c r="F76" s="13">
        <v>42849.51829861111</v>
      </c>
      <c r="G76" s="7">
        <v>1</v>
      </c>
      <c r="H76" s="21" t="s">
        <v>813</v>
      </c>
      <c r="I76" s="13">
        <v>42849.547060185185</v>
      </c>
      <c r="J76" s="7">
        <v>0</v>
      </c>
      <c r="K76" s="92" t="str">
        <f t="shared" si="81"/>
        <v>4027/4028</v>
      </c>
      <c r="L76" s="21" t="str">
        <f>VLOOKUP(A76,'Trips&amp;Operators'!$C$1:$G$99999,5,FALSE)</f>
        <v>CLARK KATHLEEN</v>
      </c>
      <c r="M76" s="6">
        <f t="shared" si="82"/>
        <v>2.8761574074451346E-2</v>
      </c>
      <c r="N76" s="7">
        <f t="shared" si="97"/>
        <v>41.416666667209938</v>
      </c>
      <c r="O76" s="7"/>
      <c r="P76" s="7"/>
      <c r="Q76" s="22"/>
      <c r="R76" s="191"/>
      <c r="S76" s="197">
        <f t="shared" si="84"/>
        <v>1</v>
      </c>
      <c r="T76" s="191" t="str">
        <f t="shared" si="85"/>
        <v>Southbound</v>
      </c>
      <c r="U76" s="19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2" t="str">
        <f t="shared" si="5"/>
        <v>https://d0f6bd738d7f1b3e5a7ca70fe4ff75f0.us-east-1.aws.found.io/app/kibana#/discover/Steve-Slow-Train-Analysis-(2080s-and-2083s)?_g=(refreshInterval:(display:Off,pause:!f,section:0,value:0),time:(from:'2017-04-24T11:20:36-0600',mode:absolute,to:'2017-04-24T14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6" s="193" t="str">
        <f t="shared" si="86"/>
        <v>N</v>
      </c>
      <c r="X76" s="193">
        <f t="shared" si="92"/>
        <v>1</v>
      </c>
      <c r="Y76" s="193">
        <f t="shared" si="98"/>
        <v>23.2957</v>
      </c>
      <c r="Z76" s="193">
        <f t="shared" si="99"/>
        <v>1.9599999999999999E-2</v>
      </c>
      <c r="AA76" s="193">
        <f t="shared" si="89"/>
        <v>23.2761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90"/>
        <v>0164-24</v>
      </c>
      <c r="AE76" s="80" t="str">
        <f t="shared" si="11"/>
        <v>aws s3 cp s3://rtdc.mdm.uploadarchive.raw/RTDC4027/ "%USERPROFILE%\AppData\Local\Temp\OnboardLogs"\RTDC4027\2017-04-24 --exclude "*" --recursive --include "*20170424*" &amp; "%USERPROFILE%\Documents\GitHub\mrs-test-scripts\Headless Mode &amp; Sideloading\WalkAndUnGZ.bat" "%USERPROFILE%\AppData\Local\Temp\OnboardLogs"\RTDC4027\2017-04-24 &amp; aws s3 cp s3://rtdc.mdm.uploadarchive.raw/RTDC4027/ "%USERPROFILE%\AppData\Local\Temp\OnboardLogs"\RTDC4027\2017-04-25 --exclude "*" --recursive --include "*20170425*" &amp; "%USERPROFILE%\Documents\GitHub\mrs-test-scripts\Headless Mode &amp; Sideloading\WalkAndUnGZ.bat" "%USERPROFILE%\AppData\Local\Temp\OnboardLogs"\RTDC4027\2017-04-25</v>
      </c>
      <c r="AF76" s="77" t="str">
        <f t="shared" si="12"/>
        <v>"C:\Program Files (x86)\AstroGrep\AstroGrep.exe" /e /r /s /spath="%USERPROFILE%\AppData\Local\Temp\OnboardLogs" /stypes="app*4027*20170424*" /stext=" 19:.+((SYSTEM_STATE.+slice.+state.+changed )|(ment ac)|(multiple cpu faults)|(system.+state.+changed )|(\[timeout)|(PRM\|1\|D)|(kpr)|(kdp)|(train.+moving)|(\|lc)|(penalty))"</v>
      </c>
      <c r="AG76" s="1" t="str">
        <f t="shared" si="91"/>
        <v>EC</v>
      </c>
      <c r="AH76" s="81" t="str">
        <f t="shared" si="18"/>
        <v>"%USERPROFILE%\Documents\GitHub\eaglep3\Utilities\RefineRTDCRunTimes.py" --tripid 164-24 --locoid 4027 --swversion DE.1.0.9.0 --startMP 204:232957 --initTime 2017-04-24T12:20:36 --startdatetime 2017-04-24T12:26:21 --delay 1 --endMP 204:196 --enddatetime 2017-04-24T13:07:46 --enforcementcount 0 &gt;&gt;C:\Users\stu\Documents\GitHub\eaglep3-reporting\EC\2017-04-24-refined-times.txt</v>
      </c>
      <c r="AI76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{"issue":{"subject":"","project_id":79,"tracker_id":40,"status_id":1,"priority_id":2,"assigned_to_id":23,"start_date":"2017-04-24","description":"","custom_fields":[{"id":1,"name":"Subdivision","value":"EC"},{"id":4,"name":"Milepost","value":"0.0196"},{"id":17,"name":"Train ID","value":"164-24"},{"id":16,"name":"Locomotive ID","value":"4027"},{"id":130,"name":"Impact","value":""},{"id":150,"name":"Time of Event (Mountain Time)","value":"13:07:46"},{"id":151,"name":"Denver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0"/>
        <v>start /low /b %USERPROFILE%\Documents\GitHub\eaglep3\Utilities\DownloadLogsFromS3.py --loco 4027 --day 2017-04-24</v>
      </c>
      <c r="AN76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19:07:46"},{"id":29,"name":"Sharepoint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679</v>
      </c>
      <c r="B77" s="7">
        <v>4030</v>
      </c>
      <c r="C77" s="21" t="s">
        <v>212</v>
      </c>
      <c r="D77" s="21" t="s">
        <v>422</v>
      </c>
      <c r="E77" s="13">
        <v>42849.486319444448</v>
      </c>
      <c r="F77" s="13">
        <v>42849.489918981482</v>
      </c>
      <c r="G77" s="7">
        <v>2</v>
      </c>
      <c r="H77" s="21" t="s">
        <v>814</v>
      </c>
      <c r="I77" s="13">
        <v>42849.514479166668</v>
      </c>
      <c r="J77" s="7">
        <v>0</v>
      </c>
      <c r="K77" s="92" t="str">
        <f t="shared" si="81"/>
        <v>4029/4030</v>
      </c>
      <c r="L77" s="21" t="str">
        <f>VLOOKUP(A77,'Trips&amp;Operators'!$C$1:$G$99999,5,FALSE)</f>
        <v>LAMAR NEKESHA</v>
      </c>
      <c r="M77" s="6">
        <f t="shared" si="82"/>
        <v>2.4560185185691807E-2</v>
      </c>
      <c r="N77" s="7">
        <f t="shared" si="97"/>
        <v>35.366666667396203</v>
      </c>
      <c r="O77" s="7"/>
      <c r="P77" s="7"/>
      <c r="Q77" s="22"/>
      <c r="R77" s="191"/>
      <c r="S77" s="197">
        <f t="shared" si="84"/>
        <v>1</v>
      </c>
      <c r="T77" s="191" t="str">
        <f t="shared" si="85"/>
        <v>NorthBound</v>
      </c>
      <c r="U77" s="19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2" t="str">
        <f t="shared" ref="V77:V140" si="10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-24T10:40:18-0600',mode:absolute,to:'2017-04-24T13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7" s="193" t="str">
        <f t="shared" si="86"/>
        <v>N</v>
      </c>
      <c r="X77" s="193">
        <f t="shared" si="92"/>
        <v>1</v>
      </c>
      <c r="Y77" s="193">
        <f t="shared" si="98"/>
        <v>4.7500000000000001E-2</v>
      </c>
      <c r="Z77" s="193">
        <f t="shared" si="99"/>
        <v>23.340199999999999</v>
      </c>
      <c r="AA77" s="193">
        <f t="shared" si="89"/>
        <v>23.2927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si="90"/>
        <v>0165-24</v>
      </c>
      <c r="AE77" s="80" t="str">
        <f t="shared" ref="AE77:AE140" si="10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s3://rtdc.mdm.uploadarchive.raw/RTDC4030/ "%USERPROFILE%\AppData\Local\Temp\OnboardLogs"\RTDC4030\2017-04-24 --exclude "*" --recursive --include "*20170424*" &amp; "%USERPROFILE%\Documents\GitHub\mrs-test-scripts\Headless Mode &amp; Sideloading\WalkAndUnGZ.bat" "%USERPROFILE%\AppData\Local\Temp\OnboardLogs"\RTDC4030\2017-04-24 &amp; aws s3 cp s3://rtdc.mdm.uploadarchive.raw/RTDC4030/ "%USERPROFILE%\AppData\Local\Temp\OnboardLogs"\RTDC4030\2017-04-25 --exclude "*" --recursive --include "*20170425*" &amp; "%USERPROFILE%\Documents\GitHub\mrs-test-scripts\Headless Mode &amp; Sideloading\WalkAndUnGZ.bat" "%USERPROFILE%\AppData\Local\Temp\OnboardLogs"\RTDC4030\2017-04-25</v>
      </c>
      <c r="AF77" s="77" t="str">
        <f t="shared" ref="AF77:AF140" si="102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/stypes="app*4030*20170424*" /stext=" 18:.+((SYSTEM_STATE.+slice.+state.+changed )|(ment ac)|(multiple cpu faults)|(system.+state.+changed )|(\[timeout)|(PRM\|1\|D)|(kpr)|(kdp)|(train.+moving)|(\|lc)|(penalty))"</v>
      </c>
      <c r="AG77" s="1" t="str">
        <f t="shared" si="91"/>
        <v>EC</v>
      </c>
      <c r="AH77" s="81" t="str">
        <f t="shared" si="18"/>
        <v>"%USERPROFILE%\Documents\GitHub\eaglep3\Utilities\RefineRTDCRunTimes.py" --tripid 165-24 --locoid 4030 --swversion DE.1.0.9.0 --startMP 204:475 --initTime 2017-04-24T11:40:18 --startdatetime 2017-04-24T11:45:29 --delay 2 --endMP 204:233402 --enddatetime 2017-04-24T12:20:51 --enforcementcount 0 &gt;&gt;C:\Users\stu\Documents\GitHub\eaglep3-reporting\EC\2017-04-24-refined-times.txt</v>
      </c>
      <c r="AI77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{"issue":{"subject":"","project_id":79,"tracker_id":40,"status_id":1,"priority_id":2,"assigned_to_id":23,"start_date":"2017-04-24","description":"","custom_fields":[{"id":1,"name":"Subdivision","value":"EC"},{"id":4,"name":"Milepost","value":"23.3402"},{"id":17,"name":"Train ID","value":"165-24"},{"id":16,"name":"Locomotive ID","value":"4030"},{"id":130,"name":"Impact","value":""},{"id":150,"name":"Time of Event (Mountain Time)","value":"12:20:51"},{"id":151,"name":"Denver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0"/>
        <v>start /low /b %USERPROFILE%\Documents\GitHub\eaglep3\Utilities\DownloadLogsFromS3.py --loco 4030 --day 2017-04-24</v>
      </c>
      <c r="AN77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18:20:51"},{"id":29,"name":"Sharepoint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559</v>
      </c>
      <c r="B78" s="7">
        <v>4029</v>
      </c>
      <c r="C78" s="21" t="s">
        <v>212</v>
      </c>
      <c r="D78" s="21" t="s">
        <v>815</v>
      </c>
      <c r="E78" s="13">
        <v>42849.525590277779</v>
      </c>
      <c r="F78" s="13">
        <v>42849.528969907406</v>
      </c>
      <c r="G78" s="7">
        <v>1</v>
      </c>
      <c r="H78" s="21" t="s">
        <v>469</v>
      </c>
      <c r="I78" s="13">
        <v>42849.554386574076</v>
      </c>
      <c r="J78" s="7">
        <v>0</v>
      </c>
      <c r="K78" s="92" t="str">
        <f t="shared" si="81"/>
        <v>4029/4030</v>
      </c>
      <c r="L78" s="21" t="str">
        <f>VLOOKUP(A78,'Trips&amp;Operators'!$C$1:$G$99999,5,FALSE)</f>
        <v>LAMAR NEKESHA</v>
      </c>
      <c r="M78" s="6">
        <f t="shared" si="82"/>
        <v>2.5416666670935228E-2</v>
      </c>
      <c r="N78" s="7">
        <f t="shared" si="97"/>
        <v>36.600000006146729</v>
      </c>
      <c r="O78" s="7"/>
      <c r="P78" s="7"/>
      <c r="Q78" s="22"/>
      <c r="R78" s="191"/>
      <c r="S78" s="197">
        <f t="shared" si="84"/>
        <v>1</v>
      </c>
      <c r="T78" s="191" t="str">
        <f t="shared" si="85"/>
        <v>Southbound</v>
      </c>
      <c r="U78" s="19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2" t="str">
        <f t="shared" si="100"/>
        <v>https://d0f6bd738d7f1b3e5a7ca70fe4ff75f0.us-east-1.aws.found.io/app/kibana#/discover/Steve-Slow-Train-Analysis-(2080s-and-2083s)?_g=(refreshInterval:(display:Off,pause:!f,section:0,value:0),time:(from:'2017-04-24T11:36:51-0600',mode:absolute,to:'2017-04-24T14:18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8" s="193" t="str">
        <f t="shared" si="86"/>
        <v>N</v>
      </c>
      <c r="X78" s="193">
        <f t="shared" si="92"/>
        <v>1</v>
      </c>
      <c r="Y78" s="193">
        <f t="shared" si="98"/>
        <v>23.307700000000001</v>
      </c>
      <c r="Z78" s="193">
        <f t="shared" si="99"/>
        <v>1.32E-2</v>
      </c>
      <c r="AA78" s="193">
        <f t="shared" si="89"/>
        <v>23.294499999999999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90"/>
        <v>0166-24</v>
      </c>
      <c r="AE78" s="80" t="str">
        <f t="shared" si="101"/>
        <v>aws s3 cp s3://rtdc.mdm.uploadarchive.raw/RTDC4029/ "%USERPROFILE%\AppData\Local\Temp\OnboardLogs"\RTDC4029\2017-04-24 --exclude "*" --recursive --include "*20170424*" &amp; "%USERPROFILE%\Documents\GitHub\mrs-test-scripts\Headless Mode &amp; Sideloading\WalkAndUnGZ.bat" "%USERPROFILE%\AppData\Local\Temp\OnboardLogs"\RTDC4029\2017-04-24 &amp; aws s3 cp s3://rtdc.mdm.uploadarchive.raw/RTDC4029/ "%USERPROFILE%\AppData\Local\Temp\OnboardLogs"\RTDC4029\2017-04-25 --exclude "*" --recursive --include "*20170425*" &amp; "%USERPROFILE%\Documents\GitHub\mrs-test-scripts\Headless Mode &amp; Sideloading\WalkAndUnGZ.bat" "%USERPROFILE%\AppData\Local\Temp\OnboardLogs"\RTDC4029\2017-04-25</v>
      </c>
      <c r="AF78" s="77" t="str">
        <f t="shared" si="102"/>
        <v>"C:\Program Files (x86)\AstroGrep\AstroGrep.exe" /e /r /s /spath="%USERPROFILE%\AppData\Local\Temp\OnboardLogs" /stypes="app*4029*20170424*" /stext=" 19:.+((SYSTEM_STATE.+slice.+state.+changed )|(ment ac)|(multiple cpu faults)|(system.+state.+changed )|(\[timeout)|(PRM\|1\|D)|(kpr)|(kdp)|(train.+moving)|(\|lc)|(penalty))"</v>
      </c>
      <c r="AG78" s="1" t="str">
        <f t="shared" si="91"/>
        <v>EC</v>
      </c>
      <c r="AH78" s="81" t="str">
        <f t="shared" si="18"/>
        <v>"%USERPROFILE%\Documents\GitHub\eaglep3\Utilities\RefineRTDCRunTimes.py" --tripid 166-24 --locoid 4029 --swversion DE.1.0.9.0 --startMP 204:233077 --initTime 2017-04-24T12:36:51 --startdatetime 2017-04-24T12:41:43 --delay 1 --endMP 204:132 --enddatetime 2017-04-24T13:18:19 --enforcementcount 0 &gt;&gt;C:\Users\stu\Documents\GitHub\eaglep3-reporting\EC\2017-04-24-refined-times.txt</v>
      </c>
      <c r="AI78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{"issue":{"subject":"","project_id":79,"tracker_id":40,"status_id":1,"priority_id":2,"assigned_to_id":23,"start_date":"2017-04-24","description":"","custom_fields":[{"id":1,"name":"Subdivision","value":"EC"},{"id":4,"name":"Milepost","value":"0.0132"},{"id":17,"name":"Train ID","value":"166-24"},{"id":16,"name":"Locomotive ID","value":"4029"},{"id":130,"name":"Impact","value":""},{"id":150,"name":"Time of Event (Mountain Time)","value":"13:18:19"},{"id":151,"name":"Denver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20"/>
        <v>start /low /b %USERPROFILE%\Documents\GitHub\eaglep3\Utilities\DownloadLogsFromS3.py --loco 4029 --day 2017-04-24</v>
      </c>
      <c r="AN78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19:18:19"},{"id":29,"name":"Sharepoint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683</v>
      </c>
      <c r="B79" s="7">
        <v>4024</v>
      </c>
      <c r="C79" s="21" t="s">
        <v>212</v>
      </c>
      <c r="D79" s="21" t="s">
        <v>440</v>
      </c>
      <c r="E79" s="13">
        <v>42849.494849537034</v>
      </c>
      <c r="F79" s="13">
        <v>42849.5003125</v>
      </c>
      <c r="G79" s="7">
        <v>1</v>
      </c>
      <c r="H79" s="21" t="s">
        <v>816</v>
      </c>
      <c r="I79" s="13">
        <v>42849.526331018518</v>
      </c>
      <c r="J79" s="7">
        <v>0</v>
      </c>
      <c r="K79" s="92" t="str">
        <f t="shared" si="81"/>
        <v>4023/4024</v>
      </c>
      <c r="L79" s="21" t="str">
        <f>VLOOKUP(A79,'Trips&amp;Operators'!$C$1:$G$99999,5,FALSE)</f>
        <v>NELSON ARIANE</v>
      </c>
      <c r="M79" s="6">
        <f t="shared" si="82"/>
        <v>2.6018518517958E-2</v>
      </c>
      <c r="N79" s="7">
        <f t="shared" si="97"/>
        <v>37.46666666585952</v>
      </c>
      <c r="O79" s="7"/>
      <c r="P79" s="7"/>
      <c r="Q79" s="22"/>
      <c r="R79" s="191"/>
      <c r="S79" s="197">
        <f t="shared" si="84"/>
        <v>1</v>
      </c>
      <c r="T79" s="191" t="str">
        <f t="shared" si="85"/>
        <v>NorthBound</v>
      </c>
      <c r="U79" s="19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2" t="str">
        <f t="shared" si="100"/>
        <v>https://d0f6bd738d7f1b3e5a7ca70fe4ff75f0.us-east-1.aws.found.io/app/kibana#/discover/Steve-Slow-Train-Analysis-(2080s-and-2083s)?_g=(refreshInterval:(display:Off,pause:!f,section:0,value:0),time:(from:'2017-04-24T10:52:35-0600',mode:absolute,to:'2017-04-24T13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9" s="193" t="str">
        <f t="shared" si="86"/>
        <v>N</v>
      </c>
      <c r="X79" s="193">
        <f t="shared" si="92"/>
        <v>1</v>
      </c>
      <c r="Y79" s="193">
        <f t="shared" si="98"/>
        <v>4.3799999999999999E-2</v>
      </c>
      <c r="Z79" s="193">
        <f t="shared" si="99"/>
        <v>23.335899999999999</v>
      </c>
      <c r="AA79" s="193">
        <f t="shared" si="89"/>
        <v>23.292099999999998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90"/>
        <v>0167-24</v>
      </c>
      <c r="AE79" s="80" t="str">
        <f t="shared" si="101"/>
        <v>aws s3 cp s3://rtdc.mdm.uploadarchive.raw/RTDC4024/ "%USERPROFILE%\AppData\Local\Temp\OnboardLogs"\RTDC4024\2017-04-24 --exclude "*" --recursive --include "*20170424*" &amp; "%USERPROFILE%\Documents\GitHub\mrs-test-scripts\Headless Mode &amp; Sideloading\WalkAndUnGZ.bat" "%USERPROFILE%\AppData\Local\Temp\OnboardLogs"\RTDC4024\2017-04-24 &amp; aws s3 cp s3://rtdc.mdm.uploadarchive.raw/RTDC4024/ "%USERPROFILE%\AppData\Local\Temp\OnboardLogs"\RTDC4024\2017-04-25 --exclude "*" --recursive --include "*20170425*" &amp; "%USERPROFILE%\Documents\GitHub\mrs-test-scripts\Headless Mode &amp; Sideloading\WalkAndUnGZ.bat" "%USERPROFILE%\AppData\Local\Temp\OnboardLogs"\RTDC4024\2017-04-25</v>
      </c>
      <c r="AF79" s="77" t="str">
        <f t="shared" si="102"/>
        <v>"C:\Program Files (x86)\AstroGrep\AstroGrep.exe" /e /r /s /spath="%USERPROFILE%\AppData\Local\Temp\OnboardLogs" /stypes="app*4024*20170424*" /stext=" 18:.+((SYSTEM_STATE.+slice.+state.+changed )|(ment ac)|(multiple cpu faults)|(system.+state.+changed )|(\[timeout)|(PRM\|1\|D)|(kpr)|(kdp)|(train.+moving)|(\|lc)|(penalty))"</v>
      </c>
      <c r="AG79" s="1" t="str">
        <f t="shared" si="91"/>
        <v>EC</v>
      </c>
      <c r="AH79" s="81" t="str">
        <f t="shared" si="18"/>
        <v>"%USERPROFILE%\Documents\GitHub\eaglep3\Utilities\RefineRTDCRunTimes.py" --tripid 167-24 --locoid 4024 --swversion DE.1.0.9.0 --startMP 204:438 --initTime 2017-04-24T11:52:35 --startdatetime 2017-04-24T12:00:27 --delay 1 --endMP 204:233359 --enddatetime 2017-04-24T12:37:55 --enforcementcount 0 &gt;&gt;C:\Users\stu\Documents\GitHub\eaglep3-reporting\EC\2017-04-24-refined-times.txt</v>
      </c>
      <c r="AI79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{"issue":{"subject":"","project_id":79,"tracker_id":40,"status_id":1,"priority_id":2,"assigned_to_id":23,"start_date":"2017-04-24","description":"","custom_fields":[{"id":1,"name":"Subdivision","value":"EC"},{"id":4,"name":"Milepost","value":"23.3359"},{"id":17,"name":"Train ID","value":"167-24"},{"id":16,"name":"Locomotive ID","value":"4024"},{"id":130,"name":"Impact","value":""},{"id":150,"name":"Time of Event (Mountain Time)","value":"12:37:55"},{"id":151,"name":"Denver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20"/>
        <v>start /low /b %USERPROFILE%\Documents\GitHub\eaglep3\Utilities\DownloadLogsFromS3.py --loco 4024 --day 2017-04-24</v>
      </c>
      <c r="AN79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18:37:55"},{"id":29,"name":"Sharepoint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694</v>
      </c>
      <c r="B80" s="7">
        <v>4023</v>
      </c>
      <c r="C80" s="21" t="s">
        <v>212</v>
      </c>
      <c r="D80" s="21" t="s">
        <v>533</v>
      </c>
      <c r="E80" s="13">
        <v>42849.536793981482</v>
      </c>
      <c r="F80" s="13">
        <v>42849.539155092592</v>
      </c>
      <c r="G80" s="7">
        <v>1</v>
      </c>
      <c r="H80" s="21" t="s">
        <v>209</v>
      </c>
      <c r="I80" s="13">
        <v>42849.567627314813</v>
      </c>
      <c r="J80" s="7">
        <v>0</v>
      </c>
      <c r="K80" s="92" t="str">
        <f t="shared" si="81"/>
        <v>4023/4024</v>
      </c>
      <c r="L80" s="21" t="str">
        <f>VLOOKUP(A80,'Trips&amp;Operators'!$C$1:$G$99999,5,FALSE)</f>
        <v>NELSON ARIANE</v>
      </c>
      <c r="M80" s="6">
        <f t="shared" si="82"/>
        <v>2.8472222220443655E-2</v>
      </c>
      <c r="N80" s="7">
        <f t="shared" si="97"/>
        <v>40.999999997438863</v>
      </c>
      <c r="O80" s="7"/>
      <c r="P80" s="7"/>
      <c r="Q80" s="22"/>
      <c r="R80" s="191"/>
      <c r="S80" s="197">
        <f t="shared" si="84"/>
        <v>1</v>
      </c>
      <c r="T80" s="191" t="str">
        <f t="shared" si="85"/>
        <v>Southbound</v>
      </c>
      <c r="U80" s="19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2" t="str">
        <f t="shared" si="100"/>
        <v>https://d0f6bd738d7f1b3e5a7ca70fe4ff75f0.us-east-1.aws.found.io/app/kibana#/discover/Steve-Slow-Train-Analysis-(2080s-and-2083s)?_g=(refreshInterval:(display:Off,pause:!f,section:0,value:0),time:(from:'2017-04-24T11:52:59-0600',mode:absolute,to:'2017-04-24T14:37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0" s="193" t="str">
        <f t="shared" si="86"/>
        <v>N</v>
      </c>
      <c r="X80" s="193">
        <f t="shared" si="92"/>
        <v>1</v>
      </c>
      <c r="Y80" s="193">
        <f t="shared" si="98"/>
        <v>23.302299999999999</v>
      </c>
      <c r="Z80" s="193">
        <f t="shared" si="99"/>
        <v>1.47E-2</v>
      </c>
      <c r="AA80" s="193">
        <f t="shared" si="89"/>
        <v>23.287599999999998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90"/>
        <v>0168-24</v>
      </c>
      <c r="AE80" s="80" t="str">
        <f t="shared" si="101"/>
        <v>aws s3 cp s3://rtdc.mdm.uploadarchive.raw/RTDC4023/ "%USERPROFILE%\AppData\Local\Temp\OnboardLogs"\RTDC4023\2017-04-24 --exclude "*" --recursive --include "*20170424*" &amp; "%USERPROFILE%\Documents\GitHub\mrs-test-scripts\Headless Mode &amp; Sideloading\WalkAndUnGZ.bat" "%USERPROFILE%\AppData\Local\Temp\OnboardLogs"\RTDC4023\2017-04-24 &amp; aws s3 cp s3://rtdc.mdm.uploadarchive.raw/RTDC4023/ "%USERPROFILE%\AppData\Local\Temp\OnboardLogs"\RTDC4023\2017-04-25 --exclude "*" --recursive --include "*20170425*" &amp; "%USERPROFILE%\Documents\GitHub\mrs-test-scripts\Headless Mode &amp; Sideloading\WalkAndUnGZ.bat" "%USERPROFILE%\AppData\Local\Temp\OnboardLogs"\RTDC4023\2017-04-25</v>
      </c>
      <c r="AF80" s="77" t="str">
        <f t="shared" si="102"/>
        <v>"C:\Program Files (x86)\AstroGrep\AstroGrep.exe" /e /r /s /spath="%USERPROFILE%\AppData\Local\Temp\OnboardLogs" /stypes="app*4023*20170424*" /stext=" 19:.+((SYSTEM_STATE.+slice.+state.+changed )|(ment ac)|(multiple cpu faults)|(system.+state.+changed )|(\[timeout)|(PRM\|1\|D)|(kpr)|(kdp)|(train.+moving)|(\|lc)|(penalty))"</v>
      </c>
      <c r="AG80" s="1" t="str">
        <f t="shared" si="91"/>
        <v>EC</v>
      </c>
      <c r="AH80" s="81" t="str">
        <f t="shared" si="18"/>
        <v>"%USERPROFILE%\Documents\GitHub\eaglep3\Utilities\RefineRTDCRunTimes.py" --tripid 168-24 --locoid 4023 --swversion DE.1.0.9.0 --startMP 204:233023 --initTime 2017-04-24T12:52:59 --startdatetime 2017-04-24T12:56:23 --delay 1 --endMP 204:147 --enddatetime 2017-04-24T13:37:23 --enforcementcount 0 &gt;&gt;C:\Users\stu\Documents\GitHub\eaglep3-reporting\EC\2017-04-24-refined-times.txt</v>
      </c>
      <c r="AI80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{"issue":{"subject":"","project_id":79,"tracker_id":40,"status_id":1,"priority_id":2,"assigned_to_id":23,"start_date":"2017-04-24","description":"","custom_fields":[{"id":1,"name":"Subdivision","value":"EC"},{"id":4,"name":"Milepost","value":"0.0147"},{"id":17,"name":"Train ID","value":"168-24"},{"id":16,"name":"Locomotive ID","value":"4023"},{"id":130,"name":"Impact","value":""},{"id":150,"name":"Time of Event (Mountain Time)","value":"13:37:23"},{"id":151,"name":"Denver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20"/>
        <v>start /low /b %USERPROFILE%\Documents\GitHub\eaglep3\Utilities\DownloadLogsFromS3.py --loco 4023 --day 2017-04-24</v>
      </c>
      <c r="AN80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19:37:23"},{"id":29,"name":"Sharepoint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685</v>
      </c>
      <c r="B81" s="7">
        <v>4010</v>
      </c>
      <c r="C81" s="21" t="s">
        <v>212</v>
      </c>
      <c r="D81" s="21" t="s">
        <v>393</v>
      </c>
      <c r="E81" s="13">
        <v>42849.506736111114</v>
      </c>
      <c r="F81" s="13">
        <v>42849.510983796295</v>
      </c>
      <c r="G81" s="7">
        <v>5</v>
      </c>
      <c r="H81" s="21" t="s">
        <v>539</v>
      </c>
      <c r="I81" s="13">
        <v>42849.536157407405</v>
      </c>
      <c r="J81" s="7">
        <v>0</v>
      </c>
      <c r="K81" s="92" t="str">
        <f t="shared" si="81"/>
        <v>4009/4010</v>
      </c>
      <c r="L81" s="21" t="str">
        <f>VLOOKUP(A81,'Trips&amp;Operators'!$C$1:$G$99999,5,FALSE)</f>
        <v>THOMPSON LESTER</v>
      </c>
      <c r="M81" s="6">
        <f t="shared" si="82"/>
        <v>2.5173611109494232E-2</v>
      </c>
      <c r="N81" s="7">
        <f t="shared" si="97"/>
        <v>36.249999997671694</v>
      </c>
      <c r="O81" s="7"/>
      <c r="P81" s="7"/>
      <c r="Q81" s="22"/>
      <c r="R81" s="191"/>
      <c r="S81" s="197">
        <f t="shared" si="84"/>
        <v>1</v>
      </c>
      <c r="T81" s="191" t="str">
        <f t="shared" si="85"/>
        <v>NorthBound</v>
      </c>
      <c r="U81" s="19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2" t="str">
        <f t="shared" si="100"/>
        <v>https://d0f6bd738d7f1b3e5a7ca70fe4ff75f0.us-east-1.aws.found.io/app/kibana#/discover/Steve-Slow-Train-Analysis-(2080s-and-2083s)?_g=(refreshInterval:(display:Off,pause:!f,section:0,value:0),time:(from:'2017-04-24T11:09:42-0600',mode:absolute,to:'2017-04-24T13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1" s="193" t="str">
        <f t="shared" si="86"/>
        <v>N</v>
      </c>
      <c r="X81" s="193">
        <f t="shared" si="92"/>
        <v>1</v>
      </c>
      <c r="Y81" s="193">
        <f t="shared" si="98"/>
        <v>4.58E-2</v>
      </c>
      <c r="Z81" s="193">
        <f t="shared" si="99"/>
        <v>23.328499999999998</v>
      </c>
      <c r="AA81" s="193">
        <f t="shared" si="89"/>
        <v>23.282699999999998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90"/>
        <v>0169-24</v>
      </c>
      <c r="AE81" s="80" t="str">
        <f t="shared" si="101"/>
        <v>aws s3 cp s3://rtdc.mdm.uploadarchive.raw/RTDC4010/ "%USERPROFILE%\AppData\Local\Temp\OnboardLogs"\RTDC4010\2017-04-24 --exclude "*" --recursive --include "*20170424*" &amp; "%USERPROFILE%\Documents\GitHub\mrs-test-scripts\Headless Mode &amp; Sideloading\WalkAndUnGZ.bat" "%USERPROFILE%\AppData\Local\Temp\OnboardLogs"\RTDC4010\2017-04-24 &amp; aws s3 cp s3://rtdc.mdm.uploadarchive.raw/RTDC4010/ "%USERPROFILE%\AppData\Local\Temp\OnboardLogs"\RTDC4010\2017-04-25 --exclude "*" --recursive --include "*20170425*" &amp; "%USERPROFILE%\Documents\GitHub\mrs-test-scripts\Headless Mode &amp; Sideloading\WalkAndUnGZ.bat" "%USERPROFILE%\AppData\Local\Temp\OnboardLogs"\RTDC4010\2017-04-25</v>
      </c>
      <c r="AF81" s="77" t="str">
        <f t="shared" si="102"/>
        <v>"C:\Program Files (x86)\AstroGrep\AstroGrep.exe" /e /r /s /spath="%USERPROFILE%\AppData\Local\Temp\OnboardLogs" /stypes="app*4010*20170424*" /stext=" 18:.+((SYSTEM_STATE.+slice.+state.+changed )|(ment ac)|(multiple cpu faults)|(system.+state.+changed )|(\[timeout)|(PRM\|1\|D)|(kpr)|(kdp)|(train.+moving)|(\|lc)|(penalty))"</v>
      </c>
      <c r="AG81" s="1" t="str">
        <f t="shared" si="91"/>
        <v>EC</v>
      </c>
      <c r="AH81" s="81" t="str">
        <f t="shared" si="18"/>
        <v>"%USERPROFILE%\Documents\GitHub\eaglep3\Utilities\RefineRTDCRunTimes.py" --tripid 169-24 --locoid 4010 --swversion DE.1.0.9.0 --startMP 204:458 --initTime 2017-04-24T12:09:42 --startdatetime 2017-04-24T12:15:49 --delay 5 --endMP 204:233285 --enddatetime 2017-04-24T12:52:04 --enforcementcount 0 &gt;&gt;C:\Users\stu\Documents\GitHub\eaglep3-reporting\EC\2017-04-24-refined-times.txt</v>
      </c>
      <c r="AI81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{"issue":{"subject":"","project_id":79,"tracker_id":40,"status_id":1,"priority_id":2,"assigned_to_id":23,"start_date":"2017-04-24","description":"","custom_fields":[{"id":1,"name":"Subdivision","value":"EC"},{"id":4,"name":"Milepost","value":"23.3285"},{"id":17,"name":"Train ID","value":"169-24"},{"id":16,"name":"Locomotive ID","value":"4010"},{"id":130,"name":"Impact","value":""},{"id":150,"name":"Time of Event (Mountain Time)","value":"12:52:04"},{"id":151,"name":"Denver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20"/>
        <v>start /low /b %USERPROFILE%\Documents\GitHub\eaglep3\Utilities\DownloadLogsFromS3.py --loco 4010 --day 2017-04-24</v>
      </c>
      <c r="AN81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18:52:04"},{"id":29,"name":"Sharepoint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560</v>
      </c>
      <c r="B82" s="7">
        <v>4009</v>
      </c>
      <c r="C82" s="21" t="s">
        <v>212</v>
      </c>
      <c r="D82" s="21" t="s">
        <v>466</v>
      </c>
      <c r="E82" s="13">
        <v>42849.537546296298</v>
      </c>
      <c r="F82" s="13">
        <v>42849.550868055558</v>
      </c>
      <c r="G82" s="7">
        <v>3</v>
      </c>
      <c r="H82" s="21" t="s">
        <v>415</v>
      </c>
      <c r="I82" s="13">
        <v>42849.577546296299</v>
      </c>
      <c r="J82" s="7">
        <v>0</v>
      </c>
      <c r="K82" s="92" t="str">
        <f t="shared" si="81"/>
        <v>4009/4010</v>
      </c>
      <c r="L82" s="21" t="str">
        <f>VLOOKUP(A82,'Trips&amp;Operators'!$C$1:$G$99999,5,FALSE)</f>
        <v>THOMPSON LESTER</v>
      </c>
      <c r="M82" s="6">
        <f t="shared" si="82"/>
        <v>2.6678240741603076E-2</v>
      </c>
      <c r="N82" s="7">
        <f t="shared" si="97"/>
        <v>38.41666666790843</v>
      </c>
      <c r="O82" s="7"/>
      <c r="P82" s="7"/>
      <c r="Q82" s="22"/>
      <c r="R82" s="191"/>
      <c r="S82" s="197">
        <f t="shared" si="84"/>
        <v>1</v>
      </c>
      <c r="T82" s="191" t="str">
        <f t="shared" si="85"/>
        <v>Southbound</v>
      </c>
      <c r="U82" s="19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2" t="str">
        <f t="shared" si="100"/>
        <v>https://d0f6bd738d7f1b3e5a7ca70fe4ff75f0.us-east-1.aws.found.io/app/kibana#/discover/Steve-Slow-Train-Analysis-(2080s-and-2083s)?_g=(refreshInterval:(display:Off,pause:!f,section:0,value:0),time:(from:'2017-04-24T11:54:04-0600',mode:absolute,to:'2017-04-24T14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2" s="193" t="str">
        <f t="shared" si="86"/>
        <v>N</v>
      </c>
      <c r="X82" s="193">
        <f t="shared" si="92"/>
        <v>1</v>
      </c>
      <c r="Y82" s="193">
        <f t="shared" si="98"/>
        <v>23.298500000000001</v>
      </c>
      <c r="Z82" s="193">
        <f t="shared" si="99"/>
        <v>1.4999999999999999E-2</v>
      </c>
      <c r="AA82" s="193">
        <f t="shared" si="89"/>
        <v>23.2835</v>
      </c>
      <c r="AB82" s="57" t="str">
        <f>VLOOKUP(A82,Enforcements!$C$7:$K$13,8,0)</f>
        <v>Bulletin (2)</v>
      </c>
      <c r="AC82" s="53" t="str">
        <f>VLOOKUP(A82,Enforcements!$C$7:$E$13,3,0)</f>
        <v>GRADE CROSSING</v>
      </c>
      <c r="AD82" s="54" t="str">
        <f t="shared" si="90"/>
        <v>0170-24</v>
      </c>
      <c r="AE82" s="80" t="str">
        <f t="shared" si="101"/>
        <v>aws s3 cp s3://rtdc.mdm.uploadarchive.raw/RTDC4009/ "%USERPROFILE%\AppData\Local\Temp\OnboardLogs"\RTDC4009\2017-04-24 --exclude "*" --recursive --include "*20170424*" &amp; "%USERPROFILE%\Documents\GitHub\mrs-test-scripts\Headless Mode &amp; Sideloading\WalkAndUnGZ.bat" "%USERPROFILE%\AppData\Local\Temp\OnboardLogs"\RTDC4009\2017-04-24 &amp; aws s3 cp s3://rtdc.mdm.uploadarchive.raw/RTDC4009/ "%USERPROFILE%\AppData\Local\Temp\OnboardLogs"\RTDC4009\2017-04-25 --exclude "*" --recursive --include "*20170425*" &amp; "%USERPROFILE%\Documents\GitHub\mrs-test-scripts\Headless Mode &amp; Sideloading\WalkAndUnGZ.bat" "%USERPROFILE%\AppData\Local\Temp\OnboardLogs"\RTDC4009\2017-04-25</v>
      </c>
      <c r="AF82" s="77" t="str">
        <f t="shared" si="102"/>
        <v>"C:\Program Files (x86)\AstroGrep\AstroGrep.exe" /e /r /s /spath="%USERPROFILE%\AppData\Local\Temp\OnboardLogs" /stypes="app*4009*20170424*" /stext=" 19:.+((SYSTEM_STATE.+slice.+state.+changed )|(ment ac)|(multiple cpu faults)|(system.+state.+changed )|(\[timeout)|(PRM\|1\|D)|(kpr)|(kdp)|(train.+moving)|(\|lc)|(penalty))"</v>
      </c>
      <c r="AG82" s="1" t="str">
        <f t="shared" si="91"/>
        <v>EC</v>
      </c>
      <c r="AH82" s="81" t="str">
        <f t="shared" si="18"/>
        <v>"%USERPROFILE%\Documents\GitHub\eaglep3\Utilities\RefineRTDCRunTimes.py" --tripid 170-24 --locoid 4009 --swversion DE.1.0.9.0 --startMP 204:232985 --initTime 2017-04-24T12:54:04 --startdatetime 2017-04-24T13:13:15 --delay 3 --endMP 204:150 --enddatetime 2017-04-24T13:51:40 --enforcementcount 0 &gt;&gt;C:\Users\stu\Documents\GitHub\eaglep3-reporting\EC\2017-04-24-refined-times.txt</v>
      </c>
      <c r="AI82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{"issue":{"subject":"","project_id":79,"tracker_id":40,"status_id":1,"priority_id":2,"assigned_to_id":23,"start_date":"2017-04-24","description":"","custom_fields":[{"id":1,"name":"Subdivision","value":"EC"},{"id":4,"name":"Milepost","value":"0.015"},{"id":17,"name":"Train ID","value":"170-24"},{"id":16,"name":"Locomotive ID","value":"4009"},{"id":130,"name":"Impact","value":""},{"id":150,"name":"Time of Event (Mountain Time)","value":"13:51:40"},{"id":151,"name":"Denver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20"/>
        <v>start /low /b %USERPROFILE%\Documents\GitHub\eaglep3\Utilities\DownloadLogsFromS3.py --loco 4009 --day 2017-04-24</v>
      </c>
      <c r="AN82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19:51:40"},{"id":29,"name":"Sharepoint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689</v>
      </c>
      <c r="B83" s="7">
        <v>4026</v>
      </c>
      <c r="C83" s="21" t="s">
        <v>212</v>
      </c>
      <c r="D83" s="21" t="s">
        <v>476</v>
      </c>
      <c r="E83" s="13">
        <v>42849.517118055555</v>
      </c>
      <c r="F83" s="13">
        <v>42849.521006944444</v>
      </c>
      <c r="G83" s="7">
        <v>1</v>
      </c>
      <c r="H83" s="21" t="s">
        <v>817</v>
      </c>
      <c r="I83" s="13">
        <v>42849.546365740738</v>
      </c>
      <c r="J83" s="7">
        <v>0</v>
      </c>
      <c r="K83" s="92" t="str">
        <f t="shared" ref="K83:K114" si="103">IF(ISEVEN(B83),(B83-1)&amp;"/"&amp;B83,B83&amp;"/"&amp;(B83+1))</f>
        <v>4025/4026</v>
      </c>
      <c r="L83" s="21" t="str">
        <f>VLOOKUP(A83,'Trips&amp;Operators'!$C$1:$G$99999,5,FALSE)</f>
        <v>BRANDNER MELINDA</v>
      </c>
      <c r="M83" s="6">
        <f t="shared" ref="M83:M114" si="104">I83-F83</f>
        <v>2.5358796294312924E-2</v>
      </c>
      <c r="N83" s="7">
        <f t="shared" si="97"/>
        <v>36.516666663810611</v>
      </c>
      <c r="O83" s="7"/>
      <c r="P83" s="7"/>
      <c r="Q83" s="22"/>
      <c r="R83" s="191"/>
      <c r="S83" s="197">
        <f t="shared" ref="S83:S111" si="105">SUM(U83:U83)/IF(AG83="EC",12,1)</f>
        <v>1</v>
      </c>
      <c r="T83" s="191" t="str">
        <f t="shared" ref="T83:T114" si="106">IF(ISEVEN(LEFT(AD83,4)),"Southbound","NorthBound")</f>
        <v>NorthBound</v>
      </c>
      <c r="U83" s="19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2" t="str">
        <f t="shared" si="100"/>
        <v>https://d0f6bd738d7f1b3e5a7ca70fe4ff75f0.us-east-1.aws.found.io/app/kibana#/discover/Steve-Slow-Train-Analysis-(2080s-and-2083s)?_g=(refreshInterval:(display:Off,pause:!f,section:0,value:0),time:(from:'2017-04-24T11:24:39-0600',mode:absolute,to:'2017-04-24T14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3" s="193" t="str">
        <f t="shared" ref="W83:W114" si="107">IF(AA83&lt;IF(AG83="EC",23,5.65),"Y","N")</f>
        <v>N</v>
      </c>
      <c r="X83" s="193">
        <f t="shared" si="92"/>
        <v>1</v>
      </c>
      <c r="Y83" s="193">
        <f t="shared" si="98"/>
        <v>4.6399999999999997E-2</v>
      </c>
      <c r="Z83" s="193">
        <f t="shared" si="99"/>
        <v>23.3353</v>
      </c>
      <c r="AA83" s="193">
        <f t="shared" ref="AA83:AA114" si="108">ABS(Z83-Y83)</f>
        <v>23.288900000000002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ref="AD83:AD114" si="109">IF(LEN(A83)=6,"0"&amp;A83,A83)</f>
        <v>0171-24</v>
      </c>
      <c r="AE83" s="80" t="str">
        <f t="shared" si="101"/>
        <v>aws s3 cp s3://rtdc.mdm.uploadarchive.raw/RTDC4026/ "%USERPROFILE%\AppData\Local\Temp\OnboardLogs"\RTDC4026\2017-04-24 --exclude "*" --recursive --include "*20170424*" &amp; "%USERPROFILE%\Documents\GitHub\mrs-test-scripts\Headless Mode &amp; Sideloading\WalkAndUnGZ.bat" "%USERPROFILE%\AppData\Local\Temp\OnboardLogs"\RTDC4026\2017-04-24 &amp; aws s3 cp s3://rtdc.mdm.uploadarchive.raw/RTDC4026/ "%USERPROFILE%\AppData\Local\Temp\OnboardLogs"\RTDC4026\2017-04-25 --exclude "*" --recursive --include "*20170425*" &amp; "%USERPROFILE%\Documents\GitHub\mrs-test-scripts\Headless Mode &amp; Sideloading\WalkAndUnGZ.bat" "%USERPROFILE%\AppData\Local\Temp\OnboardLogs"\RTDC4026\2017-04-25</v>
      </c>
      <c r="AF83" s="77" t="str">
        <f t="shared" si="102"/>
        <v>"C:\Program Files (x86)\AstroGrep\AstroGrep.exe" /e /r /s /spath="%USERPROFILE%\AppData\Local\Temp\OnboardLogs" /stypes="app*4026*20170424*" /stext=" 19:.+((SYSTEM_STATE.+slice.+state.+changed )|(ment ac)|(multiple cpu faults)|(system.+state.+changed )|(\[timeout)|(PRM\|1\|D)|(kpr)|(kdp)|(train.+moving)|(\|lc)|(penalty))"</v>
      </c>
      <c r="AG83" s="1" t="str">
        <f t="shared" ref="AG83:AG114" si="110">IFERROR(IF(VALUE(LEFT(AD83,2))&lt;=2,"EC",IF(OR(VALUE(LEFT(AD83,2))=8,VALUE(LEFT(AD83,2))=18),"NW","Other")),"Other")</f>
        <v>EC</v>
      </c>
      <c r="AH83" s="81" t="str">
        <f t="shared" si="18"/>
        <v>"%USERPROFILE%\Documents\GitHub\eaglep3\Utilities\RefineRTDCRunTimes.py" --tripid 171-24 --locoid 4026 --swversion DE.1.0.9.0 --startMP 204:464 --initTime 2017-04-24T12:24:39 --startdatetime 2017-04-24T12:30:15 --delay 1 --endMP 204:233353 --enddatetime 2017-04-24T13:06:46 --enforcementcount 0 &gt;&gt;C:\Users\stu\Documents\GitHub\eaglep3-reporting\EC\2017-04-24-refined-times.txt</v>
      </c>
      <c r="AI83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{"issue":{"subject":"","project_id":79,"tracker_id":40,"status_id":1,"priority_id":2,"assigned_to_id":23,"start_date":"2017-04-24","description":"","custom_fields":[{"id":1,"name":"Subdivision","value":"EC"},{"id":4,"name":"Milepost","value":"23.3353"},{"id":17,"name":"Train ID","value":"171-24"},{"id":16,"name":"Locomotive ID","value":"4026"},{"id":130,"name":"Impact","value":""},{"id":150,"name":"Time of Event (Mountain Time)","value":"13:06:46"},{"id":151,"name":"Denver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20"/>
        <v>start /low /b %USERPROFILE%\Documents\GitHub\eaglep3\Utilities\DownloadLogsFromS3.py --loco 4026 --day 2017-04-24</v>
      </c>
      <c r="AN83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19:06:46"},{"id":29,"name":"Sharepoint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698</v>
      </c>
      <c r="B84" s="7">
        <v>4025</v>
      </c>
      <c r="C84" s="21" t="s">
        <v>212</v>
      </c>
      <c r="D84" s="21" t="s">
        <v>520</v>
      </c>
      <c r="E84" s="13">
        <v>42849.555173611108</v>
      </c>
      <c r="F84" s="13">
        <v>42849.559976851851</v>
      </c>
      <c r="G84" s="7">
        <v>1</v>
      </c>
      <c r="H84" s="21" t="s">
        <v>203</v>
      </c>
      <c r="I84" s="13">
        <v>42849.587650462963</v>
      </c>
      <c r="J84" s="7">
        <v>0</v>
      </c>
      <c r="K84" s="92" t="str">
        <f t="shared" si="103"/>
        <v>4025/4026</v>
      </c>
      <c r="L84" s="21" t="str">
        <f>VLOOKUP(A84,'Trips&amp;Operators'!$C$1:$G$99999,5,FALSE)</f>
        <v>BRANDNER MELINDA</v>
      </c>
      <c r="M84" s="6">
        <f t="shared" si="104"/>
        <v>2.7673611111822538E-2</v>
      </c>
      <c r="N84" s="7">
        <f t="shared" si="97"/>
        <v>39.850000001024455</v>
      </c>
      <c r="O84" s="7"/>
      <c r="P84" s="7"/>
      <c r="Q84" s="22"/>
      <c r="R84" s="191"/>
      <c r="S84" s="197">
        <f t="shared" si="105"/>
        <v>1</v>
      </c>
      <c r="T84" s="191" t="str">
        <f t="shared" si="106"/>
        <v>Southbound</v>
      </c>
      <c r="U84" s="19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2" t="str">
        <f t="shared" si="100"/>
        <v>https://d0f6bd738d7f1b3e5a7ca70fe4ff75f0.us-east-1.aws.found.io/app/kibana#/discover/Steve-Slow-Train-Analysis-(2080s-and-2083s)?_g=(refreshInterval:(display:Off,pause:!f,section:0,value:0),time:(from:'2017-04-24T12:19:27-0600',mode:absolute,to:'2017-04-24T15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4" s="193" t="str">
        <f t="shared" si="107"/>
        <v>N</v>
      </c>
      <c r="X84" s="193">
        <f t="shared" ref="X84:X115" si="111">VALUE(LEFT(AD84,4))-VALUE(LEFT(AD83,4))</f>
        <v>1</v>
      </c>
      <c r="Y84" s="193">
        <f t="shared" si="98"/>
        <v>23.302800000000001</v>
      </c>
      <c r="Z84" s="193">
        <f t="shared" si="99"/>
        <v>1.54E-2</v>
      </c>
      <c r="AA84" s="193">
        <f t="shared" si="108"/>
        <v>23.287400000000002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109"/>
        <v>0172-24</v>
      </c>
      <c r="AE84" s="80" t="str">
        <f t="shared" si="101"/>
        <v>aws s3 cp s3://rtdc.mdm.uploadarchive.raw/RTDC4025/ "%USERPROFILE%\AppData\Local\Temp\OnboardLogs"\RTDC4025\2017-04-24 --exclude "*" --recursive --include "*20170424*" &amp; "%USERPROFILE%\Documents\GitHub\mrs-test-scripts\Headless Mode &amp; Sideloading\WalkAndUnGZ.bat" "%USERPROFILE%\AppData\Local\Temp\OnboardLogs"\RTDC4025\2017-04-24 &amp; aws s3 cp s3://rtdc.mdm.uploadarchive.raw/RTDC4025/ "%USERPROFILE%\AppData\Local\Temp\OnboardLogs"\RTDC4025\2017-04-25 --exclude "*" --recursive --include "*20170425*" &amp; "%USERPROFILE%\Documents\GitHub\mrs-test-scripts\Headless Mode &amp; Sideloading\WalkAndUnGZ.bat" "%USERPROFILE%\AppData\Local\Temp\OnboardLogs"\RTDC4025\2017-04-25</v>
      </c>
      <c r="AF84" s="77" t="str">
        <f t="shared" si="102"/>
        <v>"C:\Program Files (x86)\AstroGrep\AstroGrep.exe" /e /r /s /spath="%USERPROFILE%\AppData\Local\Temp\OnboardLogs" /stypes="app*4025*20170424*" /stext=" 20:.+((SYSTEM_STATE.+slice.+state.+changed )|(ment ac)|(multiple cpu faults)|(system.+state.+changed )|(\[timeout)|(PRM\|1\|D)|(kpr)|(kdp)|(train.+moving)|(\|lc)|(penalty))"</v>
      </c>
      <c r="AG84" s="1" t="str">
        <f t="shared" si="110"/>
        <v>EC</v>
      </c>
      <c r="AH84" s="81" t="str">
        <f t="shared" si="18"/>
        <v>"%USERPROFILE%\Documents\GitHub\eaglep3\Utilities\RefineRTDCRunTimes.py" --tripid 172-24 --locoid 4025 --swversion DE.1.0.9.0 --startMP 204:233028 --initTime 2017-04-24T13:19:27 --startdatetime 2017-04-24T13:26:22 --delay 1 --endMP 204:154 --enddatetime 2017-04-24T14:06:13 --enforcementcount 0 &gt;&gt;C:\Users\stu\Documents\GitHub\eaglep3-reporting\EC\2017-04-24-refined-times.txt</v>
      </c>
      <c r="AI84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{"issue":{"subject":"","project_id":79,"tracker_id":40,"status_id":1,"priority_id":2,"assigned_to_id":23,"start_date":"2017-04-24","description":"","custom_fields":[{"id":1,"name":"Subdivision","value":"EC"},{"id":4,"name":"Milepost","value":"0.0154"},{"id":17,"name":"Train ID","value":"172-24"},{"id":16,"name":"Locomotive ID","value":"4025"},{"id":130,"name":"Impact","value":""},{"id":150,"name":"Time of Event (Mountain Time)","value":"14:06:13"},{"id":151,"name":"Denver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20"/>
        <v>start /low /b %USERPROFILE%\Documents\GitHub\eaglep3\Utilities\DownloadLogsFromS3.py --loco 4025 --day 2017-04-24</v>
      </c>
      <c r="AN84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20:06:13"},{"id":29,"name":"Sharepoint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691</v>
      </c>
      <c r="B85" s="7">
        <v>4040</v>
      </c>
      <c r="C85" s="21" t="s">
        <v>212</v>
      </c>
      <c r="D85" s="21" t="s">
        <v>476</v>
      </c>
      <c r="E85" s="13">
        <v>42849.527766203704</v>
      </c>
      <c r="F85" s="13">
        <v>42849.531631944446</v>
      </c>
      <c r="G85" s="7">
        <v>2</v>
      </c>
      <c r="H85" s="21" t="s">
        <v>801</v>
      </c>
      <c r="I85" s="13">
        <v>42849.558078703703</v>
      </c>
      <c r="J85" s="7">
        <v>0</v>
      </c>
      <c r="K85" s="92" t="str">
        <f t="shared" si="103"/>
        <v>4039/4040</v>
      </c>
      <c r="L85" s="21" t="str">
        <f>VLOOKUP(A85,'Trips&amp;Operators'!$C$1:$G$99999,5,FALSE)</f>
        <v>SULLIVAN BRANDON</v>
      </c>
      <c r="M85" s="6">
        <f t="shared" si="104"/>
        <v>2.6446759256941732E-2</v>
      </c>
      <c r="N85" s="7">
        <f t="shared" si="97"/>
        <v>38.083333329996094</v>
      </c>
      <c r="O85" s="7"/>
      <c r="P85" s="7"/>
      <c r="Q85" s="22"/>
      <c r="R85" s="191"/>
      <c r="S85" s="197">
        <f t="shared" si="105"/>
        <v>1</v>
      </c>
      <c r="T85" s="191" t="str">
        <f t="shared" si="106"/>
        <v>NorthBound</v>
      </c>
      <c r="U85" s="19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2" t="str">
        <f t="shared" si="100"/>
        <v>https://d0f6bd738d7f1b3e5a7ca70fe4ff75f0.us-east-1.aws.found.io/app/kibana#/discover/Steve-Slow-Train-Analysis-(2080s-and-2083s)?_g=(refreshInterval:(display:Off,pause:!f,section:0,value:0),time:(from:'2017-04-24T11:39:59-0600',mode:absolute,to:'2017-04-24T14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5" s="193" t="str">
        <f t="shared" si="107"/>
        <v>N</v>
      </c>
      <c r="X85" s="193">
        <f t="shared" si="111"/>
        <v>1</v>
      </c>
      <c r="Y85" s="193">
        <f t="shared" si="98"/>
        <v>4.6399999999999997E-2</v>
      </c>
      <c r="Z85" s="193">
        <f t="shared" si="99"/>
        <v>23.331</v>
      </c>
      <c r="AA85" s="193">
        <f t="shared" si="108"/>
        <v>23.284600000000001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109"/>
        <v>0173-24</v>
      </c>
      <c r="AE85" s="80" t="str">
        <f t="shared" si="101"/>
        <v>aws s3 cp s3://rtdc.mdm.uploadarchive.raw/RTDC4040/ "%USERPROFILE%\AppData\Local\Temp\OnboardLogs"\RTDC4040\2017-04-24 --exclude "*" --recursive --include "*20170424*" &amp; "%USERPROFILE%\Documents\GitHub\mrs-test-scripts\Headless Mode &amp; Sideloading\WalkAndUnGZ.bat" "%USERPROFILE%\AppData\Local\Temp\OnboardLogs"\RTDC4040\2017-04-24 &amp; aws s3 cp s3://rtdc.mdm.uploadarchive.raw/RTDC4040/ "%USERPROFILE%\AppData\Local\Temp\OnboardLogs"\RTDC4040\2017-04-25 --exclude "*" --recursive --include "*20170425*" &amp; "%USERPROFILE%\Documents\GitHub\mrs-test-scripts\Headless Mode &amp; Sideloading\WalkAndUnGZ.bat" "%USERPROFILE%\AppData\Local\Temp\OnboardLogs"\RTDC4040\2017-04-25</v>
      </c>
      <c r="AF85" s="77" t="str">
        <f t="shared" si="102"/>
        <v>"C:\Program Files (x86)\AstroGrep\AstroGrep.exe" /e /r /s /spath="%USERPROFILE%\AppData\Local\Temp\OnboardLogs" /stypes="app*4040*20170424*" /stext=" 19:.+((SYSTEM_STATE.+slice.+state.+changed )|(ment ac)|(multiple cpu faults)|(system.+state.+changed )|(\[timeout)|(PRM\|1\|D)|(kpr)|(kdp)|(train.+moving)|(\|lc)|(penalty))"</v>
      </c>
      <c r="AG85" s="1" t="str">
        <f t="shared" si="110"/>
        <v>EC</v>
      </c>
      <c r="AH85" s="81" t="str">
        <f t="shared" si="18"/>
        <v>"%USERPROFILE%\Documents\GitHub\eaglep3\Utilities\RefineRTDCRunTimes.py" --tripid 173-24 --locoid 4040 --swversion DE.1.0.9.0 --startMP 204:464 --initTime 2017-04-24T12:39:59 --startdatetime 2017-04-24T12:45:33 --delay 2 --endMP 204:233310 --enddatetime 2017-04-24T13:23:38 --enforcementcount 0 &gt;&gt;C:\Users\stu\Documents\GitHub\eaglep3-reporting\EC\2017-04-24-refined-times.txt</v>
      </c>
      <c r="AI85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{"issue":{"subject":"","project_id":79,"tracker_id":40,"status_id":1,"priority_id":2,"assigned_to_id":23,"start_date":"2017-04-24","description":"","custom_fields":[{"id":1,"name":"Subdivision","value":"EC"},{"id":4,"name":"Milepost","value":"23.331"},{"id":17,"name":"Train ID","value":"173-24"},{"id":16,"name":"Locomotive ID","value":"4040"},{"id":130,"name":"Impact","value":""},{"id":150,"name":"Time of Event (Mountain Time)","value":"13:23:38"},{"id":151,"name":"Denver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20"/>
        <v>start /low /b %USERPROFILE%\Documents\GitHub\eaglep3\Utilities\DownloadLogsFromS3.py --loco 4040 --day 2017-04-24</v>
      </c>
      <c r="AN85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19:23:38"},{"id":29,"name":"Sharepoint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2" t="s">
        <v>562</v>
      </c>
      <c r="B86" s="7">
        <v>4039</v>
      </c>
      <c r="C86" s="21" t="s">
        <v>212</v>
      </c>
      <c r="D86" s="21" t="s">
        <v>485</v>
      </c>
      <c r="E86" s="13">
        <v>42849.56621527778</v>
      </c>
      <c r="F86" s="13">
        <v>42849.570335648146</v>
      </c>
      <c r="G86" s="7">
        <v>1</v>
      </c>
      <c r="H86" s="21" t="s">
        <v>197</v>
      </c>
      <c r="I86" s="13">
        <v>42849.600648148145</v>
      </c>
      <c r="J86" s="7">
        <v>0</v>
      </c>
      <c r="K86" s="92" t="str">
        <f t="shared" si="103"/>
        <v>4039/4040</v>
      </c>
      <c r="L86" s="21" t="str">
        <f>VLOOKUP(A86,'Trips&amp;Operators'!$C$1:$G$99999,5,FALSE)</f>
        <v>SULLIVAN BRANDON</v>
      </c>
      <c r="M86" s="6">
        <f t="shared" si="104"/>
        <v>3.0312499999126885E-2</v>
      </c>
      <c r="N86" s="7">
        <f t="shared" si="97"/>
        <v>43.649999998742715</v>
      </c>
      <c r="O86" s="7"/>
      <c r="P86" s="7"/>
      <c r="Q86" s="22"/>
      <c r="R86" s="191"/>
      <c r="S86" s="197">
        <f t="shared" si="105"/>
        <v>1</v>
      </c>
      <c r="T86" s="191" t="str">
        <f t="shared" si="106"/>
        <v>Southbound</v>
      </c>
      <c r="U86" s="19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2" t="str">
        <f t="shared" si="100"/>
        <v>https://d0f6bd738d7f1b3e5a7ca70fe4ff75f0.us-east-1.aws.found.io/app/kibana#/discover/Steve-Slow-Train-Analysis-(2080s-and-2083s)?_g=(refreshInterval:(display:Off,pause:!f,section:0,value:0),time:(from:'2017-04-24T12:35:21-0600',mode:absolute,to:'2017-04-24T15:24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6" s="193" t="str">
        <f t="shared" si="107"/>
        <v>N</v>
      </c>
      <c r="X86" s="193">
        <f t="shared" si="111"/>
        <v>1</v>
      </c>
      <c r="Y86" s="193">
        <f t="shared" si="98"/>
        <v>23.299299999999999</v>
      </c>
      <c r="Z86" s="193">
        <f t="shared" si="99"/>
        <v>1.52E-2</v>
      </c>
      <c r="AA86" s="193">
        <f t="shared" si="108"/>
        <v>23.284099999999999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109"/>
        <v>0174-24</v>
      </c>
      <c r="AE86" s="80" t="str">
        <f t="shared" si="101"/>
        <v>aws s3 cp s3://rtdc.mdm.uploadarchive.raw/RTDC4039/ "%USERPROFILE%\AppData\Local\Temp\OnboardLogs"\RTDC4039\2017-04-24 --exclude "*" --recursive --include "*20170424*" &amp; "%USERPROFILE%\Documents\GitHub\mrs-test-scripts\Headless Mode &amp; Sideloading\WalkAndUnGZ.bat" "%USERPROFILE%\AppData\Local\Temp\OnboardLogs"\RTDC4039\2017-04-24 &amp; aws s3 cp s3://rtdc.mdm.uploadarchive.raw/RTDC4039/ "%USERPROFILE%\AppData\Local\Temp\OnboardLogs"\RTDC4039\2017-04-25 --exclude "*" --recursive --include "*20170425*" &amp; "%USERPROFILE%\Documents\GitHub\mrs-test-scripts\Headless Mode &amp; Sideloading\WalkAndUnGZ.bat" "%USERPROFILE%\AppData\Local\Temp\OnboardLogs"\RTDC4039\2017-04-25</v>
      </c>
      <c r="AF86" s="77" t="str">
        <f t="shared" si="102"/>
        <v>"C:\Program Files (x86)\AstroGrep\AstroGrep.exe" /e /r /s /spath="%USERPROFILE%\AppData\Local\Temp\OnboardLogs" /stypes="app*4039*20170424*" /stext=" 20:.+((SYSTEM_STATE.+slice.+state.+changed )|(ment ac)|(multiple cpu faults)|(system.+state.+changed )|(\[timeout)|(PRM\|1\|D)|(kpr)|(kdp)|(train.+moving)|(\|lc)|(penalty))"</v>
      </c>
      <c r="AG86" s="1" t="str">
        <f t="shared" si="110"/>
        <v>EC</v>
      </c>
      <c r="AH86" s="81" t="str">
        <f t="shared" si="18"/>
        <v>"%USERPROFILE%\Documents\GitHub\eaglep3\Utilities\RefineRTDCRunTimes.py" --tripid 174-24 --locoid 4039 --swversion DE.1.0.9.0 --startMP 204:232993 --initTime 2017-04-24T13:35:21 --startdatetime 2017-04-24T13:41:17 --delay 1 --endMP 204:152 --enddatetime 2017-04-24T14:24:56 --enforcementcount 0 &gt;&gt;C:\Users\stu\Documents\GitHub\eaglep3-reporting\EC\2017-04-24-refined-times.txt</v>
      </c>
      <c r="AI86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{"issue":{"subject":"","project_id":79,"tracker_id":40,"status_id":1,"priority_id":2,"assigned_to_id":23,"start_date":"2017-04-24","description":"","custom_fields":[{"id":1,"name":"Subdivision","value":"EC"},{"id":4,"name":"Milepost","value":"0.0152"},{"id":17,"name":"Train ID","value":"174-24"},{"id":16,"name":"Locomotive ID","value":"4039"},{"id":130,"name":"Impact","value":""},{"id":150,"name":"Time of Event (Mountain Time)","value":"14:24:56"},{"id":151,"name":"Denver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7"/>
      <c r="AL86" s="47"/>
      <c r="AM86" s="145" t="str">
        <f t="shared" si="20"/>
        <v>start /low /b %USERPROFILE%\Documents\GitHub\eaglep3\Utilities\DownloadLogsFromS3.py --loco 4039 --day 2017-04-24</v>
      </c>
      <c r="AN86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20:24:56"},{"id":29,"name":"Sharepoint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2" t="s">
        <v>695</v>
      </c>
      <c r="B87" s="7">
        <v>4012</v>
      </c>
      <c r="C87" s="21" t="s">
        <v>212</v>
      </c>
      <c r="D87" s="21" t="s">
        <v>208</v>
      </c>
      <c r="E87" s="13">
        <v>42849.537569444445</v>
      </c>
      <c r="F87" s="13">
        <v>42849.541828703703</v>
      </c>
      <c r="G87" s="7">
        <v>2</v>
      </c>
      <c r="H87" s="21" t="s">
        <v>818</v>
      </c>
      <c r="I87" s="13">
        <v>42849.566053240742</v>
      </c>
      <c r="J87" s="7">
        <v>0</v>
      </c>
      <c r="K87" s="92" t="str">
        <f t="shared" si="103"/>
        <v>4011/4012</v>
      </c>
      <c r="L87" s="21" t="str">
        <f>VLOOKUP(A87,'Trips&amp;Operators'!$C$1:$G$99999,5,FALSE)</f>
        <v>LALONDE GREGORY</v>
      </c>
      <c r="M87" s="6">
        <f t="shared" si="104"/>
        <v>2.4224537039117422E-2</v>
      </c>
      <c r="N87" s="7">
        <f t="shared" si="97"/>
        <v>34.883333336329088</v>
      </c>
      <c r="O87" s="7"/>
      <c r="P87" s="7"/>
      <c r="Q87" s="22"/>
      <c r="R87" s="191"/>
      <c r="S87" s="197">
        <f t="shared" si="105"/>
        <v>1</v>
      </c>
      <c r="T87" s="191" t="str">
        <f t="shared" si="106"/>
        <v>NorthBound</v>
      </c>
      <c r="U87" s="19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2" t="str">
        <f t="shared" si="100"/>
        <v>https://d0f6bd738d7f1b3e5a7ca70fe4ff75f0.us-east-1.aws.found.io/app/kibana#/discover/Steve-Slow-Train-Analysis-(2080s-and-2083s)?_g=(refreshInterval:(display:Off,pause:!f,section:0,value:0),time:(from:'2017-04-24T11:54:06-0600',mode:absolute,to:'2017-04-24T14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7" s="193" t="str">
        <f t="shared" si="107"/>
        <v>N</v>
      </c>
      <c r="X87" s="193">
        <f t="shared" si="111"/>
        <v>1</v>
      </c>
      <c r="Y87" s="193">
        <f t="shared" si="98"/>
        <v>4.5499999999999999E-2</v>
      </c>
      <c r="Z87" s="193">
        <f t="shared" si="99"/>
        <v>23.334499999999998</v>
      </c>
      <c r="AA87" s="193">
        <f t="shared" si="108"/>
        <v>23.288999999999998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109"/>
        <v>0175-24</v>
      </c>
      <c r="AE87" s="80" t="str">
        <f t="shared" si="101"/>
        <v>aws s3 cp s3://rtdc.mdm.uploadarchive.raw/RTDC4012/ "%USERPROFILE%\AppData\Local\Temp\OnboardLogs"\RTDC4012\2017-04-24 --exclude "*" --recursive --include "*20170424*" &amp; "%USERPROFILE%\Documents\GitHub\mrs-test-scripts\Headless Mode &amp; Sideloading\WalkAndUnGZ.bat" "%USERPROFILE%\AppData\Local\Temp\OnboardLogs"\RTDC4012\2017-04-24 &amp; aws s3 cp s3://rtdc.mdm.uploadarchive.raw/RTDC4012/ "%USERPROFILE%\AppData\Local\Temp\OnboardLogs"\RTDC4012\2017-04-25 --exclude "*" --recursive --include "*20170425*" &amp; "%USERPROFILE%\Documents\GitHub\mrs-test-scripts\Headless Mode &amp; Sideloading\WalkAndUnGZ.bat" "%USERPROFILE%\AppData\Local\Temp\OnboardLogs"\RTDC4012\2017-04-25</v>
      </c>
      <c r="AF87" s="77" t="str">
        <f t="shared" si="102"/>
        <v>"C:\Program Files (x86)\AstroGrep\AstroGrep.exe" /e /r /s /spath="%USERPROFILE%\AppData\Local\Temp\OnboardLogs" /stypes="app*4012*20170424*" /stext=" 19:.+((SYSTEM_STATE.+slice.+state.+changed )|(ment ac)|(multiple cpu faults)|(system.+state.+changed )|(\[timeout)|(PRM\|1\|D)|(kpr)|(kdp)|(train.+moving)|(\|lc)|(penalty))"</v>
      </c>
      <c r="AG87" s="1" t="str">
        <f t="shared" si="110"/>
        <v>EC</v>
      </c>
      <c r="AH87" s="81" t="str">
        <f t="shared" si="18"/>
        <v>"%USERPROFILE%\Documents\GitHub\eaglep3\Utilities\RefineRTDCRunTimes.py" --tripid 175-24 --locoid 4012 --swversion DE.1.0.9.0 --startMP 204:455 --initTime 2017-04-24T12:54:06 --startdatetime 2017-04-24T13:00:14 --delay 2 --endMP 204:233345 --enddatetime 2017-04-24T13:35:07 --enforcementcount 0 &gt;&gt;C:\Users\stu\Documents\GitHub\eaglep3-reporting\EC\2017-04-24-refined-times.txt</v>
      </c>
      <c r="AI87" s="99" t="str">
        <f t="shared" si="19"/>
        <v>echo {"issue":{"subject":"","project_id":79,"tracker_id":40,"status_id":1,"priority_id":2,"assigned_to_id":23,"start_date":"2017-04-24","description":"","custom_fields":[{"id":1,"name":"Subdivision","value":"EC"},{"id":4,"name":"Milepost","value":"23.3345"},{"id":17,"name":"Train ID","value":"175-24"},{"id":16,"name":"Locomotive ID","value":"4012"},{"id":130,"name":"Impact","value":""},{"id":150,"name":"Time of Event (Mountain Time)","value":"13:35:07"},{"id":151,"name":"Denver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20"/>
        <v>start /low /b %USERPROFILE%\Documents\GitHub\eaglep3\Utilities\DownloadLogsFromS3.py --loco 4012 --day 2017-04-24</v>
      </c>
      <c r="AN87" s="154" t="str">
        <f t="shared" si="21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19:35:07"},{"id":29,"name":"Sharepoint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2" t="s">
        <v>700</v>
      </c>
      <c r="B88" s="7">
        <v>4011</v>
      </c>
      <c r="C88" s="21" t="s">
        <v>212</v>
      </c>
      <c r="D88" s="21" t="s">
        <v>819</v>
      </c>
      <c r="E88" s="13">
        <v>42849.567418981482</v>
      </c>
      <c r="F88" s="13">
        <v>42849.580717592595</v>
      </c>
      <c r="G88" s="7">
        <v>1</v>
      </c>
      <c r="H88" s="21" t="s">
        <v>379</v>
      </c>
      <c r="I88" s="13">
        <v>42849.607002314813</v>
      </c>
      <c r="J88" s="7">
        <v>0</v>
      </c>
      <c r="K88" s="92" t="str">
        <f t="shared" si="103"/>
        <v>4011/4012</v>
      </c>
      <c r="L88" s="21" t="str">
        <f>VLOOKUP(A88,'Trips&amp;Operators'!$C$1:$G$99999,5,FALSE)</f>
        <v>LALONDE GREGORY</v>
      </c>
      <c r="M88" s="6">
        <f t="shared" si="104"/>
        <v>2.6284722218406387E-2</v>
      </c>
      <c r="N88" s="7">
        <f t="shared" si="97"/>
        <v>37.849999994505197</v>
      </c>
      <c r="O88" s="7"/>
      <c r="P88" s="7"/>
      <c r="Q88" s="22"/>
      <c r="R88" s="191"/>
      <c r="S88" s="197">
        <f t="shared" si="105"/>
        <v>1</v>
      </c>
      <c r="T88" s="191" t="str">
        <f t="shared" si="106"/>
        <v>Southbound</v>
      </c>
      <c r="U88" s="19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2" t="str">
        <f t="shared" si="100"/>
        <v>https://d0f6bd738d7f1b3e5a7ca70fe4ff75f0.us-east-1.aws.found.io/app/kibana#/discover/Steve-Slow-Train-Analysis-(2080s-and-2083s)?_g=(refreshInterval:(display:Off,pause:!f,section:0,value:0),time:(from:'2017-04-24T12:37:05-0600',mode:absolute,to:'2017-04-24T15:34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8" s="193" t="str">
        <f t="shared" si="107"/>
        <v>N</v>
      </c>
      <c r="X88" s="193">
        <f t="shared" si="111"/>
        <v>1</v>
      </c>
      <c r="Y88" s="193">
        <f t="shared" si="98"/>
        <v>23.300899999999999</v>
      </c>
      <c r="Z88" s="193">
        <f t="shared" si="99"/>
        <v>1.41E-2</v>
      </c>
      <c r="AA88" s="193">
        <f t="shared" si="108"/>
        <v>23.286799999999999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109"/>
        <v>0176-24</v>
      </c>
      <c r="AE88" s="80" t="str">
        <f t="shared" si="101"/>
        <v>aws s3 cp s3://rtdc.mdm.uploadarchive.raw/RTDC4011/ "%USERPROFILE%\AppData\Local\Temp\OnboardLogs"\RTDC4011\2017-04-24 --exclude "*" --recursive --include "*20170424*" &amp; "%USERPROFILE%\Documents\GitHub\mrs-test-scripts\Headless Mode &amp; Sideloading\WalkAndUnGZ.bat" "%USERPROFILE%\AppData\Local\Temp\OnboardLogs"\RTDC4011\2017-04-24 &amp; aws s3 cp s3://rtdc.mdm.uploadarchive.raw/RTDC4011/ "%USERPROFILE%\AppData\Local\Temp\OnboardLogs"\RTDC4011\2017-04-25 --exclude "*" --recursive --include "*20170425*" &amp; "%USERPROFILE%\Documents\GitHub\mrs-test-scripts\Headless Mode &amp; Sideloading\WalkAndUnGZ.bat" "%USERPROFILE%\AppData\Local\Temp\OnboardLogs"\RTDC4011\2017-04-25</v>
      </c>
      <c r="AF88" s="77" t="str">
        <f t="shared" si="102"/>
        <v>"C:\Program Files (x86)\AstroGrep\AstroGrep.exe" /e /r /s /spath="%USERPROFILE%\AppData\Local\Temp\OnboardLogs" /stypes="app*4011*20170424*" /stext=" 20:.+((SYSTEM_STATE.+slice.+state.+changed )|(ment ac)|(multiple cpu faults)|(system.+state.+changed )|(\[timeout)|(PRM\|1\|D)|(kpr)|(kdp)|(train.+moving)|(\|lc)|(penalty))"</v>
      </c>
      <c r="AG88" s="1" t="str">
        <f t="shared" si="110"/>
        <v>EC</v>
      </c>
      <c r="AH88" s="81" t="str">
        <f t="shared" ref="AH88:AH152" si="112">refinertdcruntimes&amp;" --tripid "&amp;A88&amp;" --locoid "&amp;B88&amp;" --swversion "&amp;C88&amp;" --startMP "&amp;D88&amp;" --initTime "&amp;TEXT(E88,"yyyy-mm-ddTHH:MM:SS")&amp;" --startdatetime "&amp;TEXT(F88,"yyyy-mm-ddTHH:MM:SS")&amp;" --delay "&amp;G88&amp;" --endMP "&amp;H88&amp;" --enddatetime "&amp;TEXT(I88,"yyyy-mm-ddTHH:MM:SS")&amp;" --enforcementcount "&amp;J88&amp;IF(outputrefinedruntimes," &gt;&gt;"&amp;RefinedRTDCRunTimesOutputFile,"")</f>
        <v>"%USERPROFILE%\Documents\GitHub\eaglep3\Utilities\RefineRTDCRunTimes.py" --tripid 176-24 --locoid 4011 --swversion DE.1.0.9.0 --startMP 204:233009 --initTime 2017-04-24T13:37:05 --startdatetime 2017-04-24T13:56:14 --delay 1 --endMP 204:141 --enddatetime 2017-04-24T14:34:05 --enforcementcount 0 &gt;&gt;C:\Users\stu\Documents\GitHub\eaglep3-reporting\EC\2017-04-24-refined-times.txt</v>
      </c>
      <c r="AI88" s="99" t="str">
        <f t="shared" ref="AI88:AI152" si="113">"echo {""issue"":{""subject"":"""&amp;R88&amp;""",""project_id"":79,""tracker_id"":40,""status_id"":"&amp;redmine_status&amp;",""priority_id"":"&amp;redmine_priority&amp;",""assigned_to_id"":"&amp;redmine_assignee&amp;",""start_date"":"""&amp;TEXT(I88,"YYYY-mm-dd")&amp;""",""description"":"""&amp;AJ88&amp;""",""custom_fields"":[{""id"":1,""name"":""Subdivision"",""value"":"""&amp;AG88&amp;"""},{""id"":4,""name"":""Milepost"",""value"":"""&amp;Z88&amp;"""},{""id"":17,""name"":""Train ID"",""value"":"""&amp;A88&amp;"""},{""id"":16,""name"":""Locomotive ID"",""value"":"""&amp;B88&amp;"""},{""id"":130,""name"":""Impact"",""value"":"""&amp;AK88&amp;"""},{""id"":150,""name"":""Time of Event (Mountain Time)"",""value"":"""&amp;TEXT(I88,"hh:mm:ss")&amp;"""},{""id"":151,""name"":""Denver Issue ID"",""value"":"""&amp;"""},{""id"":178,""name"":""Operational Impact"",""value"":"""&amp;redmine_op_impact&amp;"""},{""id"":179,""name"":""Denver Segment Assigned"",""value"":"""&amp;AL88&amp;"""}]}}"&amp;"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{"issue":{"subject":"","project_id":79,"tracker_id":40,"status_id":1,"priority_id":2,"assigned_to_id":23,"start_date":"2017-04-24","description":"","custom_fields":[{"id":1,"name":"Subdivision","value":"EC"},{"id":4,"name":"Milepost","value":"0.0141"},{"id":17,"name":"Train ID","value":"176-24"},{"id":16,"name":"Locomotive ID","value":"4011"},{"id":130,"name":"Impact","value":""},{"id":150,"name":"Time of Event (Mountain Time)","value":"14:34:05"},{"id":151,"name":"Denver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ref="AM88:AM152" si="114">"start /low /b "&amp;dls3logs&amp;" --loco "&amp;B88&amp;" --day "&amp;TEXT(F88,"YYYY-MM-DD")</f>
        <v>start /low /b %USERPROFILE%\Documents\GitHub\eaglep3\Utilities\DownloadLogsFromS3.py --loco 4011 --day 2017-04-24</v>
      </c>
      <c r="AN88" s="154" t="str">
        <f t="shared" ref="AN88:AN152" si="115">"echo {""issue"":{""subject"":"""&amp;R88&amp;""",""project_id"":30,""tracker_id"":4,""status_id"":"&amp;redmine_status_wcr&amp;",""priority_id"":"&amp;redmine_priority_wcr&amp;",""assigned_to_id"":"&amp;redmine_assignee_wcr&amp;",""start_date"":"""&amp;TEXT(I88-utc_offset/24,"YYYY-mm-dd")&amp;""",""description"":"""&amp;AJ88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20:34:05"},{"id":29,"name":"Sharepoint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9" spans="1:91" s="20" customFormat="1" x14ac:dyDescent="0.25">
      <c r="A89" s="32" t="s">
        <v>696</v>
      </c>
      <c r="B89" s="7">
        <v>4028</v>
      </c>
      <c r="C89" s="21" t="s">
        <v>212</v>
      </c>
      <c r="D89" s="21" t="s">
        <v>820</v>
      </c>
      <c r="E89" s="13">
        <v>42849.54892361111</v>
      </c>
      <c r="F89" s="13">
        <v>42849.552233796298</v>
      </c>
      <c r="G89" s="7">
        <v>1</v>
      </c>
      <c r="H89" s="21" t="s">
        <v>477</v>
      </c>
      <c r="I89" s="13">
        <v>42849.578425925924</v>
      </c>
      <c r="J89" s="7">
        <v>0</v>
      </c>
      <c r="K89" s="92" t="str">
        <f t="shared" si="103"/>
        <v>4027/4028</v>
      </c>
      <c r="L89" s="21" t="str">
        <f>VLOOKUP(A89,'Trips&amp;Operators'!$C$1:$G$99999,5,FALSE)</f>
        <v>CLARK KATHLEEN</v>
      </c>
      <c r="M89" s="6">
        <f t="shared" si="104"/>
        <v>2.619212962599704E-2</v>
      </c>
      <c r="N89" s="7">
        <f t="shared" si="97"/>
        <v>37.716666661435738</v>
      </c>
      <c r="O89" s="7"/>
      <c r="P89" s="7"/>
      <c r="Q89" s="22"/>
      <c r="R89" s="191"/>
      <c r="S89" s="197">
        <f t="shared" si="105"/>
        <v>1</v>
      </c>
      <c r="T89" s="191" t="str">
        <f t="shared" si="106"/>
        <v>NorthBound</v>
      </c>
      <c r="U89" s="19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2" t="str">
        <f t="shared" si="100"/>
        <v>https://d0f6bd738d7f1b3e5a7ca70fe4ff75f0.us-east-1.aws.found.io/app/kibana#/discover/Steve-Slow-Train-Analysis-(2080s-and-2083s)?_g=(refreshInterval:(display:Off,pause:!f,section:0,value:0),time:(from:'2017-04-24T12:10:27-0600',mode:absolute,to:'2017-04-24T14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9" s="193" t="str">
        <f t="shared" si="107"/>
        <v>N</v>
      </c>
      <c r="X89" s="193">
        <f t="shared" si="111"/>
        <v>1</v>
      </c>
      <c r="Y89" s="193">
        <f t="shared" si="98"/>
        <v>4.9500000000000002E-2</v>
      </c>
      <c r="Z89" s="193">
        <f t="shared" si="99"/>
        <v>23.330200000000001</v>
      </c>
      <c r="AA89" s="193">
        <f t="shared" si="108"/>
        <v>23.280700000000003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109"/>
        <v>0177-24</v>
      </c>
      <c r="AE89" s="80" t="str">
        <f t="shared" si="101"/>
        <v>aws s3 cp s3://rtdc.mdm.uploadarchive.raw/RTDC4028/ "%USERPROFILE%\AppData\Local\Temp\OnboardLogs"\RTDC4028\2017-04-24 --exclude "*" --recursive --include "*20170424*" &amp; "%USERPROFILE%\Documents\GitHub\mrs-test-scripts\Headless Mode &amp; Sideloading\WalkAndUnGZ.bat" "%USERPROFILE%\AppData\Local\Temp\OnboardLogs"\RTDC4028\2017-04-24 &amp; aws s3 cp s3://rtdc.mdm.uploadarchive.raw/RTDC4028/ "%USERPROFILE%\AppData\Local\Temp\OnboardLogs"\RTDC4028\2017-04-25 --exclude "*" --recursive --include "*20170425*" &amp; "%USERPROFILE%\Documents\GitHub\mrs-test-scripts\Headless Mode &amp; Sideloading\WalkAndUnGZ.bat" "%USERPROFILE%\AppData\Local\Temp\OnboardLogs"\RTDC4028\2017-04-25</v>
      </c>
      <c r="AF89" s="77" t="str">
        <f t="shared" si="102"/>
        <v>"C:\Program Files (x86)\AstroGrep\AstroGrep.exe" /e /r /s /spath="%USERPROFILE%\AppData\Local\Temp\OnboardLogs" /stypes="app*4028*20170424*" /stext=" 19:.+((SYSTEM_STATE.+slice.+state.+changed )|(ment ac)|(multiple cpu faults)|(system.+state.+changed )|(\[timeout)|(PRM\|1\|D)|(kpr)|(kdp)|(train.+moving)|(\|lc)|(penalty))"</v>
      </c>
      <c r="AG89" s="1" t="str">
        <f t="shared" si="110"/>
        <v>EC</v>
      </c>
      <c r="AH89" s="81" t="str">
        <f t="shared" si="112"/>
        <v>"%USERPROFILE%\Documents\GitHub\eaglep3\Utilities\RefineRTDCRunTimes.py" --tripid 177-24 --locoid 4028 --swversion DE.1.0.9.0 --startMP 204:495 --initTime 2017-04-24T13:10:27 --startdatetime 2017-04-24T13:15:13 --delay 1 --endMP 204:233302 --enddatetime 2017-04-24T13:52:56 --enforcementcount 0 &gt;&gt;C:\Users\stu\Documents\GitHub\eaglep3-reporting\EC\2017-04-24-refined-times.txt</v>
      </c>
      <c r="AI89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{"issue":{"subject":"","project_id":79,"tracker_id":40,"status_id":1,"priority_id":2,"assigned_to_id":23,"start_date":"2017-04-24","description":"","custom_fields":[{"id":1,"name":"Subdivision","value":"EC"},{"id":4,"name":"Milepost","value":"23.3302"},{"id":17,"name":"Train ID","value":"177-24"},{"id":16,"name":"Locomotive ID","value":"4028"},{"id":130,"name":"Impact","value":""},{"id":150,"name":"Time of Event (Mountain Time)","value":"13:52:56"},{"id":151,"name":"Denver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114"/>
        <v>start /low /b %USERPROFILE%\Documents\GitHub\eaglep3\Utilities\DownloadLogsFromS3.py --loco 4028 --day 2017-04-24</v>
      </c>
      <c r="AN89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19:52:56"},{"id":29,"name":"Sharepoint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702</v>
      </c>
      <c r="B90" s="7">
        <v>4027</v>
      </c>
      <c r="C90" s="21" t="s">
        <v>212</v>
      </c>
      <c r="D90" s="21" t="s">
        <v>821</v>
      </c>
      <c r="E90" s="13">
        <v>42849.588333333333</v>
      </c>
      <c r="F90" s="13">
        <v>42849.591122685182</v>
      </c>
      <c r="G90" s="7">
        <v>0</v>
      </c>
      <c r="H90" s="21" t="s">
        <v>822</v>
      </c>
      <c r="I90" s="13">
        <v>42849.620023148149</v>
      </c>
      <c r="J90" s="7">
        <v>0</v>
      </c>
      <c r="K90" s="92" t="str">
        <f t="shared" si="103"/>
        <v>4027/4028</v>
      </c>
      <c r="L90" s="21" t="str">
        <f>VLOOKUP(A90,'Trips&amp;Operators'!$C$1:$G$99999,5,FALSE)</f>
        <v>CLARK KATHLEEN</v>
      </c>
      <c r="M90" s="6">
        <f t="shared" si="104"/>
        <v>2.8900462966703344E-2</v>
      </c>
      <c r="N90" s="7">
        <f t="shared" ref="N90:N110" si="116">24*60*SUM($M90:$M90)</f>
        <v>41.616666672052816</v>
      </c>
      <c r="O90" s="7"/>
      <c r="P90" s="7"/>
      <c r="Q90" s="22"/>
      <c r="R90" s="191"/>
      <c r="S90" s="197">
        <f t="shared" si="105"/>
        <v>1</v>
      </c>
      <c r="T90" s="191" t="str">
        <f t="shared" si="106"/>
        <v>Southbound</v>
      </c>
      <c r="U90" s="19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2" t="str">
        <f t="shared" si="100"/>
        <v>https://d0f6bd738d7f1b3e5a7ca70fe4ff75f0.us-east-1.aws.found.io/app/kibana#/discover/Steve-Slow-Train-Analysis-(2080s-and-2083s)?_g=(refreshInterval:(display:Off,pause:!f,section:0,value:0),time:(from:'2017-04-24T13:07:12-0600',mode:absolute,to:'2017-04-24T15:52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0" s="193" t="str">
        <f t="shared" si="107"/>
        <v>N</v>
      </c>
      <c r="X90" s="193">
        <f t="shared" si="111"/>
        <v>1</v>
      </c>
      <c r="Y90" s="193">
        <f t="shared" ref="Y90:Y121" si="117">RIGHT(D90,LEN(D90)-4)/10000</f>
        <v>23.2987</v>
      </c>
      <c r="Z90" s="193">
        <f t="shared" ref="Z90:Z121" si="118">RIGHT(H90,LEN(H90)-4)/10000</f>
        <v>1.83E-2</v>
      </c>
      <c r="AA90" s="193">
        <f t="shared" si="108"/>
        <v>23.2804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109"/>
        <v>0178-24</v>
      </c>
      <c r="AE90" s="80" t="str">
        <f t="shared" si="101"/>
        <v>aws s3 cp s3://rtdc.mdm.uploadarchive.raw/RTDC4027/ "%USERPROFILE%\AppData\Local\Temp\OnboardLogs"\RTDC4027\2017-04-24 --exclude "*" --recursive --include "*20170424*" &amp; "%USERPROFILE%\Documents\GitHub\mrs-test-scripts\Headless Mode &amp; Sideloading\WalkAndUnGZ.bat" "%USERPROFILE%\AppData\Local\Temp\OnboardLogs"\RTDC4027\2017-04-24 &amp; aws s3 cp s3://rtdc.mdm.uploadarchive.raw/RTDC4027/ "%USERPROFILE%\AppData\Local\Temp\OnboardLogs"\RTDC4027\2017-04-25 --exclude "*" --recursive --include "*20170425*" &amp; "%USERPROFILE%\Documents\GitHub\mrs-test-scripts\Headless Mode &amp; Sideloading\WalkAndUnGZ.bat" "%USERPROFILE%\AppData\Local\Temp\OnboardLogs"\RTDC4027\2017-04-25</v>
      </c>
      <c r="AF90" s="77" t="str">
        <f t="shared" si="102"/>
        <v>"C:\Program Files (x86)\AstroGrep\AstroGrep.exe" /e /r /s /spath="%USERPROFILE%\AppData\Local\Temp\OnboardLogs" /stypes="app*4027*20170424*" /stext=" 20:.+((SYSTEM_STATE.+slice.+state.+changed )|(ment ac)|(multiple cpu faults)|(system.+state.+changed )|(\[timeout)|(PRM\|1\|D)|(kpr)|(kdp)|(train.+moving)|(\|lc)|(penalty))"</v>
      </c>
      <c r="AG90" s="1" t="str">
        <f t="shared" si="110"/>
        <v>EC</v>
      </c>
      <c r="AH90" s="81" t="str">
        <f t="shared" si="112"/>
        <v>"%USERPROFILE%\Documents\GitHub\eaglep3\Utilities\RefineRTDCRunTimes.py" --tripid 178-24 --locoid 4027 --swversion DE.1.0.9.0 --startMP 204:232987 --initTime 2017-04-24T14:07:12 --startdatetime 2017-04-24T14:11:13 --delay 0 --endMP 204:183 --enddatetime 2017-04-24T14:52:50 --enforcementcount 0 &gt;&gt;C:\Users\stu\Documents\GitHub\eaglep3-reporting\EC\2017-04-24-refined-times.txt</v>
      </c>
      <c r="AI90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{"issue":{"subject":"","project_id":79,"tracker_id":40,"status_id":1,"priority_id":2,"assigned_to_id":23,"start_date":"2017-04-24","description":"","custom_fields":[{"id":1,"name":"Subdivision","value":"EC"},{"id":4,"name":"Milepost","value":"0.0183"},{"id":17,"name":"Train ID","value":"178-24"},{"id":16,"name":"Locomotive ID","value":"4027"},{"id":130,"name":"Impact","value":""},{"id":150,"name":"Time of Event (Mountain Time)","value":"14:52:50"},{"id":151,"name":"Denver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114"/>
        <v>start /low /b %USERPROFILE%\Documents\GitHub\eaglep3\Utilities\DownloadLogsFromS3.py --loco 4027 --day 2017-04-24</v>
      </c>
      <c r="AN90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20:52:50"},{"id":29,"name":"Sharepoint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699</v>
      </c>
      <c r="B91" s="7">
        <v>4030</v>
      </c>
      <c r="C91" s="21" t="s">
        <v>212</v>
      </c>
      <c r="D91" s="21" t="s">
        <v>429</v>
      </c>
      <c r="E91" s="13">
        <v>42849.556493055556</v>
      </c>
      <c r="F91" s="13">
        <v>42849.562893518516</v>
      </c>
      <c r="G91" s="7">
        <v>3</v>
      </c>
      <c r="H91" s="21" t="s">
        <v>531</v>
      </c>
      <c r="I91" s="13">
        <v>42849.588136574072</v>
      </c>
      <c r="J91" s="7">
        <v>0</v>
      </c>
      <c r="K91" s="92" t="str">
        <f t="shared" si="103"/>
        <v>4029/4030</v>
      </c>
      <c r="L91" s="21" t="str">
        <f>VLOOKUP(A91,'Trips&amp;Operators'!$C$1:$G$99999,5,FALSE)</f>
        <v>LAMAR NEKESHA</v>
      </c>
      <c r="M91" s="6">
        <f t="shared" si="104"/>
        <v>2.5243055555620231E-2</v>
      </c>
      <c r="N91" s="7">
        <f t="shared" si="116"/>
        <v>36.350000000093132</v>
      </c>
      <c r="O91" s="7"/>
      <c r="P91" s="7"/>
      <c r="Q91" s="22"/>
      <c r="R91" s="191"/>
      <c r="S91" s="197">
        <f t="shared" si="105"/>
        <v>1</v>
      </c>
      <c r="T91" s="191" t="str">
        <f t="shared" si="106"/>
        <v>NorthBound</v>
      </c>
      <c r="U91" s="19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2" t="str">
        <f t="shared" si="100"/>
        <v>https://d0f6bd738d7f1b3e5a7ca70fe4ff75f0.us-east-1.aws.found.io/app/kibana#/discover/Steve-Slow-Train-Analysis-(2080s-and-2083s)?_g=(refreshInterval:(display:Off,pause:!f,section:0,value:0),time:(from:'2017-04-24T12:21:21-0600',mode:absolute,to:'2017-04-24T15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1" s="193" t="str">
        <f t="shared" si="107"/>
        <v>N</v>
      </c>
      <c r="X91" s="193">
        <f t="shared" si="111"/>
        <v>1</v>
      </c>
      <c r="Y91" s="193">
        <f t="shared" si="117"/>
        <v>4.6600000000000003E-2</v>
      </c>
      <c r="Z91" s="193">
        <f t="shared" si="118"/>
        <v>23.337800000000001</v>
      </c>
      <c r="AA91" s="193">
        <f t="shared" si="108"/>
        <v>23.2912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109"/>
        <v>0179-24</v>
      </c>
      <c r="AE91" s="80" t="str">
        <f t="shared" si="101"/>
        <v>aws s3 cp s3://rtdc.mdm.uploadarchive.raw/RTDC4030/ "%USERPROFILE%\AppData\Local\Temp\OnboardLogs"\RTDC4030\2017-04-24 --exclude "*" --recursive --include "*20170424*" &amp; "%USERPROFILE%\Documents\GitHub\mrs-test-scripts\Headless Mode &amp; Sideloading\WalkAndUnGZ.bat" "%USERPROFILE%\AppData\Local\Temp\OnboardLogs"\RTDC4030\2017-04-24 &amp; aws s3 cp s3://rtdc.mdm.uploadarchive.raw/RTDC4030/ "%USERPROFILE%\AppData\Local\Temp\OnboardLogs"\RTDC4030\2017-04-25 --exclude "*" --recursive --include "*20170425*" &amp; "%USERPROFILE%\Documents\GitHub\mrs-test-scripts\Headless Mode &amp; Sideloading\WalkAndUnGZ.bat" "%USERPROFILE%\AppData\Local\Temp\OnboardLogs"\RTDC4030\2017-04-25</v>
      </c>
      <c r="AF91" s="77" t="str">
        <f t="shared" si="102"/>
        <v>"C:\Program Files (x86)\AstroGrep\AstroGrep.exe" /e /r /s /spath="%USERPROFILE%\AppData\Local\Temp\OnboardLogs" /stypes="app*4030*20170424*" /stext=" 20:.+((SYSTEM_STATE.+slice.+state.+changed )|(ment ac)|(multiple cpu faults)|(system.+state.+changed )|(\[timeout)|(PRM\|1\|D)|(kpr)|(kdp)|(train.+moving)|(\|lc)|(penalty))"</v>
      </c>
      <c r="AG91" s="1" t="str">
        <f t="shared" si="110"/>
        <v>EC</v>
      </c>
      <c r="AH91" s="81" t="str">
        <f t="shared" si="112"/>
        <v>"%USERPROFILE%\Documents\GitHub\eaglep3\Utilities\RefineRTDCRunTimes.py" --tripid 179-24 --locoid 4030 --swversion DE.1.0.9.0 --startMP 204:466 --initTime 2017-04-24T13:21:21 --startdatetime 2017-04-24T13:30:34 --delay 3 --endMP 204:233378 --enddatetime 2017-04-24T14:06:55 --enforcementcount 0 &gt;&gt;C:\Users\stu\Documents\GitHub\eaglep3-reporting\EC\2017-04-24-refined-times.txt</v>
      </c>
      <c r="AI91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{"issue":{"subject":"","project_id":79,"tracker_id":40,"status_id":1,"priority_id":2,"assigned_to_id":23,"start_date":"2017-04-24","description":"","custom_fields":[{"id":1,"name":"Subdivision","value":"EC"},{"id":4,"name":"Milepost","value":"23.3378"},{"id":17,"name":"Train ID","value":"179-24"},{"id":16,"name":"Locomotive ID","value":"4030"},{"id":130,"name":"Impact","value":""},{"id":150,"name":"Time of Event (Mountain Time)","value":"14:06:55"},{"id":151,"name":"Denver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114"/>
        <v>start /low /b %USERPROFILE%\Documents\GitHub\eaglep3\Utilities\DownloadLogsFromS3.py --loco 4030 --day 2017-04-24</v>
      </c>
      <c r="AN91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20:06:55"},{"id":29,"name":"Sharepoint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565</v>
      </c>
      <c r="B92" s="7">
        <v>4029</v>
      </c>
      <c r="C92" s="21" t="s">
        <v>212</v>
      </c>
      <c r="D92" s="21" t="s">
        <v>823</v>
      </c>
      <c r="E92" s="13">
        <v>42849.590601851851</v>
      </c>
      <c r="F92" s="13">
        <v>42849.601921296293</v>
      </c>
      <c r="G92" s="7">
        <v>2</v>
      </c>
      <c r="H92" s="21" t="s">
        <v>824</v>
      </c>
      <c r="I92" s="13">
        <v>42849.630428240744</v>
      </c>
      <c r="J92" s="7">
        <v>0</v>
      </c>
      <c r="K92" s="92" t="str">
        <f t="shared" si="103"/>
        <v>4029/4030</v>
      </c>
      <c r="L92" s="21" t="str">
        <f>VLOOKUP(A92,'Trips&amp;Operators'!$C$1:$G$99999,5,FALSE)</f>
        <v>LAMAR NEKESHA</v>
      </c>
      <c r="M92" s="6">
        <f t="shared" si="104"/>
        <v>2.8506944450782612E-2</v>
      </c>
      <c r="N92" s="7">
        <f t="shared" si="116"/>
        <v>41.050000009126961</v>
      </c>
      <c r="O92" s="7"/>
      <c r="P92" s="7"/>
      <c r="Q92" s="22"/>
      <c r="R92" s="191"/>
      <c r="S92" s="197">
        <f t="shared" si="105"/>
        <v>1</v>
      </c>
      <c r="T92" s="191" t="str">
        <f t="shared" si="106"/>
        <v>Southbound</v>
      </c>
      <c r="U92" s="19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2" t="str">
        <f t="shared" si="100"/>
        <v>https://d0f6bd738d7f1b3e5a7ca70fe4ff75f0.us-east-1.aws.found.io/app/kibana#/discover/Steve-Slow-Train-Analysis-(2080s-and-2083s)?_g=(refreshInterval:(display:Off,pause:!f,section:0,value:0),time:(from:'2017-04-24T13:10:28-0600',mode:absolute,to:'2017-04-24T16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2" s="193" t="str">
        <f t="shared" si="107"/>
        <v>N</v>
      </c>
      <c r="X92" s="193">
        <f t="shared" si="111"/>
        <v>1</v>
      </c>
      <c r="Y92" s="193">
        <f t="shared" si="117"/>
        <v>23.306899999999999</v>
      </c>
      <c r="Z92" s="193">
        <f t="shared" si="118"/>
        <v>2.58E-2</v>
      </c>
      <c r="AA92" s="193">
        <f t="shared" si="108"/>
        <v>23.281099999999999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109"/>
        <v>0180-24</v>
      </c>
      <c r="AE92" s="80" t="str">
        <f t="shared" si="101"/>
        <v>aws s3 cp s3://rtdc.mdm.uploadarchive.raw/RTDC4029/ "%USERPROFILE%\AppData\Local\Temp\OnboardLogs"\RTDC4029\2017-04-24 --exclude "*" --recursive --include "*20170424*" &amp; "%USERPROFILE%\Documents\GitHub\mrs-test-scripts\Headless Mode &amp; Sideloading\WalkAndUnGZ.bat" "%USERPROFILE%\AppData\Local\Temp\OnboardLogs"\RTDC4029\2017-04-24 &amp; aws s3 cp s3://rtdc.mdm.uploadarchive.raw/RTDC4029/ "%USERPROFILE%\AppData\Local\Temp\OnboardLogs"\RTDC4029\2017-04-25 --exclude "*" --recursive --include "*20170425*" &amp; "%USERPROFILE%\Documents\GitHub\mrs-test-scripts\Headless Mode &amp; Sideloading\WalkAndUnGZ.bat" "%USERPROFILE%\AppData\Local\Temp\OnboardLogs"\RTDC4029\2017-04-25</v>
      </c>
      <c r="AF92" s="77" t="str">
        <f t="shared" si="102"/>
        <v>"C:\Program Files (x86)\AstroGrep\AstroGrep.exe" /e /r /s /spath="%USERPROFILE%\AppData\Local\Temp\OnboardLogs" /stypes="app*4029*20170424*" /stext=" 21:.+((SYSTEM_STATE.+slice.+state.+changed )|(ment ac)|(multiple cpu faults)|(system.+state.+changed )|(\[timeout)|(PRM\|1\|D)|(kpr)|(kdp)|(train.+moving)|(\|lc)|(penalty))"</v>
      </c>
      <c r="AG92" s="1" t="str">
        <f t="shared" si="110"/>
        <v>EC</v>
      </c>
      <c r="AH92" s="81" t="str">
        <f t="shared" si="112"/>
        <v>"%USERPROFILE%\Documents\GitHub\eaglep3\Utilities\RefineRTDCRunTimes.py" --tripid 180-24 --locoid 4029 --swversion DE.1.0.9.0 --startMP 204:233069 --initTime 2017-04-24T14:10:28 --startdatetime 2017-04-24T14:26:46 --delay 2 --endMP 204:258 --enddatetime 2017-04-24T15:07:49 --enforcementcount 0 &gt;&gt;C:\Users\stu\Documents\GitHub\eaglep3-reporting\EC\2017-04-24-refined-times.txt</v>
      </c>
      <c r="AI92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{"issue":{"subject":"","project_id":79,"tracker_id":40,"status_id":1,"priority_id":2,"assigned_to_id":23,"start_date":"2017-04-24","description":"","custom_fields":[{"id":1,"name":"Subdivision","value":"EC"},{"id":4,"name":"Milepost","value":"0.0258"},{"id":17,"name":"Train ID","value":"180-24"},{"id":16,"name":"Locomotive ID","value":"4029"},{"id":130,"name":"Impact","value":""},{"id":150,"name":"Time of Event (Mountain Time)","value":"15:07:49"},{"id":151,"name":"Denver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5" t="str">
        <f t="shared" si="114"/>
        <v>start /low /b %USERPROFILE%\Documents\GitHub\eaglep3\Utilities\DownloadLogsFromS3.py --loco 4029 --day 2017-04-24</v>
      </c>
      <c r="AN92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21:07:49"},{"id":29,"name":"Sharepoint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2" t="s">
        <v>701</v>
      </c>
      <c r="B93" s="7">
        <v>4024</v>
      </c>
      <c r="C93" s="21" t="s">
        <v>212</v>
      </c>
      <c r="D93" s="21" t="s">
        <v>369</v>
      </c>
      <c r="E93" s="13">
        <v>42849.570706018516</v>
      </c>
      <c r="F93" s="13">
        <v>42849.573483796295</v>
      </c>
      <c r="G93" s="7">
        <v>2</v>
      </c>
      <c r="H93" s="21" t="s">
        <v>825</v>
      </c>
      <c r="I93" s="13">
        <v>42849.599016203705</v>
      </c>
      <c r="J93" s="7">
        <v>0</v>
      </c>
      <c r="K93" s="92" t="str">
        <f t="shared" si="103"/>
        <v>4023/4024</v>
      </c>
      <c r="L93" s="21" t="str">
        <f>VLOOKUP(A93,'Trips&amp;Operators'!$C$1:$G$99999,5,FALSE)</f>
        <v>NELSON ARIANE</v>
      </c>
      <c r="M93" s="6">
        <f t="shared" si="104"/>
        <v>2.5532407409627922E-2</v>
      </c>
      <c r="N93" s="7">
        <f t="shared" si="116"/>
        <v>36.766666669864208</v>
      </c>
      <c r="O93" s="7"/>
      <c r="P93" s="7"/>
      <c r="Q93" s="22"/>
      <c r="R93" s="191"/>
      <c r="S93" s="197">
        <f t="shared" si="105"/>
        <v>1</v>
      </c>
      <c r="T93" s="191" t="str">
        <f t="shared" si="106"/>
        <v>NorthBound</v>
      </c>
      <c r="U93" s="19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2" t="str">
        <f t="shared" si="100"/>
        <v>https://d0f6bd738d7f1b3e5a7ca70fe4ff75f0.us-east-1.aws.found.io/app/kibana#/discover/Steve-Slow-Train-Analysis-(2080s-and-2083s)?_g=(refreshInterval:(display:Off,pause:!f,section:0,value:0),time:(from:'2017-04-24T12:41:49-0600',mode:absolute,to:'2017-04-24T15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3" s="193" t="str">
        <f t="shared" si="107"/>
        <v>N</v>
      </c>
      <c r="X93" s="193">
        <f t="shared" si="111"/>
        <v>1</v>
      </c>
      <c r="Y93" s="193">
        <f t="shared" si="117"/>
        <v>4.4900000000000002E-2</v>
      </c>
      <c r="Z93" s="193">
        <f t="shared" si="118"/>
        <v>23.332100000000001</v>
      </c>
      <c r="AA93" s="193">
        <f t="shared" si="108"/>
        <v>23.287200000000002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109"/>
        <v>0181-24</v>
      </c>
      <c r="AE93" s="80" t="str">
        <f t="shared" si="101"/>
        <v>aws s3 cp s3://rtdc.mdm.uploadarchive.raw/RTDC4024/ "%USERPROFILE%\AppData\Local\Temp\OnboardLogs"\RTDC4024\2017-04-24 --exclude "*" --recursive --include "*20170424*" &amp; "%USERPROFILE%\Documents\GitHub\mrs-test-scripts\Headless Mode &amp; Sideloading\WalkAndUnGZ.bat" "%USERPROFILE%\AppData\Local\Temp\OnboardLogs"\RTDC4024\2017-04-24 &amp; aws s3 cp s3://rtdc.mdm.uploadarchive.raw/RTDC4024/ "%USERPROFILE%\AppData\Local\Temp\OnboardLogs"\RTDC4024\2017-04-25 --exclude "*" --recursive --include "*20170425*" &amp; "%USERPROFILE%\Documents\GitHub\mrs-test-scripts\Headless Mode &amp; Sideloading\WalkAndUnGZ.bat" "%USERPROFILE%\AppData\Local\Temp\OnboardLogs"\RTDC4024\2017-04-25</v>
      </c>
      <c r="AF93" s="77" t="str">
        <f t="shared" si="102"/>
        <v>"C:\Program Files (x86)\AstroGrep\AstroGrep.exe" /e /r /s /spath="%USERPROFILE%\AppData\Local\Temp\OnboardLogs" /stypes="app*4024*20170424*" /stext=" 20:.+((SYSTEM_STATE.+slice.+state.+changed )|(ment ac)|(multiple cpu faults)|(system.+state.+changed )|(\[timeout)|(PRM\|1\|D)|(kpr)|(kdp)|(train.+moving)|(\|lc)|(penalty))"</v>
      </c>
      <c r="AG93" s="1" t="str">
        <f t="shared" si="110"/>
        <v>EC</v>
      </c>
      <c r="AH93" s="81" t="str">
        <f t="shared" si="112"/>
        <v>"%USERPROFILE%\Documents\GitHub\eaglep3\Utilities\RefineRTDCRunTimes.py" --tripid 181-24 --locoid 4024 --swversion DE.1.0.9.0 --startMP 204:449 --initTime 2017-04-24T13:41:49 --startdatetime 2017-04-24T13:45:49 --delay 2 --endMP 204:233321 --enddatetime 2017-04-24T14:22:35 --enforcementcount 0 &gt;&gt;C:\Users\stu\Documents\GitHub\eaglep3-reporting\EC\2017-04-24-refined-times.txt</v>
      </c>
      <c r="AI93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{"issue":{"subject":"","project_id":79,"tracker_id":40,"status_id":1,"priority_id":2,"assigned_to_id":23,"start_date":"2017-04-24","description":"","custom_fields":[{"id":1,"name":"Subdivision","value":"EC"},{"id":4,"name":"Milepost","value":"23.3321"},{"id":17,"name":"Train ID","value":"181-24"},{"id":16,"name":"Locomotive ID","value":"4024"},{"id":130,"name":"Impact","value":""},{"id":150,"name":"Time of Event (Mountain Time)","value":"14:22:35"},{"id":151,"name":"Denver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114"/>
        <v>start /low /b %USERPROFILE%\Documents\GitHub\eaglep3\Utilities\DownloadLogsFromS3.py --loco 4024 --day 2017-04-24</v>
      </c>
      <c r="AN93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20:22:35"},{"id":29,"name":"Sharepoint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4" spans="1:91" s="1" customFormat="1" x14ac:dyDescent="0.25">
      <c r="A94" s="32" t="s">
        <v>564</v>
      </c>
      <c r="B94" s="7">
        <v>4023</v>
      </c>
      <c r="C94" s="21" t="s">
        <v>212</v>
      </c>
      <c r="D94" s="21" t="s">
        <v>518</v>
      </c>
      <c r="E94" s="13">
        <v>42849.609444444446</v>
      </c>
      <c r="F94" s="13">
        <v>42849.612037037034</v>
      </c>
      <c r="G94" s="7">
        <v>1</v>
      </c>
      <c r="H94" s="21" t="s">
        <v>810</v>
      </c>
      <c r="I94" s="13">
        <v>42849.641689814816</v>
      </c>
      <c r="J94" s="7">
        <v>0</v>
      </c>
      <c r="K94" s="92" t="str">
        <f t="shared" si="103"/>
        <v>4023/4024</v>
      </c>
      <c r="L94" s="21" t="str">
        <f>VLOOKUP(A94,'Trips&amp;Operators'!$C$1:$G$99999,5,FALSE)</f>
        <v>NELSON ARIANE</v>
      </c>
      <c r="M94" s="6">
        <f t="shared" si="104"/>
        <v>2.9652777782757767E-2</v>
      </c>
      <c r="N94" s="7">
        <f t="shared" si="116"/>
        <v>42.700000007171184</v>
      </c>
      <c r="O94" s="7"/>
      <c r="P94" s="7"/>
      <c r="Q94" s="22"/>
      <c r="R94" s="191"/>
      <c r="S94" s="197">
        <f t="shared" si="105"/>
        <v>1</v>
      </c>
      <c r="T94" s="191" t="str">
        <f t="shared" si="106"/>
        <v>Southbound</v>
      </c>
      <c r="U94" s="19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2" t="str">
        <f t="shared" si="100"/>
        <v>https://d0f6bd738d7f1b3e5a7ca70fe4ff75f0.us-east-1.aws.found.io/app/kibana#/discover/Steve-Slow-Train-Analysis-(2080s-and-2083s)?_g=(refreshInterval:(display:Off,pause:!f,section:0,value:0),time:(from:'2017-04-24T13:37:36-0600',mode:absolute,to:'2017-04-24T16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4" s="193" t="str">
        <f t="shared" si="107"/>
        <v>N</v>
      </c>
      <c r="X94" s="193">
        <f t="shared" si="111"/>
        <v>1</v>
      </c>
      <c r="Y94" s="193">
        <f t="shared" si="117"/>
        <v>23.3017</v>
      </c>
      <c r="Z94" s="193">
        <f t="shared" si="118"/>
        <v>1.61E-2</v>
      </c>
      <c r="AA94" s="193">
        <f t="shared" si="108"/>
        <v>23.285599999999999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109"/>
        <v>0182-24</v>
      </c>
      <c r="AE94" s="80" t="str">
        <f t="shared" si="101"/>
        <v>aws s3 cp s3://rtdc.mdm.uploadarchive.raw/RTDC4023/ "%USERPROFILE%\AppData\Local\Temp\OnboardLogs"\RTDC4023\2017-04-24 --exclude "*" --recursive --include "*20170424*" &amp; "%USERPROFILE%\Documents\GitHub\mrs-test-scripts\Headless Mode &amp; Sideloading\WalkAndUnGZ.bat" "%USERPROFILE%\AppData\Local\Temp\OnboardLogs"\RTDC4023\2017-04-24 &amp; aws s3 cp s3://rtdc.mdm.uploadarchive.raw/RTDC4023/ "%USERPROFILE%\AppData\Local\Temp\OnboardLogs"\RTDC4023\2017-04-25 --exclude "*" --recursive --include "*20170425*" &amp; "%USERPROFILE%\Documents\GitHub\mrs-test-scripts\Headless Mode &amp; Sideloading\WalkAndUnGZ.bat" "%USERPROFILE%\AppData\Local\Temp\OnboardLogs"\RTDC4023\2017-04-25</v>
      </c>
      <c r="AF94" s="77" t="str">
        <f t="shared" si="102"/>
        <v>"C:\Program Files (x86)\AstroGrep\AstroGrep.exe" /e /r /s /spath="%USERPROFILE%\AppData\Local\Temp\OnboardLogs" /stypes="app*4023*20170424*" /stext=" 21:.+((SYSTEM_STATE.+slice.+state.+changed )|(ment ac)|(multiple cpu faults)|(system.+state.+changed )|(\[timeout)|(PRM\|1\|D)|(kpr)|(kdp)|(train.+moving)|(\|lc)|(penalty))"</v>
      </c>
      <c r="AG94" s="1" t="str">
        <f t="shared" si="110"/>
        <v>EC</v>
      </c>
      <c r="AH94" s="81" t="str">
        <f t="shared" si="112"/>
        <v>"%USERPROFILE%\Documents\GitHub\eaglep3\Utilities\RefineRTDCRunTimes.py" --tripid 182-24 --locoid 4023 --swversion DE.1.0.9.0 --startMP 204:233017 --initTime 2017-04-24T14:37:36 --startdatetime 2017-04-24T14:41:20 --delay 1 --endMP 204:161 --enddatetime 2017-04-24T15:24:02 --enforcementcount 0 &gt;&gt;C:\Users\stu\Documents\GitHub\eaglep3-reporting\EC\2017-04-24-refined-times.txt</v>
      </c>
      <c r="AI94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{"issue":{"subject":"","project_id":79,"tracker_id":40,"status_id":1,"priority_id":2,"assigned_to_id":23,"start_date":"2017-04-24","description":"","custom_fields":[{"id":1,"name":"Subdivision","value":"EC"},{"id":4,"name":"Milepost","value":"0.0161"},{"id":17,"name":"Train ID","value":"182-24"},{"id":16,"name":"Locomotive ID","value":"4023"},{"id":130,"name":"Impact","value":""},{"id":150,"name":"Time of Event (Mountain Time)","value":"15:24:02"},{"id":151,"name":"Denver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5" t="str">
        <f t="shared" si="114"/>
        <v>start /low /b %USERPROFILE%\Documents\GitHub\eaglep3\Utilities\DownloadLogsFromS3.py --loco 4023 --day 2017-04-24</v>
      </c>
      <c r="AN94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21:24:02"},{"id":29,"name":"Sharepoint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563</v>
      </c>
      <c r="B95" s="7">
        <v>4010</v>
      </c>
      <c r="C95" s="21" t="s">
        <v>212</v>
      </c>
      <c r="D95" s="21" t="s">
        <v>476</v>
      </c>
      <c r="E95" s="13">
        <v>42849.579143518517</v>
      </c>
      <c r="F95" s="13">
        <v>42849.584016203706</v>
      </c>
      <c r="G95" s="7">
        <v>1</v>
      </c>
      <c r="H95" s="21" t="s">
        <v>796</v>
      </c>
      <c r="I95" s="13">
        <v>42849.61142361111</v>
      </c>
      <c r="J95" s="7">
        <v>0</v>
      </c>
      <c r="K95" s="92" t="str">
        <f t="shared" si="103"/>
        <v>4009/4010</v>
      </c>
      <c r="L95" s="21" t="str">
        <f>VLOOKUP(A95,'Trips&amp;Operators'!$C$1:$G$99999,5,FALSE)</f>
        <v>THOMPSON LESTER</v>
      </c>
      <c r="M95" s="6">
        <f t="shared" si="104"/>
        <v>2.7407407404098194E-2</v>
      </c>
      <c r="N95" s="7">
        <f t="shared" si="116"/>
        <v>39.466666661901399</v>
      </c>
      <c r="O95" s="7"/>
      <c r="P95" s="7"/>
      <c r="Q95" s="22"/>
      <c r="R95" s="191"/>
      <c r="S95" s="197">
        <f t="shared" si="105"/>
        <v>1</v>
      </c>
      <c r="T95" s="191" t="str">
        <f t="shared" si="106"/>
        <v>NorthBound</v>
      </c>
      <c r="U95" s="19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2" t="str">
        <f t="shared" si="100"/>
        <v>https://d0f6bd738d7f1b3e5a7ca70fe4ff75f0.us-east-1.aws.found.io/app/kibana#/discover/Steve-Slow-Train-Analysis-(2080s-and-2083s)?_g=(refreshInterval:(display:Off,pause:!f,section:0,value:0),time:(from:'2017-04-24T12:53:58-0600',mode:absolute,to:'2017-04-24T15:40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5" s="193" t="str">
        <f t="shared" si="107"/>
        <v>N</v>
      </c>
      <c r="X95" s="193">
        <f t="shared" si="111"/>
        <v>1</v>
      </c>
      <c r="Y95" s="193">
        <f t="shared" si="117"/>
        <v>4.6399999999999997E-2</v>
      </c>
      <c r="Z95" s="193">
        <f t="shared" si="118"/>
        <v>23.328399999999998</v>
      </c>
      <c r="AA95" s="193">
        <f t="shared" si="108"/>
        <v>23.282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109"/>
        <v>0183-24</v>
      </c>
      <c r="AE95" s="80" t="str">
        <f t="shared" si="101"/>
        <v>aws s3 cp s3://rtdc.mdm.uploadarchive.raw/RTDC4010/ "%USERPROFILE%\AppData\Local\Temp\OnboardLogs"\RTDC4010\2017-04-24 --exclude "*" --recursive --include "*20170424*" &amp; "%USERPROFILE%\Documents\GitHub\mrs-test-scripts\Headless Mode &amp; Sideloading\WalkAndUnGZ.bat" "%USERPROFILE%\AppData\Local\Temp\OnboardLogs"\RTDC4010\2017-04-24 &amp; aws s3 cp s3://rtdc.mdm.uploadarchive.raw/RTDC4010/ "%USERPROFILE%\AppData\Local\Temp\OnboardLogs"\RTDC4010\2017-04-25 --exclude "*" --recursive --include "*20170425*" &amp; "%USERPROFILE%\Documents\GitHub\mrs-test-scripts\Headless Mode &amp; Sideloading\WalkAndUnGZ.bat" "%USERPROFILE%\AppData\Local\Temp\OnboardLogs"\RTDC4010\2017-04-25</v>
      </c>
      <c r="AF95" s="77" t="str">
        <f t="shared" si="102"/>
        <v>"C:\Program Files (x86)\AstroGrep\AstroGrep.exe" /e /r /s /spath="%USERPROFILE%\AppData\Local\Temp\OnboardLogs" /stypes="app*4010*20170424*" /stext=" 20:.+((SYSTEM_STATE.+slice.+state.+changed )|(ment ac)|(multiple cpu faults)|(system.+state.+changed )|(\[timeout)|(PRM\|1\|D)|(kpr)|(kdp)|(train.+moving)|(\|lc)|(penalty))"</v>
      </c>
      <c r="AG95" s="1" t="str">
        <f t="shared" si="110"/>
        <v>EC</v>
      </c>
      <c r="AH95" s="81" t="str">
        <f t="shared" si="112"/>
        <v>"%USERPROFILE%\Documents\GitHub\eaglep3\Utilities\RefineRTDCRunTimes.py" --tripid 183-24 --locoid 4010 --swversion DE.1.0.9.0 --startMP 204:464 --initTime 2017-04-24T13:53:58 --startdatetime 2017-04-24T14:00:59 --delay 1 --endMP 204:233284 --enddatetime 2017-04-24T14:40:27 --enforcementcount 0 &gt;&gt;C:\Users\stu\Documents\GitHub\eaglep3-reporting\EC\2017-04-24-refined-times.txt</v>
      </c>
      <c r="AI95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{"issue":{"subject":"","project_id":79,"tracker_id":40,"status_id":1,"priority_id":2,"assigned_to_id":23,"start_date":"2017-04-24","description":"","custom_fields":[{"id":1,"name":"Subdivision","value":"EC"},{"id":4,"name":"Milepost","value":"23.3284"},{"id":17,"name":"Train ID","value":"183-24"},{"id":16,"name":"Locomotive ID","value":"4010"},{"id":130,"name":"Impact","value":""},{"id":150,"name":"Time of Event (Mountain Time)","value":"14:40:27"},{"id":151,"name":"Denver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114"/>
        <v>start /low /b %USERPROFILE%\Documents\GitHub\eaglep3\Utilities\DownloadLogsFromS3.py --loco 4010 --day 2017-04-24</v>
      </c>
      <c r="AN95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20:40:27"},{"id":29,"name":"Sharepoint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708</v>
      </c>
      <c r="B96" s="7">
        <v>4009</v>
      </c>
      <c r="C96" s="21" t="s">
        <v>212</v>
      </c>
      <c r="D96" s="21" t="s">
        <v>826</v>
      </c>
      <c r="E96" s="13">
        <v>42849.619664351849</v>
      </c>
      <c r="F96" s="13">
        <v>42849.622696759259</v>
      </c>
      <c r="G96" s="7">
        <v>1</v>
      </c>
      <c r="H96" s="21" t="s">
        <v>198</v>
      </c>
      <c r="I96" s="13">
        <v>42849.651250000003</v>
      </c>
      <c r="J96" s="7">
        <v>0</v>
      </c>
      <c r="K96" s="92" t="str">
        <f t="shared" si="103"/>
        <v>4009/4010</v>
      </c>
      <c r="L96" s="21" t="str">
        <f>VLOOKUP(A96,'Trips&amp;Operators'!$C$1:$G$99999,5,FALSE)</f>
        <v>THOMPSON LESTER</v>
      </c>
      <c r="M96" s="6">
        <f t="shared" si="104"/>
        <v>2.8553240743349306E-2</v>
      </c>
      <c r="N96" s="7">
        <f t="shared" si="116"/>
        <v>41.116666670423001</v>
      </c>
      <c r="O96" s="7"/>
      <c r="P96" s="7"/>
      <c r="Q96" s="22"/>
      <c r="R96" s="191"/>
      <c r="S96" s="197">
        <f t="shared" si="105"/>
        <v>1</v>
      </c>
      <c r="T96" s="191" t="str">
        <f t="shared" si="106"/>
        <v>Southbound</v>
      </c>
      <c r="U96" s="19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2" t="str">
        <f t="shared" si="100"/>
        <v>https://d0f6bd738d7f1b3e5a7ca70fe4ff75f0.us-east-1.aws.found.io/app/kibana#/discover/Steve-Slow-Train-Analysis-(2080s-and-2083s)?_g=(refreshInterval:(display:Off,pause:!f,section:0,value:0),time:(from:'2017-04-24T13:52:19-0600',mode:absolute,to:'2017-04-24T16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6" s="193" t="str">
        <f t="shared" si="107"/>
        <v>N</v>
      </c>
      <c r="X96" s="193">
        <f t="shared" si="111"/>
        <v>1</v>
      </c>
      <c r="Y96" s="193">
        <f t="shared" si="117"/>
        <v>23.296299999999999</v>
      </c>
      <c r="Z96" s="193">
        <f t="shared" si="118"/>
        <v>1.5800000000000002E-2</v>
      </c>
      <c r="AA96" s="193">
        <f t="shared" si="108"/>
        <v>23.2805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109"/>
        <v>0184-24</v>
      </c>
      <c r="AE96" s="80" t="str">
        <f t="shared" si="101"/>
        <v>aws s3 cp s3://rtdc.mdm.uploadarchive.raw/RTDC4009/ "%USERPROFILE%\AppData\Local\Temp\OnboardLogs"\RTDC4009\2017-04-24 --exclude "*" --recursive --include "*20170424*" &amp; "%USERPROFILE%\Documents\GitHub\mrs-test-scripts\Headless Mode &amp; Sideloading\WalkAndUnGZ.bat" "%USERPROFILE%\AppData\Local\Temp\OnboardLogs"\RTDC4009\2017-04-24 &amp; aws s3 cp s3://rtdc.mdm.uploadarchive.raw/RTDC4009/ "%USERPROFILE%\AppData\Local\Temp\OnboardLogs"\RTDC4009\2017-04-25 --exclude "*" --recursive --include "*20170425*" &amp; "%USERPROFILE%\Documents\GitHub\mrs-test-scripts\Headless Mode &amp; Sideloading\WalkAndUnGZ.bat" "%USERPROFILE%\AppData\Local\Temp\OnboardLogs"\RTDC4009\2017-04-25</v>
      </c>
      <c r="AF96" s="77" t="str">
        <f t="shared" si="102"/>
        <v>"C:\Program Files (x86)\AstroGrep\AstroGrep.exe" /e /r /s /spath="%USERPROFILE%\AppData\Local\Temp\OnboardLogs" /stypes="app*4009*20170424*" /stext=" 21:.+((SYSTEM_STATE.+slice.+state.+changed )|(ment ac)|(multiple cpu faults)|(system.+state.+changed )|(\[timeout)|(PRM\|1\|D)|(kpr)|(kdp)|(train.+moving)|(\|lc)|(penalty))"</v>
      </c>
      <c r="AG96" s="1" t="str">
        <f t="shared" si="110"/>
        <v>EC</v>
      </c>
      <c r="AH96" s="81" t="str">
        <f t="shared" si="112"/>
        <v>"%USERPROFILE%\Documents\GitHub\eaglep3\Utilities\RefineRTDCRunTimes.py" --tripid 184-24 --locoid 4009 --swversion DE.1.0.9.0 --startMP 204:232963 --initTime 2017-04-24T14:52:19 --startdatetime 2017-04-24T14:56:41 --delay 1 --endMP 204:158 --enddatetime 2017-04-24T15:37:48 --enforcementcount 0 &gt;&gt;C:\Users\stu\Documents\GitHub\eaglep3-reporting\EC\2017-04-24-refined-times.txt</v>
      </c>
      <c r="AI96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{"issue":{"subject":"","project_id":79,"tracker_id":40,"status_id":1,"priority_id":2,"assigned_to_id":23,"start_date":"2017-04-24","description":"","custom_fields":[{"id":1,"name":"Subdivision","value":"EC"},{"id":4,"name":"Milepost","value":"0.0158"},{"id":17,"name":"Train ID","value":"184-24"},{"id":16,"name":"Locomotive ID","value":"4009"},{"id":130,"name":"Impact","value":""},{"id":150,"name":"Time of Event (Mountain Time)","value":"15:37:48"},{"id":151,"name":"Denver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114"/>
        <v>start /low /b %USERPROFILE%\Documents\GitHub\eaglep3\Utilities\DownloadLogsFromS3.py --loco 4009 --day 2017-04-24</v>
      </c>
      <c r="AN96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21:37:48"},{"id":29,"name":"Sharepoint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703</v>
      </c>
      <c r="B97" s="7">
        <v>4026</v>
      </c>
      <c r="C97" s="21" t="s">
        <v>212</v>
      </c>
      <c r="D97" s="21" t="s">
        <v>536</v>
      </c>
      <c r="E97" s="13">
        <v>42849.589525462965</v>
      </c>
      <c r="F97" s="13">
        <v>42849.593958333331</v>
      </c>
      <c r="G97" s="7">
        <v>1</v>
      </c>
      <c r="H97" s="21" t="s">
        <v>473</v>
      </c>
      <c r="I97" s="13">
        <v>42849.61990740741</v>
      </c>
      <c r="J97" s="7">
        <v>0</v>
      </c>
      <c r="K97" s="92" t="str">
        <f t="shared" si="103"/>
        <v>4025/4026</v>
      </c>
      <c r="L97" s="21" t="str">
        <f>VLOOKUP(A97,'Trips&amp;Operators'!$C$1:$G$99999,5,FALSE)</f>
        <v>BRANDNER MELINDA</v>
      </c>
      <c r="M97" s="6">
        <f t="shared" si="104"/>
        <v>2.5949074079107959E-2</v>
      </c>
      <c r="N97" s="7">
        <f t="shared" si="116"/>
        <v>37.366666673915461</v>
      </c>
      <c r="O97" s="7"/>
      <c r="P97" s="7"/>
      <c r="Q97" s="22"/>
      <c r="R97" s="191"/>
      <c r="S97" s="197">
        <f t="shared" si="105"/>
        <v>1</v>
      </c>
      <c r="T97" s="191" t="str">
        <f t="shared" si="106"/>
        <v>NorthBound</v>
      </c>
      <c r="U97" s="19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2" t="str">
        <f t="shared" si="100"/>
        <v>https://d0f6bd738d7f1b3e5a7ca70fe4ff75f0.us-east-1.aws.found.io/app/kibana#/discover/Steve-Slow-Train-Analysis-(2080s-and-2083s)?_g=(refreshInterval:(display:Off,pause:!f,section:0,value:0),time:(from:'2017-04-24T13:08:55-0600',mode:absolute,to:'2017-04-24T15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7" s="193" t="str">
        <f t="shared" si="107"/>
        <v>N</v>
      </c>
      <c r="X97" s="193">
        <f t="shared" si="111"/>
        <v>1</v>
      </c>
      <c r="Y97" s="193">
        <f t="shared" si="117"/>
        <v>4.3099999999999999E-2</v>
      </c>
      <c r="Z97" s="193">
        <f t="shared" si="118"/>
        <v>23.331399999999999</v>
      </c>
      <c r="AA97" s="193">
        <f t="shared" si="108"/>
        <v>23.2883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109"/>
        <v>0185-24</v>
      </c>
      <c r="AE97" s="80" t="str">
        <f t="shared" si="101"/>
        <v>aws s3 cp s3://rtdc.mdm.uploadarchive.raw/RTDC4026/ "%USERPROFILE%\AppData\Local\Temp\OnboardLogs"\RTDC4026\2017-04-24 --exclude "*" --recursive --include "*20170424*" &amp; "%USERPROFILE%\Documents\GitHub\mrs-test-scripts\Headless Mode &amp; Sideloading\WalkAndUnGZ.bat" "%USERPROFILE%\AppData\Local\Temp\OnboardLogs"\RTDC4026\2017-04-24 &amp; aws s3 cp s3://rtdc.mdm.uploadarchive.raw/RTDC4026/ "%USERPROFILE%\AppData\Local\Temp\OnboardLogs"\RTDC4026\2017-04-25 --exclude "*" --recursive --include "*20170425*" &amp; "%USERPROFILE%\Documents\GitHub\mrs-test-scripts\Headless Mode &amp; Sideloading\WalkAndUnGZ.bat" "%USERPROFILE%\AppData\Local\Temp\OnboardLogs"\RTDC4026\2017-04-25</v>
      </c>
      <c r="AF97" s="77" t="str">
        <f t="shared" si="102"/>
        <v>"C:\Program Files (x86)\AstroGrep\AstroGrep.exe" /e /r /s /spath="%USERPROFILE%\AppData\Local\Temp\OnboardLogs" /stypes="app*4026*20170424*" /stext=" 20:.+((SYSTEM_STATE.+slice.+state.+changed )|(ment ac)|(multiple cpu faults)|(system.+state.+changed )|(\[timeout)|(PRM\|1\|D)|(kpr)|(kdp)|(train.+moving)|(\|lc)|(penalty))"</v>
      </c>
      <c r="AG97" s="1" t="str">
        <f t="shared" si="110"/>
        <v>EC</v>
      </c>
      <c r="AH97" s="81" t="str">
        <f t="shared" si="112"/>
        <v>"%USERPROFILE%\Documents\GitHub\eaglep3\Utilities\RefineRTDCRunTimes.py" --tripid 185-24 --locoid 4026 --swversion DE.1.0.9.0 --startMP 204:431 --initTime 2017-04-24T14:08:55 --startdatetime 2017-04-24T14:15:18 --delay 1 --endMP 204:233314 --enddatetime 2017-04-24T14:52:40 --enforcementcount 0 &gt;&gt;C:\Users\stu\Documents\GitHub\eaglep3-reporting\EC\2017-04-24-refined-times.txt</v>
      </c>
      <c r="AI97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{"issue":{"subject":"","project_id":79,"tracker_id":40,"status_id":1,"priority_id":2,"assigned_to_id":23,"start_date":"2017-04-24","description":"","custom_fields":[{"id":1,"name":"Subdivision","value":"EC"},{"id":4,"name":"Milepost","value":"23.3314"},{"id":17,"name":"Train ID","value":"185-24"},{"id":16,"name":"Locomotive ID","value":"4026"},{"id":130,"name":"Impact","value":""},{"id":150,"name":"Time of Event (Mountain Time)","value":"14:52:40"},{"id":151,"name":"Denver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114"/>
        <v>start /low /b %USERPROFILE%\Documents\GitHub\eaglep3\Utilities\DownloadLogsFromS3.py --loco 4026 --day 2017-04-24</v>
      </c>
      <c r="AN97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20:52:40"},{"id":29,"name":"Sharepoint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709</v>
      </c>
      <c r="B98" s="7">
        <v>4025</v>
      </c>
      <c r="C98" s="21" t="s">
        <v>212</v>
      </c>
      <c r="D98" s="21" t="s">
        <v>446</v>
      </c>
      <c r="E98" s="13">
        <v>42849.629976851851</v>
      </c>
      <c r="F98" s="13">
        <v>42849.632847222223</v>
      </c>
      <c r="G98" s="7">
        <v>1</v>
      </c>
      <c r="H98" s="21" t="s">
        <v>469</v>
      </c>
      <c r="I98" s="13">
        <v>42849.661122685182</v>
      </c>
      <c r="J98" s="7">
        <v>0</v>
      </c>
      <c r="K98" s="92" t="str">
        <f t="shared" si="103"/>
        <v>4025/4026</v>
      </c>
      <c r="L98" s="21" t="str">
        <f>VLOOKUP(A98,'Trips&amp;Operators'!$C$1:$G$99999,5,FALSE)</f>
        <v>BRANDNER MELINDA</v>
      </c>
      <c r="M98" s="6">
        <f t="shared" si="104"/>
        <v>2.827546295884531E-2</v>
      </c>
      <c r="N98" s="7">
        <f t="shared" si="116"/>
        <v>40.716666660737246</v>
      </c>
      <c r="O98" s="7"/>
      <c r="P98" s="7"/>
      <c r="Q98" s="22"/>
      <c r="R98" s="191"/>
      <c r="S98" s="197">
        <f t="shared" si="105"/>
        <v>1</v>
      </c>
      <c r="T98" s="191" t="str">
        <f t="shared" si="106"/>
        <v>Southbound</v>
      </c>
      <c r="U98" s="19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2" t="str">
        <f t="shared" si="100"/>
        <v>https://d0f6bd738d7f1b3e5a7ca70fe4ff75f0.us-east-1.aws.found.io/app/kibana#/discover/Steve-Slow-Train-Analysis-(2080s-and-2083s)?_g=(refreshInterval:(display:Off,pause:!f,section:0,value:0),time:(from:'2017-04-24T14:07:10-0600',mode:absolute,to:'2017-04-24T16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8" s="193" t="str">
        <f t="shared" si="107"/>
        <v>N</v>
      </c>
      <c r="X98" s="193">
        <f t="shared" si="111"/>
        <v>1</v>
      </c>
      <c r="Y98" s="193">
        <f t="shared" si="117"/>
        <v>23.298100000000002</v>
      </c>
      <c r="Z98" s="193">
        <f t="shared" si="118"/>
        <v>1.32E-2</v>
      </c>
      <c r="AA98" s="193">
        <f t="shared" si="108"/>
        <v>23.2849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109"/>
        <v>0186-24</v>
      </c>
      <c r="AE98" s="80" t="str">
        <f t="shared" si="101"/>
        <v>aws s3 cp s3://rtdc.mdm.uploadarchive.raw/RTDC4025/ "%USERPROFILE%\AppData\Local\Temp\OnboardLogs"\RTDC4025\2017-04-24 --exclude "*" --recursive --include "*20170424*" &amp; "%USERPROFILE%\Documents\GitHub\mrs-test-scripts\Headless Mode &amp; Sideloading\WalkAndUnGZ.bat" "%USERPROFILE%\AppData\Local\Temp\OnboardLogs"\RTDC4025\2017-04-24 &amp; aws s3 cp s3://rtdc.mdm.uploadarchive.raw/RTDC4025/ "%USERPROFILE%\AppData\Local\Temp\OnboardLogs"\RTDC4025\2017-04-25 --exclude "*" --recursive --include "*20170425*" &amp; "%USERPROFILE%\Documents\GitHub\mrs-test-scripts\Headless Mode &amp; Sideloading\WalkAndUnGZ.bat" "%USERPROFILE%\AppData\Local\Temp\OnboardLogs"\RTDC4025\2017-04-25</v>
      </c>
      <c r="AF98" s="77" t="str">
        <f t="shared" si="102"/>
        <v>"C:\Program Files (x86)\AstroGrep\AstroGrep.exe" /e /r /s /spath="%USERPROFILE%\AppData\Local\Temp\OnboardLogs" /stypes="app*4025*20170424*" /stext=" 21:.+((SYSTEM_STATE.+slice.+state.+changed )|(ment ac)|(multiple cpu faults)|(system.+state.+changed )|(\[timeout)|(PRM\|1\|D)|(kpr)|(kdp)|(train.+moving)|(\|lc)|(penalty))"</v>
      </c>
      <c r="AG98" s="1" t="str">
        <f t="shared" si="110"/>
        <v>EC</v>
      </c>
      <c r="AH98" s="81" t="str">
        <f t="shared" si="112"/>
        <v>"%USERPROFILE%\Documents\GitHub\eaglep3\Utilities\RefineRTDCRunTimes.py" --tripid 186-24 --locoid 4025 --swversion DE.1.0.9.0 --startMP 204:232981 --initTime 2017-04-24T15:07:10 --startdatetime 2017-04-24T15:11:18 --delay 1 --endMP 204:132 --enddatetime 2017-04-24T15:52:01 --enforcementcount 0 &gt;&gt;C:\Users\stu\Documents\GitHub\eaglep3-reporting\EC\2017-04-24-refined-times.txt</v>
      </c>
      <c r="AI98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{"issue":{"subject":"","project_id":79,"tracker_id":40,"status_id":1,"priority_id":2,"assigned_to_id":23,"start_date":"2017-04-24","description":"","custom_fields":[{"id":1,"name":"Subdivision","value":"EC"},{"id":4,"name":"Milepost","value":"0.0132"},{"id":17,"name":"Train ID","value":"186-24"},{"id":16,"name":"Locomotive ID","value":"4025"},{"id":130,"name":"Impact","value":""},{"id":150,"name":"Time of Event (Mountain Time)","value":"15:52:01"},{"id":151,"name":"Denver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114"/>
        <v>start /low /b %USERPROFILE%\Documents\GitHub\eaglep3\Utilities\DownloadLogsFromS3.py --loco 4025 --day 2017-04-24</v>
      </c>
      <c r="AN98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21:52:01"},{"id":29,"name":"Sharepoint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705</v>
      </c>
      <c r="B99" s="7">
        <v>4040</v>
      </c>
      <c r="C99" s="21" t="s">
        <v>212</v>
      </c>
      <c r="D99" s="21" t="s">
        <v>429</v>
      </c>
      <c r="E99" s="13">
        <v>42849.602777777778</v>
      </c>
      <c r="F99" s="13">
        <v>42849.604432870372</v>
      </c>
      <c r="G99" s="7">
        <v>1</v>
      </c>
      <c r="H99" s="21" t="s">
        <v>454</v>
      </c>
      <c r="I99" s="13">
        <v>42849.630324074074</v>
      </c>
      <c r="J99" s="7">
        <v>0</v>
      </c>
      <c r="K99" s="92" t="str">
        <f t="shared" si="103"/>
        <v>4039/4040</v>
      </c>
      <c r="L99" s="21" t="str">
        <f>VLOOKUP(A99,'Trips&amp;Operators'!$C$1:$G$99999,5,FALSE)</f>
        <v>SULLIVAN BRANDON</v>
      </c>
      <c r="M99" s="6">
        <f t="shared" si="104"/>
        <v>2.5891203702485655E-2</v>
      </c>
      <c r="N99" s="7">
        <f t="shared" si="116"/>
        <v>37.283333331579342</v>
      </c>
      <c r="O99" s="7"/>
      <c r="P99" s="7"/>
      <c r="Q99" s="22"/>
      <c r="R99" s="191"/>
      <c r="S99" s="197">
        <f t="shared" si="105"/>
        <v>1</v>
      </c>
      <c r="T99" s="191" t="str">
        <f t="shared" si="106"/>
        <v>NorthBound</v>
      </c>
      <c r="U99" s="19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2" t="str">
        <f t="shared" si="100"/>
        <v>https://d0f6bd738d7f1b3e5a7ca70fe4ff75f0.us-east-1.aws.found.io/app/kibana#/discover/Steve-Slow-Train-Analysis-(2080s-and-2083s)?_g=(refreshInterval:(display:Off,pause:!f,section:0,value:0),time:(from:'2017-04-24T13:28:00-0600',mode:absolute,to:'2017-04-24T16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9" s="193" t="str">
        <f t="shared" si="107"/>
        <v>N</v>
      </c>
      <c r="X99" s="193">
        <f t="shared" si="111"/>
        <v>1</v>
      </c>
      <c r="Y99" s="193">
        <f t="shared" si="117"/>
        <v>4.6600000000000003E-2</v>
      </c>
      <c r="Z99" s="193">
        <f t="shared" si="118"/>
        <v>23.330100000000002</v>
      </c>
      <c r="AA99" s="193">
        <f t="shared" si="108"/>
        <v>23.2835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109"/>
        <v>0187-24</v>
      </c>
      <c r="AE99" s="80" t="str">
        <f t="shared" si="101"/>
        <v>aws s3 cp s3://rtdc.mdm.uploadarchive.raw/RTDC4040/ "%USERPROFILE%\AppData\Local\Temp\OnboardLogs"\RTDC4040\2017-04-24 --exclude "*" --recursive --include "*20170424*" &amp; "%USERPROFILE%\Documents\GitHub\mrs-test-scripts\Headless Mode &amp; Sideloading\WalkAndUnGZ.bat" "%USERPROFILE%\AppData\Local\Temp\OnboardLogs"\RTDC4040\2017-04-24 &amp; aws s3 cp s3://rtdc.mdm.uploadarchive.raw/RTDC4040/ "%USERPROFILE%\AppData\Local\Temp\OnboardLogs"\RTDC4040\2017-04-25 --exclude "*" --recursive --include "*20170425*" &amp; "%USERPROFILE%\Documents\GitHub\mrs-test-scripts\Headless Mode &amp; Sideloading\WalkAndUnGZ.bat" "%USERPROFILE%\AppData\Local\Temp\OnboardLogs"\RTDC4040\2017-04-25</v>
      </c>
      <c r="AF99" s="77" t="str">
        <f t="shared" si="102"/>
        <v>"C:\Program Files (x86)\AstroGrep\AstroGrep.exe" /e /r /s /spath="%USERPROFILE%\AppData\Local\Temp\OnboardLogs" /stypes="app*4040*20170424*" /stext=" 21:.+((SYSTEM_STATE.+slice.+state.+changed )|(ment ac)|(multiple cpu faults)|(system.+state.+changed )|(\[timeout)|(PRM\|1\|D)|(kpr)|(kdp)|(train.+moving)|(\|lc)|(penalty))"</v>
      </c>
      <c r="AG99" s="1" t="str">
        <f t="shared" si="110"/>
        <v>EC</v>
      </c>
      <c r="AH99" s="81" t="str">
        <f t="shared" si="112"/>
        <v>"%USERPROFILE%\Documents\GitHub\eaglep3\Utilities\RefineRTDCRunTimes.py" --tripid 187-24 --locoid 4040 --swversion DE.1.0.9.0 --startMP 204:466 --initTime 2017-04-24T14:28:00 --startdatetime 2017-04-24T14:30:23 --delay 1 --endMP 204:233301 --enddatetime 2017-04-24T15:07:40 --enforcementcount 0 &gt;&gt;C:\Users\stu\Documents\GitHub\eaglep3-reporting\EC\2017-04-24-refined-times.txt</v>
      </c>
      <c r="AI99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{"issue":{"subject":"","project_id":79,"tracker_id":40,"status_id":1,"priority_id":2,"assigned_to_id":23,"start_date":"2017-04-24","description":"","custom_fields":[{"id":1,"name":"Subdivision","value":"EC"},{"id":4,"name":"Milepost","value":"23.3301"},{"id":17,"name":"Train ID","value":"187-24"},{"id":16,"name":"Locomotive ID","value":"4040"},{"id":130,"name":"Impact","value":""},{"id":150,"name":"Time of Event (Mountain Time)","value":"15:07:40"},{"id":151,"name":"Denver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114"/>
        <v>start /low /b %USERPROFILE%\Documents\GitHub\eaglep3\Utilities\DownloadLogsFromS3.py --loco 4040 --day 2017-04-24</v>
      </c>
      <c r="AN99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21:07:40"},{"id":29,"name":"Sharepoint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2" t="s">
        <v>713</v>
      </c>
      <c r="B100" s="7">
        <v>4039</v>
      </c>
      <c r="C100" s="21" t="s">
        <v>212</v>
      </c>
      <c r="D100" s="21" t="s">
        <v>474</v>
      </c>
      <c r="E100" s="13">
        <v>42849.638298611113</v>
      </c>
      <c r="F100" s="13">
        <v>42849.64340277778</v>
      </c>
      <c r="G100" s="7">
        <v>1</v>
      </c>
      <c r="H100" s="21" t="s">
        <v>421</v>
      </c>
      <c r="I100" s="13">
        <v>42849.671967592592</v>
      </c>
      <c r="J100" s="7">
        <v>0</v>
      </c>
      <c r="K100" s="92" t="str">
        <f t="shared" si="103"/>
        <v>4039/4040</v>
      </c>
      <c r="L100" s="21" t="str">
        <f>VLOOKUP(A100,'Trips&amp;Operators'!$C$1:$G$99999,5,FALSE)</f>
        <v>SULLIVAN BRANDON</v>
      </c>
      <c r="M100" s="6">
        <f t="shared" si="104"/>
        <v>2.8564814812853001E-2</v>
      </c>
      <c r="N100" s="7">
        <f t="shared" si="116"/>
        <v>41.133333330508322</v>
      </c>
      <c r="O100" s="7"/>
      <c r="P100" s="7"/>
      <c r="Q100" s="22"/>
      <c r="R100" s="191"/>
      <c r="S100" s="197">
        <f t="shared" si="105"/>
        <v>1</v>
      </c>
      <c r="T100" s="191" t="str">
        <f t="shared" si="106"/>
        <v>Southbound</v>
      </c>
      <c r="U100" s="19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2" t="str">
        <f t="shared" si="100"/>
        <v>https://d0f6bd738d7f1b3e5a7ca70fe4ff75f0.us-east-1.aws.found.io/app/kibana#/discover/Steve-Slow-Train-Analysis-(2080s-and-2083s)?_g=(refreshInterval:(display:Off,pause:!f,section:0,value:0),time:(from:'2017-04-24T14:19:09-0600',mode:absolute,to:'2017-04-24T17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0" s="193" t="str">
        <f t="shared" si="107"/>
        <v>N</v>
      </c>
      <c r="X100" s="193">
        <f t="shared" si="111"/>
        <v>1</v>
      </c>
      <c r="Y100" s="193">
        <f t="shared" si="117"/>
        <v>23.2988</v>
      </c>
      <c r="Z100" s="193">
        <f t="shared" si="118"/>
        <v>1.43E-2</v>
      </c>
      <c r="AA100" s="193">
        <f t="shared" si="108"/>
        <v>23.284500000000001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109"/>
        <v>0188-24</v>
      </c>
      <c r="AE100" s="80" t="str">
        <f t="shared" si="101"/>
        <v>aws s3 cp s3://rtdc.mdm.uploadarchive.raw/RTDC4039/ "%USERPROFILE%\AppData\Local\Temp\OnboardLogs"\RTDC4039\2017-04-24 --exclude "*" --recursive --include "*20170424*" &amp; "%USERPROFILE%\Documents\GitHub\mrs-test-scripts\Headless Mode &amp; Sideloading\WalkAndUnGZ.bat" "%USERPROFILE%\AppData\Local\Temp\OnboardLogs"\RTDC4039\2017-04-24 &amp; aws s3 cp s3://rtdc.mdm.uploadarchive.raw/RTDC4039/ "%USERPROFILE%\AppData\Local\Temp\OnboardLogs"\RTDC4039\2017-04-25 --exclude "*" --recursive --include "*20170425*" &amp; "%USERPROFILE%\Documents\GitHub\mrs-test-scripts\Headless Mode &amp; Sideloading\WalkAndUnGZ.bat" "%USERPROFILE%\AppData\Local\Temp\OnboardLogs"\RTDC4039\2017-04-25</v>
      </c>
      <c r="AF100" s="77" t="str">
        <f t="shared" si="102"/>
        <v>"C:\Program Files (x86)\AstroGrep\AstroGrep.exe" /e /r /s /spath="%USERPROFILE%\AppData\Local\Temp\OnboardLogs" /stypes="app*4039*20170424*" /stext=" 22:.+((SYSTEM_STATE.+slice.+state.+changed )|(ment ac)|(multiple cpu faults)|(system.+state.+changed )|(\[timeout)|(PRM\|1\|D)|(kpr)|(kdp)|(train.+moving)|(\|lc)|(penalty))"</v>
      </c>
      <c r="AG100" s="1" t="str">
        <f t="shared" si="110"/>
        <v>EC</v>
      </c>
      <c r="AH100" s="81" t="str">
        <f t="shared" si="112"/>
        <v>"%USERPROFILE%\Documents\GitHub\eaglep3\Utilities\RefineRTDCRunTimes.py" --tripid 188-24 --locoid 4039 --swversion DE.1.0.9.0 --startMP 204:232988 --initTime 2017-04-24T15:19:09 --startdatetime 2017-04-24T15:26:30 --delay 1 --endMP 204:143 --enddatetime 2017-04-24T16:07:38 --enforcementcount 0 &gt;&gt;C:\Users\stu\Documents\GitHub\eaglep3-reporting\EC\2017-04-24-refined-times.txt</v>
      </c>
      <c r="AI100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{"issue":{"subject":"","project_id":79,"tracker_id":40,"status_id":1,"priority_id":2,"assigned_to_id":23,"start_date":"2017-04-24","description":"","custom_fields":[{"id":1,"name":"Subdivision","value":"EC"},{"id":4,"name":"Milepost","value":"0.0143"},{"id":17,"name":"Train ID","value":"188-24"},{"id":16,"name":"Locomotive ID","value":"4039"},{"id":130,"name":"Impact","value":""},{"id":150,"name":"Time of Event (Mountain Time)","value":"16:07:38"},{"id":151,"name":"Denver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20"/>
      <c r="AK100" s="47"/>
      <c r="AL100" s="47"/>
      <c r="AM100" s="145" t="str">
        <f t="shared" si="114"/>
        <v>start /low /b %USERPROFILE%\Documents\GitHub\eaglep3\Utilities\DownloadLogsFromS3.py --loco 4039 --day 2017-04-24</v>
      </c>
      <c r="AN100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22:07:38"},{"id":29,"name":"Sharepoint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1" spans="1:91" s="20" customFormat="1" x14ac:dyDescent="0.25">
      <c r="A101" s="32" t="s">
        <v>707</v>
      </c>
      <c r="B101" s="7">
        <v>4012</v>
      </c>
      <c r="C101" s="21" t="s">
        <v>212</v>
      </c>
      <c r="D101" s="21" t="s">
        <v>431</v>
      </c>
      <c r="E101" s="13">
        <v>42849.611631944441</v>
      </c>
      <c r="F101" s="13">
        <v>42849.615011574075</v>
      </c>
      <c r="G101" s="7">
        <v>3</v>
      </c>
      <c r="H101" s="21" t="s">
        <v>827</v>
      </c>
      <c r="I101" s="13">
        <v>42849.640706018516</v>
      </c>
      <c r="J101" s="7">
        <v>0</v>
      </c>
      <c r="K101" s="92" t="str">
        <f t="shared" si="103"/>
        <v>4011/4012</v>
      </c>
      <c r="L101" s="21" t="str">
        <f>VLOOKUP(A101,'Trips&amp;Operators'!$C$1:$G$99999,5,FALSE)</f>
        <v>DAVIS MICHAEL</v>
      </c>
      <c r="M101" s="6">
        <f t="shared" si="104"/>
        <v>2.569444444088731E-2</v>
      </c>
      <c r="N101" s="7">
        <f t="shared" si="116"/>
        <v>36.999999994877726</v>
      </c>
      <c r="O101" s="7"/>
      <c r="P101" s="7"/>
      <c r="Q101" s="22"/>
      <c r="R101" s="191"/>
      <c r="S101" s="197">
        <f t="shared" si="105"/>
        <v>1</v>
      </c>
      <c r="T101" s="191" t="str">
        <f t="shared" si="106"/>
        <v>NorthBound</v>
      </c>
      <c r="U101" s="19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2" t="str">
        <f t="shared" si="100"/>
        <v>https://d0f6bd738d7f1b3e5a7ca70fe4ff75f0.us-east-1.aws.found.io/app/kibana#/discover/Steve-Slow-Train-Analysis-(2080s-and-2083s)?_g=(refreshInterval:(display:Off,pause:!f,section:0,value:0),time:(from:'2017-04-24T13:40:45-0600',mode:absolute,to:'2017-04-24T16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1" s="193" t="str">
        <f t="shared" si="107"/>
        <v>N</v>
      </c>
      <c r="X101" s="193">
        <f t="shared" si="111"/>
        <v>1</v>
      </c>
      <c r="Y101" s="193">
        <f t="shared" si="117"/>
        <v>4.4400000000000002E-2</v>
      </c>
      <c r="Z101" s="193">
        <f t="shared" si="118"/>
        <v>23.3338</v>
      </c>
      <c r="AA101" s="193">
        <f t="shared" si="108"/>
        <v>23.289400000000001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109"/>
        <v>0189-24</v>
      </c>
      <c r="AE101" s="80" t="str">
        <f t="shared" si="101"/>
        <v>aws s3 cp s3://rtdc.mdm.uploadarchive.raw/RTDC4012/ "%USERPROFILE%\AppData\Local\Temp\OnboardLogs"\RTDC4012\2017-04-24 --exclude "*" --recursive --include "*20170424*" &amp; "%USERPROFILE%\Documents\GitHub\mrs-test-scripts\Headless Mode &amp; Sideloading\WalkAndUnGZ.bat" "%USERPROFILE%\AppData\Local\Temp\OnboardLogs"\RTDC4012\2017-04-24 &amp; aws s3 cp s3://rtdc.mdm.uploadarchive.raw/RTDC4012/ "%USERPROFILE%\AppData\Local\Temp\OnboardLogs"\RTDC4012\2017-04-25 --exclude "*" --recursive --include "*20170425*" &amp; "%USERPROFILE%\Documents\GitHub\mrs-test-scripts\Headless Mode &amp; Sideloading\WalkAndUnGZ.bat" "%USERPROFILE%\AppData\Local\Temp\OnboardLogs"\RTDC4012\2017-04-25</v>
      </c>
      <c r="AF101" s="77" t="str">
        <f t="shared" si="102"/>
        <v>"C:\Program Files (x86)\AstroGrep\AstroGrep.exe" /e /r /s /spath="%USERPROFILE%\AppData\Local\Temp\OnboardLogs" /stypes="app*4012*20170424*" /stext=" 21:.+((SYSTEM_STATE.+slice.+state.+changed )|(ment ac)|(multiple cpu faults)|(system.+state.+changed )|(\[timeout)|(PRM\|1\|D)|(kpr)|(kdp)|(train.+moving)|(\|lc)|(penalty))"</v>
      </c>
      <c r="AG101" s="1" t="str">
        <f t="shared" si="110"/>
        <v>EC</v>
      </c>
      <c r="AH101" s="81" t="str">
        <f t="shared" si="112"/>
        <v>"%USERPROFILE%\Documents\GitHub\eaglep3\Utilities\RefineRTDCRunTimes.py" --tripid 189-24 --locoid 4012 --swversion DE.1.0.9.0 --startMP 204:444 --initTime 2017-04-24T14:40:45 --startdatetime 2017-04-24T14:45:37 --delay 3 --endMP 204:233338 --enddatetime 2017-04-24T15:22:37 --enforcementcount 0 &gt;&gt;C:\Users\stu\Documents\GitHub\eaglep3-reporting\EC\2017-04-24-refined-times.txt</v>
      </c>
      <c r="AI101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{"issue":{"subject":"","project_id":79,"tracker_id":40,"status_id":1,"priority_id":2,"assigned_to_id":23,"start_date":"2017-04-24","description":"","custom_fields":[{"id":1,"name":"Subdivision","value":"EC"},{"id":4,"name":"Milepost","value":"23.3338"},{"id":17,"name":"Train ID","value":"189-24"},{"id":16,"name":"Locomotive ID","value":"4012"},{"id":130,"name":"Impact","value":""},{"id":150,"name":"Time of Event (Mountain Time)","value":"15:22:37"},{"id":151,"name":"Denver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114"/>
        <v>start /low /b %USERPROFILE%\Documents\GitHub\eaglep3\Utilities\DownloadLogsFromS3.py --loco 4012 --day 2017-04-24</v>
      </c>
      <c r="AN101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21:22:37"},{"id":29,"name":"Sharepoint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715</v>
      </c>
      <c r="B102" s="7">
        <v>4011</v>
      </c>
      <c r="C102" s="21" t="s">
        <v>212</v>
      </c>
      <c r="D102" s="21" t="s">
        <v>808</v>
      </c>
      <c r="E102" s="13">
        <v>42849.651458333334</v>
      </c>
      <c r="F102" s="13">
        <v>42849.653877314813</v>
      </c>
      <c r="G102" s="7">
        <v>1</v>
      </c>
      <c r="H102" s="21" t="s">
        <v>197</v>
      </c>
      <c r="I102" s="13">
        <v>42849.682430555556</v>
      </c>
      <c r="J102" s="7">
        <v>0</v>
      </c>
      <c r="K102" s="92" t="str">
        <f t="shared" si="103"/>
        <v>4011/4012</v>
      </c>
      <c r="L102" s="21" t="str">
        <f>VLOOKUP(A102,'Trips&amp;Operators'!$C$1:$G$99999,5,FALSE)</f>
        <v>DAVIS MICHAEL</v>
      </c>
      <c r="M102" s="6">
        <f t="shared" si="104"/>
        <v>2.8553240743349306E-2</v>
      </c>
      <c r="N102" s="7">
        <f t="shared" si="116"/>
        <v>41.116666670423001</v>
      </c>
      <c r="O102" s="7"/>
      <c r="P102" s="7"/>
      <c r="Q102" s="22"/>
      <c r="R102" s="191"/>
      <c r="S102" s="197">
        <f t="shared" si="105"/>
        <v>1</v>
      </c>
      <c r="T102" s="191" t="str">
        <f t="shared" si="106"/>
        <v>Southbound</v>
      </c>
      <c r="U102" s="19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2" t="str">
        <f t="shared" si="100"/>
        <v>https://d0f6bd738d7f1b3e5a7ca70fe4ff75f0.us-east-1.aws.found.io/app/kibana#/discover/Steve-Slow-Train-Analysis-(2080s-and-2083s)?_g=(refreshInterval:(display:Off,pause:!f,section:0,value:0),time:(from:'2017-04-24T14:38:06-0600',mode:absolute,to:'2017-04-24T17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2" s="193" t="str">
        <f t="shared" si="107"/>
        <v>N</v>
      </c>
      <c r="X102" s="193">
        <f t="shared" si="111"/>
        <v>1</v>
      </c>
      <c r="Y102" s="193">
        <f t="shared" si="117"/>
        <v>23.3019</v>
      </c>
      <c r="Z102" s="193">
        <f t="shared" si="118"/>
        <v>1.52E-2</v>
      </c>
      <c r="AA102" s="193">
        <f t="shared" si="108"/>
        <v>23.2867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109"/>
        <v>0190-24</v>
      </c>
      <c r="AE102" s="80" t="str">
        <f t="shared" si="101"/>
        <v>aws s3 cp s3://rtdc.mdm.uploadarchive.raw/RTDC4011/ "%USERPROFILE%\AppData\Local\Temp\OnboardLogs"\RTDC4011\2017-04-24 --exclude "*" --recursive --include "*20170424*" &amp; "%USERPROFILE%\Documents\GitHub\mrs-test-scripts\Headless Mode &amp; Sideloading\WalkAndUnGZ.bat" "%USERPROFILE%\AppData\Local\Temp\OnboardLogs"\RTDC4011\2017-04-24 &amp; aws s3 cp s3://rtdc.mdm.uploadarchive.raw/RTDC4011/ "%USERPROFILE%\AppData\Local\Temp\OnboardLogs"\RTDC4011\2017-04-25 --exclude "*" --recursive --include "*20170425*" &amp; "%USERPROFILE%\Documents\GitHub\mrs-test-scripts\Headless Mode &amp; Sideloading\WalkAndUnGZ.bat" "%USERPROFILE%\AppData\Local\Temp\OnboardLogs"\RTDC4011\2017-04-25</v>
      </c>
      <c r="AF102" s="77" t="str">
        <f t="shared" si="102"/>
        <v>"C:\Program Files (x86)\AstroGrep\AstroGrep.exe" /e /r /s /spath="%USERPROFILE%\AppData\Local\Temp\OnboardLogs" /stypes="app*4011*20170424*" /stext=" 22:.+((SYSTEM_STATE.+slice.+state.+changed )|(ment ac)|(multiple cpu faults)|(system.+state.+changed )|(\[timeout)|(PRM\|1\|D)|(kpr)|(kdp)|(train.+moving)|(\|lc)|(penalty))"</v>
      </c>
      <c r="AG102" s="1" t="str">
        <f t="shared" si="110"/>
        <v>EC</v>
      </c>
      <c r="AH102" s="81" t="str">
        <f t="shared" si="112"/>
        <v>"%USERPROFILE%\Documents\GitHub\eaglep3\Utilities\RefineRTDCRunTimes.py" --tripid 190-24 --locoid 4011 --swversion DE.1.0.9.0 --startMP 204:233019 --initTime 2017-04-24T15:38:06 --startdatetime 2017-04-24T15:41:35 --delay 1 --endMP 204:152 --enddatetime 2017-04-24T16:22:42 --enforcementcount 0 &gt;&gt;C:\Users\stu\Documents\GitHub\eaglep3-reporting\EC\2017-04-24-refined-times.txt</v>
      </c>
      <c r="AI102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{"issue":{"subject":"","project_id":79,"tracker_id":40,"status_id":1,"priority_id":2,"assigned_to_id":23,"start_date":"2017-04-24","description":"","custom_fields":[{"id":1,"name":"Subdivision","value":"EC"},{"id":4,"name":"Milepost","value":"0.0152"},{"id":17,"name":"Train ID","value":"190-24"},{"id":16,"name":"Locomotive ID","value":"4011"},{"id":130,"name":"Impact","value":""},{"id":150,"name":"Time of Event (Mountain Time)","value":"16:22:42"},{"id":151,"name":"Denver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114"/>
        <v>start /low /b %USERPROFILE%\Documents\GitHub\eaglep3\Utilities\DownloadLogsFromS3.py --loco 4011 --day 2017-04-24</v>
      </c>
      <c r="AN102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22:22:42"},{"id":29,"name":"Sharepoint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566</v>
      </c>
      <c r="B103" s="7">
        <v>4028</v>
      </c>
      <c r="C103" s="21" t="s">
        <v>212</v>
      </c>
      <c r="D103" s="21" t="s">
        <v>828</v>
      </c>
      <c r="E103" s="13">
        <v>42849.621377314812</v>
      </c>
      <c r="F103" s="13">
        <v>42849.625150462962</v>
      </c>
      <c r="G103" s="7">
        <v>1</v>
      </c>
      <c r="H103" s="21" t="s">
        <v>788</v>
      </c>
      <c r="I103" s="13">
        <v>42849.652118055557</v>
      </c>
      <c r="J103" s="7">
        <v>0</v>
      </c>
      <c r="K103" s="92" t="str">
        <f t="shared" si="103"/>
        <v>4027/4028</v>
      </c>
      <c r="L103" s="21" t="str">
        <f>VLOOKUP(A103,'Trips&amp;Operators'!$C$1:$G$99999,5,FALSE)</f>
        <v>CLARK KATHLEEN</v>
      </c>
      <c r="M103" s="6">
        <f t="shared" si="104"/>
        <v>2.6967592595610768E-2</v>
      </c>
      <c r="N103" s="7">
        <f t="shared" si="116"/>
        <v>38.833333337679505</v>
      </c>
      <c r="O103" s="7"/>
      <c r="P103" s="7"/>
      <c r="Q103" s="22"/>
      <c r="R103" s="191"/>
      <c r="S103" s="197">
        <f t="shared" si="105"/>
        <v>1</v>
      </c>
      <c r="T103" s="191" t="str">
        <f t="shared" si="106"/>
        <v>NorthBound</v>
      </c>
      <c r="U103" s="19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2" t="str">
        <f t="shared" si="100"/>
        <v>https://d0f6bd738d7f1b3e5a7ca70fe4ff75f0.us-east-1.aws.found.io/app/kibana#/discover/Steve-Slow-Train-Analysis-(2080s-and-2083s)?_g=(refreshInterval:(display:Off,pause:!f,section:0,value:0),time:(from:'2017-04-24T13:54:47-0600',mode:absolute,to:'2017-04-24T16:39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3" s="193" t="str">
        <f t="shared" si="107"/>
        <v>N</v>
      </c>
      <c r="X103" s="193">
        <f t="shared" si="111"/>
        <v>1</v>
      </c>
      <c r="Y103" s="193">
        <f t="shared" si="117"/>
        <v>5.3699999999999998E-2</v>
      </c>
      <c r="Z103" s="193">
        <f t="shared" si="118"/>
        <v>23.3293</v>
      </c>
      <c r="AA103" s="193">
        <f t="shared" si="108"/>
        <v>23.275600000000001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109"/>
        <v>0191-24</v>
      </c>
      <c r="AE103" s="80" t="str">
        <f t="shared" si="101"/>
        <v>aws s3 cp s3://rtdc.mdm.uploadarchive.raw/RTDC4028/ "%USERPROFILE%\AppData\Local\Temp\OnboardLogs"\RTDC4028\2017-04-24 --exclude "*" --recursive --include "*20170424*" &amp; "%USERPROFILE%\Documents\GitHub\mrs-test-scripts\Headless Mode &amp; Sideloading\WalkAndUnGZ.bat" "%USERPROFILE%\AppData\Local\Temp\OnboardLogs"\RTDC4028\2017-04-24 &amp; aws s3 cp s3://rtdc.mdm.uploadarchive.raw/RTDC4028/ "%USERPROFILE%\AppData\Local\Temp\OnboardLogs"\RTDC4028\2017-04-25 --exclude "*" --recursive --include "*20170425*" &amp; "%USERPROFILE%\Documents\GitHub\mrs-test-scripts\Headless Mode &amp; Sideloading\WalkAndUnGZ.bat" "%USERPROFILE%\AppData\Local\Temp\OnboardLogs"\RTDC4028\2017-04-25</v>
      </c>
      <c r="AF103" s="77" t="str">
        <f t="shared" si="102"/>
        <v>"C:\Program Files (x86)\AstroGrep\AstroGrep.exe" /e /r /s /spath="%USERPROFILE%\AppData\Local\Temp\OnboardLogs" /stypes="app*4028*20170424*" /stext=" 21:.+((SYSTEM_STATE.+slice.+state.+changed )|(ment ac)|(multiple cpu faults)|(system.+state.+changed )|(\[timeout)|(PRM\|1\|D)|(kpr)|(kdp)|(train.+moving)|(\|lc)|(penalty))"</v>
      </c>
      <c r="AG103" s="1" t="str">
        <f t="shared" si="110"/>
        <v>EC</v>
      </c>
      <c r="AH103" s="81" t="str">
        <f t="shared" si="112"/>
        <v>"%USERPROFILE%\Documents\GitHub\eaglep3\Utilities\RefineRTDCRunTimes.py" --tripid 191-24 --locoid 4028 --swversion DE.1.0.9.0 --startMP 204:537 --initTime 2017-04-24T14:54:47 --startdatetime 2017-04-24T15:00:13 --delay 1 --endMP 204:233293 --enddatetime 2017-04-24T15:39:03 --enforcementcount 0 &gt;&gt;C:\Users\stu\Documents\GitHub\eaglep3-reporting\EC\2017-04-24-refined-times.txt</v>
      </c>
      <c r="AI103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{"issue":{"subject":"","project_id":79,"tracker_id":40,"status_id":1,"priority_id":2,"assigned_to_id":23,"start_date":"2017-04-24","description":"","custom_fields":[{"id":1,"name":"Subdivision","value":"EC"},{"id":4,"name":"Milepost","value":"23.3293"},{"id":17,"name":"Train ID","value":"191-24"},{"id":16,"name":"Locomotive ID","value":"4028"},{"id":130,"name":"Impact","value":""},{"id":150,"name":"Time of Event (Mountain Time)","value":"15:39:03"},{"id":151,"name":"Denver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114"/>
        <v>start /low /b %USERPROFILE%\Documents\GitHub\eaglep3\Utilities\DownloadLogsFromS3.py --loco 4028 --day 2017-04-24</v>
      </c>
      <c r="AN103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21:39:03"},{"id":29,"name":"Sharepoint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717</v>
      </c>
      <c r="B104" s="7">
        <v>4027</v>
      </c>
      <c r="C104" s="21" t="s">
        <v>212</v>
      </c>
      <c r="D104" s="21" t="s">
        <v>829</v>
      </c>
      <c r="E104" s="13">
        <v>42849.660636574074</v>
      </c>
      <c r="F104" s="13">
        <v>42849.664143518516</v>
      </c>
      <c r="G104" s="7">
        <v>1</v>
      </c>
      <c r="H104" s="21" t="s">
        <v>830</v>
      </c>
      <c r="I104" s="13">
        <v>42849.692615740743</v>
      </c>
      <c r="J104" s="7">
        <v>0</v>
      </c>
      <c r="K104" s="92" t="str">
        <f t="shared" si="103"/>
        <v>4027/4028</v>
      </c>
      <c r="L104" s="21" t="str">
        <f>VLOOKUP(A104,'Trips&amp;Operators'!$C$1:$G$99999,5,FALSE)</f>
        <v>CLARK KATHLEEN</v>
      </c>
      <c r="M104" s="6">
        <f t="shared" si="104"/>
        <v>2.8472222227719612E-2</v>
      </c>
      <c r="N104" s="7">
        <f t="shared" si="116"/>
        <v>41.000000007916242</v>
      </c>
      <c r="O104" s="7"/>
      <c r="P104" s="7"/>
      <c r="Q104" s="22"/>
      <c r="R104" s="191"/>
      <c r="S104" s="197">
        <f t="shared" si="105"/>
        <v>1</v>
      </c>
      <c r="T104" s="191" t="str">
        <f t="shared" si="106"/>
        <v>Southbound</v>
      </c>
      <c r="U104" s="19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2" t="str">
        <f t="shared" si="100"/>
        <v>https://d0f6bd738d7f1b3e5a7ca70fe4ff75f0.us-east-1.aws.found.io/app/kibana#/discover/Steve-Slow-Train-Analysis-(2080s-and-2083s)?_g=(refreshInterval:(display:Off,pause:!f,section:0,value:0),time:(from:'2017-04-24T14:51:19-0600',mode:absolute,to:'2017-04-24T17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4" s="193" t="str">
        <f t="shared" si="107"/>
        <v>N</v>
      </c>
      <c r="X104" s="193">
        <f t="shared" si="111"/>
        <v>1</v>
      </c>
      <c r="Y104" s="193">
        <f t="shared" si="117"/>
        <v>23.2971</v>
      </c>
      <c r="Z104" s="193">
        <f t="shared" si="118"/>
        <v>2.12E-2</v>
      </c>
      <c r="AA104" s="193">
        <f t="shared" si="108"/>
        <v>23.2759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109"/>
        <v>0192-24</v>
      </c>
      <c r="AE104" s="80" t="str">
        <f t="shared" si="101"/>
        <v>aws s3 cp s3://rtdc.mdm.uploadarchive.raw/RTDC4027/ "%USERPROFILE%\AppData\Local\Temp\OnboardLogs"\RTDC4027\2017-04-24 --exclude "*" --recursive --include "*20170424*" &amp; "%USERPROFILE%\Documents\GitHub\mrs-test-scripts\Headless Mode &amp; Sideloading\WalkAndUnGZ.bat" "%USERPROFILE%\AppData\Local\Temp\OnboardLogs"\RTDC4027\2017-04-24 &amp; aws s3 cp s3://rtdc.mdm.uploadarchive.raw/RTDC4027/ "%USERPROFILE%\AppData\Local\Temp\OnboardLogs"\RTDC4027\2017-04-25 --exclude "*" --recursive --include "*20170425*" &amp; "%USERPROFILE%\Documents\GitHub\mrs-test-scripts\Headless Mode &amp; Sideloading\WalkAndUnGZ.bat" "%USERPROFILE%\AppData\Local\Temp\OnboardLogs"\RTDC4027\2017-04-25</v>
      </c>
      <c r="AF104" s="77" t="str">
        <f t="shared" si="102"/>
        <v>"C:\Program Files (x86)\AstroGrep\AstroGrep.exe" /e /r /s /spath="%USERPROFILE%\AppData\Local\Temp\OnboardLogs" /stypes="app*4027*20170424*" /stext=" 22:.+((SYSTEM_STATE.+slice.+state.+changed )|(ment ac)|(multiple cpu faults)|(system.+state.+changed )|(\[timeout)|(PRM\|1\|D)|(kpr)|(kdp)|(train.+moving)|(\|lc)|(penalty))"</v>
      </c>
      <c r="AG104" s="1" t="str">
        <f t="shared" si="110"/>
        <v>EC</v>
      </c>
      <c r="AH104" s="81" t="str">
        <f t="shared" si="112"/>
        <v>"%USERPROFILE%\Documents\GitHub\eaglep3\Utilities\RefineRTDCRunTimes.py" --tripid 192-24 --locoid 4027 --swversion DE.1.0.9.0 --startMP 204:232971 --initTime 2017-04-24T15:51:19 --startdatetime 2017-04-24T15:56:22 --delay 1 --endMP 204:212 --enddatetime 2017-04-24T16:37:22 --enforcementcount 0 &gt;&gt;C:\Users\stu\Documents\GitHub\eaglep3-reporting\EC\2017-04-24-refined-times.txt</v>
      </c>
      <c r="AI104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{"issue":{"subject":"","project_id":79,"tracker_id":40,"status_id":1,"priority_id":2,"assigned_to_id":23,"start_date":"2017-04-24","description":"","custom_fields":[{"id":1,"name":"Subdivision","value":"EC"},{"id":4,"name":"Milepost","value":"0.0212"},{"id":17,"name":"Train ID","value":"192-24"},{"id":16,"name":"Locomotive ID","value":"4027"},{"id":130,"name":"Impact","value":""},{"id":150,"name":"Time of Event (Mountain Time)","value":"16:37:22"},{"id":151,"name":"Denver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114"/>
        <v>start /low /b %USERPROFILE%\Documents\GitHub\eaglep3\Utilities\DownloadLogsFromS3.py --loco 4027 --day 2017-04-24</v>
      </c>
      <c r="AN104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22:37:22"},{"id":29,"name":"Sharepoint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710</v>
      </c>
      <c r="B105" s="7">
        <v>4030</v>
      </c>
      <c r="C105" s="21" t="s">
        <v>212</v>
      </c>
      <c r="D105" s="21" t="s">
        <v>831</v>
      </c>
      <c r="E105" s="13">
        <v>42849.632754629631</v>
      </c>
      <c r="F105" s="13">
        <v>42849.635601851849</v>
      </c>
      <c r="G105" s="7">
        <v>1</v>
      </c>
      <c r="H105" s="21" t="s">
        <v>832</v>
      </c>
      <c r="I105" s="13">
        <v>42849.660300925927</v>
      </c>
      <c r="J105" s="7">
        <v>0</v>
      </c>
      <c r="K105" s="92" t="str">
        <f t="shared" si="103"/>
        <v>4029/4030</v>
      </c>
      <c r="L105" s="21" t="str">
        <f>VLOOKUP(A105,'Trips&amp;Operators'!$C$1:$G$99999,5,FALSE)</f>
        <v>LAMAR NEKESHA</v>
      </c>
      <c r="M105" s="6">
        <f t="shared" si="104"/>
        <v>2.4699074077943806E-2</v>
      </c>
      <c r="N105" s="7">
        <f t="shared" si="116"/>
        <v>35.56666667223908</v>
      </c>
      <c r="O105" s="7"/>
      <c r="P105" s="7"/>
      <c r="Q105" s="22"/>
      <c r="R105" s="191"/>
      <c r="S105" s="197">
        <f t="shared" si="105"/>
        <v>1</v>
      </c>
      <c r="T105" s="191" t="str">
        <f t="shared" si="106"/>
        <v>NorthBound</v>
      </c>
      <c r="U105" s="19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2" t="str">
        <f t="shared" si="100"/>
        <v>https://d0f6bd738d7f1b3e5a7ca70fe4ff75f0.us-east-1.aws.found.io/app/kibana#/discover/Steve-Slow-Train-Analysis-(2080s-and-2083s)?_g=(refreshInterval:(display:Off,pause:!f,section:0,value:0),time:(from:'2017-04-24T14:11:10-0600',mode:absolute,to:'2017-04-24T16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5" s="193" t="str">
        <f t="shared" si="107"/>
        <v>N</v>
      </c>
      <c r="X105" s="193">
        <f t="shared" si="111"/>
        <v>1</v>
      </c>
      <c r="Y105" s="193">
        <f t="shared" si="117"/>
        <v>5.4600000000000003E-2</v>
      </c>
      <c r="Z105" s="193">
        <f t="shared" si="118"/>
        <v>23.3398</v>
      </c>
      <c r="AA105" s="193">
        <f t="shared" si="108"/>
        <v>23.2852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109"/>
        <v>0193-24</v>
      </c>
      <c r="AE105" s="80" t="str">
        <f t="shared" si="101"/>
        <v>aws s3 cp s3://rtdc.mdm.uploadarchive.raw/RTDC4030/ "%USERPROFILE%\AppData\Local\Temp\OnboardLogs"\RTDC4030\2017-04-24 --exclude "*" --recursive --include "*20170424*" &amp; "%USERPROFILE%\Documents\GitHub\mrs-test-scripts\Headless Mode &amp; Sideloading\WalkAndUnGZ.bat" "%USERPROFILE%\AppData\Local\Temp\OnboardLogs"\RTDC4030\2017-04-24 &amp; aws s3 cp s3://rtdc.mdm.uploadarchive.raw/RTDC4030/ "%USERPROFILE%\AppData\Local\Temp\OnboardLogs"\RTDC4030\2017-04-25 --exclude "*" --recursive --include "*20170425*" &amp; "%USERPROFILE%\Documents\GitHub\mrs-test-scripts\Headless Mode &amp; Sideloading\WalkAndUnGZ.bat" "%USERPROFILE%\AppData\Local\Temp\OnboardLogs"\RTDC4030\2017-04-25</v>
      </c>
      <c r="AF105" s="77" t="str">
        <f t="shared" si="102"/>
        <v>"C:\Program Files (x86)\AstroGrep\AstroGrep.exe" /e /r /s /spath="%USERPROFILE%\AppData\Local\Temp\OnboardLogs" /stypes="app*4030*20170424*" /stext=" 21:.+((SYSTEM_STATE.+slice.+state.+changed )|(ment ac)|(multiple cpu faults)|(system.+state.+changed )|(\[timeout)|(PRM\|1\|D)|(kpr)|(kdp)|(train.+moving)|(\|lc)|(penalty))"</v>
      </c>
      <c r="AG105" s="1" t="str">
        <f t="shared" si="110"/>
        <v>EC</v>
      </c>
      <c r="AH105" s="81" t="str">
        <f t="shared" si="112"/>
        <v>"%USERPROFILE%\Documents\GitHub\eaglep3\Utilities\RefineRTDCRunTimes.py" --tripid 193-24 --locoid 4030 --swversion DE.1.0.9.0 --startMP 204:546 --initTime 2017-04-24T15:11:10 --startdatetime 2017-04-24T15:15:16 --delay 1 --endMP 204:233398 --enddatetime 2017-04-24T15:50:50 --enforcementcount 0 &gt;&gt;C:\Users\stu\Documents\GitHub\eaglep3-reporting\EC\2017-04-24-refined-times.txt</v>
      </c>
      <c r="AI105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{"issue":{"subject":"","project_id":79,"tracker_id":40,"status_id":1,"priority_id":2,"assigned_to_id":23,"start_date":"2017-04-24","description":"","custom_fields":[{"id":1,"name":"Subdivision","value":"EC"},{"id":4,"name":"Milepost","value":"23.3398"},{"id":17,"name":"Train ID","value":"193-24"},{"id":16,"name":"Locomotive ID","value":"4030"},{"id":130,"name":"Impact","value":""},{"id":150,"name":"Time of Event (Mountain Time)","value":"15:50:50"},{"id":151,"name":"Denver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114"/>
        <v>start /low /b %USERPROFILE%\Documents\GitHub\eaglep3\Utilities\DownloadLogsFromS3.py --loco 4030 --day 2017-04-24</v>
      </c>
      <c r="AN105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21:50:50"},{"id":29,"name":"Sharepoint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570</v>
      </c>
      <c r="B106" s="7">
        <v>4029</v>
      </c>
      <c r="C106" s="21" t="s">
        <v>212</v>
      </c>
      <c r="D106" s="21" t="s">
        <v>833</v>
      </c>
      <c r="E106" s="13">
        <v>42849.66196759259</v>
      </c>
      <c r="F106" s="13">
        <v>42849.674467592595</v>
      </c>
      <c r="G106" s="7">
        <v>0</v>
      </c>
      <c r="H106" s="21" t="s">
        <v>378</v>
      </c>
      <c r="I106" s="13">
        <v>42849.703113425923</v>
      </c>
      <c r="J106" s="7">
        <v>0</v>
      </c>
      <c r="K106" s="92" t="str">
        <f t="shared" si="103"/>
        <v>4029/4030</v>
      </c>
      <c r="L106" s="21" t="str">
        <f>VLOOKUP(A106,'Trips&amp;Operators'!$C$1:$G$99999,5,FALSE)</f>
        <v>LAMAR NEKESHA</v>
      </c>
      <c r="M106" s="6">
        <f t="shared" si="104"/>
        <v>2.8645833328482695E-2</v>
      </c>
      <c r="N106" s="7">
        <f t="shared" si="116"/>
        <v>41.249999993015081</v>
      </c>
      <c r="O106" s="7"/>
      <c r="P106" s="7"/>
      <c r="Q106" s="22"/>
      <c r="R106" s="191"/>
      <c r="S106" s="197">
        <f t="shared" si="105"/>
        <v>1</v>
      </c>
      <c r="T106" s="191" t="str">
        <f t="shared" si="106"/>
        <v>Southbound</v>
      </c>
      <c r="U106" s="19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2" t="str">
        <f t="shared" si="100"/>
        <v>https://d0f6bd738d7f1b3e5a7ca70fe4ff75f0.us-east-1.aws.found.io/app/kibana#/discover/Steve-Slow-Train-Analysis-(2080s-and-2083s)?_g=(refreshInterval:(display:Off,pause:!f,section:0,value:0),time:(from:'2017-04-24T14:53:14-0600',mode:absolute,to:'2017-04-24T17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6" s="193" t="str">
        <f t="shared" si="107"/>
        <v>N</v>
      </c>
      <c r="X106" s="193">
        <f t="shared" si="111"/>
        <v>1</v>
      </c>
      <c r="Y106" s="193">
        <f t="shared" si="117"/>
        <v>23.3079</v>
      </c>
      <c r="Z106" s="193">
        <f t="shared" si="118"/>
        <v>1.38E-2</v>
      </c>
      <c r="AA106" s="193">
        <f t="shared" si="108"/>
        <v>23.2941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109"/>
        <v>0194-24</v>
      </c>
      <c r="AE106" s="80" t="str">
        <f t="shared" si="101"/>
        <v>aws s3 cp s3://rtdc.mdm.uploadarchive.raw/RTDC4029/ "%USERPROFILE%\AppData\Local\Temp\OnboardLogs"\RTDC4029\2017-04-24 --exclude "*" --recursive --include "*20170424*" &amp; "%USERPROFILE%\Documents\GitHub\mrs-test-scripts\Headless Mode &amp; Sideloading\WalkAndUnGZ.bat" "%USERPROFILE%\AppData\Local\Temp\OnboardLogs"\RTDC4029\2017-04-24 &amp; aws s3 cp s3://rtdc.mdm.uploadarchive.raw/RTDC4029/ "%USERPROFILE%\AppData\Local\Temp\OnboardLogs"\RTDC4029\2017-04-25 --exclude "*" --recursive --include "*20170425*" &amp; "%USERPROFILE%\Documents\GitHub\mrs-test-scripts\Headless Mode &amp; Sideloading\WalkAndUnGZ.bat" "%USERPROFILE%\AppData\Local\Temp\OnboardLogs"\RTDC4029\2017-04-25</v>
      </c>
      <c r="AF106" s="77" t="str">
        <f t="shared" si="102"/>
        <v>"C:\Program Files (x86)\AstroGrep\AstroGrep.exe" /e /r /s /spath="%USERPROFILE%\AppData\Local\Temp\OnboardLogs" /stypes="app*4029*20170424*" /stext=" 22:.+((SYSTEM_STATE.+slice.+state.+changed )|(ment ac)|(multiple cpu faults)|(system.+state.+changed )|(\[timeout)|(PRM\|1\|D)|(kpr)|(kdp)|(train.+moving)|(\|lc)|(penalty))"</v>
      </c>
      <c r="AG106" s="1" t="str">
        <f t="shared" si="110"/>
        <v>EC</v>
      </c>
      <c r="AH106" s="81" t="str">
        <f t="shared" si="112"/>
        <v>"%USERPROFILE%\Documents\GitHub\eaglep3\Utilities\RefineRTDCRunTimes.py" --tripid 194-24 --locoid 4029 --swversion DE.1.0.9.0 --startMP 204:233079 --initTime 2017-04-24T15:53:14 --startdatetime 2017-04-24T16:11:14 --delay 0 --endMP 204:138 --enddatetime 2017-04-24T16:52:29 --enforcementcount 0 &gt;&gt;C:\Users\stu\Documents\GitHub\eaglep3-reporting\EC\2017-04-24-refined-times.txt</v>
      </c>
      <c r="AI106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{"issue":{"subject":"","project_id":79,"tracker_id":40,"status_id":1,"priority_id":2,"assigned_to_id":23,"start_date":"2017-04-24","description":"","custom_fields":[{"id":1,"name":"Subdivision","value":"EC"},{"id":4,"name":"Milepost","value":"0.0138"},{"id":17,"name":"Train ID","value":"194-24"},{"id":16,"name":"Locomotive ID","value":"4029"},{"id":130,"name":"Impact","value":""},{"id":150,"name":"Time of Event (Mountain Time)","value":"16:52:29"},{"id":151,"name":"Denver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114"/>
        <v>start /low /b %USERPROFILE%\Documents\GitHub\eaglep3\Utilities\DownloadLogsFromS3.py --loco 4029 --day 2017-04-24</v>
      </c>
      <c r="AN106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22:52:29"},{"id":29,"name":"Sharepoint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714</v>
      </c>
      <c r="B107" s="7">
        <v>4024</v>
      </c>
      <c r="C107" s="21" t="s">
        <v>212</v>
      </c>
      <c r="D107" s="21" t="s">
        <v>476</v>
      </c>
      <c r="E107" s="13">
        <v>42849.64329861111</v>
      </c>
      <c r="F107" s="13">
        <v>42849.646087962959</v>
      </c>
      <c r="G107" s="7">
        <v>1</v>
      </c>
      <c r="H107" s="21" t="s">
        <v>834</v>
      </c>
      <c r="I107" s="13">
        <v>42849.672719907408</v>
      </c>
      <c r="J107" s="7">
        <v>0</v>
      </c>
      <c r="K107" s="92" t="str">
        <f t="shared" si="103"/>
        <v>4023/4024</v>
      </c>
      <c r="L107" s="21" t="str">
        <f>VLOOKUP(A107,'Trips&amp;Operators'!$C$1:$G$99999,5,FALSE)</f>
        <v>NELSON ARIANE</v>
      </c>
      <c r="M107" s="6">
        <f t="shared" si="104"/>
        <v>2.6631944449036382E-2</v>
      </c>
      <c r="N107" s="7">
        <f t="shared" si="116"/>
        <v>38.35000000661239</v>
      </c>
      <c r="O107" s="7"/>
      <c r="P107" s="7"/>
      <c r="Q107" s="22"/>
      <c r="R107" s="191"/>
      <c r="S107" s="197">
        <f t="shared" si="105"/>
        <v>1</v>
      </c>
      <c r="T107" s="191" t="str">
        <f t="shared" si="106"/>
        <v>NorthBound</v>
      </c>
      <c r="U107" s="19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2" t="str">
        <f t="shared" si="100"/>
        <v>https://d0f6bd738d7f1b3e5a7ca70fe4ff75f0.us-east-1.aws.found.io/app/kibana#/discover/Steve-Slow-Train-Analysis-(2080s-and-2083s)?_g=(refreshInterval:(display:Off,pause:!f,section:0,value:0),time:(from:'2017-04-24T14:26:21-0600',mode:absolute,to:'2017-04-24T17:08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7" s="193" t="str">
        <f t="shared" si="107"/>
        <v>N</v>
      </c>
      <c r="X107" s="193">
        <f t="shared" si="111"/>
        <v>1</v>
      </c>
      <c r="Y107" s="193">
        <f t="shared" si="117"/>
        <v>4.6399999999999997E-2</v>
      </c>
      <c r="Z107" s="193">
        <f t="shared" si="118"/>
        <v>23.338000000000001</v>
      </c>
      <c r="AA107" s="193">
        <f t="shared" si="108"/>
        <v>23.291600000000003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109"/>
        <v>0195-24</v>
      </c>
      <c r="AE107" s="80" t="str">
        <f t="shared" si="101"/>
        <v>aws s3 cp s3://rtdc.mdm.uploadarchive.raw/RTDC4024/ "%USERPROFILE%\AppData\Local\Temp\OnboardLogs"\RTDC4024\2017-04-24 --exclude "*" --recursive --include "*20170424*" &amp; "%USERPROFILE%\Documents\GitHub\mrs-test-scripts\Headless Mode &amp; Sideloading\WalkAndUnGZ.bat" "%USERPROFILE%\AppData\Local\Temp\OnboardLogs"\RTDC4024\2017-04-24 &amp; aws s3 cp s3://rtdc.mdm.uploadarchive.raw/RTDC4024/ "%USERPROFILE%\AppData\Local\Temp\OnboardLogs"\RTDC4024\2017-04-25 --exclude "*" --recursive --include "*20170425*" &amp; "%USERPROFILE%\Documents\GitHub\mrs-test-scripts\Headless Mode &amp; Sideloading\WalkAndUnGZ.bat" "%USERPROFILE%\AppData\Local\Temp\OnboardLogs"\RTDC4024\2017-04-25</v>
      </c>
      <c r="AF107" s="77" t="str">
        <f t="shared" si="102"/>
        <v>"C:\Program Files (x86)\AstroGrep\AstroGrep.exe" /e /r /s /spath="%USERPROFILE%\AppData\Local\Temp\OnboardLogs" /stypes="app*4024*20170424*" /stext=" 22:.+((SYSTEM_STATE.+slice.+state.+changed )|(ment ac)|(multiple cpu faults)|(system.+state.+changed )|(\[timeout)|(PRM\|1\|D)|(kpr)|(kdp)|(train.+moving)|(\|lc)|(penalty))"</v>
      </c>
      <c r="AG107" s="1" t="str">
        <f t="shared" si="110"/>
        <v>EC</v>
      </c>
      <c r="AH107" s="81" t="str">
        <f t="shared" si="112"/>
        <v>"%USERPROFILE%\Documents\GitHub\eaglep3\Utilities\RefineRTDCRunTimes.py" --tripid 195-24 --locoid 4024 --swversion DE.1.0.9.0 --startMP 204:464 --initTime 2017-04-24T15:26:21 --startdatetime 2017-04-24T15:30:22 --delay 1 --endMP 204:233380 --enddatetime 2017-04-24T16:08:43 --enforcementcount 0 &gt;&gt;C:\Users\stu\Documents\GitHub\eaglep3-reporting\EC\2017-04-24-refined-times.txt</v>
      </c>
      <c r="AI107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{"issue":{"subject":"","project_id":79,"tracker_id":40,"status_id":1,"priority_id":2,"assigned_to_id":23,"start_date":"2017-04-24","description":"","custom_fields":[{"id":1,"name":"Subdivision","value":"EC"},{"id":4,"name":"Milepost","value":"23.338"},{"id":17,"name":"Train ID","value":"195-24"},{"id":16,"name":"Locomotive ID","value":"4024"},{"id":130,"name":"Impact","value":""},{"id":150,"name":"Time of Event (Mountain Time)","value":"16:08:43"},{"id":151,"name":"Denver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114"/>
        <v>start /low /b %USERPROFILE%\Documents\GitHub\eaglep3\Utilities\DownloadLogsFromS3.py --loco 4024 --day 2017-04-24</v>
      </c>
      <c r="AN107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22:08:43"},{"id":29,"name":"Sharepoint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721</v>
      </c>
      <c r="B108" s="7">
        <v>4023</v>
      </c>
      <c r="C108" s="21" t="s">
        <v>212</v>
      </c>
      <c r="D108" s="21" t="s">
        <v>835</v>
      </c>
      <c r="E108" s="13">
        <v>42849.682175925926</v>
      </c>
      <c r="F108" s="13">
        <v>42849.686493055553</v>
      </c>
      <c r="G108" s="7">
        <v>1</v>
      </c>
      <c r="H108" s="21" t="s">
        <v>420</v>
      </c>
      <c r="I108" s="13">
        <v>42849.716006944444</v>
      </c>
      <c r="J108" s="7">
        <v>0</v>
      </c>
      <c r="K108" s="92" t="str">
        <f t="shared" si="103"/>
        <v>4023/4024</v>
      </c>
      <c r="L108" s="21" t="str">
        <f>VLOOKUP(A108,'Trips&amp;Operators'!$C$1:$G$99999,5,FALSE)</f>
        <v>NELSON ARIANE</v>
      </c>
      <c r="M108" s="6">
        <f t="shared" si="104"/>
        <v>2.9513888890505768E-2</v>
      </c>
      <c r="N108" s="7">
        <f t="shared" si="116"/>
        <v>42.500000002328306</v>
      </c>
      <c r="O108" s="7"/>
      <c r="P108" s="7"/>
      <c r="Q108" s="22"/>
      <c r="R108" s="191"/>
      <c r="S108" s="197">
        <f t="shared" si="105"/>
        <v>1</v>
      </c>
      <c r="T108" s="191" t="str">
        <f t="shared" si="106"/>
        <v>Southbound</v>
      </c>
      <c r="U108" s="19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2" t="str">
        <f t="shared" si="100"/>
        <v>https://d0f6bd738d7f1b3e5a7ca70fe4ff75f0.us-east-1.aws.found.io/app/kibana#/discover/Steve-Slow-Train-Analysis-(2080s-and-2083s)?_g=(refreshInterval:(display:Off,pause:!f,section:0,value:0),time:(from:'2017-04-24T15:22:20-0600',mode:absolute,to:'2017-04-24T18:11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8" s="193" t="str">
        <f t="shared" si="107"/>
        <v>N</v>
      </c>
      <c r="X108" s="193">
        <f t="shared" si="111"/>
        <v>1</v>
      </c>
      <c r="Y108" s="193">
        <f t="shared" si="117"/>
        <v>23.303599999999999</v>
      </c>
      <c r="Z108" s="193">
        <f t="shared" si="118"/>
        <v>1.49E-2</v>
      </c>
      <c r="AA108" s="193">
        <f t="shared" si="108"/>
        <v>23.288699999999999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109"/>
        <v>0196-24</v>
      </c>
      <c r="AE108" s="80" t="str">
        <f t="shared" si="101"/>
        <v>aws s3 cp s3://rtdc.mdm.uploadarchive.raw/RTDC4023/ "%USERPROFILE%\AppData\Local\Temp\OnboardLogs"\RTDC4023\2017-04-24 --exclude "*" --recursive --include "*20170424*" &amp; "%USERPROFILE%\Documents\GitHub\mrs-test-scripts\Headless Mode &amp; Sideloading\WalkAndUnGZ.bat" "%USERPROFILE%\AppData\Local\Temp\OnboardLogs"\RTDC4023\2017-04-24 &amp; aws s3 cp s3://rtdc.mdm.uploadarchive.raw/RTDC4023/ "%USERPROFILE%\AppData\Local\Temp\OnboardLogs"\RTDC4023\2017-04-25 --exclude "*" --recursive --include "*20170425*" &amp; "%USERPROFILE%\Documents\GitHub\mrs-test-scripts\Headless Mode &amp; Sideloading\WalkAndUnGZ.bat" "%USERPROFILE%\AppData\Local\Temp\OnboardLogs"\RTDC4023\2017-04-25</v>
      </c>
      <c r="AF108" s="77" t="str">
        <f t="shared" si="102"/>
        <v>"C:\Program Files (x86)\AstroGrep\AstroGrep.exe" /e /r /s /spath="%USERPROFILE%\AppData\Local\Temp\OnboardLogs" /stypes="app*4023*20170424*" /stext=" 23:.+((SYSTEM_STATE.+slice.+state.+changed )|(ment ac)|(multiple cpu faults)|(system.+state.+changed )|(\[timeout)|(PRM\|1\|D)|(kpr)|(kdp)|(train.+moving)|(\|lc)|(penalty))"</v>
      </c>
      <c r="AG108" s="1" t="str">
        <f t="shared" si="110"/>
        <v>EC</v>
      </c>
      <c r="AH108" s="81" t="str">
        <f t="shared" si="112"/>
        <v>"%USERPROFILE%\Documents\GitHub\eaglep3\Utilities\RefineRTDCRunTimes.py" --tripid 196-24 --locoid 4023 --swversion DE.1.0.9.0 --startMP 204:233036 --initTime 2017-04-24T16:22:20 --startdatetime 2017-04-24T16:28:33 --delay 1 --endMP 204:149 --enddatetime 2017-04-24T17:11:03 --enforcementcount 0 &gt;&gt;C:\Users\stu\Documents\GitHub\eaglep3-reporting\EC\2017-04-24-refined-times.txt</v>
      </c>
      <c r="AI108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{"issue":{"subject":"","project_id":79,"tracker_id":40,"status_id":1,"priority_id":2,"assigned_to_id":23,"start_date":"2017-04-24","description":"","custom_fields":[{"id":1,"name":"Subdivision","value":"EC"},{"id":4,"name":"Milepost","value":"0.0149"},{"id":17,"name":"Train ID","value":"196-24"},{"id":16,"name":"Locomotive ID","value":"4023"},{"id":130,"name":"Impact","value":""},{"id":150,"name":"Time of Event (Mountain Time)","value":"17:11:03"},{"id":151,"name":"Denver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114"/>
        <v>start /low /b %USERPROFILE%\Documents\GitHub\eaglep3\Utilities\DownloadLogsFromS3.py --loco 4023 --day 2017-04-24</v>
      </c>
      <c r="AN108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23:11:03"},{"id":29,"name":"Sharepoint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569</v>
      </c>
      <c r="B109" s="7">
        <v>4010</v>
      </c>
      <c r="C109" s="21" t="s">
        <v>212</v>
      </c>
      <c r="D109" s="21" t="s">
        <v>412</v>
      </c>
      <c r="E109" s="13">
        <v>42849.652986111112</v>
      </c>
      <c r="F109" s="13">
        <v>42849.656643518516</v>
      </c>
      <c r="G109" s="7">
        <v>1</v>
      </c>
      <c r="H109" s="21" t="s">
        <v>836</v>
      </c>
      <c r="I109" s="13">
        <v>42849.681446759256</v>
      </c>
      <c r="J109" s="7">
        <v>0</v>
      </c>
      <c r="K109" s="92" t="str">
        <f t="shared" si="103"/>
        <v>4009/4010</v>
      </c>
      <c r="L109" s="21" t="str">
        <f>VLOOKUP(A109,'Trips&amp;Operators'!$C$1:$G$99999,5,FALSE)</f>
        <v>THOMPSON LESTER</v>
      </c>
      <c r="M109" s="6">
        <f t="shared" si="104"/>
        <v>2.4803240739856847E-2</v>
      </c>
      <c r="N109" s="7">
        <f t="shared" si="116"/>
        <v>35.716666665393859</v>
      </c>
      <c r="O109" s="7"/>
      <c r="P109" s="7"/>
      <c r="Q109" s="22"/>
      <c r="R109" s="191"/>
      <c r="S109" s="197">
        <f t="shared" si="105"/>
        <v>1</v>
      </c>
      <c r="T109" s="191" t="str">
        <f t="shared" si="106"/>
        <v>NorthBound</v>
      </c>
      <c r="U109" s="19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2" t="str">
        <f t="shared" si="100"/>
        <v>https://d0f6bd738d7f1b3e5a7ca70fe4ff75f0.us-east-1.aws.found.io/app/kibana#/discover/Steve-Slow-Train-Analysis-(2080s-and-2083s)?_g=(refreshInterval:(display:Off,pause:!f,section:0,value:0),time:(from:'2017-04-24T14:40:18-0600',mode:absolute,to:'2017-04-24T17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9" s="193" t="str">
        <f t="shared" si="107"/>
        <v>N</v>
      </c>
      <c r="X109" s="193">
        <f t="shared" si="111"/>
        <v>1</v>
      </c>
      <c r="Y109" s="193">
        <f t="shared" si="117"/>
        <v>4.6699999999999998E-2</v>
      </c>
      <c r="Z109" s="193">
        <f t="shared" si="118"/>
        <v>23.3306</v>
      </c>
      <c r="AA109" s="193">
        <f t="shared" si="108"/>
        <v>23.283899999999999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109"/>
        <v>0197-24</v>
      </c>
      <c r="AE109" s="80" t="str">
        <f t="shared" si="101"/>
        <v>aws s3 cp s3://rtdc.mdm.uploadarchive.raw/RTDC4010/ "%USERPROFILE%\AppData\Local\Temp\OnboardLogs"\RTDC4010\2017-04-24 --exclude "*" --recursive --include "*20170424*" &amp; "%USERPROFILE%\Documents\GitHub\mrs-test-scripts\Headless Mode &amp; Sideloading\WalkAndUnGZ.bat" "%USERPROFILE%\AppData\Local\Temp\OnboardLogs"\RTDC4010\2017-04-24 &amp; aws s3 cp s3://rtdc.mdm.uploadarchive.raw/RTDC4010/ "%USERPROFILE%\AppData\Local\Temp\OnboardLogs"\RTDC4010\2017-04-25 --exclude "*" --recursive --include "*20170425*" &amp; "%USERPROFILE%\Documents\GitHub\mrs-test-scripts\Headless Mode &amp; Sideloading\WalkAndUnGZ.bat" "%USERPROFILE%\AppData\Local\Temp\OnboardLogs"\RTDC4010\2017-04-25</v>
      </c>
      <c r="AF109" s="77" t="str">
        <f t="shared" si="102"/>
        <v>"C:\Program Files (x86)\AstroGrep\AstroGrep.exe" /e /r /s /spath="%USERPROFILE%\AppData\Local\Temp\OnboardLogs" /stypes="app*4010*20170424*" /stext=" 22:.+((SYSTEM_STATE.+slice.+state.+changed )|(ment ac)|(multiple cpu faults)|(system.+state.+changed )|(\[timeout)|(PRM\|1\|D)|(kpr)|(kdp)|(train.+moving)|(\|lc)|(penalty))"</v>
      </c>
      <c r="AG109" s="1" t="str">
        <f t="shared" si="110"/>
        <v>EC</v>
      </c>
      <c r="AH109" s="81" t="str">
        <f t="shared" si="112"/>
        <v>"%USERPROFILE%\Documents\GitHub\eaglep3\Utilities\RefineRTDCRunTimes.py" --tripid 197-24 --locoid 4010 --swversion DE.1.0.9.0 --startMP 204:467 --initTime 2017-04-24T15:40:18 --startdatetime 2017-04-24T15:45:34 --delay 1 --endMP 204:233306 --enddatetime 2017-04-24T16:21:17 --enforcementcount 0 &gt;&gt;C:\Users\stu\Documents\GitHub\eaglep3-reporting\EC\2017-04-24-refined-times.txt</v>
      </c>
      <c r="AI109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{"issue":{"subject":"","project_id":79,"tracker_id":40,"status_id":1,"priority_id":2,"assigned_to_id":23,"start_date":"2017-04-24","description":"","custom_fields":[{"id":1,"name":"Subdivision","value":"EC"},{"id":4,"name":"Milepost","value":"23.3306"},{"id":17,"name":"Train ID","value":"197-24"},{"id":16,"name":"Locomotive ID","value":"4010"},{"id":130,"name":"Impact","value":""},{"id":150,"name":"Time of Event (Mountain Time)","value":"16:21:17"},{"id":151,"name":"Denver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114"/>
        <v>start /low /b %USERPROFILE%\Documents\GitHub\eaglep3\Utilities\DownloadLogsFromS3.py --loco 4010 --day 2017-04-24</v>
      </c>
      <c r="AN109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22:21:17"},{"id":29,"name":"Sharepoint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572</v>
      </c>
      <c r="B110" s="7">
        <v>4009</v>
      </c>
      <c r="C110" s="21" t="s">
        <v>212</v>
      </c>
      <c r="D110" s="21" t="s">
        <v>523</v>
      </c>
      <c r="E110" s="13">
        <v>42849.682847222219</v>
      </c>
      <c r="F110" s="13">
        <v>42849.695428240739</v>
      </c>
      <c r="G110" s="7">
        <v>1</v>
      </c>
      <c r="H110" s="21" t="s">
        <v>415</v>
      </c>
      <c r="I110" s="13">
        <v>42849.724293981482</v>
      </c>
      <c r="J110" s="7">
        <v>0</v>
      </c>
      <c r="K110" s="92" t="str">
        <f t="shared" si="103"/>
        <v>4009/4010</v>
      </c>
      <c r="L110" s="21" t="str">
        <f>VLOOKUP(A110,'Trips&amp;Operators'!$C$1:$G$99999,5,FALSE)</f>
        <v>THOMPSON LESTER</v>
      </c>
      <c r="M110" s="6">
        <f t="shared" si="104"/>
        <v>2.8865740743640345E-2</v>
      </c>
      <c r="N110" s="7">
        <f t="shared" si="116"/>
        <v>41.566666670842096</v>
      </c>
      <c r="O110" s="7"/>
      <c r="P110" s="7"/>
      <c r="Q110" s="22"/>
      <c r="R110" s="191"/>
      <c r="S110" s="197">
        <f t="shared" si="105"/>
        <v>1</v>
      </c>
      <c r="T110" s="191" t="str">
        <f t="shared" si="106"/>
        <v>Southbound</v>
      </c>
      <c r="U110" s="19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2" t="str">
        <f t="shared" si="100"/>
        <v>https://d0f6bd738d7f1b3e5a7ca70fe4ff75f0.us-east-1.aws.found.io/app/kibana#/discover/Steve-Slow-Train-Analysis-(2080s-and-2083s)?_g=(refreshInterval:(display:Off,pause:!f,section:0,value:0),time:(from:'2017-04-24T15:23:18-0600',mode:absolute,to:'2017-04-24T18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0" s="193" t="str">
        <f t="shared" si="107"/>
        <v>N</v>
      </c>
      <c r="X110" s="193">
        <f t="shared" si="111"/>
        <v>1</v>
      </c>
      <c r="Y110" s="193">
        <f t="shared" si="117"/>
        <v>23.299099999999999</v>
      </c>
      <c r="Z110" s="193">
        <f t="shared" si="118"/>
        <v>1.4999999999999999E-2</v>
      </c>
      <c r="AA110" s="193">
        <f t="shared" si="108"/>
        <v>23.284099999999999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109"/>
        <v>0198-24</v>
      </c>
      <c r="AE110" s="80" t="str">
        <f t="shared" si="101"/>
        <v>aws s3 cp s3://rtdc.mdm.uploadarchive.raw/RTDC4009/ "%USERPROFILE%\AppData\Local\Temp\OnboardLogs"\RTDC4009\2017-04-24 --exclude "*" --recursive --include "*20170424*" &amp; "%USERPROFILE%\Documents\GitHub\mrs-test-scripts\Headless Mode &amp; Sideloading\WalkAndUnGZ.bat" "%USERPROFILE%\AppData\Local\Temp\OnboardLogs"\RTDC4009\2017-04-24 &amp; aws s3 cp s3://rtdc.mdm.uploadarchive.raw/RTDC4009/ "%USERPROFILE%\AppData\Local\Temp\OnboardLogs"\RTDC4009\2017-04-25 --exclude "*" --recursive --include "*20170425*" &amp; "%USERPROFILE%\Documents\GitHub\mrs-test-scripts\Headless Mode &amp; Sideloading\WalkAndUnGZ.bat" "%USERPROFILE%\AppData\Local\Temp\OnboardLogs"\RTDC4009\2017-04-25</v>
      </c>
      <c r="AF110" s="77" t="str">
        <f t="shared" si="102"/>
        <v>"C:\Program Files (x86)\AstroGrep\AstroGrep.exe" /e /r /s /spath="%USERPROFILE%\AppData\Local\Temp\OnboardLogs" /stypes="app*4009*20170424*" /stext=" 23:.+((SYSTEM_STATE.+slice.+state.+changed )|(ment ac)|(multiple cpu faults)|(system.+state.+changed )|(\[timeout)|(PRM\|1\|D)|(kpr)|(kdp)|(train.+moving)|(\|lc)|(penalty))"</v>
      </c>
      <c r="AG110" s="1" t="str">
        <f t="shared" si="110"/>
        <v>EC</v>
      </c>
      <c r="AH110" s="81" t="str">
        <f t="shared" si="112"/>
        <v>"%USERPROFILE%\Documents\GitHub\eaglep3\Utilities\RefineRTDCRunTimes.py" --tripid 198-24 --locoid 4009 --swversion DE.1.0.9.0 --startMP 204:232991 --initTime 2017-04-24T16:23:18 --startdatetime 2017-04-24T16:41:25 --delay 1 --endMP 204:150 --enddatetime 2017-04-24T17:22:59 --enforcementcount 0 &gt;&gt;C:\Users\stu\Documents\GitHub\eaglep3-reporting\EC\2017-04-24-refined-times.txt</v>
      </c>
      <c r="AI110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{"issue":{"subject":"","project_id":79,"tracker_id":40,"status_id":1,"priority_id":2,"assigned_to_id":23,"start_date":"2017-04-24","description":"","custom_fields":[{"id":1,"name":"Subdivision","value":"EC"},{"id":4,"name":"Milepost","value":"0.015"},{"id":17,"name":"Train ID","value":"198-24"},{"id":16,"name":"Locomotive ID","value":"4009"},{"id":130,"name":"Impact","value":""},{"id":150,"name":"Time of Event (Mountain Time)","value":"17:22:59"},{"id":151,"name":"Denver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114"/>
        <v>start /low /b %USERPROFILE%\Documents\GitHub\eaglep3\Utilities\DownloadLogsFromS3.py --loco 4009 --day 2017-04-24</v>
      </c>
      <c r="AN110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23:22:59"},{"id":29,"name":"Sharepoint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568</v>
      </c>
      <c r="B111" s="7">
        <v>4026</v>
      </c>
      <c r="C111" s="21" t="s">
        <v>212</v>
      </c>
      <c r="D111" s="21" t="s">
        <v>837</v>
      </c>
      <c r="E111" s="13">
        <v>42849.670949074076</v>
      </c>
      <c r="F111" s="13">
        <v>42849.672500000001</v>
      </c>
      <c r="G111" s="7">
        <v>1</v>
      </c>
      <c r="H111" s="21" t="s">
        <v>838</v>
      </c>
      <c r="I111" s="13">
        <v>42849.695636574077</v>
      </c>
      <c r="J111" s="7">
        <v>0</v>
      </c>
      <c r="K111" s="92" t="str">
        <f t="shared" si="103"/>
        <v>4025/4026</v>
      </c>
      <c r="L111" s="21" t="str">
        <f>VLOOKUP(A111,'Trips&amp;Operators'!$C$1:$G$99999,5,FALSE)</f>
        <v>BRANDNER MELINDA</v>
      </c>
      <c r="M111" s="6">
        <f t="shared" si="104"/>
        <v>2.3136574076488614E-2</v>
      </c>
      <c r="N111" s="7"/>
      <c r="O111" s="7"/>
      <c r="P111" s="7">
        <f>24*60*SUM($M111:$M111)</f>
        <v>33.316666670143604</v>
      </c>
      <c r="Q111" s="22"/>
      <c r="R111" s="191" t="s">
        <v>968</v>
      </c>
      <c r="S111" s="197">
        <f t="shared" si="105"/>
        <v>1</v>
      </c>
      <c r="T111" s="191" t="str">
        <f t="shared" si="106"/>
        <v>NorthBound</v>
      </c>
      <c r="U111" s="19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2" t="str">
        <f t="shared" si="100"/>
        <v>https://d0f6bd738d7f1b3e5a7ca70fe4ff75f0.us-east-1.aws.found.io/app/kibana#/discover/Steve-Slow-Train-Analysis-(2080s-and-2083s)?_g=(refreshInterval:(display:Off,pause:!f,section:0,value:0),time:(from:'2017-04-24T15:06:10-0600',mode:absolute,to:'2017-04-24T17:41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1" s="193" t="str">
        <f t="shared" si="107"/>
        <v>Y</v>
      </c>
      <c r="X111" s="193">
        <f t="shared" si="111"/>
        <v>1</v>
      </c>
      <c r="Y111" s="193">
        <f t="shared" si="117"/>
        <v>1.9140999999999999</v>
      </c>
      <c r="Z111" s="193">
        <f t="shared" si="118"/>
        <v>23.325299999999999</v>
      </c>
      <c r="AA111" s="193">
        <f t="shared" si="108"/>
        <v>21.411199999999997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109"/>
        <v>0199-24</v>
      </c>
      <c r="AE111" s="80" t="str">
        <f t="shared" si="101"/>
        <v>aws s3 cp s3://rtdc.mdm.uploadarchive.raw/RTDC4026/ "%USERPROFILE%\AppData\Local\Temp\OnboardLogs"\RTDC4026\2017-04-24 --exclude "*" --recursive --include "*20170424*" &amp; "%USERPROFILE%\Documents\GitHub\mrs-test-scripts\Headless Mode &amp; Sideloading\WalkAndUnGZ.bat" "%USERPROFILE%\AppData\Local\Temp\OnboardLogs"\RTDC4026\2017-04-24 &amp; aws s3 cp s3://rtdc.mdm.uploadarchive.raw/RTDC4026/ "%USERPROFILE%\AppData\Local\Temp\OnboardLogs"\RTDC4026\2017-04-25 --exclude "*" --recursive --include "*20170425*" &amp; "%USERPROFILE%\Documents\GitHub\mrs-test-scripts\Headless Mode &amp; Sideloading\WalkAndUnGZ.bat" "%USERPROFILE%\AppData\Local\Temp\OnboardLogs"\RTDC4026\2017-04-25</v>
      </c>
      <c r="AF111" s="77" t="str">
        <f t="shared" si="102"/>
        <v>"C:\Program Files (x86)\AstroGrep\AstroGrep.exe" /e /r /s /spath="%USERPROFILE%\AppData\Local\Temp\OnboardLogs" /stypes="app*4026*20170424*" /stext=" 22:.+((SYSTEM_STATE.+slice.+state.+changed )|(ment ac)|(multiple cpu faults)|(system.+state.+changed )|(\[timeout)|(PRM\|1\|D)|(kpr)|(kdp)|(train.+moving)|(\|lc)|(penalty))"</v>
      </c>
      <c r="AG111" s="1" t="str">
        <f t="shared" si="110"/>
        <v>EC</v>
      </c>
      <c r="AH111" s="81" t="str">
        <f t="shared" si="112"/>
        <v>"%USERPROFILE%\Documents\GitHub\eaglep3\Utilities\RefineRTDCRunTimes.py" --tripid 199-24 --locoid 4026 --swversion DE.1.0.9.0 --startMP 204:19141 --initTime 2017-04-24T16:06:10 --startdatetime 2017-04-24T16:08:24 --delay 1 --endMP 204:233253 --enddatetime 2017-04-24T16:41:43 --enforcementcount 0 &gt;&gt;C:\Users\stu\Documents\GitHub\eaglep3-reporting\EC\2017-04-24-refined-times.txt</v>
      </c>
      <c r="AI111" s="99" t="str">
        <f t="shared" si="113"/>
        <v>echo {"issue":{"subject":"Onboard in-route failure","project_id":79,"tracker_id":40,"status_id":1,"priority_id":2,"assigned_to_id":23,"start_date":"2017-04-24","description":"","custom_fields":[{"id":1,"name":"Subdivision","value":"EC"},{"id":4,"name":"Milepost","value":"23.3253"},{"id":17,"name":"Train ID","value":"199-24"},{"id":16,"name":"Locomotive ID","value":"4026"},{"id":130,"name":"Impact","value":""},{"id":150,"name":"Time of Event (Mountain Time)","value":"16:41:43"},{"id":151,"name":"Denver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114"/>
        <v>start /low /b %USERPROFILE%\Documents\GitHub\eaglep3\Utilities\DownloadLogsFromS3.py --loco 4026 --day 2017-04-24</v>
      </c>
      <c r="AN111" s="154" t="str">
        <f t="shared" si="115"/>
        <v>echo {"issue":{"subject":"Onboard in-route failure","project_id":30,"tracker_id":4,"status_id":1,"priority_id":1,"assigned_to_id":10,"start_date":"2017-04-24","description":"","custom_fields":[{"id":30,"name":"Category","value":"Issue"},{"id":3,"name":"Functional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22:41:43"},{"id":29,"name":"Sharepoint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568</v>
      </c>
      <c r="B112" s="7">
        <v>4026</v>
      </c>
      <c r="C112" s="21" t="s">
        <v>212</v>
      </c>
      <c r="D112" s="21" t="s">
        <v>839</v>
      </c>
      <c r="E112" s="13">
        <v>42849.662719907406</v>
      </c>
      <c r="F112" s="13">
        <v>42849.672500000001</v>
      </c>
      <c r="G112" s="7">
        <v>1</v>
      </c>
      <c r="H112" s="21" t="s">
        <v>840</v>
      </c>
      <c r="I112" s="13">
        <v>42849.695636574077</v>
      </c>
      <c r="J112" s="7">
        <v>0</v>
      </c>
      <c r="K112" s="92" t="str">
        <f t="shared" si="103"/>
        <v>4025/4026</v>
      </c>
      <c r="L112" s="21" t="str">
        <f>VLOOKUP(A112,'Trips&amp;Operators'!$C$1:$G$99999,5,FALSE)</f>
        <v>BRANDNER MELINDA</v>
      </c>
      <c r="M112" s="6">
        <f t="shared" si="104"/>
        <v>2.3136574076488614E-2</v>
      </c>
      <c r="N112" s="7"/>
      <c r="O112" s="7"/>
      <c r="P112" s="7"/>
      <c r="Q112" s="22"/>
      <c r="R112" s="191"/>
      <c r="S112" s="197"/>
      <c r="T112" s="191" t="str">
        <f t="shared" si="106"/>
        <v>NorthBound</v>
      </c>
      <c r="U112" s="19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0</v>
      </c>
      <c r="V112" s="192" t="str">
        <f t="shared" si="100"/>
        <v>https://d0f6bd738d7f1b3e5a7ca70fe4ff75f0.us-east-1.aws.found.io/app/kibana#/discover/Steve-Slow-Train-Analysis-(2080s-and-2083s)?_g=(refreshInterval:(display:Off,pause:!f,section:0,value:0),time:(from:'2017-04-24T14:54:19-0600',mode:absolute,to:'2017-04-24T17:41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2" s="193" t="str">
        <f t="shared" si="107"/>
        <v>Y</v>
      </c>
      <c r="X112" s="193">
        <f t="shared" si="111"/>
        <v>0</v>
      </c>
      <c r="Y112" s="193">
        <f t="shared" si="117"/>
        <v>4.2900000000000001E-2</v>
      </c>
      <c r="Z112" s="193">
        <f t="shared" si="118"/>
        <v>0.22320000000000001</v>
      </c>
      <c r="AA112" s="193">
        <f t="shared" si="108"/>
        <v>0.18030000000000002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109"/>
        <v>0199-24</v>
      </c>
      <c r="AE112" s="80" t="str">
        <f t="shared" si="101"/>
        <v>aws s3 cp s3://rtdc.mdm.uploadarchive.raw/RTDC4026/ "%USERPROFILE%\AppData\Local\Temp\OnboardLogs"\RTDC4026\2017-04-24 --exclude "*" --recursive --include "*20170424*" &amp; "%USERPROFILE%\Documents\GitHub\mrs-test-scripts\Headless Mode &amp; Sideloading\WalkAndUnGZ.bat" "%USERPROFILE%\AppData\Local\Temp\OnboardLogs"\RTDC4026\2017-04-24 &amp; aws s3 cp s3://rtdc.mdm.uploadarchive.raw/RTDC4026/ "%USERPROFILE%\AppData\Local\Temp\OnboardLogs"\RTDC4026\2017-04-25 --exclude "*" --recursive --include "*20170425*" &amp; "%USERPROFILE%\Documents\GitHub\mrs-test-scripts\Headless Mode &amp; Sideloading\WalkAndUnGZ.bat" "%USERPROFILE%\AppData\Local\Temp\OnboardLogs"\RTDC4026\2017-04-25</v>
      </c>
      <c r="AF112" s="77" t="str">
        <f t="shared" si="102"/>
        <v>"C:\Program Files (x86)\AstroGrep\AstroGrep.exe" /e /r /s /spath="%USERPROFILE%\AppData\Local\Temp\OnboardLogs" /stypes="app*4026*20170424*" /stext=" 22:.+((SYSTEM_STATE.+slice.+state.+changed )|(ment ac)|(multiple cpu faults)|(system.+state.+changed )|(\[timeout)|(PRM\|1\|D)|(kpr)|(kdp)|(train.+moving)|(\|lc)|(penalty))"</v>
      </c>
      <c r="AG112" s="1" t="str">
        <f t="shared" si="110"/>
        <v>EC</v>
      </c>
      <c r="AH112" s="81" t="str">
        <f t="shared" si="112"/>
        <v>"%USERPROFILE%\Documents\GitHub\eaglep3\Utilities\RefineRTDCRunTimes.py" --tripid 199-24 --locoid 4026 --swversion DE.1.0.9.0 --startMP 204:429 --initTime 2017-04-24T15:54:19 --startdatetime 2017-04-24T16:08:24 --delay 1 --endMP 204:2232 --enddatetime 2017-04-24T16:41:43 --enforcementcount 0 &gt;&gt;C:\Users\stu\Documents\GitHub\eaglep3-reporting\EC\2017-04-24-refined-times.txt</v>
      </c>
      <c r="AI112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{"issue":{"subject":"","project_id":79,"tracker_id":40,"status_id":1,"priority_id":2,"assigned_to_id":23,"start_date":"2017-04-24","description":"","custom_fields":[{"id":1,"name":"Subdivision","value":"EC"},{"id":4,"name":"Milepost","value":"0.2232"},{"id":17,"name":"Train ID","value":"199-24"},{"id":16,"name":"Locomotive ID","value":"4026"},{"id":130,"name":"Impact","value":""},{"id":150,"name":"Time of Event (Mountain Time)","value":"16:41:43"},{"id":151,"name":"Denver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114"/>
        <v>start /low /b %USERPROFILE%\Documents\GitHub\eaglep3\Utilities\DownloadLogsFromS3.py --loco 4026 --day 2017-04-24</v>
      </c>
      <c r="AN112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22:41:43"},{"id":29,"name":"Sharepoint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575</v>
      </c>
      <c r="B113" s="7">
        <v>4025</v>
      </c>
      <c r="C113" s="21" t="s">
        <v>212</v>
      </c>
      <c r="D113" s="21" t="s">
        <v>481</v>
      </c>
      <c r="E113" s="13">
        <v>42849.701979166668</v>
      </c>
      <c r="F113" s="13">
        <v>42849.705717592595</v>
      </c>
      <c r="G113" s="7">
        <v>1</v>
      </c>
      <c r="H113" s="21" t="s">
        <v>415</v>
      </c>
      <c r="I113" s="13">
        <v>42849.734270833331</v>
      </c>
      <c r="J113" s="7">
        <v>0</v>
      </c>
      <c r="K113" s="92" t="str">
        <f t="shared" si="103"/>
        <v>4025/4026</v>
      </c>
      <c r="L113" s="21" t="str">
        <f>VLOOKUP(A113,'Trips&amp;Operators'!$C$1:$G$99999,5,FALSE)</f>
        <v>BRANDNER MELINDA</v>
      </c>
      <c r="M113" s="6">
        <f t="shared" si="104"/>
        <v>2.8553240736073349E-2</v>
      </c>
      <c r="N113" s="7">
        <f t="shared" ref="N113:N124" si="119">24*60*SUM($M113:$M113)</f>
        <v>41.116666659945622</v>
      </c>
      <c r="O113" s="7"/>
      <c r="P113" s="7"/>
      <c r="Q113" s="22"/>
      <c r="R113" s="191"/>
      <c r="S113" s="197">
        <f t="shared" ref="S113:S144" si="120">SUM(U113:U113)/IF(AG113="EC",12,1)</f>
        <v>1</v>
      </c>
      <c r="T113" s="191" t="str">
        <f t="shared" si="106"/>
        <v>Southbound</v>
      </c>
      <c r="U113" s="19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2" t="str">
        <f t="shared" si="100"/>
        <v>https://d0f6bd738d7f1b3e5a7ca70fe4ff75f0.us-east-1.aws.found.io/app/kibana#/discover/Steve-Slow-Train-Analysis-(2080s-and-2083s)?_g=(refreshInterval:(display:Off,pause:!f,section:0,value:0),time:(from:'2017-04-24T15:50:51-0600',mode:absolute,to:'2017-04-24T18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3" s="193" t="str">
        <f t="shared" si="107"/>
        <v>N</v>
      </c>
      <c r="X113" s="193">
        <f t="shared" si="111"/>
        <v>1</v>
      </c>
      <c r="Y113" s="193">
        <f t="shared" si="117"/>
        <v>23.295500000000001</v>
      </c>
      <c r="Z113" s="193">
        <f t="shared" si="118"/>
        <v>1.4999999999999999E-2</v>
      </c>
      <c r="AA113" s="193">
        <f t="shared" si="108"/>
        <v>23.2805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109"/>
        <v>0200-24</v>
      </c>
      <c r="AE113" s="80" t="str">
        <f t="shared" si="101"/>
        <v>aws s3 cp s3://rtdc.mdm.uploadarchive.raw/RTDC4025/ "%USERPROFILE%\AppData\Local\Temp\OnboardLogs"\RTDC4025\2017-04-24 --exclude "*" --recursive --include "*20170424*" &amp; "%USERPROFILE%\Documents\GitHub\mrs-test-scripts\Headless Mode &amp; Sideloading\WalkAndUnGZ.bat" "%USERPROFILE%\AppData\Local\Temp\OnboardLogs"\RTDC4025\2017-04-24 &amp; aws s3 cp s3://rtdc.mdm.uploadarchive.raw/RTDC4025/ "%USERPROFILE%\AppData\Local\Temp\OnboardLogs"\RTDC4025\2017-04-25 --exclude "*" --recursive --include "*20170425*" &amp; "%USERPROFILE%\Documents\GitHub\mrs-test-scripts\Headless Mode &amp; Sideloading\WalkAndUnGZ.bat" "%USERPROFILE%\AppData\Local\Temp\OnboardLogs"\RTDC4025\2017-04-25</v>
      </c>
      <c r="AF113" s="77" t="str">
        <f t="shared" si="102"/>
        <v>"C:\Program Files (x86)\AstroGrep\AstroGrep.exe" /e /r /s /spath="%USERPROFILE%\AppData\Local\Temp\OnboardLogs" /stypes="app*4025*20170424*" /stext=" 23:.+((SYSTEM_STATE.+slice.+state.+changed )|(ment ac)|(multiple cpu faults)|(system.+state.+changed )|(\[timeout)|(PRM\|1\|D)|(kpr)|(kdp)|(train.+moving)|(\|lc)|(penalty))"</v>
      </c>
      <c r="AG113" s="1" t="str">
        <f t="shared" si="110"/>
        <v>EC</v>
      </c>
      <c r="AH113" s="81" t="str">
        <f t="shared" si="112"/>
        <v>"%USERPROFILE%\Documents\GitHub\eaglep3\Utilities\RefineRTDCRunTimes.py" --tripid 200-24 --locoid 4025 --swversion DE.1.0.9.0 --startMP 204:232955 --initTime 2017-04-24T16:50:51 --startdatetime 2017-04-24T16:56:14 --delay 1 --endMP 204:150 --enddatetime 2017-04-24T17:37:21 --enforcementcount 0 &gt;&gt;C:\Users\stu\Documents\GitHub\eaglep3-reporting\EC\2017-04-24-refined-times.txt</v>
      </c>
      <c r="AI113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{"issue":{"subject":"","project_id":79,"tracker_id":40,"status_id":1,"priority_id":2,"assigned_to_id":23,"start_date":"2017-04-24","description":"","custom_fields":[{"id":1,"name":"Subdivision","value":"EC"},{"id":4,"name":"Milepost","value":"0.015"},{"id":17,"name":"Train ID","value":"200-24"},{"id":16,"name":"Locomotive ID","value":"4025"},{"id":130,"name":"Impact","value":""},{"id":150,"name":"Time of Event (Mountain Time)","value":"17:37:21"},{"id":151,"name":"Denver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114"/>
        <v>start /low /b %USERPROFILE%\Documents\GitHub\eaglep3\Utilities\DownloadLogsFromS3.py --loco 4025 --day 2017-04-24</v>
      </c>
      <c r="AN113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23:37:21"},{"id":29,"name":"Sharepoint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719</v>
      </c>
      <c r="B114" s="7">
        <v>4040</v>
      </c>
      <c r="C114" s="21" t="s">
        <v>212</v>
      </c>
      <c r="D114" s="21" t="s">
        <v>208</v>
      </c>
      <c r="E114" s="13">
        <v>42849.673784722225</v>
      </c>
      <c r="F114" s="13">
        <v>42849.678171296298</v>
      </c>
      <c r="G114" s="7">
        <v>1</v>
      </c>
      <c r="H114" s="21" t="s">
        <v>802</v>
      </c>
      <c r="I114" s="13">
        <v>42849.704432870371</v>
      </c>
      <c r="J114" s="7">
        <v>0</v>
      </c>
      <c r="K114" s="92" t="str">
        <f t="shared" si="103"/>
        <v>4039/4040</v>
      </c>
      <c r="L114" s="21" t="str">
        <f>VLOOKUP(A114,'Trips&amp;Operators'!$C$1:$G$99999,5,FALSE)</f>
        <v>SULLIVAN BRANDON</v>
      </c>
      <c r="M114" s="6">
        <f t="shared" si="104"/>
        <v>2.626157407212304E-2</v>
      </c>
      <c r="N114" s="7">
        <f t="shared" si="119"/>
        <v>37.816666663857177</v>
      </c>
      <c r="O114" s="7"/>
      <c r="P114" s="7"/>
      <c r="Q114" s="22"/>
      <c r="R114" s="191"/>
      <c r="S114" s="197">
        <f t="shared" si="120"/>
        <v>1</v>
      </c>
      <c r="T114" s="191" t="str">
        <f t="shared" si="106"/>
        <v>NorthBound</v>
      </c>
      <c r="U114" s="19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2" t="str">
        <f t="shared" si="100"/>
        <v>https://d0f6bd738d7f1b3e5a7ca70fe4ff75f0.us-east-1.aws.found.io/app/kibana#/discover/Steve-Slow-Train-Analysis-(2080s-and-2083s)?_g=(refreshInterval:(display:Off,pause:!f,section:0,value:0),time:(from:'2017-04-24T15:10:15-0600',mode:absolute,to:'2017-04-24T17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4" s="193" t="str">
        <f t="shared" si="107"/>
        <v>N</v>
      </c>
      <c r="X114" s="193">
        <f t="shared" si="111"/>
        <v>1</v>
      </c>
      <c r="Y114" s="193">
        <f t="shared" si="117"/>
        <v>4.5499999999999999E-2</v>
      </c>
      <c r="Z114" s="193">
        <f t="shared" si="118"/>
        <v>23.328700000000001</v>
      </c>
      <c r="AA114" s="193">
        <f t="shared" si="108"/>
        <v>23.283200000000001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109"/>
        <v>0201-24</v>
      </c>
      <c r="AE114" s="80" t="str">
        <f t="shared" si="101"/>
        <v>aws s3 cp s3://rtdc.mdm.uploadarchive.raw/RTDC4040/ "%USERPROFILE%\AppData\Local\Temp\OnboardLogs"\RTDC4040\2017-04-24 --exclude "*" --recursive --include "*20170424*" &amp; "%USERPROFILE%\Documents\GitHub\mrs-test-scripts\Headless Mode &amp; Sideloading\WalkAndUnGZ.bat" "%USERPROFILE%\AppData\Local\Temp\OnboardLogs"\RTDC4040\2017-04-24 &amp; aws s3 cp s3://rtdc.mdm.uploadarchive.raw/RTDC4040/ "%USERPROFILE%\AppData\Local\Temp\OnboardLogs"\RTDC4040\2017-04-25 --exclude "*" --recursive --include "*20170425*" &amp; "%USERPROFILE%\Documents\GitHub\mrs-test-scripts\Headless Mode &amp; Sideloading\WalkAndUnGZ.bat" "%USERPROFILE%\AppData\Local\Temp\OnboardLogs"\RTDC4040\2017-04-25</v>
      </c>
      <c r="AF114" s="77" t="str">
        <f t="shared" si="102"/>
        <v>"C:\Program Files (x86)\AstroGrep\AstroGrep.exe" /e /r /s /spath="%USERPROFILE%\AppData\Local\Temp\OnboardLogs" /stypes="app*4040*20170424*" /stext=" 22:.+((SYSTEM_STATE.+slice.+state.+changed )|(ment ac)|(multiple cpu faults)|(system.+state.+changed )|(\[timeout)|(PRM\|1\|D)|(kpr)|(kdp)|(train.+moving)|(\|lc)|(penalty))"</v>
      </c>
      <c r="AG114" s="1" t="str">
        <f t="shared" si="110"/>
        <v>EC</v>
      </c>
      <c r="AH114" s="81" t="str">
        <f t="shared" si="112"/>
        <v>"%USERPROFILE%\Documents\GitHub\eaglep3\Utilities\RefineRTDCRunTimes.py" --tripid 201-24 --locoid 4040 --swversion DE.1.0.9.0 --startMP 204:455 --initTime 2017-04-24T16:10:15 --startdatetime 2017-04-24T16:16:34 --delay 1 --endMP 204:233287 --enddatetime 2017-04-24T16:54:23 --enforcementcount 0 &gt;&gt;C:\Users\stu\Documents\GitHub\eaglep3-reporting\EC\2017-04-24-refined-times.txt</v>
      </c>
      <c r="AI114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{"issue":{"subject":"","project_id":79,"tracker_id":40,"status_id":1,"priority_id":2,"assigned_to_id":23,"start_date":"2017-04-24","description":"","custom_fields":[{"id":1,"name":"Subdivision","value":"EC"},{"id":4,"name":"Milepost","value":"23.3287"},{"id":17,"name":"Train ID","value":"201-24"},{"id":16,"name":"Locomotive ID","value":"4040"},{"id":130,"name":"Impact","value":""},{"id":150,"name":"Time of Event (Mountain Time)","value":"16:54:23"},{"id":151,"name":"Denver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114"/>
        <v>start /low /b %USERPROFILE%\Documents\GitHub\eaglep3\Utilities\DownloadLogsFromS3.py --loco 4040 --day 2017-04-24</v>
      </c>
      <c r="AN114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22:54:23"},{"id":29,"name":"Sharepoint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726</v>
      </c>
      <c r="B115" s="7">
        <v>4039</v>
      </c>
      <c r="C115" s="21" t="s">
        <v>212</v>
      </c>
      <c r="D115" s="21" t="s">
        <v>456</v>
      </c>
      <c r="E115" s="13">
        <v>42849.712523148148</v>
      </c>
      <c r="F115" s="13">
        <v>42849.716168981482</v>
      </c>
      <c r="G115" s="7">
        <v>1</v>
      </c>
      <c r="H115" s="21" t="s">
        <v>841</v>
      </c>
      <c r="I115" s="13">
        <v>42849.743958333333</v>
      </c>
      <c r="J115" s="7">
        <v>0</v>
      </c>
      <c r="K115" s="92" t="str">
        <f t="shared" ref="K115:K146" si="121">IF(ISEVEN(B115),(B115-1)&amp;"/"&amp;B115,B115&amp;"/"&amp;(B115+1))</f>
        <v>4039/4040</v>
      </c>
      <c r="L115" s="21" t="str">
        <f>VLOOKUP(A115,'Trips&amp;Operators'!$C$1:$G$99999,5,FALSE)</f>
        <v>SULLIVAN BRANDON</v>
      </c>
      <c r="M115" s="6">
        <f t="shared" ref="M115:M146" si="122">I115-F115</f>
        <v>2.7789351850515231E-2</v>
      </c>
      <c r="N115" s="7">
        <f t="shared" si="119"/>
        <v>40.016666664741933</v>
      </c>
      <c r="O115" s="7"/>
      <c r="P115" s="7"/>
      <c r="Q115" s="22"/>
      <c r="R115" s="191"/>
      <c r="S115" s="197">
        <f t="shared" si="120"/>
        <v>1</v>
      </c>
      <c r="T115" s="191" t="str">
        <f t="shared" ref="T115:T146" si="123">IF(ISEVEN(LEFT(AD115,4)),"Southbound","NorthBound")</f>
        <v>Southbound</v>
      </c>
      <c r="U115" s="19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2" t="str">
        <f t="shared" si="100"/>
        <v>https://d0f6bd738d7f1b3e5a7ca70fe4ff75f0.us-east-1.aws.found.io/app/kibana#/discover/Steve-Slow-Train-Analysis-(2080s-and-2083s)?_g=(refreshInterval:(display:Off,pause:!f,section:0,value:0),time:(from:'2017-04-24T16:06:02-0600',mode:absolute,to:'2017-04-24T18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5" s="193" t="str">
        <f t="shared" ref="W115:W146" si="124">IF(AA115&lt;IF(AG115="EC",23,5.65),"Y","N")</f>
        <v>N</v>
      </c>
      <c r="X115" s="193">
        <f t="shared" si="111"/>
        <v>1</v>
      </c>
      <c r="Y115" s="193">
        <f t="shared" si="117"/>
        <v>23.2972</v>
      </c>
      <c r="Z115" s="193">
        <f t="shared" si="118"/>
        <v>1.7600000000000001E-2</v>
      </c>
      <c r="AA115" s="193">
        <f t="shared" ref="AA115:AA146" si="125">ABS(Z115-Y115)</f>
        <v>23.279599999999999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ref="AD115:AD146" si="126">IF(LEN(A115)=6,"0"&amp;A115,A115)</f>
        <v>0202-24</v>
      </c>
      <c r="AE115" s="80" t="str">
        <f t="shared" si="101"/>
        <v>aws s3 cp s3://rtdc.mdm.uploadarchive.raw/RTDC4039/ "%USERPROFILE%\AppData\Local\Temp\OnboardLogs"\RTDC4039\2017-04-24 --exclude "*" --recursive --include "*20170424*" &amp; "%USERPROFILE%\Documents\GitHub\mrs-test-scripts\Headless Mode &amp; Sideloading\WalkAndUnGZ.bat" "%USERPROFILE%\AppData\Local\Temp\OnboardLogs"\RTDC4039\2017-04-24 &amp; aws s3 cp s3://rtdc.mdm.uploadarchive.raw/RTDC4039/ "%USERPROFILE%\AppData\Local\Temp\OnboardLogs"\RTDC4039\2017-04-25 --exclude "*" --recursive --include "*20170425*" &amp; "%USERPROFILE%\Documents\GitHub\mrs-test-scripts\Headless Mode &amp; Sideloading\WalkAndUnGZ.bat" "%USERPROFILE%\AppData\Local\Temp\OnboardLogs"\RTDC4039\2017-04-25</v>
      </c>
      <c r="AF115" s="77" t="str">
        <f t="shared" si="102"/>
        <v>"C:\Program Files (x86)\AstroGrep\AstroGrep.exe" /e /r /s /spath="%USERPROFILE%\AppData\Local\Temp\OnboardLogs" /stypes="app*4039*20170424*" /stext=" 23:.+((SYSTEM_STATE.+slice.+state.+changed )|(ment ac)|(multiple cpu faults)|(system.+state.+changed )|(\[timeout)|(PRM\|1\|D)|(kpr)|(kdp)|(train.+moving)|(\|lc)|(penalty))"</v>
      </c>
      <c r="AG115" s="1" t="str">
        <f t="shared" ref="AG115:AG146" si="127">IFERROR(IF(VALUE(LEFT(AD115,2))&lt;=2,"EC",IF(OR(VALUE(LEFT(AD115,2))=8,VALUE(LEFT(AD115,2))=18),"NW","Other")),"Other")</f>
        <v>EC</v>
      </c>
      <c r="AH115" s="81" t="str">
        <f t="shared" si="112"/>
        <v>"%USERPROFILE%\Documents\GitHub\eaglep3\Utilities\RefineRTDCRunTimes.py" --tripid 202-24 --locoid 4039 --swversion DE.1.0.9.0 --startMP 204:232972 --initTime 2017-04-24T17:06:02 --startdatetime 2017-04-24T17:11:17 --delay 1 --endMP 204:176 --enddatetime 2017-04-24T17:51:18 --enforcementcount 0 &gt;&gt;C:\Users\stu\Documents\GitHub\eaglep3-reporting\EC\2017-04-24-refined-times.txt</v>
      </c>
      <c r="AI115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{"issue":{"subject":"","project_id":79,"tracker_id":40,"status_id":1,"priority_id":2,"assigned_to_id":23,"start_date":"2017-04-24","description":"","custom_fields":[{"id":1,"name":"Subdivision","value":"EC"},{"id":4,"name":"Milepost","value":"0.0176"},{"id":17,"name":"Train ID","value":"202-24"},{"id":16,"name":"Locomotive ID","value":"4039"},{"id":130,"name":"Impact","value":""},{"id":150,"name":"Time of Event (Mountain Time)","value":"17:51:18"},{"id":151,"name":"Denver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114"/>
        <v>start /low /b %USERPROFILE%\Documents\GitHub\eaglep3\Utilities\DownloadLogsFromS3.py --loco 4039 --day 2017-04-24</v>
      </c>
      <c r="AN115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23:51:18"},{"id":29,"name":"Sharepoint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722</v>
      </c>
      <c r="B116" s="7">
        <v>4012</v>
      </c>
      <c r="C116" s="21" t="s">
        <v>212</v>
      </c>
      <c r="D116" s="21" t="s">
        <v>476</v>
      </c>
      <c r="E116" s="13">
        <v>42849.684803240743</v>
      </c>
      <c r="F116" s="13">
        <v>42849.688113425924</v>
      </c>
      <c r="G116" s="7">
        <v>1</v>
      </c>
      <c r="H116" s="21" t="s">
        <v>535</v>
      </c>
      <c r="I116" s="13">
        <v>42849.714629629627</v>
      </c>
      <c r="J116" s="7">
        <v>0</v>
      </c>
      <c r="K116" s="92" t="str">
        <f t="shared" si="121"/>
        <v>4011/4012</v>
      </c>
      <c r="L116" s="21" t="str">
        <f>VLOOKUP(A116,'Trips&amp;Operators'!$C$1:$G$99999,5,FALSE)</f>
        <v>DAVIS MICHAEL</v>
      </c>
      <c r="M116" s="6">
        <f t="shared" si="122"/>
        <v>2.6516203703067731E-2</v>
      </c>
      <c r="N116" s="7">
        <f t="shared" si="119"/>
        <v>38.183333332417533</v>
      </c>
      <c r="O116" s="7"/>
      <c r="P116" s="7"/>
      <c r="Q116" s="22"/>
      <c r="R116" s="191"/>
      <c r="S116" s="197">
        <f t="shared" si="120"/>
        <v>1</v>
      </c>
      <c r="T116" s="191" t="str">
        <f t="shared" si="123"/>
        <v>NorthBound</v>
      </c>
      <c r="U116" s="19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2" t="str">
        <f t="shared" si="100"/>
        <v>https://d0f6bd738d7f1b3e5a7ca70fe4ff75f0.us-east-1.aws.found.io/app/kibana#/discover/Steve-Slow-Train-Analysis-(2080s-and-2083s)?_g=(refreshInterval:(display:Off,pause:!f,section:0,value:0),time:(from:'2017-04-24T15:26:07-0600',mode:absolute,to:'2017-04-24T18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6" s="193" t="str">
        <f t="shared" si="124"/>
        <v>N</v>
      </c>
      <c r="X116" s="193">
        <f t="shared" ref="X116:X124" si="128">VALUE(LEFT(AD116,4))-VALUE(LEFT(AD115,4))</f>
        <v>1</v>
      </c>
      <c r="Y116" s="193">
        <f t="shared" si="117"/>
        <v>4.6399999999999997E-2</v>
      </c>
      <c r="Z116" s="193">
        <f t="shared" si="118"/>
        <v>23.328800000000001</v>
      </c>
      <c r="AA116" s="193">
        <f t="shared" si="125"/>
        <v>23.282400000000003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126"/>
        <v>0203-24</v>
      </c>
      <c r="AE116" s="80" t="str">
        <f t="shared" si="101"/>
        <v>aws s3 cp s3://rtdc.mdm.uploadarchive.raw/RTDC4012/ "%USERPROFILE%\AppData\Local\Temp\OnboardLogs"\RTDC4012\2017-04-24 --exclude "*" --recursive --include "*20170424*" &amp; "%USERPROFILE%\Documents\GitHub\mrs-test-scripts\Headless Mode &amp; Sideloading\WalkAndUnGZ.bat" "%USERPROFILE%\AppData\Local\Temp\OnboardLogs"\RTDC4012\2017-04-24 &amp; aws s3 cp s3://rtdc.mdm.uploadarchive.raw/RTDC4012/ "%USERPROFILE%\AppData\Local\Temp\OnboardLogs"\RTDC4012\2017-04-25 --exclude "*" --recursive --include "*20170425*" &amp; "%USERPROFILE%\Documents\GitHub\mrs-test-scripts\Headless Mode &amp; Sideloading\WalkAndUnGZ.bat" "%USERPROFILE%\AppData\Local\Temp\OnboardLogs"\RTDC4012\2017-04-25</v>
      </c>
      <c r="AF116" s="77" t="str">
        <f t="shared" si="102"/>
        <v>"C:\Program Files (x86)\AstroGrep\AstroGrep.exe" /e /r /s /spath="%USERPROFILE%\AppData\Local\Temp\OnboardLogs" /stypes="app*4012*20170424*" /stext=" 23:.+((SYSTEM_STATE.+slice.+state.+changed )|(ment ac)|(multiple cpu faults)|(system.+state.+changed )|(\[timeout)|(PRM\|1\|D)|(kpr)|(kdp)|(train.+moving)|(\|lc)|(penalty))"</v>
      </c>
      <c r="AG116" s="1" t="str">
        <f t="shared" si="127"/>
        <v>EC</v>
      </c>
      <c r="AH116" s="81" t="str">
        <f t="shared" si="112"/>
        <v>"%USERPROFILE%\Documents\GitHub\eaglep3\Utilities\RefineRTDCRunTimes.py" --tripid 203-24 --locoid 4012 --swversion DE.1.0.9.0 --startMP 204:464 --initTime 2017-04-24T16:26:07 --startdatetime 2017-04-24T16:30:53 --delay 1 --endMP 204:233288 --enddatetime 2017-04-24T17:09:04 --enforcementcount 0 &gt;&gt;C:\Users\stu\Documents\GitHub\eaglep3-reporting\EC\2017-04-24-refined-times.txt</v>
      </c>
      <c r="AI116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{"issue":{"subject":"","project_id":79,"tracker_id":40,"status_id":1,"priority_id":2,"assigned_to_id":23,"start_date":"2017-04-24","description":"","custom_fields":[{"id":1,"name":"Subdivision","value":"EC"},{"id":4,"name":"Milepost","value":"23.3288"},{"id":17,"name":"Train ID","value":"203-24"},{"id":16,"name":"Locomotive ID","value":"4012"},{"id":130,"name":"Impact","value":""},{"id":150,"name":"Time of Event (Mountain Time)","value":"17:09:04"},{"id":151,"name":"Denver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114"/>
        <v>start /low /b %USERPROFILE%\Documents\GitHub\eaglep3\Utilities\DownloadLogsFromS3.py --loco 4012 --day 2017-04-24</v>
      </c>
      <c r="AN116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23:09:04"},{"id":29,"name":"Sharepoint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731</v>
      </c>
      <c r="B117" s="7">
        <v>4011</v>
      </c>
      <c r="C117" s="21" t="s">
        <v>212</v>
      </c>
      <c r="D117" s="21" t="s">
        <v>452</v>
      </c>
      <c r="E117" s="13">
        <v>42849.723703703705</v>
      </c>
      <c r="F117" s="13">
        <v>42849.726747685185</v>
      </c>
      <c r="G117" s="7">
        <v>1</v>
      </c>
      <c r="H117" s="21" t="s">
        <v>792</v>
      </c>
      <c r="I117" s="13">
        <v>42849.755324074074</v>
      </c>
      <c r="J117" s="7">
        <v>0</v>
      </c>
      <c r="K117" s="92" t="str">
        <f t="shared" si="121"/>
        <v>4011/4012</v>
      </c>
      <c r="L117" s="21" t="str">
        <f>VLOOKUP(A117,'Trips&amp;Operators'!$C$1:$G$99999,5,FALSE)</f>
        <v>DAVIS MICHAEL</v>
      </c>
      <c r="M117" s="6">
        <f t="shared" si="122"/>
        <v>2.8576388889632653E-2</v>
      </c>
      <c r="N117" s="7">
        <f t="shared" si="119"/>
        <v>41.150000001071021</v>
      </c>
      <c r="O117" s="7"/>
      <c r="P117" s="7"/>
      <c r="Q117" s="22"/>
      <c r="R117" s="191"/>
      <c r="S117" s="197">
        <f t="shared" si="120"/>
        <v>1</v>
      </c>
      <c r="T117" s="191" t="str">
        <f t="shared" si="123"/>
        <v>Southbound</v>
      </c>
      <c r="U117" s="19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2" t="str">
        <f t="shared" si="100"/>
        <v>https://d0f6bd738d7f1b3e5a7ca70fe4ff75f0.us-east-1.aws.found.io/app/kibana#/discover/Steve-Slow-Train-Analysis-(2080s-and-2083s)?_g=(refreshInterval:(display:Off,pause:!f,section:0,value:0),time:(from:'2017-04-24T16:22:08-0600',mode:absolute,to:'2017-04-24T19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7" s="193" t="str">
        <f t="shared" si="124"/>
        <v>N</v>
      </c>
      <c r="X117" s="193">
        <f t="shared" si="128"/>
        <v>1</v>
      </c>
      <c r="Y117" s="193">
        <f t="shared" si="117"/>
        <v>23.299399999999999</v>
      </c>
      <c r="Z117" s="193">
        <f t="shared" si="118"/>
        <v>1.5599999999999999E-2</v>
      </c>
      <c r="AA117" s="193">
        <f t="shared" si="125"/>
        <v>23.283799999999999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126"/>
        <v>0204-24</v>
      </c>
      <c r="AE117" s="80" t="str">
        <f t="shared" si="101"/>
        <v>aws s3 cp s3://rtdc.mdm.uploadarchive.raw/RTDC4011/ "%USERPROFILE%\AppData\Local\Temp\OnboardLogs"\RTDC4011\2017-04-24 --exclude "*" --recursive --include "*20170424*" &amp; "%USERPROFILE%\Documents\GitHub\mrs-test-scripts\Headless Mode &amp; Sideloading\WalkAndUnGZ.bat" "%USERPROFILE%\AppData\Local\Temp\OnboardLogs"\RTDC4011\2017-04-24 &amp; aws s3 cp s3://rtdc.mdm.uploadarchive.raw/RTDC4011/ "%USERPROFILE%\AppData\Local\Temp\OnboardLogs"\RTDC4011\2017-04-25 --exclude "*" --recursive --include "*20170425*" &amp; "%USERPROFILE%\Documents\GitHub\mrs-test-scripts\Headless Mode &amp; Sideloading\WalkAndUnGZ.bat" "%USERPROFILE%\AppData\Local\Temp\OnboardLogs"\RTDC4011\2017-04-25</v>
      </c>
      <c r="AF117" s="77" t="str">
        <f t="shared" si="102"/>
        <v>"C:\Program Files (x86)\AstroGrep\AstroGrep.exe" /e /r /s /spath="%USERPROFILE%\AppData\Local\Temp\OnboardLogs" /stypes="app*4011*20170425*" /stext=" 00:.+((SYSTEM_STATE.+slice.+state.+changed )|(ment ac)|(multiple cpu faults)|(system.+state.+changed )|(\[timeout)|(PRM\|1\|D)|(kpr)|(kdp)|(train.+moving)|(\|lc)|(penalty))"</v>
      </c>
      <c r="AG117" s="1" t="str">
        <f t="shared" si="127"/>
        <v>EC</v>
      </c>
      <c r="AH117" s="81" t="str">
        <f t="shared" si="112"/>
        <v>"%USERPROFILE%\Documents\GitHub\eaglep3\Utilities\RefineRTDCRunTimes.py" --tripid 204-24 --locoid 4011 --swversion DE.1.0.9.0 --startMP 204:232994 --initTime 2017-04-24T17:22:08 --startdatetime 2017-04-24T17:26:31 --delay 1 --endMP 204:156 --enddatetime 2017-04-24T18:07:40 --enforcementcount 0 &gt;&gt;C:\Users\stu\Documents\GitHub\eaglep3-reporting\EC\2017-04-24-refined-times.txt</v>
      </c>
      <c r="AI117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{"issue":{"subject":"","project_id":79,"tracker_id":40,"status_id":1,"priority_id":2,"assigned_to_id":23,"start_date":"2017-04-24","description":"","custom_fields":[{"id":1,"name":"Subdivision","value":"EC"},{"id":4,"name":"Milepost","value":"0.0156"},{"id":17,"name":"Train ID","value":"204-24"},{"id":16,"name":"Locomotive ID","value":"4011"},{"id":130,"name":"Impact","value":""},{"id":150,"name":"Time of Event (Mountain Time)","value":"18:07:40"},{"id":151,"name":"Denver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114"/>
        <v>start /low /b %USERPROFILE%\Documents\GitHub\eaglep3\Utilities\DownloadLogsFromS3.py --loco 4011 --day 2017-04-24</v>
      </c>
      <c r="AN117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00:07:40"},{"id":29,"name":"Sharepoint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x14ac:dyDescent="0.25">
      <c r="A118" s="32" t="s">
        <v>724</v>
      </c>
      <c r="B118" s="7">
        <v>4028</v>
      </c>
      <c r="C118" s="21" t="s">
        <v>212</v>
      </c>
      <c r="D118" s="21" t="s">
        <v>842</v>
      </c>
      <c r="E118" s="13">
        <v>42849.695844907408</v>
      </c>
      <c r="F118" s="13">
        <v>42849.698217592595</v>
      </c>
      <c r="G118" s="7">
        <v>1</v>
      </c>
      <c r="H118" s="21" t="s">
        <v>475</v>
      </c>
      <c r="I118" s="13">
        <v>42849.724444444444</v>
      </c>
      <c r="J118" s="7">
        <v>0</v>
      </c>
      <c r="K118" s="92" t="str">
        <f t="shared" si="121"/>
        <v>4027/4028</v>
      </c>
      <c r="L118" s="21" t="str">
        <f>VLOOKUP(A118,'Trips&amp;Operators'!$C$1:$G$99999,5,FALSE)</f>
        <v>CLARK KATHLEEN</v>
      </c>
      <c r="M118" s="6">
        <f t="shared" si="122"/>
        <v>2.622685184906004E-2</v>
      </c>
      <c r="N118" s="7">
        <f t="shared" si="119"/>
        <v>37.766666662646458</v>
      </c>
      <c r="O118" s="7"/>
      <c r="P118" s="7"/>
      <c r="Q118" s="22"/>
      <c r="R118" s="191"/>
      <c r="S118" s="197">
        <f t="shared" si="120"/>
        <v>1</v>
      </c>
      <c r="T118" s="191" t="str">
        <f t="shared" si="123"/>
        <v>NorthBound</v>
      </c>
      <c r="U118" s="19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2" t="str">
        <f t="shared" si="100"/>
        <v>https://d0f6bd738d7f1b3e5a7ca70fe4ff75f0.us-east-1.aws.found.io/app/kibana#/discover/Steve-Slow-Train-Analysis-(2080s-and-2083s)?_g=(refreshInterval:(display:Off,pause:!f,section:0,value:0),time:(from:'2017-04-24T15:42:01-0600',mode:absolute,to:'2017-04-24T18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8" s="193" t="str">
        <f t="shared" si="124"/>
        <v>N</v>
      </c>
      <c r="X118" s="193">
        <f t="shared" si="128"/>
        <v>1</v>
      </c>
      <c r="Y118" s="193">
        <f t="shared" si="117"/>
        <v>5.0900000000000001E-2</v>
      </c>
      <c r="Z118" s="193">
        <f t="shared" si="118"/>
        <v>23.328900000000001</v>
      </c>
      <c r="AA118" s="193">
        <f t="shared" si="125"/>
        <v>23.278000000000002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126"/>
        <v>0205-24</v>
      </c>
      <c r="AE118" s="80" t="str">
        <f t="shared" si="101"/>
        <v>aws s3 cp s3://rtdc.mdm.uploadarchive.raw/RTDC4028/ "%USERPROFILE%\AppData\Local\Temp\OnboardLogs"\RTDC4028\2017-04-24 --exclude "*" --recursive --include "*20170424*" &amp; "%USERPROFILE%\Documents\GitHub\mrs-test-scripts\Headless Mode &amp; Sideloading\WalkAndUnGZ.bat" "%USERPROFILE%\AppData\Local\Temp\OnboardLogs"\RTDC4028\2017-04-24 &amp; aws s3 cp s3://rtdc.mdm.uploadarchive.raw/RTDC4028/ "%USERPROFILE%\AppData\Local\Temp\OnboardLogs"\RTDC4028\2017-04-25 --exclude "*" --recursive --include "*20170425*" &amp; "%USERPROFILE%\Documents\GitHub\mrs-test-scripts\Headless Mode &amp; Sideloading\WalkAndUnGZ.bat" "%USERPROFILE%\AppData\Local\Temp\OnboardLogs"\RTDC4028\2017-04-25</v>
      </c>
      <c r="AF118" s="77" t="str">
        <f t="shared" si="102"/>
        <v>"C:\Program Files (x86)\AstroGrep\AstroGrep.exe" /e /r /s /spath="%USERPROFILE%\AppData\Local\Temp\OnboardLogs" /stypes="app*4028*20170424*" /stext=" 23:.+((SYSTEM_STATE.+slice.+state.+changed )|(ment ac)|(multiple cpu faults)|(system.+state.+changed )|(\[timeout)|(PRM\|1\|D)|(kpr)|(kdp)|(train.+moving)|(\|lc)|(penalty))"</v>
      </c>
      <c r="AG118" s="1" t="str">
        <f t="shared" si="127"/>
        <v>EC</v>
      </c>
      <c r="AH118" s="81" t="str">
        <f t="shared" si="112"/>
        <v>"%USERPROFILE%\Documents\GitHub\eaglep3\Utilities\RefineRTDCRunTimes.py" --tripid 205-24 --locoid 4028 --swversion DE.1.0.9.0 --startMP 204:509 --initTime 2017-04-24T16:42:01 --startdatetime 2017-04-24T16:45:26 --delay 1 --endMP 204:233289 --enddatetime 2017-04-24T17:23:12 --enforcementcount 0 &gt;&gt;C:\Users\stu\Documents\GitHub\eaglep3-reporting\EC\2017-04-24-refined-times.txt</v>
      </c>
      <c r="AI118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{"issue":{"subject":"","project_id":79,"tracker_id":40,"status_id":1,"priority_id":2,"assigned_to_id":23,"start_date":"2017-04-24","description":"","custom_fields":[{"id":1,"name":"Subdivision","value":"EC"},{"id":4,"name":"Milepost","value":"23.3289"},{"id":17,"name":"Train ID","value":"205-24"},{"id":16,"name":"Locomotive ID","value":"4028"},{"id":130,"name":"Impact","value":""},{"id":150,"name":"Time of Event (Mountain Time)","value":"17:23:12"},{"id":151,"name":"Denver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20"/>
      <c r="AK118" s="47"/>
      <c r="AL118" s="47"/>
      <c r="AM118" s="145" t="str">
        <f t="shared" si="114"/>
        <v>start /low /b %USERPROFILE%\Documents\GitHub\eaglep3\Utilities\DownloadLogsFromS3.py --loco 4028 --day 2017-04-24</v>
      </c>
      <c r="AN118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23:23:12"},{"id":29,"name":"Sharepoint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9" spans="1:91" s="20" customFormat="1" x14ac:dyDescent="0.25">
      <c r="A119" s="32" t="s">
        <v>734</v>
      </c>
      <c r="B119" s="7">
        <v>4027</v>
      </c>
      <c r="C119" s="21" t="s">
        <v>212</v>
      </c>
      <c r="D119" s="21" t="s">
        <v>843</v>
      </c>
      <c r="E119" s="13">
        <v>42849.733472222222</v>
      </c>
      <c r="F119" s="13">
        <v>42849.736967592595</v>
      </c>
      <c r="G119" s="7">
        <v>0</v>
      </c>
      <c r="H119" s="21" t="s">
        <v>811</v>
      </c>
      <c r="I119" s="13">
        <v>42849.765821759262</v>
      </c>
      <c r="J119" s="7">
        <v>0</v>
      </c>
      <c r="K119" s="92" t="str">
        <f t="shared" si="121"/>
        <v>4027/4028</v>
      </c>
      <c r="L119" s="21" t="str">
        <f>VLOOKUP(A119,'Trips&amp;Operators'!$C$1:$G$99999,5,FALSE)</f>
        <v>CLARK KATHLEEN</v>
      </c>
      <c r="M119" s="6">
        <f t="shared" si="122"/>
        <v>2.8854166666860692E-2</v>
      </c>
      <c r="N119" s="7">
        <f t="shared" si="119"/>
        <v>41.550000000279397</v>
      </c>
      <c r="O119" s="7"/>
      <c r="P119" s="7"/>
      <c r="Q119" s="22"/>
      <c r="R119" s="191"/>
      <c r="S119" s="197">
        <f t="shared" si="120"/>
        <v>1</v>
      </c>
      <c r="T119" s="191" t="str">
        <f t="shared" si="123"/>
        <v>Southbound</v>
      </c>
      <c r="U119" s="19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2" t="str">
        <f t="shared" si="100"/>
        <v>https://d0f6bd738d7f1b3e5a7ca70fe4ff75f0.us-east-1.aws.found.io/app/kibana#/discover/Steve-Slow-Train-Analysis-(2080s-and-2083s)?_g=(refreshInterval:(display:Off,pause:!f,section:0,value:0),time:(from:'2017-04-24T16:36:12-0600',mode:absolute,to:'2017-04-24T19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9" s="193" t="str">
        <f t="shared" si="124"/>
        <v>N</v>
      </c>
      <c r="X119" s="193">
        <f t="shared" si="128"/>
        <v>1</v>
      </c>
      <c r="Y119" s="193">
        <f t="shared" si="117"/>
        <v>23.297599999999999</v>
      </c>
      <c r="Z119" s="193">
        <f t="shared" si="118"/>
        <v>1.7399999999999999E-2</v>
      </c>
      <c r="AA119" s="193">
        <f t="shared" si="125"/>
        <v>23.280200000000001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126"/>
        <v>0206-24</v>
      </c>
      <c r="AE119" s="80" t="str">
        <f t="shared" si="101"/>
        <v>aws s3 cp s3://rtdc.mdm.uploadarchive.raw/RTDC4027/ "%USERPROFILE%\AppData\Local\Temp\OnboardLogs"\RTDC4027\2017-04-24 --exclude "*" --recursive --include "*20170424*" &amp; "%USERPROFILE%\Documents\GitHub\mrs-test-scripts\Headless Mode &amp; Sideloading\WalkAndUnGZ.bat" "%USERPROFILE%\AppData\Local\Temp\OnboardLogs"\RTDC4027\2017-04-24 &amp; aws s3 cp s3://rtdc.mdm.uploadarchive.raw/RTDC4027/ "%USERPROFILE%\AppData\Local\Temp\OnboardLogs"\RTDC4027\2017-04-25 --exclude "*" --recursive --include "*20170425*" &amp; "%USERPROFILE%\Documents\GitHub\mrs-test-scripts\Headless Mode &amp; Sideloading\WalkAndUnGZ.bat" "%USERPROFILE%\AppData\Local\Temp\OnboardLogs"\RTDC4027\2017-04-25</v>
      </c>
      <c r="AF119" s="77" t="str">
        <f t="shared" si="102"/>
        <v>"C:\Program Files (x86)\AstroGrep\AstroGrep.exe" /e /r /s /spath="%USERPROFILE%\AppData\Local\Temp\OnboardLogs" /stypes="app*4027*20170425*" /stext=" 00:.+((SYSTEM_STATE.+slice.+state.+changed )|(ment ac)|(multiple cpu faults)|(system.+state.+changed )|(\[timeout)|(PRM\|1\|D)|(kpr)|(kdp)|(train.+moving)|(\|lc)|(penalty))"</v>
      </c>
      <c r="AG119" s="1" t="str">
        <f t="shared" si="127"/>
        <v>EC</v>
      </c>
      <c r="AH119" s="81" t="str">
        <f t="shared" si="112"/>
        <v>"%USERPROFILE%\Documents\GitHub\eaglep3\Utilities\RefineRTDCRunTimes.py" --tripid 206-24 --locoid 4027 --swversion DE.1.0.9.0 --startMP 204:232976 --initTime 2017-04-24T17:36:12 --startdatetime 2017-04-24T17:41:14 --delay 0 --endMP 204:174 --enddatetime 2017-04-24T18:22:47 --enforcementcount 0 &gt;&gt;C:\Users\stu\Documents\GitHub\eaglep3-reporting\EC\2017-04-24-refined-times.txt</v>
      </c>
      <c r="AI119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{"issue":{"subject":"","project_id":79,"tracker_id":40,"status_id":1,"priority_id":2,"assigned_to_id":23,"start_date":"2017-04-24","description":"","custom_fields":[{"id":1,"name":"Subdivision","value":"EC"},{"id":4,"name":"Milepost","value":"0.0174"},{"id":17,"name":"Train ID","value":"206-24"},{"id":16,"name":"Locomotive ID","value":"4027"},{"id":130,"name":"Impact","value":""},{"id":150,"name":"Time of Event (Mountain Time)","value":"18:22:47"},{"id":151,"name":"Denver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114"/>
        <v>start /low /b %USERPROFILE%\Documents\GitHub\eaglep3\Utilities\DownloadLogsFromS3.py --loco 4027 --day 2017-04-24</v>
      </c>
      <c r="AN119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00:22:47"},{"id":29,"name":"Sharepoint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725</v>
      </c>
      <c r="B120" s="7">
        <v>4030</v>
      </c>
      <c r="C120" s="21" t="s">
        <v>212</v>
      </c>
      <c r="D120" s="21" t="s">
        <v>516</v>
      </c>
      <c r="E120" s="13">
        <v>42849.705266203702</v>
      </c>
      <c r="F120" s="13">
        <v>42849.708692129629</v>
      </c>
      <c r="G120" s="7">
        <v>3</v>
      </c>
      <c r="H120" s="21" t="s">
        <v>479</v>
      </c>
      <c r="I120" s="13">
        <v>42849.735266203701</v>
      </c>
      <c r="J120" s="7">
        <v>0</v>
      </c>
      <c r="K120" s="92" t="str">
        <f t="shared" si="121"/>
        <v>4029/4030</v>
      </c>
      <c r="L120" s="21" t="str">
        <f>VLOOKUP(A120,'Trips&amp;Operators'!$C$1:$G$99999,5,FALSE)</f>
        <v>LAMAR NEKESHA</v>
      </c>
      <c r="M120" s="6">
        <f t="shared" si="122"/>
        <v>2.6574074072414078E-2</v>
      </c>
      <c r="N120" s="7">
        <f t="shared" si="119"/>
        <v>38.266666664276272</v>
      </c>
      <c r="O120" s="7"/>
      <c r="P120" s="7"/>
      <c r="Q120" s="22"/>
      <c r="R120" s="191"/>
      <c r="S120" s="197">
        <f t="shared" si="120"/>
        <v>1</v>
      </c>
      <c r="T120" s="191" t="str">
        <f t="shared" si="123"/>
        <v>NorthBound</v>
      </c>
      <c r="U120" s="19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2" t="str">
        <f t="shared" si="100"/>
        <v>https://d0f6bd738d7f1b3e5a7ca70fe4ff75f0.us-east-1.aws.found.io/app/kibana#/discover/Steve-Slow-Train-Analysis-(2080s-and-2083s)?_g=(refreshInterval:(display:Off,pause:!f,section:0,value:0),time:(from:'2017-04-24T15:55:35-0600',mode:absolute,to:'2017-04-24T18:38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0" s="193" t="str">
        <f t="shared" si="124"/>
        <v>N</v>
      </c>
      <c r="X120" s="193">
        <f t="shared" si="128"/>
        <v>1</v>
      </c>
      <c r="Y120" s="193">
        <f t="shared" si="117"/>
        <v>4.2700000000000002E-2</v>
      </c>
      <c r="Z120" s="193">
        <f t="shared" si="118"/>
        <v>23.330500000000001</v>
      </c>
      <c r="AA120" s="193">
        <f t="shared" si="125"/>
        <v>23.287800000000001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126"/>
        <v>0207-24</v>
      </c>
      <c r="AE120" s="80" t="str">
        <f t="shared" si="101"/>
        <v>aws s3 cp s3://rtdc.mdm.uploadarchive.raw/RTDC4030/ "%USERPROFILE%\AppData\Local\Temp\OnboardLogs"\RTDC4030\2017-04-24 --exclude "*" --recursive --include "*20170424*" &amp; "%USERPROFILE%\Documents\GitHub\mrs-test-scripts\Headless Mode &amp; Sideloading\WalkAndUnGZ.bat" "%USERPROFILE%\AppData\Local\Temp\OnboardLogs"\RTDC4030\2017-04-24 &amp; aws s3 cp s3://rtdc.mdm.uploadarchive.raw/RTDC4030/ "%USERPROFILE%\AppData\Local\Temp\OnboardLogs"\RTDC4030\2017-04-25 --exclude "*" --recursive --include "*20170425*" &amp; "%USERPROFILE%\Documents\GitHub\mrs-test-scripts\Headless Mode &amp; Sideloading\WalkAndUnGZ.bat" "%USERPROFILE%\AppData\Local\Temp\OnboardLogs"\RTDC4030\2017-04-25</v>
      </c>
      <c r="AF120" s="77" t="str">
        <f t="shared" si="102"/>
        <v>"C:\Program Files (x86)\AstroGrep\AstroGrep.exe" /e /r /s /spath="%USERPROFILE%\AppData\Local\Temp\OnboardLogs" /stypes="app*4030*20170424*" /stext=" 23:.+((SYSTEM_STATE.+slice.+state.+changed )|(ment ac)|(multiple cpu faults)|(system.+state.+changed )|(\[timeout)|(PRM\|1\|D)|(kpr)|(kdp)|(train.+moving)|(\|lc)|(penalty))"</v>
      </c>
      <c r="AG120" s="1" t="str">
        <f t="shared" si="127"/>
        <v>EC</v>
      </c>
      <c r="AH120" s="81" t="str">
        <f t="shared" si="112"/>
        <v>"%USERPROFILE%\Documents\GitHub\eaglep3\Utilities\RefineRTDCRunTimes.py" --tripid 207-24 --locoid 4030 --swversion DE.1.0.9.0 --startMP 204:427 --initTime 2017-04-24T16:55:35 --startdatetime 2017-04-24T17:00:31 --delay 3 --endMP 204:233305 --enddatetime 2017-04-24T17:38:47 --enforcementcount 0 &gt;&gt;C:\Users\stu\Documents\GitHub\eaglep3-reporting\EC\2017-04-24-refined-times.txt</v>
      </c>
      <c r="AI120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{"issue":{"subject":"","project_id":79,"tracker_id":40,"status_id":1,"priority_id":2,"assigned_to_id":23,"start_date":"2017-04-24","description":"","custom_fields":[{"id":1,"name":"Subdivision","value":"EC"},{"id":4,"name":"Milepost","value":"23.3305"},{"id":17,"name":"Train ID","value":"207-24"},{"id":16,"name":"Locomotive ID","value":"4030"},{"id":130,"name":"Impact","value":""},{"id":150,"name":"Time of Event (Mountain Time)","value":"17:38:47"},{"id":151,"name":"Denver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114"/>
        <v>start /low /b %USERPROFILE%\Documents\GitHub\eaglep3\Utilities\DownloadLogsFromS3.py --loco 4030 --day 2017-04-24</v>
      </c>
      <c r="AN120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23:38:47"},{"id":29,"name":"Sharepoint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738</v>
      </c>
      <c r="B121" s="7">
        <v>4029</v>
      </c>
      <c r="C121" s="21" t="s">
        <v>212</v>
      </c>
      <c r="D121" s="21" t="s">
        <v>433</v>
      </c>
      <c r="E121" s="13">
        <v>42849.741678240738</v>
      </c>
      <c r="F121" s="13">
        <v>42849.747627314813</v>
      </c>
      <c r="G121" s="7">
        <v>1</v>
      </c>
      <c r="H121" s="21" t="s">
        <v>423</v>
      </c>
      <c r="I121" s="13">
        <v>42849.775787037041</v>
      </c>
      <c r="J121" s="7">
        <v>0</v>
      </c>
      <c r="K121" s="92" t="str">
        <f t="shared" si="121"/>
        <v>4029/4030</v>
      </c>
      <c r="L121" s="21" t="str">
        <f>VLOOKUP(A121,'Trips&amp;Operators'!$C$1:$G$99999,5,FALSE)</f>
        <v>LAMAR NEKESHA</v>
      </c>
      <c r="M121" s="6">
        <f t="shared" si="122"/>
        <v>2.8159722227428574E-2</v>
      </c>
      <c r="N121" s="7">
        <f t="shared" si="119"/>
        <v>40.550000007497147</v>
      </c>
      <c r="O121" s="7"/>
      <c r="P121" s="7"/>
      <c r="Q121" s="22"/>
      <c r="R121" s="191"/>
      <c r="S121" s="197">
        <f t="shared" si="120"/>
        <v>1</v>
      </c>
      <c r="T121" s="191" t="str">
        <f t="shared" si="123"/>
        <v>Southbound</v>
      </c>
      <c r="U121" s="19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2" t="str">
        <f t="shared" si="100"/>
        <v>https://d0f6bd738d7f1b3e5a7ca70fe4ff75f0.us-east-1.aws.found.io/app/kibana#/discover/Steve-Slow-Train-Analysis-(2080s-and-2083s)?_g=(refreshInterval:(display:Off,pause:!f,section:0,value:0),time:(from:'2017-04-24T16:48:01-0600',mode:absolute,to:'2017-04-24T19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1" s="193" t="str">
        <f t="shared" si="124"/>
        <v>N</v>
      </c>
      <c r="X121" s="193">
        <f t="shared" si="128"/>
        <v>1</v>
      </c>
      <c r="Y121" s="193">
        <f t="shared" si="117"/>
        <v>23.3</v>
      </c>
      <c r="Z121" s="193">
        <f t="shared" si="118"/>
        <v>1.3899999999999999E-2</v>
      </c>
      <c r="AA121" s="193">
        <f t="shared" si="125"/>
        <v>23.286100000000001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126"/>
        <v>0208-24</v>
      </c>
      <c r="AE121" s="80" t="str">
        <f t="shared" si="101"/>
        <v>aws s3 cp s3://rtdc.mdm.uploadarchive.raw/RTDC4029/ "%USERPROFILE%\AppData\Local\Temp\OnboardLogs"\RTDC4029\2017-04-24 --exclude "*" --recursive --include "*20170424*" &amp; "%USERPROFILE%\Documents\GitHub\mrs-test-scripts\Headless Mode &amp; Sideloading\WalkAndUnGZ.bat" "%USERPROFILE%\AppData\Local\Temp\OnboardLogs"\RTDC4029\2017-04-24 &amp; aws s3 cp s3://rtdc.mdm.uploadarchive.raw/RTDC4029/ "%USERPROFILE%\AppData\Local\Temp\OnboardLogs"\RTDC4029\2017-04-25 --exclude "*" --recursive --include "*20170425*" &amp; "%USERPROFILE%\Documents\GitHub\mrs-test-scripts\Headless Mode &amp; Sideloading\WalkAndUnGZ.bat" "%USERPROFILE%\AppData\Local\Temp\OnboardLogs"\RTDC4029\2017-04-25</v>
      </c>
      <c r="AF121" s="77" t="str">
        <f t="shared" si="102"/>
        <v>"C:\Program Files (x86)\AstroGrep\AstroGrep.exe" /e /r /s /spath="%USERPROFILE%\AppData\Local\Temp\OnboardLogs" /stypes="app*4029*20170425*" /stext=" 00:.+((SYSTEM_STATE.+slice.+state.+changed )|(ment ac)|(multiple cpu faults)|(system.+state.+changed )|(\[timeout)|(PRM\|1\|D)|(kpr)|(kdp)|(train.+moving)|(\|lc)|(penalty))"</v>
      </c>
      <c r="AG121" s="1" t="str">
        <f t="shared" si="127"/>
        <v>EC</v>
      </c>
      <c r="AH121" s="81" t="str">
        <f t="shared" si="112"/>
        <v>"%USERPROFILE%\Documents\GitHub\eaglep3\Utilities\RefineRTDCRunTimes.py" --tripid 208-24 --locoid 4029 --swversion DE.1.0.9.0 --startMP 204:233000 --initTime 2017-04-24T17:48:01 --startdatetime 2017-04-24T17:56:35 --delay 1 --endMP 204:139 --enddatetime 2017-04-24T18:37:08 --enforcementcount 0 &gt;&gt;C:\Users\stu\Documents\GitHub\eaglep3-reporting\EC\2017-04-24-refined-times.txt</v>
      </c>
      <c r="AI121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{"issue":{"subject":"","project_id":79,"tracker_id":40,"status_id":1,"priority_id":2,"assigned_to_id":23,"start_date":"2017-04-24","description":"","custom_fields":[{"id":1,"name":"Subdivision","value":"EC"},{"id":4,"name":"Milepost","value":"0.0139"},{"id":17,"name":"Train ID","value":"208-24"},{"id":16,"name":"Locomotive ID","value":"4029"},{"id":130,"name":"Impact","value":""},{"id":150,"name":"Time of Event (Mountain Time)","value":"18:37:08"},{"id":151,"name":"Denver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114"/>
        <v>start /low /b %USERPROFILE%\Documents\GitHub\eaglep3\Utilities\DownloadLogsFromS3.py --loco 4029 --day 2017-04-24</v>
      </c>
      <c r="AN121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00:37:08"},{"id":29,"name":"Sharepoint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573</v>
      </c>
      <c r="B122" s="7">
        <v>4024</v>
      </c>
      <c r="C122" s="21" t="s">
        <v>212</v>
      </c>
      <c r="D122" s="21" t="s">
        <v>445</v>
      </c>
      <c r="E122" s="13">
        <v>42849.717777777776</v>
      </c>
      <c r="F122" s="13">
        <v>42849.719282407408</v>
      </c>
      <c r="G122" s="7">
        <v>1</v>
      </c>
      <c r="H122" s="21" t="s">
        <v>801</v>
      </c>
      <c r="I122" s="13">
        <v>42849.745462962965</v>
      </c>
      <c r="J122" s="7">
        <v>0</v>
      </c>
      <c r="K122" s="92" t="str">
        <f t="shared" si="121"/>
        <v>4023/4024</v>
      </c>
      <c r="L122" s="21" t="str">
        <f>VLOOKUP(A122,'Trips&amp;Operators'!$C$1:$G$99999,5,FALSE)</f>
        <v>PERKINS DARREN</v>
      </c>
      <c r="M122" s="6">
        <f t="shared" si="122"/>
        <v>2.6180555556493346E-2</v>
      </c>
      <c r="N122" s="7">
        <f t="shared" si="119"/>
        <v>37.700000001350418</v>
      </c>
      <c r="O122" s="7"/>
      <c r="P122" s="7"/>
      <c r="Q122" s="22"/>
      <c r="R122" s="191"/>
      <c r="S122" s="197">
        <f t="shared" si="120"/>
        <v>1</v>
      </c>
      <c r="T122" s="191" t="str">
        <f t="shared" si="123"/>
        <v>NorthBound</v>
      </c>
      <c r="U122" s="19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2" t="str">
        <f t="shared" si="100"/>
        <v>https://d0f6bd738d7f1b3e5a7ca70fe4ff75f0.us-east-1.aws.found.io/app/kibana#/discover/Steve-Slow-Train-Analysis-(2080s-and-2083s)?_g=(refreshInterval:(display:Off,pause:!f,section:0,value:0),time:(from:'2017-04-24T16:13:36-0600',mode:absolute,to:'2017-04-24T18:53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2" s="193" t="str">
        <f t="shared" si="124"/>
        <v>N</v>
      </c>
      <c r="X122" s="193">
        <f t="shared" si="128"/>
        <v>1</v>
      </c>
      <c r="Y122" s="193">
        <f t="shared" ref="Y122:Y153" si="129">RIGHT(D122,LEN(D122)-4)/10000</f>
        <v>4.6899999999999997E-2</v>
      </c>
      <c r="Z122" s="193">
        <f t="shared" ref="Z122:Z153" si="130">RIGHT(H122,LEN(H122)-4)/10000</f>
        <v>23.331</v>
      </c>
      <c r="AA122" s="193">
        <f t="shared" si="125"/>
        <v>23.284099999999999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126"/>
        <v>0209-24</v>
      </c>
      <c r="AE122" s="80" t="str">
        <f t="shared" si="101"/>
        <v>aws s3 cp s3://rtdc.mdm.uploadarchive.raw/RTDC4024/ "%USERPROFILE%\AppData\Local\Temp\OnboardLogs"\RTDC4024\2017-04-24 --exclude "*" --recursive --include "*20170424*" &amp; "%USERPROFILE%\Documents\GitHub\mrs-test-scripts\Headless Mode &amp; Sideloading\WalkAndUnGZ.bat" "%USERPROFILE%\AppData\Local\Temp\OnboardLogs"\RTDC4024\2017-04-24 &amp; aws s3 cp s3://rtdc.mdm.uploadarchive.raw/RTDC4024/ "%USERPROFILE%\AppData\Local\Temp\OnboardLogs"\RTDC4024\2017-04-25 --exclude "*" --recursive --include "*20170425*" &amp; "%USERPROFILE%\Documents\GitHub\mrs-test-scripts\Headless Mode &amp; Sideloading\WalkAndUnGZ.bat" "%USERPROFILE%\AppData\Local\Temp\OnboardLogs"\RTDC4024\2017-04-25</v>
      </c>
      <c r="AF122" s="77" t="str">
        <f t="shared" si="102"/>
        <v>"C:\Program Files (x86)\AstroGrep\AstroGrep.exe" /e /r /s /spath="%USERPROFILE%\AppData\Local\Temp\OnboardLogs" /stypes="app*4024*20170424*" /stext=" 23:.+((SYSTEM_STATE.+slice.+state.+changed )|(ment ac)|(multiple cpu faults)|(system.+state.+changed )|(\[timeout)|(PRM\|1\|D)|(kpr)|(kdp)|(train.+moving)|(\|lc)|(penalty))"</v>
      </c>
      <c r="AG122" s="1" t="str">
        <f t="shared" si="127"/>
        <v>EC</v>
      </c>
      <c r="AH122" s="81" t="str">
        <f t="shared" si="112"/>
        <v>"%USERPROFILE%\Documents\GitHub\eaglep3\Utilities\RefineRTDCRunTimes.py" --tripid 209-24 --locoid 4024 --swversion DE.1.0.9.0 --startMP 204:469 --initTime 2017-04-24T17:13:36 --startdatetime 2017-04-24T17:15:46 --delay 1 --endMP 204:233310 --enddatetime 2017-04-24T17:53:28 --enforcementcount 0 &gt;&gt;C:\Users\stu\Documents\GitHub\eaglep3-reporting\EC\2017-04-24-refined-times.txt</v>
      </c>
      <c r="AI122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{"issue":{"subject":"","project_id":79,"tracker_id":40,"status_id":1,"priority_id":2,"assigned_to_id":23,"start_date":"2017-04-24","description":"","custom_fields":[{"id":1,"name":"Subdivision","value":"EC"},{"id":4,"name":"Milepost","value":"23.331"},{"id":17,"name":"Train ID","value":"209-24"},{"id":16,"name":"Locomotive ID","value":"4024"},{"id":130,"name":"Impact","value":""},{"id":150,"name":"Time of Event (Mountain Time)","value":"17:53:28"},{"id":151,"name":"Denver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114"/>
        <v>start /low /b %USERPROFILE%\Documents\GitHub\eaglep3\Utilities\DownloadLogsFromS3.py --loco 4024 --day 2017-04-24</v>
      </c>
      <c r="AN122" s="154" t="str">
        <f t="shared" si="115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23:53:28"},{"id":29,"name":"Sharepoint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576</v>
      </c>
      <c r="B123" s="7">
        <v>4023</v>
      </c>
      <c r="C123" s="21" t="s">
        <v>212</v>
      </c>
      <c r="D123" s="21" t="s">
        <v>452</v>
      </c>
      <c r="E123" s="13">
        <v>42849.747523148151</v>
      </c>
      <c r="F123" s="13">
        <v>42849.757870370369</v>
      </c>
      <c r="G123" s="7">
        <v>7</v>
      </c>
      <c r="H123" s="21" t="s">
        <v>415</v>
      </c>
      <c r="I123" s="13">
        <v>42849.786828703705</v>
      </c>
      <c r="J123" s="7">
        <v>0</v>
      </c>
      <c r="K123" s="92" t="str">
        <f t="shared" si="121"/>
        <v>4023/4024</v>
      </c>
      <c r="L123" s="21" t="str">
        <f>VLOOKUP(A123,'Trips&amp;Operators'!$C$1:$G$99999,5,FALSE)</f>
        <v>PERKINS DARREN</v>
      </c>
      <c r="M123" s="6">
        <f t="shared" si="122"/>
        <v>2.8958333336049691E-2</v>
      </c>
      <c r="N123" s="7">
        <f t="shared" si="119"/>
        <v>41.700000003911555</v>
      </c>
      <c r="O123" s="7"/>
      <c r="P123" s="7"/>
      <c r="Q123" s="22"/>
      <c r="R123" s="191"/>
      <c r="S123" s="197">
        <f t="shared" si="120"/>
        <v>1</v>
      </c>
      <c r="T123" s="191" t="str">
        <f t="shared" si="123"/>
        <v>Southbound</v>
      </c>
      <c r="U123" s="19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2" t="str">
        <f t="shared" si="100"/>
        <v>https://d0f6bd738d7f1b3e5a7ca70fe4ff75f0.us-east-1.aws.found.io/app/kibana#/discover/Steve-Slow-Train-Analysis-(2080s-and-2083s)?_g=(refreshInterval:(display:Off,pause:!f,section:0,value:0),time:(from:'2017-04-24T16:56:26-0600',mode:absolute,to:'2017-04-24T19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3" s="193" t="str">
        <f t="shared" si="124"/>
        <v>N</v>
      </c>
      <c r="X123" s="193">
        <f t="shared" si="128"/>
        <v>1</v>
      </c>
      <c r="Y123" s="193">
        <f t="shared" si="129"/>
        <v>23.299399999999999</v>
      </c>
      <c r="Z123" s="193">
        <f t="shared" si="130"/>
        <v>1.4999999999999999E-2</v>
      </c>
      <c r="AA123" s="193">
        <f t="shared" si="125"/>
        <v>23.284399999999998</v>
      </c>
      <c r="AB123" s="57" t="str">
        <f>VLOOKUP(A123,Enforcements!$C$7:$K$13,8,0)</f>
        <v>Bulletin (2)</v>
      </c>
      <c r="AC123" s="53" t="str">
        <f>VLOOKUP(A123,Enforcements!$C$7:$E$13,3,0)</f>
        <v>GRADE CROSSING</v>
      </c>
      <c r="AD123" s="54" t="str">
        <f t="shared" si="126"/>
        <v>0210-24</v>
      </c>
      <c r="AE123" s="80" t="str">
        <f t="shared" si="101"/>
        <v>aws s3 cp s3://rtdc.mdm.uploadarchive.raw/RTDC4023/ "%USERPROFILE%\AppData\Local\Temp\OnboardLogs"\RTDC4023\2017-04-24 --exclude "*" --recursive --include "*20170424*" &amp; "%USERPROFILE%\Documents\GitHub\mrs-test-scripts\Headless Mode &amp; Sideloading\WalkAndUnGZ.bat" "%USERPROFILE%\AppData\Local\Temp\OnboardLogs"\RTDC4023\2017-04-24 &amp; aws s3 cp s3://rtdc.mdm.uploadarchive.raw/RTDC4023/ "%USERPROFILE%\AppData\Local\Temp\OnboardLogs"\RTDC4023\2017-04-25 --exclude "*" --recursive --include "*20170425*" &amp; "%USERPROFILE%\Documents\GitHub\mrs-test-scripts\Headless Mode &amp; Sideloading\WalkAndUnGZ.bat" "%USERPROFILE%\AppData\Local\Temp\OnboardLogs"\RTDC4023\2017-04-25</v>
      </c>
      <c r="AF123" s="77" t="str">
        <f t="shared" si="102"/>
        <v>"C:\Program Files (x86)\AstroGrep\AstroGrep.exe" /e /r /s /spath="%USERPROFILE%\AppData\Local\Temp\OnboardLogs" /stypes="app*4023*20170425*" /stext=" 00:.+((SYSTEM_STATE.+slice.+state.+changed )|(ment ac)|(multiple cpu faults)|(system.+state.+changed )|(\[timeout)|(PRM\|1\|D)|(kpr)|(kdp)|(train.+moving)|(\|lc)|(penalty))"</v>
      </c>
      <c r="AG123" s="1" t="str">
        <f t="shared" si="127"/>
        <v>EC</v>
      </c>
      <c r="AH123" s="81" t="str">
        <f t="shared" si="112"/>
        <v>"%USERPROFILE%\Documents\GitHub\eaglep3\Utilities\RefineRTDCRunTimes.py" --tripid 210-24 --locoid 4023 --swversion DE.1.0.9.0 --startMP 204:232994 --initTime 2017-04-24T17:56:26 --startdatetime 2017-04-24T18:11:20 --delay 7 --endMP 204:150 --enddatetime 2017-04-24T18:53:02 --enforcementcount 0 &gt;&gt;C:\Users\stu\Documents\GitHub\eaglep3-reporting\EC\2017-04-24-refined-times.txt</v>
      </c>
      <c r="AI123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{"issue":{"subject":"","project_id":79,"tracker_id":40,"status_id":1,"priority_id":2,"assigned_to_id":23,"start_date":"2017-04-24","description":"","custom_fields":[{"id":1,"name":"Subdivision","value":"EC"},{"id":4,"name":"Milepost","value":"0.015"},{"id":17,"name":"Train ID","value":"210-24"},{"id":16,"name":"Locomotive ID","value":"4023"},{"id":130,"name":"Impact","value":""},{"id":150,"name":"Time of Event (Mountain Time)","value":"18:53:02"},{"id":151,"name":"Denver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114"/>
        <v>start /low /b %USERPROFILE%\Documents\GitHub\eaglep3\Utilities\DownloadLogsFromS3.py --loco 4023 --day 2017-04-24</v>
      </c>
      <c r="AN123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00:53:02"},{"id":29,"name":"Sharepoint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732</v>
      </c>
      <c r="B124" s="7">
        <v>4010</v>
      </c>
      <c r="C124" s="21" t="s">
        <v>212</v>
      </c>
      <c r="D124" s="21" t="s">
        <v>429</v>
      </c>
      <c r="E124" s="13">
        <v>42849.726134259261</v>
      </c>
      <c r="F124" s="13">
        <v>42849.729722222219</v>
      </c>
      <c r="G124" s="7">
        <v>3</v>
      </c>
      <c r="H124" s="21" t="s">
        <v>535</v>
      </c>
      <c r="I124" s="13">
        <v>42849.757407407407</v>
      </c>
      <c r="J124" s="7">
        <v>0</v>
      </c>
      <c r="K124" s="92" t="str">
        <f t="shared" si="121"/>
        <v>4009/4010</v>
      </c>
      <c r="L124" s="21" t="str">
        <f>VLOOKUP(A124,'Trips&amp;Operators'!$C$1:$G$99999,5,FALSE)</f>
        <v>NELSON ARIANE</v>
      </c>
      <c r="M124" s="6">
        <f t="shared" si="122"/>
        <v>2.768518518860219E-2</v>
      </c>
      <c r="N124" s="7">
        <f t="shared" si="119"/>
        <v>39.866666671587154</v>
      </c>
      <c r="O124" s="7"/>
      <c r="P124" s="7"/>
      <c r="Q124" s="22"/>
      <c r="R124" s="191"/>
      <c r="S124" s="197">
        <f t="shared" si="120"/>
        <v>1</v>
      </c>
      <c r="T124" s="191" t="str">
        <f t="shared" si="123"/>
        <v>NorthBound</v>
      </c>
      <c r="U124" s="19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2" t="str">
        <f t="shared" si="100"/>
        <v>https://d0f6bd738d7f1b3e5a7ca70fe4ff75f0.us-east-1.aws.found.io/app/kibana#/discover/Steve-Slow-Train-Analysis-(2080s-and-2083s)?_g=(refreshInterval:(display:Off,pause:!f,section:0,value:0),time:(from:'2017-04-24T16:25:38-0600',mode:absolute,to:'2017-04-24T19:10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4" s="193" t="str">
        <f t="shared" si="124"/>
        <v>N</v>
      </c>
      <c r="X124" s="193">
        <f t="shared" si="128"/>
        <v>1</v>
      </c>
      <c r="Y124" s="193">
        <f t="shared" si="129"/>
        <v>4.6600000000000003E-2</v>
      </c>
      <c r="Z124" s="193">
        <f t="shared" si="130"/>
        <v>23.328800000000001</v>
      </c>
      <c r="AA124" s="193">
        <f t="shared" si="125"/>
        <v>23.2822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126"/>
        <v>0211-24</v>
      </c>
      <c r="AE124" s="80" t="str">
        <f t="shared" si="101"/>
        <v>aws s3 cp s3://rtdc.mdm.uploadarchive.raw/RTDC4010/ "%USERPROFILE%\AppData\Local\Temp\OnboardLogs"\RTDC4010\2017-04-24 --exclude "*" --recursive --include "*20170424*" &amp; "%USERPROFILE%\Documents\GitHub\mrs-test-scripts\Headless Mode &amp; Sideloading\WalkAndUnGZ.bat" "%USERPROFILE%\AppData\Local\Temp\OnboardLogs"\RTDC4010\2017-04-24 &amp; aws s3 cp s3://rtdc.mdm.uploadarchive.raw/RTDC4010/ "%USERPROFILE%\AppData\Local\Temp\OnboardLogs"\RTDC4010\2017-04-25 --exclude "*" --recursive --include "*20170425*" &amp; "%USERPROFILE%\Documents\GitHub\mrs-test-scripts\Headless Mode &amp; Sideloading\WalkAndUnGZ.bat" "%USERPROFILE%\AppData\Local\Temp\OnboardLogs"\RTDC4010\2017-04-25</v>
      </c>
      <c r="AF124" s="77" t="str">
        <f t="shared" si="102"/>
        <v>"C:\Program Files (x86)\AstroGrep\AstroGrep.exe" /e /r /s /spath="%USERPROFILE%\AppData\Local\Temp\OnboardLogs" /stypes="app*4010*20170425*" /stext=" 00:.+((SYSTEM_STATE.+slice.+state.+changed )|(ment ac)|(multiple cpu faults)|(system.+state.+changed )|(\[timeout)|(PRM\|1\|D)|(kpr)|(kdp)|(train.+moving)|(\|lc)|(penalty))"</v>
      </c>
      <c r="AG124" s="1" t="str">
        <f t="shared" si="127"/>
        <v>EC</v>
      </c>
      <c r="AH124" s="81" t="str">
        <f t="shared" si="112"/>
        <v>"%USERPROFILE%\Documents\GitHub\eaglep3\Utilities\RefineRTDCRunTimes.py" --tripid 211-24 --locoid 4010 --swversion DE.1.0.9.0 --startMP 204:466 --initTime 2017-04-24T17:25:38 --startdatetime 2017-04-24T17:30:48 --delay 3 --endMP 204:233288 --enddatetime 2017-04-24T18:10:40 --enforcementcount 0 &gt;&gt;C:\Users\stu\Documents\GitHub\eaglep3-reporting\EC\2017-04-24-refined-times.txt</v>
      </c>
      <c r="AI124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{"issue":{"subject":"","project_id":79,"tracker_id":40,"status_id":1,"priority_id":2,"assigned_to_id":23,"start_date":"2017-04-24","description":"","custom_fields":[{"id":1,"name":"Subdivision","value":"EC"},{"id":4,"name":"Milepost","value":"23.3288"},{"id":17,"name":"Train ID","value":"211-24"},{"id":16,"name":"Locomotive ID","value":"4010"},{"id":130,"name":"Impact","value":""},{"id":150,"name":"Time of Event (Mountain Time)","value":"18:10:40"},{"id":151,"name":"Denver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114"/>
        <v>start /low /b %USERPROFILE%\Documents\GitHub\eaglep3\Utilities\DownloadLogsFromS3.py --loco 4010 --day 2017-04-24</v>
      </c>
      <c r="AN124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00:10:40"},{"id":29,"name":"Sharepoint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741</v>
      </c>
      <c r="B125" s="7">
        <v>4009</v>
      </c>
      <c r="C125" s="21" t="s">
        <v>212</v>
      </c>
      <c r="D125" s="21" t="s">
        <v>429</v>
      </c>
      <c r="E125" s="13">
        <v>42849.726134259261</v>
      </c>
      <c r="F125" s="13">
        <v>42849.765763888892</v>
      </c>
      <c r="G125" s="7">
        <v>3</v>
      </c>
      <c r="H125" s="21" t="s">
        <v>535</v>
      </c>
      <c r="I125" s="13">
        <v>42849.766365740739</v>
      </c>
      <c r="J125" s="7">
        <v>0</v>
      </c>
      <c r="K125" s="92" t="str">
        <f t="shared" si="121"/>
        <v>4009/4010</v>
      </c>
      <c r="L125" s="21" t="str">
        <f>VLOOKUP(A125,'Trips&amp;Operators'!$C$1:$G$99999,5,FALSE)</f>
        <v>NELSON ARIANE</v>
      </c>
      <c r="M125" s="6">
        <f t="shared" si="122"/>
        <v>6.0185184702277184E-4</v>
      </c>
      <c r="N125" s="7"/>
      <c r="O125" s="7"/>
      <c r="P125" s="7">
        <f>24*60*SUM($M125:$M125)</f>
        <v>0.86666665971279144</v>
      </c>
      <c r="Q125" s="22"/>
      <c r="R125" s="191" t="s">
        <v>968</v>
      </c>
      <c r="S125" s="197">
        <f t="shared" si="120"/>
        <v>0</v>
      </c>
      <c r="T125" s="191" t="str">
        <f t="shared" si="123"/>
        <v>Southbound</v>
      </c>
      <c r="U125" s="19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0</v>
      </c>
      <c r="V125" s="192" t="str">
        <f t="shared" si="100"/>
        <v>https://d0f6bd738d7f1b3e5a7ca70fe4ff75f0.us-east-1.aws.found.io/app/kibana#/discover/Steve-Slow-Train-Analysis-(2080s-and-2083s)?_g=(refreshInterval:(display:Off,pause:!f,section:0,value:0),time:(from:'2017-04-24T16:25:38-0600',mode:absolute,to:'2017-04-24T19:23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5" s="193" t="str">
        <f t="shared" si="124"/>
        <v>N</v>
      </c>
      <c r="X125" s="193">
        <f t="shared" ref="X125:X128" si="131">VALUE(LEFT(AD125,4))-VALUE(LEFT(AD124,4))</f>
        <v>1</v>
      </c>
      <c r="Y125" s="193">
        <f t="shared" si="129"/>
        <v>4.6600000000000003E-2</v>
      </c>
      <c r="Z125" s="193">
        <f t="shared" si="130"/>
        <v>23.328800000000001</v>
      </c>
      <c r="AA125" s="193">
        <f t="shared" si="125"/>
        <v>23.2822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126"/>
        <v>0212-24</v>
      </c>
      <c r="AE125" s="80" t="str">
        <f t="shared" si="101"/>
        <v>aws s3 cp s3://rtdc.mdm.uploadarchive.raw/RTDC4009/ "%USERPROFILE%\AppData\Local\Temp\OnboardLogs"\RTDC4009\2017-04-24 --exclude "*" --recursive --include "*20170424*" &amp; "%USERPROFILE%\Documents\GitHub\mrs-test-scripts\Headless Mode &amp; Sideloading\WalkAndUnGZ.bat" "%USERPROFILE%\AppData\Local\Temp\OnboardLogs"\RTDC4009\2017-04-24 &amp; aws s3 cp s3://rtdc.mdm.uploadarchive.raw/RTDC4009/ "%USERPROFILE%\AppData\Local\Temp\OnboardLogs"\RTDC4009\2017-04-25 --exclude "*" --recursive --include "*20170425*" &amp; "%USERPROFILE%\Documents\GitHub\mrs-test-scripts\Headless Mode &amp; Sideloading\WalkAndUnGZ.bat" "%USERPROFILE%\AppData\Local\Temp\OnboardLogs"\RTDC4009\2017-04-25</v>
      </c>
      <c r="AF125" s="77" t="str">
        <f t="shared" si="102"/>
        <v>"C:\Program Files (x86)\AstroGrep\AstroGrep.exe" /e /r /s /spath="%USERPROFILE%\AppData\Local\Temp\OnboardLogs" /stypes="app*4009*20170425*" /stext=" 00:.+((SYSTEM_STATE.+slice.+state.+changed )|(ment ac)|(multiple cpu faults)|(system.+state.+changed )|(\[timeout)|(PRM\|1\|D)|(kpr)|(kdp)|(train.+moving)|(\|lc)|(penalty))"</v>
      </c>
      <c r="AG125" s="1" t="str">
        <f t="shared" si="127"/>
        <v>EC</v>
      </c>
      <c r="AH125" s="81" t="str">
        <f t="shared" ref="AH125" si="132">refinertdcruntimes&amp;" --tripid "&amp;A125&amp;" --locoid "&amp;B125&amp;" --swversion "&amp;C125&amp;" --startMP "&amp;D125&amp;" --initTime "&amp;TEXT(E125,"yyyy-mm-ddTHH:MM:SS")&amp;" --startdatetime "&amp;TEXT(F125,"yyyy-mm-ddTHH:MM:SS")&amp;" --delay "&amp;G125&amp;" --endMP "&amp;H125&amp;" --enddatetime "&amp;TEXT(I125,"yyyy-mm-ddTHH:MM:SS")&amp;" --enforcementcount "&amp;J125&amp;IF(outputrefinedruntimes," &gt;&gt;"&amp;RefinedRTDCRunTimesOutputFile,"")</f>
        <v>"%USERPROFILE%\Documents\GitHub\eaglep3\Utilities\RefineRTDCRunTimes.py" --tripid 212-24 --locoid 4009 --swversion DE.1.0.9.0 --startMP 204:466 --initTime 2017-04-24T17:25:38 --startdatetime 2017-04-24T18:22:42 --delay 3 --endMP 204:233288 --enddatetime 2017-04-24T18:23:34 --enforcementcount 0 &gt;&gt;C:\Users\stu\Documents\GitHub\eaglep3-reporting\EC\2017-04-24-refined-times.txt</v>
      </c>
      <c r="AI125" s="99" t="str">
        <f t="shared" ref="AI125" si="133">"echo {""issue"":{""subject"":"""&amp;R125&amp;""",""project_id"":79,""tracker_id"":40,""status_id"":"&amp;redmine_status&amp;",""priority_id"":"&amp;redmine_priority&amp;",""assigned_to_id"":"&amp;redmine_assignee&amp;",""start_date"":"""&amp;TEXT(I125,"YYYY-mm-dd")&amp;""",""description"":"""&amp;AJ125&amp;""",""custom_fields"":[{""id"":1,""name"":""Subdivision"",""value"":"""&amp;AG125&amp;"""},{""id"":4,""name"":""Milepost"",""value"":"""&amp;Z125&amp;"""},{""id"":17,""name"":""Train ID"",""value"":"""&amp;A125&amp;"""},{""id"":16,""name"":""Locomotive ID"",""value"":"""&amp;B125&amp;"""},{""id"":130,""name"":""Impact"",""value"":"""&amp;AK125&amp;"""},{""id"":150,""name"":""Time of Event (Mountain Time)"",""value"":"""&amp;TEXT(I125,"hh:mm:ss")&amp;"""},{""id"":151,""name"":""Denver Issue ID"",""value"":"""&amp;"""},{""id"":178,""name"":""Operational Impact"",""value"":"""&amp;redmine_op_impact&amp;"""},{""id"":179,""name"":""Denver Segment Assigned"",""value"":"""&amp;AL125&amp;"""}]}}"&amp;"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failure","project_id":79,"tracker_id":40,"status_id":1,"priority_id":2,"assigned_to_id":23,"start_date":"2017-04-24","description":"","custom_fields":[{"id":1,"name":"Subdivision","value":"EC"},{"id":4,"name":"Milepost","value":"23.3288"},{"id":17,"name":"Train ID","value":"212-24"},{"id":16,"name":"Locomotive ID","value":"4009"},{"id":130,"name":"Impact","value":""},{"id":150,"name":"Time of Event (Mountain Time)","value":"18:23:34"},{"id":151,"name":"Denver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ref="AM125" si="134">"start /low /b "&amp;dls3logs&amp;" --loco "&amp;B125&amp;" --day "&amp;TEXT(F125,"YYYY-MM-DD")</f>
        <v>start /low /b %USERPROFILE%\Documents\GitHub\eaglep3\Utilities\DownloadLogsFromS3.py --loco 4009 --day 2017-04-24</v>
      </c>
      <c r="AN125" s="154" t="str">
        <f t="shared" ref="AN125" si="135">"echo {""issue"":{""subject"":"""&amp;R125&amp;""",""project_id"":30,""tracker_id"":4,""status_id"":"&amp;redmine_status_wcr&amp;",""priority_id"":"&amp;redmine_priority_wcr&amp;",""assigned_to_id"":"&amp;redmine_assignee_wcr&amp;",""start_date"":"""&amp;TEXT(I125-utc_offset/24,"YYYY-mm-dd")&amp;""",""description"":"""&amp;AJ125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00:23:34"},{"id":29,"name":"Sharepoint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26" spans="1:91" s="20" customFormat="1" x14ac:dyDescent="0.25">
      <c r="A126" s="32" t="s">
        <v>737</v>
      </c>
      <c r="B126" s="7">
        <v>4026</v>
      </c>
      <c r="C126" s="21" t="s">
        <v>212</v>
      </c>
      <c r="D126" s="21" t="s">
        <v>204</v>
      </c>
      <c r="E126" s="13">
        <v>42849.737476851849</v>
      </c>
      <c r="F126" s="13">
        <v>42849.739861111113</v>
      </c>
      <c r="G126" s="7">
        <v>1</v>
      </c>
      <c r="H126" s="21" t="s">
        <v>477</v>
      </c>
      <c r="I126" s="13">
        <v>42849.765543981484</v>
      </c>
      <c r="J126" s="7">
        <v>0</v>
      </c>
      <c r="K126" s="92" t="str">
        <f t="shared" si="121"/>
        <v>4025/4026</v>
      </c>
      <c r="L126" s="21" t="str">
        <f>VLOOKUP(A126,'Trips&amp;Operators'!$C$1:$G$99999,5,FALSE)</f>
        <v>SMITH MICHAEL</v>
      </c>
      <c r="M126" s="6">
        <f t="shared" si="122"/>
        <v>2.5682870371383615E-2</v>
      </c>
      <c r="N126" s="7">
        <f t="shared" ref="N126:N157" si="136">24*60*SUM($M126:$M126)</f>
        <v>36.983333334792405</v>
      </c>
      <c r="O126" s="7"/>
      <c r="P126" s="7"/>
      <c r="Q126" s="22"/>
      <c r="R126" s="191"/>
      <c r="S126" s="197">
        <f t="shared" si="120"/>
        <v>1</v>
      </c>
      <c r="T126" s="191" t="str">
        <f t="shared" si="123"/>
        <v>NorthBound</v>
      </c>
      <c r="U126" s="19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2" t="str">
        <f t="shared" si="100"/>
        <v>https://d0f6bd738d7f1b3e5a7ca70fe4ff75f0.us-east-1.aws.found.io/app/kibana#/discover/Steve-Slow-Train-Analysis-(2080s-and-2083s)?_g=(refreshInterval:(display:Off,pause:!f,section:0,value:0),time:(from:'2017-04-24T16:41:58-0600',mode:absolute,to:'2017-04-24T19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6" s="193" t="str">
        <f t="shared" si="124"/>
        <v>N</v>
      </c>
      <c r="X126" s="193">
        <f t="shared" si="131"/>
        <v>1</v>
      </c>
      <c r="Y126" s="193">
        <f t="shared" si="129"/>
        <v>4.5699999999999998E-2</v>
      </c>
      <c r="Z126" s="193">
        <f t="shared" si="130"/>
        <v>23.330200000000001</v>
      </c>
      <c r="AA126" s="193">
        <f t="shared" si="125"/>
        <v>23.284500000000001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126"/>
        <v>0213-24</v>
      </c>
      <c r="AE126" s="80" t="str">
        <f t="shared" si="101"/>
        <v>aws s3 cp s3://rtdc.mdm.uploadarchive.raw/RTDC4026/ "%USERPROFILE%\AppData\Local\Temp\OnboardLogs"\RTDC4026\2017-04-24 --exclude "*" --recursive --include "*20170424*" &amp; "%USERPROFILE%\Documents\GitHub\mrs-test-scripts\Headless Mode &amp; Sideloading\WalkAndUnGZ.bat" "%USERPROFILE%\AppData\Local\Temp\OnboardLogs"\RTDC4026\2017-04-24 &amp; aws s3 cp s3://rtdc.mdm.uploadarchive.raw/RTDC4026/ "%USERPROFILE%\AppData\Local\Temp\OnboardLogs"\RTDC4026\2017-04-25 --exclude "*" --recursive --include "*20170425*" &amp; "%USERPROFILE%\Documents\GitHub\mrs-test-scripts\Headless Mode &amp; Sideloading\WalkAndUnGZ.bat" "%USERPROFILE%\AppData\Local\Temp\OnboardLogs"\RTDC4026\2017-04-25</v>
      </c>
      <c r="AF126" s="77" t="str">
        <f t="shared" si="102"/>
        <v>"C:\Program Files (x86)\AstroGrep\AstroGrep.exe" /e /r /s /spath="%USERPROFILE%\AppData\Local\Temp\OnboardLogs" /stypes="app*4026*20170425*" /stext=" 00:.+((SYSTEM_STATE.+slice.+state.+changed )|(ment ac)|(multiple cpu faults)|(system.+state.+changed )|(\[timeout)|(PRM\|1\|D)|(kpr)|(kdp)|(train.+moving)|(\|lc)|(penalty))"</v>
      </c>
      <c r="AG126" s="1" t="str">
        <f t="shared" si="127"/>
        <v>EC</v>
      </c>
      <c r="AH126" s="81" t="str">
        <f t="shared" si="112"/>
        <v>"%USERPROFILE%\Documents\GitHub\eaglep3\Utilities\RefineRTDCRunTimes.py" --tripid 213-24 --locoid 4026 --swversion DE.1.0.9.0 --startMP 204:457 --initTime 2017-04-24T17:41:58 --startdatetime 2017-04-24T17:45:24 --delay 1 --endMP 204:233302 --enddatetime 2017-04-24T18:22:23 --enforcementcount 0 &gt;&gt;C:\Users\stu\Documents\GitHub\eaglep3-reporting\EC\2017-04-24-refined-times.txt</v>
      </c>
      <c r="AI126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{"issue":{"subject":"","project_id":79,"tracker_id":40,"status_id":1,"priority_id":2,"assigned_to_id":23,"start_date":"2017-04-24","description":"","custom_fields":[{"id":1,"name":"Subdivision","value":"EC"},{"id":4,"name":"Milepost","value":"23.3302"},{"id":17,"name":"Train ID","value":"213-24"},{"id":16,"name":"Locomotive ID","value":"4026"},{"id":130,"name":"Impact","value":""},{"id":150,"name":"Time of Event (Mountain Time)","value":"18:22:23"},{"id":151,"name":"Denver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114"/>
        <v>start /low /b %USERPROFILE%\Documents\GitHub\eaglep3\Utilities\DownloadLogsFromS3.py --loco 4026 --day 2017-04-24</v>
      </c>
      <c r="AN126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00:22:23"},{"id":29,"name":"Sharepoint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744</v>
      </c>
      <c r="B127" s="7">
        <v>4025</v>
      </c>
      <c r="C127" s="21" t="s">
        <v>212</v>
      </c>
      <c r="D127" s="21" t="s">
        <v>446</v>
      </c>
      <c r="E127" s="13">
        <v>42849.773333333331</v>
      </c>
      <c r="F127" s="13">
        <v>42849.778657407405</v>
      </c>
      <c r="G127" s="7">
        <v>1</v>
      </c>
      <c r="H127" s="21" t="s">
        <v>423</v>
      </c>
      <c r="I127" s="13">
        <v>42849.80667824074</v>
      </c>
      <c r="J127" s="7">
        <v>0</v>
      </c>
      <c r="K127" s="92" t="str">
        <f t="shared" si="121"/>
        <v>4025/4026</v>
      </c>
      <c r="L127" s="21" t="str">
        <f>VLOOKUP(A127,'Trips&amp;Operators'!$C$1:$G$99999,5,FALSE)</f>
        <v>SMITH MICHAEL</v>
      </c>
      <c r="M127" s="6">
        <f t="shared" si="122"/>
        <v>2.8020833335176576E-2</v>
      </c>
      <c r="N127" s="7">
        <f t="shared" si="136"/>
        <v>40.350000002654269</v>
      </c>
      <c r="O127" s="7"/>
      <c r="P127" s="7"/>
      <c r="Q127" s="22"/>
      <c r="R127" s="191"/>
      <c r="S127" s="197">
        <f t="shared" si="120"/>
        <v>1</v>
      </c>
      <c r="T127" s="191" t="str">
        <f t="shared" si="123"/>
        <v>Southbound</v>
      </c>
      <c r="U127" s="19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2" t="str">
        <f t="shared" si="100"/>
        <v>https://d0f6bd738d7f1b3e5a7ca70fe4ff75f0.us-east-1.aws.found.io/app/kibana#/discover/Steve-Slow-Train-Analysis-(2080s-and-2083s)?_g=(refreshInterval:(display:Off,pause:!f,section:0,value:0),time:(from:'2017-04-24T17:33:36-0600',mode:absolute,to:'2017-04-24T20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7" s="193" t="str">
        <f t="shared" si="124"/>
        <v>N</v>
      </c>
      <c r="X127" s="193">
        <f t="shared" si="131"/>
        <v>1</v>
      </c>
      <c r="Y127" s="193">
        <f t="shared" si="129"/>
        <v>23.298100000000002</v>
      </c>
      <c r="Z127" s="193">
        <f t="shared" si="130"/>
        <v>1.3899999999999999E-2</v>
      </c>
      <c r="AA127" s="193">
        <f t="shared" si="125"/>
        <v>23.284200000000002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126"/>
        <v>0214-24</v>
      </c>
      <c r="AE127" s="80" t="str">
        <f t="shared" si="101"/>
        <v>aws s3 cp s3://rtdc.mdm.uploadarchive.raw/RTDC4025/ "%USERPROFILE%\AppData\Local\Temp\OnboardLogs"\RTDC4025\2017-04-24 --exclude "*" --recursive --include "*20170424*" &amp; "%USERPROFILE%\Documents\GitHub\mrs-test-scripts\Headless Mode &amp; Sideloading\WalkAndUnGZ.bat" "%USERPROFILE%\AppData\Local\Temp\OnboardLogs"\RTDC4025\2017-04-24 &amp; aws s3 cp s3://rtdc.mdm.uploadarchive.raw/RTDC4025/ "%USERPROFILE%\AppData\Local\Temp\OnboardLogs"\RTDC4025\2017-04-25 --exclude "*" --recursive --include "*20170425*" &amp; "%USERPROFILE%\Documents\GitHub\mrs-test-scripts\Headless Mode &amp; Sideloading\WalkAndUnGZ.bat" "%USERPROFILE%\AppData\Local\Temp\OnboardLogs"\RTDC4025\2017-04-25</v>
      </c>
      <c r="AF127" s="77" t="str">
        <f t="shared" si="102"/>
        <v>"C:\Program Files (x86)\AstroGrep\AstroGrep.exe" /e /r /s /spath="%USERPROFILE%\AppData\Local\Temp\OnboardLogs" /stypes="app*4025*20170425*" /stext=" 01:.+((SYSTEM_STATE.+slice.+state.+changed )|(ment ac)|(multiple cpu faults)|(system.+state.+changed )|(\[timeout)|(PRM\|1\|D)|(kpr)|(kdp)|(train.+moving)|(\|lc)|(penalty))"</v>
      </c>
      <c r="AG127" s="1" t="str">
        <f t="shared" si="127"/>
        <v>EC</v>
      </c>
      <c r="AH127" s="81" t="str">
        <f t="shared" si="112"/>
        <v>"%USERPROFILE%\Documents\GitHub\eaglep3\Utilities\RefineRTDCRunTimes.py" --tripid 214-24 --locoid 4025 --swversion DE.1.0.9.0 --startMP 204:232981 --initTime 2017-04-24T18:33:36 --startdatetime 2017-04-24T18:41:16 --delay 1 --endMP 204:139 --enddatetime 2017-04-24T19:21:37 --enforcementcount 0 &gt;&gt;C:\Users\stu\Documents\GitHub\eaglep3-reporting\EC\2017-04-24-refined-times.txt</v>
      </c>
      <c r="AI127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{"issue":{"subject":"","project_id":79,"tracker_id":40,"status_id":1,"priority_id":2,"assigned_to_id":23,"start_date":"2017-04-24","description":"","custom_fields":[{"id":1,"name":"Subdivision","value":"EC"},{"id":4,"name":"Milepost","value":"0.0139"},{"id":17,"name":"Train ID","value":"214-24"},{"id":16,"name":"Locomotive ID","value":"4025"},{"id":130,"name":"Impact","value":""},{"id":150,"name":"Time of Event (Mountain Time)","value":"19:21:37"},{"id":151,"name":"Denver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114"/>
        <v>start /low /b %USERPROFILE%\Documents\GitHub\eaglep3\Utilities\DownloadLogsFromS3.py --loco 4025 --day 2017-04-24</v>
      </c>
      <c r="AN127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01:21:37"},{"id":29,"name":"Sharepoint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577</v>
      </c>
      <c r="B128" s="7">
        <v>4040</v>
      </c>
      <c r="C128" s="21" t="s">
        <v>212</v>
      </c>
      <c r="D128" s="21" t="s">
        <v>445</v>
      </c>
      <c r="E128" s="13">
        <v>42849.745729166665</v>
      </c>
      <c r="F128" s="13">
        <v>42849.750208333331</v>
      </c>
      <c r="G128" s="7">
        <v>2</v>
      </c>
      <c r="H128" s="21" t="s">
        <v>475</v>
      </c>
      <c r="I128" s="13">
        <v>42849.778958333336</v>
      </c>
      <c r="J128" s="7">
        <v>0</v>
      </c>
      <c r="K128" s="92" t="str">
        <f t="shared" si="121"/>
        <v>4039/4040</v>
      </c>
      <c r="L128" s="21" t="str">
        <f>VLOOKUP(A128,'Trips&amp;Operators'!$C$1:$G$99999,5,FALSE)</f>
        <v>BRANDNER MELINDA</v>
      </c>
      <c r="M128" s="6">
        <f t="shared" si="122"/>
        <v>2.8750000004947651E-2</v>
      </c>
      <c r="N128" s="7">
        <f t="shared" si="136"/>
        <v>41.400000007124618</v>
      </c>
      <c r="O128" s="7"/>
      <c r="P128" s="7"/>
      <c r="Q128" s="22"/>
      <c r="R128" s="191"/>
      <c r="S128" s="197">
        <f t="shared" si="120"/>
        <v>1</v>
      </c>
      <c r="T128" s="191" t="str">
        <f t="shared" si="123"/>
        <v>NorthBound</v>
      </c>
      <c r="U128" s="19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2" t="str">
        <f t="shared" si="100"/>
        <v>https://d0f6bd738d7f1b3e5a7ca70fe4ff75f0.us-east-1.aws.found.io/app/kibana#/discover/Steve-Slow-Train-Analysis-(2080s-and-2083s)?_g=(refreshInterval:(display:Off,pause:!f,section:0,value:0),time:(from:'2017-04-24T16:53:51-0600',mode:absolute,to:'2017-04-24T19:41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8" s="193" t="str">
        <f t="shared" si="124"/>
        <v>N</v>
      </c>
      <c r="X128" s="193">
        <f t="shared" si="131"/>
        <v>1</v>
      </c>
      <c r="Y128" s="193">
        <f t="shared" si="129"/>
        <v>4.6899999999999997E-2</v>
      </c>
      <c r="Z128" s="193">
        <f t="shared" si="130"/>
        <v>23.328900000000001</v>
      </c>
      <c r="AA128" s="193">
        <f t="shared" si="125"/>
        <v>23.282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126"/>
        <v>0215-24</v>
      </c>
      <c r="AE128" s="80" t="str">
        <f t="shared" si="101"/>
        <v>aws s3 cp s3://rtdc.mdm.uploadarchive.raw/RTDC4040/ "%USERPROFILE%\AppData\Local\Temp\OnboardLogs"\RTDC4040\2017-04-24 --exclude "*" --recursive --include "*20170424*" &amp; "%USERPROFILE%\Documents\GitHub\mrs-test-scripts\Headless Mode &amp; Sideloading\WalkAndUnGZ.bat" "%USERPROFILE%\AppData\Local\Temp\OnboardLogs"\RTDC4040\2017-04-24 &amp; aws s3 cp s3://rtdc.mdm.uploadarchive.raw/RTDC4040/ "%USERPROFILE%\AppData\Local\Temp\OnboardLogs"\RTDC4040\2017-04-25 --exclude "*" --recursive --include "*20170425*" &amp; "%USERPROFILE%\Documents\GitHub\mrs-test-scripts\Headless Mode &amp; Sideloading\WalkAndUnGZ.bat" "%USERPROFILE%\AppData\Local\Temp\OnboardLogs"\RTDC4040\2017-04-25</v>
      </c>
      <c r="AF128" s="77" t="str">
        <f t="shared" si="102"/>
        <v>"C:\Program Files (x86)\AstroGrep\AstroGrep.exe" /e /r /s /spath="%USERPROFILE%\AppData\Local\Temp\OnboardLogs" /stypes="app*4040*20170425*" /stext=" 00:.+((SYSTEM_STATE.+slice.+state.+changed )|(ment ac)|(multiple cpu faults)|(system.+state.+changed )|(\[timeout)|(PRM\|1\|D)|(kpr)|(kdp)|(train.+moving)|(\|lc)|(penalty))"</v>
      </c>
      <c r="AG128" s="1" t="str">
        <f t="shared" si="127"/>
        <v>EC</v>
      </c>
      <c r="AH128" s="81" t="str">
        <f t="shared" si="112"/>
        <v>"%USERPROFILE%\Documents\GitHub\eaglep3\Utilities\RefineRTDCRunTimes.py" --tripid 215-24 --locoid 4040 --swversion DE.1.0.9.0 --startMP 204:469 --initTime 2017-04-24T17:53:51 --startdatetime 2017-04-24T18:00:18 --delay 2 --endMP 204:233289 --enddatetime 2017-04-24T18:41:42 --enforcementcount 0 &gt;&gt;C:\Users\stu\Documents\GitHub\eaglep3-reporting\EC\2017-04-24-refined-times.txt</v>
      </c>
      <c r="AI128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{"issue":{"subject":"","project_id":79,"tracker_id":40,"status_id":1,"priority_id":2,"assigned_to_id":23,"start_date":"2017-04-24","description":"","custom_fields":[{"id":1,"name":"Subdivision","value":"EC"},{"id":4,"name":"Milepost","value":"23.3289"},{"id":17,"name":"Train ID","value":"215-24"},{"id":16,"name":"Locomotive ID","value":"4040"},{"id":130,"name":"Impact","value":""},{"id":150,"name":"Time of Event (Mountain Time)","value":"18:41:42"},{"id":151,"name":"Denver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114"/>
        <v>start /low /b %USERPROFILE%\Documents\GitHub\eaglep3\Utilities\DownloadLogsFromS3.py --loco 4040 --day 2017-04-24</v>
      </c>
      <c r="AN128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00:41:42"},{"id":29,"name":"Sharepoint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747</v>
      </c>
      <c r="B129" s="7">
        <v>4039</v>
      </c>
      <c r="C129" s="21" t="s">
        <v>212</v>
      </c>
      <c r="D129" s="21" t="s">
        <v>844</v>
      </c>
      <c r="E129" s="13">
        <v>42849.78434027778</v>
      </c>
      <c r="F129" s="13">
        <v>42849.7890625</v>
      </c>
      <c r="G129" s="7">
        <v>1</v>
      </c>
      <c r="H129" s="21" t="s">
        <v>845</v>
      </c>
      <c r="I129" s="13">
        <v>42849.817662037036</v>
      </c>
      <c r="J129" s="7">
        <v>0</v>
      </c>
      <c r="K129" s="92" t="str">
        <f t="shared" si="121"/>
        <v>4039/4040</v>
      </c>
      <c r="L129" s="21" t="str">
        <f>VLOOKUP(A129,'Trips&amp;Operators'!$C$1:$G$99999,5,FALSE)</f>
        <v>BRANDNER MELINDA</v>
      </c>
      <c r="M129" s="6">
        <f t="shared" si="122"/>
        <v>2.8599537035916001E-2</v>
      </c>
      <c r="N129" s="7">
        <f t="shared" si="136"/>
        <v>41.183333331719041</v>
      </c>
      <c r="O129" s="7"/>
      <c r="P129" s="7"/>
      <c r="Q129" s="22"/>
      <c r="R129" s="191"/>
      <c r="S129" s="197">
        <f t="shared" si="120"/>
        <v>1</v>
      </c>
      <c r="T129" s="191" t="str">
        <f t="shared" si="123"/>
        <v>Southbound</v>
      </c>
      <c r="U129" s="19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2" t="str">
        <f t="shared" si="100"/>
        <v>https://d0f6bd738d7f1b3e5a7ca70fe4ff75f0.us-east-1.aws.found.io/app/kibana#/discover/Steve-Slow-Train-Analysis-(2080s-and-2083s)?_g=(refreshInterval:(display:Off,pause:!f,section:0,value:0),time:(from:'2017-04-24T17:49:27-0600',mode:absolute,to:'2017-04-24T20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9" s="193" t="str">
        <f t="shared" si="124"/>
        <v>N</v>
      </c>
      <c r="X129" s="193">
        <f t="shared" ref="X129:X160" si="137">VALUE(LEFT(AD129,4))-VALUE(LEFT(AD128,4))</f>
        <v>1</v>
      </c>
      <c r="Y129" s="193">
        <f t="shared" si="129"/>
        <v>23.298200000000001</v>
      </c>
      <c r="Z129" s="193">
        <f t="shared" si="130"/>
        <v>1.18E-2</v>
      </c>
      <c r="AA129" s="193">
        <f t="shared" si="125"/>
        <v>23.2864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126"/>
        <v>0216-24</v>
      </c>
      <c r="AE129" s="80" t="str">
        <f t="shared" si="101"/>
        <v>aws s3 cp s3://rtdc.mdm.uploadarchive.raw/RTDC4039/ "%USERPROFILE%\AppData\Local\Temp\OnboardLogs"\RTDC4039\2017-04-24 --exclude "*" --recursive --include "*20170424*" &amp; "%USERPROFILE%\Documents\GitHub\mrs-test-scripts\Headless Mode &amp; Sideloading\WalkAndUnGZ.bat" "%USERPROFILE%\AppData\Local\Temp\OnboardLogs"\RTDC4039\2017-04-24 &amp; aws s3 cp s3://rtdc.mdm.uploadarchive.raw/RTDC4039/ "%USERPROFILE%\AppData\Local\Temp\OnboardLogs"\RTDC4039\2017-04-25 --exclude "*" --recursive --include "*20170425*" &amp; "%USERPROFILE%\Documents\GitHub\mrs-test-scripts\Headless Mode &amp; Sideloading\WalkAndUnGZ.bat" "%USERPROFILE%\AppData\Local\Temp\OnboardLogs"\RTDC4039\2017-04-25</v>
      </c>
      <c r="AF129" s="77" t="str">
        <f t="shared" si="102"/>
        <v>"C:\Program Files (x86)\AstroGrep\AstroGrep.exe" /e /r /s /spath="%USERPROFILE%\AppData\Local\Temp\OnboardLogs" /stypes="app*4039*20170425*" /stext=" 01:.+((SYSTEM_STATE.+slice.+state.+changed )|(ment ac)|(multiple cpu faults)|(system.+state.+changed )|(\[timeout)|(PRM\|1\|D)|(kpr)|(kdp)|(train.+moving)|(\|lc)|(penalty))"</v>
      </c>
      <c r="AG129" s="1" t="str">
        <f t="shared" si="127"/>
        <v>EC</v>
      </c>
      <c r="AH129" s="81" t="str">
        <f t="shared" si="112"/>
        <v>"%USERPROFILE%\Documents\GitHub\eaglep3\Utilities\RefineRTDCRunTimes.py" --tripid 216-24 --locoid 4039 --swversion DE.1.0.9.0 --startMP 204:232982 --initTime 2017-04-24T18:49:27 --startdatetime 2017-04-24T18:56:15 --delay 1 --endMP 204:118 --enddatetime 2017-04-24T19:37:26 --enforcementcount 0 &gt;&gt;C:\Users\stu\Documents\GitHub\eaglep3-reporting\EC\2017-04-24-refined-times.txt</v>
      </c>
      <c r="AI129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{"issue":{"subject":"","project_id":79,"tracker_id":40,"status_id":1,"priority_id":2,"assigned_to_id":23,"start_date":"2017-04-24","description":"","custom_fields":[{"id":1,"name":"Subdivision","value":"EC"},{"id":4,"name":"Milepost","value":"0.0118"},{"id":17,"name":"Train ID","value":"216-24"},{"id":16,"name":"Locomotive ID","value":"4039"},{"id":130,"name":"Impact","value":""},{"id":150,"name":"Time of Event (Mountain Time)","value":"19:37:26"},{"id":151,"name":"Denver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114"/>
        <v>start /low /b %USERPROFILE%\Documents\GitHub\eaglep3\Utilities\DownloadLogsFromS3.py --loco 4039 --day 2017-04-24</v>
      </c>
      <c r="AN129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01:37:26"},{"id":29,"name":"Sharepoint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578</v>
      </c>
      <c r="B130" s="7">
        <v>4012</v>
      </c>
      <c r="C130" s="21" t="s">
        <v>212</v>
      </c>
      <c r="D130" s="21" t="s">
        <v>429</v>
      </c>
      <c r="E130" s="13">
        <v>42849.75880787037</v>
      </c>
      <c r="F130" s="13">
        <v>42849.760798611111</v>
      </c>
      <c r="G130" s="7">
        <v>1</v>
      </c>
      <c r="H130" s="21" t="s">
        <v>846</v>
      </c>
      <c r="I130" s="13">
        <v>42849.787106481483</v>
      </c>
      <c r="J130" s="7">
        <v>0</v>
      </c>
      <c r="K130" s="92" t="str">
        <f t="shared" si="121"/>
        <v>4011/4012</v>
      </c>
      <c r="L130" s="21" t="str">
        <f>VLOOKUP(A130,'Trips&amp;Operators'!$C$1:$G$99999,5,FALSE)</f>
        <v>STAMBAUGH JAMES</v>
      </c>
      <c r="M130" s="6">
        <f t="shared" si="122"/>
        <v>2.6307870371965691E-2</v>
      </c>
      <c r="N130" s="7">
        <f t="shared" si="136"/>
        <v>37.883333335630596</v>
      </c>
      <c r="O130" s="7"/>
      <c r="P130" s="7"/>
      <c r="Q130" s="22"/>
      <c r="R130" s="191"/>
      <c r="S130" s="197">
        <f t="shared" si="120"/>
        <v>1</v>
      </c>
      <c r="T130" s="191" t="str">
        <f t="shared" si="123"/>
        <v>NorthBound</v>
      </c>
      <c r="U130" s="19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2" t="str">
        <f t="shared" si="100"/>
        <v>https://d0f6bd738d7f1b3e5a7ca70fe4ff75f0.us-east-1.aws.found.io/app/kibana#/discover/Steve-Slow-Train-Analysis-(2080s-and-2083s)?_g=(refreshInterval:(display:Off,pause:!f,section:0,value:0),time:(from:'2017-04-24T17:12:41-0600',mode:absolute,to:'2017-04-24T19:53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0" s="193" t="str">
        <f t="shared" si="124"/>
        <v>N</v>
      </c>
      <c r="X130" s="193">
        <f t="shared" si="137"/>
        <v>1</v>
      </c>
      <c r="Y130" s="193">
        <f t="shared" si="129"/>
        <v>4.6600000000000003E-2</v>
      </c>
      <c r="Z130" s="193">
        <f t="shared" si="130"/>
        <v>23.339300000000001</v>
      </c>
      <c r="AA130" s="193">
        <f t="shared" si="125"/>
        <v>23.2927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126"/>
        <v>0217-24</v>
      </c>
      <c r="AE130" s="80" t="str">
        <f t="shared" si="101"/>
        <v>aws s3 cp s3://rtdc.mdm.uploadarchive.raw/RTDC4012/ "%USERPROFILE%\AppData\Local\Temp\OnboardLogs"\RTDC4012\2017-04-24 --exclude "*" --recursive --include "*20170424*" &amp; "%USERPROFILE%\Documents\GitHub\mrs-test-scripts\Headless Mode &amp; Sideloading\WalkAndUnGZ.bat" "%USERPROFILE%\AppData\Local\Temp\OnboardLogs"\RTDC4012\2017-04-24 &amp; aws s3 cp s3://rtdc.mdm.uploadarchive.raw/RTDC4012/ "%USERPROFILE%\AppData\Local\Temp\OnboardLogs"\RTDC4012\2017-04-25 --exclude "*" --recursive --include "*20170425*" &amp; "%USERPROFILE%\Documents\GitHub\mrs-test-scripts\Headless Mode &amp; Sideloading\WalkAndUnGZ.bat" "%USERPROFILE%\AppData\Local\Temp\OnboardLogs"\RTDC4012\2017-04-25</v>
      </c>
      <c r="AF130" s="77" t="str">
        <f t="shared" si="102"/>
        <v>"C:\Program Files (x86)\AstroGrep\AstroGrep.exe" /e /r /s /spath="%USERPROFILE%\AppData\Local\Temp\OnboardLogs" /stypes="app*4012*20170425*" /stext=" 00:.+((SYSTEM_STATE.+slice.+state.+changed )|(ment ac)|(multiple cpu faults)|(system.+state.+changed )|(\[timeout)|(PRM\|1\|D)|(kpr)|(kdp)|(train.+moving)|(\|lc)|(penalty))"</v>
      </c>
      <c r="AG130" s="1" t="str">
        <f t="shared" si="127"/>
        <v>EC</v>
      </c>
      <c r="AH130" s="81" t="str">
        <f t="shared" si="112"/>
        <v>"%USERPROFILE%\Documents\GitHub\eaglep3\Utilities\RefineRTDCRunTimes.py" --tripid 217-24 --locoid 4012 --swversion DE.1.0.9.0 --startMP 204:466 --initTime 2017-04-24T18:12:41 --startdatetime 2017-04-24T18:15:33 --delay 1 --endMP 204:233393 --enddatetime 2017-04-24T18:53:26 --enforcementcount 0 &gt;&gt;C:\Users\stu\Documents\GitHub\eaglep3-reporting\EC\2017-04-24-refined-times.txt</v>
      </c>
      <c r="AI130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{"issue":{"subject":"","project_id":79,"tracker_id":40,"status_id":1,"priority_id":2,"assigned_to_id":23,"start_date":"2017-04-24","description":"","custom_fields":[{"id":1,"name":"Subdivision","value":"EC"},{"id":4,"name":"Milepost","value":"23.3393"},{"id":17,"name":"Train ID","value":"217-24"},{"id":16,"name":"Locomotive ID","value":"4012"},{"id":130,"name":"Impact","value":""},{"id":150,"name":"Time of Event (Mountain Time)","value":"18:53:26"},{"id":151,"name":"Denver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114"/>
        <v>start /low /b %USERPROFILE%\Documents\GitHub\eaglep3\Utilities\DownloadLogsFromS3.py --loco 4012 --day 2017-04-24</v>
      </c>
      <c r="AN130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00:53:26"},{"id":29,"name":"Sharepoint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749</v>
      </c>
      <c r="B131" s="7">
        <v>4011</v>
      </c>
      <c r="C131" s="21" t="s">
        <v>212</v>
      </c>
      <c r="D131" s="21" t="s">
        <v>847</v>
      </c>
      <c r="E131" s="13">
        <v>42849.795451388891</v>
      </c>
      <c r="F131" s="13">
        <v>42849.799699074072</v>
      </c>
      <c r="G131" s="7">
        <v>1</v>
      </c>
      <c r="H131" s="21" t="s">
        <v>421</v>
      </c>
      <c r="I131" s="13">
        <v>42849.825428240743</v>
      </c>
      <c r="J131" s="7">
        <v>0</v>
      </c>
      <c r="K131" s="92" t="str">
        <f t="shared" si="121"/>
        <v>4011/4012</v>
      </c>
      <c r="L131" s="21" t="str">
        <f>VLOOKUP(A131,'Trips&amp;Operators'!$C$1:$G$99999,5,FALSE)</f>
        <v>STAMBAUGH JAMES</v>
      </c>
      <c r="M131" s="6">
        <f t="shared" si="122"/>
        <v>2.5729166671226267E-2</v>
      </c>
      <c r="N131" s="7">
        <f t="shared" si="136"/>
        <v>37.050000006565824</v>
      </c>
      <c r="O131" s="7"/>
      <c r="P131" s="7"/>
      <c r="Q131" s="22"/>
      <c r="R131" s="191"/>
      <c r="S131" s="197">
        <f t="shared" si="120"/>
        <v>1</v>
      </c>
      <c r="T131" s="191" t="str">
        <f t="shared" si="123"/>
        <v>Southbound</v>
      </c>
      <c r="U131" s="19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2" t="str">
        <f t="shared" si="100"/>
        <v>https://d0f6bd738d7f1b3e5a7ca70fe4ff75f0.us-east-1.aws.found.io/app/kibana#/discover/Steve-Slow-Train-Analysis-(2080s-and-2083s)?_g=(refreshInterval:(display:Off,pause:!f,section:0,value:0),time:(from:'2017-04-24T18:05:27-0600',mode:absolute,to:'2017-04-24T20:48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1" s="193" t="str">
        <f t="shared" si="124"/>
        <v>N</v>
      </c>
      <c r="X131" s="193">
        <f t="shared" si="137"/>
        <v>1</v>
      </c>
      <c r="Y131" s="193">
        <f t="shared" si="129"/>
        <v>23.3111</v>
      </c>
      <c r="Z131" s="193">
        <f t="shared" si="130"/>
        <v>1.43E-2</v>
      </c>
      <c r="AA131" s="193">
        <f t="shared" si="125"/>
        <v>23.296800000000001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126"/>
        <v>0218-24</v>
      </c>
      <c r="AE131" s="80" t="str">
        <f t="shared" si="101"/>
        <v>aws s3 cp s3://rtdc.mdm.uploadarchive.raw/RTDC4011/ "%USERPROFILE%\AppData\Local\Temp\OnboardLogs"\RTDC4011\2017-04-24 --exclude "*" --recursive --include "*20170424*" &amp; "%USERPROFILE%\Documents\GitHub\mrs-test-scripts\Headless Mode &amp; Sideloading\WalkAndUnGZ.bat" "%USERPROFILE%\AppData\Local\Temp\OnboardLogs"\RTDC4011\2017-04-24 &amp; aws s3 cp s3://rtdc.mdm.uploadarchive.raw/RTDC4011/ "%USERPROFILE%\AppData\Local\Temp\OnboardLogs"\RTDC4011\2017-04-25 --exclude "*" --recursive --include "*20170425*" &amp; "%USERPROFILE%\Documents\GitHub\mrs-test-scripts\Headless Mode &amp; Sideloading\WalkAndUnGZ.bat" "%USERPROFILE%\AppData\Local\Temp\OnboardLogs"\RTDC4011\2017-04-25</v>
      </c>
      <c r="AF131" s="77" t="str">
        <f t="shared" si="102"/>
        <v>"C:\Program Files (x86)\AstroGrep\AstroGrep.exe" /e /r /s /spath="%USERPROFILE%\AppData\Local\Temp\OnboardLogs" /stypes="app*4011*20170425*" /stext=" 01:.+((SYSTEM_STATE.+slice.+state.+changed )|(ment ac)|(multiple cpu faults)|(system.+state.+changed )|(\[timeout)|(PRM\|1\|D)|(kpr)|(kdp)|(train.+moving)|(\|lc)|(penalty))"</v>
      </c>
      <c r="AG131" s="1" t="str">
        <f t="shared" si="127"/>
        <v>EC</v>
      </c>
      <c r="AH131" s="81" t="str">
        <f t="shared" si="112"/>
        <v>"%USERPROFILE%\Documents\GitHub\eaglep3\Utilities\RefineRTDCRunTimes.py" --tripid 218-24 --locoid 4011 --swversion DE.1.0.9.0 --startMP 204:233111 --initTime 2017-04-24T19:05:27 --startdatetime 2017-04-24T19:11:34 --delay 1 --endMP 204:143 --enddatetime 2017-04-24T19:48:37 --enforcementcount 0 &gt;&gt;C:\Users\stu\Documents\GitHub\eaglep3-reporting\EC\2017-04-24-refined-times.txt</v>
      </c>
      <c r="AI131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{"issue":{"subject":"","project_id":79,"tracker_id":40,"status_id":1,"priority_id":2,"assigned_to_id":23,"start_date":"2017-04-24","description":"","custom_fields":[{"id":1,"name":"Subdivision","value":"EC"},{"id":4,"name":"Milepost","value":"0.0143"},{"id":17,"name":"Train ID","value":"218-24"},{"id":16,"name":"Locomotive ID","value":"4011"},{"id":130,"name":"Impact","value":""},{"id":150,"name":"Time of Event (Mountain Time)","value":"19:48:37"},{"id":151,"name":"Denver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114"/>
        <v>start /low /b %USERPROFILE%\Documents\GitHub\eaglep3\Utilities\DownloadLogsFromS3.py --loco 4011 --day 2017-04-24</v>
      </c>
      <c r="AN131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01:48:37"},{"id":29,"name":"Sharepoint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742</v>
      </c>
      <c r="B132" s="7">
        <v>4028</v>
      </c>
      <c r="C132" s="21" t="s">
        <v>212</v>
      </c>
      <c r="D132" s="21" t="s">
        <v>417</v>
      </c>
      <c r="E132" s="13">
        <v>42849.768599537034</v>
      </c>
      <c r="F132" s="13">
        <v>42849.77107638889</v>
      </c>
      <c r="G132" s="7">
        <v>1</v>
      </c>
      <c r="H132" s="21" t="s">
        <v>817</v>
      </c>
      <c r="I132" s="13">
        <v>42849.797939814816</v>
      </c>
      <c r="J132" s="7">
        <v>0</v>
      </c>
      <c r="K132" s="92" t="str">
        <f t="shared" si="121"/>
        <v>4027/4028</v>
      </c>
      <c r="L132" s="21" t="str">
        <f>VLOOKUP(A132,'Trips&amp;Operators'!$C$1:$G$99999,5,FALSE)</f>
        <v>STORY SAMANTHA</v>
      </c>
      <c r="M132" s="6">
        <f t="shared" si="122"/>
        <v>2.6863425926421769E-2</v>
      </c>
      <c r="N132" s="7">
        <f t="shared" si="136"/>
        <v>38.683333334047347</v>
      </c>
      <c r="O132" s="7"/>
      <c r="P132" s="7"/>
      <c r="Q132" s="22"/>
      <c r="R132" s="191"/>
      <c r="S132" s="197">
        <f t="shared" si="120"/>
        <v>1</v>
      </c>
      <c r="T132" s="191" t="str">
        <f t="shared" si="123"/>
        <v>NorthBound</v>
      </c>
      <c r="U132" s="19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2" t="str">
        <f t="shared" si="100"/>
        <v>https://d0f6bd738d7f1b3e5a7ca70fe4ff75f0.us-east-1.aws.found.io/app/kibana#/discover/Steve-Slow-Train-Analysis-(2080s-and-2083s)?_g=(refreshInterval:(display:Off,pause:!f,section:0,value:0),time:(from:'2017-04-24T17:26:47-0600',mode:absolute,to:'2017-04-24T20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2" s="193" t="str">
        <f t="shared" si="124"/>
        <v>N</v>
      </c>
      <c r="X132" s="193">
        <f t="shared" si="137"/>
        <v>1</v>
      </c>
      <c r="Y132" s="193">
        <f t="shared" si="129"/>
        <v>4.7300000000000002E-2</v>
      </c>
      <c r="Z132" s="193">
        <f t="shared" si="130"/>
        <v>23.3353</v>
      </c>
      <c r="AA132" s="193">
        <f t="shared" si="125"/>
        <v>23.288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126"/>
        <v>0219-24</v>
      </c>
      <c r="AE132" s="80" t="str">
        <f t="shared" si="101"/>
        <v>aws s3 cp s3://rtdc.mdm.uploadarchive.raw/RTDC4028/ "%USERPROFILE%\AppData\Local\Temp\OnboardLogs"\RTDC4028\2017-04-24 --exclude "*" --recursive --include "*20170424*" &amp; "%USERPROFILE%\Documents\GitHub\mrs-test-scripts\Headless Mode &amp; Sideloading\WalkAndUnGZ.bat" "%USERPROFILE%\AppData\Local\Temp\OnboardLogs"\RTDC4028\2017-04-24 &amp; aws s3 cp s3://rtdc.mdm.uploadarchive.raw/RTDC4028/ "%USERPROFILE%\AppData\Local\Temp\OnboardLogs"\RTDC4028\2017-04-25 --exclude "*" --recursive --include "*20170425*" &amp; "%USERPROFILE%\Documents\GitHub\mrs-test-scripts\Headless Mode &amp; Sideloading\WalkAndUnGZ.bat" "%USERPROFILE%\AppData\Local\Temp\OnboardLogs"\RTDC4028\2017-04-25</v>
      </c>
      <c r="AF132" s="77" t="str">
        <f t="shared" si="102"/>
        <v>"C:\Program Files (x86)\AstroGrep\AstroGrep.exe" /e /r /s /spath="%USERPROFILE%\AppData\Local\Temp\OnboardLogs" /stypes="app*4028*20170425*" /stext=" 01:.+((SYSTEM_STATE.+slice.+state.+changed )|(ment ac)|(multiple cpu faults)|(system.+state.+changed )|(\[timeout)|(PRM\|1\|D)|(kpr)|(kdp)|(train.+moving)|(\|lc)|(penalty))"</v>
      </c>
      <c r="AG132" s="1" t="str">
        <f t="shared" si="127"/>
        <v>EC</v>
      </c>
      <c r="AH132" s="81" t="str">
        <f t="shared" si="112"/>
        <v>"%USERPROFILE%\Documents\GitHub\eaglep3\Utilities\RefineRTDCRunTimes.py" --tripid 219-24 --locoid 4028 --swversion DE.1.0.9.0 --startMP 204:473 --initTime 2017-04-24T18:26:47 --startdatetime 2017-04-24T18:30:21 --delay 1 --endMP 204:233353 --enddatetime 2017-04-24T19:09:02 --enforcementcount 0 &gt;&gt;C:\Users\stu\Documents\GitHub\eaglep3-reporting\EC\2017-04-24-refined-times.txt</v>
      </c>
      <c r="AI132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{"issue":{"subject":"","project_id":79,"tracker_id":40,"status_id":1,"priority_id":2,"assigned_to_id":23,"start_date":"2017-04-24","description":"","custom_fields":[{"id":1,"name":"Subdivision","value":"EC"},{"id":4,"name":"Milepost","value":"23.3353"},{"id":17,"name":"Train ID","value":"219-24"},{"id":16,"name":"Locomotive ID","value":"4028"},{"id":130,"name":"Impact","value":""},{"id":150,"name":"Time of Event (Mountain Time)","value":"19:09:02"},{"id":151,"name":"Denver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114"/>
        <v>start /low /b %USERPROFILE%\Documents\GitHub\eaglep3\Utilities\DownloadLogsFromS3.py --loco 4028 --day 2017-04-24</v>
      </c>
      <c r="AN132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01:09:02"},{"id":29,"name":"Sharepoint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580</v>
      </c>
      <c r="B133" s="7">
        <v>4027</v>
      </c>
      <c r="C133" s="21" t="s">
        <v>212</v>
      </c>
      <c r="D133" s="21" t="s">
        <v>808</v>
      </c>
      <c r="E133" s="13">
        <v>42849.804467592592</v>
      </c>
      <c r="F133" s="13">
        <v>42849.809930555559</v>
      </c>
      <c r="G133" s="7">
        <v>1</v>
      </c>
      <c r="H133" s="21" t="s">
        <v>203</v>
      </c>
      <c r="I133" s="13">
        <v>42849.836747685185</v>
      </c>
      <c r="J133" s="7">
        <v>0</v>
      </c>
      <c r="K133" s="92" t="str">
        <f t="shared" si="121"/>
        <v>4027/4028</v>
      </c>
      <c r="L133" s="21" t="str">
        <f>VLOOKUP(A133,'Trips&amp;Operators'!$C$1:$G$99999,5,FALSE)</f>
        <v>STORY SAMANTHA</v>
      </c>
      <c r="M133" s="6">
        <f t="shared" si="122"/>
        <v>2.6817129626579117E-2</v>
      </c>
      <c r="N133" s="7">
        <f t="shared" si="136"/>
        <v>38.616666662273929</v>
      </c>
      <c r="O133" s="7"/>
      <c r="P133" s="7"/>
      <c r="Q133" s="22"/>
      <c r="R133" s="191"/>
      <c r="S133" s="197">
        <f t="shared" si="120"/>
        <v>1</v>
      </c>
      <c r="T133" s="191" t="str">
        <f t="shared" si="123"/>
        <v>Southbound</v>
      </c>
      <c r="U133" s="19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2" t="str">
        <f t="shared" si="100"/>
        <v>https://d0f6bd738d7f1b3e5a7ca70fe4ff75f0.us-east-1.aws.found.io/app/kibana#/discover/Steve-Slow-Train-Analysis-(2080s-and-2083s)?_g=(refreshInterval:(display:Off,pause:!f,section:0,value:0),time:(from:'2017-04-24T18:18:26-0600',mode:absolute,to:'2017-04-24T21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3" s="193" t="str">
        <f t="shared" si="124"/>
        <v>N</v>
      </c>
      <c r="X133" s="193">
        <f t="shared" si="137"/>
        <v>1</v>
      </c>
      <c r="Y133" s="193">
        <f t="shared" si="129"/>
        <v>23.3019</v>
      </c>
      <c r="Z133" s="193">
        <f t="shared" si="130"/>
        <v>1.54E-2</v>
      </c>
      <c r="AA133" s="193">
        <f t="shared" si="125"/>
        <v>23.2865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126"/>
        <v>0220-24</v>
      </c>
      <c r="AE133" s="80" t="str">
        <f t="shared" si="101"/>
        <v>aws s3 cp s3://rtdc.mdm.uploadarchive.raw/RTDC4027/ "%USERPROFILE%\AppData\Local\Temp\OnboardLogs"\RTDC4027\2017-04-24 --exclude "*" --recursive --include "*20170424*" &amp; "%USERPROFILE%\Documents\GitHub\mrs-test-scripts\Headless Mode &amp; Sideloading\WalkAndUnGZ.bat" "%USERPROFILE%\AppData\Local\Temp\OnboardLogs"\RTDC4027\2017-04-24 &amp; aws s3 cp s3://rtdc.mdm.uploadarchive.raw/RTDC4027/ "%USERPROFILE%\AppData\Local\Temp\OnboardLogs"\RTDC4027\2017-04-25 --exclude "*" --recursive --include "*20170425*" &amp; "%USERPROFILE%\Documents\GitHub\mrs-test-scripts\Headless Mode &amp; Sideloading\WalkAndUnGZ.bat" "%USERPROFILE%\AppData\Local\Temp\OnboardLogs"\RTDC4027\2017-04-25</v>
      </c>
      <c r="AF133" s="77" t="str">
        <f t="shared" si="102"/>
        <v>"C:\Program Files (x86)\AstroGrep\AstroGrep.exe" /e /r /s /spath="%USERPROFILE%\AppData\Local\Temp\OnboardLogs" /stypes="app*4027*20170425*" /stext=" 02:.+((SYSTEM_STATE.+slice.+state.+changed )|(ment ac)|(multiple cpu faults)|(system.+state.+changed )|(\[timeout)|(PRM\|1\|D)|(kpr)|(kdp)|(train.+moving)|(\|lc)|(penalty))"</v>
      </c>
      <c r="AG133" s="1" t="str">
        <f t="shared" si="127"/>
        <v>EC</v>
      </c>
      <c r="AH133" s="81" t="str">
        <f t="shared" si="112"/>
        <v>"%USERPROFILE%\Documents\GitHub\eaglep3\Utilities\RefineRTDCRunTimes.py" --tripid 220-24 --locoid 4027 --swversion DE.1.0.9.0 --startMP 204:233019 --initTime 2017-04-24T19:18:26 --startdatetime 2017-04-24T19:26:18 --delay 1 --endMP 204:154 --enddatetime 2017-04-24T20:04:55 --enforcementcount 0 &gt;&gt;C:\Users\stu\Documents\GitHub\eaglep3-reporting\EC\2017-04-24-refined-times.txt</v>
      </c>
      <c r="AI133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{"issue":{"subject":"","project_id":79,"tracker_id":40,"status_id":1,"priority_id":2,"assigned_to_id":23,"start_date":"2017-04-24","description":"","custom_fields":[{"id":1,"name":"Subdivision","value":"EC"},{"id":4,"name":"Milepost","value":"0.0154"},{"id":17,"name":"Train ID","value":"220-24"},{"id":16,"name":"Locomotive ID","value":"4027"},{"id":130,"name":"Impact","value":""},{"id":150,"name":"Time of Event (Mountain Time)","value":"20:04:55"},{"id":151,"name":"Denver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114"/>
        <v>start /low /b %USERPROFILE%\Documents\GitHub\eaglep3\Utilities\DownloadLogsFromS3.py --loco 4027 --day 2017-04-24</v>
      </c>
      <c r="AN133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02:04:55"},{"id":29,"name":"Sharepoint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579</v>
      </c>
      <c r="B134" s="7">
        <v>4024</v>
      </c>
      <c r="C134" s="21" t="s">
        <v>212</v>
      </c>
      <c r="D134" s="21" t="s">
        <v>384</v>
      </c>
      <c r="E134" s="13">
        <v>42849.788437499999</v>
      </c>
      <c r="F134" s="13">
        <v>42849.791805555556</v>
      </c>
      <c r="G134" s="7">
        <v>1</v>
      </c>
      <c r="H134" s="21" t="s">
        <v>848</v>
      </c>
      <c r="I134" s="13">
        <v>42849.81722222222</v>
      </c>
      <c r="J134" s="7">
        <v>0</v>
      </c>
      <c r="K134" s="92" t="str">
        <f t="shared" si="121"/>
        <v>4023/4024</v>
      </c>
      <c r="L134" s="21" t="str">
        <f>VLOOKUP(A134,'Trips&amp;Operators'!$C$1:$G$99999,5,FALSE)</f>
        <v>PERKINS DARREN</v>
      </c>
      <c r="M134" s="6">
        <f t="shared" si="122"/>
        <v>2.5416666663659271E-2</v>
      </c>
      <c r="N134" s="7">
        <f t="shared" si="136"/>
        <v>36.59999999566935</v>
      </c>
      <c r="O134" s="7"/>
      <c r="P134" s="7"/>
      <c r="Q134" s="22"/>
      <c r="R134" s="191"/>
      <c r="S134" s="197">
        <f t="shared" si="120"/>
        <v>1</v>
      </c>
      <c r="T134" s="191" t="str">
        <f t="shared" si="123"/>
        <v>NorthBound</v>
      </c>
      <c r="U134" s="19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2" t="str">
        <f t="shared" si="100"/>
        <v>https://d0f6bd738d7f1b3e5a7ca70fe4ff75f0.us-east-1.aws.found.io/app/kibana#/discover/Steve-Slow-Train-Analysis-(2080s-and-2083s)?_g=(refreshInterval:(display:Off,pause:!f,section:0,value:0),time:(from:'2017-04-24T17:55:21-0600',mode:absolute,to:'2017-04-24T20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4" s="193" t="str">
        <f t="shared" si="124"/>
        <v>N</v>
      </c>
      <c r="X134" s="193">
        <f t="shared" si="137"/>
        <v>1</v>
      </c>
      <c r="Y134" s="193">
        <f t="shared" si="129"/>
        <v>4.6199999999999998E-2</v>
      </c>
      <c r="Z134" s="193">
        <f t="shared" si="130"/>
        <v>23.311299999999999</v>
      </c>
      <c r="AA134" s="193">
        <f t="shared" si="125"/>
        <v>23.2651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126"/>
        <v>0221-24</v>
      </c>
      <c r="AE134" s="80" t="str">
        <f t="shared" si="101"/>
        <v>aws s3 cp s3://rtdc.mdm.uploadarchive.raw/RTDC4024/ "%USERPROFILE%\AppData\Local\Temp\OnboardLogs"\RTDC4024\2017-04-24 --exclude "*" --recursive --include "*20170424*" &amp; "%USERPROFILE%\Documents\GitHub\mrs-test-scripts\Headless Mode &amp; Sideloading\WalkAndUnGZ.bat" "%USERPROFILE%\AppData\Local\Temp\OnboardLogs"\RTDC4024\2017-04-24 &amp; aws s3 cp s3://rtdc.mdm.uploadarchive.raw/RTDC4024/ "%USERPROFILE%\AppData\Local\Temp\OnboardLogs"\RTDC4024\2017-04-25 --exclude "*" --recursive --include "*20170425*" &amp; "%USERPROFILE%\Documents\GitHub\mrs-test-scripts\Headless Mode &amp; Sideloading\WalkAndUnGZ.bat" "%USERPROFILE%\AppData\Local\Temp\OnboardLogs"\RTDC4024\2017-04-25</v>
      </c>
      <c r="AF134" s="77" t="str">
        <f t="shared" si="102"/>
        <v>"C:\Program Files (x86)\AstroGrep\AstroGrep.exe" /e /r /s /spath="%USERPROFILE%\AppData\Local\Temp\OnboardLogs" /stypes="app*4024*20170425*" /stext=" 01:.+((SYSTEM_STATE.+slice.+state.+changed )|(ment ac)|(multiple cpu faults)|(system.+state.+changed )|(\[timeout)|(PRM\|1\|D)|(kpr)|(kdp)|(train.+moving)|(\|lc)|(penalty))"</v>
      </c>
      <c r="AG134" s="1" t="str">
        <f t="shared" si="127"/>
        <v>EC</v>
      </c>
      <c r="AH134" s="81" t="str">
        <f t="shared" si="112"/>
        <v>"%USERPROFILE%\Documents\GitHub\eaglep3\Utilities\RefineRTDCRunTimes.py" --tripid 221-24 --locoid 4024 --swversion DE.1.0.9.0 --startMP 204:462 --initTime 2017-04-24T18:55:21 --startdatetime 2017-04-24T19:00:12 --delay 1 --endMP 204:233113 --enddatetime 2017-04-24T19:36:48 --enforcementcount 0 &gt;&gt;C:\Users\stu\Documents\GitHub\eaglep3-reporting\EC\2017-04-24-refined-times.txt</v>
      </c>
      <c r="AI134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{"issue":{"subject":"","project_id":79,"tracker_id":40,"status_id":1,"priority_id":2,"assigned_to_id":23,"start_date":"2017-04-24","description":"","custom_fields":[{"id":1,"name":"Subdivision","value":"EC"},{"id":4,"name":"Milepost","value":"23.3113"},{"id":17,"name":"Train ID","value":"221-24"},{"id":16,"name":"Locomotive ID","value":"4024"},{"id":130,"name":"Impact","value":""},{"id":150,"name":"Time of Event (Mountain Time)","value":"19:36:48"},{"id":151,"name":"Denver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114"/>
        <v>start /low /b %USERPROFILE%\Documents\GitHub\eaglep3\Utilities\DownloadLogsFromS3.py --loco 4024 --day 2017-04-24</v>
      </c>
      <c r="AN134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01:36:48"},{"id":29,"name":"Sharepoint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581</v>
      </c>
      <c r="B135" s="7">
        <v>4023</v>
      </c>
      <c r="C135" s="21" t="s">
        <v>212</v>
      </c>
      <c r="D135" s="21" t="s">
        <v>849</v>
      </c>
      <c r="E135" s="13">
        <v>42849.824259259258</v>
      </c>
      <c r="F135" s="13">
        <v>42849.830729166664</v>
      </c>
      <c r="G135" s="7">
        <v>1</v>
      </c>
      <c r="H135" s="21" t="s">
        <v>415</v>
      </c>
      <c r="I135" s="13">
        <v>42849.858368055553</v>
      </c>
      <c r="J135" s="7">
        <v>0</v>
      </c>
      <c r="K135" s="92" t="str">
        <f t="shared" si="121"/>
        <v>4023/4024</v>
      </c>
      <c r="L135" s="21" t="str">
        <f>VLOOKUP(A135,'Trips&amp;Operators'!$C$1:$G$99999,5,FALSE)</f>
        <v>PERKINS DARREN</v>
      </c>
      <c r="M135" s="6">
        <f t="shared" si="122"/>
        <v>2.7638888888759539E-2</v>
      </c>
      <c r="N135" s="7">
        <f t="shared" si="136"/>
        <v>39.799999999813735</v>
      </c>
      <c r="O135" s="7"/>
      <c r="P135" s="7"/>
      <c r="Q135" s="22"/>
      <c r="R135" s="191"/>
      <c r="S135" s="197">
        <f t="shared" si="120"/>
        <v>1</v>
      </c>
      <c r="T135" s="191" t="str">
        <f t="shared" si="123"/>
        <v>Southbound</v>
      </c>
      <c r="U135" s="19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2" t="str">
        <f t="shared" si="100"/>
        <v>https://d0f6bd738d7f1b3e5a7ca70fe4ff75f0.us-east-1.aws.found.io/app/kibana#/discover/Steve-Slow-Train-Analysis-(2080s-and-2083s)?_g=(refreshInterval:(display:Off,pause:!f,section:0,value:0),time:(from:'2017-04-24T18:46:56-0600',mode:absolute,to:'2017-04-24T21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5" s="193" t="str">
        <f t="shared" si="124"/>
        <v>N</v>
      </c>
      <c r="X135" s="193">
        <f t="shared" si="137"/>
        <v>1</v>
      </c>
      <c r="Y135" s="193">
        <f t="shared" si="129"/>
        <v>23.28</v>
      </c>
      <c r="Z135" s="193">
        <f t="shared" si="130"/>
        <v>1.4999999999999999E-2</v>
      </c>
      <c r="AA135" s="193">
        <f t="shared" si="125"/>
        <v>23.265000000000001</v>
      </c>
      <c r="AB135" s="57" t="str">
        <f>VLOOKUP(A135,Enforcements!$C$7:$K$13,8,0)</f>
        <v>Bulletin (2)</v>
      </c>
      <c r="AC135" s="53" t="str">
        <f>VLOOKUP(A135,Enforcements!$C$7:$E$13,3,0)</f>
        <v>GRADE CROSSING</v>
      </c>
      <c r="AD135" s="54" t="str">
        <f t="shared" si="126"/>
        <v>0222-24</v>
      </c>
      <c r="AE135" s="80" t="str">
        <f t="shared" si="101"/>
        <v>aws s3 cp s3://rtdc.mdm.uploadarchive.raw/RTDC4023/ "%USERPROFILE%\AppData\Local\Temp\OnboardLogs"\RTDC4023\2017-04-24 --exclude "*" --recursive --include "*20170424*" &amp; "%USERPROFILE%\Documents\GitHub\mrs-test-scripts\Headless Mode &amp; Sideloading\WalkAndUnGZ.bat" "%USERPROFILE%\AppData\Local\Temp\OnboardLogs"\RTDC4023\2017-04-24 &amp; aws s3 cp s3://rtdc.mdm.uploadarchive.raw/RTDC4023/ "%USERPROFILE%\AppData\Local\Temp\OnboardLogs"\RTDC4023\2017-04-25 --exclude "*" --recursive --include "*20170425*" &amp; "%USERPROFILE%\Documents\GitHub\mrs-test-scripts\Headless Mode &amp; Sideloading\WalkAndUnGZ.bat" "%USERPROFILE%\AppData\Local\Temp\OnboardLogs"\RTDC4023\2017-04-25</v>
      </c>
      <c r="AF135" s="77" t="str">
        <f t="shared" si="102"/>
        <v>"C:\Program Files (x86)\AstroGrep\AstroGrep.exe" /e /r /s /spath="%USERPROFILE%\AppData\Local\Temp\OnboardLogs" /stypes="app*4023*20170425*" /stext=" 02:.+((SYSTEM_STATE.+slice.+state.+changed )|(ment ac)|(multiple cpu faults)|(system.+state.+changed )|(\[timeout)|(PRM\|1\|D)|(kpr)|(kdp)|(train.+moving)|(\|lc)|(penalty))"</v>
      </c>
      <c r="AG135" s="1" t="str">
        <f t="shared" si="127"/>
        <v>EC</v>
      </c>
      <c r="AH135" s="81" t="str">
        <f t="shared" si="112"/>
        <v>"%USERPROFILE%\Documents\GitHub\eaglep3\Utilities\RefineRTDCRunTimes.py" --tripid 222-24 --locoid 4023 --swversion DE.1.0.9.0 --startMP 204:232800 --initTime 2017-04-24T19:46:56 --startdatetime 2017-04-24T19:56:15 --delay 1 --endMP 204:150 --enddatetime 2017-04-24T20:36:03 --enforcementcount 0 &gt;&gt;C:\Users\stu\Documents\GitHub\eaglep3-reporting\EC\2017-04-24-refined-times.txt</v>
      </c>
      <c r="AI135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{"issue":{"subject":"","project_id":79,"tracker_id":40,"status_id":1,"priority_id":2,"assigned_to_id":23,"start_date":"2017-04-24","description":"","custom_fields":[{"id":1,"name":"Subdivision","value":"EC"},{"id":4,"name":"Milepost","value":"0.015"},{"id":17,"name":"Train ID","value":"222-24"},{"id":16,"name":"Locomotive ID","value":"4023"},{"id":130,"name":"Impact","value":""},{"id":150,"name":"Time of Event (Mountain Time)","value":"20:36:03"},{"id":151,"name":"Denver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114"/>
        <v>start /low /b %USERPROFILE%\Documents\GitHub\eaglep3\Utilities\DownloadLogsFromS3.py --loco 4023 --day 2017-04-24</v>
      </c>
      <c r="AN135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02:36:03"},{"id":29,"name":"Sharepoint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753</v>
      </c>
      <c r="B136" s="7">
        <v>4026</v>
      </c>
      <c r="C136" s="21" t="s">
        <v>212</v>
      </c>
      <c r="D136" s="21" t="s">
        <v>369</v>
      </c>
      <c r="E136" s="13">
        <v>42849.808217592596</v>
      </c>
      <c r="F136" s="13">
        <v>42849.812719907408</v>
      </c>
      <c r="G136" s="7">
        <v>1</v>
      </c>
      <c r="H136" s="21" t="s">
        <v>413</v>
      </c>
      <c r="I136" s="13">
        <v>42849.838495370372</v>
      </c>
      <c r="J136" s="7">
        <v>0</v>
      </c>
      <c r="K136" s="92" t="str">
        <f t="shared" si="121"/>
        <v>4025/4026</v>
      </c>
      <c r="L136" s="21" t="str">
        <f>VLOOKUP(A136,'Trips&amp;Operators'!$C$1:$G$99999,5,FALSE)</f>
        <v>SMITH MICHAEL</v>
      </c>
      <c r="M136" s="6">
        <f t="shared" si="122"/>
        <v>2.5775462963792961E-2</v>
      </c>
      <c r="N136" s="7">
        <f t="shared" si="136"/>
        <v>37.116666667861864</v>
      </c>
      <c r="O136" s="7"/>
      <c r="P136" s="7"/>
      <c r="Q136" s="22"/>
      <c r="R136" s="191"/>
      <c r="S136" s="197">
        <f t="shared" si="120"/>
        <v>1</v>
      </c>
      <c r="T136" s="191" t="str">
        <f t="shared" si="123"/>
        <v>NorthBound</v>
      </c>
      <c r="U136" s="19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2" t="str">
        <f t="shared" si="100"/>
        <v>https://d0f6bd738d7f1b3e5a7ca70fe4ff75f0.us-east-1.aws.found.io/app/kibana#/discover/Steve-Slow-Train-Analysis-(2080s-and-2083s)?_g=(refreshInterval:(display:Off,pause:!f,section:0,value:0),time:(from:'2017-04-24T18:23:50-0600',mode:absolute,to:'2017-04-24T21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6" s="193" t="str">
        <f t="shared" si="124"/>
        <v>N</v>
      </c>
      <c r="X136" s="193">
        <f t="shared" si="137"/>
        <v>1</v>
      </c>
      <c r="Y136" s="193">
        <f t="shared" si="129"/>
        <v>4.4900000000000002E-2</v>
      </c>
      <c r="Z136" s="193">
        <f t="shared" si="130"/>
        <v>23.3291</v>
      </c>
      <c r="AA136" s="193">
        <f t="shared" si="125"/>
        <v>23.284200000000002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126"/>
        <v>0223-24</v>
      </c>
      <c r="AE136" s="80" t="str">
        <f t="shared" si="101"/>
        <v>aws s3 cp s3://rtdc.mdm.uploadarchive.raw/RTDC4026/ "%USERPROFILE%\AppData\Local\Temp\OnboardLogs"\RTDC4026\2017-04-24 --exclude "*" --recursive --include "*20170424*" &amp; "%USERPROFILE%\Documents\GitHub\mrs-test-scripts\Headless Mode &amp; Sideloading\WalkAndUnGZ.bat" "%USERPROFILE%\AppData\Local\Temp\OnboardLogs"\RTDC4026\2017-04-24 &amp; aws s3 cp s3://rtdc.mdm.uploadarchive.raw/RTDC4026/ "%USERPROFILE%\AppData\Local\Temp\OnboardLogs"\RTDC4026\2017-04-25 --exclude "*" --recursive --include "*20170425*" &amp; "%USERPROFILE%\Documents\GitHub\mrs-test-scripts\Headless Mode &amp; Sideloading\WalkAndUnGZ.bat" "%USERPROFILE%\AppData\Local\Temp\OnboardLogs"\RTDC4026\2017-04-25</v>
      </c>
      <c r="AF136" s="77" t="str">
        <f t="shared" si="102"/>
        <v>"C:\Program Files (x86)\AstroGrep\AstroGrep.exe" /e /r /s /spath="%USERPROFILE%\AppData\Local\Temp\OnboardLogs" /stypes="app*4026*20170425*" /stext=" 02:.+((SYSTEM_STATE.+slice.+state.+changed )|(ment ac)|(multiple cpu faults)|(system.+state.+changed )|(\[timeout)|(PRM\|1\|D)|(kpr)|(kdp)|(train.+moving)|(\|lc)|(penalty))"</v>
      </c>
      <c r="AG136" s="1" t="str">
        <f t="shared" si="127"/>
        <v>EC</v>
      </c>
      <c r="AH136" s="81" t="str">
        <f t="shared" si="112"/>
        <v>"%USERPROFILE%\Documents\GitHub\eaglep3\Utilities\RefineRTDCRunTimes.py" --tripid 223-24 --locoid 4026 --swversion DE.1.0.9.0 --startMP 204:449 --initTime 2017-04-24T19:23:50 --startdatetime 2017-04-24T19:30:19 --delay 1 --endMP 204:233291 --enddatetime 2017-04-24T20:07:26 --enforcementcount 0 &gt;&gt;C:\Users\stu\Documents\GitHub\eaglep3-reporting\EC\2017-04-24-refined-times.txt</v>
      </c>
      <c r="AI136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{"issue":{"subject":"","project_id":79,"tracker_id":40,"status_id":1,"priority_id":2,"assigned_to_id":23,"start_date":"2017-04-24","description":"","custom_fields":[{"id":1,"name":"Subdivision","value":"EC"},{"id":4,"name":"Milepost","value":"23.3291"},{"id":17,"name":"Train ID","value":"223-24"},{"id":16,"name":"Locomotive ID","value":"4026"},{"id":130,"name":"Impact","value":""},{"id":150,"name":"Time of Event (Mountain Time)","value":"20:07:26"},{"id":151,"name":"Denver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114"/>
        <v>start /low /b %USERPROFILE%\Documents\GitHub\eaglep3\Utilities\DownloadLogsFromS3.py --loco 4026 --day 2017-04-24</v>
      </c>
      <c r="AN136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02:07:26"},{"id":29,"name":"Sharepoint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758</v>
      </c>
      <c r="B137" s="7">
        <v>4025</v>
      </c>
      <c r="C137" s="21" t="s">
        <v>212</v>
      </c>
      <c r="D137" s="21" t="s">
        <v>483</v>
      </c>
      <c r="E137" s="13">
        <v>42849.842662037037</v>
      </c>
      <c r="F137" s="13">
        <v>42849.851574074077</v>
      </c>
      <c r="G137" s="7">
        <v>1</v>
      </c>
      <c r="H137" s="21" t="s">
        <v>850</v>
      </c>
      <c r="I137" s="13">
        <v>42849.880439814813</v>
      </c>
      <c r="J137" s="7">
        <v>0</v>
      </c>
      <c r="K137" s="92" t="str">
        <f t="shared" si="121"/>
        <v>4025/4026</v>
      </c>
      <c r="L137" s="21" t="str">
        <f>VLOOKUP(A137,'Trips&amp;Operators'!$C$1:$G$99999,5,FALSE)</f>
        <v>SMITH MICHAEL</v>
      </c>
      <c r="M137" s="6">
        <f t="shared" si="122"/>
        <v>2.8865740736364387E-2</v>
      </c>
      <c r="N137" s="7">
        <f t="shared" si="136"/>
        <v>41.566666660364717</v>
      </c>
      <c r="O137" s="7"/>
      <c r="P137" s="7"/>
      <c r="Q137" s="22"/>
      <c r="R137" s="191"/>
      <c r="S137" s="197">
        <f t="shared" si="120"/>
        <v>1</v>
      </c>
      <c r="T137" s="191" t="str">
        <f t="shared" si="123"/>
        <v>Southbound</v>
      </c>
      <c r="U137" s="19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2" t="str">
        <f t="shared" si="100"/>
        <v>https://d0f6bd738d7f1b3e5a7ca70fe4ff75f0.us-east-1.aws.found.io/app/kibana#/discover/Steve-Slow-Train-Analysis-(2080s-and-2083s)?_g=(refreshInterval:(display:Off,pause:!f,section:0,value:0),time:(from:'2017-04-24T19:13:26-0600',mode:absolute,to:'2017-04-24T22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7" s="193" t="str">
        <f t="shared" si="124"/>
        <v>N</v>
      </c>
      <c r="X137" s="193">
        <f t="shared" si="137"/>
        <v>1</v>
      </c>
      <c r="Y137" s="193">
        <f t="shared" si="129"/>
        <v>23.297899999999998</v>
      </c>
      <c r="Z137" s="193">
        <f t="shared" si="130"/>
        <v>1.6899999999999998E-2</v>
      </c>
      <c r="AA137" s="193">
        <f t="shared" si="125"/>
        <v>23.280999999999999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126"/>
        <v>0224-24</v>
      </c>
      <c r="AE137" s="80" t="str">
        <f t="shared" si="101"/>
        <v>aws s3 cp s3://rtdc.mdm.uploadarchive.raw/RTDC4025/ "%USERPROFILE%\AppData\Local\Temp\OnboardLogs"\RTDC4025\2017-04-24 --exclude "*" --recursive --include "*20170424*" &amp; "%USERPROFILE%\Documents\GitHub\mrs-test-scripts\Headless Mode &amp; Sideloading\WalkAndUnGZ.bat" "%USERPROFILE%\AppData\Local\Temp\OnboardLogs"\RTDC4025\2017-04-24 &amp; aws s3 cp s3://rtdc.mdm.uploadarchive.raw/RTDC4025/ "%USERPROFILE%\AppData\Local\Temp\OnboardLogs"\RTDC4025\2017-04-25 --exclude "*" --recursive --include "*20170425*" &amp; "%USERPROFILE%\Documents\GitHub\mrs-test-scripts\Headless Mode &amp; Sideloading\WalkAndUnGZ.bat" "%USERPROFILE%\AppData\Local\Temp\OnboardLogs"\RTDC4025\2017-04-25</v>
      </c>
      <c r="AF137" s="77" t="str">
        <f t="shared" si="102"/>
        <v>"C:\Program Files (x86)\AstroGrep\AstroGrep.exe" /e /r /s /spath="%USERPROFILE%\AppData\Local\Temp\OnboardLogs" /stypes="app*4025*20170425*" /stext=" 03:.+((SYSTEM_STATE.+slice.+state.+changed )|(ment ac)|(multiple cpu faults)|(system.+state.+changed )|(\[timeout)|(PRM\|1\|D)|(kpr)|(kdp)|(train.+moving)|(\|lc)|(penalty))"</v>
      </c>
      <c r="AG137" s="1" t="str">
        <f t="shared" si="127"/>
        <v>EC</v>
      </c>
      <c r="AH137" s="81" t="str">
        <f t="shared" si="112"/>
        <v>"%USERPROFILE%\Documents\GitHub\eaglep3\Utilities\RefineRTDCRunTimes.py" --tripid 224-24 --locoid 4025 --swversion DE.1.0.9.0 --startMP 204:232979 --initTime 2017-04-24T20:13:26 --startdatetime 2017-04-24T20:26:16 --delay 1 --endMP 204:169 --enddatetime 2017-04-24T21:07:50 --enforcementcount 0 &gt;&gt;C:\Users\stu\Documents\GitHub\eaglep3-reporting\EC\2017-04-24-refined-times.txt</v>
      </c>
      <c r="AI137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{"issue":{"subject":"","project_id":79,"tracker_id":40,"status_id":1,"priority_id":2,"assigned_to_id":23,"start_date":"2017-04-24","description":"","custom_fields":[{"id":1,"name":"Subdivision","value":"EC"},{"id":4,"name":"Milepost","value":"0.0169"},{"id":17,"name":"Train ID","value":"224-24"},{"id":16,"name":"Locomotive ID","value":"4025"},{"id":130,"name":"Impact","value":""},{"id":150,"name":"Time of Event (Mountain Time)","value":"21:07:50"},{"id":151,"name":"Denver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114"/>
        <v>start /low /b %USERPROFILE%\Documents\GitHub\eaglep3\Utilities\DownloadLogsFromS3.py --loco 4025 --day 2017-04-24</v>
      </c>
      <c r="AN137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03:07:50"},{"id":29,"name":"Sharepoint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756</v>
      </c>
      <c r="B138" s="7">
        <v>4012</v>
      </c>
      <c r="C138" s="21" t="s">
        <v>212</v>
      </c>
      <c r="D138" s="21" t="s">
        <v>412</v>
      </c>
      <c r="E138" s="13">
        <v>42849.828668981485</v>
      </c>
      <c r="F138" s="13">
        <v>42849.833692129629</v>
      </c>
      <c r="G138" s="7">
        <v>1</v>
      </c>
      <c r="H138" s="21" t="s">
        <v>539</v>
      </c>
      <c r="I138" s="13">
        <v>42849.861504629633</v>
      </c>
      <c r="J138" s="7">
        <v>0</v>
      </c>
      <c r="K138" s="92" t="str">
        <f t="shared" si="121"/>
        <v>4011/4012</v>
      </c>
      <c r="L138" s="21" t="str">
        <f>VLOOKUP(A138,'Trips&amp;Operators'!$C$1:$G$99999,5,FALSE)</f>
        <v>STAMBAUGH JAMES</v>
      </c>
      <c r="M138" s="6">
        <f t="shared" si="122"/>
        <v>2.7812500004074536E-2</v>
      </c>
      <c r="N138" s="7">
        <f t="shared" si="136"/>
        <v>40.050000005867332</v>
      </c>
      <c r="O138" s="7"/>
      <c r="P138" s="7"/>
      <c r="Q138" s="22"/>
      <c r="R138" s="191"/>
      <c r="S138" s="197">
        <f t="shared" si="120"/>
        <v>1</v>
      </c>
      <c r="T138" s="191" t="str">
        <f t="shared" si="123"/>
        <v>NorthBound</v>
      </c>
      <c r="U138" s="19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2" t="str">
        <f t="shared" si="100"/>
        <v>https://d0f6bd738d7f1b3e5a7ca70fe4ff75f0.us-east-1.aws.found.io/app/kibana#/discover/Steve-Slow-Train-Analysis-(2080s-and-2083s)?_g=(refreshInterval:(display:Off,pause:!f,section:0,value:0),time:(from:'2017-04-24T18:53:17-0600',mode:absolute,to:'2017-04-24T21:40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8" s="193" t="str">
        <f t="shared" si="124"/>
        <v>N</v>
      </c>
      <c r="X138" s="193">
        <f t="shared" si="137"/>
        <v>1</v>
      </c>
      <c r="Y138" s="193">
        <f t="shared" si="129"/>
        <v>4.6699999999999998E-2</v>
      </c>
      <c r="Z138" s="193">
        <f t="shared" si="130"/>
        <v>23.328499999999998</v>
      </c>
      <c r="AA138" s="193">
        <f t="shared" si="125"/>
        <v>23.281799999999997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126"/>
        <v>0225-24</v>
      </c>
      <c r="AE138" s="80" t="str">
        <f t="shared" si="101"/>
        <v>aws s3 cp s3://rtdc.mdm.uploadarchive.raw/RTDC4012/ "%USERPROFILE%\AppData\Local\Temp\OnboardLogs"\RTDC4012\2017-04-24 --exclude "*" --recursive --include "*20170424*" &amp; "%USERPROFILE%\Documents\GitHub\mrs-test-scripts\Headless Mode &amp; Sideloading\WalkAndUnGZ.bat" "%USERPROFILE%\AppData\Local\Temp\OnboardLogs"\RTDC4012\2017-04-24 &amp; aws s3 cp s3://rtdc.mdm.uploadarchive.raw/RTDC4012/ "%USERPROFILE%\AppData\Local\Temp\OnboardLogs"\RTDC4012\2017-04-25 --exclude "*" --recursive --include "*20170425*" &amp; "%USERPROFILE%\Documents\GitHub\mrs-test-scripts\Headless Mode &amp; Sideloading\WalkAndUnGZ.bat" "%USERPROFILE%\AppData\Local\Temp\OnboardLogs"\RTDC4012\2017-04-25</v>
      </c>
      <c r="AF138" s="77" t="str">
        <f t="shared" si="102"/>
        <v>"C:\Program Files (x86)\AstroGrep\AstroGrep.exe" /e /r /s /spath="%USERPROFILE%\AppData\Local\Temp\OnboardLogs" /stypes="app*4012*20170425*" /stext=" 02:.+((SYSTEM_STATE.+slice.+state.+changed )|(ment ac)|(multiple cpu faults)|(system.+state.+changed )|(\[timeout)|(PRM\|1\|D)|(kpr)|(kdp)|(train.+moving)|(\|lc)|(penalty))"</v>
      </c>
      <c r="AG138" s="1" t="str">
        <f t="shared" si="127"/>
        <v>EC</v>
      </c>
      <c r="AH138" s="81" t="str">
        <f t="shared" si="112"/>
        <v>"%USERPROFILE%\Documents\GitHub\eaglep3\Utilities\RefineRTDCRunTimes.py" --tripid 225-24 --locoid 4012 --swversion DE.1.0.9.0 --startMP 204:467 --initTime 2017-04-24T19:53:17 --startdatetime 2017-04-24T20:00:31 --delay 1 --endMP 204:233285 --enddatetime 2017-04-24T20:40:34 --enforcementcount 0 &gt;&gt;C:\Users\stu\Documents\GitHub\eaglep3-reporting\EC\2017-04-24-refined-times.txt</v>
      </c>
      <c r="AI138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{"issue":{"subject":"","project_id":79,"tracker_id":40,"status_id":1,"priority_id":2,"assigned_to_id":23,"start_date":"2017-04-24","description":"","custom_fields":[{"id":1,"name":"Subdivision","value":"EC"},{"id":4,"name":"Milepost","value":"23.3285"},{"id":17,"name":"Train ID","value":"225-24"},{"id":16,"name":"Locomotive ID","value":"4012"},{"id":130,"name":"Impact","value":""},{"id":150,"name":"Time of Event (Mountain Time)","value":"20:40:34"},{"id":151,"name":"Denver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114"/>
        <v>start /low /b %USERPROFILE%\Documents\GitHub\eaglep3\Utilities\DownloadLogsFromS3.py --loco 4012 --day 2017-04-24</v>
      </c>
      <c r="AN138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02:40:34"},{"id":29,"name":"Sharepoint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761</v>
      </c>
      <c r="B139" s="7">
        <v>4011</v>
      </c>
      <c r="C139" s="21" t="s">
        <v>212</v>
      </c>
      <c r="D139" s="21" t="s">
        <v>478</v>
      </c>
      <c r="E139" s="13">
        <v>42849.87023148148</v>
      </c>
      <c r="F139" s="13">
        <v>42849.873449074075</v>
      </c>
      <c r="G139" s="7">
        <v>2</v>
      </c>
      <c r="H139" s="21" t="s">
        <v>420</v>
      </c>
      <c r="I139" s="13">
        <v>42849.902766203704</v>
      </c>
      <c r="J139" s="7">
        <v>0</v>
      </c>
      <c r="K139" s="92" t="str">
        <f t="shared" si="121"/>
        <v>4011/4012</v>
      </c>
      <c r="L139" s="21" t="str">
        <f>VLOOKUP(A139,'Trips&amp;Operators'!$C$1:$G$99999,5,FALSE)</f>
        <v>STAMBAUGH JAMES</v>
      </c>
      <c r="M139" s="6">
        <f t="shared" si="122"/>
        <v>2.9317129628907423E-2</v>
      </c>
      <c r="N139" s="7">
        <f t="shared" si="136"/>
        <v>42.21666666562669</v>
      </c>
      <c r="O139" s="7"/>
      <c r="P139" s="7"/>
      <c r="Q139" s="22"/>
      <c r="R139" s="191"/>
      <c r="S139" s="197">
        <f t="shared" si="120"/>
        <v>1</v>
      </c>
      <c r="T139" s="191" t="str">
        <f t="shared" si="123"/>
        <v>Southbound</v>
      </c>
      <c r="U139" s="19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2" t="str">
        <f t="shared" si="100"/>
        <v>https://d0f6bd738d7f1b3e5a7ca70fe4ff75f0.us-east-1.aws.found.io/app/kibana#/discover/Steve-Slow-Train-Analysis-(2080s-and-2083s)?_g=(refreshInterval:(display:Off,pause:!f,section:0,value:0),time:(from:'2017-04-24T19:53:08-0600',mode:absolute,to:'2017-04-24T22:39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9" s="193" t="str">
        <f t="shared" si="124"/>
        <v>N</v>
      </c>
      <c r="X139" s="193">
        <f t="shared" si="137"/>
        <v>1</v>
      </c>
      <c r="Y139" s="193">
        <f t="shared" si="129"/>
        <v>23.296800000000001</v>
      </c>
      <c r="Z139" s="193">
        <f t="shared" si="130"/>
        <v>1.49E-2</v>
      </c>
      <c r="AA139" s="193">
        <f t="shared" si="125"/>
        <v>23.2819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126"/>
        <v>0226-24</v>
      </c>
      <c r="AE139" s="80" t="str">
        <f t="shared" si="101"/>
        <v>aws s3 cp s3://rtdc.mdm.uploadarchive.raw/RTDC4011/ "%USERPROFILE%\AppData\Local\Temp\OnboardLogs"\RTDC4011\2017-04-24 --exclude "*" --recursive --include "*20170424*" &amp; "%USERPROFILE%\Documents\GitHub\mrs-test-scripts\Headless Mode &amp; Sideloading\WalkAndUnGZ.bat" "%USERPROFILE%\AppData\Local\Temp\OnboardLogs"\RTDC4011\2017-04-24 &amp; aws s3 cp s3://rtdc.mdm.uploadarchive.raw/RTDC4011/ "%USERPROFILE%\AppData\Local\Temp\OnboardLogs"\RTDC4011\2017-04-25 --exclude "*" --recursive --include "*20170425*" &amp; "%USERPROFILE%\Documents\GitHub\mrs-test-scripts\Headless Mode &amp; Sideloading\WalkAndUnGZ.bat" "%USERPROFILE%\AppData\Local\Temp\OnboardLogs"\RTDC4011\2017-04-25</v>
      </c>
      <c r="AF139" s="77" t="str">
        <f t="shared" si="102"/>
        <v>"C:\Program Files (x86)\AstroGrep\AstroGrep.exe" /e /r /s /spath="%USERPROFILE%\AppData\Local\Temp\OnboardLogs" /stypes="app*4011*20170425*" /stext=" 03:.+((SYSTEM_STATE.+slice.+state.+changed )|(ment ac)|(multiple cpu faults)|(system.+state.+changed )|(\[timeout)|(PRM\|1\|D)|(kpr)|(kdp)|(train.+moving)|(\|lc)|(penalty))"</v>
      </c>
      <c r="AG139" s="1" t="str">
        <f t="shared" si="127"/>
        <v>EC</v>
      </c>
      <c r="AH139" s="81" t="str">
        <f t="shared" si="112"/>
        <v>"%USERPROFILE%\Documents\GitHub\eaglep3\Utilities\RefineRTDCRunTimes.py" --tripid 226-24 --locoid 4011 --swversion DE.1.0.9.0 --startMP 204:232968 --initTime 2017-04-24T20:53:08 --startdatetime 2017-04-24T20:57:46 --delay 2 --endMP 204:149 --enddatetime 2017-04-24T21:39:59 --enforcementcount 0 &gt;&gt;C:\Users\stu\Documents\GitHub\eaglep3-reporting\EC\2017-04-24-refined-times.txt</v>
      </c>
      <c r="AI139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{"issue":{"subject":"","project_id":79,"tracker_id":40,"status_id":1,"priority_id":2,"assigned_to_id":23,"start_date":"2017-04-24","description":"","custom_fields":[{"id":1,"name":"Subdivision","value":"EC"},{"id":4,"name":"Milepost","value":"0.0149"},{"id":17,"name":"Train ID","value":"226-24"},{"id":16,"name":"Locomotive ID","value":"4011"},{"id":130,"name":"Impact","value":""},{"id":150,"name":"Time of Event (Mountain Time)","value":"21:39:59"},{"id":151,"name":"Denver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114"/>
        <v>start /low /b %USERPROFILE%\Documents\GitHub\eaglep3\Utilities\DownloadLogsFromS3.py --loco 4011 --day 2017-04-24</v>
      </c>
      <c r="AN139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03:39:59"},{"id":29,"name":"Sharepoint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759</v>
      </c>
      <c r="B140" s="7">
        <v>4028</v>
      </c>
      <c r="C140" s="21" t="s">
        <v>212</v>
      </c>
      <c r="D140" s="21" t="s">
        <v>429</v>
      </c>
      <c r="E140" s="13">
        <v>42849.840648148151</v>
      </c>
      <c r="F140" s="13">
        <v>42849.854351851849</v>
      </c>
      <c r="G140" s="7">
        <v>16</v>
      </c>
      <c r="H140" s="21" t="s">
        <v>788</v>
      </c>
      <c r="I140" s="13">
        <v>42849.881504629629</v>
      </c>
      <c r="J140" s="7">
        <v>0</v>
      </c>
      <c r="K140" s="92" t="str">
        <f t="shared" si="121"/>
        <v>4027/4028</v>
      </c>
      <c r="L140" s="21" t="str">
        <f>VLOOKUP(A140,'Trips&amp;Operators'!$C$1:$G$99999,5,FALSE)</f>
        <v>DUNCAN SHEILA</v>
      </c>
      <c r="M140" s="6">
        <f t="shared" si="122"/>
        <v>2.715277778042946E-2</v>
      </c>
      <c r="N140" s="7">
        <f t="shared" si="136"/>
        <v>39.100000003818423</v>
      </c>
      <c r="O140" s="7"/>
      <c r="P140" s="7"/>
      <c r="Q140" s="22"/>
      <c r="R140" s="191"/>
      <c r="S140" s="197">
        <f t="shared" si="120"/>
        <v>1</v>
      </c>
      <c r="T140" s="191" t="str">
        <f t="shared" si="123"/>
        <v>NorthBound</v>
      </c>
      <c r="U140" s="19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2" t="str">
        <f t="shared" si="100"/>
        <v>https://d0f6bd738d7f1b3e5a7ca70fe4ff75f0.us-east-1.aws.found.io/app/kibana#/discover/Steve-Slow-Train-Analysis-(2080s-and-2083s)?_g=(refreshInterval:(display:Off,pause:!f,section:0,value:0),time:(from:'2017-04-24T19:10:32-0600',mode:absolute,to:'2017-04-24T22:09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0" s="193" t="str">
        <f t="shared" si="124"/>
        <v>N</v>
      </c>
      <c r="X140" s="193">
        <f t="shared" si="137"/>
        <v>1</v>
      </c>
      <c r="Y140" s="193">
        <f t="shared" si="129"/>
        <v>4.6600000000000003E-2</v>
      </c>
      <c r="Z140" s="193">
        <f t="shared" si="130"/>
        <v>23.3293</v>
      </c>
      <c r="AA140" s="193">
        <f t="shared" si="125"/>
        <v>23.282699999999998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126"/>
        <v>0227-24</v>
      </c>
      <c r="AE140" s="80" t="str">
        <f t="shared" si="101"/>
        <v>aws s3 cp s3://rtdc.mdm.uploadarchive.raw/RTDC4028/ "%USERPROFILE%\AppData\Local\Temp\OnboardLogs"\RTDC4028\2017-04-24 --exclude "*" --recursive --include "*20170424*" &amp; "%USERPROFILE%\Documents\GitHub\mrs-test-scripts\Headless Mode &amp; Sideloading\WalkAndUnGZ.bat" "%USERPROFILE%\AppData\Local\Temp\OnboardLogs"\RTDC4028\2017-04-24 &amp; aws s3 cp s3://rtdc.mdm.uploadarchive.raw/RTDC4028/ "%USERPROFILE%\AppData\Local\Temp\OnboardLogs"\RTDC4028\2017-04-25 --exclude "*" --recursive --include "*20170425*" &amp; "%USERPROFILE%\Documents\GitHub\mrs-test-scripts\Headless Mode &amp; Sideloading\WalkAndUnGZ.bat" "%USERPROFILE%\AppData\Local\Temp\OnboardLogs"\RTDC4028\2017-04-25</v>
      </c>
      <c r="AF140" s="77" t="str">
        <f t="shared" si="102"/>
        <v>"C:\Program Files (x86)\AstroGrep\AstroGrep.exe" /e /r /s /spath="%USERPROFILE%\AppData\Local\Temp\OnboardLogs" /stypes="app*4028*20170425*" /stext=" 03:.+((SYSTEM_STATE.+slice.+state.+changed )|(ment ac)|(multiple cpu faults)|(system.+state.+changed )|(\[timeout)|(PRM\|1\|D)|(kpr)|(kdp)|(train.+moving)|(\|lc)|(penalty))"</v>
      </c>
      <c r="AG140" s="1" t="str">
        <f t="shared" si="127"/>
        <v>EC</v>
      </c>
      <c r="AH140" s="81" t="str">
        <f t="shared" si="112"/>
        <v>"%USERPROFILE%\Documents\GitHub\eaglep3\Utilities\RefineRTDCRunTimes.py" --tripid 227-24 --locoid 4028 --swversion DE.1.0.9.0 --startMP 204:466 --initTime 2017-04-24T20:10:32 --startdatetime 2017-04-24T20:30:16 --delay 16 --endMP 204:233293 --enddatetime 2017-04-24T21:09:22 --enforcementcount 0 &gt;&gt;C:\Users\stu\Documents\GitHub\eaglep3-reporting\EC\2017-04-24-refined-times.txt</v>
      </c>
      <c r="AI140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{"issue":{"subject":"","project_id":79,"tracker_id":40,"status_id":1,"priority_id":2,"assigned_to_id":23,"start_date":"2017-04-24","description":"","custom_fields":[{"id":1,"name":"Subdivision","value":"EC"},{"id":4,"name":"Milepost","value":"23.3293"},{"id":17,"name":"Train ID","value":"227-24"},{"id":16,"name":"Locomotive ID","value":"4028"},{"id":130,"name":"Impact","value":""},{"id":150,"name":"Time of Event (Mountain Time)","value":"21:09:22"},{"id":151,"name":"Denver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114"/>
        <v>start /low /b %USERPROFILE%\Documents\GitHub\eaglep3\Utilities\DownloadLogsFromS3.py --loco 4028 --day 2017-04-24</v>
      </c>
      <c r="AN140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03:09:22"},{"id":29,"name":"Sharepoint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764</v>
      </c>
      <c r="B141" s="7">
        <v>4027</v>
      </c>
      <c r="C141" s="21" t="s">
        <v>212</v>
      </c>
      <c r="D141" s="21" t="s">
        <v>821</v>
      </c>
      <c r="E141" s="13">
        <v>42849.887650462966</v>
      </c>
      <c r="F141" s="13">
        <v>42849.893217592595</v>
      </c>
      <c r="G141" s="7">
        <v>1</v>
      </c>
      <c r="H141" s="21" t="s">
        <v>810</v>
      </c>
      <c r="I141" s="13">
        <v>42849.922777777778</v>
      </c>
      <c r="J141" s="7">
        <v>0</v>
      </c>
      <c r="K141" s="92" t="str">
        <f t="shared" si="121"/>
        <v>4027/4028</v>
      </c>
      <c r="L141" s="21" t="str">
        <f>VLOOKUP(A141,'Trips&amp;Operators'!$C$1:$G$99999,5,FALSE)</f>
        <v>DUNCAN SHEILA</v>
      </c>
      <c r="M141" s="6">
        <f t="shared" si="122"/>
        <v>2.9560185183072463E-2</v>
      </c>
      <c r="N141" s="7">
        <f t="shared" si="136"/>
        <v>42.566666663624346</v>
      </c>
      <c r="O141" s="7"/>
      <c r="P141" s="7"/>
      <c r="Q141" s="22"/>
      <c r="R141" s="191"/>
      <c r="S141" s="197">
        <f t="shared" si="120"/>
        <v>1</v>
      </c>
      <c r="T141" s="191" t="str">
        <f t="shared" si="123"/>
        <v>Southbound</v>
      </c>
      <c r="U141" s="19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2" t="str">
        <f t="shared" ref="V141:V204" si="138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-24T20:18:13-0600',mode:absolute,to:'2017-04-24T23:08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1" s="193" t="str">
        <f t="shared" si="124"/>
        <v>N</v>
      </c>
      <c r="X141" s="193">
        <f t="shared" si="137"/>
        <v>1</v>
      </c>
      <c r="Y141" s="193">
        <f t="shared" si="129"/>
        <v>23.2987</v>
      </c>
      <c r="Z141" s="193">
        <f t="shared" si="130"/>
        <v>1.61E-2</v>
      </c>
      <c r="AA141" s="193">
        <f t="shared" si="125"/>
        <v>23.282599999999999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si="126"/>
        <v>0228-24</v>
      </c>
      <c r="AE141" s="80" t="str">
        <f t="shared" ref="AE141:AE204" si="13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s3://rtdc.mdm.uploadarchive.raw/RTDC4027/ "%USERPROFILE%\AppData\Local\Temp\OnboardLogs"\RTDC4027\2017-04-24 --exclude "*" --recursive --include "*20170424*" &amp; "%USERPROFILE%\Documents\GitHub\mrs-test-scripts\Headless Mode &amp; Sideloading\WalkAndUnGZ.bat" "%USERPROFILE%\AppData\Local\Temp\OnboardLogs"\RTDC4027\2017-04-24 &amp; aws s3 cp s3://rtdc.mdm.uploadarchive.raw/RTDC4027/ "%USERPROFILE%\AppData\Local\Temp\OnboardLogs"\RTDC4027\2017-04-25 --exclude "*" --recursive --include "*20170425*" &amp; "%USERPROFILE%\Documents\GitHub\mrs-test-scripts\Headless Mode &amp; Sideloading\WalkAndUnGZ.bat" "%USERPROFILE%\AppData\Local\Temp\OnboardLogs"\RTDC4027\2017-04-25</v>
      </c>
      <c r="AF141" s="77" t="str">
        <f t="shared" ref="AF141:AF204" si="14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/stypes="app*4027*20170425*" /stext=" 04:.+((SYSTEM_STATE.+slice.+state.+changed )|(ment ac)|(multiple cpu faults)|(system.+state.+changed )|(\[timeout)|(PRM\|1\|D)|(kpr)|(kdp)|(train.+moving)|(\|lc)|(penalty))"</v>
      </c>
      <c r="AG141" s="1" t="str">
        <f t="shared" si="127"/>
        <v>EC</v>
      </c>
      <c r="AH141" s="81" t="str">
        <f t="shared" si="112"/>
        <v>"%USERPROFILE%\Documents\GitHub\eaglep3\Utilities\RefineRTDCRunTimes.py" --tripid 228-24 --locoid 4027 --swversion DE.1.0.9.0 --startMP 204:232987 --initTime 2017-04-24T21:18:13 --startdatetime 2017-04-24T21:26:14 --delay 1 --endMP 204:161 --enddatetime 2017-04-24T22:08:48 --enforcementcount 0 &gt;&gt;C:\Users\stu\Documents\GitHub\eaglep3-reporting\EC\2017-04-24-refined-times.txt</v>
      </c>
      <c r="AI141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{"issue":{"subject":"","project_id":79,"tracker_id":40,"status_id":1,"priority_id":2,"assigned_to_id":23,"start_date":"2017-04-24","description":"","custom_fields":[{"id":1,"name":"Subdivision","value":"EC"},{"id":4,"name":"Milepost","value":"0.0161"},{"id":17,"name":"Train ID","value":"228-24"},{"id":16,"name":"Locomotive ID","value":"4027"},{"id":130,"name":"Impact","value":""},{"id":150,"name":"Time of Event (Mountain Time)","value":"22:08:48"},{"id":151,"name":"Denver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114"/>
        <v>start /low /b %USERPROFILE%\Documents\GitHub\eaglep3\Utilities\DownloadLogsFromS3.py --loco 4027 --day 2017-04-24</v>
      </c>
      <c r="AN141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04:08:48"},{"id":29,"name":"Sharepoint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583</v>
      </c>
      <c r="B142" s="7">
        <v>4024</v>
      </c>
      <c r="C142" s="21" t="s">
        <v>212</v>
      </c>
      <c r="D142" s="21" t="s">
        <v>422</v>
      </c>
      <c r="E142" s="13">
        <v>42849.873935185184</v>
      </c>
      <c r="F142" s="13">
        <v>42849.875277777777</v>
      </c>
      <c r="G142" s="7">
        <v>1</v>
      </c>
      <c r="H142" s="21" t="s">
        <v>430</v>
      </c>
      <c r="I142" s="13">
        <v>42849.901400462964</v>
      </c>
      <c r="J142" s="7">
        <v>0</v>
      </c>
      <c r="K142" s="92" t="str">
        <f t="shared" si="121"/>
        <v>4023/4024</v>
      </c>
      <c r="L142" s="21" t="str">
        <f>VLOOKUP(A142,'Trips&amp;Operators'!$C$1:$G$99999,5,FALSE)</f>
        <v>PERKINS DARREN</v>
      </c>
      <c r="M142" s="6">
        <f t="shared" si="122"/>
        <v>2.6122685187146999E-2</v>
      </c>
      <c r="N142" s="7">
        <f t="shared" si="136"/>
        <v>37.616666669491678</v>
      </c>
      <c r="O142" s="7"/>
      <c r="P142" s="7"/>
      <c r="Q142" s="22"/>
      <c r="R142" s="191"/>
      <c r="S142" s="197">
        <f t="shared" si="120"/>
        <v>1</v>
      </c>
      <c r="T142" s="191" t="str">
        <f t="shared" si="123"/>
        <v>NorthBound</v>
      </c>
      <c r="U142" s="19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2" t="str">
        <f t="shared" si="138"/>
        <v>https://d0f6bd738d7f1b3e5a7ca70fe4ff75f0.us-east-1.aws.found.io/app/kibana#/discover/Steve-Slow-Train-Analysis-(2080s-and-2083s)?_g=(refreshInterval:(display:Off,pause:!f,section:0,value:0),time:(from:'2017-04-24T19:58:28-0600',mode:absolute,to:'2017-04-24T22:38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2" s="193" t="str">
        <f t="shared" si="124"/>
        <v>N</v>
      </c>
      <c r="X142" s="193">
        <f t="shared" si="137"/>
        <v>1</v>
      </c>
      <c r="Y142" s="193">
        <f t="shared" si="129"/>
        <v>4.7500000000000001E-2</v>
      </c>
      <c r="Z142" s="193">
        <f t="shared" si="130"/>
        <v>23.331499999999998</v>
      </c>
      <c r="AA142" s="193">
        <f t="shared" si="125"/>
        <v>23.283999999999999</v>
      </c>
      <c r="AB142" s="57" t="str">
        <f>VLOOKUP(A142,Enforcements!$C$7:$K$13,8,0)</f>
        <v>Bulletin (2)</v>
      </c>
      <c r="AC142" s="53" t="str">
        <f>VLOOKUP(A142,Enforcements!$C$7:$E$13,3,0)</f>
        <v>GRADE CROSSING</v>
      </c>
      <c r="AD142" s="54" t="str">
        <f t="shared" si="126"/>
        <v>0229-24</v>
      </c>
      <c r="AE142" s="80" t="str">
        <f t="shared" si="139"/>
        <v>aws s3 cp s3://rtdc.mdm.uploadarchive.raw/RTDC4024/ "%USERPROFILE%\AppData\Local\Temp\OnboardLogs"\RTDC4024\2017-04-24 --exclude "*" --recursive --include "*20170424*" &amp; "%USERPROFILE%\Documents\GitHub\mrs-test-scripts\Headless Mode &amp; Sideloading\WalkAndUnGZ.bat" "%USERPROFILE%\AppData\Local\Temp\OnboardLogs"\RTDC4024\2017-04-24 &amp; aws s3 cp s3://rtdc.mdm.uploadarchive.raw/RTDC4024/ "%USERPROFILE%\AppData\Local\Temp\OnboardLogs"\RTDC4024\2017-04-25 --exclude "*" --recursive --include "*20170425*" &amp; "%USERPROFILE%\Documents\GitHub\mrs-test-scripts\Headless Mode &amp; Sideloading\WalkAndUnGZ.bat" "%USERPROFILE%\AppData\Local\Temp\OnboardLogs"\RTDC4024\2017-04-25</v>
      </c>
      <c r="AF142" s="77" t="str">
        <f t="shared" si="140"/>
        <v>"C:\Program Files (x86)\AstroGrep\AstroGrep.exe" /e /r /s /spath="%USERPROFILE%\AppData\Local\Temp\OnboardLogs" /stypes="app*4024*20170425*" /stext=" 03:.+((SYSTEM_STATE.+slice.+state.+changed )|(ment ac)|(multiple cpu faults)|(system.+state.+changed )|(\[timeout)|(PRM\|1\|D)|(kpr)|(kdp)|(train.+moving)|(\|lc)|(penalty))"</v>
      </c>
      <c r="AG142" s="1" t="str">
        <f t="shared" si="127"/>
        <v>EC</v>
      </c>
      <c r="AH142" s="81" t="str">
        <f t="shared" si="112"/>
        <v>"%USERPROFILE%\Documents\GitHub\eaglep3\Utilities\RefineRTDCRunTimes.py" --tripid 229-24 --locoid 4024 --swversion DE.1.0.9.0 --startMP 204:475 --initTime 2017-04-24T20:58:28 --startdatetime 2017-04-24T21:00:24 --delay 1 --endMP 204:233315 --enddatetime 2017-04-24T21:38:01 --enforcementcount 0 &gt;&gt;C:\Users\stu\Documents\GitHub\eaglep3-reporting\EC\2017-04-24-refined-times.txt</v>
      </c>
      <c r="AI142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{"issue":{"subject":"","project_id":79,"tracker_id":40,"status_id":1,"priority_id":2,"assigned_to_id":23,"start_date":"2017-04-24","description":"","custom_fields":[{"id":1,"name":"Subdivision","value":"EC"},{"id":4,"name":"Milepost","value":"23.3315"},{"id":17,"name":"Train ID","value":"229-24"},{"id":16,"name":"Locomotive ID","value":"4024"},{"id":130,"name":"Impact","value":""},{"id":150,"name":"Time of Event (Mountain Time)","value":"21:38:01"},{"id":151,"name":"Denver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114"/>
        <v>start /low /b %USERPROFILE%\Documents\GitHub\eaglep3\Utilities\DownloadLogsFromS3.py --loco 4024 --day 2017-04-24</v>
      </c>
      <c r="AN142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03:38:01"},{"id":29,"name":"Sharepoint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766</v>
      </c>
      <c r="B143" s="7">
        <v>4023</v>
      </c>
      <c r="C143" s="21" t="s">
        <v>212</v>
      </c>
      <c r="D143" s="21" t="s">
        <v>483</v>
      </c>
      <c r="E143" s="13">
        <v>42849.907222222224</v>
      </c>
      <c r="F143" s="13">
        <v>42849.914317129631</v>
      </c>
      <c r="G143" s="7">
        <v>1</v>
      </c>
      <c r="H143" s="21" t="s">
        <v>851</v>
      </c>
      <c r="I143" s="13">
        <v>42849.94121527778</v>
      </c>
      <c r="J143" s="7">
        <v>0</v>
      </c>
      <c r="K143" s="92" t="str">
        <f t="shared" si="121"/>
        <v>4023/4024</v>
      </c>
      <c r="L143" s="21" t="str">
        <f>VLOOKUP(A143,'Trips&amp;Operators'!$C$1:$G$99999,5,FALSE)</f>
        <v>PERKINS DARREN</v>
      </c>
      <c r="M143" s="6">
        <f t="shared" si="122"/>
        <v>2.6898148149484769E-2</v>
      </c>
      <c r="N143" s="7">
        <f t="shared" si="136"/>
        <v>38.733333335258067</v>
      </c>
      <c r="O143" s="7"/>
      <c r="P143" s="7"/>
      <c r="Q143" s="22"/>
      <c r="R143" s="191"/>
      <c r="S143" s="197">
        <f t="shared" si="120"/>
        <v>1</v>
      </c>
      <c r="T143" s="191" t="str">
        <f t="shared" si="123"/>
        <v>Southbound</v>
      </c>
      <c r="U143" s="19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2" t="str">
        <f t="shared" si="138"/>
        <v>https://d0f6bd738d7f1b3e5a7ca70fe4ff75f0.us-east-1.aws.found.io/app/kibana#/discover/Steve-Slow-Train-Analysis-(2080s-and-2083s)?_g=(refreshInterval:(display:Off,pause:!f,section:0,value:0),time:(from:'2017-04-24T20:46:24-0600',mode:absolute,to:'2017-04-24T23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3" s="193" t="str">
        <f t="shared" si="124"/>
        <v>N</v>
      </c>
      <c r="X143" s="193">
        <f t="shared" si="137"/>
        <v>1</v>
      </c>
      <c r="Y143" s="193">
        <f t="shared" si="129"/>
        <v>23.297899999999998</v>
      </c>
      <c r="Z143" s="193">
        <f t="shared" si="130"/>
        <v>3.1300000000000001E-2</v>
      </c>
      <c r="AA143" s="193">
        <f t="shared" si="125"/>
        <v>23.266599999999997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126"/>
        <v>0230-24</v>
      </c>
      <c r="AE143" s="80" t="str">
        <f t="shared" si="139"/>
        <v>aws s3 cp s3://rtdc.mdm.uploadarchive.raw/RTDC4023/ "%USERPROFILE%\AppData\Local\Temp\OnboardLogs"\RTDC4023\2017-04-24 --exclude "*" --recursive --include "*20170424*" &amp; "%USERPROFILE%\Documents\GitHub\mrs-test-scripts\Headless Mode &amp; Sideloading\WalkAndUnGZ.bat" "%USERPROFILE%\AppData\Local\Temp\OnboardLogs"\RTDC4023\2017-04-24 &amp; aws s3 cp s3://rtdc.mdm.uploadarchive.raw/RTDC4023/ "%USERPROFILE%\AppData\Local\Temp\OnboardLogs"\RTDC4023\2017-04-25 --exclude "*" --recursive --include "*20170425*" &amp; "%USERPROFILE%\Documents\GitHub\mrs-test-scripts\Headless Mode &amp; Sideloading\WalkAndUnGZ.bat" "%USERPROFILE%\AppData\Local\Temp\OnboardLogs"\RTDC4023\2017-04-25</v>
      </c>
      <c r="AF143" s="77" t="str">
        <f t="shared" si="140"/>
        <v>"C:\Program Files (x86)\AstroGrep\AstroGrep.exe" /e /r /s /spath="%USERPROFILE%\AppData\Local\Temp\OnboardLogs" /stypes="app*4023*20170425*" /stext=" 04:.+((SYSTEM_STATE.+slice.+state.+changed )|(ment ac)|(multiple cpu faults)|(system.+state.+changed )|(\[timeout)|(PRM\|1\|D)|(kpr)|(kdp)|(train.+moving)|(\|lc)|(penalty))"</v>
      </c>
      <c r="AG143" s="1" t="str">
        <f t="shared" si="127"/>
        <v>EC</v>
      </c>
      <c r="AH143" s="81" t="str">
        <f t="shared" si="112"/>
        <v>"%USERPROFILE%\Documents\GitHub\eaglep3\Utilities\RefineRTDCRunTimes.py" --tripid 230-24 --locoid 4023 --swversion DE.1.0.9.0 --startMP 204:232979 --initTime 2017-04-24T21:46:24 --startdatetime 2017-04-24T21:56:37 --delay 1 --endMP 204:313 --enddatetime 2017-04-24T22:35:21 --enforcementcount 0 &gt;&gt;C:\Users\stu\Documents\GitHub\eaglep3-reporting\EC\2017-04-24-refined-times.txt</v>
      </c>
      <c r="AI143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{"issue":{"subject":"","project_id":79,"tracker_id":40,"status_id":1,"priority_id":2,"assigned_to_id":23,"start_date":"2017-04-24","description":"","custom_fields":[{"id":1,"name":"Subdivision","value":"EC"},{"id":4,"name":"Milepost","value":"0.0313"},{"id":17,"name":"Train ID","value":"230-24"},{"id":16,"name":"Locomotive ID","value":"4023"},{"id":130,"name":"Impact","value":""},{"id":150,"name":"Time of Event (Mountain Time)","value":"22:35:21"},{"id":151,"name":"Denver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114"/>
        <v>start /low /b %USERPROFILE%\Documents\GitHub\eaglep3\Utilities\DownloadLogsFromS3.py --loco 4023 --day 2017-04-24</v>
      </c>
      <c r="AN143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04:35:21"},{"id":29,"name":"Sharepoint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763</v>
      </c>
      <c r="B144" s="7">
        <v>4026</v>
      </c>
      <c r="C144" s="21" t="s">
        <v>212</v>
      </c>
      <c r="D144" s="21" t="s">
        <v>820</v>
      </c>
      <c r="E144" s="13">
        <v>42849.886284722219</v>
      </c>
      <c r="F144" s="13">
        <v>42849.896006944444</v>
      </c>
      <c r="G144" s="7">
        <v>1</v>
      </c>
      <c r="H144" s="21" t="s">
        <v>804</v>
      </c>
      <c r="I144" s="13">
        <v>42849.920937499999</v>
      </c>
      <c r="J144" s="7">
        <v>0</v>
      </c>
      <c r="K144" s="92" t="str">
        <f t="shared" si="121"/>
        <v>4025/4026</v>
      </c>
      <c r="L144" s="21" t="str">
        <f>VLOOKUP(A144,'Trips&amp;Operators'!$C$1:$G$99999,5,FALSE)</f>
        <v>SMITH MICHAEL</v>
      </c>
      <c r="M144" s="6">
        <f t="shared" si="122"/>
        <v>2.4930555555329192E-2</v>
      </c>
      <c r="N144" s="7">
        <f t="shared" si="136"/>
        <v>35.899999999674037</v>
      </c>
      <c r="O144" s="7"/>
      <c r="P144" s="7"/>
      <c r="Q144" s="22"/>
      <c r="R144" s="191"/>
      <c r="S144" s="197">
        <f t="shared" si="120"/>
        <v>1</v>
      </c>
      <c r="T144" s="191" t="str">
        <f t="shared" si="123"/>
        <v>NorthBound</v>
      </c>
      <c r="U144" s="19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2" t="str">
        <f t="shared" si="138"/>
        <v>https://d0f6bd738d7f1b3e5a7ca70fe4ff75f0.us-east-1.aws.found.io/app/kibana#/discover/Steve-Slow-Train-Analysis-(2080s-and-2083s)?_g=(refreshInterval:(display:Off,pause:!f,section:0,value:0),time:(from:'2017-04-24T20:16:15-0600',mode:absolute,to:'2017-04-24T23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4" s="193" t="str">
        <f t="shared" si="124"/>
        <v>N</v>
      </c>
      <c r="X144" s="193">
        <f t="shared" si="137"/>
        <v>1</v>
      </c>
      <c r="Y144" s="193">
        <f t="shared" si="129"/>
        <v>4.9500000000000002E-2</v>
      </c>
      <c r="Z144" s="193">
        <f t="shared" si="130"/>
        <v>23.329799999999999</v>
      </c>
      <c r="AA144" s="193">
        <f t="shared" si="125"/>
        <v>23.2803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126"/>
        <v>0231-24</v>
      </c>
      <c r="AE144" s="80" t="str">
        <f t="shared" si="139"/>
        <v>aws s3 cp s3://rtdc.mdm.uploadarchive.raw/RTDC4026/ "%USERPROFILE%\AppData\Local\Temp\OnboardLogs"\RTDC4026\2017-04-24 --exclude "*" --recursive --include "*20170424*" &amp; "%USERPROFILE%\Documents\GitHub\mrs-test-scripts\Headless Mode &amp; Sideloading\WalkAndUnGZ.bat" "%USERPROFILE%\AppData\Local\Temp\OnboardLogs"\RTDC4026\2017-04-24 &amp; aws s3 cp s3://rtdc.mdm.uploadarchive.raw/RTDC4026/ "%USERPROFILE%\AppData\Local\Temp\OnboardLogs"\RTDC4026\2017-04-25 --exclude "*" --recursive --include "*20170425*" &amp; "%USERPROFILE%\Documents\GitHub\mrs-test-scripts\Headless Mode &amp; Sideloading\WalkAndUnGZ.bat" "%USERPROFILE%\AppData\Local\Temp\OnboardLogs"\RTDC4026\2017-04-25</v>
      </c>
      <c r="AF144" s="77" t="str">
        <f t="shared" si="140"/>
        <v>"C:\Program Files (x86)\AstroGrep\AstroGrep.exe" /e /r /s /spath="%USERPROFILE%\AppData\Local\Temp\OnboardLogs" /stypes="app*4026*20170425*" /stext=" 04:.+((SYSTEM_STATE.+slice.+state.+changed )|(ment ac)|(multiple cpu faults)|(system.+state.+changed )|(\[timeout)|(PRM\|1\|D)|(kpr)|(kdp)|(train.+moving)|(\|lc)|(penalty))"</v>
      </c>
      <c r="AG144" s="1" t="str">
        <f t="shared" si="127"/>
        <v>EC</v>
      </c>
      <c r="AH144" s="81" t="str">
        <f t="shared" si="112"/>
        <v>"%USERPROFILE%\Documents\GitHub\eaglep3\Utilities\RefineRTDCRunTimes.py" --tripid 231-24 --locoid 4026 --swversion DE.1.0.9.0 --startMP 204:495 --initTime 2017-04-24T21:16:15 --startdatetime 2017-04-24T21:30:15 --delay 1 --endMP 204:233298 --enddatetime 2017-04-24T22:06:09 --enforcementcount 0 &gt;&gt;C:\Users\stu\Documents\GitHub\eaglep3-reporting\EC\2017-04-24-refined-times.txt</v>
      </c>
      <c r="AI144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{"issue":{"subject":"","project_id":79,"tracker_id":40,"status_id":1,"priority_id":2,"assigned_to_id":23,"start_date":"2017-04-24","description":"","custom_fields":[{"id":1,"name":"Subdivision","value":"EC"},{"id":4,"name":"Milepost","value":"23.3298"},{"id":17,"name":"Train ID","value":"231-24"},{"id":16,"name":"Locomotive ID","value":"4026"},{"id":130,"name":"Impact","value":""},{"id":150,"name":"Time of Event (Mountain Time)","value":"22:06:09"},{"id":151,"name":"Denver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114"/>
        <v>start /low /b %USERPROFILE%\Documents\GitHub\eaglep3\Utilities\DownloadLogsFromS3.py --loco 4026 --day 2017-04-24</v>
      </c>
      <c r="AN144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04:06:09"},{"id":29,"name":"Sharepoint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768</v>
      </c>
      <c r="B145" s="7">
        <v>4025</v>
      </c>
      <c r="C145" s="21" t="s">
        <v>212</v>
      </c>
      <c r="D145" s="21" t="s">
        <v>485</v>
      </c>
      <c r="E145" s="13">
        <v>42849.927916666667</v>
      </c>
      <c r="F145" s="13">
        <v>42849.934988425928</v>
      </c>
      <c r="G145" s="7">
        <v>1</v>
      </c>
      <c r="H145" s="21" t="s">
        <v>389</v>
      </c>
      <c r="I145" s="13">
        <v>42849.962546296294</v>
      </c>
      <c r="J145" s="7">
        <v>0</v>
      </c>
      <c r="K145" s="92" t="str">
        <f t="shared" si="121"/>
        <v>4025/4026</v>
      </c>
      <c r="L145" s="21" t="str">
        <f>VLOOKUP(A145,'Trips&amp;Operators'!$C$1:$G$99999,5,FALSE)</f>
        <v>SMITH MICHAEL</v>
      </c>
      <c r="M145" s="6">
        <f t="shared" si="122"/>
        <v>2.7557870365853887E-2</v>
      </c>
      <c r="N145" s="7">
        <f t="shared" si="136"/>
        <v>39.683333326829597</v>
      </c>
      <c r="O145" s="7"/>
      <c r="P145" s="7"/>
      <c r="Q145" s="22"/>
      <c r="R145" s="191"/>
      <c r="S145" s="197">
        <f t="shared" ref="S145:S176" si="141">SUM(U145:U145)/IF(AG145="EC",12,1)</f>
        <v>1</v>
      </c>
      <c r="T145" s="191" t="str">
        <f t="shared" si="123"/>
        <v>Southbound</v>
      </c>
      <c r="U145" s="19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2" t="str">
        <f t="shared" si="138"/>
        <v>https://d0f6bd738d7f1b3e5a7ca70fe4ff75f0.us-east-1.aws.found.io/app/kibana#/discover/Steve-Slow-Train-Analysis-(2080s-and-2083s)?_g=(refreshInterval:(display:Off,pause:!f,section:0,value:0),time:(from:'2017-04-24T21:16:12-0600',mode:absolute,to:'2017-04-25T00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5" s="193" t="str">
        <f t="shared" si="124"/>
        <v>N</v>
      </c>
      <c r="X145" s="193">
        <f t="shared" si="137"/>
        <v>1</v>
      </c>
      <c r="Y145" s="193">
        <f t="shared" si="129"/>
        <v>23.299299999999999</v>
      </c>
      <c r="Z145" s="193">
        <f t="shared" si="130"/>
        <v>1.4500000000000001E-2</v>
      </c>
      <c r="AA145" s="193">
        <f t="shared" si="125"/>
        <v>23.284799999999997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126"/>
        <v>0232-24</v>
      </c>
      <c r="AE145" s="80" t="str">
        <f t="shared" si="139"/>
        <v>aws s3 cp s3://rtdc.mdm.uploadarchive.raw/RTDC4025/ "%USERPROFILE%\AppData\Local\Temp\OnboardLogs"\RTDC4025\2017-04-24 --exclude "*" --recursive --include "*20170424*" &amp; "%USERPROFILE%\Documents\GitHub\mrs-test-scripts\Headless Mode &amp; Sideloading\WalkAndUnGZ.bat" "%USERPROFILE%\AppData\Local\Temp\OnboardLogs"\RTDC4025\2017-04-24 &amp; aws s3 cp s3://rtdc.mdm.uploadarchive.raw/RTDC4025/ "%USERPROFILE%\AppData\Local\Temp\OnboardLogs"\RTDC4025\2017-04-25 --exclude "*" --recursive --include "*20170425*" &amp; "%USERPROFILE%\Documents\GitHub\mrs-test-scripts\Headless Mode &amp; Sideloading\WalkAndUnGZ.bat" "%USERPROFILE%\AppData\Local\Temp\OnboardLogs"\RTDC4025\2017-04-25</v>
      </c>
      <c r="AF145" s="77" t="str">
        <f t="shared" si="140"/>
        <v>"C:\Program Files (x86)\AstroGrep\AstroGrep.exe" /e /r /s /spath="%USERPROFILE%\AppData\Local\Temp\OnboardLogs" /stypes="app*4025*20170425*" /stext=" 05:.+((SYSTEM_STATE.+slice.+state.+changed )|(ment ac)|(multiple cpu faults)|(system.+state.+changed )|(\[timeout)|(PRM\|1\|D)|(kpr)|(kdp)|(train.+moving)|(\|lc)|(penalty))"</v>
      </c>
      <c r="AG145" s="1" t="str">
        <f t="shared" si="127"/>
        <v>EC</v>
      </c>
      <c r="AH145" s="81" t="str">
        <f t="shared" si="112"/>
        <v>"%USERPROFILE%\Documents\GitHub\eaglep3\Utilities\RefineRTDCRunTimes.py" --tripid 232-24 --locoid 4025 --swversion DE.1.0.9.0 --startMP 204:232993 --initTime 2017-04-24T22:16:12 --startdatetime 2017-04-24T22:26:23 --delay 1 --endMP 204:145 --enddatetime 2017-04-24T23:06:04 --enforcementcount 0 &gt;&gt;C:\Users\stu\Documents\GitHub\eaglep3-reporting\EC\2017-04-24-refined-times.txt</v>
      </c>
      <c r="AI145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{"issue":{"subject":"","project_id":79,"tracker_id":40,"status_id":1,"priority_id":2,"assigned_to_id":23,"start_date":"2017-04-24","description":"","custom_fields":[{"id":1,"name":"Subdivision","value":"EC"},{"id":4,"name":"Milepost","value":"0.0145"},{"id":17,"name":"Train ID","value":"232-24"},{"id":16,"name":"Locomotive ID","value":"4025"},{"id":130,"name":"Impact","value":""},{"id":150,"name":"Time of Event (Mountain Time)","value":"23:06:04"},{"id":151,"name":"Denver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114"/>
        <v>start /low /b %USERPROFILE%\Documents\GitHub\eaglep3\Utilities\DownloadLogsFromS3.py --loco 4025 --day 2017-04-24</v>
      </c>
      <c r="AN145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05:06:04"},{"id":29,"name":"Sharepoint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584</v>
      </c>
      <c r="B146" s="7">
        <v>4012</v>
      </c>
      <c r="C146" s="21" t="s">
        <v>212</v>
      </c>
      <c r="D146" s="21" t="s">
        <v>429</v>
      </c>
      <c r="E146" s="13">
        <v>42849.905474537038</v>
      </c>
      <c r="F146" s="13">
        <v>42849.917025462964</v>
      </c>
      <c r="G146" s="7">
        <v>1</v>
      </c>
      <c r="H146" s="21" t="s">
        <v>852</v>
      </c>
      <c r="I146" s="13">
        <v>42849.942199074074</v>
      </c>
      <c r="J146" s="7">
        <v>0</v>
      </c>
      <c r="K146" s="92" t="str">
        <f t="shared" si="121"/>
        <v>4011/4012</v>
      </c>
      <c r="L146" s="21" t="str">
        <f>VLOOKUP(A146,'Trips&amp;Operators'!$C$1:$G$99999,5,FALSE)</f>
        <v>STAMBAUGH JAMES</v>
      </c>
      <c r="M146" s="6">
        <f t="shared" si="122"/>
        <v>2.5173611109494232E-2</v>
      </c>
      <c r="N146" s="7">
        <f t="shared" si="136"/>
        <v>36.249999997671694</v>
      </c>
      <c r="O146" s="7"/>
      <c r="P146" s="7"/>
      <c r="Q146" s="22"/>
      <c r="R146" s="191"/>
      <c r="S146" s="197">
        <f t="shared" si="141"/>
        <v>1</v>
      </c>
      <c r="T146" s="191" t="str">
        <f t="shared" si="123"/>
        <v>NorthBound</v>
      </c>
      <c r="U146" s="19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2" t="str">
        <f t="shared" si="138"/>
        <v>https://d0f6bd738d7f1b3e5a7ca70fe4ff75f0.us-east-1.aws.found.io/app/kibana#/discover/Steve-Slow-Train-Analysis-(2080s-and-2083s)?_g=(refreshInterval:(display:Off,pause:!f,section:0,value:0),time:(from:'2017-04-24T20:43:53-0600',mode:absolute,to:'2017-04-24T23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6" s="193" t="str">
        <f t="shared" si="124"/>
        <v>N</v>
      </c>
      <c r="X146" s="193">
        <f t="shared" si="137"/>
        <v>1</v>
      </c>
      <c r="Y146" s="193">
        <f t="shared" si="129"/>
        <v>4.6600000000000003E-2</v>
      </c>
      <c r="Z146" s="193">
        <f t="shared" si="130"/>
        <v>23.3459</v>
      </c>
      <c r="AA146" s="193">
        <f t="shared" si="125"/>
        <v>23.299299999999999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126"/>
        <v>0233-24</v>
      </c>
      <c r="AE146" s="80" t="str">
        <f t="shared" si="139"/>
        <v>aws s3 cp s3://rtdc.mdm.uploadarchive.raw/RTDC4012/ "%USERPROFILE%\AppData\Local\Temp\OnboardLogs"\RTDC4012\2017-04-24 --exclude "*" --recursive --include "*20170424*" &amp; "%USERPROFILE%\Documents\GitHub\mrs-test-scripts\Headless Mode &amp; Sideloading\WalkAndUnGZ.bat" "%USERPROFILE%\AppData\Local\Temp\OnboardLogs"\RTDC4012\2017-04-24 &amp; aws s3 cp s3://rtdc.mdm.uploadarchive.raw/RTDC4012/ "%USERPROFILE%\AppData\Local\Temp\OnboardLogs"\RTDC4012\2017-04-25 --exclude "*" --recursive --include "*20170425*" &amp; "%USERPROFILE%\Documents\GitHub\mrs-test-scripts\Headless Mode &amp; Sideloading\WalkAndUnGZ.bat" "%USERPROFILE%\AppData\Local\Temp\OnboardLogs"\RTDC4012\2017-04-25</v>
      </c>
      <c r="AF146" s="77" t="str">
        <f t="shared" si="140"/>
        <v>"C:\Program Files (x86)\AstroGrep\AstroGrep.exe" /e /r /s /spath="%USERPROFILE%\AppData\Local\Temp\OnboardLogs" /stypes="app*4012*20170425*" /stext=" 04:.+((SYSTEM_STATE.+slice.+state.+changed )|(ment ac)|(multiple cpu faults)|(system.+state.+changed )|(\[timeout)|(PRM\|1\|D)|(kpr)|(kdp)|(train.+moving)|(\|lc)|(penalty))"</v>
      </c>
      <c r="AG146" s="1" t="str">
        <f t="shared" si="127"/>
        <v>EC</v>
      </c>
      <c r="AH146" s="81" t="str">
        <f t="shared" si="112"/>
        <v>"%USERPROFILE%\Documents\GitHub\eaglep3\Utilities\RefineRTDCRunTimes.py" --tripid 233-24 --locoid 4012 --swversion DE.1.0.9.0 --startMP 204:466 --initTime 2017-04-24T21:43:53 --startdatetime 2017-04-24T22:00:31 --delay 1 --endMP 204:233459 --enddatetime 2017-04-24T22:36:46 --enforcementcount 0 &gt;&gt;C:\Users\stu\Documents\GitHub\eaglep3-reporting\EC\2017-04-24-refined-times.txt</v>
      </c>
      <c r="AI146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{"issue":{"subject":"","project_id":79,"tracker_id":40,"status_id":1,"priority_id":2,"assigned_to_id":23,"start_date":"2017-04-24","description":"","custom_fields":[{"id":1,"name":"Subdivision","value":"EC"},{"id":4,"name":"Milepost","value":"23.3459"},{"id":17,"name":"Train ID","value":"233-24"},{"id":16,"name":"Locomotive ID","value":"4012"},{"id":130,"name":"Impact","value":""},{"id":150,"name":"Time of Event (Mountain Time)","value":"22:36:46"},{"id":151,"name":"Denver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114"/>
        <v>start /low /b %USERPROFILE%\Documents\GitHub\eaglep3\Utilities\DownloadLogsFromS3.py --loco 4012 --day 2017-04-24</v>
      </c>
      <c r="AN146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04:36:46"},{"id":29,"name":"Sharepoint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772</v>
      </c>
      <c r="B147" s="7">
        <v>4011</v>
      </c>
      <c r="C147" s="21" t="s">
        <v>212</v>
      </c>
      <c r="D147" s="21" t="s">
        <v>853</v>
      </c>
      <c r="E147" s="13">
        <v>42849.951562499999</v>
      </c>
      <c r="F147" s="13">
        <v>42849.95616898148</v>
      </c>
      <c r="G147" s="7">
        <v>1</v>
      </c>
      <c r="H147" s="21" t="s">
        <v>455</v>
      </c>
      <c r="I147" s="13">
        <v>42849.982870370368</v>
      </c>
      <c r="J147" s="7">
        <v>0</v>
      </c>
      <c r="K147" s="92" t="str">
        <f t="shared" ref="K147:K178" si="142">IF(ISEVEN(B147),(B147-1)&amp;"/"&amp;B147,B147&amp;"/"&amp;(B147+1))</f>
        <v>4011/4012</v>
      </c>
      <c r="L147" s="21" t="str">
        <f>VLOOKUP(A147,'Trips&amp;Operators'!$C$1:$G$99999,5,FALSE)</f>
        <v>STAMBAUGH JAMES</v>
      </c>
      <c r="M147" s="6">
        <f t="shared" ref="M147:M178" si="143">I147-F147</f>
        <v>2.6701388887886424E-2</v>
      </c>
      <c r="N147" s="7">
        <f t="shared" si="136"/>
        <v>38.44999999855645</v>
      </c>
      <c r="O147" s="7"/>
      <c r="P147" s="7"/>
      <c r="Q147" s="22"/>
      <c r="R147" s="191"/>
      <c r="S147" s="197">
        <f t="shared" si="141"/>
        <v>1</v>
      </c>
      <c r="T147" s="191" t="str">
        <f t="shared" ref="T147:T178" si="144">IF(ISEVEN(LEFT(AD147,4)),"Southbound","NorthBound")</f>
        <v>Southbound</v>
      </c>
      <c r="U147" s="19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2" t="str">
        <f t="shared" si="138"/>
        <v>https://d0f6bd738d7f1b3e5a7ca70fe4ff75f0.us-east-1.aws.found.io/app/kibana#/discover/Steve-Slow-Train-Analysis-(2080s-and-2083s)?_g=(refreshInterval:(display:Off,pause:!f,section:0,value:0),time:(from:'2017-04-24T21:50:15-0600',mode:absolute,to:'2017-04-25T00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7" s="193" t="str">
        <f t="shared" ref="W147:W178" si="145">IF(AA147&lt;IF(AG147="EC",23,5.65),"Y","N")</f>
        <v>N</v>
      </c>
      <c r="X147" s="193">
        <f t="shared" si="137"/>
        <v>1</v>
      </c>
      <c r="Y147" s="193">
        <f t="shared" si="129"/>
        <v>23.315100000000001</v>
      </c>
      <c r="Z147" s="193">
        <f t="shared" si="130"/>
        <v>1.34E-2</v>
      </c>
      <c r="AA147" s="193">
        <f t="shared" ref="AA147:AA178" si="146">ABS(Z147-Y147)</f>
        <v>23.3017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ref="AD147:AD178" si="147">IF(LEN(A147)=6,"0"&amp;A147,A147)</f>
        <v>0234-24</v>
      </c>
      <c r="AE147" s="80" t="str">
        <f t="shared" si="139"/>
        <v>aws s3 cp s3://rtdc.mdm.uploadarchive.raw/RTDC4011/ "%USERPROFILE%\AppData\Local\Temp\OnboardLogs"\RTDC4011\2017-04-24 --exclude "*" --recursive --include "*20170424*" &amp; "%USERPROFILE%\Documents\GitHub\mrs-test-scripts\Headless Mode &amp; Sideloading\WalkAndUnGZ.bat" "%USERPROFILE%\AppData\Local\Temp\OnboardLogs"\RTDC4011\2017-04-24 &amp; aws s3 cp s3://rtdc.mdm.uploadarchive.raw/RTDC4011/ "%USERPROFILE%\AppData\Local\Temp\OnboardLogs"\RTDC4011\2017-04-25 --exclude "*" --recursive --include "*20170425*" &amp; "%USERPROFILE%\Documents\GitHub\mrs-test-scripts\Headless Mode &amp; Sideloading\WalkAndUnGZ.bat" "%USERPROFILE%\AppData\Local\Temp\OnboardLogs"\RTDC4011\2017-04-25</v>
      </c>
      <c r="AF147" s="77" t="str">
        <f t="shared" si="140"/>
        <v>"C:\Program Files (x86)\AstroGrep\AstroGrep.exe" /e /r /s /spath="%USERPROFILE%\AppData\Local\Temp\OnboardLogs" /stypes="app*4011*20170425*" /stext=" 05:.+((SYSTEM_STATE.+slice.+state.+changed )|(ment ac)|(multiple cpu faults)|(system.+state.+changed )|(\[timeout)|(PRM\|1\|D)|(kpr)|(kdp)|(train.+moving)|(\|lc)|(penalty))"</v>
      </c>
      <c r="AG147" s="1" t="str">
        <f t="shared" ref="AG147:AG178" si="148">IFERROR(IF(VALUE(LEFT(AD147,2))&lt;=2,"EC",IF(OR(VALUE(LEFT(AD147,2))=8,VALUE(LEFT(AD147,2))=18),"NW","Other")),"Other")</f>
        <v>EC</v>
      </c>
      <c r="AH147" s="81" t="str">
        <f t="shared" si="112"/>
        <v>"%USERPROFILE%\Documents\GitHub\eaglep3\Utilities\RefineRTDCRunTimes.py" --tripid 234-24 --locoid 4011 --swversion DE.1.0.9.0 --startMP 204:233151 --initTime 2017-04-24T22:50:15 --startdatetime 2017-04-24T22:56:53 --delay 1 --endMP 204:134 --enddatetime 2017-04-24T23:35:20 --enforcementcount 0 &gt;&gt;C:\Users\stu\Documents\GitHub\eaglep3-reporting\EC\2017-04-24-refined-times.txt</v>
      </c>
      <c r="AI147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{"issue":{"subject":"","project_id":79,"tracker_id":40,"status_id":1,"priority_id":2,"assigned_to_id":23,"start_date":"2017-04-24","description":"","custom_fields":[{"id":1,"name":"Subdivision","value":"EC"},{"id":4,"name":"Milepost","value":"0.0134"},{"id":17,"name":"Train ID","value":"234-24"},{"id":16,"name":"Locomotive ID","value":"4011"},{"id":130,"name":"Impact","value":""},{"id":150,"name":"Time of Event (Mountain Time)","value":"23:35:20"},{"id":151,"name":"Denver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114"/>
        <v>start /low /b %USERPROFILE%\Documents\GitHub\eaglep3\Utilities\DownloadLogsFromS3.py --loco 4011 --day 2017-04-24</v>
      </c>
      <c r="AN147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05:35:20"},{"id":29,"name":"Sharepoint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769</v>
      </c>
      <c r="B148" s="7">
        <v>4028</v>
      </c>
      <c r="C148" s="21" t="s">
        <v>212</v>
      </c>
      <c r="D148" s="21" t="s">
        <v>369</v>
      </c>
      <c r="E148" s="13">
        <v>42849.93346064815</v>
      </c>
      <c r="F148" s="13">
        <v>42849.937743055554</v>
      </c>
      <c r="G148" s="7">
        <v>1</v>
      </c>
      <c r="H148" s="21" t="s">
        <v>825</v>
      </c>
      <c r="I148" s="13">
        <v>42849.963680555556</v>
      </c>
      <c r="J148" s="7">
        <v>0</v>
      </c>
      <c r="K148" s="92" t="str">
        <f t="shared" si="142"/>
        <v>4027/4028</v>
      </c>
      <c r="L148" s="21" t="str">
        <f>VLOOKUP(A148,'Trips&amp;Operators'!$C$1:$G$99999,5,FALSE)</f>
        <v>STORY SAMANTHA</v>
      </c>
      <c r="M148" s="6">
        <f t="shared" si="143"/>
        <v>2.5937500002328306E-2</v>
      </c>
      <c r="N148" s="7">
        <f t="shared" si="136"/>
        <v>37.350000003352761</v>
      </c>
      <c r="O148" s="7"/>
      <c r="P148" s="7"/>
      <c r="Q148" s="22"/>
      <c r="R148" s="191"/>
      <c r="S148" s="197">
        <f t="shared" si="141"/>
        <v>1</v>
      </c>
      <c r="T148" s="191" t="str">
        <f t="shared" si="144"/>
        <v>NorthBound</v>
      </c>
      <c r="U148" s="19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2" t="str">
        <f t="shared" si="138"/>
        <v>https://d0f6bd738d7f1b3e5a7ca70fe4ff75f0.us-east-1.aws.found.io/app/kibana#/discover/Steve-Slow-Train-Analysis-(2080s-and-2083s)?_g=(refreshInterval:(display:Off,pause:!f,section:0,value:0),time:(from:'2017-04-24T21:24:11-0600',mode:absolute,to:'2017-04-25T00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8" s="193" t="str">
        <f t="shared" si="145"/>
        <v>N</v>
      </c>
      <c r="X148" s="193">
        <f t="shared" si="137"/>
        <v>1</v>
      </c>
      <c r="Y148" s="193">
        <f t="shared" si="129"/>
        <v>4.4900000000000002E-2</v>
      </c>
      <c r="Z148" s="193">
        <f t="shared" si="130"/>
        <v>23.332100000000001</v>
      </c>
      <c r="AA148" s="193">
        <f t="shared" si="146"/>
        <v>23.287200000000002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147"/>
        <v>0235-24</v>
      </c>
      <c r="AE148" s="80" t="str">
        <f t="shared" si="139"/>
        <v>aws s3 cp s3://rtdc.mdm.uploadarchive.raw/RTDC4028/ "%USERPROFILE%\AppData\Local\Temp\OnboardLogs"\RTDC4028\2017-04-24 --exclude "*" --recursive --include "*20170424*" &amp; "%USERPROFILE%\Documents\GitHub\mrs-test-scripts\Headless Mode &amp; Sideloading\WalkAndUnGZ.bat" "%USERPROFILE%\AppData\Local\Temp\OnboardLogs"\RTDC4028\2017-04-24 &amp; aws s3 cp s3://rtdc.mdm.uploadarchive.raw/RTDC4028/ "%USERPROFILE%\AppData\Local\Temp\OnboardLogs"\RTDC4028\2017-04-25 --exclude "*" --recursive --include "*20170425*" &amp; "%USERPROFILE%\Documents\GitHub\mrs-test-scripts\Headless Mode &amp; Sideloading\WalkAndUnGZ.bat" "%USERPROFILE%\AppData\Local\Temp\OnboardLogs"\RTDC4028\2017-04-25</v>
      </c>
      <c r="AF148" s="77" t="str">
        <f t="shared" si="140"/>
        <v>"C:\Program Files (x86)\AstroGrep\AstroGrep.exe" /e /r /s /spath="%USERPROFILE%\AppData\Local\Temp\OnboardLogs" /stypes="app*4028*20170425*" /stext=" 05:.+((SYSTEM_STATE.+slice.+state.+changed )|(ment ac)|(multiple cpu faults)|(system.+state.+changed )|(\[timeout)|(PRM\|1\|D)|(kpr)|(kdp)|(train.+moving)|(\|lc)|(penalty))"</v>
      </c>
      <c r="AG148" s="1" t="str">
        <f t="shared" si="148"/>
        <v>EC</v>
      </c>
      <c r="AH148" s="81" t="str">
        <f t="shared" si="112"/>
        <v>"%USERPROFILE%\Documents\GitHub\eaglep3\Utilities\RefineRTDCRunTimes.py" --tripid 235-24 --locoid 4028 --swversion DE.1.0.9.0 --startMP 204:449 --initTime 2017-04-24T22:24:11 --startdatetime 2017-04-24T22:30:21 --delay 1 --endMP 204:233321 --enddatetime 2017-04-24T23:07:42 --enforcementcount 0 &gt;&gt;C:\Users\stu\Documents\GitHub\eaglep3-reporting\EC\2017-04-24-refined-times.txt</v>
      </c>
      <c r="AI148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{"issue":{"subject":"","project_id":79,"tracker_id":40,"status_id":1,"priority_id":2,"assigned_to_id":23,"start_date":"2017-04-24","description":"","custom_fields":[{"id":1,"name":"Subdivision","value":"EC"},{"id":4,"name":"Milepost","value":"23.3321"},{"id":17,"name":"Train ID","value":"235-24"},{"id":16,"name":"Locomotive ID","value":"4028"},{"id":130,"name":"Impact","value":""},{"id":150,"name":"Time of Event (Mountain Time)","value":"23:07:42"},{"id":151,"name":"Denver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114"/>
        <v>start /low /b %USERPROFILE%\Documents\GitHub\eaglep3\Utilities\DownloadLogsFromS3.py --loco 4028 --day 2017-04-24</v>
      </c>
      <c r="AN148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05:07:42"},{"id":29,"name":"Sharepoint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774</v>
      </c>
      <c r="B149" s="7">
        <v>4027</v>
      </c>
      <c r="C149" s="21" t="s">
        <v>212</v>
      </c>
      <c r="D149" s="21" t="s">
        <v>485</v>
      </c>
      <c r="E149" s="13">
        <v>42849.972291666665</v>
      </c>
      <c r="F149" s="13">
        <v>42849.976631944446</v>
      </c>
      <c r="G149" s="7">
        <v>1</v>
      </c>
      <c r="H149" s="21" t="s">
        <v>854</v>
      </c>
      <c r="I149" s="13">
        <v>42850.003796296296</v>
      </c>
      <c r="J149" s="7">
        <v>0</v>
      </c>
      <c r="K149" s="92" t="str">
        <f t="shared" si="142"/>
        <v>4027/4028</v>
      </c>
      <c r="L149" s="21" t="str">
        <f>VLOOKUP(A149,'Trips&amp;Operators'!$C$1:$G$99999,5,FALSE)</f>
        <v>STORY SAMANTHA</v>
      </c>
      <c r="M149" s="6">
        <f t="shared" si="143"/>
        <v>2.7164351849933155E-2</v>
      </c>
      <c r="N149" s="7">
        <f t="shared" si="136"/>
        <v>39.116666663903743</v>
      </c>
      <c r="O149" s="7"/>
      <c r="P149" s="7"/>
      <c r="Q149" s="22"/>
      <c r="R149" s="191"/>
      <c r="S149" s="197">
        <f t="shared" si="141"/>
        <v>1</v>
      </c>
      <c r="T149" s="191" t="str">
        <f t="shared" si="144"/>
        <v>Southbound</v>
      </c>
      <c r="U149" s="19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2" t="str">
        <f t="shared" si="138"/>
        <v>https://d0f6bd738d7f1b3e5a7ca70fe4ff75f0.us-east-1.aws.found.io/app/kibana#/discover/Steve-Slow-Train-Analysis-(2080s-and-2083s)?_g=(refreshInterval:(display:Off,pause:!f,section:0,value:0),time:(from:'2017-04-24T22:20:06-0600',mode:absolute,to:'2017-04-25T01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9" s="193" t="str">
        <f t="shared" si="145"/>
        <v>N</v>
      </c>
      <c r="X149" s="193">
        <f t="shared" si="137"/>
        <v>1</v>
      </c>
      <c r="Y149" s="193">
        <f t="shared" si="129"/>
        <v>23.299299999999999</v>
      </c>
      <c r="Z149" s="193">
        <f t="shared" si="130"/>
        <v>1.67E-2</v>
      </c>
      <c r="AA149" s="193">
        <f t="shared" si="146"/>
        <v>23.282599999999999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147"/>
        <v>0236-24</v>
      </c>
      <c r="AE149" s="80" t="str">
        <f t="shared" si="139"/>
        <v>aws s3 cp s3://rtdc.mdm.uploadarchive.raw/RTDC4027/ "%USERPROFILE%\AppData\Local\Temp\OnboardLogs"\RTDC4027\2017-04-24 --exclude "*" --recursive --include "*20170424*" &amp; "%USERPROFILE%\Documents\GitHub\mrs-test-scripts\Headless Mode &amp; Sideloading\WalkAndUnGZ.bat" "%USERPROFILE%\AppData\Local\Temp\OnboardLogs"\RTDC4027\2017-04-24 &amp; aws s3 cp s3://rtdc.mdm.uploadarchive.raw/RTDC4027/ "%USERPROFILE%\AppData\Local\Temp\OnboardLogs"\RTDC4027\2017-04-25 --exclude "*" --recursive --include "*20170425*" &amp; "%USERPROFILE%\Documents\GitHub\mrs-test-scripts\Headless Mode &amp; Sideloading\WalkAndUnGZ.bat" "%USERPROFILE%\AppData\Local\Temp\OnboardLogs"\RTDC4027\2017-04-25</v>
      </c>
      <c r="AF149" s="77" t="str">
        <f t="shared" si="140"/>
        <v>"C:\Program Files (x86)\AstroGrep\AstroGrep.exe" /e /r /s /spath="%USERPROFILE%\AppData\Local\Temp\OnboardLogs" /stypes="app*4027*20170425*" /stext=" 06:.+((SYSTEM_STATE.+slice.+state.+changed )|(ment ac)|(multiple cpu faults)|(system.+state.+changed )|(\[timeout)|(PRM\|1\|D)|(kpr)|(kdp)|(train.+moving)|(\|lc)|(penalty))"</v>
      </c>
      <c r="AG149" s="1" t="str">
        <f t="shared" si="148"/>
        <v>EC</v>
      </c>
      <c r="AH149" s="81" t="str">
        <f t="shared" si="112"/>
        <v>"%USERPROFILE%\Documents\GitHub\eaglep3\Utilities\RefineRTDCRunTimes.py" --tripid 236-24 --locoid 4027 --swversion DE.1.0.9.0 --startMP 204:232993 --initTime 2017-04-24T23:20:06 --startdatetime 2017-04-24T23:26:21 --delay 1 --endMP 204:167 --enddatetime 2017-04-25T00:05:28 --enforcementcount 0 &gt;&gt;C:\Users\stu\Documents\GitHub\eaglep3-reporting\EC\2017-04-24-refined-times.txt</v>
      </c>
      <c r="AI149" s="99" t="str">
        <f t="shared" si="113"/>
        <v>echo {"issue":{"subject":"","project_id":79,"tracker_id":40,"status_id":1,"priority_id":2,"assigned_to_id":23,"start_date":"2017-04-25","description":"","custom_fields":[{"id":1,"name":"Subdivision","value":"EC"},{"id":4,"name":"Milepost","value":"0.0167"},{"id":17,"name":"Train ID","value":"236-24"},{"id":16,"name":"Locomotive ID","value":"4027"},{"id":130,"name":"Impact","value":""},{"id":150,"name":"Time of Event (Mountain Time)","value":"00:05:28"},{"id":151,"name":"Denver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114"/>
        <v>start /low /b %USERPROFILE%\Documents\GitHub\eaglep3\Utilities\DownloadLogsFromS3.py --loco 4027 --day 2017-04-24</v>
      </c>
      <c r="AN149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06:05:28"},{"id":29,"name":"Sharepoint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773</v>
      </c>
      <c r="B150" s="7">
        <v>4024</v>
      </c>
      <c r="C150" s="21" t="s">
        <v>212</v>
      </c>
      <c r="D150" s="21" t="s">
        <v>855</v>
      </c>
      <c r="E150" s="13">
        <v>42849.955046296294</v>
      </c>
      <c r="F150" s="13">
        <v>42849.95857638889</v>
      </c>
      <c r="G150" s="7">
        <v>2</v>
      </c>
      <c r="H150" s="21" t="s">
        <v>825</v>
      </c>
      <c r="I150" s="13">
        <v>42849.983796296299</v>
      </c>
      <c r="J150" s="7">
        <v>0</v>
      </c>
      <c r="K150" s="92" t="str">
        <f t="shared" si="142"/>
        <v>4023/4024</v>
      </c>
      <c r="L150" s="21" t="str">
        <f>VLOOKUP(A150,'Trips&amp;Operators'!$C$1:$G$99999,5,FALSE)</f>
        <v>PERKINS DARREN</v>
      </c>
      <c r="M150" s="6">
        <f t="shared" si="143"/>
        <v>2.5219907409336884E-2</v>
      </c>
      <c r="N150" s="7">
        <f t="shared" si="136"/>
        <v>36.316666669445112</v>
      </c>
      <c r="O150" s="7"/>
      <c r="P150" s="7"/>
      <c r="Q150" s="22"/>
      <c r="R150" s="191"/>
      <c r="S150" s="197">
        <f t="shared" si="141"/>
        <v>1</v>
      </c>
      <c r="T150" s="191" t="str">
        <f t="shared" si="144"/>
        <v>NorthBound</v>
      </c>
      <c r="U150" s="19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2" t="str">
        <f t="shared" si="138"/>
        <v>https://d0f6bd738d7f1b3e5a7ca70fe4ff75f0.us-east-1.aws.found.io/app/kibana#/discover/Steve-Slow-Train-Analysis-(2080s-and-2083s)?_g=(refreshInterval:(display:Off,pause:!f,section:0,value:0),time:(from:'2017-04-24T21:55:16-0600',mode:absolute,to:'2017-04-25T00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0" s="193" t="str">
        <f t="shared" si="145"/>
        <v>N</v>
      </c>
      <c r="X150" s="193">
        <f t="shared" si="137"/>
        <v>1</v>
      </c>
      <c r="Y150" s="193">
        <f t="shared" si="129"/>
        <v>6.0400000000000002E-2</v>
      </c>
      <c r="Z150" s="193">
        <f t="shared" si="130"/>
        <v>23.332100000000001</v>
      </c>
      <c r="AA150" s="193">
        <f t="shared" si="146"/>
        <v>23.271699999999999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147"/>
        <v>0237-24</v>
      </c>
      <c r="AE150" s="80" t="str">
        <f t="shared" si="139"/>
        <v>aws s3 cp s3://rtdc.mdm.uploadarchive.raw/RTDC4024/ "%USERPROFILE%\AppData\Local\Temp\OnboardLogs"\RTDC4024\2017-04-24 --exclude "*" --recursive --include "*20170424*" &amp; "%USERPROFILE%\Documents\GitHub\mrs-test-scripts\Headless Mode &amp; Sideloading\WalkAndUnGZ.bat" "%USERPROFILE%\AppData\Local\Temp\OnboardLogs"\RTDC4024\2017-04-24 &amp; aws s3 cp s3://rtdc.mdm.uploadarchive.raw/RTDC4024/ "%USERPROFILE%\AppData\Local\Temp\OnboardLogs"\RTDC4024\2017-04-25 --exclude "*" --recursive --include "*20170425*" &amp; "%USERPROFILE%\Documents\GitHub\mrs-test-scripts\Headless Mode &amp; Sideloading\WalkAndUnGZ.bat" "%USERPROFILE%\AppData\Local\Temp\OnboardLogs"\RTDC4024\2017-04-25</v>
      </c>
      <c r="AF150" s="77" t="str">
        <f t="shared" si="140"/>
        <v>"C:\Program Files (x86)\AstroGrep\AstroGrep.exe" /e /r /s /spath="%USERPROFILE%\AppData\Local\Temp\OnboardLogs" /stypes="app*4024*20170425*" /stext=" 05:.+((SYSTEM_STATE.+slice.+state.+changed )|(ment ac)|(multiple cpu faults)|(system.+state.+changed )|(\[timeout)|(PRM\|1\|D)|(kpr)|(kdp)|(train.+moving)|(\|lc)|(penalty))"</v>
      </c>
      <c r="AG150" s="1" t="str">
        <f t="shared" si="148"/>
        <v>EC</v>
      </c>
      <c r="AH150" s="81" t="str">
        <f t="shared" si="112"/>
        <v>"%USERPROFILE%\Documents\GitHub\eaglep3\Utilities\RefineRTDCRunTimes.py" --tripid 237-24 --locoid 4024 --swversion DE.1.0.9.0 --startMP 204:604 --initTime 2017-04-24T22:55:16 --startdatetime 2017-04-24T23:00:21 --delay 2 --endMP 204:233321 --enddatetime 2017-04-24T23:36:40 --enforcementcount 0 &gt;&gt;C:\Users\stu\Documents\GitHub\eaglep3-reporting\EC\2017-04-24-refined-times.txt</v>
      </c>
      <c r="AI150" s="99" t="str">
        <f t="shared" si="113"/>
        <v>echo {"issue":{"subject":"","project_id":79,"tracker_id":40,"status_id":1,"priority_id":2,"assigned_to_id":23,"start_date":"2017-04-24","description":"","custom_fields":[{"id":1,"name":"Subdivision","value":"EC"},{"id":4,"name":"Milepost","value":"23.3321"},{"id":17,"name":"Train ID","value":"237-24"},{"id":16,"name":"Locomotive ID","value":"4024"},{"id":130,"name":"Impact","value":""},{"id":150,"name":"Time of Event (Mountain Time)","value":"23:36:40"},{"id":151,"name":"Denver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114"/>
        <v>start /low /b %USERPROFILE%\Documents\GitHub\eaglep3\Utilities\DownloadLogsFromS3.py --loco 4024 --day 2017-04-24</v>
      </c>
      <c r="AN150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05:36:40"},{"id":29,"name":"Sharepoint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2" t="s">
        <v>775</v>
      </c>
      <c r="B151" s="7">
        <v>4023</v>
      </c>
      <c r="C151" s="21" t="s">
        <v>212</v>
      </c>
      <c r="D151" s="21" t="s">
        <v>517</v>
      </c>
      <c r="E151" s="13">
        <v>42849.991724537038</v>
      </c>
      <c r="F151" s="13">
        <v>42849.997731481482</v>
      </c>
      <c r="G151" s="7">
        <v>1</v>
      </c>
      <c r="H151" s="21" t="s">
        <v>379</v>
      </c>
      <c r="I151" s="13">
        <v>42850.025057870371</v>
      </c>
      <c r="J151" s="7">
        <v>0</v>
      </c>
      <c r="K151" s="92" t="str">
        <f t="shared" si="142"/>
        <v>4023/4024</v>
      </c>
      <c r="L151" s="21" t="str">
        <f>VLOOKUP(A151,'Trips&amp;Operators'!$C$1:$G$99999,5,FALSE)</f>
        <v>PERKINS DARREN</v>
      </c>
      <c r="M151" s="6">
        <f t="shared" si="143"/>
        <v>2.73263888884685E-2</v>
      </c>
      <c r="N151" s="7">
        <f t="shared" si="136"/>
        <v>39.34999999939464</v>
      </c>
      <c r="O151" s="7"/>
      <c r="P151" s="7"/>
      <c r="Q151" s="22"/>
      <c r="R151" s="191"/>
      <c r="S151" s="197">
        <f t="shared" si="141"/>
        <v>1</v>
      </c>
      <c r="T151" s="191" t="str">
        <f t="shared" si="144"/>
        <v>Southbound</v>
      </c>
      <c r="U151" s="19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2" t="str">
        <f t="shared" si="138"/>
        <v>https://d0f6bd738d7f1b3e5a7ca70fe4ff75f0.us-east-1.aws.found.io/app/kibana#/discover/Steve-Slow-Train-Analysis-(2080s-and-2083s)?_g=(refreshInterval:(display:Off,pause:!f,section:0,value:0),time:(from:'2017-04-24T22:48:05-0600',mode:absolute,to:'2017-04-25T01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1" s="193" t="str">
        <f t="shared" si="145"/>
        <v>N</v>
      </c>
      <c r="X151" s="193">
        <f t="shared" si="137"/>
        <v>1</v>
      </c>
      <c r="Y151" s="193">
        <f t="shared" si="129"/>
        <v>23.3004</v>
      </c>
      <c r="Z151" s="193">
        <f t="shared" si="130"/>
        <v>1.41E-2</v>
      </c>
      <c r="AA151" s="193">
        <f t="shared" si="146"/>
        <v>23.286300000000001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147"/>
        <v>0238-24</v>
      </c>
      <c r="AE151" s="80" t="str">
        <f t="shared" si="139"/>
        <v>aws s3 cp s3://rtdc.mdm.uploadarchive.raw/RTDC4023/ "%USERPROFILE%\AppData\Local\Temp\OnboardLogs"\RTDC4023\2017-04-24 --exclude "*" --recursive --include "*20170424*" &amp; "%USERPROFILE%\Documents\GitHub\mrs-test-scripts\Headless Mode &amp; Sideloading\WalkAndUnGZ.bat" "%USERPROFILE%\AppData\Local\Temp\OnboardLogs"\RTDC4023\2017-04-24 &amp; aws s3 cp s3://rtdc.mdm.uploadarchive.raw/RTDC4023/ "%USERPROFILE%\AppData\Local\Temp\OnboardLogs"\RTDC4023\2017-04-25 --exclude "*" --recursive --include "*20170425*" &amp; "%USERPROFILE%\Documents\GitHub\mrs-test-scripts\Headless Mode &amp; Sideloading\WalkAndUnGZ.bat" "%USERPROFILE%\AppData\Local\Temp\OnboardLogs"\RTDC4023\2017-04-25</v>
      </c>
      <c r="AF151" s="77" t="str">
        <f t="shared" si="140"/>
        <v>"C:\Program Files (x86)\AstroGrep\AstroGrep.exe" /e /r /s /spath="%USERPROFILE%\AppData\Local\Temp\OnboardLogs" /stypes="app*4023*20170425*" /stext=" 06:.+((SYSTEM_STATE.+slice.+state.+changed )|(ment ac)|(multiple cpu faults)|(system.+state.+changed )|(\[timeout)|(PRM\|1\|D)|(kpr)|(kdp)|(train.+moving)|(\|lc)|(penalty))"</v>
      </c>
      <c r="AG151" s="1" t="str">
        <f t="shared" si="148"/>
        <v>EC</v>
      </c>
      <c r="AH151" s="81" t="str">
        <f t="shared" si="112"/>
        <v>"%USERPROFILE%\Documents\GitHub\eaglep3\Utilities\RefineRTDCRunTimes.py" --tripid 238-24 --locoid 4023 --swversion DE.1.0.9.0 --startMP 204:233004 --initTime 2017-04-24T23:48:05 --startdatetime 2017-04-24T23:56:44 --delay 1 --endMP 204:141 --enddatetime 2017-04-25T00:36:05 --enforcementcount 0 &gt;&gt;C:\Users\stu\Documents\GitHub\eaglep3-reporting\EC\2017-04-24-refined-times.txt</v>
      </c>
      <c r="AI151" s="99" t="str">
        <f t="shared" si="113"/>
        <v>echo {"issue":{"subject":"","project_id":79,"tracker_id":40,"status_id":1,"priority_id":2,"assigned_to_id":23,"start_date":"2017-04-25","description":"","custom_fields":[{"id":1,"name":"Subdivision","value":"EC"},{"id":4,"name":"Milepost","value":"0.0141"},{"id":17,"name":"Train ID","value":"238-24"},{"id":16,"name":"Locomotive ID","value":"4023"},{"id":130,"name":"Impact","value":""},{"id":150,"name":"Time of Event (Mountain Time)","value":"00:36:05"},{"id":151,"name":"Denver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5" t="str">
        <f t="shared" si="114"/>
        <v>start /low /b %USERPROFILE%\Documents\GitHub\eaglep3\Utilities\DownloadLogsFromS3.py --loco 4023 --day 2017-04-24</v>
      </c>
      <c r="AN151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06:36:05"},{"id":29,"name":"Sharepoint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2" spans="1:91" s="20" customFormat="1" x14ac:dyDescent="0.25">
      <c r="A152" s="32" t="s">
        <v>585</v>
      </c>
      <c r="B152" s="7">
        <v>4026</v>
      </c>
      <c r="C152" s="21" t="s">
        <v>212</v>
      </c>
      <c r="D152" s="21" t="s">
        <v>369</v>
      </c>
      <c r="E152" s="13">
        <v>42849.96503472222</v>
      </c>
      <c r="F152" s="13">
        <v>42849.979351851849</v>
      </c>
      <c r="G152" s="7">
        <v>1</v>
      </c>
      <c r="H152" s="21" t="s">
        <v>791</v>
      </c>
      <c r="I152" s="13">
        <v>42850.004374999997</v>
      </c>
      <c r="J152" s="7">
        <v>0</v>
      </c>
      <c r="K152" s="92" t="str">
        <f t="shared" si="142"/>
        <v>4025/4026</v>
      </c>
      <c r="L152" s="21" t="str">
        <f>VLOOKUP(A152,'Trips&amp;Operators'!$C$1:$G$99999,5,FALSE)</f>
        <v>SMITH MICHAEL</v>
      </c>
      <c r="M152" s="6">
        <f t="shared" si="143"/>
        <v>2.5023148147738539E-2</v>
      </c>
      <c r="N152" s="7">
        <f t="shared" si="136"/>
        <v>36.033333332743496</v>
      </c>
      <c r="O152" s="7"/>
      <c r="P152" s="7"/>
      <c r="Q152" s="22"/>
      <c r="R152" s="191"/>
      <c r="S152" s="197">
        <f t="shared" si="141"/>
        <v>1</v>
      </c>
      <c r="T152" s="191" t="str">
        <f t="shared" si="144"/>
        <v>NorthBound</v>
      </c>
      <c r="U152" s="19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2" t="str">
        <f t="shared" si="138"/>
        <v>https://d0f6bd738d7f1b3e5a7ca70fe4ff75f0.us-east-1.aws.found.io/app/kibana#/discover/Steve-Slow-Train-Analysis-(2080s-and-2083s)?_g=(refreshInterval:(display:Off,pause:!f,section:0,value:0),time:(from:'2017-04-24T22:09:39-0600',mode:absolute,to:'2017-04-25T01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2" s="193" t="str">
        <f t="shared" si="145"/>
        <v>N</v>
      </c>
      <c r="X152" s="193">
        <f t="shared" si="137"/>
        <v>1</v>
      </c>
      <c r="Y152" s="193">
        <f t="shared" si="129"/>
        <v>4.4900000000000002E-2</v>
      </c>
      <c r="Z152" s="193">
        <f t="shared" si="130"/>
        <v>23.3325</v>
      </c>
      <c r="AA152" s="193">
        <f t="shared" si="146"/>
        <v>23.287600000000001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147"/>
        <v>0239-24</v>
      </c>
      <c r="AE152" s="80" t="str">
        <f t="shared" si="139"/>
        <v>aws s3 cp s3://rtdc.mdm.uploadarchive.raw/RTDC4026/ "%USERPROFILE%\AppData\Local\Temp\OnboardLogs"\RTDC4026\2017-04-24 --exclude "*" --recursive --include "*20170424*" &amp; "%USERPROFILE%\Documents\GitHub\mrs-test-scripts\Headless Mode &amp; Sideloading\WalkAndUnGZ.bat" "%USERPROFILE%\AppData\Local\Temp\OnboardLogs"\RTDC4026\2017-04-24 &amp; aws s3 cp s3://rtdc.mdm.uploadarchive.raw/RTDC4026/ "%USERPROFILE%\AppData\Local\Temp\OnboardLogs"\RTDC4026\2017-04-25 --exclude "*" --recursive --include "*20170425*" &amp; "%USERPROFILE%\Documents\GitHub\mrs-test-scripts\Headless Mode &amp; Sideloading\WalkAndUnGZ.bat" "%USERPROFILE%\AppData\Local\Temp\OnboardLogs"\RTDC4026\2017-04-25</v>
      </c>
      <c r="AF152" s="77" t="str">
        <f t="shared" si="140"/>
        <v>"C:\Program Files (x86)\AstroGrep\AstroGrep.exe" /e /r /s /spath="%USERPROFILE%\AppData\Local\Temp\OnboardLogs" /stypes="app*4026*20170425*" /stext=" 06:.+((SYSTEM_STATE.+slice.+state.+changed )|(ment ac)|(multiple cpu faults)|(system.+state.+changed )|(\[timeout)|(PRM\|1\|D)|(kpr)|(kdp)|(train.+moving)|(\|lc)|(penalty))"</v>
      </c>
      <c r="AG152" s="1" t="str">
        <f t="shared" si="148"/>
        <v>EC</v>
      </c>
      <c r="AH152" s="81" t="str">
        <f t="shared" si="112"/>
        <v>"%USERPROFILE%\Documents\GitHub\eaglep3\Utilities\RefineRTDCRunTimes.py" --tripid 239-24 --locoid 4026 --swversion DE.1.0.9.0 --startMP 204:449 --initTime 2017-04-24T23:09:39 --startdatetime 2017-04-24T23:30:16 --delay 1 --endMP 204:233325 --enddatetime 2017-04-25T00:06:18 --enforcementcount 0 &gt;&gt;C:\Users\stu\Documents\GitHub\eaglep3-reporting\EC\2017-04-24-refined-times.txt</v>
      </c>
      <c r="AI152" s="99" t="str">
        <f t="shared" si="113"/>
        <v>echo {"issue":{"subject":"","project_id":79,"tracker_id":40,"status_id":1,"priority_id":2,"assigned_to_id":23,"start_date":"2017-04-25","description":"","custom_fields":[{"id":1,"name":"Subdivision","value":"EC"},{"id":4,"name":"Milepost","value":"23.3325"},{"id":17,"name":"Train ID","value":"239-24"},{"id":16,"name":"Locomotive ID","value":"4026"},{"id":130,"name":"Impact","value":""},{"id":150,"name":"Time of Event (Mountain Time)","value":"00:06:18"},{"id":151,"name":"Denver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114"/>
        <v>start /low /b %USERPROFILE%\Documents\GitHub\eaglep3\Utilities\DownloadLogsFromS3.py --loco 4026 --day 2017-04-24</v>
      </c>
      <c r="AN152" s="154" t="str">
        <f t="shared" si="1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06:06:18"},{"id":29,"name":"Sharepoint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778</v>
      </c>
      <c r="B153" s="7">
        <v>4025</v>
      </c>
      <c r="C153" s="21" t="s">
        <v>212</v>
      </c>
      <c r="D153" s="21" t="s">
        <v>856</v>
      </c>
      <c r="E153" s="13">
        <v>42850.007928240739</v>
      </c>
      <c r="F153" s="13">
        <v>42850.018240740741</v>
      </c>
      <c r="G153" s="7">
        <v>1</v>
      </c>
      <c r="H153" s="21" t="s">
        <v>203</v>
      </c>
      <c r="I153" s="13">
        <v>42850.046180555553</v>
      </c>
      <c r="J153" s="7">
        <v>0</v>
      </c>
      <c r="K153" s="92" t="str">
        <f t="shared" si="142"/>
        <v>4025/4026</v>
      </c>
      <c r="L153" s="21" t="str">
        <f>VLOOKUP(A153,'Trips&amp;Operators'!$C$1:$G$99999,5,FALSE)</f>
        <v>SMITH MICHAEL</v>
      </c>
      <c r="M153" s="6">
        <f t="shared" si="143"/>
        <v>2.7939814812270924E-2</v>
      </c>
      <c r="N153" s="7">
        <f t="shared" si="136"/>
        <v>40.233333329670131</v>
      </c>
      <c r="O153" s="7"/>
      <c r="P153" s="7"/>
      <c r="Q153" s="22"/>
      <c r="R153" s="191"/>
      <c r="S153" s="197">
        <f t="shared" si="141"/>
        <v>1</v>
      </c>
      <c r="T153" s="191" t="str">
        <f t="shared" si="144"/>
        <v>Southbound</v>
      </c>
      <c r="U153" s="19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2" t="str">
        <f t="shared" si="138"/>
        <v>https://d0f6bd738d7f1b3e5a7ca70fe4ff75f0.us-east-1.aws.found.io/app/kibana#/discover/Steve-Slow-Train-Analysis-(2080s-and-2083s)?_g=(refreshInterval:(display:Off,pause:!f,section:0,value:0),time:(from:'2017-04-24T23:11:25-0600',mode:absolute,to:'2017-04-25T02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3" s="193" t="str">
        <f t="shared" si="145"/>
        <v>N</v>
      </c>
      <c r="X153" s="193">
        <f t="shared" si="137"/>
        <v>1</v>
      </c>
      <c r="Y153" s="193">
        <f t="shared" si="129"/>
        <v>23.3002</v>
      </c>
      <c r="Z153" s="193">
        <f t="shared" si="130"/>
        <v>1.54E-2</v>
      </c>
      <c r="AA153" s="193">
        <f t="shared" si="146"/>
        <v>23.284800000000001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147"/>
        <v>0240-24</v>
      </c>
      <c r="AE153" s="80" t="str">
        <f t="shared" si="139"/>
        <v>aws s3 cp s3://rtdc.mdm.uploadarchive.raw/RTDC4025/ "%USERPROFILE%\AppData\Local\Temp\OnboardLogs"\RTDC4025\2017-04-25 --exclude "*" --recursive --include "*20170425*" &amp; "%USERPROFILE%\Documents\GitHub\mrs-test-scripts\Headless Mode &amp; Sideloading\WalkAndUnGZ.bat" "%USERPROFILE%\AppData\Local\Temp\OnboardLogs"\RTDC4025\2017-04-25 &amp; aws s3 cp s3://rtdc.mdm.uploadarchive.raw/RTDC4025/ "%USERPROFILE%\AppData\Local\Temp\OnboardLogs"\RTDC4025\2017-04-26 --exclude "*" --recursive --include "*20170426*" &amp; "%USERPROFILE%\Documents\GitHub\mrs-test-scripts\Headless Mode &amp; Sideloading\WalkAndUnGZ.bat" "%USERPROFILE%\AppData\Local\Temp\OnboardLogs"\RTDC4025\2017-04-26</v>
      </c>
      <c r="AF153" s="77" t="str">
        <f t="shared" si="140"/>
        <v>"C:\Program Files (x86)\AstroGrep\AstroGrep.exe" /e /r /s /spath="%USERPROFILE%\AppData\Local\Temp\OnboardLogs" /stypes="app*4025*20170425*" /stext=" 07:.+((SYSTEM_STATE.+slice.+state.+changed )|(ment ac)|(multiple cpu faults)|(system.+state.+changed )|(\[timeout)|(PRM\|1\|D)|(kpr)|(kdp)|(train.+moving)|(\|lc)|(penalty))"</v>
      </c>
      <c r="AG153" s="1" t="str">
        <f t="shared" si="148"/>
        <v>EC</v>
      </c>
      <c r="AH153" s="81" t="str">
        <f t="shared" ref="AH153:AH216" si="149"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240-24 --locoid 4025 --swversion DE.1.0.9.0 --startMP 204:233002 --initTime 2017-04-25T00:11:25 --startdatetime 2017-04-25T00:26:16 --delay 1 --endMP 204:154 --enddatetime 2017-04-25T01:06:30 --enforcementcount 0 &gt;&gt;C:\Users\stu\Documents\GitHub\eaglep3-reporting\EC\2017-04-24-refined-times.txt</v>
      </c>
      <c r="AI153" s="99" t="str">
        <f t="shared" ref="AI153:AI216" si="150"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Z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{"issue":{"subject":"","project_id":79,"tracker_id":40,"status_id":1,"priority_id":2,"assigned_to_id":23,"start_date":"2017-04-25","description":"","custom_fields":[{"id":1,"name":"Subdivision","value":"EC"},{"id":4,"name":"Milepost","value":"0.0154"},{"id":17,"name":"Train ID","value":"240-24"},{"id":16,"name":"Locomotive ID","value":"4025"},{"id":130,"name":"Impact","value":""},{"id":150,"name":"Time of Event (Mountain Time)","value":"01:06:30"},{"id":151,"name":"Denver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ref="AM153:AM216" si="151">"start /low /b "&amp;dls3logs&amp;" --loco "&amp;B153&amp;" --day "&amp;TEXT(F153,"YYYY-MM-DD")</f>
        <v>start /low /b %USERPROFILE%\Documents\GitHub\eaglep3\Utilities\DownloadLogsFromS3.py --loco 4025 --day 2017-04-25</v>
      </c>
      <c r="AN153" s="154" t="str">
        <f t="shared" ref="AN153:AN216" si="152">"echo {""issue"":{""subject"":"""&amp;R153&amp;""",""project_id"":30,""tracker_id"":4,""status_id"":"&amp;redmine_status_wcr&amp;",""priority_id"":"&amp;redmine_priority_wcr&amp;",""assigned_to_id"":"&amp;redmine_assignee_wcr&amp;",""start_date"":"""&amp;TEXT(I153-utc_offset/24,"YYYY-mm-dd")&amp;""",""description"":"""&amp;AJ153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07:06:30"},{"id":29,"name":"Sharepoint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776</v>
      </c>
      <c r="B154" s="7">
        <v>4012</v>
      </c>
      <c r="C154" s="21" t="s">
        <v>212</v>
      </c>
      <c r="D154" s="21" t="s">
        <v>386</v>
      </c>
      <c r="E154" s="13">
        <v>42849.994085648148</v>
      </c>
      <c r="F154" s="13">
        <v>42850.000324074077</v>
      </c>
      <c r="G154" s="7">
        <v>1</v>
      </c>
      <c r="H154" s="21" t="s">
        <v>525</v>
      </c>
      <c r="I154" s="13">
        <v>42850.027268518519</v>
      </c>
      <c r="J154" s="7">
        <v>0</v>
      </c>
      <c r="K154" s="92" t="str">
        <f t="shared" si="142"/>
        <v>4011/4012</v>
      </c>
      <c r="L154" s="21" t="str">
        <f>VLOOKUP(A154,'Trips&amp;Operators'!$C$1:$G$99999,5,FALSE)</f>
        <v>STAMBAUGH JAMES</v>
      </c>
      <c r="M154" s="6">
        <f t="shared" si="143"/>
        <v>2.6944444442051463E-2</v>
      </c>
      <c r="N154" s="7">
        <f t="shared" si="136"/>
        <v>38.799999996554106</v>
      </c>
      <c r="O154" s="7"/>
      <c r="P154" s="7"/>
      <c r="Q154" s="22"/>
      <c r="R154" s="191"/>
      <c r="S154" s="197">
        <f t="shared" si="141"/>
        <v>1</v>
      </c>
      <c r="T154" s="191" t="str">
        <f t="shared" si="144"/>
        <v>NorthBound</v>
      </c>
      <c r="U154" s="19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2" t="str">
        <f t="shared" si="138"/>
        <v>https://d0f6bd738d7f1b3e5a7ca70fe4ff75f0.us-east-1.aws.found.io/app/kibana#/discover/Steve-Slow-Train-Analysis-(2080s-and-2083s)?_g=(refreshInterval:(display:Off,pause:!f,section:0,value:0),time:(from:'2017-04-24T22:51:29-0600',mode:absolute,to:'2017-04-25T01:39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4" s="193" t="str">
        <f t="shared" si="145"/>
        <v>N</v>
      </c>
      <c r="X154" s="193">
        <f t="shared" si="137"/>
        <v>1</v>
      </c>
      <c r="Y154" s="193">
        <f t="shared" ref="Y154:Y185" si="153">RIGHT(D154,LEN(D154)-4)/10000</f>
        <v>4.4600000000000001E-2</v>
      </c>
      <c r="Z154" s="193">
        <f t="shared" ref="Z154:Z185" si="154">RIGHT(H154,LEN(H154)-4)/10000</f>
        <v>23.339700000000001</v>
      </c>
      <c r="AA154" s="193">
        <f t="shared" si="146"/>
        <v>23.295100000000001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147"/>
        <v>0241-24</v>
      </c>
      <c r="AE154" s="80" t="str">
        <f t="shared" si="139"/>
        <v>aws s3 cp s3://rtdc.mdm.uploadarchive.raw/RTDC4012/ "%USERPROFILE%\AppData\Local\Temp\OnboardLogs"\RTDC4012\2017-04-25 --exclude "*" --recursive --include "*20170425*" &amp; "%USERPROFILE%\Documents\GitHub\mrs-test-scripts\Headless Mode &amp; Sideloading\WalkAndUnGZ.bat" "%USERPROFILE%\AppData\Local\Temp\OnboardLogs"\RTDC4012\2017-04-25 &amp; aws s3 cp s3://rtdc.mdm.uploadarchive.raw/RTDC4012/ "%USERPROFILE%\AppData\Local\Temp\OnboardLogs"\RTDC4012\2017-04-26 --exclude "*" --recursive --include "*20170426*" &amp; "%USERPROFILE%\Documents\GitHub\mrs-test-scripts\Headless Mode &amp; Sideloading\WalkAndUnGZ.bat" "%USERPROFILE%\AppData\Local\Temp\OnboardLogs"\RTDC4012\2017-04-26</v>
      </c>
      <c r="AF154" s="77" t="str">
        <f t="shared" si="140"/>
        <v>"C:\Program Files (x86)\AstroGrep\AstroGrep.exe" /e /r /s /spath="%USERPROFILE%\AppData\Local\Temp\OnboardLogs" /stypes="app*4012*20170425*" /stext=" 06:.+((SYSTEM_STATE.+slice.+state.+changed )|(ment ac)|(multiple cpu faults)|(system.+state.+changed )|(\[timeout)|(PRM\|1\|D)|(kpr)|(kdp)|(train.+moving)|(\|lc)|(penalty))"</v>
      </c>
      <c r="AG154" s="1" t="str">
        <f t="shared" si="148"/>
        <v>EC</v>
      </c>
      <c r="AH154" s="81" t="str">
        <f t="shared" si="149"/>
        <v>"%USERPROFILE%\Documents\GitHub\eaglep3\Utilities\RefineRTDCRunTimes.py" --tripid 241-24 --locoid 4012 --swversion DE.1.0.9.0 --startMP 204:446 --initTime 2017-04-24T23:51:29 --startdatetime 2017-04-25T00:00:28 --delay 1 --endMP 204:233397 --enddatetime 2017-04-25T00:39:16 --enforcementcount 0 &gt;&gt;C:\Users\stu\Documents\GitHub\eaglep3-reporting\EC\2017-04-24-refined-times.txt</v>
      </c>
      <c r="AI154" s="99" t="str">
        <f t="shared" si="150"/>
        <v>echo {"issue":{"subject":"","project_id":79,"tracker_id":40,"status_id":1,"priority_id":2,"assigned_to_id":23,"start_date":"2017-04-25","description":"","custom_fields":[{"id":1,"name":"Subdivision","value":"EC"},{"id":4,"name":"Milepost","value":"23.3397"},{"id":17,"name":"Train ID","value":"241-24"},{"id":16,"name":"Locomotive ID","value":"4012"},{"id":130,"name":"Impact","value":""},{"id":150,"name":"Time of Event (Mountain Time)","value":"00:39:16"},{"id":151,"name":"Denver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151"/>
        <v>start /low /b %USERPROFILE%\Documents\GitHub\eaglep3\Utilities\DownloadLogsFromS3.py --loco 4012 --day 2017-04-25</v>
      </c>
      <c r="AN154" s="154" t="str">
        <f t="shared" si="152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06:39:16"},{"id":29,"name":"Sharepoint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780</v>
      </c>
      <c r="B155" s="7">
        <v>4011</v>
      </c>
      <c r="C155" s="21" t="s">
        <v>212</v>
      </c>
      <c r="D155" s="21" t="s">
        <v>857</v>
      </c>
      <c r="E155" s="13">
        <v>42850.036423611113</v>
      </c>
      <c r="F155" s="13">
        <v>42850.039166666669</v>
      </c>
      <c r="G155" s="7">
        <v>1</v>
      </c>
      <c r="H155" s="21" t="s">
        <v>420</v>
      </c>
      <c r="I155" s="13">
        <v>42850.068668981483</v>
      </c>
      <c r="J155" s="7">
        <v>0</v>
      </c>
      <c r="K155" s="92" t="str">
        <f t="shared" si="142"/>
        <v>4011/4012</v>
      </c>
      <c r="L155" s="21" t="str">
        <f>VLOOKUP(A155,'Trips&amp;Operators'!$C$1:$G$99999,5,FALSE)</f>
        <v>STAMBAUGH JAMES</v>
      </c>
      <c r="M155" s="6">
        <f t="shared" si="143"/>
        <v>2.9502314813726116E-2</v>
      </c>
      <c r="N155" s="7">
        <f t="shared" si="136"/>
        <v>42.483333331765607</v>
      </c>
      <c r="O155" s="7"/>
      <c r="P155" s="7"/>
      <c r="Q155" s="22"/>
      <c r="R155" s="191"/>
      <c r="S155" s="197">
        <f t="shared" si="141"/>
        <v>1</v>
      </c>
      <c r="T155" s="191" t="str">
        <f t="shared" si="144"/>
        <v>Southbound</v>
      </c>
      <c r="U155" s="19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2" t="str">
        <f t="shared" si="138"/>
        <v>https://d0f6bd738d7f1b3e5a7ca70fe4ff75f0.us-east-1.aws.found.io/app/kibana#/discover/Steve-Slow-Train-Analysis-(2080s-and-2083s)?_g=(refreshInterval:(display:Off,pause:!f,section:0,value:0),time:(from:'2017-04-24T23:52:27-0600',mode:absolute,to:'2017-04-25T02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5" s="193" t="str">
        <f t="shared" si="145"/>
        <v>N</v>
      </c>
      <c r="X155" s="193">
        <f t="shared" si="137"/>
        <v>1</v>
      </c>
      <c r="Y155" s="193">
        <f t="shared" si="153"/>
        <v>23.305700000000002</v>
      </c>
      <c r="Z155" s="193">
        <f t="shared" si="154"/>
        <v>1.49E-2</v>
      </c>
      <c r="AA155" s="193">
        <f t="shared" si="146"/>
        <v>23.290800000000001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147"/>
        <v>0242-24</v>
      </c>
      <c r="AE155" s="80" t="str">
        <f t="shared" si="139"/>
        <v>aws s3 cp s3://rtdc.mdm.uploadarchive.raw/RTDC4011/ "%USERPROFILE%\AppData\Local\Temp\OnboardLogs"\RTDC4011\2017-04-25 --exclude "*" --recursive --include "*20170425*" &amp; "%USERPROFILE%\Documents\GitHub\mrs-test-scripts\Headless Mode &amp; Sideloading\WalkAndUnGZ.bat" "%USERPROFILE%\AppData\Local\Temp\OnboardLogs"\RTDC4011\2017-04-25 &amp; aws s3 cp s3://rtdc.mdm.uploadarchive.raw/RTDC4011/ "%USERPROFILE%\AppData\Local\Temp\OnboardLogs"\RTDC4011\2017-04-26 --exclude "*" --recursive --include "*20170426*" &amp; "%USERPROFILE%\Documents\GitHub\mrs-test-scripts\Headless Mode &amp; Sideloading\WalkAndUnGZ.bat" "%USERPROFILE%\AppData\Local\Temp\OnboardLogs"\RTDC4011\2017-04-26</v>
      </c>
      <c r="AF155" s="77" t="str">
        <f t="shared" si="140"/>
        <v>"C:\Program Files (x86)\AstroGrep\AstroGrep.exe" /e /r /s /spath="%USERPROFILE%\AppData\Local\Temp\OnboardLogs" /stypes="app*4011*20170425*" /stext=" 07:.+((SYSTEM_STATE.+slice.+state.+changed )|(ment ac)|(multiple cpu faults)|(system.+state.+changed )|(\[timeout)|(PRM\|1\|D)|(kpr)|(kdp)|(train.+moving)|(\|lc)|(penalty))"</v>
      </c>
      <c r="AG155" s="1" t="str">
        <f t="shared" si="148"/>
        <v>EC</v>
      </c>
      <c r="AH155" s="81" t="str">
        <f t="shared" si="149"/>
        <v>"%USERPROFILE%\Documents\GitHub\eaglep3\Utilities\RefineRTDCRunTimes.py" --tripid 242-24 --locoid 4011 --swversion DE.1.0.9.0 --startMP 204:233057 --initTime 2017-04-25T00:52:27 --startdatetime 2017-04-25T00:56:24 --delay 1 --endMP 204:149 --enddatetime 2017-04-25T01:38:53 --enforcementcount 0 &gt;&gt;C:\Users\stu\Documents\GitHub\eaglep3-reporting\EC\2017-04-24-refined-times.txt</v>
      </c>
      <c r="AI155" s="99" t="str">
        <f t="shared" si="150"/>
        <v>echo {"issue":{"subject":"","project_id":79,"tracker_id":40,"status_id":1,"priority_id":2,"assigned_to_id":23,"start_date":"2017-04-25","description":"","custom_fields":[{"id":1,"name":"Subdivision","value":"EC"},{"id":4,"name":"Milepost","value":"0.0149"},{"id":17,"name":"Train ID","value":"242-24"},{"id":16,"name":"Locomotive ID","value":"4011"},{"id":130,"name":"Impact","value":""},{"id":150,"name":"Time of Event (Mountain Time)","value":"01:38:53"},{"id":151,"name":"Denver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151"/>
        <v>start /low /b %USERPROFILE%\Documents\GitHub\eaglep3\Utilities\DownloadLogsFromS3.py --loco 4011 --day 2017-04-25</v>
      </c>
      <c r="AN155" s="154" t="str">
        <f t="shared" si="152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07:38:53"},{"id":29,"name":"Sharepoint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777</v>
      </c>
      <c r="B156" s="7">
        <v>4028</v>
      </c>
      <c r="C156" s="21" t="s">
        <v>212</v>
      </c>
      <c r="D156" s="21" t="s">
        <v>204</v>
      </c>
      <c r="E156" s="13">
        <v>42850.006099537037</v>
      </c>
      <c r="F156" s="13">
        <v>42850.021145833336</v>
      </c>
      <c r="G156" s="7">
        <v>1</v>
      </c>
      <c r="H156" s="21" t="s">
        <v>532</v>
      </c>
      <c r="I156" s="13">
        <v>42850.046157407407</v>
      </c>
      <c r="J156" s="7">
        <v>0</v>
      </c>
      <c r="K156" s="92" t="str">
        <f t="shared" si="142"/>
        <v>4027/4028</v>
      </c>
      <c r="L156" s="21" t="str">
        <f>VLOOKUP(A156,'Trips&amp;Operators'!$C$1:$G$99999,5,FALSE)</f>
        <v>STORY SAMANTHA</v>
      </c>
      <c r="M156" s="6">
        <f t="shared" si="143"/>
        <v>2.5011574070958886E-2</v>
      </c>
      <c r="N156" s="7">
        <f t="shared" si="136"/>
        <v>36.016666662180796</v>
      </c>
      <c r="O156" s="7"/>
      <c r="P156" s="7"/>
      <c r="Q156" s="22"/>
      <c r="R156" s="191"/>
      <c r="S156" s="197">
        <f t="shared" si="141"/>
        <v>1</v>
      </c>
      <c r="T156" s="191" t="str">
        <f t="shared" si="144"/>
        <v>NorthBound</v>
      </c>
      <c r="U156" s="19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2" t="str">
        <f t="shared" si="138"/>
        <v>https://d0f6bd738d7f1b3e5a7ca70fe4ff75f0.us-east-1.aws.found.io/app/kibana#/discover/Steve-Slow-Train-Analysis-(2080s-and-2083s)?_g=(refreshInterval:(display:Off,pause:!f,section:0,value:0),time:(from:'2017-04-24T23:08:47-0600',mode:absolute,to:'2017-04-25T02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6" s="193" t="str">
        <f t="shared" si="145"/>
        <v>N</v>
      </c>
      <c r="X156" s="193">
        <f t="shared" si="137"/>
        <v>1</v>
      </c>
      <c r="Y156" s="193">
        <f t="shared" si="153"/>
        <v>4.5699999999999998E-2</v>
      </c>
      <c r="Z156" s="193">
        <f t="shared" si="154"/>
        <v>23.334599999999998</v>
      </c>
      <c r="AA156" s="193">
        <f t="shared" si="146"/>
        <v>23.288899999999998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147"/>
        <v>0243-24</v>
      </c>
      <c r="AE156" s="80" t="str">
        <f t="shared" si="139"/>
        <v>aws s3 cp s3://rtdc.mdm.uploadarchive.raw/RTDC4028/ "%USERPROFILE%\AppData\Local\Temp\OnboardLogs"\RTDC4028\2017-04-25 --exclude "*" --recursive --include "*20170425*" &amp; "%USERPROFILE%\Documents\GitHub\mrs-test-scripts\Headless Mode &amp; Sideloading\WalkAndUnGZ.bat" "%USERPROFILE%\AppData\Local\Temp\OnboardLogs"\RTDC4028\2017-04-25 &amp; aws s3 cp s3://rtdc.mdm.uploadarchive.raw/RTDC4028/ "%USERPROFILE%\AppData\Local\Temp\OnboardLogs"\RTDC4028\2017-04-26 --exclude "*" --recursive --include "*20170426*" &amp; "%USERPROFILE%\Documents\GitHub\mrs-test-scripts\Headless Mode &amp; Sideloading\WalkAndUnGZ.bat" "%USERPROFILE%\AppData\Local\Temp\OnboardLogs"\RTDC4028\2017-04-26</v>
      </c>
      <c r="AF156" s="77" t="str">
        <f t="shared" si="140"/>
        <v>"C:\Program Files (x86)\AstroGrep\AstroGrep.exe" /e /r /s /spath="%USERPROFILE%\AppData\Local\Temp\OnboardLogs" /stypes="app*4028*20170425*" /stext=" 07:.+((SYSTEM_STATE.+slice.+state.+changed )|(ment ac)|(multiple cpu faults)|(system.+state.+changed )|(\[timeout)|(PRM\|1\|D)|(kpr)|(kdp)|(train.+moving)|(\|lc)|(penalty))"</v>
      </c>
      <c r="AG156" s="1" t="str">
        <f t="shared" si="148"/>
        <v>EC</v>
      </c>
      <c r="AH156" s="81" t="str">
        <f t="shared" si="149"/>
        <v>"%USERPROFILE%\Documents\GitHub\eaglep3\Utilities\RefineRTDCRunTimes.py" --tripid 243-24 --locoid 4028 --swversion DE.1.0.9.0 --startMP 204:457 --initTime 2017-04-25T00:08:47 --startdatetime 2017-04-25T00:30:27 --delay 1 --endMP 204:233346 --enddatetime 2017-04-25T01:06:28 --enforcementcount 0 &gt;&gt;C:\Users\stu\Documents\GitHub\eaglep3-reporting\EC\2017-04-24-refined-times.txt</v>
      </c>
      <c r="AI156" s="99" t="str">
        <f t="shared" si="150"/>
        <v>echo {"issue":{"subject":"","project_id":79,"tracker_id":40,"status_id":1,"priority_id":2,"assigned_to_id":23,"start_date":"2017-04-25","description":"","custom_fields":[{"id":1,"name":"Subdivision","value":"EC"},{"id":4,"name":"Milepost","value":"23.3346"},{"id":17,"name":"Train ID","value":"243-24"},{"id":16,"name":"Locomotive ID","value":"4028"},{"id":130,"name":"Impact","value":""},{"id":150,"name":"Time of Event (Mountain Time)","value":"01:06:28"},{"id":151,"name":"Denver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151"/>
        <v>start /low /b %USERPROFILE%\Documents\GitHub\eaglep3\Utilities\DownloadLogsFromS3.py --loco 4028 --day 2017-04-25</v>
      </c>
      <c r="AN156" s="154" t="str">
        <f t="shared" si="152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07:06:28"},{"id":29,"name":"Sharepoint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782</v>
      </c>
      <c r="B157" s="7">
        <v>4027</v>
      </c>
      <c r="C157" s="21" t="s">
        <v>212</v>
      </c>
      <c r="D157" s="21" t="s">
        <v>519</v>
      </c>
      <c r="E157" s="13">
        <v>42850.050844907404</v>
      </c>
      <c r="F157" s="13">
        <v>42850.060046296298</v>
      </c>
      <c r="G157" s="7">
        <v>2</v>
      </c>
      <c r="H157" s="21" t="s">
        <v>420</v>
      </c>
      <c r="I157" s="13">
        <v>42850.088206018518</v>
      </c>
      <c r="J157" s="7">
        <v>0</v>
      </c>
      <c r="K157" s="92" t="str">
        <f t="shared" si="142"/>
        <v>4027/4028</v>
      </c>
      <c r="L157" s="21" t="str">
        <f>VLOOKUP(A157,'Trips&amp;Operators'!$C$1:$G$99999,5,FALSE)</f>
        <v>STORY SAMANTHA</v>
      </c>
      <c r="M157" s="6">
        <f t="shared" si="143"/>
        <v>2.8159722220152617E-2</v>
      </c>
      <c r="N157" s="7">
        <f t="shared" si="136"/>
        <v>40.549999997019768</v>
      </c>
      <c r="O157" s="7"/>
      <c r="P157" s="7"/>
      <c r="Q157" s="22"/>
      <c r="R157" s="191"/>
      <c r="S157" s="197">
        <f t="shared" si="141"/>
        <v>1</v>
      </c>
      <c r="T157" s="191" t="str">
        <f t="shared" si="144"/>
        <v>Southbound</v>
      </c>
      <c r="U157" s="19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2" t="str">
        <f t="shared" si="138"/>
        <v>https://d0f6bd738d7f1b3e5a7ca70fe4ff75f0.us-east-1.aws.found.io/app/kibana#/discover/Steve-Slow-Train-Analysis-(2080s-and-2083s)?_g=(refreshInterval:(display:Off,pause:!f,section:0,value:0),time:(from:'2017-04-25T00:13:13-0600',mode:absolute,to:'2017-04-25T03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7" s="193" t="str">
        <f t="shared" si="145"/>
        <v>N</v>
      </c>
      <c r="X157" s="193">
        <f t="shared" si="137"/>
        <v>1</v>
      </c>
      <c r="Y157" s="193">
        <f t="shared" si="153"/>
        <v>23.302099999999999</v>
      </c>
      <c r="Z157" s="193">
        <f t="shared" si="154"/>
        <v>1.49E-2</v>
      </c>
      <c r="AA157" s="193">
        <f t="shared" si="146"/>
        <v>23.287199999999999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147"/>
        <v>0244-24</v>
      </c>
      <c r="AE157" s="80" t="str">
        <f t="shared" si="139"/>
        <v>aws s3 cp s3://rtdc.mdm.uploadarchive.raw/RTDC4027/ "%USERPROFILE%\AppData\Local\Temp\OnboardLogs"\RTDC4027\2017-04-25 --exclude "*" --recursive --include "*20170425*" &amp; "%USERPROFILE%\Documents\GitHub\mrs-test-scripts\Headless Mode &amp; Sideloading\WalkAndUnGZ.bat" "%USERPROFILE%\AppData\Local\Temp\OnboardLogs"\RTDC4027\2017-04-25 &amp; aws s3 cp s3://rtdc.mdm.uploadarchive.raw/RTDC4027/ "%USERPROFILE%\AppData\Local\Temp\OnboardLogs"\RTDC4027\2017-04-26 --exclude "*" --recursive --include "*20170426*" &amp; "%USERPROFILE%\Documents\GitHub\mrs-test-scripts\Headless Mode &amp; Sideloading\WalkAndUnGZ.bat" "%USERPROFILE%\AppData\Local\Temp\OnboardLogs"\RTDC4027\2017-04-26</v>
      </c>
      <c r="AF157" s="77" t="str">
        <f t="shared" si="140"/>
        <v>"C:\Program Files (x86)\AstroGrep\AstroGrep.exe" /e /r /s /spath="%USERPROFILE%\AppData\Local\Temp\OnboardLogs" /stypes="app*4027*20170425*" /stext=" 08:.+((SYSTEM_STATE.+slice.+state.+changed )|(ment ac)|(multiple cpu faults)|(system.+state.+changed )|(\[timeout)|(PRM\|1\|D)|(kpr)|(kdp)|(train.+moving)|(\|lc)|(penalty))"</v>
      </c>
      <c r="AG157" s="1" t="str">
        <f t="shared" si="148"/>
        <v>EC</v>
      </c>
      <c r="AH157" s="81" t="str">
        <f t="shared" si="149"/>
        <v>"%USERPROFILE%\Documents\GitHub\eaglep3\Utilities\RefineRTDCRunTimes.py" --tripid 244-24 --locoid 4027 --swversion DE.1.0.9.0 --startMP 204:233021 --initTime 2017-04-25T01:13:13 --startdatetime 2017-04-25T01:26:28 --delay 2 --endMP 204:149 --enddatetime 2017-04-25T02:07:01 --enforcementcount 0 &gt;&gt;C:\Users\stu\Documents\GitHub\eaglep3-reporting\EC\2017-04-24-refined-times.txt</v>
      </c>
      <c r="AI157" s="99" t="str">
        <f t="shared" si="150"/>
        <v>echo {"issue":{"subject":"","project_id":79,"tracker_id":40,"status_id":1,"priority_id":2,"assigned_to_id":23,"start_date":"2017-04-25","description":"","custom_fields":[{"id":1,"name":"Subdivision","value":"EC"},{"id":4,"name":"Milepost","value":"0.0149"},{"id":17,"name":"Train ID","value":"244-24"},{"id":16,"name":"Locomotive ID","value":"4027"},{"id":130,"name":"Impact","value":""},{"id":150,"name":"Time of Event (Mountain Time)","value":"02:07:01"},{"id":151,"name":"Denver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151"/>
        <v>start /low /b %USERPROFILE%\Documents\GitHub\eaglep3\Utilities\DownloadLogsFromS3.py --loco 4027 --day 2017-04-25</v>
      </c>
      <c r="AN157" s="154" t="str">
        <f t="shared" si="152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08:07:01"},{"id":29,"name":"Sharepoint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2" t="s">
        <v>606</v>
      </c>
      <c r="B158" s="7">
        <v>4053</v>
      </c>
      <c r="C158" s="21" t="s">
        <v>212</v>
      </c>
      <c r="D158" s="21" t="s">
        <v>871</v>
      </c>
      <c r="E158" s="13">
        <v>42849.214363425926</v>
      </c>
      <c r="F158" s="13">
        <v>42849.215578703705</v>
      </c>
      <c r="G158" s="7">
        <v>1</v>
      </c>
      <c r="H158" s="21" t="s">
        <v>872</v>
      </c>
      <c r="I158" s="13">
        <v>42849.225856481484</v>
      </c>
      <c r="J158" s="7">
        <v>0</v>
      </c>
      <c r="K158" s="92" t="str">
        <f t="shared" si="142"/>
        <v>4053/4054</v>
      </c>
      <c r="L158" s="21" t="str">
        <f>VLOOKUP(A158,'Trips&amp;Operators'!$C$1:$G$99999,5,FALSE)</f>
        <v>DAVIS WENDY</v>
      </c>
      <c r="M158" s="6">
        <f t="shared" si="143"/>
        <v>1.0277777779265307E-2</v>
      </c>
      <c r="N158" s="7">
        <f t="shared" ref="N158:N189" si="155">24*60*SUM($M158:$M158)</f>
        <v>14.800000002142042</v>
      </c>
      <c r="O158" s="7"/>
      <c r="P158" s="7"/>
      <c r="Q158" s="22"/>
      <c r="R158" s="191"/>
      <c r="S158" s="197">
        <f t="shared" si="141"/>
        <v>1</v>
      </c>
      <c r="T158" s="191" t="str">
        <f t="shared" si="144"/>
        <v>Southbound</v>
      </c>
      <c r="U158" s="19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2" t="str">
        <f t="shared" si="138"/>
        <v>https://d0f6bd738d7f1b3e5a7ca70fe4ff75f0.us-east-1.aws.found.io/app/kibana#/discover/Steve-Slow-Train-Analysis-(2080s-and-2083s)?_g=(refreshInterval:(display:Off,pause:!f,section:0,value:0),time:(from:'2017-04-24T04:08:41-0600',mode:absolute,to:'2017-04-24T06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8" s="193" t="str">
        <f t="shared" si="145"/>
        <v>N</v>
      </c>
      <c r="X158" s="193">
        <f t="shared" si="137"/>
        <v>556</v>
      </c>
      <c r="Y158" s="193">
        <f t="shared" si="153"/>
        <v>5.8686999999999996</v>
      </c>
      <c r="Z158" s="193">
        <f t="shared" si="154"/>
        <v>6.5699999999999995E-2</v>
      </c>
      <c r="AA158" s="193">
        <f t="shared" si="146"/>
        <v>5.8029999999999999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147"/>
        <v>0800-24</v>
      </c>
      <c r="AE158" s="80" t="str">
        <f t="shared" si="139"/>
        <v>aws s3 cp s3://rtdc.mdm.uploadarchive.raw/RTDC4053/ "%USERPROFILE%\AppData\Local\Temp\OnboardLogs"\RTDC4053\2017-04-24 --exclude "*" --recursive --include "*20170424*" &amp; "%USERPROFILE%\Documents\GitHub\mrs-test-scripts\Headless Mode &amp; Sideloading\WalkAndUnGZ.bat" "%USERPROFILE%\AppData\Local\Temp\OnboardLogs"\RTDC4053\2017-04-24 &amp; aws s3 cp s3://rtdc.mdm.uploadarchive.raw/RTDC4053/ "%USERPROFILE%\AppData\Local\Temp\OnboardLogs"\RTDC4053\2017-04-25 --exclude "*" --recursive --include "*20170425*" &amp; "%USERPROFILE%\Documents\GitHub\mrs-test-scripts\Headless Mode &amp; Sideloading\WalkAndUnGZ.bat" "%USERPROFILE%\AppData\Local\Temp\OnboardLogs"\RTDC4053\2017-04-25</v>
      </c>
      <c r="AF158" s="77" t="str">
        <f t="shared" si="140"/>
        <v>"C:\Program Files (x86)\AstroGrep\AstroGrep.exe" /e /r /s /spath="%USERPROFILE%\AppData\Local\Temp\OnboardLogs" /stypes="app*4053*20170424*" /stext=" 11:.+((SYSTEM_STATE.+slice.+state.+changed )|(ment ac)|(multiple cpu faults)|(system.+state.+changed )|(\[timeout)|(PRM\|1\|D)|(kpr)|(kdp)|(train.+moving)|(\|lc)|(penalty))"</v>
      </c>
      <c r="AG158" s="1" t="str">
        <f t="shared" si="148"/>
        <v>NW</v>
      </c>
      <c r="AH158" s="81" t="str">
        <f t="shared" si="149"/>
        <v>"%USERPROFILE%\Documents\GitHub\eaglep3\Utilities\RefineRTDCRunTimes.py" --tripid 800-24 --locoid 4053 --swversion DE.1.0.9.0 --startMP 300:58687 --initTime 2017-04-24T05:08:41 --startdatetime 2017-04-24T05:10:26 --delay 1 --endMP 204:657 --enddatetime 2017-04-24T05:25:14 --enforcementcount 0 &gt;&gt;C:\Users\stu\Documents\GitHub\eaglep3-reporting\EC\2017-04-24-refined-times.txt</v>
      </c>
      <c r="AI158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{"issue":{"subject":"","project_id":79,"tracker_id":40,"status_id":1,"priority_id":2,"assigned_to_id":23,"start_date":"2017-04-24","description":"","custom_fields":[{"id":1,"name":"Subdivision","value":"NW"},{"id":4,"name":"Milepost","value":"0.0657"},{"id":17,"name":"Train ID","value":"800-24"},{"id":16,"name":"Locomotive ID","value":"4053"},{"id":130,"name":"Impact","value":""},{"id":150,"name":"Time of Event (Mountain Time)","value":"05:25:14"},{"id":151,"name":"Denver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151"/>
        <v>start /low /b %USERPROFILE%\Documents\GitHub\eaglep3\Utilities\DownloadLogsFromS3.py --loco 4053 --day 2017-04-24</v>
      </c>
      <c r="AN158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11:25:14"},{"id":29,"name":"Sharepoint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546</v>
      </c>
      <c r="B159" s="7">
        <v>4054</v>
      </c>
      <c r="C159" s="21" t="s">
        <v>212</v>
      </c>
      <c r="D159" s="21" t="s">
        <v>873</v>
      </c>
      <c r="E159" s="13">
        <v>42849.239259259259</v>
      </c>
      <c r="F159" s="13">
        <v>42849.244212962964</v>
      </c>
      <c r="G159" s="7">
        <v>1</v>
      </c>
      <c r="H159" s="21" t="s">
        <v>874</v>
      </c>
      <c r="I159" s="13">
        <v>42849.253333333334</v>
      </c>
      <c r="J159" s="7">
        <v>0</v>
      </c>
      <c r="K159" s="92" t="str">
        <f t="shared" si="142"/>
        <v>4053/4054</v>
      </c>
      <c r="L159" s="21" t="str">
        <f>VLOOKUP(A159,'Trips&amp;Operators'!$C$1:$G$99999,5,FALSE)</f>
        <v>DAVIS WENDY</v>
      </c>
      <c r="M159" s="6">
        <f t="shared" si="143"/>
        <v>9.1203703705104999E-3</v>
      </c>
      <c r="N159" s="7">
        <f t="shared" si="155"/>
        <v>13.13333333353512</v>
      </c>
      <c r="O159" s="7"/>
      <c r="P159" s="7"/>
      <c r="Q159" s="22"/>
      <c r="R159" s="191"/>
      <c r="S159" s="197">
        <f t="shared" si="141"/>
        <v>1</v>
      </c>
      <c r="T159" s="191" t="str">
        <f t="shared" si="144"/>
        <v>NorthBound</v>
      </c>
      <c r="U159" s="19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2" t="str">
        <f t="shared" si="138"/>
        <v>https://d0f6bd738d7f1b3e5a7ca70fe4ff75f0.us-east-1.aws.found.io/app/kibana#/discover/Steve-Slow-Train-Analysis-(2080s-and-2083s)?_g=(refreshInterval:(display:Off,pause:!f,section:0,value:0),time:(from:'2017-04-24T04:44:32-0600',mode:absolute,to:'2017-04-24T07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9" s="193" t="str">
        <f t="shared" si="145"/>
        <v>N</v>
      </c>
      <c r="X159" s="193">
        <f t="shared" si="137"/>
        <v>1</v>
      </c>
      <c r="Y159" s="193">
        <f t="shared" si="153"/>
        <v>9.3700000000000006E-2</v>
      </c>
      <c r="Z159" s="193">
        <f t="shared" si="154"/>
        <v>5.9017999999999997</v>
      </c>
      <c r="AA159" s="193">
        <f t="shared" si="146"/>
        <v>5.8080999999999996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147"/>
        <v>0801-24</v>
      </c>
      <c r="AE159" s="80" t="str">
        <f t="shared" si="139"/>
        <v>aws s3 cp s3://rtdc.mdm.uploadarchive.raw/RTDC4054/ "%USERPROFILE%\AppData\Local\Temp\OnboardLogs"\RTDC4054\2017-04-24 --exclude "*" --recursive --include "*20170424*" &amp; "%USERPROFILE%\Documents\GitHub\mrs-test-scripts\Headless Mode &amp; Sideloading\WalkAndUnGZ.bat" "%USERPROFILE%\AppData\Local\Temp\OnboardLogs"\RTDC4054\2017-04-24 &amp; aws s3 cp s3://rtdc.mdm.uploadarchive.raw/RTDC4054/ "%USERPROFILE%\AppData\Local\Temp\OnboardLogs"\RTDC4054\2017-04-25 --exclude "*" --recursive --include "*20170425*" &amp; "%USERPROFILE%\Documents\GitHub\mrs-test-scripts\Headless Mode &amp; Sideloading\WalkAndUnGZ.bat" "%USERPROFILE%\AppData\Local\Temp\OnboardLogs"\RTDC4054\2017-04-25</v>
      </c>
      <c r="AF159" s="77" t="str">
        <f t="shared" si="140"/>
        <v>"C:\Program Files (x86)\AstroGrep\AstroGrep.exe" /e /r /s /spath="%USERPROFILE%\AppData\Local\Temp\OnboardLogs" /stypes="app*4054*20170424*" /stext=" 12:.+((SYSTEM_STATE.+slice.+state.+changed )|(ment ac)|(multiple cpu faults)|(system.+state.+changed )|(\[timeout)|(PRM\|1\|D)|(kpr)|(kdp)|(train.+moving)|(\|lc)|(penalty))"</v>
      </c>
      <c r="AG159" s="1" t="str">
        <f t="shared" si="148"/>
        <v>NW</v>
      </c>
      <c r="AH159" s="81" t="str">
        <f t="shared" si="149"/>
        <v>"%USERPROFILE%\Documents\GitHub\eaglep3\Utilities\RefineRTDCRunTimes.py" --tripid 801-24 --locoid 4054 --swversion DE.1.0.9.0 --startMP 204:937 --initTime 2017-04-24T05:44:32 --startdatetime 2017-04-24T05:51:40 --delay 1 --endMP 300:59018 --enddatetime 2017-04-24T06:04:48 --enforcementcount 0 &gt;&gt;C:\Users\stu\Documents\GitHub\eaglep3-reporting\EC\2017-04-24-refined-times.txt</v>
      </c>
      <c r="AI159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{"issue":{"subject":"","project_id":79,"tracker_id":40,"status_id":1,"priority_id":2,"assigned_to_id":23,"start_date":"2017-04-24","description":"","custom_fields":[{"id":1,"name":"Subdivision","value":"NW"},{"id":4,"name":"Milepost","value":"5.9018"},{"id":17,"name":"Train ID","value":"801-24"},{"id":16,"name":"Locomotive ID","value":"4054"},{"id":130,"name":"Impact","value":""},{"id":150,"name":"Time of Event (Mountain Time)","value":"06:04:48"},{"id":151,"name":"Denver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si="151"/>
        <v>start /low /b %USERPROFILE%\Documents\GitHub\eaglep3\Utilities\DownloadLogsFromS3.py --loco 4054 --day 2017-04-24</v>
      </c>
      <c r="AN159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12:04:48"},{"id":29,"name":"Sharepoint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2" t="s">
        <v>620</v>
      </c>
      <c r="B160" s="7">
        <v>4053</v>
      </c>
      <c r="C160" s="21" t="s">
        <v>212</v>
      </c>
      <c r="D160" s="21" t="s">
        <v>875</v>
      </c>
      <c r="E160" s="13">
        <v>42849.254421296297</v>
      </c>
      <c r="F160" s="13">
        <v>42849.255787037036</v>
      </c>
      <c r="G160" s="7">
        <v>1</v>
      </c>
      <c r="H160" s="21" t="s">
        <v>876</v>
      </c>
      <c r="I160" s="13">
        <v>42849.26766203704</v>
      </c>
      <c r="J160" s="7">
        <v>0</v>
      </c>
      <c r="K160" s="92" t="str">
        <f t="shared" si="142"/>
        <v>4053/4054</v>
      </c>
      <c r="L160" s="21" t="str">
        <f>VLOOKUP(A160,'Trips&amp;Operators'!$C$1:$G$99999,5,FALSE)</f>
        <v>DAVIS WENDY</v>
      </c>
      <c r="M160" s="6">
        <f t="shared" si="143"/>
        <v>1.1875000003783498E-2</v>
      </c>
      <c r="N160" s="7">
        <f t="shared" si="155"/>
        <v>17.100000005448237</v>
      </c>
      <c r="O160" s="7"/>
      <c r="P160" s="7"/>
      <c r="Q160" s="22"/>
      <c r="R160" s="191"/>
      <c r="S160" s="197">
        <f t="shared" si="141"/>
        <v>1</v>
      </c>
      <c r="T160" s="191" t="str">
        <f t="shared" si="144"/>
        <v>Southbound</v>
      </c>
      <c r="U160" s="19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2" t="str">
        <f t="shared" si="138"/>
        <v>https://d0f6bd738d7f1b3e5a7ca70fe4ff75f0.us-east-1.aws.found.io/app/kibana#/discover/Steve-Slow-Train-Analysis-(2080s-and-2083s)?_g=(refreshInterval:(display:Off,pause:!f,section:0,value:0),time:(from:'2017-04-24T05:06:22-0600',mode:absolute,to:'2017-04-24T07:25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0" s="193" t="str">
        <f t="shared" si="145"/>
        <v>N</v>
      </c>
      <c r="X160" s="193">
        <f t="shared" si="137"/>
        <v>1</v>
      </c>
      <c r="Y160" s="193">
        <f t="shared" si="153"/>
        <v>5.87</v>
      </c>
      <c r="Z160" s="193">
        <f t="shared" si="154"/>
        <v>6.4299999999999996E-2</v>
      </c>
      <c r="AA160" s="193">
        <f t="shared" si="146"/>
        <v>5.8056999999999999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147"/>
        <v>0802-24</v>
      </c>
      <c r="AE160" s="80" t="str">
        <f t="shared" si="139"/>
        <v>aws s3 cp s3://rtdc.mdm.uploadarchive.raw/RTDC4053/ "%USERPROFILE%\AppData\Local\Temp\OnboardLogs"\RTDC4053\2017-04-24 --exclude "*" --recursive --include "*20170424*" &amp; "%USERPROFILE%\Documents\GitHub\mrs-test-scripts\Headless Mode &amp; Sideloading\WalkAndUnGZ.bat" "%USERPROFILE%\AppData\Local\Temp\OnboardLogs"\RTDC4053\2017-04-24 &amp; aws s3 cp s3://rtdc.mdm.uploadarchive.raw/RTDC4053/ "%USERPROFILE%\AppData\Local\Temp\OnboardLogs"\RTDC4053\2017-04-25 --exclude "*" --recursive --include "*20170425*" &amp; "%USERPROFILE%\Documents\GitHub\mrs-test-scripts\Headless Mode &amp; Sideloading\WalkAndUnGZ.bat" "%USERPROFILE%\AppData\Local\Temp\OnboardLogs"\RTDC4053\2017-04-25</v>
      </c>
      <c r="AF160" s="77" t="str">
        <f t="shared" si="140"/>
        <v>"C:\Program Files (x86)\AstroGrep\AstroGrep.exe" /e /r /s /spath="%USERPROFILE%\AppData\Local\Temp\OnboardLogs" /stypes="app*4053*20170424*" /stext=" 12:.+((SYSTEM_STATE.+slice.+state.+changed )|(ment ac)|(multiple cpu faults)|(system.+state.+changed )|(\[timeout)|(PRM\|1\|D)|(kpr)|(kdp)|(train.+moving)|(\|lc)|(penalty))"</v>
      </c>
      <c r="AG160" s="1" t="str">
        <f t="shared" si="148"/>
        <v>NW</v>
      </c>
      <c r="AH160" s="81" t="str">
        <f t="shared" si="149"/>
        <v>"%USERPROFILE%\Documents\GitHub\eaglep3\Utilities\RefineRTDCRunTimes.py" --tripid 802-24 --locoid 4053 --swversion DE.1.0.9.0 --startMP 300:58700 --initTime 2017-04-24T06:06:22 --startdatetime 2017-04-24T06:08:20 --delay 1 --endMP 204:643 --enddatetime 2017-04-24T06:25:26 --enforcementcount 0 &gt;&gt;C:\Users\stu\Documents\GitHub\eaglep3-reporting\EC\2017-04-24-refined-times.txt</v>
      </c>
      <c r="AI160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{"issue":{"subject":"","project_id":79,"tracker_id":40,"status_id":1,"priority_id":2,"assigned_to_id":23,"start_date":"2017-04-24","description":"","custom_fields":[{"id":1,"name":"Subdivision","value":"NW"},{"id":4,"name":"Milepost","value":"0.0643"},{"id":17,"name":"Train ID","value":"802-24"},{"id":16,"name":"Locomotive ID","value":"4053"},{"id":130,"name":"Impact","value":""},{"id":150,"name":"Time of Event (Mountain Time)","value":"06:25:26"},{"id":151,"name":"Denver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5" t="str">
        <f t="shared" si="151"/>
        <v>start /low /b %USERPROFILE%\Documents\GitHub\eaglep3\Utilities\DownloadLogsFromS3.py --loco 4053 --day 2017-04-24</v>
      </c>
      <c r="AN160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12:25:26"},{"id":29,"name":"Sharepoint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x14ac:dyDescent="0.25">
      <c r="A161" s="32" t="s">
        <v>622</v>
      </c>
      <c r="B161" s="7">
        <v>4064</v>
      </c>
      <c r="C161" s="21" t="s">
        <v>212</v>
      </c>
      <c r="D161" s="21" t="s">
        <v>877</v>
      </c>
      <c r="E161" s="13">
        <v>42849.261967592596</v>
      </c>
      <c r="F161" s="13">
        <v>42849.264930555553</v>
      </c>
      <c r="G161" s="7">
        <v>1</v>
      </c>
      <c r="H161" s="21" t="s">
        <v>878</v>
      </c>
      <c r="I161" s="13">
        <v>42849.273726851854</v>
      </c>
      <c r="J161" s="7">
        <v>0</v>
      </c>
      <c r="K161" s="92" t="str">
        <f t="shared" si="142"/>
        <v>4063/4064</v>
      </c>
      <c r="L161" s="21" t="str">
        <f>VLOOKUP(A161,'Trips&amp;Operators'!$C$1:$G$99999,5,FALSE)</f>
        <v>ZEWDU DEREJE</v>
      </c>
      <c r="M161" s="6">
        <f t="shared" si="143"/>
        <v>8.7962963007157668E-3</v>
      </c>
      <c r="N161" s="7">
        <f t="shared" si="155"/>
        <v>12.666666673030704</v>
      </c>
      <c r="O161" s="7"/>
      <c r="P161" s="7"/>
      <c r="Q161" s="22"/>
      <c r="R161" s="191"/>
      <c r="S161" s="197">
        <f t="shared" si="141"/>
        <v>1</v>
      </c>
      <c r="T161" s="191" t="str">
        <f t="shared" si="144"/>
        <v>NorthBound</v>
      </c>
      <c r="U161" s="19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2" t="str">
        <f t="shared" si="138"/>
        <v>https://d0f6bd738d7f1b3e5a7ca70fe4ff75f0.us-east-1.aws.found.io/app/kibana#/discover/Steve-Slow-Train-Analysis-(2080s-and-2083s)?_g=(refreshInterval:(display:Off,pause:!f,section:0,value:0),time:(from:'2017-04-24T05:17:14-0600',mode:absolute,to:'2017-04-24T07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1" s="193" t="str">
        <f t="shared" si="145"/>
        <v>N</v>
      </c>
      <c r="X161" s="193">
        <f t="shared" ref="X161:X192" si="156">VALUE(LEFT(AD161,4))-VALUE(LEFT(AD160,4))</f>
        <v>1</v>
      </c>
      <c r="Y161" s="193">
        <f t="shared" si="153"/>
        <v>9.2899999999999996E-2</v>
      </c>
      <c r="Z161" s="193">
        <f t="shared" si="154"/>
        <v>5.8964999999999996</v>
      </c>
      <c r="AA161" s="193">
        <f t="shared" si="146"/>
        <v>5.8035999999999994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147"/>
        <v>0803-24</v>
      </c>
      <c r="AE161" s="80" t="str">
        <f t="shared" si="139"/>
        <v>aws s3 cp s3://rtdc.mdm.uploadarchive.raw/RTDC4064/ "%USERPROFILE%\AppData\Local\Temp\OnboardLogs"\RTDC4064\2017-04-24 --exclude "*" --recursive --include "*20170424*" &amp; "%USERPROFILE%\Documents\GitHub\mrs-test-scripts\Headless Mode &amp; Sideloading\WalkAndUnGZ.bat" "%USERPROFILE%\AppData\Local\Temp\OnboardLogs"\RTDC4064\2017-04-24 &amp; 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</v>
      </c>
      <c r="AF161" s="77" t="str">
        <f t="shared" si="140"/>
        <v>"C:\Program Files (x86)\AstroGrep\AstroGrep.exe" /e /r /s /spath="%USERPROFILE%\AppData\Local\Temp\OnboardLogs" /stypes="app*4064*20170424*" /stext=" 12:.+((SYSTEM_STATE.+slice.+state.+changed )|(ment ac)|(multiple cpu faults)|(system.+state.+changed )|(\[timeout)|(PRM\|1\|D)|(kpr)|(kdp)|(train.+moving)|(\|lc)|(penalty))"</v>
      </c>
      <c r="AG161" s="1" t="str">
        <f t="shared" si="148"/>
        <v>NW</v>
      </c>
      <c r="AH161" s="81" t="str">
        <f t="shared" si="149"/>
        <v>"%USERPROFILE%\Documents\GitHub\eaglep3\Utilities\RefineRTDCRunTimes.py" --tripid 803-24 --locoid 4064 --swversion DE.1.0.9.0 --startMP 204:929 --initTime 2017-04-24T06:17:14 --startdatetime 2017-04-24T06:21:30 --delay 1 --endMP 300:58965 --enddatetime 2017-04-24T06:34:10 --enforcementcount 0 &gt;&gt;C:\Users\stu\Documents\GitHub\eaglep3-reporting\EC\2017-04-24-refined-times.txt</v>
      </c>
      <c r="AI161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{"issue":{"subject":"","project_id":79,"tracker_id":40,"status_id":1,"priority_id":2,"assigned_to_id":23,"start_date":"2017-04-24","description":"","custom_fields":[{"id":1,"name":"Subdivision","value":"NW"},{"id":4,"name":"Milepost","value":"5.8965"},{"id":17,"name":"Train ID","value":"803-24"},{"id":16,"name":"Locomotive ID","value":"4064"},{"id":130,"name":"Impact","value":""},{"id":150,"name":"Time of Event (Mountain Time)","value":"06:34:10"},{"id":151,"name":"Denver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5" t="str">
        <f t="shared" si="151"/>
        <v>start /low /b %USERPROFILE%\Documents\GitHub\eaglep3\Utilities\DownloadLogsFromS3.py --loco 4064 --day 2017-04-24</v>
      </c>
      <c r="AN161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12:34:10"},{"id":29,"name":"Sharepoint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x14ac:dyDescent="0.25">
      <c r="A162" s="32" t="s">
        <v>626</v>
      </c>
      <c r="B162" s="7">
        <v>4063</v>
      </c>
      <c r="C162" s="21" t="s">
        <v>212</v>
      </c>
      <c r="D162" s="21" t="s">
        <v>879</v>
      </c>
      <c r="E162" s="13">
        <v>42849.275023148148</v>
      </c>
      <c r="F162" s="13">
        <v>42849.276574074072</v>
      </c>
      <c r="G162" s="7">
        <v>1</v>
      </c>
      <c r="H162" s="21" t="s">
        <v>880</v>
      </c>
      <c r="I162" s="13">
        <v>42849.288402777776</v>
      </c>
      <c r="J162" s="7">
        <v>0</v>
      </c>
      <c r="K162" s="92" t="str">
        <f t="shared" si="142"/>
        <v>4063/4064</v>
      </c>
      <c r="L162" s="21" t="str">
        <f>VLOOKUP(A162,'Trips&amp;Operators'!$C$1:$G$99999,5,FALSE)</f>
        <v>ZEWDU DEREJE</v>
      </c>
      <c r="M162" s="6">
        <f t="shared" si="143"/>
        <v>1.1828703703940846E-2</v>
      </c>
      <c r="N162" s="7">
        <f t="shared" si="155"/>
        <v>17.033333333674818</v>
      </c>
      <c r="O162" s="7"/>
      <c r="P162" s="7"/>
      <c r="Q162" s="22"/>
      <c r="R162" s="191"/>
      <c r="S162" s="197">
        <f t="shared" si="141"/>
        <v>1</v>
      </c>
      <c r="T162" s="191" t="str">
        <f t="shared" si="144"/>
        <v>Southbound</v>
      </c>
      <c r="U162" s="19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2" t="str">
        <f t="shared" si="138"/>
        <v>https://d0f6bd738d7f1b3e5a7ca70fe4ff75f0.us-east-1.aws.found.io/app/kibana#/discover/Steve-Slow-Train-Analysis-(2080s-and-2083s)?_g=(refreshInterval:(display:Off,pause:!f,section:0,value:0),time:(from:'2017-04-24T05:36:02-0600',mode:absolute,to:'2017-04-24T07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2" s="193" t="str">
        <f t="shared" si="145"/>
        <v>N</v>
      </c>
      <c r="X162" s="193">
        <f t="shared" si="156"/>
        <v>1</v>
      </c>
      <c r="Y162" s="193">
        <f t="shared" si="153"/>
        <v>5.8644999999999996</v>
      </c>
      <c r="Z162" s="193">
        <f t="shared" si="154"/>
        <v>6.9400000000000003E-2</v>
      </c>
      <c r="AA162" s="193">
        <f t="shared" si="146"/>
        <v>5.7950999999999997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147"/>
        <v>0804-24</v>
      </c>
      <c r="AE162" s="80" t="str">
        <f t="shared" si="139"/>
        <v>aws s3 cp s3://rtdc.mdm.uploadarchive.raw/RTDC4063/ "%USERPROFILE%\AppData\Local\Temp\OnboardLogs"\RTDC4063\2017-04-24 --exclude "*" --recursive --include "*20170424*" &amp; "%USERPROFILE%\Documents\GitHub\mrs-test-scripts\Headless Mode &amp; Sideloading\WalkAndUnGZ.bat" "%USERPROFILE%\AppData\Local\Temp\OnboardLogs"\RTDC4063\2017-04-24 &amp; aws s3 cp s3://rtdc.mdm.uploadarchive.raw/RTDC4063/ "%USERPROFILE%\AppData\Local\Temp\OnboardLogs"\RTDC4063\2017-04-25 --exclude "*" --recursive --include "*20170425*" &amp; "%USERPROFILE%\Documents\GitHub\mrs-test-scripts\Headless Mode &amp; Sideloading\WalkAndUnGZ.bat" "%USERPROFILE%\AppData\Local\Temp\OnboardLogs"\RTDC4063\2017-04-25</v>
      </c>
      <c r="AF162" s="77" t="str">
        <f t="shared" si="140"/>
        <v>"C:\Program Files (x86)\AstroGrep\AstroGrep.exe" /e /r /s /spath="%USERPROFILE%\AppData\Local\Temp\OnboardLogs" /stypes="app*4063*20170424*" /stext=" 12:.+((SYSTEM_STATE.+slice.+state.+changed )|(ment ac)|(multiple cpu faults)|(system.+state.+changed )|(\[timeout)|(PRM\|1\|D)|(kpr)|(kdp)|(train.+moving)|(\|lc)|(penalty))"</v>
      </c>
      <c r="AG162" s="1" t="str">
        <f t="shared" si="148"/>
        <v>NW</v>
      </c>
      <c r="AH162" s="81" t="str">
        <f t="shared" si="149"/>
        <v>"%USERPROFILE%\Documents\GitHub\eaglep3\Utilities\RefineRTDCRunTimes.py" --tripid 804-24 --locoid 4063 --swversion DE.1.0.9.0 --startMP 300:58645 --initTime 2017-04-24T06:36:02 --startdatetime 2017-04-24T06:38:16 --delay 1 --endMP 204:694 --enddatetime 2017-04-24T06:55:18 --enforcementcount 0 &gt;&gt;C:\Users\stu\Documents\GitHub\eaglep3-reporting\EC\2017-04-24-refined-times.txt</v>
      </c>
      <c r="AI162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{"issue":{"subject":"","project_id":79,"tracker_id":40,"status_id":1,"priority_id":2,"assigned_to_id":23,"start_date":"2017-04-24","description":"","custom_fields":[{"id":1,"name":"Subdivision","value":"NW"},{"id":4,"name":"Milepost","value":"0.0694"},{"id":17,"name":"Train ID","value":"804-24"},{"id":16,"name":"Locomotive ID","value":"4063"},{"id":130,"name":"Impact","value":""},{"id":150,"name":"Time of Event (Mountain Time)","value":"06:55:18"},{"id":151,"name":"Denver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5" t="str">
        <f t="shared" si="151"/>
        <v>start /low /b %USERPROFILE%\Documents\GitHub\eaglep3\Utilities\DownloadLogsFromS3.py --loco 4063 --day 2017-04-24</v>
      </c>
      <c r="AN162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12:55:18"},{"id":29,"name":"Sharepoint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x14ac:dyDescent="0.25">
      <c r="A163" s="32" t="s">
        <v>548</v>
      </c>
      <c r="B163" s="7">
        <v>4054</v>
      </c>
      <c r="C163" s="21" t="s">
        <v>212</v>
      </c>
      <c r="D163" s="21" t="s">
        <v>877</v>
      </c>
      <c r="E163" s="13">
        <v>42849.282002314816</v>
      </c>
      <c r="F163" s="13">
        <v>42849.285821759258</v>
      </c>
      <c r="G163" s="7">
        <v>1</v>
      </c>
      <c r="H163" s="21" t="s">
        <v>881</v>
      </c>
      <c r="I163" s="13">
        <v>42849.295405092591</v>
      </c>
      <c r="J163" s="7">
        <v>0</v>
      </c>
      <c r="K163" s="92" t="str">
        <f t="shared" si="142"/>
        <v>4053/4054</v>
      </c>
      <c r="L163" s="21" t="str">
        <f>VLOOKUP(A163,'Trips&amp;Operators'!$C$1:$G$99999,5,FALSE)</f>
        <v>DAVIS WENDY</v>
      </c>
      <c r="M163" s="6">
        <f t="shared" si="143"/>
        <v>9.5833333325572312E-3</v>
      </c>
      <c r="N163" s="7">
        <f t="shared" si="155"/>
        <v>13.799999998882413</v>
      </c>
      <c r="O163" s="7"/>
      <c r="P163" s="7"/>
      <c r="Q163" s="22"/>
      <c r="R163" s="191"/>
      <c r="S163" s="197">
        <f t="shared" si="141"/>
        <v>1</v>
      </c>
      <c r="T163" s="191" t="str">
        <f t="shared" si="144"/>
        <v>NorthBound</v>
      </c>
      <c r="U163" s="19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2" t="str">
        <f t="shared" si="138"/>
        <v>https://d0f6bd738d7f1b3e5a7ca70fe4ff75f0.us-east-1.aws.found.io/app/kibana#/discover/Steve-Slow-Train-Analysis-(2080s-and-2083s)?_g=(refreshInterval:(display:Off,pause:!f,section:0,value:0),time:(from:'2017-04-24T05:46:05-0600',mode:absolute,to:'2017-04-24T08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3" s="193" t="str">
        <f t="shared" si="145"/>
        <v>N</v>
      </c>
      <c r="X163" s="193">
        <f t="shared" si="156"/>
        <v>1</v>
      </c>
      <c r="Y163" s="193">
        <f t="shared" si="153"/>
        <v>9.2899999999999996E-2</v>
      </c>
      <c r="Z163" s="193">
        <f t="shared" si="154"/>
        <v>5.8992000000000004</v>
      </c>
      <c r="AA163" s="193">
        <f t="shared" si="146"/>
        <v>5.8063000000000002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147"/>
        <v>0805-24</v>
      </c>
      <c r="AE163" s="80" t="str">
        <f t="shared" si="139"/>
        <v>aws s3 cp s3://rtdc.mdm.uploadarchive.raw/RTDC4054/ "%USERPROFILE%\AppData\Local\Temp\OnboardLogs"\RTDC4054\2017-04-24 --exclude "*" --recursive --include "*20170424*" &amp; "%USERPROFILE%\Documents\GitHub\mrs-test-scripts\Headless Mode &amp; Sideloading\WalkAndUnGZ.bat" "%USERPROFILE%\AppData\Local\Temp\OnboardLogs"\RTDC4054\2017-04-24 &amp; aws s3 cp s3://rtdc.mdm.uploadarchive.raw/RTDC4054/ "%USERPROFILE%\AppData\Local\Temp\OnboardLogs"\RTDC4054\2017-04-25 --exclude "*" --recursive --include "*20170425*" &amp; "%USERPROFILE%\Documents\GitHub\mrs-test-scripts\Headless Mode &amp; Sideloading\WalkAndUnGZ.bat" "%USERPROFILE%\AppData\Local\Temp\OnboardLogs"\RTDC4054\2017-04-25</v>
      </c>
      <c r="AF163" s="77" t="str">
        <f t="shared" si="140"/>
        <v>"C:\Program Files (x86)\AstroGrep\AstroGrep.exe" /e /r /s /spath="%USERPROFILE%\AppData\Local\Temp\OnboardLogs" /stypes="app*4054*20170424*" /stext=" 13:.+((SYSTEM_STATE.+slice.+state.+changed )|(ment ac)|(multiple cpu faults)|(system.+state.+changed )|(\[timeout)|(PRM\|1\|D)|(kpr)|(kdp)|(train.+moving)|(\|lc)|(penalty))"</v>
      </c>
      <c r="AG163" s="1" t="str">
        <f t="shared" si="148"/>
        <v>NW</v>
      </c>
      <c r="AH163" s="81" t="str">
        <f t="shared" si="149"/>
        <v>"%USERPROFILE%\Documents\GitHub\eaglep3\Utilities\RefineRTDCRunTimes.py" --tripid 805-24 --locoid 4054 --swversion DE.1.0.9.0 --startMP 204:929 --initTime 2017-04-24T06:46:05 --startdatetime 2017-04-24T06:51:35 --delay 1 --endMP 300:58992 --enddatetime 2017-04-24T07:05:23 --enforcementcount 0 &gt;&gt;C:\Users\stu\Documents\GitHub\eaglep3-reporting\EC\2017-04-24-refined-times.txt</v>
      </c>
      <c r="AI163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{"issue":{"subject":"","project_id":79,"tracker_id":40,"status_id":1,"priority_id":2,"assigned_to_id":23,"start_date":"2017-04-24","description":"","custom_fields":[{"id":1,"name":"Subdivision","value":"NW"},{"id":4,"name":"Milepost","value":"5.8992"},{"id":17,"name":"Train ID","value":"805-24"},{"id":16,"name":"Locomotive ID","value":"4054"},{"id":130,"name":"Impact","value":""},{"id":150,"name":"Time of Event (Mountain Time)","value":"07:05:23"},{"id":151,"name":"Denver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5" t="str">
        <f t="shared" si="151"/>
        <v>start /low /b %USERPROFILE%\Documents\GitHub\eaglep3\Utilities\DownloadLogsFromS3.py --loco 4054 --day 2017-04-24</v>
      </c>
      <c r="AN163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13:05:23"},{"id":29,"name":"Sharepoint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x14ac:dyDescent="0.25">
      <c r="A164" s="32" t="s">
        <v>632</v>
      </c>
      <c r="B164" s="7">
        <v>4053</v>
      </c>
      <c r="C164" s="21" t="s">
        <v>212</v>
      </c>
      <c r="D164" s="21" t="s">
        <v>875</v>
      </c>
      <c r="E164" s="13">
        <v>42849.296412037038</v>
      </c>
      <c r="F164" s="13">
        <v>42849.29755787037</v>
      </c>
      <c r="G164" s="7">
        <v>0</v>
      </c>
      <c r="H164" s="21" t="s">
        <v>882</v>
      </c>
      <c r="I164" s="13">
        <v>42849.309733796297</v>
      </c>
      <c r="J164" s="7">
        <v>0</v>
      </c>
      <c r="K164" s="92" t="str">
        <f t="shared" si="142"/>
        <v>4053/4054</v>
      </c>
      <c r="L164" s="21" t="str">
        <f>VLOOKUP(A164,'Trips&amp;Operators'!$C$1:$G$99999,5,FALSE)</f>
        <v>DAVIS WENDY</v>
      </c>
      <c r="M164" s="6">
        <f t="shared" si="143"/>
        <v>1.2175925927294884E-2</v>
      </c>
      <c r="N164" s="7">
        <f t="shared" si="155"/>
        <v>17.533333335304633</v>
      </c>
      <c r="O164" s="7"/>
      <c r="P164" s="7"/>
      <c r="Q164" s="22"/>
      <c r="R164" s="191"/>
      <c r="S164" s="197">
        <f t="shared" si="141"/>
        <v>1</v>
      </c>
      <c r="T164" s="191" t="str">
        <f t="shared" si="144"/>
        <v>Southbound</v>
      </c>
      <c r="U164" s="19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2" t="str">
        <f t="shared" si="138"/>
        <v>https://d0f6bd738d7f1b3e5a7ca70fe4ff75f0.us-east-1.aws.found.io/app/kibana#/discover/Steve-Slow-Train-Analysis-(2080s-and-2083s)?_g=(refreshInterval:(display:Off,pause:!f,section:0,value:0),time:(from:'2017-04-24T06:06:50-0600',mode:absolute,to:'2017-04-24T08:26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4" s="193" t="str">
        <f t="shared" si="145"/>
        <v>N</v>
      </c>
      <c r="X164" s="193">
        <f t="shared" si="156"/>
        <v>1</v>
      </c>
      <c r="Y164" s="193">
        <f t="shared" si="153"/>
        <v>5.87</v>
      </c>
      <c r="Z164" s="193">
        <f t="shared" si="154"/>
        <v>6.4000000000000001E-2</v>
      </c>
      <c r="AA164" s="193">
        <f t="shared" si="146"/>
        <v>5.806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147"/>
        <v>0806-24</v>
      </c>
      <c r="AE164" s="80" t="str">
        <f t="shared" si="139"/>
        <v>aws s3 cp s3://rtdc.mdm.uploadarchive.raw/RTDC4053/ "%USERPROFILE%\AppData\Local\Temp\OnboardLogs"\RTDC4053\2017-04-24 --exclude "*" --recursive --include "*20170424*" &amp; "%USERPROFILE%\Documents\GitHub\mrs-test-scripts\Headless Mode &amp; Sideloading\WalkAndUnGZ.bat" "%USERPROFILE%\AppData\Local\Temp\OnboardLogs"\RTDC4053\2017-04-24 &amp; aws s3 cp s3://rtdc.mdm.uploadarchive.raw/RTDC4053/ "%USERPROFILE%\AppData\Local\Temp\OnboardLogs"\RTDC4053\2017-04-25 --exclude "*" --recursive --include "*20170425*" &amp; "%USERPROFILE%\Documents\GitHub\mrs-test-scripts\Headless Mode &amp; Sideloading\WalkAndUnGZ.bat" "%USERPROFILE%\AppData\Local\Temp\OnboardLogs"\RTDC4053\2017-04-25</v>
      </c>
      <c r="AF164" s="77" t="str">
        <f t="shared" si="140"/>
        <v>"C:\Program Files (x86)\AstroGrep\AstroGrep.exe" /e /r /s /spath="%USERPROFILE%\AppData\Local\Temp\OnboardLogs" /stypes="app*4053*20170424*" /stext=" 13:.+((SYSTEM_STATE.+slice.+state.+changed )|(ment ac)|(multiple cpu faults)|(system.+state.+changed )|(\[timeout)|(PRM\|1\|D)|(kpr)|(kdp)|(train.+moving)|(\|lc)|(penalty))"</v>
      </c>
      <c r="AG164" s="1" t="str">
        <f t="shared" si="148"/>
        <v>NW</v>
      </c>
      <c r="AH164" s="81" t="str">
        <f t="shared" si="149"/>
        <v>"%USERPROFILE%\Documents\GitHub\eaglep3\Utilities\RefineRTDCRunTimes.py" --tripid 806-24 --locoid 4053 --swversion DE.1.0.9.0 --startMP 300:58700 --initTime 2017-04-24T07:06:50 --startdatetime 2017-04-24T07:08:29 --delay 0 --endMP 204:640 --enddatetime 2017-04-24T07:26:01 --enforcementcount 0 &gt;&gt;C:\Users\stu\Documents\GitHub\eaglep3-reporting\EC\2017-04-24-refined-times.txt</v>
      </c>
      <c r="AI164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{"issue":{"subject":"","project_id":79,"tracker_id":40,"status_id":1,"priority_id":2,"assigned_to_id":23,"start_date":"2017-04-24","description":"","custom_fields":[{"id":1,"name":"Subdivision","value":"NW"},{"id":4,"name":"Milepost","value":"0.064"},{"id":17,"name":"Train ID","value":"806-24"},{"id":16,"name":"Locomotive ID","value":"4053"},{"id":130,"name":"Impact","value":""},{"id":150,"name":"Time of Event (Mountain Time)","value":"07:26:01"},{"id":151,"name":"Denver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5" t="str">
        <f t="shared" si="151"/>
        <v>start /low /b %USERPROFILE%\Documents\GitHub\eaglep3\Utilities\DownloadLogsFromS3.py --loco 4053 --day 2017-04-24</v>
      </c>
      <c r="AN164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13:26:01"},{"id":29,"name":"Sharepoint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x14ac:dyDescent="0.25">
      <c r="A165" s="32" t="s">
        <v>631</v>
      </c>
      <c r="B165" s="7">
        <v>4064</v>
      </c>
      <c r="C165" s="21" t="s">
        <v>212</v>
      </c>
      <c r="D165" s="21" t="s">
        <v>883</v>
      </c>
      <c r="E165" s="13">
        <v>42849.295729166668</v>
      </c>
      <c r="F165" s="13">
        <v>42849.306435185186</v>
      </c>
      <c r="G165" s="7">
        <v>1</v>
      </c>
      <c r="H165" s="21" t="s">
        <v>458</v>
      </c>
      <c r="I165" s="13">
        <v>42849.315636574072</v>
      </c>
      <c r="J165" s="7">
        <v>0</v>
      </c>
      <c r="K165" s="92" t="str">
        <f t="shared" si="142"/>
        <v>4063/4064</v>
      </c>
      <c r="L165" s="21" t="str">
        <f>VLOOKUP(A165,'Trips&amp;Operators'!$C$1:$G$99999,5,FALSE)</f>
        <v>ZEWDU DEREJE</v>
      </c>
      <c r="M165" s="6">
        <f t="shared" si="143"/>
        <v>9.2013888861401938E-3</v>
      </c>
      <c r="N165" s="7">
        <f t="shared" si="155"/>
        <v>13.249999996041879</v>
      </c>
      <c r="O165" s="7"/>
      <c r="P165" s="7"/>
      <c r="Q165" s="22"/>
      <c r="R165" s="191"/>
      <c r="S165" s="197">
        <f t="shared" si="141"/>
        <v>1</v>
      </c>
      <c r="T165" s="191" t="str">
        <f t="shared" si="144"/>
        <v>NorthBound</v>
      </c>
      <c r="U165" s="19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2" t="str">
        <f t="shared" si="138"/>
        <v>https://d0f6bd738d7f1b3e5a7ca70fe4ff75f0.us-east-1.aws.found.io/app/kibana#/discover/Steve-Slow-Train-Analysis-(2080s-and-2083s)?_g=(refreshInterval:(display:Off,pause:!f,section:0,value:0),time:(from:'2017-04-24T06:05:51-0600',mode:absolute,to:'2017-04-24T08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5" s="193" t="str">
        <f t="shared" si="145"/>
        <v>N</v>
      </c>
      <c r="X165" s="193">
        <f t="shared" si="156"/>
        <v>1</v>
      </c>
      <c r="Y165" s="193">
        <f t="shared" si="153"/>
        <v>9.6699999999999994E-2</v>
      </c>
      <c r="Z165" s="193">
        <f t="shared" si="154"/>
        <v>5.8939000000000004</v>
      </c>
      <c r="AA165" s="193">
        <f t="shared" si="146"/>
        <v>5.7972000000000001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147"/>
        <v>0807-24</v>
      </c>
      <c r="AE165" s="80" t="str">
        <f t="shared" si="139"/>
        <v>aws s3 cp s3://rtdc.mdm.uploadarchive.raw/RTDC4064/ "%USERPROFILE%\AppData\Local\Temp\OnboardLogs"\RTDC4064\2017-04-24 --exclude "*" --recursive --include "*20170424*" &amp; "%USERPROFILE%\Documents\GitHub\mrs-test-scripts\Headless Mode &amp; Sideloading\WalkAndUnGZ.bat" "%USERPROFILE%\AppData\Local\Temp\OnboardLogs"\RTDC4064\2017-04-24 &amp; 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</v>
      </c>
      <c r="AF165" s="77" t="str">
        <f t="shared" si="140"/>
        <v>"C:\Program Files (x86)\AstroGrep\AstroGrep.exe" /e /r /s /spath="%USERPROFILE%\AppData\Local\Temp\OnboardLogs" /stypes="app*4064*20170424*" /stext=" 13:.+((SYSTEM_STATE.+slice.+state.+changed )|(ment ac)|(multiple cpu faults)|(system.+state.+changed )|(\[timeout)|(PRM\|1\|D)|(kpr)|(kdp)|(train.+moving)|(\|lc)|(penalty))"</v>
      </c>
      <c r="AG165" s="1" t="str">
        <f t="shared" si="148"/>
        <v>NW</v>
      </c>
      <c r="AH165" s="81" t="str">
        <f t="shared" si="149"/>
        <v>"%USERPROFILE%\Documents\GitHub\eaglep3\Utilities\RefineRTDCRunTimes.py" --tripid 807-24 --locoid 4064 --swversion DE.1.0.9.0 --startMP 204:967 --initTime 2017-04-24T07:05:51 --startdatetime 2017-04-24T07:21:16 --delay 1 --endMP 300:58939 --enddatetime 2017-04-24T07:34:31 --enforcementcount 0 &gt;&gt;C:\Users\stu\Documents\GitHub\eaglep3-reporting\EC\2017-04-24-refined-times.txt</v>
      </c>
      <c r="AI165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{"issue":{"subject":"","project_id":79,"tracker_id":40,"status_id":1,"priority_id":2,"assigned_to_id":23,"start_date":"2017-04-24","description":"","custom_fields":[{"id":1,"name":"Subdivision","value":"NW"},{"id":4,"name":"Milepost","value":"5.8939"},{"id":17,"name":"Train ID","value":"807-24"},{"id":16,"name":"Locomotive ID","value":"4064"},{"id":130,"name":"Impact","value":""},{"id":150,"name":"Time of Event (Mountain Time)","value":"07:34:31"},{"id":151,"name":"Denver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5" t="str">
        <f t="shared" si="151"/>
        <v>start /low /b %USERPROFILE%\Documents\GitHub\eaglep3\Utilities\DownloadLogsFromS3.py --loco 4064 --day 2017-04-24</v>
      </c>
      <c r="AN165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13:34:31"},{"id":29,"name":"Sharepoint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s="20" customFormat="1" x14ac:dyDescent="0.25">
      <c r="A166" s="32" t="s">
        <v>637</v>
      </c>
      <c r="B166" s="7">
        <v>4063</v>
      </c>
      <c r="C166" s="21" t="s">
        <v>212</v>
      </c>
      <c r="D166" s="21" t="s">
        <v>884</v>
      </c>
      <c r="E166" s="13">
        <v>42849.317118055558</v>
      </c>
      <c r="F166" s="13">
        <v>42849.319097222222</v>
      </c>
      <c r="G166" s="7">
        <v>1</v>
      </c>
      <c r="H166" s="21" t="s">
        <v>876</v>
      </c>
      <c r="I166" s="13">
        <v>42849.330405092594</v>
      </c>
      <c r="J166" s="7">
        <v>0</v>
      </c>
      <c r="K166" s="92" t="str">
        <f t="shared" si="142"/>
        <v>4063/4064</v>
      </c>
      <c r="L166" s="21" t="str">
        <f>VLOOKUP(A166,'Trips&amp;Operators'!$C$1:$G$99999,5,FALSE)</f>
        <v>ZEWDU DEREJE</v>
      </c>
      <c r="M166" s="6">
        <f t="shared" si="143"/>
        <v>1.1307870372547768E-2</v>
      </c>
      <c r="N166" s="7">
        <f t="shared" si="155"/>
        <v>16.283333336468786</v>
      </c>
      <c r="O166" s="7"/>
      <c r="P166" s="7"/>
      <c r="Q166" s="22"/>
      <c r="R166" s="191"/>
      <c r="S166" s="197">
        <f t="shared" si="141"/>
        <v>1</v>
      </c>
      <c r="T166" s="191" t="str">
        <f t="shared" si="144"/>
        <v>Southbound</v>
      </c>
      <c r="U166" s="19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2" t="str">
        <f t="shared" si="138"/>
        <v>https://d0f6bd738d7f1b3e5a7ca70fe4ff75f0.us-east-1.aws.found.io/app/kibana#/discover/Steve-Slow-Train-Analysis-(2080s-and-2083s)?_g=(refreshInterval:(display:Off,pause:!f,section:0,value:0),time:(from:'2017-04-24T06:36:39-0600',mode:absolute,to:'2017-04-24T08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6" s="193" t="str">
        <f t="shared" si="145"/>
        <v>N</v>
      </c>
      <c r="X166" s="193">
        <f t="shared" si="156"/>
        <v>1</v>
      </c>
      <c r="Y166" s="193">
        <f t="shared" si="153"/>
        <v>5.8620999999999999</v>
      </c>
      <c r="Z166" s="193">
        <f t="shared" si="154"/>
        <v>6.4299999999999996E-2</v>
      </c>
      <c r="AA166" s="193">
        <f t="shared" si="146"/>
        <v>5.7977999999999996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147"/>
        <v>0808-24</v>
      </c>
      <c r="AE166" s="80" t="str">
        <f t="shared" si="139"/>
        <v>aws s3 cp s3://rtdc.mdm.uploadarchive.raw/RTDC4063/ "%USERPROFILE%\AppData\Local\Temp\OnboardLogs"\RTDC4063\2017-04-24 --exclude "*" --recursive --include "*20170424*" &amp; "%USERPROFILE%\Documents\GitHub\mrs-test-scripts\Headless Mode &amp; Sideloading\WalkAndUnGZ.bat" "%USERPROFILE%\AppData\Local\Temp\OnboardLogs"\RTDC4063\2017-04-24 &amp; aws s3 cp s3://rtdc.mdm.uploadarchive.raw/RTDC4063/ "%USERPROFILE%\AppData\Local\Temp\OnboardLogs"\RTDC4063\2017-04-25 --exclude "*" --recursive --include "*20170425*" &amp; "%USERPROFILE%\Documents\GitHub\mrs-test-scripts\Headless Mode &amp; Sideloading\WalkAndUnGZ.bat" "%USERPROFILE%\AppData\Local\Temp\OnboardLogs"\RTDC4063\2017-04-25</v>
      </c>
      <c r="AF166" s="77" t="str">
        <f t="shared" si="140"/>
        <v>"C:\Program Files (x86)\AstroGrep\AstroGrep.exe" /e /r /s /spath="%USERPROFILE%\AppData\Local\Temp\OnboardLogs" /stypes="app*4063*20170424*" /stext=" 13:.+((SYSTEM_STATE.+slice.+state.+changed )|(ment ac)|(multiple cpu faults)|(system.+state.+changed )|(\[timeout)|(PRM\|1\|D)|(kpr)|(kdp)|(train.+moving)|(\|lc)|(penalty))"</v>
      </c>
      <c r="AG166" s="1" t="str">
        <f t="shared" si="148"/>
        <v>NW</v>
      </c>
      <c r="AH166" s="81" t="str">
        <f t="shared" si="149"/>
        <v>"%USERPROFILE%\Documents\GitHub\eaglep3\Utilities\RefineRTDCRunTimes.py" --tripid 808-24 --locoid 4063 --swversion DE.1.0.9.0 --startMP 300:58621 --initTime 2017-04-24T07:36:39 --startdatetime 2017-04-24T07:39:30 --delay 1 --endMP 204:643 --enddatetime 2017-04-24T07:55:47 --enforcementcount 0 &gt;&gt;C:\Users\stu\Documents\GitHub\eaglep3-reporting\EC\2017-04-24-refined-times.txt</v>
      </c>
      <c r="AI166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{"issue":{"subject":"","project_id":79,"tracker_id":40,"status_id":1,"priority_id":2,"assigned_to_id":23,"start_date":"2017-04-24","description":"","custom_fields":[{"id":1,"name":"Subdivision","value":"NW"},{"id":4,"name":"Milepost","value":"0.0643"},{"id":17,"name":"Train ID","value":"808-24"},{"id":16,"name":"Locomotive ID","value":"4063"},{"id":130,"name":"Impact","value":""},{"id":150,"name":"Time of Event (Mountain Time)","value":"07:55:47"},{"id":151,"name":"Denver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5" t="str">
        <f t="shared" si="151"/>
        <v>start /low /b %USERPROFILE%\Documents\GitHub\eaglep3\Utilities\DownloadLogsFromS3.py --loco 4063 --day 2017-04-24</v>
      </c>
      <c r="AN166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13:55:47"},{"id":29,"name":"Sharepoint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549</v>
      </c>
      <c r="B167" s="7">
        <v>4054</v>
      </c>
      <c r="C167" s="21" t="s">
        <v>212</v>
      </c>
      <c r="D167" s="21" t="s">
        <v>885</v>
      </c>
      <c r="E167" s="13">
        <v>42849.324305555558</v>
      </c>
      <c r="F167" s="13">
        <v>42849.327291666668</v>
      </c>
      <c r="G167" s="7">
        <v>1</v>
      </c>
      <c r="H167" s="21" t="s">
        <v>886</v>
      </c>
      <c r="I167" s="13">
        <v>42849.336597222224</v>
      </c>
      <c r="J167" s="7">
        <v>0</v>
      </c>
      <c r="K167" s="92" t="str">
        <f t="shared" si="142"/>
        <v>4053/4054</v>
      </c>
      <c r="L167" s="21" t="str">
        <f>VLOOKUP(A167,'Trips&amp;Operators'!$C$1:$G$99999,5,FALSE)</f>
        <v>DAVIS WENDY</v>
      </c>
      <c r="M167" s="6">
        <f t="shared" si="143"/>
        <v>9.3055555553291924E-3</v>
      </c>
      <c r="N167" s="7">
        <f t="shared" si="155"/>
        <v>13.399999999674037</v>
      </c>
      <c r="O167" s="7"/>
      <c r="P167" s="7"/>
      <c r="Q167" s="22"/>
      <c r="R167" s="191"/>
      <c r="S167" s="197">
        <f t="shared" si="141"/>
        <v>1</v>
      </c>
      <c r="T167" s="191" t="str">
        <f t="shared" si="144"/>
        <v>NorthBound</v>
      </c>
      <c r="U167" s="19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2" t="str">
        <f t="shared" si="138"/>
        <v>https://d0f6bd738d7f1b3e5a7ca70fe4ff75f0.us-east-1.aws.found.io/app/kibana#/discover/Steve-Slow-Train-Analysis-(2080s-and-2083s)?_g=(refreshInterval:(display:Off,pause:!f,section:0,value:0),time:(from:'2017-04-24T06:47:00-0600',mode:absolute,to:'2017-04-24T09:04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7" s="193" t="str">
        <f t="shared" si="145"/>
        <v>N</v>
      </c>
      <c r="X167" s="193">
        <f t="shared" si="156"/>
        <v>1</v>
      </c>
      <c r="Y167" s="193">
        <f t="shared" si="153"/>
        <v>9.3600000000000003E-2</v>
      </c>
      <c r="Z167" s="193">
        <f t="shared" si="154"/>
        <v>5.8979999999999997</v>
      </c>
      <c r="AA167" s="193">
        <f t="shared" si="146"/>
        <v>5.8043999999999993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147"/>
        <v>0809-24</v>
      </c>
      <c r="AE167" s="80" t="str">
        <f t="shared" si="139"/>
        <v>aws s3 cp s3://rtdc.mdm.uploadarchive.raw/RTDC4054/ "%USERPROFILE%\AppData\Local\Temp\OnboardLogs"\RTDC4054\2017-04-24 --exclude "*" --recursive --include "*20170424*" &amp; "%USERPROFILE%\Documents\GitHub\mrs-test-scripts\Headless Mode &amp; Sideloading\WalkAndUnGZ.bat" "%USERPROFILE%\AppData\Local\Temp\OnboardLogs"\RTDC4054\2017-04-24 &amp; aws s3 cp s3://rtdc.mdm.uploadarchive.raw/RTDC4054/ "%USERPROFILE%\AppData\Local\Temp\OnboardLogs"\RTDC4054\2017-04-25 --exclude "*" --recursive --include "*20170425*" &amp; "%USERPROFILE%\Documents\GitHub\mrs-test-scripts\Headless Mode &amp; Sideloading\WalkAndUnGZ.bat" "%USERPROFILE%\AppData\Local\Temp\OnboardLogs"\RTDC4054\2017-04-25</v>
      </c>
      <c r="AF167" s="77" t="str">
        <f t="shared" si="140"/>
        <v>"C:\Program Files (x86)\AstroGrep\AstroGrep.exe" /e /r /s /spath="%USERPROFILE%\AppData\Local\Temp\OnboardLogs" /stypes="app*4054*20170424*" /stext=" 14:.+((SYSTEM_STATE.+slice.+state.+changed )|(ment ac)|(multiple cpu faults)|(system.+state.+changed )|(\[timeout)|(PRM\|1\|D)|(kpr)|(kdp)|(train.+moving)|(\|lc)|(penalty))"</v>
      </c>
      <c r="AG167" s="1" t="str">
        <f t="shared" si="148"/>
        <v>NW</v>
      </c>
      <c r="AH167" s="81" t="str">
        <f t="shared" si="149"/>
        <v>"%USERPROFILE%\Documents\GitHub\eaglep3\Utilities\RefineRTDCRunTimes.py" --tripid 809-24 --locoid 4054 --swversion DE.1.0.9.0 --startMP 204:936 --initTime 2017-04-24T07:47:00 --startdatetime 2017-04-24T07:51:18 --delay 1 --endMP 300:58980 --enddatetime 2017-04-24T08:04:42 --enforcementcount 0 &gt;&gt;C:\Users\stu\Documents\GitHub\eaglep3-reporting\EC\2017-04-24-refined-times.txt</v>
      </c>
      <c r="AI167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{"issue":{"subject":"","project_id":79,"tracker_id":40,"status_id":1,"priority_id":2,"assigned_to_id":23,"start_date":"2017-04-24","description":"","custom_fields":[{"id":1,"name":"Subdivision","value":"NW"},{"id":4,"name":"Milepost","value":"5.898"},{"id":17,"name":"Train ID","value":"809-24"},{"id":16,"name":"Locomotive ID","value":"4054"},{"id":130,"name":"Impact","value":""},{"id":150,"name":"Time of Event (Mountain Time)","value":"08:04:42"},{"id":151,"name":"Denver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151"/>
        <v>start /low /b %USERPROFILE%\Documents\GitHub\eaglep3\Utilities\DownloadLogsFromS3.py --loco 4054 --day 2017-04-24</v>
      </c>
      <c r="AN167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14:04:42"},{"id":29,"name":"Sharepoint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2" t="s">
        <v>551</v>
      </c>
      <c r="B168" s="7">
        <v>4053</v>
      </c>
      <c r="C168" s="21" t="s">
        <v>212</v>
      </c>
      <c r="D168" s="21" t="s">
        <v>889</v>
      </c>
      <c r="E168" s="13">
        <v>42849.337430555555</v>
      </c>
      <c r="F168" s="13">
        <v>42849.338564814818</v>
      </c>
      <c r="G168" s="7">
        <v>0</v>
      </c>
      <c r="H168" s="21" t="s">
        <v>876</v>
      </c>
      <c r="I168" s="13">
        <v>42849.351041666669</v>
      </c>
      <c r="J168" s="7">
        <v>0</v>
      </c>
      <c r="K168" s="92" t="str">
        <f t="shared" si="142"/>
        <v>4053/4054</v>
      </c>
      <c r="L168" s="21" t="str">
        <f>VLOOKUP(A168,'Trips&amp;Operators'!$C$1:$G$99999,5,FALSE)</f>
        <v>DAVIS WENDY</v>
      </c>
      <c r="M168" s="6">
        <f t="shared" si="143"/>
        <v>1.247685185080627E-2</v>
      </c>
      <c r="N168" s="7">
        <f t="shared" si="155"/>
        <v>17.966666665161029</v>
      </c>
      <c r="O168" s="7"/>
      <c r="P168" s="7"/>
      <c r="Q168" s="22"/>
      <c r="R168" s="191"/>
      <c r="S168" s="197">
        <f t="shared" si="141"/>
        <v>1</v>
      </c>
      <c r="T168" s="191" t="str">
        <f t="shared" si="144"/>
        <v>Southbound</v>
      </c>
      <c r="U168" s="19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2" t="str">
        <f t="shared" si="138"/>
        <v>https://d0f6bd738d7f1b3e5a7ca70fe4ff75f0.us-east-1.aws.found.io/app/kibana#/discover/Steve-Slow-Train-Analysis-(2080s-and-2083s)?_g=(refreshInterval:(display:Off,pause:!f,section:0,value:0),time:(from:'2017-04-24T07:05:54-0600',mode:absolute,to:'2017-04-24T09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8" s="193" t="str">
        <f t="shared" si="145"/>
        <v>N</v>
      </c>
      <c r="X168" s="193">
        <f t="shared" si="156"/>
        <v>1</v>
      </c>
      <c r="Y168" s="193">
        <f t="shared" si="153"/>
        <v>5.8663999999999996</v>
      </c>
      <c r="Z168" s="193">
        <f t="shared" si="154"/>
        <v>6.4299999999999996E-2</v>
      </c>
      <c r="AA168" s="193">
        <f t="shared" si="146"/>
        <v>5.8020999999999994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147"/>
        <v>0810-24</v>
      </c>
      <c r="AE168" s="80" t="str">
        <f t="shared" si="139"/>
        <v>aws s3 cp s3://rtdc.mdm.uploadarchive.raw/RTDC4053/ "%USERPROFILE%\AppData\Local\Temp\OnboardLogs"\RTDC4053\2017-04-24 --exclude "*" --recursive --include "*20170424*" &amp; "%USERPROFILE%\Documents\GitHub\mrs-test-scripts\Headless Mode &amp; Sideloading\WalkAndUnGZ.bat" "%USERPROFILE%\AppData\Local\Temp\OnboardLogs"\RTDC4053\2017-04-24 &amp; aws s3 cp s3://rtdc.mdm.uploadarchive.raw/RTDC4053/ "%USERPROFILE%\AppData\Local\Temp\OnboardLogs"\RTDC4053\2017-04-25 --exclude "*" --recursive --include "*20170425*" &amp; "%USERPROFILE%\Documents\GitHub\mrs-test-scripts\Headless Mode &amp; Sideloading\WalkAndUnGZ.bat" "%USERPROFILE%\AppData\Local\Temp\OnboardLogs"\RTDC4053\2017-04-25</v>
      </c>
      <c r="AF168" s="77" t="str">
        <f t="shared" si="140"/>
        <v>"C:\Program Files (x86)\AstroGrep\AstroGrep.exe" /e /r /s /spath="%USERPROFILE%\AppData\Local\Temp\OnboardLogs" /stypes="app*4053*20170424*" /stext=" 14:.+((SYSTEM_STATE.+slice.+state.+changed )|(ment ac)|(multiple cpu faults)|(system.+state.+changed )|(\[timeout)|(PRM\|1\|D)|(kpr)|(kdp)|(train.+moving)|(\|lc)|(penalty))"</v>
      </c>
      <c r="AG168" s="1" t="str">
        <f t="shared" si="148"/>
        <v>NW</v>
      </c>
      <c r="AH168" s="81" t="str">
        <f t="shared" si="149"/>
        <v>"%USERPROFILE%\Documents\GitHub\eaglep3\Utilities\RefineRTDCRunTimes.py" --tripid 810-24 --locoid 4053 --swversion DE.1.0.9.0 --startMP 300:58664 --initTime 2017-04-24T08:05:54 --startdatetime 2017-04-24T08:07:32 --delay 0 --endMP 204:643 --enddatetime 2017-04-24T08:25:30 --enforcementcount 0 &gt;&gt;C:\Users\stu\Documents\GitHub\eaglep3-reporting\EC\2017-04-24-refined-times.txt</v>
      </c>
      <c r="AI168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{"issue":{"subject":"","project_id":79,"tracker_id":40,"status_id":1,"priority_id":2,"assigned_to_id":23,"start_date":"2017-04-24","description":"","custom_fields":[{"id":1,"name":"Subdivision","value":"NW"},{"id":4,"name":"Milepost","value":"0.0643"},{"id":17,"name":"Train ID","value":"810-24"},{"id":16,"name":"Locomotive ID","value":"4053"},{"id":130,"name":"Impact","value":""},{"id":150,"name":"Time of Event (Mountain Time)","value":"08:25:30"},{"id":151,"name":"Denver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5" t="str">
        <f t="shared" si="151"/>
        <v>start /low /b %USERPROFILE%\Documents\GitHub\eaglep3\Utilities\DownloadLogsFromS3.py --loco 4053 --day 2017-04-24</v>
      </c>
      <c r="AN168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14:25:30"},{"id":29,"name":"Sharepoint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641</v>
      </c>
      <c r="B169" s="7">
        <v>4064</v>
      </c>
      <c r="C169" s="21" t="s">
        <v>212</v>
      </c>
      <c r="D169" s="21" t="s">
        <v>890</v>
      </c>
      <c r="E169" s="13">
        <v>42849.332638888889</v>
      </c>
      <c r="F169" s="13">
        <v>42849.348113425927</v>
      </c>
      <c r="G169" s="7">
        <v>1</v>
      </c>
      <c r="H169" s="21" t="s">
        <v>488</v>
      </c>
      <c r="I169" s="13">
        <v>42849.356990740744</v>
      </c>
      <c r="J169" s="7">
        <v>0</v>
      </c>
      <c r="K169" s="92" t="str">
        <f t="shared" si="142"/>
        <v>4063/4064</v>
      </c>
      <c r="L169" s="21" t="str">
        <f>VLOOKUP(A169,'Trips&amp;Operators'!$C$1:$G$99999,5,FALSE)</f>
        <v>ZEWDU DEREJE</v>
      </c>
      <c r="M169" s="6">
        <f t="shared" si="143"/>
        <v>8.8773148163454607E-3</v>
      </c>
      <c r="N169" s="7">
        <f t="shared" si="155"/>
        <v>12.783333335537463</v>
      </c>
      <c r="O169" s="7"/>
      <c r="P169" s="7"/>
      <c r="Q169" s="22"/>
      <c r="R169" s="191"/>
      <c r="S169" s="197">
        <f t="shared" si="141"/>
        <v>1</v>
      </c>
      <c r="T169" s="191" t="str">
        <f t="shared" si="144"/>
        <v>NorthBound</v>
      </c>
      <c r="U169" s="19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2" t="str">
        <f t="shared" si="138"/>
        <v>https://d0f6bd738d7f1b3e5a7ca70fe4ff75f0.us-east-1.aws.found.io/app/kibana#/discover/Steve-Slow-Train-Analysis-(2080s-and-2083s)?_g=(refreshInterval:(display:Off,pause:!f,section:0,value:0),time:(from:'2017-04-24T06:59:00-0600',mode:absolute,to:'2017-04-24T09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9" s="193" t="str">
        <f t="shared" si="145"/>
        <v>N</v>
      </c>
      <c r="X169" s="193">
        <f t="shared" si="156"/>
        <v>1</v>
      </c>
      <c r="Y169" s="193">
        <f t="shared" si="153"/>
        <v>9.5500000000000002E-2</v>
      </c>
      <c r="Z169" s="193">
        <f t="shared" si="154"/>
        <v>5.8936999999999999</v>
      </c>
      <c r="AA169" s="193">
        <f t="shared" si="146"/>
        <v>5.7981999999999996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147"/>
        <v>0811-24</v>
      </c>
      <c r="AE169" s="80" t="str">
        <f t="shared" si="139"/>
        <v>aws s3 cp s3://rtdc.mdm.uploadarchive.raw/RTDC4064/ "%USERPROFILE%\AppData\Local\Temp\OnboardLogs"\RTDC4064\2017-04-24 --exclude "*" --recursive --include "*20170424*" &amp; "%USERPROFILE%\Documents\GitHub\mrs-test-scripts\Headless Mode &amp; Sideloading\WalkAndUnGZ.bat" "%USERPROFILE%\AppData\Local\Temp\OnboardLogs"\RTDC4064\2017-04-24 &amp; 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</v>
      </c>
      <c r="AF169" s="77" t="str">
        <f t="shared" si="140"/>
        <v>"C:\Program Files (x86)\AstroGrep\AstroGrep.exe" /e /r /s /spath="%USERPROFILE%\AppData\Local\Temp\OnboardLogs" /stypes="app*4064*20170424*" /stext=" 14:.+((SYSTEM_STATE.+slice.+state.+changed )|(ment ac)|(multiple cpu faults)|(system.+state.+changed )|(\[timeout)|(PRM\|1\|D)|(kpr)|(kdp)|(train.+moving)|(\|lc)|(penalty))"</v>
      </c>
      <c r="AG169" s="1" t="str">
        <f t="shared" si="148"/>
        <v>NW</v>
      </c>
      <c r="AH169" s="81" t="str">
        <f t="shared" si="149"/>
        <v>"%USERPROFILE%\Documents\GitHub\eaglep3\Utilities\RefineRTDCRunTimes.py" --tripid 811-24 --locoid 4064 --swversion DE.1.0.9.0 --startMP 204:955 --initTime 2017-04-24T07:59:00 --startdatetime 2017-04-24T08:21:17 --delay 1 --endMP 300:58937 --enddatetime 2017-04-24T08:34:04 --enforcementcount 0 &gt;&gt;C:\Users\stu\Documents\GitHub\eaglep3-reporting\EC\2017-04-24-refined-times.txt</v>
      </c>
      <c r="AI169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{"issue":{"subject":"","project_id":79,"tracker_id":40,"status_id":1,"priority_id":2,"assigned_to_id":23,"start_date":"2017-04-24","description":"","custom_fields":[{"id":1,"name":"Subdivision","value":"NW"},{"id":4,"name":"Milepost","value":"5.8937"},{"id":17,"name":"Train ID","value":"811-24"},{"id":16,"name":"Locomotive ID","value":"4064"},{"id":130,"name":"Impact","value":""},{"id":150,"name":"Time of Event (Mountain Time)","value":"08:34:04"},{"id":151,"name":"Denver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151"/>
        <v>start /low /b %USERPROFILE%\Documents\GitHub\eaglep3\Utilities\DownloadLogsFromS3.py --loco 4064 --day 2017-04-24</v>
      </c>
      <c r="AN169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14:34:04"},{"id":29,"name":"Sharepoint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646</v>
      </c>
      <c r="B170" s="7">
        <v>4063</v>
      </c>
      <c r="C170" s="21" t="s">
        <v>212</v>
      </c>
      <c r="D170" s="21" t="s">
        <v>528</v>
      </c>
      <c r="E170" s="13">
        <v>42849.357974537037</v>
      </c>
      <c r="F170" s="13">
        <v>42849.359351851854</v>
      </c>
      <c r="G170" s="7">
        <v>1</v>
      </c>
      <c r="H170" s="21" t="s">
        <v>891</v>
      </c>
      <c r="I170" s="13">
        <v>42849.371145833335</v>
      </c>
      <c r="J170" s="7">
        <v>0</v>
      </c>
      <c r="K170" s="92" t="str">
        <f t="shared" si="142"/>
        <v>4063/4064</v>
      </c>
      <c r="L170" s="21" t="str">
        <f>VLOOKUP(A170,'Trips&amp;Operators'!$C$1:$G$99999,5,FALSE)</f>
        <v>ZEWDU DEREJE</v>
      </c>
      <c r="M170" s="6">
        <f t="shared" si="143"/>
        <v>1.1793981480877846E-2</v>
      </c>
      <c r="N170" s="7">
        <f t="shared" si="155"/>
        <v>16.983333332464099</v>
      </c>
      <c r="O170" s="7"/>
      <c r="P170" s="7"/>
      <c r="Q170" s="22"/>
      <c r="R170" s="191"/>
      <c r="S170" s="197">
        <f t="shared" si="141"/>
        <v>1</v>
      </c>
      <c r="T170" s="191" t="str">
        <f t="shared" si="144"/>
        <v>Southbound</v>
      </c>
      <c r="U170" s="19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2" t="str">
        <f t="shared" si="138"/>
        <v>https://d0f6bd738d7f1b3e5a7ca70fe4ff75f0.us-east-1.aws.found.io/app/kibana#/discover/Steve-Slow-Train-Analysis-(2080s-and-2083s)?_g=(refreshInterval:(display:Off,pause:!f,section:0,value:0),time:(from:'2017-04-24T07:35:29-0600',mode:absolute,to:'2017-04-24T09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0" s="193" t="str">
        <f t="shared" si="145"/>
        <v>N</v>
      </c>
      <c r="X170" s="193">
        <f t="shared" si="156"/>
        <v>1</v>
      </c>
      <c r="Y170" s="193">
        <f t="shared" si="153"/>
        <v>5.8623000000000003</v>
      </c>
      <c r="Z170" s="193">
        <f t="shared" si="154"/>
        <v>7.0099999999999996E-2</v>
      </c>
      <c r="AA170" s="193">
        <f t="shared" si="146"/>
        <v>5.7922000000000002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147"/>
        <v>0812-24</v>
      </c>
      <c r="AE170" s="80" t="str">
        <f t="shared" si="139"/>
        <v>aws s3 cp s3://rtdc.mdm.uploadarchive.raw/RTDC4063/ "%USERPROFILE%\AppData\Local\Temp\OnboardLogs"\RTDC4063\2017-04-24 --exclude "*" --recursive --include "*20170424*" &amp; "%USERPROFILE%\Documents\GitHub\mrs-test-scripts\Headless Mode &amp; Sideloading\WalkAndUnGZ.bat" "%USERPROFILE%\AppData\Local\Temp\OnboardLogs"\RTDC4063\2017-04-24 &amp; aws s3 cp s3://rtdc.mdm.uploadarchive.raw/RTDC4063/ "%USERPROFILE%\AppData\Local\Temp\OnboardLogs"\RTDC4063\2017-04-25 --exclude "*" --recursive --include "*20170425*" &amp; "%USERPROFILE%\Documents\GitHub\mrs-test-scripts\Headless Mode &amp; Sideloading\WalkAndUnGZ.bat" "%USERPROFILE%\AppData\Local\Temp\OnboardLogs"\RTDC4063\2017-04-25</v>
      </c>
      <c r="AF170" s="77" t="str">
        <f t="shared" si="140"/>
        <v>"C:\Program Files (x86)\AstroGrep\AstroGrep.exe" /e /r /s /spath="%USERPROFILE%\AppData\Local\Temp\OnboardLogs" /stypes="app*4063*20170424*" /stext=" 14:.+((SYSTEM_STATE.+slice.+state.+changed )|(ment ac)|(multiple cpu faults)|(system.+state.+changed )|(\[timeout)|(PRM\|1\|D)|(kpr)|(kdp)|(train.+moving)|(\|lc)|(penalty))"</v>
      </c>
      <c r="AG170" s="1" t="str">
        <f t="shared" si="148"/>
        <v>NW</v>
      </c>
      <c r="AH170" s="81" t="str">
        <f t="shared" si="149"/>
        <v>"%USERPROFILE%\Documents\GitHub\eaglep3\Utilities\RefineRTDCRunTimes.py" --tripid 812-24 --locoid 4063 --swversion DE.1.0.9.0 --startMP 300:58623 --initTime 2017-04-24T08:35:29 --startdatetime 2017-04-24T08:37:28 --delay 1 --endMP 204:701 --enddatetime 2017-04-24T08:54:27 --enforcementcount 0 &gt;&gt;C:\Users\stu\Documents\GitHub\eaglep3-reporting\EC\2017-04-24-refined-times.txt</v>
      </c>
      <c r="AI170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{"issue":{"subject":"","project_id":79,"tracker_id":40,"status_id":1,"priority_id":2,"assigned_to_id":23,"start_date":"2017-04-24","description":"","custom_fields":[{"id":1,"name":"Subdivision","value":"NW"},{"id":4,"name":"Milepost","value":"0.0701"},{"id":17,"name":"Train ID","value":"812-24"},{"id":16,"name":"Locomotive ID","value":"4063"},{"id":130,"name":"Impact","value":""},{"id":150,"name":"Time of Event (Mountain Time)","value":"08:54:27"},{"id":151,"name":"Denver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151"/>
        <v>start /low /b %USERPROFILE%\Documents\GitHub\eaglep3\Utilities\DownloadLogsFromS3.py --loco 4063 --day 2017-04-24</v>
      </c>
      <c r="AN170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14:54:27"},{"id":29,"name":"Sharepoint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s="20" customFormat="1" x14ac:dyDescent="0.25">
      <c r="A171" s="32" t="s">
        <v>652</v>
      </c>
      <c r="B171" s="7">
        <v>4064</v>
      </c>
      <c r="C171" s="21" t="s">
        <v>212</v>
      </c>
      <c r="D171" s="21" t="s">
        <v>892</v>
      </c>
      <c r="E171" s="13">
        <v>42849.375486111108</v>
      </c>
      <c r="F171" s="13">
        <v>42849.389791666668</v>
      </c>
      <c r="G171" s="7">
        <v>1</v>
      </c>
      <c r="H171" s="21" t="s">
        <v>893</v>
      </c>
      <c r="I171" s="13">
        <v>42849.398854166669</v>
      </c>
      <c r="J171" s="7">
        <v>0</v>
      </c>
      <c r="K171" s="92" t="str">
        <f t="shared" si="142"/>
        <v>4063/4064</v>
      </c>
      <c r="L171" s="21" t="str">
        <f>VLOOKUP(A171,'Trips&amp;Operators'!$C$1:$G$99999,5,FALSE)</f>
        <v>ZEWDU DEREJE</v>
      </c>
      <c r="M171" s="6">
        <f t="shared" si="143"/>
        <v>9.0625000011641532E-3</v>
      </c>
      <c r="N171" s="7">
        <f t="shared" si="155"/>
        <v>13.050000001676381</v>
      </c>
      <c r="O171" s="7"/>
      <c r="P171" s="7"/>
      <c r="Q171" s="22"/>
      <c r="R171" s="191"/>
      <c r="S171" s="197">
        <f t="shared" si="141"/>
        <v>1</v>
      </c>
      <c r="T171" s="191" t="str">
        <f t="shared" si="144"/>
        <v>NorthBound</v>
      </c>
      <c r="U171" s="19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2" t="str">
        <f t="shared" si="138"/>
        <v>https://d0f6bd738d7f1b3e5a7ca70fe4ff75f0.us-east-1.aws.found.io/app/kibana#/discover/Steve-Slow-Train-Analysis-(2080s-and-2083s)?_g=(refreshInterval:(display:Off,pause:!f,section:0,value:0),time:(from:'2017-04-24T08:00:42-0600',mode:absolute,to:'2017-04-24T10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1" s="193" t="str">
        <f t="shared" si="145"/>
        <v>N</v>
      </c>
      <c r="X171" s="193">
        <f t="shared" si="156"/>
        <v>1</v>
      </c>
      <c r="Y171" s="193">
        <f t="shared" si="153"/>
        <v>9.9900000000000003E-2</v>
      </c>
      <c r="Z171" s="193">
        <f t="shared" si="154"/>
        <v>5.8928000000000003</v>
      </c>
      <c r="AA171" s="193">
        <f t="shared" si="146"/>
        <v>5.7929000000000004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147"/>
        <v>0813-24</v>
      </c>
      <c r="AE171" s="80" t="str">
        <f t="shared" si="139"/>
        <v>aws s3 cp s3://rtdc.mdm.uploadarchive.raw/RTDC4064/ "%USERPROFILE%\AppData\Local\Temp\OnboardLogs"\RTDC4064\2017-04-24 --exclude "*" --recursive --include "*20170424*" &amp; "%USERPROFILE%\Documents\GitHub\mrs-test-scripts\Headless Mode &amp; Sideloading\WalkAndUnGZ.bat" "%USERPROFILE%\AppData\Local\Temp\OnboardLogs"\RTDC4064\2017-04-24 &amp; 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</v>
      </c>
      <c r="AF171" s="77" t="str">
        <f t="shared" si="140"/>
        <v>"C:\Program Files (x86)\AstroGrep\AstroGrep.exe" /e /r /s /spath="%USERPROFILE%\AppData\Local\Temp\OnboardLogs" /stypes="app*4064*20170424*" /stext=" 15:.+((SYSTEM_STATE.+slice.+state.+changed )|(ment ac)|(multiple cpu faults)|(system.+state.+changed )|(\[timeout)|(PRM\|1\|D)|(kpr)|(kdp)|(train.+moving)|(\|lc)|(penalty))"</v>
      </c>
      <c r="AG171" s="1" t="str">
        <f t="shared" si="148"/>
        <v>NW</v>
      </c>
      <c r="AH171" s="81" t="str">
        <f t="shared" si="149"/>
        <v>"%USERPROFILE%\Documents\GitHub\eaglep3\Utilities\RefineRTDCRunTimes.py" --tripid 813-24 --locoid 4064 --swversion DE.1.0.9.0 --startMP 204:999 --initTime 2017-04-24T09:00:42 --startdatetime 2017-04-24T09:21:18 --delay 1 --endMP 300:58928 --enddatetime 2017-04-24T09:34:21 --enforcementcount 0 &gt;&gt;C:\Users\stu\Documents\GitHub\eaglep3-reporting\EC\2017-04-24-refined-times.txt</v>
      </c>
      <c r="AI171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{"issue":{"subject":"","project_id":79,"tracker_id":40,"status_id":1,"priority_id":2,"assigned_to_id":23,"start_date":"2017-04-24","description":"","custom_fields":[{"id":1,"name":"Subdivision","value":"NW"},{"id":4,"name":"Milepost","value":"5.8928"},{"id":17,"name":"Train ID","value":"813-24"},{"id":16,"name":"Locomotive ID","value":"4064"},{"id":130,"name":"Impact","value":""},{"id":150,"name":"Time of Event (Mountain Time)","value":"09:34:21"},{"id":151,"name":"Denver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5" t="str">
        <f t="shared" si="151"/>
        <v>start /low /b %USERPROFILE%\Documents\GitHub\eaglep3\Utilities\DownloadLogsFromS3.py --loco 4064 --day 2017-04-24</v>
      </c>
      <c r="AN171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15:34:21"},{"id":29,"name":"Sharepoint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2" t="s">
        <v>656</v>
      </c>
      <c r="B172" s="7">
        <v>4063</v>
      </c>
      <c r="C172" s="21" t="s">
        <v>212</v>
      </c>
      <c r="D172" s="21" t="s">
        <v>884</v>
      </c>
      <c r="E172" s="13">
        <v>42849.400196759256</v>
      </c>
      <c r="F172" s="13">
        <v>42849.402106481481</v>
      </c>
      <c r="G172" s="7">
        <v>1</v>
      </c>
      <c r="H172" s="21" t="s">
        <v>894</v>
      </c>
      <c r="I172" s="13">
        <v>42849.413159722222</v>
      </c>
      <c r="J172" s="7">
        <v>0</v>
      </c>
      <c r="K172" s="92" t="str">
        <f t="shared" si="142"/>
        <v>4063/4064</v>
      </c>
      <c r="L172" s="21" t="str">
        <f>VLOOKUP(A172,'Trips&amp;Operators'!$C$1:$G$99999,5,FALSE)</f>
        <v>ZEWDU DEREJE</v>
      </c>
      <c r="M172" s="6">
        <f t="shared" si="143"/>
        <v>1.1053240741603076E-2</v>
      </c>
      <c r="N172" s="7">
        <f t="shared" si="155"/>
        <v>15.91666666790843</v>
      </c>
      <c r="O172" s="7"/>
      <c r="P172" s="7"/>
      <c r="Q172" s="22"/>
      <c r="R172" s="191"/>
      <c r="S172" s="197">
        <f t="shared" si="141"/>
        <v>1</v>
      </c>
      <c r="T172" s="191" t="str">
        <f t="shared" si="144"/>
        <v>Southbound</v>
      </c>
      <c r="U172" s="19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2" t="str">
        <f t="shared" si="138"/>
        <v>https://d0f6bd738d7f1b3e5a7ca70fe4ff75f0.us-east-1.aws.found.io/app/kibana#/discover/Steve-Slow-Train-Analysis-(2080s-and-2083s)?_g=(refreshInterval:(display:Off,pause:!f,section:0,value:0),time:(from:'2017-04-24T08:36:17-0600',mode:absolute,to:'2017-04-24T10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2" s="193" t="str">
        <f t="shared" si="145"/>
        <v>N</v>
      </c>
      <c r="X172" s="193">
        <f t="shared" si="156"/>
        <v>1</v>
      </c>
      <c r="Y172" s="193">
        <f t="shared" si="153"/>
        <v>5.8620999999999999</v>
      </c>
      <c r="Z172" s="193">
        <f t="shared" si="154"/>
        <v>6.9099999999999995E-2</v>
      </c>
      <c r="AA172" s="193">
        <f t="shared" si="146"/>
        <v>5.7930000000000001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147"/>
        <v>0814-24</v>
      </c>
      <c r="AE172" s="80" t="str">
        <f t="shared" si="139"/>
        <v>aws s3 cp s3://rtdc.mdm.uploadarchive.raw/RTDC4063/ "%USERPROFILE%\AppData\Local\Temp\OnboardLogs"\RTDC4063\2017-04-24 --exclude "*" --recursive --include "*20170424*" &amp; "%USERPROFILE%\Documents\GitHub\mrs-test-scripts\Headless Mode &amp; Sideloading\WalkAndUnGZ.bat" "%USERPROFILE%\AppData\Local\Temp\OnboardLogs"\RTDC4063\2017-04-24 &amp; aws s3 cp s3://rtdc.mdm.uploadarchive.raw/RTDC4063/ "%USERPROFILE%\AppData\Local\Temp\OnboardLogs"\RTDC4063\2017-04-25 --exclude "*" --recursive --include "*20170425*" &amp; "%USERPROFILE%\Documents\GitHub\mrs-test-scripts\Headless Mode &amp; Sideloading\WalkAndUnGZ.bat" "%USERPROFILE%\AppData\Local\Temp\OnboardLogs"\RTDC4063\2017-04-25</v>
      </c>
      <c r="AF172" s="77" t="str">
        <f t="shared" si="140"/>
        <v>"C:\Program Files (x86)\AstroGrep\AstroGrep.exe" /e /r /s /spath="%USERPROFILE%\AppData\Local\Temp\OnboardLogs" /stypes="app*4063*20170424*" /stext=" 15:.+((SYSTEM_STATE.+slice.+state.+changed )|(ment ac)|(multiple cpu faults)|(system.+state.+changed )|(\[timeout)|(PRM\|1\|D)|(kpr)|(kdp)|(train.+moving)|(\|lc)|(penalty))"</v>
      </c>
      <c r="AG172" s="1" t="str">
        <f t="shared" si="148"/>
        <v>NW</v>
      </c>
      <c r="AH172" s="81" t="str">
        <f t="shared" si="149"/>
        <v>"%USERPROFILE%\Documents\GitHub\eaglep3\Utilities\RefineRTDCRunTimes.py" --tripid 814-24 --locoid 4063 --swversion DE.1.0.9.0 --startMP 300:58621 --initTime 2017-04-24T09:36:17 --startdatetime 2017-04-24T09:39:02 --delay 1 --endMP 204:691 --enddatetime 2017-04-24T09:54:57 --enforcementcount 0 &gt;&gt;C:\Users\stu\Documents\GitHub\eaglep3-reporting\EC\2017-04-24-refined-times.txt</v>
      </c>
      <c r="AI172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{"issue":{"subject":"","project_id":79,"tracker_id":40,"status_id":1,"priority_id":2,"assigned_to_id":23,"start_date":"2017-04-24","description":"","custom_fields":[{"id":1,"name":"Subdivision","value":"NW"},{"id":4,"name":"Milepost","value":"0.0691"},{"id":17,"name":"Train ID","value":"814-24"},{"id":16,"name":"Locomotive ID","value":"4063"},{"id":130,"name":"Impact","value":""},{"id":150,"name":"Time of Event (Mountain Time)","value":"09:54:57"},{"id":151,"name":"Denver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5" t="str">
        <f t="shared" si="151"/>
        <v>start /low /b %USERPROFILE%\Documents\GitHub\eaglep3\Utilities\DownloadLogsFromS3.py --loco 4063 --day 2017-04-24</v>
      </c>
      <c r="AN172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15:54:57"},{"id":29,"name":"Sharepoint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2" t="s">
        <v>663</v>
      </c>
      <c r="B173" s="7">
        <v>4064</v>
      </c>
      <c r="C173" s="21" t="s">
        <v>212</v>
      </c>
      <c r="D173" s="21" t="s">
        <v>895</v>
      </c>
      <c r="E173" s="13">
        <v>42849.415266203701</v>
      </c>
      <c r="F173" s="13">
        <v>42849.431446759256</v>
      </c>
      <c r="G173" s="7">
        <v>1</v>
      </c>
      <c r="H173" s="21" t="s">
        <v>458</v>
      </c>
      <c r="I173" s="13">
        <v>42849.440081018518</v>
      </c>
      <c r="J173" s="7">
        <v>0</v>
      </c>
      <c r="K173" s="92" t="str">
        <f t="shared" si="142"/>
        <v>4063/4064</v>
      </c>
      <c r="L173" s="21" t="str">
        <f>VLOOKUP(A173,'Trips&amp;Operators'!$C$1:$G$99999,5,FALSE)</f>
        <v>ZEWDU DEREJE</v>
      </c>
      <c r="M173" s="6">
        <f t="shared" si="143"/>
        <v>8.6342592621804215E-3</v>
      </c>
      <c r="N173" s="7">
        <f t="shared" si="155"/>
        <v>12.433333337539807</v>
      </c>
      <c r="O173" s="7"/>
      <c r="P173" s="7"/>
      <c r="Q173" s="22"/>
      <c r="R173" s="191"/>
      <c r="S173" s="197">
        <f t="shared" si="141"/>
        <v>1</v>
      </c>
      <c r="T173" s="191" t="str">
        <f t="shared" si="144"/>
        <v>NorthBound</v>
      </c>
      <c r="U173" s="19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2" t="str">
        <f t="shared" si="138"/>
        <v>https://d0f6bd738d7f1b3e5a7ca70fe4ff75f0.us-east-1.aws.found.io/app/kibana#/discover/Steve-Slow-Train-Analysis-(2080s-and-2083s)?_g=(refreshInterval:(display:Off,pause:!f,section:0,value:0),time:(from:'2017-04-24T08:57:59-0600',mode:absolute,to:'2017-04-24T11:33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3" s="193" t="str">
        <f t="shared" si="145"/>
        <v>N</v>
      </c>
      <c r="X173" s="193">
        <f t="shared" si="156"/>
        <v>1</v>
      </c>
      <c r="Y173" s="193">
        <f t="shared" si="153"/>
        <v>9.8299999999999998E-2</v>
      </c>
      <c r="Z173" s="193">
        <f t="shared" si="154"/>
        <v>5.8939000000000004</v>
      </c>
      <c r="AA173" s="193">
        <f t="shared" si="146"/>
        <v>5.7956000000000003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147"/>
        <v>0815-24</v>
      </c>
      <c r="AE173" s="80" t="str">
        <f t="shared" si="139"/>
        <v>aws s3 cp s3://rtdc.mdm.uploadarchive.raw/RTDC4064/ "%USERPROFILE%\AppData\Local\Temp\OnboardLogs"\RTDC4064\2017-04-24 --exclude "*" --recursive --include "*20170424*" &amp; "%USERPROFILE%\Documents\GitHub\mrs-test-scripts\Headless Mode &amp; Sideloading\WalkAndUnGZ.bat" "%USERPROFILE%\AppData\Local\Temp\OnboardLogs"\RTDC4064\2017-04-24 &amp; 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</v>
      </c>
      <c r="AF173" s="77" t="str">
        <f t="shared" si="140"/>
        <v>"C:\Program Files (x86)\AstroGrep\AstroGrep.exe" /e /r /s /spath="%USERPROFILE%\AppData\Local\Temp\OnboardLogs" /stypes="app*4064*20170424*" /stext=" 16:.+((SYSTEM_STATE.+slice.+state.+changed )|(ment ac)|(multiple cpu faults)|(system.+state.+changed )|(\[timeout)|(PRM\|1\|D)|(kpr)|(kdp)|(train.+moving)|(\|lc)|(penalty))"</v>
      </c>
      <c r="AG173" s="1" t="str">
        <f t="shared" si="148"/>
        <v>NW</v>
      </c>
      <c r="AH173" s="81" t="str">
        <f t="shared" si="149"/>
        <v>"%USERPROFILE%\Documents\GitHub\eaglep3\Utilities\RefineRTDCRunTimes.py" --tripid 815-24 --locoid 4064 --swversion DE.1.0.9.0 --startMP 204:983 --initTime 2017-04-24T09:57:59 --startdatetime 2017-04-24T10:21:17 --delay 1 --endMP 300:58939 --enddatetime 2017-04-24T10:33:43 --enforcementcount 0 &gt;&gt;C:\Users\stu\Documents\GitHub\eaglep3-reporting\EC\2017-04-24-refined-times.txt</v>
      </c>
      <c r="AI173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{"issue":{"subject":"","project_id":79,"tracker_id":40,"status_id":1,"priority_id":2,"assigned_to_id":23,"start_date":"2017-04-24","description":"","custom_fields":[{"id":1,"name":"Subdivision","value":"NW"},{"id":4,"name":"Milepost","value":"5.8939"},{"id":17,"name":"Train ID","value":"815-24"},{"id":16,"name":"Locomotive ID","value":"4064"},{"id":130,"name":"Impact","value":""},{"id":150,"name":"Time of Event (Mountain Time)","value":"10:33:43"},{"id":151,"name":"Denver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151"/>
        <v>start /low /b %USERPROFILE%\Documents\GitHub\eaglep3\Utilities\DownloadLogsFromS3.py --loco 4064 --day 2017-04-24</v>
      </c>
      <c r="AN173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16:33:43"},{"id":29,"name":"Sharepoint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554</v>
      </c>
      <c r="B174" s="7">
        <v>4063</v>
      </c>
      <c r="C174" s="21" t="s">
        <v>212</v>
      </c>
      <c r="D174" s="21" t="s">
        <v>896</v>
      </c>
      <c r="E174" s="13">
        <v>42849.44122685185</v>
      </c>
      <c r="F174" s="13">
        <v>42849.442662037036</v>
      </c>
      <c r="G174" s="7">
        <v>1</v>
      </c>
      <c r="H174" s="21" t="s">
        <v>897</v>
      </c>
      <c r="I174" s="13">
        <v>42849.454375000001</v>
      </c>
      <c r="J174" s="7">
        <v>0</v>
      </c>
      <c r="K174" s="92" t="str">
        <f t="shared" si="142"/>
        <v>4063/4064</v>
      </c>
      <c r="L174" s="21" t="str">
        <f>VLOOKUP(A174,'Trips&amp;Operators'!$C$1:$G$99999,5,FALSE)</f>
        <v>ZEWDU DEREJE</v>
      </c>
      <c r="M174" s="6">
        <f t="shared" si="143"/>
        <v>1.1712962965248153E-2</v>
      </c>
      <c r="N174" s="7">
        <f t="shared" si="155"/>
        <v>16.86666666995734</v>
      </c>
      <c r="O174" s="7"/>
      <c r="P174" s="7"/>
      <c r="Q174" s="22"/>
      <c r="R174" s="191"/>
      <c r="S174" s="197">
        <f t="shared" si="141"/>
        <v>1</v>
      </c>
      <c r="T174" s="191" t="str">
        <f t="shared" si="144"/>
        <v>Southbound</v>
      </c>
      <c r="U174" s="19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2" t="str">
        <f t="shared" si="138"/>
        <v>https://d0f6bd738d7f1b3e5a7ca70fe4ff75f0.us-east-1.aws.found.io/app/kibana#/discover/Steve-Slow-Train-Analysis-(2080s-and-2083s)?_g=(refreshInterval:(display:Off,pause:!f,section:0,value:0),time:(from:'2017-04-24T09:35:22-0600',mode:absolute,to:'2017-04-24T11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4" s="193" t="str">
        <f t="shared" si="145"/>
        <v>N</v>
      </c>
      <c r="X174" s="193">
        <f t="shared" si="156"/>
        <v>1</v>
      </c>
      <c r="Y174" s="193">
        <f t="shared" si="153"/>
        <v>5.8624000000000001</v>
      </c>
      <c r="Z174" s="193">
        <f t="shared" si="154"/>
        <v>6.54E-2</v>
      </c>
      <c r="AA174" s="193">
        <f t="shared" si="146"/>
        <v>5.7969999999999997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147"/>
        <v>0816-24</v>
      </c>
      <c r="AE174" s="80" t="str">
        <f t="shared" si="139"/>
        <v>aws s3 cp s3://rtdc.mdm.uploadarchive.raw/RTDC4063/ "%USERPROFILE%\AppData\Local\Temp\OnboardLogs"\RTDC4063\2017-04-24 --exclude "*" --recursive --include "*20170424*" &amp; "%USERPROFILE%\Documents\GitHub\mrs-test-scripts\Headless Mode &amp; Sideloading\WalkAndUnGZ.bat" "%USERPROFILE%\AppData\Local\Temp\OnboardLogs"\RTDC4063\2017-04-24 &amp; aws s3 cp s3://rtdc.mdm.uploadarchive.raw/RTDC4063/ "%USERPROFILE%\AppData\Local\Temp\OnboardLogs"\RTDC4063\2017-04-25 --exclude "*" --recursive --include "*20170425*" &amp; "%USERPROFILE%\Documents\GitHub\mrs-test-scripts\Headless Mode &amp; Sideloading\WalkAndUnGZ.bat" "%USERPROFILE%\AppData\Local\Temp\OnboardLogs"\RTDC4063\2017-04-25</v>
      </c>
      <c r="AF174" s="77" t="str">
        <f t="shared" si="140"/>
        <v>"C:\Program Files (x86)\AstroGrep\AstroGrep.exe" /e /r /s /spath="%USERPROFILE%\AppData\Local\Temp\OnboardLogs" /stypes="app*4063*20170424*" /stext=" 16:.+((SYSTEM_STATE.+slice.+state.+changed )|(ment ac)|(multiple cpu faults)|(system.+state.+changed )|(\[timeout)|(PRM\|1\|D)|(kpr)|(kdp)|(train.+moving)|(\|lc)|(penalty))"</v>
      </c>
      <c r="AG174" s="1" t="str">
        <f t="shared" si="148"/>
        <v>NW</v>
      </c>
      <c r="AH174" s="81" t="str">
        <f t="shared" si="149"/>
        <v>"%USERPROFILE%\Documents\GitHub\eaglep3\Utilities\RefineRTDCRunTimes.py" --tripid 816-24 --locoid 4063 --swversion DE.1.0.9.0 --startMP 300:58624 --initTime 2017-04-24T10:35:22 --startdatetime 2017-04-24T10:37:26 --delay 1 --endMP 204:654 --enddatetime 2017-04-24T10:54:18 --enforcementcount 0 &gt;&gt;C:\Users\stu\Documents\GitHub\eaglep3-reporting\EC\2017-04-24-refined-times.txt</v>
      </c>
      <c r="AI174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{"issue":{"subject":"","project_id":79,"tracker_id":40,"status_id":1,"priority_id":2,"assigned_to_id":23,"start_date":"2017-04-24","description":"","custom_fields":[{"id":1,"name":"Subdivision","value":"NW"},{"id":4,"name":"Milepost","value":"0.0654"},{"id":17,"name":"Train ID","value":"816-24"},{"id":16,"name":"Locomotive ID","value":"4063"},{"id":130,"name":"Impact","value":""},{"id":150,"name":"Time of Event (Mountain Time)","value":"10:54:18"},{"id":151,"name":"Denver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5" t="str">
        <f t="shared" si="151"/>
        <v>start /low /b %USERPROFILE%\Documents\GitHub\eaglep3\Utilities\DownloadLogsFromS3.py --loco 4063 --day 2017-04-24</v>
      </c>
      <c r="AN174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16:54:18"},{"id":29,"name":"Sharepoint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s="20" customFormat="1" x14ac:dyDescent="0.25">
      <c r="A175" s="32" t="s">
        <v>556</v>
      </c>
      <c r="B175" s="7">
        <v>4064</v>
      </c>
      <c r="C175" s="21" t="s">
        <v>212</v>
      </c>
      <c r="D175" s="21" t="s">
        <v>898</v>
      </c>
      <c r="E175" s="13">
        <v>42849.456678240742</v>
      </c>
      <c r="F175" s="13">
        <v>42849.473136574074</v>
      </c>
      <c r="G175" s="7">
        <v>2</v>
      </c>
      <c r="H175" s="21" t="s">
        <v>899</v>
      </c>
      <c r="I175" s="13">
        <v>42849.482928240737</v>
      </c>
      <c r="J175" s="7">
        <v>0</v>
      </c>
      <c r="K175" s="92" t="str">
        <f t="shared" si="142"/>
        <v>4063/4064</v>
      </c>
      <c r="L175" s="21" t="str">
        <f>VLOOKUP(A175,'Trips&amp;Operators'!$C$1:$G$99999,5,FALSE)</f>
        <v>ZEWDU DEREJE</v>
      </c>
      <c r="M175" s="6">
        <f t="shared" si="143"/>
        <v>9.7916666636592709E-3</v>
      </c>
      <c r="N175" s="7">
        <f t="shared" si="155"/>
        <v>14.09999999566935</v>
      </c>
      <c r="O175" s="7"/>
      <c r="P175" s="7"/>
      <c r="Q175" s="22"/>
      <c r="R175" s="191"/>
      <c r="S175" s="197">
        <f t="shared" si="141"/>
        <v>1</v>
      </c>
      <c r="T175" s="191" t="str">
        <f t="shared" si="144"/>
        <v>NorthBound</v>
      </c>
      <c r="U175" s="19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2" t="str">
        <f t="shared" si="138"/>
        <v>https://d0f6bd738d7f1b3e5a7ca70fe4ff75f0.us-east-1.aws.found.io/app/kibana#/discover/Steve-Slow-Train-Analysis-(2080s-and-2083s)?_g=(refreshInterval:(display:Off,pause:!f,section:0,value:0),time:(from:'2017-04-24T09:57:37-0600',mode:absolute,to:'2017-04-24T12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5" s="193" t="str">
        <f t="shared" si="145"/>
        <v>N</v>
      </c>
      <c r="X175" s="193">
        <f t="shared" si="156"/>
        <v>1</v>
      </c>
      <c r="Y175" s="193">
        <f t="shared" si="153"/>
        <v>9.4600000000000004E-2</v>
      </c>
      <c r="Z175" s="193">
        <f t="shared" si="154"/>
        <v>5.8925999999999998</v>
      </c>
      <c r="AA175" s="193">
        <f t="shared" si="146"/>
        <v>5.798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147"/>
        <v>0817-24</v>
      </c>
      <c r="AE175" s="80" t="str">
        <f t="shared" si="139"/>
        <v>aws s3 cp s3://rtdc.mdm.uploadarchive.raw/RTDC4064/ "%USERPROFILE%\AppData\Local\Temp\OnboardLogs"\RTDC4064\2017-04-24 --exclude "*" --recursive --include "*20170424*" &amp; "%USERPROFILE%\Documents\GitHub\mrs-test-scripts\Headless Mode &amp; Sideloading\WalkAndUnGZ.bat" "%USERPROFILE%\AppData\Local\Temp\OnboardLogs"\RTDC4064\2017-04-24 &amp; 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</v>
      </c>
      <c r="AF175" s="77" t="str">
        <f t="shared" si="140"/>
        <v>"C:\Program Files (x86)\AstroGrep\AstroGrep.exe" /e /r /s /spath="%USERPROFILE%\AppData\Local\Temp\OnboardLogs" /stypes="app*4064*20170424*" /stext=" 17:.+((SYSTEM_STATE.+slice.+state.+changed )|(ment ac)|(multiple cpu faults)|(system.+state.+changed )|(\[timeout)|(PRM\|1\|D)|(kpr)|(kdp)|(train.+moving)|(\|lc)|(penalty))"</v>
      </c>
      <c r="AG175" s="1" t="str">
        <f t="shared" si="148"/>
        <v>NW</v>
      </c>
      <c r="AH175" s="81" t="str">
        <f t="shared" si="149"/>
        <v>"%USERPROFILE%\Documents\GitHub\eaglep3\Utilities\RefineRTDCRunTimes.py" --tripid 817-24 --locoid 4064 --swversion DE.1.0.9.0 --startMP 204:946 --initTime 2017-04-24T10:57:37 --startdatetime 2017-04-24T11:21:19 --delay 2 --endMP 300:58926 --enddatetime 2017-04-24T11:35:25 --enforcementcount 0 &gt;&gt;C:\Users\stu\Documents\GitHub\eaglep3-reporting\EC\2017-04-24-refined-times.txt</v>
      </c>
      <c r="AI175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{"issue":{"subject":"","project_id":79,"tracker_id":40,"status_id":1,"priority_id":2,"assigned_to_id":23,"start_date":"2017-04-24","description":"","custom_fields":[{"id":1,"name":"Subdivision","value":"NW"},{"id":4,"name":"Milepost","value":"5.8926"},{"id":17,"name":"Train ID","value":"817-24"},{"id":16,"name":"Locomotive ID","value":"4064"},{"id":130,"name":"Impact","value":""},{"id":150,"name":"Time of Event (Mountain Time)","value":"11:35:25"},{"id":151,"name":"Denver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151"/>
        <v>start /low /b %USERPROFILE%\Documents\GitHub\eaglep3\Utilities\DownloadLogsFromS3.py --loco 4064 --day 2017-04-24</v>
      </c>
      <c r="AN175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17:35:25"},{"id":29,"name":"Sharepoint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678</v>
      </c>
      <c r="B176" s="7">
        <v>4063</v>
      </c>
      <c r="C176" s="21" t="s">
        <v>212</v>
      </c>
      <c r="D176" s="21" t="s">
        <v>900</v>
      </c>
      <c r="E176" s="13">
        <v>42849.484618055554</v>
      </c>
      <c r="F176" s="13">
        <v>42849.486446759256</v>
      </c>
      <c r="G176" s="7">
        <v>1</v>
      </c>
      <c r="H176" s="21" t="s">
        <v>901</v>
      </c>
      <c r="I176" s="13">
        <v>42849.497048611112</v>
      </c>
      <c r="J176" s="7">
        <v>0</v>
      </c>
      <c r="K176" s="92" t="str">
        <f t="shared" si="142"/>
        <v>4063/4064</v>
      </c>
      <c r="L176" s="21" t="str">
        <f>VLOOKUP(A176,'Trips&amp;Operators'!$C$1:$G$99999,5,FALSE)</f>
        <v>ZEWDU DEREJE</v>
      </c>
      <c r="M176" s="6">
        <f t="shared" si="143"/>
        <v>1.0601851856335998E-2</v>
      </c>
      <c r="N176" s="7">
        <f t="shared" si="155"/>
        <v>15.266666673123837</v>
      </c>
      <c r="O176" s="7"/>
      <c r="P176" s="7"/>
      <c r="Q176" s="22"/>
      <c r="R176" s="191"/>
      <c r="S176" s="197">
        <f t="shared" si="141"/>
        <v>1</v>
      </c>
      <c r="T176" s="191" t="str">
        <f t="shared" si="144"/>
        <v>Southbound</v>
      </c>
      <c r="U176" s="19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2" t="str">
        <f t="shared" si="138"/>
        <v>https://d0f6bd738d7f1b3e5a7ca70fe4ff75f0.us-east-1.aws.found.io/app/kibana#/discover/Steve-Slow-Train-Analysis-(2080s-and-2083s)?_g=(refreshInterval:(display:Off,pause:!f,section:0,value:0),time:(from:'2017-04-24T10:37:51-0600',mode:absolute,to:'2017-04-24T12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6" s="193" t="str">
        <f t="shared" si="145"/>
        <v>N</v>
      </c>
      <c r="X176" s="193">
        <f t="shared" si="156"/>
        <v>1</v>
      </c>
      <c r="Y176" s="193">
        <f t="shared" si="153"/>
        <v>5.8601999999999999</v>
      </c>
      <c r="Z176" s="193">
        <f t="shared" si="154"/>
        <v>6.5199999999999994E-2</v>
      </c>
      <c r="AA176" s="193">
        <f t="shared" si="146"/>
        <v>5.7949999999999999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147"/>
        <v>0818-24</v>
      </c>
      <c r="AE176" s="80" t="str">
        <f t="shared" si="139"/>
        <v>aws s3 cp s3://rtdc.mdm.uploadarchive.raw/RTDC4063/ "%USERPROFILE%\AppData\Local\Temp\OnboardLogs"\RTDC4063\2017-04-24 --exclude "*" --recursive --include "*20170424*" &amp; "%USERPROFILE%\Documents\GitHub\mrs-test-scripts\Headless Mode &amp; Sideloading\WalkAndUnGZ.bat" "%USERPROFILE%\AppData\Local\Temp\OnboardLogs"\RTDC4063\2017-04-24 &amp; aws s3 cp s3://rtdc.mdm.uploadarchive.raw/RTDC4063/ "%USERPROFILE%\AppData\Local\Temp\OnboardLogs"\RTDC4063\2017-04-25 --exclude "*" --recursive --include "*20170425*" &amp; "%USERPROFILE%\Documents\GitHub\mrs-test-scripts\Headless Mode &amp; Sideloading\WalkAndUnGZ.bat" "%USERPROFILE%\AppData\Local\Temp\OnboardLogs"\RTDC4063\2017-04-25</v>
      </c>
      <c r="AF176" s="77" t="str">
        <f t="shared" si="140"/>
        <v>"C:\Program Files (x86)\AstroGrep\AstroGrep.exe" /e /r /s /spath="%USERPROFILE%\AppData\Local\Temp\OnboardLogs" /stypes="app*4063*20170424*" /stext=" 17:.+((SYSTEM_STATE.+slice.+state.+changed )|(ment ac)|(multiple cpu faults)|(system.+state.+changed )|(\[timeout)|(PRM\|1\|D)|(kpr)|(kdp)|(train.+moving)|(\|lc)|(penalty))"</v>
      </c>
      <c r="AG176" s="1" t="str">
        <f t="shared" si="148"/>
        <v>NW</v>
      </c>
      <c r="AH176" s="81" t="str">
        <f t="shared" si="149"/>
        <v>"%USERPROFILE%\Documents\GitHub\eaglep3\Utilities\RefineRTDCRunTimes.py" --tripid 818-24 --locoid 4063 --swversion DE.1.0.9.0 --startMP 300:58602 --initTime 2017-04-24T11:37:51 --startdatetime 2017-04-24T11:40:29 --delay 1 --endMP 204:652 --enddatetime 2017-04-24T11:55:45 --enforcementcount 0 &gt;&gt;C:\Users\stu\Documents\GitHub\eaglep3-reporting\EC\2017-04-24-refined-times.txt</v>
      </c>
      <c r="AI176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{"issue":{"subject":"","project_id":79,"tracker_id":40,"status_id":1,"priority_id":2,"assigned_to_id":23,"start_date":"2017-04-24","description":"","custom_fields":[{"id":1,"name":"Subdivision","value":"NW"},{"id":4,"name":"Milepost","value":"0.0652"},{"id":17,"name":"Train ID","value":"818-24"},{"id":16,"name":"Locomotive ID","value":"4063"},{"id":130,"name":"Impact","value":""},{"id":150,"name":"Time of Event (Mountain Time)","value":"11:55:45"},{"id":151,"name":"Denver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5" t="str">
        <f t="shared" si="151"/>
        <v>start /low /b %USERPROFILE%\Documents\GitHub\eaglep3\Utilities\DownloadLogsFromS3.py --loco 4063 --day 2017-04-24</v>
      </c>
      <c r="AN176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17:55:45"},{"id":29,"name":"Sharepoint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688</v>
      </c>
      <c r="B177" s="7">
        <v>4064</v>
      </c>
      <c r="C177" s="21" t="s">
        <v>212</v>
      </c>
      <c r="D177" s="21" t="s">
        <v>447</v>
      </c>
      <c r="E177" s="13">
        <v>42849.510914351849</v>
      </c>
      <c r="F177" s="13">
        <v>42849.514780092592</v>
      </c>
      <c r="G177" s="7">
        <v>1</v>
      </c>
      <c r="H177" s="21" t="s">
        <v>902</v>
      </c>
      <c r="I177" s="13">
        <v>42849.523622685185</v>
      </c>
      <c r="J177" s="7">
        <v>0</v>
      </c>
      <c r="K177" s="92" t="str">
        <f t="shared" si="142"/>
        <v>4063/4064</v>
      </c>
      <c r="L177" s="21" t="str">
        <f>VLOOKUP(A177,'Trips&amp;Operators'!$C$1:$G$99999,5,FALSE)</f>
        <v>ZEWDU DEREJE</v>
      </c>
      <c r="M177" s="6">
        <f t="shared" si="143"/>
        <v>8.8425925932824612E-3</v>
      </c>
      <c r="N177" s="7">
        <f t="shared" si="155"/>
        <v>12.733333334326744</v>
      </c>
      <c r="O177" s="7"/>
      <c r="P177" s="7"/>
      <c r="Q177" s="22"/>
      <c r="R177" s="191"/>
      <c r="S177" s="197">
        <f t="shared" ref="S177:S208" si="157">SUM(U177:U177)/IF(AG177="EC",12,1)</f>
        <v>1</v>
      </c>
      <c r="T177" s="191" t="str">
        <f t="shared" si="144"/>
        <v>NorthBound</v>
      </c>
      <c r="U177" s="19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2" t="str">
        <f t="shared" si="138"/>
        <v>https://d0f6bd738d7f1b3e5a7ca70fe4ff75f0.us-east-1.aws.found.io/app/kibana#/discover/Steve-Slow-Train-Analysis-(2080s-and-2083s)?_g=(refreshInterval:(display:Off,pause:!f,section:0,value:0),time:(from:'2017-04-24T11:15:43-0600',mode:absolute,to:'2017-04-24T13:34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7" s="193" t="str">
        <f t="shared" si="145"/>
        <v>N</v>
      </c>
      <c r="X177" s="193">
        <f t="shared" si="156"/>
        <v>1</v>
      </c>
      <c r="Y177" s="193">
        <f t="shared" si="153"/>
        <v>9.7199999999999995E-2</v>
      </c>
      <c r="Z177" s="193">
        <f t="shared" si="154"/>
        <v>5.8973000000000004</v>
      </c>
      <c r="AA177" s="193">
        <f t="shared" si="146"/>
        <v>5.8001000000000005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147"/>
        <v>0819-24</v>
      </c>
      <c r="AE177" s="80" t="str">
        <f t="shared" si="139"/>
        <v>aws s3 cp s3://rtdc.mdm.uploadarchive.raw/RTDC4064/ "%USERPROFILE%\AppData\Local\Temp\OnboardLogs"\RTDC4064\2017-04-24 --exclude "*" --recursive --include "*20170424*" &amp; "%USERPROFILE%\Documents\GitHub\mrs-test-scripts\Headless Mode &amp; Sideloading\WalkAndUnGZ.bat" "%USERPROFILE%\AppData\Local\Temp\OnboardLogs"\RTDC4064\2017-04-24 &amp; 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</v>
      </c>
      <c r="AF177" s="77" t="str">
        <f t="shared" si="140"/>
        <v>"C:\Program Files (x86)\AstroGrep\AstroGrep.exe" /e /r /s /spath="%USERPROFILE%\AppData\Local\Temp\OnboardLogs" /stypes="app*4064*20170424*" /stext=" 18:.+((SYSTEM_STATE.+slice.+state.+changed )|(ment ac)|(multiple cpu faults)|(system.+state.+changed )|(\[timeout)|(PRM\|1\|D)|(kpr)|(kdp)|(train.+moving)|(\|lc)|(penalty))"</v>
      </c>
      <c r="AG177" s="1" t="str">
        <f t="shared" si="148"/>
        <v>NW</v>
      </c>
      <c r="AH177" s="81" t="str">
        <f t="shared" si="149"/>
        <v>"%USERPROFILE%\Documents\GitHub\eaglep3\Utilities\RefineRTDCRunTimes.py" --tripid 819-24 --locoid 4064 --swversion DE.1.0.9.0 --startMP 204:972 --initTime 2017-04-24T12:15:43 --startdatetime 2017-04-24T12:21:17 --delay 1 --endMP 300:58973 --enddatetime 2017-04-24T12:34:01 --enforcementcount 0 &gt;&gt;C:\Users\stu\Documents\GitHub\eaglep3-reporting\EC\2017-04-24-refined-times.txt</v>
      </c>
      <c r="AI177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{"issue":{"subject":"","project_id":79,"tracker_id":40,"status_id":1,"priority_id":2,"assigned_to_id":23,"start_date":"2017-04-24","description":"","custom_fields":[{"id":1,"name":"Subdivision","value":"NW"},{"id":4,"name":"Milepost","value":"5.8973"},{"id":17,"name":"Train ID","value":"819-24"},{"id":16,"name":"Locomotive ID","value":"4064"},{"id":130,"name":"Impact","value":""},{"id":150,"name":"Time of Event (Mountain Time)","value":"12:34:01"},{"id":151,"name":"Denver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5" t="str">
        <f t="shared" si="151"/>
        <v>start /low /b %USERPROFILE%\Documents\GitHub\eaglep3\Utilities\DownloadLogsFromS3.py --loco 4064 --day 2017-04-24</v>
      </c>
      <c r="AN177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18:34:01"},{"id":29,"name":"Sharepoint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690</v>
      </c>
      <c r="B178" s="7">
        <v>4063</v>
      </c>
      <c r="C178" s="21" t="s">
        <v>212</v>
      </c>
      <c r="D178" s="21" t="s">
        <v>903</v>
      </c>
      <c r="E178" s="13">
        <v>42849.524606481478</v>
      </c>
      <c r="F178" s="13">
        <v>42849.525995370372</v>
      </c>
      <c r="G178" s="7">
        <v>1</v>
      </c>
      <c r="H178" s="21" t="s">
        <v>894</v>
      </c>
      <c r="I178" s="13">
        <v>42849.537812499999</v>
      </c>
      <c r="J178" s="7">
        <v>0</v>
      </c>
      <c r="K178" s="92" t="str">
        <f t="shared" si="142"/>
        <v>4063/4064</v>
      </c>
      <c r="L178" s="21" t="str">
        <f>VLOOKUP(A178,'Trips&amp;Operators'!$C$1:$G$99999,5,FALSE)</f>
        <v>ZEWDU DEREJE</v>
      </c>
      <c r="M178" s="6">
        <f t="shared" si="143"/>
        <v>1.1817129627161194E-2</v>
      </c>
      <c r="N178" s="7">
        <f t="shared" si="155"/>
        <v>17.016666663112119</v>
      </c>
      <c r="O178" s="7"/>
      <c r="P178" s="7"/>
      <c r="Q178" s="22"/>
      <c r="R178" s="191"/>
      <c r="S178" s="197">
        <f t="shared" si="157"/>
        <v>1</v>
      </c>
      <c r="T178" s="191" t="str">
        <f t="shared" si="144"/>
        <v>Southbound</v>
      </c>
      <c r="U178" s="19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2" t="str">
        <f t="shared" si="138"/>
        <v>https://d0f6bd738d7f1b3e5a7ca70fe4ff75f0.us-east-1.aws.found.io/app/kibana#/discover/Steve-Slow-Train-Analysis-(2080s-and-2083s)?_g=(refreshInterval:(display:Off,pause:!f,section:0,value:0),time:(from:'2017-04-24T11:35:26-0600',mode:absolute,to:'2017-04-24T13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8" s="193" t="str">
        <f t="shared" si="145"/>
        <v>N</v>
      </c>
      <c r="X178" s="193">
        <f t="shared" si="156"/>
        <v>1</v>
      </c>
      <c r="Y178" s="193">
        <f t="shared" si="153"/>
        <v>5.8654999999999999</v>
      </c>
      <c r="Z178" s="193">
        <f t="shared" si="154"/>
        <v>6.9099999999999995E-2</v>
      </c>
      <c r="AA178" s="193">
        <f t="shared" si="146"/>
        <v>5.7964000000000002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147"/>
        <v>0820-24</v>
      </c>
      <c r="AE178" s="80" t="str">
        <f t="shared" si="139"/>
        <v>aws s3 cp s3://rtdc.mdm.uploadarchive.raw/RTDC4063/ "%USERPROFILE%\AppData\Local\Temp\OnboardLogs"\RTDC4063\2017-04-24 --exclude "*" --recursive --include "*20170424*" &amp; "%USERPROFILE%\Documents\GitHub\mrs-test-scripts\Headless Mode &amp; Sideloading\WalkAndUnGZ.bat" "%USERPROFILE%\AppData\Local\Temp\OnboardLogs"\RTDC4063\2017-04-24 &amp; aws s3 cp s3://rtdc.mdm.uploadarchive.raw/RTDC4063/ "%USERPROFILE%\AppData\Local\Temp\OnboardLogs"\RTDC4063\2017-04-25 --exclude "*" --recursive --include "*20170425*" &amp; "%USERPROFILE%\Documents\GitHub\mrs-test-scripts\Headless Mode &amp; Sideloading\WalkAndUnGZ.bat" "%USERPROFILE%\AppData\Local\Temp\OnboardLogs"\RTDC4063\2017-04-25</v>
      </c>
      <c r="AF178" s="77" t="str">
        <f t="shared" si="140"/>
        <v>"C:\Program Files (x86)\AstroGrep\AstroGrep.exe" /e /r /s /spath="%USERPROFILE%\AppData\Local\Temp\OnboardLogs" /stypes="app*4063*20170424*" /stext=" 18:.+((SYSTEM_STATE.+slice.+state.+changed )|(ment ac)|(multiple cpu faults)|(system.+state.+changed )|(\[timeout)|(PRM\|1\|D)|(kpr)|(kdp)|(train.+moving)|(\|lc)|(penalty))"</v>
      </c>
      <c r="AG178" s="1" t="str">
        <f t="shared" si="148"/>
        <v>NW</v>
      </c>
      <c r="AH178" s="81" t="str">
        <f t="shared" si="149"/>
        <v>"%USERPROFILE%\Documents\GitHub\eaglep3\Utilities\RefineRTDCRunTimes.py" --tripid 820-24 --locoid 4063 --swversion DE.1.0.9.0 --startMP 300:58655 --initTime 2017-04-24T12:35:26 --startdatetime 2017-04-24T12:37:26 --delay 1 --endMP 204:691 --enddatetime 2017-04-24T12:54:27 --enforcementcount 0 &gt;&gt;C:\Users\stu\Documents\GitHub\eaglep3-reporting\EC\2017-04-24-refined-times.txt</v>
      </c>
      <c r="AI178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{"issue":{"subject":"","project_id":79,"tracker_id":40,"status_id":1,"priority_id":2,"assigned_to_id":23,"start_date":"2017-04-24","description":"","custom_fields":[{"id":1,"name":"Subdivision","value":"NW"},{"id":4,"name":"Milepost","value":"0.0691"},{"id":17,"name":"Train ID","value":"820-24"},{"id":16,"name":"Locomotive ID","value":"4063"},{"id":130,"name":"Impact","value":""},{"id":150,"name":"Time of Event (Mountain Time)","value":"12:54:27"},{"id":151,"name":"Denver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5" t="str">
        <f t="shared" si="151"/>
        <v>start /low /b %USERPROFILE%\Documents\GitHub\eaglep3\Utilities\DownloadLogsFromS3.py --loco 4063 --day 2017-04-24</v>
      </c>
      <c r="AN178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18:54:27"},{"id":29,"name":"Sharepoint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697</v>
      </c>
      <c r="B179" s="7">
        <v>4064</v>
      </c>
      <c r="C179" s="21" t="s">
        <v>212</v>
      </c>
      <c r="D179" s="21" t="s">
        <v>904</v>
      </c>
      <c r="E179" s="13">
        <v>42849.55259259259</v>
      </c>
      <c r="F179" s="13">
        <v>42849.556504629632</v>
      </c>
      <c r="G179" s="7">
        <v>1</v>
      </c>
      <c r="H179" s="21" t="s">
        <v>529</v>
      </c>
      <c r="I179" s="13">
        <v>42849.56559027778</v>
      </c>
      <c r="J179" s="7">
        <v>0</v>
      </c>
      <c r="K179" s="92" t="str">
        <f t="shared" ref="K179:K210" si="158">IF(ISEVEN(B179),(B179-1)&amp;"/"&amp;B179,B179&amp;"/"&amp;(B179+1))</f>
        <v>4063/4064</v>
      </c>
      <c r="L179" s="21" t="str">
        <f>VLOOKUP(A179,'Trips&amp;Operators'!$C$1:$G$99999,5,FALSE)</f>
        <v>LEVIN SCOTT</v>
      </c>
      <c r="M179" s="6">
        <f t="shared" ref="M179:M210" si="159">I179-F179</f>
        <v>9.0856481474475004E-3</v>
      </c>
      <c r="N179" s="7">
        <f t="shared" si="155"/>
        <v>13.083333332324401</v>
      </c>
      <c r="O179" s="7"/>
      <c r="P179" s="7"/>
      <c r="Q179" s="22"/>
      <c r="R179" s="191"/>
      <c r="S179" s="197">
        <f t="shared" si="157"/>
        <v>1</v>
      </c>
      <c r="T179" s="191" t="str">
        <f t="shared" ref="T179:T210" si="160">IF(ISEVEN(LEFT(AD179,4)),"Southbound","NorthBound")</f>
        <v>NorthBound</v>
      </c>
      <c r="U179" s="19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2" t="str">
        <f t="shared" si="138"/>
        <v>https://d0f6bd738d7f1b3e5a7ca70fe4ff75f0.us-east-1.aws.found.io/app/kibana#/discover/Steve-Slow-Train-Analysis-(2080s-and-2083s)?_g=(refreshInterval:(display:Off,pause:!f,section:0,value:0),time:(from:'2017-04-24T12:15:44-0600',mode:absolute,to:'2017-04-24T14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9" s="193" t="str">
        <f t="shared" ref="W179:W210" si="161">IF(AA179&lt;IF(AG179="EC",23,5.65),"Y","N")</f>
        <v>N</v>
      </c>
      <c r="X179" s="193">
        <f t="shared" si="156"/>
        <v>1</v>
      </c>
      <c r="Y179" s="193">
        <f t="shared" si="153"/>
        <v>9.7600000000000006E-2</v>
      </c>
      <c r="Z179" s="193">
        <f t="shared" si="154"/>
        <v>5.8935000000000004</v>
      </c>
      <c r="AA179" s="193">
        <f t="shared" ref="AA179:AA210" si="162">ABS(Z179-Y179)</f>
        <v>5.7959000000000005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ref="AD179:AD210" si="163">IF(LEN(A179)=6,"0"&amp;A179,A179)</f>
        <v>0821-24</v>
      </c>
      <c r="AE179" s="80" t="str">
        <f t="shared" si="139"/>
        <v>aws s3 cp s3://rtdc.mdm.uploadarchive.raw/RTDC4064/ "%USERPROFILE%\AppData\Local\Temp\OnboardLogs"\RTDC4064\2017-04-24 --exclude "*" --recursive --include "*20170424*" &amp; "%USERPROFILE%\Documents\GitHub\mrs-test-scripts\Headless Mode &amp; Sideloading\WalkAndUnGZ.bat" "%USERPROFILE%\AppData\Local\Temp\OnboardLogs"\RTDC4064\2017-04-24 &amp; 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</v>
      </c>
      <c r="AF179" s="77" t="str">
        <f t="shared" si="140"/>
        <v>"C:\Program Files (x86)\AstroGrep\AstroGrep.exe" /e /r /s /spath="%USERPROFILE%\AppData\Local\Temp\OnboardLogs" /stypes="app*4064*20170424*" /stext=" 19:.+((SYSTEM_STATE.+slice.+state.+changed )|(ment ac)|(multiple cpu faults)|(system.+state.+changed )|(\[timeout)|(PRM\|1\|D)|(kpr)|(kdp)|(train.+moving)|(\|lc)|(penalty))"</v>
      </c>
      <c r="AG179" s="1" t="str">
        <f t="shared" ref="AG179:AG210" si="164">IFERROR(IF(VALUE(LEFT(AD179,2))&lt;=2,"EC",IF(OR(VALUE(LEFT(AD179,2))=8,VALUE(LEFT(AD179,2))=18),"NW","Other")),"Other")</f>
        <v>NW</v>
      </c>
      <c r="AH179" s="81" t="str">
        <f t="shared" si="149"/>
        <v>"%USERPROFILE%\Documents\GitHub\eaglep3\Utilities\RefineRTDCRunTimes.py" --tripid 821-24 --locoid 4064 --swversion DE.1.0.9.0 --startMP 204:976 --initTime 2017-04-24T13:15:44 --startdatetime 2017-04-24T13:21:22 --delay 1 --endMP 300:58935 --enddatetime 2017-04-24T13:34:27 --enforcementcount 0 &gt;&gt;C:\Users\stu\Documents\GitHub\eaglep3-reporting\EC\2017-04-24-refined-times.txt</v>
      </c>
      <c r="AI179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{"issue":{"subject":"","project_id":79,"tracker_id":40,"status_id":1,"priority_id":2,"assigned_to_id":23,"start_date":"2017-04-24","description":"","custom_fields":[{"id":1,"name":"Subdivision","value":"NW"},{"id":4,"name":"Milepost","value":"5.8935"},{"id":17,"name":"Train ID","value":"821-24"},{"id":16,"name":"Locomotive ID","value":"4064"},{"id":130,"name":"Impact","value":""},{"id":150,"name":"Time of Event (Mountain Time)","value":"13:34:27"},{"id":151,"name":"Denver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5" t="str">
        <f t="shared" si="151"/>
        <v>start /low /b %USERPROFILE%\Documents\GitHub\eaglep3\Utilities\DownloadLogsFromS3.py --loco 4064 --day 2017-04-24</v>
      </c>
      <c r="AN179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19:34:27"},{"id":29,"name":"Sharepoint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561</v>
      </c>
      <c r="B180" s="7">
        <v>4063</v>
      </c>
      <c r="C180" s="21" t="s">
        <v>212</v>
      </c>
      <c r="D180" s="21" t="s">
        <v>905</v>
      </c>
      <c r="E180" s="13">
        <v>42849.566770833335</v>
      </c>
      <c r="F180" s="13">
        <v>42849.568472222221</v>
      </c>
      <c r="G180" s="7">
        <v>1</v>
      </c>
      <c r="H180" s="21" t="s">
        <v>906</v>
      </c>
      <c r="I180" s="13">
        <v>42849.580127314817</v>
      </c>
      <c r="J180" s="7">
        <v>0</v>
      </c>
      <c r="K180" s="92" t="str">
        <f t="shared" si="158"/>
        <v>4063/4064</v>
      </c>
      <c r="L180" s="21" t="str">
        <f>VLOOKUP(A180,'Trips&amp;Operators'!$C$1:$G$99999,5,FALSE)</f>
        <v>LEVIN SCOTT</v>
      </c>
      <c r="M180" s="6">
        <f t="shared" si="159"/>
        <v>1.1655092595901806E-2</v>
      </c>
      <c r="N180" s="7">
        <f t="shared" si="155"/>
        <v>16.783333338098601</v>
      </c>
      <c r="O180" s="7"/>
      <c r="P180" s="7"/>
      <c r="Q180" s="22"/>
      <c r="R180" s="191"/>
      <c r="S180" s="197">
        <f t="shared" si="157"/>
        <v>1</v>
      </c>
      <c r="T180" s="191" t="str">
        <f t="shared" si="160"/>
        <v>Southbound</v>
      </c>
      <c r="U180" s="19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2" t="str">
        <f t="shared" si="138"/>
        <v>https://d0f6bd738d7f1b3e5a7ca70fe4ff75f0.us-east-1.aws.found.io/app/kibana#/discover/Steve-Slow-Train-Analysis-(2080s-and-2083s)?_g=(refreshInterval:(display:Off,pause:!f,section:0,value:0),time:(from:'2017-04-24T12:36:09-0600',mode:absolute,to:'2017-04-24T14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0" s="193" t="str">
        <f t="shared" si="161"/>
        <v>N</v>
      </c>
      <c r="X180" s="193">
        <f t="shared" si="156"/>
        <v>1</v>
      </c>
      <c r="Y180" s="193">
        <f t="shared" si="153"/>
        <v>5.8604000000000003</v>
      </c>
      <c r="Z180" s="193">
        <f t="shared" si="154"/>
        <v>6.3799999999999996E-2</v>
      </c>
      <c r="AA180" s="193">
        <f t="shared" si="162"/>
        <v>5.7966000000000006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163"/>
        <v>0822-24</v>
      </c>
      <c r="AE180" s="80" t="str">
        <f t="shared" si="139"/>
        <v>aws s3 cp s3://rtdc.mdm.uploadarchive.raw/RTDC4063/ "%USERPROFILE%\AppData\Local\Temp\OnboardLogs"\RTDC4063\2017-04-24 --exclude "*" --recursive --include "*20170424*" &amp; "%USERPROFILE%\Documents\GitHub\mrs-test-scripts\Headless Mode &amp; Sideloading\WalkAndUnGZ.bat" "%USERPROFILE%\AppData\Local\Temp\OnboardLogs"\RTDC4063\2017-04-24 &amp; aws s3 cp s3://rtdc.mdm.uploadarchive.raw/RTDC4063/ "%USERPROFILE%\AppData\Local\Temp\OnboardLogs"\RTDC4063\2017-04-25 --exclude "*" --recursive --include "*20170425*" &amp; "%USERPROFILE%\Documents\GitHub\mrs-test-scripts\Headless Mode &amp; Sideloading\WalkAndUnGZ.bat" "%USERPROFILE%\AppData\Local\Temp\OnboardLogs"\RTDC4063\2017-04-25</v>
      </c>
      <c r="AF180" s="77" t="str">
        <f t="shared" si="140"/>
        <v>"C:\Program Files (x86)\AstroGrep\AstroGrep.exe" /e /r /s /spath="%USERPROFILE%\AppData\Local\Temp\OnboardLogs" /stypes="app*4063*20170424*" /stext=" 19:.+((SYSTEM_STATE.+slice.+state.+changed )|(ment ac)|(multiple cpu faults)|(system.+state.+changed )|(\[timeout)|(PRM\|1\|D)|(kpr)|(kdp)|(train.+moving)|(\|lc)|(penalty))"</v>
      </c>
      <c r="AG180" s="1" t="str">
        <f t="shared" si="164"/>
        <v>NW</v>
      </c>
      <c r="AH180" s="81" t="str">
        <f t="shared" si="149"/>
        <v>"%USERPROFILE%\Documents\GitHub\eaglep3\Utilities\RefineRTDCRunTimes.py" --tripid 822-24 --locoid 4063 --swversion DE.1.0.9.0 --startMP 300:58604 --initTime 2017-04-24T13:36:09 --startdatetime 2017-04-24T13:38:36 --delay 1 --endMP 204:638 --enddatetime 2017-04-24T13:55:23 --enforcementcount 0 &gt;&gt;C:\Users\stu\Documents\GitHub\eaglep3-reporting\EC\2017-04-24-refined-times.txt</v>
      </c>
      <c r="AI180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{"issue":{"subject":"","project_id":79,"tracker_id":40,"status_id":1,"priority_id":2,"assigned_to_id":23,"start_date":"2017-04-24","description":"","custom_fields":[{"id":1,"name":"Subdivision","value":"NW"},{"id":4,"name":"Milepost","value":"0.0638"},{"id":17,"name":"Train ID","value":"822-24"},{"id":16,"name":"Locomotive ID","value":"4063"},{"id":130,"name":"Impact","value":""},{"id":150,"name":"Time of Event (Mountain Time)","value":"13:55:23"},{"id":151,"name":"Denver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5" t="str">
        <f t="shared" si="151"/>
        <v>start /low /b %USERPROFILE%\Documents\GitHub\eaglep3\Utilities\DownloadLogsFromS3.py --loco 4063 --day 2017-04-24</v>
      </c>
      <c r="AN180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19:55:23"},{"id":29,"name":"Sharepoint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704</v>
      </c>
      <c r="B181" s="7">
        <v>4064</v>
      </c>
      <c r="C181" s="21" t="s">
        <v>212</v>
      </c>
      <c r="D181" s="21" t="s">
        <v>877</v>
      </c>
      <c r="E181" s="13">
        <v>42849.596030092594</v>
      </c>
      <c r="F181" s="13">
        <v>42849.598124999997</v>
      </c>
      <c r="G181" s="7">
        <v>0</v>
      </c>
      <c r="H181" s="21" t="s">
        <v>488</v>
      </c>
      <c r="I181" s="13">
        <v>42849.607314814813</v>
      </c>
      <c r="J181" s="7">
        <v>0</v>
      </c>
      <c r="K181" s="92" t="str">
        <f t="shared" si="158"/>
        <v>4063/4064</v>
      </c>
      <c r="L181" s="21" t="str">
        <f>VLOOKUP(A181,'Trips&amp;Operators'!$C$1:$G$99999,5,FALSE)</f>
        <v>LEVIN SCOTT</v>
      </c>
      <c r="M181" s="6">
        <f t="shared" si="159"/>
        <v>9.189814816636499E-3</v>
      </c>
      <c r="N181" s="7">
        <f t="shared" si="155"/>
        <v>13.233333335956559</v>
      </c>
      <c r="O181" s="7"/>
      <c r="P181" s="7"/>
      <c r="Q181" s="22"/>
      <c r="R181" s="191"/>
      <c r="S181" s="197">
        <f t="shared" si="157"/>
        <v>1</v>
      </c>
      <c r="T181" s="191" t="str">
        <f t="shared" si="160"/>
        <v>NorthBound</v>
      </c>
      <c r="U181" s="19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2" t="str">
        <f t="shared" si="138"/>
        <v>https://d0f6bd738d7f1b3e5a7ca70fe4ff75f0.us-east-1.aws.found.io/app/kibana#/discover/Steve-Slow-Train-Analysis-(2080s-and-2083s)?_g=(refreshInterval:(display:Off,pause:!f,section:0,value:0),time:(from:'2017-04-24T13:18:17-0600',mode:absolute,to:'2017-04-24T15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1" s="193" t="str">
        <f t="shared" si="161"/>
        <v>N</v>
      </c>
      <c r="X181" s="193">
        <f t="shared" si="156"/>
        <v>1</v>
      </c>
      <c r="Y181" s="193">
        <f t="shared" si="153"/>
        <v>9.2899999999999996E-2</v>
      </c>
      <c r="Z181" s="193">
        <f t="shared" si="154"/>
        <v>5.8936999999999999</v>
      </c>
      <c r="AA181" s="193">
        <f t="shared" si="162"/>
        <v>5.8007999999999997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163"/>
        <v>0823-24</v>
      </c>
      <c r="AE181" s="80" t="str">
        <f t="shared" si="139"/>
        <v>aws s3 cp s3://rtdc.mdm.uploadarchive.raw/RTDC4064/ "%USERPROFILE%\AppData\Local\Temp\OnboardLogs"\RTDC4064\2017-04-24 --exclude "*" --recursive --include "*20170424*" &amp; "%USERPROFILE%\Documents\GitHub\mrs-test-scripts\Headless Mode &amp; Sideloading\WalkAndUnGZ.bat" "%USERPROFILE%\AppData\Local\Temp\OnboardLogs"\RTDC4064\2017-04-24 &amp; 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</v>
      </c>
      <c r="AF181" s="77" t="str">
        <f t="shared" si="140"/>
        <v>"C:\Program Files (x86)\AstroGrep\AstroGrep.exe" /e /r /s /spath="%USERPROFILE%\AppData\Local\Temp\OnboardLogs" /stypes="app*4064*20170424*" /stext=" 20:.+((SYSTEM_STATE.+slice.+state.+changed )|(ment ac)|(multiple cpu faults)|(system.+state.+changed )|(\[timeout)|(PRM\|1\|D)|(kpr)|(kdp)|(train.+moving)|(\|lc)|(penalty))"</v>
      </c>
      <c r="AG181" s="1" t="str">
        <f t="shared" si="164"/>
        <v>NW</v>
      </c>
      <c r="AH181" s="81" t="str">
        <f t="shared" si="149"/>
        <v>"%USERPROFILE%\Documents\GitHub\eaglep3\Utilities\RefineRTDCRunTimes.py" --tripid 823-24 --locoid 4064 --swversion DE.1.0.9.0 --startMP 204:929 --initTime 2017-04-24T14:18:17 --startdatetime 2017-04-24T14:21:18 --delay 0 --endMP 300:58937 --enddatetime 2017-04-24T14:34:32 --enforcementcount 0 &gt;&gt;C:\Users\stu\Documents\GitHub\eaglep3-reporting\EC\2017-04-24-refined-times.txt</v>
      </c>
      <c r="AI181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{"issue":{"subject":"","project_id":79,"tracker_id":40,"status_id":1,"priority_id":2,"assigned_to_id":23,"start_date":"2017-04-24","description":"","custom_fields":[{"id":1,"name":"Subdivision","value":"NW"},{"id":4,"name":"Milepost","value":"5.8937"},{"id":17,"name":"Train ID","value":"823-24"},{"id":16,"name":"Locomotive ID","value":"4064"},{"id":130,"name":"Impact","value":""},{"id":150,"name":"Time of Event (Mountain Time)","value":"14:34:32"},{"id":151,"name":"Denver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5" t="str">
        <f t="shared" si="151"/>
        <v>start /low /b %USERPROFILE%\Documents\GitHub\eaglep3\Utilities\DownloadLogsFromS3.py --loco 4064 --day 2017-04-24</v>
      </c>
      <c r="AN181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20:34:32"},{"id":29,"name":"Sharepoint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2" t="s">
        <v>706</v>
      </c>
      <c r="B182" s="7">
        <v>4063</v>
      </c>
      <c r="C182" s="21" t="s">
        <v>212</v>
      </c>
      <c r="D182" s="21" t="s">
        <v>907</v>
      </c>
      <c r="E182" s="13">
        <v>42849.608530092592</v>
      </c>
      <c r="F182" s="13">
        <v>42849.609884259262</v>
      </c>
      <c r="G182" s="7">
        <v>1</v>
      </c>
      <c r="H182" s="21" t="s">
        <v>908</v>
      </c>
      <c r="I182" s="13">
        <v>42849.62122685185</v>
      </c>
      <c r="J182" s="7">
        <v>0</v>
      </c>
      <c r="K182" s="92" t="str">
        <f t="shared" si="158"/>
        <v>4063/4064</v>
      </c>
      <c r="L182" s="21" t="str">
        <f>VLOOKUP(A182,'Trips&amp;Operators'!$C$1:$G$99999,5,FALSE)</f>
        <v>LEVIN SCOTT</v>
      </c>
      <c r="M182" s="6">
        <f t="shared" si="159"/>
        <v>1.134259258833481E-2</v>
      </c>
      <c r="N182" s="7">
        <f t="shared" si="155"/>
        <v>16.333333327202126</v>
      </c>
      <c r="O182" s="7"/>
      <c r="P182" s="7"/>
      <c r="Q182" s="22"/>
      <c r="R182" s="191"/>
      <c r="S182" s="197">
        <f t="shared" si="157"/>
        <v>1</v>
      </c>
      <c r="T182" s="191" t="str">
        <f t="shared" si="160"/>
        <v>Southbound</v>
      </c>
      <c r="U182" s="19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2" t="str">
        <f t="shared" si="138"/>
        <v>https://d0f6bd738d7f1b3e5a7ca70fe4ff75f0.us-east-1.aws.found.io/app/kibana#/discover/Steve-Slow-Train-Analysis-(2080s-and-2083s)?_g=(refreshInterval:(display:Off,pause:!f,section:0,value:0),time:(from:'2017-04-24T13:36:17-0600',mode:absolute,to:'2017-04-24T15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2" s="193" t="str">
        <f t="shared" si="161"/>
        <v>N</v>
      </c>
      <c r="X182" s="193">
        <f t="shared" si="156"/>
        <v>1</v>
      </c>
      <c r="Y182" s="193">
        <f t="shared" si="153"/>
        <v>5.8634000000000004</v>
      </c>
      <c r="Z182" s="193">
        <f t="shared" si="154"/>
        <v>6.1499999999999999E-2</v>
      </c>
      <c r="AA182" s="193">
        <f t="shared" si="162"/>
        <v>5.8019000000000007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163"/>
        <v>0824-24</v>
      </c>
      <c r="AE182" s="80" t="str">
        <f t="shared" si="139"/>
        <v>aws s3 cp s3://rtdc.mdm.uploadarchive.raw/RTDC4063/ "%USERPROFILE%\AppData\Local\Temp\OnboardLogs"\RTDC4063\2017-04-24 --exclude "*" --recursive --include "*20170424*" &amp; "%USERPROFILE%\Documents\GitHub\mrs-test-scripts\Headless Mode &amp; Sideloading\WalkAndUnGZ.bat" "%USERPROFILE%\AppData\Local\Temp\OnboardLogs"\RTDC4063\2017-04-24 &amp; aws s3 cp s3://rtdc.mdm.uploadarchive.raw/RTDC4063/ "%USERPROFILE%\AppData\Local\Temp\OnboardLogs"\RTDC4063\2017-04-25 --exclude "*" --recursive --include "*20170425*" &amp; "%USERPROFILE%\Documents\GitHub\mrs-test-scripts\Headless Mode &amp; Sideloading\WalkAndUnGZ.bat" "%USERPROFILE%\AppData\Local\Temp\OnboardLogs"\RTDC4063\2017-04-25</v>
      </c>
      <c r="AF182" s="77" t="str">
        <f t="shared" si="140"/>
        <v>"C:\Program Files (x86)\AstroGrep\AstroGrep.exe" /e /r /s /spath="%USERPROFILE%\AppData\Local\Temp\OnboardLogs" /stypes="app*4063*20170424*" /stext=" 20:.+((SYSTEM_STATE.+slice.+state.+changed )|(ment ac)|(multiple cpu faults)|(system.+state.+changed )|(\[timeout)|(PRM\|1\|D)|(kpr)|(kdp)|(train.+moving)|(\|lc)|(penalty))"</v>
      </c>
      <c r="AG182" s="1" t="str">
        <f t="shared" si="164"/>
        <v>NW</v>
      </c>
      <c r="AH182" s="81" t="str">
        <f t="shared" si="149"/>
        <v>"%USERPROFILE%\Documents\GitHub\eaglep3\Utilities\RefineRTDCRunTimes.py" --tripid 824-24 --locoid 4063 --swversion DE.1.0.9.0 --startMP 300:58634 --initTime 2017-04-24T14:36:17 --startdatetime 2017-04-24T14:38:14 --delay 1 --endMP 204:615 --enddatetime 2017-04-24T14:54:34 --enforcementcount 0 &gt;&gt;C:\Users\stu\Documents\GitHub\eaglep3-reporting\EC\2017-04-24-refined-times.txt</v>
      </c>
      <c r="AI182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{"issue":{"subject":"","project_id":79,"tracker_id":40,"status_id":1,"priority_id":2,"assigned_to_id":23,"start_date":"2017-04-24","description":"","custom_fields":[{"id":1,"name":"Subdivision","value":"NW"},{"id":4,"name":"Milepost","value":"0.0615"},{"id":17,"name":"Train ID","value":"824-24"},{"id":16,"name":"Locomotive ID","value":"4063"},{"id":130,"name":"Impact","value":""},{"id":150,"name":"Time of Event (Mountain Time)","value":"14:54:34"},{"id":151,"name":"Denver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151"/>
        <v>start /low /b %USERPROFILE%\Documents\GitHub\eaglep3\Utilities\DownloadLogsFromS3.py --loco 4063 --day 2017-04-24</v>
      </c>
      <c r="AN182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20:54:34"},{"id":29,"name":"Sharepoint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s="20" customFormat="1" x14ac:dyDescent="0.25">
      <c r="A183" s="32" t="s">
        <v>712</v>
      </c>
      <c r="B183" s="7">
        <v>4064</v>
      </c>
      <c r="C183" s="21" t="s">
        <v>212</v>
      </c>
      <c r="D183" s="21" t="s">
        <v>909</v>
      </c>
      <c r="E183" s="13">
        <v>42849.637615740743</v>
      </c>
      <c r="F183" s="13">
        <v>42849.639756944445</v>
      </c>
      <c r="G183" s="7">
        <v>1</v>
      </c>
      <c r="H183" s="21" t="s">
        <v>910</v>
      </c>
      <c r="I183" s="13">
        <v>42849.649004629631</v>
      </c>
      <c r="J183" s="7">
        <v>0</v>
      </c>
      <c r="K183" s="92" t="str">
        <f t="shared" si="158"/>
        <v>4063/4064</v>
      </c>
      <c r="L183" s="21" t="str">
        <f>VLOOKUP(A183,'Trips&amp;Operators'!$C$1:$G$99999,5,FALSE)</f>
        <v>LEVIN SCOTT</v>
      </c>
      <c r="M183" s="6">
        <f t="shared" si="159"/>
        <v>9.2476851859828457E-3</v>
      </c>
      <c r="N183" s="7">
        <f t="shared" si="155"/>
        <v>13.316666667815298</v>
      </c>
      <c r="O183" s="7"/>
      <c r="P183" s="7"/>
      <c r="Q183" s="22"/>
      <c r="R183" s="191"/>
      <c r="S183" s="197">
        <f t="shared" si="157"/>
        <v>1</v>
      </c>
      <c r="T183" s="191" t="str">
        <f t="shared" si="160"/>
        <v>NorthBound</v>
      </c>
      <c r="U183" s="19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2" t="str">
        <f t="shared" si="138"/>
        <v>https://d0f6bd738d7f1b3e5a7ca70fe4ff75f0.us-east-1.aws.found.io/app/kibana#/discover/Steve-Slow-Train-Analysis-(2080s-and-2083s)?_g=(refreshInterval:(display:Off,pause:!f,section:0,value:0),time:(from:'2017-04-24T14:18:10-0600',mode:absolute,to:'2017-04-24T16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3" s="193" t="str">
        <f t="shared" si="161"/>
        <v>N</v>
      </c>
      <c r="X183" s="193">
        <f t="shared" si="156"/>
        <v>1</v>
      </c>
      <c r="Y183" s="193">
        <f t="shared" si="153"/>
        <v>9.1300000000000006E-2</v>
      </c>
      <c r="Z183" s="193">
        <f t="shared" si="154"/>
        <v>5.8958000000000004</v>
      </c>
      <c r="AA183" s="193">
        <f t="shared" si="162"/>
        <v>5.8045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163"/>
        <v>0825-24</v>
      </c>
      <c r="AE183" s="80" t="str">
        <f t="shared" si="139"/>
        <v>aws s3 cp s3://rtdc.mdm.uploadarchive.raw/RTDC4064/ "%USERPROFILE%\AppData\Local\Temp\OnboardLogs"\RTDC4064\2017-04-24 --exclude "*" --recursive --include "*20170424*" &amp; "%USERPROFILE%\Documents\GitHub\mrs-test-scripts\Headless Mode &amp; Sideloading\WalkAndUnGZ.bat" "%USERPROFILE%\AppData\Local\Temp\OnboardLogs"\RTDC4064\2017-04-24 &amp; 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</v>
      </c>
      <c r="AF183" s="77" t="str">
        <f t="shared" si="140"/>
        <v>"C:\Program Files (x86)\AstroGrep\AstroGrep.exe" /e /r /s /spath="%USERPROFILE%\AppData\Local\Temp\OnboardLogs" /stypes="app*4064*20170424*" /stext=" 21:.+((SYSTEM_STATE.+slice.+state.+changed )|(ment ac)|(multiple cpu faults)|(system.+state.+changed )|(\[timeout)|(PRM\|1\|D)|(kpr)|(kdp)|(train.+moving)|(\|lc)|(penalty))"</v>
      </c>
      <c r="AG183" s="1" t="str">
        <f t="shared" si="164"/>
        <v>NW</v>
      </c>
      <c r="AH183" s="81" t="str">
        <f t="shared" si="149"/>
        <v>"%USERPROFILE%\Documents\GitHub\eaglep3\Utilities\RefineRTDCRunTimes.py" --tripid 825-24 --locoid 4064 --swversion DE.1.0.9.0 --startMP 204:913 --initTime 2017-04-24T15:18:10 --startdatetime 2017-04-24T15:21:15 --delay 1 --endMP 300:58958 --enddatetime 2017-04-24T15:34:34 --enforcementcount 0 &gt;&gt;C:\Users\stu\Documents\GitHub\eaglep3-reporting\EC\2017-04-24-refined-times.txt</v>
      </c>
      <c r="AI183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{"issue":{"subject":"","project_id":79,"tracker_id":40,"status_id":1,"priority_id":2,"assigned_to_id":23,"start_date":"2017-04-24","description":"","custom_fields":[{"id":1,"name":"Subdivision","value":"NW"},{"id":4,"name":"Milepost","value":"5.8958"},{"id":17,"name":"Train ID","value":"825-24"},{"id":16,"name":"Locomotive ID","value":"4064"},{"id":130,"name":"Impact","value":""},{"id":150,"name":"Time of Event (Mountain Time)","value":"15:34:34"},{"id":151,"name":"Denver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5" t="str">
        <f t="shared" si="151"/>
        <v>start /low /b %USERPROFILE%\Documents\GitHub\eaglep3\Utilities\DownloadLogsFromS3.py --loco 4064 --day 2017-04-24</v>
      </c>
      <c r="AN183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21:34:34"},{"id":29,"name":"Sharepoint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2" t="s">
        <v>567</v>
      </c>
      <c r="B184" s="7">
        <v>4063</v>
      </c>
      <c r="C184" s="21" t="s">
        <v>212</v>
      </c>
      <c r="D184" s="21" t="s">
        <v>459</v>
      </c>
      <c r="E184" s="13">
        <v>42849.650254629632</v>
      </c>
      <c r="F184" s="13">
        <v>42849.651574074072</v>
      </c>
      <c r="G184" s="7">
        <v>1</v>
      </c>
      <c r="H184" s="21" t="s">
        <v>911</v>
      </c>
      <c r="I184" s="13">
        <v>42849.663414351853</v>
      </c>
      <c r="J184" s="7">
        <v>0</v>
      </c>
      <c r="K184" s="92" t="str">
        <f t="shared" si="158"/>
        <v>4063/4064</v>
      </c>
      <c r="L184" s="21" t="str">
        <f>VLOOKUP(A184,'Trips&amp;Operators'!$C$1:$G$99999,5,FALSE)</f>
        <v>LEVIN SCOTT</v>
      </c>
      <c r="M184" s="6">
        <f t="shared" si="159"/>
        <v>1.1840277780720498E-2</v>
      </c>
      <c r="N184" s="7">
        <f t="shared" si="155"/>
        <v>17.050000004237518</v>
      </c>
      <c r="O184" s="7"/>
      <c r="P184" s="7"/>
      <c r="Q184" s="22"/>
      <c r="R184" s="191"/>
      <c r="S184" s="197">
        <f t="shared" si="157"/>
        <v>1</v>
      </c>
      <c r="T184" s="191" t="str">
        <f t="shared" si="160"/>
        <v>Southbound</v>
      </c>
      <c r="U184" s="19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2" t="str">
        <f t="shared" si="138"/>
        <v>https://d0f6bd738d7f1b3e5a7ca70fe4ff75f0.us-east-1.aws.found.io/app/kibana#/discover/Steve-Slow-Train-Analysis-(2080s-and-2083s)?_g=(refreshInterval:(display:Off,pause:!f,section:0,value:0),time:(from:'2017-04-24T14:36:22-0600',mode:absolute,to:'2017-04-24T16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4" s="193" t="str">
        <f t="shared" si="161"/>
        <v>N</v>
      </c>
      <c r="X184" s="193">
        <f t="shared" si="156"/>
        <v>1</v>
      </c>
      <c r="Y184" s="193">
        <f t="shared" si="153"/>
        <v>5.8635999999999999</v>
      </c>
      <c r="Z184" s="193">
        <f t="shared" si="154"/>
        <v>6.0299999999999999E-2</v>
      </c>
      <c r="AA184" s="193">
        <f t="shared" si="162"/>
        <v>5.8033000000000001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163"/>
        <v>0826-24</v>
      </c>
      <c r="AE184" s="80" t="str">
        <f t="shared" si="139"/>
        <v>aws s3 cp s3://rtdc.mdm.uploadarchive.raw/RTDC4063/ "%USERPROFILE%\AppData\Local\Temp\OnboardLogs"\RTDC4063\2017-04-24 --exclude "*" --recursive --include "*20170424*" &amp; "%USERPROFILE%\Documents\GitHub\mrs-test-scripts\Headless Mode &amp; Sideloading\WalkAndUnGZ.bat" "%USERPROFILE%\AppData\Local\Temp\OnboardLogs"\RTDC4063\2017-04-24 &amp; aws s3 cp s3://rtdc.mdm.uploadarchive.raw/RTDC4063/ "%USERPROFILE%\AppData\Local\Temp\OnboardLogs"\RTDC4063\2017-04-25 --exclude "*" --recursive --include "*20170425*" &amp; "%USERPROFILE%\Documents\GitHub\mrs-test-scripts\Headless Mode &amp; Sideloading\WalkAndUnGZ.bat" "%USERPROFILE%\AppData\Local\Temp\OnboardLogs"\RTDC4063\2017-04-25</v>
      </c>
      <c r="AF184" s="77" t="str">
        <f t="shared" si="140"/>
        <v>"C:\Program Files (x86)\AstroGrep\AstroGrep.exe" /e /r /s /spath="%USERPROFILE%\AppData\Local\Temp\OnboardLogs" /stypes="app*4063*20170424*" /stext=" 21:.+((SYSTEM_STATE.+slice.+state.+changed )|(ment ac)|(multiple cpu faults)|(system.+state.+changed )|(\[timeout)|(PRM\|1\|D)|(kpr)|(kdp)|(train.+moving)|(\|lc)|(penalty))"</v>
      </c>
      <c r="AG184" s="1" t="str">
        <f t="shared" si="164"/>
        <v>NW</v>
      </c>
      <c r="AH184" s="81" t="str">
        <f t="shared" si="149"/>
        <v>"%USERPROFILE%\Documents\GitHub\eaglep3\Utilities\RefineRTDCRunTimes.py" --tripid 826-24 --locoid 4063 --swversion DE.1.0.9.0 --startMP 300:58636 --initTime 2017-04-24T15:36:22 --startdatetime 2017-04-24T15:38:16 --delay 1 --endMP 204:603 --enddatetime 2017-04-24T15:55:19 --enforcementcount 0 &gt;&gt;C:\Users\stu\Documents\GitHub\eaglep3-reporting\EC\2017-04-24-refined-times.txt</v>
      </c>
      <c r="AI184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{"issue":{"subject":"","project_id":79,"tracker_id":40,"status_id":1,"priority_id":2,"assigned_to_id":23,"start_date":"2017-04-24","description":"","custom_fields":[{"id":1,"name":"Subdivision","value":"NW"},{"id":4,"name":"Milepost","value":"0.0603"},{"id":17,"name":"Train ID","value":"826-24"},{"id":16,"name":"Locomotive ID","value":"4063"},{"id":130,"name":"Impact","value":""},{"id":150,"name":"Time of Event (Mountain Time)","value":"15:55:19"},{"id":151,"name":"Denver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151"/>
        <v>start /low /b %USERPROFILE%\Documents\GitHub\eaglep3\Utilities\DownloadLogsFromS3.py --loco 4063 --day 2017-04-24</v>
      </c>
      <c r="AN184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21:55:19"},{"id":29,"name":"Sharepoint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716</v>
      </c>
      <c r="B185" s="7">
        <v>4054</v>
      </c>
      <c r="C185" s="21" t="s">
        <v>212</v>
      </c>
      <c r="D185" s="21" t="s">
        <v>912</v>
      </c>
      <c r="E185" s="13">
        <v>42849.656145833331</v>
      </c>
      <c r="F185" s="13">
        <v>42849.660601851851</v>
      </c>
      <c r="G185" s="7">
        <v>1</v>
      </c>
      <c r="H185" s="21" t="s">
        <v>913</v>
      </c>
      <c r="I185" s="13">
        <v>42849.669432870367</v>
      </c>
      <c r="J185" s="7">
        <v>0</v>
      </c>
      <c r="K185" s="92" t="str">
        <f t="shared" si="158"/>
        <v>4053/4054</v>
      </c>
      <c r="L185" s="21" t="str">
        <f>VLOOKUP(A185,'Trips&amp;Operators'!$C$1:$G$99999,5,FALSE)</f>
        <v>NEWELL JAMES</v>
      </c>
      <c r="M185" s="6">
        <f t="shared" si="159"/>
        <v>8.8310185165028088E-3</v>
      </c>
      <c r="N185" s="7">
        <f t="shared" si="155"/>
        <v>12.716666663764045</v>
      </c>
      <c r="O185" s="7"/>
      <c r="P185" s="7"/>
      <c r="Q185" s="22"/>
      <c r="R185" s="191"/>
      <c r="S185" s="197">
        <f t="shared" si="157"/>
        <v>1</v>
      </c>
      <c r="T185" s="191" t="str">
        <f t="shared" si="160"/>
        <v>NorthBound</v>
      </c>
      <c r="U185" s="19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2" t="str">
        <f t="shared" si="138"/>
        <v>https://d0f6bd738d7f1b3e5a7ca70fe4ff75f0.us-east-1.aws.found.io/app/kibana#/discover/Steve-Slow-Train-Analysis-(2080s-and-2083s)?_g=(refreshInterval:(display:Off,pause:!f,section:0,value:0),time:(from:'2017-04-24T14:44:51-0600',mode:absolute,to:'2017-04-24T17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5" s="193" t="str">
        <f t="shared" si="161"/>
        <v>N</v>
      </c>
      <c r="X185" s="193">
        <f t="shared" si="156"/>
        <v>1</v>
      </c>
      <c r="Y185" s="193">
        <f t="shared" si="153"/>
        <v>9.5299999999999996E-2</v>
      </c>
      <c r="Z185" s="193">
        <f t="shared" si="154"/>
        <v>5.8929</v>
      </c>
      <c r="AA185" s="193">
        <f t="shared" si="162"/>
        <v>5.7976000000000001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163"/>
        <v>0827-24</v>
      </c>
      <c r="AE185" s="80" t="str">
        <f t="shared" si="139"/>
        <v>aws s3 cp s3://rtdc.mdm.uploadarchive.raw/RTDC4054/ "%USERPROFILE%\AppData\Local\Temp\OnboardLogs"\RTDC4054\2017-04-24 --exclude "*" --recursive --include "*20170424*" &amp; "%USERPROFILE%\Documents\GitHub\mrs-test-scripts\Headless Mode &amp; Sideloading\WalkAndUnGZ.bat" "%USERPROFILE%\AppData\Local\Temp\OnboardLogs"\RTDC4054\2017-04-24 &amp; aws s3 cp s3://rtdc.mdm.uploadarchive.raw/RTDC4054/ "%USERPROFILE%\AppData\Local\Temp\OnboardLogs"\RTDC4054\2017-04-25 --exclude "*" --recursive --include "*20170425*" &amp; "%USERPROFILE%\Documents\GitHub\mrs-test-scripts\Headless Mode &amp; Sideloading\WalkAndUnGZ.bat" "%USERPROFILE%\AppData\Local\Temp\OnboardLogs"\RTDC4054\2017-04-25</v>
      </c>
      <c r="AF185" s="77" t="str">
        <f t="shared" si="140"/>
        <v>"C:\Program Files (x86)\AstroGrep\AstroGrep.exe" /e /r /s /spath="%USERPROFILE%\AppData\Local\Temp\OnboardLogs" /stypes="app*4054*20170424*" /stext=" 22:.+((SYSTEM_STATE.+slice.+state.+changed )|(ment ac)|(multiple cpu faults)|(system.+state.+changed )|(\[timeout)|(PRM\|1\|D)|(kpr)|(kdp)|(train.+moving)|(\|lc)|(penalty))"</v>
      </c>
      <c r="AG185" s="1" t="str">
        <f t="shared" si="164"/>
        <v>NW</v>
      </c>
      <c r="AH185" s="81" t="str">
        <f t="shared" si="149"/>
        <v>"%USERPROFILE%\Documents\GitHub\eaglep3\Utilities\RefineRTDCRunTimes.py" --tripid 827-24 --locoid 4054 --swversion DE.1.0.9.0 --startMP 204:953 --initTime 2017-04-24T15:44:51 --startdatetime 2017-04-24T15:51:16 --delay 1 --endMP 300:58929 --enddatetime 2017-04-24T16:03:59 --enforcementcount 0 &gt;&gt;C:\Users\stu\Documents\GitHub\eaglep3-reporting\EC\2017-04-24-refined-times.txt</v>
      </c>
      <c r="AI185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{"issue":{"subject":"","project_id":79,"tracker_id":40,"status_id":1,"priority_id":2,"assigned_to_id":23,"start_date":"2017-04-24","description":"","custom_fields":[{"id":1,"name":"Subdivision","value":"NW"},{"id":4,"name":"Milepost","value":"5.8929"},{"id":17,"name":"Train ID","value":"827-24"},{"id":16,"name":"Locomotive ID","value":"4054"},{"id":130,"name":"Impact","value":""},{"id":150,"name":"Time of Event (Mountain Time)","value":"16:03:59"},{"id":151,"name":"Denver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151"/>
        <v>start /low /b %USERPROFILE%\Documents\GitHub\eaglep3\Utilities\DownloadLogsFromS3.py --loco 4054 --day 2017-04-24</v>
      </c>
      <c r="AN185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22:03:59"},{"id":29,"name":"Sharepoint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s="20" customFormat="1" x14ac:dyDescent="0.25">
      <c r="A186" s="32" t="s">
        <v>718</v>
      </c>
      <c r="B186" s="7">
        <v>4053</v>
      </c>
      <c r="C186" s="21" t="s">
        <v>212</v>
      </c>
      <c r="D186" s="21" t="s">
        <v>470</v>
      </c>
      <c r="E186" s="13">
        <v>42849.670185185183</v>
      </c>
      <c r="F186" s="13">
        <v>42849.671458333331</v>
      </c>
      <c r="G186" s="7">
        <v>1</v>
      </c>
      <c r="H186" s="21" t="s">
        <v>914</v>
      </c>
      <c r="I186" s="13">
        <v>42849.684039351851</v>
      </c>
      <c r="J186" s="7">
        <v>0</v>
      </c>
      <c r="K186" s="92" t="str">
        <f t="shared" si="158"/>
        <v>4053/4054</v>
      </c>
      <c r="L186" s="21" t="str">
        <f>VLOOKUP(A186,'Trips&amp;Operators'!$C$1:$G$99999,5,FALSE)</f>
        <v>NEWELL JAMES</v>
      </c>
      <c r="M186" s="6">
        <f t="shared" si="159"/>
        <v>1.2581018519995268E-2</v>
      </c>
      <c r="N186" s="7">
        <f t="shared" si="155"/>
        <v>18.116666668793187</v>
      </c>
      <c r="O186" s="7"/>
      <c r="P186" s="7"/>
      <c r="Q186" s="22"/>
      <c r="R186" s="191"/>
      <c r="S186" s="197">
        <f t="shared" si="157"/>
        <v>1</v>
      </c>
      <c r="T186" s="191" t="str">
        <f t="shared" si="160"/>
        <v>Southbound</v>
      </c>
      <c r="U186" s="19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2" t="str">
        <f t="shared" si="138"/>
        <v>https://d0f6bd738d7f1b3e5a7ca70fe4ff75f0.us-east-1.aws.found.io/app/kibana#/discover/Steve-Slow-Train-Analysis-(2080s-and-2083s)?_g=(refreshInterval:(display:Off,pause:!f,section:0,value:0),time:(from:'2017-04-24T15:05:04-0600',mode:absolute,to:'2017-04-24T17:25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6" s="193" t="str">
        <f t="shared" si="161"/>
        <v>N</v>
      </c>
      <c r="X186" s="193">
        <f t="shared" si="156"/>
        <v>1</v>
      </c>
      <c r="Y186" s="193">
        <f t="shared" ref="Y186:Y217" si="165">RIGHT(D186,LEN(D186)-4)/10000</f>
        <v>5.8615000000000004</v>
      </c>
      <c r="Z186" s="193">
        <f t="shared" ref="Z186:Z217" si="166">RIGHT(H186,LEN(H186)-4)/10000</f>
        <v>6.7799999999999999E-2</v>
      </c>
      <c r="AA186" s="193">
        <f t="shared" si="162"/>
        <v>5.7937000000000003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163"/>
        <v>0828-24</v>
      </c>
      <c r="AE186" s="80" t="str">
        <f t="shared" si="139"/>
        <v>aws s3 cp s3://rtdc.mdm.uploadarchive.raw/RTDC4053/ "%USERPROFILE%\AppData\Local\Temp\OnboardLogs"\RTDC4053\2017-04-24 --exclude "*" --recursive --include "*20170424*" &amp; "%USERPROFILE%\Documents\GitHub\mrs-test-scripts\Headless Mode &amp; Sideloading\WalkAndUnGZ.bat" "%USERPROFILE%\AppData\Local\Temp\OnboardLogs"\RTDC4053\2017-04-24 &amp; aws s3 cp s3://rtdc.mdm.uploadarchive.raw/RTDC4053/ "%USERPROFILE%\AppData\Local\Temp\OnboardLogs"\RTDC4053\2017-04-25 --exclude "*" --recursive --include "*20170425*" &amp; "%USERPROFILE%\Documents\GitHub\mrs-test-scripts\Headless Mode &amp; Sideloading\WalkAndUnGZ.bat" "%USERPROFILE%\AppData\Local\Temp\OnboardLogs"\RTDC4053\2017-04-25</v>
      </c>
      <c r="AF186" s="77" t="str">
        <f t="shared" si="140"/>
        <v>"C:\Program Files (x86)\AstroGrep\AstroGrep.exe" /e /r /s /spath="%USERPROFILE%\AppData\Local\Temp\OnboardLogs" /stypes="app*4053*20170424*" /stext=" 22:.+((SYSTEM_STATE.+slice.+state.+changed )|(ment ac)|(multiple cpu faults)|(system.+state.+changed )|(\[timeout)|(PRM\|1\|D)|(kpr)|(kdp)|(train.+moving)|(\|lc)|(penalty))"</v>
      </c>
      <c r="AG186" s="1" t="str">
        <f t="shared" si="164"/>
        <v>NW</v>
      </c>
      <c r="AH186" s="81" t="str">
        <f t="shared" si="149"/>
        <v>"%USERPROFILE%\Documents\GitHub\eaglep3\Utilities\RefineRTDCRunTimes.py" --tripid 828-24 --locoid 4053 --swversion DE.1.0.9.0 --startMP 300:58615 --initTime 2017-04-24T16:05:04 --startdatetime 2017-04-24T16:06:54 --delay 1 --endMP 204:678 --enddatetime 2017-04-24T16:25:01 --enforcementcount 0 &gt;&gt;C:\Users\stu\Documents\GitHub\eaglep3-reporting\EC\2017-04-24-refined-times.txt</v>
      </c>
      <c r="AI186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{"issue":{"subject":"","project_id":79,"tracker_id":40,"status_id":1,"priority_id":2,"assigned_to_id":23,"start_date":"2017-04-24","description":"","custom_fields":[{"id":1,"name":"Subdivision","value":"NW"},{"id":4,"name":"Milepost","value":"0.0678"},{"id":17,"name":"Train ID","value":"828-24"},{"id":16,"name":"Locomotive ID","value":"4053"},{"id":130,"name":"Impact","value":""},{"id":150,"name":"Time of Event (Mountain Time)","value":"16:25:01"},{"id":151,"name":"Denver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5" t="str">
        <f t="shared" si="151"/>
        <v>start /low /b %USERPROFILE%\Documents\GitHub\eaglep3\Utilities\DownloadLogsFromS3.py --loco 4053 --day 2017-04-24</v>
      </c>
      <c r="AN186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22:25:01"},{"id":29,"name":"Sharepoint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720</v>
      </c>
      <c r="B187" s="7">
        <v>4064</v>
      </c>
      <c r="C187" s="21" t="s">
        <v>212</v>
      </c>
      <c r="D187" s="21" t="s">
        <v>909</v>
      </c>
      <c r="E187" s="13">
        <v>42849.679259259261</v>
      </c>
      <c r="F187" s="13">
        <v>42849.681446759256</v>
      </c>
      <c r="G187" s="7">
        <v>1</v>
      </c>
      <c r="H187" s="21" t="s">
        <v>915</v>
      </c>
      <c r="I187" s="13">
        <v>42849.690671296295</v>
      </c>
      <c r="J187" s="7">
        <v>0</v>
      </c>
      <c r="K187" s="92" t="str">
        <f t="shared" si="158"/>
        <v>4063/4064</v>
      </c>
      <c r="L187" s="21" t="str">
        <f>VLOOKUP(A187,'Trips&amp;Operators'!$C$1:$G$99999,5,FALSE)</f>
        <v>LEVIN SCOTT</v>
      </c>
      <c r="M187" s="6">
        <f t="shared" si="159"/>
        <v>9.2245370396994986E-3</v>
      </c>
      <c r="N187" s="7">
        <f t="shared" si="155"/>
        <v>13.283333337167278</v>
      </c>
      <c r="O187" s="7"/>
      <c r="P187" s="7"/>
      <c r="Q187" s="22"/>
      <c r="R187" s="191"/>
      <c r="S187" s="197">
        <f t="shared" si="157"/>
        <v>1</v>
      </c>
      <c r="T187" s="191" t="str">
        <f t="shared" si="160"/>
        <v>NorthBound</v>
      </c>
      <c r="U187" s="19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2" t="str">
        <f t="shared" si="138"/>
        <v>https://d0f6bd738d7f1b3e5a7ca70fe4ff75f0.us-east-1.aws.found.io/app/kibana#/discover/Steve-Slow-Train-Analysis-(2080s-and-2083s)?_g=(refreshInterval:(display:Off,pause:!f,section:0,value:0),time:(from:'2017-04-24T15:18:08-0600',mode:absolute,to:'2017-04-24T17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7" s="193" t="str">
        <f t="shared" si="161"/>
        <v>N</v>
      </c>
      <c r="X187" s="193">
        <f t="shared" si="156"/>
        <v>1</v>
      </c>
      <c r="Y187" s="193">
        <f t="shared" si="165"/>
        <v>9.1300000000000006E-2</v>
      </c>
      <c r="Z187" s="193">
        <f t="shared" si="166"/>
        <v>5.8978000000000002</v>
      </c>
      <c r="AA187" s="193">
        <f t="shared" si="162"/>
        <v>5.8064999999999998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163"/>
        <v>0829-24</v>
      </c>
      <c r="AE187" s="80" t="str">
        <f t="shared" si="139"/>
        <v>aws s3 cp s3://rtdc.mdm.uploadarchive.raw/RTDC4064/ "%USERPROFILE%\AppData\Local\Temp\OnboardLogs"\RTDC4064\2017-04-24 --exclude "*" --recursive --include "*20170424*" &amp; "%USERPROFILE%\Documents\GitHub\mrs-test-scripts\Headless Mode &amp; Sideloading\WalkAndUnGZ.bat" "%USERPROFILE%\AppData\Local\Temp\OnboardLogs"\RTDC4064\2017-04-24 &amp; 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</v>
      </c>
      <c r="AF187" s="77" t="str">
        <f t="shared" si="140"/>
        <v>"C:\Program Files (x86)\AstroGrep\AstroGrep.exe" /e /r /s /spath="%USERPROFILE%\AppData\Local\Temp\OnboardLogs" /stypes="app*4064*20170424*" /stext=" 22:.+((SYSTEM_STATE.+slice.+state.+changed )|(ment ac)|(multiple cpu faults)|(system.+state.+changed )|(\[timeout)|(PRM\|1\|D)|(kpr)|(kdp)|(train.+moving)|(\|lc)|(penalty))"</v>
      </c>
      <c r="AG187" s="1" t="str">
        <f t="shared" si="164"/>
        <v>NW</v>
      </c>
      <c r="AH187" s="81" t="str">
        <f t="shared" si="149"/>
        <v>"%USERPROFILE%\Documents\GitHub\eaglep3\Utilities\RefineRTDCRunTimes.py" --tripid 829-24 --locoid 4064 --swversion DE.1.0.9.0 --startMP 204:913 --initTime 2017-04-24T16:18:08 --startdatetime 2017-04-24T16:21:17 --delay 1 --endMP 300:58978 --enddatetime 2017-04-24T16:34:34 --enforcementcount 0 &gt;&gt;C:\Users\stu\Documents\GitHub\eaglep3-reporting\EC\2017-04-24-refined-times.txt</v>
      </c>
      <c r="AI187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{"issue":{"subject":"","project_id":79,"tracker_id":40,"status_id":1,"priority_id":2,"assigned_to_id":23,"start_date":"2017-04-24","description":"","custom_fields":[{"id":1,"name":"Subdivision","value":"NW"},{"id":4,"name":"Milepost","value":"5.8978"},{"id":17,"name":"Train ID","value":"829-24"},{"id":16,"name":"Locomotive ID","value":"4064"},{"id":130,"name":"Impact","value":""},{"id":150,"name":"Time of Event (Mountain Time)","value":"16:34:34"},{"id":151,"name":"Denver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151"/>
        <v>start /low /b %USERPROFILE%\Documents\GitHub\eaglep3\Utilities\DownloadLogsFromS3.py --loco 4064 --day 2017-04-24</v>
      </c>
      <c r="AN187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22:34:34"},{"id":29,"name":"Sharepoint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571</v>
      </c>
      <c r="B188" s="7">
        <v>4063</v>
      </c>
      <c r="C188" s="21" t="s">
        <v>212</v>
      </c>
      <c r="D188" s="21" t="s">
        <v>917</v>
      </c>
      <c r="E188" s="13">
        <v>42849.691793981481</v>
      </c>
      <c r="F188" s="13">
        <v>42849.69326388889</v>
      </c>
      <c r="G188" s="7">
        <v>1</v>
      </c>
      <c r="H188" s="21" t="s">
        <v>918</v>
      </c>
      <c r="I188" s="13">
        <v>42849.705034722225</v>
      </c>
      <c r="J188" s="7">
        <v>0</v>
      </c>
      <c r="K188" s="92" t="str">
        <f t="shared" si="158"/>
        <v>4063/4064</v>
      </c>
      <c r="L188" s="21" t="str">
        <f>VLOOKUP(A188,'Trips&amp;Operators'!$C$1:$G$99999,5,FALSE)</f>
        <v>LEVIN SCOTT</v>
      </c>
      <c r="M188" s="6">
        <f t="shared" si="159"/>
        <v>1.1770833334594499E-2</v>
      </c>
      <c r="N188" s="7">
        <f t="shared" si="155"/>
        <v>16.950000001816079</v>
      </c>
      <c r="O188" s="7"/>
      <c r="P188" s="7"/>
      <c r="Q188" s="22"/>
      <c r="R188" s="191"/>
      <c r="S188" s="197">
        <f t="shared" si="157"/>
        <v>1</v>
      </c>
      <c r="T188" s="191" t="str">
        <f t="shared" si="160"/>
        <v>Southbound</v>
      </c>
      <c r="U188" s="19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2" t="str">
        <f t="shared" si="138"/>
        <v>https://d0f6bd738d7f1b3e5a7ca70fe4ff75f0.us-east-1.aws.found.io/app/kibana#/discover/Steve-Slow-Train-Analysis-(2080s-and-2083s)?_g=(refreshInterval:(display:Off,pause:!f,section:0,value:0),time:(from:'2017-04-24T15:36:11-0600',mode:absolute,to:'2017-04-24T17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8" s="193" t="str">
        <f t="shared" si="161"/>
        <v>N</v>
      </c>
      <c r="X188" s="193">
        <f t="shared" si="156"/>
        <v>1</v>
      </c>
      <c r="Y188" s="193">
        <f t="shared" si="165"/>
        <v>5.867</v>
      </c>
      <c r="Z188" s="193">
        <f t="shared" si="166"/>
        <v>6.2899999999999998E-2</v>
      </c>
      <c r="AA188" s="193">
        <f t="shared" si="162"/>
        <v>5.8041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163"/>
        <v>0830-24</v>
      </c>
      <c r="AE188" s="80" t="str">
        <f t="shared" si="139"/>
        <v>aws s3 cp s3://rtdc.mdm.uploadarchive.raw/RTDC4063/ "%USERPROFILE%\AppData\Local\Temp\OnboardLogs"\RTDC4063\2017-04-24 --exclude "*" --recursive --include "*20170424*" &amp; "%USERPROFILE%\Documents\GitHub\mrs-test-scripts\Headless Mode &amp; Sideloading\WalkAndUnGZ.bat" "%USERPROFILE%\AppData\Local\Temp\OnboardLogs"\RTDC4063\2017-04-24 &amp; aws s3 cp s3://rtdc.mdm.uploadarchive.raw/RTDC4063/ "%USERPROFILE%\AppData\Local\Temp\OnboardLogs"\RTDC4063\2017-04-25 --exclude "*" --recursive --include "*20170425*" &amp; "%USERPROFILE%\Documents\GitHub\mrs-test-scripts\Headless Mode &amp; Sideloading\WalkAndUnGZ.bat" "%USERPROFILE%\AppData\Local\Temp\OnboardLogs"\RTDC4063\2017-04-25</v>
      </c>
      <c r="AF188" s="77" t="str">
        <f t="shared" si="140"/>
        <v>"C:\Program Files (x86)\AstroGrep\AstroGrep.exe" /e /r /s /spath="%USERPROFILE%\AppData\Local\Temp\OnboardLogs" /stypes="app*4063*20170424*" /stext=" 22:.+((SYSTEM_STATE.+slice.+state.+changed )|(ment ac)|(multiple cpu faults)|(system.+state.+changed )|(\[timeout)|(PRM\|1\|D)|(kpr)|(kdp)|(train.+moving)|(\|lc)|(penalty))"</v>
      </c>
      <c r="AG188" s="1" t="str">
        <f t="shared" si="164"/>
        <v>NW</v>
      </c>
      <c r="AH188" s="81" t="str">
        <f t="shared" si="149"/>
        <v>"%USERPROFILE%\Documents\GitHub\eaglep3\Utilities\RefineRTDCRunTimes.py" --tripid 830-24 --locoid 4063 --swversion DE.1.0.9.0 --startMP 300:58670 --initTime 2017-04-24T16:36:11 --startdatetime 2017-04-24T16:38:18 --delay 1 --endMP 204:629 --enddatetime 2017-04-24T16:55:15 --enforcementcount 0 &gt;&gt;C:\Users\stu\Documents\GitHub\eaglep3-reporting\EC\2017-04-24-refined-times.txt</v>
      </c>
      <c r="AI188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{"issue":{"subject":"","project_id":79,"tracker_id":40,"status_id":1,"priority_id":2,"assigned_to_id":23,"start_date":"2017-04-24","description":"","custom_fields":[{"id":1,"name":"Subdivision","value":"NW"},{"id":4,"name":"Milepost","value":"0.0629"},{"id":17,"name":"Train ID","value":"830-24"},{"id":16,"name":"Locomotive ID","value":"4063"},{"id":130,"name":"Impact","value":""},{"id":150,"name":"Time of Event (Mountain Time)","value":"16:55:15"},{"id":151,"name":"Denver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151"/>
        <v>start /low /b %USERPROFILE%\Documents\GitHub\eaglep3\Utilities\DownloadLogsFromS3.py --loco 4063 --day 2017-04-24</v>
      </c>
      <c r="AN188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22:55:15"},{"id":29,"name":"Sharepoint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723</v>
      </c>
      <c r="B189" s="7">
        <v>4054</v>
      </c>
      <c r="C189" s="21" t="s">
        <v>212</v>
      </c>
      <c r="D189" s="21" t="s">
        <v>919</v>
      </c>
      <c r="E189" s="13">
        <v>42849.685520833336</v>
      </c>
      <c r="F189" s="13">
        <v>42849.702233796299</v>
      </c>
      <c r="G189" s="7">
        <v>1</v>
      </c>
      <c r="H189" s="21" t="s">
        <v>913</v>
      </c>
      <c r="I189" s="13">
        <v>42849.711053240739</v>
      </c>
      <c r="J189" s="7">
        <v>0</v>
      </c>
      <c r="K189" s="92" t="str">
        <f t="shared" si="158"/>
        <v>4053/4054</v>
      </c>
      <c r="L189" s="21" t="str">
        <f>VLOOKUP(A189,'Trips&amp;Operators'!$C$1:$G$99999,5,FALSE)</f>
        <v>NEWELL JAMES</v>
      </c>
      <c r="M189" s="6">
        <f t="shared" si="159"/>
        <v>8.8194444397231564E-3</v>
      </c>
      <c r="N189" s="7">
        <f t="shared" si="155"/>
        <v>12.699999993201345</v>
      </c>
      <c r="O189" s="7"/>
      <c r="P189" s="7"/>
      <c r="Q189" s="22"/>
      <c r="R189" s="191"/>
      <c r="S189" s="197">
        <f t="shared" si="157"/>
        <v>1</v>
      </c>
      <c r="T189" s="191" t="str">
        <f t="shared" si="160"/>
        <v>NorthBound</v>
      </c>
      <c r="U189" s="19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2" t="str">
        <f t="shared" si="138"/>
        <v>https://d0f6bd738d7f1b3e5a7ca70fe4ff75f0.us-east-1.aws.found.io/app/kibana#/discover/Steve-Slow-Train-Analysis-(2080s-and-2083s)?_g=(refreshInterval:(display:Off,pause:!f,section:0,value:0),time:(from:'2017-04-24T15:27:09-0600',mode:absolute,to:'2017-04-24T18:03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9" s="193" t="str">
        <f t="shared" si="161"/>
        <v>N</v>
      </c>
      <c r="X189" s="193">
        <f t="shared" si="156"/>
        <v>1</v>
      </c>
      <c r="Y189" s="193">
        <f t="shared" si="165"/>
        <v>9.74E-2</v>
      </c>
      <c r="Z189" s="193">
        <f t="shared" si="166"/>
        <v>5.8929</v>
      </c>
      <c r="AA189" s="193">
        <f t="shared" si="162"/>
        <v>5.7954999999999997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163"/>
        <v>0831-24</v>
      </c>
      <c r="AE189" s="80" t="str">
        <f t="shared" si="139"/>
        <v>aws s3 cp s3://rtdc.mdm.uploadarchive.raw/RTDC4054/ "%USERPROFILE%\AppData\Local\Temp\OnboardLogs"\RTDC4054\2017-04-24 --exclude "*" --recursive --include "*20170424*" &amp; "%USERPROFILE%\Documents\GitHub\mrs-test-scripts\Headless Mode &amp; Sideloading\WalkAndUnGZ.bat" "%USERPROFILE%\AppData\Local\Temp\OnboardLogs"\RTDC4054\2017-04-24 &amp; aws s3 cp s3://rtdc.mdm.uploadarchive.raw/RTDC4054/ "%USERPROFILE%\AppData\Local\Temp\OnboardLogs"\RTDC4054\2017-04-25 --exclude "*" --recursive --include "*20170425*" &amp; "%USERPROFILE%\Documents\GitHub\mrs-test-scripts\Headless Mode &amp; Sideloading\WalkAndUnGZ.bat" "%USERPROFILE%\AppData\Local\Temp\OnboardLogs"\RTDC4054\2017-04-25</v>
      </c>
      <c r="AF189" s="77" t="str">
        <f t="shared" si="140"/>
        <v>"C:\Program Files (x86)\AstroGrep\AstroGrep.exe" /e /r /s /spath="%USERPROFILE%\AppData\Local\Temp\OnboardLogs" /stypes="app*4054*20170424*" /stext=" 23:.+((SYSTEM_STATE.+slice.+state.+changed )|(ment ac)|(multiple cpu faults)|(system.+state.+changed )|(\[timeout)|(PRM\|1\|D)|(kpr)|(kdp)|(train.+moving)|(\|lc)|(penalty))"</v>
      </c>
      <c r="AG189" s="1" t="str">
        <f t="shared" si="164"/>
        <v>NW</v>
      </c>
      <c r="AH189" s="81" t="str">
        <f t="shared" si="149"/>
        <v>"%USERPROFILE%\Documents\GitHub\eaglep3\Utilities\RefineRTDCRunTimes.py" --tripid 831-24 --locoid 4054 --swversion DE.1.0.9.0 --startMP 204:974 --initTime 2017-04-24T16:27:09 --startdatetime 2017-04-24T16:51:13 --delay 1 --endMP 300:58929 --enddatetime 2017-04-24T17:03:55 --enforcementcount 0 &gt;&gt;C:\Users\stu\Documents\GitHub\eaglep3-reporting\EC\2017-04-24-refined-times.txt</v>
      </c>
      <c r="AI189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{"issue":{"subject":"","project_id":79,"tracker_id":40,"status_id":1,"priority_id":2,"assigned_to_id":23,"start_date":"2017-04-24","description":"","custom_fields":[{"id":1,"name":"Subdivision","value":"NW"},{"id":4,"name":"Milepost","value":"5.8929"},{"id":17,"name":"Train ID","value":"831-24"},{"id":16,"name":"Locomotive ID","value":"4054"},{"id":130,"name":"Impact","value":""},{"id":150,"name":"Time of Event (Mountain Time)","value":"17:03:55"},{"id":151,"name":"Denver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151"/>
        <v>start /low /b %USERPROFILE%\Documents\GitHub\eaglep3\Utilities\DownloadLogsFromS3.py --loco 4054 --day 2017-04-24</v>
      </c>
      <c r="AN189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23:03:55"},{"id":29,"name":"Sharepoint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574</v>
      </c>
      <c r="B190" s="7">
        <v>4053</v>
      </c>
      <c r="C190" s="21" t="s">
        <v>212</v>
      </c>
      <c r="D190" s="21" t="s">
        <v>487</v>
      </c>
      <c r="E190" s="13">
        <v>42849.711875000001</v>
      </c>
      <c r="F190" s="13">
        <v>42849.712951388887</v>
      </c>
      <c r="G190" s="7">
        <v>1</v>
      </c>
      <c r="H190" s="21" t="s">
        <v>920</v>
      </c>
      <c r="I190" s="13">
        <v>42849.725914351853</v>
      </c>
      <c r="J190" s="7">
        <v>0</v>
      </c>
      <c r="K190" s="92" t="str">
        <f t="shared" si="158"/>
        <v>4053/4054</v>
      </c>
      <c r="L190" s="21" t="str">
        <f>VLOOKUP(A190,'Trips&amp;Operators'!$C$1:$G$99999,5,FALSE)</f>
        <v>NEWELL JAMES</v>
      </c>
      <c r="M190" s="6">
        <f t="shared" si="159"/>
        <v>1.2962962966412306E-2</v>
      </c>
      <c r="N190" s="7">
        <f t="shared" ref="N190:N221" si="167">24*60*SUM($M190:$M190)</f>
        <v>18.66666667163372</v>
      </c>
      <c r="O190" s="7"/>
      <c r="P190" s="7"/>
      <c r="Q190" s="22"/>
      <c r="R190" s="191"/>
      <c r="S190" s="197">
        <f t="shared" si="157"/>
        <v>1</v>
      </c>
      <c r="T190" s="191" t="str">
        <f t="shared" si="160"/>
        <v>Southbound</v>
      </c>
      <c r="U190" s="19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2" t="str">
        <f t="shared" si="138"/>
        <v>https://d0f6bd738d7f1b3e5a7ca70fe4ff75f0.us-east-1.aws.found.io/app/kibana#/discover/Steve-Slow-Train-Analysis-(2080s-and-2083s)?_g=(refreshInterval:(display:Off,pause:!f,section:0,value:0),time:(from:'2017-04-24T16:05:06-0600',mode:absolute,to:'2017-04-24T18:25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0" s="193" t="str">
        <f t="shared" si="161"/>
        <v>N</v>
      </c>
      <c r="X190" s="193">
        <f t="shared" si="156"/>
        <v>1</v>
      </c>
      <c r="Y190" s="193">
        <f t="shared" si="165"/>
        <v>5.8616999999999999</v>
      </c>
      <c r="Z190" s="193">
        <f t="shared" si="166"/>
        <v>6.8900000000000003E-2</v>
      </c>
      <c r="AA190" s="193">
        <f t="shared" si="162"/>
        <v>5.7927999999999997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163"/>
        <v>0832-24</v>
      </c>
      <c r="AE190" s="80" t="str">
        <f t="shared" si="139"/>
        <v>aws s3 cp s3://rtdc.mdm.uploadarchive.raw/RTDC4053/ "%USERPROFILE%\AppData\Local\Temp\OnboardLogs"\RTDC4053\2017-04-24 --exclude "*" --recursive --include "*20170424*" &amp; "%USERPROFILE%\Documents\GitHub\mrs-test-scripts\Headless Mode &amp; Sideloading\WalkAndUnGZ.bat" "%USERPROFILE%\AppData\Local\Temp\OnboardLogs"\RTDC4053\2017-04-24 &amp; aws s3 cp s3://rtdc.mdm.uploadarchive.raw/RTDC4053/ "%USERPROFILE%\AppData\Local\Temp\OnboardLogs"\RTDC4053\2017-04-25 --exclude "*" --recursive --include "*20170425*" &amp; "%USERPROFILE%\Documents\GitHub\mrs-test-scripts\Headless Mode &amp; Sideloading\WalkAndUnGZ.bat" "%USERPROFILE%\AppData\Local\Temp\OnboardLogs"\RTDC4053\2017-04-25</v>
      </c>
      <c r="AF190" s="77" t="str">
        <f t="shared" si="140"/>
        <v>"C:\Program Files (x86)\AstroGrep\AstroGrep.exe" /e /r /s /spath="%USERPROFILE%\AppData\Local\Temp\OnboardLogs" /stypes="app*4053*20170424*" /stext=" 23:.+((SYSTEM_STATE.+slice.+state.+changed )|(ment ac)|(multiple cpu faults)|(system.+state.+changed )|(\[timeout)|(PRM\|1\|D)|(kpr)|(kdp)|(train.+moving)|(\|lc)|(penalty))"</v>
      </c>
      <c r="AG190" s="1" t="str">
        <f t="shared" si="164"/>
        <v>NW</v>
      </c>
      <c r="AH190" s="81" t="str">
        <f t="shared" si="149"/>
        <v>"%USERPROFILE%\Documents\GitHub\eaglep3\Utilities\RefineRTDCRunTimes.py" --tripid 832-24 --locoid 4053 --swversion DE.1.0.9.0 --startMP 300:58617 --initTime 2017-04-24T17:05:06 --startdatetime 2017-04-24T17:06:39 --delay 1 --endMP 204:689 --enddatetime 2017-04-24T17:25:19 --enforcementcount 0 &gt;&gt;C:\Users\stu\Documents\GitHub\eaglep3-reporting\EC\2017-04-24-refined-times.txt</v>
      </c>
      <c r="AI190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{"issue":{"subject":"","project_id":79,"tracker_id":40,"status_id":1,"priority_id":2,"assigned_to_id":23,"start_date":"2017-04-24","description":"","custom_fields":[{"id":1,"name":"Subdivision","value":"NW"},{"id":4,"name":"Milepost","value":"0.0689"},{"id":17,"name":"Train ID","value":"832-24"},{"id":16,"name":"Locomotive ID","value":"4053"},{"id":130,"name":"Impact","value":""},{"id":150,"name":"Time of Event (Mountain Time)","value":"17:25:19"},{"id":151,"name":"Denver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151"/>
        <v>start /low /b %USERPROFILE%\Documents\GitHub\eaglep3\Utilities\DownloadLogsFromS3.py --loco 4053 --day 2017-04-24</v>
      </c>
      <c r="AN190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23:25:19"},{"id":29,"name":"Sharepoint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729</v>
      </c>
      <c r="B191" s="7">
        <v>4064</v>
      </c>
      <c r="C191" s="21" t="s">
        <v>212</v>
      </c>
      <c r="D191" s="21" t="s">
        <v>873</v>
      </c>
      <c r="E191" s="13">
        <v>42849.720983796295</v>
      </c>
      <c r="F191" s="13">
        <v>42849.723124999997</v>
      </c>
      <c r="G191" s="7">
        <v>1</v>
      </c>
      <c r="H191" s="21" t="s">
        <v>921</v>
      </c>
      <c r="I191" s="13">
        <v>42849.732638888891</v>
      </c>
      <c r="J191" s="7">
        <v>0</v>
      </c>
      <c r="K191" s="92" t="str">
        <f t="shared" si="158"/>
        <v>4063/4064</v>
      </c>
      <c r="L191" s="21" t="str">
        <f>VLOOKUP(A191,'Trips&amp;Operators'!$C$1:$G$99999,5,FALSE)</f>
        <v>LEVIN SCOTT</v>
      </c>
      <c r="M191" s="6">
        <f t="shared" si="159"/>
        <v>9.5138888937071897E-3</v>
      </c>
      <c r="N191" s="7">
        <f t="shared" si="167"/>
        <v>13.700000006938353</v>
      </c>
      <c r="O191" s="7"/>
      <c r="P191" s="7"/>
      <c r="Q191" s="22"/>
      <c r="R191" s="191"/>
      <c r="S191" s="197">
        <f t="shared" si="157"/>
        <v>1</v>
      </c>
      <c r="T191" s="191" t="str">
        <f t="shared" si="160"/>
        <v>NorthBound</v>
      </c>
      <c r="U191" s="19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2" t="str">
        <f t="shared" si="138"/>
        <v>https://d0f6bd738d7f1b3e5a7ca70fe4ff75f0.us-east-1.aws.found.io/app/kibana#/discover/Steve-Slow-Train-Analysis-(2080s-and-2083s)?_g=(refreshInterval:(display:Off,pause:!f,section:0,value:0),time:(from:'2017-04-24T16:18:13-0600',mode:absolute,to:'2017-04-24T18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1" s="193" t="str">
        <f t="shared" si="161"/>
        <v>N</v>
      </c>
      <c r="X191" s="193">
        <f t="shared" si="156"/>
        <v>1</v>
      </c>
      <c r="Y191" s="193">
        <f t="shared" si="165"/>
        <v>9.3700000000000006E-2</v>
      </c>
      <c r="Z191" s="193">
        <f t="shared" si="166"/>
        <v>5.8960999999999997</v>
      </c>
      <c r="AA191" s="193">
        <f t="shared" si="162"/>
        <v>5.8023999999999996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163"/>
        <v>0833-24</v>
      </c>
      <c r="AE191" s="80" t="str">
        <f t="shared" si="139"/>
        <v>aws s3 cp s3://rtdc.mdm.uploadarchive.raw/RTDC4064/ "%USERPROFILE%\AppData\Local\Temp\OnboardLogs"\RTDC4064\2017-04-24 --exclude "*" --recursive --include "*20170424*" &amp; "%USERPROFILE%\Documents\GitHub\mrs-test-scripts\Headless Mode &amp; Sideloading\WalkAndUnGZ.bat" "%USERPROFILE%\AppData\Local\Temp\OnboardLogs"\RTDC4064\2017-04-24 &amp; 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</v>
      </c>
      <c r="AF191" s="77" t="str">
        <f t="shared" si="140"/>
        <v>"C:\Program Files (x86)\AstroGrep\AstroGrep.exe" /e /r /s /spath="%USERPROFILE%\AppData\Local\Temp\OnboardLogs" /stypes="app*4064*20170424*" /stext=" 23:.+((SYSTEM_STATE.+slice.+state.+changed )|(ment ac)|(multiple cpu faults)|(system.+state.+changed )|(\[timeout)|(PRM\|1\|D)|(kpr)|(kdp)|(train.+moving)|(\|lc)|(penalty))"</v>
      </c>
      <c r="AG191" s="1" t="str">
        <f t="shared" si="164"/>
        <v>NW</v>
      </c>
      <c r="AH191" s="81" t="str">
        <f t="shared" si="149"/>
        <v>"%USERPROFILE%\Documents\GitHub\eaglep3\Utilities\RefineRTDCRunTimes.py" --tripid 833-24 --locoid 4064 --swversion DE.1.0.9.0 --startMP 204:937 --initTime 2017-04-24T17:18:13 --startdatetime 2017-04-24T17:21:18 --delay 1 --endMP 300:58961 --enddatetime 2017-04-24T17:35:00 --enforcementcount 0 &gt;&gt;C:\Users\stu\Documents\GitHub\eaglep3-reporting\EC\2017-04-24-refined-times.txt</v>
      </c>
      <c r="AI191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{"issue":{"subject":"","project_id":79,"tracker_id":40,"status_id":1,"priority_id":2,"assigned_to_id":23,"start_date":"2017-04-24","description":"","custom_fields":[{"id":1,"name":"Subdivision","value":"NW"},{"id":4,"name":"Milepost","value":"5.8961"},{"id":17,"name":"Train ID","value":"833-24"},{"id":16,"name":"Locomotive ID","value":"4064"},{"id":130,"name":"Impact","value":""},{"id":150,"name":"Time of Event (Mountain Time)","value":"17:35:00"},{"id":151,"name":"Denver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151"/>
        <v>start /low /b %USERPROFILE%\Documents\GitHub\eaglep3\Utilities\DownloadLogsFromS3.py --loco 4064 --day 2017-04-24</v>
      </c>
      <c r="AN191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23:35:00"},{"id":29,"name":"Sharepoint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735</v>
      </c>
      <c r="B192" s="7">
        <v>4063</v>
      </c>
      <c r="C192" s="21" t="s">
        <v>212</v>
      </c>
      <c r="D192" s="21" t="s">
        <v>922</v>
      </c>
      <c r="E192" s="13">
        <v>42849.733773148146</v>
      </c>
      <c r="F192" s="13">
        <v>42849.735023148147</v>
      </c>
      <c r="G192" s="7">
        <v>1</v>
      </c>
      <c r="H192" s="21" t="s">
        <v>923</v>
      </c>
      <c r="I192" s="13">
        <v>42849.74659722222</v>
      </c>
      <c r="J192" s="7">
        <v>0</v>
      </c>
      <c r="K192" s="92" t="str">
        <f t="shared" si="158"/>
        <v>4063/4064</v>
      </c>
      <c r="L192" s="21" t="str">
        <f>VLOOKUP(A192,'Trips&amp;Operators'!$C$1:$G$99999,5,FALSE)</f>
        <v>LEVIN SCOTT</v>
      </c>
      <c r="M192" s="6">
        <f t="shared" si="159"/>
        <v>1.1574074072996154E-2</v>
      </c>
      <c r="N192" s="7">
        <f t="shared" si="167"/>
        <v>16.666666665114462</v>
      </c>
      <c r="O192" s="7"/>
      <c r="P192" s="7"/>
      <c r="Q192" s="22"/>
      <c r="R192" s="191"/>
      <c r="S192" s="197">
        <f t="shared" si="157"/>
        <v>1</v>
      </c>
      <c r="T192" s="191" t="str">
        <f t="shared" si="160"/>
        <v>Southbound</v>
      </c>
      <c r="U192" s="19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2" t="str">
        <f t="shared" si="138"/>
        <v>https://d0f6bd738d7f1b3e5a7ca70fe4ff75f0.us-east-1.aws.found.io/app/kibana#/discover/Steve-Slow-Train-Analysis-(2080s-and-2083s)?_g=(refreshInterval:(display:Off,pause:!f,section:0,value:0),time:(from:'2017-04-24T16:36:38-0600',mode:absolute,to:'2017-04-24T18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2" s="193" t="str">
        <f t="shared" si="161"/>
        <v>N</v>
      </c>
      <c r="X192" s="193">
        <f t="shared" si="156"/>
        <v>1</v>
      </c>
      <c r="Y192" s="193">
        <f t="shared" si="165"/>
        <v>5.8651</v>
      </c>
      <c r="Z192" s="193">
        <f t="shared" si="166"/>
        <v>6.2199999999999998E-2</v>
      </c>
      <c r="AA192" s="193">
        <f t="shared" si="162"/>
        <v>5.8029000000000002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163"/>
        <v>0834-24</v>
      </c>
      <c r="AE192" s="80" t="str">
        <f t="shared" si="139"/>
        <v>aws s3 cp s3://rtdc.mdm.uploadarchive.raw/RTDC4063/ "%USERPROFILE%\AppData\Local\Temp\OnboardLogs"\RTDC4063\2017-04-24 --exclude "*" --recursive --include "*20170424*" &amp; "%USERPROFILE%\Documents\GitHub\mrs-test-scripts\Headless Mode &amp; Sideloading\WalkAndUnGZ.bat" "%USERPROFILE%\AppData\Local\Temp\OnboardLogs"\RTDC4063\2017-04-24 &amp; aws s3 cp s3://rtdc.mdm.uploadarchive.raw/RTDC4063/ "%USERPROFILE%\AppData\Local\Temp\OnboardLogs"\RTDC4063\2017-04-25 --exclude "*" --recursive --include "*20170425*" &amp; "%USERPROFILE%\Documents\GitHub\mrs-test-scripts\Headless Mode &amp; Sideloading\WalkAndUnGZ.bat" "%USERPROFILE%\AppData\Local\Temp\OnboardLogs"\RTDC4063\2017-04-25</v>
      </c>
      <c r="AF192" s="77" t="str">
        <f t="shared" si="140"/>
        <v>"C:\Program Files (x86)\AstroGrep\AstroGrep.exe" /e /r /s /spath="%USERPROFILE%\AppData\Local\Temp\OnboardLogs" /stypes="app*4063*20170424*" /stext=" 23:.+((SYSTEM_STATE.+slice.+state.+changed )|(ment ac)|(multiple cpu faults)|(system.+state.+changed )|(\[timeout)|(PRM\|1\|D)|(kpr)|(kdp)|(train.+moving)|(\|lc)|(penalty))"</v>
      </c>
      <c r="AG192" s="1" t="str">
        <f t="shared" si="164"/>
        <v>NW</v>
      </c>
      <c r="AH192" s="81" t="str">
        <f t="shared" si="149"/>
        <v>"%USERPROFILE%\Documents\GitHub\eaglep3\Utilities\RefineRTDCRunTimes.py" --tripid 834-24 --locoid 4063 --swversion DE.1.0.9.0 --startMP 300:58651 --initTime 2017-04-24T17:36:38 --startdatetime 2017-04-24T17:38:26 --delay 1 --endMP 204:622 --enddatetime 2017-04-24T17:55:06 --enforcementcount 0 &gt;&gt;C:\Users\stu\Documents\GitHub\eaglep3-reporting\EC\2017-04-24-refined-times.txt</v>
      </c>
      <c r="AI192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{"issue":{"subject":"","project_id":79,"tracker_id":40,"status_id":1,"priority_id":2,"assigned_to_id":23,"start_date":"2017-04-24","description":"","custom_fields":[{"id":1,"name":"Subdivision","value":"NW"},{"id":4,"name":"Milepost","value":"0.0622"},{"id":17,"name":"Train ID","value":"834-24"},{"id":16,"name":"Locomotive ID","value":"4063"},{"id":130,"name":"Impact","value":""},{"id":150,"name":"Time of Event (Mountain Time)","value":"17:55:06"},{"id":151,"name":"Denver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151"/>
        <v>start /low /b %USERPROFILE%\Documents\GitHub\eaglep3\Utilities\DownloadLogsFromS3.py --loco 4063 --day 2017-04-24</v>
      </c>
      <c r="AN192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23:55:06"},{"id":29,"name":"Sharepoint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733</v>
      </c>
      <c r="B193" s="7">
        <v>4054</v>
      </c>
      <c r="C193" s="21" t="s">
        <v>212</v>
      </c>
      <c r="D193" s="21" t="s">
        <v>883</v>
      </c>
      <c r="E193" s="13">
        <v>42849.727187500001</v>
      </c>
      <c r="F193" s="13">
        <v>42849.743900462963</v>
      </c>
      <c r="G193" s="7">
        <v>1</v>
      </c>
      <c r="H193" s="21" t="s">
        <v>439</v>
      </c>
      <c r="I193" s="13">
        <v>42849.752870370372</v>
      </c>
      <c r="J193" s="7">
        <v>0</v>
      </c>
      <c r="K193" s="92" t="str">
        <f t="shared" si="158"/>
        <v>4053/4054</v>
      </c>
      <c r="L193" s="21" t="str">
        <f>VLOOKUP(A193,'Trips&amp;Operators'!$C$1:$G$99999,5,FALSE)</f>
        <v>NEWELL JAMES</v>
      </c>
      <c r="M193" s="6">
        <f t="shared" si="159"/>
        <v>8.969907408754807E-3</v>
      </c>
      <c r="N193" s="7">
        <f t="shared" si="167"/>
        <v>12.916666668606922</v>
      </c>
      <c r="O193" s="7"/>
      <c r="P193" s="7"/>
      <c r="Q193" s="22"/>
      <c r="R193" s="191"/>
      <c r="S193" s="197">
        <f t="shared" si="157"/>
        <v>1</v>
      </c>
      <c r="T193" s="191" t="str">
        <f t="shared" si="160"/>
        <v>NorthBound</v>
      </c>
      <c r="U193" s="19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2" t="str">
        <f t="shared" si="138"/>
        <v>https://d0f6bd738d7f1b3e5a7ca70fe4ff75f0.us-east-1.aws.found.io/app/kibana#/discover/Steve-Slow-Train-Analysis-(2080s-and-2083s)?_g=(refreshInterval:(display:Off,pause:!f,section:0,value:0),time:(from:'2017-04-24T16:27:09-0600',mode:absolute,to:'2017-04-24T19:04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3" s="193" t="str">
        <f t="shared" si="161"/>
        <v>N</v>
      </c>
      <c r="X193" s="193">
        <f t="shared" ref="X193:X224" si="168">VALUE(LEFT(AD193,4))-VALUE(LEFT(AD192,4))</f>
        <v>1</v>
      </c>
      <c r="Y193" s="193">
        <f t="shared" si="165"/>
        <v>9.6699999999999994E-2</v>
      </c>
      <c r="Z193" s="193">
        <f t="shared" si="166"/>
        <v>5.8933</v>
      </c>
      <c r="AA193" s="193">
        <f t="shared" si="162"/>
        <v>5.7965999999999998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163"/>
        <v>0835-24</v>
      </c>
      <c r="AE193" s="80" t="str">
        <f t="shared" si="139"/>
        <v>aws s3 cp s3://rtdc.mdm.uploadarchive.raw/RTDC4054/ "%USERPROFILE%\AppData\Local\Temp\OnboardLogs"\RTDC4054\2017-04-24 --exclude "*" --recursive --include "*20170424*" &amp; "%USERPROFILE%\Documents\GitHub\mrs-test-scripts\Headless Mode &amp; Sideloading\WalkAndUnGZ.bat" "%USERPROFILE%\AppData\Local\Temp\OnboardLogs"\RTDC4054\2017-04-24 &amp; aws s3 cp s3://rtdc.mdm.uploadarchive.raw/RTDC4054/ "%USERPROFILE%\AppData\Local\Temp\OnboardLogs"\RTDC4054\2017-04-25 --exclude "*" --recursive --include "*20170425*" &amp; "%USERPROFILE%\Documents\GitHub\mrs-test-scripts\Headless Mode &amp; Sideloading\WalkAndUnGZ.bat" "%USERPROFILE%\AppData\Local\Temp\OnboardLogs"\RTDC4054\2017-04-25</v>
      </c>
      <c r="AF193" s="77" t="str">
        <f t="shared" si="140"/>
        <v>"C:\Program Files (x86)\AstroGrep\AstroGrep.exe" /e /r /s /spath="%USERPROFILE%\AppData\Local\Temp\OnboardLogs" /stypes="app*4054*20170425*" /stext=" 00:.+((SYSTEM_STATE.+slice.+state.+changed )|(ment ac)|(multiple cpu faults)|(system.+state.+changed )|(\[timeout)|(PRM\|1\|D)|(kpr)|(kdp)|(train.+moving)|(\|lc)|(penalty))"</v>
      </c>
      <c r="AG193" s="1" t="str">
        <f t="shared" si="164"/>
        <v>NW</v>
      </c>
      <c r="AH193" s="81" t="str">
        <f t="shared" si="149"/>
        <v>"%USERPROFILE%\Documents\GitHub\eaglep3\Utilities\RefineRTDCRunTimes.py" --tripid 835-24 --locoid 4054 --swversion DE.1.0.9.0 --startMP 204:967 --initTime 2017-04-24T17:27:09 --startdatetime 2017-04-24T17:51:13 --delay 1 --endMP 300:58933 --enddatetime 2017-04-24T18:04:08 --enforcementcount 0 &gt;&gt;C:\Users\stu\Documents\GitHub\eaglep3-reporting\EC\2017-04-24-refined-times.txt</v>
      </c>
      <c r="AI193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{"issue":{"subject":"","project_id":79,"tracker_id":40,"status_id":1,"priority_id":2,"assigned_to_id":23,"start_date":"2017-04-24","description":"","custom_fields":[{"id":1,"name":"Subdivision","value":"NW"},{"id":4,"name":"Milepost","value":"5.8933"},{"id":17,"name":"Train ID","value":"835-24"},{"id":16,"name":"Locomotive ID","value":"4054"},{"id":130,"name":"Impact","value":""},{"id":150,"name":"Time of Event (Mountain Time)","value":"18:04:08"},{"id":151,"name":"Denver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151"/>
        <v>start /low /b %USERPROFILE%\Documents\GitHub\eaglep3\Utilities\DownloadLogsFromS3.py --loco 4054 --day 2017-04-24</v>
      </c>
      <c r="AN193" s="154" t="str">
        <f t="shared" si="152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00:04:08"},{"id":29,"name":"Sharepoint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739</v>
      </c>
      <c r="B194" s="7">
        <v>4053</v>
      </c>
      <c r="C194" s="21" t="s">
        <v>212</v>
      </c>
      <c r="D194" s="21" t="s">
        <v>528</v>
      </c>
      <c r="E194" s="13">
        <v>42849.753738425927</v>
      </c>
      <c r="F194" s="13">
        <v>42849.754826388889</v>
      </c>
      <c r="G194" s="7">
        <v>1</v>
      </c>
      <c r="H194" s="21" t="s">
        <v>894</v>
      </c>
      <c r="I194" s="13">
        <v>42849.767395833333</v>
      </c>
      <c r="J194" s="7">
        <v>0</v>
      </c>
      <c r="K194" s="92" t="str">
        <f t="shared" si="158"/>
        <v>4053/4054</v>
      </c>
      <c r="L194" s="21" t="str">
        <f>VLOOKUP(A194,'Trips&amp;Operators'!$C$1:$G$99999,5,FALSE)</f>
        <v>NEWELL JAMES</v>
      </c>
      <c r="M194" s="6">
        <f t="shared" si="159"/>
        <v>1.2569444443215616E-2</v>
      </c>
      <c r="N194" s="7">
        <f t="shared" si="167"/>
        <v>18.099999998230487</v>
      </c>
      <c r="O194" s="7"/>
      <c r="P194" s="7"/>
      <c r="Q194" s="22"/>
      <c r="R194" s="191"/>
      <c r="S194" s="197">
        <f t="shared" si="157"/>
        <v>1</v>
      </c>
      <c r="T194" s="191" t="str">
        <f t="shared" si="160"/>
        <v>Southbound</v>
      </c>
      <c r="U194" s="19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2" t="str">
        <f t="shared" si="138"/>
        <v>https://d0f6bd738d7f1b3e5a7ca70fe4ff75f0.us-east-1.aws.found.io/app/kibana#/discover/Steve-Slow-Train-Analysis-(2080s-and-2083s)?_g=(refreshInterval:(display:Off,pause:!f,section:0,value:0),time:(from:'2017-04-24T17:05:23-0600',mode:absolute,to:'2017-04-24T19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4" s="193" t="str">
        <f t="shared" si="161"/>
        <v>N</v>
      </c>
      <c r="X194" s="193">
        <f t="shared" si="168"/>
        <v>1</v>
      </c>
      <c r="Y194" s="193">
        <f t="shared" si="165"/>
        <v>5.8623000000000003</v>
      </c>
      <c r="Z194" s="193">
        <f t="shared" si="166"/>
        <v>6.9099999999999995E-2</v>
      </c>
      <c r="AA194" s="193">
        <f t="shared" si="162"/>
        <v>5.7932000000000006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163"/>
        <v>0836-24</v>
      </c>
      <c r="AE194" s="80" t="str">
        <f t="shared" si="139"/>
        <v>aws s3 cp s3://rtdc.mdm.uploadarchive.raw/RTDC4053/ "%USERPROFILE%\AppData\Local\Temp\OnboardLogs"\RTDC4053\2017-04-24 --exclude "*" --recursive --include "*20170424*" &amp; "%USERPROFILE%\Documents\GitHub\mrs-test-scripts\Headless Mode &amp; Sideloading\WalkAndUnGZ.bat" "%USERPROFILE%\AppData\Local\Temp\OnboardLogs"\RTDC4053\2017-04-24 &amp; aws s3 cp s3://rtdc.mdm.uploadarchive.raw/RTDC4053/ "%USERPROFILE%\AppData\Local\Temp\OnboardLogs"\RTDC4053\2017-04-25 --exclude "*" --recursive --include "*20170425*" &amp; "%USERPROFILE%\Documents\GitHub\mrs-test-scripts\Headless Mode &amp; Sideloading\WalkAndUnGZ.bat" "%USERPROFILE%\AppData\Local\Temp\OnboardLogs"\RTDC4053\2017-04-25</v>
      </c>
      <c r="AF194" s="77" t="str">
        <f t="shared" si="140"/>
        <v>"C:\Program Files (x86)\AstroGrep\AstroGrep.exe" /e /r /s /spath="%USERPROFILE%\AppData\Local\Temp\OnboardLogs" /stypes="app*4053*20170425*" /stext=" 00:.+((SYSTEM_STATE.+slice.+state.+changed )|(ment ac)|(multiple cpu faults)|(system.+state.+changed )|(\[timeout)|(PRM\|1\|D)|(kpr)|(kdp)|(train.+moving)|(\|lc)|(penalty))"</v>
      </c>
      <c r="AG194" s="1" t="str">
        <f t="shared" si="164"/>
        <v>NW</v>
      </c>
      <c r="AH194" s="81" t="str">
        <f t="shared" si="149"/>
        <v>"%USERPROFILE%\Documents\GitHub\eaglep3\Utilities\RefineRTDCRunTimes.py" --tripid 836-24 --locoid 4053 --swversion DE.1.0.9.0 --startMP 300:58623 --initTime 2017-04-24T18:05:23 --startdatetime 2017-04-24T18:06:57 --delay 1 --endMP 204:691 --enddatetime 2017-04-24T18:25:03 --enforcementcount 0 &gt;&gt;C:\Users\stu\Documents\GitHub\eaglep3-reporting\EC\2017-04-24-refined-times.txt</v>
      </c>
      <c r="AI194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{"issue":{"subject":"","project_id":79,"tracker_id":40,"status_id":1,"priority_id":2,"assigned_to_id":23,"start_date":"2017-04-24","description":"","custom_fields":[{"id":1,"name":"Subdivision","value":"NW"},{"id":4,"name":"Milepost","value":"0.0691"},{"id":17,"name":"Train ID","value":"836-24"},{"id":16,"name":"Locomotive ID","value":"4053"},{"id":130,"name":"Impact","value":""},{"id":150,"name":"Time of Event (Mountain Time)","value":"18:25:03"},{"id":151,"name":"Denver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151"/>
        <v>start /low /b %USERPROFILE%\Documents\GitHub\eaglep3\Utilities\DownloadLogsFromS3.py --loco 4053 --day 2017-04-24</v>
      </c>
      <c r="AN194" s="154" t="str">
        <f t="shared" si="152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00:25:03"},{"id":29,"name":"Sharepoint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740</v>
      </c>
      <c r="B195" s="7">
        <v>4064</v>
      </c>
      <c r="C195" s="21" t="s">
        <v>212</v>
      </c>
      <c r="D195" s="21" t="s">
        <v>924</v>
      </c>
      <c r="E195" s="13">
        <v>42849.761712962965</v>
      </c>
      <c r="F195" s="13">
        <v>42849.76489583333</v>
      </c>
      <c r="G195" s="7">
        <v>2</v>
      </c>
      <c r="H195" s="21" t="s">
        <v>925</v>
      </c>
      <c r="I195" s="13">
        <v>42849.773935185185</v>
      </c>
      <c r="J195" s="7">
        <v>0</v>
      </c>
      <c r="K195" s="92" t="str">
        <f t="shared" si="158"/>
        <v>4063/4064</v>
      </c>
      <c r="L195" s="21" t="str">
        <f>VLOOKUP(A195,'Trips&amp;Operators'!$C$1:$G$99999,5,FALSE)</f>
        <v>LEVIN SCOTT</v>
      </c>
      <c r="M195" s="6">
        <f t="shared" si="159"/>
        <v>9.0393518548808061E-3</v>
      </c>
      <c r="N195" s="7">
        <f t="shared" si="167"/>
        <v>13.016666671028361</v>
      </c>
      <c r="O195" s="7"/>
      <c r="P195" s="7"/>
      <c r="Q195" s="22"/>
      <c r="R195" s="191"/>
      <c r="S195" s="197">
        <f t="shared" si="157"/>
        <v>1</v>
      </c>
      <c r="T195" s="191" t="str">
        <f t="shared" si="160"/>
        <v>NorthBound</v>
      </c>
      <c r="U195" s="19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2" t="str">
        <f t="shared" si="138"/>
        <v>https://d0f6bd738d7f1b3e5a7ca70fe4ff75f0.us-east-1.aws.found.io/app/kibana#/discover/Steve-Slow-Train-Analysis-(2080s-and-2083s)?_g=(refreshInterval:(display:Off,pause:!f,section:0,value:0),time:(from:'2017-04-24T17:16:52-0600',mode:absolute,to:'2017-04-24T19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5" s="193" t="str">
        <f t="shared" si="161"/>
        <v>N</v>
      </c>
      <c r="X195" s="193">
        <f t="shared" si="168"/>
        <v>1</v>
      </c>
      <c r="Y195" s="193">
        <f t="shared" si="165"/>
        <v>9.2200000000000004E-2</v>
      </c>
      <c r="Z195" s="193">
        <f t="shared" si="166"/>
        <v>5.8987999999999996</v>
      </c>
      <c r="AA195" s="193">
        <f t="shared" si="162"/>
        <v>5.8065999999999995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163"/>
        <v>0837-24</v>
      </c>
      <c r="AE195" s="80" t="str">
        <f t="shared" si="139"/>
        <v>aws s3 cp s3://rtdc.mdm.uploadarchive.raw/RTDC4064/ "%USERPROFILE%\AppData\Local\Temp\OnboardLogs"\RTDC4064\2017-04-24 --exclude "*" --recursive --include "*20170424*" &amp; "%USERPROFILE%\Documents\GitHub\mrs-test-scripts\Headless Mode &amp; Sideloading\WalkAndUnGZ.bat" "%USERPROFILE%\AppData\Local\Temp\OnboardLogs"\RTDC4064\2017-04-24 &amp; 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</v>
      </c>
      <c r="AF195" s="77" t="str">
        <f t="shared" si="140"/>
        <v>"C:\Program Files (x86)\AstroGrep\AstroGrep.exe" /e /r /s /spath="%USERPROFILE%\AppData\Local\Temp\OnboardLogs" /stypes="app*4064*20170425*" /stext=" 00:.+((SYSTEM_STATE.+slice.+state.+changed )|(ment ac)|(multiple cpu faults)|(system.+state.+changed )|(\[timeout)|(PRM\|1\|D)|(kpr)|(kdp)|(train.+moving)|(\|lc)|(penalty))"</v>
      </c>
      <c r="AG195" s="1" t="str">
        <f t="shared" si="164"/>
        <v>NW</v>
      </c>
      <c r="AH195" s="81" t="str">
        <f t="shared" si="149"/>
        <v>"%USERPROFILE%\Documents\GitHub\eaglep3\Utilities\RefineRTDCRunTimes.py" --tripid 837-24 --locoid 4064 --swversion DE.1.0.9.0 --startMP 204:922 --initTime 2017-04-24T18:16:52 --startdatetime 2017-04-24T18:21:27 --delay 2 --endMP 300:58988 --enddatetime 2017-04-24T18:34:28 --enforcementcount 0 &gt;&gt;C:\Users\stu\Documents\GitHub\eaglep3-reporting\EC\2017-04-24-refined-times.txt</v>
      </c>
      <c r="AI195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{"issue":{"subject":"","project_id":79,"tracker_id":40,"status_id":1,"priority_id":2,"assigned_to_id":23,"start_date":"2017-04-24","description":"","custom_fields":[{"id":1,"name":"Subdivision","value":"NW"},{"id":4,"name":"Milepost","value":"5.8988"},{"id":17,"name":"Train ID","value":"837-24"},{"id":16,"name":"Locomotive ID","value":"4064"},{"id":130,"name":"Impact","value":""},{"id":150,"name":"Time of Event (Mountain Time)","value":"18:34:28"},{"id":151,"name":"Denver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151"/>
        <v>start /low /b %USERPROFILE%\Documents\GitHub\eaglep3\Utilities\DownloadLogsFromS3.py --loco 4064 --day 2017-04-24</v>
      </c>
      <c r="AN195" s="154" t="str">
        <f t="shared" si="152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00:34:28"},{"id":29,"name":"Sharepoint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s="20" customFormat="1" x14ac:dyDescent="0.25">
      <c r="A196" s="32" t="s">
        <v>745</v>
      </c>
      <c r="B196" s="7">
        <v>4063</v>
      </c>
      <c r="C196" s="21" t="s">
        <v>212</v>
      </c>
      <c r="D196" s="21" t="s">
        <v>926</v>
      </c>
      <c r="E196" s="13">
        <v>42849.77516203704</v>
      </c>
      <c r="F196" s="13">
        <v>42849.776585648149</v>
      </c>
      <c r="G196" s="7">
        <v>1</v>
      </c>
      <c r="H196" s="21" t="s">
        <v>927</v>
      </c>
      <c r="I196" s="13">
        <v>42849.790011574078</v>
      </c>
      <c r="J196" s="7">
        <v>0</v>
      </c>
      <c r="K196" s="92" t="str">
        <f t="shared" si="158"/>
        <v>4063/4064</v>
      </c>
      <c r="L196" s="21" t="str">
        <f>VLOOKUP(A196,'Trips&amp;Operators'!$C$1:$G$99999,5,FALSE)</f>
        <v>LEVIN SCOTT</v>
      </c>
      <c r="M196" s="6">
        <f t="shared" si="159"/>
        <v>1.3425925928459037E-2</v>
      </c>
      <c r="N196" s="7">
        <f t="shared" si="167"/>
        <v>19.333333336981013</v>
      </c>
      <c r="O196" s="7"/>
      <c r="P196" s="7"/>
      <c r="Q196" s="22"/>
      <c r="R196" s="191"/>
      <c r="S196" s="197">
        <f t="shared" si="157"/>
        <v>1</v>
      </c>
      <c r="T196" s="191" t="str">
        <f t="shared" si="160"/>
        <v>Southbound</v>
      </c>
      <c r="U196" s="19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2" t="str">
        <f t="shared" si="138"/>
        <v>https://d0f6bd738d7f1b3e5a7ca70fe4ff75f0.us-east-1.aws.found.io/app/kibana#/discover/Steve-Slow-Train-Analysis-(2080s-and-2083s)?_g=(refreshInterval:(display:Off,pause:!f,section:0,value:0),time:(from:'2017-04-24T17:36:14-0600',mode:absolute,to:'2017-04-24T19:57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6" s="193" t="str">
        <f t="shared" si="161"/>
        <v>N</v>
      </c>
      <c r="X196" s="193">
        <f t="shared" si="168"/>
        <v>1</v>
      </c>
      <c r="Y196" s="193">
        <f t="shared" si="165"/>
        <v>5.8659999999999997</v>
      </c>
      <c r="Z196" s="193">
        <f t="shared" si="166"/>
        <v>6.1199999999999997E-2</v>
      </c>
      <c r="AA196" s="193">
        <f t="shared" si="162"/>
        <v>5.8047999999999993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163"/>
        <v>0838-24</v>
      </c>
      <c r="AE196" s="80" t="str">
        <f t="shared" si="139"/>
        <v>aws s3 cp s3://rtdc.mdm.uploadarchive.raw/RTDC4063/ "%USERPROFILE%\AppData\Local\Temp\OnboardLogs"\RTDC4063\2017-04-24 --exclude "*" --recursive --include "*20170424*" &amp; "%USERPROFILE%\Documents\GitHub\mrs-test-scripts\Headless Mode &amp; Sideloading\WalkAndUnGZ.bat" "%USERPROFILE%\AppData\Local\Temp\OnboardLogs"\RTDC4063\2017-04-24 &amp; aws s3 cp s3://rtdc.mdm.uploadarchive.raw/RTDC4063/ "%USERPROFILE%\AppData\Local\Temp\OnboardLogs"\RTDC4063\2017-04-25 --exclude "*" --recursive --include "*20170425*" &amp; "%USERPROFILE%\Documents\GitHub\mrs-test-scripts\Headless Mode &amp; Sideloading\WalkAndUnGZ.bat" "%USERPROFILE%\AppData\Local\Temp\OnboardLogs"\RTDC4063\2017-04-25</v>
      </c>
      <c r="AF196" s="77" t="str">
        <f t="shared" si="140"/>
        <v>"C:\Program Files (x86)\AstroGrep\AstroGrep.exe" /e /r /s /spath="%USERPROFILE%\AppData\Local\Temp\OnboardLogs" /stypes="app*4063*20170425*" /stext=" 00:.+((SYSTEM_STATE.+slice.+state.+changed )|(ment ac)|(multiple cpu faults)|(system.+state.+changed )|(\[timeout)|(PRM\|1\|D)|(kpr)|(kdp)|(train.+moving)|(\|lc)|(penalty))"</v>
      </c>
      <c r="AG196" s="1" t="str">
        <f t="shared" si="164"/>
        <v>NW</v>
      </c>
      <c r="AH196" s="81" t="str">
        <f t="shared" si="149"/>
        <v>"%USERPROFILE%\Documents\GitHub\eaglep3\Utilities\RefineRTDCRunTimes.py" --tripid 838-24 --locoid 4063 --swversion DE.1.0.9.0 --startMP 300:58660 --initTime 2017-04-24T18:36:14 --startdatetime 2017-04-24T18:38:17 --delay 1 --endMP 204:612 --enddatetime 2017-04-24T18:57:37 --enforcementcount 0 &gt;&gt;C:\Users\stu\Documents\GitHub\eaglep3-reporting\EC\2017-04-24-refined-times.txt</v>
      </c>
      <c r="AI196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{"issue":{"subject":"","project_id":79,"tracker_id":40,"status_id":1,"priority_id":2,"assigned_to_id":23,"start_date":"2017-04-24","description":"","custom_fields":[{"id":1,"name":"Subdivision","value":"NW"},{"id":4,"name":"Milepost","value":"0.0612"},{"id":17,"name":"Train ID","value":"838-24"},{"id":16,"name":"Locomotive ID","value":"4063"},{"id":130,"name":"Impact","value":""},{"id":150,"name":"Time of Event (Mountain Time)","value":"18:57:37"},{"id":151,"name":"Denver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5" t="str">
        <f t="shared" si="151"/>
        <v>start /low /b %USERPROFILE%\Documents\GitHub\eaglep3\Utilities\DownloadLogsFromS3.py --loco 4063 --day 2017-04-24</v>
      </c>
      <c r="AN196" s="154" t="str">
        <f t="shared" si="152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00:57:37"},{"id":29,"name":"Sharepoint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743</v>
      </c>
      <c r="B197" s="7">
        <v>4054</v>
      </c>
      <c r="C197" s="21" t="s">
        <v>212</v>
      </c>
      <c r="D197" s="21" t="s">
        <v>883</v>
      </c>
      <c r="E197" s="13">
        <v>42849.769050925926</v>
      </c>
      <c r="F197" s="13">
        <v>42849.785567129627</v>
      </c>
      <c r="G197" s="7">
        <v>0</v>
      </c>
      <c r="H197" s="21" t="s">
        <v>530</v>
      </c>
      <c r="I197" s="13">
        <v>42849.794317129628</v>
      </c>
      <c r="J197" s="7">
        <v>0</v>
      </c>
      <c r="K197" s="92" t="str">
        <f t="shared" si="158"/>
        <v>4053/4054</v>
      </c>
      <c r="L197" s="21" t="str">
        <f>VLOOKUP(A197,'Trips&amp;Operators'!$C$1:$G$99999,5,FALSE)</f>
        <v>NEWELL JAMES</v>
      </c>
      <c r="M197" s="6">
        <f t="shared" si="159"/>
        <v>8.7500000008731149E-3</v>
      </c>
      <c r="N197" s="7">
        <f t="shared" si="167"/>
        <v>12.600000001257285</v>
      </c>
      <c r="O197" s="7"/>
      <c r="P197" s="7"/>
      <c r="Q197" s="22"/>
      <c r="R197" s="191"/>
      <c r="S197" s="197">
        <f t="shared" si="157"/>
        <v>1</v>
      </c>
      <c r="T197" s="191" t="str">
        <f t="shared" si="160"/>
        <v>NorthBound</v>
      </c>
      <c r="U197" s="19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2" t="str">
        <f t="shared" si="138"/>
        <v>https://d0f6bd738d7f1b3e5a7ca70fe4ff75f0.us-east-1.aws.found.io/app/kibana#/discover/Steve-Slow-Train-Analysis-(2080s-and-2083s)?_g=(refreshInterval:(display:Off,pause:!f,section:0,value:0),time:(from:'2017-04-24T17:27:26-0600',mode:absolute,to:'2017-04-24T20:03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7" s="193" t="str">
        <f t="shared" si="161"/>
        <v>N</v>
      </c>
      <c r="X197" s="193">
        <f t="shared" si="168"/>
        <v>1</v>
      </c>
      <c r="Y197" s="193">
        <f t="shared" si="165"/>
        <v>9.6699999999999994E-2</v>
      </c>
      <c r="Z197" s="193">
        <f t="shared" si="166"/>
        <v>5.8930999999999996</v>
      </c>
      <c r="AA197" s="193">
        <f t="shared" si="162"/>
        <v>5.7963999999999993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163"/>
        <v>0839-24</v>
      </c>
      <c r="AE197" s="80" t="str">
        <f t="shared" si="139"/>
        <v>aws s3 cp s3://rtdc.mdm.uploadarchive.raw/RTDC4054/ "%USERPROFILE%\AppData\Local\Temp\OnboardLogs"\RTDC4054\2017-04-24 --exclude "*" --recursive --include "*20170424*" &amp; "%USERPROFILE%\Documents\GitHub\mrs-test-scripts\Headless Mode &amp; Sideloading\WalkAndUnGZ.bat" "%USERPROFILE%\AppData\Local\Temp\OnboardLogs"\RTDC4054\2017-04-24 &amp; aws s3 cp s3://rtdc.mdm.uploadarchive.raw/RTDC4054/ "%USERPROFILE%\AppData\Local\Temp\OnboardLogs"\RTDC4054\2017-04-25 --exclude "*" --recursive --include "*20170425*" &amp; "%USERPROFILE%\Documents\GitHub\mrs-test-scripts\Headless Mode &amp; Sideloading\WalkAndUnGZ.bat" "%USERPROFILE%\AppData\Local\Temp\OnboardLogs"\RTDC4054\2017-04-25</v>
      </c>
      <c r="AF197" s="77" t="str">
        <f t="shared" si="140"/>
        <v>"C:\Program Files (x86)\AstroGrep\AstroGrep.exe" /e /r /s /spath="%USERPROFILE%\AppData\Local\Temp\OnboardLogs" /stypes="app*4054*20170425*" /stext=" 01:.+((SYSTEM_STATE.+slice.+state.+changed )|(ment ac)|(multiple cpu faults)|(system.+state.+changed )|(\[timeout)|(PRM\|1\|D)|(kpr)|(kdp)|(train.+moving)|(\|lc)|(penalty))"</v>
      </c>
      <c r="AG197" s="1" t="str">
        <f t="shared" si="164"/>
        <v>NW</v>
      </c>
      <c r="AH197" s="81" t="str">
        <f t="shared" si="149"/>
        <v>"%USERPROFILE%\Documents\GitHub\eaglep3\Utilities\RefineRTDCRunTimes.py" --tripid 839-24 --locoid 4054 --swversion DE.1.0.9.0 --startMP 204:967 --initTime 2017-04-24T18:27:26 --startdatetime 2017-04-24T18:51:13 --delay 0 --endMP 300:58931 --enddatetime 2017-04-24T19:03:49 --enforcementcount 0 &gt;&gt;C:\Users\stu\Documents\GitHub\eaglep3-reporting\EC\2017-04-24-refined-times.txt</v>
      </c>
      <c r="AI197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{"issue":{"subject":"","project_id":79,"tracker_id":40,"status_id":1,"priority_id":2,"assigned_to_id":23,"start_date":"2017-04-24","description":"","custom_fields":[{"id":1,"name":"Subdivision","value":"NW"},{"id":4,"name":"Milepost","value":"5.8931"},{"id":17,"name":"Train ID","value":"839-24"},{"id":16,"name":"Locomotive ID","value":"4054"},{"id":130,"name":"Impact","value":""},{"id":150,"name":"Time of Event (Mountain Time)","value":"19:03:49"},{"id":151,"name":"Denver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7" s="47"/>
      <c r="AL197" s="47"/>
      <c r="AM197" s="145" t="str">
        <f t="shared" si="151"/>
        <v>start /low /b %USERPROFILE%\Documents\GitHub\eaglep3\Utilities\DownloadLogsFromS3.py --loco 4054 --day 2017-04-24</v>
      </c>
      <c r="AN197" s="154" t="str">
        <f t="shared" si="152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01:03:49"},{"id":29,"name":"Sharepoint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754</v>
      </c>
      <c r="B198" s="7">
        <v>4063</v>
      </c>
      <c r="C198" s="21" t="s">
        <v>212</v>
      </c>
      <c r="D198" s="21" t="s">
        <v>928</v>
      </c>
      <c r="E198" s="13">
        <v>42849.816712962966</v>
      </c>
      <c r="F198" s="13">
        <v>42849.81790509259</v>
      </c>
      <c r="G198" s="7">
        <v>1</v>
      </c>
      <c r="H198" s="21" t="s">
        <v>929</v>
      </c>
      <c r="I198" s="13">
        <v>42849.831562500003</v>
      </c>
      <c r="J198" s="7">
        <v>0</v>
      </c>
      <c r="K198" s="92" t="str">
        <f t="shared" si="158"/>
        <v>4063/4064</v>
      </c>
      <c r="L198" s="21" t="str">
        <f>VLOOKUP(A198,'Trips&amp;Operators'!$C$1:$G$99999,5,FALSE)</f>
        <v>LEVIN SCOTT</v>
      </c>
      <c r="M198" s="6">
        <f t="shared" si="159"/>
        <v>1.3657407413120382E-2</v>
      </c>
      <c r="N198" s="7">
        <f t="shared" si="167"/>
        <v>19.666666674893349</v>
      </c>
      <c r="O198" s="7"/>
      <c r="P198" s="7"/>
      <c r="Q198" s="22"/>
      <c r="R198" s="191"/>
      <c r="S198" s="197">
        <f t="shared" si="157"/>
        <v>1</v>
      </c>
      <c r="T198" s="191" t="str">
        <f t="shared" si="160"/>
        <v>Southbound</v>
      </c>
      <c r="U198" s="19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2" t="str">
        <f t="shared" si="138"/>
        <v>https://d0f6bd738d7f1b3e5a7ca70fe4ff75f0.us-east-1.aws.found.io/app/kibana#/discover/Steve-Slow-Train-Analysis-(2080s-and-2083s)?_g=(refreshInterval:(display:Off,pause:!f,section:0,value:0),time:(from:'2017-04-24T18:36:04-0600',mode:absolute,to:'2017-04-24T20:57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8" s="193" t="str">
        <f t="shared" si="161"/>
        <v>N</v>
      </c>
      <c r="X198" s="193">
        <f t="shared" si="168"/>
        <v>1</v>
      </c>
      <c r="Y198" s="193">
        <f t="shared" si="165"/>
        <v>5.8658000000000001</v>
      </c>
      <c r="Z198" s="193">
        <f t="shared" si="166"/>
        <v>6.4500000000000002E-2</v>
      </c>
      <c r="AA198" s="193">
        <f t="shared" si="162"/>
        <v>5.8013000000000003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163"/>
        <v>0840-24</v>
      </c>
      <c r="AE198" s="80" t="str">
        <f t="shared" si="139"/>
        <v>aws s3 cp s3://rtdc.mdm.uploadarchive.raw/RTDC4063/ "%USERPROFILE%\AppData\Local\Temp\OnboardLogs"\RTDC4063\2017-04-24 --exclude "*" --recursive --include "*20170424*" &amp; "%USERPROFILE%\Documents\GitHub\mrs-test-scripts\Headless Mode &amp; Sideloading\WalkAndUnGZ.bat" "%USERPROFILE%\AppData\Local\Temp\OnboardLogs"\RTDC4063\2017-04-24 &amp; aws s3 cp s3://rtdc.mdm.uploadarchive.raw/RTDC4063/ "%USERPROFILE%\AppData\Local\Temp\OnboardLogs"\RTDC4063\2017-04-25 --exclude "*" --recursive --include "*20170425*" &amp; "%USERPROFILE%\Documents\GitHub\mrs-test-scripts\Headless Mode &amp; Sideloading\WalkAndUnGZ.bat" "%USERPROFILE%\AppData\Local\Temp\OnboardLogs"\RTDC4063\2017-04-25</v>
      </c>
      <c r="AF198" s="77" t="str">
        <f t="shared" si="140"/>
        <v>"C:\Program Files (x86)\AstroGrep\AstroGrep.exe" /e /r /s /spath="%USERPROFILE%\AppData\Local\Temp\OnboardLogs" /stypes="app*4063*20170425*" /stext=" 01:.+((SYSTEM_STATE.+slice.+state.+changed )|(ment ac)|(multiple cpu faults)|(system.+state.+changed )|(\[timeout)|(PRM\|1\|D)|(kpr)|(kdp)|(train.+moving)|(\|lc)|(penalty))"</v>
      </c>
      <c r="AG198" s="1" t="str">
        <f t="shared" si="164"/>
        <v>NW</v>
      </c>
      <c r="AH198" s="81" t="str">
        <f t="shared" si="149"/>
        <v>"%USERPROFILE%\Documents\GitHub\eaglep3\Utilities\RefineRTDCRunTimes.py" --tripid 840-24 --locoid 4063 --swversion DE.1.0.9.0 --startMP 300:58658 --initTime 2017-04-24T19:36:04 --startdatetime 2017-04-24T19:37:47 --delay 1 --endMP 204:645 --enddatetime 2017-04-24T19:57:27 --enforcementcount 0 &gt;&gt;C:\Users\stu\Documents\GitHub\eaglep3-reporting\EC\2017-04-24-refined-times.txt</v>
      </c>
      <c r="AI198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{"issue":{"subject":"","project_id":79,"tracker_id":40,"status_id":1,"priority_id":2,"assigned_to_id":23,"start_date":"2017-04-24","description":"","custom_fields":[{"id":1,"name":"Subdivision","value":"NW"},{"id":4,"name":"Milepost","value":"0.0645"},{"id":17,"name":"Train ID","value":"840-24"},{"id":16,"name":"Locomotive ID","value":"4063"},{"id":130,"name":"Impact","value":""},{"id":150,"name":"Time of Event (Mountain Time)","value":"19:57:27"},{"id":151,"name":"Denver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5" t="str">
        <f t="shared" si="151"/>
        <v>start /low /b %USERPROFILE%\Documents\GitHub\eaglep3\Utilities\DownloadLogsFromS3.py --loco 4063 --day 2017-04-24</v>
      </c>
      <c r="AN198" s="154" t="str">
        <f t="shared" si="152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01:57:27"},{"id":29,"name":"Sharepoint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2" t="s">
        <v>751</v>
      </c>
      <c r="B199" s="7">
        <v>4064</v>
      </c>
      <c r="C199" s="21" t="s">
        <v>212</v>
      </c>
      <c r="D199" s="21" t="s">
        <v>930</v>
      </c>
      <c r="E199" s="13">
        <v>42849.804155092592</v>
      </c>
      <c r="F199" s="13">
        <v>42849.806423611109</v>
      </c>
      <c r="G199" s="7">
        <v>1</v>
      </c>
      <c r="H199" s="21" t="s">
        <v>915</v>
      </c>
      <c r="I199" s="13">
        <v>42849.815601851849</v>
      </c>
      <c r="J199" s="7">
        <v>0</v>
      </c>
      <c r="K199" s="92" t="str">
        <f t="shared" si="158"/>
        <v>4063/4064</v>
      </c>
      <c r="L199" s="21" t="str">
        <f>VLOOKUP(A199,'Trips&amp;Operators'!$C$1:$G$99999,5,FALSE)</f>
        <v>LEVIN SCOTT</v>
      </c>
      <c r="M199" s="6">
        <f t="shared" si="159"/>
        <v>9.1782407398568466E-3</v>
      </c>
      <c r="N199" s="7">
        <f t="shared" si="167"/>
        <v>13.216666665393859</v>
      </c>
      <c r="O199" s="7"/>
      <c r="P199" s="7"/>
      <c r="Q199" s="22"/>
      <c r="R199" s="191"/>
      <c r="S199" s="197">
        <f t="shared" si="157"/>
        <v>1</v>
      </c>
      <c r="T199" s="191" t="str">
        <f t="shared" si="160"/>
        <v>NorthBound</v>
      </c>
      <c r="U199" s="19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2" t="str">
        <f t="shared" si="138"/>
        <v>https://d0f6bd738d7f1b3e5a7ca70fe4ff75f0.us-east-1.aws.found.io/app/kibana#/discover/Steve-Slow-Train-Analysis-(2080s-and-2083s)?_g=(refreshInterval:(display:Off,pause:!f,section:0,value:0),time:(from:'2017-04-24T18:17:59-0600',mode:absolute,to:'2017-04-24T20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9" s="193" t="str">
        <f t="shared" si="161"/>
        <v>N</v>
      </c>
      <c r="X199" s="193">
        <f t="shared" si="168"/>
        <v>1</v>
      </c>
      <c r="Y199" s="193">
        <f t="shared" si="165"/>
        <v>9.0899999999999995E-2</v>
      </c>
      <c r="Z199" s="193">
        <f t="shared" si="166"/>
        <v>5.8978000000000002</v>
      </c>
      <c r="AA199" s="193">
        <f t="shared" si="162"/>
        <v>5.8068999999999997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163"/>
        <v>0841-24</v>
      </c>
      <c r="AE199" s="80" t="str">
        <f t="shared" si="139"/>
        <v>aws s3 cp s3://rtdc.mdm.uploadarchive.raw/RTDC4064/ "%USERPROFILE%\AppData\Local\Temp\OnboardLogs"\RTDC4064\2017-04-24 --exclude "*" --recursive --include "*20170424*" &amp; "%USERPROFILE%\Documents\GitHub\mrs-test-scripts\Headless Mode &amp; Sideloading\WalkAndUnGZ.bat" "%USERPROFILE%\AppData\Local\Temp\OnboardLogs"\RTDC4064\2017-04-24 &amp; 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</v>
      </c>
      <c r="AF199" s="77" t="str">
        <f t="shared" si="140"/>
        <v>"C:\Program Files (x86)\AstroGrep\AstroGrep.exe" /e /r /s /spath="%USERPROFILE%\AppData\Local\Temp\OnboardLogs" /stypes="app*4064*20170425*" /stext=" 01:.+((SYSTEM_STATE.+slice.+state.+changed )|(ment ac)|(multiple cpu faults)|(system.+state.+changed )|(\[timeout)|(PRM\|1\|D)|(kpr)|(kdp)|(train.+moving)|(\|lc)|(penalty))"</v>
      </c>
      <c r="AG199" s="1" t="str">
        <f t="shared" si="164"/>
        <v>NW</v>
      </c>
      <c r="AH199" s="81" t="str">
        <f t="shared" si="149"/>
        <v>"%USERPROFILE%\Documents\GitHub\eaglep3\Utilities\RefineRTDCRunTimes.py" --tripid 841-24 --locoid 4064 --swversion DE.1.0.9.0 --startMP 204:909 --initTime 2017-04-24T19:17:59 --startdatetime 2017-04-24T19:21:15 --delay 1 --endMP 300:58978 --enddatetime 2017-04-24T19:34:28 --enforcementcount 0 &gt;&gt;C:\Users\stu\Documents\GitHub\eaglep3-reporting\EC\2017-04-24-refined-times.txt</v>
      </c>
      <c r="AI199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{"issue":{"subject":"","project_id":79,"tracker_id":40,"status_id":1,"priority_id":2,"assigned_to_id":23,"start_date":"2017-04-24","description":"","custom_fields":[{"id":1,"name":"Subdivision","value":"NW"},{"id":4,"name":"Milepost","value":"5.8978"},{"id":17,"name":"Train ID","value":"841-24"},{"id":16,"name":"Locomotive ID","value":"4064"},{"id":130,"name":"Impact","value":""},{"id":150,"name":"Time of Event (Mountain Time)","value":"19:34:28"},{"id":151,"name":"Denver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151"/>
        <v>start /low /b %USERPROFILE%\Documents\GitHub\eaglep3\Utilities\DownloadLogsFromS3.py --loco 4064 --day 2017-04-24</v>
      </c>
      <c r="AN199" s="154" t="str">
        <f t="shared" si="152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01:34:28"},{"id":29,"name":"Sharepoint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760</v>
      </c>
      <c r="B200" s="7">
        <v>4063</v>
      </c>
      <c r="C200" s="21" t="s">
        <v>212</v>
      </c>
      <c r="D200" s="21" t="s">
        <v>931</v>
      </c>
      <c r="E200" s="13">
        <v>42849.858576388891</v>
      </c>
      <c r="F200" s="13">
        <v>42849.860185185185</v>
      </c>
      <c r="G200" s="7">
        <v>1</v>
      </c>
      <c r="H200" s="21" t="s">
        <v>932</v>
      </c>
      <c r="I200" s="13">
        <v>42849.87128472222</v>
      </c>
      <c r="J200" s="7">
        <v>0</v>
      </c>
      <c r="K200" s="92" t="str">
        <f t="shared" si="158"/>
        <v>4063/4064</v>
      </c>
      <c r="L200" s="21" t="str">
        <f>VLOOKUP(A200,'Trips&amp;Operators'!$C$1:$G$99999,5,FALSE)</f>
        <v>LEVIN SCOTT</v>
      </c>
      <c r="M200" s="6">
        <f t="shared" si="159"/>
        <v>1.1099537034169771E-2</v>
      </c>
      <c r="N200" s="7">
        <f t="shared" si="167"/>
        <v>15.98333332920447</v>
      </c>
      <c r="O200" s="7"/>
      <c r="P200" s="7"/>
      <c r="Q200" s="22"/>
      <c r="R200" s="191"/>
      <c r="S200" s="197">
        <f t="shared" si="157"/>
        <v>1</v>
      </c>
      <c r="T200" s="191" t="str">
        <f t="shared" si="160"/>
        <v>Southbound</v>
      </c>
      <c r="U200" s="19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2" t="str">
        <f t="shared" si="138"/>
        <v>https://d0f6bd738d7f1b3e5a7ca70fe4ff75f0.us-east-1.aws.found.io/app/kibana#/discover/Steve-Slow-Train-Analysis-(2080s-and-2083s)?_g=(refreshInterval:(display:Off,pause:!f,section:0,value:0),time:(from:'2017-04-24T19:36:21-0600',mode:absolute,to:'2017-04-24T21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0" s="193" t="str">
        <f t="shared" si="161"/>
        <v>N</v>
      </c>
      <c r="X200" s="193">
        <f t="shared" si="168"/>
        <v>1</v>
      </c>
      <c r="Y200" s="193">
        <f t="shared" si="165"/>
        <v>5.8640999999999996</v>
      </c>
      <c r="Z200" s="193">
        <f t="shared" si="166"/>
        <v>6.2399999999999997E-2</v>
      </c>
      <c r="AA200" s="193">
        <f t="shared" si="162"/>
        <v>5.8016999999999994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163"/>
        <v>0842-24</v>
      </c>
      <c r="AE200" s="80" t="str">
        <f t="shared" si="139"/>
        <v>aws s3 cp s3://rtdc.mdm.uploadarchive.raw/RTDC4063/ "%USERPROFILE%\AppData\Local\Temp\OnboardLogs"\RTDC4063\2017-04-24 --exclude "*" --recursive --include "*20170424*" &amp; "%USERPROFILE%\Documents\GitHub\mrs-test-scripts\Headless Mode &amp; Sideloading\WalkAndUnGZ.bat" "%USERPROFILE%\AppData\Local\Temp\OnboardLogs"\RTDC4063\2017-04-24 &amp; aws s3 cp s3://rtdc.mdm.uploadarchive.raw/RTDC4063/ "%USERPROFILE%\AppData\Local\Temp\OnboardLogs"\RTDC4063\2017-04-25 --exclude "*" --recursive --include "*20170425*" &amp; "%USERPROFILE%\Documents\GitHub\mrs-test-scripts\Headless Mode &amp; Sideloading\WalkAndUnGZ.bat" "%USERPROFILE%\AppData\Local\Temp\OnboardLogs"\RTDC4063\2017-04-25</v>
      </c>
      <c r="AF200" s="77" t="str">
        <f t="shared" si="140"/>
        <v>"C:\Program Files (x86)\AstroGrep\AstroGrep.exe" /e /r /s /spath="%USERPROFILE%\AppData\Local\Temp\OnboardLogs" /stypes="app*4063*20170425*" /stext=" 02:.+((SYSTEM_STATE.+slice.+state.+changed )|(ment ac)|(multiple cpu faults)|(system.+state.+changed )|(\[timeout)|(PRM\|1\|D)|(kpr)|(kdp)|(train.+moving)|(\|lc)|(penalty))"</v>
      </c>
      <c r="AG200" s="1" t="str">
        <f t="shared" si="164"/>
        <v>NW</v>
      </c>
      <c r="AH200" s="81" t="str">
        <f t="shared" si="149"/>
        <v>"%USERPROFILE%\Documents\GitHub\eaglep3\Utilities\RefineRTDCRunTimes.py" --tripid 842-24 --locoid 4063 --swversion DE.1.0.9.0 --startMP 300:58641 --initTime 2017-04-24T20:36:21 --startdatetime 2017-04-24T20:38:40 --delay 1 --endMP 204:624 --enddatetime 2017-04-24T20:54:39 --enforcementcount 0 &gt;&gt;C:\Users\stu\Documents\GitHub\eaglep3-reporting\EC\2017-04-24-refined-times.txt</v>
      </c>
      <c r="AI200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{"issue":{"subject":"","project_id":79,"tracker_id":40,"status_id":1,"priority_id":2,"assigned_to_id":23,"start_date":"2017-04-24","description":"","custom_fields":[{"id":1,"name":"Subdivision","value":"NW"},{"id":4,"name":"Milepost","value":"0.0624"},{"id":17,"name":"Train ID","value":"842-24"},{"id":16,"name":"Locomotive ID","value":"4063"},{"id":130,"name":"Impact","value":""},{"id":150,"name":"Time of Event (Mountain Time)","value":"20:54:39"},{"id":151,"name":"Denver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151"/>
        <v>start /low /b %USERPROFILE%\Documents\GitHub\eaglep3\Utilities\DownloadLogsFromS3.py --loco 4063 --day 2017-04-24</v>
      </c>
      <c r="AN200" s="154" t="str">
        <f t="shared" si="152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02:54:39"},{"id":29,"name":"Sharepoint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582</v>
      </c>
      <c r="B201" s="7">
        <v>4064</v>
      </c>
      <c r="C201" s="21" t="s">
        <v>212</v>
      </c>
      <c r="D201" s="21" t="s">
        <v>909</v>
      </c>
      <c r="E201" s="13">
        <v>42849.844050925924</v>
      </c>
      <c r="F201" s="13">
        <v>42849.848136574074</v>
      </c>
      <c r="G201" s="7">
        <v>1</v>
      </c>
      <c r="H201" s="21" t="s">
        <v>933</v>
      </c>
      <c r="I201" s="13">
        <v>42849.857303240744</v>
      </c>
      <c r="J201" s="7">
        <v>0</v>
      </c>
      <c r="K201" s="92" t="str">
        <f t="shared" si="158"/>
        <v>4063/4064</v>
      </c>
      <c r="L201" s="21" t="str">
        <f>VLOOKUP(A201,'Trips&amp;Operators'!$C$1:$G$99999,5,FALSE)</f>
        <v>LEVIN SCOTT</v>
      </c>
      <c r="M201" s="6">
        <f t="shared" si="159"/>
        <v>9.1666666703531519E-3</v>
      </c>
      <c r="N201" s="7">
        <f t="shared" si="167"/>
        <v>13.200000005308539</v>
      </c>
      <c r="O201" s="7"/>
      <c r="P201" s="7"/>
      <c r="Q201" s="22"/>
      <c r="R201" s="191"/>
      <c r="S201" s="197">
        <f t="shared" si="157"/>
        <v>1</v>
      </c>
      <c r="T201" s="191" t="str">
        <f t="shared" si="160"/>
        <v>NorthBound</v>
      </c>
      <c r="U201" s="19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2" t="str">
        <f t="shared" si="138"/>
        <v>https://d0f6bd738d7f1b3e5a7ca70fe4ff75f0.us-east-1.aws.found.io/app/kibana#/discover/Steve-Slow-Train-Analysis-(2080s-and-2083s)?_g=(refreshInterval:(display:Off,pause:!f,section:0,value:0),time:(from:'2017-04-24T19:15:26-0600',mode:absolute,to:'2017-04-24T21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1" s="193" t="str">
        <f t="shared" si="161"/>
        <v>N</v>
      </c>
      <c r="X201" s="193">
        <f t="shared" si="168"/>
        <v>1</v>
      </c>
      <c r="Y201" s="193">
        <f t="shared" si="165"/>
        <v>9.1300000000000006E-2</v>
      </c>
      <c r="Z201" s="193">
        <f t="shared" si="166"/>
        <v>5.8954000000000004</v>
      </c>
      <c r="AA201" s="193">
        <f t="shared" si="162"/>
        <v>5.8041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163"/>
        <v>0843-24</v>
      </c>
      <c r="AE201" s="80" t="str">
        <f t="shared" si="139"/>
        <v>aws s3 cp s3://rtdc.mdm.uploadarchive.raw/RTDC4064/ "%USERPROFILE%\AppData\Local\Temp\OnboardLogs"\RTDC4064\2017-04-24 --exclude "*" --recursive --include "*20170424*" &amp; "%USERPROFILE%\Documents\GitHub\mrs-test-scripts\Headless Mode &amp; Sideloading\WalkAndUnGZ.bat" "%USERPROFILE%\AppData\Local\Temp\OnboardLogs"\RTDC4064\2017-04-24 &amp; 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</v>
      </c>
      <c r="AF201" s="77" t="str">
        <f t="shared" si="140"/>
        <v>"C:\Program Files (x86)\AstroGrep\AstroGrep.exe" /e /r /s /spath="%USERPROFILE%\AppData\Local\Temp\OnboardLogs" /stypes="app*4064*20170425*" /stext=" 02:.+((SYSTEM_STATE.+slice.+state.+changed )|(ment ac)|(multiple cpu faults)|(system.+state.+changed )|(\[timeout)|(PRM\|1\|D)|(kpr)|(kdp)|(train.+moving)|(\|lc)|(penalty))"</v>
      </c>
      <c r="AG201" s="1" t="str">
        <f t="shared" si="164"/>
        <v>NW</v>
      </c>
      <c r="AH201" s="81" t="str">
        <f t="shared" si="149"/>
        <v>"%USERPROFILE%\Documents\GitHub\eaglep3\Utilities\RefineRTDCRunTimes.py" --tripid 843-24 --locoid 4064 --swversion DE.1.0.9.0 --startMP 204:913 --initTime 2017-04-24T20:15:26 --startdatetime 2017-04-24T20:21:19 --delay 1 --endMP 300:58954 --enddatetime 2017-04-24T20:34:31 --enforcementcount 0 &gt;&gt;C:\Users\stu\Documents\GitHub\eaglep3-reporting\EC\2017-04-24-refined-times.txt</v>
      </c>
      <c r="AI201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{"issue":{"subject":"","project_id":79,"tracker_id":40,"status_id":1,"priority_id":2,"assigned_to_id":23,"start_date":"2017-04-24","description":"","custom_fields":[{"id":1,"name":"Subdivision","value":"NW"},{"id":4,"name":"Milepost","value":"5.8954"},{"id":17,"name":"Train ID","value":"843-24"},{"id":16,"name":"Locomotive ID","value":"4064"},{"id":130,"name":"Impact","value":""},{"id":150,"name":"Time of Event (Mountain Time)","value":"20:34:31"},{"id":151,"name":"Denver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151"/>
        <v>start /low /b %USERPROFILE%\Documents\GitHub\eaglep3\Utilities\DownloadLogsFromS3.py --loco 4064 --day 2017-04-24</v>
      </c>
      <c r="AN201" s="154" t="str">
        <f t="shared" si="152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02:34:31"},{"id":29,"name":"Sharepoint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765</v>
      </c>
      <c r="B202" s="7">
        <v>4063</v>
      </c>
      <c r="C202" s="21" t="s">
        <v>212</v>
      </c>
      <c r="D202" s="21" t="s">
        <v>884</v>
      </c>
      <c r="E202" s="13">
        <v>42849.900219907409</v>
      </c>
      <c r="F202" s="13">
        <v>42849.901724537034</v>
      </c>
      <c r="G202" s="7">
        <v>1</v>
      </c>
      <c r="H202" s="21" t="s">
        <v>934</v>
      </c>
      <c r="I202" s="13">
        <v>42849.912569444445</v>
      </c>
      <c r="J202" s="7">
        <v>0</v>
      </c>
      <c r="K202" s="92" t="str">
        <f t="shared" si="158"/>
        <v>4063/4064</v>
      </c>
      <c r="L202" s="21" t="str">
        <f>VLOOKUP(A202,'Trips&amp;Operators'!$C$1:$G$99999,5,FALSE)</f>
        <v>NEWELL JAMES</v>
      </c>
      <c r="M202" s="6">
        <f t="shared" si="159"/>
        <v>1.0844907410501037E-2</v>
      </c>
      <c r="N202" s="7">
        <f t="shared" si="167"/>
        <v>15.616666671121493</v>
      </c>
      <c r="O202" s="7"/>
      <c r="P202" s="7"/>
      <c r="Q202" s="22"/>
      <c r="R202" s="191"/>
      <c r="S202" s="197">
        <f t="shared" si="157"/>
        <v>1</v>
      </c>
      <c r="T202" s="191" t="str">
        <f t="shared" si="160"/>
        <v>Southbound</v>
      </c>
      <c r="U202" s="19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2" t="str">
        <f t="shared" si="138"/>
        <v>https://d0f6bd738d7f1b3e5a7ca70fe4ff75f0.us-east-1.aws.found.io/app/kibana#/discover/Steve-Slow-Train-Analysis-(2080s-and-2083s)?_g=(refreshInterval:(display:Off,pause:!f,section:0,value:0),time:(from:'2017-04-24T20:36:19-0600',mode:absolute,to:'2017-04-24T22:54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2" s="193" t="str">
        <f t="shared" si="161"/>
        <v>N</v>
      </c>
      <c r="X202" s="193">
        <f t="shared" si="168"/>
        <v>1</v>
      </c>
      <c r="Y202" s="193">
        <f t="shared" si="165"/>
        <v>5.8620999999999999</v>
      </c>
      <c r="Z202" s="193">
        <f t="shared" si="166"/>
        <v>6.8000000000000005E-2</v>
      </c>
      <c r="AA202" s="193">
        <f t="shared" si="162"/>
        <v>5.7941000000000003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163"/>
        <v>0844-24</v>
      </c>
      <c r="AE202" s="80" t="str">
        <f t="shared" si="139"/>
        <v>aws s3 cp s3://rtdc.mdm.uploadarchive.raw/RTDC4063/ "%USERPROFILE%\AppData\Local\Temp\OnboardLogs"\RTDC4063\2017-04-24 --exclude "*" --recursive --include "*20170424*" &amp; "%USERPROFILE%\Documents\GitHub\mrs-test-scripts\Headless Mode &amp; Sideloading\WalkAndUnGZ.bat" "%USERPROFILE%\AppData\Local\Temp\OnboardLogs"\RTDC4063\2017-04-24 &amp; aws s3 cp s3://rtdc.mdm.uploadarchive.raw/RTDC4063/ "%USERPROFILE%\AppData\Local\Temp\OnboardLogs"\RTDC4063\2017-04-25 --exclude "*" --recursive --include "*20170425*" &amp; "%USERPROFILE%\Documents\GitHub\mrs-test-scripts\Headless Mode &amp; Sideloading\WalkAndUnGZ.bat" "%USERPROFILE%\AppData\Local\Temp\OnboardLogs"\RTDC4063\2017-04-25</v>
      </c>
      <c r="AF202" s="77" t="str">
        <f t="shared" si="140"/>
        <v>"C:\Program Files (x86)\AstroGrep\AstroGrep.exe" /e /r /s /spath="%USERPROFILE%\AppData\Local\Temp\OnboardLogs" /stypes="app*4063*20170425*" /stext=" 03:.+((SYSTEM_STATE.+slice.+state.+changed )|(ment ac)|(multiple cpu faults)|(system.+state.+changed )|(\[timeout)|(PRM\|1\|D)|(kpr)|(kdp)|(train.+moving)|(\|lc)|(penalty))"</v>
      </c>
      <c r="AG202" s="1" t="str">
        <f t="shared" si="164"/>
        <v>NW</v>
      </c>
      <c r="AH202" s="81" t="str">
        <f t="shared" si="149"/>
        <v>"%USERPROFILE%\Documents\GitHub\eaglep3\Utilities\RefineRTDCRunTimes.py" --tripid 844-24 --locoid 4063 --swversion DE.1.0.9.0 --startMP 300:58621 --initTime 2017-04-24T21:36:19 --startdatetime 2017-04-24T21:38:29 --delay 1 --endMP 204:680 --enddatetime 2017-04-24T21:54:06 --enforcementcount 0 &gt;&gt;C:\Users\stu\Documents\GitHub\eaglep3-reporting\EC\2017-04-24-refined-times.txt</v>
      </c>
      <c r="AI202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{"issue":{"subject":"","project_id":79,"tracker_id":40,"status_id":1,"priority_id":2,"assigned_to_id":23,"start_date":"2017-04-24","description":"","custom_fields":[{"id":1,"name":"Subdivision","value":"NW"},{"id":4,"name":"Milepost","value":"0.068"},{"id":17,"name":"Train ID","value":"844-24"},{"id":16,"name":"Locomotive ID","value":"4063"},{"id":130,"name":"Impact","value":""},{"id":150,"name":"Time of Event (Mountain Time)","value":"21:54:06"},{"id":151,"name":"Denver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151"/>
        <v>start /low /b %USERPROFILE%\Documents\GitHub\eaglep3\Utilities\DownloadLogsFromS3.py --loco 4063 --day 2017-04-24</v>
      </c>
      <c r="AN202" s="154" t="str">
        <f t="shared" si="152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03:54:06"},{"id":29,"name":"Sharepoint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762</v>
      </c>
      <c r="B203" s="7">
        <v>4064</v>
      </c>
      <c r="C203" s="21" t="s">
        <v>212</v>
      </c>
      <c r="D203" s="21" t="s">
        <v>935</v>
      </c>
      <c r="E203" s="13">
        <v>42849.875416666669</v>
      </c>
      <c r="F203" s="13">
        <v>42849.889733796299</v>
      </c>
      <c r="G203" s="7">
        <v>1</v>
      </c>
      <c r="H203" s="21" t="s">
        <v>913</v>
      </c>
      <c r="I203" s="13">
        <v>42849.898680555554</v>
      </c>
      <c r="J203" s="7">
        <v>0</v>
      </c>
      <c r="K203" s="92" t="str">
        <f t="shared" si="158"/>
        <v>4063/4064</v>
      </c>
      <c r="L203" s="21" t="str">
        <f>VLOOKUP(A203,'Trips&amp;Operators'!$C$1:$G$99999,5,FALSE)</f>
        <v>NEWELL JAMES</v>
      </c>
      <c r="M203" s="6">
        <f t="shared" si="159"/>
        <v>8.9467592551955022E-3</v>
      </c>
      <c r="N203" s="7">
        <f t="shared" si="167"/>
        <v>12.883333327481523</v>
      </c>
      <c r="O203" s="7"/>
      <c r="P203" s="7"/>
      <c r="Q203" s="22"/>
      <c r="R203" s="191"/>
      <c r="S203" s="197">
        <f t="shared" si="157"/>
        <v>1</v>
      </c>
      <c r="T203" s="191" t="str">
        <f t="shared" si="160"/>
        <v>NorthBound</v>
      </c>
      <c r="U203" s="19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2" t="str">
        <f t="shared" si="138"/>
        <v>https://d0f6bd738d7f1b3e5a7ca70fe4ff75f0.us-east-1.aws.found.io/app/kibana#/discover/Steve-Slow-Train-Analysis-(2080s-and-2083s)?_g=(refreshInterval:(display:Off,pause:!f,section:0,value:0),time:(from:'2017-04-24T20:00:36-0600',mode:absolute,to:'2017-04-24T22:34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3" s="193" t="str">
        <f t="shared" si="161"/>
        <v>N</v>
      </c>
      <c r="X203" s="193">
        <f t="shared" si="168"/>
        <v>1</v>
      </c>
      <c r="Y203" s="193">
        <f t="shared" si="165"/>
        <v>9.2999999999999999E-2</v>
      </c>
      <c r="Z203" s="193">
        <f t="shared" si="166"/>
        <v>5.8929</v>
      </c>
      <c r="AA203" s="193">
        <f t="shared" si="162"/>
        <v>5.7999000000000001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163"/>
        <v>0845-24</v>
      </c>
      <c r="AE203" s="80" t="str">
        <f t="shared" si="139"/>
        <v>aws s3 cp s3://rtdc.mdm.uploadarchive.raw/RTDC4064/ "%USERPROFILE%\AppData\Local\Temp\OnboardLogs"\RTDC4064\2017-04-24 --exclude "*" --recursive --include "*20170424*" &amp; "%USERPROFILE%\Documents\GitHub\mrs-test-scripts\Headless Mode &amp; Sideloading\WalkAndUnGZ.bat" "%USERPROFILE%\AppData\Local\Temp\OnboardLogs"\RTDC4064\2017-04-24 &amp; 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</v>
      </c>
      <c r="AF203" s="77" t="str">
        <f t="shared" si="140"/>
        <v>"C:\Program Files (x86)\AstroGrep\AstroGrep.exe" /e /r /s /spath="%USERPROFILE%\AppData\Local\Temp\OnboardLogs" /stypes="app*4064*20170425*" /stext=" 03:.+((SYSTEM_STATE.+slice.+state.+changed )|(ment ac)|(multiple cpu faults)|(system.+state.+changed )|(\[timeout)|(PRM\|1\|D)|(kpr)|(kdp)|(train.+moving)|(\|lc)|(penalty))"</v>
      </c>
      <c r="AG203" s="1" t="str">
        <f t="shared" si="164"/>
        <v>NW</v>
      </c>
      <c r="AH203" s="81" t="str">
        <f t="shared" si="149"/>
        <v>"%USERPROFILE%\Documents\GitHub\eaglep3\Utilities\RefineRTDCRunTimes.py" --tripid 845-24 --locoid 4064 --swversion DE.1.0.9.0 --startMP 204:930 --initTime 2017-04-24T21:00:36 --startdatetime 2017-04-24T21:21:13 --delay 1 --endMP 300:58929 --enddatetime 2017-04-24T21:34:06 --enforcementcount 0 &gt;&gt;C:\Users\stu\Documents\GitHub\eaglep3-reporting\EC\2017-04-24-refined-times.txt</v>
      </c>
      <c r="AI203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{"issue":{"subject":"","project_id":79,"tracker_id":40,"status_id":1,"priority_id":2,"assigned_to_id":23,"start_date":"2017-04-24","description":"","custom_fields":[{"id":1,"name":"Subdivision","value":"NW"},{"id":4,"name":"Milepost","value":"5.8929"},{"id":17,"name":"Train ID","value":"845-24"},{"id":16,"name":"Locomotive ID","value":"4064"},{"id":130,"name":"Impact","value":""},{"id":150,"name":"Time of Event (Mountain Time)","value":"21:34:06"},{"id":151,"name":"Denver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151"/>
        <v>start /low /b %USERPROFILE%\Documents\GitHub\eaglep3\Utilities\DownloadLogsFromS3.py --loco 4064 --day 2017-04-24</v>
      </c>
      <c r="AN203" s="154" t="str">
        <f t="shared" si="152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03:34:06"},{"id":29,"name":"Sharepoint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767</v>
      </c>
      <c r="B204" s="7">
        <v>4064</v>
      </c>
      <c r="C204" s="21" t="s">
        <v>212</v>
      </c>
      <c r="D204" s="21" t="s">
        <v>919</v>
      </c>
      <c r="E204" s="13">
        <v>42849.928067129629</v>
      </c>
      <c r="F204" s="13">
        <v>42849.93141203704</v>
      </c>
      <c r="G204" s="7">
        <v>1</v>
      </c>
      <c r="H204" s="21" t="s">
        <v>893</v>
      </c>
      <c r="I204" s="13">
        <v>42849.941354166665</v>
      </c>
      <c r="J204" s="7">
        <v>0</v>
      </c>
      <c r="K204" s="92" t="str">
        <f t="shared" si="158"/>
        <v>4063/4064</v>
      </c>
      <c r="L204" s="21" t="str">
        <f>VLOOKUP(A204,'Trips&amp;Operators'!$C$1:$G$99999,5,FALSE)</f>
        <v>NEWELL JAMES</v>
      </c>
      <c r="M204" s="6">
        <f t="shared" si="159"/>
        <v>9.9421296254149638E-3</v>
      </c>
      <c r="N204" s="7">
        <f t="shared" si="167"/>
        <v>14.316666660597548</v>
      </c>
      <c r="O204" s="7"/>
      <c r="P204" s="7"/>
      <c r="Q204" s="22"/>
      <c r="R204" s="191"/>
      <c r="S204" s="197">
        <f t="shared" si="157"/>
        <v>1</v>
      </c>
      <c r="T204" s="191" t="str">
        <f t="shared" si="160"/>
        <v>NorthBound</v>
      </c>
      <c r="U204" s="19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2" t="str">
        <f t="shared" si="138"/>
        <v>https://d0f6bd738d7f1b3e5a7ca70fe4ff75f0.us-east-1.aws.found.io/app/kibana#/discover/Steve-Slow-Train-Analysis-(2080s-and-2083s)?_g=(refreshInterval:(display:Off,pause:!f,section:0,value:0),time:(from:'2017-04-24T21:16:25-0600',mode:absolute,to:'2017-04-24T23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4" s="193" t="str">
        <f t="shared" si="161"/>
        <v>N</v>
      </c>
      <c r="X204" s="193">
        <f t="shared" si="168"/>
        <v>2</v>
      </c>
      <c r="Y204" s="193">
        <f t="shared" si="165"/>
        <v>9.74E-2</v>
      </c>
      <c r="Z204" s="193">
        <f t="shared" si="166"/>
        <v>5.8928000000000003</v>
      </c>
      <c r="AA204" s="193">
        <f t="shared" si="162"/>
        <v>5.7953999999999999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163"/>
        <v>0847-24</v>
      </c>
      <c r="AE204" s="80" t="str">
        <f t="shared" si="139"/>
        <v>aws s3 cp s3://rtdc.mdm.uploadarchive.raw/RTDC4064/ "%USERPROFILE%\AppData\Local\Temp\OnboardLogs"\RTDC4064\2017-04-24 --exclude "*" --recursive --include "*20170424*" &amp; "%USERPROFILE%\Documents\GitHub\mrs-test-scripts\Headless Mode &amp; Sideloading\WalkAndUnGZ.bat" "%USERPROFILE%\AppData\Local\Temp\OnboardLogs"\RTDC4064\2017-04-24 &amp; 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</v>
      </c>
      <c r="AF204" s="77" t="str">
        <f t="shared" si="140"/>
        <v>"C:\Program Files (x86)\AstroGrep\AstroGrep.exe" /e /r /s /spath="%USERPROFILE%\AppData\Local\Temp\OnboardLogs" /stypes="app*4064*20170425*" /stext=" 04:.+((SYSTEM_STATE.+slice.+state.+changed )|(ment ac)|(multiple cpu faults)|(system.+state.+changed )|(\[timeout)|(PRM\|1\|D)|(kpr)|(kdp)|(train.+moving)|(\|lc)|(penalty))"</v>
      </c>
      <c r="AG204" s="1" t="str">
        <f t="shared" si="164"/>
        <v>NW</v>
      </c>
      <c r="AH204" s="81" t="str">
        <f t="shared" si="149"/>
        <v>"%USERPROFILE%\Documents\GitHub\eaglep3\Utilities\RefineRTDCRunTimes.py" --tripid 847-24 --locoid 4064 --swversion DE.1.0.9.0 --startMP 204:974 --initTime 2017-04-24T22:16:25 --startdatetime 2017-04-24T22:21:14 --delay 1 --endMP 300:58928 --enddatetime 2017-04-24T22:35:33 --enforcementcount 0 &gt;&gt;C:\Users\stu\Documents\GitHub\eaglep3-reporting\EC\2017-04-24-refined-times.txt</v>
      </c>
      <c r="AI204" s="99" t="str">
        <f t="shared" si="150"/>
        <v>echo {"issue":{"subject":"","project_id":79,"tracker_id":40,"status_id":1,"priority_id":2,"assigned_to_id":23,"start_date":"2017-04-24","description":"","custom_fields":[{"id":1,"name":"Subdivision","value":"NW"},{"id":4,"name":"Milepost","value":"5.8928"},{"id":17,"name":"Train ID","value":"847-24"},{"id":16,"name":"Locomotive ID","value":"4064"},{"id":130,"name":"Impact","value":""},{"id":150,"name":"Time of Event (Mountain Time)","value":"22:35:33"},{"id":151,"name":"Denver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151"/>
        <v>start /low /b %USERPROFILE%\Documents\GitHub\eaglep3\Utilities\DownloadLogsFromS3.py --loco 4064 --day 2017-04-24</v>
      </c>
      <c r="AN204" s="154" t="str">
        <f t="shared" si="152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04:35:33"},{"id":29,"name":"Sharepoint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586</v>
      </c>
      <c r="B205" s="7">
        <v>4009</v>
      </c>
      <c r="C205" s="21" t="s">
        <v>212</v>
      </c>
      <c r="D205" s="21" t="s">
        <v>858</v>
      </c>
      <c r="E205" s="13">
        <v>42849.122141203705</v>
      </c>
      <c r="F205" s="13">
        <v>42849.124710648146</v>
      </c>
      <c r="G205" s="7">
        <v>3</v>
      </c>
      <c r="H205" s="21" t="s">
        <v>455</v>
      </c>
      <c r="I205" s="13">
        <v>42849.13045138889</v>
      </c>
      <c r="J205" s="7">
        <v>0</v>
      </c>
      <c r="K205" s="92" t="str">
        <f t="shared" si="158"/>
        <v>4009/4010</v>
      </c>
      <c r="L205" s="21" t="str">
        <f>VLOOKUP(A205,'Trips&amp;Operators'!$C$1:$G$99999,5,FALSE)</f>
        <v>FORTUNATO FRANK</v>
      </c>
      <c r="M205" s="6">
        <f t="shared" si="159"/>
        <v>5.7407407439313829E-3</v>
      </c>
      <c r="N205" s="7">
        <f t="shared" si="167"/>
        <v>8.2666666712611914</v>
      </c>
      <c r="O205" s="7"/>
      <c r="P205" s="7"/>
      <c r="Q205" s="22"/>
      <c r="R205" s="191"/>
      <c r="S205" s="197">
        <f t="shared" si="157"/>
        <v>1</v>
      </c>
      <c r="T205" s="191" t="str">
        <f t="shared" si="160"/>
        <v>Southbound</v>
      </c>
      <c r="U205" s="19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2" t="str">
        <f t="shared" ref="V205:V231" si="16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-24T01:55:53-0600',mode:absolute,to:'2017-04-24T04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5" s="193" t="str">
        <f t="shared" si="161"/>
        <v>Y</v>
      </c>
      <c r="X205" s="193">
        <f t="shared" si="168"/>
        <v>-545</v>
      </c>
      <c r="Y205" s="193">
        <f t="shared" si="165"/>
        <v>2.3494999999999999</v>
      </c>
      <c r="Z205" s="193">
        <f t="shared" si="166"/>
        <v>1.34E-2</v>
      </c>
      <c r="AA205" s="193">
        <f t="shared" si="162"/>
        <v>2.3361000000000001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si="163"/>
        <v>0302-24</v>
      </c>
      <c r="AE205" s="80" t="str">
        <f t="shared" ref="AE205:AE231" si="17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s3://rtdc.mdm.uploadarchive.raw/RTDC4009/ "%USERPROFILE%\AppData\Local\Temp\OnboardLogs"\RTDC4009\2017-04-24 --exclude "*" --recursive --include "*20170424*" &amp; "%USERPROFILE%\Documents\GitHub\mrs-test-scripts\Headless Mode &amp; Sideloading\WalkAndUnGZ.bat" "%USERPROFILE%\AppData\Local\Temp\OnboardLogs"\RTDC4009\2017-04-24 &amp; aws s3 cp s3://rtdc.mdm.uploadarchive.raw/RTDC4009/ "%USERPROFILE%\AppData\Local\Temp\OnboardLogs"\RTDC4009\2017-04-25 --exclude "*" --recursive --include "*20170425*" &amp; "%USERPROFILE%\Documents\GitHub\mrs-test-scripts\Headless Mode &amp; Sideloading\WalkAndUnGZ.bat" "%USERPROFILE%\AppData\Local\Temp\OnboardLogs"\RTDC4009\2017-04-25</v>
      </c>
      <c r="AF205" s="77" t="str">
        <f t="shared" ref="AF205:AF231" si="171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/stypes="app*4009*20170424*" /stext=" 09:.+((SYSTEM_STATE.+slice.+state.+changed )|(ment ac)|(multiple cpu faults)|(system.+state.+changed )|(\[timeout)|(PRM\|1\|D)|(kpr)|(kdp)|(train.+moving)|(\|lc)|(penalty))"</v>
      </c>
      <c r="AG205" s="1" t="str">
        <f t="shared" si="164"/>
        <v>Other</v>
      </c>
      <c r="AH205" s="81" t="str">
        <f t="shared" si="149"/>
        <v>"%USERPROFILE%\Documents\GitHub\eaglep3\Utilities\RefineRTDCRunTimes.py" --tripid 302-24 --locoid 4009 --swversion DE.1.0.9.0 --startMP 300:23495 --initTime 2017-04-24T02:55:53 --startdatetime 2017-04-24T02:59:35 --delay 3 --endMP 204:134 --enddatetime 2017-04-24T03:07:51 --enforcementcount 0 &gt;&gt;C:\Users\stu\Documents\GitHub\eaglep3-reporting\EC\2017-04-24-refined-times.txt</v>
      </c>
      <c r="AI205" s="99" t="str">
        <f t="shared" si="150"/>
        <v>echo {"issue":{"subject":"","project_id":79,"tracker_id":40,"status_id":1,"priority_id":2,"assigned_to_id":23,"start_date":"2017-04-24","description":"","custom_fields":[{"id":1,"name":"Subdivision","value":"Other"},{"id":4,"name":"Milepost","value":"0.0134"},{"id":17,"name":"Train ID","value":"302-24"},{"id":16,"name":"Locomotive ID","value":"4009"},{"id":130,"name":"Impact","value":""},{"id":150,"name":"Time of Event (Mountain Time)","value":"03:07:51"},{"id":151,"name":"Denver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151"/>
        <v>start /low /b %USERPROFILE%\Documents\GitHub\eaglep3\Utilities\DownloadLogsFromS3.py --loco 4009 --day 2017-04-24</v>
      </c>
      <c r="AN205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09:07:51"},{"id":29,"name":"Sharepoint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746</v>
      </c>
      <c r="B206" s="7">
        <v>4030</v>
      </c>
      <c r="C206" s="21" t="s">
        <v>212</v>
      </c>
      <c r="D206" s="21" t="s">
        <v>369</v>
      </c>
      <c r="E206" s="13">
        <v>42849.777974537035</v>
      </c>
      <c r="F206" s="13">
        <v>42849.779398148145</v>
      </c>
      <c r="G206" s="7">
        <v>1</v>
      </c>
      <c r="H206" s="21" t="s">
        <v>457</v>
      </c>
      <c r="I206" s="13">
        <v>42849.789594907408</v>
      </c>
      <c r="J206" s="7">
        <v>0</v>
      </c>
      <c r="K206" s="92" t="str">
        <f t="shared" si="158"/>
        <v>4029/4030</v>
      </c>
      <c r="L206" s="21" t="str">
        <f>VLOOKUP(A206,'Trips&amp;Operators'!$C$1:$G$99999,5,FALSE)</f>
        <v>LAMAR NEKESHA</v>
      </c>
      <c r="M206" s="6">
        <f t="shared" si="159"/>
        <v>1.0196759263635613E-2</v>
      </c>
      <c r="N206" s="7">
        <f t="shared" si="167"/>
        <v>14.683333339635283</v>
      </c>
      <c r="O206" s="7"/>
      <c r="P206" s="7"/>
      <c r="Q206" s="22"/>
      <c r="R206" s="191"/>
      <c r="S206" s="197">
        <f t="shared" si="157"/>
        <v>1</v>
      </c>
      <c r="T206" s="191" t="str">
        <f t="shared" si="160"/>
        <v>NorthBound</v>
      </c>
      <c r="U206" s="19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2" t="str">
        <f t="shared" si="169"/>
        <v>https://d0f6bd738d7f1b3e5a7ca70fe4ff75f0.us-east-1.aws.found.io/app/kibana#/discover/Steve-Slow-Train-Analysis-(2080s-and-2083s)?_g=(refreshInterval:(display:Off,pause:!f,section:0,value:0),time:(from:'2017-04-24T17:40:17-0600',mode:absolute,to:'2017-04-24T19:57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6" s="193" t="str">
        <f t="shared" si="161"/>
        <v>Y</v>
      </c>
      <c r="X206" s="193">
        <f t="shared" si="168"/>
        <v>1</v>
      </c>
      <c r="Y206" s="193">
        <f t="shared" si="165"/>
        <v>4.4900000000000002E-2</v>
      </c>
      <c r="Z206" s="193">
        <f t="shared" si="166"/>
        <v>2.3346</v>
      </c>
      <c r="AA206" s="193">
        <f t="shared" si="162"/>
        <v>2.2896999999999998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163"/>
        <v>0303-24</v>
      </c>
      <c r="AE206" s="80" t="str">
        <f t="shared" si="170"/>
        <v>aws s3 cp s3://rtdc.mdm.uploadarchive.raw/RTDC4030/ "%USERPROFILE%\AppData\Local\Temp\OnboardLogs"\RTDC4030\2017-04-24 --exclude "*" --recursive --include "*20170424*" &amp; "%USERPROFILE%\Documents\GitHub\mrs-test-scripts\Headless Mode &amp; Sideloading\WalkAndUnGZ.bat" "%USERPROFILE%\AppData\Local\Temp\OnboardLogs"\RTDC4030\2017-04-24 &amp; aws s3 cp s3://rtdc.mdm.uploadarchive.raw/RTDC4030/ "%USERPROFILE%\AppData\Local\Temp\OnboardLogs"\RTDC4030\2017-04-25 --exclude "*" --recursive --include "*20170425*" &amp; "%USERPROFILE%\Documents\GitHub\mrs-test-scripts\Headless Mode &amp; Sideloading\WalkAndUnGZ.bat" "%USERPROFILE%\AppData\Local\Temp\OnboardLogs"\RTDC4030\2017-04-25</v>
      </c>
      <c r="AF206" s="77" t="str">
        <f t="shared" si="171"/>
        <v>"C:\Program Files (x86)\AstroGrep\AstroGrep.exe" /e /r /s /spath="%USERPROFILE%\AppData\Local\Temp\OnboardLogs" /stypes="app*4030*20170425*" /stext=" 00:.+((SYSTEM_STATE.+slice.+state.+changed )|(ment ac)|(multiple cpu faults)|(system.+state.+changed )|(\[timeout)|(PRM\|1\|D)|(kpr)|(kdp)|(train.+moving)|(\|lc)|(penalty))"</v>
      </c>
      <c r="AG206" s="1" t="str">
        <f t="shared" si="164"/>
        <v>Other</v>
      </c>
      <c r="AH206" s="81" t="str">
        <f t="shared" si="149"/>
        <v>"%USERPROFILE%\Documents\GitHub\eaglep3\Utilities\RefineRTDCRunTimes.py" --tripid 303-24 --locoid 4030 --swversion DE.1.0.9.0 --startMP 204:449 --initTime 2017-04-24T18:40:17 --startdatetime 2017-04-24T18:42:20 --delay 1 --endMP 300:23346 --enddatetime 2017-04-24T18:57:01 --enforcementcount 0 &gt;&gt;C:\Users\stu\Documents\GitHub\eaglep3-reporting\EC\2017-04-24-refined-times.txt</v>
      </c>
      <c r="AI206" s="99" t="str">
        <f t="shared" si="150"/>
        <v>echo {"issue":{"subject":"","project_id":79,"tracker_id":40,"status_id":1,"priority_id":2,"assigned_to_id":23,"start_date":"2017-04-24","description":"","custom_fields":[{"id":1,"name":"Subdivision","value":"Other"},{"id":4,"name":"Milepost","value":"2.3346"},{"id":17,"name":"Train ID","value":"303-24"},{"id":16,"name":"Locomotive ID","value":"4030"},{"id":130,"name":"Impact","value":""},{"id":150,"name":"Time of Event (Mountain Time)","value":"18:57:01"},{"id":151,"name":"Denver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151"/>
        <v>start /low /b %USERPROFILE%\Documents\GitHub\eaglep3\Utilities\DownloadLogsFromS3.py --loco 4030 --day 2017-04-24</v>
      </c>
      <c r="AN206" s="154" t="str">
        <f t="shared" si="152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00:57:01"},{"id":29,"name":"Sharepoint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590</v>
      </c>
      <c r="B207" s="7">
        <v>4011</v>
      </c>
      <c r="C207" s="21" t="s">
        <v>212</v>
      </c>
      <c r="D207" s="21" t="s">
        <v>859</v>
      </c>
      <c r="E207" s="13">
        <v>42849.137337962966</v>
      </c>
      <c r="F207" s="13">
        <v>42849.141655092593</v>
      </c>
      <c r="G207" s="7">
        <v>6</v>
      </c>
      <c r="H207" s="21" t="s">
        <v>810</v>
      </c>
      <c r="I207" s="13">
        <v>42849.147557870368</v>
      </c>
      <c r="J207" s="7">
        <v>0</v>
      </c>
      <c r="K207" s="92" t="str">
        <f t="shared" si="158"/>
        <v>4011/4012</v>
      </c>
      <c r="L207" s="21" t="str">
        <f>VLOOKUP(A207,'Trips&amp;Operators'!$C$1:$G$99999,5,FALSE)</f>
        <v>MAELZER KURT</v>
      </c>
      <c r="M207" s="6">
        <f t="shared" si="159"/>
        <v>5.9027777751907706E-3</v>
      </c>
      <c r="N207" s="7">
        <f t="shared" si="167"/>
        <v>8.4999999962747097</v>
      </c>
      <c r="O207" s="7"/>
      <c r="P207" s="7"/>
      <c r="Q207" s="22"/>
      <c r="R207" s="191"/>
      <c r="S207" s="197">
        <f t="shared" si="157"/>
        <v>1</v>
      </c>
      <c r="T207" s="191" t="str">
        <f t="shared" si="160"/>
        <v>Southbound</v>
      </c>
      <c r="U207" s="19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2" t="str">
        <f t="shared" si="169"/>
        <v>https://d0f6bd738d7f1b3e5a7ca70fe4ff75f0.us-east-1.aws.found.io/app/kibana#/discover/Steve-Slow-Train-Analysis-(2080s-and-2083s)?_g=(refreshInterval:(display:Off,pause:!f,section:0,value:0),time:(from:'2017-04-24T02:17:46-0600',mode:absolute,to:'2017-04-24T04:32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7" s="193" t="str">
        <f t="shared" si="161"/>
        <v>Y</v>
      </c>
      <c r="X207" s="193">
        <f t="shared" si="168"/>
        <v>1</v>
      </c>
      <c r="Y207" s="193">
        <f t="shared" si="165"/>
        <v>2.3323999999999998</v>
      </c>
      <c r="Z207" s="193">
        <f t="shared" si="166"/>
        <v>1.61E-2</v>
      </c>
      <c r="AA207" s="193">
        <f t="shared" si="162"/>
        <v>2.3163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163"/>
        <v>0304-24</v>
      </c>
      <c r="AE207" s="80" t="str">
        <f t="shared" si="170"/>
        <v>aws s3 cp s3://rtdc.mdm.uploadarchive.raw/RTDC4011/ "%USERPROFILE%\AppData\Local\Temp\OnboardLogs"\RTDC4011\2017-04-24 --exclude "*" --recursive --include "*20170424*" &amp; "%USERPROFILE%\Documents\GitHub\mrs-test-scripts\Headless Mode &amp; Sideloading\WalkAndUnGZ.bat" "%USERPROFILE%\AppData\Local\Temp\OnboardLogs"\RTDC4011\2017-04-24 &amp; aws s3 cp s3://rtdc.mdm.uploadarchive.raw/RTDC4011/ "%USERPROFILE%\AppData\Local\Temp\OnboardLogs"\RTDC4011\2017-04-25 --exclude "*" --recursive --include "*20170425*" &amp; "%USERPROFILE%\Documents\GitHub\mrs-test-scripts\Headless Mode &amp; Sideloading\WalkAndUnGZ.bat" "%USERPROFILE%\AppData\Local\Temp\OnboardLogs"\RTDC4011\2017-04-25</v>
      </c>
      <c r="AF207" s="77" t="str">
        <f t="shared" si="171"/>
        <v>"C:\Program Files (x86)\AstroGrep\AstroGrep.exe" /e /r /s /spath="%USERPROFILE%\AppData\Local\Temp\OnboardLogs" /stypes="app*4011*20170424*" /stext=" 09:.+((SYSTEM_STATE.+slice.+state.+changed )|(ment ac)|(multiple cpu faults)|(system.+state.+changed )|(\[timeout)|(PRM\|1\|D)|(kpr)|(kdp)|(train.+moving)|(\|lc)|(penalty))"</v>
      </c>
      <c r="AG207" s="1" t="str">
        <f t="shared" si="164"/>
        <v>Other</v>
      </c>
      <c r="AH207" s="81" t="str">
        <f t="shared" si="149"/>
        <v>"%USERPROFILE%\Documents\GitHub\eaglep3\Utilities\RefineRTDCRunTimes.py" --tripid 304-24 --locoid 4011 --swversion DE.1.0.9.0 --startMP 300:23324 --initTime 2017-04-24T03:17:46 --startdatetime 2017-04-24T03:23:59 --delay 6 --endMP 204:161 --enddatetime 2017-04-24T03:32:29 --enforcementcount 0 &gt;&gt;C:\Users\stu\Documents\GitHub\eaglep3-reporting\EC\2017-04-24-refined-times.txt</v>
      </c>
      <c r="AI207" s="99" t="str">
        <f t="shared" si="150"/>
        <v>echo {"issue":{"subject":"","project_id":79,"tracker_id":40,"status_id":1,"priority_id":2,"assigned_to_id":23,"start_date":"2017-04-24","description":"","custom_fields":[{"id":1,"name":"Subdivision","value":"Other"},{"id":4,"name":"Milepost","value":"0.0161"},{"id":17,"name":"Train ID","value":"304-24"},{"id":16,"name":"Locomotive ID","value":"4011"},{"id":130,"name":"Impact","value":""},{"id":150,"name":"Time of Event (Mountain Time)","value":"03:32:29"},{"id":151,"name":"Denver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151"/>
        <v>start /low /b %USERPROFILE%\Documents\GitHub\eaglep3\Utilities\DownloadLogsFromS3.py --loco 4011 --day 2017-04-24</v>
      </c>
      <c r="AN207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09:32:29"},{"id":29,"name":"Sharepoint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750</v>
      </c>
      <c r="B208" s="7">
        <v>4010</v>
      </c>
      <c r="C208" s="21" t="s">
        <v>212</v>
      </c>
      <c r="D208" s="21" t="s">
        <v>369</v>
      </c>
      <c r="E208" s="13">
        <v>42849.80164351852</v>
      </c>
      <c r="F208" s="13">
        <v>42849.803287037037</v>
      </c>
      <c r="G208" s="7">
        <v>2</v>
      </c>
      <c r="H208" s="21" t="s">
        <v>457</v>
      </c>
      <c r="I208" s="13">
        <v>42849.811435185184</v>
      </c>
      <c r="J208" s="7">
        <v>0</v>
      </c>
      <c r="K208" s="92" t="str">
        <f t="shared" si="158"/>
        <v>4009/4010</v>
      </c>
      <c r="L208" s="21" t="str">
        <f>VLOOKUP(A208,'Trips&amp;Operators'!$C$1:$G$99999,5,FALSE)</f>
        <v>NELSON ARIANE</v>
      </c>
      <c r="M208" s="6">
        <f t="shared" si="159"/>
        <v>8.1481481465743855E-3</v>
      </c>
      <c r="N208" s="7">
        <f t="shared" si="167"/>
        <v>11.733333331067115</v>
      </c>
      <c r="O208" s="7"/>
      <c r="P208" s="7"/>
      <c r="Q208" s="22"/>
      <c r="R208" s="191"/>
      <c r="S208" s="197">
        <f t="shared" si="157"/>
        <v>1</v>
      </c>
      <c r="T208" s="191" t="str">
        <f t="shared" si="160"/>
        <v>NorthBound</v>
      </c>
      <c r="U208" s="19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2" t="str">
        <f t="shared" si="169"/>
        <v>https://d0f6bd738d7f1b3e5a7ca70fe4ff75f0.us-east-1.aws.found.io/app/kibana#/discover/Steve-Slow-Train-Analysis-(2080s-and-2083s)?_g=(refreshInterval:(display:Off,pause:!f,section:0,value:0),time:(from:'2017-04-24T18:14:22-0600',mode:absolute,to:'2017-04-24T20:28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8" s="193" t="str">
        <f t="shared" si="161"/>
        <v>Y</v>
      </c>
      <c r="X208" s="193">
        <f t="shared" si="168"/>
        <v>1</v>
      </c>
      <c r="Y208" s="193">
        <f t="shared" si="165"/>
        <v>4.4900000000000002E-2</v>
      </c>
      <c r="Z208" s="193">
        <f t="shared" si="166"/>
        <v>2.3346</v>
      </c>
      <c r="AA208" s="193">
        <f t="shared" si="162"/>
        <v>2.2896999999999998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163"/>
        <v>0305-24</v>
      </c>
      <c r="AE208" s="80" t="str">
        <f t="shared" si="170"/>
        <v>aws s3 cp s3://rtdc.mdm.uploadarchive.raw/RTDC4010/ "%USERPROFILE%\AppData\Local\Temp\OnboardLogs"\RTDC4010\2017-04-24 --exclude "*" --recursive --include "*20170424*" &amp; "%USERPROFILE%\Documents\GitHub\mrs-test-scripts\Headless Mode &amp; Sideloading\WalkAndUnGZ.bat" "%USERPROFILE%\AppData\Local\Temp\OnboardLogs"\RTDC4010\2017-04-24 &amp; aws s3 cp s3://rtdc.mdm.uploadarchive.raw/RTDC4010/ "%USERPROFILE%\AppData\Local\Temp\OnboardLogs"\RTDC4010\2017-04-25 --exclude "*" --recursive --include "*20170425*" &amp; "%USERPROFILE%\Documents\GitHub\mrs-test-scripts\Headless Mode &amp; Sideloading\WalkAndUnGZ.bat" "%USERPROFILE%\AppData\Local\Temp\OnboardLogs"\RTDC4010\2017-04-25</v>
      </c>
      <c r="AF208" s="77" t="str">
        <f t="shared" si="171"/>
        <v>"C:\Program Files (x86)\AstroGrep\AstroGrep.exe" /e /r /s /spath="%USERPROFILE%\AppData\Local\Temp\OnboardLogs" /stypes="app*4010*20170425*" /stext=" 01:.+((SYSTEM_STATE.+slice.+state.+changed )|(ment ac)|(multiple cpu faults)|(system.+state.+changed )|(\[timeout)|(PRM\|1\|D)|(kpr)|(kdp)|(train.+moving)|(\|lc)|(penalty))"</v>
      </c>
      <c r="AG208" s="1" t="str">
        <f t="shared" si="164"/>
        <v>Other</v>
      </c>
      <c r="AH208" s="81" t="str">
        <f t="shared" si="149"/>
        <v>"%USERPROFILE%\Documents\GitHub\eaglep3\Utilities\RefineRTDCRunTimes.py" --tripid 305-24 --locoid 4010 --swversion DE.1.0.9.0 --startMP 204:449 --initTime 2017-04-24T19:14:22 --startdatetime 2017-04-24T19:16:44 --delay 2 --endMP 300:23346 --enddatetime 2017-04-24T19:28:28 --enforcementcount 0 &gt;&gt;C:\Users\stu\Documents\GitHub\eaglep3-reporting\EC\2017-04-24-refined-times.txt</v>
      </c>
      <c r="AI208" s="99" t="str">
        <f t="shared" si="150"/>
        <v>echo {"issue":{"subject":"","project_id":79,"tracker_id":40,"status_id":1,"priority_id":2,"assigned_to_id":23,"start_date":"2017-04-24","description":"","custom_fields":[{"id":1,"name":"Subdivision","value":"Other"},{"id":4,"name":"Milepost","value":"2.3346"},{"id":17,"name":"Train ID","value":"305-24"},{"id":16,"name":"Locomotive ID","value":"4010"},{"id":130,"name":"Impact","value":""},{"id":150,"name":"Time of Event (Mountain Time)","value":"19:28:28"},{"id":151,"name":"Denver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151"/>
        <v>start /low /b %USERPROFILE%\Documents\GitHub\eaglep3\Utilities\DownloadLogsFromS3.py --loco 4010 --day 2017-04-24</v>
      </c>
      <c r="AN208" s="154" t="str">
        <f t="shared" si="152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01:28:28"},{"id":29,"name":"Sharepoint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91" s="20" customFormat="1" x14ac:dyDescent="0.25">
      <c r="A209" s="32" t="s">
        <v>592</v>
      </c>
      <c r="B209" s="7">
        <v>4055</v>
      </c>
      <c r="C209" s="21" t="s">
        <v>212</v>
      </c>
      <c r="D209" s="21" t="s">
        <v>860</v>
      </c>
      <c r="E209" s="13">
        <v>42849.160428240742</v>
      </c>
      <c r="F209" s="13">
        <v>42849.164826388886</v>
      </c>
      <c r="G209" s="7">
        <v>6</v>
      </c>
      <c r="H209" s="21" t="s">
        <v>420</v>
      </c>
      <c r="I209" s="13">
        <v>42849.17046296296</v>
      </c>
      <c r="J209" s="7">
        <v>0</v>
      </c>
      <c r="K209" s="92" t="str">
        <f t="shared" si="158"/>
        <v>4055/4056</v>
      </c>
      <c r="L209" s="21" t="str">
        <f>VLOOKUP(A209,'Trips&amp;Operators'!$C$1:$G$99999,5,FALSE)</f>
        <v>STARKS ANGELINA</v>
      </c>
      <c r="M209" s="6">
        <f t="shared" si="159"/>
        <v>5.6365740747423843E-3</v>
      </c>
      <c r="N209" s="7">
        <f t="shared" si="167"/>
        <v>8.1166666676290333</v>
      </c>
      <c r="O209" s="7"/>
      <c r="P209" s="7"/>
      <c r="Q209" s="22"/>
      <c r="R209" s="191"/>
      <c r="S209" s="197">
        <f t="shared" ref="S209:S231" si="172">SUM(U209:U209)/IF(AG209="EC",12,1)</f>
        <v>1</v>
      </c>
      <c r="T209" s="191" t="str">
        <f t="shared" si="160"/>
        <v>Southbound</v>
      </c>
      <c r="U209" s="19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2" t="str">
        <f t="shared" si="169"/>
        <v>https://d0f6bd738d7f1b3e5a7ca70fe4ff75f0.us-east-1.aws.found.io/app/kibana#/discover/Steve-Slow-Train-Analysis-(2080s-and-2083s)?_g=(refreshInterval:(display:Off,pause:!f,section:0,value:0),time:(from:'2017-04-24T02:51:01-0600',mode:absolute,to:'2017-04-24T05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9" s="193" t="str">
        <f t="shared" si="161"/>
        <v>Y</v>
      </c>
      <c r="X209" s="193">
        <f t="shared" si="168"/>
        <v>1</v>
      </c>
      <c r="Y209" s="193">
        <f t="shared" si="165"/>
        <v>2.2618</v>
      </c>
      <c r="Z209" s="193">
        <f t="shared" si="166"/>
        <v>1.49E-2</v>
      </c>
      <c r="AA209" s="193">
        <f t="shared" si="162"/>
        <v>2.2469000000000001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163"/>
        <v>0306-24</v>
      </c>
      <c r="AE209" s="80" t="str">
        <f t="shared" si="170"/>
        <v>aws s3 cp s3://rtdc.mdm.uploadarchive.raw/RTDC4055/ "%USERPROFILE%\AppData\Local\Temp\OnboardLogs"\RTDC4055\2017-04-24 --exclude "*" --recursive --include "*20170424*" &amp; "%USERPROFILE%\Documents\GitHub\mrs-test-scripts\Headless Mode &amp; Sideloading\WalkAndUnGZ.bat" "%USERPROFILE%\AppData\Local\Temp\OnboardLogs"\RTDC4055\2017-04-24 &amp; aws s3 cp s3://rtdc.mdm.uploadarchive.raw/RTDC4055/ "%USERPROFILE%\AppData\Local\Temp\OnboardLogs"\RTDC4055\2017-04-25 --exclude "*" --recursive --include "*20170425*" &amp; "%USERPROFILE%\Documents\GitHub\mrs-test-scripts\Headless Mode &amp; Sideloading\WalkAndUnGZ.bat" "%USERPROFILE%\AppData\Local\Temp\OnboardLogs"\RTDC4055\2017-04-25</v>
      </c>
      <c r="AF209" s="77" t="str">
        <f t="shared" si="171"/>
        <v>"C:\Program Files (x86)\AstroGrep\AstroGrep.exe" /e /r /s /spath="%USERPROFILE%\AppData\Local\Temp\OnboardLogs" /stypes="app*4055*20170424*" /stext=" 10:.+((SYSTEM_STATE.+slice.+state.+changed )|(ment ac)|(multiple cpu faults)|(system.+state.+changed )|(\[timeout)|(PRM\|1\|D)|(kpr)|(kdp)|(train.+moving)|(\|lc)|(penalty))"</v>
      </c>
      <c r="AG209" s="1" t="str">
        <f t="shared" si="164"/>
        <v>Other</v>
      </c>
      <c r="AH209" s="81" t="str">
        <f t="shared" si="149"/>
        <v>"%USERPROFILE%\Documents\GitHub\eaglep3\Utilities\RefineRTDCRunTimes.py" --tripid 306-24 --locoid 4055 --swversion DE.1.0.9.0 --startMP 300:22618 --initTime 2017-04-24T03:51:01 --startdatetime 2017-04-24T03:57:21 --delay 6 --endMP 204:149 --enddatetime 2017-04-24T04:05:28 --enforcementcount 0 &gt;&gt;C:\Users\stu\Documents\GitHub\eaglep3-reporting\EC\2017-04-24-refined-times.txt</v>
      </c>
      <c r="AI209" s="99" t="str">
        <f t="shared" si="150"/>
        <v>echo {"issue":{"subject":"","project_id":79,"tracker_id":40,"status_id":1,"priority_id":2,"assigned_to_id":23,"start_date":"2017-04-24","description":"","custom_fields":[{"id":1,"name":"Subdivision","value":"Other"},{"id":4,"name":"Milepost","value":"0.0149"},{"id":17,"name":"Train ID","value":"306-24"},{"id":16,"name":"Locomotive ID","value":"4055"},{"id":130,"name":"Impact","value":""},{"id":150,"name":"Time of Event (Mountain Time)","value":"04:05:28"},{"id":151,"name":"Denver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9" s="47"/>
      <c r="AL209" s="47"/>
      <c r="AM209" s="145" t="str">
        <f t="shared" si="151"/>
        <v>start /low /b %USERPROFILE%\Documents\GitHub\eaglep3\Utilities\DownloadLogsFromS3.py --loco 4055 --day 2017-04-24</v>
      </c>
      <c r="AN209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10:05:28"},{"id":29,"name":"Sharepoint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2" t="s">
        <v>755</v>
      </c>
      <c r="B210" s="7">
        <v>4040</v>
      </c>
      <c r="C210" s="21" t="s">
        <v>212</v>
      </c>
      <c r="D210" s="21" t="s">
        <v>522</v>
      </c>
      <c r="E210" s="13">
        <v>42849.820104166669</v>
      </c>
      <c r="F210" s="13">
        <v>42849.82172453704</v>
      </c>
      <c r="G210" s="7">
        <v>1</v>
      </c>
      <c r="H210" s="21" t="s">
        <v>861</v>
      </c>
      <c r="I210" s="13">
        <v>42849.827407407407</v>
      </c>
      <c r="J210" s="7">
        <v>0</v>
      </c>
      <c r="K210" s="92" t="str">
        <f t="shared" si="158"/>
        <v>4039/4040</v>
      </c>
      <c r="L210" s="21" t="str">
        <f>VLOOKUP(A210,'Trips&amp;Operators'!$C$1:$G$99999,5,FALSE)</f>
        <v>BRANDNER MELINDA</v>
      </c>
      <c r="M210" s="6">
        <f t="shared" si="159"/>
        <v>5.6828703673090786E-3</v>
      </c>
      <c r="N210" s="7">
        <f t="shared" si="167"/>
        <v>8.1833333289250731</v>
      </c>
      <c r="O210" s="7"/>
      <c r="P210" s="7"/>
      <c r="Q210" s="22"/>
      <c r="R210" s="191"/>
      <c r="S210" s="197">
        <f t="shared" si="172"/>
        <v>1</v>
      </c>
      <c r="T210" s="191" t="str">
        <f t="shared" si="160"/>
        <v>NorthBound</v>
      </c>
      <c r="U210" s="19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2" t="str">
        <f t="shared" si="169"/>
        <v>https://d0f6bd738d7f1b3e5a7ca70fe4ff75f0.us-east-1.aws.found.io/app/kibana#/discover/Steve-Slow-Train-Analysis-(2080s-and-2083s)?_g=(refreshInterval:(display:Off,pause:!f,section:0,value:0),time:(from:'2017-04-24T18:40:57-0600',mode:absolute,to:'2017-04-24T20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0" s="193" t="str">
        <f t="shared" si="161"/>
        <v>Y</v>
      </c>
      <c r="X210" s="193">
        <f t="shared" si="168"/>
        <v>1</v>
      </c>
      <c r="Y210" s="193">
        <f t="shared" si="165"/>
        <v>4.3999999999999997E-2</v>
      </c>
      <c r="Z210" s="193">
        <f t="shared" si="166"/>
        <v>2.3001999999999998</v>
      </c>
      <c r="AA210" s="193">
        <f t="shared" si="162"/>
        <v>2.2561999999999998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163"/>
        <v>0307-24</v>
      </c>
      <c r="AE210" s="80" t="str">
        <f t="shared" si="170"/>
        <v>aws s3 cp s3://rtdc.mdm.uploadarchive.raw/RTDC4040/ "%USERPROFILE%\AppData\Local\Temp\OnboardLogs"\RTDC4040\2017-04-24 --exclude "*" --recursive --include "*20170424*" &amp; "%USERPROFILE%\Documents\GitHub\mrs-test-scripts\Headless Mode &amp; Sideloading\WalkAndUnGZ.bat" "%USERPROFILE%\AppData\Local\Temp\OnboardLogs"\RTDC4040\2017-04-24 &amp; aws s3 cp s3://rtdc.mdm.uploadarchive.raw/RTDC4040/ "%USERPROFILE%\AppData\Local\Temp\OnboardLogs"\RTDC4040\2017-04-25 --exclude "*" --recursive --include "*20170425*" &amp; "%USERPROFILE%\Documents\GitHub\mrs-test-scripts\Headless Mode &amp; Sideloading\WalkAndUnGZ.bat" "%USERPROFILE%\AppData\Local\Temp\OnboardLogs"\RTDC4040\2017-04-25</v>
      </c>
      <c r="AF210" s="77" t="str">
        <f t="shared" si="171"/>
        <v>"C:\Program Files (x86)\AstroGrep\AstroGrep.exe" /e /r /s /spath="%USERPROFILE%\AppData\Local\Temp\OnboardLogs" /stypes="app*4040*20170425*" /stext=" 01:.+((SYSTEM_STATE.+slice.+state.+changed )|(ment ac)|(multiple cpu faults)|(system.+state.+changed )|(\[timeout)|(PRM\|1\|D)|(kpr)|(kdp)|(train.+moving)|(\|lc)|(penalty))"</v>
      </c>
      <c r="AG210" s="1" t="str">
        <f t="shared" si="164"/>
        <v>Other</v>
      </c>
      <c r="AH210" s="81" t="str">
        <f t="shared" si="149"/>
        <v>"%USERPROFILE%\Documents\GitHub\eaglep3\Utilities\RefineRTDCRunTimes.py" --tripid 307-24 --locoid 4040 --swversion DE.1.0.9.0 --startMP 204:440 --initTime 2017-04-24T19:40:57 --startdatetime 2017-04-24T19:43:17 --delay 1 --endMP 300:23002 --enddatetime 2017-04-24T19:51:28 --enforcementcount 0 &gt;&gt;C:\Users\stu\Documents\GitHub\eaglep3-reporting\EC\2017-04-24-refined-times.txt</v>
      </c>
      <c r="AI210" s="99" t="str">
        <f t="shared" si="150"/>
        <v>echo {"issue":{"subject":"","project_id":79,"tracker_id":40,"status_id":1,"priority_id":2,"assigned_to_id":23,"start_date":"2017-04-24","description":"","custom_fields":[{"id":1,"name":"Subdivision","value":"Other"},{"id":4,"name":"Milepost","value":"2.3002"},{"id":17,"name":"Train ID","value":"307-24"},{"id":16,"name":"Locomotive ID","value":"4040"},{"id":130,"name":"Impact","value":""},{"id":150,"name":"Time of Event (Mountain Time)","value":"19:51:28"},{"id":151,"name":"Denver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151"/>
        <v>start /low /b %USERPROFILE%\Documents\GitHub\eaglep3\Utilities\DownloadLogsFromS3.py --loco 4040 --day 2017-04-24</v>
      </c>
      <c r="AN210" s="154" t="str">
        <f t="shared" si="152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01:51:28"},{"id":29,"name":"Sharepoint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91" x14ac:dyDescent="0.25">
      <c r="A211" s="32" t="s">
        <v>596</v>
      </c>
      <c r="B211" s="7">
        <v>4027</v>
      </c>
      <c r="C211" s="21" t="s">
        <v>212</v>
      </c>
      <c r="D211" s="21" t="s">
        <v>862</v>
      </c>
      <c r="E211" s="13">
        <v>42849.172523148147</v>
      </c>
      <c r="F211" s="13">
        <v>42849.174942129626</v>
      </c>
      <c r="G211" s="7">
        <v>3</v>
      </c>
      <c r="H211" s="21" t="s">
        <v>421</v>
      </c>
      <c r="I211" s="13">
        <v>42849.180671296293</v>
      </c>
      <c r="J211" s="7">
        <v>0</v>
      </c>
      <c r="K211" s="92" t="str">
        <f t="shared" ref="K211:K231" si="173">IF(ISEVEN(B211),(B211-1)&amp;"/"&amp;B211,B211&amp;"/"&amp;(B211+1))</f>
        <v>4027/4028</v>
      </c>
      <c r="L211" s="21" t="str">
        <f>VLOOKUP(A211,'Trips&amp;Operators'!$C$1:$G$99999,5,FALSE)</f>
        <v>BIRENBAUM THOMAS</v>
      </c>
      <c r="M211" s="6">
        <f t="shared" ref="M211:M231" si="174">I211-F211</f>
        <v>5.7291666671517305E-3</v>
      </c>
      <c r="N211" s="7">
        <f t="shared" si="167"/>
        <v>8.2500000006984919</v>
      </c>
      <c r="O211" s="7"/>
      <c r="P211" s="7"/>
      <c r="Q211" s="22"/>
      <c r="R211" s="191"/>
      <c r="S211" s="197">
        <f t="shared" si="172"/>
        <v>1</v>
      </c>
      <c r="T211" s="191" t="str">
        <f t="shared" ref="T211:T231" si="175">IF(ISEVEN(LEFT(AD211,4)),"Southbound","NorthBound")</f>
        <v>Southbound</v>
      </c>
      <c r="U211" s="19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2" t="str">
        <f t="shared" si="169"/>
        <v>https://d0f6bd738d7f1b3e5a7ca70fe4ff75f0.us-east-1.aws.found.io/app/kibana#/discover/Steve-Slow-Train-Analysis-(2080s-and-2083s)?_g=(refreshInterval:(display:Off,pause:!f,section:0,value:0),time:(from:'2017-04-24T03:08:26-0600',mode:absolute,to:'2017-04-24T05:20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1" s="193" t="str">
        <f t="shared" ref="W211:W231" si="176">IF(AA211&lt;IF(AG211="EC",23,5.65),"Y","N")</f>
        <v>Y</v>
      </c>
      <c r="X211" s="193">
        <f t="shared" si="168"/>
        <v>1</v>
      </c>
      <c r="Y211" s="193">
        <f t="shared" si="165"/>
        <v>2.3512</v>
      </c>
      <c r="Z211" s="193">
        <f t="shared" si="166"/>
        <v>1.43E-2</v>
      </c>
      <c r="AA211" s="193">
        <f t="shared" ref="AA211:AA242" si="177">ABS(Z211-Y211)</f>
        <v>2.3369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ref="AD211:AD231" si="178">IF(LEN(A211)=6,"0"&amp;A211,A211)</f>
        <v>0308-24</v>
      </c>
      <c r="AE211" s="80" t="str">
        <f t="shared" si="170"/>
        <v>aws s3 cp s3://rtdc.mdm.uploadarchive.raw/RTDC4027/ "%USERPROFILE%\AppData\Local\Temp\OnboardLogs"\RTDC4027\2017-04-24 --exclude "*" --recursive --include "*20170424*" &amp; "%USERPROFILE%\Documents\GitHub\mrs-test-scripts\Headless Mode &amp; Sideloading\WalkAndUnGZ.bat" "%USERPROFILE%\AppData\Local\Temp\OnboardLogs"\RTDC4027\2017-04-24 &amp; aws s3 cp s3://rtdc.mdm.uploadarchive.raw/RTDC4027/ "%USERPROFILE%\AppData\Local\Temp\OnboardLogs"\RTDC4027\2017-04-25 --exclude "*" --recursive --include "*20170425*" &amp; "%USERPROFILE%\Documents\GitHub\mrs-test-scripts\Headless Mode &amp; Sideloading\WalkAndUnGZ.bat" "%USERPROFILE%\AppData\Local\Temp\OnboardLogs"\RTDC4027\2017-04-25</v>
      </c>
      <c r="AF211" s="77" t="str">
        <f t="shared" si="171"/>
        <v>"C:\Program Files (x86)\AstroGrep\AstroGrep.exe" /e /r /s /spath="%USERPROFILE%\AppData\Local\Temp\OnboardLogs" /stypes="app*4027*20170424*" /stext=" 10:.+((SYSTEM_STATE.+slice.+state.+changed )|(ment ac)|(multiple cpu faults)|(system.+state.+changed )|(\[timeout)|(PRM\|1\|D)|(kpr)|(kdp)|(train.+moving)|(\|lc)|(penalty))"</v>
      </c>
      <c r="AG211" s="1" t="str">
        <f t="shared" ref="AG211:AG231" si="179">IFERROR(IF(VALUE(LEFT(AD211,2))&lt;=2,"EC",IF(OR(VALUE(LEFT(AD211,2))=8,VALUE(LEFT(AD211,2))=18),"NW","Other")),"Other")</f>
        <v>Other</v>
      </c>
      <c r="AH211" s="81" t="str">
        <f t="shared" si="149"/>
        <v>"%USERPROFILE%\Documents\GitHub\eaglep3\Utilities\RefineRTDCRunTimes.py" --tripid 308-24 --locoid 4027 --swversion DE.1.0.9.0 --startMP 300:23512 --initTime 2017-04-24T04:08:26 --startdatetime 2017-04-24T04:11:55 --delay 3 --endMP 204:143 --enddatetime 2017-04-24T04:20:10 --enforcementcount 0 &gt;&gt;C:\Users\stu\Documents\GitHub\eaglep3-reporting\EC\2017-04-24-refined-times.txt</v>
      </c>
      <c r="AI211" s="99" t="str">
        <f t="shared" si="150"/>
        <v>echo {"issue":{"subject":"","project_id":79,"tracker_id":40,"status_id":1,"priority_id":2,"assigned_to_id":23,"start_date":"2017-04-24","description":"","custom_fields":[{"id":1,"name":"Subdivision","value":"Other"},{"id":4,"name":"Milepost","value":"0.0143"},{"id":17,"name":"Train ID","value":"308-24"},{"id":16,"name":"Locomotive ID","value":"4027"},{"id":130,"name":"Impact","value":""},{"id":150,"name":"Time of Event (Mountain Time)","value":"04:20:10"},{"id":151,"name":"Denver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151"/>
        <v>start /low /b %USERPROFILE%\Documents\GitHub\eaglep3\Utilities\DownloadLogsFromS3.py --loco 4027 --day 2017-04-24</v>
      </c>
      <c r="AN211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10:20:10"},{"id":29,"name":"Sharepoint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91" x14ac:dyDescent="0.25">
      <c r="A212" s="32" t="s">
        <v>781</v>
      </c>
      <c r="B212" s="7">
        <v>4026</v>
      </c>
      <c r="C212" s="21" t="s">
        <v>212</v>
      </c>
      <c r="D212" s="21" t="s">
        <v>208</v>
      </c>
      <c r="E212" s="13">
        <v>42850.049189814818</v>
      </c>
      <c r="F212" s="13">
        <v>42850.050763888888</v>
      </c>
      <c r="G212" s="7">
        <v>1</v>
      </c>
      <c r="H212" s="21" t="s">
        <v>486</v>
      </c>
      <c r="I212" s="13">
        <v>42850.055810185186</v>
      </c>
      <c r="J212" s="7">
        <v>0</v>
      </c>
      <c r="K212" s="92" t="str">
        <f t="shared" si="173"/>
        <v>4025/4026</v>
      </c>
      <c r="L212" s="21" t="str">
        <f>VLOOKUP(A212,'Trips&amp;Operators'!$C$1:$G$99999,5,FALSE)</f>
        <v>SMITH MICHAEL</v>
      </c>
      <c r="M212" s="6">
        <f t="shared" si="174"/>
        <v>5.0462962972233072E-3</v>
      </c>
      <c r="N212" s="7">
        <f t="shared" si="167"/>
        <v>7.2666666680015624</v>
      </c>
      <c r="O212" s="7"/>
      <c r="P212" s="7"/>
      <c r="Q212" s="22"/>
      <c r="R212" s="191"/>
      <c r="S212" s="197">
        <f t="shared" si="172"/>
        <v>1</v>
      </c>
      <c r="T212" s="191" t="str">
        <f t="shared" si="175"/>
        <v>NorthBound</v>
      </c>
      <c r="U212" s="19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2" t="str">
        <f t="shared" si="169"/>
        <v>https://d0f6bd738d7f1b3e5a7ca70fe4ff75f0.us-east-1.aws.found.io/app/kibana#/discover/Steve-Slow-Train-Analysis-(2080s-and-2083s)?_g=(refreshInterval:(display:Off,pause:!f,section:0,value:0),time:(from:'2017-04-25T00:10:50-0600',mode:absolute,to:'2017-04-25T02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2" s="193" t="str">
        <f t="shared" si="176"/>
        <v>Y</v>
      </c>
      <c r="X212" s="193">
        <f t="shared" si="168"/>
        <v>1</v>
      </c>
      <c r="Y212" s="193">
        <f t="shared" si="165"/>
        <v>4.5499999999999999E-2</v>
      </c>
      <c r="Z212" s="193">
        <f t="shared" si="166"/>
        <v>2.3306</v>
      </c>
      <c r="AA212" s="193">
        <f t="shared" si="177"/>
        <v>2.2850999999999999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178"/>
        <v>0309-24</v>
      </c>
      <c r="AE212" s="80" t="str">
        <f t="shared" si="170"/>
        <v>aws s3 cp s3://rtdc.mdm.uploadarchive.raw/RTDC4026/ "%USERPROFILE%\AppData\Local\Temp\OnboardLogs"\RTDC4026\2017-04-25 --exclude "*" --recursive --include "*20170425*" &amp; "%USERPROFILE%\Documents\GitHub\mrs-test-scripts\Headless Mode &amp; Sideloading\WalkAndUnGZ.bat" "%USERPROFILE%\AppData\Local\Temp\OnboardLogs"\RTDC4026\2017-04-25 &amp; aws s3 cp s3://rtdc.mdm.uploadarchive.raw/RTDC4026/ "%USERPROFILE%\AppData\Local\Temp\OnboardLogs"\RTDC4026\2017-04-26 --exclude "*" --recursive --include "*20170426*" &amp; "%USERPROFILE%\Documents\GitHub\mrs-test-scripts\Headless Mode &amp; Sideloading\WalkAndUnGZ.bat" "%USERPROFILE%\AppData\Local\Temp\OnboardLogs"\RTDC4026\2017-04-26</v>
      </c>
      <c r="AF212" s="77" t="str">
        <f t="shared" si="171"/>
        <v>"C:\Program Files (x86)\AstroGrep\AstroGrep.exe" /e /r /s /spath="%USERPROFILE%\AppData\Local\Temp\OnboardLogs" /stypes="app*4026*20170425*" /stext=" 07:.+((SYSTEM_STATE.+slice.+state.+changed )|(ment ac)|(multiple cpu faults)|(system.+state.+changed )|(\[timeout)|(PRM\|1\|D)|(kpr)|(kdp)|(train.+moving)|(\|lc)|(penalty))"</v>
      </c>
      <c r="AG212" s="1" t="str">
        <f t="shared" si="179"/>
        <v>Other</v>
      </c>
      <c r="AH212" s="81" t="str">
        <f t="shared" si="149"/>
        <v>"%USERPROFILE%\Documents\GitHub\eaglep3\Utilities\RefineRTDCRunTimes.py" --tripid 309-24 --locoid 4026 --swversion DE.1.0.9.0 --startMP 204:455 --initTime 2017-04-25T01:10:50 --startdatetime 2017-04-25T01:13:06 --delay 1 --endMP 300:23306 --enddatetime 2017-04-25T01:20:22 --enforcementcount 0 &gt;&gt;C:\Users\stu\Documents\GitHub\eaglep3-reporting\EC\2017-04-24-refined-times.txt</v>
      </c>
      <c r="AI212" s="99" t="str">
        <f t="shared" si="150"/>
        <v>echo {"issue":{"subject":"","project_id":79,"tracker_id":40,"status_id":1,"priority_id":2,"assigned_to_id":23,"start_date":"2017-04-25","description":"","custom_fields":[{"id":1,"name":"Subdivision","value":"Other"},{"id":4,"name":"Milepost","value":"2.3306"},{"id":17,"name":"Train ID","value":"309-24"},{"id":16,"name":"Locomotive ID","value":"4026"},{"id":130,"name":"Impact","value":""},{"id":150,"name":"Time of Event (Mountain Time)","value":"01:20:22"},{"id":151,"name":"Denver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151"/>
        <v>start /low /b %USERPROFILE%\Documents\GitHub\eaglep3\Utilities\DownloadLogsFromS3.py --loco 4026 --day 2017-04-25</v>
      </c>
      <c r="AN212" s="154" t="str">
        <f t="shared" si="152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07:20:22"},{"id":29,"name":"Sharepoint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91" x14ac:dyDescent="0.25">
      <c r="A213" s="32" t="s">
        <v>599</v>
      </c>
      <c r="B213" s="7">
        <v>4029</v>
      </c>
      <c r="C213" s="21" t="s">
        <v>212</v>
      </c>
      <c r="D213" s="21" t="s">
        <v>863</v>
      </c>
      <c r="E213" s="13">
        <v>42849.175833333335</v>
      </c>
      <c r="F213" s="13">
        <v>42849.180532407408</v>
      </c>
      <c r="G213" s="7">
        <v>6</v>
      </c>
      <c r="H213" s="21" t="s">
        <v>203</v>
      </c>
      <c r="I213" s="13">
        <v>42849.186388888891</v>
      </c>
      <c r="J213" s="7">
        <v>0</v>
      </c>
      <c r="K213" s="92" t="str">
        <f t="shared" si="173"/>
        <v>4029/4030</v>
      </c>
      <c r="L213" s="21" t="str">
        <f>VLOOKUP(A213,'Trips&amp;Operators'!$C$1:$G$99999,5,FALSE)</f>
        <v>SHOOK JOHN</v>
      </c>
      <c r="M213" s="6">
        <f t="shared" si="174"/>
        <v>5.8564814826240763E-3</v>
      </c>
      <c r="N213" s="7">
        <f t="shared" si="167"/>
        <v>8.4333333349786699</v>
      </c>
      <c r="O213" s="7"/>
      <c r="P213" s="7"/>
      <c r="Q213" s="22"/>
      <c r="R213" s="191"/>
      <c r="S213" s="197">
        <f t="shared" si="172"/>
        <v>1</v>
      </c>
      <c r="T213" s="191" t="str">
        <f t="shared" si="175"/>
        <v>Southbound</v>
      </c>
      <c r="U213" s="19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2" t="str">
        <f t="shared" si="169"/>
        <v>https://d0f6bd738d7f1b3e5a7ca70fe4ff75f0.us-east-1.aws.found.io/app/kibana#/discover/Steve-Slow-Train-Analysis-(2080s-and-2083s)?_g=(refreshInterval:(display:Off,pause:!f,section:0,value:0),time:(from:'2017-04-24T03:13:12-0600',mode:absolute,to:'2017-04-24T05:28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3" s="193" t="str">
        <f t="shared" si="176"/>
        <v>Y</v>
      </c>
      <c r="X213" s="193">
        <f t="shared" si="168"/>
        <v>1</v>
      </c>
      <c r="Y213" s="193">
        <f t="shared" si="165"/>
        <v>2.2778999999999998</v>
      </c>
      <c r="Z213" s="193">
        <f t="shared" si="166"/>
        <v>1.54E-2</v>
      </c>
      <c r="AA213" s="193">
        <f t="shared" si="177"/>
        <v>2.2624999999999997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178"/>
        <v>0310-24</v>
      </c>
      <c r="AE213" s="80" t="str">
        <f t="shared" si="170"/>
        <v>aws s3 cp s3://rtdc.mdm.uploadarchive.raw/RTDC4029/ "%USERPROFILE%\AppData\Local\Temp\OnboardLogs"\RTDC4029\2017-04-24 --exclude "*" --recursive --include "*20170424*" &amp; "%USERPROFILE%\Documents\GitHub\mrs-test-scripts\Headless Mode &amp; Sideloading\WalkAndUnGZ.bat" "%USERPROFILE%\AppData\Local\Temp\OnboardLogs"\RTDC4029\2017-04-24 &amp; aws s3 cp s3://rtdc.mdm.uploadarchive.raw/RTDC4029/ "%USERPROFILE%\AppData\Local\Temp\OnboardLogs"\RTDC4029\2017-04-25 --exclude "*" --recursive --include "*20170425*" &amp; "%USERPROFILE%\Documents\GitHub\mrs-test-scripts\Headless Mode &amp; Sideloading\WalkAndUnGZ.bat" "%USERPROFILE%\AppData\Local\Temp\OnboardLogs"\RTDC4029\2017-04-25</v>
      </c>
      <c r="AF213" s="77" t="str">
        <f t="shared" si="171"/>
        <v>"C:\Program Files (x86)\AstroGrep\AstroGrep.exe" /e /r /s /spath="%USERPROFILE%\AppData\Local\Temp\OnboardLogs" /stypes="app*4029*20170424*" /stext=" 10:.+((SYSTEM_STATE.+slice.+state.+changed )|(ment ac)|(multiple cpu faults)|(system.+state.+changed )|(\[timeout)|(PRM\|1\|D)|(kpr)|(kdp)|(train.+moving)|(\|lc)|(penalty))"</v>
      </c>
      <c r="AG213" s="1" t="str">
        <f t="shared" si="179"/>
        <v>Other</v>
      </c>
      <c r="AH213" s="81" t="str">
        <f t="shared" si="149"/>
        <v>"%USERPROFILE%\Documents\GitHub\eaglep3\Utilities\RefineRTDCRunTimes.py" --tripid 310-24 --locoid 4029 --swversion DE.1.0.9.0 --startMP 300:22779 --initTime 2017-04-24T04:13:12 --startdatetime 2017-04-24T04:19:58 --delay 6 --endMP 204:154 --enddatetime 2017-04-24T04:28:24 --enforcementcount 0 &gt;&gt;C:\Users\stu\Documents\GitHub\eaglep3-reporting\EC\2017-04-24-refined-times.txt</v>
      </c>
      <c r="AI213" s="99" t="str">
        <f t="shared" si="150"/>
        <v>echo {"issue":{"subject":"","project_id":79,"tracker_id":40,"status_id":1,"priority_id":2,"assigned_to_id":23,"start_date":"2017-04-24","description":"","custom_fields":[{"id":1,"name":"Subdivision","value":"Other"},{"id":4,"name":"Milepost","value":"0.0154"},{"id":17,"name":"Train ID","value":"310-24"},{"id":16,"name":"Locomotive ID","value":"4029"},{"id":130,"name":"Impact","value":""},{"id":150,"name":"Time of Event (Mountain Time)","value":"04:28:24"},{"id":151,"name":"Denver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151"/>
        <v>start /low /b %USERPROFILE%\Documents\GitHub\eaglep3\Utilities\DownloadLogsFromS3.py --loco 4029 --day 2017-04-24</v>
      </c>
      <c r="AN213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10:28:24"},{"id":29,"name":"Sharepoint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91" x14ac:dyDescent="0.25">
      <c r="A214" s="32" t="s">
        <v>783</v>
      </c>
      <c r="B214" s="7">
        <v>4012</v>
      </c>
      <c r="C214" s="21" t="s">
        <v>212</v>
      </c>
      <c r="D214" s="21" t="s">
        <v>453</v>
      </c>
      <c r="E214" s="13">
        <v>42850.070520833331</v>
      </c>
      <c r="F214" s="13">
        <v>42850.07236111111</v>
      </c>
      <c r="G214" s="7">
        <v>1</v>
      </c>
      <c r="H214" s="21" t="s">
        <v>457</v>
      </c>
      <c r="I214" s="13">
        <v>42850.083472222221</v>
      </c>
      <c r="J214" s="7">
        <v>0</v>
      </c>
      <c r="K214" s="92" t="str">
        <f t="shared" si="173"/>
        <v>4011/4012</v>
      </c>
      <c r="L214" s="21" t="str">
        <f>VLOOKUP(A214,'Trips&amp;Operators'!$C$1:$G$99999,5,FALSE)</f>
        <v>STAMBAUGH JAMES</v>
      </c>
      <c r="M214" s="6">
        <f t="shared" si="174"/>
        <v>1.1111111110949423E-2</v>
      </c>
      <c r="N214" s="7">
        <f t="shared" si="167"/>
        <v>15.999999999767169</v>
      </c>
      <c r="O214" s="7"/>
      <c r="P214" s="7"/>
      <c r="Q214" s="22"/>
      <c r="R214" s="191"/>
      <c r="S214" s="197">
        <f t="shared" si="172"/>
        <v>1</v>
      </c>
      <c r="T214" s="191" t="str">
        <f t="shared" si="175"/>
        <v>NorthBound</v>
      </c>
      <c r="U214" s="19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2" t="str">
        <f t="shared" si="169"/>
        <v>https://d0f6bd738d7f1b3e5a7ca70fe4ff75f0.us-east-1.aws.found.io/app/kibana#/discover/Steve-Slow-Train-Analysis-(2080s-and-2083s)?_g=(refreshInterval:(display:Off,pause:!f,section:0,value:0),time:(from:'2017-04-25T00:41:33-0600',mode:absolute,to:'2017-04-25T03:00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4" s="193" t="str">
        <f t="shared" si="176"/>
        <v>Y</v>
      </c>
      <c r="X214" s="193">
        <f t="shared" si="168"/>
        <v>1</v>
      </c>
      <c r="Y214" s="193">
        <f t="shared" si="165"/>
        <v>4.5100000000000001E-2</v>
      </c>
      <c r="Z214" s="193">
        <f t="shared" si="166"/>
        <v>2.3346</v>
      </c>
      <c r="AA214" s="193">
        <f t="shared" si="177"/>
        <v>2.2894999999999999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178"/>
        <v>0311-24</v>
      </c>
      <c r="AE214" s="80" t="str">
        <f t="shared" si="170"/>
        <v>aws s3 cp s3://rtdc.mdm.uploadarchive.raw/RTDC4012/ "%USERPROFILE%\AppData\Local\Temp\OnboardLogs"\RTDC4012\2017-04-25 --exclude "*" --recursive --include "*20170425*" &amp; "%USERPROFILE%\Documents\GitHub\mrs-test-scripts\Headless Mode &amp; Sideloading\WalkAndUnGZ.bat" "%USERPROFILE%\AppData\Local\Temp\OnboardLogs"\RTDC4012\2017-04-25 &amp; aws s3 cp s3://rtdc.mdm.uploadarchive.raw/RTDC4012/ "%USERPROFILE%\AppData\Local\Temp\OnboardLogs"\RTDC4012\2017-04-26 --exclude "*" --recursive --include "*20170426*" &amp; "%USERPROFILE%\Documents\GitHub\mrs-test-scripts\Headless Mode &amp; Sideloading\WalkAndUnGZ.bat" "%USERPROFILE%\AppData\Local\Temp\OnboardLogs"\RTDC4012\2017-04-26</v>
      </c>
      <c r="AF214" s="77" t="str">
        <f t="shared" si="171"/>
        <v>"C:\Program Files (x86)\AstroGrep\AstroGrep.exe" /e /r /s /spath="%USERPROFILE%\AppData\Local\Temp\OnboardLogs" /stypes="app*4012*20170425*" /stext=" 08:.+((SYSTEM_STATE.+slice.+state.+changed )|(ment ac)|(multiple cpu faults)|(system.+state.+changed )|(\[timeout)|(PRM\|1\|D)|(kpr)|(kdp)|(train.+moving)|(\|lc)|(penalty))"</v>
      </c>
      <c r="AG214" s="1" t="str">
        <f t="shared" si="179"/>
        <v>Other</v>
      </c>
      <c r="AH214" s="81" t="str">
        <f t="shared" si="149"/>
        <v>"%USERPROFILE%\Documents\GitHub\eaglep3\Utilities\RefineRTDCRunTimes.py" --tripid 311-24 --locoid 4012 --swversion DE.1.0.9.0 --startMP 204:451 --initTime 2017-04-25T01:41:33 --startdatetime 2017-04-25T01:44:12 --delay 1 --endMP 300:23346 --enddatetime 2017-04-25T02:00:12 --enforcementcount 0 &gt;&gt;C:\Users\stu\Documents\GitHub\eaglep3-reporting\EC\2017-04-24-refined-times.txt</v>
      </c>
      <c r="AI214" s="99" t="str">
        <f t="shared" si="150"/>
        <v>echo {"issue":{"subject":"","project_id":79,"tracker_id":40,"status_id":1,"priority_id":2,"assigned_to_id":23,"start_date":"2017-04-25","description":"","custom_fields":[{"id":1,"name":"Subdivision","value":"Other"},{"id":4,"name":"Milepost","value":"2.3346"},{"id":17,"name":"Train ID","value":"311-24"},{"id":16,"name":"Locomotive ID","value":"4012"},{"id":130,"name":"Impact","value":""},{"id":150,"name":"Time of Event (Mountain Time)","value":"02:00:12"},{"id":151,"name":"Denver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151"/>
        <v>start /low /b %USERPROFILE%\Documents\GitHub\eaglep3\Utilities\DownloadLogsFromS3.py --loco 4012 --day 2017-04-25</v>
      </c>
      <c r="AN214" s="154" t="str">
        <f t="shared" si="152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08:00:12"},{"id":29,"name":"Sharepoint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91" x14ac:dyDescent="0.25">
      <c r="A215" s="32" t="s">
        <v>511</v>
      </c>
      <c r="B215" s="7">
        <v>4022</v>
      </c>
      <c r="C215" s="21" t="s">
        <v>212</v>
      </c>
      <c r="D215" s="21" t="s">
        <v>422</v>
      </c>
      <c r="E215" s="13">
        <v>42849.089444444442</v>
      </c>
      <c r="F215" s="13">
        <v>42849.091145833336</v>
      </c>
      <c r="G215" s="7">
        <v>1</v>
      </c>
      <c r="H215" s="21" t="s">
        <v>541</v>
      </c>
      <c r="I215" s="13">
        <v>42849.100590277776</v>
      </c>
      <c r="J215" s="7">
        <v>0</v>
      </c>
      <c r="K215" s="92" t="str">
        <f t="shared" si="173"/>
        <v>4021/4022</v>
      </c>
      <c r="L215" s="21" t="str">
        <f>VLOOKUP(A215,'Trips&amp;Operators'!$C$1:$G$99999,5,FALSE)</f>
        <v>YANG JAN</v>
      </c>
      <c r="M215" s="6">
        <f t="shared" si="174"/>
        <v>9.444444440305233E-3</v>
      </c>
      <c r="N215" s="7">
        <f t="shared" si="167"/>
        <v>13.599999994039536</v>
      </c>
      <c r="O215" s="7"/>
      <c r="P215" s="7"/>
      <c r="Q215" s="22"/>
      <c r="R215" s="191"/>
      <c r="S215" s="197">
        <f t="shared" si="172"/>
        <v>1</v>
      </c>
      <c r="T215" s="191" t="str">
        <f t="shared" si="175"/>
        <v>NorthBound</v>
      </c>
      <c r="U215" s="19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2" t="str">
        <f t="shared" si="169"/>
        <v>https://d0f6bd738d7f1b3e5a7ca70fe4ff75f0.us-east-1.aws.found.io/app/kibana#/discover/Steve-Slow-Train-Analysis-(2080s-and-2083s)?_g=(refreshInterval:(display:Off,pause:!f,section:0,value:0),time:(from:'2017-04-24T01:08:48-0600',mode:absolute,to:'2017-04-24T03:24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5" s="193" t="str">
        <f t="shared" si="176"/>
        <v>Y</v>
      </c>
      <c r="X215" s="193">
        <f t="shared" si="168"/>
        <v>2</v>
      </c>
      <c r="Y215" s="193">
        <f t="shared" si="165"/>
        <v>4.7500000000000001E-2</v>
      </c>
      <c r="Z215" s="193">
        <f t="shared" si="166"/>
        <v>2.3296999999999999</v>
      </c>
      <c r="AA215" s="193">
        <f t="shared" si="177"/>
        <v>2.2822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178"/>
        <v>0313-23</v>
      </c>
      <c r="AE215" s="80" t="str">
        <f t="shared" si="170"/>
        <v>aws s3 cp s3://rtdc.mdm.uploadarchive.raw/RTDC4022/ "%USERPROFILE%\AppData\Local\Temp\OnboardLogs"\RTDC4022\2017-04-24 --exclude "*" --recursive --include "*20170424*" &amp; "%USERPROFILE%\Documents\GitHub\mrs-test-scripts\Headless Mode &amp; Sideloading\WalkAndUnGZ.bat" "%USERPROFILE%\AppData\Local\Temp\OnboardLogs"\RTDC4022\2017-04-24 &amp; aws s3 cp s3://rtdc.mdm.uploadarchive.raw/RTDC4022/ "%USERPROFILE%\AppData\Local\Temp\OnboardLogs"\RTDC4022\2017-04-25 --exclude "*" --recursive --include "*20170425*" &amp; "%USERPROFILE%\Documents\GitHub\mrs-test-scripts\Headless Mode &amp; Sideloading\WalkAndUnGZ.bat" "%USERPROFILE%\AppData\Local\Temp\OnboardLogs"\RTDC4022\2017-04-25</v>
      </c>
      <c r="AF215" s="77" t="str">
        <f t="shared" si="171"/>
        <v>"C:\Program Files (x86)\AstroGrep\AstroGrep.exe" /e /r /s /spath="%USERPROFILE%\AppData\Local\Temp\OnboardLogs" /stypes="app*4022*20170424*" /stext=" 08:.+((SYSTEM_STATE.+slice.+state.+changed )|(ment ac)|(multiple cpu faults)|(system.+state.+changed )|(\[timeout)|(PRM\|1\|D)|(kpr)|(kdp)|(train.+moving)|(\|lc)|(penalty))"</v>
      </c>
      <c r="AG215" s="1" t="str">
        <f t="shared" si="179"/>
        <v>Other</v>
      </c>
      <c r="AH215" s="81" t="str">
        <f t="shared" si="149"/>
        <v>"%USERPROFILE%\Documents\GitHub\eaglep3\Utilities\RefineRTDCRunTimes.py" --tripid 313-23 --locoid 4022 --swversion DE.1.0.9.0 --startMP 204:475 --initTime 2017-04-24T02:08:48 --startdatetime 2017-04-24T02:11:15 --delay 1 --endMP 300:23297 --enddatetime 2017-04-24T02:24:51 --enforcementcount 0 &gt;&gt;C:\Users\stu\Documents\GitHub\eaglep3-reporting\EC\2017-04-24-refined-times.txt</v>
      </c>
      <c r="AI215" s="99" t="str">
        <f t="shared" si="150"/>
        <v>echo {"issue":{"subject":"","project_id":79,"tracker_id":40,"status_id":1,"priority_id":2,"assigned_to_id":23,"start_date":"2017-04-24","description":"","custom_fields":[{"id":1,"name":"Subdivision","value":"Other"},{"id":4,"name":"Milepost","value":"2.3297"},{"id":17,"name":"Train ID","value":"313-23"},{"id":16,"name":"Locomotive ID","value":"4022"},{"id":130,"name":"Impact","value":""},{"id":150,"name":"Time of Event (Mountain Time)","value":"02:24:51"},{"id":151,"name":"Denver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151"/>
        <v>start /low /b %USERPROFILE%\Documents\GitHub\eaglep3\Utilities\DownloadLogsFromS3.py --loco 4022 --day 2017-04-24</v>
      </c>
      <c r="AN215" s="154" t="str">
        <f t="shared" si="152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08:24:51"},{"id":29,"name":"Sharepoint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91" s="20" customFormat="1" x14ac:dyDescent="0.25">
      <c r="A216" s="32" t="s">
        <v>784</v>
      </c>
      <c r="B216" s="7">
        <v>4028</v>
      </c>
      <c r="C216" s="21" t="s">
        <v>212</v>
      </c>
      <c r="D216" s="21" t="s">
        <v>524</v>
      </c>
      <c r="E216" s="13">
        <v>42850.090173611112</v>
      </c>
      <c r="F216" s="13">
        <v>42850.091377314813</v>
      </c>
      <c r="G216" s="7">
        <v>1</v>
      </c>
      <c r="H216" s="21" t="s">
        <v>864</v>
      </c>
      <c r="I216" s="13">
        <v>42850.099722222221</v>
      </c>
      <c r="J216" s="7">
        <v>0</v>
      </c>
      <c r="K216" s="92" t="str">
        <f t="shared" si="173"/>
        <v>4027/4028</v>
      </c>
      <c r="L216" s="21" t="str">
        <f>VLOOKUP(A216,'Trips&amp;Operators'!$C$1:$G$99999,5,FALSE)</f>
        <v>STORY SAMANTHA</v>
      </c>
      <c r="M216" s="6">
        <f t="shared" si="174"/>
        <v>8.3449074081727304E-3</v>
      </c>
      <c r="N216" s="7">
        <f t="shared" si="167"/>
        <v>12.016666667768732</v>
      </c>
      <c r="O216" s="7"/>
      <c r="P216" s="7"/>
      <c r="Q216" s="22"/>
      <c r="R216" s="191"/>
      <c r="S216" s="197">
        <f t="shared" si="172"/>
        <v>1</v>
      </c>
      <c r="T216" s="191" t="str">
        <f t="shared" si="175"/>
        <v>NorthBound</v>
      </c>
      <c r="U216" s="19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2" t="str">
        <f t="shared" si="169"/>
        <v>https://d0f6bd738d7f1b3e5a7ca70fe4ff75f0.us-east-1.aws.found.io/app/kibana#/discover/Steve-Slow-Train-Analysis-(2080s-and-2083s)?_g=(refreshInterval:(display:Off,pause:!f,section:0,value:0),time:(from:'2017-04-25T01:09:51-0600',mode:absolute,to:'2017-04-25T03:23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6" s="193" t="str">
        <f t="shared" si="176"/>
        <v>Y</v>
      </c>
      <c r="X216" s="193">
        <f t="shared" si="168"/>
        <v>0</v>
      </c>
      <c r="Y216" s="193">
        <f t="shared" si="165"/>
        <v>4.7100000000000003E-2</v>
      </c>
      <c r="Z216" s="193">
        <f t="shared" si="166"/>
        <v>2.3302</v>
      </c>
      <c r="AA216" s="193">
        <f t="shared" si="177"/>
        <v>2.2831000000000001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178"/>
        <v>0313-24</v>
      </c>
      <c r="AE216" s="80" t="str">
        <f t="shared" si="170"/>
        <v>aws s3 cp s3://rtdc.mdm.uploadarchive.raw/RTDC4028/ "%USERPROFILE%\AppData\Local\Temp\OnboardLogs"\RTDC4028\2017-04-25 --exclude "*" --recursive --include "*20170425*" &amp; "%USERPROFILE%\Documents\GitHub\mrs-test-scripts\Headless Mode &amp; Sideloading\WalkAndUnGZ.bat" "%USERPROFILE%\AppData\Local\Temp\OnboardLogs"\RTDC4028\2017-04-25 &amp; aws s3 cp s3://rtdc.mdm.uploadarchive.raw/RTDC4028/ "%USERPROFILE%\AppData\Local\Temp\OnboardLogs"\RTDC4028\2017-04-26 --exclude "*" --recursive --include "*20170426*" &amp; "%USERPROFILE%\Documents\GitHub\mrs-test-scripts\Headless Mode &amp; Sideloading\WalkAndUnGZ.bat" "%USERPROFILE%\AppData\Local\Temp\OnboardLogs"\RTDC4028\2017-04-26</v>
      </c>
      <c r="AF216" s="77" t="str">
        <f t="shared" si="171"/>
        <v>"C:\Program Files (x86)\AstroGrep\AstroGrep.exe" /e /r /s /spath="%USERPROFILE%\AppData\Local\Temp\OnboardLogs" /stypes="app*4028*20170425*" /stext=" 08:.+((SYSTEM_STATE.+slice.+state.+changed )|(ment ac)|(multiple cpu faults)|(system.+state.+changed )|(\[timeout)|(PRM\|1\|D)|(kpr)|(kdp)|(train.+moving)|(\|lc)|(penalty))"</v>
      </c>
      <c r="AG216" s="1" t="str">
        <f t="shared" si="179"/>
        <v>Other</v>
      </c>
      <c r="AH216" s="81" t="str">
        <f t="shared" si="149"/>
        <v>"%USERPROFILE%\Documents\GitHub\eaglep3\Utilities\RefineRTDCRunTimes.py" --tripid 313-24 --locoid 4028 --swversion DE.1.0.9.0 --startMP 204:471 --initTime 2017-04-25T02:09:51 --startdatetime 2017-04-25T02:11:35 --delay 1 --endMP 300:23302 --enddatetime 2017-04-25T02:23:36 --enforcementcount 0 &gt;&gt;C:\Users\stu\Documents\GitHub\eaglep3-reporting\EC\2017-04-24-refined-times.txt</v>
      </c>
      <c r="AI216" s="99" t="str">
        <f t="shared" si="150"/>
        <v>echo {"issue":{"subject":"","project_id":79,"tracker_id":40,"status_id":1,"priority_id":2,"assigned_to_id":23,"start_date":"2017-04-25","description":"","custom_fields":[{"id":1,"name":"Subdivision","value":"Other"},{"id":4,"name":"Milepost","value":"2.3302"},{"id":17,"name":"Train ID","value":"313-24"},{"id":16,"name":"Locomotive ID","value":"4028"},{"id":130,"name":"Impact","value":""},{"id":150,"name":"Time of Event (Mountain Time)","value":"02:23:36"},{"id":151,"name":"Denver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6" s="47"/>
      <c r="AL216" s="47"/>
      <c r="AM216" s="145" t="str">
        <f t="shared" si="151"/>
        <v>start /low /b %USERPROFILE%\Documents\GitHub\eaglep3\Utilities\DownloadLogsFromS3.py --loco 4028 --day 2017-04-25</v>
      </c>
      <c r="AN216" s="154" t="str">
        <f t="shared" si="152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08:23:36"},{"id":29,"name":"Sharepoint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 s="32" t="s">
        <v>779</v>
      </c>
      <c r="B217" s="7">
        <v>4024</v>
      </c>
      <c r="C217" s="21" t="s">
        <v>212</v>
      </c>
      <c r="D217" s="21" t="s">
        <v>369</v>
      </c>
      <c r="E217" s="13">
        <v>42850.027083333334</v>
      </c>
      <c r="F217" s="13">
        <v>42850.028564814813</v>
      </c>
      <c r="G217" s="7">
        <v>1</v>
      </c>
      <c r="H217" s="21" t="s">
        <v>864</v>
      </c>
      <c r="I217" s="13">
        <v>42850.037060185183</v>
      </c>
      <c r="J217" s="7">
        <v>0</v>
      </c>
      <c r="K217" s="92" t="str">
        <f t="shared" si="173"/>
        <v>4023/4024</v>
      </c>
      <c r="L217" s="21" t="str">
        <f>VLOOKUP(A217,'Trips&amp;Operators'!$C$1:$G$99999,5,FALSE)</f>
        <v>PERKINS DARREN</v>
      </c>
      <c r="M217" s="6">
        <f t="shared" si="174"/>
        <v>8.4953703699284233E-3</v>
      </c>
      <c r="N217" s="7">
        <f t="shared" si="167"/>
        <v>12.23333333269693</v>
      </c>
      <c r="O217" s="7"/>
      <c r="P217" s="7"/>
      <c r="Q217" s="22"/>
      <c r="R217" s="191"/>
      <c r="S217" s="197">
        <f t="shared" si="172"/>
        <v>1</v>
      </c>
      <c r="T217" s="191" t="str">
        <f t="shared" si="175"/>
        <v>NorthBound</v>
      </c>
      <c r="U217" s="19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2" t="str">
        <f t="shared" si="169"/>
        <v>https://d0f6bd738d7f1b3e5a7ca70fe4ff75f0.us-east-1.aws.found.io/app/kibana#/discover/Steve-Slow-Train-Analysis-(2080s-and-2083s)?_g=(refreshInterval:(display:Off,pause:!f,section:0,value:0),time:(from:'2017-04-24T23:39:00-0600',mode:absolute,to:'2017-04-25T01:53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7" s="193" t="str">
        <f t="shared" si="176"/>
        <v>Y</v>
      </c>
      <c r="X217" s="193">
        <f t="shared" si="168"/>
        <v>2</v>
      </c>
      <c r="Y217" s="193">
        <f t="shared" si="165"/>
        <v>4.4900000000000002E-2</v>
      </c>
      <c r="Z217" s="193">
        <f t="shared" si="166"/>
        <v>2.3302</v>
      </c>
      <c r="AA217" s="193">
        <f t="shared" si="177"/>
        <v>2.2852999999999999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178"/>
        <v>0315-24</v>
      </c>
      <c r="AE217" s="80" t="str">
        <f t="shared" si="170"/>
        <v>aws s3 cp s3://rtdc.mdm.uploadarchive.raw/RTDC4024/ "%USERPROFILE%\AppData\Local\Temp\OnboardLogs"\RTDC4024\2017-04-25 --exclude "*" --recursive --include "*20170425*" &amp; "%USERPROFILE%\Documents\GitHub\mrs-test-scripts\Headless Mode &amp; Sideloading\WalkAndUnGZ.bat" "%USERPROFILE%\AppData\Local\Temp\OnboardLogs"\RTDC4024\2017-04-25 &amp; aws s3 cp s3://rtdc.mdm.uploadarchive.raw/RTDC4024/ "%USERPROFILE%\AppData\Local\Temp\OnboardLogs"\RTDC4024\2017-04-26 --exclude "*" --recursive --include "*20170426*" &amp; "%USERPROFILE%\Documents\GitHub\mrs-test-scripts\Headless Mode &amp; Sideloading\WalkAndUnGZ.bat" "%USERPROFILE%\AppData\Local\Temp\OnboardLogs"\RTDC4024\2017-04-26</v>
      </c>
      <c r="AF217" s="77" t="str">
        <f t="shared" si="171"/>
        <v>"C:\Program Files (x86)\AstroGrep\AstroGrep.exe" /e /r /s /spath="%USERPROFILE%\AppData\Local\Temp\OnboardLogs" /stypes="app*4024*20170425*" /stext=" 06:.+((SYSTEM_STATE.+slice.+state.+changed )|(ment ac)|(multiple cpu faults)|(system.+state.+changed )|(\[timeout)|(PRM\|1\|D)|(kpr)|(kdp)|(train.+moving)|(\|lc)|(penalty))"</v>
      </c>
      <c r="AG217" s="1" t="str">
        <f t="shared" si="179"/>
        <v>Other</v>
      </c>
      <c r="AH217" s="81" t="str">
        <f t="shared" ref="AH217:AH231" si="180">refinertdcruntimes&amp;" --tripid "&amp;A217&amp;" --locoid "&amp;B217&amp;" --swversion "&amp;C217&amp;" --startMP "&amp;D217&amp;" --initTime "&amp;TEXT(E217,"yyyy-mm-ddTHH:MM:SS")&amp;" --startdatetime "&amp;TEXT(F217,"yyyy-mm-ddTHH:MM:SS")&amp;" --delay "&amp;G217&amp;" --endMP "&amp;H217&amp;" --enddatetime "&amp;TEXT(I217,"yyyy-mm-ddTHH:MM:SS")&amp;" --enforcementcount "&amp;J217&amp;IF(outputrefinedruntimes," &gt;&gt;"&amp;RefinedRTDCRunTimesOutputFile,"")</f>
        <v>"%USERPROFILE%\Documents\GitHub\eaglep3\Utilities\RefineRTDCRunTimes.py" --tripid 315-24 --locoid 4024 --swversion DE.1.0.9.0 --startMP 204:449 --initTime 2017-04-25T00:39:00 --startdatetime 2017-04-25T00:41:08 --delay 1 --endMP 300:23302 --enddatetime 2017-04-25T00:53:22 --enforcementcount 0 &gt;&gt;C:\Users\stu\Documents\GitHub\eaglep3-reporting\EC\2017-04-24-refined-times.txt</v>
      </c>
      <c r="AI217" s="99" t="str">
        <f t="shared" ref="AI217:AI231" si="181">"echo {""issue"":{""subject"":"""&amp;R217&amp;""",""project_id"":79,""tracker_id"":40,""status_id"":"&amp;redmine_status&amp;",""priority_id"":"&amp;redmine_priority&amp;",""assigned_to_id"":"&amp;redmine_assignee&amp;",""start_date"":"""&amp;TEXT(I217,"YYYY-mm-dd")&amp;""",""description"":"""&amp;AJ217&amp;""",""custom_fields"":[{""id"":1,""name"":""Subdivision"",""value"":"""&amp;AG217&amp;"""},{""id"":4,""name"":""Milepost"",""value"":"""&amp;Z217&amp;"""},{""id"":17,""name"":""Train ID"",""value"":"""&amp;A217&amp;"""},{""id"":16,""name"":""Locomotive ID"",""value"":"""&amp;B217&amp;"""},{""id"":130,""name"":""Impact"",""value"":"""&amp;AK217&amp;"""},{""id"":150,""name"":""Time of Event (Mountain Time)"",""value"":"""&amp;TEXT(I217,"hh:mm:ss")&amp;"""},{""id"":151,""name"":""Denver Issue ID"",""value"":"""&amp;"""},{""id"":178,""name"":""Operational Impact"",""value"":"""&amp;redmine_op_impact&amp;"""},{""id"":179,""name"":""Denver Segment Assigned"",""value"":"""&amp;AL217&amp;"""}]}}"&amp;"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{"issue":{"subject":"","project_id":79,"tracker_id":40,"status_id":1,"priority_id":2,"assigned_to_id":23,"start_date":"2017-04-25","description":"","custom_fields":[{"id":1,"name":"Subdivision","value":"Other"},{"id":4,"name":"Milepost","value":"2.3302"},{"id":17,"name":"Train ID","value":"315-24"},{"id":16,"name":"Locomotive ID","value":"4024"},{"id":130,"name":"Impact","value":""},{"id":150,"name":"Time of Event (Mountain Time)","value":"00:53:22"},{"id":151,"name":"Denver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ref="AM217:AM231" si="182">"start /low /b "&amp;dls3logs&amp;" --loco "&amp;B217&amp;" --day "&amp;TEXT(F217,"YYYY-MM-DD")</f>
        <v>start /low /b %USERPROFILE%\Documents\GitHub\eaglep3\Utilities\DownloadLogsFromS3.py --loco 4024 --day 2017-04-25</v>
      </c>
      <c r="AN217" s="154" t="str">
        <f t="shared" ref="AN217:AN231" si="183">"echo {""issue"":{""subject"":"""&amp;R217&amp;""",""project_id"":30,""tracker_id"":4,""status_id"":"&amp;redmine_status_wcr&amp;",""priority_id"":"&amp;redmine_priority_wcr&amp;",""assigned_to_id"":"&amp;redmine_assignee_wcr&amp;",""start_date"":"""&amp;TEXT(I217-utc_offset/24,"YYYY-mm-dd")&amp;""",""description"":"""&amp;AJ217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06:53:22"},{"id":29,"name":"Sharepoint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91" x14ac:dyDescent="0.25">
      <c r="A218" s="32" t="s">
        <v>602</v>
      </c>
      <c r="B218" s="7">
        <v>4054</v>
      </c>
      <c r="C218" s="21" t="s">
        <v>212</v>
      </c>
      <c r="D218" s="21" t="s">
        <v>936</v>
      </c>
      <c r="E218" s="13">
        <v>42849.201041666667</v>
      </c>
      <c r="F218" s="13">
        <v>42849.204259259262</v>
      </c>
      <c r="G218" s="7">
        <v>4</v>
      </c>
      <c r="H218" s="21" t="s">
        <v>937</v>
      </c>
      <c r="I218" s="13">
        <v>42849.209930555553</v>
      </c>
      <c r="J218" s="7">
        <v>0</v>
      </c>
      <c r="K218" s="92" t="str">
        <f t="shared" si="173"/>
        <v>4053/4054</v>
      </c>
      <c r="L218" s="21" t="str">
        <f>VLOOKUP(A218,'Trips&amp;Operators'!$C$1:$G$99999,5,FALSE)</f>
        <v>DAVIS WENDY</v>
      </c>
      <c r="M218" s="6">
        <f t="shared" si="174"/>
        <v>5.6712962905294262E-3</v>
      </c>
      <c r="N218" s="7">
        <f t="shared" si="167"/>
        <v>8.1666666583623737</v>
      </c>
      <c r="O218" s="7"/>
      <c r="P218" s="7"/>
      <c r="Q218" s="22"/>
      <c r="R218" s="191"/>
      <c r="S218" s="197">
        <f t="shared" si="172"/>
        <v>0</v>
      </c>
      <c r="T218" s="191" t="str">
        <f t="shared" si="175"/>
        <v>NorthBound</v>
      </c>
      <c r="U218" s="19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2" t="str">
        <f t="shared" si="169"/>
        <v>https://d0f6bd738d7f1b3e5a7ca70fe4ff75f0.us-east-1.aws.found.io/app/kibana#/discover/Steve-Slow-Train-Analysis-(2080s-and-2083s)?_g=(refreshInterval:(display:Off,pause:!f,section:0,value:0),time:(from:'2017-04-24T03:49:30-0600',mode:absolute,to:'2017-04-24T06:02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8" s="193" t="str">
        <f t="shared" si="176"/>
        <v>Y</v>
      </c>
      <c r="X218" s="193">
        <f t="shared" si="168"/>
        <v>586</v>
      </c>
      <c r="Y218" s="193">
        <f t="shared" ref="Y218:Y231" si="184">RIGHT(D218,LEN(D218)-4)/10000</f>
        <v>2.9895999999999998</v>
      </c>
      <c r="Z218" s="193">
        <f t="shared" ref="Z218:Z231" si="185">RIGHT(H218,LEN(H218)-4)/10000</f>
        <v>5.9002999999999997</v>
      </c>
      <c r="AA218" s="193">
        <f t="shared" si="177"/>
        <v>2.9106999999999998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178"/>
        <v>0901-24</v>
      </c>
      <c r="AE218" s="80" t="str">
        <f t="shared" si="170"/>
        <v>aws s3 cp s3://rtdc.mdm.uploadarchive.raw/RTDC4054/ "%USERPROFILE%\AppData\Local\Temp\OnboardLogs"\RTDC4054\2017-04-24 --exclude "*" --recursive --include "*20170424*" &amp; "%USERPROFILE%\Documents\GitHub\mrs-test-scripts\Headless Mode &amp; Sideloading\WalkAndUnGZ.bat" "%USERPROFILE%\AppData\Local\Temp\OnboardLogs"\RTDC4054\2017-04-24 &amp; aws s3 cp s3://rtdc.mdm.uploadarchive.raw/RTDC4054/ "%USERPROFILE%\AppData\Local\Temp\OnboardLogs"\RTDC4054\2017-04-25 --exclude "*" --recursive --include "*20170425*" &amp; "%USERPROFILE%\Documents\GitHub\mrs-test-scripts\Headless Mode &amp; Sideloading\WalkAndUnGZ.bat" "%USERPROFILE%\AppData\Local\Temp\OnboardLogs"\RTDC4054\2017-04-25</v>
      </c>
      <c r="AF218" s="77" t="str">
        <f t="shared" si="171"/>
        <v>"C:\Program Files (x86)\AstroGrep\AstroGrep.exe" /e /r /s /spath="%USERPROFILE%\AppData\Local\Temp\OnboardLogs" /stypes="app*4054*20170424*" /stext=" 11:.+((SYSTEM_STATE.+slice.+state.+changed )|(ment ac)|(multiple cpu faults)|(system.+state.+changed )|(\[timeout)|(PRM\|1\|D)|(kpr)|(kdp)|(train.+moving)|(\|lc)|(penalty))"</v>
      </c>
      <c r="AG218" s="1" t="str">
        <f t="shared" si="179"/>
        <v>Other</v>
      </c>
      <c r="AH218" s="81" t="str">
        <f t="shared" si="180"/>
        <v>"%USERPROFILE%\Documents\GitHub\eaglep3\Utilities\RefineRTDCRunTimes.py" --tripid 901-24 --locoid 4054 --swversion DE.1.0.9.0 --startMP 300:29896 --initTime 2017-04-24T04:49:30 --startdatetime 2017-04-24T04:54:08 --delay 4 --endMP 300:59003 --enddatetime 2017-04-24T05:02:18 --enforcementcount 0 &gt;&gt;C:\Users\stu\Documents\GitHub\eaglep3-reporting\EC\2017-04-24-refined-times.txt</v>
      </c>
      <c r="AI218" s="99" t="str">
        <f t="shared" si="181"/>
        <v>echo {"issue":{"subject":"","project_id":79,"tracker_id":40,"status_id":1,"priority_id":2,"assigned_to_id":23,"start_date":"2017-04-24","description":"","custom_fields":[{"id":1,"name":"Subdivision","value":"Other"},{"id":4,"name":"Milepost","value":"5.9003"},{"id":17,"name":"Train ID","value":"901-24"},{"id":16,"name":"Locomotive ID","value":"4054"},{"id":130,"name":"Impact","value":""},{"id":150,"name":"Time of Event (Mountain Time)","value":"05:02:18"},{"id":151,"name":"Denver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182"/>
        <v>start /low /b %USERPROFILE%\Documents\GitHub\eaglep3\Utilities\DownloadLogsFromS3.py --loco 4054 --day 2017-04-24</v>
      </c>
      <c r="AN218" s="154" t="str">
        <f t="shared" si="183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11:02:18"},{"id":29,"name":"Sharepoint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91" x14ac:dyDescent="0.25">
      <c r="A219" s="32" t="s">
        <v>617</v>
      </c>
      <c r="B219" s="7">
        <v>4063</v>
      </c>
      <c r="C219" s="21" t="s">
        <v>212</v>
      </c>
      <c r="D219" s="21" t="s">
        <v>938</v>
      </c>
      <c r="E219" s="13">
        <v>42849.250960648147</v>
      </c>
      <c r="F219" s="13">
        <v>42849.253958333335</v>
      </c>
      <c r="G219" s="7">
        <v>4</v>
      </c>
      <c r="H219" s="21" t="s">
        <v>939</v>
      </c>
      <c r="I219" s="13">
        <v>42849.259039351855</v>
      </c>
      <c r="J219" s="7">
        <v>0</v>
      </c>
      <c r="K219" s="92" t="str">
        <f t="shared" si="173"/>
        <v>4063/4064</v>
      </c>
      <c r="L219" s="21" t="str">
        <f>VLOOKUP(A219,'Trips&amp;Operators'!$C$1:$G$99999,5,FALSE)</f>
        <v>ZEWDU DEREJE</v>
      </c>
      <c r="M219" s="6">
        <f t="shared" si="174"/>
        <v>5.0810185202863067E-3</v>
      </c>
      <c r="N219" s="7">
        <f t="shared" si="167"/>
        <v>7.3166666692122817</v>
      </c>
      <c r="O219" s="7"/>
      <c r="P219" s="7"/>
      <c r="Q219" s="22"/>
      <c r="R219" s="191"/>
      <c r="S219" s="197">
        <f t="shared" si="172"/>
        <v>1</v>
      </c>
      <c r="T219" s="191" t="str">
        <f t="shared" si="175"/>
        <v>Southbound</v>
      </c>
      <c r="U219" s="19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2" t="str">
        <f t="shared" si="169"/>
        <v>https://d0f6bd738d7f1b3e5a7ca70fe4ff75f0.us-east-1.aws.found.io/app/kibana#/discover/Steve-Slow-Train-Analysis-(2080s-and-2083s)?_g=(refreshInterval:(display:Off,pause:!f,section:0,value:0),time:(from:'2017-04-24T05:01:23-0600',mode:absolute,to:'2017-04-24T07:13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9" s="193" t="str">
        <f t="shared" si="176"/>
        <v>Y</v>
      </c>
      <c r="X219" s="193">
        <f t="shared" si="168"/>
        <v>1</v>
      </c>
      <c r="Y219" s="193">
        <f t="shared" si="184"/>
        <v>2.3338000000000001</v>
      </c>
      <c r="Z219" s="193">
        <f t="shared" si="185"/>
        <v>6.5600000000000006E-2</v>
      </c>
      <c r="AA219" s="193">
        <f t="shared" si="177"/>
        <v>2.2682000000000002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178"/>
        <v>0902-24</v>
      </c>
      <c r="AE219" s="80" t="str">
        <f t="shared" si="170"/>
        <v>aws s3 cp s3://rtdc.mdm.uploadarchive.raw/RTDC4063/ "%USERPROFILE%\AppData\Local\Temp\OnboardLogs"\RTDC4063\2017-04-24 --exclude "*" --recursive --include "*20170424*" &amp; "%USERPROFILE%\Documents\GitHub\mrs-test-scripts\Headless Mode &amp; Sideloading\WalkAndUnGZ.bat" "%USERPROFILE%\AppData\Local\Temp\OnboardLogs"\RTDC4063\2017-04-24 &amp; aws s3 cp s3://rtdc.mdm.uploadarchive.raw/RTDC4063/ "%USERPROFILE%\AppData\Local\Temp\OnboardLogs"\RTDC4063\2017-04-25 --exclude "*" --recursive --include "*20170425*" &amp; "%USERPROFILE%\Documents\GitHub\mrs-test-scripts\Headless Mode &amp; Sideloading\WalkAndUnGZ.bat" "%USERPROFILE%\AppData\Local\Temp\OnboardLogs"\RTDC4063\2017-04-25</v>
      </c>
      <c r="AF219" s="77" t="str">
        <f t="shared" si="171"/>
        <v>"C:\Program Files (x86)\AstroGrep\AstroGrep.exe" /e /r /s /spath="%USERPROFILE%\AppData\Local\Temp\OnboardLogs" /stypes="app*4063*20170424*" /stext=" 12:.+((SYSTEM_STATE.+slice.+state.+changed )|(ment ac)|(multiple cpu faults)|(system.+state.+changed )|(\[timeout)|(PRM\|1\|D)|(kpr)|(kdp)|(train.+moving)|(\|lc)|(penalty))"</v>
      </c>
      <c r="AG219" s="1" t="str">
        <f t="shared" si="179"/>
        <v>Other</v>
      </c>
      <c r="AH219" s="81" t="str">
        <f t="shared" si="180"/>
        <v>"%USERPROFILE%\Documents\GitHub\eaglep3\Utilities\RefineRTDCRunTimes.py" --tripid 902-24 --locoid 4063 --swversion DE.1.0.9.0 --startMP 300:23338 --initTime 2017-04-24T06:01:23 --startdatetime 2017-04-24T06:05:42 --delay 4 --endMP 204:656 --enddatetime 2017-04-24T06:13:01 --enforcementcount 0 &gt;&gt;C:\Users\stu\Documents\GitHub\eaglep3-reporting\EC\2017-04-24-refined-times.txt</v>
      </c>
      <c r="AI219" s="99" t="str">
        <f t="shared" si="181"/>
        <v>echo {"issue":{"subject":"","project_id":79,"tracker_id":40,"status_id":1,"priority_id":2,"assigned_to_id":23,"start_date":"2017-04-24","description":"","custom_fields":[{"id":1,"name":"Subdivision","value":"Other"},{"id":4,"name":"Milepost","value":"0.0656"},{"id":17,"name":"Train ID","value":"902-24"},{"id":16,"name":"Locomotive ID","value":"4063"},{"id":130,"name":"Impact","value":""},{"id":150,"name":"Time of Event (Mountain Time)","value":"06:13:01"},{"id":151,"name":"Denver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182"/>
        <v>start /low /b %USERPROFILE%\Documents\GitHub\eaglep3\Utilities\DownloadLogsFromS3.py --loco 4063 --day 2017-04-24</v>
      </c>
      <c r="AN219" s="154" t="str">
        <f t="shared" si="183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12:13:01"},{"id":29,"name":"Sharepoint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91" x14ac:dyDescent="0.25">
      <c r="A220" s="32" t="s">
        <v>645</v>
      </c>
      <c r="B220" s="7">
        <v>4054</v>
      </c>
      <c r="C220" s="21" t="s">
        <v>212</v>
      </c>
      <c r="D220" s="21" t="s">
        <v>873</v>
      </c>
      <c r="E220" s="13">
        <v>42849.352314814816</v>
      </c>
      <c r="F220" s="13">
        <v>42849.354050925926</v>
      </c>
      <c r="G220" s="7">
        <v>1</v>
      </c>
      <c r="H220" s="21" t="s">
        <v>940</v>
      </c>
      <c r="I220" s="13">
        <v>42849.359872685185</v>
      </c>
      <c r="J220" s="7">
        <v>0</v>
      </c>
      <c r="K220" s="92" t="str">
        <f t="shared" si="173"/>
        <v>4053/4054</v>
      </c>
      <c r="L220" s="21" t="str">
        <f>VLOOKUP(A220,'Trips&amp;Operators'!$C$1:$G$99999,5,FALSE)</f>
        <v>DAVIS WENDY</v>
      </c>
      <c r="M220" s="6">
        <f t="shared" si="174"/>
        <v>5.8217592595610768E-3</v>
      </c>
      <c r="N220" s="7">
        <f t="shared" si="167"/>
        <v>8.3833333337679505</v>
      </c>
      <c r="O220" s="7"/>
      <c r="P220" s="7"/>
      <c r="Q220" s="22"/>
      <c r="R220" s="191"/>
      <c r="S220" s="197">
        <f t="shared" si="172"/>
        <v>1</v>
      </c>
      <c r="T220" s="191" t="str">
        <f t="shared" si="175"/>
        <v>NorthBound</v>
      </c>
      <c r="U220" s="19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2" t="str">
        <f t="shared" si="169"/>
        <v>https://d0f6bd738d7f1b3e5a7ca70fe4ff75f0.us-east-1.aws.found.io/app/kibana#/discover/Steve-Slow-Train-Analysis-(2080s-and-2083s)?_g=(refreshInterval:(display:Off,pause:!f,section:0,value:0),time:(from:'2017-04-24T07:27:20-0600',mode:absolute,to:'2017-04-24T09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0" s="193" t="str">
        <f t="shared" si="176"/>
        <v>Y</v>
      </c>
      <c r="X220" s="193">
        <f t="shared" si="168"/>
        <v>1</v>
      </c>
      <c r="Y220" s="193">
        <f t="shared" si="184"/>
        <v>9.3700000000000006E-2</v>
      </c>
      <c r="Z220" s="193">
        <f t="shared" si="185"/>
        <v>2.5434000000000001</v>
      </c>
      <c r="AA220" s="193">
        <f t="shared" si="177"/>
        <v>2.4497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178"/>
        <v>0903-24</v>
      </c>
      <c r="AE220" s="80" t="str">
        <f t="shared" si="170"/>
        <v>aws s3 cp s3://rtdc.mdm.uploadarchive.raw/RTDC4054/ "%USERPROFILE%\AppData\Local\Temp\OnboardLogs"\RTDC4054\2017-04-24 --exclude "*" --recursive --include "*20170424*" &amp; "%USERPROFILE%\Documents\GitHub\mrs-test-scripts\Headless Mode &amp; Sideloading\WalkAndUnGZ.bat" "%USERPROFILE%\AppData\Local\Temp\OnboardLogs"\RTDC4054\2017-04-24 &amp; aws s3 cp s3://rtdc.mdm.uploadarchive.raw/RTDC4054/ "%USERPROFILE%\AppData\Local\Temp\OnboardLogs"\RTDC4054\2017-04-25 --exclude "*" --recursive --include "*20170425*" &amp; "%USERPROFILE%\Documents\GitHub\mrs-test-scripts\Headless Mode &amp; Sideloading\WalkAndUnGZ.bat" "%USERPROFILE%\AppData\Local\Temp\OnboardLogs"\RTDC4054\2017-04-25</v>
      </c>
      <c r="AF220" s="77" t="str">
        <f t="shared" si="171"/>
        <v>"C:\Program Files (x86)\AstroGrep\AstroGrep.exe" /e /r /s /spath="%USERPROFILE%\AppData\Local\Temp\OnboardLogs" /stypes="app*4054*20170424*" /stext=" 14:.+((SYSTEM_STATE.+slice.+state.+changed )|(ment ac)|(multiple cpu faults)|(system.+state.+changed )|(\[timeout)|(PRM\|1\|D)|(kpr)|(kdp)|(train.+moving)|(\|lc)|(penalty))"</v>
      </c>
      <c r="AG220" s="1" t="str">
        <f t="shared" si="179"/>
        <v>Other</v>
      </c>
      <c r="AH220" s="81" t="str">
        <f t="shared" si="180"/>
        <v>"%USERPROFILE%\Documents\GitHub\eaglep3\Utilities\RefineRTDCRunTimes.py" --tripid 903-24 --locoid 4054 --swversion DE.1.0.9.0 --startMP 204:937 --initTime 2017-04-24T08:27:20 --startdatetime 2017-04-24T08:29:50 --delay 1 --endMP 300:25434 --enddatetime 2017-04-24T08:38:13 --enforcementcount 0 &gt;&gt;C:\Users\stu\Documents\GitHub\eaglep3-reporting\EC\2017-04-24-refined-times.txt</v>
      </c>
      <c r="AI220" s="99" t="str">
        <f t="shared" si="181"/>
        <v>echo {"issue":{"subject":"","project_id":79,"tracker_id":40,"status_id":1,"priority_id":2,"assigned_to_id":23,"start_date":"2017-04-24","description":"","custom_fields":[{"id":1,"name":"Subdivision","value":"Other"},{"id":4,"name":"Milepost","value":"2.5434"},{"id":17,"name":"Train ID","value":"903-24"},{"id":16,"name":"Locomotive ID","value":"4054"},{"id":130,"name":"Impact","value":""},{"id":150,"name":"Time of Event (Mountain Time)","value":"08:38:13"},{"id":151,"name":"Denver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182"/>
        <v>start /low /b %USERPROFILE%\Documents\GitHub\eaglep3\Utilities\DownloadLogsFromS3.py --loco 4054 --day 2017-04-24</v>
      </c>
      <c r="AN220" s="154" t="str">
        <f t="shared" si="183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14:38:13"},{"id":29,"name":"Sharepoint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91" x14ac:dyDescent="0.25">
      <c r="A221" s="32" t="s">
        <v>711</v>
      </c>
      <c r="B221" s="7">
        <v>4053</v>
      </c>
      <c r="C221" s="21" t="s">
        <v>212</v>
      </c>
      <c r="D221" s="21" t="s">
        <v>941</v>
      </c>
      <c r="E221" s="13">
        <v>42849.635046296295</v>
      </c>
      <c r="F221" s="13">
        <v>42849.636886574073</v>
      </c>
      <c r="G221" s="7">
        <v>2</v>
      </c>
      <c r="H221" s="21" t="s">
        <v>942</v>
      </c>
      <c r="I221" s="13">
        <v>42849.642384259256</v>
      </c>
      <c r="J221" s="7">
        <v>0</v>
      </c>
      <c r="K221" s="92" t="str">
        <f t="shared" si="173"/>
        <v>4053/4054</v>
      </c>
      <c r="L221" s="21" t="str">
        <f>VLOOKUP(A221,'Trips&amp;Operators'!$C$1:$G$99999,5,FALSE)</f>
        <v>NEWELL JAMES</v>
      </c>
      <c r="M221" s="6">
        <f t="shared" si="174"/>
        <v>5.4976851824903861E-3</v>
      </c>
      <c r="N221" s="7">
        <f t="shared" si="167"/>
        <v>7.9166666627861559</v>
      </c>
      <c r="O221" s="7"/>
      <c r="P221" s="7"/>
      <c r="Q221" s="22"/>
      <c r="R221" s="191"/>
      <c r="S221" s="197">
        <f t="shared" si="172"/>
        <v>1</v>
      </c>
      <c r="T221" s="191" t="str">
        <f t="shared" si="175"/>
        <v>Southbound</v>
      </c>
      <c r="U221" s="19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2" t="str">
        <f t="shared" si="169"/>
        <v>https://d0f6bd738d7f1b3e5a7ca70fe4ff75f0.us-east-1.aws.found.io/app/kibana#/discover/Steve-Slow-Train-Analysis-(2080s-and-2083s)?_g=(refreshInterval:(display:Off,pause:!f,section:0,value:0),time:(from:'2017-04-24T14:14:28-0600',mode:absolute,to:'2017-04-24T16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1" s="193" t="str">
        <f t="shared" si="176"/>
        <v>Y</v>
      </c>
      <c r="X221" s="193">
        <f t="shared" si="168"/>
        <v>1</v>
      </c>
      <c r="Y221" s="193">
        <f t="shared" si="184"/>
        <v>2.3233000000000001</v>
      </c>
      <c r="Z221" s="193">
        <f t="shared" si="185"/>
        <v>6.6400000000000001E-2</v>
      </c>
      <c r="AA221" s="193">
        <f t="shared" si="177"/>
        <v>2.2569000000000004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178"/>
        <v>0904-24</v>
      </c>
      <c r="AE221" s="80" t="str">
        <f t="shared" si="170"/>
        <v>aws s3 cp s3://rtdc.mdm.uploadarchive.raw/RTDC4053/ "%USERPROFILE%\AppData\Local\Temp\OnboardLogs"\RTDC4053\2017-04-24 --exclude "*" --recursive --include "*20170424*" &amp; "%USERPROFILE%\Documents\GitHub\mrs-test-scripts\Headless Mode &amp; Sideloading\WalkAndUnGZ.bat" "%USERPROFILE%\AppData\Local\Temp\OnboardLogs"\RTDC4053\2017-04-24 &amp; aws s3 cp s3://rtdc.mdm.uploadarchive.raw/RTDC4053/ "%USERPROFILE%\AppData\Local\Temp\OnboardLogs"\RTDC4053\2017-04-25 --exclude "*" --recursive --include "*20170425*" &amp; "%USERPROFILE%\Documents\GitHub\mrs-test-scripts\Headless Mode &amp; Sideloading\WalkAndUnGZ.bat" "%USERPROFILE%\AppData\Local\Temp\OnboardLogs"\RTDC4053\2017-04-25</v>
      </c>
      <c r="AF221" s="77" t="str">
        <f t="shared" si="171"/>
        <v>"C:\Program Files (x86)\AstroGrep\AstroGrep.exe" /e /r /s /spath="%USERPROFILE%\AppData\Local\Temp\OnboardLogs" /stypes="app*4053*20170424*" /stext=" 21:.+((SYSTEM_STATE.+slice.+state.+changed )|(ment ac)|(multiple cpu faults)|(system.+state.+changed )|(\[timeout)|(PRM\|1\|D)|(kpr)|(kdp)|(train.+moving)|(\|lc)|(penalty))"</v>
      </c>
      <c r="AG221" s="1" t="str">
        <f t="shared" si="179"/>
        <v>Other</v>
      </c>
      <c r="AH221" s="81" t="str">
        <f t="shared" si="180"/>
        <v>"%USERPROFILE%\Documents\GitHub\eaglep3\Utilities\RefineRTDCRunTimes.py" --tripid 904-24 --locoid 4053 --swversion DE.1.0.9.0 --startMP 300:23233 --initTime 2017-04-24T15:14:28 --startdatetime 2017-04-24T15:17:07 --delay 2 --endMP 204:664 --enddatetime 2017-04-24T15:25:02 --enforcementcount 0 &gt;&gt;C:\Users\stu\Documents\GitHub\eaglep3-reporting\EC\2017-04-24-refined-times.txt</v>
      </c>
      <c r="AI221" s="99" t="str">
        <f t="shared" si="181"/>
        <v>echo {"issue":{"subject":"","project_id":79,"tracker_id":40,"status_id":1,"priority_id":2,"assigned_to_id":23,"start_date":"2017-04-24","description":"","custom_fields":[{"id":1,"name":"Subdivision","value":"Other"},{"id":4,"name":"Milepost","value":"0.0664"},{"id":17,"name":"Train ID","value":"904-24"},{"id":16,"name":"Locomotive ID","value":"4053"},{"id":130,"name":"Impact","value":""},{"id":150,"name":"Time of Event (Mountain Time)","value":"15:25:02"},{"id":151,"name":"Denver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182"/>
        <v>start /low /b %USERPROFILE%\Documents\GitHub\eaglep3\Utilities\DownloadLogsFromS3.py --loco 4053 --day 2017-04-24</v>
      </c>
      <c r="AN221" s="154" t="str">
        <f t="shared" si="183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21:25:02"},{"id":29,"name":"Sharepoint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91" x14ac:dyDescent="0.25">
      <c r="A222" s="32" t="s">
        <v>748</v>
      </c>
      <c r="B222" s="7">
        <v>4053</v>
      </c>
      <c r="C222" s="21" t="s">
        <v>212</v>
      </c>
      <c r="D222" s="21" t="s">
        <v>526</v>
      </c>
      <c r="E222" s="13">
        <v>42849.795115740744</v>
      </c>
      <c r="F222" s="13">
        <v>42849.796354166669</v>
      </c>
      <c r="G222" s="7">
        <v>1</v>
      </c>
      <c r="H222" s="21" t="s">
        <v>943</v>
      </c>
      <c r="I222" s="13">
        <v>42849.803287037037</v>
      </c>
      <c r="J222" s="7">
        <v>0</v>
      </c>
      <c r="K222" s="92" t="str">
        <f t="shared" si="173"/>
        <v>4053/4054</v>
      </c>
      <c r="L222" s="21" t="str">
        <f>VLOOKUP(A222,'Trips&amp;Operators'!$C$1:$G$99999,5,FALSE)</f>
        <v>NEWELL JAMES</v>
      </c>
      <c r="M222" s="6">
        <f t="shared" si="174"/>
        <v>6.9328703684732318E-3</v>
      </c>
      <c r="N222" s="7">
        <f t="shared" ref="N222:N231" si="186">24*60*SUM($M222:$M222)</f>
        <v>9.9833333306014538</v>
      </c>
      <c r="O222" s="7"/>
      <c r="P222" s="7"/>
      <c r="Q222" s="22"/>
      <c r="R222" s="191"/>
      <c r="S222" s="197">
        <f t="shared" si="172"/>
        <v>0</v>
      </c>
      <c r="T222" s="191" t="str">
        <f t="shared" si="175"/>
        <v>Southbound</v>
      </c>
      <c r="U222" s="19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2" t="str">
        <f t="shared" si="169"/>
        <v>https://d0f6bd738d7f1b3e5a7ca70fe4ff75f0.us-east-1.aws.found.io/app/kibana#/discover/Steve-Slow-Train-Analysis-(2080s-and-2083s)?_g=(refreshInterval:(display:Off,pause:!f,section:0,value:0),time:(from:'2017-04-24T18:04:58-0600',mode:absolute,to:'2017-04-24T20:16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2" s="193" t="str">
        <f t="shared" si="176"/>
        <v>Y</v>
      </c>
      <c r="X222" s="193">
        <f t="shared" si="168"/>
        <v>2</v>
      </c>
      <c r="Y222" s="193">
        <f t="shared" si="184"/>
        <v>5.8619000000000003</v>
      </c>
      <c r="Z222" s="193">
        <f t="shared" si="185"/>
        <v>2.8774000000000002</v>
      </c>
      <c r="AA222" s="193">
        <f t="shared" si="177"/>
        <v>2.9845000000000002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178"/>
        <v>0906-24</v>
      </c>
      <c r="AE222" s="80" t="str">
        <f t="shared" si="170"/>
        <v>aws s3 cp s3://rtdc.mdm.uploadarchive.raw/RTDC4053/ "%USERPROFILE%\AppData\Local\Temp\OnboardLogs"\RTDC4053\2017-04-24 --exclude "*" --recursive --include "*20170424*" &amp; "%USERPROFILE%\Documents\GitHub\mrs-test-scripts\Headless Mode &amp; Sideloading\WalkAndUnGZ.bat" "%USERPROFILE%\AppData\Local\Temp\OnboardLogs"\RTDC4053\2017-04-24 &amp; aws s3 cp s3://rtdc.mdm.uploadarchive.raw/RTDC4053/ "%USERPROFILE%\AppData\Local\Temp\OnboardLogs"\RTDC4053\2017-04-25 --exclude "*" --recursive --include "*20170425*" &amp; "%USERPROFILE%\Documents\GitHub\mrs-test-scripts\Headless Mode &amp; Sideloading\WalkAndUnGZ.bat" "%USERPROFILE%\AppData\Local\Temp\OnboardLogs"\RTDC4053\2017-04-25</v>
      </c>
      <c r="AF222" s="77" t="str">
        <f t="shared" si="171"/>
        <v>"C:\Program Files (x86)\AstroGrep\AstroGrep.exe" /e /r /s /spath="%USERPROFILE%\AppData\Local\Temp\OnboardLogs" /stypes="app*4053*20170425*" /stext=" 01:.+((SYSTEM_STATE.+slice.+state.+changed )|(ment ac)|(multiple cpu faults)|(system.+state.+changed )|(\[timeout)|(PRM\|1\|D)|(kpr)|(kdp)|(train.+moving)|(\|lc)|(penalty))"</v>
      </c>
      <c r="AG222" s="1" t="str">
        <f t="shared" si="179"/>
        <v>Other</v>
      </c>
      <c r="AH222" s="81" t="str">
        <f t="shared" si="180"/>
        <v>"%USERPROFILE%\Documents\GitHub\eaglep3\Utilities\RefineRTDCRunTimes.py" --tripid 906-24 --locoid 4053 --swversion DE.1.0.9.0 --startMP 300:58619 --initTime 2017-04-24T19:04:58 --startdatetime 2017-04-24T19:06:45 --delay 1 --endMP 300:28774 --enddatetime 2017-04-24T19:16:44 --enforcementcount 0 &gt;&gt;C:\Users\stu\Documents\GitHub\eaglep3-reporting\EC\2017-04-24-refined-times.txt</v>
      </c>
      <c r="AI222" s="99" t="str">
        <f t="shared" si="181"/>
        <v>echo {"issue":{"subject":"","project_id":79,"tracker_id":40,"status_id":1,"priority_id":2,"assigned_to_id":23,"start_date":"2017-04-24","description":"","custom_fields":[{"id":1,"name":"Subdivision","value":"Other"},{"id":4,"name":"Milepost","value":"2.8774"},{"id":17,"name":"Train ID","value":"906-24"},{"id":16,"name":"Locomotive ID","value":"4053"},{"id":130,"name":"Impact","value":""},{"id":150,"name":"Time of Event (Mountain Time)","value":"19:16:44"},{"id":151,"name":"Denver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182"/>
        <v>start /low /b %USERPROFILE%\Documents\GitHub\eaglep3\Utilities\DownloadLogsFromS3.py --loco 4053 --day 2017-04-24</v>
      </c>
      <c r="AN222" s="154" t="str">
        <f t="shared" si="183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01:16:44"},{"id":29,"name":"Sharepoint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91" x14ac:dyDescent="0.25">
      <c r="A223" s="32" t="s">
        <v>771</v>
      </c>
      <c r="B223" s="7">
        <v>4063</v>
      </c>
      <c r="C223" s="21" t="s">
        <v>212</v>
      </c>
      <c r="D223" s="21" t="s">
        <v>487</v>
      </c>
      <c r="E223" s="13">
        <v>42849.942048611112</v>
      </c>
      <c r="F223" s="13">
        <v>42849.943252314813</v>
      </c>
      <c r="G223" s="7">
        <v>1</v>
      </c>
      <c r="H223" s="21" t="s">
        <v>944</v>
      </c>
      <c r="I223" s="13">
        <v>42849.947476851848</v>
      </c>
      <c r="J223" s="7">
        <v>0</v>
      </c>
      <c r="K223" s="92" t="str">
        <f t="shared" si="173"/>
        <v>4063/4064</v>
      </c>
      <c r="L223" s="21" t="str">
        <f>VLOOKUP(A223,'Trips&amp;Operators'!$C$1:$G$99999,5,FALSE)</f>
        <v>NEWELL JAMES</v>
      </c>
      <c r="M223" s="6">
        <f t="shared" si="174"/>
        <v>4.2245370350428857E-3</v>
      </c>
      <c r="N223" s="7">
        <f t="shared" si="186"/>
        <v>6.0833333304617554</v>
      </c>
      <c r="O223" s="7"/>
      <c r="P223" s="7"/>
      <c r="Q223" s="22"/>
      <c r="R223" s="191"/>
      <c r="S223" s="197">
        <f t="shared" si="172"/>
        <v>0</v>
      </c>
      <c r="T223" s="191" t="str">
        <f t="shared" si="175"/>
        <v>Southbound</v>
      </c>
      <c r="U223" s="19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2" t="str">
        <f t="shared" si="169"/>
        <v>https://d0f6bd738d7f1b3e5a7ca70fe4ff75f0.us-east-1.aws.found.io/app/kibana#/discover/Steve-Slow-Train-Analysis-(2080s-and-2083s)?_g=(refreshInterval:(display:Off,pause:!f,section:0,value:0),time:(from:'2017-04-24T21:36:33-0600',mode:absolute,to:'2017-04-24T23:44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3" s="193" t="str">
        <f t="shared" si="176"/>
        <v>Y</v>
      </c>
      <c r="X223" s="193">
        <f t="shared" si="168"/>
        <v>2</v>
      </c>
      <c r="Y223" s="193">
        <f t="shared" si="184"/>
        <v>5.8616999999999999</v>
      </c>
      <c r="Z223" s="193">
        <f t="shared" si="185"/>
        <v>2.1768999999999998</v>
      </c>
      <c r="AA223" s="193">
        <f t="shared" si="177"/>
        <v>3.6848000000000001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178"/>
        <v>0908-24</v>
      </c>
      <c r="AE223" s="80" t="str">
        <f t="shared" si="170"/>
        <v>aws s3 cp s3://rtdc.mdm.uploadarchive.raw/RTDC4063/ "%USERPROFILE%\AppData\Local\Temp\OnboardLogs"\RTDC4063\2017-04-24 --exclude "*" --recursive --include "*20170424*" &amp; "%USERPROFILE%\Documents\GitHub\mrs-test-scripts\Headless Mode &amp; Sideloading\WalkAndUnGZ.bat" "%USERPROFILE%\AppData\Local\Temp\OnboardLogs"\RTDC4063\2017-04-24 &amp; aws s3 cp s3://rtdc.mdm.uploadarchive.raw/RTDC4063/ "%USERPROFILE%\AppData\Local\Temp\OnboardLogs"\RTDC4063\2017-04-25 --exclude "*" --recursive --include "*20170425*" &amp; "%USERPROFILE%\Documents\GitHub\mrs-test-scripts\Headless Mode &amp; Sideloading\WalkAndUnGZ.bat" "%USERPROFILE%\AppData\Local\Temp\OnboardLogs"\RTDC4063\2017-04-25</v>
      </c>
      <c r="AF223" s="77" t="str">
        <f t="shared" si="171"/>
        <v>"C:\Program Files (x86)\AstroGrep\AstroGrep.exe" /e /r /s /spath="%USERPROFILE%\AppData\Local\Temp\OnboardLogs" /stypes="app*4063*20170425*" /stext=" 04:.+((SYSTEM_STATE.+slice.+state.+changed )|(ment ac)|(multiple cpu faults)|(system.+state.+changed )|(\[timeout)|(PRM\|1\|D)|(kpr)|(kdp)|(train.+moving)|(\|lc)|(penalty))"</v>
      </c>
      <c r="AG223" s="1" t="str">
        <f t="shared" si="179"/>
        <v>Other</v>
      </c>
      <c r="AH223" s="81" t="str">
        <f t="shared" si="180"/>
        <v>"%USERPROFILE%\Documents\GitHub\eaglep3\Utilities\RefineRTDCRunTimes.py" --tripid 908-24 --locoid 4063 --swversion DE.1.0.9.0 --startMP 300:58617 --initTime 2017-04-24T22:36:33 --startdatetime 2017-04-24T22:38:17 --delay 1 --endMP 300:21769 --enddatetime 2017-04-24T22:44:22 --enforcementcount 0 &gt;&gt;C:\Users\stu\Documents\GitHub\eaglep3-reporting\EC\2017-04-24-refined-times.txt</v>
      </c>
      <c r="AI223" s="99" t="str">
        <f t="shared" si="181"/>
        <v>echo {"issue":{"subject":"","project_id":79,"tracker_id":40,"status_id":1,"priority_id":2,"assigned_to_id":23,"start_date":"2017-04-24","description":"","custom_fields":[{"id":1,"name":"Subdivision","value":"Other"},{"id":4,"name":"Milepost","value":"2.1769"},{"id":17,"name":"Train ID","value":"908-24"},{"id":16,"name":"Locomotive ID","value":"4063"},{"id":130,"name":"Impact","value":""},{"id":150,"name":"Time of Event (Mountain Time)","value":"22:44:22"},{"id":151,"name":"Denver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182"/>
        <v>start /low /b %USERPROFILE%\Documents\GitHub\eaglep3\Utilities\DownloadLogsFromS3.py --loco 4063 --day 2017-04-24</v>
      </c>
      <c r="AN223" s="154" t="str">
        <f t="shared" si="183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04:44:22"},{"id":29,"name":"Sharepoint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91" x14ac:dyDescent="0.25">
      <c r="A224" s="32" t="s">
        <v>673</v>
      </c>
      <c r="B224" s="7">
        <v>4008</v>
      </c>
      <c r="C224" s="21" t="s">
        <v>212</v>
      </c>
      <c r="D224" s="21" t="s">
        <v>865</v>
      </c>
      <c r="E224" s="13">
        <v>42849.467465277776</v>
      </c>
      <c r="F224" s="13">
        <v>42849.471458333333</v>
      </c>
      <c r="G224" s="7">
        <v>1</v>
      </c>
      <c r="H224" s="21" t="s">
        <v>441</v>
      </c>
      <c r="I224" s="13">
        <v>42849.476458333331</v>
      </c>
      <c r="J224" s="7">
        <v>0</v>
      </c>
      <c r="K224" s="92" t="str">
        <f t="shared" si="173"/>
        <v>4007/4008</v>
      </c>
      <c r="L224" s="21" t="str">
        <f>VLOOKUP(A224,'Trips&amp;Operators'!$C$1:$G$99999,5,FALSE)</f>
        <v>MAELZER KURT</v>
      </c>
      <c r="M224" s="6">
        <f t="shared" si="174"/>
        <v>4.9999999973806553E-3</v>
      </c>
      <c r="N224" s="7">
        <f t="shared" si="186"/>
        <v>7.1999999962281436</v>
      </c>
      <c r="O224" s="7"/>
      <c r="P224" s="7"/>
      <c r="Q224" s="22"/>
      <c r="R224" s="191"/>
      <c r="S224" s="197">
        <f t="shared" si="172"/>
        <v>0</v>
      </c>
      <c r="T224" s="191" t="e">
        <f t="shared" si="175"/>
        <v>#VALUE!</v>
      </c>
      <c r="U224" s="19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2" t="str">
        <f t="shared" si="169"/>
        <v>https://d0f6bd738d7f1b3e5a7ca70fe4ff75f0.us-east-1.aws.found.io/app/kibana#/discover/Steve-Slow-Train-Analysis-(2080s-and-2083s)?_g=(refreshInterval:(display:Off,pause:!f,section:0,value:0),time:(from:'2017-04-24T10:13:09-0600',mode:absolute,to:'2017-04-24T12:26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4" s="193" t="str">
        <f t="shared" si="176"/>
        <v>Y</v>
      </c>
      <c r="X224" s="193" t="e">
        <f t="shared" si="168"/>
        <v>#VALUE!</v>
      </c>
      <c r="Y224" s="193">
        <f t="shared" si="184"/>
        <v>0.1236</v>
      </c>
      <c r="Z224" s="193">
        <f t="shared" si="185"/>
        <v>2.3304</v>
      </c>
      <c r="AA224" s="193">
        <f t="shared" si="177"/>
        <v>2.2067999999999999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178"/>
        <v>51-24</v>
      </c>
      <c r="AE224" s="80" t="str">
        <f t="shared" si="170"/>
        <v>aws s3 cp s3://rtdc.mdm.uploadarchive.raw/RTDC4008/ "%USERPROFILE%\AppData\Local\Temp\OnboardLogs"\RTDC4008\2017-04-24 --exclude "*" --recursive --include "*20170424*" &amp; "%USERPROFILE%\Documents\GitHub\mrs-test-scripts\Headless Mode &amp; Sideloading\WalkAndUnGZ.bat" "%USERPROFILE%\AppData\Local\Temp\OnboardLogs"\RTDC4008\2017-04-24 &amp; aws s3 cp s3://rtdc.mdm.uploadarchive.raw/RTDC4008/ "%USERPROFILE%\AppData\Local\Temp\OnboardLogs"\RTDC4008\2017-04-25 --exclude "*" --recursive --include "*20170425*" &amp; "%USERPROFILE%\Documents\GitHub\mrs-test-scripts\Headless Mode &amp; Sideloading\WalkAndUnGZ.bat" "%USERPROFILE%\AppData\Local\Temp\OnboardLogs"\RTDC4008\2017-04-25</v>
      </c>
      <c r="AF224" s="77" t="str">
        <f t="shared" si="171"/>
        <v>"C:\Program Files (x86)\AstroGrep\AstroGrep.exe" /e /r /s /spath="%USERPROFILE%\AppData\Local\Temp\OnboardLogs" /stypes="app*4008*20170424*" /stext=" 17:.+((SYSTEM_STATE.+slice.+state.+changed )|(ment ac)|(multiple cpu faults)|(system.+state.+changed )|(\[timeout)|(PRM\|1\|D)|(kpr)|(kdp)|(train.+moving)|(\|lc)|(penalty))"</v>
      </c>
      <c r="AG224" s="1" t="str">
        <f t="shared" si="179"/>
        <v>Other</v>
      </c>
      <c r="AH224" s="81" t="str">
        <f t="shared" si="180"/>
        <v>"%USERPROFILE%\Documents\GitHub\eaglep3\Utilities\RefineRTDCRunTimes.py" --tripid 51-24 --locoid 4008 --swversion DE.1.0.9.0 --startMP 204:1236 --initTime 2017-04-24T11:13:09 --startdatetime 2017-04-24T11:18:54 --delay 1 --endMP 300:23304 --enddatetime 2017-04-24T11:26:06 --enforcementcount 0 &gt;&gt;C:\Users\stu\Documents\GitHub\eaglep3-reporting\EC\2017-04-24-refined-times.txt</v>
      </c>
      <c r="AI224" s="99" t="str">
        <f t="shared" si="181"/>
        <v>echo {"issue":{"subject":"","project_id":79,"tracker_id":40,"status_id":1,"priority_id":2,"assigned_to_id":23,"start_date":"2017-04-24","description":"","custom_fields":[{"id":1,"name":"Subdivision","value":"Other"},{"id":4,"name":"Milepost","value":"2.3304"},{"id":17,"name":"Train ID","value":"51-24"},{"id":16,"name":"Locomotive ID","value":"4008"},{"id":130,"name":"Impact","value":""},{"id":150,"name":"Time of Event (Mountain Time)","value":"11:26:06"},{"id":151,"name":"Denver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182"/>
        <v>start /low /b %USERPROFILE%\Documents\GitHub\eaglep3\Utilities\DownloadLogsFromS3.py --loco 4008 --day 2017-04-24</v>
      </c>
      <c r="AN224" s="154" t="str">
        <f t="shared" si="183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17:26:06"},{"id":29,"name":"Sharepoint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736</v>
      </c>
      <c r="B225" s="7">
        <v>4031</v>
      </c>
      <c r="C225" s="21" t="s">
        <v>212</v>
      </c>
      <c r="D225" s="21" t="s">
        <v>866</v>
      </c>
      <c r="E225" s="13">
        <v>42849.736388888887</v>
      </c>
      <c r="F225" s="13">
        <v>42849.74417824074</v>
      </c>
      <c r="G225" s="7">
        <v>11</v>
      </c>
      <c r="H225" s="21" t="s">
        <v>867</v>
      </c>
      <c r="I225" s="13">
        <v>42849.748715277776</v>
      </c>
      <c r="J225" s="7">
        <v>0</v>
      </c>
      <c r="K225" s="92" t="str">
        <f t="shared" si="173"/>
        <v>4031/4032</v>
      </c>
      <c r="L225" s="21" t="str">
        <f>VLOOKUP(A225,'Trips&amp;Operators'!$C$1:$G$99999,5,FALSE)</f>
        <v>DUNCAN SHEILA</v>
      </c>
      <c r="M225" s="6">
        <f t="shared" si="174"/>
        <v>4.537037035333924E-3</v>
      </c>
      <c r="N225" s="7">
        <f t="shared" si="186"/>
        <v>6.5333333308808506</v>
      </c>
      <c r="O225" s="7"/>
      <c r="P225" s="7"/>
      <c r="Q225" s="22"/>
      <c r="R225" s="191"/>
      <c r="S225" s="197">
        <f t="shared" si="172"/>
        <v>0</v>
      </c>
      <c r="T225" s="191" t="e">
        <f t="shared" si="175"/>
        <v>#VALUE!</v>
      </c>
      <c r="U225" s="19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2" t="str">
        <f t="shared" si="169"/>
        <v>https://d0f6bd738d7f1b3e5a7ca70fe4ff75f0.us-east-1.aws.found.io/app/kibana#/discover/Steve-Slow-Train-Analysis-(2080s-and-2083s)?_g=(refreshInterval:(display:Off,pause:!f,section:0,value:0),time:(from:'2017-04-24T16:40:24-0600',mode:absolute,to:'2017-04-24T18:58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5" s="193" t="str">
        <f t="shared" si="176"/>
        <v>Y</v>
      </c>
      <c r="X225" s="193" t="e">
        <f t="shared" ref="X225:X231" si="187">VALUE(LEFT(AD225,4))-VALUE(LEFT(AD224,4))</f>
        <v>#VALUE!</v>
      </c>
      <c r="Y225" s="193">
        <f t="shared" si="184"/>
        <v>2.2284000000000002</v>
      </c>
      <c r="Z225" s="193">
        <f t="shared" si="185"/>
        <v>0.28670000000000001</v>
      </c>
      <c r="AA225" s="193">
        <f t="shared" si="177"/>
        <v>1.9417000000000002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178"/>
        <v>52-24</v>
      </c>
      <c r="AE225" s="80" t="str">
        <f t="shared" si="170"/>
        <v>aws s3 cp s3://rtdc.mdm.uploadarchive.raw/RTDC4031/ "%USERPROFILE%\AppData\Local\Temp\OnboardLogs"\RTDC4031\2017-04-24 --exclude "*" --recursive --include "*20170424*" &amp; "%USERPROFILE%\Documents\GitHub\mrs-test-scripts\Headless Mode &amp; Sideloading\WalkAndUnGZ.bat" "%USERPROFILE%\AppData\Local\Temp\OnboardLogs"\RTDC4031\2017-04-24 &amp; aws s3 cp s3://rtdc.mdm.uploadarchive.raw/RTDC4031/ "%USERPROFILE%\AppData\Local\Temp\OnboardLogs"\RTDC4031\2017-04-25 --exclude "*" --recursive --include "*20170425*" &amp; "%USERPROFILE%\Documents\GitHub\mrs-test-scripts\Headless Mode &amp; Sideloading\WalkAndUnGZ.bat" "%USERPROFILE%\AppData\Local\Temp\OnboardLogs"\RTDC4031\2017-04-25</v>
      </c>
      <c r="AF225" s="77" t="str">
        <f t="shared" si="171"/>
        <v>"C:\Program Files (x86)\AstroGrep\AstroGrep.exe" /e /r /s /spath="%USERPROFILE%\AppData\Local\Temp\OnboardLogs" /stypes="app*4031*20170424*" /stext=" 23:.+((SYSTEM_STATE.+slice.+state.+changed )|(ment ac)|(multiple cpu faults)|(system.+state.+changed )|(\[timeout)|(PRM\|1\|D)|(kpr)|(kdp)|(train.+moving)|(\|lc)|(penalty))"</v>
      </c>
      <c r="AG225" s="1" t="str">
        <f t="shared" si="179"/>
        <v>Other</v>
      </c>
      <c r="AH225" s="81" t="str">
        <f t="shared" si="180"/>
        <v>"%USERPROFILE%\Documents\GitHub\eaglep3\Utilities\RefineRTDCRunTimes.py" --tripid 52-24 --locoid 4031 --swversion DE.1.0.9.0 --startMP 300:22284 --initTime 2017-04-24T17:40:24 --startdatetime 2017-04-24T17:51:37 --delay 11 --endMP 204:2867 --enddatetime 2017-04-24T17:58:09 --enforcementcount 0 &gt;&gt;C:\Users\stu\Documents\GitHub\eaglep3-reporting\EC\2017-04-24-refined-times.txt</v>
      </c>
      <c r="AI225" s="99" t="str">
        <f t="shared" si="181"/>
        <v>echo {"issue":{"subject":"","project_id":79,"tracker_id":40,"status_id":1,"priority_id":2,"assigned_to_id":23,"start_date":"2017-04-24","description":"","custom_fields":[{"id":1,"name":"Subdivision","value":"Other"},{"id":4,"name":"Milepost","value":"0.2867"},{"id":17,"name":"Train ID","value":"52-24"},{"id":16,"name":"Locomotive ID","value":"4031"},{"id":130,"name":"Impact","value":""},{"id":150,"name":"Time of Event (Mountain Time)","value":"17:58:09"},{"id":151,"name":"Denver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182"/>
        <v>start /low /b %USERPROFILE%\Documents\GitHub\eaglep3\Utilities\DownloadLogsFromS3.py --loco 4031 --day 2017-04-24</v>
      </c>
      <c r="AN225" s="154" t="str">
        <f t="shared" si="183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23:58:09"},{"id":29,"name":"Sharepoint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730</v>
      </c>
      <c r="B226" s="7">
        <v>4018</v>
      </c>
      <c r="C226" s="21" t="s">
        <v>212</v>
      </c>
      <c r="D226" s="21" t="s">
        <v>868</v>
      </c>
      <c r="E226" s="13">
        <v>42849.724699074075</v>
      </c>
      <c r="F226" s="13">
        <v>42849.735914351855</v>
      </c>
      <c r="G226" s="7">
        <v>1</v>
      </c>
      <c r="H226" s="21" t="s">
        <v>869</v>
      </c>
      <c r="I226" s="13">
        <v>42849.747581018521</v>
      </c>
      <c r="J226" s="7">
        <v>0</v>
      </c>
      <c r="K226" s="92" t="str">
        <f t="shared" si="173"/>
        <v>4017/4018</v>
      </c>
      <c r="L226" s="21" t="str">
        <f>VLOOKUP(A226,'Trips&amp;Operators'!$C$1:$G$99999,5,FALSE)</f>
        <v>LALONDE GREGORY</v>
      </c>
      <c r="M226" s="6">
        <f t="shared" si="174"/>
        <v>1.1666666665405501E-2</v>
      </c>
      <c r="N226" s="7">
        <f t="shared" si="186"/>
        <v>16.799999998183921</v>
      </c>
      <c r="O226" s="7"/>
      <c r="P226" s="7"/>
      <c r="Q226" s="22"/>
      <c r="R226" s="191"/>
      <c r="S226" s="197">
        <f t="shared" si="172"/>
        <v>0</v>
      </c>
      <c r="T226" s="191" t="e">
        <f t="shared" si="175"/>
        <v>#VALUE!</v>
      </c>
      <c r="U226" s="19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2" t="str">
        <f t="shared" si="169"/>
        <v>https://d0f6bd738d7f1b3e5a7ca70fe4ff75f0.us-east-1.aws.found.io/app/kibana#/discover/Steve-Slow-Train-Analysis-(2080s-and-2083s)?_g=(refreshInterval:(display:Off,pause:!f,section:0,value:0),time:(from:'2017-04-24T16:23:34-0600',mode:absolute,to:'2017-04-24T18:56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6" s="193" t="str">
        <f t="shared" si="176"/>
        <v>Y</v>
      </c>
      <c r="X226" s="193" t="e">
        <f t="shared" si="187"/>
        <v>#VALUE!</v>
      </c>
      <c r="Y226" s="193">
        <f t="shared" si="184"/>
        <v>0.1479</v>
      </c>
      <c r="Z226" s="193">
        <f t="shared" si="185"/>
        <v>2.3300999999999998</v>
      </c>
      <c r="AA226" s="193">
        <f t="shared" si="177"/>
        <v>2.1821999999999999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178"/>
        <v>66-24</v>
      </c>
      <c r="AE226" s="80" t="str">
        <f t="shared" si="170"/>
        <v>aws s3 cp s3://rtdc.mdm.uploadarchive.raw/RTDC4018/ "%USERPROFILE%\AppData\Local\Temp\OnboardLogs"\RTDC4018\2017-04-24 --exclude "*" --recursive --include "*20170424*" &amp; "%USERPROFILE%\Documents\GitHub\mrs-test-scripts\Headless Mode &amp; Sideloading\WalkAndUnGZ.bat" "%USERPROFILE%\AppData\Local\Temp\OnboardLogs"\RTDC4018\2017-04-24 &amp; aws s3 cp s3://rtdc.mdm.uploadarchive.raw/RTDC4018/ "%USERPROFILE%\AppData\Local\Temp\OnboardLogs"\RTDC4018\2017-04-25 --exclude "*" --recursive --include "*20170425*" &amp; "%USERPROFILE%\Documents\GitHub\mrs-test-scripts\Headless Mode &amp; Sideloading\WalkAndUnGZ.bat" "%USERPROFILE%\AppData\Local\Temp\OnboardLogs"\RTDC4018\2017-04-25</v>
      </c>
      <c r="AF226" s="77" t="str">
        <f t="shared" si="171"/>
        <v>"C:\Program Files (x86)\AstroGrep\AstroGrep.exe" /e /r /s /spath="%USERPROFILE%\AppData\Local\Temp\OnboardLogs" /stypes="app*4018*20170424*" /stext=" 23:.+((SYSTEM_STATE.+slice.+state.+changed )|(ment ac)|(multiple cpu faults)|(system.+state.+changed )|(\[timeout)|(PRM\|1\|D)|(kpr)|(kdp)|(train.+moving)|(\|lc)|(penalty))"</v>
      </c>
      <c r="AG226" s="1" t="str">
        <f t="shared" si="179"/>
        <v>Other</v>
      </c>
      <c r="AH226" s="81" t="str">
        <f t="shared" si="180"/>
        <v>"%USERPROFILE%\Documents\GitHub\eaglep3\Utilities\RefineRTDCRunTimes.py" --tripid 66-24 --locoid 4018 --swversion DE.1.0.9.0 --startMP 204:1479 --initTime 2017-04-24T17:23:34 --startdatetime 2017-04-24T17:39:43 --delay 1 --endMP 300:23301 --enddatetime 2017-04-24T17:56:31 --enforcementcount 0 &gt;&gt;C:\Users\stu\Documents\GitHub\eaglep3-reporting\EC\2017-04-24-refined-times.txt</v>
      </c>
      <c r="AI226" s="99" t="str">
        <f t="shared" si="181"/>
        <v>echo {"issue":{"subject":"","project_id":79,"tracker_id":40,"status_id":1,"priority_id":2,"assigned_to_id":23,"start_date":"2017-04-24","description":"","custom_fields":[{"id":1,"name":"Subdivision","value":"Other"},{"id":4,"name":"Milepost","value":"2.3301"},{"id":17,"name":"Train ID","value":"66-24"},{"id":16,"name":"Locomotive ID","value":"4018"},{"id":130,"name":"Impact","value":""},{"id":150,"name":"Time of Event (Mountain Time)","value":"17:56:31"},{"id":151,"name":"Denver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182"/>
        <v>start /low /b %USERPROFILE%\Documents\GitHub\eaglep3\Utilities\DownloadLogsFromS3.py --loco 4018 --day 2017-04-24</v>
      </c>
      <c r="AN226" s="154" t="str">
        <f t="shared" si="183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23:56:31"},{"id":29,"name":"Sharepoint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752</v>
      </c>
      <c r="B227" s="7">
        <v>4041</v>
      </c>
      <c r="C227" s="21" t="s">
        <v>212</v>
      </c>
      <c r="D227" s="21" t="s">
        <v>534</v>
      </c>
      <c r="E227" s="13">
        <v>42849.895254629628</v>
      </c>
      <c r="F227" s="13">
        <v>42849.91065972222</v>
      </c>
      <c r="G227" s="7">
        <v>1</v>
      </c>
      <c r="H227" s="21" t="s">
        <v>870</v>
      </c>
      <c r="I227" s="13">
        <v>42849.917951388888</v>
      </c>
      <c r="J227" s="7">
        <v>0</v>
      </c>
      <c r="K227" s="92" t="str">
        <f t="shared" si="173"/>
        <v>4041/4042</v>
      </c>
      <c r="L227" s="21" t="str">
        <f>VLOOKUP(A227,'Trips&amp;Operators'!$C$1:$G$99999,5,FALSE)</f>
        <v>YANG JAN</v>
      </c>
      <c r="M227" s="6">
        <f t="shared" si="174"/>
        <v>7.291666668606922E-3</v>
      </c>
      <c r="N227" s="7">
        <f t="shared" si="186"/>
        <v>10.500000002793968</v>
      </c>
      <c r="O227" s="7"/>
      <c r="P227" s="7"/>
      <c r="Q227" s="22"/>
      <c r="R227" s="191"/>
      <c r="S227" s="197">
        <f t="shared" si="172"/>
        <v>0</v>
      </c>
      <c r="T227" s="191" t="e">
        <f t="shared" si="175"/>
        <v>#VALUE!</v>
      </c>
      <c r="U227" s="19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2" t="str">
        <f t="shared" si="169"/>
        <v>https://d0f6bd738d7f1b3e5a7ca70fe4ff75f0.us-east-1.aws.found.io/app/kibana#/discover/Steve-Slow-Train-Analysis-(2080s-and-2083s)?_g=(refreshInterval:(display:Off,pause:!f,section:0,value:0),time:(from:'2017-04-24T20:29:10-0600',mode:absolute,to:'2017-04-24T23:01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7" s="193" t="str">
        <f t="shared" si="176"/>
        <v>Y</v>
      </c>
      <c r="X227" s="193" t="e">
        <f t="shared" si="187"/>
        <v>#VALUE!</v>
      </c>
      <c r="Y227" s="193">
        <f t="shared" si="184"/>
        <v>23.296700000000001</v>
      </c>
      <c r="Z227" s="193">
        <f t="shared" si="185"/>
        <v>19.0091</v>
      </c>
      <c r="AA227" s="193">
        <f t="shared" si="177"/>
        <v>4.2876000000000012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178"/>
        <v>80-24</v>
      </c>
      <c r="AE227" s="80" t="str">
        <f t="shared" si="170"/>
        <v>aws s3 cp s3://rtdc.mdm.uploadarchive.raw/RTDC4041/ "%USERPROFILE%\AppData\Local\Temp\OnboardLogs"\RTDC4041\2017-04-24 --exclude "*" --recursive --include "*20170424*" &amp; "%USERPROFILE%\Documents\GitHub\mrs-test-scripts\Headless Mode &amp; Sideloading\WalkAndUnGZ.bat" "%USERPROFILE%\AppData\Local\Temp\OnboardLogs"\RTDC4041\2017-04-24 &amp; aws s3 cp s3://rtdc.mdm.uploadarchive.raw/RTDC4041/ "%USERPROFILE%\AppData\Local\Temp\OnboardLogs"\RTDC4041\2017-04-25 --exclude "*" --recursive --include "*20170425*" &amp; "%USERPROFILE%\Documents\GitHub\mrs-test-scripts\Headless Mode &amp; Sideloading\WalkAndUnGZ.bat" "%USERPROFILE%\AppData\Local\Temp\OnboardLogs"\RTDC4041\2017-04-25</v>
      </c>
      <c r="AF227" s="77" t="str">
        <f t="shared" si="171"/>
        <v>"C:\Program Files (x86)\AstroGrep\AstroGrep.exe" /e /r /s /spath="%USERPROFILE%\AppData\Local\Temp\OnboardLogs" /stypes="app*4041*20170425*" /stext=" 04:.+((SYSTEM_STATE.+slice.+state.+changed )|(ment ac)|(multiple cpu faults)|(system.+state.+changed )|(\[timeout)|(PRM\|1\|D)|(kpr)|(kdp)|(train.+moving)|(\|lc)|(penalty))"</v>
      </c>
      <c r="AG227" s="1" t="str">
        <f t="shared" si="179"/>
        <v>Other</v>
      </c>
      <c r="AH227" s="81" t="str">
        <f t="shared" si="180"/>
        <v>"%USERPROFILE%\Documents\GitHub\eaglep3\Utilities\RefineRTDCRunTimes.py" --tripid 80-24 --locoid 4041 --swversion DE.1.0.9.0 --startMP 204:232967 --initTime 2017-04-24T21:29:10 --startdatetime 2017-04-24T21:51:21 --delay 1 --endMP 204:190091 --enddatetime 2017-04-24T22:01:51 --enforcementcount 0 &gt;&gt;C:\Users\stu\Documents\GitHub\eaglep3-reporting\EC\2017-04-24-refined-times.txt</v>
      </c>
      <c r="AI227" s="99" t="str">
        <f t="shared" si="181"/>
        <v>echo {"issue":{"subject":"","project_id":79,"tracker_id":40,"status_id":1,"priority_id":2,"assigned_to_id":23,"start_date":"2017-04-24","description":"","custom_fields":[{"id":1,"name":"Subdivision","value":"Other"},{"id":4,"name":"Milepost","value":"19.0091"},{"id":17,"name":"Train ID","value":"80-24"},{"id":16,"name":"Locomotive ID","value":"4041"},{"id":130,"name":"Impact","value":""},{"id":150,"name":"Time of Event (Mountain Time)","value":"22:01:51"},{"id":151,"name":"Denver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182"/>
        <v>start /low /b %USERPROFILE%\Documents\GitHub\eaglep3\Utilities\DownloadLogsFromS3.py --loco 4041 --day 2017-04-24</v>
      </c>
      <c r="AN227" s="154" t="str">
        <f t="shared" si="183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04:01:51"},{"id":29,"name":"Sharepoint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757</v>
      </c>
      <c r="B228" s="7">
        <v>4042</v>
      </c>
      <c r="C228" s="21" t="s">
        <v>212</v>
      </c>
      <c r="D228" s="21" t="s">
        <v>887</v>
      </c>
      <c r="E228" s="13">
        <v>42849.909328703703</v>
      </c>
      <c r="F228" s="13">
        <v>42849.937708333331</v>
      </c>
      <c r="G228" s="7">
        <v>1</v>
      </c>
      <c r="H228" s="21" t="s">
        <v>475</v>
      </c>
      <c r="I228" s="13">
        <v>42849.967465277776</v>
      </c>
      <c r="J228" s="7">
        <v>0</v>
      </c>
      <c r="K228" s="92" t="str">
        <f t="shared" si="173"/>
        <v>4041/4042</v>
      </c>
      <c r="L228" s="21" t="str">
        <f>VLOOKUP(A228,'Trips&amp;Operators'!$C$1:$G$99999,5,FALSE)</f>
        <v>YANG JAN</v>
      </c>
      <c r="M228" s="6">
        <f t="shared" si="174"/>
        <v>2.9756944444670808E-2</v>
      </c>
      <c r="N228" s="7">
        <f t="shared" si="186"/>
        <v>42.850000000325963</v>
      </c>
      <c r="O228" s="7"/>
      <c r="P228" s="7"/>
      <c r="Q228" s="22"/>
      <c r="R228" s="191"/>
      <c r="S228" s="197">
        <f t="shared" si="172"/>
        <v>0</v>
      </c>
      <c r="T228" s="191" t="e">
        <f t="shared" si="175"/>
        <v>#VALUE!</v>
      </c>
      <c r="U228" s="19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2" t="str">
        <f t="shared" si="169"/>
        <v>https://d0f6bd738d7f1b3e5a7ca70fe4ff75f0.us-east-1.aws.found.io/app/kibana#/discover/Steve-Slow-Train-Analysis-(2080s-and-2083s)?_g=(refreshInterval:(display:Off,pause:!f,section:0,value:0),time:(from:'2017-04-24T20:49:26-0600',mode:absolute,to:'2017-04-25T00:13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8" s="193" t="str">
        <f t="shared" si="176"/>
        <v>Y</v>
      </c>
      <c r="X228" s="193" t="e">
        <f t="shared" si="187"/>
        <v>#VALUE!</v>
      </c>
      <c r="Y228" s="193">
        <f t="shared" si="184"/>
        <v>19.040600000000001</v>
      </c>
      <c r="Z228" s="193">
        <f t="shared" si="185"/>
        <v>23.328900000000001</v>
      </c>
      <c r="AA228" s="193">
        <f t="shared" si="177"/>
        <v>4.2882999999999996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178"/>
        <v>81-24</v>
      </c>
      <c r="AE228" s="80" t="str">
        <f t="shared" si="170"/>
        <v>aws s3 cp s3://rtdc.mdm.uploadarchive.raw/RTDC4042/ "%USERPROFILE%\AppData\Local\Temp\OnboardLogs"\RTDC4042\2017-04-24 --exclude "*" --recursive --include "*20170424*" &amp; "%USERPROFILE%\Documents\GitHub\mrs-test-scripts\Headless Mode &amp; Sideloading\WalkAndUnGZ.bat" "%USERPROFILE%\AppData\Local\Temp\OnboardLogs"\RTDC4042\2017-04-24 &amp; aws s3 cp s3://rtdc.mdm.uploadarchive.raw/RTDC4042/ "%USERPROFILE%\AppData\Local\Temp\OnboardLogs"\RTDC4042\2017-04-25 --exclude "*" --recursive --include "*20170425*" &amp; "%USERPROFILE%\Documents\GitHub\mrs-test-scripts\Headless Mode &amp; Sideloading\WalkAndUnGZ.bat" "%USERPROFILE%\AppData\Local\Temp\OnboardLogs"\RTDC4042\2017-04-25</v>
      </c>
      <c r="AF228" s="77" t="str">
        <f t="shared" si="171"/>
        <v>"C:\Program Files (x86)\AstroGrep\AstroGrep.exe" /e /r /s /spath="%USERPROFILE%\AppData\Local\Temp\OnboardLogs" /stypes="app*4042*20170425*" /stext=" 05:.+((SYSTEM_STATE.+slice.+state.+changed )|(ment ac)|(multiple cpu faults)|(system.+state.+changed )|(\[timeout)|(PRM\|1\|D)|(kpr)|(kdp)|(train.+moving)|(\|lc)|(penalty))"</v>
      </c>
      <c r="AG228" s="1" t="str">
        <f t="shared" si="179"/>
        <v>Other</v>
      </c>
      <c r="AH228" s="81" t="str">
        <f t="shared" si="180"/>
        <v>"%USERPROFILE%\Documents\GitHub\eaglep3\Utilities\RefineRTDCRunTimes.py" --tripid 81-24 --locoid 4042 --swversion DE.1.0.9.0 --startMP 204:190406 --initTime 2017-04-24T21:49:26 --startdatetime 2017-04-24T22:30:18 --delay 1 --endMP 204:233289 --enddatetime 2017-04-24T23:13:09 --enforcementcount 0 &gt;&gt;C:\Users\stu\Documents\GitHub\eaglep3-reporting\EC\2017-04-24-refined-times.txt</v>
      </c>
      <c r="AI228" s="99" t="str">
        <f t="shared" si="181"/>
        <v>echo {"issue":{"subject":"","project_id":79,"tracker_id":40,"status_id":1,"priority_id":2,"assigned_to_id":23,"start_date":"2017-04-24","description":"","custom_fields":[{"id":1,"name":"Subdivision","value":"Other"},{"id":4,"name":"Milepost","value":"23.3289"},{"id":17,"name":"Train ID","value":"81-24"},{"id":16,"name":"Locomotive ID","value":"4042"},{"id":130,"name":"Impact","value":""},{"id":150,"name":"Time of Event (Mountain Time)","value":"23:13:09"},{"id":151,"name":"Denver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182"/>
        <v>start /low /b %USERPROFILE%\Documents\GitHub\eaglep3\Utilities\DownloadLogsFromS3.py --loco 4042 --day 2017-04-24</v>
      </c>
      <c r="AN228" s="154" t="str">
        <f t="shared" si="183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05:13:09"},{"id":29,"name":"Sharepoint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757</v>
      </c>
      <c r="B229" s="7">
        <v>4042</v>
      </c>
      <c r="C229" s="21" t="s">
        <v>212</v>
      </c>
      <c r="D229" s="21" t="s">
        <v>384</v>
      </c>
      <c r="E229" s="13">
        <v>42849.840995370374</v>
      </c>
      <c r="F229" s="13">
        <v>42849.91065972222</v>
      </c>
      <c r="G229" s="7">
        <v>1</v>
      </c>
      <c r="H229" s="21" t="s">
        <v>888</v>
      </c>
      <c r="I229" s="13">
        <v>42849.917951388888</v>
      </c>
      <c r="J229" s="7">
        <v>0</v>
      </c>
      <c r="K229" s="92" t="str">
        <f t="shared" si="173"/>
        <v>4041/4042</v>
      </c>
      <c r="L229" s="21" t="str">
        <f>VLOOKUP(A229,'Trips&amp;Operators'!$C$1:$G$99999,5,FALSE)</f>
        <v>YANG JAN</v>
      </c>
      <c r="M229" s="6">
        <f t="shared" si="174"/>
        <v>7.291666668606922E-3</v>
      </c>
      <c r="N229" s="7">
        <f t="shared" si="186"/>
        <v>10.500000002793968</v>
      </c>
      <c r="O229" s="7"/>
      <c r="P229" s="7"/>
      <c r="Q229" s="22"/>
      <c r="R229" s="191"/>
      <c r="S229" s="197">
        <f t="shared" si="172"/>
        <v>0</v>
      </c>
      <c r="T229" s="191" t="e">
        <f t="shared" si="175"/>
        <v>#VALUE!</v>
      </c>
      <c r="U229" s="19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2" t="str">
        <f t="shared" si="169"/>
        <v>https://d0f6bd738d7f1b3e5a7ca70fe4ff75f0.us-east-1.aws.found.io/app/kibana#/discover/Steve-Slow-Train-Analysis-(2080s-and-2083s)?_g=(refreshInterval:(display:Off,pause:!f,section:0,value:0),time:(from:'2017-04-24T19:11:02-0600',mode:absolute,to:'2017-04-24T23:01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9" s="193" t="str">
        <f t="shared" si="176"/>
        <v>N</v>
      </c>
      <c r="X229" s="193" t="e">
        <f t="shared" si="187"/>
        <v>#VALUE!</v>
      </c>
      <c r="Y229" s="193">
        <f t="shared" si="184"/>
        <v>4.6199999999999998E-2</v>
      </c>
      <c r="Z229" s="193">
        <f t="shared" si="185"/>
        <v>23.328600000000002</v>
      </c>
      <c r="AA229" s="193">
        <f t="shared" si="177"/>
        <v>23.282400000000003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178"/>
        <v>81-24</v>
      </c>
      <c r="AE229" s="80" t="str">
        <f t="shared" si="170"/>
        <v>aws s3 cp s3://rtdc.mdm.uploadarchive.raw/RTDC4042/ "%USERPROFILE%\AppData\Local\Temp\OnboardLogs"\RTDC4042\2017-04-24 --exclude "*" --recursive --include "*20170424*" &amp; "%USERPROFILE%\Documents\GitHub\mrs-test-scripts\Headless Mode &amp; Sideloading\WalkAndUnGZ.bat" "%USERPROFILE%\AppData\Local\Temp\OnboardLogs"\RTDC4042\2017-04-24 &amp; aws s3 cp s3://rtdc.mdm.uploadarchive.raw/RTDC4042/ "%USERPROFILE%\AppData\Local\Temp\OnboardLogs"\RTDC4042\2017-04-25 --exclude "*" --recursive --include "*20170425*" &amp; "%USERPROFILE%\Documents\GitHub\mrs-test-scripts\Headless Mode &amp; Sideloading\WalkAndUnGZ.bat" "%USERPROFILE%\AppData\Local\Temp\OnboardLogs"\RTDC4042\2017-04-25</v>
      </c>
      <c r="AF229" s="77" t="str">
        <f t="shared" si="171"/>
        <v>"C:\Program Files (x86)\AstroGrep\AstroGrep.exe" /e /r /s /spath="%USERPROFILE%\AppData\Local\Temp\OnboardLogs" /stypes="app*4042*20170425*" /stext=" 04:.+((SYSTEM_STATE.+slice.+state.+changed )|(ment ac)|(multiple cpu faults)|(system.+state.+changed )|(\[timeout)|(PRM\|1\|D)|(kpr)|(kdp)|(train.+moving)|(\|lc)|(penalty))"</v>
      </c>
      <c r="AG229" s="1" t="str">
        <f t="shared" si="179"/>
        <v>Other</v>
      </c>
      <c r="AH229" s="81" t="str">
        <f t="shared" si="180"/>
        <v>"%USERPROFILE%\Documents\GitHub\eaglep3\Utilities\RefineRTDCRunTimes.py" --tripid 81-24 --locoid 4042 --swversion DE.1.0.9.0 --startMP 204:462 --initTime 2017-04-24T20:11:02 --startdatetime 2017-04-24T21:51:21 --delay 1 --endMP 204:233286 --enddatetime 2017-04-24T22:01:51 --enforcementcount 0 &gt;&gt;C:\Users\stu\Documents\GitHub\eaglep3-reporting\EC\2017-04-24-refined-times.txt</v>
      </c>
      <c r="AI229" s="99" t="str">
        <f t="shared" si="181"/>
        <v>echo {"issue":{"subject":"","project_id":79,"tracker_id":40,"status_id":1,"priority_id":2,"assigned_to_id":23,"start_date":"2017-04-24","description":"","custom_fields":[{"id":1,"name":"Subdivision","value":"Other"},{"id":4,"name":"Milepost","value":"23.3286"},{"id":17,"name":"Train ID","value":"81-24"},{"id":16,"name":"Locomotive ID","value":"4042"},{"id":130,"name":"Impact","value":""},{"id":150,"name":"Time of Event (Mountain Time)","value":"22:01:51"},{"id":151,"name":"Denver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182"/>
        <v>start /low /b %USERPROFILE%\Documents\GitHub\eaglep3\Utilities\DownloadLogsFromS3.py --loco 4042 --day 2017-04-24</v>
      </c>
      <c r="AN229" s="154" t="str">
        <f t="shared" si="183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04:01:51"},{"id":29,"name":"Sharepoint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770</v>
      </c>
      <c r="B230" s="7">
        <v>4041</v>
      </c>
      <c r="C230" s="21" t="s">
        <v>212</v>
      </c>
      <c r="D230" s="21" t="s">
        <v>826</v>
      </c>
      <c r="E230" s="13">
        <v>42849.934872685182</v>
      </c>
      <c r="F230" s="13">
        <v>42849.971967592595</v>
      </c>
      <c r="G230" s="7">
        <v>1</v>
      </c>
      <c r="H230" s="21" t="s">
        <v>916</v>
      </c>
      <c r="I230" s="13">
        <v>42849.980312500003</v>
      </c>
      <c r="J230" s="7">
        <v>0</v>
      </c>
      <c r="K230" s="92" t="str">
        <f t="shared" si="173"/>
        <v>4041/4042</v>
      </c>
      <c r="L230" s="21" t="str">
        <f>VLOOKUP(A230,'Trips&amp;Operators'!$C$1:$G$99999,5,FALSE)</f>
        <v>YANG JAN</v>
      </c>
      <c r="M230" s="6">
        <f t="shared" si="174"/>
        <v>8.3449074081727304E-3</v>
      </c>
      <c r="N230" s="7">
        <f t="shared" si="186"/>
        <v>12.016666667768732</v>
      </c>
      <c r="O230" s="7"/>
      <c r="P230" s="7"/>
      <c r="Q230" s="22"/>
      <c r="R230" s="191"/>
      <c r="S230" s="197">
        <f t="shared" si="172"/>
        <v>0</v>
      </c>
      <c r="T230" s="191" t="e">
        <f t="shared" si="175"/>
        <v>#VALUE!</v>
      </c>
      <c r="U230" s="19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2" t="str">
        <f t="shared" si="169"/>
        <v>https://d0f6bd738d7f1b3e5a7ca70fe4ff75f0.us-east-1.aws.found.io/app/kibana#/discover/Steve-Slow-Train-Analysis-(2080s-and-2083s)?_g=(refreshInterval:(display:Off,pause:!f,section:0,value:0),time:(from:'2017-04-24T21:26:13-0600',mode:absolute,to:'2017-04-25T00:31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0" s="193" t="str">
        <f t="shared" si="176"/>
        <v>N</v>
      </c>
      <c r="X230" s="193" t="e">
        <f t="shared" si="187"/>
        <v>#VALUE!</v>
      </c>
      <c r="Y230" s="193">
        <f t="shared" si="184"/>
        <v>23.296299999999999</v>
      </c>
      <c r="Z230" s="193">
        <f t="shared" si="185"/>
        <v>1.44E-2</v>
      </c>
      <c r="AA230" s="193">
        <f t="shared" si="177"/>
        <v>23.2819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178"/>
        <v>83-24</v>
      </c>
      <c r="AE230" s="80" t="str">
        <f t="shared" si="170"/>
        <v>aws s3 cp s3://rtdc.mdm.uploadarchive.raw/RTDC4041/ "%USERPROFILE%\AppData\Local\Temp\OnboardLogs"\RTDC4041\2017-04-24 --exclude "*" --recursive --include "*20170424*" &amp; "%USERPROFILE%\Documents\GitHub\mrs-test-scripts\Headless Mode &amp; Sideloading\WalkAndUnGZ.bat" "%USERPROFILE%\AppData\Local\Temp\OnboardLogs"\RTDC4041\2017-04-24 &amp; aws s3 cp s3://rtdc.mdm.uploadarchive.raw/RTDC4041/ "%USERPROFILE%\AppData\Local\Temp\OnboardLogs"\RTDC4041\2017-04-25 --exclude "*" --recursive --include "*20170425*" &amp; "%USERPROFILE%\Documents\GitHub\mrs-test-scripts\Headless Mode &amp; Sideloading\WalkAndUnGZ.bat" "%USERPROFILE%\AppData\Local\Temp\OnboardLogs"\RTDC4041\2017-04-25</v>
      </c>
      <c r="AF230" s="77" t="str">
        <f t="shared" si="171"/>
        <v>"C:\Program Files (x86)\AstroGrep\AstroGrep.exe" /e /r /s /spath="%USERPROFILE%\AppData\Local\Temp\OnboardLogs" /stypes="app*4041*20170425*" /stext=" 05:.+((SYSTEM_STATE.+slice.+state.+changed )|(ment ac)|(multiple cpu faults)|(system.+state.+changed )|(\[timeout)|(PRM\|1\|D)|(kpr)|(kdp)|(train.+moving)|(\|lc)|(penalty))"</v>
      </c>
      <c r="AG230" s="1" t="str">
        <f t="shared" si="179"/>
        <v>Other</v>
      </c>
      <c r="AH230" s="81" t="str">
        <f t="shared" si="180"/>
        <v>"%USERPROFILE%\Documents\GitHub\eaglep3\Utilities\RefineRTDCRunTimes.py" --tripid 83-24 --locoid 4041 --swversion DE.1.0.9.0 --startMP 204:232963 --initTime 2017-04-24T22:26:13 --startdatetime 2017-04-24T23:19:38 --delay 1 --endMP 204:144 --enddatetime 2017-04-24T23:31:39 --enforcementcount 0 &gt;&gt;C:\Users\stu\Documents\GitHub\eaglep3-reporting\EC\2017-04-24-refined-times.txt</v>
      </c>
      <c r="AI230" s="99" t="str">
        <f t="shared" si="181"/>
        <v>echo {"issue":{"subject":"","project_id":79,"tracker_id":40,"status_id":1,"priority_id":2,"assigned_to_id":23,"start_date":"2017-04-24","description":"","custom_fields":[{"id":1,"name":"Subdivision","value":"Other"},{"id":4,"name":"Milepost","value":"0.0144"},{"id":17,"name":"Train ID","value":"83-24"},{"id":16,"name":"Locomotive ID","value":"4041"},{"id":130,"name":"Impact","value":""},{"id":150,"name":"Time of Event (Mountain Time)","value":"23:31:39"},{"id":151,"name":"Denver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182"/>
        <v>start /low /b %USERPROFILE%\Documents\GitHub\eaglep3\Utilities\DownloadLogsFromS3.py --loco 4041 --day 2017-04-24</v>
      </c>
      <c r="AN230" s="154" t="str">
        <f t="shared" si="183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05:31:39"},{"id":29,"name":"Sharepoint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770</v>
      </c>
      <c r="B231" s="7">
        <v>4042</v>
      </c>
      <c r="C231" s="21" t="s">
        <v>212</v>
      </c>
      <c r="D231" s="21" t="s">
        <v>453</v>
      </c>
      <c r="E231" s="13">
        <v>42849.970370370371</v>
      </c>
      <c r="F231" s="13">
        <v>42849.971967592595</v>
      </c>
      <c r="G231" s="7">
        <v>1</v>
      </c>
      <c r="H231" s="21" t="s">
        <v>441</v>
      </c>
      <c r="I231" s="13">
        <v>42849.980312500003</v>
      </c>
      <c r="J231" s="7">
        <v>0</v>
      </c>
      <c r="K231" s="92" t="str">
        <f t="shared" si="173"/>
        <v>4041/4042</v>
      </c>
      <c r="L231" s="21" t="str">
        <f>VLOOKUP(A231,'Trips&amp;Operators'!$C$1:$G$99999,5,FALSE)</f>
        <v>YANG JAN</v>
      </c>
      <c r="M231" s="6">
        <f t="shared" si="174"/>
        <v>8.3449074081727304E-3</v>
      </c>
      <c r="N231" s="7">
        <f t="shared" si="186"/>
        <v>12.016666667768732</v>
      </c>
      <c r="O231" s="7"/>
      <c r="P231" s="7"/>
      <c r="Q231" s="22"/>
      <c r="R231" s="191"/>
      <c r="S231" s="197">
        <f t="shared" si="172"/>
        <v>0</v>
      </c>
      <c r="T231" s="191" t="e">
        <f t="shared" si="175"/>
        <v>#VALUE!</v>
      </c>
      <c r="U231" s="19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2" t="str">
        <f t="shared" si="169"/>
        <v>https://d0f6bd738d7f1b3e5a7ca70fe4ff75f0.us-east-1.aws.found.io/app/kibana#/discover/Steve-Slow-Train-Analysis-(2080s-and-2083s)?_g=(refreshInterval:(display:Off,pause:!f,section:0,value:0),time:(from:'2017-04-24T22:17:20-0600',mode:absolute,to:'2017-04-25T00:31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1" s="193" t="str">
        <f t="shared" si="176"/>
        <v>Y</v>
      </c>
      <c r="X231" s="193" t="e">
        <f t="shared" si="187"/>
        <v>#VALUE!</v>
      </c>
      <c r="Y231" s="193">
        <f t="shared" si="184"/>
        <v>4.5100000000000001E-2</v>
      </c>
      <c r="Z231" s="193">
        <f t="shared" si="185"/>
        <v>2.3304</v>
      </c>
      <c r="AA231" s="193">
        <f t="shared" si="177"/>
        <v>2.2852999999999999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178"/>
        <v>83-24</v>
      </c>
      <c r="AE231" s="80" t="str">
        <f t="shared" si="170"/>
        <v>aws s3 cp s3://rtdc.mdm.uploadarchive.raw/RTDC4042/ "%USERPROFILE%\AppData\Local\Temp\OnboardLogs"\RTDC4042\2017-04-24 --exclude "*" --recursive --include "*20170424*" &amp; "%USERPROFILE%\Documents\GitHub\mrs-test-scripts\Headless Mode &amp; Sideloading\WalkAndUnGZ.bat" "%USERPROFILE%\AppData\Local\Temp\OnboardLogs"\RTDC4042\2017-04-24 &amp; aws s3 cp s3://rtdc.mdm.uploadarchive.raw/RTDC4042/ "%USERPROFILE%\AppData\Local\Temp\OnboardLogs"\RTDC4042\2017-04-25 --exclude "*" --recursive --include "*20170425*" &amp; "%USERPROFILE%\Documents\GitHub\mrs-test-scripts\Headless Mode &amp; Sideloading\WalkAndUnGZ.bat" "%USERPROFILE%\AppData\Local\Temp\OnboardLogs"\RTDC4042\2017-04-25</v>
      </c>
      <c r="AF231" s="77" t="str">
        <f t="shared" si="171"/>
        <v>"C:\Program Files (x86)\AstroGrep\AstroGrep.exe" /e /r /s /spath="%USERPROFILE%\AppData\Local\Temp\OnboardLogs" /stypes="app*4042*20170425*" /stext=" 05:.+((SYSTEM_STATE.+slice.+state.+changed )|(ment ac)|(multiple cpu faults)|(system.+state.+changed )|(\[timeout)|(PRM\|1\|D)|(kpr)|(kdp)|(train.+moving)|(\|lc)|(penalty))"</v>
      </c>
      <c r="AG231" s="1" t="str">
        <f t="shared" si="179"/>
        <v>Other</v>
      </c>
      <c r="AH231" s="81" t="str">
        <f t="shared" si="180"/>
        <v>"%USERPROFILE%\Documents\GitHub\eaglep3\Utilities\RefineRTDCRunTimes.py" --tripid 83-24 --locoid 4042 --swversion DE.1.0.9.0 --startMP 204:451 --initTime 2017-04-24T23:17:20 --startdatetime 2017-04-24T23:19:38 --delay 1 --endMP 300:23304 --enddatetime 2017-04-24T23:31:39 --enforcementcount 0 &gt;&gt;C:\Users\stu\Documents\GitHub\eaglep3-reporting\EC\2017-04-24-refined-times.txt</v>
      </c>
      <c r="AI231" s="99" t="str">
        <f t="shared" si="181"/>
        <v>echo {"issue":{"subject":"","project_id":79,"tracker_id":40,"status_id":1,"priority_id":2,"assigned_to_id":23,"start_date":"2017-04-24","description":"","custom_fields":[{"id":1,"name":"Subdivision","value":"Other"},{"id":4,"name":"Milepost","value":"2.3304"},{"id":17,"name":"Train ID","value":"83-24"},{"id":16,"name":"Locomotive ID","value":"4042"},{"id":130,"name":"Impact","value":""},{"id":150,"name":"Time of Event (Mountain Time)","value":"23:31:39"},{"id":151,"name":"Denver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182"/>
        <v>start /low /b %USERPROFILE%\Documents\GitHub\eaglep3\Utilities\DownloadLogsFromS3.py --loco 4042 --day 2017-04-24</v>
      </c>
      <c r="AN231" s="154" t="str">
        <f t="shared" si="183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05:31:39"},{"id":29,"name":"Sharepoint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  <c r="AM277"/>
    </row>
    <row r="278" spans="1:3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  <c r="AM278"/>
    </row>
  </sheetData>
  <autoFilter ref="A12:AG272"/>
  <sortState ref="A13:AH200">
    <sortCondition ref="AG13:AG200"/>
    <sortCondition ref="AD13:AD200"/>
  </sortState>
  <mergeCells count="1">
    <mergeCell ref="A11:P11"/>
  </mergeCells>
  <conditionalFormatting sqref="W11:W12 W279:X1048576 W13:X231">
    <cfRule type="cellIs" dxfId="10" priority="401" operator="equal">
      <formula>"Y"</formula>
    </cfRule>
  </conditionalFormatting>
  <conditionalFormatting sqref="X279:X1048576 X13:X231">
    <cfRule type="cellIs" dxfId="9" priority="384" operator="greaterThan">
      <formula>1</formula>
    </cfRule>
  </conditionalFormatting>
  <conditionalFormatting sqref="X279:X1048576 X12:X231">
    <cfRule type="cellIs" dxfId="8" priority="381" operator="equal">
      <formula>0</formula>
    </cfRule>
  </conditionalFormatting>
  <conditionalFormatting sqref="A13:S231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AK13:AK231</xm:sqref>
        </x14:dataValidation>
        <x14:dataValidation type="list" allowBlank="1" showInputMessage="1" showErrorMessage="1">
          <x14:formula1>
            <xm:f>'Redmine List Values'!$C$2:$C$15</xm:f>
          </x14:formula1>
          <xm:sqref>AL13:AL231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6"/>
  <sheetViews>
    <sheetView tabSelected="1" topLeftCell="A2" zoomScaleNormal="100" workbookViewId="0">
      <selection activeCell="K24" sqref="K24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2.85546875" style="116" customWidth="1"/>
    <col min="5" max="5" width="17.710937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13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61.8554687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7">
        <f>COUNTIF($O$7:$O$294,"=Y")</f>
        <v>2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8">
        <f>COUNTA($O$7:$O$294)-O2</f>
        <v>42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5" t="str">
        <f>"Eagle P3 Braking Events - "&amp;TEXT(Variables!$A$2,"YYYY-mm-dd")</f>
        <v>Eagle P3 Braking Events - 2017-04-24</v>
      </c>
      <c r="B5" s="205"/>
      <c r="C5" s="205"/>
      <c r="D5" s="205"/>
      <c r="E5" s="205"/>
      <c r="F5" s="205"/>
      <c r="G5" s="205"/>
      <c r="H5" s="205"/>
      <c r="I5" s="205"/>
      <c r="J5" s="205"/>
      <c r="K5" s="205"/>
      <c r="L5" s="205"/>
      <c r="M5" s="205"/>
      <c r="N5" s="205"/>
      <c r="O5" s="205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9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200</v>
      </c>
    </row>
    <row r="7" spans="1:32" s="1" customFormat="1" x14ac:dyDescent="0.25">
      <c r="A7" s="31">
        <v>42849.879687499997</v>
      </c>
      <c r="B7" s="30" t="s">
        <v>438</v>
      </c>
      <c r="C7" s="30" t="s">
        <v>583</v>
      </c>
      <c r="D7" s="30" t="s">
        <v>49</v>
      </c>
      <c r="E7" s="30" t="s">
        <v>191</v>
      </c>
      <c r="F7" s="42">
        <v>0</v>
      </c>
      <c r="G7" s="42">
        <v>223</v>
      </c>
      <c r="H7" s="42">
        <v>26956</v>
      </c>
      <c r="I7" s="42">
        <v>27264</v>
      </c>
      <c r="J7" s="30" t="s">
        <v>192</v>
      </c>
      <c r="K7" s="42">
        <v>27053</v>
      </c>
      <c r="L7" s="134" t="s">
        <v>50</v>
      </c>
      <c r="M7" s="135">
        <f t="shared" ref="M7:M50" si="0">CONVERT((I7-K7)/10000,"mi","ft")*IF(L7="Increasing Mileposts (1)",-1,1)</f>
        <v>-111.408</v>
      </c>
      <c r="N7" s="136" t="str">
        <f>VLOOKUP(C7,'Trips&amp;Operators'!$C$1:$G$99999,5,FALSE)</f>
        <v>PERKINS DARREN</v>
      </c>
      <c r="O7" s="210" t="s">
        <v>184</v>
      </c>
      <c r="P7" s="137" t="s">
        <v>542</v>
      </c>
      <c r="Q7" s="30"/>
      <c r="R7" s="84" t="str">
        <f>IF(VLOOKUP(C7,'Train Runs'!$A$13:$AE$9948,1,1)=C7,VLOOKUP(C7,'Train Runs'!$A$13:$AE$9948,31,1),NA())</f>
        <v>aws s3 cp s3://rtdc.mdm.uploadarchive.raw/RTDC4024/ "%USERPROFILE%\AppData\Local\Temp\OnboardLogs"\RTDC4024\2017-04-24 --exclude "*" --recursive --include "*20170424*" &amp; "%USERPROFILE%\Documents\GitHub\mrs-test-scripts\Headless Mode &amp; Sideloading\WalkAndUnGZ.bat" "%USERPROFILE%\AppData\Local\Temp\OnboardLogs"\RTDC4024\2017-04-24 &amp; aws s3 cp s3://rtdc.mdm.uploadarchive.raw/RTDC4024/ "%USERPROFILE%\AppData\Local\Temp\OnboardLogs"\RTDC4024\2017-04-25 --exclude "*" --recursive --include "*20170425*" &amp; "%USERPROFILE%\Documents\GitHub\mrs-test-scripts\Headless Mode &amp; Sideloading\WalkAndUnGZ.bat" "%USERPROFILE%\AppData\Local\Temp\OnboardLogs"\RTDC4024\2017-04-25</v>
      </c>
      <c r="S7" s="87" t="str">
        <f>VLOOKUP(C7,'Train Runs'!$A$13:$AE$9948,22,0)</f>
        <v>https://d0f6bd738d7f1b3e5a7ca70fe4ff75f0.us-east-1.aws.found.io/app/kibana#/discover/Steve-Slow-Train-Analysis-(2080s-and-2083s)?_g=(refreshInterval:(display:Off,pause:!f,section:0,value:0),time:(from:'2017-04-24T19:58:28-0600',mode:absolute,to:'2017-04-24T22:38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7" s="89" t="str">
        <f t="shared" ref="T7:T50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/stypes="*4024*201704250*" /stext=" 03:.+((SYSTEM_STATE.+slice.+state.+changed )|(ment ac)|(multiple cpu faults)|(system.+state.+changed )|(\[timeout)|(PRM\|1\|D)|(kpr)|(kdp)|(train.+moving)|(\|lc)|(penalty))"</v>
      </c>
      <c r="U7" s="9" t="str">
        <f t="shared" ref="U7:U50" si="2">MID(B7,13,4)</f>
        <v>4024</v>
      </c>
      <c r="V7" s="31">
        <f t="shared" ref="V7:V50" si="3">A7-utc_offset/24</f>
        <v>42850.129687499997</v>
      </c>
      <c r="W7" s="45" t="str">
        <f t="shared" ref="W7:W50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50" si="5">IF(AND(E7="TRACK WARRANT AUTHORITY",G7&lt;10),"OMIT","KEEP")</f>
        <v>KEEP</v>
      </c>
      <c r="Y7" s="99" t="str">
        <f t="shared" ref="Y7:Y5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arrival","project_id":79,"tracker_id":40,"status_id":1,"priority_id":2,"assigned_to_id":23,"start_date":"2017-04-24","description":"","custom_fields":[{"id":1,"name":"Subdivision","value":"EC"},{"id":4,"name":"Milepost","value":"2.7053"},{"id":17,"name":"Train ID","value":"229-24"},{"id":16,"name":"Locomotive ID","value":"4024"},{"id":130,"name":"Impact","value":""},{"id":150,"name":"Time of Event (Mountain Time)","value":"21:06:45"},{"id":151,"name":"Denver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50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"%USERPROFILE%\AppData\Local\Temp\OnboardLogs"\RTDC4024\*4024*201704250*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"%USERPROFILE%\AppData\Local\Temp\OnboardLogs"\RTDC4024\*4024*201704250* &gt;&gt; 2017-04-24-SliceDisagreementCheck.txt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4024 --day 2017-04-25</v>
      </c>
    </row>
    <row r="8" spans="1:32" s="1" customFormat="1" x14ac:dyDescent="0.25">
      <c r="A8" s="31">
        <v>42849.85297453704</v>
      </c>
      <c r="B8" s="30" t="s">
        <v>437</v>
      </c>
      <c r="C8" s="30" t="s">
        <v>581</v>
      </c>
      <c r="D8" s="30" t="s">
        <v>49</v>
      </c>
      <c r="E8" s="30" t="s">
        <v>191</v>
      </c>
      <c r="F8" s="42">
        <v>0</v>
      </c>
      <c r="G8" s="42">
        <v>109</v>
      </c>
      <c r="H8" s="42">
        <v>27383</v>
      </c>
      <c r="I8" s="42">
        <v>27292</v>
      </c>
      <c r="J8" s="30" t="s">
        <v>192</v>
      </c>
      <c r="K8" s="42">
        <v>27350</v>
      </c>
      <c r="L8" s="134" t="s">
        <v>51</v>
      </c>
      <c r="M8" s="135">
        <f t="shared" si="0"/>
        <v>-30.623999999999999</v>
      </c>
      <c r="N8" s="136" t="str">
        <f>VLOOKUP(C8,'Trips&amp;Operators'!$C$1:$G$99999,5,FALSE)</f>
        <v>PERKINS DARREN</v>
      </c>
      <c r="O8" s="210" t="s">
        <v>184</v>
      </c>
      <c r="P8" s="137" t="s">
        <v>542</v>
      </c>
      <c r="Q8" s="30"/>
      <c r="R8" s="84" t="str">
        <f>IF(VLOOKUP(C8,'Train Runs'!$A$13:$AE$9948,1,1)=C8,VLOOKUP(C8,'Train Runs'!$A$13:$AE$9948,31,1),NA())</f>
        <v>aws s3 cp s3://rtdc.mdm.uploadarchive.raw/RTDC4023/ "%USERPROFILE%\AppData\Local\Temp\OnboardLogs"\RTDC4023\2017-04-24 --exclude "*" --recursive --include "*20170424*" &amp; "%USERPROFILE%\Documents\GitHub\mrs-test-scripts\Headless Mode &amp; Sideloading\WalkAndUnGZ.bat" "%USERPROFILE%\AppData\Local\Temp\OnboardLogs"\RTDC4023\2017-04-24 &amp; aws s3 cp s3://rtdc.mdm.uploadarchive.raw/RTDC4023/ "%USERPROFILE%\AppData\Local\Temp\OnboardLogs"\RTDC4023\2017-04-25 --exclude "*" --recursive --include "*20170425*" &amp; "%USERPROFILE%\Documents\GitHub\mrs-test-scripts\Headless Mode &amp; Sideloading\WalkAndUnGZ.bat" "%USERPROFILE%\AppData\Local\Temp\OnboardLogs"\RTDC4023\2017-04-25</v>
      </c>
      <c r="S8" s="87" t="str">
        <f>VLOOKUP(C8,'Train Runs'!$A$13:$AE$9948,22,0)</f>
        <v>https://d0f6bd738d7f1b3e5a7ca70fe4ff75f0.us-east-1.aws.found.io/app/kibana#/discover/Steve-Slow-Train-Analysis-(2080s-and-2083s)?_g=(refreshInterval:(display:Off,pause:!f,section:0,value:0),time:(from:'2017-04-24T18:46:56-0600',mode:absolute,to:'2017-04-24T21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8" s="89" t="str">
        <f t="shared" si="1"/>
        <v>"C:\Program Files (x86)\AstroGrep\AstroGrep.exe" /e /r /s /spath="%USERPROFILE%\AppData\Local\Temp\OnboardLogs" /stypes="*4023*201704250*" /stext=" 02:.+((SYSTEM_STATE.+slice.+state.+changed )|(ment ac)|(multiple cpu faults)|(system.+state.+changed )|(\[timeout)|(PRM\|1\|D)|(kpr)|(kdp)|(train.+moving)|(\|lc)|(penalty))"</v>
      </c>
      <c r="U8" s="9" t="str">
        <f t="shared" si="2"/>
        <v>4023</v>
      </c>
      <c r="V8" s="31">
        <f t="shared" si="3"/>
        <v>42850.10297453704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arrival","project_id":79,"tracker_id":40,"status_id":1,"priority_id":2,"assigned_to_id":23,"start_date":"2017-04-24","description":"","custom_fields":[{"id":1,"name":"Subdivision","value":"EC"},{"id":4,"name":"Milepost","value":"2.735"},{"id":17,"name":"Train ID","value":"222-24"},{"id":16,"name":"Locomotive ID","value":"4023"},{"id":130,"name":"Impact","value":""},{"id":150,"name":"Time of Event (Mountain Time)","value":"20:28:17"},{"id":151,"name":"Denver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-hSE -A400 "Enforcement Action" "%USERPROFILE%\AppData\Local\Temp\OnboardLogs"\RTDC4023\*4023*201704250*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"%USERPROFILE%\AppData\Local\Temp\OnboardLogs"\RTDC4023\*4023*201704250* &gt;&gt; 2017-04-24-SliceDisagreementCheck.txt</v>
      </c>
      <c r="AE8" s="148" t="str">
        <f t="shared" ref="AE8:AE50" si="9">"start /low /b "&amp;dls3logs&amp;" --loco "&amp;U8&amp;" --day "&amp;TEXT(V8,"YYYY-MM-DD")</f>
        <v>start /low /b %USERPROFILE%\Documents\GitHub\eaglep3\Utilities\DownloadLogsFromS3.py --loco 4023 --day 2017-04-25</v>
      </c>
    </row>
    <row r="9" spans="1:32" s="1" customFormat="1" x14ac:dyDescent="0.25">
      <c r="A9" s="31">
        <v>42849.571134259262</v>
      </c>
      <c r="B9" s="30" t="s">
        <v>387</v>
      </c>
      <c r="C9" s="30" t="s">
        <v>560</v>
      </c>
      <c r="D9" s="30" t="s">
        <v>49</v>
      </c>
      <c r="E9" s="30" t="s">
        <v>191</v>
      </c>
      <c r="F9" s="42">
        <v>140</v>
      </c>
      <c r="G9" s="42">
        <v>202</v>
      </c>
      <c r="H9" s="42">
        <v>33621</v>
      </c>
      <c r="I9" s="42">
        <v>33311</v>
      </c>
      <c r="J9" s="30" t="s">
        <v>192</v>
      </c>
      <c r="K9" s="42">
        <v>33257</v>
      </c>
      <c r="L9" s="134" t="s">
        <v>51</v>
      </c>
      <c r="M9" s="135">
        <f t="shared" si="0"/>
        <v>28.512</v>
      </c>
      <c r="N9" s="136" t="str">
        <f>VLOOKUP(C9,'Trips&amp;Operators'!$C$1:$G$99999,5,FALSE)</f>
        <v>THOMPSON LESTER</v>
      </c>
      <c r="O9" s="210" t="s">
        <v>184</v>
      </c>
      <c r="P9" s="137" t="s">
        <v>542</v>
      </c>
      <c r="Q9" s="30"/>
      <c r="R9" s="84" t="str">
        <f>IF(VLOOKUP(C9,'Train Runs'!$A$13:$AE$9948,1,1)=C9,VLOOKUP(C9,'Train Runs'!$A$13:$AE$9948,31,1),NA())</f>
        <v>aws s3 cp s3://rtdc.mdm.uploadarchive.raw/RTDC4009/ "%USERPROFILE%\AppData\Local\Temp\OnboardLogs"\RTDC4009\2017-04-24 --exclude "*" --recursive --include "*20170424*" &amp; "%USERPROFILE%\Documents\GitHub\mrs-test-scripts\Headless Mode &amp; Sideloading\WalkAndUnGZ.bat" "%USERPROFILE%\AppData\Local\Temp\OnboardLogs"\RTDC4009\2017-04-24 &amp; aws s3 cp s3://rtdc.mdm.uploadarchive.raw/RTDC4009/ "%USERPROFILE%\AppData\Local\Temp\OnboardLogs"\RTDC4009\2017-04-25 --exclude "*" --recursive --include "*20170425*" &amp; "%USERPROFILE%\Documents\GitHub\mrs-test-scripts\Headless Mode &amp; Sideloading\WalkAndUnGZ.bat" "%USERPROFILE%\AppData\Local\Temp\OnboardLogs"\RTDC4009\2017-04-25</v>
      </c>
      <c r="S9" s="87" t="str">
        <f>VLOOKUP(C9,'Train Runs'!$A$13:$AE$9948,22,0)</f>
        <v>https://d0f6bd738d7f1b3e5a7ca70fe4ff75f0.us-east-1.aws.found.io/app/kibana#/discover/Steve-Slow-Train-Analysis-(2080s-and-2083s)?_g=(refreshInterval:(display:Off,pause:!f,section:0,value:0),time:(from:'2017-04-24T11:54:04-0600',mode:absolute,to:'2017-04-24T14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9" s="89" t="str">
        <f t="shared" si="1"/>
        <v>"C:\Program Files (x86)\AstroGrep\AstroGrep.exe" /e /r /s /spath="%USERPROFILE%\AppData\Local\Temp\OnboardLogs" /stypes="*4009*201704241*" /stext=" 19:.+((SYSTEM_STATE.+slice.+state.+changed )|(ment ac)|(multiple cpu faults)|(system.+state.+changed )|(\[timeout)|(PRM\|1\|D)|(kpr)|(kdp)|(train.+moving)|(\|lc)|(penalty))"</v>
      </c>
      <c r="U9" s="9" t="str">
        <f t="shared" si="2"/>
        <v>4009</v>
      </c>
      <c r="V9" s="31">
        <f t="shared" si="3"/>
        <v>42849.821134259262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arrival","project_id":79,"tracker_id":40,"status_id":1,"priority_id":2,"assigned_to_id":23,"start_date":"2017-04-24","description":"","custom_fields":[{"id":1,"name":"Subdivision","value":"EC"},{"id":4,"name":"Milepost","value":"3.3257"},{"id":17,"name":"Train ID","value":"170-24"},{"id":16,"name":"Locomotive ID","value":"4009"},{"id":130,"name":"Impact","value":""},{"id":150,"name":"Time of Event (Mountain Time)","value":"13:42:26"},{"id":151,"name":"Denver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-hSE -A400 "Enforcement Action" "%USERPROFILE%\AppData\Local\Temp\OnboardLogs"\RTDC4009\*4009*201704241*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"%USERPROFILE%\AppData\Local\Temp\OnboardLogs"\RTDC4009\*4009*201704241* &gt;&gt; 2017-04-24-SliceDisagreementCheck.txt</v>
      </c>
      <c r="AE9" s="148" t="str">
        <f t="shared" si="9"/>
        <v>start /low /b %USERPROFILE%\Documents\GitHub\eaglep3\Utilities\DownloadLogsFromS3.py --loco 4009 --day 2017-04-24</v>
      </c>
    </row>
    <row r="10" spans="1:32" s="1" customFormat="1" x14ac:dyDescent="0.25">
      <c r="A10" s="31">
        <v>42849.77784722222</v>
      </c>
      <c r="B10" s="30" t="s">
        <v>437</v>
      </c>
      <c r="C10" s="30" t="s">
        <v>576</v>
      </c>
      <c r="D10" s="30" t="s">
        <v>49</v>
      </c>
      <c r="E10" s="30" t="s">
        <v>191</v>
      </c>
      <c r="F10" s="42">
        <v>0</v>
      </c>
      <c r="G10" s="42">
        <v>484</v>
      </c>
      <c r="H10" s="42">
        <v>43761</v>
      </c>
      <c r="I10" s="42">
        <v>42172</v>
      </c>
      <c r="J10" s="30" t="s">
        <v>192</v>
      </c>
      <c r="K10" s="42">
        <v>42961</v>
      </c>
      <c r="L10" s="134" t="s">
        <v>51</v>
      </c>
      <c r="M10" s="135">
        <f t="shared" si="0"/>
        <v>-416.59199999999998</v>
      </c>
      <c r="N10" s="136" t="str">
        <f>VLOOKUP(C10,'Trips&amp;Operators'!$C$1:$G$99999,5,FALSE)</f>
        <v>PERKINS DARREN</v>
      </c>
      <c r="O10" s="210" t="s">
        <v>184</v>
      </c>
      <c r="P10" s="137" t="s">
        <v>542</v>
      </c>
      <c r="Q10" s="30"/>
      <c r="R10" s="84" t="str">
        <f>IF(VLOOKUP(C10,'Train Runs'!$A$13:$AE$9948,1,1)=C10,VLOOKUP(C10,'Train Runs'!$A$13:$AE$9948,31,1),NA())</f>
        <v>aws s3 cp s3://rtdc.mdm.uploadarchive.raw/RTDC4023/ "%USERPROFILE%\AppData\Local\Temp\OnboardLogs"\RTDC4023\2017-04-24 --exclude "*" --recursive --include "*20170424*" &amp; "%USERPROFILE%\Documents\GitHub\mrs-test-scripts\Headless Mode &amp; Sideloading\WalkAndUnGZ.bat" "%USERPROFILE%\AppData\Local\Temp\OnboardLogs"\RTDC4023\2017-04-24 &amp; aws s3 cp s3://rtdc.mdm.uploadarchive.raw/RTDC4023/ "%USERPROFILE%\AppData\Local\Temp\OnboardLogs"\RTDC4023\2017-04-25 --exclude "*" --recursive --include "*20170425*" &amp; "%USERPROFILE%\Documents\GitHub\mrs-test-scripts\Headless Mode &amp; Sideloading\WalkAndUnGZ.bat" "%USERPROFILE%\AppData\Local\Temp\OnboardLogs"\RTDC4023\2017-04-25</v>
      </c>
      <c r="S10" s="87" t="str">
        <f>VLOOKUP(C10,'Train Runs'!$A$13:$AE$9948,22,0)</f>
        <v>https://d0f6bd738d7f1b3e5a7ca70fe4ff75f0.us-east-1.aws.found.io/app/kibana#/discover/Steve-Slow-Train-Analysis-(2080s-and-2083s)?_g=(refreshInterval:(display:Off,pause:!f,section:0,value:0),time:(from:'2017-04-24T16:56:26-0600',mode:absolute,to:'2017-04-24T19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0" s="89" t="str">
        <f t="shared" si="1"/>
        <v>"C:\Program Files (x86)\AstroGrep\AstroGrep.exe" /e /r /s /spath="%USERPROFILE%\AppData\Local\Temp\OnboardLogs" /stypes="*4023*201704250*" /stext=" 00:.+((SYSTEM_STATE.+slice.+state.+changed )|(ment ac)|(multiple cpu faults)|(system.+state.+changed )|(\[timeout)|(PRM\|1\|D)|(kpr)|(kdp)|(train.+moving)|(\|lc)|(penalty))"</v>
      </c>
      <c r="U10" s="9" t="str">
        <f t="shared" si="2"/>
        <v>4023</v>
      </c>
      <c r="V10" s="31">
        <f t="shared" si="3"/>
        <v>42850.02784722222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arrival","project_id":79,"tracker_id":40,"status_id":1,"priority_id":2,"assigned_to_id":23,"start_date":"2017-04-24","description":"","custom_fields":[{"id":1,"name":"Subdivision","value":"EC"},{"id":4,"name":"Milepost","value":"4.2961"},{"id":17,"name":"Train ID","value":"210-24"},{"id":16,"name":"Locomotive ID","value":"4023"},{"id":130,"name":"Impact","value":""},{"id":150,"name":"Time of Event (Mountain Time)","value":"18:40:06"},{"id":151,"name":"Denver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-hSE -A400 "Enforcement Action" "%USERPROFILE%\AppData\Local\Temp\OnboardLogs"\RTDC4023\*4023*201704250*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"%USERPROFILE%\AppData\Local\Temp\OnboardLogs"\RTDC4023\*4023*201704250* &gt;&gt; 2017-04-24-SliceDisagreementCheck.txt</v>
      </c>
      <c r="AE10" s="148" t="str">
        <f t="shared" si="9"/>
        <v>start /low /b %USERPROFILE%\Documents\GitHub\eaglep3\Utilities\DownloadLogsFromS3.py --loco 4023 --day 2017-04-25</v>
      </c>
    </row>
    <row r="11" spans="1:32" s="1" customFormat="1" x14ac:dyDescent="0.25">
      <c r="A11" s="31">
        <v>42849.474733796298</v>
      </c>
      <c r="B11" s="30" t="s">
        <v>361</v>
      </c>
      <c r="C11" s="30" t="s">
        <v>555</v>
      </c>
      <c r="D11" s="30" t="s">
        <v>49</v>
      </c>
      <c r="E11" s="30" t="s">
        <v>191</v>
      </c>
      <c r="F11" s="42">
        <v>480</v>
      </c>
      <c r="G11" s="42">
        <v>538</v>
      </c>
      <c r="H11" s="42">
        <v>44218</v>
      </c>
      <c r="I11" s="42">
        <v>42517</v>
      </c>
      <c r="J11" s="30" t="s">
        <v>192</v>
      </c>
      <c r="K11" s="42">
        <v>42961</v>
      </c>
      <c r="L11" s="134" t="s">
        <v>51</v>
      </c>
      <c r="M11" s="135">
        <f t="shared" si="0"/>
        <v>-234.43199999999999</v>
      </c>
      <c r="N11" s="136" t="str">
        <f>VLOOKUP(C11,'Trips&amp;Operators'!$C$1:$G$99999,5,FALSE)</f>
        <v>SHOOK JOHN</v>
      </c>
      <c r="O11" s="210" t="s">
        <v>184</v>
      </c>
      <c r="P11" s="137" t="s">
        <v>542</v>
      </c>
      <c r="Q11" s="30"/>
      <c r="R11" s="84" t="str">
        <f>IF(VLOOKUP(C11,'Train Runs'!$A$13:$AE$9948,1,1)=C11,VLOOKUP(C11,'Train Runs'!$A$13:$AE$9948,31,1),NA())</f>
        <v>aws s3 cp s3://rtdc.mdm.uploadarchive.raw/RTDC4029/ "%USERPROFILE%\AppData\Local\Temp\OnboardLogs"\RTDC4029\2017-04-24 --exclude "*" --recursive --include "*20170424*" &amp; "%USERPROFILE%\Documents\GitHub\mrs-test-scripts\Headless Mode &amp; Sideloading\WalkAndUnGZ.bat" "%USERPROFILE%\AppData\Local\Temp\OnboardLogs"\RTDC4029\2017-04-24 &amp; aws s3 cp s3://rtdc.mdm.uploadarchive.raw/RTDC4029/ "%USERPROFILE%\AppData\Local\Temp\OnboardLogs"\RTDC4029\2017-04-25 --exclude "*" --recursive --include "*20170425*" &amp; "%USERPROFILE%\Documents\GitHub\mrs-test-scripts\Headless Mode &amp; Sideloading\WalkAndUnGZ.bat" "%USERPROFILE%\AppData\Local\Temp\OnboardLogs"\RTDC4029\2017-04-25</v>
      </c>
      <c r="S11" s="87" t="str">
        <f>VLOOKUP(C11,'Train Runs'!$A$13:$AE$9948,22,0)</f>
        <v>https://d0f6bd738d7f1b3e5a7ca70fe4ff75f0.us-east-1.aws.found.io/app/kibana#/discover/Steve-Slow-Train-Analysis-(2080s-and-2083s)?_g=(refreshInterval:(display:Off,pause:!f,section:0,value:0),time:(from:'2017-04-24T09:38:25-0600',mode:absolute,to:'2017-04-24T12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1" s="89" t="str">
        <f t="shared" si="1"/>
        <v>"C:\Program Files (x86)\AstroGrep\AstroGrep.exe" /e /r /s /spath="%USERPROFILE%\AppData\Local\Temp\OnboardLogs" /stypes="*4029*201704241*" /stext=" 17:.+((SYSTEM_STATE.+slice.+state.+changed )|(ment ac)|(multiple cpu faults)|(system.+state.+changed )|(\[timeout)|(PRM\|1\|D)|(kpr)|(kdp)|(train.+moving)|(\|lc)|(penalty))"</v>
      </c>
      <c r="U11" s="9" t="str">
        <f t="shared" si="2"/>
        <v>4029</v>
      </c>
      <c r="V11" s="31">
        <f t="shared" si="3"/>
        <v>42849.724733796298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arrival","project_id":79,"tracker_id":40,"status_id":1,"priority_id":2,"assigned_to_id":23,"start_date":"2017-04-24","description":"","custom_fields":[{"id":1,"name":"Subdivision","value":"EC"},{"id":4,"name":"Milepost","value":"4.2961"},{"id":17,"name":"Train ID","value":"152-24"},{"id":16,"name":"Locomotive ID","value":"4029"},{"id":130,"name":"Impact","value":""},{"id":150,"name":"Time of Event (Mountain Time)","value":"11:23:37"},{"id":151,"name":"Denver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-hSE -A400 "Enforcement Action" "%USERPROFILE%\AppData\Local\Temp\OnboardLogs"\RTDC4029\*4029*201704241*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"%USERPROFILE%\AppData\Local\Temp\OnboardLogs"\RTDC4029\*4029*201704241* &gt;&gt; 2017-04-24-SliceDisagreementCheck.txt</v>
      </c>
      <c r="AE11" s="148" t="str">
        <f t="shared" si="9"/>
        <v>start /low /b %USERPROFILE%\Documents\GitHub\eaglep3\Utilities\DownloadLogsFromS3.py --loco 4029 --day 2017-04-24</v>
      </c>
    </row>
    <row r="12" spans="1:32" s="1" customFormat="1" x14ac:dyDescent="0.25">
      <c r="A12" s="31">
        <v>42849.265798611108</v>
      </c>
      <c r="B12" s="30" t="s">
        <v>437</v>
      </c>
      <c r="C12" s="30" t="s">
        <v>547</v>
      </c>
      <c r="D12" s="30" t="s">
        <v>98</v>
      </c>
      <c r="E12" s="30" t="s">
        <v>191</v>
      </c>
      <c r="F12" s="42">
        <v>260</v>
      </c>
      <c r="G12" s="42">
        <v>312</v>
      </c>
      <c r="H12" s="42">
        <v>53169</v>
      </c>
      <c r="I12" s="42">
        <v>52087</v>
      </c>
      <c r="J12" s="30" t="s">
        <v>192</v>
      </c>
      <c r="K12" s="42">
        <v>53277</v>
      </c>
      <c r="L12" s="134" t="s">
        <v>51</v>
      </c>
      <c r="M12" s="135">
        <f t="shared" si="0"/>
        <v>-628.32000000000005</v>
      </c>
      <c r="N12" s="136" t="str">
        <f>VLOOKUP(C12,'Trips&amp;Operators'!$C$1:$G$99999,5,FALSE)</f>
        <v>GUZMAN DANNY</v>
      </c>
      <c r="O12" s="210" t="s">
        <v>184</v>
      </c>
      <c r="P12" s="137" t="s">
        <v>542</v>
      </c>
      <c r="Q12" s="30"/>
      <c r="R12" s="84" t="str">
        <f>IF(VLOOKUP(C12,'Train Runs'!$A$13:$AE$9948,1,1)=C12,VLOOKUP(C12,'Train Runs'!$A$13:$AE$9948,31,1),NA())</f>
        <v>aws s3 cp s3://rtdc.mdm.uploadarchive.raw/RTDC4023/ "%USERPROFILE%\AppData\Local\Temp\OnboardLogs"\RTDC4023\2017-04-24 --exclude "*" --recursive --include "*20170424*" &amp; "%USERPROFILE%\Documents\GitHub\mrs-test-scripts\Headless Mode &amp; Sideloading\WalkAndUnGZ.bat" "%USERPROFILE%\AppData\Local\Temp\OnboardLogs"\RTDC4023\2017-04-24 &amp; aws s3 cp s3://rtdc.mdm.uploadarchive.raw/RTDC4023/ "%USERPROFILE%\AppData\Local\Temp\OnboardLogs"\RTDC4023\2017-04-25 --exclude "*" --recursive --include "*20170425*" &amp; "%USERPROFILE%\Documents\GitHub\mrs-test-scripts\Headless Mode &amp; Sideloading\WalkAndUnGZ.bat" "%USERPROFILE%\AppData\Local\Temp\OnboardLogs"\RTDC4023\2017-04-25</v>
      </c>
      <c r="S12" s="87" t="str">
        <f>VLOOKUP(C12,'Train Runs'!$A$13:$AE$9948,22,0)</f>
        <v>https://d0f6bd738d7f1b3e5a7ca70fe4ff75f0.us-east-1.aws.found.io/app/kibana#/discover/Steve-Slow-Train-Analysis-(2080s-and-2083s)?_g=(refreshInterval:(display:Off,pause:!f,section:0,value:0),time:(from:'2017-04-24T04:37:11-0600',mode:absolute,to:'2017-04-24T07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2" s="89" t="str">
        <f t="shared" si="1"/>
        <v>"C:\Program Files (x86)\AstroGrep\AstroGrep.exe" /e /r /s /spath="%USERPROFILE%\AppData\Local\Temp\OnboardLogs" /stypes="*4023*201704241*" /stext=" 12:.+((SYSTEM_STATE.+slice.+state.+changed )|(ment ac)|(multiple cpu faults)|(system.+state.+changed )|(\[timeout)|(PRM\|1\|D)|(kpr)|(kdp)|(train.+moving)|(\|lc)|(penalty))"</v>
      </c>
      <c r="U12" s="9" t="str">
        <f t="shared" si="2"/>
        <v>4023</v>
      </c>
      <c r="V12" s="31">
        <f t="shared" si="3"/>
        <v>42849.515798611108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arrival","project_id":79,"tracker_id":40,"status_id":1,"priority_id":2,"assigned_to_id":23,"start_date":"2017-04-24","description":"","custom_fields":[{"id":1,"name":"Subdivision","value":"EC"},{"id":4,"name":"Milepost","value":"5.3277"},{"id":17,"name":"Train ID","value":"112-24"},{"id":16,"name":"Locomotive ID","value":"4023"},{"id":130,"name":"Impact","value":""},{"id":150,"name":"Time of Event (Mountain Time)","value":"06:22:45"},{"id":151,"name":"Denver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-hSE -A400 "Enforcement Action" "%USERPROFILE%\AppData\Local\Temp\OnboardLogs"\RTDC4023\*4023*201704241*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"%USERPROFILE%\AppData\Local\Temp\OnboardLogs"\RTDC4023\*4023*201704241* &gt;&gt; 2017-04-24-SliceDisagreementCheck.txt</v>
      </c>
      <c r="AE12" s="148" t="str">
        <f t="shared" si="9"/>
        <v>start /low /b %USERPROFILE%\Documents\GitHub\eaglep3\Utilities\DownloadLogsFromS3.py --loco 4023 --day 2017-04-24</v>
      </c>
    </row>
    <row r="13" spans="1:32" s="1" customFormat="1" x14ac:dyDescent="0.25">
      <c r="A13" s="31">
        <v>42849.40587962963</v>
      </c>
      <c r="B13" s="30" t="s">
        <v>360</v>
      </c>
      <c r="C13" s="30" t="s">
        <v>553</v>
      </c>
      <c r="D13" s="30" t="s">
        <v>49</v>
      </c>
      <c r="E13" s="30" t="s">
        <v>191</v>
      </c>
      <c r="F13" s="42">
        <v>0</v>
      </c>
      <c r="G13" s="42">
        <v>434</v>
      </c>
      <c r="H13" s="42">
        <v>62791</v>
      </c>
      <c r="I13" s="42">
        <v>63610</v>
      </c>
      <c r="J13" s="30" t="s">
        <v>192</v>
      </c>
      <c r="K13" s="42">
        <v>63069</v>
      </c>
      <c r="L13" s="134" t="s">
        <v>50</v>
      </c>
      <c r="M13" s="135">
        <f t="shared" si="0"/>
        <v>-285.64800000000002</v>
      </c>
      <c r="N13" s="136" t="str">
        <f>VLOOKUP(C13,'Trips&amp;Operators'!$C$1:$G$99999,5,FALSE)</f>
        <v>STARKS ANGELINA</v>
      </c>
      <c r="O13" s="210" t="s">
        <v>184</v>
      </c>
      <c r="P13" s="137" t="s">
        <v>972</v>
      </c>
      <c r="Q13" s="30"/>
      <c r="R13" s="84" t="str">
        <f>IF(VLOOKUP(C13,'Train Runs'!$A$13:$AE$9948,1,1)=C13,VLOOKUP(C13,'Train Runs'!$A$13:$AE$9948,31,1),NA())</f>
        <v>aws s3 cp s3://rtdc.mdm.uploadarchive.raw/RTDC4012/ "%USERPROFILE%\AppData\Local\Temp\OnboardLogs"\RTDC4012\2017-04-24 --exclude "*" --recursive --include "*20170424*" &amp; "%USERPROFILE%\Documents\GitHub\mrs-test-scripts\Headless Mode &amp; Sideloading\WalkAndUnGZ.bat" "%USERPROFILE%\AppData\Local\Temp\OnboardLogs"\RTDC4012\2017-04-24 &amp; aws s3 cp s3://rtdc.mdm.uploadarchive.raw/RTDC4012/ "%USERPROFILE%\AppData\Local\Temp\OnboardLogs"\RTDC4012\2017-04-25 --exclude "*" --recursive --include "*20170425*" &amp; "%USERPROFILE%\Documents\GitHub\mrs-test-scripts\Headless Mode &amp; Sideloading\WalkAndUnGZ.bat" "%USERPROFILE%\AppData\Local\Temp\OnboardLogs"\RTDC4012\2017-04-25</v>
      </c>
      <c r="S13" s="87" t="str">
        <f>VLOOKUP(C13,'Train Runs'!$A$13:$AE$9948,22,0)</f>
        <v>https://d0f6bd738d7f1b3e5a7ca70fe4ff75f0.us-east-1.aws.found.io/app/kibana#/discover/Steve-Slow-Train-Analysis-(2080s-and-2083s)?_g=(refreshInterval:(display:Off,pause:!f,section:0,value:0),time:(from:'2017-04-24T08:26:36-0600',mode:absolute,to:'2017-04-24T11:09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3" s="89" t="str">
        <f t="shared" si="1"/>
        <v>"C:\Program Files (x86)\AstroGrep\AstroGrep.exe" /e /r /s /spath="%USERPROFILE%\AppData\Local\Temp\OnboardLogs" /stypes="*4012*201704241*" /stext=" 15:.+((SYSTEM_STATE.+slice.+state.+changed )|(ment ac)|(multiple cpu faults)|(system.+state.+changed )|(\[timeout)|(PRM\|1\|D)|(kpr)|(kdp)|(train.+moving)|(\|lc)|(penalty))"</v>
      </c>
      <c r="U13" s="9" t="str">
        <f t="shared" si="2"/>
        <v>4012</v>
      </c>
      <c r="V13" s="31">
        <f t="shared" si="3"/>
        <v>42849.65587962963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arrival; operator given 5 seconds of warning","project_id":79,"tracker_id":40,"status_id":1,"priority_id":2,"assigned_to_id":23,"start_date":"2017-04-24","description":"","custom_fields":[{"id":1,"name":"Subdivision","value":"EC"},{"id":4,"name":"Milepost","value":"6.3069"},{"id":17,"name":"Train ID","value":"147-24"},{"id":16,"name":"Locomotive ID","value":"4012"},{"id":130,"name":"Impact","value":""},{"id":150,"name":"Time of Event (Mountain Time)","value":"09:44:28"},{"id":151,"name":"Denver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-hSE -A400 "Enforcement Action" "%USERPROFILE%\AppData\Local\Temp\OnboardLogs"\RTDC4012\*4012*201704241*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"%USERPROFILE%\AppData\Local\Temp\OnboardLogs"\RTDC4012\*4012*201704241* &gt;&gt; 2017-04-24-SliceDisagreementCheck.txt</v>
      </c>
      <c r="AE13" s="148" t="str">
        <f t="shared" si="9"/>
        <v>start /low /b %USERPROFILE%\Documents\GitHub\eaglep3\Utilities\DownloadLogsFromS3.py --loco 4012 --day 2017-04-24</v>
      </c>
    </row>
    <row r="14" spans="1:32" x14ac:dyDescent="0.25">
      <c r="A14" s="31">
        <v>42849.988263888888</v>
      </c>
      <c r="B14" s="30" t="s">
        <v>425</v>
      </c>
      <c r="C14" s="30" t="s">
        <v>585</v>
      </c>
      <c r="D14" s="30" t="s">
        <v>49</v>
      </c>
      <c r="E14" s="30" t="s">
        <v>191</v>
      </c>
      <c r="F14" s="42">
        <v>0</v>
      </c>
      <c r="G14" s="42">
        <v>432</v>
      </c>
      <c r="H14" s="42">
        <v>62683</v>
      </c>
      <c r="I14" s="42">
        <v>63594</v>
      </c>
      <c r="J14" s="30" t="s">
        <v>192</v>
      </c>
      <c r="K14" s="42">
        <v>63069</v>
      </c>
      <c r="L14" s="134" t="s">
        <v>50</v>
      </c>
      <c r="M14" s="135">
        <f t="shared" si="0"/>
        <v>-277.2</v>
      </c>
      <c r="N14" s="136" t="str">
        <f>VLOOKUP(C14,'Trips&amp;Operators'!$C$1:$G$99999,5,FALSE)</f>
        <v>SMITH MICHAEL</v>
      </c>
      <c r="O14" s="210" t="s">
        <v>184</v>
      </c>
      <c r="P14" s="137" t="s">
        <v>972</v>
      </c>
      <c r="Q14" s="30"/>
      <c r="R14" s="84" t="str">
        <f>IF(VLOOKUP(C14,'Train Runs'!$A$13:$AE$9948,1,1)=C14,VLOOKUP(C14,'Train Runs'!$A$13:$AE$9948,31,1),NA())</f>
        <v>aws s3 cp s3://rtdc.mdm.uploadarchive.raw/RTDC4026/ "%USERPROFILE%\AppData\Local\Temp\OnboardLogs"\RTDC4026\2017-04-24 --exclude "*" --recursive --include "*20170424*" &amp; "%USERPROFILE%\Documents\GitHub\mrs-test-scripts\Headless Mode &amp; Sideloading\WalkAndUnGZ.bat" "%USERPROFILE%\AppData\Local\Temp\OnboardLogs"\RTDC4026\2017-04-24 &amp; aws s3 cp s3://rtdc.mdm.uploadarchive.raw/RTDC4026/ "%USERPROFILE%\AppData\Local\Temp\OnboardLogs"\RTDC4026\2017-04-25 --exclude "*" --recursive --include "*20170425*" &amp; "%USERPROFILE%\Documents\GitHub\mrs-test-scripts\Headless Mode &amp; Sideloading\WalkAndUnGZ.bat" "%USERPROFILE%\AppData\Local\Temp\OnboardLogs"\RTDC4026\2017-04-25</v>
      </c>
      <c r="S14" s="87" t="str">
        <f>VLOOKUP(C14,'Train Runs'!$A$13:$AE$9948,22,0)</f>
        <v>https://d0f6bd738d7f1b3e5a7ca70fe4ff75f0.us-east-1.aws.found.io/app/kibana#/discover/Steve-Slow-Train-Analysis-(2080s-and-2083s)?_g=(refreshInterval:(display:Off,pause:!f,section:0,value:0),time:(from:'2017-04-24T22:09:39-0600',mode:absolute,to:'2017-04-25T01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4" s="89" t="str">
        <f t="shared" si="1"/>
        <v>"C:\Program Files (x86)\AstroGrep\AstroGrep.exe" /e /r /s /spath="%USERPROFILE%\AppData\Local\Temp\OnboardLogs" /stypes="*4026*201704250*" /stext=" 05:.+((SYSTEM_STATE.+slice.+state.+changed )|(ment ac)|(multiple cpu faults)|(system.+state.+changed )|(\[timeout)|(PRM\|1\|D)|(kpr)|(kdp)|(train.+moving)|(\|lc)|(penalty))"</v>
      </c>
      <c r="U14" s="9" t="str">
        <f t="shared" si="2"/>
        <v>4026</v>
      </c>
      <c r="V14" s="31">
        <f t="shared" si="3"/>
        <v>42850.238263888888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{"issue":{"subject":"Early arrival; operator given 5 seconds of warning","project_id":79,"tracker_id":40,"status_id":1,"priority_id":2,"assigned_to_id":23,"start_date":"2017-04-24","description":"","custom_fields":[{"id":1,"name":"Subdivision","value":"EC"},{"id":4,"name":"Milepost","value":"6.3069"},{"id":17,"name":"Train ID","value":"239-24"},{"id":16,"name":"Locomotive ID","value":"4026"},{"id":130,"name":"Impact","value":""},{"id":150,"name":"Time of Event (Mountain Time)","value":"23:43:06"},{"id":151,"name":"Denver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-hSE -A400 "Enforcement Action" "%USERPROFILE%\AppData\Local\Temp\OnboardLogs"\RTDC4026\*4026*201704250*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"%USERPROFILE%\AppData\Local\Temp\OnboardLogs"\RTDC4026\*4026*201704250* &gt;&gt; 2017-04-24-SliceDisagreementCheck.txt</v>
      </c>
      <c r="AE14" s="148" t="str">
        <f t="shared" si="9"/>
        <v>start /low /b %USERPROFILE%\Documents\GitHub\eaglep3\Utilities\DownloadLogsFromS3.py --loco 4026 --day 2017-04-25</v>
      </c>
      <c r="AF14" s="1"/>
    </row>
    <row r="15" spans="1:32" x14ac:dyDescent="0.25">
      <c r="A15" s="31">
        <v>42849.217349537037</v>
      </c>
      <c r="B15" s="30" t="s">
        <v>544</v>
      </c>
      <c r="C15" s="30" t="s">
        <v>545</v>
      </c>
      <c r="D15" s="30" t="s">
        <v>98</v>
      </c>
      <c r="E15" s="30" t="s">
        <v>191</v>
      </c>
      <c r="F15" s="42">
        <v>0</v>
      </c>
      <c r="G15" s="22">
        <v>148</v>
      </c>
      <c r="H15" s="42">
        <v>63308</v>
      </c>
      <c r="I15" s="42">
        <v>63162</v>
      </c>
      <c r="J15" s="30" t="s">
        <v>192</v>
      </c>
      <c r="K15" s="42">
        <v>63309</v>
      </c>
      <c r="L15" s="134" t="s">
        <v>51</v>
      </c>
      <c r="M15" s="135">
        <f t="shared" si="0"/>
        <v>-77.616</v>
      </c>
      <c r="N15" s="136" t="str">
        <f>VLOOKUP(C15,'Trips&amp;Operators'!$C$1:$G$99999,5,FALSE)</f>
        <v>MAELZER KURT</v>
      </c>
      <c r="O15" s="210" t="s">
        <v>184</v>
      </c>
      <c r="P15" s="137" t="s">
        <v>973</v>
      </c>
      <c r="Q15" s="30"/>
      <c r="R15" s="84" t="str">
        <f>IF(VLOOKUP(C15,'Train Runs'!$A$13:$AE$9948,1,1)=C15,VLOOKUP(C15,'Train Runs'!$A$13:$AE$9948,31,1),NA())</f>
        <v>aws s3 cp s3://rtdc.mdm.uploadarchive.raw/RTDC4011/ "%USERPROFILE%\AppData\Local\Temp\OnboardLogs"\RTDC4011\2017-04-24 --exclude "*" --recursive --include "*20170424*" &amp; "%USERPROFILE%\Documents\GitHub\mrs-test-scripts\Headless Mode &amp; Sideloading\WalkAndUnGZ.bat" "%USERPROFILE%\AppData\Local\Temp\OnboardLogs"\RTDC4011\2017-04-24 &amp; aws s3 cp s3://rtdc.mdm.uploadarchive.raw/RTDC4011/ "%USERPROFILE%\AppData\Local\Temp\OnboardLogs"\RTDC4011\2017-04-25 --exclude "*" --recursive --include "*20170425*" &amp; "%USERPROFILE%\Documents\GitHub\mrs-test-scripts\Headless Mode &amp; Sideloading\WalkAndUnGZ.bat" "%USERPROFILE%\AppData\Local\Temp\OnboardLogs"\RTDC4011\2017-04-25</v>
      </c>
      <c r="S15" s="87" t="str">
        <f>VLOOKUP(C15,'Train Runs'!$A$13:$AE$9948,22,0)</f>
        <v>https://d0f6bd738d7f1b3e5a7ca70fe4ff75f0.us-east-1.aws.found.io/app/kibana#/discover/Steve-Slow-Train-Analysis-(2080s-and-2083s)?_g=(refreshInterval:(display:Off,pause:!f,section:0,value:0),time:(from:'2017-04-24T03:44:14-0600',mode:absolute,to:'2017-04-24T06:28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5" s="89" t="str">
        <f t="shared" si="1"/>
        <v>"C:\Program Files (x86)\AstroGrep\AstroGrep.exe" /e /r /s /spath="%USERPROFILE%\AppData\Local\Temp\OnboardLogs" /stypes="*4011*201704241*" /stext=" 11:.+((SYSTEM_STATE.+slice.+state.+changed )|(ment ac)|(multiple cpu faults)|(system.+state.+changed )|(\[timeout)|(PRM\|1\|D)|(kpr)|(kdp)|(train.+moving)|(\|lc)|(penalty))"</v>
      </c>
      <c r="U15" s="9" t="str">
        <f t="shared" si="2"/>
        <v>4011</v>
      </c>
      <c r="V15" s="31">
        <f t="shared" si="3"/>
        <v>42849.467349537037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{"issue":{"subject":"Early arrival; 40s programmed station dwell time - 37s actual station dwell time = early arrival by 3s","project_id":79,"tracker_id":40,"status_id":1,"priority_id":2,"assigned_to_id":23,"start_date":"2017-04-24","description":"","custom_fields":[{"id":1,"name":"Subdivision","value":"EC"},{"id":4,"name":"Milepost","value":"6.3309"},{"id":17,"name":"Train ID","value":"104-24"},{"id":16,"name":"Locomotive ID","value":"4011"},{"id":130,"name":"Impact","value":""},{"id":150,"name":"Time of Event (Mountain Time)","value":"05:12:59"},{"id":151,"name":"Denver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-hSE -A400 "Enforcement Action" "%USERPROFILE%\AppData\Local\Temp\OnboardLogs"\RTDC4011\*4011*201704241*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"%USERPROFILE%\AppData\Local\Temp\OnboardLogs"\RTDC4011\*4011*201704241* &gt;&gt; 2017-04-24-SliceDisagreementCheck.txt</v>
      </c>
      <c r="AE15" s="148" t="str">
        <f t="shared" si="9"/>
        <v>start /low /b %USERPROFILE%\Documents\GitHub\eaglep3\Utilities\DownloadLogsFromS3.py --loco 4011 --day 2017-04-24</v>
      </c>
      <c r="AF15" s="1"/>
    </row>
    <row r="16" spans="1:32" x14ac:dyDescent="0.25">
      <c r="A16" s="31">
        <v>42849.775462962964</v>
      </c>
      <c r="B16" s="30" t="s">
        <v>437</v>
      </c>
      <c r="C16" s="30" t="s">
        <v>576</v>
      </c>
      <c r="D16" s="30" t="s">
        <v>98</v>
      </c>
      <c r="E16" s="30" t="s">
        <v>191</v>
      </c>
      <c r="F16" s="42">
        <v>0</v>
      </c>
      <c r="G16" s="22">
        <v>89</v>
      </c>
      <c r="H16" s="42">
        <v>63286</v>
      </c>
      <c r="I16" s="42">
        <v>63201</v>
      </c>
      <c r="J16" s="30" t="s">
        <v>192</v>
      </c>
      <c r="K16" s="42">
        <v>63309</v>
      </c>
      <c r="L16" s="134" t="s">
        <v>51</v>
      </c>
      <c r="M16" s="135">
        <f t="shared" si="0"/>
        <v>-57.024000000000001</v>
      </c>
      <c r="N16" s="136" t="str">
        <f>VLOOKUP(C16,'Trips&amp;Operators'!$C$1:$G$99999,5,FALSE)</f>
        <v>PERKINS DARREN</v>
      </c>
      <c r="O16" s="210" t="s">
        <v>184</v>
      </c>
      <c r="P16" s="137" t="s">
        <v>974</v>
      </c>
      <c r="Q16" s="30"/>
      <c r="R16" s="84" t="str">
        <f>IF(VLOOKUP(C16,'Train Runs'!$A$13:$AE$9948,1,1)=C16,VLOOKUP(C16,'Train Runs'!$A$13:$AE$9948,31,1),NA())</f>
        <v>aws s3 cp s3://rtdc.mdm.uploadarchive.raw/RTDC4023/ "%USERPROFILE%\AppData\Local\Temp\OnboardLogs"\RTDC4023\2017-04-24 --exclude "*" --recursive --include "*20170424*" &amp; "%USERPROFILE%\Documents\GitHub\mrs-test-scripts\Headless Mode &amp; Sideloading\WalkAndUnGZ.bat" "%USERPROFILE%\AppData\Local\Temp\OnboardLogs"\RTDC4023\2017-04-24 &amp; aws s3 cp s3://rtdc.mdm.uploadarchive.raw/RTDC4023/ "%USERPROFILE%\AppData\Local\Temp\OnboardLogs"\RTDC4023\2017-04-25 --exclude "*" --recursive --include "*20170425*" &amp; "%USERPROFILE%\Documents\GitHub\mrs-test-scripts\Headless Mode &amp; Sideloading\WalkAndUnGZ.bat" "%USERPROFILE%\AppData\Local\Temp\OnboardLogs"\RTDC4023\2017-04-25</v>
      </c>
      <c r="S16" s="87" t="str">
        <f>VLOOKUP(C16,'Train Runs'!$A$13:$AE$9948,22,0)</f>
        <v>https://d0f6bd738d7f1b3e5a7ca70fe4ff75f0.us-east-1.aws.found.io/app/kibana#/discover/Steve-Slow-Train-Analysis-(2080s-and-2083s)?_g=(refreshInterval:(display:Off,pause:!f,section:0,value:0),time:(from:'2017-04-24T16:56:26-0600',mode:absolute,to:'2017-04-24T19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6" s="89" t="str">
        <f t="shared" si="1"/>
        <v>"C:\Program Files (x86)\AstroGrep\AstroGrep.exe" /e /r /s /spath="%USERPROFILE%\AppData\Local\Temp\OnboardLogs" /stypes="*4023*201704250*" /stext=" 00:.+((SYSTEM_STATE.+slice.+state.+changed )|(ment ac)|(multiple cpu faults)|(system.+state.+changed )|(\[timeout)|(PRM\|1\|D)|(kpr)|(kdp)|(train.+moving)|(\|lc)|(penalty))"</v>
      </c>
      <c r="U16" s="9" t="str">
        <f t="shared" si="2"/>
        <v>4023</v>
      </c>
      <c r="V16" s="31">
        <f t="shared" si="3"/>
        <v>42850.025462962964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{"issue":{"subject":"Early arrival; 40s programmed station dwell time - 35s actual station dwell time = early arrival by 5s","project_id":79,"tracker_id":40,"status_id":1,"priority_id":2,"assigned_to_id":23,"start_date":"2017-04-24","description":"","custom_fields":[{"id":1,"name":"Subdivision","value":"EC"},{"id":4,"name":"Milepost","value":"6.3309"},{"id":17,"name":"Train ID","value":"210-24"},{"id":16,"name":"Locomotive ID","value":"4023"},{"id":130,"name":"Impact","value":""},{"id":150,"name":"Time of Event (Mountain Time)","value":"18:36:40"},{"id":151,"name":"Denver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-hSE -A400 "Enforcement Action" "%USERPROFILE%\AppData\Local\Temp\OnboardLogs"\RTDC4023\*4023*201704250*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"%USERPROFILE%\AppData\Local\Temp\OnboardLogs"\RTDC4023\*4023*201704250* &gt;&gt; 2017-04-24-SliceDisagreementCheck.txt</v>
      </c>
      <c r="AE16" s="148" t="str">
        <f t="shared" si="9"/>
        <v>start /low /b %USERPROFILE%\Documents\GitHub\eaglep3\Utilities\DownloadLogsFromS3.py --loco 4023 --day 2017-04-25</v>
      </c>
      <c r="AF16" s="1"/>
    </row>
    <row r="17" spans="1:32" x14ac:dyDescent="0.25">
      <c r="A17" s="31">
        <v>42849.544791666667</v>
      </c>
      <c r="B17" s="30" t="s">
        <v>361</v>
      </c>
      <c r="C17" s="30" t="s">
        <v>559</v>
      </c>
      <c r="D17" s="30" t="s">
        <v>49</v>
      </c>
      <c r="E17" s="30" t="s">
        <v>191</v>
      </c>
      <c r="F17" s="42">
        <v>80</v>
      </c>
      <c r="G17" s="22">
        <v>132</v>
      </c>
      <c r="H17" s="42">
        <v>64000</v>
      </c>
      <c r="I17" s="42">
        <v>63868</v>
      </c>
      <c r="J17" s="30" t="s">
        <v>192</v>
      </c>
      <c r="K17" s="42">
        <v>63309</v>
      </c>
      <c r="L17" s="134" t="s">
        <v>51</v>
      </c>
      <c r="M17" s="135">
        <f t="shared" si="0"/>
        <v>295.15199999999999</v>
      </c>
      <c r="N17" s="136" t="str">
        <f>VLOOKUP(C17,'Trips&amp;Operators'!$C$1:$G$99999,5,FALSE)</f>
        <v>LAMAR NEKESHA</v>
      </c>
      <c r="O17" s="210" t="s">
        <v>184</v>
      </c>
      <c r="P17" s="137" t="s">
        <v>974</v>
      </c>
      <c r="Q17" s="30"/>
      <c r="R17" s="84" t="str">
        <f>IF(VLOOKUP(C17,'Train Runs'!$A$13:$AE$9948,1,1)=C17,VLOOKUP(C17,'Train Runs'!$A$13:$AE$9948,31,1),NA())</f>
        <v>aws s3 cp s3://rtdc.mdm.uploadarchive.raw/RTDC4029/ "%USERPROFILE%\AppData\Local\Temp\OnboardLogs"\RTDC4029\2017-04-24 --exclude "*" --recursive --include "*20170424*" &amp; "%USERPROFILE%\Documents\GitHub\mrs-test-scripts\Headless Mode &amp; Sideloading\WalkAndUnGZ.bat" "%USERPROFILE%\AppData\Local\Temp\OnboardLogs"\RTDC4029\2017-04-24 &amp; aws s3 cp s3://rtdc.mdm.uploadarchive.raw/RTDC4029/ "%USERPROFILE%\AppData\Local\Temp\OnboardLogs"\RTDC4029\2017-04-25 --exclude "*" --recursive --include "*20170425*" &amp; "%USERPROFILE%\Documents\GitHub\mrs-test-scripts\Headless Mode &amp; Sideloading\WalkAndUnGZ.bat" "%USERPROFILE%\AppData\Local\Temp\OnboardLogs"\RTDC4029\2017-04-25</v>
      </c>
      <c r="S17" s="87" t="str">
        <f>VLOOKUP(C17,'Train Runs'!$A$13:$AE$9948,22,0)</f>
        <v>https://d0f6bd738d7f1b3e5a7ca70fe4ff75f0.us-east-1.aws.found.io/app/kibana#/discover/Steve-Slow-Train-Analysis-(2080s-and-2083s)?_g=(refreshInterval:(display:Off,pause:!f,section:0,value:0),time:(from:'2017-04-24T11:36:51-0600',mode:absolute,to:'2017-04-24T14:18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7" s="89" t="str">
        <f t="shared" si="1"/>
        <v>"C:\Program Files (x86)\AstroGrep\AstroGrep.exe" /e /r /s /spath="%USERPROFILE%\AppData\Local\Temp\OnboardLogs" /stypes="*4029*201704241*" /stext=" 19:.+((SYSTEM_STATE.+slice.+state.+changed )|(ment ac)|(multiple cpu faults)|(system.+state.+changed )|(\[timeout)|(PRM\|1\|D)|(kpr)|(kdp)|(train.+moving)|(\|lc)|(penalty))"</v>
      </c>
      <c r="U17" s="9" t="str">
        <f t="shared" si="2"/>
        <v>4029</v>
      </c>
      <c r="V17" s="31">
        <f t="shared" si="3"/>
        <v>42849.794791666667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{"issue":{"subject":"Early arrival; 40s programmed station dwell time - 35s actual station dwell time = early arrival by 5s","project_id":79,"tracker_id":40,"status_id":1,"priority_id":2,"assigned_to_id":23,"start_date":"2017-04-24","description":"","custom_fields":[{"id":1,"name":"Subdivision","value":"EC"},{"id":4,"name":"Milepost","value":"6.3309"},{"id":17,"name":"Train ID","value":"166-24"},{"id":16,"name":"Locomotive ID","value":"4029"},{"id":130,"name":"Impact","value":""},{"id":150,"name":"Time of Event (Mountain Time)","value":"13:04:30"},{"id":151,"name":"Denver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-hSE -A400 "Enforcement Action" "%USERPROFILE%\AppData\Local\Temp\OnboardLogs"\RTDC4029\*4029*201704241*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"%USERPROFILE%\AppData\Local\Temp\OnboardLogs"\RTDC4029\*4029*201704241* &gt;&gt; 2017-04-24-SliceDisagreementCheck.txt</v>
      </c>
      <c r="AE17" s="148" t="str">
        <f t="shared" si="9"/>
        <v>start /low /b %USERPROFILE%\Documents\GitHub\eaglep3\Utilities\DownloadLogsFromS3.py --loco 4029 --day 2017-04-24</v>
      </c>
      <c r="AF17" s="1"/>
    </row>
    <row r="18" spans="1:32" x14ac:dyDescent="0.25">
      <c r="A18" s="31">
        <v>42849.504224537035</v>
      </c>
      <c r="B18" s="30" t="s">
        <v>426</v>
      </c>
      <c r="C18" s="30" t="s">
        <v>557</v>
      </c>
      <c r="D18" s="30" t="s">
        <v>49</v>
      </c>
      <c r="E18" s="30" t="s">
        <v>191</v>
      </c>
      <c r="F18" s="42">
        <v>120</v>
      </c>
      <c r="G18" s="22">
        <v>170</v>
      </c>
      <c r="H18" s="42">
        <v>63729</v>
      </c>
      <c r="I18" s="42">
        <v>63484</v>
      </c>
      <c r="J18" s="30" t="s">
        <v>192</v>
      </c>
      <c r="K18" s="42">
        <v>63309</v>
      </c>
      <c r="L18" s="134" t="s">
        <v>51</v>
      </c>
      <c r="M18" s="135">
        <f t="shared" si="0"/>
        <v>92.4</v>
      </c>
      <c r="N18" s="136" t="str">
        <f>VLOOKUP(C18,'Trips&amp;Operators'!$C$1:$G$99999,5,FALSE)</f>
        <v>MENGES BRAD</v>
      </c>
      <c r="O18" s="210" t="s">
        <v>184</v>
      </c>
      <c r="P18" s="137" t="s">
        <v>976</v>
      </c>
      <c r="Q18" s="30"/>
      <c r="R18" s="84" t="str">
        <f>IF(VLOOKUP(C18,'Train Runs'!$A$13:$AE$9948,1,1)=C18,VLOOKUP(C18,'Train Runs'!$A$13:$AE$9948,31,1),NA())</f>
        <v>aws s3 cp s3://rtdc.mdm.uploadarchive.raw/RTDC4025/ "%USERPROFILE%\AppData\Local\Temp\OnboardLogs"\RTDC4025\2017-04-24 --exclude "*" --recursive --include "*20170424*" &amp; "%USERPROFILE%\Documents\GitHub\mrs-test-scripts\Headless Mode &amp; Sideloading\WalkAndUnGZ.bat" "%USERPROFILE%\AppData\Local\Temp\OnboardLogs"\RTDC4025\2017-04-24 &amp; aws s3 cp s3://rtdc.mdm.uploadarchive.raw/RTDC4025/ "%USERPROFILE%\AppData\Local\Temp\OnboardLogs"\RTDC4025\2017-04-25 --exclude "*" --recursive --include "*20170425*" &amp; "%USERPROFILE%\Documents\GitHub\mrs-test-scripts\Headless Mode &amp; Sideloading\WalkAndUnGZ.bat" "%USERPROFILE%\AppData\Local\Temp\OnboardLogs"\RTDC4025\2017-04-25</v>
      </c>
      <c r="S18" s="87" t="str">
        <f>VLOOKUP(C18,'Train Runs'!$A$13:$AE$9948,22,0)</f>
        <v>https://d0f6bd738d7f1b3e5a7ca70fe4ff75f0.us-east-1.aws.found.io/app/kibana#/discover/Steve-Slow-Train-Analysis-(2080s-and-2083s)?_g=(refreshInterval:(display:Off,pause:!f,section:0,value:0),time:(from:'2017-04-24T10:33:48-0600',mode:absolute,to:'2017-04-24T13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8" s="89" t="str">
        <f t="shared" si="1"/>
        <v>"C:\Program Files (x86)\AstroGrep\AstroGrep.exe" /e /r /s /spath="%USERPROFILE%\AppData\Local\Temp\OnboardLogs" /stypes="*4025*201704241*" /stext=" 18:.+((SYSTEM_STATE.+slice.+state.+changed )|(ment ac)|(multiple cpu faults)|(system.+state.+changed )|(\[timeout)|(PRM\|1\|D)|(kpr)|(kdp)|(train.+moving)|(\|lc)|(penalty))"</v>
      </c>
      <c r="U18" s="9" t="str">
        <f t="shared" si="2"/>
        <v>4025</v>
      </c>
      <c r="V18" s="31">
        <f t="shared" si="3"/>
        <v>42849.754224537035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{"issue":{"subject":"Early arrival; 40s programmed station dwell time - 33s actual station dwell time = early arrival by 7s","project_id":79,"tracker_id":40,"status_id":1,"priority_id":2,"assigned_to_id":23,"start_date":"2017-04-24","description":"","custom_fields":[{"id":1,"name":"Subdivision","value":"EC"},{"id":4,"name":"Milepost","value":"6.3309"},{"id":17,"name":"Train ID","value":"158-24"},{"id":16,"name":"Locomotive ID","value":"4025"},{"id":130,"name":"Impact","value":""},{"id":150,"name":"Time of Event (Mountain Time)","value":"12:06:05"},{"id":151,"name":"Denver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-hSE -A400 "Enforcement Action" "%USERPROFILE%\AppData\Local\Temp\OnboardLogs"\RTDC4025\*4025*201704241*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"%USERPROFILE%\AppData\Local\Temp\OnboardLogs"\RTDC4025\*4025*201704241* &gt;&gt; 2017-04-24-SliceDisagreementCheck.txt</v>
      </c>
      <c r="AE18" s="148" t="str">
        <f t="shared" si="9"/>
        <v>start /low /b %USERPROFILE%\Documents\GitHub\eaglep3\Utilities\DownloadLogsFromS3.py --loco 4025 --day 2017-04-24</v>
      </c>
      <c r="AF18" s="1"/>
    </row>
    <row r="19" spans="1:32" x14ac:dyDescent="0.25">
      <c r="A19" s="31">
        <v>42849.56726851852</v>
      </c>
      <c r="B19" s="30" t="s">
        <v>387</v>
      </c>
      <c r="C19" s="30" t="s">
        <v>560</v>
      </c>
      <c r="D19" s="30" t="s">
        <v>98</v>
      </c>
      <c r="E19" s="30" t="s">
        <v>191</v>
      </c>
      <c r="F19" s="42">
        <v>140</v>
      </c>
      <c r="G19" s="22">
        <v>200</v>
      </c>
      <c r="H19" s="42">
        <v>63060</v>
      </c>
      <c r="I19" s="42">
        <v>62710</v>
      </c>
      <c r="J19" s="30" t="s">
        <v>192</v>
      </c>
      <c r="K19" s="42">
        <v>63309</v>
      </c>
      <c r="L19" s="134" t="s">
        <v>51</v>
      </c>
      <c r="M19" s="135">
        <f t="shared" si="0"/>
        <v>-316.27199999999999</v>
      </c>
      <c r="N19" s="136" t="str">
        <f>VLOOKUP(C19,'Trips&amp;Operators'!$C$1:$G$99999,5,FALSE)</f>
        <v>THOMPSON LESTER</v>
      </c>
      <c r="O19" s="210" t="s">
        <v>184</v>
      </c>
      <c r="P19" s="137" t="s">
        <v>977</v>
      </c>
      <c r="Q19" s="30"/>
      <c r="R19" s="84" t="str">
        <f>IF(VLOOKUP(C19,'Train Runs'!$A$13:$AE$9948,1,1)=C19,VLOOKUP(C19,'Train Runs'!$A$13:$AE$9948,31,1),NA())</f>
        <v>aws s3 cp s3://rtdc.mdm.uploadarchive.raw/RTDC4009/ "%USERPROFILE%\AppData\Local\Temp\OnboardLogs"\RTDC4009\2017-04-24 --exclude "*" --recursive --include "*20170424*" &amp; "%USERPROFILE%\Documents\GitHub\mrs-test-scripts\Headless Mode &amp; Sideloading\WalkAndUnGZ.bat" "%USERPROFILE%\AppData\Local\Temp\OnboardLogs"\RTDC4009\2017-04-24 &amp; aws s3 cp s3://rtdc.mdm.uploadarchive.raw/RTDC4009/ "%USERPROFILE%\AppData\Local\Temp\OnboardLogs"\RTDC4009\2017-04-25 --exclude "*" --recursive --include "*20170425*" &amp; "%USERPROFILE%\Documents\GitHub\mrs-test-scripts\Headless Mode &amp; Sideloading\WalkAndUnGZ.bat" "%USERPROFILE%\AppData\Local\Temp\OnboardLogs"\RTDC4009\2017-04-25</v>
      </c>
      <c r="S19" s="87" t="str">
        <f>VLOOKUP(C19,'Train Runs'!$A$13:$AE$9948,22,0)</f>
        <v>https://d0f6bd738d7f1b3e5a7ca70fe4ff75f0.us-east-1.aws.found.io/app/kibana#/discover/Steve-Slow-Train-Analysis-(2080s-and-2083s)?_g=(refreshInterval:(display:Off,pause:!f,section:0,value:0),time:(from:'2017-04-24T11:54:04-0600',mode:absolute,to:'2017-04-24T14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9" s="89" t="str">
        <f t="shared" si="1"/>
        <v>"C:\Program Files (x86)\AstroGrep\AstroGrep.exe" /e /r /s /spath="%USERPROFILE%\AppData\Local\Temp\OnboardLogs" /stypes="*4009*201704241*" /stext=" 19:.+((SYSTEM_STATE.+slice.+state.+changed )|(ment ac)|(multiple cpu faults)|(system.+state.+changed )|(\[timeout)|(PRM\|1\|D)|(kpr)|(kdp)|(train.+moving)|(\|lc)|(penalty))"</v>
      </c>
      <c r="U19" s="9" t="str">
        <f t="shared" si="2"/>
        <v>4009</v>
      </c>
      <c r="V19" s="31">
        <f t="shared" si="3"/>
        <v>42849.81726851852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{"issue":{"subject":"Early arrival; accelerated before clearing crossing","project_id":79,"tracker_id":40,"status_id":1,"priority_id":2,"assigned_to_id":23,"start_date":"2017-04-24","description":"","custom_fields":[{"id":1,"name":"Subdivision","value":"EC"},{"id":4,"name":"Milepost","value":"6.3309"},{"id":17,"name":"Train ID","value":"170-24"},{"id":16,"name":"Locomotive ID","value":"4009"},{"id":130,"name":"Impact","value":""},{"id":150,"name":"Time of Event (Mountain Time)","value":"13:36:52"},{"id":151,"name":"Denver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-hSE -A400 "Enforcement Action" "%USERPROFILE%\AppData\Local\Temp\OnboardLogs"\RTDC4009\*4009*201704241*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"%USERPROFILE%\AppData\Local\Temp\OnboardLogs"\RTDC4009\*4009*201704241* &gt;&gt; 2017-04-24-SliceDisagreementCheck.txt</v>
      </c>
      <c r="AE19" s="148" t="str">
        <f t="shared" si="9"/>
        <v>start /low /b %USERPROFILE%\Documents\GitHub\eaglep3\Utilities\DownloadLogsFromS3.py --loco 4009 --day 2017-04-24</v>
      </c>
      <c r="AF19" s="1"/>
    </row>
    <row r="20" spans="1:32" x14ac:dyDescent="0.25">
      <c r="A20" s="31">
        <v>42849.531319444446</v>
      </c>
      <c r="B20" s="30" t="s">
        <v>353</v>
      </c>
      <c r="C20" s="30" t="s">
        <v>558</v>
      </c>
      <c r="D20" s="30" t="s">
        <v>49</v>
      </c>
      <c r="E20" s="30" t="s">
        <v>191</v>
      </c>
      <c r="F20" s="42">
        <v>0</v>
      </c>
      <c r="G20" s="42">
        <v>595</v>
      </c>
      <c r="H20" s="42">
        <v>104389</v>
      </c>
      <c r="I20" s="42">
        <v>101811</v>
      </c>
      <c r="J20" s="30" t="s">
        <v>192</v>
      </c>
      <c r="K20" s="42">
        <v>103800</v>
      </c>
      <c r="L20" s="134" t="s">
        <v>51</v>
      </c>
      <c r="M20" s="135">
        <f t="shared" si="0"/>
        <v>-1050.192</v>
      </c>
      <c r="N20" s="136" t="str">
        <f>VLOOKUP(C20,'Trips&amp;Operators'!$C$1:$G$99999,5,FALSE)</f>
        <v>CLARK KATHLEEN</v>
      </c>
      <c r="O20" s="210" t="s">
        <v>184</v>
      </c>
      <c r="P20" s="137" t="s">
        <v>542</v>
      </c>
      <c r="Q20" s="30"/>
      <c r="R20" s="84" t="str">
        <f>IF(VLOOKUP(C20,'Train Runs'!$A$13:$AE$9948,1,1)=C20,VLOOKUP(C20,'Train Runs'!$A$13:$AE$9948,31,1),NA())</f>
        <v>aws s3 cp s3://rtdc.mdm.uploadarchive.raw/RTDC4027/ "%USERPROFILE%\AppData\Local\Temp\OnboardLogs"\RTDC4027\2017-04-24 --exclude "*" --recursive --include "*20170424*" &amp; "%USERPROFILE%\Documents\GitHub\mrs-test-scripts\Headless Mode &amp; Sideloading\WalkAndUnGZ.bat" "%USERPROFILE%\AppData\Local\Temp\OnboardLogs"\RTDC4027\2017-04-24 &amp; aws s3 cp s3://rtdc.mdm.uploadarchive.raw/RTDC4027/ "%USERPROFILE%\AppData\Local\Temp\OnboardLogs"\RTDC4027\2017-04-25 --exclude "*" --recursive --include "*20170425*" &amp; "%USERPROFILE%\Documents\GitHub\mrs-test-scripts\Headless Mode &amp; Sideloading\WalkAndUnGZ.bat" "%USERPROFILE%\AppData\Local\Temp\OnboardLogs"\RTDC4027\2017-04-25</v>
      </c>
      <c r="S20" s="87" t="str">
        <f>VLOOKUP(C20,'Train Runs'!$A$13:$AE$9948,22,0)</f>
        <v>https://d0f6bd738d7f1b3e5a7ca70fe4ff75f0.us-east-1.aws.found.io/app/kibana#/discover/Steve-Slow-Train-Analysis-(2080s-and-2083s)?_g=(refreshInterval:(display:Off,pause:!f,section:0,value:0),time:(from:'2017-04-24T11:20:36-0600',mode:absolute,to:'2017-04-24T14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0" s="89" t="str">
        <f t="shared" si="1"/>
        <v>"C:\Program Files (x86)\AstroGrep\AstroGrep.exe" /e /r /s /spath="%USERPROFILE%\AppData\Local\Temp\OnboardLogs" /stypes="*4027*201704241*" /stext=" 18:.+((SYSTEM_STATE.+slice.+state.+changed )|(ment ac)|(multiple cpu faults)|(system.+state.+changed )|(\[timeout)|(PRM\|1\|D)|(kpr)|(kdp)|(train.+moving)|(\|lc)|(penalty))"</v>
      </c>
      <c r="U20" s="9" t="str">
        <f t="shared" si="2"/>
        <v>4027</v>
      </c>
      <c r="V20" s="31">
        <f t="shared" si="3"/>
        <v>42849.781319444446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{"issue":{"subject":"Early arrival","project_id":79,"tracker_id":40,"status_id":1,"priority_id":2,"assigned_to_id":23,"start_date":"2017-04-24","description":"","custom_fields":[{"id":1,"name":"Subdivision","value":"EC"},{"id":4,"name":"Milepost","value":"10.38"},{"id":17,"name":"Train ID","value":"164-24"},{"id":16,"name":"Locomotive ID","value":"4027"},{"id":130,"name":"Impact","value":""},{"id":150,"name":"Time of Event (Mountain Time)","value":"12:45:06"},{"id":151,"name":"Denver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-hSE -A400 "Enforcement Action" "%USERPROFILE%\AppData\Local\Temp\OnboardLogs"\RTDC4027\*4027*201704241*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"%USERPROFILE%\AppData\Local\Temp\OnboardLogs"\RTDC4027\*4027*201704241* &gt;&gt; 2017-04-24-SliceDisagreementCheck.txt</v>
      </c>
      <c r="AE20" s="148" t="str">
        <f t="shared" si="9"/>
        <v>start /low /b %USERPROFILE%\Documents\GitHub\eaglep3\Utilities\DownloadLogsFromS3.py --loco 4027 --day 2017-04-24</v>
      </c>
      <c r="AF20" s="1"/>
    </row>
    <row r="21" spans="1:32" x14ac:dyDescent="0.25">
      <c r="A21" s="31">
        <v>42849.367881944447</v>
      </c>
      <c r="B21" s="30" t="s">
        <v>438</v>
      </c>
      <c r="C21" s="30" t="s">
        <v>552</v>
      </c>
      <c r="D21" s="30" t="s">
        <v>49</v>
      </c>
      <c r="E21" s="30" t="s">
        <v>191</v>
      </c>
      <c r="F21" s="42">
        <v>730</v>
      </c>
      <c r="G21" s="42">
        <v>782</v>
      </c>
      <c r="H21" s="42">
        <v>108436</v>
      </c>
      <c r="I21" s="42">
        <v>112221</v>
      </c>
      <c r="J21" s="30" t="s">
        <v>192</v>
      </c>
      <c r="K21" s="42">
        <v>108954</v>
      </c>
      <c r="L21" s="134" t="s">
        <v>50</v>
      </c>
      <c r="M21" s="135">
        <f t="shared" si="0"/>
        <v>-1724.9760000000001</v>
      </c>
      <c r="N21" s="136" t="str">
        <f>VLOOKUP(C21,'Trips&amp;Operators'!$C$1:$G$99999,5,FALSE)</f>
        <v>GUZMAN DANNY</v>
      </c>
      <c r="O21" s="210" t="s">
        <v>184</v>
      </c>
      <c r="P21" s="137" t="s">
        <v>542</v>
      </c>
      <c r="Q21" s="30"/>
      <c r="R21" s="84" t="str">
        <f>IF(VLOOKUP(C21,'Train Runs'!$A$13:$AE$9948,1,1)=C21,VLOOKUP(C21,'Train Runs'!$A$13:$AE$9948,31,1),NA())</f>
        <v>aws s3 cp s3://rtdc.mdm.uploadarchive.raw/RTDC4024/ "%USERPROFILE%\AppData\Local\Temp\OnboardLogs"\RTDC4024\2017-04-24 --exclude "*" --recursive --include "*20170424*" &amp; "%USERPROFILE%\Documents\GitHub\mrs-test-scripts\Headless Mode &amp; Sideloading\WalkAndUnGZ.bat" "%USERPROFILE%\AppData\Local\Temp\OnboardLogs"\RTDC4024\2017-04-24 &amp; aws s3 cp s3://rtdc.mdm.uploadarchive.raw/RTDC4024/ "%USERPROFILE%\AppData\Local\Temp\OnboardLogs"\RTDC4024\2017-04-25 --exclude "*" --recursive --include "*20170425*" &amp; "%USERPROFILE%\Documents\GitHub\mrs-test-scripts\Headless Mode &amp; Sideloading\WalkAndUnGZ.bat" "%USERPROFILE%\AppData\Local\Temp\OnboardLogs"\RTDC4024\2017-04-25</v>
      </c>
      <c r="S21" s="87" t="str">
        <f>VLOOKUP(C21,'Train Runs'!$A$13:$AE$9948,22,0)</f>
        <v>https://d0f6bd738d7f1b3e5a7ca70fe4ff75f0.us-east-1.aws.found.io/app/kibana#/discover/Steve-Slow-Train-Analysis-(2080s-and-2083s)?_g=(refreshInterval:(display:Off,pause:!f,section:0,value:0),time:(from:'2017-04-24T07:22:15-0600',mode:absolute,to:'2017-04-24T10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1" s="89" t="str">
        <f t="shared" si="1"/>
        <v>"C:\Program Files (x86)\AstroGrep\AstroGrep.exe" /e /r /s /spath="%USERPROFILE%\AppData\Local\Temp\OnboardLogs" /stypes="*4024*201704241*" /stext=" 14:.+((SYSTEM_STATE.+slice.+state.+changed )|(ment ac)|(multiple cpu faults)|(system.+state.+changed )|(\[timeout)|(PRM\|1\|D)|(kpr)|(kdp)|(train.+moving)|(\|lc)|(penalty))"</v>
      </c>
      <c r="U21" s="9" t="str">
        <f t="shared" si="2"/>
        <v>4024</v>
      </c>
      <c r="V21" s="31">
        <f t="shared" si="3"/>
        <v>42849.617881944447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{"issue":{"subject":"Early arrival","project_id":79,"tracker_id":40,"status_id":1,"priority_id":2,"assigned_to_id":23,"start_date":"2017-04-24","description":"","custom_fields":[{"id":1,"name":"Subdivision","value":"EC"},{"id":4,"name":"Milepost","value":"10.8954"},{"id":17,"name":"Train ID","value":"139-24"},{"id":16,"name":"Locomotive ID","value":"4024"},{"id":130,"name":"Impact","value":""},{"id":150,"name":"Time of Event (Mountain Time)","value":"08:49:45"},{"id":151,"name":"Denver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-hSE -A400 "Enforcement Action" "%USERPROFILE%\AppData\Local\Temp\OnboardLogs"\RTDC4024\*4024*201704241*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"%USERPROFILE%\AppData\Local\Temp\OnboardLogs"\RTDC4024\*4024*201704241* &gt;&gt; 2017-04-24-SliceDisagreementCheck.txt</v>
      </c>
      <c r="AE21" s="148" t="str">
        <f t="shared" si="9"/>
        <v>start /low /b %USERPROFILE%\Documents\GitHub\eaglep3\Utilities\DownloadLogsFromS3.py --loco 4024 --day 2017-04-24</v>
      </c>
      <c r="AF21" s="1"/>
    </row>
    <row r="22" spans="1:32" x14ac:dyDescent="0.25">
      <c r="A22" s="31">
        <v>42849.687395833331</v>
      </c>
      <c r="B22" s="30" t="s">
        <v>361</v>
      </c>
      <c r="C22" s="30" t="s">
        <v>570</v>
      </c>
      <c r="D22" s="30" t="s">
        <v>49</v>
      </c>
      <c r="E22" s="30" t="s">
        <v>191</v>
      </c>
      <c r="F22" s="42">
        <v>0</v>
      </c>
      <c r="G22" s="42">
        <v>358</v>
      </c>
      <c r="H22" s="42">
        <v>109380</v>
      </c>
      <c r="I22" s="42">
        <v>108983</v>
      </c>
      <c r="J22" s="30" t="s">
        <v>192</v>
      </c>
      <c r="K22" s="42">
        <v>109135</v>
      </c>
      <c r="L22" s="134" t="s">
        <v>51</v>
      </c>
      <c r="M22" s="135">
        <f t="shared" si="0"/>
        <v>-80.256</v>
      </c>
      <c r="N22" s="136" t="str">
        <f>VLOOKUP(C22,'Trips&amp;Operators'!$C$1:$G$99999,5,FALSE)</f>
        <v>LAMAR NEKESHA</v>
      </c>
      <c r="O22" s="210" t="s">
        <v>184</v>
      </c>
      <c r="P22" s="137" t="s">
        <v>542</v>
      </c>
      <c r="Q22" s="30"/>
      <c r="R22" s="84" t="str">
        <f>IF(VLOOKUP(C22,'Train Runs'!$A$13:$AE$9948,1,1)=C22,VLOOKUP(C22,'Train Runs'!$A$13:$AE$9948,31,1),NA())</f>
        <v>aws s3 cp s3://rtdc.mdm.uploadarchive.raw/RTDC4029/ "%USERPROFILE%\AppData\Local\Temp\OnboardLogs"\RTDC4029\2017-04-24 --exclude "*" --recursive --include "*20170424*" &amp; "%USERPROFILE%\Documents\GitHub\mrs-test-scripts\Headless Mode &amp; Sideloading\WalkAndUnGZ.bat" "%USERPROFILE%\AppData\Local\Temp\OnboardLogs"\RTDC4029\2017-04-24 &amp; aws s3 cp s3://rtdc.mdm.uploadarchive.raw/RTDC4029/ "%USERPROFILE%\AppData\Local\Temp\OnboardLogs"\RTDC4029\2017-04-25 --exclude "*" --recursive --include "*20170425*" &amp; "%USERPROFILE%\Documents\GitHub\mrs-test-scripts\Headless Mode &amp; Sideloading\WalkAndUnGZ.bat" "%USERPROFILE%\AppData\Local\Temp\OnboardLogs"\RTDC4029\2017-04-25</v>
      </c>
      <c r="S22" s="87" t="str">
        <f>VLOOKUP(C22,'Train Runs'!$A$13:$AE$9948,22,0)</f>
        <v>https://d0f6bd738d7f1b3e5a7ca70fe4ff75f0.us-east-1.aws.found.io/app/kibana#/discover/Steve-Slow-Train-Analysis-(2080s-and-2083s)?_g=(refreshInterval:(display:Off,pause:!f,section:0,value:0),time:(from:'2017-04-24T14:53:14-0600',mode:absolute,to:'2017-04-24T17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2" s="89" t="str">
        <f t="shared" si="1"/>
        <v>"C:\Program Files (x86)\AstroGrep\AstroGrep.exe" /e /r /s /spath="%USERPROFILE%\AppData\Local\Temp\OnboardLogs" /stypes="*4029*201704242*" /stext=" 22:.+((SYSTEM_STATE.+slice.+state.+changed )|(ment ac)|(multiple cpu faults)|(system.+state.+changed )|(\[timeout)|(PRM\|1\|D)|(kpr)|(kdp)|(train.+moving)|(\|lc)|(penalty))"</v>
      </c>
      <c r="U22" s="9" t="str">
        <f t="shared" si="2"/>
        <v>4029</v>
      </c>
      <c r="V22" s="31">
        <f t="shared" si="3"/>
        <v>42849.937395833331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{"issue":{"subject":"Early arrival","project_id":79,"tracker_id":40,"status_id":1,"priority_id":2,"assigned_to_id":23,"start_date":"2017-04-24","description":"","custom_fields":[{"id":1,"name":"Subdivision","value":"EC"},{"id":4,"name":"Milepost","value":"10.9135"},{"id":17,"name":"Train ID","value":"194-24"},{"id":16,"name":"Locomotive ID","value":"4029"},{"id":130,"name":"Impact","value":""},{"id":150,"name":"Time of Event (Mountain Time)","value":"16:29:51"},{"id":151,"name":"Denver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-hSE -A400 "Enforcement Action" "%USERPROFILE%\AppData\Local\Temp\OnboardLogs"\RTDC4029\*4029*201704242*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"%USERPROFILE%\AppData\Local\Temp\OnboardLogs"\RTDC4029\*4029*201704242* &gt;&gt; 2017-04-24-SliceDisagreementCheck.txt</v>
      </c>
      <c r="AE22" s="148" t="str">
        <f t="shared" si="9"/>
        <v>start /low /b %USERPROFILE%\Documents\GitHub\eaglep3\Utilities\DownloadLogsFromS3.py --loco 4029 --day 2017-04-24</v>
      </c>
      <c r="AF22" s="1"/>
    </row>
    <row r="23" spans="1:32" x14ac:dyDescent="0.25">
      <c r="A23" s="31">
        <v>42849.709479166668</v>
      </c>
      <c r="B23" s="30" t="s">
        <v>387</v>
      </c>
      <c r="C23" s="30" t="s">
        <v>572</v>
      </c>
      <c r="D23" s="30" t="s">
        <v>49</v>
      </c>
      <c r="E23" s="30" t="s">
        <v>191</v>
      </c>
      <c r="F23" s="42">
        <v>0</v>
      </c>
      <c r="G23" s="42">
        <v>425</v>
      </c>
      <c r="H23" s="42">
        <v>109568</v>
      </c>
      <c r="I23" s="42">
        <v>108537</v>
      </c>
      <c r="J23" s="30" t="s">
        <v>192</v>
      </c>
      <c r="K23" s="42">
        <v>109135</v>
      </c>
      <c r="L23" s="134" t="s">
        <v>51</v>
      </c>
      <c r="M23" s="135">
        <f t="shared" si="0"/>
        <v>-315.74400000000003</v>
      </c>
      <c r="N23" s="136" t="str">
        <f>VLOOKUP(C23,'Trips&amp;Operators'!$C$1:$G$99999,5,FALSE)</f>
        <v>THOMPSON LESTER</v>
      </c>
      <c r="O23" s="210" t="s">
        <v>184</v>
      </c>
      <c r="P23" s="137" t="s">
        <v>542</v>
      </c>
      <c r="Q23" s="30"/>
      <c r="R23" s="84" t="str">
        <f>IF(VLOOKUP(C23,'Train Runs'!$A$13:$AE$9948,1,1)=C23,VLOOKUP(C23,'Train Runs'!$A$13:$AE$9948,31,1),NA())</f>
        <v>aws s3 cp s3://rtdc.mdm.uploadarchive.raw/RTDC4009/ "%USERPROFILE%\AppData\Local\Temp\OnboardLogs"\RTDC4009\2017-04-24 --exclude "*" --recursive --include "*20170424*" &amp; "%USERPROFILE%\Documents\GitHub\mrs-test-scripts\Headless Mode &amp; Sideloading\WalkAndUnGZ.bat" "%USERPROFILE%\AppData\Local\Temp\OnboardLogs"\RTDC4009\2017-04-24 &amp; aws s3 cp s3://rtdc.mdm.uploadarchive.raw/RTDC4009/ "%USERPROFILE%\AppData\Local\Temp\OnboardLogs"\RTDC4009\2017-04-25 --exclude "*" --recursive --include "*20170425*" &amp; "%USERPROFILE%\Documents\GitHub\mrs-test-scripts\Headless Mode &amp; Sideloading\WalkAndUnGZ.bat" "%USERPROFILE%\AppData\Local\Temp\OnboardLogs"\RTDC4009\2017-04-25</v>
      </c>
      <c r="S23" s="87" t="str">
        <f>VLOOKUP(C23,'Train Runs'!$A$13:$AE$9948,22,0)</f>
        <v>https://d0f6bd738d7f1b3e5a7ca70fe4ff75f0.us-east-1.aws.found.io/app/kibana#/discover/Steve-Slow-Train-Analysis-(2080s-and-2083s)?_g=(refreshInterval:(display:Off,pause:!f,section:0,value:0),time:(from:'2017-04-24T15:23:18-0600',mode:absolute,to:'2017-04-24T18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3" s="89" t="str">
        <f t="shared" si="1"/>
        <v>"C:\Program Files (x86)\AstroGrep\AstroGrep.exe" /e /r /s /spath="%USERPROFILE%\AppData\Local\Temp\OnboardLogs" /stypes="*4009*201704242*" /stext=" 23:.+((SYSTEM_STATE.+slice.+state.+changed )|(ment ac)|(multiple cpu faults)|(system.+state.+changed )|(\[timeout)|(PRM\|1\|D)|(kpr)|(kdp)|(train.+moving)|(\|lc)|(penalty))"</v>
      </c>
      <c r="U23" s="9" t="str">
        <f t="shared" si="2"/>
        <v>4009</v>
      </c>
      <c r="V23" s="31">
        <f t="shared" si="3"/>
        <v>42849.959479166668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{"issue":{"subject":"Early arrival","project_id":79,"tracker_id":40,"status_id":1,"priority_id":2,"assigned_to_id":23,"start_date":"2017-04-24","description":"","custom_fields":[{"id":1,"name":"Subdivision","value":"EC"},{"id":4,"name":"Milepost","value":"10.9135"},{"id":17,"name":"Train ID","value":"198-24"},{"id":16,"name":"Locomotive ID","value":"4009"},{"id":130,"name":"Impact","value":""},{"id":150,"name":"Time of Event (Mountain Time)","value":"17:01:39"},{"id":151,"name":"Denver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-hSE -A400 "Enforcement Action" "%USERPROFILE%\AppData\Local\Temp\OnboardLogs"\RTDC4009\*4009*201704242*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"%USERPROFILE%\AppData\Local\Temp\OnboardLogs"\RTDC4009\*4009*201704242* &gt;&gt; 2017-04-24-SliceDisagreementCheck.txt</v>
      </c>
      <c r="AE23" s="148" t="str">
        <f t="shared" si="9"/>
        <v>start /low /b %USERPROFILE%\Documents\GitHub\eaglep3\Utilities\DownloadLogsFromS3.py --loco 4009 --day 2017-04-24</v>
      </c>
      <c r="AF23" s="1"/>
    </row>
    <row r="24" spans="1:32" x14ac:dyDescent="0.25">
      <c r="A24" s="31">
        <v>42849.793206018519</v>
      </c>
      <c r="B24" s="30" t="s">
        <v>438</v>
      </c>
      <c r="C24" s="30" t="s">
        <v>579</v>
      </c>
      <c r="D24" s="30" t="s">
        <v>98</v>
      </c>
      <c r="E24" s="30" t="s">
        <v>210</v>
      </c>
      <c r="F24" s="42">
        <v>200</v>
      </c>
      <c r="G24" s="42">
        <v>250</v>
      </c>
      <c r="H24" s="42">
        <v>5378</v>
      </c>
      <c r="I24" s="42">
        <v>5976</v>
      </c>
      <c r="J24" s="30" t="s">
        <v>211</v>
      </c>
      <c r="K24" s="42">
        <v>4677</v>
      </c>
      <c r="L24" s="134" t="s">
        <v>50</v>
      </c>
      <c r="M24" s="135">
        <f t="shared" si="0"/>
        <v>-685.87199999999996</v>
      </c>
      <c r="N24" s="136" t="str">
        <f>VLOOKUP(C24,'Trips&amp;Operators'!$C$1:$G$99999,5,FALSE)</f>
        <v>PERKINS DARREN</v>
      </c>
      <c r="O24" s="210" t="s">
        <v>184</v>
      </c>
      <c r="P24" s="137"/>
      <c r="Q24" s="30"/>
      <c r="R24" s="84" t="str">
        <f>IF(VLOOKUP(C24,'Train Runs'!$A$13:$AE$9948,1,1)=C24,VLOOKUP(C24,'Train Runs'!$A$13:$AE$9948,31,1),NA())</f>
        <v>aws s3 cp s3://rtdc.mdm.uploadarchive.raw/RTDC4024/ "%USERPROFILE%\AppData\Local\Temp\OnboardLogs"\RTDC4024\2017-04-24 --exclude "*" --recursive --include "*20170424*" &amp; "%USERPROFILE%\Documents\GitHub\mrs-test-scripts\Headless Mode &amp; Sideloading\WalkAndUnGZ.bat" "%USERPROFILE%\AppData\Local\Temp\OnboardLogs"\RTDC4024\2017-04-24 &amp; aws s3 cp s3://rtdc.mdm.uploadarchive.raw/RTDC4024/ "%USERPROFILE%\AppData\Local\Temp\OnboardLogs"\RTDC4024\2017-04-25 --exclude "*" --recursive --include "*20170425*" &amp; "%USERPROFILE%\Documents\GitHub\mrs-test-scripts\Headless Mode &amp; Sideloading\WalkAndUnGZ.bat" "%USERPROFILE%\AppData\Local\Temp\OnboardLogs"\RTDC4024\2017-04-25</v>
      </c>
      <c r="S24" s="87" t="str">
        <f>VLOOKUP(C24,'Train Runs'!$A$13:$AE$9948,22,0)</f>
        <v>https://d0f6bd738d7f1b3e5a7ca70fe4ff75f0.us-east-1.aws.found.io/app/kibana#/discover/Steve-Slow-Train-Analysis-(2080s-and-2083s)?_g=(refreshInterval:(display:Off,pause:!f,section:0,value:0),time:(from:'2017-04-24T17:55:21-0600',mode:absolute,to:'2017-04-24T20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4" s="89" t="str">
        <f t="shared" si="1"/>
        <v>"C:\Program Files (x86)\AstroGrep\AstroGrep.exe" /e /r /s /spath="%USERPROFILE%\AppData\Local\Temp\OnboardLogs" /stypes="*4024*201704250*" /stext=" 01:.+((SYSTEM_STATE.+slice.+state.+changed )|(ment ac)|(multiple cpu faults)|(system.+state.+changed )|(\[timeout)|(PRM\|1\|D)|(kpr)|(kdp)|(train.+moving)|(\|lc)|(penalty))"</v>
      </c>
      <c r="U24" s="9" t="str">
        <f t="shared" si="2"/>
        <v>4024</v>
      </c>
      <c r="V24" s="31">
        <f t="shared" si="3"/>
        <v>42850.043206018519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{"issue":{"subject":"","project_id":79,"tracker_id":40,"status_id":1,"priority_id":2,"assigned_to_id":23,"start_date":"2017-04-24","description":"","custom_fields":[{"id":1,"name":"Subdivision","value":"EC"},{"id":4,"name":"Milepost","value":"0.4677"},{"id":17,"name":"Train ID","value":"221-24"},{"id":16,"name":"Locomotive ID","value":"4024"},{"id":130,"name":"Impact","value":""},{"id":150,"name":"Time of Event (Mountain Time)","value":"19:02:13"},{"id":151,"name":"Denver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-hSE -A400 "Enforcement Action" "%USERPROFILE%\AppData\Local\Temp\OnboardLogs"\RTDC4024\*4024*201704250*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"%USERPROFILE%\AppData\Local\Temp\OnboardLogs"\RTDC4024\*4024*201704250* &gt;&gt; 2017-04-24-SliceDisagreementCheck.txt</v>
      </c>
      <c r="AE24" s="148" t="str">
        <f t="shared" si="9"/>
        <v>start /low /b %USERPROFILE%\Documents\GitHub\eaglep3\Utilities\DownloadLogsFromS3.py --loco 4024 --day 2017-04-25</v>
      </c>
      <c r="AF24" s="1"/>
    </row>
    <row r="25" spans="1:32" x14ac:dyDescent="0.25">
      <c r="A25" s="31">
        <v>42849.721712962964</v>
      </c>
      <c r="B25" s="30" t="s">
        <v>438</v>
      </c>
      <c r="C25" s="30" t="s">
        <v>573</v>
      </c>
      <c r="D25" s="30" t="s">
        <v>49</v>
      </c>
      <c r="E25" s="30" t="s">
        <v>210</v>
      </c>
      <c r="F25" s="42">
        <v>400</v>
      </c>
      <c r="G25" s="42">
        <v>510</v>
      </c>
      <c r="H25" s="42">
        <v>16884</v>
      </c>
      <c r="I25" s="42">
        <v>17810</v>
      </c>
      <c r="J25" s="30" t="s">
        <v>211</v>
      </c>
      <c r="K25" s="42">
        <v>17867</v>
      </c>
      <c r="L25" s="134" t="s">
        <v>50</v>
      </c>
      <c r="M25" s="135">
        <f t="shared" si="0"/>
        <v>30.096</v>
      </c>
      <c r="N25" s="136" t="str">
        <f>VLOOKUP(C25,'Trips&amp;Operators'!$C$1:$G$99999,5,FALSE)</f>
        <v>PERKINS DARREN</v>
      </c>
      <c r="O25" s="210" t="s">
        <v>184</v>
      </c>
      <c r="P25" s="137"/>
      <c r="Q25" s="30"/>
      <c r="R25" s="84" t="str">
        <f>IF(VLOOKUP(C25,'Train Runs'!$A$13:$AE$9948,1,1)=C25,VLOOKUP(C25,'Train Runs'!$A$13:$AE$9948,31,1),NA())</f>
        <v>aws s3 cp s3://rtdc.mdm.uploadarchive.raw/RTDC4024/ "%USERPROFILE%\AppData\Local\Temp\OnboardLogs"\RTDC4024\2017-04-24 --exclude "*" --recursive --include "*20170424*" &amp; "%USERPROFILE%\Documents\GitHub\mrs-test-scripts\Headless Mode &amp; Sideloading\WalkAndUnGZ.bat" "%USERPROFILE%\AppData\Local\Temp\OnboardLogs"\RTDC4024\2017-04-24 &amp; aws s3 cp s3://rtdc.mdm.uploadarchive.raw/RTDC4024/ "%USERPROFILE%\AppData\Local\Temp\OnboardLogs"\RTDC4024\2017-04-25 --exclude "*" --recursive --include "*20170425*" &amp; "%USERPROFILE%\Documents\GitHub\mrs-test-scripts\Headless Mode &amp; Sideloading\WalkAndUnGZ.bat" "%USERPROFILE%\AppData\Local\Temp\OnboardLogs"\RTDC4024\2017-04-25</v>
      </c>
      <c r="S25" s="87" t="str">
        <f>VLOOKUP(C25,'Train Runs'!$A$13:$AE$9948,22,0)</f>
        <v>https://d0f6bd738d7f1b3e5a7ca70fe4ff75f0.us-east-1.aws.found.io/app/kibana#/discover/Steve-Slow-Train-Analysis-(2080s-and-2083s)?_g=(refreshInterval:(display:Off,pause:!f,section:0,value:0),time:(from:'2017-04-24T16:13:36-0600',mode:absolute,to:'2017-04-24T18:53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5" s="89" t="str">
        <f t="shared" si="1"/>
        <v>"C:\Program Files (x86)\AstroGrep\AstroGrep.exe" /e /r /s /spath="%USERPROFILE%\AppData\Local\Temp\OnboardLogs" /stypes="*4024*201704242*" /stext=" 23:.+((SYSTEM_STATE.+slice.+state.+changed )|(ment ac)|(multiple cpu faults)|(system.+state.+changed )|(\[timeout)|(PRM\|1\|D)|(kpr)|(kdp)|(train.+moving)|(\|lc)|(penalty))"</v>
      </c>
      <c r="U25" s="9" t="str">
        <f t="shared" si="2"/>
        <v>4024</v>
      </c>
      <c r="V25" s="31">
        <f t="shared" si="3"/>
        <v>42849.971712962964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{"issue":{"subject":"","project_id":79,"tracker_id":40,"status_id":1,"priority_id":2,"assigned_to_id":23,"start_date":"2017-04-24","description":"","custom_fields":[{"id":1,"name":"Subdivision","value":"EC"},{"id":4,"name":"Milepost","value":"1.7867"},{"id":17,"name":"Train ID","value":"209-24"},{"id":16,"name":"Locomotive ID","value":"4024"},{"id":130,"name":"Impact","value":""},{"id":150,"name":"Time of Event (Mountain Time)","value":"17:19:16"},{"id":151,"name":"Denver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-hSE -A400 "Enforcement Action" "%USERPROFILE%\AppData\Local\Temp\OnboardLogs"\RTDC4024\*4024*201704242*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"%USERPROFILE%\AppData\Local\Temp\OnboardLogs"\RTDC4024\*4024*201704242* &gt;&gt; 2017-04-24-SliceDisagreementCheck.txt</v>
      </c>
      <c r="AE25" s="148" t="str">
        <f t="shared" si="9"/>
        <v>start /low /b %USERPROFILE%\Documents\GitHub\eaglep3\Utilities\DownloadLogsFromS3.py --loco 4024 --day 2017-04-24</v>
      </c>
      <c r="AF25" s="1"/>
    </row>
    <row r="26" spans="1:32" x14ac:dyDescent="0.25">
      <c r="A26" s="31">
        <v>42849.593981481485</v>
      </c>
      <c r="B26" s="30" t="s">
        <v>448</v>
      </c>
      <c r="C26" s="30" t="s">
        <v>562</v>
      </c>
      <c r="D26" s="30" t="s">
        <v>49</v>
      </c>
      <c r="E26" s="30" t="s">
        <v>210</v>
      </c>
      <c r="F26" s="42">
        <v>300</v>
      </c>
      <c r="G26" s="42">
        <v>377</v>
      </c>
      <c r="H26" s="42">
        <v>22920</v>
      </c>
      <c r="I26" s="42">
        <v>21781</v>
      </c>
      <c r="J26" s="30" t="s">
        <v>211</v>
      </c>
      <c r="K26" s="42">
        <v>21848</v>
      </c>
      <c r="L26" s="134" t="s">
        <v>51</v>
      </c>
      <c r="M26" s="135">
        <f t="shared" si="0"/>
        <v>-35.375999999999998</v>
      </c>
      <c r="N26" s="136" t="str">
        <f>VLOOKUP(C26,'Trips&amp;Operators'!$C$1:$G$99999,5,FALSE)</f>
        <v>SULLIVAN BRANDON</v>
      </c>
      <c r="O26" s="210" t="s">
        <v>184</v>
      </c>
      <c r="P26" s="137"/>
      <c r="Q26" s="30"/>
      <c r="R26" s="84" t="str">
        <f>IF(VLOOKUP(C26,'Train Runs'!$A$13:$AE$9948,1,1)=C26,VLOOKUP(C26,'Train Runs'!$A$13:$AE$9948,31,1),NA())</f>
        <v>aws s3 cp s3://rtdc.mdm.uploadarchive.raw/RTDC4039/ "%USERPROFILE%\AppData\Local\Temp\OnboardLogs"\RTDC4039\2017-04-24 --exclude "*" --recursive --include "*20170424*" &amp; "%USERPROFILE%\Documents\GitHub\mrs-test-scripts\Headless Mode &amp; Sideloading\WalkAndUnGZ.bat" "%USERPROFILE%\AppData\Local\Temp\OnboardLogs"\RTDC4039\2017-04-24 &amp; aws s3 cp s3://rtdc.mdm.uploadarchive.raw/RTDC4039/ "%USERPROFILE%\AppData\Local\Temp\OnboardLogs"\RTDC4039\2017-04-25 --exclude "*" --recursive --include "*20170425*" &amp; "%USERPROFILE%\Documents\GitHub\mrs-test-scripts\Headless Mode &amp; Sideloading\WalkAndUnGZ.bat" "%USERPROFILE%\AppData\Local\Temp\OnboardLogs"\RTDC4039\2017-04-25</v>
      </c>
      <c r="S26" s="87" t="str">
        <f>VLOOKUP(C26,'Train Runs'!$A$13:$AE$9948,22,0)</f>
        <v>https://d0f6bd738d7f1b3e5a7ca70fe4ff75f0.us-east-1.aws.found.io/app/kibana#/discover/Steve-Slow-Train-Analysis-(2080s-and-2083s)?_g=(refreshInterval:(display:Off,pause:!f,section:0,value:0),time:(from:'2017-04-24T12:35:21-0600',mode:absolute,to:'2017-04-24T15:24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6" s="89" t="str">
        <f t="shared" si="1"/>
        <v>"C:\Program Files (x86)\AstroGrep\AstroGrep.exe" /e /r /s /spath="%USERPROFILE%\AppData\Local\Temp\OnboardLogs" /stypes="*4039*201704242*" /stext=" 20:.+((SYSTEM_STATE.+slice.+state.+changed )|(ment ac)|(multiple cpu faults)|(system.+state.+changed )|(\[timeout)|(PRM\|1\|D)|(kpr)|(kdp)|(train.+moving)|(\|lc)|(penalty))"</v>
      </c>
      <c r="U26" s="9" t="str">
        <f t="shared" si="2"/>
        <v>4039</v>
      </c>
      <c r="V26" s="31">
        <f t="shared" si="3"/>
        <v>42849.843981481485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{"issue":{"subject":"","project_id":79,"tracker_id":40,"status_id":1,"priority_id":2,"assigned_to_id":23,"start_date":"2017-04-24","description":"","custom_fields":[{"id":1,"name":"Subdivision","value":"EC"},{"id":4,"name":"Milepost","value":"2.1848"},{"id":17,"name":"Train ID","value":"174-24"},{"id":16,"name":"Locomotive ID","value":"4039"},{"id":130,"name":"Impact","value":""},{"id":150,"name":"Time of Event (Mountain Time)","value":"14:15:20"},{"id":151,"name":"Denver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-hSE -A400 "Enforcement Action" "%USERPROFILE%\AppData\Local\Temp\OnboardLogs"\RTDC4039\*4039*201704242*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"%USERPROFILE%\AppData\Local\Temp\OnboardLogs"\RTDC4039\*4039*201704242* &gt;&gt; 2017-04-24-SliceDisagreementCheck.txt</v>
      </c>
      <c r="AE26" s="148" t="str">
        <f t="shared" si="9"/>
        <v>start /low /b %USERPROFILE%\Documents\GitHub\eaglep3\Utilities\DownloadLogsFromS3.py --loco 4039 --day 2017-04-24</v>
      </c>
      <c r="AF26" s="1"/>
    </row>
    <row r="27" spans="1:32" x14ac:dyDescent="0.25">
      <c r="A27" s="31">
        <v>42849.729386574072</v>
      </c>
      <c r="B27" s="30" t="s">
        <v>426</v>
      </c>
      <c r="C27" s="30" t="s">
        <v>575</v>
      </c>
      <c r="D27" s="30" t="s">
        <v>49</v>
      </c>
      <c r="E27" s="30" t="s">
        <v>210</v>
      </c>
      <c r="F27" s="42">
        <v>300</v>
      </c>
      <c r="G27" s="42">
        <v>464</v>
      </c>
      <c r="H27" s="42">
        <v>24042</v>
      </c>
      <c r="I27" s="42">
        <v>22476</v>
      </c>
      <c r="J27" s="30" t="s">
        <v>211</v>
      </c>
      <c r="K27" s="42">
        <v>21848</v>
      </c>
      <c r="L27" s="134" t="s">
        <v>51</v>
      </c>
      <c r="M27" s="135">
        <f t="shared" si="0"/>
        <v>331.58399999999995</v>
      </c>
      <c r="N27" s="136" t="str">
        <f>VLOOKUP(C27,'Trips&amp;Operators'!$C$1:$G$99999,5,FALSE)</f>
        <v>BRANDNER MELINDA</v>
      </c>
      <c r="O27" s="210" t="s">
        <v>184</v>
      </c>
      <c r="P27" s="137"/>
      <c r="Q27" s="30"/>
      <c r="R27" s="84" t="str">
        <f>IF(VLOOKUP(C27,'Train Runs'!$A$13:$AE$9948,1,1)=C27,VLOOKUP(C27,'Train Runs'!$A$13:$AE$9948,31,1),NA())</f>
        <v>aws s3 cp s3://rtdc.mdm.uploadarchive.raw/RTDC4025/ "%USERPROFILE%\AppData\Local\Temp\OnboardLogs"\RTDC4025\2017-04-24 --exclude "*" --recursive --include "*20170424*" &amp; "%USERPROFILE%\Documents\GitHub\mrs-test-scripts\Headless Mode &amp; Sideloading\WalkAndUnGZ.bat" "%USERPROFILE%\AppData\Local\Temp\OnboardLogs"\RTDC4025\2017-04-24 &amp; aws s3 cp s3://rtdc.mdm.uploadarchive.raw/RTDC4025/ "%USERPROFILE%\AppData\Local\Temp\OnboardLogs"\RTDC4025\2017-04-25 --exclude "*" --recursive --include "*20170425*" &amp; "%USERPROFILE%\Documents\GitHub\mrs-test-scripts\Headless Mode &amp; Sideloading\WalkAndUnGZ.bat" "%USERPROFILE%\AppData\Local\Temp\OnboardLogs"\RTDC4025\2017-04-25</v>
      </c>
      <c r="S27" s="87" t="str">
        <f>VLOOKUP(C27,'Train Runs'!$A$13:$AE$9948,22,0)</f>
        <v>https://d0f6bd738d7f1b3e5a7ca70fe4ff75f0.us-east-1.aws.found.io/app/kibana#/discover/Steve-Slow-Train-Analysis-(2080s-and-2083s)?_g=(refreshInterval:(display:Off,pause:!f,section:0,value:0),time:(from:'2017-04-24T15:50:51-0600',mode:absolute,to:'2017-04-24T18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7" s="89" t="str">
        <f t="shared" si="1"/>
        <v>"C:\Program Files (x86)\AstroGrep\AstroGrep.exe" /e /r /s /spath="%USERPROFILE%\AppData\Local\Temp\OnboardLogs" /stypes="*4025*201704242*" /stext=" 23:.+((SYSTEM_STATE.+slice.+state.+changed )|(ment ac)|(multiple cpu faults)|(system.+state.+changed )|(\[timeout)|(PRM\|1\|D)|(kpr)|(kdp)|(train.+moving)|(\|lc)|(penalty))"</v>
      </c>
      <c r="U27" s="9" t="str">
        <f t="shared" si="2"/>
        <v>4025</v>
      </c>
      <c r="V27" s="31">
        <f t="shared" si="3"/>
        <v>42849.979386574072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{"issue":{"subject":"","project_id":79,"tracker_id":40,"status_id":1,"priority_id":2,"assigned_to_id":23,"start_date":"2017-04-24","description":"","custom_fields":[{"id":1,"name":"Subdivision","value":"EC"},{"id":4,"name":"Milepost","value":"2.1848"},{"id":17,"name":"Train ID","value":"200-24"},{"id":16,"name":"Locomotive ID","value":"4025"},{"id":130,"name":"Impact","value":""},{"id":150,"name":"Time of Event (Mountain Time)","value":"17:30:19"},{"id":151,"name":"Denver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-hSE -A400 "Enforcement Action" "%USERPROFILE%\AppData\Local\Temp\OnboardLogs"\RTDC4025\*4025*201704242*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"%USERPROFILE%\AppData\Local\Temp\OnboardLogs"\RTDC4025\*4025*201704242* &gt;&gt; 2017-04-24-SliceDisagreementCheck.txt</v>
      </c>
      <c r="AE27" s="148" t="str">
        <f t="shared" si="9"/>
        <v>start /low /b %USERPROFILE%\Documents\GitHub\eaglep3\Utilities\DownloadLogsFromS3.py --loco 4025 --day 2017-04-24</v>
      </c>
      <c r="AF27" s="1"/>
    </row>
    <row r="28" spans="1:32" x14ac:dyDescent="0.25">
      <c r="A28" s="31">
        <v>42849.598946759259</v>
      </c>
      <c r="B28" s="30" t="s">
        <v>383</v>
      </c>
      <c r="C28" s="30" t="s">
        <v>563</v>
      </c>
      <c r="D28" s="30" t="s">
        <v>49</v>
      </c>
      <c r="E28" s="30" t="s">
        <v>210</v>
      </c>
      <c r="F28" s="42">
        <v>400</v>
      </c>
      <c r="G28" s="42">
        <v>674</v>
      </c>
      <c r="H28" s="42">
        <v>113900</v>
      </c>
      <c r="I28" s="42">
        <v>116294</v>
      </c>
      <c r="J28" s="30" t="s">
        <v>211</v>
      </c>
      <c r="K28" s="42">
        <v>116838</v>
      </c>
      <c r="L28" s="134" t="s">
        <v>50</v>
      </c>
      <c r="M28" s="135">
        <f t="shared" si="0"/>
        <v>287.23200000000003</v>
      </c>
      <c r="N28" s="136" t="str">
        <f>VLOOKUP(C28,'Trips&amp;Operators'!$C$1:$G$99999,5,FALSE)</f>
        <v>THOMPSON LESTER</v>
      </c>
      <c r="O28" s="210" t="s">
        <v>184</v>
      </c>
      <c r="P28" s="137"/>
      <c r="Q28" s="30"/>
      <c r="R28" s="84" t="str">
        <f>IF(VLOOKUP(C28,'Train Runs'!$A$13:$AE$9948,1,1)=C28,VLOOKUP(C28,'Train Runs'!$A$13:$AE$9948,31,1),NA())</f>
        <v>aws s3 cp s3://rtdc.mdm.uploadarchive.raw/RTDC4010/ "%USERPROFILE%\AppData\Local\Temp\OnboardLogs"\RTDC4010\2017-04-24 --exclude "*" --recursive --include "*20170424*" &amp; "%USERPROFILE%\Documents\GitHub\mrs-test-scripts\Headless Mode &amp; Sideloading\WalkAndUnGZ.bat" "%USERPROFILE%\AppData\Local\Temp\OnboardLogs"\RTDC4010\2017-04-24 &amp; aws s3 cp s3://rtdc.mdm.uploadarchive.raw/RTDC4010/ "%USERPROFILE%\AppData\Local\Temp\OnboardLogs"\RTDC4010\2017-04-25 --exclude "*" --recursive --include "*20170425*" &amp; "%USERPROFILE%\Documents\GitHub\mrs-test-scripts\Headless Mode &amp; Sideloading\WalkAndUnGZ.bat" "%USERPROFILE%\AppData\Local\Temp\OnboardLogs"\RTDC4010\2017-04-25</v>
      </c>
      <c r="S28" s="87" t="str">
        <f>VLOOKUP(C28,'Train Runs'!$A$13:$AE$9948,22,0)</f>
        <v>https://d0f6bd738d7f1b3e5a7ca70fe4ff75f0.us-east-1.aws.found.io/app/kibana#/discover/Steve-Slow-Train-Analysis-(2080s-and-2083s)?_g=(refreshInterval:(display:Off,pause:!f,section:0,value:0),time:(from:'2017-04-24T12:53:58-0600',mode:absolute,to:'2017-04-24T15:40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8" s="89" t="str">
        <f t="shared" si="1"/>
        <v>"C:\Program Files (x86)\AstroGrep\AstroGrep.exe" /e /r /s /spath="%USERPROFILE%\AppData\Local\Temp\OnboardLogs" /stypes="*4010*201704242*" /stext=" 20:.+((SYSTEM_STATE.+slice.+state.+changed )|(ment ac)|(multiple cpu faults)|(system.+state.+changed )|(\[timeout)|(PRM\|1\|D)|(kpr)|(kdp)|(train.+moving)|(\|lc)|(penalty))"</v>
      </c>
      <c r="U28" s="9" t="str">
        <f t="shared" si="2"/>
        <v>4010</v>
      </c>
      <c r="V28" s="31">
        <f t="shared" si="3"/>
        <v>42849.848946759259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{"issue":{"subject":"","project_id":79,"tracker_id":40,"status_id":1,"priority_id":2,"assigned_to_id":23,"start_date":"2017-04-24","description":"","custom_fields":[{"id":1,"name":"Subdivision","value":"EC"},{"id":4,"name":"Milepost","value":"11.6838"},{"id":17,"name":"Train ID","value":"183-24"},{"id":16,"name":"Locomotive ID","value":"4010"},{"id":130,"name":"Impact","value":""},{"id":150,"name":"Time of Event (Mountain Time)","value":"14:22:29"},{"id":151,"name":"Denver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-hSE -A400 "Enforcement Action" "%USERPROFILE%\AppData\Local\Temp\OnboardLogs"\RTDC4010\*4010*201704242*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"%USERPROFILE%\AppData\Local\Temp\OnboardLogs"\RTDC4010\*4010*201704242* &gt;&gt; 2017-04-24-SliceDisagreementCheck.txt</v>
      </c>
      <c r="AE28" s="148" t="str">
        <f t="shared" si="9"/>
        <v>start /low /b %USERPROFILE%\Documents\GitHub\eaglep3\Utilities\DownloadLogsFromS3.py --loco 4010 --day 2017-04-24</v>
      </c>
      <c r="AF28" s="1"/>
    </row>
    <row r="29" spans="1:32" x14ac:dyDescent="0.25">
      <c r="A29" s="31">
        <v>42849.623506944445</v>
      </c>
      <c r="B29" s="30" t="s">
        <v>437</v>
      </c>
      <c r="C29" s="30" t="s">
        <v>564</v>
      </c>
      <c r="D29" s="30" t="s">
        <v>49</v>
      </c>
      <c r="E29" s="30" t="s">
        <v>210</v>
      </c>
      <c r="F29" s="42">
        <v>400</v>
      </c>
      <c r="G29" s="42">
        <v>453</v>
      </c>
      <c r="H29" s="42">
        <v>121164</v>
      </c>
      <c r="I29" s="42">
        <v>119883</v>
      </c>
      <c r="J29" s="30" t="s">
        <v>211</v>
      </c>
      <c r="K29" s="42">
        <v>119716</v>
      </c>
      <c r="L29" s="134" t="s">
        <v>51</v>
      </c>
      <c r="M29" s="135">
        <f t="shared" si="0"/>
        <v>88.176000000000002</v>
      </c>
      <c r="N29" s="136" t="str">
        <f>VLOOKUP(C29,'Trips&amp;Operators'!$C$1:$G$99999,5,FALSE)</f>
        <v>NELSON ARIANE</v>
      </c>
      <c r="O29" s="210" t="s">
        <v>184</v>
      </c>
      <c r="P29" s="137"/>
      <c r="Q29" s="30"/>
      <c r="R29" s="84" t="str">
        <f>IF(VLOOKUP(C29,'Train Runs'!$A$13:$AE$9948,1,1)=C29,VLOOKUP(C29,'Train Runs'!$A$13:$AE$9948,31,1),NA())</f>
        <v>aws s3 cp s3://rtdc.mdm.uploadarchive.raw/RTDC4023/ "%USERPROFILE%\AppData\Local\Temp\OnboardLogs"\RTDC4023\2017-04-24 --exclude "*" --recursive --include "*20170424*" &amp; "%USERPROFILE%\Documents\GitHub\mrs-test-scripts\Headless Mode &amp; Sideloading\WalkAndUnGZ.bat" "%USERPROFILE%\AppData\Local\Temp\OnboardLogs"\RTDC4023\2017-04-24 &amp; aws s3 cp s3://rtdc.mdm.uploadarchive.raw/RTDC4023/ "%USERPROFILE%\AppData\Local\Temp\OnboardLogs"\RTDC4023\2017-04-25 --exclude "*" --recursive --include "*20170425*" &amp; "%USERPROFILE%\Documents\GitHub\mrs-test-scripts\Headless Mode &amp; Sideloading\WalkAndUnGZ.bat" "%USERPROFILE%\AppData\Local\Temp\OnboardLogs"\RTDC4023\2017-04-25</v>
      </c>
      <c r="S29" s="87" t="str">
        <f>VLOOKUP(C29,'Train Runs'!$A$13:$AE$9948,22,0)</f>
        <v>https://d0f6bd738d7f1b3e5a7ca70fe4ff75f0.us-east-1.aws.found.io/app/kibana#/discover/Steve-Slow-Train-Analysis-(2080s-and-2083s)?_g=(refreshInterval:(display:Off,pause:!f,section:0,value:0),time:(from:'2017-04-24T13:37:36-0600',mode:absolute,to:'2017-04-24T16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9" s="89" t="str">
        <f t="shared" si="1"/>
        <v>"C:\Program Files (x86)\AstroGrep\AstroGrep.exe" /e /r /s /spath="%USERPROFILE%\AppData\Local\Temp\OnboardLogs" /stypes="*4023*201704242*" /stext=" 20:.+((SYSTEM_STATE.+slice.+state.+changed )|(ment ac)|(multiple cpu faults)|(system.+state.+changed )|(\[timeout)|(PRM\|1\|D)|(kpr)|(kdp)|(train.+moving)|(\|lc)|(penalty))"</v>
      </c>
      <c r="U29" s="9" t="str">
        <f t="shared" si="2"/>
        <v>4023</v>
      </c>
      <c r="V29" s="31">
        <f t="shared" si="3"/>
        <v>42849.873506944445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{"issue":{"subject":"","project_id":79,"tracker_id":40,"status_id":1,"priority_id":2,"assigned_to_id":23,"start_date":"2017-04-24","description":"","custom_fields":[{"id":1,"name":"Subdivision","value":"EC"},{"id":4,"name":"Milepost","value":"11.9716"},{"id":17,"name":"Train ID","value":"182-24"},{"id":16,"name":"Locomotive ID","value":"4023"},{"id":130,"name":"Impact","value":""},{"id":150,"name":"Time of Event (Mountain Time)","value":"14:57:51"},{"id":151,"name":"Denver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-hSE -A400 "Enforcement Action" "%USERPROFILE%\AppData\Local\Temp\OnboardLogs"\RTDC4023\*4023*201704242*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"%USERPROFILE%\AppData\Local\Temp\OnboardLogs"\RTDC4023\*4023*201704242* &gt;&gt; 2017-04-24-SliceDisagreementCheck.txt</v>
      </c>
      <c r="AE29" s="148" t="str">
        <f t="shared" si="9"/>
        <v>start /low /b %USERPROFILE%\Documents\GitHub\eaglep3\Utilities\DownloadLogsFromS3.py --loco 4023 --day 2017-04-24</v>
      </c>
      <c r="AF29" s="1"/>
    </row>
    <row r="30" spans="1:32" x14ac:dyDescent="0.25">
      <c r="A30" s="31">
        <v>42849.679074074076</v>
      </c>
      <c r="B30" s="30" t="s">
        <v>383</v>
      </c>
      <c r="C30" s="30" t="s">
        <v>569</v>
      </c>
      <c r="D30" s="30" t="s">
        <v>49</v>
      </c>
      <c r="E30" s="30" t="s">
        <v>210</v>
      </c>
      <c r="F30" s="42">
        <v>350</v>
      </c>
      <c r="G30" s="42">
        <v>574</v>
      </c>
      <c r="H30" s="42">
        <v>222429</v>
      </c>
      <c r="I30" s="42">
        <v>224060</v>
      </c>
      <c r="J30" s="30" t="s">
        <v>211</v>
      </c>
      <c r="K30" s="42">
        <v>224581</v>
      </c>
      <c r="L30" s="134" t="s">
        <v>50</v>
      </c>
      <c r="M30" s="135">
        <f t="shared" si="0"/>
        <v>275.08800000000002</v>
      </c>
      <c r="N30" s="136" t="str">
        <f>VLOOKUP(C30,'Trips&amp;Operators'!$C$1:$G$99999,5,FALSE)</f>
        <v>THOMPSON LESTER</v>
      </c>
      <c r="O30" s="210" t="s">
        <v>184</v>
      </c>
      <c r="P30" s="137"/>
      <c r="Q30" s="30"/>
      <c r="R30" s="84" t="str">
        <f>IF(VLOOKUP(C30,'Train Runs'!$A$13:$AE$9948,1,1)=C30,VLOOKUP(C30,'Train Runs'!$A$13:$AE$9948,31,1),NA())</f>
        <v>aws s3 cp s3://rtdc.mdm.uploadarchive.raw/RTDC4010/ "%USERPROFILE%\AppData\Local\Temp\OnboardLogs"\RTDC4010\2017-04-24 --exclude "*" --recursive --include "*20170424*" &amp; "%USERPROFILE%\Documents\GitHub\mrs-test-scripts\Headless Mode &amp; Sideloading\WalkAndUnGZ.bat" "%USERPROFILE%\AppData\Local\Temp\OnboardLogs"\RTDC4010\2017-04-24 &amp; aws s3 cp s3://rtdc.mdm.uploadarchive.raw/RTDC4010/ "%USERPROFILE%\AppData\Local\Temp\OnboardLogs"\RTDC4010\2017-04-25 --exclude "*" --recursive --include "*20170425*" &amp; "%USERPROFILE%\Documents\GitHub\mrs-test-scripts\Headless Mode &amp; Sideloading\WalkAndUnGZ.bat" "%USERPROFILE%\AppData\Local\Temp\OnboardLogs"\RTDC4010\2017-04-25</v>
      </c>
      <c r="S30" s="87" t="str">
        <f>VLOOKUP(C30,'Train Runs'!$A$13:$AE$9948,22,0)</f>
        <v>https://d0f6bd738d7f1b3e5a7ca70fe4ff75f0.us-east-1.aws.found.io/app/kibana#/discover/Steve-Slow-Train-Analysis-(2080s-and-2083s)?_g=(refreshInterval:(display:Off,pause:!f,section:0,value:0),time:(from:'2017-04-24T14:40:18-0600',mode:absolute,to:'2017-04-24T17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0" s="89" t="str">
        <f t="shared" si="1"/>
        <v>"C:\Program Files (x86)\AstroGrep\AstroGrep.exe" /e /r /s /spath="%USERPROFILE%\AppData\Local\Temp\OnboardLogs" /stypes="*4010*201704242*" /stext=" 22:.+((SYSTEM_STATE.+slice.+state.+changed )|(ment ac)|(multiple cpu faults)|(system.+state.+changed )|(\[timeout)|(PRM\|1\|D)|(kpr)|(kdp)|(train.+moving)|(\|lc)|(penalty))"</v>
      </c>
      <c r="U30" s="9" t="str">
        <f t="shared" si="2"/>
        <v>4010</v>
      </c>
      <c r="V30" s="31">
        <f t="shared" si="3"/>
        <v>42849.929074074076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{"issue":{"subject":"","project_id":79,"tracker_id":40,"status_id":1,"priority_id":2,"assigned_to_id":23,"start_date":"2017-04-24","description":"","custom_fields":[{"id":1,"name":"Subdivision","value":"EC"},{"id":4,"name":"Milepost","value":"22.4581"},{"id":17,"name":"Train ID","value":"197-24"},{"id":16,"name":"Locomotive ID","value":"4010"},{"id":130,"name":"Impact","value":""},{"id":150,"name":"Time of Event (Mountain Time)","value":"16:17:52"},{"id":151,"name":"Denver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-hSE -A400 "Enforcement Action" "%USERPROFILE%\AppData\Local\Temp\OnboardLogs"\RTDC4010\*4010*201704242*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"%USERPROFILE%\AppData\Local\Temp\OnboardLogs"\RTDC4010\*4010*201704242* &gt;&gt; 2017-04-24-SliceDisagreementCheck.txt</v>
      </c>
      <c r="AE30" s="148" t="str">
        <f t="shared" si="9"/>
        <v>start /low /b %USERPROFILE%\Documents\GitHub\eaglep3\Utilities\DownloadLogsFromS3.py --loco 4010 --day 2017-04-24</v>
      </c>
      <c r="AF30" s="1"/>
    </row>
    <row r="31" spans="1:32" x14ac:dyDescent="0.25">
      <c r="A31" s="31">
        <v>42849.667453703703</v>
      </c>
      <c r="B31" s="30" t="s">
        <v>425</v>
      </c>
      <c r="C31" s="30" t="s">
        <v>568</v>
      </c>
      <c r="D31" s="30" t="s">
        <v>98</v>
      </c>
      <c r="E31" s="30" t="s">
        <v>435</v>
      </c>
      <c r="F31" s="42">
        <v>0</v>
      </c>
      <c r="G31" s="42">
        <v>149</v>
      </c>
      <c r="H31" s="42">
        <v>1984</v>
      </c>
      <c r="I31" s="42">
        <v>2252</v>
      </c>
      <c r="J31" s="30" t="s">
        <v>436</v>
      </c>
      <c r="K31" s="42">
        <v>1692</v>
      </c>
      <c r="L31" s="134" t="s">
        <v>50</v>
      </c>
      <c r="M31" s="135">
        <f t="shared" si="0"/>
        <v>-295.68</v>
      </c>
      <c r="N31" s="136" t="str">
        <f>VLOOKUP(C31,'Trips&amp;Operators'!$C$1:$G$99999,5,FALSE)</f>
        <v>BRANDNER MELINDA</v>
      </c>
      <c r="O31" s="210" t="s">
        <v>427</v>
      </c>
      <c r="P31" s="137" t="s">
        <v>543</v>
      </c>
      <c r="Q31" s="30"/>
      <c r="R31" s="84" t="str">
        <f>IF(VLOOKUP(C31,'Train Runs'!$A$13:$AE$9948,1,1)=C31,VLOOKUP(C31,'Train Runs'!$A$13:$AE$9948,31,1),NA())</f>
        <v>aws s3 cp s3://rtdc.mdm.uploadarchive.raw/RTDC4026/ "%USERPROFILE%\AppData\Local\Temp\OnboardLogs"\RTDC4026\2017-04-24 --exclude "*" --recursive --include "*20170424*" &amp; "%USERPROFILE%\Documents\GitHub\mrs-test-scripts\Headless Mode &amp; Sideloading\WalkAndUnGZ.bat" "%USERPROFILE%\AppData\Local\Temp\OnboardLogs"\RTDC4026\2017-04-24 &amp; aws s3 cp s3://rtdc.mdm.uploadarchive.raw/RTDC4026/ "%USERPROFILE%\AppData\Local\Temp\OnboardLogs"\RTDC4026\2017-04-25 --exclude "*" --recursive --include "*20170425*" &amp; "%USERPROFILE%\Documents\GitHub\mrs-test-scripts\Headless Mode &amp; Sideloading\WalkAndUnGZ.bat" "%USERPROFILE%\AppData\Local\Temp\OnboardLogs"\RTDC4026\2017-04-25</v>
      </c>
      <c r="S31" s="87" t="str">
        <f>VLOOKUP(C31,'Train Runs'!$A$13:$AE$9948,22,0)</f>
        <v>https://d0f6bd738d7f1b3e5a7ca70fe4ff75f0.us-east-1.aws.found.io/app/kibana#/discover/Steve-Slow-Train-Analysis-(2080s-and-2083s)?_g=(refreshInterval:(display:Off,pause:!f,section:0,value:0),time:(from:'2017-04-24T15:06:10-0600',mode:absolute,to:'2017-04-24T17:41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1" s="89" t="str">
        <f t="shared" si="1"/>
        <v>"C:\Program Files (x86)\AstroGrep\AstroGrep.exe" /e /r /s /spath="%USERPROFILE%\AppData\Local\Temp\OnboardLogs" /stypes="*4026*201704242*" /stext=" 22:.+((SYSTEM_STATE.+slice.+state.+changed )|(ment ac)|(multiple cpu faults)|(system.+state.+changed )|(\[timeout)|(PRM\|1\|D)|(kpr)|(kdp)|(train.+moving)|(\|lc)|(penalty))"</v>
      </c>
      <c r="U31" s="9" t="str">
        <f t="shared" si="2"/>
        <v>4026</v>
      </c>
      <c r="V31" s="31">
        <f t="shared" si="3"/>
        <v>42849.917453703703</v>
      </c>
      <c r="W31" s="45" t="str">
        <f t="shared" si="4"/>
        <v>EC</v>
      </c>
      <c r="X31" s="45" t="str">
        <f t="shared" si="5"/>
        <v>KEEP</v>
      </c>
      <c r="Y31" s="99" t="str">
        <f t="shared" si="6"/>
        <v>echo {"issue":{"subject":"Wi-MAX data drop","project_id":79,"tracker_id":40,"status_id":1,"priority_id":2,"assigned_to_id":23,"start_date":"2017-04-24","description":"","custom_fields":[{"id":1,"name":"Subdivision","value":"EC"},{"id":4,"name":"Milepost","value":"0.1692"},{"id":17,"name":"Train ID","value":"199-24"},{"id":16,"name":"Locomotive ID","value":"4026"},{"id":130,"name":"Impact","value":""},{"id":150,"name":"Time of Event (Mountain Time)","value":"16:01:08"},{"id":151,"name":"Denver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-hSE -A400 "Enforcement Action" "%USERPROFILE%\AppData\Local\Temp\OnboardLogs"\RTDC4026\*4026*201704242*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"%USERPROFILE%\AppData\Local\Temp\OnboardLogs"\RTDC4026\*4026*201704242* &gt;&gt; 2017-04-24-SliceDisagreementCheck.txt</v>
      </c>
      <c r="AE31" s="148" t="str">
        <f t="shared" si="9"/>
        <v>start /low /b %USERPROFILE%\Documents\GitHub\eaglep3\Utilities\DownloadLogsFromS3.py --loco 4026 --day 2017-04-24</v>
      </c>
      <c r="AF31" s="1"/>
    </row>
    <row r="32" spans="1:32" x14ac:dyDescent="0.25">
      <c r="A32" s="31">
        <v>42849.630416666667</v>
      </c>
      <c r="B32" s="30" t="s">
        <v>361</v>
      </c>
      <c r="C32" s="30" t="s">
        <v>565</v>
      </c>
      <c r="D32" s="30" t="s">
        <v>49</v>
      </c>
      <c r="E32" s="30" t="s">
        <v>185</v>
      </c>
      <c r="F32" s="42">
        <v>0</v>
      </c>
      <c r="G32" s="42">
        <v>83</v>
      </c>
      <c r="H32" s="42">
        <v>305</v>
      </c>
      <c r="I32" s="42">
        <v>211</v>
      </c>
      <c r="J32" s="30" t="s">
        <v>186</v>
      </c>
      <c r="K32" s="42">
        <v>1</v>
      </c>
      <c r="L32" s="134" t="s">
        <v>51</v>
      </c>
      <c r="M32" s="135">
        <f t="shared" si="0"/>
        <v>110.88</v>
      </c>
      <c r="N32" s="136" t="str">
        <f>VLOOKUP(C32,'Trips&amp;Operators'!$C$1:$G$99999,5,FALSE)</f>
        <v>LAMAR NEKESHA</v>
      </c>
      <c r="O32" s="210" t="s">
        <v>184</v>
      </c>
      <c r="P32" s="137"/>
      <c r="Q32" s="30"/>
      <c r="R32" s="84" t="str">
        <f>IF(VLOOKUP(C32,'Train Runs'!$A$13:$AE$9948,1,1)=C32,VLOOKUP(C32,'Train Runs'!$A$13:$AE$9948,31,1),NA())</f>
        <v>aws s3 cp s3://rtdc.mdm.uploadarchive.raw/RTDC4029/ "%USERPROFILE%\AppData\Local\Temp\OnboardLogs"\RTDC4029\2017-04-24 --exclude "*" --recursive --include "*20170424*" &amp; "%USERPROFILE%\Documents\GitHub\mrs-test-scripts\Headless Mode &amp; Sideloading\WalkAndUnGZ.bat" "%USERPROFILE%\AppData\Local\Temp\OnboardLogs"\RTDC4029\2017-04-24 &amp; aws s3 cp s3://rtdc.mdm.uploadarchive.raw/RTDC4029/ "%USERPROFILE%\AppData\Local\Temp\OnboardLogs"\RTDC4029\2017-04-25 --exclude "*" --recursive --include "*20170425*" &amp; "%USERPROFILE%\Documents\GitHub\mrs-test-scripts\Headless Mode &amp; Sideloading\WalkAndUnGZ.bat" "%USERPROFILE%\AppData\Local\Temp\OnboardLogs"\RTDC4029\2017-04-25</v>
      </c>
      <c r="S32" s="87" t="str">
        <f>VLOOKUP(C32,'Train Runs'!$A$13:$AE$9948,22,0)</f>
        <v>https://d0f6bd738d7f1b3e5a7ca70fe4ff75f0.us-east-1.aws.found.io/app/kibana#/discover/Steve-Slow-Train-Analysis-(2080s-and-2083s)?_g=(refreshInterval:(display:Off,pause:!f,section:0,value:0),time:(from:'2017-04-24T13:10:28-0600',mode:absolute,to:'2017-04-24T16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2" s="89" t="str">
        <f t="shared" si="1"/>
        <v>"C:\Program Files (x86)\AstroGrep\AstroGrep.exe" /e /r /s /spath="%USERPROFILE%\AppData\Local\Temp\OnboardLogs" /stypes="*4029*201704242*" /stext=" 21:.+((SYSTEM_STATE.+slice.+state.+changed )|(ment ac)|(multiple cpu faults)|(system.+state.+changed )|(\[timeout)|(PRM\|1\|D)|(kpr)|(kdp)|(train.+moving)|(\|lc)|(penalty))"</v>
      </c>
      <c r="U32" s="9" t="str">
        <f t="shared" si="2"/>
        <v>4029</v>
      </c>
      <c r="V32" s="31">
        <f t="shared" si="3"/>
        <v>42849.880416666667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{"issue":{"subject":"","project_id":79,"tracker_id":40,"status_id":1,"priority_id":2,"assigned_to_id":23,"start_date":"2017-04-24","description":"","custom_fields":[{"id":1,"name":"Subdivision","value":"EC"},{"id":4,"name":"Milepost","value":"0.0001"},{"id":17,"name":"Train ID","value":"180-24"},{"id":16,"name":"Locomotive ID","value":"4029"},{"id":130,"name":"Impact","value":""},{"id":150,"name":"Time of Event (Mountain Time)","value":"15:07:48"},{"id":151,"name":"Denver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-hSE -A400 "Enforcement Action" "%USERPROFILE%\AppData\Local\Temp\OnboardLogs"\RTDC4029\*4029*201704242*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"%USERPROFILE%\AppData\Local\Temp\OnboardLogs"\RTDC4029\*4029*201704242* &gt;&gt; 2017-04-24-SliceDisagreementCheck.txt</v>
      </c>
      <c r="AE32" s="148" t="str">
        <f t="shared" si="9"/>
        <v>start /low /b %USERPROFILE%\Documents\GitHub\eaglep3\Utilities\DownloadLogsFromS3.py --loco 4029 --day 2017-04-24</v>
      </c>
      <c r="AF32" s="1"/>
    </row>
    <row r="33" spans="1:32" x14ac:dyDescent="0.25">
      <c r="A33" s="31">
        <v>42849.836747685185</v>
      </c>
      <c r="B33" s="30" t="s">
        <v>353</v>
      </c>
      <c r="C33" s="30" t="s">
        <v>580</v>
      </c>
      <c r="D33" s="30" t="s">
        <v>49</v>
      </c>
      <c r="E33" s="30" t="s">
        <v>185</v>
      </c>
      <c r="F33" s="42">
        <v>0</v>
      </c>
      <c r="G33" s="42">
        <v>103</v>
      </c>
      <c r="H33" s="42">
        <v>395</v>
      </c>
      <c r="I33" s="42">
        <v>265</v>
      </c>
      <c r="J33" s="30" t="s">
        <v>186</v>
      </c>
      <c r="K33" s="42">
        <v>1</v>
      </c>
      <c r="L33" s="134" t="s">
        <v>51</v>
      </c>
      <c r="M33" s="135">
        <f t="shared" si="0"/>
        <v>139.392</v>
      </c>
      <c r="N33" s="136" t="str">
        <f>VLOOKUP(C33,'Trips&amp;Operators'!$C$1:$G$99999,5,FALSE)</f>
        <v>STORY SAMANTHA</v>
      </c>
      <c r="O33" s="210" t="s">
        <v>184</v>
      </c>
      <c r="P33" s="137"/>
      <c r="Q33" s="30"/>
      <c r="R33" s="84" t="str">
        <f>IF(VLOOKUP(C33,'Train Runs'!$A$13:$AE$9948,1,1)=C33,VLOOKUP(C33,'Train Runs'!$A$13:$AE$9948,31,1),NA())</f>
        <v>aws s3 cp s3://rtdc.mdm.uploadarchive.raw/RTDC4027/ "%USERPROFILE%\AppData\Local\Temp\OnboardLogs"\RTDC4027\2017-04-24 --exclude "*" --recursive --include "*20170424*" &amp; "%USERPROFILE%\Documents\GitHub\mrs-test-scripts\Headless Mode &amp; Sideloading\WalkAndUnGZ.bat" "%USERPROFILE%\AppData\Local\Temp\OnboardLogs"\RTDC4027\2017-04-24 &amp; aws s3 cp s3://rtdc.mdm.uploadarchive.raw/RTDC4027/ "%USERPROFILE%\AppData\Local\Temp\OnboardLogs"\RTDC4027\2017-04-25 --exclude "*" --recursive --include "*20170425*" &amp; "%USERPROFILE%\Documents\GitHub\mrs-test-scripts\Headless Mode &amp; Sideloading\WalkAndUnGZ.bat" "%USERPROFILE%\AppData\Local\Temp\OnboardLogs"\RTDC4027\2017-04-25</v>
      </c>
      <c r="S33" s="87" t="str">
        <f>VLOOKUP(C33,'Train Runs'!$A$13:$AE$9948,22,0)</f>
        <v>https://d0f6bd738d7f1b3e5a7ca70fe4ff75f0.us-east-1.aws.found.io/app/kibana#/discover/Steve-Slow-Train-Analysis-(2080s-and-2083s)?_g=(refreshInterval:(display:Off,pause:!f,section:0,value:0),time:(from:'2017-04-24T18:18:26-0600',mode:absolute,to:'2017-04-24T21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3" s="89" t="str">
        <f t="shared" si="1"/>
        <v>"C:\Program Files (x86)\AstroGrep\AstroGrep.exe" /e /r /s /spath="%USERPROFILE%\AppData\Local\Temp\OnboardLogs" /stypes="*4027*201704250*" /stext=" 02:.+((SYSTEM_STATE.+slice.+state.+changed )|(ment ac)|(multiple cpu faults)|(system.+state.+changed )|(\[timeout)|(PRM\|1\|D)|(kpr)|(kdp)|(train.+moving)|(\|lc)|(penalty))"</v>
      </c>
      <c r="U33" s="9" t="str">
        <f t="shared" si="2"/>
        <v>4027</v>
      </c>
      <c r="V33" s="31">
        <f t="shared" si="3"/>
        <v>42850.086747685185</v>
      </c>
      <c r="W33" s="45" t="str">
        <f t="shared" si="4"/>
        <v>EC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{"issue":{"subject":"","project_id":79,"tracker_id":40,"status_id":1,"priority_id":2,"assigned_to_id":23,"start_date":"2017-04-24","description":"","custom_fields":[{"id":1,"name":"Subdivision","value":"EC"},{"id":4,"name":"Milepost","value":"0.0001"},{"id":17,"name":"Train ID","value":"220-24"},{"id":16,"name":"Locomotive ID","value":"4027"},{"id":130,"name":"Impact","value":""},{"id":150,"name":"Time of Event (Mountain Time)","value":"20:04:55"},{"id":151,"name":"Denver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-hSE -A400 "Enforcement Action" "%USERPROFILE%\AppData\Local\Temp\OnboardLogs"\RTDC4027\*4027*201704250*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"%USERPROFILE%\AppData\Local\Temp\OnboardLogs"\RTDC4027\*4027*201704250* &gt;&gt; 2017-04-24-SliceDisagreementCheck.txt</v>
      </c>
      <c r="AE33" s="148" t="str">
        <f t="shared" si="9"/>
        <v>start /low /b %USERPROFILE%\Documents\GitHub\eaglep3\Utilities\DownloadLogsFromS3.py --loco 4027 --day 2017-04-25</v>
      </c>
      <c r="AF33" s="1"/>
    </row>
    <row r="34" spans="1:32" x14ac:dyDescent="0.25">
      <c r="A34" s="31">
        <v>42849.652118055557</v>
      </c>
      <c r="B34" s="30" t="s">
        <v>352</v>
      </c>
      <c r="C34" s="30" t="s">
        <v>566</v>
      </c>
      <c r="D34" s="30" t="s">
        <v>49</v>
      </c>
      <c r="E34" s="30" t="s">
        <v>185</v>
      </c>
      <c r="F34" s="42">
        <v>0</v>
      </c>
      <c r="G34" s="42">
        <v>60</v>
      </c>
      <c r="H34" s="42">
        <v>233278</v>
      </c>
      <c r="I34" s="42">
        <v>233324</v>
      </c>
      <c r="J34" s="30" t="s">
        <v>186</v>
      </c>
      <c r="K34" s="42">
        <v>233491</v>
      </c>
      <c r="L34" s="134" t="s">
        <v>50</v>
      </c>
      <c r="M34" s="135">
        <f t="shared" si="0"/>
        <v>88.176000000000002</v>
      </c>
      <c r="N34" s="136" t="str">
        <f>VLOOKUP(C34,'Trips&amp;Operators'!$C$1:$G$99999,5,FALSE)</f>
        <v>CLARK KATHLEEN</v>
      </c>
      <c r="O34" s="210" t="s">
        <v>184</v>
      </c>
      <c r="P34" s="137"/>
      <c r="Q34" s="30"/>
      <c r="R34" s="84" t="str">
        <f>IF(VLOOKUP(C34,'Train Runs'!$A$13:$AE$9948,1,1)=C34,VLOOKUP(C34,'Train Runs'!$A$13:$AE$9948,31,1),NA())</f>
        <v>aws s3 cp s3://rtdc.mdm.uploadarchive.raw/RTDC4028/ "%USERPROFILE%\AppData\Local\Temp\OnboardLogs"\RTDC4028\2017-04-24 --exclude "*" --recursive --include "*20170424*" &amp; "%USERPROFILE%\Documents\GitHub\mrs-test-scripts\Headless Mode &amp; Sideloading\WalkAndUnGZ.bat" "%USERPROFILE%\AppData\Local\Temp\OnboardLogs"\RTDC4028\2017-04-24 &amp; aws s3 cp s3://rtdc.mdm.uploadarchive.raw/RTDC4028/ "%USERPROFILE%\AppData\Local\Temp\OnboardLogs"\RTDC4028\2017-04-25 --exclude "*" --recursive --include "*20170425*" &amp; "%USERPROFILE%\Documents\GitHub\mrs-test-scripts\Headless Mode &amp; Sideloading\WalkAndUnGZ.bat" "%USERPROFILE%\AppData\Local\Temp\OnboardLogs"\RTDC4028\2017-04-25</v>
      </c>
      <c r="S34" s="87" t="str">
        <f>VLOOKUP(C34,'Train Runs'!$A$13:$AE$9948,22,0)</f>
        <v>https://d0f6bd738d7f1b3e5a7ca70fe4ff75f0.us-east-1.aws.found.io/app/kibana#/discover/Steve-Slow-Train-Analysis-(2080s-and-2083s)?_g=(refreshInterval:(display:Off,pause:!f,section:0,value:0),time:(from:'2017-04-24T13:54:47-0600',mode:absolute,to:'2017-04-24T16:39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4" s="89" t="str">
        <f t="shared" si="1"/>
        <v>"C:\Program Files (x86)\AstroGrep\AstroGrep.exe" /e /r /s /spath="%USERPROFILE%\AppData\Local\Temp\OnboardLogs" /stypes="*4028*201704242*" /stext=" 21:.+((SYSTEM_STATE.+slice.+state.+changed )|(ment ac)|(multiple cpu faults)|(system.+state.+changed )|(\[timeout)|(PRM\|1\|D)|(kpr)|(kdp)|(train.+moving)|(\|lc)|(penalty))"</v>
      </c>
      <c r="U34" s="9" t="str">
        <f t="shared" si="2"/>
        <v>4028</v>
      </c>
      <c r="V34" s="31">
        <f t="shared" si="3"/>
        <v>42849.902118055557</v>
      </c>
      <c r="W34" s="45" t="str">
        <f t="shared" si="4"/>
        <v>EC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{"issue":{"subject":"","project_id":79,"tracker_id":40,"status_id":1,"priority_id":2,"assigned_to_id":23,"start_date":"2017-04-24","description":"","custom_fields":[{"id":1,"name":"Subdivision","value":"EC"},{"id":4,"name":"Milepost","value":"23.3491"},{"id":17,"name":"Train ID","value":"191-24"},{"id":16,"name":"Locomotive ID","value":"4028"},{"id":130,"name":"Impact","value":""},{"id":150,"name":"Time of Event (Mountain Time)","value":"15:39:03"},{"id":151,"name":"Denver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-hSE -A400 "Enforcement Action" "%USERPROFILE%\AppData\Local\Temp\OnboardLogs"\RTDC4028\*4028*201704242*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"%USERPROFILE%\AppData\Local\Temp\OnboardLogs"\RTDC4028\*4028*201704242* &gt;&gt; 2017-04-24-SliceDisagreementCheck.txt</v>
      </c>
      <c r="AE34" s="148" t="str">
        <f t="shared" si="9"/>
        <v>start /low /b %USERPROFILE%\Documents\GitHub\eaglep3\Utilities\DownloadLogsFromS3.py --loco 4028 --day 2017-04-24</v>
      </c>
      <c r="AF34" s="1"/>
    </row>
    <row r="35" spans="1:32" x14ac:dyDescent="0.25">
      <c r="A35" s="31">
        <v>42849.778958333336</v>
      </c>
      <c r="B35" s="30" t="s">
        <v>449</v>
      </c>
      <c r="C35" s="30" t="s">
        <v>577</v>
      </c>
      <c r="D35" s="30" t="s">
        <v>49</v>
      </c>
      <c r="E35" s="30" t="s">
        <v>185</v>
      </c>
      <c r="F35" s="42">
        <v>0</v>
      </c>
      <c r="G35" s="42">
        <v>60</v>
      </c>
      <c r="H35" s="42">
        <v>233284</v>
      </c>
      <c r="I35" s="42">
        <v>233324</v>
      </c>
      <c r="J35" s="30" t="s">
        <v>186</v>
      </c>
      <c r="K35" s="42">
        <v>233491</v>
      </c>
      <c r="L35" s="134" t="s">
        <v>50</v>
      </c>
      <c r="M35" s="135">
        <f t="shared" si="0"/>
        <v>88.176000000000002</v>
      </c>
      <c r="N35" s="136" t="str">
        <f>VLOOKUP(C35,'Trips&amp;Operators'!$C$1:$G$99999,5,FALSE)</f>
        <v>BRANDNER MELINDA</v>
      </c>
      <c r="O35" s="210" t="s">
        <v>184</v>
      </c>
      <c r="P35" s="137"/>
      <c r="Q35" s="30"/>
      <c r="R35" s="84" t="str">
        <f>IF(VLOOKUP(C35,'Train Runs'!$A$13:$AE$9948,1,1)=C35,VLOOKUP(C35,'Train Runs'!$A$13:$AE$9948,31,1),NA())</f>
        <v>aws s3 cp s3://rtdc.mdm.uploadarchive.raw/RTDC4040/ "%USERPROFILE%\AppData\Local\Temp\OnboardLogs"\RTDC4040\2017-04-24 --exclude "*" --recursive --include "*20170424*" &amp; "%USERPROFILE%\Documents\GitHub\mrs-test-scripts\Headless Mode &amp; Sideloading\WalkAndUnGZ.bat" "%USERPROFILE%\AppData\Local\Temp\OnboardLogs"\RTDC4040\2017-04-24 &amp; aws s3 cp s3://rtdc.mdm.uploadarchive.raw/RTDC4040/ "%USERPROFILE%\AppData\Local\Temp\OnboardLogs"\RTDC4040\2017-04-25 --exclude "*" --recursive --include "*20170425*" &amp; "%USERPROFILE%\Documents\GitHub\mrs-test-scripts\Headless Mode &amp; Sideloading\WalkAndUnGZ.bat" "%USERPROFILE%\AppData\Local\Temp\OnboardLogs"\RTDC4040\2017-04-25</v>
      </c>
      <c r="S35" s="87" t="str">
        <f>VLOOKUP(C35,'Train Runs'!$A$13:$AE$9948,22,0)</f>
        <v>https://d0f6bd738d7f1b3e5a7ca70fe4ff75f0.us-east-1.aws.found.io/app/kibana#/discover/Steve-Slow-Train-Analysis-(2080s-and-2083s)?_g=(refreshInterval:(display:Off,pause:!f,section:0,value:0),time:(from:'2017-04-24T16:53:51-0600',mode:absolute,to:'2017-04-24T19:41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5" s="89" t="str">
        <f t="shared" si="1"/>
        <v>"C:\Program Files (x86)\AstroGrep\AstroGrep.exe" /e /r /s /spath="%USERPROFILE%\AppData\Local\Temp\OnboardLogs" /stypes="*4040*201704250*" /stext=" 00:.+((SYSTEM_STATE.+slice.+state.+changed )|(ment ac)|(multiple cpu faults)|(system.+state.+changed )|(\[timeout)|(PRM\|1\|D)|(kpr)|(kdp)|(train.+moving)|(\|lc)|(penalty))"</v>
      </c>
      <c r="U35" s="9" t="str">
        <f t="shared" si="2"/>
        <v>4040</v>
      </c>
      <c r="V35" s="31">
        <f t="shared" si="3"/>
        <v>42850.028958333336</v>
      </c>
      <c r="W35" s="45" t="str">
        <f t="shared" si="4"/>
        <v>EC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{"issue":{"subject":"","project_id":79,"tracker_id":40,"status_id":1,"priority_id":2,"assigned_to_id":23,"start_date":"2017-04-24","description":"","custom_fields":[{"id":1,"name":"Subdivision","value":"EC"},{"id":4,"name":"Milepost","value":"23.3491"},{"id":17,"name":"Train ID","value":"215-24"},{"id":16,"name":"Locomotive ID","value":"4040"},{"id":130,"name":"Impact","value":""},{"id":150,"name":"Time of Event (Mountain Time)","value":"18:41:42"},{"id":151,"name":"Denver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-hSE -A400 "Enforcement Action" "%USERPROFILE%\AppData\Local\Temp\OnboardLogs"\RTDC4040\*4040*201704250*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"%USERPROFILE%\AppData\Local\Temp\OnboardLogs"\RTDC4040\*4040*201704250* &gt;&gt; 2017-04-24-SliceDisagreementCheck.txt</v>
      </c>
      <c r="AE35" s="148" t="str">
        <f t="shared" si="9"/>
        <v>start /low /b %USERPROFILE%\Documents\GitHub\eaglep3\Utilities\DownloadLogsFromS3.py --loco 4040 --day 2017-04-25</v>
      </c>
      <c r="AF35" s="1"/>
    </row>
    <row r="36" spans="1:32" x14ac:dyDescent="0.25">
      <c r="A36" s="31">
        <v>42849.787106481483</v>
      </c>
      <c r="B36" s="30" t="s">
        <v>360</v>
      </c>
      <c r="C36" s="30" t="s">
        <v>578</v>
      </c>
      <c r="D36" s="30" t="s">
        <v>49</v>
      </c>
      <c r="E36" s="30" t="s">
        <v>185</v>
      </c>
      <c r="F36" s="42">
        <v>0</v>
      </c>
      <c r="G36" s="42">
        <v>45</v>
      </c>
      <c r="H36" s="42">
        <v>233408</v>
      </c>
      <c r="I36" s="42">
        <v>233425</v>
      </c>
      <c r="J36" s="30" t="s">
        <v>186</v>
      </c>
      <c r="K36" s="42">
        <v>233491</v>
      </c>
      <c r="L36" s="134" t="s">
        <v>50</v>
      </c>
      <c r="M36" s="135">
        <f t="shared" si="0"/>
        <v>34.847999999999999</v>
      </c>
      <c r="N36" s="136" t="str">
        <f>VLOOKUP(C36,'Trips&amp;Operators'!$C$1:$G$99999,5,FALSE)</f>
        <v>STAMBAUGH JAMES</v>
      </c>
      <c r="O36" s="210" t="s">
        <v>184</v>
      </c>
      <c r="P36" s="137"/>
      <c r="Q36" s="30"/>
      <c r="R36" s="84" t="str">
        <f>IF(VLOOKUP(C36,'Train Runs'!$A$13:$AE$9948,1,1)=C36,VLOOKUP(C36,'Train Runs'!$A$13:$AE$9948,31,1),NA())</f>
        <v>aws s3 cp s3://rtdc.mdm.uploadarchive.raw/RTDC4012/ "%USERPROFILE%\AppData\Local\Temp\OnboardLogs"\RTDC4012\2017-04-24 --exclude "*" --recursive --include "*20170424*" &amp; "%USERPROFILE%\Documents\GitHub\mrs-test-scripts\Headless Mode &amp; Sideloading\WalkAndUnGZ.bat" "%USERPROFILE%\AppData\Local\Temp\OnboardLogs"\RTDC4012\2017-04-24 &amp; aws s3 cp s3://rtdc.mdm.uploadarchive.raw/RTDC4012/ "%USERPROFILE%\AppData\Local\Temp\OnboardLogs"\RTDC4012\2017-04-25 --exclude "*" --recursive --include "*20170425*" &amp; "%USERPROFILE%\Documents\GitHub\mrs-test-scripts\Headless Mode &amp; Sideloading\WalkAndUnGZ.bat" "%USERPROFILE%\AppData\Local\Temp\OnboardLogs"\RTDC4012\2017-04-25</v>
      </c>
      <c r="S36" s="87" t="str">
        <f>VLOOKUP(C36,'Train Runs'!$A$13:$AE$9948,22,0)</f>
        <v>https://d0f6bd738d7f1b3e5a7ca70fe4ff75f0.us-east-1.aws.found.io/app/kibana#/discover/Steve-Slow-Train-Analysis-(2080s-and-2083s)?_g=(refreshInterval:(display:Off,pause:!f,section:0,value:0),time:(from:'2017-04-24T17:12:41-0600',mode:absolute,to:'2017-04-24T19:53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6" s="89" t="str">
        <f t="shared" si="1"/>
        <v>"C:\Program Files (x86)\AstroGrep\AstroGrep.exe" /e /r /s /spath="%USERPROFILE%\AppData\Local\Temp\OnboardLogs" /stypes="*4012*201704250*" /stext=" 00:.+((SYSTEM_STATE.+slice.+state.+changed )|(ment ac)|(multiple cpu faults)|(system.+state.+changed )|(\[timeout)|(PRM\|1\|D)|(kpr)|(kdp)|(train.+moving)|(\|lc)|(penalty))"</v>
      </c>
      <c r="U36" s="9" t="str">
        <f t="shared" si="2"/>
        <v>4012</v>
      </c>
      <c r="V36" s="31">
        <f t="shared" si="3"/>
        <v>42850.037106481483</v>
      </c>
      <c r="W36" s="45" t="str">
        <f t="shared" si="4"/>
        <v>EC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{"issue":{"subject":"","project_id":79,"tracker_id":40,"status_id":1,"priority_id":2,"assigned_to_id":23,"start_date":"2017-04-24","description":"","custom_fields":[{"id":1,"name":"Subdivision","value":"EC"},{"id":4,"name":"Milepost","value":"23.3491"},{"id":17,"name":"Train ID","value":"217-24"},{"id":16,"name":"Locomotive ID","value":"4012"},{"id":130,"name":"Impact","value":""},{"id":150,"name":"Time of Event (Mountain Time)","value":"18:53:26"},{"id":151,"name":"Denver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-hSE -A400 "Enforcement Action" "%USERPROFILE%\AppData\Local\Temp\OnboardLogs"\RTDC4012\*4012*201704250*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"%USERPROFILE%\AppData\Local\Temp\OnboardLogs"\RTDC4012\*4012*201704250* &gt;&gt; 2017-04-24-SliceDisagreementCheck.txt</v>
      </c>
      <c r="AE36" s="148" t="str">
        <f t="shared" si="9"/>
        <v>start /low /b %USERPROFILE%\Documents\GitHub\eaglep3\Utilities\DownloadLogsFromS3.py --loco 4012 --day 2017-04-25</v>
      </c>
      <c r="AF36" s="1"/>
    </row>
    <row r="37" spans="1:32" x14ac:dyDescent="0.25">
      <c r="A37" s="31">
        <v>42849.81722222222</v>
      </c>
      <c r="B37" s="30" t="s">
        <v>438</v>
      </c>
      <c r="C37" s="30" t="s">
        <v>579</v>
      </c>
      <c r="D37" s="30" t="s">
        <v>49</v>
      </c>
      <c r="E37" s="30" t="s">
        <v>185</v>
      </c>
      <c r="F37" s="42">
        <v>0</v>
      </c>
      <c r="G37" s="42">
        <v>115</v>
      </c>
      <c r="H37" s="42">
        <v>233006</v>
      </c>
      <c r="I37" s="42">
        <v>233145</v>
      </c>
      <c r="J37" s="30" t="s">
        <v>186</v>
      </c>
      <c r="K37" s="42">
        <v>233491</v>
      </c>
      <c r="L37" s="134" t="s">
        <v>50</v>
      </c>
      <c r="M37" s="135">
        <f t="shared" si="0"/>
        <v>182.68799999999999</v>
      </c>
      <c r="N37" s="136" t="str">
        <f>VLOOKUP(C37,'Trips&amp;Operators'!$C$1:$G$99999,5,FALSE)</f>
        <v>PERKINS DARREN</v>
      </c>
      <c r="O37" s="210" t="s">
        <v>184</v>
      </c>
      <c r="P37" s="137"/>
      <c r="Q37" s="30"/>
      <c r="R37" s="84" t="str">
        <f>IF(VLOOKUP(C37,'Train Runs'!$A$13:$AE$9948,1,1)=C37,VLOOKUP(C37,'Train Runs'!$A$13:$AE$9948,31,1),NA())</f>
        <v>aws s3 cp s3://rtdc.mdm.uploadarchive.raw/RTDC4024/ "%USERPROFILE%\AppData\Local\Temp\OnboardLogs"\RTDC4024\2017-04-24 --exclude "*" --recursive --include "*20170424*" &amp; "%USERPROFILE%\Documents\GitHub\mrs-test-scripts\Headless Mode &amp; Sideloading\WalkAndUnGZ.bat" "%USERPROFILE%\AppData\Local\Temp\OnboardLogs"\RTDC4024\2017-04-24 &amp; aws s3 cp s3://rtdc.mdm.uploadarchive.raw/RTDC4024/ "%USERPROFILE%\AppData\Local\Temp\OnboardLogs"\RTDC4024\2017-04-25 --exclude "*" --recursive --include "*20170425*" &amp; "%USERPROFILE%\Documents\GitHub\mrs-test-scripts\Headless Mode &amp; Sideloading\WalkAndUnGZ.bat" "%USERPROFILE%\AppData\Local\Temp\OnboardLogs"\RTDC4024\2017-04-25</v>
      </c>
      <c r="S37" s="87" t="str">
        <f>VLOOKUP(C37,'Train Runs'!$A$13:$AE$9948,22,0)</f>
        <v>https://d0f6bd738d7f1b3e5a7ca70fe4ff75f0.us-east-1.aws.found.io/app/kibana#/discover/Steve-Slow-Train-Analysis-(2080s-and-2083s)?_g=(refreshInterval:(display:Off,pause:!f,section:0,value:0),time:(from:'2017-04-24T17:55:21-0600',mode:absolute,to:'2017-04-24T20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7" s="89" t="str">
        <f t="shared" si="1"/>
        <v>"C:\Program Files (x86)\AstroGrep\AstroGrep.exe" /e /r /s /spath="%USERPROFILE%\AppData\Local\Temp\OnboardLogs" /stypes="*4024*201704250*" /stext=" 01:.+((SYSTEM_STATE.+slice.+state.+changed )|(ment ac)|(multiple cpu faults)|(system.+state.+changed )|(\[timeout)|(PRM\|1\|D)|(kpr)|(kdp)|(train.+moving)|(\|lc)|(penalty))"</v>
      </c>
      <c r="U37" s="9" t="str">
        <f t="shared" si="2"/>
        <v>4024</v>
      </c>
      <c r="V37" s="31">
        <f t="shared" si="3"/>
        <v>42850.06722222222</v>
      </c>
      <c r="W37" s="45" t="str">
        <f t="shared" si="4"/>
        <v>EC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{"issue":{"subject":"","project_id":79,"tracker_id":40,"status_id":1,"priority_id":2,"assigned_to_id":23,"start_date":"2017-04-24","description":"","custom_fields":[{"id":1,"name":"Subdivision","value":"EC"},{"id":4,"name":"Milepost","value":"23.3491"},{"id":17,"name":"Train ID","value":"221-24"},{"id":16,"name":"Locomotive ID","value":"4024"},{"id":130,"name":"Impact","value":""},{"id":150,"name":"Time of Event (Mountain Time)","value":"19:36:48"},{"id":151,"name":"Denver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-hSE -A400 "Enforcement Action" "%USERPROFILE%\AppData\Local\Temp\OnboardLogs"\RTDC4024\*4024*201704250*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"%USERPROFILE%\AppData\Local\Temp\OnboardLogs"\RTDC4024\*4024*201704250* &gt;&gt; 2017-04-24-SliceDisagreementCheck.txt</v>
      </c>
      <c r="AE37" s="148" t="str">
        <f t="shared" si="9"/>
        <v>start /low /b %USERPROFILE%\Documents\GitHub\eaglep3\Utilities\DownloadLogsFromS3.py --loco 4024 --day 2017-04-25</v>
      </c>
      <c r="AF37" s="1"/>
    </row>
    <row r="38" spans="1:32" x14ac:dyDescent="0.25">
      <c r="A38" s="31">
        <v>42849.942199074074</v>
      </c>
      <c r="B38" s="30" t="s">
        <v>360</v>
      </c>
      <c r="C38" s="30" t="s">
        <v>584</v>
      </c>
      <c r="D38" s="30" t="s">
        <v>98</v>
      </c>
      <c r="E38" s="30" t="s">
        <v>185</v>
      </c>
      <c r="F38" s="42">
        <v>0</v>
      </c>
      <c r="G38" s="42">
        <v>5</v>
      </c>
      <c r="H38" s="42">
        <v>233491</v>
      </c>
      <c r="I38" s="42">
        <v>233491</v>
      </c>
      <c r="J38" s="30" t="s">
        <v>186</v>
      </c>
      <c r="K38" s="42">
        <v>233491</v>
      </c>
      <c r="L38" s="134" t="s">
        <v>50</v>
      </c>
      <c r="M38" s="135">
        <f t="shared" si="0"/>
        <v>0</v>
      </c>
      <c r="N38" s="136" t="str">
        <f>VLOOKUP(C38,'Trips&amp;Operators'!$C$1:$G$99999,5,FALSE)</f>
        <v>STAMBAUGH JAMES</v>
      </c>
      <c r="O38" s="210" t="s">
        <v>184</v>
      </c>
      <c r="P38" s="137"/>
      <c r="Q38" s="30"/>
      <c r="R38" s="84" t="str">
        <f>IF(VLOOKUP(C38,'Train Runs'!$A$13:$AE$9948,1,1)=C38,VLOOKUP(C38,'Train Runs'!$A$13:$AE$9948,31,1),NA())</f>
        <v>aws s3 cp s3://rtdc.mdm.uploadarchive.raw/RTDC4012/ "%USERPROFILE%\AppData\Local\Temp\OnboardLogs"\RTDC4012\2017-04-24 --exclude "*" --recursive --include "*20170424*" &amp; "%USERPROFILE%\Documents\GitHub\mrs-test-scripts\Headless Mode &amp; Sideloading\WalkAndUnGZ.bat" "%USERPROFILE%\AppData\Local\Temp\OnboardLogs"\RTDC4012\2017-04-24 &amp; aws s3 cp s3://rtdc.mdm.uploadarchive.raw/RTDC4012/ "%USERPROFILE%\AppData\Local\Temp\OnboardLogs"\RTDC4012\2017-04-25 --exclude "*" --recursive --include "*20170425*" &amp; "%USERPROFILE%\Documents\GitHub\mrs-test-scripts\Headless Mode &amp; Sideloading\WalkAndUnGZ.bat" "%USERPROFILE%\AppData\Local\Temp\OnboardLogs"\RTDC4012\2017-04-25</v>
      </c>
      <c r="S38" s="87" t="str">
        <f>VLOOKUP(C38,'Train Runs'!$A$13:$AE$9948,22,0)</f>
        <v>https://d0f6bd738d7f1b3e5a7ca70fe4ff75f0.us-east-1.aws.found.io/app/kibana#/discover/Steve-Slow-Train-Analysis-(2080s-and-2083s)?_g=(refreshInterval:(display:Off,pause:!f,section:0,value:0),time:(from:'2017-04-24T20:43:53-0600',mode:absolute,to:'2017-04-24T23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8" s="89" t="str">
        <f t="shared" si="1"/>
        <v>"C:\Program Files (x86)\AstroGrep\AstroGrep.exe" /e /r /s /spath="%USERPROFILE%\AppData\Local\Temp\OnboardLogs" /stypes="*4012*201704250*" /stext=" 04:.+((SYSTEM_STATE.+slice.+state.+changed )|(ment ac)|(multiple cpu faults)|(system.+state.+changed )|(\[timeout)|(PRM\|1\|D)|(kpr)|(kdp)|(train.+moving)|(\|lc)|(penalty))"</v>
      </c>
      <c r="U38" s="9" t="str">
        <f t="shared" si="2"/>
        <v>4012</v>
      </c>
      <c r="V38" s="31">
        <f t="shared" si="3"/>
        <v>42850.192199074074</v>
      </c>
      <c r="W38" s="45" t="str">
        <f t="shared" si="4"/>
        <v>EC</v>
      </c>
      <c r="X38" s="45" t="str">
        <f t="shared" si="5"/>
        <v>OMIT</v>
      </c>
      <c r="Y38" s="99" t="str">
        <f t="shared" si="6"/>
        <v>echo {"issue":{"subject":"","project_id":79,"tracker_id":40,"status_id":1,"priority_id":2,"assigned_to_id":23,"start_date":"2017-04-24","description":"","custom_fields":[{"id":1,"name":"Subdivision","value":"EC"},{"id":4,"name":"Milepost","value":"23.3491"},{"id":17,"name":"Train ID","value":"233-24"},{"id":16,"name":"Locomotive ID","value":"4012"},{"id":130,"name":"Impact","value":""},{"id":150,"name":"Time of Event (Mountain Time)","value":"22:36:46"},{"id":151,"name":"Denver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-hSE -A400 "Enforcement Action" "%USERPROFILE%\AppData\Local\Temp\OnboardLogs"\RTDC4012\*4012*201704250*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"%USERPROFILE%\AppData\Local\Temp\OnboardLogs"\RTDC4012\*4012*201704250* &gt;&gt; 2017-04-24-SliceDisagreementCheck.txt</v>
      </c>
      <c r="AE38" s="148" t="str">
        <f t="shared" si="9"/>
        <v>start /low /b %USERPROFILE%\Documents\GitHub\eaglep3\Utilities\DownloadLogsFromS3.py --loco 4012 --day 2017-04-25</v>
      </c>
      <c r="AF38" s="1"/>
    </row>
    <row r="39" spans="1:32" x14ac:dyDescent="0.25">
      <c r="A39" s="31">
        <v>42849.476157407407</v>
      </c>
      <c r="B39" s="30" t="s">
        <v>492</v>
      </c>
      <c r="C39" s="30" t="s">
        <v>556</v>
      </c>
      <c r="D39" s="30" t="s">
        <v>49</v>
      </c>
      <c r="E39" s="30" t="s">
        <v>210</v>
      </c>
      <c r="F39" s="42">
        <v>300</v>
      </c>
      <c r="G39" s="42">
        <v>433</v>
      </c>
      <c r="H39" s="42">
        <v>19105</v>
      </c>
      <c r="I39" s="42">
        <v>20833</v>
      </c>
      <c r="J39" s="30" t="s">
        <v>211</v>
      </c>
      <c r="K39" s="42">
        <v>21299</v>
      </c>
      <c r="L39" s="134" t="s">
        <v>50</v>
      </c>
      <c r="M39" s="135">
        <f t="shared" si="0"/>
        <v>246.048</v>
      </c>
      <c r="N39" s="136" t="str">
        <f>VLOOKUP(C39,'Trips&amp;Operators'!$C$1:$G$99999,5,FALSE)</f>
        <v>ZEWDU DEREJE</v>
      </c>
      <c r="O39" s="210" t="s">
        <v>184</v>
      </c>
      <c r="P39" s="137"/>
      <c r="Q39" s="30"/>
      <c r="R39" s="84" t="e">
        <f>IF(VLOOKUP(C39,'Train Runs'!$A$13:$AE$9948,1,1)=C39,VLOOKUP(C39,'Train Runs'!$A$13:$AE$9948,31,1),NA())</f>
        <v>#N/A</v>
      </c>
      <c r="S39" s="87" t="str">
        <f>VLOOKUP(C39,'Train Runs'!$A$13:$AE$9948,22,0)</f>
        <v>https://d0f6bd738d7f1b3e5a7ca70fe4ff75f0.us-east-1.aws.found.io/app/kibana#/discover/Steve-Slow-Train-Analysis-(2080s-and-2083s)?_g=(refreshInterval:(display:Off,pause:!f,section:0,value:0),time:(from:'2017-04-24T09:57:37-0600',mode:absolute,to:'2017-04-24T12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9" s="89" t="str">
        <f t="shared" si="1"/>
        <v>"C:\Program Files (x86)\AstroGrep\AstroGrep.exe" /e /r /s /spath="%USERPROFILE%\AppData\Local\Temp\OnboardLogs" /stypes="*4064*201704241*" /stext=" 17:.+((SYSTEM_STATE.+slice.+state.+changed )|(ment ac)|(multiple cpu faults)|(system.+state.+changed )|(\[timeout)|(PRM\|1\|D)|(kpr)|(kdp)|(train.+moving)|(\|lc)|(penalty))"</v>
      </c>
      <c r="U39" s="9" t="str">
        <f t="shared" si="2"/>
        <v>4064</v>
      </c>
      <c r="V39" s="31">
        <f t="shared" si="3"/>
        <v>42849.726157407407</v>
      </c>
      <c r="W39" s="45" t="str">
        <f t="shared" si="4"/>
        <v>NW</v>
      </c>
      <c r="X39" s="45" t="str">
        <f t="shared" si="5"/>
        <v>KEEP</v>
      </c>
      <c r="Y39" s="99" t="str">
        <f t="shared" si="6"/>
        <v>echo {"issue":{"subject":"","project_id":79,"tracker_id":40,"status_id":1,"priority_id":2,"assigned_to_id":23,"start_date":"2017-04-24","description":"","custom_fields":[{"id":1,"name":"Subdivision","value":"NW"},{"id":4,"name":"Milepost","value":"2.1299"},{"id":17,"name":"Train ID","value":"817-24"},{"id":16,"name":"Locomotive ID","value":"4064"},{"id":130,"name":"Impact","value":""},{"id":150,"name":"Time of Event (Mountain Time)","value":"11:25:40"},{"id":151,"name":"Denver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si="7"/>
        <v>grep -hSE -A400 "Enforcement Action" "%USERPROFILE%\AppData\Local\Temp\OnboardLogs"\RTDC4064\*4064*201704241*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"%USERPROFILE%\AppData\Local\Temp\OnboardLogs"\RTDC4064\*4064*201704241* &gt;&gt; 2017-04-24-SliceDisagreementCheck.txt</v>
      </c>
      <c r="AE39" s="148" t="str">
        <f t="shared" si="9"/>
        <v>start /low /b %USERPROFILE%\Documents\GitHub\eaglep3\Utilities\DownloadLogsFromS3.py --loco 4064 --day 2017-04-24</v>
      </c>
      <c r="AF39" s="1"/>
    </row>
    <row r="40" spans="1:32" x14ac:dyDescent="0.25">
      <c r="A40" s="31">
        <v>42849.724247685182</v>
      </c>
      <c r="B40" s="30" t="s">
        <v>550</v>
      </c>
      <c r="C40" s="30" t="s">
        <v>574</v>
      </c>
      <c r="D40" s="30" t="s">
        <v>49</v>
      </c>
      <c r="E40" s="30" t="s">
        <v>442</v>
      </c>
      <c r="F40" s="42">
        <v>0</v>
      </c>
      <c r="G40" s="42">
        <v>148</v>
      </c>
      <c r="H40" s="42">
        <v>5243</v>
      </c>
      <c r="I40" s="42">
        <v>5080</v>
      </c>
      <c r="J40" s="30" t="s">
        <v>443</v>
      </c>
      <c r="K40" s="42">
        <v>4790</v>
      </c>
      <c r="L40" s="134" t="s">
        <v>51</v>
      </c>
      <c r="M40" s="135">
        <f t="shared" si="0"/>
        <v>153.12</v>
      </c>
      <c r="N40" s="136" t="str">
        <f>VLOOKUP(C40,'Trips&amp;Operators'!$C$1:$G$99999,5,FALSE)</f>
        <v>NEWELL JAMES</v>
      </c>
      <c r="O40" s="210" t="s">
        <v>184</v>
      </c>
      <c r="P40" s="137" t="s">
        <v>971</v>
      </c>
      <c r="Q40" s="30"/>
      <c r="R40" s="84" t="e">
        <f>IF(VLOOKUP(C40,'Train Runs'!$A$13:$AE$9948,1,1)=C40,VLOOKUP(C40,'Train Runs'!$A$13:$AE$9948,31,1),NA())</f>
        <v>#N/A</v>
      </c>
      <c r="S40" s="87" t="str">
        <f>VLOOKUP(C40,'Train Runs'!$A$13:$AE$9948,22,0)</f>
        <v>https://d0f6bd738d7f1b3e5a7ca70fe4ff75f0.us-east-1.aws.found.io/app/kibana#/discover/Steve-Slow-Train-Analysis-(2080s-and-2083s)?_g=(refreshInterval:(display:Off,pause:!f,section:0,value:0),time:(from:'2017-04-24T16:05:06-0600',mode:absolute,to:'2017-04-24T18:25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40" s="89" t="str">
        <f t="shared" si="1"/>
        <v>"C:\Program Files (x86)\AstroGrep\AstroGrep.exe" /e /r /s /spath="%USERPROFILE%\AppData\Local\Temp\OnboardLogs" /stypes="*4053*201704242*" /stext=" 23:.+((SYSTEM_STATE.+slice.+state.+changed )|(ment ac)|(multiple cpu faults)|(system.+state.+changed )|(\[timeout)|(PRM\|1\|D)|(kpr)|(kdp)|(train.+moving)|(\|lc)|(penalty))"</v>
      </c>
      <c r="U40" s="9" t="str">
        <f t="shared" si="2"/>
        <v>4053</v>
      </c>
      <c r="V40" s="31">
        <f t="shared" si="3"/>
        <v>42849.974247685182</v>
      </c>
      <c r="W40" s="45" t="str">
        <f t="shared" si="4"/>
        <v>NW</v>
      </c>
      <c r="X40" s="45" t="str">
        <f t="shared" si="5"/>
        <v>KEEP</v>
      </c>
      <c r="Y40" s="99" t="str">
        <f t="shared" si="6"/>
        <v>echo {"issue":{"subject":"DUS 28S STOP","project_id":79,"tracker_id":40,"status_id":1,"priority_id":2,"assigned_to_id":23,"start_date":"2017-04-24","description":"","custom_fields":[{"id":1,"name":"Subdivision","value":"NW"},{"id":4,"name":"Milepost","value":"0.479"},{"id":17,"name":"Train ID","value":"832-24"},{"id":16,"name":"Locomotive ID","value":"4053"},{"id":130,"name":"Impact","value":""},{"id":150,"name":"Time of Event (Mountain Time)","value":"17:22:55"},{"id":151,"name":"Denver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7"/>
        <v>grep -hSE -A400 "Enforcement Action" "%USERPROFILE%\AppData\Local\Temp\OnboardLogs"\RTDC4053\*4053*201704242*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"%USERPROFILE%\AppData\Local\Temp\OnboardLogs"\RTDC4053\*4053*201704242* &gt;&gt; 2017-04-24-SliceDisagreementCheck.txt</v>
      </c>
      <c r="AE40" s="148" t="str">
        <f t="shared" si="9"/>
        <v>start /low /b %USERPROFILE%\Documents\GitHub\eaglep3\Utilities\DownloadLogsFromS3.py --loco 4053 --day 2017-04-24</v>
      </c>
      <c r="AF40" s="1"/>
    </row>
    <row r="41" spans="1:32" x14ac:dyDescent="0.25">
      <c r="A41" s="31">
        <v>42849.290462962963</v>
      </c>
      <c r="B41" s="30" t="s">
        <v>414</v>
      </c>
      <c r="C41" s="30" t="s">
        <v>548</v>
      </c>
      <c r="D41" s="30" t="s">
        <v>49</v>
      </c>
      <c r="E41" s="30" t="s">
        <v>442</v>
      </c>
      <c r="F41" s="42">
        <v>0</v>
      </c>
      <c r="G41" s="42">
        <v>300</v>
      </c>
      <c r="H41" s="42">
        <v>35231</v>
      </c>
      <c r="I41" s="42">
        <v>36034</v>
      </c>
      <c r="J41" s="30" t="s">
        <v>443</v>
      </c>
      <c r="K41" s="42">
        <v>37575</v>
      </c>
      <c r="L41" s="134" t="s">
        <v>50</v>
      </c>
      <c r="M41" s="135">
        <f t="shared" si="0"/>
        <v>813.64800000000002</v>
      </c>
      <c r="N41" s="136" t="str">
        <f>VLOOKUP(C41,'Trips&amp;Operators'!$C$1:$G$99999,5,FALSE)</f>
        <v>DAVIS WENDY</v>
      </c>
      <c r="O41" s="210" t="s">
        <v>427</v>
      </c>
      <c r="P41" s="137" t="s">
        <v>543</v>
      </c>
      <c r="Q41" s="30"/>
      <c r="R41" s="84" t="str">
        <f>IF(VLOOKUP(C41,'Train Runs'!$A$13:$AE$9948,1,1)=C41,VLOOKUP(C41,'Train Runs'!$A$13:$AE$9948,31,1),NA())</f>
        <v>aws s3 cp s3://rtdc.mdm.uploadarchive.raw/RTDC4054/ "%USERPROFILE%\AppData\Local\Temp\OnboardLogs"\RTDC4054\2017-04-24 --exclude "*" --recursive --include "*20170424*" &amp; "%USERPROFILE%\Documents\GitHub\mrs-test-scripts\Headless Mode &amp; Sideloading\WalkAndUnGZ.bat" "%USERPROFILE%\AppData\Local\Temp\OnboardLogs"\RTDC4054\2017-04-24 &amp; aws s3 cp s3://rtdc.mdm.uploadarchive.raw/RTDC4054/ "%USERPROFILE%\AppData\Local\Temp\OnboardLogs"\RTDC4054\2017-04-25 --exclude "*" --recursive --include "*20170425*" &amp; "%USERPROFILE%\Documents\GitHub\mrs-test-scripts\Headless Mode &amp; Sideloading\WalkAndUnGZ.bat" "%USERPROFILE%\AppData\Local\Temp\OnboardLogs"\RTDC4054\2017-04-25</v>
      </c>
      <c r="S41" s="87" t="str">
        <f>VLOOKUP(C41,'Train Runs'!$A$13:$AE$9948,22,0)</f>
        <v>https://d0f6bd738d7f1b3e5a7ca70fe4ff75f0.us-east-1.aws.found.io/app/kibana#/discover/Steve-Slow-Train-Analysis-(2080s-and-2083s)?_g=(refreshInterval:(display:Off,pause:!f,section:0,value:0),time:(from:'2017-04-24T05:46:05-0600',mode:absolute,to:'2017-04-24T08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41" s="89" t="str">
        <f t="shared" si="1"/>
        <v>"C:\Program Files (x86)\AstroGrep\AstroGrep.exe" /e /r /s /spath="%USERPROFILE%\AppData\Local\Temp\OnboardLogs" /stypes="*4054*201704241*" /stext=" 12:.+((SYSTEM_STATE.+slice.+state.+changed )|(ment ac)|(multiple cpu faults)|(system.+state.+changed )|(\[timeout)|(PRM\|1\|D)|(kpr)|(kdp)|(train.+moving)|(\|lc)|(penalty))"</v>
      </c>
      <c r="U41" s="9" t="str">
        <f t="shared" si="2"/>
        <v>4054</v>
      </c>
      <c r="V41" s="31">
        <f t="shared" si="3"/>
        <v>42849.540462962963</v>
      </c>
      <c r="W41" s="45" t="str">
        <f t="shared" si="4"/>
        <v>NW</v>
      </c>
      <c r="X41" s="45" t="str">
        <f t="shared" si="5"/>
        <v>KEEP</v>
      </c>
      <c r="Y41" s="99" t="str">
        <f t="shared" si="6"/>
        <v>echo {"issue":{"subject":"Wi-MAX data drop","project_id":79,"tracker_id":40,"status_id":1,"priority_id":2,"assigned_to_id":23,"start_date":"2017-04-24","description":"http://stevetu21.github.io/eaglep3/load_kml.html?kml=http://rtdc.gmaps-snips.s3.amazonaws.com/1336d499-3195-455f-bb14-8a90658c75d9.kml","custom_fields":[{"id":1,"name":"Subdivision","value":"NW"},{"id":4,"name":"Milepost","value":"3.7575"},{"id":17,"name":"Train ID","value":"805-24"},{"id":16,"name":"Locomotive ID","value":"4054"},{"id":130,"name":"Impact","value":"Enforcement"},{"id":150,"name":"Time of Event (Mountain Time)","value":"06:58:16"},{"id":151,"name":"Denver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41" t="s">
        <v>970</v>
      </c>
      <c r="AA41" s="47" t="s">
        <v>124</v>
      </c>
      <c r="AB41" s="47" t="s">
        <v>137</v>
      </c>
      <c r="AC41" s="118" t="str">
        <f t="shared" si="7"/>
        <v>grep -hSE -A400 "Enforcement Action" "%USERPROFILE%\AppData\Local\Temp\OnboardLogs"\RTDC4054\*4054*201704241*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"%USERPROFILE%\AppData\Local\Temp\OnboardLogs"\RTDC4054\*4054*201704241* &gt;&gt; 2017-04-24-SliceDisagreementCheck.txt</v>
      </c>
      <c r="AE41" s="148" t="str">
        <f t="shared" si="9"/>
        <v>start /low /b %USERPROFILE%\Documents\GitHub\eaglep3\Utilities\DownloadLogsFromS3.py --loco 4054 --day 2017-04-24</v>
      </c>
      <c r="AF41" s="1"/>
    </row>
    <row r="42" spans="1:32" x14ac:dyDescent="0.25">
      <c r="A42" s="31">
        <v>42849.351030092592</v>
      </c>
      <c r="B42" s="30" t="s">
        <v>550</v>
      </c>
      <c r="C42" s="30" t="s">
        <v>551</v>
      </c>
      <c r="D42" s="30" t="s">
        <v>49</v>
      </c>
      <c r="E42" s="30" t="s">
        <v>185</v>
      </c>
      <c r="F42" s="42">
        <v>0</v>
      </c>
      <c r="G42" s="42">
        <v>25</v>
      </c>
      <c r="H42" s="42">
        <v>642</v>
      </c>
      <c r="I42" s="42">
        <v>619</v>
      </c>
      <c r="J42" s="30" t="s">
        <v>186</v>
      </c>
      <c r="K42" s="42">
        <v>575</v>
      </c>
      <c r="L42" s="134" t="s">
        <v>51</v>
      </c>
      <c r="M42" s="135">
        <f t="shared" si="0"/>
        <v>23.231999999999999</v>
      </c>
      <c r="N42" s="136" t="str">
        <f>VLOOKUP(C42,'Trips&amp;Operators'!$C$1:$G$99999,5,FALSE)</f>
        <v>DAVIS WENDY</v>
      </c>
      <c r="O42" s="210" t="s">
        <v>184</v>
      </c>
      <c r="P42" s="137"/>
      <c r="Q42" s="30"/>
      <c r="R42" s="84" t="e">
        <f>IF(VLOOKUP(C42,'Train Runs'!$A$13:$AE$9948,1,1)=C42,VLOOKUP(C42,'Train Runs'!$A$13:$AE$9948,31,1),NA())</f>
        <v>#N/A</v>
      </c>
      <c r="S42" s="87" t="str">
        <f>VLOOKUP(C42,'Train Runs'!$A$13:$AE$9948,22,0)</f>
        <v>https://d0f6bd738d7f1b3e5a7ca70fe4ff75f0.us-east-1.aws.found.io/app/kibana#/discover/Steve-Slow-Train-Analysis-(2080s-and-2083s)?_g=(refreshInterval:(display:Off,pause:!f,section:0,value:0),time:(from:'2017-04-24T07:05:54-0600',mode:absolute,to:'2017-04-24T09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42" s="89" t="str">
        <f t="shared" si="1"/>
        <v>"C:\Program Files (x86)\AstroGrep\AstroGrep.exe" /e /r /s /spath="%USERPROFILE%\AppData\Local\Temp\OnboardLogs" /stypes="*4053*201704241*" /stext=" 14:.+((SYSTEM_STATE.+slice.+state.+changed )|(ment ac)|(multiple cpu faults)|(system.+state.+changed )|(\[timeout)|(PRM\|1\|D)|(kpr)|(kdp)|(train.+moving)|(\|lc)|(penalty))"</v>
      </c>
      <c r="U42" s="9" t="str">
        <f t="shared" si="2"/>
        <v>4053</v>
      </c>
      <c r="V42" s="31">
        <f t="shared" si="3"/>
        <v>42849.601030092592</v>
      </c>
      <c r="W42" s="45" t="str">
        <f t="shared" si="4"/>
        <v>NW</v>
      </c>
      <c r="X42" s="45" t="str">
        <f t="shared" si="5"/>
        <v>KEEP</v>
      </c>
      <c r="Y42" s="99" t="str">
        <f t="shared" si="6"/>
        <v>echo {"issue":{"subject":"","project_id":79,"tracker_id":40,"status_id":1,"priority_id":2,"assigned_to_id":23,"start_date":"2017-04-24","description":"","custom_fields":[{"id":1,"name":"Subdivision","value":"NW"},{"id":4,"name":"Milepost","value":"0.0575"},{"id":17,"name":"Train ID","value":"810-24"},{"id":16,"name":"Locomotive ID","value":"4053"},{"id":130,"name":"Impact","value":""},{"id":150,"name":"Time of Event (Mountain Time)","value":"08:25:29"},{"id":151,"name":"Denver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7"/>
        <v>grep -hSE -A400 "Enforcement Action" "%USERPROFILE%\AppData\Local\Temp\OnboardLogs"\RTDC4053\*4053*201704241*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"%USERPROFILE%\AppData\Local\Temp\OnboardLogs"\RTDC4053\*4053*201704241* &gt;&gt; 2017-04-24-SliceDisagreementCheck.txt</v>
      </c>
      <c r="AE42" s="148" t="str">
        <f t="shared" si="9"/>
        <v>start /low /b %USERPROFILE%\Documents\GitHub\eaglep3\Utilities\DownloadLogsFromS3.py --loco 4053 --day 2017-04-24</v>
      </c>
      <c r="AF42" s="1"/>
    </row>
    <row r="43" spans="1:32" x14ac:dyDescent="0.25">
      <c r="A43" s="31">
        <v>42849.454375000001</v>
      </c>
      <c r="B43" s="30" t="s">
        <v>490</v>
      </c>
      <c r="C43" s="30" t="s">
        <v>554</v>
      </c>
      <c r="D43" s="30" t="s">
        <v>49</v>
      </c>
      <c r="E43" s="30" t="s">
        <v>185</v>
      </c>
      <c r="F43" s="42">
        <v>0</v>
      </c>
      <c r="G43" s="42">
        <v>33</v>
      </c>
      <c r="H43" s="42">
        <v>659</v>
      </c>
      <c r="I43" s="42">
        <v>636</v>
      </c>
      <c r="J43" s="30" t="s">
        <v>186</v>
      </c>
      <c r="K43" s="42">
        <v>575</v>
      </c>
      <c r="L43" s="134" t="s">
        <v>51</v>
      </c>
      <c r="M43" s="135">
        <f t="shared" si="0"/>
        <v>32.207999999999998</v>
      </c>
      <c r="N43" s="136" t="str">
        <f>VLOOKUP(C43,'Trips&amp;Operators'!$C$1:$G$99999,5,FALSE)</f>
        <v>ZEWDU DEREJE</v>
      </c>
      <c r="O43" s="210" t="s">
        <v>184</v>
      </c>
      <c r="P43" s="137"/>
      <c r="Q43" s="30"/>
      <c r="R43" s="84" t="e">
        <f>IF(VLOOKUP(C43,'Train Runs'!$A$13:$AE$9948,1,1)=C43,VLOOKUP(C43,'Train Runs'!$A$13:$AE$9948,31,1),NA())</f>
        <v>#N/A</v>
      </c>
      <c r="S43" s="87" t="str">
        <f>VLOOKUP(C43,'Train Runs'!$A$13:$AE$9948,22,0)</f>
        <v>https://d0f6bd738d7f1b3e5a7ca70fe4ff75f0.us-east-1.aws.found.io/app/kibana#/discover/Steve-Slow-Train-Analysis-(2080s-and-2083s)?_g=(refreshInterval:(display:Off,pause:!f,section:0,value:0),time:(from:'2017-04-24T09:35:22-0600',mode:absolute,to:'2017-04-24T11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43" s="89" t="str">
        <f t="shared" si="1"/>
        <v>"C:\Program Files (x86)\AstroGrep\AstroGrep.exe" /e /r /s /spath="%USERPROFILE%\AppData\Local\Temp\OnboardLogs" /stypes="*4063*201704241*" /stext=" 16:.+((SYSTEM_STATE.+slice.+state.+changed )|(ment ac)|(multiple cpu faults)|(system.+state.+changed )|(\[timeout)|(PRM\|1\|D)|(kpr)|(kdp)|(train.+moving)|(\|lc)|(penalty))"</v>
      </c>
      <c r="U43" s="9" t="str">
        <f t="shared" si="2"/>
        <v>4063</v>
      </c>
      <c r="V43" s="31">
        <f t="shared" si="3"/>
        <v>42849.704375000001</v>
      </c>
      <c r="W43" s="45" t="str">
        <f t="shared" si="4"/>
        <v>NW</v>
      </c>
      <c r="X43" s="45" t="str">
        <f t="shared" si="5"/>
        <v>KEEP</v>
      </c>
      <c r="Y43" s="99" t="str">
        <f t="shared" si="6"/>
        <v>echo {"issue":{"subject":"","project_id":79,"tracker_id":40,"status_id":1,"priority_id":2,"assigned_to_id":23,"start_date":"2017-04-24","description":"","custom_fields":[{"id":1,"name":"Subdivision","value":"NW"},{"id":4,"name":"Milepost","value":"0.0575"},{"id":17,"name":"Train ID","value":"816-24"},{"id":16,"name":"Locomotive ID","value":"4063"},{"id":130,"name":"Impact","value":""},{"id":150,"name":"Time of Event (Mountain Time)","value":"10:54:18"},{"id":151,"name":"Denver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7"/>
        <v>grep -hSE -A400 "Enforcement Action" "%USERPROFILE%\AppData\Local\Temp\OnboardLogs"\RTDC4063\*4063*201704241*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"%USERPROFILE%\AppData\Local\Temp\OnboardLogs"\RTDC4063\*4063*201704241* &gt;&gt; 2017-04-24-SliceDisagreementCheck.txt</v>
      </c>
      <c r="AE43" s="148" t="str">
        <f t="shared" si="9"/>
        <v>start /low /b %USERPROFILE%\Documents\GitHub\eaglep3\Utilities\DownloadLogsFromS3.py --loco 4063 --day 2017-04-24</v>
      </c>
      <c r="AF43" s="1"/>
    </row>
    <row r="44" spans="1:32" x14ac:dyDescent="0.25">
      <c r="A44" s="31">
        <v>42849.580138888887</v>
      </c>
      <c r="B44" s="30" t="s">
        <v>490</v>
      </c>
      <c r="C44" s="30" t="s">
        <v>561</v>
      </c>
      <c r="D44" s="30" t="s">
        <v>49</v>
      </c>
      <c r="E44" s="30" t="s">
        <v>185</v>
      </c>
      <c r="F44" s="42">
        <v>0</v>
      </c>
      <c r="G44" s="42">
        <v>27</v>
      </c>
      <c r="H44" s="42">
        <v>622</v>
      </c>
      <c r="I44" s="42">
        <v>607</v>
      </c>
      <c r="J44" s="30" t="s">
        <v>186</v>
      </c>
      <c r="K44" s="42">
        <v>575</v>
      </c>
      <c r="L44" s="134" t="s">
        <v>51</v>
      </c>
      <c r="M44" s="135">
        <f t="shared" si="0"/>
        <v>16.896000000000001</v>
      </c>
      <c r="N44" s="136" t="str">
        <f>VLOOKUP(C44,'Trips&amp;Operators'!$C$1:$G$99999,5,FALSE)</f>
        <v>LEVIN SCOTT</v>
      </c>
      <c r="O44" s="210" t="s">
        <v>184</v>
      </c>
      <c r="P44" s="137"/>
      <c r="Q44" s="30"/>
      <c r="R44" s="84" t="e">
        <f>IF(VLOOKUP(C44,'Train Runs'!$A$13:$AE$9948,1,1)=C44,VLOOKUP(C44,'Train Runs'!$A$13:$AE$9948,31,1),NA())</f>
        <v>#N/A</v>
      </c>
      <c r="S44" s="87" t="str">
        <f>VLOOKUP(C44,'Train Runs'!$A$13:$AE$9948,22,0)</f>
        <v>https://d0f6bd738d7f1b3e5a7ca70fe4ff75f0.us-east-1.aws.found.io/app/kibana#/discover/Steve-Slow-Train-Analysis-(2080s-and-2083s)?_g=(refreshInterval:(display:Off,pause:!f,section:0,value:0),time:(from:'2017-04-24T12:36:09-0600',mode:absolute,to:'2017-04-24T14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44" s="89" t="str">
        <f t="shared" si="1"/>
        <v>"C:\Program Files (x86)\AstroGrep\AstroGrep.exe" /e /r /s /spath="%USERPROFILE%\AppData\Local\Temp\OnboardLogs" /stypes="*4063*201704241*" /stext=" 19:.+((SYSTEM_STATE.+slice.+state.+changed )|(ment ac)|(multiple cpu faults)|(system.+state.+changed )|(\[timeout)|(PRM\|1\|D)|(kpr)|(kdp)|(train.+moving)|(\|lc)|(penalty))"</v>
      </c>
      <c r="U44" s="9" t="str">
        <f t="shared" si="2"/>
        <v>4063</v>
      </c>
      <c r="V44" s="31">
        <f t="shared" si="3"/>
        <v>42849.830138888887</v>
      </c>
      <c r="W44" s="45" t="str">
        <f t="shared" si="4"/>
        <v>NW</v>
      </c>
      <c r="X44" s="45" t="str">
        <f t="shared" si="5"/>
        <v>KEEP</v>
      </c>
      <c r="Y44" s="99" t="str">
        <f t="shared" si="6"/>
        <v>echo {"issue":{"subject":"","project_id":79,"tracker_id":40,"status_id":1,"priority_id":2,"assigned_to_id":23,"start_date":"2017-04-24","description":"","custom_fields":[{"id":1,"name":"Subdivision","value":"NW"},{"id":4,"name":"Milepost","value":"0.0575"},{"id":17,"name":"Train ID","value":"822-24"},{"id":16,"name":"Locomotive ID","value":"4063"},{"id":130,"name":"Impact","value":""},{"id":150,"name":"Time of Event (Mountain Time)","value":"13:55:24"},{"id":151,"name":"Denver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7"/>
        <v>grep -hSE -A400 "Enforcement Action" "%USERPROFILE%\AppData\Local\Temp\OnboardLogs"\RTDC4063\*4063*201704241*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"%USERPROFILE%\AppData\Local\Temp\OnboardLogs"\RTDC4063\*4063*201704241* &gt;&gt; 2017-04-24-SliceDisagreementCheck.txt</v>
      </c>
      <c r="AE44" s="148" t="str">
        <f t="shared" si="9"/>
        <v>start /low /b %USERPROFILE%\Documents\GitHub\eaglep3\Utilities\DownloadLogsFromS3.py --loco 4063 --day 2017-04-24</v>
      </c>
      <c r="AF44" s="1"/>
    </row>
    <row r="45" spans="1:32" x14ac:dyDescent="0.25">
      <c r="A45" s="31">
        <v>42849.663402777776</v>
      </c>
      <c r="B45" s="30" t="s">
        <v>490</v>
      </c>
      <c r="C45" s="30" t="s">
        <v>567</v>
      </c>
      <c r="D45" s="30" t="s">
        <v>49</v>
      </c>
      <c r="E45" s="30" t="s">
        <v>185</v>
      </c>
      <c r="F45" s="42">
        <v>0</v>
      </c>
      <c r="G45" s="42">
        <v>20</v>
      </c>
      <c r="H45" s="42">
        <v>600</v>
      </c>
      <c r="I45" s="42">
        <v>577</v>
      </c>
      <c r="J45" s="30" t="s">
        <v>186</v>
      </c>
      <c r="K45" s="42">
        <v>575</v>
      </c>
      <c r="L45" s="134" t="s">
        <v>51</v>
      </c>
      <c r="M45" s="135">
        <f t="shared" si="0"/>
        <v>1.056</v>
      </c>
      <c r="N45" s="136" t="str">
        <f>VLOOKUP(C45,'Trips&amp;Operators'!$C$1:$G$99999,5,FALSE)</f>
        <v>LEVIN SCOTT</v>
      </c>
      <c r="O45" s="210" t="s">
        <v>184</v>
      </c>
      <c r="P45" s="137"/>
      <c r="Q45" s="30"/>
      <c r="R45" s="84" t="e">
        <f>IF(VLOOKUP(C45,'Train Runs'!$A$13:$AE$9948,1,1)=C45,VLOOKUP(C45,'Train Runs'!$A$13:$AE$9948,31,1),NA())</f>
        <v>#N/A</v>
      </c>
      <c r="S45" s="87" t="str">
        <f>VLOOKUP(C45,'Train Runs'!$A$13:$AE$9948,22,0)</f>
        <v>https://d0f6bd738d7f1b3e5a7ca70fe4ff75f0.us-east-1.aws.found.io/app/kibana#/discover/Steve-Slow-Train-Analysis-(2080s-and-2083s)?_g=(refreshInterval:(display:Off,pause:!f,section:0,value:0),time:(from:'2017-04-24T14:36:22-0600',mode:absolute,to:'2017-04-24T16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45" s="89" t="str">
        <f t="shared" si="1"/>
        <v>"C:\Program Files (x86)\AstroGrep\AstroGrep.exe" /e /r /s /spath="%USERPROFILE%\AppData\Local\Temp\OnboardLogs" /stypes="*4063*201704242*" /stext=" 21:.+((SYSTEM_STATE.+slice.+state.+changed )|(ment ac)|(multiple cpu faults)|(system.+state.+changed )|(\[timeout)|(PRM\|1\|D)|(kpr)|(kdp)|(train.+moving)|(\|lc)|(penalty))"</v>
      </c>
      <c r="U45" s="9" t="str">
        <f t="shared" si="2"/>
        <v>4063</v>
      </c>
      <c r="V45" s="31">
        <f t="shared" si="3"/>
        <v>42849.913402777776</v>
      </c>
      <c r="W45" s="45" t="str">
        <f t="shared" si="4"/>
        <v>NW</v>
      </c>
      <c r="X45" s="45" t="str">
        <f t="shared" si="5"/>
        <v>KEEP</v>
      </c>
      <c r="Y45" s="99" t="str">
        <f t="shared" si="6"/>
        <v>echo {"issue":{"subject":"","project_id":79,"tracker_id":40,"status_id":1,"priority_id":2,"assigned_to_id":23,"start_date":"2017-04-24","description":"","custom_fields":[{"id":1,"name":"Subdivision","value":"NW"},{"id":4,"name":"Milepost","value":"0.0575"},{"id":17,"name":"Train ID","value":"826-24"},{"id":16,"name":"Locomotive ID","value":"4063"},{"id":130,"name":"Impact","value":""},{"id":150,"name":"Time of Event (Mountain Time)","value":"15:55:18"},{"id":151,"name":"Denver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7"/>
        <v>grep -hSE -A400 "Enforcement Action" "%USERPROFILE%\AppData\Local\Temp\OnboardLogs"\RTDC4063\*4063*201704242*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"%USERPROFILE%\AppData\Local\Temp\OnboardLogs"\RTDC4063\*4063*201704242* &gt;&gt; 2017-04-24-SliceDisagreementCheck.txt</v>
      </c>
      <c r="AE45" s="148" t="str">
        <f t="shared" si="9"/>
        <v>start /low /b %USERPROFILE%\Documents\GitHub\eaglep3\Utilities\DownloadLogsFromS3.py --loco 4063 --day 2017-04-24</v>
      </c>
      <c r="AF45" s="1"/>
    </row>
    <row r="46" spans="1:32" x14ac:dyDescent="0.25">
      <c r="A46" s="31">
        <v>42849.705023148148</v>
      </c>
      <c r="B46" s="30" t="s">
        <v>490</v>
      </c>
      <c r="C46" s="30" t="s">
        <v>571</v>
      </c>
      <c r="D46" s="30" t="s">
        <v>49</v>
      </c>
      <c r="E46" s="30" t="s">
        <v>185</v>
      </c>
      <c r="F46" s="42">
        <v>0</v>
      </c>
      <c r="G46" s="42">
        <v>27</v>
      </c>
      <c r="H46" s="42">
        <v>617</v>
      </c>
      <c r="I46" s="42">
        <v>605</v>
      </c>
      <c r="J46" s="30" t="s">
        <v>186</v>
      </c>
      <c r="K46" s="42">
        <v>575</v>
      </c>
      <c r="L46" s="134" t="s">
        <v>51</v>
      </c>
      <c r="M46" s="135">
        <f t="shared" si="0"/>
        <v>15.84</v>
      </c>
      <c r="N46" s="136" t="str">
        <f>VLOOKUP(C46,'Trips&amp;Operators'!$C$1:$G$99999,5,FALSE)</f>
        <v>LEVIN SCOTT</v>
      </c>
      <c r="O46" s="210" t="s">
        <v>184</v>
      </c>
      <c r="P46" s="137"/>
      <c r="Q46" s="30"/>
      <c r="R46" s="84" t="e">
        <f>IF(VLOOKUP(C46,'Train Runs'!$A$13:$AE$9948,1,1)=C46,VLOOKUP(C46,'Train Runs'!$A$13:$AE$9948,31,1),NA())</f>
        <v>#N/A</v>
      </c>
      <c r="S46" s="87" t="str">
        <f>VLOOKUP(C46,'Train Runs'!$A$13:$AE$9948,22,0)</f>
        <v>https://d0f6bd738d7f1b3e5a7ca70fe4ff75f0.us-east-1.aws.found.io/app/kibana#/discover/Steve-Slow-Train-Analysis-(2080s-and-2083s)?_g=(refreshInterval:(display:Off,pause:!f,section:0,value:0),time:(from:'2017-04-24T15:36:11-0600',mode:absolute,to:'2017-04-24T17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46" s="89" t="str">
        <f t="shared" si="1"/>
        <v>"C:\Program Files (x86)\AstroGrep\AstroGrep.exe" /e /r /s /spath="%USERPROFILE%\AppData\Local\Temp\OnboardLogs" /stypes="*4063*201704242*" /stext=" 22:.+((SYSTEM_STATE.+slice.+state.+changed )|(ment ac)|(multiple cpu faults)|(system.+state.+changed )|(\[timeout)|(PRM\|1\|D)|(kpr)|(kdp)|(train.+moving)|(\|lc)|(penalty))"</v>
      </c>
      <c r="U46" s="9" t="str">
        <f t="shared" si="2"/>
        <v>4063</v>
      </c>
      <c r="V46" s="31">
        <f t="shared" si="3"/>
        <v>42849.955023148148</v>
      </c>
      <c r="W46" s="45" t="str">
        <f t="shared" si="4"/>
        <v>NW</v>
      </c>
      <c r="X46" s="45" t="str">
        <f t="shared" si="5"/>
        <v>KEEP</v>
      </c>
      <c r="Y46" s="99" t="str">
        <f t="shared" si="6"/>
        <v>echo {"issue":{"subject":"","project_id":79,"tracker_id":40,"status_id":1,"priority_id":2,"assigned_to_id":23,"start_date":"2017-04-24","description":"","custom_fields":[{"id":1,"name":"Subdivision","value":"NW"},{"id":4,"name":"Milepost","value":"0.0575"},{"id":17,"name":"Train ID","value":"830-24"},{"id":16,"name":"Locomotive ID","value":"4063"},{"id":130,"name":"Impact","value":""},{"id":150,"name":"Time of Event (Mountain Time)","value":"16:55:14"},{"id":151,"name":"Denver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 t="shared" si="7"/>
        <v>grep -hSE -A400 "Enforcement Action" "%USERPROFILE%\AppData\Local\Temp\OnboardLogs"\RTDC4063\*4063*201704242*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"%USERPROFILE%\AppData\Local\Temp\OnboardLogs"\RTDC4063\*4063*201704242* &gt;&gt; 2017-04-24-SliceDisagreementCheck.txt</v>
      </c>
      <c r="AE46" s="148" t="str">
        <f t="shared" si="9"/>
        <v>start /low /b %USERPROFILE%\Documents\GitHub\eaglep3\Utilities\DownloadLogsFromS3.py --loco 4063 --day 2017-04-24</v>
      </c>
      <c r="AF46" s="1"/>
    </row>
    <row r="47" spans="1:32" x14ac:dyDescent="0.25">
      <c r="A47" s="31">
        <v>42849.253449074073</v>
      </c>
      <c r="B47" s="30" t="s">
        <v>414</v>
      </c>
      <c r="C47" s="30" t="s">
        <v>546</v>
      </c>
      <c r="D47" s="30" t="s">
        <v>98</v>
      </c>
      <c r="E47" s="30" t="s">
        <v>185</v>
      </c>
      <c r="F47" s="42">
        <v>0</v>
      </c>
      <c r="G47" s="42">
        <v>3</v>
      </c>
      <c r="H47" s="42">
        <v>59048</v>
      </c>
      <c r="I47" s="42">
        <v>59048</v>
      </c>
      <c r="J47" s="30" t="s">
        <v>186</v>
      </c>
      <c r="K47" s="42">
        <v>59048</v>
      </c>
      <c r="L47" s="134" t="s">
        <v>50</v>
      </c>
      <c r="M47" s="135">
        <f t="shared" si="0"/>
        <v>0</v>
      </c>
      <c r="N47" s="136" t="str">
        <f>VLOOKUP(C47,'Trips&amp;Operators'!$C$1:$G$99999,5,FALSE)</f>
        <v>DAVIS WENDY</v>
      </c>
      <c r="O47" s="210" t="s">
        <v>184</v>
      </c>
      <c r="P47" s="137"/>
      <c r="Q47" s="30"/>
      <c r="R47" s="84" t="str">
        <f>IF(VLOOKUP(C47,'Train Runs'!$A$13:$AE$9948,1,1)=C47,VLOOKUP(C47,'Train Runs'!$A$13:$AE$9948,31,1),NA())</f>
        <v>aws s3 cp s3://rtdc.mdm.uploadarchive.raw/RTDC4054/ "%USERPROFILE%\AppData\Local\Temp\OnboardLogs"\RTDC4054\2017-04-24 --exclude "*" --recursive --include "*20170424*" &amp; "%USERPROFILE%\Documents\GitHub\mrs-test-scripts\Headless Mode &amp; Sideloading\WalkAndUnGZ.bat" "%USERPROFILE%\AppData\Local\Temp\OnboardLogs"\RTDC4054\2017-04-24 &amp; aws s3 cp s3://rtdc.mdm.uploadarchive.raw/RTDC4054/ "%USERPROFILE%\AppData\Local\Temp\OnboardLogs"\RTDC4054\2017-04-25 --exclude "*" --recursive --include "*20170425*" &amp; "%USERPROFILE%\Documents\GitHub\mrs-test-scripts\Headless Mode &amp; Sideloading\WalkAndUnGZ.bat" "%USERPROFILE%\AppData\Local\Temp\OnboardLogs"\RTDC4054\2017-04-25</v>
      </c>
      <c r="S47" s="87" t="str">
        <f>VLOOKUP(C47,'Train Runs'!$A$13:$AE$9948,22,0)</f>
        <v>https://d0f6bd738d7f1b3e5a7ca70fe4ff75f0.us-east-1.aws.found.io/app/kibana#/discover/Steve-Slow-Train-Analysis-(2080s-and-2083s)?_g=(refreshInterval:(display:Off,pause:!f,section:0,value:0),time:(from:'2017-04-24T04:44:32-0600',mode:absolute,to:'2017-04-24T07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47" s="89" t="str">
        <f t="shared" si="1"/>
        <v>"C:\Program Files (x86)\AstroGrep\AstroGrep.exe" /e /r /s /spath="%USERPROFILE%\AppData\Local\Temp\OnboardLogs" /stypes="*4054*201704241*" /stext=" 12:.+((SYSTEM_STATE.+slice.+state.+changed )|(ment ac)|(multiple cpu faults)|(system.+state.+changed )|(\[timeout)|(PRM\|1\|D)|(kpr)|(kdp)|(train.+moving)|(\|lc)|(penalty))"</v>
      </c>
      <c r="U47" s="9" t="str">
        <f t="shared" si="2"/>
        <v>4054</v>
      </c>
      <c r="V47" s="31">
        <f t="shared" si="3"/>
        <v>42849.503449074073</v>
      </c>
      <c r="W47" s="45" t="str">
        <f t="shared" si="4"/>
        <v>NW</v>
      </c>
      <c r="X47" s="45" t="str">
        <f t="shared" si="5"/>
        <v>OMIT</v>
      </c>
      <c r="Y47" s="99" t="str">
        <f t="shared" si="6"/>
        <v>echo {"issue":{"subject":"","project_id":79,"tracker_id":40,"status_id":1,"priority_id":2,"assigned_to_id":23,"start_date":"2017-04-24","description":"","custom_fields":[{"id":1,"name":"Subdivision","value":"NW"},{"id":4,"name":"Milepost","value":"5.9048"},{"id":17,"name":"Train ID","value":"801-24"},{"id":16,"name":"Locomotive ID","value":"4054"},{"id":130,"name":"Impact","value":""},{"id":150,"name":"Time of Event (Mountain Time)","value":"06:04:58"},{"id":151,"name":"Denver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 t="shared" si="7"/>
        <v>grep -hSE -A400 "Enforcement Action" "%USERPROFILE%\AppData\Local\Temp\OnboardLogs"\RTDC4054\*4054*201704241*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"%USERPROFILE%\AppData\Local\Temp\OnboardLogs"\RTDC4054\*4054*201704241* &gt;&gt; 2017-04-24-SliceDisagreementCheck.txt</v>
      </c>
      <c r="AE47" s="148" t="str">
        <f t="shared" si="9"/>
        <v>start /low /b %USERPROFILE%\Documents\GitHub\eaglep3\Utilities\DownloadLogsFromS3.py --loco 4054 --day 2017-04-24</v>
      </c>
      <c r="AF47" s="1"/>
    </row>
    <row r="48" spans="1:32" x14ac:dyDescent="0.25">
      <c r="A48" s="31">
        <v>42849.29550925926</v>
      </c>
      <c r="B48" s="30" t="s">
        <v>414</v>
      </c>
      <c r="C48" s="30" t="s">
        <v>548</v>
      </c>
      <c r="D48" s="30" t="s">
        <v>49</v>
      </c>
      <c r="E48" s="30" t="s">
        <v>185</v>
      </c>
      <c r="F48" s="42">
        <v>0</v>
      </c>
      <c r="G48" s="42">
        <v>14</v>
      </c>
      <c r="H48" s="42">
        <v>59031</v>
      </c>
      <c r="I48" s="42">
        <v>0</v>
      </c>
      <c r="J48" s="30" t="s">
        <v>186</v>
      </c>
      <c r="K48" s="42">
        <v>59048</v>
      </c>
      <c r="L48" s="134" t="s">
        <v>50</v>
      </c>
      <c r="M48" s="135">
        <f t="shared" si="0"/>
        <v>31177.344000000001</v>
      </c>
      <c r="N48" s="136" t="str">
        <f>VLOOKUP(C48,'Trips&amp;Operators'!$C$1:$G$99999,5,FALSE)</f>
        <v>DAVIS WENDY</v>
      </c>
      <c r="O48" s="210" t="s">
        <v>184</v>
      </c>
      <c r="P48" s="137"/>
      <c r="Q48" s="30"/>
      <c r="R48" s="84" t="str">
        <f>IF(VLOOKUP(C48,'Train Runs'!$A$13:$AE$9948,1,1)=C48,VLOOKUP(C48,'Train Runs'!$A$13:$AE$9948,31,1),NA())</f>
        <v>aws s3 cp s3://rtdc.mdm.uploadarchive.raw/RTDC4054/ "%USERPROFILE%\AppData\Local\Temp\OnboardLogs"\RTDC4054\2017-04-24 --exclude "*" --recursive --include "*20170424*" &amp; "%USERPROFILE%\Documents\GitHub\mrs-test-scripts\Headless Mode &amp; Sideloading\WalkAndUnGZ.bat" "%USERPROFILE%\AppData\Local\Temp\OnboardLogs"\RTDC4054\2017-04-24 &amp; aws s3 cp s3://rtdc.mdm.uploadarchive.raw/RTDC4054/ "%USERPROFILE%\AppData\Local\Temp\OnboardLogs"\RTDC4054\2017-04-25 --exclude "*" --recursive --include "*20170425*" &amp; "%USERPROFILE%\Documents\GitHub\mrs-test-scripts\Headless Mode &amp; Sideloading\WalkAndUnGZ.bat" "%USERPROFILE%\AppData\Local\Temp\OnboardLogs"\RTDC4054\2017-04-25</v>
      </c>
      <c r="S48" s="87" t="str">
        <f>VLOOKUP(C48,'Train Runs'!$A$13:$AE$9948,22,0)</f>
        <v>https://d0f6bd738d7f1b3e5a7ca70fe4ff75f0.us-east-1.aws.found.io/app/kibana#/discover/Steve-Slow-Train-Analysis-(2080s-and-2083s)?_g=(refreshInterval:(display:Off,pause:!f,section:0,value:0),time:(from:'2017-04-24T05:46:05-0600',mode:absolute,to:'2017-04-24T08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48" s="89" t="str">
        <f t="shared" si="1"/>
        <v>"C:\Program Files (x86)\AstroGrep\AstroGrep.exe" /e /r /s /spath="%USERPROFILE%\AppData\Local\Temp\OnboardLogs" /stypes="*4054*201704241*" /stext=" 13:.+((SYSTEM_STATE.+slice.+state.+changed )|(ment ac)|(multiple cpu faults)|(system.+state.+changed )|(\[timeout)|(PRM\|1\|D)|(kpr)|(kdp)|(train.+moving)|(\|lc)|(penalty))"</v>
      </c>
      <c r="U48" s="9" t="str">
        <f t="shared" si="2"/>
        <v>4054</v>
      </c>
      <c r="V48" s="31">
        <f t="shared" si="3"/>
        <v>42849.54550925926</v>
      </c>
      <c r="W48" s="45" t="str">
        <f t="shared" si="4"/>
        <v>NW</v>
      </c>
      <c r="X48" s="45" t="str">
        <f t="shared" si="5"/>
        <v>KEEP</v>
      </c>
      <c r="Y48" s="99" t="str">
        <f t="shared" si="6"/>
        <v>echo {"issue":{"subject":"","project_id":79,"tracker_id":40,"status_id":1,"priority_id":2,"assigned_to_id":23,"start_date":"2017-04-24","description":"","custom_fields":[{"id":1,"name":"Subdivision","value":"NW"},{"id":4,"name":"Milepost","value":"5.9048"},{"id":17,"name":"Train ID","value":"805-24"},{"id":16,"name":"Locomotive ID","value":"4054"},{"id":130,"name":"Impact","value":""},{"id":150,"name":"Time of Event (Mountain Time)","value":"07:05:32"},{"id":151,"name":"Denver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62"/>
      <c r="AA48" s="47"/>
      <c r="AB48" s="47"/>
      <c r="AC48" s="118" t="str">
        <f t="shared" si="7"/>
        <v>grep -hSE -A400 "Enforcement Action" "%USERPROFILE%\AppData\Local\Temp\OnboardLogs"\RTDC4054\*4054*201704241*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"%USERPROFILE%\AppData\Local\Temp\OnboardLogs"\RTDC4054\*4054*201704241* &gt;&gt; 2017-04-24-SliceDisagreementCheck.txt</v>
      </c>
      <c r="AE48" s="148" t="str">
        <f t="shared" si="9"/>
        <v>start /low /b %USERPROFILE%\Documents\GitHub\eaglep3\Utilities\DownloadLogsFromS3.py --loco 4054 --day 2017-04-24</v>
      </c>
      <c r="AF48" s="1"/>
    </row>
    <row r="49" spans="1:32" x14ac:dyDescent="0.25">
      <c r="A49" s="31">
        <v>42849.336597222224</v>
      </c>
      <c r="B49" s="30" t="s">
        <v>414</v>
      </c>
      <c r="C49" s="30" t="s">
        <v>549</v>
      </c>
      <c r="D49" s="30" t="s">
        <v>49</v>
      </c>
      <c r="E49" s="30" t="s">
        <v>185</v>
      </c>
      <c r="F49" s="42">
        <v>0</v>
      </c>
      <c r="G49" s="42">
        <v>13</v>
      </c>
      <c r="H49" s="42">
        <v>59005</v>
      </c>
      <c r="I49" s="42">
        <v>59012</v>
      </c>
      <c r="J49" s="30" t="s">
        <v>186</v>
      </c>
      <c r="K49" s="42">
        <v>59048</v>
      </c>
      <c r="L49" s="134" t="s">
        <v>50</v>
      </c>
      <c r="M49" s="135">
        <f t="shared" si="0"/>
        <v>19.007999999999999</v>
      </c>
      <c r="N49" s="136" t="str">
        <f>VLOOKUP(C49,'Trips&amp;Operators'!$C$1:$G$99999,5,FALSE)</f>
        <v>DAVIS WENDY</v>
      </c>
      <c r="O49" s="210" t="s">
        <v>184</v>
      </c>
      <c r="P49" s="137"/>
      <c r="Q49" s="30"/>
      <c r="R49" s="84" t="str">
        <f>IF(VLOOKUP(C49,'Train Runs'!$A$13:$AE$9948,1,1)=C49,VLOOKUP(C49,'Train Runs'!$A$13:$AE$9948,31,1),NA())</f>
        <v>aws s3 cp s3://rtdc.mdm.uploadarchive.raw/RTDC4054/ "%USERPROFILE%\AppData\Local\Temp\OnboardLogs"\RTDC4054\2017-04-24 --exclude "*" --recursive --include "*20170424*" &amp; "%USERPROFILE%\Documents\GitHub\mrs-test-scripts\Headless Mode &amp; Sideloading\WalkAndUnGZ.bat" "%USERPROFILE%\AppData\Local\Temp\OnboardLogs"\RTDC4054\2017-04-24 &amp; aws s3 cp s3://rtdc.mdm.uploadarchive.raw/RTDC4054/ "%USERPROFILE%\AppData\Local\Temp\OnboardLogs"\RTDC4054\2017-04-25 --exclude "*" --recursive --include "*20170425*" &amp; "%USERPROFILE%\Documents\GitHub\mrs-test-scripts\Headless Mode &amp; Sideloading\WalkAndUnGZ.bat" "%USERPROFILE%\AppData\Local\Temp\OnboardLogs"\RTDC4054\2017-04-25</v>
      </c>
      <c r="S49" s="87" t="str">
        <f>VLOOKUP(C49,'Train Runs'!$A$13:$AE$9948,22,0)</f>
        <v>https://d0f6bd738d7f1b3e5a7ca70fe4ff75f0.us-east-1.aws.found.io/app/kibana#/discover/Steve-Slow-Train-Analysis-(2080s-and-2083s)?_g=(refreshInterval:(display:Off,pause:!f,section:0,value:0),time:(from:'2017-04-24T06:47:00-0600',mode:absolute,to:'2017-04-24T09:04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49" s="89" t="str">
        <f t="shared" si="1"/>
        <v>"C:\Program Files (x86)\AstroGrep\AstroGrep.exe" /e /r /s /spath="%USERPROFILE%\AppData\Local\Temp\OnboardLogs" /stypes="*4054*201704241*" /stext=" 14:.+((SYSTEM_STATE.+slice.+state.+changed )|(ment ac)|(multiple cpu faults)|(system.+state.+changed )|(\[timeout)|(PRM\|1\|D)|(kpr)|(kdp)|(train.+moving)|(\|lc)|(penalty))"</v>
      </c>
      <c r="U49" s="9" t="str">
        <f t="shared" si="2"/>
        <v>4054</v>
      </c>
      <c r="V49" s="31">
        <f t="shared" si="3"/>
        <v>42849.586597222224</v>
      </c>
      <c r="W49" s="45" t="str">
        <f t="shared" si="4"/>
        <v>NW</v>
      </c>
      <c r="X49" s="45" t="str">
        <f t="shared" si="5"/>
        <v>KEEP</v>
      </c>
      <c r="Y49" s="99" t="str">
        <f t="shared" si="6"/>
        <v>echo {"issue":{"subject":"","project_id":79,"tracker_id":40,"status_id":1,"priority_id":2,"assigned_to_id":23,"start_date":"2017-04-24","description":"","custom_fields":[{"id":1,"name":"Subdivision","value":"NW"},{"id":4,"name":"Milepost","value":"5.9048"},{"id":17,"name":"Train ID","value":"809-24"},{"id":16,"name":"Locomotive ID","value":"4054"},{"id":130,"name":"Impact","value":""},{"id":150,"name":"Time of Event (Mountain Time)","value":"08:04:42"},{"id":151,"name":"Denver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62"/>
      <c r="AA49" s="47"/>
      <c r="AB49" s="47"/>
      <c r="AC49" s="118" t="str">
        <f t="shared" si="7"/>
        <v>grep -hSE -A400 "Enforcement Action" "%USERPROFILE%\AppData\Local\Temp\OnboardLogs"\RTDC4054\*4054*201704241*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"%USERPROFILE%\AppData\Local\Temp\OnboardLogs"\RTDC4054\*4054*201704241* &gt;&gt; 2017-04-24-SliceDisagreementCheck.txt</v>
      </c>
      <c r="AE49" s="148" t="str">
        <f t="shared" si="9"/>
        <v>start /low /b %USERPROFILE%\Documents\GitHub\eaglep3\Utilities\DownloadLogsFromS3.py --loco 4054 --day 2017-04-24</v>
      </c>
      <c r="AF49" s="1"/>
    </row>
    <row r="50" spans="1:32" x14ac:dyDescent="0.25">
      <c r="A50" s="31">
        <v>42849.857303240744</v>
      </c>
      <c r="B50" s="30" t="s">
        <v>492</v>
      </c>
      <c r="C50" s="30" t="s">
        <v>582</v>
      </c>
      <c r="D50" s="30" t="s">
        <v>49</v>
      </c>
      <c r="E50" s="30" t="s">
        <v>185</v>
      </c>
      <c r="F50" s="42">
        <v>0</v>
      </c>
      <c r="G50" s="42">
        <v>32</v>
      </c>
      <c r="H50" s="42">
        <v>58971</v>
      </c>
      <c r="I50" s="42">
        <v>58986</v>
      </c>
      <c r="J50" s="30" t="s">
        <v>186</v>
      </c>
      <c r="K50" s="42">
        <v>59048</v>
      </c>
      <c r="L50" s="134" t="s">
        <v>50</v>
      </c>
      <c r="M50" s="135">
        <f t="shared" si="0"/>
        <v>32.735999999999997</v>
      </c>
      <c r="N50" s="136" t="str">
        <f>VLOOKUP(C50,'Trips&amp;Operators'!$C$1:$G$99999,5,FALSE)</f>
        <v>LEVIN SCOTT</v>
      </c>
      <c r="O50" s="210" t="s">
        <v>184</v>
      </c>
      <c r="P50" s="137"/>
      <c r="Q50" s="30"/>
      <c r="R50" s="84" t="e">
        <f>IF(VLOOKUP(C50,'Train Runs'!$A$13:$AE$9948,1,1)=C50,VLOOKUP(C50,'Train Runs'!$A$13:$AE$9948,31,1),NA())</f>
        <v>#N/A</v>
      </c>
      <c r="S50" s="87" t="str">
        <f>VLOOKUP(C50,'Train Runs'!$A$13:$AE$9948,22,0)</f>
        <v>https://d0f6bd738d7f1b3e5a7ca70fe4ff75f0.us-east-1.aws.found.io/app/kibana#/discover/Steve-Slow-Train-Analysis-(2080s-and-2083s)?_g=(refreshInterval:(display:Off,pause:!f,section:0,value:0),time:(from:'2017-04-24T19:15:26-0600',mode:absolute,to:'2017-04-24T21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50" s="89" t="str">
        <f t="shared" si="1"/>
        <v>"C:\Program Files (x86)\AstroGrep\AstroGrep.exe" /e /r /s /spath="%USERPROFILE%\AppData\Local\Temp\OnboardLogs" /stypes="*4064*201704250*" /stext=" 02:.+((SYSTEM_STATE.+slice.+state.+changed )|(ment ac)|(multiple cpu faults)|(system.+state.+changed )|(\[timeout)|(PRM\|1\|D)|(kpr)|(kdp)|(train.+moving)|(\|lc)|(penalty))"</v>
      </c>
      <c r="U50" s="9" t="str">
        <f t="shared" si="2"/>
        <v>4064</v>
      </c>
      <c r="V50" s="31">
        <f t="shared" si="3"/>
        <v>42850.107303240744</v>
      </c>
      <c r="W50" s="45" t="str">
        <f t="shared" si="4"/>
        <v>NW</v>
      </c>
      <c r="X50" s="45" t="str">
        <f t="shared" si="5"/>
        <v>KEEP</v>
      </c>
      <c r="Y50" s="99" t="str">
        <f t="shared" si="6"/>
        <v>echo {"issue":{"subject":"","project_id":79,"tracker_id":40,"status_id":1,"priority_id":2,"assigned_to_id":23,"start_date":"2017-04-24","description":"","custom_fields":[{"id":1,"name":"Subdivision","value":"NW"},{"id":4,"name":"Milepost","value":"5.9048"},{"id":17,"name":"Train ID","value":"843-24"},{"id":16,"name":"Locomotive ID","value":"4064"},{"id":130,"name":"Impact","value":""},{"id":150,"name":"Time of Event (Mountain Time)","value":"20:34:31"},{"id":151,"name":"Denver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62"/>
      <c r="AA50" s="47"/>
      <c r="AB50" s="47"/>
      <c r="AC50" s="118" t="str">
        <f t="shared" si="7"/>
        <v>grep -hSE -A400 "Enforcement Action" "%USERPROFILE%\AppData\Local\Temp\OnboardLogs"\RTDC4064\*4064*201704250*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"%USERPROFILE%\AppData\Local\Temp\OnboardLogs"\RTDC4064\*4064*201704250* &gt;&gt; 2017-04-24-SliceDisagreementCheck.txt</v>
      </c>
      <c r="AE50" s="148" t="str">
        <f t="shared" si="9"/>
        <v>start /low /b %USERPROFILE%\Documents\GitHub\eaglep3\Utilities\DownloadLogsFromS3.py --loco 4064 --day 2017-04-25</v>
      </c>
      <c r="AF50" s="1"/>
    </row>
    <row r="51" spans="1:32" x14ac:dyDescent="0.25">
      <c r="A51"/>
      <c r="D51"/>
      <c r="E51"/>
      <c r="F51"/>
      <c r="G51"/>
      <c r="H51"/>
      <c r="I51"/>
      <c r="J51"/>
      <c r="K51"/>
      <c r="L51"/>
      <c r="M51"/>
      <c r="N51"/>
      <c r="P51"/>
      <c r="R51"/>
      <c r="S51"/>
      <c r="T51"/>
      <c r="V51"/>
      <c r="Z51"/>
      <c r="AC51"/>
      <c r="AE51"/>
    </row>
    <row r="52" spans="1:32" x14ac:dyDescent="0.25">
      <c r="A52"/>
      <c r="D52"/>
      <c r="E52"/>
      <c r="F52"/>
      <c r="G52"/>
      <c r="H52"/>
      <c r="I52"/>
      <c r="J52"/>
      <c r="K52"/>
      <c r="L52"/>
      <c r="M52"/>
      <c r="N52"/>
      <c r="P52"/>
      <c r="R52"/>
      <c r="S52"/>
      <c r="T52"/>
      <c r="V52"/>
      <c r="Z52"/>
      <c r="AC52"/>
      <c r="AE52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P53"/>
      <c r="R53"/>
      <c r="S53"/>
      <c r="T53"/>
      <c r="V53"/>
      <c r="Z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P54"/>
      <c r="R54"/>
      <c r="S54"/>
      <c r="T54"/>
      <c r="V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P55"/>
      <c r="R55"/>
      <c r="S55"/>
      <c r="T55"/>
      <c r="V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P56"/>
      <c r="R56"/>
      <c r="S56"/>
      <c r="T56"/>
      <c r="V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P57"/>
      <c r="R57"/>
      <c r="S57"/>
      <c r="T57"/>
      <c r="V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P58"/>
      <c r="R58"/>
      <c r="S58"/>
      <c r="T58"/>
      <c r="V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P59"/>
      <c r="R59"/>
      <c r="S59"/>
      <c r="T59"/>
      <c r="V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P61"/>
      <c r="R61"/>
      <c r="S61"/>
      <c r="T61"/>
      <c r="V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P62"/>
      <c r="R62"/>
      <c r="S62"/>
      <c r="T62"/>
      <c r="V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P63"/>
      <c r="R63"/>
      <c r="S63"/>
      <c r="T63"/>
      <c r="V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P66"/>
      <c r="R66"/>
      <c r="S66"/>
      <c r="T66"/>
      <c r="V66"/>
      <c r="Z66"/>
      <c r="AC66"/>
      <c r="AE66"/>
    </row>
  </sheetData>
  <autoFilter ref="A6:AC66">
    <sortState ref="A7:AC66">
      <sortCondition ref="W7:W50"/>
      <sortCondition ref="E7:E50"/>
      <sortCondition ref="K7:K50"/>
      <sortCondition ref="F7:F50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7:O1048576 O7:O5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0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AA7:AA50</xm:sqref>
        </x14:dataValidation>
        <x14:dataValidation type="list" allowBlank="1" showInputMessage="1" showErrorMessage="1">
          <x14:formula1>
            <xm:f>'Redmine List Values'!$C$2:$C$15</xm:f>
          </x14:formula1>
          <xm:sqref>AB7:AB50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3"/>
  <sheetViews>
    <sheetView workbookViewId="0">
      <selection activeCell="I3" sqref="I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6" t="str">
        <f>"Trips that did not appear in PTC Data "&amp;TEXT(Variables!$A$2,"YYYY-mm-dd")</f>
        <v>Trips that did not appear in PTC Data 2017-04-24</v>
      </c>
      <c r="C1" s="206"/>
      <c r="D1" s="206"/>
      <c r="E1" s="206"/>
      <c r="F1" s="206"/>
    </row>
    <row r="2" spans="1:10" s="23" customFormat="1" ht="45" x14ac:dyDescent="0.25">
      <c r="A2" s="203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1">
        <v>123</v>
      </c>
      <c r="B3" s="42" t="str">
        <f>A3&amp;"-"&amp;IF(DAY(Variables!$A$2)&lt;10,0,"")&amp;DAY(Variables!$A$2)</f>
        <v>123-24</v>
      </c>
      <c r="C3" s="138"/>
      <c r="D3" s="156"/>
      <c r="E3" s="30"/>
      <c r="F3" s="21" t="str">
        <f>VLOOKUP(B3,'Trips&amp;Operators'!$C$2:$E$10000,3,FALSE)</f>
        <v>SHOOK</v>
      </c>
      <c r="G3" s="21" t="str">
        <f>VLOOKUP(B3,'Trips&amp;Operators'!$C$1:$F$10000,4,FALSE)</f>
        <v>JOHN</v>
      </c>
      <c r="H3" s="29" t="str">
        <f>VLOOKUP(B3,'Trips&amp;Operators'!$C$1:$H$10000,5,FALSE)</f>
        <v>SHOOK JOHN</v>
      </c>
      <c r="I3" s="45" t="str">
        <f t="shared" ref="I3:I12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22123-24%22)),sort:!(Time.ISO8601,asc))</v>
      </c>
      <c r="J3" s="30" t="str">
        <f>VLOOKUP(B3,'Train Runs'!$A$13:$A$99945,1,FALSE)</f>
        <v>123-24</v>
      </c>
    </row>
    <row r="4" spans="1:10" x14ac:dyDescent="0.25">
      <c r="A4" s="191">
        <v>124</v>
      </c>
      <c r="B4" s="42" t="str">
        <f>A4&amp;"-"&amp;IF(DAY(Variables!$A$2)&lt;10,0,"")&amp;DAY(Variables!$A$2)</f>
        <v>124-24</v>
      </c>
      <c r="C4" s="138"/>
      <c r="D4" s="156"/>
      <c r="E4" s="30"/>
      <c r="F4" s="21" t="str">
        <f>VLOOKUP(B4,'Trips&amp;Operators'!$C$2:$E$10000,3,FALSE)</f>
        <v>SHOOK</v>
      </c>
      <c r="G4" s="21" t="str">
        <f>VLOOKUP(B4,'Trips&amp;Operators'!$C$1:$F$10000,4,FALSE)</f>
        <v>JOHN</v>
      </c>
      <c r="H4" s="29" t="str">
        <f>VLOOKUP(B4,'Trips&amp;Operators'!$C$1:$H$10000,5,FALSE)</f>
        <v>SHOOK JOHN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22124-24%22)),sort:!(Time.ISO8601,asc))</v>
      </c>
      <c r="J4" s="30" t="str">
        <f>VLOOKUP(B4,'Train Runs'!$A$13:$A$99945,1,FALSE)</f>
        <v>124-24</v>
      </c>
    </row>
    <row r="5" spans="1:10" x14ac:dyDescent="0.25">
      <c r="A5" s="191">
        <v>131</v>
      </c>
      <c r="B5" s="42" t="str">
        <f>A5&amp;"-"&amp;IF(DAY(Variables!$A$2)&lt;10,0,"")&amp;DAY(Variables!$A$2)</f>
        <v>131-24</v>
      </c>
      <c r="C5" s="138"/>
      <c r="D5" s="156"/>
      <c r="E5" s="30"/>
      <c r="F5" s="21" t="str">
        <f>VLOOKUP(B5,'Trips&amp;Operators'!$C$2:$E$10000,3,FALSE)</f>
        <v>MAELZER</v>
      </c>
      <c r="G5" s="21" t="str">
        <f>VLOOKUP(B5,'Trips&amp;Operators'!$C$1:$F$10000,4,FALSE)</f>
        <v>KURT</v>
      </c>
      <c r="H5" s="29" t="str">
        <f>VLOOKUP(B5,'Trips&amp;Operators'!$C$1:$H$10000,5,FALSE)</f>
        <v>MAELZER KURT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22131-24%22)),sort:!(Time.ISO8601,asc))</v>
      </c>
      <c r="J5" s="30" t="str">
        <f>VLOOKUP(B5,'Train Runs'!$A$13:$A$99945,1,FALSE)</f>
        <v>131-24</v>
      </c>
    </row>
    <row r="6" spans="1:10" x14ac:dyDescent="0.25">
      <c r="A6" s="191">
        <v>132</v>
      </c>
      <c r="B6" s="42" t="str">
        <f>A6&amp;"-"&amp;IF(DAY(Variables!$A$2)&lt;10,0,"")&amp;DAY(Variables!$A$2)</f>
        <v>132-24</v>
      </c>
      <c r="C6" s="138"/>
      <c r="D6" s="156"/>
      <c r="E6" s="30"/>
      <c r="F6" s="21" t="str">
        <f>VLOOKUP(B6,'Trips&amp;Operators'!$C$2:$E$10000,3,FALSE)</f>
        <v>MAELZER</v>
      </c>
      <c r="G6" s="21" t="str">
        <f>VLOOKUP(B6,'Trips&amp;Operators'!$C$1:$F$10000,4,FALSE)</f>
        <v>KURT</v>
      </c>
      <c r="H6" s="29" t="str">
        <f>VLOOKUP(B6,'Trips&amp;Operators'!$C$1:$H$10000,5,FALSE)</f>
        <v>MAELZER KURT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22132-24%22)),sort:!(Time.ISO8601,asc))</v>
      </c>
      <c r="J6" s="30" t="str">
        <f>VLOOKUP(B6,'Train Runs'!$A$13:$A$99945,1,FALSE)</f>
        <v>132-24</v>
      </c>
    </row>
    <row r="7" spans="1:10" x14ac:dyDescent="0.25">
      <c r="A7" s="191">
        <v>135</v>
      </c>
      <c r="B7" s="42" t="str">
        <f>A7&amp;"-"&amp;IF(DAY(Variables!$A$2)&lt;10,0,"")&amp;DAY(Variables!$A$2)</f>
        <v>135-24</v>
      </c>
      <c r="C7" s="138"/>
      <c r="D7" s="156"/>
      <c r="E7" s="30"/>
      <c r="F7" s="21" t="str">
        <f>VLOOKUP(B7,'Trips&amp;Operators'!$C$2:$E$10000,3,FALSE)</f>
        <v>BIRENBAUM</v>
      </c>
      <c r="G7" s="21" t="str">
        <f>VLOOKUP(B7,'Trips&amp;Operators'!$C$1:$F$10000,4,FALSE)</f>
        <v>THOMAS</v>
      </c>
      <c r="H7" s="29" t="str">
        <f>VLOOKUP(B7,'Trips&amp;Operators'!$C$1:$H$10000,5,FALSE)</f>
        <v>BIRENBAUM THOMAS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22135-24%22)),sort:!(Time.ISO8601,asc))</v>
      </c>
      <c r="J7" s="30" t="str">
        <f>VLOOKUP(B7,'Train Runs'!$A$13:$A$99945,1,FALSE)</f>
        <v>135-24</v>
      </c>
    </row>
    <row r="8" spans="1:10" x14ac:dyDescent="0.25">
      <c r="A8" s="191">
        <v>136</v>
      </c>
      <c r="B8" s="42" t="str">
        <f>A8&amp;"-"&amp;IF(DAY(Variables!$A$2)&lt;10,0,"")&amp;DAY(Variables!$A$2)</f>
        <v>136-24</v>
      </c>
      <c r="C8" s="138"/>
      <c r="D8" s="156"/>
      <c r="E8" s="30"/>
      <c r="F8" s="21" t="str">
        <f>VLOOKUP(B8,'Trips&amp;Operators'!$C$2:$E$10000,3,FALSE)</f>
        <v>BIRENBAUM</v>
      </c>
      <c r="G8" s="21" t="str">
        <f>VLOOKUP(B8,'Trips&amp;Operators'!$C$1:$F$10000,4,FALSE)</f>
        <v>THOMAS</v>
      </c>
      <c r="H8" s="29" t="str">
        <f>VLOOKUP(B8,'Trips&amp;Operators'!$C$1:$H$10000,5,FALSE)</f>
        <v>BIRENBAUM THOMAS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22136-24%22)),sort:!(Time.ISO8601,asc))</v>
      </c>
      <c r="J8" s="30" t="str">
        <f>VLOOKUP(B8,'Train Runs'!$A$13:$A$99945,1,FALSE)</f>
        <v>136-24</v>
      </c>
    </row>
    <row r="9" spans="1:10" x14ac:dyDescent="0.25">
      <c r="A9" s="191">
        <v>137</v>
      </c>
      <c r="B9" s="42" t="str">
        <f>A9&amp;"-"&amp;IF(DAY(Variables!$A$2)&lt;10,0,"")&amp;DAY(Variables!$A$2)</f>
        <v>137-24</v>
      </c>
      <c r="C9" s="138"/>
      <c r="D9" s="156"/>
      <c r="E9" s="30"/>
      <c r="F9" s="21" t="str">
        <f>VLOOKUP(B9,'Trips&amp;Operators'!$C$2:$E$10000,3,FALSE)</f>
        <v>SHOOK</v>
      </c>
      <c r="G9" s="21" t="str">
        <f>VLOOKUP(B9,'Trips&amp;Operators'!$C$1:$F$10000,4,FALSE)</f>
        <v>JOHN</v>
      </c>
      <c r="H9" s="29" t="str">
        <f>VLOOKUP(B9,'Trips&amp;Operators'!$C$1:$H$10000,5,FALSE)</f>
        <v>SHOOK JOHN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22137-24%22)),sort:!(Time.ISO8601,asc))</v>
      </c>
      <c r="J9" s="30" t="str">
        <f>VLOOKUP(B9,'Train Runs'!$A$13:$A$99945,1,FALSE)</f>
        <v>137-24</v>
      </c>
    </row>
    <row r="10" spans="1:10" x14ac:dyDescent="0.25">
      <c r="A10" s="191">
        <v>138</v>
      </c>
      <c r="B10" s="42" t="str">
        <f>A10&amp;"-"&amp;IF(DAY(Variables!$A$2)&lt;10,0,"")&amp;DAY(Variables!$A$2)</f>
        <v>138-24</v>
      </c>
      <c r="C10" s="138"/>
      <c r="D10" s="156"/>
      <c r="E10" s="30"/>
      <c r="F10" s="21" t="str">
        <f>VLOOKUP(B10,'Trips&amp;Operators'!$C$2:$E$10000,3,FALSE)</f>
        <v>SHOOK</v>
      </c>
      <c r="G10" s="21" t="str">
        <f>VLOOKUP(B10,'Trips&amp;Operators'!$C$1:$F$10000,4,FALSE)</f>
        <v>JOHN</v>
      </c>
      <c r="H10" s="29" t="str">
        <f>VLOOKUP(B10,'Trips&amp;Operators'!$C$1:$H$10000,5,FALSE)</f>
        <v>SHOOK JOHN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22138-24%22)),sort:!(Time.ISO8601,asc))</v>
      </c>
      <c r="J10" s="30" t="str">
        <f>VLOOKUP(B10,'Train Runs'!$A$13:$A$99945,1,FALSE)</f>
        <v>138-24</v>
      </c>
    </row>
    <row r="11" spans="1:10" x14ac:dyDescent="0.25">
      <c r="A11" s="191">
        <v>145</v>
      </c>
      <c r="B11" s="42" t="str">
        <f>A11&amp;"-"&amp;IF(DAY(Variables!$A$2)&lt;10,0,"")&amp;DAY(Variables!$A$2)</f>
        <v>145-24</v>
      </c>
      <c r="C11" s="138"/>
      <c r="D11" s="156"/>
      <c r="E11" s="30"/>
      <c r="F11" s="21" t="str">
        <f>VLOOKUP(B11,'Trips&amp;Operators'!$C$2:$E$10000,3,FALSE)</f>
        <v>MAELZER</v>
      </c>
      <c r="G11" s="21" t="str">
        <f>VLOOKUP(B11,'Trips&amp;Operators'!$C$1:$F$10000,4,FALSE)</f>
        <v>KURT</v>
      </c>
      <c r="H11" s="29" t="str">
        <f>VLOOKUP(B11,'Trips&amp;Operators'!$C$1:$H$10000,5,FALSE)</f>
        <v>MAELZER KURT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22145-24%22)),sort:!(Time.ISO8601,asc))</v>
      </c>
      <c r="J11" s="30" t="str">
        <f>VLOOKUP(B11,'Train Runs'!$A$13:$A$99945,1,FALSE)</f>
        <v>145-24</v>
      </c>
    </row>
    <row r="12" spans="1:10" x14ac:dyDescent="0.25">
      <c r="A12" s="191">
        <v>212</v>
      </c>
      <c r="B12" s="42" t="str">
        <f>A12&amp;"-"&amp;IF(DAY(Variables!$A$2)&lt;10,0,"")&amp;DAY(Variables!$A$2)</f>
        <v>212-24</v>
      </c>
      <c r="C12" s="138"/>
      <c r="D12" s="156"/>
      <c r="E12" s="30"/>
      <c r="F12" s="21" t="str">
        <f>VLOOKUP(B12,'Trips&amp;Operators'!$C$2:$E$10000,3,FALSE)</f>
        <v>NELSON</v>
      </c>
      <c r="G12" s="21" t="str">
        <f>VLOOKUP(B12,'Trips&amp;Operators'!$C$1:$F$10000,4,FALSE)</f>
        <v>ARIANE</v>
      </c>
      <c r="H12" s="29" t="str">
        <f>VLOOKUP(B12,'Trips&amp;Operators'!$C$1:$H$10000,5,FALSE)</f>
        <v>NELSON ARIANE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22212-24%22)),sort:!(Time.ISO8601,asc))</v>
      </c>
      <c r="J12" s="30" t="str">
        <f>VLOOKUP(B12,'Train Runs'!$A$13:$A$99945,1,FALSE)</f>
        <v>212-24</v>
      </c>
    </row>
    <row r="13" spans="1:10" x14ac:dyDescent="0.25">
      <c r="A13" s="191"/>
      <c r="B13" s="42"/>
      <c r="C13" s="138"/>
      <c r="D13" s="156"/>
      <c r="E13" s="30"/>
      <c r="F13" s="21"/>
      <c r="G13" s="21"/>
      <c r="H13" s="29"/>
      <c r="I13" s="45"/>
      <c r="J13" s="30"/>
    </row>
    <row r="14" spans="1:10" x14ac:dyDescent="0.25">
      <c r="A14" s="191"/>
      <c r="B14" s="42"/>
      <c r="C14" s="138"/>
      <c r="D14" s="156"/>
      <c r="E14" s="30"/>
      <c r="F14" s="21"/>
      <c r="G14" s="21"/>
      <c r="H14" s="29"/>
      <c r="I14" s="45"/>
      <c r="J14" s="30"/>
    </row>
    <row r="15" spans="1:10" x14ac:dyDescent="0.25">
      <c r="A15" s="191"/>
      <c r="B15" s="42"/>
      <c r="C15" s="138"/>
      <c r="D15" s="156"/>
      <c r="E15" s="30"/>
      <c r="F15" s="21"/>
      <c r="G15" s="21"/>
      <c r="H15" s="29"/>
      <c r="I15" s="45"/>
      <c r="J15" s="30"/>
    </row>
    <row r="16" spans="1:10" x14ac:dyDescent="0.25">
      <c r="A16" s="191"/>
      <c r="B16" s="42"/>
      <c r="C16" s="138"/>
      <c r="D16" s="156"/>
      <c r="E16" s="30"/>
      <c r="F16" s="21"/>
      <c r="G16" s="21"/>
      <c r="H16" s="29"/>
      <c r="I16" s="45"/>
      <c r="J16" s="30"/>
    </row>
    <row r="17" spans="1:10" x14ac:dyDescent="0.25">
      <c r="A17" s="191"/>
      <c r="B17" s="42"/>
      <c r="C17" s="138"/>
      <c r="D17" s="156"/>
      <c r="E17" s="30"/>
      <c r="F17" s="21"/>
      <c r="G17" s="21"/>
      <c r="H17" s="29"/>
      <c r="I17" s="45"/>
      <c r="J17" s="30"/>
    </row>
    <row r="18" spans="1:10" x14ac:dyDescent="0.25">
      <c r="A18" s="191"/>
      <c r="B18" s="42"/>
      <c r="C18" s="138"/>
      <c r="D18" s="156"/>
      <c r="E18" s="30"/>
      <c r="F18" s="21"/>
      <c r="G18" s="21"/>
      <c r="H18" s="29"/>
      <c r="I18" s="45"/>
      <c r="J18" s="30"/>
    </row>
    <row r="19" spans="1:10" x14ac:dyDescent="0.25">
      <c r="A19" s="191"/>
      <c r="B19" s="42"/>
      <c r="C19" s="138"/>
      <c r="D19" s="156"/>
      <c r="E19" s="30"/>
      <c r="F19" s="21"/>
      <c r="G19" s="21"/>
      <c r="H19" s="29"/>
      <c r="I19" s="45"/>
      <c r="J19" s="30"/>
    </row>
    <row r="20" spans="1:10" x14ac:dyDescent="0.25">
      <c r="A20" s="191"/>
      <c r="B20" s="42"/>
      <c r="C20" s="138"/>
      <c r="D20" s="156"/>
      <c r="E20" s="30"/>
      <c r="F20" s="21"/>
      <c r="G20" s="21"/>
      <c r="H20" s="29"/>
      <c r="I20" s="45"/>
      <c r="J20" s="30"/>
    </row>
    <row r="21" spans="1:10" x14ac:dyDescent="0.25">
      <c r="A21" s="191"/>
      <c r="B21" s="42"/>
      <c r="C21" s="138"/>
      <c r="D21" s="156"/>
      <c r="E21" s="30"/>
      <c r="F21" s="21"/>
      <c r="G21" s="21"/>
      <c r="H21" s="29"/>
      <c r="I21" s="45"/>
      <c r="J21" s="30"/>
    </row>
    <row r="22" spans="1:10" x14ac:dyDescent="0.25">
      <c r="A22" s="191"/>
      <c r="B22" s="42"/>
      <c r="C22" s="138"/>
      <c r="D22" s="156"/>
      <c r="E22" s="30"/>
      <c r="F22" s="21"/>
      <c r="G22" s="21"/>
      <c r="H22" s="29"/>
      <c r="I22" s="45"/>
      <c r="J22" s="30"/>
    </row>
    <row r="23" spans="1:10" x14ac:dyDescent="0.25">
      <c r="A23" s="191"/>
      <c r="B23" s="42"/>
      <c r="C23" s="138"/>
      <c r="D23" s="156"/>
      <c r="E23" s="30"/>
      <c r="F23" s="21"/>
      <c r="G23" s="21"/>
      <c r="H23" s="29"/>
      <c r="I23" s="45"/>
      <c r="J23" s="30"/>
    </row>
    <row r="24" spans="1:10" x14ac:dyDescent="0.25">
      <c r="A24" s="191"/>
      <c r="B24" s="42"/>
      <c r="C24" s="138"/>
      <c r="D24" s="156"/>
      <c r="E24" s="30"/>
      <c r="F24" s="21"/>
      <c r="G24" s="21"/>
      <c r="H24" s="29"/>
      <c r="I24" s="45"/>
      <c r="J24" s="30"/>
    </row>
    <row r="25" spans="1:10" x14ac:dyDescent="0.25">
      <c r="A25" s="191"/>
      <c r="B25" s="42"/>
      <c r="C25" s="138"/>
      <c r="D25" s="156"/>
      <c r="E25" s="30"/>
      <c r="F25" s="21"/>
      <c r="G25" s="21"/>
      <c r="H25" s="29"/>
      <c r="I25" s="45"/>
      <c r="J25" s="30"/>
    </row>
    <row r="26" spans="1:10" x14ac:dyDescent="0.25">
      <c r="A26" s="191"/>
      <c r="B26" s="42"/>
      <c r="C26" s="138"/>
      <c r="D26" s="156"/>
      <c r="E26" s="30"/>
      <c r="F26" s="21"/>
      <c r="G26" s="21"/>
      <c r="H26" s="29"/>
      <c r="I26" s="45"/>
      <c r="J26" s="30"/>
    </row>
    <row r="27" spans="1:10" x14ac:dyDescent="0.25">
      <c r="A27" s="191"/>
      <c r="B27" s="42"/>
      <c r="C27" s="138"/>
      <c r="D27" s="156"/>
      <c r="E27" s="30"/>
      <c r="F27" s="21"/>
      <c r="G27" s="21"/>
      <c r="H27" s="29"/>
      <c r="I27" s="45"/>
      <c r="J27" s="30"/>
    </row>
    <row r="28" spans="1:10" x14ac:dyDescent="0.25">
      <c r="A28" s="191"/>
      <c r="B28" s="42"/>
      <c r="C28" s="138"/>
      <c r="D28" s="156"/>
      <c r="E28" s="30"/>
      <c r="F28" s="21"/>
      <c r="G28" s="21"/>
      <c r="H28" s="29"/>
      <c r="I28" s="45"/>
      <c r="J28" s="30"/>
    </row>
    <row r="29" spans="1:10" x14ac:dyDescent="0.25">
      <c r="A29" s="191"/>
      <c r="B29" s="42"/>
      <c r="C29" s="138"/>
      <c r="D29" s="156"/>
      <c r="E29" s="30"/>
      <c r="F29" s="21"/>
      <c r="G29" s="21"/>
      <c r="H29" s="29"/>
      <c r="I29" s="45"/>
      <c r="J29" s="30"/>
    </row>
    <row r="30" spans="1:10" x14ac:dyDescent="0.25">
      <c r="A30" s="191"/>
      <c r="B30" s="42"/>
      <c r="C30" s="138"/>
      <c r="D30" s="156"/>
      <c r="E30" s="30"/>
      <c r="F30" s="21"/>
      <c r="G30" s="21"/>
      <c r="H30" s="29"/>
      <c r="I30" s="45"/>
      <c r="J30" s="30"/>
    </row>
    <row r="31" spans="1:10" x14ac:dyDescent="0.25">
      <c r="A31" s="191"/>
      <c r="B31" s="42"/>
      <c r="C31" s="138"/>
      <c r="D31" s="156"/>
      <c r="E31" s="30"/>
      <c r="F31" s="21"/>
      <c r="G31" s="21"/>
      <c r="H31" s="29"/>
      <c r="I31" s="45"/>
      <c r="J31" s="30"/>
    </row>
    <row r="32" spans="1:10" x14ac:dyDescent="0.25">
      <c r="A32" s="191"/>
      <c r="B32" s="42"/>
      <c r="C32" s="138"/>
      <c r="D32" s="156"/>
      <c r="E32" s="30"/>
      <c r="F32" s="21"/>
      <c r="G32" s="21"/>
      <c r="H32" s="29"/>
      <c r="I32" s="45"/>
      <c r="J32" s="30"/>
    </row>
    <row r="33" spans="1:10" x14ac:dyDescent="0.25">
      <c r="A33" s="191"/>
      <c r="B33" s="42"/>
      <c r="C33" s="138"/>
      <c r="D33" s="156"/>
      <c r="E33" s="30"/>
      <c r="F33" s="21"/>
      <c r="G33" s="21"/>
      <c r="H33" s="29"/>
      <c r="I33" s="45"/>
      <c r="J33" s="30"/>
    </row>
    <row r="34" spans="1:10" x14ac:dyDescent="0.25">
      <c r="A34" s="191"/>
      <c r="B34" s="42"/>
      <c r="C34" s="138"/>
      <c r="D34" s="156"/>
      <c r="E34" s="30"/>
      <c r="F34" s="21"/>
      <c r="G34" s="21"/>
      <c r="H34" s="29"/>
      <c r="I34" s="45"/>
      <c r="J34" s="30"/>
    </row>
    <row r="35" spans="1:10" x14ac:dyDescent="0.25">
      <c r="A35" s="191"/>
      <c r="B35" s="42"/>
      <c r="C35" s="138"/>
      <c r="D35" s="156"/>
      <c r="E35" s="30"/>
      <c r="F35" s="21"/>
      <c r="G35" s="21"/>
      <c r="H35" s="29"/>
      <c r="I35" s="45"/>
      <c r="J35" s="30"/>
    </row>
    <row r="36" spans="1:10" x14ac:dyDescent="0.25">
      <c r="A36" s="191"/>
      <c r="B36" s="42"/>
      <c r="C36" s="138"/>
      <c r="D36" s="156"/>
      <c r="E36" s="30"/>
      <c r="F36" s="21"/>
      <c r="G36" s="21"/>
      <c r="H36" s="29"/>
      <c r="I36" s="45"/>
      <c r="J36" s="30"/>
    </row>
    <row r="37" spans="1:10" x14ac:dyDescent="0.25">
      <c r="A37" s="191"/>
      <c r="B37" s="42"/>
      <c r="C37" s="138"/>
      <c r="D37" s="156"/>
      <c r="E37" s="30"/>
      <c r="F37" s="21"/>
      <c r="G37" s="21"/>
      <c r="H37" s="29"/>
      <c r="I37" s="45"/>
      <c r="J37" s="30"/>
    </row>
    <row r="38" spans="1:10" x14ac:dyDescent="0.25">
      <c r="A38" s="191"/>
      <c r="B38" s="42"/>
      <c r="C38" s="138"/>
      <c r="D38" s="156"/>
      <c r="E38" s="30"/>
      <c r="F38" s="21"/>
      <c r="G38" s="21"/>
      <c r="H38" s="29"/>
      <c r="I38" s="45"/>
      <c r="J38" s="30"/>
    </row>
    <row r="39" spans="1:10" x14ac:dyDescent="0.25">
      <c r="A39" s="191"/>
      <c r="B39" s="42"/>
      <c r="C39" s="138"/>
      <c r="D39" s="156"/>
      <c r="E39" s="30"/>
      <c r="F39" s="21"/>
      <c r="G39" s="21"/>
      <c r="H39" s="29"/>
      <c r="I39" s="45"/>
      <c r="J39" s="30"/>
    </row>
    <row r="40" spans="1:10" x14ac:dyDescent="0.25">
      <c r="A40" s="191"/>
      <c r="B40" s="42"/>
      <c r="C40" s="138"/>
      <c r="D40" s="156"/>
      <c r="E40" s="30"/>
      <c r="F40" s="21"/>
      <c r="G40" s="21"/>
      <c r="H40" s="29"/>
      <c r="I40" s="45"/>
      <c r="J40" s="30"/>
    </row>
    <row r="41" spans="1:10" x14ac:dyDescent="0.25">
      <c r="A41" s="191"/>
      <c r="B41" s="42"/>
      <c r="C41" s="138"/>
      <c r="D41" s="156"/>
      <c r="E41" s="30"/>
      <c r="F41" s="21"/>
      <c r="G41" s="21"/>
      <c r="H41" s="29"/>
      <c r="I41" s="45"/>
      <c r="J41" s="30"/>
    </row>
    <row r="42" spans="1:10" x14ac:dyDescent="0.25">
      <c r="A42" s="191"/>
      <c r="B42" s="42"/>
      <c r="C42" s="138"/>
      <c r="D42" s="156"/>
      <c r="E42" s="30"/>
      <c r="F42" s="21"/>
      <c r="G42" s="21"/>
      <c r="H42" s="29"/>
      <c r="I42" s="45"/>
      <c r="J42" s="30"/>
    </row>
    <row r="43" spans="1:10" x14ac:dyDescent="0.25">
      <c r="A43" s="191"/>
      <c r="B43" s="42"/>
      <c r="C43" s="138"/>
      <c r="D43" s="156"/>
      <c r="E43" s="30"/>
      <c r="F43" s="21"/>
      <c r="G43" s="21"/>
      <c r="H43" s="29"/>
      <c r="I43" s="45"/>
      <c r="J43" s="30"/>
    </row>
    <row r="44" spans="1:10" x14ac:dyDescent="0.25">
      <c r="A44" s="191"/>
      <c r="B44" s="42"/>
      <c r="C44" s="138"/>
      <c r="D44" s="156"/>
      <c r="E44" s="30"/>
      <c r="F44" s="21"/>
      <c r="G44" s="21"/>
      <c r="H44" s="29"/>
      <c r="I44" s="45"/>
      <c r="J44" s="30"/>
    </row>
    <row r="45" spans="1:10" x14ac:dyDescent="0.25">
      <c r="A45" s="191"/>
      <c r="B45" s="42"/>
      <c r="C45" s="138"/>
      <c r="D45" s="156"/>
      <c r="E45" s="30"/>
      <c r="F45" s="21"/>
      <c r="G45" s="21"/>
      <c r="H45" s="29"/>
      <c r="I45" s="45"/>
      <c r="J45" s="30"/>
    </row>
    <row r="46" spans="1:10" x14ac:dyDescent="0.25">
      <c r="A46" s="191"/>
      <c r="B46" s="42"/>
      <c r="C46" s="138"/>
      <c r="D46" s="156"/>
      <c r="E46" s="30"/>
      <c r="F46" s="21"/>
      <c r="G46" s="21"/>
      <c r="H46" s="29"/>
      <c r="I46" s="45"/>
      <c r="J46" s="30"/>
    </row>
    <row r="47" spans="1:10" x14ac:dyDescent="0.25">
      <c r="A47" s="191"/>
      <c r="B47" s="42"/>
      <c r="C47" s="138"/>
      <c r="D47" s="156"/>
      <c r="E47" s="30"/>
      <c r="F47" s="21"/>
      <c r="G47" s="21"/>
      <c r="H47" s="29"/>
      <c r="I47" s="45"/>
      <c r="J47" s="30"/>
    </row>
    <row r="48" spans="1:10" x14ac:dyDescent="0.25">
      <c r="A48" s="191"/>
      <c r="B48" s="42"/>
      <c r="C48" s="138"/>
      <c r="D48" s="156"/>
      <c r="E48" s="30"/>
      <c r="F48" s="21"/>
      <c r="G48" s="21"/>
      <c r="H48" s="29"/>
      <c r="I48" s="45"/>
      <c r="J48" s="30"/>
    </row>
    <row r="49" spans="1:10" x14ac:dyDescent="0.25">
      <c r="A49" s="191"/>
      <c r="B49" s="42"/>
      <c r="C49" s="138"/>
      <c r="D49" s="156"/>
      <c r="E49" s="30"/>
      <c r="F49" s="21"/>
      <c r="G49" s="21"/>
      <c r="H49" s="29"/>
      <c r="I49" s="45"/>
      <c r="J49" s="30"/>
    </row>
    <row r="50" spans="1:10" x14ac:dyDescent="0.25">
      <c r="A50" s="191"/>
      <c r="B50" s="42"/>
      <c r="C50" s="138"/>
      <c r="D50" s="156"/>
      <c r="E50" s="30"/>
      <c r="F50" s="21"/>
      <c r="G50" s="21"/>
      <c r="H50" s="29"/>
      <c r="I50" s="45"/>
      <c r="J50" s="30"/>
    </row>
    <row r="51" spans="1:10" x14ac:dyDescent="0.25">
      <c r="A51" s="191"/>
      <c r="B51" s="42"/>
      <c r="C51" s="138"/>
      <c r="D51" s="156"/>
      <c r="E51" s="30"/>
      <c r="F51" s="21"/>
      <c r="G51" s="21"/>
      <c r="H51" s="29"/>
      <c r="I51" s="45"/>
      <c r="J51" s="30"/>
    </row>
    <row r="52" spans="1:10" x14ac:dyDescent="0.25">
      <c r="A52" s="191"/>
      <c r="B52" s="42"/>
      <c r="C52" s="138"/>
      <c r="D52" s="156"/>
      <c r="E52" s="30"/>
      <c r="F52" s="21"/>
      <c r="G52" s="21"/>
      <c r="H52" s="29"/>
      <c r="I52" s="45"/>
      <c r="J52" s="30"/>
    </row>
    <row r="53" spans="1:10" x14ac:dyDescent="0.25">
      <c r="A53" s="191"/>
      <c r="B53" s="42"/>
      <c r="C53" s="138"/>
      <c r="D53" s="156"/>
      <c r="E53" s="30"/>
      <c r="F53" s="21"/>
      <c r="G53" s="21"/>
      <c r="H53" s="29"/>
      <c r="I53" s="45"/>
      <c r="J53" s="30"/>
    </row>
    <row r="54" spans="1:10" x14ac:dyDescent="0.25">
      <c r="A54" s="191"/>
      <c r="B54" s="42"/>
      <c r="C54" s="138"/>
      <c r="D54" s="156"/>
      <c r="E54" s="30"/>
      <c r="F54" s="21"/>
      <c r="G54" s="21"/>
      <c r="H54" s="29"/>
      <c r="I54" s="45"/>
      <c r="J54" s="30"/>
    </row>
    <row r="55" spans="1:10" x14ac:dyDescent="0.25">
      <c r="A55" s="191"/>
      <c r="B55" s="42"/>
      <c r="C55" s="138"/>
      <c r="D55" s="156"/>
      <c r="E55" s="30"/>
      <c r="F55" s="21"/>
      <c r="G55" s="21"/>
      <c r="H55" s="29"/>
      <c r="I55" s="45"/>
      <c r="J55" s="30"/>
    </row>
    <row r="56" spans="1:10" x14ac:dyDescent="0.25">
      <c r="A56" s="191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191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191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191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191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191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191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191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191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191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191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191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191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191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1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1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91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191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191"/>
      <c r="B74" s="42" t="str">
        <f>A74&amp;"-"&amp;IF(DAY(Variables!$A$2)&lt;10,0,"")&amp;DAY(Variables!$A$2)</f>
        <v>-24</v>
      </c>
      <c r="C74" s="138"/>
      <c r="D74" s="156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5" t="str">
        <f t="shared" ref="I74:I8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4" s="30" t="e">
        <f>VLOOKUP(B74,'Train Runs'!$A$13:$A$99945,1,FALSE)</f>
        <v>#N/A</v>
      </c>
    </row>
    <row r="75" spans="1:10" x14ac:dyDescent="0.25">
      <c r="A75" s="191"/>
      <c r="B75" s="42" t="str">
        <f>A75&amp;"-"&amp;IF(DAY(Variables!$A$2)&lt;10,0,"")&amp;DAY(Variables!$A$2)</f>
        <v>-24</v>
      </c>
      <c r="C75" s="138"/>
      <c r="D75" s="156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5" s="30" t="e">
        <f>VLOOKUP(B75,'Train Runs'!$A$13:$A$99945,1,FALSE)</f>
        <v>#N/A</v>
      </c>
    </row>
    <row r="76" spans="1:10" x14ac:dyDescent="0.25">
      <c r="A76" s="191"/>
      <c r="B76" s="42" t="str">
        <f>A76&amp;"-"&amp;IF(DAY(Variables!$A$2)&lt;10,0,"")&amp;DAY(Variables!$A$2)</f>
        <v>-24</v>
      </c>
      <c r="C76" s="138"/>
      <c r="D76" s="156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6" s="30" t="e">
        <f>VLOOKUP(B76,'Train Runs'!$A$13:$A$99945,1,FALSE)</f>
        <v>#N/A</v>
      </c>
    </row>
    <row r="77" spans="1:10" x14ac:dyDescent="0.25">
      <c r="A77" s="191"/>
      <c r="B77" s="42" t="str">
        <f>A77&amp;"-"&amp;IF(DAY(Variables!$A$2)&lt;10,0,"")&amp;DAY(Variables!$A$2)</f>
        <v>-24</v>
      </c>
      <c r="C77" s="138"/>
      <c r="D77" s="156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7" s="30" t="e">
        <f>VLOOKUP(B77,'Train Runs'!$A$13:$A$99945,1,FALSE)</f>
        <v>#N/A</v>
      </c>
    </row>
    <row r="78" spans="1:10" x14ac:dyDescent="0.25">
      <c r="A78" s="191"/>
      <c r="B78" s="42" t="str">
        <f>A78&amp;"-"&amp;IF(DAY(Variables!$A$2)&lt;10,0,"")&amp;DAY(Variables!$A$2)</f>
        <v>-24</v>
      </c>
      <c r="C78" s="138"/>
      <c r="D78" s="156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8" s="30" t="e">
        <f>VLOOKUP(B78,'Train Runs'!$A$13:$A$99945,1,FALSE)</f>
        <v>#N/A</v>
      </c>
    </row>
    <row r="79" spans="1:10" x14ac:dyDescent="0.25">
      <c r="A79" s="191"/>
      <c r="B79" s="42" t="str">
        <f>A79&amp;"-"&amp;IF(DAY(Variables!$A$2)&lt;10,0,"")&amp;DAY(Variables!$A$2)</f>
        <v>-24</v>
      </c>
      <c r="C79" s="138"/>
      <c r="D79" s="156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9" s="30" t="e">
        <f>VLOOKUP(B79,'Train Runs'!$A$13:$A$99945,1,FALSE)</f>
        <v>#N/A</v>
      </c>
    </row>
    <row r="80" spans="1:10" x14ac:dyDescent="0.25">
      <c r="A80" s="191"/>
      <c r="B80" s="42" t="str">
        <f>A80&amp;"-"&amp;IF(DAY(Variables!$A$2)&lt;10,0,"")&amp;DAY(Variables!$A$2)</f>
        <v>-24</v>
      </c>
      <c r="C80" s="138"/>
      <c r="D80" s="156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0" s="30" t="e">
        <f>VLOOKUP(B80,'Train Runs'!$A$13:$A$99945,1,FALSE)</f>
        <v>#N/A</v>
      </c>
    </row>
    <row r="81" spans="1:10" x14ac:dyDescent="0.25">
      <c r="A81" s="191"/>
      <c r="B81" s="42" t="str">
        <f>A81&amp;"-"&amp;IF(DAY(Variables!$A$2)&lt;10,0,"")&amp;DAY(Variables!$A$2)</f>
        <v>-24</v>
      </c>
      <c r="C81" s="138"/>
      <c r="D81" s="156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1" s="30" t="e">
        <f>VLOOKUP(B81,'Train Runs'!$A$13:$A$99945,1,FALSE)</f>
        <v>#N/A</v>
      </c>
    </row>
    <row r="82" spans="1:10" x14ac:dyDescent="0.25">
      <c r="A82" s="191"/>
      <c r="B82" s="42" t="str">
        <f>A82&amp;"-"&amp;IF(DAY(Variables!$A$2)&lt;10,0,"")&amp;DAY(Variables!$A$2)</f>
        <v>-24</v>
      </c>
      <c r="C82" s="138"/>
      <c r="D82" s="156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2" s="30" t="e">
        <f>VLOOKUP(B82,'Train Runs'!$A$13:$A$99945,1,FALSE)</f>
        <v>#N/A</v>
      </c>
    </row>
    <row r="83" spans="1:10" x14ac:dyDescent="0.25">
      <c r="A83" s="191"/>
      <c r="B83" s="42" t="str">
        <f>A83&amp;"-"&amp;IF(DAY(Variables!$A$2)&lt;10,0,"")&amp;DAY(Variables!$A$2)</f>
        <v>-24</v>
      </c>
      <c r="C83" s="138"/>
      <c r="D83" s="156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3" s="30" t="e">
        <f>VLOOKUP(B83,'Train Runs'!$A$13:$A$99945,1,FALSE)</f>
        <v>#N/A</v>
      </c>
    </row>
  </sheetData>
  <autoFilter ref="A2:J83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6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42849.034513888888</v>
      </c>
      <c r="B2" s="20" t="s">
        <v>434</v>
      </c>
      <c r="C2" s="20" t="s">
        <v>507</v>
      </c>
      <c r="D2" s="141">
        <v>2680000</v>
      </c>
      <c r="E2" s="20" t="s">
        <v>391</v>
      </c>
      <c r="F2" s="20" t="s">
        <v>392</v>
      </c>
      <c r="G2" s="8" t="str">
        <f>E2&amp;" "&amp;F2</f>
        <v>DUNCAN SHEILA</v>
      </c>
    </row>
    <row r="3" spans="1:7" x14ac:dyDescent="0.25">
      <c r="A3" s="8">
        <v>42849.047349537039</v>
      </c>
      <c r="B3" s="20" t="s">
        <v>356</v>
      </c>
      <c r="C3" s="20" t="s">
        <v>508</v>
      </c>
      <c r="D3" s="141">
        <v>1810000</v>
      </c>
      <c r="E3" s="20" t="s">
        <v>372</v>
      </c>
      <c r="F3" s="20" t="s">
        <v>193</v>
      </c>
      <c r="G3" s="8" t="str">
        <f t="shared" ref="G3:G66" si="0">E3&amp;" "&amp;F3</f>
        <v>NEWELL JAMES</v>
      </c>
    </row>
    <row r="4" spans="1:7" x14ac:dyDescent="0.25">
      <c r="A4" s="8">
        <v>42849.055266203701</v>
      </c>
      <c r="B4" s="20" t="s">
        <v>357</v>
      </c>
      <c r="C4" s="20" t="s">
        <v>509</v>
      </c>
      <c r="D4" s="141">
        <v>2730000</v>
      </c>
      <c r="E4" s="20" t="s">
        <v>450</v>
      </c>
      <c r="F4" s="20" t="s">
        <v>451</v>
      </c>
      <c r="G4" s="8" t="str">
        <f t="shared" si="0"/>
        <v>YANG JAN</v>
      </c>
    </row>
    <row r="5" spans="1:7" x14ac:dyDescent="0.25">
      <c r="A5" s="8">
        <v>42849.069745370369</v>
      </c>
      <c r="B5" s="20" t="s">
        <v>489</v>
      </c>
      <c r="C5" s="20" t="s">
        <v>510</v>
      </c>
      <c r="D5" s="141">
        <v>2680000</v>
      </c>
      <c r="E5" s="20" t="s">
        <v>391</v>
      </c>
      <c r="F5" s="20" t="s">
        <v>392</v>
      </c>
      <c r="G5" s="8" t="str">
        <f t="shared" si="0"/>
        <v>DUNCAN SHEILA</v>
      </c>
    </row>
    <row r="6" spans="1:7" x14ac:dyDescent="0.25">
      <c r="A6" s="8">
        <v>42849.089791666665</v>
      </c>
      <c r="B6" s="20" t="s">
        <v>358</v>
      </c>
      <c r="C6" s="20" t="s">
        <v>511</v>
      </c>
      <c r="D6" s="141">
        <v>2730000</v>
      </c>
      <c r="E6" s="20" t="s">
        <v>450</v>
      </c>
      <c r="F6" s="20" t="s">
        <v>451</v>
      </c>
      <c r="G6" s="8" t="str">
        <f t="shared" si="0"/>
        <v>YANG JAN</v>
      </c>
    </row>
    <row r="7" spans="1:7" x14ac:dyDescent="0.25">
      <c r="A7" s="8">
        <v>42849.119768518518</v>
      </c>
      <c r="B7" s="20" t="s">
        <v>387</v>
      </c>
      <c r="C7" s="20" t="s">
        <v>586</v>
      </c>
      <c r="D7" s="141">
        <v>3000000</v>
      </c>
      <c r="E7" s="20" t="s">
        <v>587</v>
      </c>
      <c r="F7" s="20" t="s">
        <v>588</v>
      </c>
      <c r="G7" s="8" t="str">
        <f t="shared" si="0"/>
        <v>FORTUNATO FRANK</v>
      </c>
    </row>
    <row r="8" spans="1:7" x14ac:dyDescent="0.25">
      <c r="A8" s="8">
        <v>42849.121666666666</v>
      </c>
      <c r="B8" s="20" t="s">
        <v>387</v>
      </c>
      <c r="C8" s="20" t="s">
        <v>586</v>
      </c>
      <c r="D8" s="141">
        <v>3000000</v>
      </c>
      <c r="E8" s="20" t="s">
        <v>587</v>
      </c>
      <c r="F8" s="20" t="s">
        <v>588</v>
      </c>
      <c r="G8" s="8" t="str">
        <f t="shared" si="0"/>
        <v>FORTUNATO FRANK</v>
      </c>
    </row>
    <row r="9" spans="1:7" ht="15.75" thickBot="1" x14ac:dyDescent="0.3">
      <c r="A9" s="24">
        <v>42849.122453703705</v>
      </c>
      <c r="B9" s="20" t="s">
        <v>387</v>
      </c>
      <c r="C9" s="20" t="s">
        <v>586</v>
      </c>
      <c r="D9" s="141">
        <v>3000000</v>
      </c>
      <c r="E9" s="20" t="s">
        <v>587</v>
      </c>
      <c r="F9" s="20" t="s">
        <v>588</v>
      </c>
      <c r="G9" s="8" t="str">
        <f t="shared" si="0"/>
        <v>FORTUNATO FRANK</v>
      </c>
    </row>
    <row r="10" spans="1:7" x14ac:dyDescent="0.25">
      <c r="A10" s="8">
        <v>42849.133067129631</v>
      </c>
      <c r="B10" s="20" t="s">
        <v>438</v>
      </c>
      <c r="C10" s="20" t="s">
        <v>589</v>
      </c>
      <c r="D10" s="141">
        <v>3000000</v>
      </c>
      <c r="E10" s="20" t="s">
        <v>587</v>
      </c>
      <c r="F10" s="20" t="s">
        <v>588</v>
      </c>
      <c r="G10" s="8" t="str">
        <f t="shared" si="0"/>
        <v>FORTUNATO FRANK</v>
      </c>
    </row>
    <row r="11" spans="1:7" x14ac:dyDescent="0.25">
      <c r="A11" s="8">
        <v>42849.138333333336</v>
      </c>
      <c r="B11" s="20" t="s">
        <v>544</v>
      </c>
      <c r="C11" s="20" t="s">
        <v>590</v>
      </c>
      <c r="D11" s="141">
        <v>2010000</v>
      </c>
      <c r="E11" s="20" t="s">
        <v>493</v>
      </c>
      <c r="F11" s="20" t="s">
        <v>494</v>
      </c>
      <c r="G11" s="8" t="str">
        <f t="shared" si="0"/>
        <v>MAELZER KURT</v>
      </c>
    </row>
    <row r="12" spans="1:7" x14ac:dyDescent="0.25">
      <c r="A12" s="8">
        <v>42849.150960648149</v>
      </c>
      <c r="B12" s="20" t="s">
        <v>449</v>
      </c>
      <c r="C12" s="20" t="s">
        <v>591</v>
      </c>
      <c r="D12" s="141">
        <v>2010000</v>
      </c>
      <c r="E12" s="20" t="s">
        <v>493</v>
      </c>
      <c r="F12" s="20" t="s">
        <v>494</v>
      </c>
      <c r="G12" s="8" t="str">
        <f t="shared" si="0"/>
        <v>MAELZER KURT</v>
      </c>
    </row>
    <row r="13" spans="1:7" x14ac:dyDescent="0.25">
      <c r="A13" s="8">
        <v>42849.162187499998</v>
      </c>
      <c r="B13" s="20" t="s">
        <v>491</v>
      </c>
      <c r="C13" s="20" t="s">
        <v>592</v>
      </c>
      <c r="D13" s="141">
        <v>1110000</v>
      </c>
      <c r="E13" s="20" t="s">
        <v>593</v>
      </c>
      <c r="F13" s="20" t="s">
        <v>594</v>
      </c>
      <c r="G13" s="8" t="str">
        <f t="shared" si="0"/>
        <v>STARKS ANGELINA</v>
      </c>
    </row>
    <row r="14" spans="1:7" x14ac:dyDescent="0.25">
      <c r="A14" s="8">
        <v>42849.165092592593</v>
      </c>
      <c r="B14" s="20" t="s">
        <v>387</v>
      </c>
      <c r="C14" s="20" t="s">
        <v>595</v>
      </c>
      <c r="D14" s="141">
        <v>3000000</v>
      </c>
      <c r="E14" s="20" t="s">
        <v>587</v>
      </c>
      <c r="F14" s="20" t="s">
        <v>588</v>
      </c>
      <c r="G14" s="8" t="str">
        <f t="shared" si="0"/>
        <v>FORTUNATO FRANK</v>
      </c>
    </row>
    <row r="15" spans="1:7" x14ac:dyDescent="0.25">
      <c r="A15" s="8">
        <v>42849.165902777779</v>
      </c>
      <c r="B15" s="20" t="s">
        <v>387</v>
      </c>
      <c r="C15" s="20" t="s">
        <v>595</v>
      </c>
      <c r="D15" s="141">
        <v>3000000</v>
      </c>
      <c r="E15" s="20" t="s">
        <v>587</v>
      </c>
      <c r="F15" s="20" t="s">
        <v>588</v>
      </c>
      <c r="G15" s="8" t="str">
        <f t="shared" si="0"/>
        <v>FORTUNATO FRANK</v>
      </c>
    </row>
    <row r="16" spans="1:7" x14ac:dyDescent="0.25">
      <c r="A16" s="8">
        <v>42849.17050925926</v>
      </c>
      <c r="B16" s="20" t="s">
        <v>353</v>
      </c>
      <c r="C16" s="20" t="s">
        <v>596</v>
      </c>
      <c r="D16" s="141">
        <v>3030000</v>
      </c>
      <c r="E16" s="20" t="s">
        <v>597</v>
      </c>
      <c r="F16" s="20" t="s">
        <v>472</v>
      </c>
      <c r="G16" s="8" t="str">
        <f t="shared" si="0"/>
        <v>BIRENBAUM THOMAS</v>
      </c>
    </row>
    <row r="17" spans="1:7" x14ac:dyDescent="0.25">
      <c r="A17" s="8">
        <v>42849.17119212963</v>
      </c>
      <c r="B17" s="20" t="s">
        <v>387</v>
      </c>
      <c r="C17" s="20" t="s">
        <v>595</v>
      </c>
      <c r="D17" s="141">
        <v>3000000</v>
      </c>
      <c r="E17" s="20" t="s">
        <v>587</v>
      </c>
      <c r="F17" s="20" t="s">
        <v>588</v>
      </c>
      <c r="G17" s="8" t="str">
        <f t="shared" si="0"/>
        <v>FORTUNATO FRANK</v>
      </c>
    </row>
    <row r="18" spans="1:7" x14ac:dyDescent="0.25">
      <c r="A18" s="8">
        <v>42849.172638888886</v>
      </c>
      <c r="B18" s="20" t="s">
        <v>387</v>
      </c>
      <c r="C18" s="20" t="s">
        <v>595</v>
      </c>
      <c r="D18" s="141">
        <v>3000000</v>
      </c>
      <c r="E18" s="20" t="s">
        <v>587</v>
      </c>
      <c r="F18" s="20" t="s">
        <v>588</v>
      </c>
      <c r="G18" s="8" t="str">
        <f t="shared" si="0"/>
        <v>FORTUNATO FRANK</v>
      </c>
    </row>
    <row r="19" spans="1:7" x14ac:dyDescent="0.25">
      <c r="A19" s="8">
        <v>42849.173101851855</v>
      </c>
      <c r="B19" s="20" t="s">
        <v>353</v>
      </c>
      <c r="C19" s="20" t="s">
        <v>596</v>
      </c>
      <c r="D19" s="141">
        <v>3030000</v>
      </c>
      <c r="E19" s="20" t="s">
        <v>597</v>
      </c>
      <c r="F19" s="20" t="s">
        <v>472</v>
      </c>
      <c r="G19" s="8" t="str">
        <f t="shared" si="0"/>
        <v>BIRENBAUM THOMAS</v>
      </c>
    </row>
    <row r="20" spans="1:7" x14ac:dyDescent="0.25">
      <c r="A20" s="8">
        <v>42849.173356481479</v>
      </c>
      <c r="B20" s="20" t="s">
        <v>461</v>
      </c>
      <c r="C20" s="20" t="s">
        <v>598</v>
      </c>
      <c r="D20" s="141">
        <v>1110000</v>
      </c>
      <c r="E20" s="20" t="s">
        <v>593</v>
      </c>
      <c r="F20" s="20" t="s">
        <v>594</v>
      </c>
      <c r="G20" s="8" t="str">
        <f t="shared" si="0"/>
        <v>STARKS ANGELINA</v>
      </c>
    </row>
    <row r="21" spans="1:7" x14ac:dyDescent="0.25">
      <c r="A21" s="8">
        <v>42849.176666666666</v>
      </c>
      <c r="B21" s="20" t="s">
        <v>361</v>
      </c>
      <c r="C21" s="20" t="s">
        <v>599</v>
      </c>
      <c r="D21" s="141">
        <v>2020000</v>
      </c>
      <c r="E21" s="20" t="s">
        <v>497</v>
      </c>
      <c r="F21" s="20" t="s">
        <v>471</v>
      </c>
      <c r="G21" s="8" t="str">
        <f t="shared" si="0"/>
        <v>SHOOK JOHN</v>
      </c>
    </row>
    <row r="22" spans="1:7" x14ac:dyDescent="0.25">
      <c r="A22" s="26">
        <v>42849.182824074072</v>
      </c>
      <c r="B22" s="20" t="s">
        <v>352</v>
      </c>
      <c r="C22" s="20" t="s">
        <v>600</v>
      </c>
      <c r="D22" s="141">
        <v>3030000</v>
      </c>
      <c r="E22" s="20" t="s">
        <v>597</v>
      </c>
      <c r="F22" s="20" t="s">
        <v>472</v>
      </c>
      <c r="G22" s="8" t="str">
        <f t="shared" si="0"/>
        <v>BIRENBAUM THOMAS</v>
      </c>
    </row>
    <row r="23" spans="1:7" x14ac:dyDescent="0.25">
      <c r="A23" s="8">
        <v>42849.183425925927</v>
      </c>
      <c r="B23" s="20" t="s">
        <v>352</v>
      </c>
      <c r="C23" s="20" t="s">
        <v>600</v>
      </c>
      <c r="D23" s="141">
        <v>3030000</v>
      </c>
      <c r="E23" s="20" t="s">
        <v>597</v>
      </c>
      <c r="F23" s="20" t="s">
        <v>472</v>
      </c>
      <c r="G23" s="8" t="str">
        <f t="shared" si="0"/>
        <v>BIRENBAUM THOMAS</v>
      </c>
    </row>
    <row r="24" spans="1:7" x14ac:dyDescent="0.25">
      <c r="A24" s="8">
        <v>42849.184363425928</v>
      </c>
      <c r="B24" s="20" t="s">
        <v>352</v>
      </c>
      <c r="C24" s="20" t="s">
        <v>600</v>
      </c>
      <c r="D24" s="141">
        <v>3030000</v>
      </c>
      <c r="E24" s="20" t="s">
        <v>597</v>
      </c>
      <c r="F24" s="20" t="s">
        <v>472</v>
      </c>
      <c r="G24" s="8" t="str">
        <f t="shared" si="0"/>
        <v>BIRENBAUM THOMAS</v>
      </c>
    </row>
    <row r="25" spans="1:7" x14ac:dyDescent="0.25">
      <c r="A25" s="8">
        <v>42849.188298611109</v>
      </c>
      <c r="B25" s="20" t="s">
        <v>544</v>
      </c>
      <c r="C25" s="20" t="s">
        <v>545</v>
      </c>
      <c r="D25" s="141">
        <v>2010000</v>
      </c>
      <c r="E25" s="20" t="s">
        <v>493</v>
      </c>
      <c r="F25" s="20" t="s">
        <v>494</v>
      </c>
      <c r="G25" s="8" t="str">
        <f t="shared" si="0"/>
        <v>MAELZER KURT</v>
      </c>
    </row>
    <row r="26" spans="1:7" x14ac:dyDescent="0.25">
      <c r="A26" s="8">
        <v>42849.188796296294</v>
      </c>
      <c r="B26" s="20" t="s">
        <v>199</v>
      </c>
      <c r="C26" s="20" t="s">
        <v>601</v>
      </c>
      <c r="D26" s="141">
        <v>2020000</v>
      </c>
      <c r="E26" s="20" t="s">
        <v>497</v>
      </c>
      <c r="F26" s="20" t="s">
        <v>471</v>
      </c>
      <c r="G26" s="8" t="str">
        <f t="shared" si="0"/>
        <v>SHOOK JOHN</v>
      </c>
    </row>
    <row r="27" spans="1:7" x14ac:dyDescent="0.25">
      <c r="A27" s="8">
        <v>42849.197905092595</v>
      </c>
      <c r="B27" s="20" t="s">
        <v>544</v>
      </c>
      <c r="C27" s="20" t="s">
        <v>545</v>
      </c>
      <c r="D27" s="141">
        <v>2010000</v>
      </c>
      <c r="E27" s="20" t="s">
        <v>493</v>
      </c>
      <c r="F27" s="20" t="s">
        <v>494</v>
      </c>
      <c r="G27" s="8" t="str">
        <f t="shared" si="0"/>
        <v>MAELZER KURT</v>
      </c>
    </row>
    <row r="28" spans="1:7" x14ac:dyDescent="0.25">
      <c r="A28" s="8">
        <v>42849.200370370374</v>
      </c>
      <c r="B28" s="20" t="s">
        <v>414</v>
      </c>
      <c r="C28" s="20" t="s">
        <v>602</v>
      </c>
      <c r="D28" s="141">
        <v>1990000</v>
      </c>
      <c r="E28" s="20" t="s">
        <v>495</v>
      </c>
      <c r="F28" s="20" t="s">
        <v>496</v>
      </c>
      <c r="G28" s="8" t="str">
        <f t="shared" si="0"/>
        <v>DAVIS WENDY</v>
      </c>
    </row>
    <row r="29" spans="1:7" x14ac:dyDescent="0.25">
      <c r="A29" s="8">
        <v>42849.201388888891</v>
      </c>
      <c r="B29" s="20" t="s">
        <v>414</v>
      </c>
      <c r="C29" s="20" t="s">
        <v>602</v>
      </c>
      <c r="D29" s="141">
        <v>1990000</v>
      </c>
      <c r="E29" s="20" t="s">
        <v>495</v>
      </c>
      <c r="F29" s="20" t="s">
        <v>496</v>
      </c>
      <c r="G29" s="8" t="str">
        <f t="shared" si="0"/>
        <v>DAVIS WENDY</v>
      </c>
    </row>
    <row r="30" spans="1:7" x14ac:dyDescent="0.25">
      <c r="A30" s="8">
        <v>42849.207870370374</v>
      </c>
      <c r="B30" s="20" t="s">
        <v>438</v>
      </c>
      <c r="C30" s="20" t="s">
        <v>603</v>
      </c>
      <c r="D30" s="141">
        <v>2970000</v>
      </c>
      <c r="E30" s="20" t="s">
        <v>398</v>
      </c>
      <c r="F30" s="20" t="s">
        <v>399</v>
      </c>
      <c r="G30" s="8" t="str">
        <f t="shared" si="0"/>
        <v>GUZMAN DANNY</v>
      </c>
    </row>
    <row r="31" spans="1:7" x14ac:dyDescent="0.25">
      <c r="A31" s="8">
        <v>42849.211423611108</v>
      </c>
      <c r="B31" s="20" t="s">
        <v>383</v>
      </c>
      <c r="C31" s="20" t="s">
        <v>604</v>
      </c>
      <c r="D31" s="141">
        <v>3000000</v>
      </c>
      <c r="E31" s="20" t="s">
        <v>587</v>
      </c>
      <c r="F31" s="20" t="s">
        <v>588</v>
      </c>
      <c r="G31" s="8" t="str">
        <f t="shared" si="0"/>
        <v>FORTUNATO FRANK</v>
      </c>
    </row>
    <row r="32" spans="1:7" x14ac:dyDescent="0.25">
      <c r="A32" s="8">
        <v>42849.212395833332</v>
      </c>
      <c r="B32" s="20" t="s">
        <v>491</v>
      </c>
      <c r="C32" s="20" t="s">
        <v>605</v>
      </c>
      <c r="D32" s="141">
        <v>1110000</v>
      </c>
      <c r="E32" s="20" t="s">
        <v>593</v>
      </c>
      <c r="F32" s="20" t="s">
        <v>594</v>
      </c>
      <c r="G32" s="8" t="str">
        <f t="shared" si="0"/>
        <v>STARKS ANGELINA</v>
      </c>
    </row>
    <row r="33" spans="1:7" x14ac:dyDescent="0.25">
      <c r="A33" s="8">
        <v>42849.212581018517</v>
      </c>
      <c r="B33" s="20" t="s">
        <v>550</v>
      </c>
      <c r="C33" s="20" t="s">
        <v>606</v>
      </c>
      <c r="D33" s="141">
        <v>1990000</v>
      </c>
      <c r="E33" s="20" t="s">
        <v>495</v>
      </c>
      <c r="F33" s="20" t="s">
        <v>496</v>
      </c>
      <c r="G33" s="8" t="str">
        <f t="shared" si="0"/>
        <v>DAVIS WENDY</v>
      </c>
    </row>
    <row r="34" spans="1:7" x14ac:dyDescent="0.25">
      <c r="A34" s="8">
        <v>42849.213321759256</v>
      </c>
      <c r="B34" s="20" t="s">
        <v>550</v>
      </c>
      <c r="C34" s="20" t="s">
        <v>606</v>
      </c>
      <c r="D34" s="141">
        <v>1990000</v>
      </c>
      <c r="E34" s="20" t="s">
        <v>495</v>
      </c>
      <c r="F34" s="20" t="s">
        <v>496</v>
      </c>
      <c r="G34" s="8" t="str">
        <f t="shared" si="0"/>
        <v>DAVIS WENDY</v>
      </c>
    </row>
    <row r="35" spans="1:7" x14ac:dyDescent="0.25">
      <c r="A35" s="8">
        <v>42849.213819444441</v>
      </c>
      <c r="B35" s="20" t="s">
        <v>491</v>
      </c>
      <c r="C35" s="20" t="s">
        <v>605</v>
      </c>
      <c r="D35" s="141">
        <v>1110000</v>
      </c>
      <c r="E35" s="20" t="s">
        <v>593</v>
      </c>
      <c r="F35" s="20" t="s">
        <v>594</v>
      </c>
      <c r="G35" s="8" t="str">
        <f t="shared" si="0"/>
        <v>STARKS ANGELINA</v>
      </c>
    </row>
    <row r="36" spans="1:7" x14ac:dyDescent="0.25">
      <c r="A36" s="8">
        <v>42849.214675925927</v>
      </c>
      <c r="B36" s="20" t="s">
        <v>550</v>
      </c>
      <c r="C36" s="20" t="s">
        <v>606</v>
      </c>
      <c r="D36" s="141">
        <v>1990000</v>
      </c>
      <c r="E36" s="20" t="s">
        <v>495</v>
      </c>
      <c r="F36" s="20" t="s">
        <v>496</v>
      </c>
      <c r="G36" s="8" t="str">
        <f t="shared" si="0"/>
        <v>DAVIS WENDY</v>
      </c>
    </row>
    <row r="37" spans="1:7" x14ac:dyDescent="0.25">
      <c r="A37" s="8">
        <v>42849.214918981481</v>
      </c>
      <c r="B37" s="20" t="s">
        <v>491</v>
      </c>
      <c r="C37" s="20" t="s">
        <v>605</v>
      </c>
      <c r="D37" s="141">
        <v>1110000</v>
      </c>
      <c r="E37" s="20" t="s">
        <v>593</v>
      </c>
      <c r="F37" s="20" t="s">
        <v>594</v>
      </c>
      <c r="G37" s="8" t="str">
        <f t="shared" si="0"/>
        <v>STARKS ANGELINA</v>
      </c>
    </row>
    <row r="38" spans="1:7" x14ac:dyDescent="0.25">
      <c r="A38" s="8">
        <v>42849.21638888889</v>
      </c>
      <c r="B38" s="20" t="s">
        <v>491</v>
      </c>
      <c r="C38" s="20" t="s">
        <v>605</v>
      </c>
      <c r="D38" s="141">
        <v>1110000</v>
      </c>
      <c r="E38" s="20" t="s">
        <v>593</v>
      </c>
      <c r="F38" s="20" t="s">
        <v>594</v>
      </c>
      <c r="G38" s="8" t="str">
        <f t="shared" si="0"/>
        <v>STARKS ANGELINA</v>
      </c>
    </row>
    <row r="39" spans="1:7" x14ac:dyDescent="0.25">
      <c r="A39" s="8">
        <v>42849.218414351853</v>
      </c>
      <c r="B39" s="20" t="s">
        <v>353</v>
      </c>
      <c r="C39" s="20" t="s">
        <v>607</v>
      </c>
      <c r="D39" s="141">
        <v>3030000</v>
      </c>
      <c r="E39" s="20" t="s">
        <v>597</v>
      </c>
      <c r="F39" s="20" t="s">
        <v>472</v>
      </c>
      <c r="G39" s="8" t="str">
        <f t="shared" si="0"/>
        <v>BIRENBAUM THOMAS</v>
      </c>
    </row>
    <row r="40" spans="1:7" x14ac:dyDescent="0.25">
      <c r="A40" s="8">
        <v>42849.225219907406</v>
      </c>
      <c r="B40" s="25" t="s">
        <v>425</v>
      </c>
      <c r="C40" s="20" t="s">
        <v>608</v>
      </c>
      <c r="D40" s="141">
        <v>3020000</v>
      </c>
      <c r="E40" s="20" t="s">
        <v>609</v>
      </c>
      <c r="F40" s="20" t="s">
        <v>610</v>
      </c>
      <c r="G40" s="8" t="str">
        <f t="shared" si="0"/>
        <v>MENGES BRAD</v>
      </c>
    </row>
    <row r="41" spans="1:7" x14ac:dyDescent="0.25">
      <c r="A41" s="8">
        <v>42849.228541666664</v>
      </c>
      <c r="B41" s="20" t="s">
        <v>361</v>
      </c>
      <c r="C41" s="20" t="s">
        <v>611</v>
      </c>
      <c r="D41" s="141">
        <v>2020000</v>
      </c>
      <c r="E41" s="20" t="s">
        <v>497</v>
      </c>
      <c r="F41" s="20" t="s">
        <v>471</v>
      </c>
      <c r="G41" s="8" t="str">
        <f t="shared" si="0"/>
        <v>SHOOK JOHN</v>
      </c>
    </row>
    <row r="42" spans="1:7" x14ac:dyDescent="0.25">
      <c r="A42" s="8">
        <v>42849.233981481484</v>
      </c>
      <c r="B42" s="20" t="s">
        <v>449</v>
      </c>
      <c r="C42" s="20" t="s">
        <v>612</v>
      </c>
      <c r="D42" s="141">
        <v>2010000</v>
      </c>
      <c r="E42" s="20" t="s">
        <v>493</v>
      </c>
      <c r="F42" s="20" t="s">
        <v>494</v>
      </c>
      <c r="G42" s="8" t="str">
        <f t="shared" si="0"/>
        <v>MAELZER KURT</v>
      </c>
    </row>
    <row r="43" spans="1:7" x14ac:dyDescent="0.25">
      <c r="A43" s="8">
        <v>42849.234571759262</v>
      </c>
      <c r="B43" s="20" t="s">
        <v>437</v>
      </c>
      <c r="C43" s="20" t="s">
        <v>547</v>
      </c>
      <c r="D43" s="141">
        <v>2970000</v>
      </c>
      <c r="E43" s="20" t="s">
        <v>398</v>
      </c>
      <c r="F43" s="20" t="s">
        <v>399</v>
      </c>
      <c r="G43" s="8" t="str">
        <f t="shared" si="0"/>
        <v>GUZMAN DANNY</v>
      </c>
    </row>
    <row r="44" spans="1:7" x14ac:dyDescent="0.25">
      <c r="A44" s="8">
        <v>42849.239722222221</v>
      </c>
      <c r="B44" s="20" t="s">
        <v>414</v>
      </c>
      <c r="C44" s="20" t="s">
        <v>546</v>
      </c>
      <c r="D44" s="141">
        <v>1990000</v>
      </c>
      <c r="E44" s="20" t="s">
        <v>495</v>
      </c>
      <c r="F44" s="20" t="s">
        <v>496</v>
      </c>
      <c r="G44" s="8" t="str">
        <f t="shared" si="0"/>
        <v>DAVIS WENDY</v>
      </c>
    </row>
    <row r="45" spans="1:7" x14ac:dyDescent="0.25">
      <c r="A45" s="8">
        <v>42849.246168981481</v>
      </c>
      <c r="B45" s="20" t="s">
        <v>387</v>
      </c>
      <c r="C45" s="20" t="s">
        <v>613</v>
      </c>
      <c r="D45" s="141">
        <v>3000000</v>
      </c>
      <c r="E45" s="20" t="s">
        <v>587</v>
      </c>
      <c r="F45" s="20" t="s">
        <v>588</v>
      </c>
      <c r="G45" s="8" t="str">
        <f t="shared" si="0"/>
        <v>FORTUNATO FRANK</v>
      </c>
    </row>
    <row r="46" spans="1:7" x14ac:dyDescent="0.25">
      <c r="A46" s="8">
        <v>42849.24726851852</v>
      </c>
      <c r="B46" s="20" t="s">
        <v>491</v>
      </c>
      <c r="C46" s="20" t="s">
        <v>605</v>
      </c>
      <c r="D46" s="141">
        <v>1110000</v>
      </c>
      <c r="E46" s="20" t="s">
        <v>593</v>
      </c>
      <c r="F46" s="20" t="s">
        <v>594</v>
      </c>
      <c r="G46" s="8" t="str">
        <f t="shared" si="0"/>
        <v>STARKS ANGELINA</v>
      </c>
    </row>
    <row r="47" spans="1:7" x14ac:dyDescent="0.25">
      <c r="A47" s="8">
        <v>42849.248020833336</v>
      </c>
      <c r="B47" s="20" t="s">
        <v>360</v>
      </c>
      <c r="C47" s="20" t="s">
        <v>614</v>
      </c>
      <c r="D47" s="141">
        <v>1230000</v>
      </c>
      <c r="E47" s="20" t="s">
        <v>615</v>
      </c>
      <c r="F47" s="20" t="s">
        <v>616</v>
      </c>
      <c r="G47" s="8" t="str">
        <f t="shared" si="0"/>
        <v>YANAI IAN</v>
      </c>
    </row>
    <row r="48" spans="1:7" x14ac:dyDescent="0.25">
      <c r="A48" s="8">
        <v>42849.250138888892</v>
      </c>
      <c r="B48" s="20" t="s">
        <v>490</v>
      </c>
      <c r="C48" s="20" t="s">
        <v>617</v>
      </c>
      <c r="D48" s="141">
        <v>3130000</v>
      </c>
      <c r="E48" s="20" t="s">
        <v>618</v>
      </c>
      <c r="F48" s="20" t="s">
        <v>619</v>
      </c>
      <c r="G48" s="8" t="str">
        <f t="shared" si="0"/>
        <v>ZEWDU DEREJE</v>
      </c>
    </row>
    <row r="49" spans="1:7" x14ac:dyDescent="0.25">
      <c r="A49" s="8">
        <v>42849.251284722224</v>
      </c>
      <c r="B49" s="20" t="s">
        <v>490</v>
      </c>
      <c r="C49" s="20" t="s">
        <v>617</v>
      </c>
      <c r="D49" s="141">
        <v>3130000</v>
      </c>
      <c r="E49" s="20" t="s">
        <v>618</v>
      </c>
      <c r="F49" s="20" t="s">
        <v>619</v>
      </c>
      <c r="G49" s="8" t="str">
        <f t="shared" si="0"/>
        <v>ZEWDU DEREJE</v>
      </c>
    </row>
    <row r="50" spans="1:7" x14ac:dyDescent="0.25">
      <c r="A50" s="8">
        <v>42849.254953703705</v>
      </c>
      <c r="B50" s="20" t="s">
        <v>550</v>
      </c>
      <c r="C50" s="20" t="s">
        <v>620</v>
      </c>
      <c r="D50" s="141">
        <v>1990000</v>
      </c>
      <c r="E50" s="20" t="s">
        <v>495</v>
      </c>
      <c r="F50" s="20" t="s">
        <v>496</v>
      </c>
      <c r="G50" s="8" t="str">
        <f t="shared" si="0"/>
        <v>DAVIS WENDY</v>
      </c>
    </row>
    <row r="51" spans="1:7" x14ac:dyDescent="0.25">
      <c r="A51" s="8">
        <v>42849.25644675926</v>
      </c>
      <c r="B51" s="20" t="s">
        <v>352</v>
      </c>
      <c r="C51" s="20" t="s">
        <v>621</v>
      </c>
      <c r="D51" s="141">
        <v>3030000</v>
      </c>
      <c r="E51" s="20" t="s">
        <v>597</v>
      </c>
      <c r="F51" s="20" t="s">
        <v>472</v>
      </c>
      <c r="G51" s="8" t="str">
        <f t="shared" si="0"/>
        <v>BIRENBAUM THOMAS</v>
      </c>
    </row>
    <row r="52" spans="1:7" x14ac:dyDescent="0.25">
      <c r="A52" s="8">
        <v>42849.262499999997</v>
      </c>
      <c r="B52" s="20" t="s">
        <v>492</v>
      </c>
      <c r="C52" s="20" t="s">
        <v>622</v>
      </c>
      <c r="D52" s="141">
        <v>3130000</v>
      </c>
      <c r="E52" s="20" t="s">
        <v>618</v>
      </c>
      <c r="F52" s="20" t="s">
        <v>619</v>
      </c>
      <c r="G52" s="8" t="str">
        <f t="shared" si="0"/>
        <v>ZEWDU DEREJE</v>
      </c>
    </row>
    <row r="53" spans="1:7" x14ac:dyDescent="0.25">
      <c r="A53" s="8">
        <v>42849.265208333331</v>
      </c>
      <c r="B53" s="20" t="s">
        <v>426</v>
      </c>
      <c r="C53" s="20" t="s">
        <v>623</v>
      </c>
      <c r="D53" s="141">
        <v>3020000</v>
      </c>
      <c r="E53" s="20" t="s">
        <v>609</v>
      </c>
      <c r="F53" s="20" t="s">
        <v>610</v>
      </c>
      <c r="G53" s="8" t="str">
        <f t="shared" si="0"/>
        <v>MENGES BRAD</v>
      </c>
    </row>
    <row r="54" spans="1:7" x14ac:dyDescent="0.25">
      <c r="A54" s="8">
        <v>42849.268009259256</v>
      </c>
      <c r="B54" s="20" t="s">
        <v>199</v>
      </c>
      <c r="C54" s="20" t="s">
        <v>624</v>
      </c>
      <c r="D54" s="141">
        <v>2020000</v>
      </c>
      <c r="E54" s="20" t="s">
        <v>497</v>
      </c>
      <c r="F54" s="20" t="s">
        <v>471</v>
      </c>
      <c r="G54" s="8" t="str">
        <f t="shared" si="0"/>
        <v>SHOOK JOHN</v>
      </c>
    </row>
    <row r="55" spans="1:7" x14ac:dyDescent="0.25">
      <c r="A55" s="8">
        <v>42849.269120370373</v>
      </c>
      <c r="B55" s="20" t="s">
        <v>199</v>
      </c>
      <c r="C55" s="20" t="s">
        <v>624</v>
      </c>
      <c r="D55" s="141">
        <v>2020000</v>
      </c>
      <c r="E55" s="20" t="s">
        <v>497</v>
      </c>
      <c r="F55" s="20" t="s">
        <v>471</v>
      </c>
      <c r="G55" s="8" t="str">
        <f t="shared" si="0"/>
        <v>SHOOK JOHN</v>
      </c>
    </row>
    <row r="56" spans="1:7" x14ac:dyDescent="0.25">
      <c r="A56" s="8">
        <v>42849.269826388889</v>
      </c>
      <c r="B56" s="20" t="s">
        <v>199</v>
      </c>
      <c r="C56" s="20" t="s">
        <v>624</v>
      </c>
      <c r="D56" s="141">
        <v>2020000</v>
      </c>
      <c r="E56" s="20" t="s">
        <v>497</v>
      </c>
      <c r="F56" s="20" t="s">
        <v>471</v>
      </c>
      <c r="G56" s="8" t="str">
        <f t="shared" si="0"/>
        <v>SHOOK JOHN</v>
      </c>
    </row>
    <row r="57" spans="1:7" x14ac:dyDescent="0.25">
      <c r="A57" s="8">
        <v>42849.271203703705</v>
      </c>
      <c r="B57" s="20" t="s">
        <v>199</v>
      </c>
      <c r="C57" s="20" t="s">
        <v>624</v>
      </c>
      <c r="D57" s="141">
        <v>2020000</v>
      </c>
      <c r="E57" s="20" t="s">
        <v>497</v>
      </c>
      <c r="F57" s="20" t="s">
        <v>471</v>
      </c>
      <c r="G57" s="8" t="str">
        <f t="shared" si="0"/>
        <v>SHOOK JOHN</v>
      </c>
    </row>
    <row r="58" spans="1:7" x14ac:dyDescent="0.25">
      <c r="A58" s="8">
        <v>42849.273159722223</v>
      </c>
      <c r="B58" s="20" t="s">
        <v>448</v>
      </c>
      <c r="C58" s="20" t="s">
        <v>625</v>
      </c>
      <c r="D58" s="141">
        <v>2010000</v>
      </c>
      <c r="E58" s="20" t="s">
        <v>493</v>
      </c>
      <c r="F58" s="20" t="s">
        <v>494</v>
      </c>
      <c r="G58" s="8" t="str">
        <f t="shared" si="0"/>
        <v>MAELZER KURT</v>
      </c>
    </row>
    <row r="59" spans="1:7" x14ac:dyDescent="0.25">
      <c r="A59" s="8">
        <v>42849.273854166669</v>
      </c>
      <c r="B59" s="20" t="s">
        <v>448</v>
      </c>
      <c r="C59" s="20" t="s">
        <v>625</v>
      </c>
      <c r="D59" s="141">
        <v>2010000</v>
      </c>
      <c r="E59" s="20" t="s">
        <v>493</v>
      </c>
      <c r="F59" s="20" t="s">
        <v>494</v>
      </c>
      <c r="G59" s="8" t="str">
        <f t="shared" si="0"/>
        <v>MAELZER KURT</v>
      </c>
    </row>
    <row r="60" spans="1:7" x14ac:dyDescent="0.25">
      <c r="A60" s="8">
        <v>42849.275347222225</v>
      </c>
      <c r="B60" s="20" t="s">
        <v>490</v>
      </c>
      <c r="C60" s="20" t="s">
        <v>626</v>
      </c>
      <c r="D60" s="141">
        <v>3130000</v>
      </c>
      <c r="E60" s="20" t="s">
        <v>618</v>
      </c>
      <c r="F60" s="20" t="s">
        <v>619</v>
      </c>
      <c r="G60" s="8" t="str">
        <f t="shared" si="0"/>
        <v>ZEWDU DEREJE</v>
      </c>
    </row>
    <row r="61" spans="1:7" x14ac:dyDescent="0.25">
      <c r="A61" s="8">
        <v>42849.276250000003</v>
      </c>
      <c r="B61" s="20" t="s">
        <v>199</v>
      </c>
      <c r="C61" s="20" t="s">
        <v>624</v>
      </c>
      <c r="D61" s="141">
        <v>2020000</v>
      </c>
      <c r="E61" s="20" t="s">
        <v>497</v>
      </c>
      <c r="F61" s="20" t="s">
        <v>471</v>
      </c>
      <c r="G61" s="8" t="str">
        <f t="shared" si="0"/>
        <v>SHOOK JOHN</v>
      </c>
    </row>
    <row r="62" spans="1:7" x14ac:dyDescent="0.25">
      <c r="A62" s="8">
        <v>42849.27679398148</v>
      </c>
      <c r="B62" s="20" t="s">
        <v>544</v>
      </c>
      <c r="C62" s="20" t="s">
        <v>627</v>
      </c>
      <c r="D62" s="141">
        <v>1230000</v>
      </c>
      <c r="E62" s="20" t="s">
        <v>615</v>
      </c>
      <c r="F62" s="20" t="s">
        <v>616</v>
      </c>
      <c r="G62" s="8" t="str">
        <f t="shared" si="0"/>
        <v>YANAI IAN</v>
      </c>
    </row>
    <row r="63" spans="1:7" x14ac:dyDescent="0.25">
      <c r="A63" s="8">
        <v>42849.277141203704</v>
      </c>
      <c r="B63" s="20" t="s">
        <v>438</v>
      </c>
      <c r="C63" s="20" t="s">
        <v>628</v>
      </c>
      <c r="D63" s="141">
        <v>2970000</v>
      </c>
      <c r="E63" s="20" t="s">
        <v>398</v>
      </c>
      <c r="F63" s="20" t="s">
        <v>399</v>
      </c>
      <c r="G63" s="8" t="str">
        <f t="shared" si="0"/>
        <v>GUZMAN DANNY</v>
      </c>
    </row>
    <row r="64" spans="1:7" x14ac:dyDescent="0.25">
      <c r="A64" s="26">
        <v>42849.282384259262</v>
      </c>
      <c r="B64" s="20" t="s">
        <v>414</v>
      </c>
      <c r="C64" s="20" t="s">
        <v>548</v>
      </c>
      <c r="D64" s="141">
        <v>1990000</v>
      </c>
      <c r="E64" s="20" t="s">
        <v>495</v>
      </c>
      <c r="F64" s="20" t="s">
        <v>496</v>
      </c>
      <c r="G64" s="8" t="str">
        <f t="shared" si="0"/>
        <v>DAVIS WENDY</v>
      </c>
    </row>
    <row r="65" spans="1:7" x14ac:dyDescent="0.25">
      <c r="A65" s="8">
        <v>42849.285520833335</v>
      </c>
      <c r="B65" s="20" t="s">
        <v>383</v>
      </c>
      <c r="C65" s="20" t="s">
        <v>629</v>
      </c>
      <c r="D65" s="141">
        <v>3000000</v>
      </c>
      <c r="E65" s="20" t="s">
        <v>587</v>
      </c>
      <c r="F65" s="20" t="s">
        <v>588</v>
      </c>
      <c r="G65" s="8" t="str">
        <f t="shared" si="0"/>
        <v>FORTUNATO FRANK</v>
      </c>
    </row>
    <row r="66" spans="1:7" x14ac:dyDescent="0.25">
      <c r="A66" s="8">
        <v>42849.286249999997</v>
      </c>
      <c r="B66" s="20" t="s">
        <v>448</v>
      </c>
      <c r="C66" s="20" t="s">
        <v>625</v>
      </c>
      <c r="D66" s="141">
        <v>2010000</v>
      </c>
      <c r="E66" s="20" t="s">
        <v>493</v>
      </c>
      <c r="F66" s="20" t="s">
        <v>494</v>
      </c>
      <c r="G66" s="8" t="str">
        <f t="shared" si="0"/>
        <v>MAELZER KURT</v>
      </c>
    </row>
    <row r="67" spans="1:7" x14ac:dyDescent="0.25">
      <c r="A67" s="8">
        <v>42849.289282407408</v>
      </c>
      <c r="B67" s="20" t="s">
        <v>353</v>
      </c>
      <c r="C67" s="20" t="s">
        <v>630</v>
      </c>
      <c r="D67" s="141">
        <v>3030000</v>
      </c>
      <c r="E67" s="20" t="s">
        <v>597</v>
      </c>
      <c r="F67" s="20" t="s">
        <v>472</v>
      </c>
      <c r="G67" s="8" t="str">
        <f t="shared" ref="G67:G130" si="1">E67&amp;" "&amp;F67</f>
        <v>BIRENBAUM THOMAS</v>
      </c>
    </row>
    <row r="68" spans="1:7" x14ac:dyDescent="0.25">
      <c r="A68" s="8">
        <v>42849.290543981479</v>
      </c>
      <c r="B68" s="20" t="s">
        <v>353</v>
      </c>
      <c r="C68" s="20" t="s">
        <v>630</v>
      </c>
      <c r="D68" s="141">
        <v>3030000</v>
      </c>
      <c r="E68" s="20" t="s">
        <v>597</v>
      </c>
      <c r="F68" s="20" t="s">
        <v>472</v>
      </c>
      <c r="G68" s="8" t="str">
        <f t="shared" si="1"/>
        <v>BIRENBAUM THOMAS</v>
      </c>
    </row>
    <row r="69" spans="1:7" x14ac:dyDescent="0.25">
      <c r="A69" s="8">
        <v>42849.296458333331</v>
      </c>
      <c r="B69" s="20" t="s">
        <v>492</v>
      </c>
      <c r="C69" s="20" t="s">
        <v>631</v>
      </c>
      <c r="D69" s="141">
        <v>3130000</v>
      </c>
      <c r="E69" s="20" t="s">
        <v>618</v>
      </c>
      <c r="F69" s="20" t="s">
        <v>619</v>
      </c>
      <c r="G69" s="8" t="str">
        <f t="shared" si="1"/>
        <v>ZEWDU DEREJE</v>
      </c>
    </row>
    <row r="70" spans="1:7" x14ac:dyDescent="0.25">
      <c r="A70" s="8">
        <v>42849.296736111108</v>
      </c>
      <c r="B70" s="20" t="s">
        <v>550</v>
      </c>
      <c r="C70" s="20" t="s">
        <v>632</v>
      </c>
      <c r="D70" s="141">
        <v>1990000</v>
      </c>
      <c r="E70" s="20" t="s">
        <v>495</v>
      </c>
      <c r="F70" s="20" t="s">
        <v>496</v>
      </c>
      <c r="G70" s="8" t="str">
        <f t="shared" si="1"/>
        <v>DAVIS WENDY</v>
      </c>
    </row>
    <row r="71" spans="1:7" x14ac:dyDescent="0.25">
      <c r="A71" s="8">
        <v>42849.298715277779</v>
      </c>
      <c r="B71" s="20" t="s">
        <v>353</v>
      </c>
      <c r="C71" s="20" t="s">
        <v>630</v>
      </c>
      <c r="D71" s="141">
        <v>3030000</v>
      </c>
      <c r="E71" s="20" t="s">
        <v>597</v>
      </c>
      <c r="F71" s="20" t="s">
        <v>472</v>
      </c>
      <c r="G71" s="8" t="str">
        <f t="shared" si="1"/>
        <v>BIRENBAUM THOMAS</v>
      </c>
    </row>
    <row r="72" spans="1:7" x14ac:dyDescent="0.25">
      <c r="A72" s="8">
        <v>42849.299178240741</v>
      </c>
      <c r="B72" s="20" t="s">
        <v>425</v>
      </c>
      <c r="C72" s="20" t="s">
        <v>633</v>
      </c>
      <c r="D72" s="141">
        <v>3020000</v>
      </c>
      <c r="E72" s="20" t="s">
        <v>609</v>
      </c>
      <c r="F72" s="20" t="s">
        <v>610</v>
      </c>
      <c r="G72" s="8" t="str">
        <f t="shared" si="1"/>
        <v>MENGES BRAD</v>
      </c>
    </row>
    <row r="73" spans="1:7" x14ac:dyDescent="0.25">
      <c r="A73" s="8">
        <v>42849.300567129627</v>
      </c>
      <c r="B73" s="20" t="s">
        <v>353</v>
      </c>
      <c r="C73" s="20" t="s">
        <v>630</v>
      </c>
      <c r="D73" s="141">
        <v>3030000</v>
      </c>
      <c r="E73" s="20" t="s">
        <v>597</v>
      </c>
      <c r="F73" s="20" t="s">
        <v>472</v>
      </c>
      <c r="G73" s="8" t="str">
        <f t="shared" si="1"/>
        <v>BIRENBAUM THOMAS</v>
      </c>
    </row>
    <row r="74" spans="1:7" x14ac:dyDescent="0.25">
      <c r="A74" s="8">
        <v>42849.30097222222</v>
      </c>
      <c r="B74" s="20" t="s">
        <v>361</v>
      </c>
      <c r="C74" s="20" t="s">
        <v>634</v>
      </c>
      <c r="D74" s="141">
        <v>2020000</v>
      </c>
      <c r="E74" s="20" t="s">
        <v>497</v>
      </c>
      <c r="F74" s="20" t="s">
        <v>471</v>
      </c>
      <c r="G74" s="8" t="str">
        <f t="shared" si="1"/>
        <v>SHOOK JOHN</v>
      </c>
    </row>
    <row r="75" spans="1:7" x14ac:dyDescent="0.25">
      <c r="A75" s="8">
        <v>42849.301840277774</v>
      </c>
      <c r="B75" s="20" t="s">
        <v>353</v>
      </c>
      <c r="C75" s="20" t="s">
        <v>630</v>
      </c>
      <c r="D75" s="141">
        <v>3030000</v>
      </c>
      <c r="E75" s="20" t="s">
        <v>597</v>
      </c>
      <c r="F75" s="20" t="s">
        <v>472</v>
      </c>
      <c r="G75" s="8" t="str">
        <f t="shared" si="1"/>
        <v>BIRENBAUM THOMAS</v>
      </c>
    </row>
    <row r="76" spans="1:7" x14ac:dyDescent="0.25">
      <c r="A76" s="8">
        <v>42849.307256944441</v>
      </c>
      <c r="B76" s="20" t="s">
        <v>449</v>
      </c>
      <c r="C76" s="20" t="s">
        <v>635</v>
      </c>
      <c r="D76" s="141">
        <v>2010000</v>
      </c>
      <c r="E76" s="20" t="s">
        <v>493</v>
      </c>
      <c r="F76" s="20" t="s">
        <v>494</v>
      </c>
      <c r="G76" s="8" t="str">
        <f t="shared" si="1"/>
        <v>MAELZER KURT</v>
      </c>
    </row>
    <row r="77" spans="1:7" x14ac:dyDescent="0.25">
      <c r="A77" s="8">
        <v>42849.308668981481</v>
      </c>
      <c r="B77" s="20" t="s">
        <v>361</v>
      </c>
      <c r="C77" s="20" t="s">
        <v>634</v>
      </c>
      <c r="D77" s="141">
        <v>2020000</v>
      </c>
      <c r="E77" s="20" t="s">
        <v>497</v>
      </c>
      <c r="F77" s="20" t="s">
        <v>471</v>
      </c>
      <c r="G77" s="8" t="str">
        <f t="shared" si="1"/>
        <v>SHOOK JOHN</v>
      </c>
    </row>
    <row r="78" spans="1:7" x14ac:dyDescent="0.25">
      <c r="A78" s="8">
        <v>42849.309282407405</v>
      </c>
      <c r="B78" s="20" t="s">
        <v>437</v>
      </c>
      <c r="C78" s="20" t="s">
        <v>636</v>
      </c>
      <c r="D78" s="141">
        <v>2970000</v>
      </c>
      <c r="E78" s="20" t="s">
        <v>398</v>
      </c>
      <c r="F78" s="20" t="s">
        <v>399</v>
      </c>
      <c r="G78" s="8" t="str">
        <f t="shared" si="1"/>
        <v>GUZMAN DANNY</v>
      </c>
    </row>
    <row r="79" spans="1:7" x14ac:dyDescent="0.25">
      <c r="A79" s="8">
        <v>42849.309525462966</v>
      </c>
      <c r="B79" s="20" t="s">
        <v>449</v>
      </c>
      <c r="C79" s="20" t="s">
        <v>635</v>
      </c>
      <c r="D79" s="141">
        <v>2010000</v>
      </c>
      <c r="E79" s="20" t="s">
        <v>493</v>
      </c>
      <c r="F79" s="20" t="s">
        <v>494</v>
      </c>
      <c r="G79" s="8" t="str">
        <f t="shared" si="1"/>
        <v>MAELZER KURT</v>
      </c>
    </row>
    <row r="80" spans="1:7" x14ac:dyDescent="0.25">
      <c r="A80" s="8">
        <v>42849.317604166667</v>
      </c>
      <c r="B80" s="20" t="s">
        <v>490</v>
      </c>
      <c r="C80" s="20" t="s">
        <v>637</v>
      </c>
      <c r="D80" s="141">
        <v>3130000</v>
      </c>
      <c r="E80" s="20" t="s">
        <v>618</v>
      </c>
      <c r="F80" s="20" t="s">
        <v>619</v>
      </c>
      <c r="G80" s="8" t="str">
        <f t="shared" si="1"/>
        <v>ZEWDU DEREJE</v>
      </c>
    </row>
    <row r="81" spans="1:7" x14ac:dyDescent="0.25">
      <c r="A81" s="8">
        <v>42849.31826388889</v>
      </c>
      <c r="B81" s="20" t="s">
        <v>360</v>
      </c>
      <c r="C81" s="20" t="s">
        <v>638</v>
      </c>
      <c r="D81" s="141">
        <v>1110000</v>
      </c>
      <c r="E81" s="20" t="s">
        <v>593</v>
      </c>
      <c r="F81" s="20" t="s">
        <v>594</v>
      </c>
      <c r="G81" s="8" t="str">
        <f t="shared" si="1"/>
        <v>STARKS ANGELINA</v>
      </c>
    </row>
    <row r="82" spans="1:7" x14ac:dyDescent="0.25">
      <c r="A82" s="8">
        <v>42849.31890046296</v>
      </c>
      <c r="B82" s="20" t="s">
        <v>387</v>
      </c>
      <c r="C82" s="20" t="s">
        <v>639</v>
      </c>
      <c r="D82" s="141">
        <v>3000000</v>
      </c>
      <c r="E82" s="20" t="s">
        <v>587</v>
      </c>
      <c r="F82" s="20" t="s">
        <v>588</v>
      </c>
      <c r="G82" s="8" t="str">
        <f t="shared" si="1"/>
        <v>FORTUNATO FRANK</v>
      </c>
    </row>
    <row r="83" spans="1:7" x14ac:dyDescent="0.25">
      <c r="A83" s="8">
        <v>42849.324918981481</v>
      </c>
      <c r="B83" s="20" t="s">
        <v>414</v>
      </c>
      <c r="C83" s="20" t="s">
        <v>549</v>
      </c>
      <c r="D83" s="141">
        <v>1990000</v>
      </c>
      <c r="E83" s="20" t="s">
        <v>495</v>
      </c>
      <c r="F83" s="20" t="s">
        <v>496</v>
      </c>
      <c r="G83" s="8" t="str">
        <f t="shared" si="1"/>
        <v>DAVIS WENDY</v>
      </c>
    </row>
    <row r="84" spans="1:7" x14ac:dyDescent="0.25">
      <c r="A84" s="8">
        <v>42849.331377314818</v>
      </c>
      <c r="B84" s="20" t="s">
        <v>352</v>
      </c>
      <c r="C84" s="20" t="s">
        <v>640</v>
      </c>
      <c r="D84" s="141">
        <v>3030000</v>
      </c>
      <c r="E84" s="20" t="s">
        <v>597</v>
      </c>
      <c r="F84" s="20" t="s">
        <v>472</v>
      </c>
      <c r="G84" s="8" t="str">
        <f t="shared" si="1"/>
        <v>BIRENBAUM THOMAS</v>
      </c>
    </row>
    <row r="85" spans="1:7" x14ac:dyDescent="0.25">
      <c r="A85" s="8">
        <v>42849.333229166667</v>
      </c>
      <c r="B85" s="20" t="s">
        <v>492</v>
      </c>
      <c r="C85" s="20" t="s">
        <v>641</v>
      </c>
      <c r="D85" s="141">
        <v>3130000</v>
      </c>
      <c r="E85" s="20" t="s">
        <v>618</v>
      </c>
      <c r="F85" s="20" t="s">
        <v>619</v>
      </c>
      <c r="G85" s="8" t="str">
        <f t="shared" si="1"/>
        <v>ZEWDU DEREJE</v>
      </c>
    </row>
    <row r="86" spans="1:7" x14ac:dyDescent="0.25">
      <c r="A86" s="8">
        <v>42849.336944444447</v>
      </c>
      <c r="B86" s="20" t="s">
        <v>426</v>
      </c>
      <c r="C86" s="20" t="s">
        <v>642</v>
      </c>
      <c r="D86" s="141">
        <v>3020000</v>
      </c>
      <c r="E86" s="20" t="s">
        <v>609</v>
      </c>
      <c r="F86" s="20" t="s">
        <v>610</v>
      </c>
      <c r="G86" s="8" t="str">
        <f t="shared" si="1"/>
        <v>MENGES BRAD</v>
      </c>
    </row>
    <row r="87" spans="1:7" x14ac:dyDescent="0.25">
      <c r="A87" s="8">
        <v>42849.337754629632</v>
      </c>
      <c r="B87" s="20" t="s">
        <v>550</v>
      </c>
      <c r="C87" s="20" t="s">
        <v>551</v>
      </c>
      <c r="D87" s="141">
        <v>1990000</v>
      </c>
      <c r="E87" s="20" t="s">
        <v>495</v>
      </c>
      <c r="F87" s="20" t="s">
        <v>496</v>
      </c>
      <c r="G87" s="8" t="str">
        <f t="shared" si="1"/>
        <v>DAVIS WENDY</v>
      </c>
    </row>
    <row r="88" spans="1:7" x14ac:dyDescent="0.25">
      <c r="A88" s="8">
        <v>42849.339247685188</v>
      </c>
      <c r="B88" s="20" t="s">
        <v>199</v>
      </c>
      <c r="C88" s="20" t="s">
        <v>643</v>
      </c>
      <c r="D88" s="141">
        <v>2020000</v>
      </c>
      <c r="E88" s="20" t="s">
        <v>497</v>
      </c>
      <c r="F88" s="20" t="s">
        <v>471</v>
      </c>
      <c r="G88" s="8" t="str">
        <f t="shared" si="1"/>
        <v>SHOOK JOHN</v>
      </c>
    </row>
    <row r="89" spans="1:7" x14ac:dyDescent="0.25">
      <c r="A89" s="8">
        <v>42849.349293981482</v>
      </c>
      <c r="B89" s="20" t="s">
        <v>438</v>
      </c>
      <c r="C89" s="20" t="s">
        <v>552</v>
      </c>
      <c r="D89" s="141">
        <v>2970000</v>
      </c>
      <c r="E89" s="20" t="s">
        <v>398</v>
      </c>
      <c r="F89" s="20" t="s">
        <v>399</v>
      </c>
      <c r="G89" s="8" t="str">
        <f t="shared" si="1"/>
        <v>GUZMAN DANNY</v>
      </c>
    </row>
    <row r="90" spans="1:7" x14ac:dyDescent="0.25">
      <c r="A90" s="8">
        <v>42849.349374999998</v>
      </c>
      <c r="B90" s="20" t="s">
        <v>448</v>
      </c>
      <c r="C90" s="20" t="s">
        <v>644</v>
      </c>
      <c r="D90" s="141">
        <v>2010000</v>
      </c>
      <c r="E90" s="20" t="s">
        <v>493</v>
      </c>
      <c r="F90" s="20" t="s">
        <v>494</v>
      </c>
      <c r="G90" s="8" t="str">
        <f t="shared" si="1"/>
        <v>MAELZER KURT</v>
      </c>
    </row>
    <row r="91" spans="1:7" x14ac:dyDescent="0.25">
      <c r="A91" s="8">
        <v>42849.352673611109</v>
      </c>
      <c r="B91" s="20" t="s">
        <v>414</v>
      </c>
      <c r="C91" s="20" t="s">
        <v>645</v>
      </c>
      <c r="D91" s="141">
        <v>1990000</v>
      </c>
      <c r="E91" s="20" t="s">
        <v>495</v>
      </c>
      <c r="F91" s="20" t="s">
        <v>496</v>
      </c>
      <c r="G91" s="8" t="str">
        <f t="shared" si="1"/>
        <v>DAVIS WENDY</v>
      </c>
    </row>
    <row r="92" spans="1:7" x14ac:dyDescent="0.25">
      <c r="A92" s="8">
        <v>42849.35832175926</v>
      </c>
      <c r="B92" s="20" t="s">
        <v>490</v>
      </c>
      <c r="C92" s="20" t="s">
        <v>646</v>
      </c>
      <c r="D92" s="141">
        <v>3130000</v>
      </c>
      <c r="E92" s="20" t="s">
        <v>618</v>
      </c>
      <c r="F92" s="20" t="s">
        <v>619</v>
      </c>
      <c r="G92" s="8" t="str">
        <f t="shared" si="1"/>
        <v>ZEWDU DEREJE</v>
      </c>
    </row>
    <row r="93" spans="1:7" x14ac:dyDescent="0.25">
      <c r="A93" s="8">
        <v>42849.35900462963</v>
      </c>
      <c r="B93" s="20" t="s">
        <v>544</v>
      </c>
      <c r="C93" s="20" t="s">
        <v>647</v>
      </c>
      <c r="D93" s="141">
        <v>1110000</v>
      </c>
      <c r="E93" s="20" t="s">
        <v>593</v>
      </c>
      <c r="F93" s="20" t="s">
        <v>594</v>
      </c>
      <c r="G93" s="8" t="str">
        <f t="shared" si="1"/>
        <v>STARKS ANGELINA</v>
      </c>
    </row>
    <row r="94" spans="1:7" x14ac:dyDescent="0.25">
      <c r="A94" s="8">
        <v>42849.360081018516</v>
      </c>
      <c r="B94" s="20" t="s">
        <v>353</v>
      </c>
      <c r="C94" s="20" t="s">
        <v>648</v>
      </c>
      <c r="D94" s="141">
        <v>3030000</v>
      </c>
      <c r="E94" s="20" t="s">
        <v>597</v>
      </c>
      <c r="F94" s="20" t="s">
        <v>472</v>
      </c>
      <c r="G94" s="8" t="str">
        <f t="shared" si="1"/>
        <v>BIRENBAUM THOMAS</v>
      </c>
    </row>
    <row r="95" spans="1:7" x14ac:dyDescent="0.25">
      <c r="A95" s="8">
        <v>42849.360092592593</v>
      </c>
      <c r="B95" s="20" t="s">
        <v>383</v>
      </c>
      <c r="C95" s="20" t="s">
        <v>649</v>
      </c>
      <c r="D95" s="141">
        <v>3000000</v>
      </c>
      <c r="E95" s="20" t="s">
        <v>587</v>
      </c>
      <c r="F95" s="20" t="s">
        <v>588</v>
      </c>
      <c r="G95" s="8" t="str">
        <f t="shared" si="1"/>
        <v>FORTUNATO FRANK</v>
      </c>
    </row>
    <row r="96" spans="1:7" x14ac:dyDescent="0.25">
      <c r="A96" s="8">
        <v>42849.370706018519</v>
      </c>
      <c r="B96" s="20" t="s">
        <v>361</v>
      </c>
      <c r="C96" s="20" t="s">
        <v>650</v>
      </c>
      <c r="D96" s="141">
        <v>2020000</v>
      </c>
      <c r="E96" s="20" t="s">
        <v>497</v>
      </c>
      <c r="F96" s="20" t="s">
        <v>471</v>
      </c>
      <c r="G96" s="8" t="str">
        <f t="shared" si="1"/>
        <v>SHOOK JOHN</v>
      </c>
    </row>
    <row r="97" spans="1:7" x14ac:dyDescent="0.25">
      <c r="A97" s="8">
        <v>42849.372430555559</v>
      </c>
      <c r="B97" s="20" t="s">
        <v>425</v>
      </c>
      <c r="C97" s="20" t="s">
        <v>651</v>
      </c>
      <c r="D97" s="141">
        <v>3020000</v>
      </c>
      <c r="E97" s="20" t="s">
        <v>609</v>
      </c>
      <c r="F97" s="20" t="s">
        <v>610</v>
      </c>
      <c r="G97" s="8" t="str">
        <f t="shared" si="1"/>
        <v>MENGES BRAD</v>
      </c>
    </row>
    <row r="98" spans="1:7" x14ac:dyDescent="0.25">
      <c r="A98" s="8">
        <v>42849.375972222224</v>
      </c>
      <c r="B98" s="20" t="s">
        <v>492</v>
      </c>
      <c r="C98" s="20" t="s">
        <v>652</v>
      </c>
      <c r="D98" s="141">
        <v>3130000</v>
      </c>
      <c r="E98" s="20" t="s">
        <v>618</v>
      </c>
      <c r="F98" s="20" t="s">
        <v>619</v>
      </c>
      <c r="G98" s="8" t="str">
        <f t="shared" si="1"/>
        <v>ZEWDU DEREJE</v>
      </c>
    </row>
    <row r="99" spans="1:7" x14ac:dyDescent="0.25">
      <c r="A99" s="8">
        <v>42849.379560185182</v>
      </c>
      <c r="B99" s="20" t="s">
        <v>361</v>
      </c>
      <c r="C99" s="20" t="s">
        <v>650</v>
      </c>
      <c r="D99" s="141">
        <v>2020000</v>
      </c>
      <c r="E99" s="20" t="s">
        <v>497</v>
      </c>
      <c r="F99" s="20" t="s">
        <v>471</v>
      </c>
      <c r="G99" s="8" t="str">
        <f t="shared" si="1"/>
        <v>SHOOK JOHN</v>
      </c>
    </row>
    <row r="100" spans="1:7" x14ac:dyDescent="0.25">
      <c r="A100" s="8">
        <v>42849.380069444444</v>
      </c>
      <c r="B100" s="20" t="s">
        <v>437</v>
      </c>
      <c r="C100" s="20" t="s">
        <v>653</v>
      </c>
      <c r="D100" s="141">
        <v>2970000</v>
      </c>
      <c r="E100" s="20" t="s">
        <v>398</v>
      </c>
      <c r="F100" s="20" t="s">
        <v>399</v>
      </c>
      <c r="G100" s="8" t="str">
        <f t="shared" si="1"/>
        <v>GUZMAN DANNY</v>
      </c>
    </row>
    <row r="101" spans="1:7" x14ac:dyDescent="0.25">
      <c r="A101" s="8">
        <v>42849.381481481483</v>
      </c>
      <c r="B101" s="20" t="s">
        <v>449</v>
      </c>
      <c r="C101" s="20" t="s">
        <v>654</v>
      </c>
      <c r="D101" s="141">
        <v>2010000</v>
      </c>
      <c r="E101" s="20" t="s">
        <v>493</v>
      </c>
      <c r="F101" s="20" t="s">
        <v>494</v>
      </c>
      <c r="G101" s="8" t="str">
        <f t="shared" si="1"/>
        <v>MAELZER KURT</v>
      </c>
    </row>
    <row r="102" spans="1:7" x14ac:dyDescent="0.25">
      <c r="A102" s="8">
        <v>42849.391712962963</v>
      </c>
      <c r="B102" s="20" t="s">
        <v>387</v>
      </c>
      <c r="C102" s="20" t="s">
        <v>655</v>
      </c>
      <c r="D102" s="141">
        <v>3000000</v>
      </c>
      <c r="E102" s="20" t="s">
        <v>587</v>
      </c>
      <c r="F102" s="20" t="s">
        <v>588</v>
      </c>
      <c r="G102" s="8" t="str">
        <f t="shared" si="1"/>
        <v>FORTUNATO FRANK</v>
      </c>
    </row>
    <row r="103" spans="1:7" x14ac:dyDescent="0.25">
      <c r="A103" s="8">
        <v>42849.39434027778</v>
      </c>
      <c r="B103" s="20" t="s">
        <v>360</v>
      </c>
      <c r="C103" s="20" t="s">
        <v>553</v>
      </c>
      <c r="D103" s="141">
        <v>1110000</v>
      </c>
      <c r="E103" s="20" t="s">
        <v>593</v>
      </c>
      <c r="F103" s="20" t="s">
        <v>594</v>
      </c>
      <c r="G103" s="8" t="str">
        <f t="shared" si="1"/>
        <v>STARKS ANGELINA</v>
      </c>
    </row>
    <row r="104" spans="1:7" x14ac:dyDescent="0.25">
      <c r="A104" s="8">
        <v>42849.400775462964</v>
      </c>
      <c r="B104" s="20" t="s">
        <v>490</v>
      </c>
      <c r="C104" s="20" t="s">
        <v>656</v>
      </c>
      <c r="D104" s="141">
        <v>3130000</v>
      </c>
      <c r="E104" s="20" t="s">
        <v>618</v>
      </c>
      <c r="F104" s="20" t="s">
        <v>619</v>
      </c>
      <c r="G104" s="8" t="str">
        <f t="shared" si="1"/>
        <v>ZEWDU DEREJE</v>
      </c>
    </row>
    <row r="105" spans="1:7" x14ac:dyDescent="0.25">
      <c r="A105" s="8">
        <v>42849.400821759256</v>
      </c>
      <c r="B105" s="20" t="s">
        <v>352</v>
      </c>
      <c r="C105" s="20" t="s">
        <v>657</v>
      </c>
      <c r="D105" s="141">
        <v>3030000</v>
      </c>
      <c r="E105" s="20" t="s">
        <v>597</v>
      </c>
      <c r="F105" s="20" t="s">
        <v>472</v>
      </c>
      <c r="G105" s="8" t="str">
        <f t="shared" si="1"/>
        <v>BIRENBAUM THOMAS</v>
      </c>
    </row>
    <row r="106" spans="1:7" x14ac:dyDescent="0.25">
      <c r="A106" s="8">
        <v>42849.406840277778</v>
      </c>
      <c r="B106" s="20" t="s">
        <v>426</v>
      </c>
      <c r="C106" s="20" t="s">
        <v>658</v>
      </c>
      <c r="D106" s="141">
        <v>3020000</v>
      </c>
      <c r="E106" s="20" t="s">
        <v>609</v>
      </c>
      <c r="F106" s="20" t="s">
        <v>610</v>
      </c>
      <c r="G106" s="8" t="str">
        <f t="shared" si="1"/>
        <v>MENGES BRAD</v>
      </c>
    </row>
    <row r="107" spans="1:7" x14ac:dyDescent="0.25">
      <c r="A107" s="8">
        <v>42849.411689814813</v>
      </c>
      <c r="B107" s="20" t="s">
        <v>199</v>
      </c>
      <c r="C107" s="20" t="s">
        <v>659</v>
      </c>
      <c r="D107" s="141">
        <v>2020000</v>
      </c>
      <c r="E107" s="20" t="s">
        <v>497</v>
      </c>
      <c r="F107" s="20" t="s">
        <v>471</v>
      </c>
      <c r="G107" s="8" t="str">
        <f t="shared" si="1"/>
        <v>SHOOK JOHN</v>
      </c>
    </row>
    <row r="108" spans="1:7" x14ac:dyDescent="0.25">
      <c r="A108" s="8">
        <v>42849.414606481485</v>
      </c>
      <c r="B108" s="20" t="s">
        <v>460</v>
      </c>
      <c r="C108" s="20" t="s">
        <v>660</v>
      </c>
      <c r="D108" s="141">
        <v>1520000</v>
      </c>
      <c r="E108" s="20" t="s">
        <v>661</v>
      </c>
      <c r="F108" s="20" t="s">
        <v>662</v>
      </c>
      <c r="G108" s="8" t="str">
        <f t="shared" si="1"/>
        <v>MAYBERRY BILL</v>
      </c>
    </row>
    <row r="109" spans="1:7" x14ac:dyDescent="0.25">
      <c r="A109" s="8">
        <v>42849.415752314817</v>
      </c>
      <c r="B109" s="20" t="s">
        <v>492</v>
      </c>
      <c r="C109" s="20" t="s">
        <v>663</v>
      </c>
      <c r="D109" s="141">
        <v>3130000</v>
      </c>
      <c r="E109" s="20" t="s">
        <v>618</v>
      </c>
      <c r="F109" s="20" t="s">
        <v>619</v>
      </c>
      <c r="G109" s="8" t="str">
        <f t="shared" si="1"/>
        <v>ZEWDU DEREJE</v>
      </c>
    </row>
    <row r="110" spans="1:7" x14ac:dyDescent="0.25">
      <c r="A110" s="8">
        <v>42849.420914351853</v>
      </c>
      <c r="B110" s="20" t="s">
        <v>438</v>
      </c>
      <c r="C110" s="20" t="s">
        <v>664</v>
      </c>
      <c r="D110" s="141">
        <v>2970000</v>
      </c>
      <c r="E110" s="20" t="s">
        <v>398</v>
      </c>
      <c r="F110" s="20" t="s">
        <v>399</v>
      </c>
      <c r="G110" s="8" t="str">
        <f t="shared" si="1"/>
        <v>GUZMAN DANNY</v>
      </c>
    </row>
    <row r="111" spans="1:7" x14ac:dyDescent="0.25">
      <c r="A111" s="8">
        <v>42849.422175925924</v>
      </c>
      <c r="B111" s="20" t="s">
        <v>448</v>
      </c>
      <c r="C111" s="20" t="s">
        <v>665</v>
      </c>
      <c r="D111" s="141">
        <v>2010000</v>
      </c>
      <c r="E111" s="20" t="s">
        <v>493</v>
      </c>
      <c r="F111" s="20" t="s">
        <v>494</v>
      </c>
      <c r="G111" s="8" t="str">
        <f t="shared" si="1"/>
        <v>MAELZER KURT</v>
      </c>
    </row>
    <row r="112" spans="1:7" x14ac:dyDescent="0.25">
      <c r="A112" s="8">
        <v>42849.428599537037</v>
      </c>
      <c r="B112" s="20" t="s">
        <v>544</v>
      </c>
      <c r="C112" s="20" t="s">
        <v>666</v>
      </c>
      <c r="D112" s="141">
        <v>1110000</v>
      </c>
      <c r="E112" s="20" t="s">
        <v>593</v>
      </c>
      <c r="F112" s="20" t="s">
        <v>594</v>
      </c>
      <c r="G112" s="8" t="str">
        <f t="shared" si="1"/>
        <v>STARKS ANGELINA</v>
      </c>
    </row>
    <row r="113" spans="1:7" x14ac:dyDescent="0.25">
      <c r="A113" s="8">
        <v>42849.434872685182</v>
      </c>
      <c r="B113" s="20" t="s">
        <v>353</v>
      </c>
      <c r="C113" s="20" t="s">
        <v>667</v>
      </c>
      <c r="D113" s="141">
        <v>3030000</v>
      </c>
      <c r="E113" s="20" t="s">
        <v>597</v>
      </c>
      <c r="F113" s="20" t="s">
        <v>472</v>
      </c>
      <c r="G113" s="8" t="str">
        <f t="shared" si="1"/>
        <v>BIRENBAUM THOMAS</v>
      </c>
    </row>
    <row r="114" spans="1:7" x14ac:dyDescent="0.25">
      <c r="A114" s="8">
        <v>42849.435196759259</v>
      </c>
      <c r="B114" s="20" t="s">
        <v>383</v>
      </c>
      <c r="C114" s="20" t="s">
        <v>668</v>
      </c>
      <c r="D114" s="141">
        <v>1990000</v>
      </c>
      <c r="E114" s="20" t="s">
        <v>495</v>
      </c>
      <c r="F114" s="20" t="s">
        <v>496</v>
      </c>
      <c r="G114" s="8" t="str">
        <f t="shared" si="1"/>
        <v>DAVIS WENDY</v>
      </c>
    </row>
    <row r="115" spans="1:7" x14ac:dyDescent="0.25">
      <c r="A115" s="8">
        <v>42849.441504629627</v>
      </c>
      <c r="B115" s="20" t="s">
        <v>490</v>
      </c>
      <c r="C115" s="20" t="s">
        <v>554</v>
      </c>
      <c r="D115" s="141">
        <v>3130000</v>
      </c>
      <c r="E115" s="20" t="s">
        <v>618</v>
      </c>
      <c r="F115" s="20" t="s">
        <v>619</v>
      </c>
      <c r="G115" s="8" t="str">
        <f t="shared" si="1"/>
        <v>ZEWDU DEREJE</v>
      </c>
    </row>
    <row r="116" spans="1:7" x14ac:dyDescent="0.25">
      <c r="A116" s="8">
        <v>42849.443703703706</v>
      </c>
      <c r="B116" s="20" t="s">
        <v>361</v>
      </c>
      <c r="C116" s="20" t="s">
        <v>555</v>
      </c>
      <c r="D116" s="141">
        <v>2020000</v>
      </c>
      <c r="E116" s="20" t="s">
        <v>497</v>
      </c>
      <c r="F116" s="20" t="s">
        <v>471</v>
      </c>
      <c r="G116" s="8" t="str">
        <f t="shared" si="1"/>
        <v>SHOOK JOHN</v>
      </c>
    </row>
    <row r="117" spans="1:7" x14ac:dyDescent="0.25">
      <c r="A117" s="8">
        <v>42849.44431712963</v>
      </c>
      <c r="B117" s="20" t="s">
        <v>425</v>
      </c>
      <c r="C117" s="20" t="s">
        <v>669</v>
      </c>
      <c r="D117" s="141">
        <v>3020000</v>
      </c>
      <c r="E117" s="20" t="s">
        <v>609</v>
      </c>
      <c r="F117" s="20" t="s">
        <v>610</v>
      </c>
      <c r="G117" s="8" t="str">
        <f t="shared" si="1"/>
        <v>MENGES BRAD</v>
      </c>
    </row>
    <row r="118" spans="1:7" x14ac:dyDescent="0.25">
      <c r="A118" s="8">
        <v>42849.453449074077</v>
      </c>
      <c r="B118" s="20" t="s">
        <v>437</v>
      </c>
      <c r="C118" s="20" t="s">
        <v>670</v>
      </c>
      <c r="D118" s="141">
        <v>2970000</v>
      </c>
      <c r="E118" s="20" t="s">
        <v>398</v>
      </c>
      <c r="F118" s="20" t="s">
        <v>399</v>
      </c>
      <c r="G118" s="8" t="str">
        <f t="shared" si="1"/>
        <v>GUZMAN DANNY</v>
      </c>
    </row>
    <row r="119" spans="1:7" x14ac:dyDescent="0.25">
      <c r="A119" s="8">
        <v>42849.456921296296</v>
      </c>
      <c r="B119" s="20" t="s">
        <v>449</v>
      </c>
      <c r="C119" s="20" t="s">
        <v>671</v>
      </c>
      <c r="D119" s="141">
        <v>880000</v>
      </c>
      <c r="E119" s="20" t="s">
        <v>498</v>
      </c>
      <c r="F119" s="20" t="s">
        <v>196</v>
      </c>
      <c r="G119" s="8" t="str">
        <f t="shared" si="1"/>
        <v>STEWART MICHAEL</v>
      </c>
    </row>
    <row r="120" spans="1:7" x14ac:dyDescent="0.25">
      <c r="A120" s="8">
        <v>42849.457627314812</v>
      </c>
      <c r="B120" s="20" t="s">
        <v>492</v>
      </c>
      <c r="C120" s="20" t="s">
        <v>556</v>
      </c>
      <c r="D120" s="141">
        <v>3130000</v>
      </c>
      <c r="E120" s="20" t="s">
        <v>618</v>
      </c>
      <c r="F120" s="20" t="s">
        <v>619</v>
      </c>
      <c r="G120" s="8" t="str">
        <f t="shared" si="1"/>
        <v>ZEWDU DEREJE</v>
      </c>
    </row>
    <row r="121" spans="1:7" x14ac:dyDescent="0.25">
      <c r="A121" s="8">
        <v>42849.467129629629</v>
      </c>
      <c r="B121" s="20" t="s">
        <v>360</v>
      </c>
      <c r="C121" s="20" t="s">
        <v>672</v>
      </c>
      <c r="D121" s="141">
        <v>920000</v>
      </c>
      <c r="E121" s="20" t="s">
        <v>495</v>
      </c>
      <c r="F121" s="20" t="s">
        <v>196</v>
      </c>
      <c r="G121" s="8" t="str">
        <f t="shared" si="1"/>
        <v>DAVIS MICHAEL</v>
      </c>
    </row>
    <row r="122" spans="1:7" x14ac:dyDescent="0.25">
      <c r="A122" s="8">
        <v>42849.467905092592</v>
      </c>
      <c r="B122" s="25" t="s">
        <v>462</v>
      </c>
      <c r="C122" s="20" t="s">
        <v>673</v>
      </c>
      <c r="D122" s="141">
        <v>2010000</v>
      </c>
      <c r="E122" s="20" t="s">
        <v>493</v>
      </c>
      <c r="F122" s="20" t="s">
        <v>494</v>
      </c>
      <c r="G122" s="8" t="str">
        <f t="shared" si="1"/>
        <v>MAELZER KURT</v>
      </c>
    </row>
    <row r="123" spans="1:7" x14ac:dyDescent="0.25">
      <c r="A123" s="8">
        <v>42849.474849537037</v>
      </c>
      <c r="B123" s="20" t="s">
        <v>387</v>
      </c>
      <c r="C123" s="20" t="s">
        <v>674</v>
      </c>
      <c r="D123" s="141">
        <v>1990000</v>
      </c>
      <c r="E123" s="20" t="s">
        <v>495</v>
      </c>
      <c r="F123" s="20" t="s">
        <v>496</v>
      </c>
      <c r="G123" s="8" t="str">
        <f t="shared" si="1"/>
        <v>DAVIS WENDY</v>
      </c>
    </row>
    <row r="124" spans="1:7" x14ac:dyDescent="0.25">
      <c r="A124" s="8">
        <v>42849.474872685183</v>
      </c>
      <c r="B124" s="20" t="s">
        <v>352</v>
      </c>
      <c r="C124" s="20" t="s">
        <v>675</v>
      </c>
      <c r="D124" s="141">
        <v>930000</v>
      </c>
      <c r="E124" s="20" t="s">
        <v>676</v>
      </c>
      <c r="F124" s="20" t="s">
        <v>677</v>
      </c>
      <c r="G124" s="8" t="str">
        <f t="shared" si="1"/>
        <v>CLARK KATHLEEN</v>
      </c>
    </row>
    <row r="125" spans="1:7" x14ac:dyDescent="0.25">
      <c r="A125" s="8">
        <v>42849.482407407406</v>
      </c>
      <c r="B125" s="20" t="s">
        <v>426</v>
      </c>
      <c r="C125" s="20" t="s">
        <v>557</v>
      </c>
      <c r="D125" s="141">
        <v>3020000</v>
      </c>
      <c r="E125" s="20" t="s">
        <v>609</v>
      </c>
      <c r="F125" s="20" t="s">
        <v>610</v>
      </c>
      <c r="G125" s="8" t="str">
        <f t="shared" si="1"/>
        <v>MENGES BRAD</v>
      </c>
    </row>
    <row r="126" spans="1:7" x14ac:dyDescent="0.25">
      <c r="A126" s="8">
        <v>42849.484953703701</v>
      </c>
      <c r="B126" s="20" t="s">
        <v>490</v>
      </c>
      <c r="C126" s="20" t="s">
        <v>678</v>
      </c>
      <c r="D126" s="141">
        <v>3130000</v>
      </c>
      <c r="E126" s="20" t="s">
        <v>618</v>
      </c>
      <c r="F126" s="20" t="s">
        <v>619</v>
      </c>
      <c r="G126" s="8" t="str">
        <f t="shared" si="1"/>
        <v>ZEWDU DEREJE</v>
      </c>
    </row>
    <row r="127" spans="1:7" x14ac:dyDescent="0.25">
      <c r="A127" s="8">
        <v>42849.487025462964</v>
      </c>
      <c r="B127" s="20" t="s">
        <v>199</v>
      </c>
      <c r="C127" s="20" t="s">
        <v>679</v>
      </c>
      <c r="D127" s="141">
        <v>3090000</v>
      </c>
      <c r="E127" s="20" t="s">
        <v>680</v>
      </c>
      <c r="F127" s="20" t="s">
        <v>681</v>
      </c>
      <c r="G127" s="8" t="str">
        <f t="shared" si="1"/>
        <v>LAMAR NEKESHA</v>
      </c>
    </row>
    <row r="128" spans="1:7" x14ac:dyDescent="0.25">
      <c r="A128" s="8">
        <v>42849.494502314818</v>
      </c>
      <c r="B128" s="20" t="s">
        <v>448</v>
      </c>
      <c r="C128" s="20" t="s">
        <v>682</v>
      </c>
      <c r="D128" s="141">
        <v>880000</v>
      </c>
      <c r="E128" s="20" t="s">
        <v>498</v>
      </c>
      <c r="F128" s="20" t="s">
        <v>196</v>
      </c>
      <c r="G128" s="8" t="str">
        <f t="shared" si="1"/>
        <v>STEWART MICHAEL</v>
      </c>
    </row>
    <row r="129" spans="1:7" x14ac:dyDescent="0.25">
      <c r="A129" s="8">
        <v>42849.495648148149</v>
      </c>
      <c r="B129" s="20" t="s">
        <v>438</v>
      </c>
      <c r="C129" s="20" t="s">
        <v>683</v>
      </c>
      <c r="D129" s="141">
        <v>2450000</v>
      </c>
      <c r="E129" s="20" t="s">
        <v>499</v>
      </c>
      <c r="F129" s="20" t="s">
        <v>500</v>
      </c>
      <c r="G129" s="8" t="str">
        <f t="shared" si="1"/>
        <v>NELSON ARIANE</v>
      </c>
    </row>
    <row r="130" spans="1:7" x14ac:dyDescent="0.25">
      <c r="A130" s="8">
        <v>42849.505624999998</v>
      </c>
      <c r="B130" s="20" t="s">
        <v>544</v>
      </c>
      <c r="C130" s="20" t="s">
        <v>684</v>
      </c>
      <c r="D130" s="141">
        <v>920000</v>
      </c>
      <c r="E130" s="20" t="s">
        <v>495</v>
      </c>
      <c r="F130" s="20" t="s">
        <v>196</v>
      </c>
      <c r="G130" s="8" t="str">
        <f t="shared" si="1"/>
        <v>DAVIS MICHAEL</v>
      </c>
    </row>
    <row r="131" spans="1:7" x14ac:dyDescent="0.25">
      <c r="A131" s="8">
        <v>42849.50849537037</v>
      </c>
      <c r="B131" s="20" t="s">
        <v>383</v>
      </c>
      <c r="C131" s="20" t="s">
        <v>685</v>
      </c>
      <c r="D131" s="141">
        <v>3120000</v>
      </c>
      <c r="E131" s="20" t="s">
        <v>686</v>
      </c>
      <c r="F131" s="20" t="s">
        <v>687</v>
      </c>
      <c r="G131" s="8" t="str">
        <f t="shared" ref="G131:G194" si="2">E131&amp;" "&amp;F131</f>
        <v>THOMPSON LESTER</v>
      </c>
    </row>
    <row r="132" spans="1:7" x14ac:dyDescent="0.25">
      <c r="A132" s="8">
        <v>42849.511435185188</v>
      </c>
      <c r="B132" s="20" t="s">
        <v>492</v>
      </c>
      <c r="C132" s="20" t="s">
        <v>688</v>
      </c>
      <c r="D132" s="141">
        <v>3130000</v>
      </c>
      <c r="E132" s="20" t="s">
        <v>618</v>
      </c>
      <c r="F132" s="20" t="s">
        <v>619</v>
      </c>
      <c r="G132" s="8" t="str">
        <f t="shared" si="2"/>
        <v>ZEWDU DEREJE</v>
      </c>
    </row>
    <row r="133" spans="1:7" x14ac:dyDescent="0.25">
      <c r="A133" s="8">
        <v>42849.514814814815</v>
      </c>
      <c r="B133" s="20" t="s">
        <v>353</v>
      </c>
      <c r="C133" s="20" t="s">
        <v>558</v>
      </c>
      <c r="D133" s="141">
        <v>930000</v>
      </c>
      <c r="E133" s="20" t="s">
        <v>676</v>
      </c>
      <c r="F133" s="20" t="s">
        <v>677</v>
      </c>
      <c r="G133" s="8" t="str">
        <f t="shared" si="2"/>
        <v>CLARK KATHLEEN</v>
      </c>
    </row>
    <row r="134" spans="1:7" x14ac:dyDescent="0.25">
      <c r="A134" s="8">
        <v>42849.51761574074</v>
      </c>
      <c r="B134" s="20" t="s">
        <v>425</v>
      </c>
      <c r="C134" s="20" t="s">
        <v>689</v>
      </c>
      <c r="D134" s="141">
        <v>2360000</v>
      </c>
      <c r="E134" s="20" t="s">
        <v>503</v>
      </c>
      <c r="F134" s="20" t="s">
        <v>504</v>
      </c>
      <c r="G134" s="8" t="str">
        <f t="shared" si="2"/>
        <v>BRANDNER MELINDA</v>
      </c>
    </row>
    <row r="135" spans="1:7" x14ac:dyDescent="0.25">
      <c r="A135" s="8">
        <v>42849.524895833332</v>
      </c>
      <c r="B135" s="20" t="s">
        <v>490</v>
      </c>
      <c r="C135" s="20" t="s">
        <v>690</v>
      </c>
      <c r="D135" s="141">
        <v>3130000</v>
      </c>
      <c r="E135" s="20" t="s">
        <v>618</v>
      </c>
      <c r="F135" s="20" t="s">
        <v>619</v>
      </c>
      <c r="G135" s="8" t="str">
        <f t="shared" si="2"/>
        <v>ZEWDU DEREJE</v>
      </c>
    </row>
    <row r="136" spans="1:7" x14ac:dyDescent="0.25">
      <c r="A136" s="8">
        <v>42849.526192129626</v>
      </c>
      <c r="B136" s="20" t="s">
        <v>361</v>
      </c>
      <c r="C136" s="20" t="s">
        <v>559</v>
      </c>
      <c r="D136" s="141">
        <v>3090000</v>
      </c>
      <c r="E136" s="20" t="s">
        <v>680</v>
      </c>
      <c r="F136" s="20" t="s">
        <v>681</v>
      </c>
      <c r="G136" s="8" t="str">
        <f t="shared" si="2"/>
        <v>LAMAR NEKESHA</v>
      </c>
    </row>
    <row r="137" spans="1:7" x14ac:dyDescent="0.25">
      <c r="A137" s="8">
        <v>42849.528437499997</v>
      </c>
      <c r="B137" s="20" t="s">
        <v>449</v>
      </c>
      <c r="C137" s="20" t="s">
        <v>691</v>
      </c>
      <c r="D137" s="141">
        <v>3010000</v>
      </c>
      <c r="E137" s="20" t="s">
        <v>692</v>
      </c>
      <c r="F137" s="20" t="s">
        <v>693</v>
      </c>
      <c r="G137" s="8" t="str">
        <f t="shared" si="2"/>
        <v>SULLIVAN BRANDON</v>
      </c>
    </row>
    <row r="138" spans="1:7" x14ac:dyDescent="0.25">
      <c r="A138" s="8">
        <v>42849.537499999999</v>
      </c>
      <c r="B138" s="20" t="s">
        <v>437</v>
      </c>
      <c r="C138" s="20" t="s">
        <v>694</v>
      </c>
      <c r="D138" s="141">
        <v>2450000</v>
      </c>
      <c r="E138" s="20" t="s">
        <v>499</v>
      </c>
      <c r="F138" s="20" t="s">
        <v>500</v>
      </c>
      <c r="G138" s="8" t="str">
        <f t="shared" si="2"/>
        <v>NELSON ARIANE</v>
      </c>
    </row>
    <row r="139" spans="1:7" x14ac:dyDescent="0.25">
      <c r="A139" s="8">
        <v>42849.538831018515</v>
      </c>
      <c r="B139" s="20" t="s">
        <v>360</v>
      </c>
      <c r="C139" s="20" t="s">
        <v>695</v>
      </c>
      <c r="D139" s="141">
        <v>2530000</v>
      </c>
      <c r="E139" s="20" t="s">
        <v>505</v>
      </c>
      <c r="F139" s="20" t="s">
        <v>506</v>
      </c>
      <c r="G139" s="8" t="str">
        <f t="shared" si="2"/>
        <v>LALONDE GREGORY</v>
      </c>
    </row>
    <row r="140" spans="1:7" x14ac:dyDescent="0.25">
      <c r="A140" s="8">
        <v>42849.539131944446</v>
      </c>
      <c r="B140" s="20" t="s">
        <v>387</v>
      </c>
      <c r="C140" s="20" t="s">
        <v>560</v>
      </c>
      <c r="D140" s="141">
        <v>3120000</v>
      </c>
      <c r="E140" s="20" t="s">
        <v>686</v>
      </c>
      <c r="F140" s="20" t="s">
        <v>687</v>
      </c>
      <c r="G140" s="8" t="str">
        <f t="shared" si="2"/>
        <v>THOMPSON LESTER</v>
      </c>
    </row>
    <row r="141" spans="1:7" x14ac:dyDescent="0.25">
      <c r="A141" s="8">
        <v>42849.549305555556</v>
      </c>
      <c r="B141" s="20" t="s">
        <v>352</v>
      </c>
      <c r="C141" s="20" t="s">
        <v>696</v>
      </c>
      <c r="D141" s="141">
        <v>930000</v>
      </c>
      <c r="E141" s="20" t="s">
        <v>676</v>
      </c>
      <c r="F141" s="20" t="s">
        <v>677</v>
      </c>
      <c r="G141" s="8" t="str">
        <f t="shared" si="2"/>
        <v>CLARK KATHLEEN</v>
      </c>
    </row>
    <row r="142" spans="1:7" x14ac:dyDescent="0.25">
      <c r="A142" s="8">
        <v>42849.553425925929</v>
      </c>
      <c r="B142" s="20" t="s">
        <v>492</v>
      </c>
      <c r="C142" s="20" t="s">
        <v>697</v>
      </c>
      <c r="D142" s="141">
        <v>1300000</v>
      </c>
      <c r="E142" s="20" t="s">
        <v>501</v>
      </c>
      <c r="F142" s="20" t="s">
        <v>502</v>
      </c>
      <c r="G142" s="8" t="str">
        <f t="shared" si="2"/>
        <v>LEVIN SCOTT</v>
      </c>
    </row>
    <row r="143" spans="1:7" x14ac:dyDescent="0.25">
      <c r="A143" s="8">
        <v>42849.556064814817</v>
      </c>
      <c r="B143" s="20" t="s">
        <v>426</v>
      </c>
      <c r="C143" s="20" t="s">
        <v>698</v>
      </c>
      <c r="D143" s="141">
        <v>2360000</v>
      </c>
      <c r="E143" s="20" t="s">
        <v>503</v>
      </c>
      <c r="F143" s="20" t="s">
        <v>504</v>
      </c>
      <c r="G143" s="8" t="str">
        <f t="shared" si="2"/>
        <v>BRANDNER MELINDA</v>
      </c>
    </row>
    <row r="144" spans="1:7" x14ac:dyDescent="0.25">
      <c r="A144" s="8">
        <v>42849.557175925926</v>
      </c>
      <c r="B144" s="20" t="s">
        <v>199</v>
      </c>
      <c r="C144" s="20" t="s">
        <v>699</v>
      </c>
      <c r="D144" s="141">
        <v>3090000</v>
      </c>
      <c r="E144" s="20" t="s">
        <v>680</v>
      </c>
      <c r="F144" s="20" t="s">
        <v>681</v>
      </c>
      <c r="G144" s="8" t="str">
        <f t="shared" si="2"/>
        <v>LAMAR NEKESHA</v>
      </c>
    </row>
    <row r="145" spans="1:7" x14ac:dyDescent="0.25">
      <c r="A145" s="8">
        <v>42849.566736111112</v>
      </c>
      <c r="B145" s="20" t="s">
        <v>448</v>
      </c>
      <c r="C145" s="20" t="s">
        <v>562</v>
      </c>
      <c r="D145" s="141">
        <v>3010000</v>
      </c>
      <c r="E145" s="20" t="s">
        <v>692</v>
      </c>
      <c r="F145" s="20" t="s">
        <v>693</v>
      </c>
      <c r="G145" s="8" t="str">
        <f t="shared" si="2"/>
        <v>SULLIVAN BRANDON</v>
      </c>
    </row>
    <row r="146" spans="1:7" x14ac:dyDescent="0.25">
      <c r="A146" s="8">
        <v>42849.567476851851</v>
      </c>
      <c r="B146" s="20" t="s">
        <v>490</v>
      </c>
      <c r="C146" s="20" t="s">
        <v>561</v>
      </c>
      <c r="D146" s="141">
        <v>1300000</v>
      </c>
      <c r="E146" s="20" t="s">
        <v>501</v>
      </c>
      <c r="F146" s="20" t="s">
        <v>502</v>
      </c>
      <c r="G146" s="8" t="str">
        <f t="shared" si="2"/>
        <v>LEVIN SCOTT</v>
      </c>
    </row>
    <row r="147" spans="1:7" x14ac:dyDescent="0.25">
      <c r="A147" s="8">
        <v>42849.567939814813</v>
      </c>
      <c r="B147" s="20" t="s">
        <v>544</v>
      </c>
      <c r="C147" s="20" t="s">
        <v>700</v>
      </c>
      <c r="D147" s="141">
        <v>2530000</v>
      </c>
      <c r="E147" s="20" t="s">
        <v>505</v>
      </c>
      <c r="F147" s="20" t="s">
        <v>506</v>
      </c>
      <c r="G147" s="8" t="str">
        <f t="shared" si="2"/>
        <v>LALONDE GREGORY</v>
      </c>
    </row>
    <row r="148" spans="1:7" x14ac:dyDescent="0.25">
      <c r="A148" s="8">
        <v>42849.571423611109</v>
      </c>
      <c r="B148" s="20" t="s">
        <v>438</v>
      </c>
      <c r="C148" s="20" t="s">
        <v>701</v>
      </c>
      <c r="D148" s="141">
        <v>2450000</v>
      </c>
      <c r="E148" s="20" t="s">
        <v>499</v>
      </c>
      <c r="F148" s="20" t="s">
        <v>500</v>
      </c>
      <c r="G148" s="8" t="str">
        <f t="shared" si="2"/>
        <v>NELSON ARIANE</v>
      </c>
    </row>
    <row r="149" spans="1:7" x14ac:dyDescent="0.25">
      <c r="A149" s="8">
        <v>42849.579664351855</v>
      </c>
      <c r="B149" s="20" t="s">
        <v>383</v>
      </c>
      <c r="C149" s="20" t="s">
        <v>563</v>
      </c>
      <c r="D149" s="141">
        <v>3120000</v>
      </c>
      <c r="E149" s="20" t="s">
        <v>686</v>
      </c>
      <c r="F149" s="20" t="s">
        <v>687</v>
      </c>
      <c r="G149" s="8" t="str">
        <f t="shared" si="2"/>
        <v>THOMPSON LESTER</v>
      </c>
    </row>
    <row r="150" spans="1:7" x14ac:dyDescent="0.25">
      <c r="A150" s="8">
        <v>42849.588599537034</v>
      </c>
      <c r="B150" s="20" t="s">
        <v>353</v>
      </c>
      <c r="C150" s="20" t="s">
        <v>702</v>
      </c>
      <c r="D150" s="141">
        <v>930000</v>
      </c>
      <c r="E150" s="20" t="s">
        <v>676</v>
      </c>
      <c r="F150" s="20" t="s">
        <v>677</v>
      </c>
      <c r="G150" s="8" t="str">
        <f t="shared" si="2"/>
        <v>CLARK KATHLEEN</v>
      </c>
    </row>
    <row r="151" spans="1:7" x14ac:dyDescent="0.25">
      <c r="A151" s="8">
        <v>42849.590196759258</v>
      </c>
      <c r="B151" s="20" t="s">
        <v>425</v>
      </c>
      <c r="C151" s="20" t="s">
        <v>703</v>
      </c>
      <c r="D151" s="141">
        <v>2360000</v>
      </c>
      <c r="E151" s="20" t="s">
        <v>503</v>
      </c>
      <c r="F151" s="20" t="s">
        <v>504</v>
      </c>
      <c r="G151" s="8" t="str">
        <f t="shared" si="2"/>
        <v>BRANDNER MELINDA</v>
      </c>
    </row>
    <row r="152" spans="1:7" x14ac:dyDescent="0.25">
      <c r="A152" s="8">
        <v>42849.591550925928</v>
      </c>
      <c r="B152" s="20" t="s">
        <v>361</v>
      </c>
      <c r="C152" s="20" t="s">
        <v>565</v>
      </c>
      <c r="D152" s="141">
        <v>3090000</v>
      </c>
      <c r="E152" s="20" t="s">
        <v>680</v>
      </c>
      <c r="F152" s="20" t="s">
        <v>681</v>
      </c>
      <c r="G152" s="8" t="str">
        <f t="shared" si="2"/>
        <v>LAMAR NEKESHA</v>
      </c>
    </row>
    <row r="153" spans="1:7" x14ac:dyDescent="0.25">
      <c r="A153" s="8">
        <v>42849.596354166664</v>
      </c>
      <c r="B153" s="20" t="s">
        <v>492</v>
      </c>
      <c r="C153" s="20" t="s">
        <v>704</v>
      </c>
      <c r="D153" s="141">
        <v>1300000</v>
      </c>
      <c r="E153" s="20" t="s">
        <v>501</v>
      </c>
      <c r="F153" s="20" t="s">
        <v>502</v>
      </c>
      <c r="G153" s="8" t="str">
        <f t="shared" si="2"/>
        <v>LEVIN SCOTT</v>
      </c>
    </row>
    <row r="154" spans="1:7" x14ac:dyDescent="0.25">
      <c r="A154" s="8">
        <v>42849.603171296294</v>
      </c>
      <c r="B154" s="20" t="s">
        <v>449</v>
      </c>
      <c r="C154" s="20" t="s">
        <v>705</v>
      </c>
      <c r="D154" s="141">
        <v>3010000</v>
      </c>
      <c r="E154" s="20" t="s">
        <v>692</v>
      </c>
      <c r="F154" s="20" t="s">
        <v>693</v>
      </c>
      <c r="G154" s="8" t="str">
        <f t="shared" si="2"/>
        <v>SULLIVAN BRANDON</v>
      </c>
    </row>
    <row r="155" spans="1:7" x14ac:dyDescent="0.25">
      <c r="A155" s="8">
        <v>42849.608854166669</v>
      </c>
      <c r="B155" s="20" t="s">
        <v>490</v>
      </c>
      <c r="C155" s="20" t="s">
        <v>706</v>
      </c>
      <c r="D155" s="141">
        <v>1300000</v>
      </c>
      <c r="E155" s="20" t="s">
        <v>501</v>
      </c>
      <c r="F155" s="20" t="s">
        <v>502</v>
      </c>
      <c r="G155" s="8" t="str">
        <f t="shared" si="2"/>
        <v>LEVIN SCOTT</v>
      </c>
    </row>
    <row r="156" spans="1:7" x14ac:dyDescent="0.25">
      <c r="A156" s="8">
        <v>42849.609965277778</v>
      </c>
      <c r="B156" s="20" t="s">
        <v>437</v>
      </c>
      <c r="C156" s="20" t="s">
        <v>564</v>
      </c>
      <c r="D156" s="141">
        <v>2450000</v>
      </c>
      <c r="E156" s="20" t="s">
        <v>499</v>
      </c>
      <c r="F156" s="20" t="s">
        <v>500</v>
      </c>
      <c r="G156" s="8" t="str">
        <f t="shared" si="2"/>
        <v>NELSON ARIANE</v>
      </c>
    </row>
    <row r="157" spans="1:7" x14ac:dyDescent="0.25">
      <c r="A157" s="8">
        <v>42849.613900462966</v>
      </c>
      <c r="B157" s="20" t="s">
        <v>360</v>
      </c>
      <c r="C157" s="20" t="s">
        <v>707</v>
      </c>
      <c r="D157" s="141">
        <v>920000</v>
      </c>
      <c r="E157" s="20" t="s">
        <v>495</v>
      </c>
      <c r="F157" s="20" t="s">
        <v>196</v>
      </c>
      <c r="G157" s="8" t="str">
        <f t="shared" si="2"/>
        <v>DAVIS MICHAEL</v>
      </c>
    </row>
    <row r="158" spans="1:7" x14ac:dyDescent="0.25">
      <c r="A158" s="8">
        <v>42849.620162037034</v>
      </c>
      <c r="B158" s="20" t="s">
        <v>387</v>
      </c>
      <c r="C158" s="20" t="s">
        <v>708</v>
      </c>
      <c r="D158" s="141">
        <v>3120000</v>
      </c>
      <c r="E158" s="20" t="s">
        <v>686</v>
      </c>
      <c r="F158" s="20" t="s">
        <v>687</v>
      </c>
      <c r="G158" s="8" t="str">
        <f t="shared" si="2"/>
        <v>THOMPSON LESTER</v>
      </c>
    </row>
    <row r="159" spans="1:7" x14ac:dyDescent="0.25">
      <c r="A159" s="8">
        <v>42849.621666666666</v>
      </c>
      <c r="B159" s="20" t="s">
        <v>352</v>
      </c>
      <c r="C159" s="20" t="s">
        <v>566</v>
      </c>
      <c r="D159" s="141">
        <v>930000</v>
      </c>
      <c r="E159" s="20" t="s">
        <v>676</v>
      </c>
      <c r="F159" s="20" t="s">
        <v>677</v>
      </c>
      <c r="G159" s="8" t="str">
        <f t="shared" si="2"/>
        <v>CLARK KATHLEEN</v>
      </c>
    </row>
    <row r="160" spans="1:7" x14ac:dyDescent="0.25">
      <c r="A160" s="8">
        <v>42849.630648148152</v>
      </c>
      <c r="B160" s="20" t="s">
        <v>426</v>
      </c>
      <c r="C160" s="20" t="s">
        <v>709</v>
      </c>
      <c r="D160" s="141">
        <v>2360000</v>
      </c>
      <c r="E160" s="20" t="s">
        <v>503</v>
      </c>
      <c r="F160" s="20" t="s">
        <v>504</v>
      </c>
      <c r="G160" s="8" t="str">
        <f t="shared" si="2"/>
        <v>BRANDNER MELINDA</v>
      </c>
    </row>
    <row r="161" spans="1:7" x14ac:dyDescent="0.25">
      <c r="A161" s="8">
        <v>42849.633171296293</v>
      </c>
      <c r="B161" s="20" t="s">
        <v>199</v>
      </c>
      <c r="C161" s="20" t="s">
        <v>710</v>
      </c>
      <c r="D161" s="141">
        <v>3090000</v>
      </c>
      <c r="E161" s="20" t="s">
        <v>680</v>
      </c>
      <c r="F161" s="20" t="s">
        <v>681</v>
      </c>
      <c r="G161" s="8" t="str">
        <f t="shared" si="2"/>
        <v>LAMAR NEKESHA</v>
      </c>
    </row>
    <row r="162" spans="1:7" x14ac:dyDescent="0.25">
      <c r="A162" s="8">
        <v>42849.634143518517</v>
      </c>
      <c r="B162" s="20" t="s">
        <v>550</v>
      </c>
      <c r="C162" s="20" t="s">
        <v>711</v>
      </c>
      <c r="D162" s="141">
        <v>1810000</v>
      </c>
      <c r="E162" s="20" t="s">
        <v>372</v>
      </c>
      <c r="F162" s="20" t="s">
        <v>193</v>
      </c>
      <c r="G162" s="8" t="str">
        <f t="shared" si="2"/>
        <v>NEWELL JAMES</v>
      </c>
    </row>
    <row r="163" spans="1:7" x14ac:dyDescent="0.25">
      <c r="A163" s="8">
        <v>42849.635613425926</v>
      </c>
      <c r="B163" s="20" t="s">
        <v>550</v>
      </c>
      <c r="C163" s="20" t="s">
        <v>711</v>
      </c>
      <c r="D163" s="141">
        <v>1810000</v>
      </c>
      <c r="E163" s="20" t="s">
        <v>372</v>
      </c>
      <c r="F163" s="20" t="s">
        <v>193</v>
      </c>
      <c r="G163" s="8" t="str">
        <f t="shared" si="2"/>
        <v>NEWELL JAMES</v>
      </c>
    </row>
    <row r="164" spans="1:7" x14ac:dyDescent="0.25">
      <c r="A164" s="8">
        <v>42849.637997685182</v>
      </c>
      <c r="B164" s="20" t="s">
        <v>492</v>
      </c>
      <c r="C164" s="20" t="s">
        <v>712</v>
      </c>
      <c r="D164" s="141">
        <v>1300000</v>
      </c>
      <c r="E164" s="20" t="s">
        <v>501</v>
      </c>
      <c r="F164" s="20" t="s">
        <v>502</v>
      </c>
      <c r="G164" s="8" t="str">
        <f t="shared" si="2"/>
        <v>LEVIN SCOTT</v>
      </c>
    </row>
    <row r="165" spans="1:7" x14ac:dyDescent="0.25">
      <c r="A165" s="8">
        <v>42849.638761574075</v>
      </c>
      <c r="B165" s="20" t="s">
        <v>448</v>
      </c>
      <c r="C165" s="20" t="s">
        <v>713</v>
      </c>
      <c r="D165" s="141">
        <v>3010000</v>
      </c>
      <c r="E165" s="20" t="s">
        <v>692</v>
      </c>
      <c r="F165" s="20" t="s">
        <v>693</v>
      </c>
      <c r="G165" s="8" t="str">
        <f t="shared" si="2"/>
        <v>SULLIVAN BRANDON</v>
      </c>
    </row>
    <row r="166" spans="1:7" x14ac:dyDescent="0.25">
      <c r="A166" s="8">
        <v>42849.643738425926</v>
      </c>
      <c r="B166" s="20" t="s">
        <v>438</v>
      </c>
      <c r="C166" s="20" t="s">
        <v>714</v>
      </c>
      <c r="D166" s="141">
        <v>2450000</v>
      </c>
      <c r="E166" s="20" t="s">
        <v>499</v>
      </c>
      <c r="F166" s="20" t="s">
        <v>500</v>
      </c>
      <c r="G166" s="8" t="str">
        <f t="shared" si="2"/>
        <v>NELSON ARIANE</v>
      </c>
    </row>
    <row r="167" spans="1:7" x14ac:dyDescent="0.25">
      <c r="A167" s="8">
        <v>42849.650706018518</v>
      </c>
      <c r="B167" s="20" t="s">
        <v>490</v>
      </c>
      <c r="C167" s="20" t="s">
        <v>567</v>
      </c>
      <c r="D167" s="141">
        <v>1300000</v>
      </c>
      <c r="E167" s="20" t="s">
        <v>501</v>
      </c>
      <c r="F167" s="20" t="s">
        <v>502</v>
      </c>
      <c r="G167" s="8" t="str">
        <f t="shared" si="2"/>
        <v>LEVIN SCOTT</v>
      </c>
    </row>
    <row r="168" spans="1:7" x14ac:dyDescent="0.25">
      <c r="A168" s="8">
        <v>42849.652199074073</v>
      </c>
      <c r="B168" s="20" t="s">
        <v>544</v>
      </c>
      <c r="C168" s="20" t="s">
        <v>715</v>
      </c>
      <c r="D168" s="141">
        <v>920000</v>
      </c>
      <c r="E168" s="20" t="s">
        <v>495</v>
      </c>
      <c r="F168" s="20" t="s">
        <v>196</v>
      </c>
      <c r="G168" s="8" t="str">
        <f t="shared" si="2"/>
        <v>DAVIS MICHAEL</v>
      </c>
    </row>
    <row r="169" spans="1:7" x14ac:dyDescent="0.25">
      <c r="A169" s="8">
        <v>42849.653333333335</v>
      </c>
      <c r="B169" s="20" t="s">
        <v>383</v>
      </c>
      <c r="C169" s="20" t="s">
        <v>569</v>
      </c>
      <c r="D169" s="141">
        <v>3120000</v>
      </c>
      <c r="E169" s="20" t="s">
        <v>686</v>
      </c>
      <c r="F169" s="20" t="s">
        <v>687</v>
      </c>
      <c r="G169" s="8" t="str">
        <f t="shared" si="2"/>
        <v>THOMPSON LESTER</v>
      </c>
    </row>
    <row r="170" spans="1:7" x14ac:dyDescent="0.25">
      <c r="A170" s="8">
        <v>42849.656666666669</v>
      </c>
      <c r="B170" s="20" t="s">
        <v>414</v>
      </c>
      <c r="C170" s="20" t="s">
        <v>716</v>
      </c>
      <c r="D170" s="141">
        <v>1810000</v>
      </c>
      <c r="E170" s="20" t="s">
        <v>372</v>
      </c>
      <c r="F170" s="20" t="s">
        <v>193</v>
      </c>
      <c r="G170" s="8" t="str">
        <f t="shared" si="2"/>
        <v>NEWELL JAMES</v>
      </c>
    </row>
    <row r="171" spans="1:7" x14ac:dyDescent="0.25">
      <c r="A171" s="8">
        <v>42849.66097222222</v>
      </c>
      <c r="B171" s="20" t="s">
        <v>353</v>
      </c>
      <c r="C171" s="20" t="s">
        <v>717</v>
      </c>
      <c r="D171" s="141">
        <v>930000</v>
      </c>
      <c r="E171" s="20" t="s">
        <v>676</v>
      </c>
      <c r="F171" s="20" t="s">
        <v>677</v>
      </c>
      <c r="G171" s="8" t="str">
        <f t="shared" si="2"/>
        <v>CLARK KATHLEEN</v>
      </c>
    </row>
    <row r="172" spans="1:7" x14ac:dyDescent="0.25">
      <c r="A172" s="8">
        <v>42849.662303240744</v>
      </c>
      <c r="B172" s="20" t="s">
        <v>361</v>
      </c>
      <c r="C172" s="20" t="s">
        <v>570</v>
      </c>
      <c r="D172" s="141">
        <v>3090000</v>
      </c>
      <c r="E172" s="20" t="s">
        <v>680</v>
      </c>
      <c r="F172" s="20" t="s">
        <v>681</v>
      </c>
      <c r="G172" s="8" t="str">
        <f t="shared" si="2"/>
        <v>LAMAR NEKESHA</v>
      </c>
    </row>
    <row r="173" spans="1:7" x14ac:dyDescent="0.25">
      <c r="A173" s="8">
        <v>42849.66333333333</v>
      </c>
      <c r="B173" s="20" t="s">
        <v>425</v>
      </c>
      <c r="C173" s="20" t="s">
        <v>568</v>
      </c>
      <c r="D173" s="141">
        <v>2360000</v>
      </c>
      <c r="E173" s="20" t="s">
        <v>503</v>
      </c>
      <c r="F173" s="20" t="s">
        <v>504</v>
      </c>
      <c r="G173" s="8" t="str">
        <f t="shared" si="2"/>
        <v>BRANDNER MELINDA</v>
      </c>
    </row>
    <row r="174" spans="1:7" x14ac:dyDescent="0.25">
      <c r="A174" s="8">
        <v>42849.670497685183</v>
      </c>
      <c r="B174" s="20" t="s">
        <v>550</v>
      </c>
      <c r="C174" s="20" t="s">
        <v>718</v>
      </c>
      <c r="D174" s="141">
        <v>1810000</v>
      </c>
      <c r="E174" s="20" t="s">
        <v>372</v>
      </c>
      <c r="F174" s="20" t="s">
        <v>193</v>
      </c>
      <c r="G174" s="8" t="str">
        <f t="shared" si="2"/>
        <v>NEWELL JAMES</v>
      </c>
    </row>
    <row r="175" spans="1:7" x14ac:dyDescent="0.25">
      <c r="A175" s="8">
        <v>42849.671157407407</v>
      </c>
      <c r="B175" s="20" t="s">
        <v>425</v>
      </c>
      <c r="C175" s="20" t="s">
        <v>568</v>
      </c>
      <c r="D175" s="141">
        <v>2360000</v>
      </c>
      <c r="E175" s="20" t="s">
        <v>503</v>
      </c>
      <c r="F175" s="20" t="s">
        <v>504</v>
      </c>
      <c r="G175" s="8" t="str">
        <f t="shared" si="2"/>
        <v>BRANDNER MELINDA</v>
      </c>
    </row>
    <row r="176" spans="1:7" x14ac:dyDescent="0.25">
      <c r="A176" s="8">
        <v>42849.674131944441</v>
      </c>
      <c r="B176" s="20" t="s">
        <v>449</v>
      </c>
      <c r="C176" s="20" t="s">
        <v>719</v>
      </c>
      <c r="D176" s="141">
        <v>3010000</v>
      </c>
      <c r="E176" s="20" t="s">
        <v>692</v>
      </c>
      <c r="F176" s="20" t="s">
        <v>693</v>
      </c>
      <c r="G176" s="8" t="str">
        <f t="shared" si="2"/>
        <v>SULLIVAN BRANDON</v>
      </c>
    </row>
    <row r="177" spans="1:7" x14ac:dyDescent="0.25">
      <c r="A177" s="8">
        <v>42849.679664351854</v>
      </c>
      <c r="B177" s="20" t="s">
        <v>492</v>
      </c>
      <c r="C177" s="20" t="s">
        <v>720</v>
      </c>
      <c r="D177" s="141">
        <v>1300000</v>
      </c>
      <c r="E177" s="20" t="s">
        <v>501</v>
      </c>
      <c r="F177" s="20" t="s">
        <v>502</v>
      </c>
      <c r="G177" s="8" t="str">
        <f t="shared" si="2"/>
        <v>LEVIN SCOTT</v>
      </c>
    </row>
    <row r="178" spans="1:7" x14ac:dyDescent="0.25">
      <c r="A178" s="8">
        <v>42849.682476851849</v>
      </c>
      <c r="B178" s="20" t="s">
        <v>437</v>
      </c>
      <c r="C178" s="20" t="s">
        <v>721</v>
      </c>
      <c r="D178" s="141">
        <v>2450000</v>
      </c>
      <c r="E178" s="20" t="s">
        <v>499</v>
      </c>
      <c r="F178" s="20" t="s">
        <v>500</v>
      </c>
      <c r="G178" s="8" t="str">
        <f t="shared" si="2"/>
        <v>NELSON ARIANE</v>
      </c>
    </row>
    <row r="179" spans="1:7" x14ac:dyDescent="0.25">
      <c r="A179" s="8">
        <v>42849.683356481481</v>
      </c>
      <c r="B179" s="20" t="s">
        <v>387</v>
      </c>
      <c r="C179" s="20" t="s">
        <v>572</v>
      </c>
      <c r="D179" s="141">
        <v>3120000</v>
      </c>
      <c r="E179" s="20" t="s">
        <v>686</v>
      </c>
      <c r="F179" s="20" t="s">
        <v>687</v>
      </c>
      <c r="G179" s="8" t="str">
        <f t="shared" si="2"/>
        <v>THOMPSON LESTER</v>
      </c>
    </row>
    <row r="180" spans="1:7" x14ac:dyDescent="0.25">
      <c r="A180" s="8">
        <v>42849.685231481482</v>
      </c>
      <c r="B180" s="20" t="s">
        <v>360</v>
      </c>
      <c r="C180" s="20" t="s">
        <v>722</v>
      </c>
      <c r="D180" s="141">
        <v>920000</v>
      </c>
      <c r="E180" s="20" t="s">
        <v>495</v>
      </c>
      <c r="F180" s="20" t="s">
        <v>196</v>
      </c>
      <c r="G180" s="8" t="str">
        <f t="shared" si="2"/>
        <v>DAVIS MICHAEL</v>
      </c>
    </row>
    <row r="181" spans="1:7" x14ac:dyDescent="0.25">
      <c r="A181" s="8">
        <v>42849.685937499999</v>
      </c>
      <c r="B181" s="20" t="s">
        <v>414</v>
      </c>
      <c r="C181" s="20" t="s">
        <v>723</v>
      </c>
      <c r="D181" s="141">
        <v>1810000</v>
      </c>
      <c r="E181" s="20" t="s">
        <v>372</v>
      </c>
      <c r="F181" s="20" t="s">
        <v>193</v>
      </c>
      <c r="G181" s="8" t="str">
        <f t="shared" si="2"/>
        <v>NEWELL JAMES</v>
      </c>
    </row>
    <row r="182" spans="1:7" x14ac:dyDescent="0.25">
      <c r="A182" s="8">
        <v>42849.69222222222</v>
      </c>
      <c r="B182" s="20" t="s">
        <v>490</v>
      </c>
      <c r="C182" s="20" t="s">
        <v>571</v>
      </c>
      <c r="D182" s="141">
        <v>1300000</v>
      </c>
      <c r="E182" s="20" t="s">
        <v>501</v>
      </c>
      <c r="F182" s="20" t="s">
        <v>502</v>
      </c>
      <c r="G182" s="8" t="str">
        <f t="shared" si="2"/>
        <v>LEVIN SCOTT</v>
      </c>
    </row>
    <row r="183" spans="1:7" x14ac:dyDescent="0.25">
      <c r="A183" s="8">
        <v>42849.696180555555</v>
      </c>
      <c r="B183" s="20" t="s">
        <v>352</v>
      </c>
      <c r="C183" s="20" t="s">
        <v>724</v>
      </c>
      <c r="D183" s="141">
        <v>930000</v>
      </c>
      <c r="E183" s="20" t="s">
        <v>676</v>
      </c>
      <c r="F183" s="20" t="s">
        <v>677</v>
      </c>
      <c r="G183" s="8" t="str">
        <f t="shared" si="2"/>
        <v>CLARK KATHLEEN</v>
      </c>
    </row>
    <row r="184" spans="1:7" x14ac:dyDescent="0.25">
      <c r="A184" s="8">
        <v>42849.702361111114</v>
      </c>
      <c r="B184" s="20" t="s">
        <v>426</v>
      </c>
      <c r="C184" s="20" t="s">
        <v>575</v>
      </c>
      <c r="D184" s="141">
        <v>2360000</v>
      </c>
      <c r="E184" s="20" t="s">
        <v>503</v>
      </c>
      <c r="F184" s="20" t="s">
        <v>504</v>
      </c>
      <c r="G184" s="8" t="str">
        <f t="shared" si="2"/>
        <v>BRANDNER MELINDA</v>
      </c>
    </row>
    <row r="185" spans="1:7" x14ac:dyDescent="0.25">
      <c r="A185" s="8">
        <v>42849.70579861111</v>
      </c>
      <c r="B185" s="20" t="s">
        <v>199</v>
      </c>
      <c r="C185" s="20" t="s">
        <v>725</v>
      </c>
      <c r="D185" s="141">
        <v>3090000</v>
      </c>
      <c r="E185" s="20" t="s">
        <v>680</v>
      </c>
      <c r="F185" s="20" t="s">
        <v>681</v>
      </c>
      <c r="G185" s="8" t="str">
        <f t="shared" si="2"/>
        <v>LAMAR NEKESHA</v>
      </c>
    </row>
    <row r="186" spans="1:7" x14ac:dyDescent="0.25">
      <c r="A186" s="8">
        <v>42849.712199074071</v>
      </c>
      <c r="B186" s="20" t="s">
        <v>550</v>
      </c>
      <c r="C186" s="20" t="s">
        <v>574</v>
      </c>
      <c r="D186" s="141">
        <v>1810000</v>
      </c>
      <c r="E186" s="20" t="s">
        <v>372</v>
      </c>
      <c r="F186" s="20" t="s">
        <v>193</v>
      </c>
      <c r="G186" s="8" t="str">
        <f t="shared" si="2"/>
        <v>NEWELL JAMES</v>
      </c>
    </row>
    <row r="187" spans="1:7" x14ac:dyDescent="0.25">
      <c r="A187" s="8">
        <v>42849.713171296295</v>
      </c>
      <c r="B187" s="20" t="s">
        <v>448</v>
      </c>
      <c r="C187" s="20" t="s">
        <v>726</v>
      </c>
      <c r="D187" s="141">
        <v>3010000</v>
      </c>
      <c r="E187" s="20" t="s">
        <v>692</v>
      </c>
      <c r="F187" s="20" t="s">
        <v>693</v>
      </c>
      <c r="G187" s="8" t="str">
        <f t="shared" si="2"/>
        <v>SULLIVAN BRANDON</v>
      </c>
    </row>
    <row r="188" spans="1:7" x14ac:dyDescent="0.25">
      <c r="A188" s="8">
        <v>42849.718321759261</v>
      </c>
      <c r="B188" s="20" t="s">
        <v>438</v>
      </c>
      <c r="C188" s="20" t="s">
        <v>573</v>
      </c>
      <c r="D188" s="141">
        <v>2620000</v>
      </c>
      <c r="E188" s="20" t="s">
        <v>727</v>
      </c>
      <c r="F188" s="20" t="s">
        <v>728</v>
      </c>
      <c r="G188" s="8" t="str">
        <f t="shared" si="2"/>
        <v>PERKINS DARREN</v>
      </c>
    </row>
    <row r="189" spans="1:7" x14ac:dyDescent="0.25">
      <c r="A189" s="8">
        <v>42849.721342592595</v>
      </c>
      <c r="B189" s="20" t="s">
        <v>492</v>
      </c>
      <c r="C189" s="20" t="s">
        <v>729</v>
      </c>
      <c r="D189" s="141">
        <v>1300000</v>
      </c>
      <c r="E189" s="20" t="s">
        <v>501</v>
      </c>
      <c r="F189" s="20" t="s">
        <v>502</v>
      </c>
      <c r="G189" s="8" t="str">
        <f t="shared" si="2"/>
        <v>LEVIN SCOTT</v>
      </c>
    </row>
    <row r="190" spans="1:7" x14ac:dyDescent="0.25">
      <c r="A190" s="8">
        <v>42849.723124999997</v>
      </c>
      <c r="B190" s="20" t="s">
        <v>461</v>
      </c>
      <c r="C190" s="20" t="s">
        <v>730</v>
      </c>
      <c r="D190" s="141">
        <v>2530000</v>
      </c>
      <c r="E190" s="20" t="s">
        <v>505</v>
      </c>
      <c r="F190" s="20" t="s">
        <v>506</v>
      </c>
      <c r="G190" s="8" t="str">
        <f t="shared" si="2"/>
        <v>LALONDE GREGORY</v>
      </c>
    </row>
    <row r="191" spans="1:7" x14ac:dyDescent="0.25">
      <c r="A191" s="8">
        <v>42849.72378472222</v>
      </c>
      <c r="B191" s="20" t="s">
        <v>461</v>
      </c>
      <c r="C191" s="20" t="s">
        <v>730</v>
      </c>
      <c r="D191" s="141">
        <v>2530000</v>
      </c>
      <c r="E191" s="20" t="s">
        <v>505</v>
      </c>
      <c r="F191" s="20" t="s">
        <v>506</v>
      </c>
      <c r="G191" s="8" t="str">
        <f t="shared" si="2"/>
        <v>LALONDE GREGORY</v>
      </c>
    </row>
    <row r="192" spans="1:7" x14ac:dyDescent="0.25">
      <c r="A192" s="8">
        <v>42849.724178240744</v>
      </c>
      <c r="B192" s="20" t="s">
        <v>544</v>
      </c>
      <c r="C192" s="20" t="s">
        <v>731</v>
      </c>
      <c r="D192" s="141">
        <v>920000</v>
      </c>
      <c r="E192" s="20" t="s">
        <v>495</v>
      </c>
      <c r="F192" s="20" t="s">
        <v>196</v>
      </c>
      <c r="G192" s="8" t="str">
        <f t="shared" si="2"/>
        <v>DAVIS MICHAEL</v>
      </c>
    </row>
    <row r="193" spans="1:7" x14ac:dyDescent="0.25">
      <c r="A193" s="8">
        <v>42849.724976851852</v>
      </c>
      <c r="B193" s="20" t="s">
        <v>461</v>
      </c>
      <c r="C193" s="20" t="s">
        <v>730</v>
      </c>
      <c r="D193" s="141">
        <v>2530000</v>
      </c>
      <c r="E193" s="20" t="s">
        <v>505</v>
      </c>
      <c r="F193" s="20" t="s">
        <v>506</v>
      </c>
      <c r="G193" s="8" t="str">
        <f t="shared" si="2"/>
        <v>LALONDE GREGORY</v>
      </c>
    </row>
    <row r="194" spans="1:7" x14ac:dyDescent="0.25">
      <c r="A194" s="8">
        <v>42849.726631944446</v>
      </c>
      <c r="B194" s="20" t="s">
        <v>383</v>
      </c>
      <c r="C194" s="20" t="s">
        <v>732</v>
      </c>
      <c r="D194" s="141">
        <v>2450000</v>
      </c>
      <c r="E194" s="20" t="s">
        <v>499</v>
      </c>
      <c r="F194" s="20" t="s">
        <v>500</v>
      </c>
      <c r="G194" s="8" t="str">
        <f t="shared" si="2"/>
        <v>NELSON ARIANE</v>
      </c>
    </row>
    <row r="195" spans="1:7" x14ac:dyDescent="0.25">
      <c r="A195" s="8">
        <v>42849.727638888886</v>
      </c>
      <c r="B195" s="20" t="s">
        <v>414</v>
      </c>
      <c r="C195" s="20" t="s">
        <v>733</v>
      </c>
      <c r="D195" s="141">
        <v>1810000</v>
      </c>
      <c r="E195" s="20" t="s">
        <v>372</v>
      </c>
      <c r="F195" s="20" t="s">
        <v>193</v>
      </c>
      <c r="G195" s="8" t="str">
        <f t="shared" ref="G195:G258" si="3">E195&amp;" "&amp;F195</f>
        <v>NEWELL JAMES</v>
      </c>
    </row>
    <row r="196" spans="1:7" x14ac:dyDescent="0.25">
      <c r="A196" s="8">
        <v>42849.733738425923</v>
      </c>
      <c r="B196" s="20" t="s">
        <v>353</v>
      </c>
      <c r="C196" s="20" t="s">
        <v>734</v>
      </c>
      <c r="D196" s="141">
        <v>930000</v>
      </c>
      <c r="E196" s="20" t="s">
        <v>676</v>
      </c>
      <c r="F196" s="20" t="s">
        <v>677</v>
      </c>
      <c r="G196" s="8" t="str">
        <f t="shared" si="3"/>
        <v>CLARK KATHLEEN</v>
      </c>
    </row>
    <row r="197" spans="1:7" x14ac:dyDescent="0.25">
      <c r="A197" s="8">
        <v>42849.734143518515</v>
      </c>
      <c r="B197" s="20" t="s">
        <v>490</v>
      </c>
      <c r="C197" s="20" t="s">
        <v>735</v>
      </c>
      <c r="D197" s="141">
        <v>1300000</v>
      </c>
      <c r="E197" s="20" t="s">
        <v>501</v>
      </c>
      <c r="F197" s="20" t="s">
        <v>502</v>
      </c>
      <c r="G197" s="8" t="str">
        <f t="shared" si="3"/>
        <v>LEVIN SCOTT</v>
      </c>
    </row>
    <row r="198" spans="1:7" x14ac:dyDescent="0.25">
      <c r="A198" s="8">
        <v>42849.73709490741</v>
      </c>
      <c r="B198" s="20" t="s">
        <v>355</v>
      </c>
      <c r="C198" s="20" t="s">
        <v>736</v>
      </c>
      <c r="D198" s="141">
        <v>2680000</v>
      </c>
      <c r="E198" s="20" t="s">
        <v>391</v>
      </c>
      <c r="F198" s="20" t="s">
        <v>392</v>
      </c>
      <c r="G198" s="8" t="str">
        <f t="shared" si="3"/>
        <v>DUNCAN SHEILA</v>
      </c>
    </row>
    <row r="199" spans="1:7" x14ac:dyDescent="0.25">
      <c r="A199" s="8">
        <v>42849.737997685188</v>
      </c>
      <c r="B199" s="20" t="s">
        <v>425</v>
      </c>
      <c r="C199" s="20" t="s">
        <v>737</v>
      </c>
      <c r="D199" s="141">
        <v>2230000</v>
      </c>
      <c r="E199" s="20" t="s">
        <v>359</v>
      </c>
      <c r="F199" s="20" t="s">
        <v>196</v>
      </c>
      <c r="G199" s="8" t="str">
        <f t="shared" si="3"/>
        <v>SMITH MICHAEL</v>
      </c>
    </row>
    <row r="200" spans="1:7" x14ac:dyDescent="0.25">
      <c r="A200" s="8">
        <v>42849.742060185185</v>
      </c>
      <c r="B200" s="20" t="s">
        <v>361</v>
      </c>
      <c r="C200" s="20" t="s">
        <v>738</v>
      </c>
      <c r="D200" s="141">
        <v>3090000</v>
      </c>
      <c r="E200" s="20" t="s">
        <v>680</v>
      </c>
      <c r="F200" s="20" t="s">
        <v>681</v>
      </c>
      <c r="G200" s="8" t="str">
        <f t="shared" si="3"/>
        <v>LAMAR NEKESHA</v>
      </c>
    </row>
    <row r="201" spans="1:7" x14ac:dyDescent="0.25">
      <c r="A201" s="8">
        <v>42849.746863425928</v>
      </c>
      <c r="B201" s="20" t="s">
        <v>449</v>
      </c>
      <c r="C201" s="20" t="s">
        <v>577</v>
      </c>
      <c r="D201" s="141">
        <v>2360000</v>
      </c>
      <c r="E201" s="20" t="s">
        <v>503</v>
      </c>
      <c r="F201" s="20" t="s">
        <v>504</v>
      </c>
      <c r="G201" s="8" t="str">
        <f t="shared" si="3"/>
        <v>BRANDNER MELINDA</v>
      </c>
    </row>
    <row r="202" spans="1:7" x14ac:dyDescent="0.25">
      <c r="A202" s="26">
        <v>42849.748055555552</v>
      </c>
      <c r="B202" s="20" t="s">
        <v>437</v>
      </c>
      <c r="C202" s="20" t="s">
        <v>576</v>
      </c>
      <c r="D202" s="141">
        <v>2620000</v>
      </c>
      <c r="E202" s="20" t="s">
        <v>727</v>
      </c>
      <c r="F202" s="20" t="s">
        <v>728</v>
      </c>
      <c r="G202" s="8" t="str">
        <f t="shared" si="3"/>
        <v>PERKINS DARREN</v>
      </c>
    </row>
    <row r="203" spans="1:7" x14ac:dyDescent="0.25">
      <c r="A203" s="8">
        <v>42849.754062499997</v>
      </c>
      <c r="B203" s="20" t="s">
        <v>550</v>
      </c>
      <c r="C203" s="20" t="s">
        <v>739</v>
      </c>
      <c r="D203" s="141">
        <v>1810000</v>
      </c>
      <c r="E203" s="20" t="s">
        <v>372</v>
      </c>
      <c r="F203" s="20" t="s">
        <v>193</v>
      </c>
      <c r="G203" s="8" t="str">
        <f t="shared" si="3"/>
        <v>NEWELL JAMES</v>
      </c>
    </row>
    <row r="204" spans="1:7" x14ac:dyDescent="0.25">
      <c r="A204" s="8">
        <v>42849.759328703702</v>
      </c>
      <c r="B204" s="20" t="s">
        <v>360</v>
      </c>
      <c r="C204" s="20" t="s">
        <v>578</v>
      </c>
      <c r="D204" s="141">
        <v>2000000</v>
      </c>
      <c r="E204" s="20" t="s">
        <v>354</v>
      </c>
      <c r="F204" s="20" t="s">
        <v>193</v>
      </c>
      <c r="G204" s="8" t="str">
        <f t="shared" si="3"/>
        <v>STAMBAUGH JAMES</v>
      </c>
    </row>
    <row r="205" spans="1:7" x14ac:dyDescent="0.25">
      <c r="A205" s="8">
        <v>42849.761990740742</v>
      </c>
      <c r="B205" s="20" t="s">
        <v>492</v>
      </c>
      <c r="C205" s="20" t="s">
        <v>740</v>
      </c>
      <c r="D205" s="141">
        <v>1300000</v>
      </c>
      <c r="E205" s="20" t="s">
        <v>501</v>
      </c>
      <c r="F205" s="20" t="s">
        <v>502</v>
      </c>
      <c r="G205" s="8" t="str">
        <f t="shared" si="3"/>
        <v>LEVIN SCOTT</v>
      </c>
    </row>
    <row r="206" spans="1:7" x14ac:dyDescent="0.25">
      <c r="A206" s="8">
        <v>42849.765763888892</v>
      </c>
      <c r="B206" s="20" t="s">
        <v>387</v>
      </c>
      <c r="C206" s="20" t="s">
        <v>741</v>
      </c>
      <c r="D206" s="141">
        <v>2450000</v>
      </c>
      <c r="E206" s="20" t="s">
        <v>499</v>
      </c>
      <c r="F206" s="20" t="s">
        <v>500</v>
      </c>
      <c r="G206" s="8" t="str">
        <f t="shared" si="3"/>
        <v>NELSON ARIANE</v>
      </c>
    </row>
    <row r="207" spans="1:7" x14ac:dyDescent="0.25">
      <c r="A207" s="8">
        <v>42849.769259259258</v>
      </c>
      <c r="B207" s="20" t="s">
        <v>352</v>
      </c>
      <c r="C207" s="20" t="s">
        <v>742</v>
      </c>
      <c r="D207" s="141">
        <v>1740000</v>
      </c>
      <c r="E207" s="20" t="s">
        <v>373</v>
      </c>
      <c r="F207" s="20" t="s">
        <v>374</v>
      </c>
      <c r="G207" s="8" t="str">
        <f t="shared" si="3"/>
        <v>STORY SAMANTHA</v>
      </c>
    </row>
    <row r="208" spans="1:7" x14ac:dyDescent="0.25">
      <c r="A208" s="8">
        <v>42849.769363425927</v>
      </c>
      <c r="B208" s="20" t="s">
        <v>414</v>
      </c>
      <c r="C208" s="20" t="s">
        <v>743</v>
      </c>
      <c r="D208" s="141">
        <v>1810000</v>
      </c>
      <c r="E208" s="20" t="s">
        <v>372</v>
      </c>
      <c r="F208" s="20" t="s">
        <v>193</v>
      </c>
      <c r="G208" s="8" t="str">
        <f t="shared" si="3"/>
        <v>NEWELL JAMES</v>
      </c>
    </row>
    <row r="209" spans="1:7" x14ac:dyDescent="0.25">
      <c r="A209" s="8">
        <v>42849.773935185185</v>
      </c>
      <c r="B209" s="20" t="s">
        <v>426</v>
      </c>
      <c r="C209" s="20" t="s">
        <v>744</v>
      </c>
      <c r="D209" s="141">
        <v>2230000</v>
      </c>
      <c r="E209" s="20" t="s">
        <v>359</v>
      </c>
      <c r="F209" s="20" t="s">
        <v>196</v>
      </c>
      <c r="G209" s="8" t="str">
        <f t="shared" si="3"/>
        <v>SMITH MICHAEL</v>
      </c>
    </row>
    <row r="210" spans="1:7" x14ac:dyDescent="0.25">
      <c r="A210" s="8">
        <v>42849.775694444441</v>
      </c>
      <c r="B210" s="20" t="s">
        <v>490</v>
      </c>
      <c r="C210" s="20" t="s">
        <v>745</v>
      </c>
      <c r="D210" s="141">
        <v>1300000</v>
      </c>
      <c r="E210" s="20" t="s">
        <v>501</v>
      </c>
      <c r="F210" s="20" t="s">
        <v>502</v>
      </c>
      <c r="G210" s="8" t="str">
        <f t="shared" si="3"/>
        <v>LEVIN SCOTT</v>
      </c>
    </row>
    <row r="211" spans="1:7" x14ac:dyDescent="0.25">
      <c r="A211" s="8">
        <v>42849.778298611112</v>
      </c>
      <c r="B211" s="20" t="s">
        <v>199</v>
      </c>
      <c r="C211" s="20" t="s">
        <v>746</v>
      </c>
      <c r="D211" s="141">
        <v>3090000</v>
      </c>
      <c r="E211" s="20" t="s">
        <v>680</v>
      </c>
      <c r="F211" s="20" t="s">
        <v>681</v>
      </c>
      <c r="G211" s="8" t="str">
        <f t="shared" si="3"/>
        <v>LAMAR NEKESHA</v>
      </c>
    </row>
    <row r="212" spans="1:7" x14ac:dyDescent="0.25">
      <c r="A212" s="8">
        <v>42849.785092592596</v>
      </c>
      <c r="B212" s="20" t="s">
        <v>448</v>
      </c>
      <c r="C212" s="20" t="s">
        <v>747</v>
      </c>
      <c r="D212" s="141">
        <v>2360000</v>
      </c>
      <c r="E212" s="20" t="s">
        <v>503</v>
      </c>
      <c r="F212" s="20" t="s">
        <v>504</v>
      </c>
      <c r="G212" s="8" t="str">
        <f t="shared" si="3"/>
        <v>BRANDNER MELINDA</v>
      </c>
    </row>
    <row r="213" spans="1:7" x14ac:dyDescent="0.25">
      <c r="A213" s="8">
        <v>42849.788935185185</v>
      </c>
      <c r="B213" s="20" t="s">
        <v>438</v>
      </c>
      <c r="C213" s="20" t="s">
        <v>579</v>
      </c>
      <c r="D213" s="141">
        <v>2620000</v>
      </c>
      <c r="E213" s="20" t="s">
        <v>727</v>
      </c>
      <c r="F213" s="20" t="s">
        <v>728</v>
      </c>
      <c r="G213" s="8" t="str">
        <f t="shared" si="3"/>
        <v>PERKINS DARREN</v>
      </c>
    </row>
    <row r="214" spans="1:7" x14ac:dyDescent="0.25">
      <c r="A214" s="8">
        <v>42849.795474537037</v>
      </c>
      <c r="B214" s="20" t="s">
        <v>550</v>
      </c>
      <c r="C214" s="20" t="s">
        <v>748</v>
      </c>
      <c r="D214" s="141">
        <v>1810000</v>
      </c>
      <c r="E214" s="20" t="s">
        <v>372</v>
      </c>
      <c r="F214" s="20" t="s">
        <v>193</v>
      </c>
      <c r="G214" s="8" t="str">
        <f t="shared" si="3"/>
        <v>NEWELL JAMES</v>
      </c>
    </row>
    <row r="215" spans="1:7" x14ac:dyDescent="0.25">
      <c r="A215" s="8">
        <v>42849.796122685184</v>
      </c>
      <c r="B215" s="20" t="s">
        <v>544</v>
      </c>
      <c r="C215" s="20" t="s">
        <v>749</v>
      </c>
      <c r="D215" s="141">
        <v>2000000</v>
      </c>
      <c r="E215" s="20" t="s">
        <v>354</v>
      </c>
      <c r="F215" s="20" t="s">
        <v>193</v>
      </c>
      <c r="G215" s="8" t="str">
        <f t="shared" si="3"/>
        <v>STAMBAUGH JAMES</v>
      </c>
    </row>
    <row r="216" spans="1:7" x14ac:dyDescent="0.25">
      <c r="A216" s="8">
        <v>42849.802048611113</v>
      </c>
      <c r="B216" s="20" t="s">
        <v>383</v>
      </c>
      <c r="C216" s="20" t="s">
        <v>750</v>
      </c>
      <c r="D216" s="141">
        <v>2450000</v>
      </c>
      <c r="E216" s="20" t="s">
        <v>499</v>
      </c>
      <c r="F216" s="20" t="s">
        <v>500</v>
      </c>
      <c r="G216" s="8" t="str">
        <f t="shared" si="3"/>
        <v>NELSON ARIANE</v>
      </c>
    </row>
    <row r="217" spans="1:7" x14ac:dyDescent="0.25">
      <c r="A217" s="8">
        <v>42849.804629629631</v>
      </c>
      <c r="B217" s="20" t="s">
        <v>492</v>
      </c>
      <c r="C217" s="20" t="s">
        <v>751</v>
      </c>
      <c r="D217" s="141">
        <v>1300000</v>
      </c>
      <c r="E217" s="20" t="s">
        <v>501</v>
      </c>
      <c r="F217" s="20" t="s">
        <v>502</v>
      </c>
      <c r="G217" s="8" t="str">
        <f t="shared" si="3"/>
        <v>LEVIN SCOTT</v>
      </c>
    </row>
    <row r="218" spans="1:7" x14ac:dyDescent="0.25">
      <c r="A218" s="8">
        <v>42849.804988425924</v>
      </c>
      <c r="B218" s="20" t="s">
        <v>353</v>
      </c>
      <c r="C218" s="20" t="s">
        <v>580</v>
      </c>
      <c r="D218" s="141">
        <v>1740000</v>
      </c>
      <c r="E218" s="20" t="s">
        <v>373</v>
      </c>
      <c r="F218" s="20" t="s">
        <v>374</v>
      </c>
      <c r="G218" s="8" t="str">
        <f t="shared" si="3"/>
        <v>STORY SAMANTHA</v>
      </c>
    </row>
    <row r="219" spans="1:7" x14ac:dyDescent="0.25">
      <c r="A219" s="8">
        <v>42849.805625000001</v>
      </c>
      <c r="B219" s="20" t="s">
        <v>394</v>
      </c>
      <c r="C219" s="20" t="s">
        <v>752</v>
      </c>
      <c r="D219" s="141">
        <v>2730000</v>
      </c>
      <c r="E219" s="20" t="s">
        <v>450</v>
      </c>
      <c r="F219" s="20" t="s">
        <v>451</v>
      </c>
      <c r="G219" s="8" t="str">
        <f t="shared" si="3"/>
        <v>YANG JAN</v>
      </c>
    </row>
    <row r="220" spans="1:7" x14ac:dyDescent="0.25">
      <c r="A220" s="8">
        <v>42849.808668981481</v>
      </c>
      <c r="B220" s="20" t="s">
        <v>425</v>
      </c>
      <c r="C220" s="20" t="s">
        <v>753</v>
      </c>
      <c r="D220" s="141">
        <v>2230000</v>
      </c>
      <c r="E220" s="20" t="s">
        <v>359</v>
      </c>
      <c r="F220" s="20" t="s">
        <v>196</v>
      </c>
      <c r="G220" s="8" t="str">
        <f t="shared" si="3"/>
        <v>SMITH MICHAEL</v>
      </c>
    </row>
    <row r="221" spans="1:7" x14ac:dyDescent="0.25">
      <c r="A221" s="8">
        <v>42849.817129629628</v>
      </c>
      <c r="B221" s="20" t="s">
        <v>490</v>
      </c>
      <c r="C221" s="20" t="s">
        <v>754</v>
      </c>
      <c r="D221" s="141">
        <v>1300000</v>
      </c>
      <c r="E221" s="20" t="s">
        <v>501</v>
      </c>
      <c r="F221" s="20" t="s">
        <v>502</v>
      </c>
      <c r="G221" s="8" t="str">
        <f t="shared" si="3"/>
        <v>LEVIN SCOTT</v>
      </c>
    </row>
    <row r="222" spans="1:7" x14ac:dyDescent="0.25">
      <c r="A222" s="8">
        <v>42849.820520833331</v>
      </c>
      <c r="B222" s="20" t="s">
        <v>449</v>
      </c>
      <c r="C222" s="20" t="s">
        <v>755</v>
      </c>
      <c r="D222" s="141">
        <v>2360000</v>
      </c>
      <c r="E222" s="20" t="s">
        <v>503</v>
      </c>
      <c r="F222" s="20" t="s">
        <v>504</v>
      </c>
      <c r="G222" s="8" t="str">
        <f t="shared" si="3"/>
        <v>BRANDNER MELINDA</v>
      </c>
    </row>
    <row r="223" spans="1:7" x14ac:dyDescent="0.25">
      <c r="A223" s="8">
        <v>42849.824629629627</v>
      </c>
      <c r="B223" s="20" t="s">
        <v>437</v>
      </c>
      <c r="C223" s="20" t="s">
        <v>581</v>
      </c>
      <c r="D223" s="141">
        <v>2620000</v>
      </c>
      <c r="E223" s="20" t="s">
        <v>727</v>
      </c>
      <c r="F223" s="20" t="s">
        <v>728</v>
      </c>
      <c r="G223" s="8" t="str">
        <f t="shared" si="3"/>
        <v>PERKINS DARREN</v>
      </c>
    </row>
    <row r="224" spans="1:7" x14ac:dyDescent="0.25">
      <c r="A224" s="8">
        <v>42849.829143518517</v>
      </c>
      <c r="B224" t="s">
        <v>360</v>
      </c>
      <c r="C224" t="s">
        <v>756</v>
      </c>
      <c r="D224" s="141">
        <v>2000000</v>
      </c>
      <c r="E224" t="s">
        <v>354</v>
      </c>
      <c r="F224" s="20" t="s">
        <v>193</v>
      </c>
      <c r="G224" s="8" t="str">
        <f t="shared" si="3"/>
        <v>STAMBAUGH JAMES</v>
      </c>
    </row>
    <row r="225" spans="1:7" x14ac:dyDescent="0.25">
      <c r="A225" s="8">
        <v>42849.841608796298</v>
      </c>
      <c r="B225" t="s">
        <v>397</v>
      </c>
      <c r="C225" t="s">
        <v>757</v>
      </c>
      <c r="D225" s="141">
        <v>2730000</v>
      </c>
      <c r="E225" t="s">
        <v>450</v>
      </c>
      <c r="F225" s="20" t="s">
        <v>451</v>
      </c>
      <c r="G225" s="8" t="str">
        <f t="shared" si="3"/>
        <v>YANG JAN</v>
      </c>
    </row>
    <row r="226" spans="1:7" x14ac:dyDescent="0.25">
      <c r="A226" s="8">
        <v>42849.843113425923</v>
      </c>
      <c r="B226" t="s">
        <v>426</v>
      </c>
      <c r="C226" t="s">
        <v>758</v>
      </c>
      <c r="D226" s="141">
        <v>2230000</v>
      </c>
      <c r="E226" t="s">
        <v>359</v>
      </c>
      <c r="F226" s="20" t="s">
        <v>196</v>
      </c>
      <c r="G226" s="8" t="str">
        <f t="shared" si="3"/>
        <v>SMITH MICHAEL</v>
      </c>
    </row>
    <row r="227" spans="1:7" x14ac:dyDescent="0.25">
      <c r="A227" s="8">
        <v>42849.844814814816</v>
      </c>
      <c r="B227" t="s">
        <v>492</v>
      </c>
      <c r="C227" t="s">
        <v>582</v>
      </c>
      <c r="D227" s="141">
        <v>1300000</v>
      </c>
      <c r="E227" t="s">
        <v>501</v>
      </c>
      <c r="F227" s="20" t="s">
        <v>502</v>
      </c>
      <c r="G227" s="8" t="str">
        <f t="shared" si="3"/>
        <v>LEVIN SCOTT</v>
      </c>
    </row>
    <row r="228" spans="1:7" x14ac:dyDescent="0.25">
      <c r="A228" s="8">
        <v>42849.851388888892</v>
      </c>
      <c r="B228" t="s">
        <v>352</v>
      </c>
      <c r="C228" t="s">
        <v>759</v>
      </c>
      <c r="D228" s="141">
        <v>2680000</v>
      </c>
      <c r="E228" t="s">
        <v>391</v>
      </c>
      <c r="F228" s="20" t="s">
        <v>392</v>
      </c>
      <c r="G228" s="8" t="str">
        <f t="shared" si="3"/>
        <v>DUNCAN SHEILA</v>
      </c>
    </row>
    <row r="229" spans="1:7" x14ac:dyDescent="0.25">
      <c r="A229" s="8">
        <v>42849.859050925923</v>
      </c>
      <c r="B229" t="s">
        <v>490</v>
      </c>
      <c r="C229" t="s">
        <v>760</v>
      </c>
      <c r="D229" s="141">
        <v>1300000</v>
      </c>
      <c r="E229" t="s">
        <v>501</v>
      </c>
      <c r="F229" s="20" t="s">
        <v>502</v>
      </c>
      <c r="G229" s="8" t="str">
        <f t="shared" si="3"/>
        <v>LEVIN SCOTT</v>
      </c>
    </row>
    <row r="230" spans="1:7" x14ac:dyDescent="0.25">
      <c r="A230" s="8">
        <v>42849.871134259258</v>
      </c>
      <c r="B230" t="s">
        <v>544</v>
      </c>
      <c r="C230" t="s">
        <v>761</v>
      </c>
      <c r="D230" s="141">
        <v>2000000</v>
      </c>
      <c r="E230" t="s">
        <v>354</v>
      </c>
      <c r="F230" s="20" t="s">
        <v>193</v>
      </c>
      <c r="G230" s="8" t="str">
        <f t="shared" si="3"/>
        <v>STAMBAUGH JAMES</v>
      </c>
    </row>
    <row r="231" spans="1:7" x14ac:dyDescent="0.25">
      <c r="A231" s="8">
        <v>42849.874224537038</v>
      </c>
      <c r="B231" t="s">
        <v>438</v>
      </c>
      <c r="C231" t="s">
        <v>583</v>
      </c>
      <c r="D231" s="141">
        <v>2620000</v>
      </c>
      <c r="E231" t="s">
        <v>727</v>
      </c>
      <c r="F231" s="20" t="s">
        <v>728</v>
      </c>
      <c r="G231" s="8" t="str">
        <f t="shared" si="3"/>
        <v>PERKINS DARREN</v>
      </c>
    </row>
    <row r="232" spans="1:7" x14ac:dyDescent="0.25">
      <c r="A232" s="8">
        <v>42849.876030092593</v>
      </c>
      <c r="B232" t="s">
        <v>492</v>
      </c>
      <c r="C232" t="s">
        <v>762</v>
      </c>
      <c r="D232" s="141">
        <v>1810000</v>
      </c>
      <c r="E232" t="s">
        <v>372</v>
      </c>
      <c r="F232" s="20" t="s">
        <v>193</v>
      </c>
      <c r="G232" s="8" t="str">
        <f t="shared" si="3"/>
        <v>NEWELL JAMES</v>
      </c>
    </row>
    <row r="233" spans="1:7" x14ac:dyDescent="0.25">
      <c r="A233" s="8">
        <v>42849.886956018519</v>
      </c>
      <c r="B233" t="s">
        <v>425</v>
      </c>
      <c r="C233" t="s">
        <v>763</v>
      </c>
      <c r="D233" s="141">
        <v>2230000</v>
      </c>
      <c r="E233" t="s">
        <v>359</v>
      </c>
      <c r="F233" s="20" t="s">
        <v>196</v>
      </c>
      <c r="G233" s="8" t="str">
        <f t="shared" si="3"/>
        <v>SMITH MICHAEL</v>
      </c>
    </row>
    <row r="234" spans="1:7" x14ac:dyDescent="0.25">
      <c r="A234" s="8">
        <v>42849.888124999998</v>
      </c>
      <c r="B234" t="s">
        <v>353</v>
      </c>
      <c r="C234" t="s">
        <v>764</v>
      </c>
      <c r="D234" s="141">
        <v>2680000</v>
      </c>
      <c r="E234" t="s">
        <v>391</v>
      </c>
      <c r="F234" s="20" t="s">
        <v>392</v>
      </c>
      <c r="G234" s="8" t="str">
        <f t="shared" si="3"/>
        <v>DUNCAN SHEILA</v>
      </c>
    </row>
    <row r="235" spans="1:7" x14ac:dyDescent="0.25">
      <c r="A235" s="8">
        <v>42849.895613425928</v>
      </c>
      <c r="B235" t="s">
        <v>394</v>
      </c>
      <c r="C235" t="s">
        <v>752</v>
      </c>
      <c r="D235" s="141">
        <v>2730000</v>
      </c>
      <c r="E235" t="s">
        <v>450</v>
      </c>
      <c r="F235" s="20" t="s">
        <v>451</v>
      </c>
      <c r="G235" s="8" t="str">
        <f t="shared" si="3"/>
        <v>YANG JAN</v>
      </c>
    </row>
    <row r="236" spans="1:7" x14ac:dyDescent="0.25">
      <c r="A236" s="8">
        <v>42849.900706018518</v>
      </c>
      <c r="B236" t="s">
        <v>490</v>
      </c>
      <c r="C236" t="s">
        <v>765</v>
      </c>
      <c r="D236" s="141">
        <v>1810000</v>
      </c>
      <c r="E236" t="s">
        <v>372</v>
      </c>
      <c r="F236" s="20" t="s">
        <v>193</v>
      </c>
      <c r="G236" s="8" t="str">
        <f t="shared" si="3"/>
        <v>NEWELL JAMES</v>
      </c>
    </row>
    <row r="237" spans="1:7" x14ac:dyDescent="0.25">
      <c r="A237" s="8">
        <v>42849.905740740738</v>
      </c>
      <c r="B237" t="s">
        <v>360</v>
      </c>
      <c r="C237" t="s">
        <v>584</v>
      </c>
      <c r="D237" s="141">
        <v>2000000</v>
      </c>
      <c r="E237" t="s">
        <v>354</v>
      </c>
      <c r="F237" s="20" t="s">
        <v>193</v>
      </c>
      <c r="G237" s="8" t="str">
        <f t="shared" si="3"/>
        <v>STAMBAUGH JAMES</v>
      </c>
    </row>
    <row r="238" spans="1:7" x14ac:dyDescent="0.25">
      <c r="A238" s="8">
        <v>42849.907731481479</v>
      </c>
      <c r="B238" t="s">
        <v>437</v>
      </c>
      <c r="C238" t="s">
        <v>766</v>
      </c>
      <c r="D238" s="141">
        <v>2620000</v>
      </c>
      <c r="E238" t="s">
        <v>727</v>
      </c>
      <c r="F238" s="20" t="s">
        <v>728</v>
      </c>
      <c r="G238" s="8" t="str">
        <f t="shared" si="3"/>
        <v>PERKINS DARREN</v>
      </c>
    </row>
    <row r="239" spans="1:7" x14ac:dyDescent="0.25">
      <c r="A239" s="8">
        <v>42849.909143518518</v>
      </c>
      <c r="B239" t="s">
        <v>397</v>
      </c>
      <c r="C239" t="s">
        <v>752</v>
      </c>
      <c r="D239" s="141">
        <v>2730000</v>
      </c>
      <c r="E239" t="s">
        <v>450</v>
      </c>
      <c r="F239" s="20" t="s">
        <v>451</v>
      </c>
      <c r="G239" s="8" t="str">
        <f t="shared" si="3"/>
        <v>YANG JAN</v>
      </c>
    </row>
    <row r="240" spans="1:7" x14ac:dyDescent="0.25">
      <c r="A240" s="8">
        <v>42849.909687500003</v>
      </c>
      <c r="B240" t="s">
        <v>397</v>
      </c>
      <c r="C240" t="s">
        <v>757</v>
      </c>
      <c r="D240" s="141">
        <v>2730000</v>
      </c>
      <c r="E240" t="s">
        <v>450</v>
      </c>
      <c r="F240" s="20" t="s">
        <v>451</v>
      </c>
      <c r="G240" s="8" t="str">
        <f t="shared" si="3"/>
        <v>YANG JAN</v>
      </c>
    </row>
    <row r="241" spans="1:7" x14ac:dyDescent="0.25">
      <c r="A241" s="8">
        <v>42849.928611111114</v>
      </c>
      <c r="B241" t="s">
        <v>492</v>
      </c>
      <c r="C241" t="s">
        <v>767</v>
      </c>
      <c r="D241" s="141">
        <v>1810000</v>
      </c>
      <c r="E241" t="s">
        <v>372</v>
      </c>
      <c r="F241" s="20" t="s">
        <v>193</v>
      </c>
      <c r="G241" s="8" t="str">
        <f t="shared" si="3"/>
        <v>NEWELL JAMES</v>
      </c>
    </row>
    <row r="242" spans="1:7" x14ac:dyDescent="0.25">
      <c r="A242" s="8">
        <v>42849.928761574076</v>
      </c>
      <c r="B242" t="s">
        <v>426</v>
      </c>
      <c r="C242" t="s">
        <v>768</v>
      </c>
      <c r="D242" s="141">
        <v>2230000</v>
      </c>
      <c r="E242" t="s">
        <v>359</v>
      </c>
      <c r="F242" s="20" t="s">
        <v>196</v>
      </c>
      <c r="G242" s="8" t="str">
        <f t="shared" si="3"/>
        <v>SMITH MICHAEL</v>
      </c>
    </row>
    <row r="243" spans="1:7" x14ac:dyDescent="0.25">
      <c r="A243" s="8">
        <v>42849.930069444446</v>
      </c>
      <c r="B243" t="s">
        <v>394</v>
      </c>
      <c r="C243" t="s">
        <v>757</v>
      </c>
      <c r="D243" s="141">
        <v>2730000</v>
      </c>
      <c r="E243" t="s">
        <v>450</v>
      </c>
      <c r="F243" s="20" t="s">
        <v>451</v>
      </c>
      <c r="G243" s="8" t="str">
        <f t="shared" si="3"/>
        <v>YANG JAN</v>
      </c>
    </row>
    <row r="244" spans="1:7" x14ac:dyDescent="0.25">
      <c r="A244" s="8">
        <v>42849.933946759258</v>
      </c>
      <c r="B244" t="s">
        <v>352</v>
      </c>
      <c r="C244" t="s">
        <v>769</v>
      </c>
      <c r="D244" s="141">
        <v>1740000</v>
      </c>
      <c r="E244" t="s">
        <v>373</v>
      </c>
      <c r="F244" s="20" t="s">
        <v>374</v>
      </c>
      <c r="G244" s="8" t="str">
        <f t="shared" si="3"/>
        <v>STORY SAMANTHA</v>
      </c>
    </row>
    <row r="245" spans="1:7" x14ac:dyDescent="0.25">
      <c r="A245" s="8">
        <v>42849.935439814813</v>
      </c>
      <c r="B245" t="s">
        <v>394</v>
      </c>
      <c r="C245" t="s">
        <v>770</v>
      </c>
      <c r="D245" s="141">
        <v>2730000</v>
      </c>
      <c r="E245" t="s">
        <v>450</v>
      </c>
      <c r="F245" s="20" t="s">
        <v>451</v>
      </c>
      <c r="G245" s="8" t="str">
        <f t="shared" si="3"/>
        <v>YANG JAN</v>
      </c>
    </row>
    <row r="246" spans="1:7" x14ac:dyDescent="0.25">
      <c r="A246" s="8">
        <v>42849.942384259259</v>
      </c>
      <c r="B246" t="s">
        <v>490</v>
      </c>
      <c r="C246" t="s">
        <v>771</v>
      </c>
      <c r="D246" s="141">
        <v>1810000</v>
      </c>
      <c r="E246" t="s">
        <v>372</v>
      </c>
      <c r="F246" s="20" t="s">
        <v>193</v>
      </c>
      <c r="G246" s="8" t="str">
        <f t="shared" si="3"/>
        <v>NEWELL JAMES</v>
      </c>
    </row>
    <row r="247" spans="1:7" x14ac:dyDescent="0.25">
      <c r="A247" s="8">
        <v>42849.952291666668</v>
      </c>
      <c r="B247" t="s">
        <v>544</v>
      </c>
      <c r="C247" t="s">
        <v>772</v>
      </c>
      <c r="D247" s="141">
        <v>2000000</v>
      </c>
      <c r="E247" t="s">
        <v>354</v>
      </c>
      <c r="F247" s="20" t="s">
        <v>193</v>
      </c>
      <c r="G247" s="8" t="str">
        <f t="shared" si="3"/>
        <v>STAMBAUGH JAMES</v>
      </c>
    </row>
    <row r="248" spans="1:7" x14ac:dyDescent="0.25">
      <c r="A248" s="8">
        <v>42849.955578703702</v>
      </c>
      <c r="B248" t="s">
        <v>438</v>
      </c>
      <c r="C248" t="s">
        <v>773</v>
      </c>
      <c r="D248" s="141">
        <v>2620000</v>
      </c>
      <c r="E248" t="s">
        <v>727</v>
      </c>
      <c r="F248" s="20" t="s">
        <v>728</v>
      </c>
      <c r="G248" s="8" t="str">
        <f t="shared" si="3"/>
        <v>PERKINS DARREN</v>
      </c>
    </row>
    <row r="249" spans="1:7" x14ac:dyDescent="0.25">
      <c r="A249" s="8">
        <v>42849.965532407405</v>
      </c>
      <c r="B249" t="s">
        <v>425</v>
      </c>
      <c r="C249" t="s">
        <v>585</v>
      </c>
      <c r="D249" s="141">
        <v>2230000</v>
      </c>
      <c r="E249" t="s">
        <v>359</v>
      </c>
      <c r="F249" s="20" t="s">
        <v>196</v>
      </c>
      <c r="G249" s="8" t="str">
        <f t="shared" si="3"/>
        <v>SMITH MICHAEL</v>
      </c>
    </row>
    <row r="250" spans="1:7" x14ac:dyDescent="0.25">
      <c r="A250" s="8">
        <v>42849.970879629633</v>
      </c>
      <c r="B250" t="s">
        <v>397</v>
      </c>
      <c r="C250" t="s">
        <v>770</v>
      </c>
      <c r="D250" s="141">
        <v>2730000</v>
      </c>
      <c r="E250" t="s">
        <v>450</v>
      </c>
      <c r="F250" s="20" t="s">
        <v>451</v>
      </c>
      <c r="G250" s="8" t="str">
        <f t="shared" si="3"/>
        <v>YANG JAN</v>
      </c>
    </row>
    <row r="251" spans="1:7" x14ac:dyDescent="0.25">
      <c r="A251" s="8">
        <v>42849.972731481481</v>
      </c>
      <c r="B251" t="s">
        <v>353</v>
      </c>
      <c r="C251" t="s">
        <v>774</v>
      </c>
      <c r="D251" s="141">
        <v>1740000</v>
      </c>
      <c r="E251" t="s">
        <v>373</v>
      </c>
      <c r="F251" s="20" t="s">
        <v>374</v>
      </c>
      <c r="G251" s="8" t="str">
        <f t="shared" si="3"/>
        <v>STORY SAMANTHA</v>
      </c>
    </row>
    <row r="252" spans="1:7" x14ac:dyDescent="0.25">
      <c r="A252" s="8">
        <v>42849.992118055554</v>
      </c>
      <c r="B252" t="s">
        <v>437</v>
      </c>
      <c r="C252" t="s">
        <v>775</v>
      </c>
      <c r="D252" s="141">
        <v>2620000</v>
      </c>
      <c r="E252" t="s">
        <v>727</v>
      </c>
      <c r="F252" s="20" t="s">
        <v>728</v>
      </c>
      <c r="G252" s="8" t="str">
        <f t="shared" si="3"/>
        <v>PERKINS DARREN</v>
      </c>
    </row>
    <row r="253" spans="1:7" x14ac:dyDescent="0.25">
      <c r="A253" s="8">
        <v>42849.994490740741</v>
      </c>
      <c r="B253" t="s">
        <v>360</v>
      </c>
      <c r="C253" t="s">
        <v>776</v>
      </c>
      <c r="D253" s="141">
        <v>2000000</v>
      </c>
      <c r="E253" t="s">
        <v>354</v>
      </c>
      <c r="F253" s="20" t="s">
        <v>193</v>
      </c>
      <c r="G253" s="8" t="str">
        <f t="shared" si="3"/>
        <v>STAMBAUGH JAMES</v>
      </c>
    </row>
    <row r="254" spans="1:7" x14ac:dyDescent="0.25">
      <c r="A254" s="8">
        <v>42850.006655092591</v>
      </c>
      <c r="B254" t="s">
        <v>352</v>
      </c>
      <c r="C254" t="s">
        <v>777</v>
      </c>
      <c r="D254" s="141">
        <v>1740000</v>
      </c>
      <c r="E254" t="s">
        <v>373</v>
      </c>
      <c r="F254" s="20" t="s">
        <v>374</v>
      </c>
      <c r="G254" s="8" t="str">
        <f t="shared" si="3"/>
        <v>STORY SAMANTHA</v>
      </c>
    </row>
    <row r="255" spans="1:7" x14ac:dyDescent="0.25">
      <c r="A255" s="8">
        <v>42850.008356481485</v>
      </c>
      <c r="B255" t="s">
        <v>426</v>
      </c>
      <c r="C255" t="s">
        <v>778</v>
      </c>
      <c r="D255" s="141">
        <v>2230000</v>
      </c>
      <c r="E255" t="s">
        <v>359</v>
      </c>
      <c r="F255" s="20" t="s">
        <v>196</v>
      </c>
      <c r="G255" s="8" t="str">
        <f t="shared" si="3"/>
        <v>SMITH MICHAEL</v>
      </c>
    </row>
    <row r="256" spans="1:7" x14ac:dyDescent="0.25">
      <c r="A256" s="8">
        <v>42850.027465277781</v>
      </c>
      <c r="B256" t="s">
        <v>438</v>
      </c>
      <c r="C256" t="s">
        <v>779</v>
      </c>
      <c r="D256" s="141">
        <v>2620000</v>
      </c>
      <c r="E256" t="s">
        <v>727</v>
      </c>
      <c r="F256" s="20" t="s">
        <v>728</v>
      </c>
      <c r="G256" s="8" t="str">
        <f t="shared" si="3"/>
        <v>PERKINS DARREN</v>
      </c>
    </row>
    <row r="257" spans="1:7" x14ac:dyDescent="0.25">
      <c r="A257" s="8">
        <v>42850.037002314813</v>
      </c>
      <c r="B257" t="s">
        <v>544</v>
      </c>
      <c r="C257" t="s">
        <v>780</v>
      </c>
      <c r="D257" s="141">
        <v>2000000</v>
      </c>
      <c r="E257" t="s">
        <v>354</v>
      </c>
      <c r="F257" s="20" t="s">
        <v>193</v>
      </c>
      <c r="G257" s="8" t="str">
        <f t="shared" si="3"/>
        <v>STAMBAUGH JAMES</v>
      </c>
    </row>
    <row r="258" spans="1:7" x14ac:dyDescent="0.25">
      <c r="A258" s="8">
        <v>42850.04960648148</v>
      </c>
      <c r="B258" t="s">
        <v>425</v>
      </c>
      <c r="C258" t="s">
        <v>781</v>
      </c>
      <c r="D258" s="141">
        <v>2230000</v>
      </c>
      <c r="E258" t="s">
        <v>359</v>
      </c>
      <c r="F258" s="20" t="s">
        <v>196</v>
      </c>
      <c r="G258" s="8" t="str">
        <f t="shared" si="3"/>
        <v>SMITH MICHAEL</v>
      </c>
    </row>
    <row r="259" spans="1:7" x14ac:dyDescent="0.25">
      <c r="A259" s="8">
        <v>42850.051446759258</v>
      </c>
      <c r="B259" t="s">
        <v>353</v>
      </c>
      <c r="C259" t="s">
        <v>782</v>
      </c>
      <c r="D259" s="141">
        <v>1740000</v>
      </c>
      <c r="E259" t="s">
        <v>373</v>
      </c>
      <c r="F259" s="20" t="s">
        <v>374</v>
      </c>
      <c r="G259" s="8" t="str">
        <f t="shared" ref="G259:G322" si="4">E259&amp;" "&amp;F259</f>
        <v>STORY SAMANTHA</v>
      </c>
    </row>
    <row r="260" spans="1:7" x14ac:dyDescent="0.25">
      <c r="A260" s="8">
        <v>42850.070821759262</v>
      </c>
      <c r="B260" t="s">
        <v>360</v>
      </c>
      <c r="C260" t="s">
        <v>783</v>
      </c>
      <c r="D260" s="141">
        <v>2000000</v>
      </c>
      <c r="E260" t="s">
        <v>354</v>
      </c>
      <c r="F260" s="20" t="s">
        <v>193</v>
      </c>
      <c r="G260" s="8" t="str">
        <f t="shared" si="4"/>
        <v>STAMBAUGH JAMES</v>
      </c>
    </row>
    <row r="261" spans="1:7" x14ac:dyDescent="0.25">
      <c r="A261" s="8">
        <v>42850.090532407405</v>
      </c>
      <c r="B261" t="s">
        <v>352</v>
      </c>
      <c r="C261" t="s">
        <v>784</v>
      </c>
      <c r="D261" s="141">
        <v>1740000</v>
      </c>
      <c r="E261" t="s">
        <v>373</v>
      </c>
      <c r="F261" s="20" t="s">
        <v>374</v>
      </c>
      <c r="G261" s="8" t="str">
        <f t="shared" si="4"/>
        <v>STORY SAMANTHA</v>
      </c>
    </row>
    <row r="262" spans="1:7" x14ac:dyDescent="0.25">
      <c r="A262" s="8">
        <v>42844.048020833332</v>
      </c>
      <c r="B262" t="s">
        <v>449</v>
      </c>
      <c r="C262" t="s">
        <v>363</v>
      </c>
      <c r="D262" s="141">
        <v>1810000</v>
      </c>
      <c r="E262" t="s">
        <v>372</v>
      </c>
      <c r="F262" s="20" t="s">
        <v>193</v>
      </c>
      <c r="G262" s="8" t="str">
        <f t="shared" si="4"/>
        <v>NEWELL JAMES</v>
      </c>
    </row>
    <row r="263" spans="1:7" x14ac:dyDescent="0.25">
      <c r="A263" s="8">
        <v>42844.058842592596</v>
      </c>
      <c r="B263" t="s">
        <v>388</v>
      </c>
      <c r="C263" t="s">
        <v>364</v>
      </c>
      <c r="D263" s="141">
        <v>2000000</v>
      </c>
      <c r="E263" t="s">
        <v>354</v>
      </c>
      <c r="F263" s="20" t="s">
        <v>193</v>
      </c>
      <c r="G263" s="8" t="str">
        <f t="shared" si="4"/>
        <v>STAMBAUGH JAMES</v>
      </c>
    </row>
    <row r="264" spans="1:7" x14ac:dyDescent="0.25">
      <c r="A264" s="8">
        <v>42844.069675925923</v>
      </c>
      <c r="B264" t="s">
        <v>418</v>
      </c>
      <c r="C264" t="s">
        <v>365</v>
      </c>
      <c r="D264" s="141">
        <v>1740000</v>
      </c>
      <c r="E264" t="s">
        <v>373</v>
      </c>
      <c r="F264" s="20" t="s">
        <v>374</v>
      </c>
      <c r="G264" s="8" t="str">
        <f t="shared" si="4"/>
        <v>STORY SAMANTHA</v>
      </c>
    </row>
    <row r="265" spans="1:7" x14ac:dyDescent="0.25">
      <c r="A265" s="8">
        <v>42844.094085648147</v>
      </c>
      <c r="B265" t="s">
        <v>356</v>
      </c>
      <c r="C265" t="s">
        <v>367</v>
      </c>
      <c r="D265" s="141">
        <v>2000000</v>
      </c>
      <c r="E265" t="s">
        <v>354</v>
      </c>
      <c r="F265" s="20" t="s">
        <v>193</v>
      </c>
      <c r="G265" s="8" t="str">
        <f t="shared" si="4"/>
        <v>STAMBAUGH JAMES</v>
      </c>
    </row>
    <row r="266" spans="1:7" x14ac:dyDescent="0.25">
      <c r="A266" s="8">
        <v>42829.978796296295</v>
      </c>
      <c r="B266" t="s">
        <v>357</v>
      </c>
      <c r="C266" t="s">
        <v>401</v>
      </c>
      <c r="D266" s="141">
        <v>2680000</v>
      </c>
      <c r="E266" t="s">
        <v>391</v>
      </c>
      <c r="F266" s="20" t="s">
        <v>392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358</v>
      </c>
      <c r="C267" t="s">
        <v>400</v>
      </c>
      <c r="D267" s="141">
        <v>2680000</v>
      </c>
      <c r="E267" t="s">
        <v>391</v>
      </c>
      <c r="F267" s="20" t="s">
        <v>392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383</v>
      </c>
      <c r="C268" t="s">
        <v>402</v>
      </c>
      <c r="D268" s="141">
        <v>1740000</v>
      </c>
      <c r="E268" t="s">
        <v>373</v>
      </c>
      <c r="F268" s="20" t="s">
        <v>374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377</v>
      </c>
      <c r="C269" t="s">
        <v>403</v>
      </c>
      <c r="D269" s="141">
        <v>1800000</v>
      </c>
      <c r="E269" t="s">
        <v>370</v>
      </c>
      <c r="F269" s="20" t="s">
        <v>371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357</v>
      </c>
      <c r="C270" t="s">
        <v>401</v>
      </c>
      <c r="D270" s="141">
        <v>2680000</v>
      </c>
      <c r="E270" t="s">
        <v>391</v>
      </c>
      <c r="F270" s="20" t="s">
        <v>392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358</v>
      </c>
      <c r="C271" t="s">
        <v>400</v>
      </c>
      <c r="D271" s="141">
        <v>2680000</v>
      </c>
      <c r="E271" t="s">
        <v>391</v>
      </c>
      <c r="F271" s="20" t="s">
        <v>392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356</v>
      </c>
      <c r="C272" t="s">
        <v>404</v>
      </c>
      <c r="D272" s="141">
        <v>2970000</v>
      </c>
      <c r="E272" t="s">
        <v>398</v>
      </c>
      <c r="F272" s="20" t="s">
        <v>399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357</v>
      </c>
      <c r="C273" t="s">
        <v>401</v>
      </c>
      <c r="D273" s="141">
        <v>2680000</v>
      </c>
      <c r="E273" t="s">
        <v>391</v>
      </c>
      <c r="F273" s="20" t="s">
        <v>392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358</v>
      </c>
      <c r="C274" t="s">
        <v>400</v>
      </c>
      <c r="D274" s="141">
        <v>2680000</v>
      </c>
      <c r="E274" t="s">
        <v>391</v>
      </c>
      <c r="F274" s="20" t="s">
        <v>392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396</v>
      </c>
      <c r="C275" t="s">
        <v>405</v>
      </c>
      <c r="D275" s="141">
        <v>1810000</v>
      </c>
      <c r="E275" t="s">
        <v>372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357</v>
      </c>
      <c r="C276" t="s">
        <v>401</v>
      </c>
      <c r="D276" s="141">
        <v>2680000</v>
      </c>
      <c r="E276" t="s">
        <v>391</v>
      </c>
      <c r="F276" s="20" t="s">
        <v>392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358</v>
      </c>
      <c r="C277" t="s">
        <v>400</v>
      </c>
      <c r="D277" s="141">
        <v>2680000</v>
      </c>
      <c r="E277" t="s">
        <v>391</v>
      </c>
      <c r="F277" s="20" t="s">
        <v>392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357</v>
      </c>
      <c r="C278" t="s">
        <v>401</v>
      </c>
      <c r="D278" s="141">
        <v>2680000</v>
      </c>
      <c r="E278" t="s">
        <v>391</v>
      </c>
      <c r="F278" s="20" t="s">
        <v>392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376</v>
      </c>
      <c r="C279" t="s">
        <v>406</v>
      </c>
      <c r="D279" s="141">
        <v>1800000</v>
      </c>
      <c r="E279" t="s">
        <v>370</v>
      </c>
      <c r="F279" s="20" t="s">
        <v>371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387</v>
      </c>
      <c r="C280" t="s">
        <v>407</v>
      </c>
      <c r="D280" s="141">
        <v>1740000</v>
      </c>
      <c r="E280" t="s">
        <v>373</v>
      </c>
      <c r="F280" s="20" t="s">
        <v>374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388</v>
      </c>
      <c r="C281" t="s">
        <v>408</v>
      </c>
      <c r="D281" s="141">
        <v>2970000</v>
      </c>
      <c r="E281" t="s">
        <v>398</v>
      </c>
      <c r="F281" s="20" t="s">
        <v>399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395</v>
      </c>
      <c r="C282" t="s">
        <v>409</v>
      </c>
      <c r="D282" s="141">
        <v>1810000</v>
      </c>
      <c r="E282" t="s">
        <v>372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383</v>
      </c>
      <c r="C283" t="s">
        <v>410</v>
      </c>
      <c r="D283" s="141">
        <v>1740000</v>
      </c>
      <c r="E283" t="s">
        <v>373</v>
      </c>
      <c r="F283" s="20" t="s">
        <v>374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358</v>
      </c>
      <c r="C284" t="s">
        <v>400</v>
      </c>
      <c r="D284" s="141">
        <v>2680000</v>
      </c>
      <c r="E284" t="s">
        <v>391</v>
      </c>
      <c r="F284" s="20" t="s">
        <v>392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358</v>
      </c>
      <c r="C285" t="s">
        <v>400</v>
      </c>
      <c r="D285" s="141">
        <v>2680000</v>
      </c>
      <c r="E285" t="s">
        <v>391</v>
      </c>
      <c r="F285" s="20" t="s">
        <v>392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356</v>
      </c>
      <c r="C286" t="s">
        <v>411</v>
      </c>
      <c r="D286" s="141">
        <v>2970000</v>
      </c>
      <c r="E286" t="s">
        <v>398</v>
      </c>
      <c r="F286" s="20" t="s">
        <v>399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362</v>
      </c>
      <c r="D287" s="141">
        <v>2230000</v>
      </c>
      <c r="E287" t="s">
        <v>359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355</v>
      </c>
      <c r="C288" t="s">
        <v>363</v>
      </c>
      <c r="D288" s="141">
        <v>2000000</v>
      </c>
      <c r="E288" t="s">
        <v>354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360</v>
      </c>
      <c r="C289" t="s">
        <v>364</v>
      </c>
      <c r="D289" s="141">
        <v>2150000</v>
      </c>
      <c r="E289" t="s">
        <v>350</v>
      </c>
      <c r="F289" s="20" t="s">
        <v>351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360</v>
      </c>
      <c r="C290" t="s">
        <v>364</v>
      </c>
      <c r="D290" s="141">
        <v>2150000</v>
      </c>
      <c r="E290" t="s">
        <v>350</v>
      </c>
      <c r="F290" s="20" t="s">
        <v>351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360</v>
      </c>
      <c r="C291" t="s">
        <v>364</v>
      </c>
      <c r="D291" s="141">
        <v>2150000</v>
      </c>
      <c r="E291" t="s">
        <v>350</v>
      </c>
      <c r="F291" s="20" t="s">
        <v>351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361</v>
      </c>
      <c r="C292" t="s">
        <v>365</v>
      </c>
      <c r="D292" s="141">
        <v>2230000</v>
      </c>
      <c r="E292" t="s">
        <v>359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352</v>
      </c>
      <c r="C293" t="s">
        <v>366</v>
      </c>
      <c r="D293" s="141">
        <v>2270000</v>
      </c>
      <c r="E293" t="s">
        <v>206</v>
      </c>
      <c r="F293" s="20" t="s">
        <v>207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352</v>
      </c>
      <c r="C294" t="s">
        <v>366</v>
      </c>
      <c r="D294" s="141">
        <v>2270000</v>
      </c>
      <c r="E294" t="s">
        <v>206</v>
      </c>
      <c r="F294" s="20" t="s">
        <v>207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352</v>
      </c>
      <c r="C295" t="s">
        <v>366</v>
      </c>
      <c r="D295" s="141">
        <v>2270000</v>
      </c>
      <c r="E295" t="s">
        <v>206</v>
      </c>
      <c r="F295" s="20" t="s">
        <v>207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358</v>
      </c>
      <c r="C296" t="s">
        <v>367</v>
      </c>
      <c r="D296" s="141">
        <v>2150000</v>
      </c>
      <c r="E296" t="s">
        <v>350</v>
      </c>
      <c r="F296" s="20" t="s">
        <v>351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353</v>
      </c>
      <c r="C297" t="s">
        <v>368</v>
      </c>
      <c r="D297" s="141">
        <v>2270000</v>
      </c>
      <c r="E297" t="s">
        <v>206</v>
      </c>
      <c r="F297" s="20" t="s">
        <v>207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2" t="s">
        <v>162</v>
      </c>
      <c r="B1" s="202" t="s">
        <v>165</v>
      </c>
      <c r="C1" s="202" t="s">
        <v>158</v>
      </c>
      <c r="D1" s="139" t="s">
        <v>170</v>
      </c>
      <c r="E1" s="202" t="s">
        <v>159</v>
      </c>
      <c r="F1" s="202" t="s">
        <v>157</v>
      </c>
      <c r="G1" s="202" t="s">
        <v>155</v>
      </c>
      <c r="H1" s="202" t="s">
        <v>168</v>
      </c>
      <c r="I1" s="202" t="s">
        <v>169</v>
      </c>
      <c r="J1" s="202" t="s">
        <v>463</v>
      </c>
      <c r="K1" s="202" t="s">
        <v>163</v>
      </c>
      <c r="L1" s="202" t="s">
        <v>161</v>
      </c>
      <c r="M1" s="202" t="s">
        <v>156</v>
      </c>
      <c r="N1" s="202" t="s">
        <v>166</v>
      </c>
      <c r="O1" s="202" t="s">
        <v>160</v>
      </c>
      <c r="P1" s="202" t="s">
        <v>167</v>
      </c>
      <c r="Q1" s="202" t="s">
        <v>164</v>
      </c>
      <c r="R1"/>
    </row>
    <row r="2" spans="1:18" x14ac:dyDescent="0.25">
      <c r="A2" s="168">
        <v>53.19</v>
      </c>
      <c r="B2" s="168">
        <v>0.46</v>
      </c>
      <c r="C2" s="168">
        <v>36.590000000000003</v>
      </c>
      <c r="D2" s="8">
        <v>42849</v>
      </c>
      <c r="E2" s="168">
        <v>0.53</v>
      </c>
      <c r="F2" s="168" t="s">
        <v>419</v>
      </c>
      <c r="G2" s="168">
        <v>330.42</v>
      </c>
      <c r="H2" s="168">
        <v>0</v>
      </c>
      <c r="I2" s="168">
        <v>0</v>
      </c>
      <c r="J2" s="168"/>
      <c r="K2" s="168">
        <v>1002.29</v>
      </c>
      <c r="L2" s="168" t="s">
        <v>343</v>
      </c>
      <c r="M2" s="168">
        <v>53.19</v>
      </c>
      <c r="N2" s="168">
        <v>1493013600</v>
      </c>
      <c r="O2" s="168">
        <v>3.8</v>
      </c>
      <c r="P2" s="168">
        <v>197</v>
      </c>
      <c r="Q2" s="168">
        <v>1.58</v>
      </c>
      <c r="R2"/>
    </row>
    <row r="3" spans="1:18" x14ac:dyDescent="0.25">
      <c r="A3" s="168">
        <v>51.77</v>
      </c>
      <c r="B3" s="168">
        <v>0.41</v>
      </c>
      <c r="C3" s="168">
        <v>34.79</v>
      </c>
      <c r="D3" s="8">
        <v>42849.041666666664</v>
      </c>
      <c r="E3" s="168">
        <v>0.52</v>
      </c>
      <c r="F3" s="168" t="s">
        <v>419</v>
      </c>
      <c r="G3" s="168">
        <v>334.82</v>
      </c>
      <c r="H3" s="168">
        <v>0</v>
      </c>
      <c r="I3" s="168">
        <v>0</v>
      </c>
      <c r="J3" s="168"/>
      <c r="K3" s="168">
        <v>1002.29</v>
      </c>
      <c r="L3" s="168" t="s">
        <v>343</v>
      </c>
      <c r="M3" s="168">
        <v>51.77</v>
      </c>
      <c r="N3" s="168">
        <v>1493017200</v>
      </c>
      <c r="O3" s="168">
        <v>4.04</v>
      </c>
      <c r="P3" s="168">
        <v>217</v>
      </c>
      <c r="Q3" s="168">
        <v>2.27</v>
      </c>
      <c r="R3"/>
    </row>
    <row r="4" spans="1:18" x14ac:dyDescent="0.25">
      <c r="A4" s="168">
        <v>50.55</v>
      </c>
      <c r="B4" s="168">
        <v>0.42</v>
      </c>
      <c r="C4" s="168">
        <v>34.39</v>
      </c>
      <c r="D4" s="8">
        <v>42849.083333333336</v>
      </c>
      <c r="E4" s="168">
        <v>0.54</v>
      </c>
      <c r="F4" s="168" t="s">
        <v>419</v>
      </c>
      <c r="G4" s="168">
        <v>339.21</v>
      </c>
      <c r="H4" s="168">
        <v>0</v>
      </c>
      <c r="I4" s="168">
        <v>0</v>
      </c>
      <c r="J4" s="168"/>
      <c r="K4" s="168">
        <v>1002.31</v>
      </c>
      <c r="L4" s="168" t="s">
        <v>343</v>
      </c>
      <c r="M4" s="168">
        <v>50.55</v>
      </c>
      <c r="N4" s="168">
        <v>1493020800</v>
      </c>
      <c r="O4" s="168">
        <v>4.17</v>
      </c>
      <c r="P4" s="168">
        <v>233</v>
      </c>
      <c r="Q4" s="168">
        <v>2.92</v>
      </c>
      <c r="R4"/>
    </row>
    <row r="5" spans="1:18" x14ac:dyDescent="0.25">
      <c r="A5" s="168">
        <v>50.56</v>
      </c>
      <c r="B5" s="168">
        <v>0.37</v>
      </c>
      <c r="C5" s="168">
        <v>32.6</v>
      </c>
      <c r="D5" s="8">
        <v>42849.125</v>
      </c>
      <c r="E5" s="168">
        <v>0.5</v>
      </c>
      <c r="F5" s="168" t="s">
        <v>419</v>
      </c>
      <c r="G5" s="168">
        <v>343.6</v>
      </c>
      <c r="H5" s="168">
        <v>0</v>
      </c>
      <c r="I5" s="168">
        <v>0</v>
      </c>
      <c r="J5" s="168"/>
      <c r="K5" s="168">
        <v>1002.12</v>
      </c>
      <c r="L5" s="168" t="s">
        <v>343</v>
      </c>
      <c r="M5" s="168">
        <v>50.56</v>
      </c>
      <c r="N5" s="168">
        <v>1493024400</v>
      </c>
      <c r="O5" s="168">
        <v>3.75</v>
      </c>
      <c r="P5" s="168">
        <v>260</v>
      </c>
      <c r="Q5" s="168">
        <v>2.7</v>
      </c>
      <c r="R5"/>
    </row>
    <row r="6" spans="1:18" x14ac:dyDescent="0.25">
      <c r="A6" s="168">
        <v>50.33</v>
      </c>
      <c r="B6" s="168">
        <v>0.45</v>
      </c>
      <c r="C6" s="168">
        <v>32.47</v>
      </c>
      <c r="D6" s="8">
        <v>42849.166666666664</v>
      </c>
      <c r="E6" s="168">
        <v>0.5</v>
      </c>
      <c r="F6" s="168" t="s">
        <v>419</v>
      </c>
      <c r="G6" s="168">
        <v>345.72</v>
      </c>
      <c r="H6" s="168">
        <v>0</v>
      </c>
      <c r="I6" s="168">
        <v>0</v>
      </c>
      <c r="J6" s="168"/>
      <c r="K6" s="168">
        <v>1002.52</v>
      </c>
      <c r="L6" s="168" t="s">
        <v>343</v>
      </c>
      <c r="M6" s="168">
        <v>50.33</v>
      </c>
      <c r="N6" s="168">
        <v>1493028000</v>
      </c>
      <c r="O6" s="168">
        <v>3.93</v>
      </c>
      <c r="P6" s="168">
        <v>267</v>
      </c>
      <c r="Q6" s="168">
        <v>1.98</v>
      </c>
      <c r="R6"/>
    </row>
    <row r="7" spans="1:18" x14ac:dyDescent="0.25">
      <c r="A7" s="168">
        <v>49.78</v>
      </c>
      <c r="B7" s="168">
        <v>0.53</v>
      </c>
      <c r="C7" s="168">
        <v>32.630000000000003</v>
      </c>
      <c r="D7" s="8">
        <v>42849.208333333336</v>
      </c>
      <c r="E7" s="168">
        <v>0.51</v>
      </c>
      <c r="F7" s="168" t="s">
        <v>419</v>
      </c>
      <c r="G7" s="168">
        <v>346.75</v>
      </c>
      <c r="H7" s="168">
        <v>0</v>
      </c>
      <c r="I7" s="168">
        <v>0</v>
      </c>
      <c r="J7" s="168"/>
      <c r="K7" s="168">
        <v>1003.14</v>
      </c>
      <c r="L7" s="168" t="s">
        <v>343</v>
      </c>
      <c r="M7" s="168">
        <v>49.78</v>
      </c>
      <c r="N7" s="168">
        <v>1493031600</v>
      </c>
      <c r="O7" s="168">
        <v>4.9000000000000004</v>
      </c>
      <c r="P7" s="168">
        <v>158</v>
      </c>
      <c r="Q7" s="168">
        <v>1.95</v>
      </c>
      <c r="R7"/>
    </row>
    <row r="8" spans="1:18" x14ac:dyDescent="0.25">
      <c r="A8" s="168">
        <v>49.22</v>
      </c>
      <c r="B8" s="168">
        <v>0.56000000000000005</v>
      </c>
      <c r="C8" s="168">
        <v>31.63</v>
      </c>
      <c r="D8" s="8">
        <v>42849.25</v>
      </c>
      <c r="E8" s="168">
        <v>0.51</v>
      </c>
      <c r="F8" s="168" t="s">
        <v>419</v>
      </c>
      <c r="G8" s="168">
        <v>346.98</v>
      </c>
      <c r="H8" s="168">
        <v>0</v>
      </c>
      <c r="I8" s="168">
        <v>0</v>
      </c>
      <c r="J8" s="168"/>
      <c r="K8" s="168">
        <v>1003.42</v>
      </c>
      <c r="L8" s="168" t="s">
        <v>343</v>
      </c>
      <c r="M8" s="168">
        <v>49.22</v>
      </c>
      <c r="N8" s="168">
        <v>1493035200</v>
      </c>
      <c r="O8" s="168">
        <v>4.54</v>
      </c>
      <c r="P8" s="168">
        <v>130</v>
      </c>
      <c r="Q8" s="168">
        <v>2.99</v>
      </c>
      <c r="R8"/>
    </row>
    <row r="9" spans="1:18" x14ac:dyDescent="0.25">
      <c r="A9" s="168">
        <v>50.45</v>
      </c>
      <c r="B9" s="168">
        <v>0.43</v>
      </c>
      <c r="C9" s="168">
        <v>33.119999999999997</v>
      </c>
      <c r="D9" s="8">
        <v>42849.291666666664</v>
      </c>
      <c r="E9" s="168">
        <v>0.51</v>
      </c>
      <c r="F9" s="168" t="s">
        <v>428</v>
      </c>
      <c r="G9" s="168">
        <v>346.33</v>
      </c>
      <c r="H9" s="168">
        <v>0</v>
      </c>
      <c r="I9" s="168">
        <v>0</v>
      </c>
      <c r="J9" s="168"/>
      <c r="K9" s="168">
        <v>1003.14</v>
      </c>
      <c r="L9" s="168" t="s">
        <v>343</v>
      </c>
      <c r="M9" s="168">
        <v>50.45</v>
      </c>
      <c r="N9" s="168">
        <v>1493038800</v>
      </c>
      <c r="O9" s="168">
        <v>10</v>
      </c>
      <c r="P9" s="168">
        <v>82</v>
      </c>
      <c r="Q9" s="168">
        <v>1.33</v>
      </c>
      <c r="R9"/>
    </row>
    <row r="10" spans="1:18" x14ac:dyDescent="0.25">
      <c r="A10" s="168">
        <v>51.73</v>
      </c>
      <c r="B10" s="168">
        <v>0.31</v>
      </c>
      <c r="C10" s="168">
        <v>35.68</v>
      </c>
      <c r="D10" s="8">
        <v>42849.333333333336</v>
      </c>
      <c r="E10" s="168">
        <v>0.54</v>
      </c>
      <c r="F10" s="168" t="s">
        <v>428</v>
      </c>
      <c r="G10" s="168">
        <v>344.9</v>
      </c>
      <c r="H10" s="168">
        <v>0</v>
      </c>
      <c r="I10" s="168">
        <v>0</v>
      </c>
      <c r="J10" s="168"/>
      <c r="K10" s="168">
        <v>1002.61</v>
      </c>
      <c r="L10" s="168" t="s">
        <v>343</v>
      </c>
      <c r="M10" s="168">
        <v>51.73</v>
      </c>
      <c r="N10" s="168">
        <v>1493042400</v>
      </c>
      <c r="O10" s="168">
        <v>10</v>
      </c>
      <c r="P10" s="168">
        <v>70</v>
      </c>
      <c r="Q10" s="168">
        <v>2.92</v>
      </c>
      <c r="R10"/>
    </row>
    <row r="11" spans="1:18" x14ac:dyDescent="0.25">
      <c r="A11" s="168">
        <v>55.47</v>
      </c>
      <c r="B11" s="168">
        <v>0.24</v>
      </c>
      <c r="C11" s="168">
        <v>37.229999999999997</v>
      </c>
      <c r="D11" s="8">
        <v>42849.375</v>
      </c>
      <c r="E11" s="168">
        <v>0.5</v>
      </c>
      <c r="F11" s="168" t="s">
        <v>785</v>
      </c>
      <c r="G11" s="168">
        <v>343.2</v>
      </c>
      <c r="H11" s="168">
        <v>0</v>
      </c>
      <c r="I11" s="168">
        <v>0</v>
      </c>
      <c r="J11" s="168"/>
      <c r="K11" s="168">
        <v>1002.09</v>
      </c>
      <c r="L11" s="168" t="s">
        <v>512</v>
      </c>
      <c r="M11" s="168">
        <v>55.47</v>
      </c>
      <c r="N11" s="168">
        <v>1493046000</v>
      </c>
      <c r="O11" s="168">
        <v>2.99</v>
      </c>
      <c r="P11" s="168">
        <v>80</v>
      </c>
      <c r="Q11" s="168">
        <v>3.63</v>
      </c>
      <c r="R11"/>
    </row>
    <row r="12" spans="1:18" x14ac:dyDescent="0.25">
      <c r="A12" s="168">
        <v>59.69</v>
      </c>
      <c r="B12" s="168">
        <v>0.23</v>
      </c>
      <c r="C12" s="168">
        <v>36.78</v>
      </c>
      <c r="D12" s="8">
        <v>42849.416666666664</v>
      </c>
      <c r="E12" s="168">
        <v>0.42</v>
      </c>
      <c r="F12" s="168" t="s">
        <v>785</v>
      </c>
      <c r="G12" s="168">
        <v>341.19</v>
      </c>
      <c r="H12" s="168">
        <v>0</v>
      </c>
      <c r="I12" s="168">
        <v>0</v>
      </c>
      <c r="J12" s="168"/>
      <c r="K12" s="168">
        <v>1001.63</v>
      </c>
      <c r="L12" s="168" t="s">
        <v>512</v>
      </c>
      <c r="M12" s="168">
        <v>59.69</v>
      </c>
      <c r="N12" s="168">
        <v>1493049600</v>
      </c>
      <c r="O12" s="168">
        <v>2.95</v>
      </c>
      <c r="P12" s="168">
        <v>78</v>
      </c>
      <c r="Q12" s="168">
        <v>2.94</v>
      </c>
      <c r="R12"/>
    </row>
    <row r="13" spans="1:18" x14ac:dyDescent="0.25">
      <c r="A13" s="168">
        <v>63.03</v>
      </c>
      <c r="B13" s="168">
        <v>0.33</v>
      </c>
      <c r="C13" s="168">
        <v>35.99</v>
      </c>
      <c r="D13" s="8">
        <v>42849.458333333336</v>
      </c>
      <c r="E13" s="168">
        <v>0.36</v>
      </c>
      <c r="F13" s="168" t="s">
        <v>428</v>
      </c>
      <c r="G13" s="168">
        <v>338.91</v>
      </c>
      <c r="H13" s="168">
        <v>0</v>
      </c>
      <c r="I13" s="168">
        <v>0</v>
      </c>
      <c r="J13" s="168"/>
      <c r="K13" s="168">
        <v>1000.93</v>
      </c>
      <c r="L13" s="168" t="s">
        <v>343</v>
      </c>
      <c r="M13" s="168">
        <v>63.03</v>
      </c>
      <c r="N13" s="168">
        <v>1493053200</v>
      </c>
      <c r="O13" s="168">
        <v>2.99</v>
      </c>
      <c r="P13" s="168">
        <v>75</v>
      </c>
      <c r="Q13" s="168">
        <v>2.92</v>
      </c>
      <c r="R13"/>
    </row>
    <row r="14" spans="1:18" x14ac:dyDescent="0.25">
      <c r="A14" s="168">
        <v>64.17</v>
      </c>
      <c r="B14" s="168">
        <v>0.4</v>
      </c>
      <c r="C14" s="168">
        <v>34.81</v>
      </c>
      <c r="D14" s="8">
        <v>42849.5</v>
      </c>
      <c r="E14" s="168">
        <v>0.33</v>
      </c>
      <c r="F14" s="168" t="s">
        <v>428</v>
      </c>
      <c r="G14" s="168">
        <v>337.09</v>
      </c>
      <c r="H14" s="168">
        <v>0</v>
      </c>
      <c r="I14" s="168">
        <v>0</v>
      </c>
      <c r="J14" s="168"/>
      <c r="K14" s="168">
        <v>1000.15</v>
      </c>
      <c r="L14" s="168" t="s">
        <v>343</v>
      </c>
      <c r="M14" s="168">
        <v>64.17</v>
      </c>
      <c r="N14" s="168">
        <v>1493056800</v>
      </c>
      <c r="O14" s="168">
        <v>3.2</v>
      </c>
      <c r="P14" s="168">
        <v>74</v>
      </c>
      <c r="Q14" s="168">
        <v>4.4400000000000004</v>
      </c>
      <c r="R14"/>
    </row>
    <row r="15" spans="1:18" x14ac:dyDescent="0.25">
      <c r="A15" s="168">
        <v>64.91</v>
      </c>
      <c r="B15" s="168">
        <v>0.52</v>
      </c>
      <c r="C15" s="168">
        <v>32.74</v>
      </c>
      <c r="D15" s="8">
        <v>42849.541666666664</v>
      </c>
      <c r="E15" s="168">
        <v>0.3</v>
      </c>
      <c r="F15" s="168" t="s">
        <v>428</v>
      </c>
      <c r="G15" s="168">
        <v>335.87</v>
      </c>
      <c r="H15" s="168">
        <v>0</v>
      </c>
      <c r="I15" s="168">
        <v>0</v>
      </c>
      <c r="J15" s="168"/>
      <c r="K15" s="168">
        <v>999.13</v>
      </c>
      <c r="L15" s="168" t="s">
        <v>343</v>
      </c>
      <c r="M15" s="168">
        <v>64.91</v>
      </c>
      <c r="N15" s="168">
        <v>1493060400</v>
      </c>
      <c r="O15" s="168">
        <v>10</v>
      </c>
      <c r="P15" s="168">
        <v>88</v>
      </c>
      <c r="Q15" s="168">
        <v>3.99</v>
      </c>
      <c r="R15"/>
    </row>
    <row r="16" spans="1:18" x14ac:dyDescent="0.25">
      <c r="A16" s="168">
        <v>65.72</v>
      </c>
      <c r="B16" s="168">
        <v>0.68</v>
      </c>
      <c r="C16" s="168">
        <v>32.4</v>
      </c>
      <c r="D16" s="8">
        <v>42849.583333333336</v>
      </c>
      <c r="E16" s="168">
        <v>0.28999999999999998</v>
      </c>
      <c r="F16" s="168" t="s">
        <v>428</v>
      </c>
      <c r="G16" s="168">
        <v>335.1</v>
      </c>
      <c r="H16" s="168">
        <v>1.1000000000000001E-3</v>
      </c>
      <c r="I16" s="168">
        <v>0.02</v>
      </c>
      <c r="J16" s="168" t="s">
        <v>464</v>
      </c>
      <c r="K16" s="168">
        <v>998.03</v>
      </c>
      <c r="L16" s="168" t="s">
        <v>444</v>
      </c>
      <c r="M16" s="168">
        <v>65.72</v>
      </c>
      <c r="N16" s="168">
        <v>1493064000</v>
      </c>
      <c r="O16" s="168">
        <v>3.06</v>
      </c>
      <c r="P16" s="168">
        <v>85</v>
      </c>
      <c r="Q16" s="168">
        <v>4.1900000000000004</v>
      </c>
      <c r="R16"/>
    </row>
    <row r="17" spans="1:18" x14ac:dyDescent="0.25">
      <c r="A17" s="168">
        <v>64.790000000000006</v>
      </c>
      <c r="B17" s="168">
        <v>0.79</v>
      </c>
      <c r="C17" s="168">
        <v>31.3</v>
      </c>
      <c r="D17" s="8">
        <v>42849.625</v>
      </c>
      <c r="E17" s="168">
        <v>0.28000000000000003</v>
      </c>
      <c r="F17" s="168" t="s">
        <v>428</v>
      </c>
      <c r="G17" s="168">
        <v>334.96</v>
      </c>
      <c r="H17" s="168">
        <v>1.6999999999999999E-3</v>
      </c>
      <c r="I17" s="168">
        <v>0.04</v>
      </c>
      <c r="J17" s="168" t="s">
        <v>464</v>
      </c>
      <c r="K17" s="168">
        <v>997.26</v>
      </c>
      <c r="L17" s="168" t="s">
        <v>444</v>
      </c>
      <c r="M17" s="168">
        <v>64.790000000000006</v>
      </c>
      <c r="N17" s="168">
        <v>1493067600</v>
      </c>
      <c r="O17" s="168">
        <v>3.07</v>
      </c>
      <c r="P17" s="168">
        <v>100</v>
      </c>
      <c r="Q17" s="168">
        <v>4.5</v>
      </c>
      <c r="R17"/>
    </row>
    <row r="18" spans="1:18" x14ac:dyDescent="0.25">
      <c r="A18" s="168">
        <v>64.28</v>
      </c>
      <c r="B18" s="168">
        <v>0.85</v>
      </c>
      <c r="C18" s="168">
        <v>31.63</v>
      </c>
      <c r="D18" s="8">
        <v>42849.666666666664</v>
      </c>
      <c r="E18" s="168">
        <v>0.28999999999999998</v>
      </c>
      <c r="F18" s="168" t="s">
        <v>428</v>
      </c>
      <c r="G18" s="168">
        <v>335.74</v>
      </c>
      <c r="H18" s="168">
        <v>1.9E-3</v>
      </c>
      <c r="I18" s="168">
        <v>0.04</v>
      </c>
      <c r="J18" s="168" t="s">
        <v>464</v>
      </c>
      <c r="K18" s="168">
        <v>997.07</v>
      </c>
      <c r="L18" s="168" t="s">
        <v>444</v>
      </c>
      <c r="M18" s="168">
        <v>64.28</v>
      </c>
      <c r="N18" s="168">
        <v>1493071200</v>
      </c>
      <c r="O18" s="168">
        <v>2.99</v>
      </c>
      <c r="P18" s="168">
        <v>82</v>
      </c>
      <c r="Q18" s="168">
        <v>4.58</v>
      </c>
      <c r="R18"/>
    </row>
    <row r="19" spans="1:18" x14ac:dyDescent="0.25">
      <c r="A19" s="168">
        <v>63.73</v>
      </c>
      <c r="B19" s="168">
        <v>0.91</v>
      </c>
      <c r="C19" s="168">
        <v>33.049999999999997</v>
      </c>
      <c r="D19" s="8">
        <v>42849.708333333336</v>
      </c>
      <c r="E19" s="168">
        <v>0.32</v>
      </c>
      <c r="F19" s="168" t="s">
        <v>428</v>
      </c>
      <c r="G19" s="168">
        <v>337.15</v>
      </c>
      <c r="H19" s="168">
        <v>1.6999999999999999E-3</v>
      </c>
      <c r="I19" s="168">
        <v>0.04</v>
      </c>
      <c r="J19" s="168" t="s">
        <v>464</v>
      </c>
      <c r="K19" s="168">
        <v>997.17</v>
      </c>
      <c r="L19" s="168" t="s">
        <v>444</v>
      </c>
      <c r="M19" s="168">
        <v>63.73</v>
      </c>
      <c r="N19" s="168">
        <v>1493074800</v>
      </c>
      <c r="O19" s="168">
        <v>10</v>
      </c>
      <c r="P19" s="168">
        <v>57</v>
      </c>
      <c r="Q19" s="168">
        <v>4.0999999999999996</v>
      </c>
      <c r="R19"/>
    </row>
    <row r="20" spans="1:18" x14ac:dyDescent="0.25">
      <c r="A20" s="168">
        <v>62.11</v>
      </c>
      <c r="B20" s="168">
        <v>0.92</v>
      </c>
      <c r="C20" s="168">
        <v>34.44</v>
      </c>
      <c r="D20" s="8">
        <v>42849.75</v>
      </c>
      <c r="E20" s="168">
        <v>0.35</v>
      </c>
      <c r="F20" s="168" t="s">
        <v>464</v>
      </c>
      <c r="G20" s="168">
        <v>338.48</v>
      </c>
      <c r="H20" s="168">
        <v>5.4000000000000003E-3</v>
      </c>
      <c r="I20" s="168">
        <v>0.23</v>
      </c>
      <c r="J20" s="168" t="s">
        <v>464</v>
      </c>
      <c r="K20" s="168">
        <v>997.17</v>
      </c>
      <c r="L20" s="168" t="s">
        <v>465</v>
      </c>
      <c r="M20" s="168">
        <v>62.11</v>
      </c>
      <c r="N20" s="168">
        <v>1493078400</v>
      </c>
      <c r="O20" s="168">
        <v>10</v>
      </c>
      <c r="P20" s="168">
        <v>29</v>
      </c>
      <c r="Q20" s="168">
        <v>4.4800000000000004</v>
      </c>
      <c r="R20"/>
    </row>
    <row r="21" spans="1:18" x14ac:dyDescent="0.25">
      <c r="A21" s="168">
        <v>60.1</v>
      </c>
      <c r="B21" s="168">
        <v>0.75</v>
      </c>
      <c r="C21" s="168">
        <v>34.64</v>
      </c>
      <c r="D21" s="8">
        <v>42849.791666666664</v>
      </c>
      <c r="E21" s="168">
        <v>0.38</v>
      </c>
      <c r="F21" s="168" t="s">
        <v>464</v>
      </c>
      <c r="G21" s="168">
        <v>339.4</v>
      </c>
      <c r="H21" s="168">
        <v>5.7999999999999996E-3</v>
      </c>
      <c r="I21" s="168">
        <v>0.26</v>
      </c>
      <c r="J21" s="168" t="s">
        <v>464</v>
      </c>
      <c r="K21" s="168">
        <v>996.82</v>
      </c>
      <c r="L21" s="168" t="s">
        <v>465</v>
      </c>
      <c r="M21" s="168">
        <v>60.1</v>
      </c>
      <c r="N21" s="168">
        <v>1493082000</v>
      </c>
      <c r="O21" s="168">
        <v>5.85</v>
      </c>
      <c r="P21" s="168">
        <v>30</v>
      </c>
      <c r="Q21" s="168">
        <v>3.42</v>
      </c>
      <c r="R21"/>
    </row>
    <row r="22" spans="1:18" x14ac:dyDescent="0.25">
      <c r="A22" s="168">
        <v>57.18</v>
      </c>
      <c r="B22" s="168">
        <v>0.5</v>
      </c>
      <c r="C22" s="168">
        <v>36.78</v>
      </c>
      <c r="D22" s="8">
        <v>42849.833333333336</v>
      </c>
      <c r="E22" s="168">
        <v>0.46</v>
      </c>
      <c r="F22" s="168" t="s">
        <v>464</v>
      </c>
      <c r="G22" s="168">
        <v>340.25</v>
      </c>
      <c r="H22" s="168">
        <v>7.7000000000000002E-3</v>
      </c>
      <c r="I22" s="168">
        <v>0.39</v>
      </c>
      <c r="J22" s="168" t="s">
        <v>464</v>
      </c>
      <c r="K22" s="168">
        <v>996.74</v>
      </c>
      <c r="L22" s="168" t="s">
        <v>465</v>
      </c>
      <c r="M22" s="168">
        <v>57.18</v>
      </c>
      <c r="N22" s="168">
        <v>1493085600</v>
      </c>
      <c r="O22" s="168">
        <v>6.58</v>
      </c>
      <c r="P22" s="168">
        <v>19</v>
      </c>
      <c r="Q22" s="168">
        <v>3.43</v>
      </c>
      <c r="R22"/>
    </row>
    <row r="23" spans="1:18" x14ac:dyDescent="0.25">
      <c r="A23" s="168">
        <v>53.33</v>
      </c>
      <c r="B23" s="168">
        <v>0.32</v>
      </c>
      <c r="C23" s="168">
        <v>38.020000000000003</v>
      </c>
      <c r="D23" s="8">
        <v>42849.875</v>
      </c>
      <c r="E23" s="168">
        <v>0.56000000000000005</v>
      </c>
      <c r="F23" s="168" t="s">
        <v>464</v>
      </c>
      <c r="G23" s="168">
        <v>341.31</v>
      </c>
      <c r="H23" s="168">
        <v>8.9999999999999993E-3</v>
      </c>
      <c r="I23" s="168">
        <v>0.48</v>
      </c>
      <c r="J23" s="168" t="s">
        <v>464</v>
      </c>
      <c r="K23" s="168">
        <v>996.89</v>
      </c>
      <c r="L23" s="168" t="s">
        <v>465</v>
      </c>
      <c r="M23" s="168">
        <v>53.33</v>
      </c>
      <c r="N23" s="168">
        <v>1493089200</v>
      </c>
      <c r="O23" s="168">
        <v>7.66</v>
      </c>
      <c r="P23" s="168">
        <v>7</v>
      </c>
      <c r="Q23" s="168">
        <v>3.31</v>
      </c>
      <c r="R23"/>
    </row>
    <row r="24" spans="1:18" x14ac:dyDescent="0.25">
      <c r="A24" s="168">
        <v>51.09</v>
      </c>
      <c r="B24" s="168">
        <v>0.38</v>
      </c>
      <c r="C24" s="168">
        <v>38.799999999999997</v>
      </c>
      <c r="D24" s="8">
        <v>42849.916666666664</v>
      </c>
      <c r="E24" s="168">
        <v>0.63</v>
      </c>
      <c r="F24" s="168" t="s">
        <v>464</v>
      </c>
      <c r="G24" s="168">
        <v>342.94</v>
      </c>
      <c r="H24" s="168">
        <v>1.0500000000000001E-2</v>
      </c>
      <c r="I24" s="168">
        <v>0.51</v>
      </c>
      <c r="J24" s="168" t="s">
        <v>464</v>
      </c>
      <c r="K24" s="168">
        <v>997.34</v>
      </c>
      <c r="L24" s="168" t="s">
        <v>786</v>
      </c>
      <c r="M24" s="168">
        <v>51.09</v>
      </c>
      <c r="N24" s="168">
        <v>1493092800</v>
      </c>
      <c r="O24" s="168">
        <v>6.4</v>
      </c>
      <c r="P24" s="168">
        <v>354</v>
      </c>
      <c r="Q24" s="168">
        <v>2.58</v>
      </c>
      <c r="R24"/>
    </row>
    <row r="25" spans="1:18" x14ac:dyDescent="0.25">
      <c r="A25" s="168">
        <v>48.77</v>
      </c>
      <c r="B25" s="168">
        <v>0.48</v>
      </c>
      <c r="C25" s="168">
        <v>38.31</v>
      </c>
      <c r="D25" s="8">
        <v>42849.958333333336</v>
      </c>
      <c r="E25" s="168">
        <v>0.67</v>
      </c>
      <c r="F25" s="168" t="s">
        <v>464</v>
      </c>
      <c r="G25" s="168">
        <v>344.78</v>
      </c>
      <c r="H25" s="168">
        <v>1.1599999999999999E-2</v>
      </c>
      <c r="I25" s="168">
        <v>0.53</v>
      </c>
      <c r="J25" s="168" t="s">
        <v>464</v>
      </c>
      <c r="K25" s="168">
        <v>998.03</v>
      </c>
      <c r="L25" s="168" t="s">
        <v>786</v>
      </c>
      <c r="M25" s="168">
        <v>48.77</v>
      </c>
      <c r="N25" s="168">
        <v>1493096400</v>
      </c>
      <c r="O25" s="168">
        <v>5.95</v>
      </c>
      <c r="P25" s="168">
        <v>334</v>
      </c>
      <c r="Q25" s="168">
        <v>2.0099999999999998</v>
      </c>
      <c r="R25"/>
    </row>
    <row r="26" spans="1:18" x14ac:dyDescent="0.25">
      <c r="A26" s="168">
        <v>47.4</v>
      </c>
      <c r="B26" s="168">
        <v>0.51</v>
      </c>
      <c r="C26" s="168">
        <v>38.5</v>
      </c>
      <c r="D26" s="8">
        <v>42850</v>
      </c>
      <c r="E26" s="168">
        <v>0.71</v>
      </c>
      <c r="F26" s="168" t="s">
        <v>464</v>
      </c>
      <c r="G26" s="168">
        <v>346.13</v>
      </c>
      <c r="H26" s="168">
        <v>5.4000000000000003E-3</v>
      </c>
      <c r="I26" s="168">
        <v>0.22</v>
      </c>
      <c r="J26" s="168" t="s">
        <v>464</v>
      </c>
      <c r="K26" s="168">
        <v>998.66</v>
      </c>
      <c r="L26" s="168" t="s">
        <v>465</v>
      </c>
      <c r="M26" s="168">
        <v>47.4</v>
      </c>
      <c r="N26" s="168">
        <v>1493100000</v>
      </c>
      <c r="O26" s="168">
        <v>8.42</v>
      </c>
      <c r="P26" s="168">
        <v>325</v>
      </c>
      <c r="Q26" s="168">
        <v>2.21</v>
      </c>
      <c r="R26"/>
    </row>
    <row r="27" spans="1:18" x14ac:dyDescent="0.25">
      <c r="A27" s="168">
        <v>44.08</v>
      </c>
      <c r="B27" s="168">
        <v>0.63</v>
      </c>
      <c r="C27" s="168">
        <v>40.01</v>
      </c>
      <c r="D27" s="8">
        <v>42850.041666666664</v>
      </c>
      <c r="E27" s="168">
        <v>0.77</v>
      </c>
      <c r="F27" s="168" t="s">
        <v>464</v>
      </c>
      <c r="G27" s="168">
        <v>346.26</v>
      </c>
      <c r="H27" s="168">
        <v>9.7000000000000003E-3</v>
      </c>
      <c r="I27" s="168">
        <v>0.5</v>
      </c>
      <c r="J27" s="168" t="s">
        <v>464</v>
      </c>
      <c r="K27" s="168">
        <v>998.93</v>
      </c>
      <c r="L27" s="168" t="s">
        <v>786</v>
      </c>
      <c r="M27" s="168">
        <v>46.91</v>
      </c>
      <c r="N27" s="168">
        <v>1493103600</v>
      </c>
      <c r="O27" s="168">
        <v>4.09</v>
      </c>
      <c r="P27" s="168">
        <v>337</v>
      </c>
      <c r="Q27" s="168">
        <v>5.82</v>
      </c>
      <c r="R27"/>
    </row>
    <row r="28" spans="1:18" x14ac:dyDescent="0.25">
      <c r="A28" s="168">
        <v>46</v>
      </c>
      <c r="B28" s="168">
        <v>0.87</v>
      </c>
      <c r="C28" s="168">
        <v>39.93</v>
      </c>
      <c r="D28" s="8">
        <v>42850.083333333336</v>
      </c>
      <c r="E28" s="168">
        <v>0.79</v>
      </c>
      <c r="F28" s="168" t="s">
        <v>464</v>
      </c>
      <c r="G28" s="168">
        <v>346.38</v>
      </c>
      <c r="H28" s="168">
        <v>1.84E-2</v>
      </c>
      <c r="I28" s="168">
        <v>0.59</v>
      </c>
      <c r="J28" s="168" t="s">
        <v>464</v>
      </c>
      <c r="K28" s="168">
        <v>999.22</v>
      </c>
      <c r="L28" s="168" t="s">
        <v>786</v>
      </c>
      <c r="M28" s="168">
        <v>46</v>
      </c>
      <c r="N28" s="168">
        <v>1493107200</v>
      </c>
      <c r="O28" s="168">
        <v>7.55</v>
      </c>
      <c r="P28" s="168">
        <v>346</v>
      </c>
      <c r="Q28" s="168">
        <v>0.99</v>
      </c>
      <c r="R28"/>
    </row>
    <row r="29" spans="1:18" x14ac:dyDescent="0.25">
      <c r="A29" s="168">
        <v>46.05</v>
      </c>
      <c r="B29" s="168">
        <v>0.93</v>
      </c>
      <c r="C29" s="168">
        <v>39.76</v>
      </c>
      <c r="D29" s="8">
        <v>42850.125</v>
      </c>
      <c r="E29" s="168">
        <v>0.79</v>
      </c>
      <c r="F29" s="168" t="s">
        <v>464</v>
      </c>
      <c r="G29" s="168">
        <v>346.5</v>
      </c>
      <c r="H29" s="168">
        <v>2.0299999999999999E-2</v>
      </c>
      <c r="I29" s="168">
        <v>0.61</v>
      </c>
      <c r="J29" s="168" t="s">
        <v>464</v>
      </c>
      <c r="K29" s="168">
        <v>999.51</v>
      </c>
      <c r="L29" s="168" t="s">
        <v>786</v>
      </c>
      <c r="M29" s="168">
        <v>46.05</v>
      </c>
      <c r="N29" s="168">
        <v>1493110800</v>
      </c>
      <c r="O29" s="168">
        <v>7.88</v>
      </c>
      <c r="P29" s="168">
        <v>81</v>
      </c>
      <c r="Q29" s="168">
        <v>2.15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0"/>
  <sheetViews>
    <sheetView workbookViewId="0">
      <selection activeCell="M20" sqref="M20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345</v>
      </c>
      <c r="U1" s="159"/>
      <c r="V1" s="159"/>
      <c r="W1" s="159"/>
      <c r="X1" s="159"/>
    </row>
    <row r="2" spans="1:24" ht="15.75" thickBot="1" x14ac:dyDescent="0.3">
      <c r="A2" s="12">
        <v>42849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346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347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348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349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945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946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947</v>
      </c>
      <c r="J20" s="143" t="s">
        <v>87</v>
      </c>
      <c r="M20" s="157" t="s">
        <v>975</v>
      </c>
      <c r="N20" s="157" t="s">
        <v>344</v>
      </c>
      <c r="T20" s="158"/>
      <c r="U20" s="158"/>
      <c r="V20" s="158"/>
      <c r="W20" s="158"/>
      <c r="X20" s="158"/>
    </row>
    <row r="21" spans="3:24" x14ac:dyDescent="0.25">
      <c r="C21" t="s">
        <v>948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949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950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951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952</v>
      </c>
      <c r="J25" s="143" t="s">
        <v>150</v>
      </c>
      <c r="M25" s="157" t="b">
        <v>1</v>
      </c>
    </row>
    <row r="26" spans="3:24" x14ac:dyDescent="0.25">
      <c r="C26" t="s">
        <v>953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C:\Users\stu\Documents\GitHub\eaglep3-reporting\EC\2017-04-24-refined-times.txt</v>
      </c>
    </row>
    <row r="27" spans="3:24" x14ac:dyDescent="0.25">
      <c r="C27" t="s">
        <v>954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C:\Users\stu\Documents\GitHub\eaglep3-reporting\EC\2017-04-24-Enforcements.txt</v>
      </c>
    </row>
    <row r="28" spans="3:24" x14ac:dyDescent="0.25">
      <c r="C28" t="s">
        <v>955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C:\Users\stu\Documents\GitHub\eaglep3-reporting\EC\2017-04-24-Runs-refined.txt</v>
      </c>
    </row>
    <row r="29" spans="3:24" x14ac:dyDescent="0.25">
      <c r="C29" t="s">
        <v>956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C:\Users\stu\Documents\GitHub\eaglep3-reporting\EC\2017-04-24-Trips.txt</v>
      </c>
    </row>
    <row r="30" spans="3:24" x14ac:dyDescent="0.25">
      <c r="C30" t="s">
        <v>957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C:\Users\stu\Documents\GitHub\eaglep3-reporting\EC\2017-04-24-Weather.txt</v>
      </c>
    </row>
    <row r="31" spans="3:24" x14ac:dyDescent="0.25">
      <c r="C31" t="s">
        <v>958</v>
      </c>
      <c r="J31" s="143" t="s">
        <v>201</v>
      </c>
      <c r="M31" s="157" t="s">
        <v>202</v>
      </c>
    </row>
    <row r="32" spans="3:24" x14ac:dyDescent="0.25">
      <c r="C32" t="s">
        <v>959</v>
      </c>
    </row>
    <row r="33" spans="3:3" x14ac:dyDescent="0.25">
      <c r="C33" t="s">
        <v>960</v>
      </c>
    </row>
    <row r="34" spans="3:3" x14ac:dyDescent="0.25">
      <c r="C34" t="s">
        <v>961</v>
      </c>
    </row>
    <row r="35" spans="3:3" x14ac:dyDescent="0.25">
      <c r="C35" t="s">
        <v>962</v>
      </c>
    </row>
    <row r="36" spans="3:3" x14ac:dyDescent="0.25">
      <c r="C36" t="s">
        <v>963</v>
      </c>
    </row>
    <row r="37" spans="3:3" x14ac:dyDescent="0.25">
      <c r="C37" t="s">
        <v>964</v>
      </c>
    </row>
    <row r="38" spans="3:3" x14ac:dyDescent="0.25">
      <c r="C38" t="s">
        <v>965</v>
      </c>
    </row>
    <row r="39" spans="3:3" x14ac:dyDescent="0.25">
      <c r="C39" t="s">
        <v>966</v>
      </c>
    </row>
    <row r="40" spans="3:3" x14ac:dyDescent="0.25">
      <c r="C40" t="s">
        <v>967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381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382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2017-04-25T18:34:42Z</dcterms:modified>
</cp:coreProperties>
</file>